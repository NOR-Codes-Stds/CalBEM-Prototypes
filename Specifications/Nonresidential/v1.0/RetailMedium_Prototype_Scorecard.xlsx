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codeName="ThisWorkbook" defaultThemeVersion="166925"/>
  <mc:AlternateContent xmlns:mc="http://schemas.openxmlformats.org/markup-compatibility/2006">
    <mc:Choice Requires="x15">
      <x15ac:absPath xmlns:x15ac="http://schemas.microsoft.com/office/spreadsheetml/2010/11/ac" url="https://carcglgov.sharepoint.com/sites/NYStretchCoordination/Shared Documents/Prototypes/Prototypes/Scorecards/"/>
    </mc:Choice>
  </mc:AlternateContent>
  <xr:revisionPtr revIDLastSave="1069" documentId="8_{33BC95BC-C5EA-4B78-898C-367289F36757}" xr6:coauthVersionLast="47" xr6:coauthVersionMax="47" xr10:uidLastSave="{6B7180BD-0457-4442-9349-99E5BD32DC3D}"/>
  <bookViews>
    <workbookView xWindow="-108" yWindow="-108" windowWidth="23256" windowHeight="13896" tabRatio="890" firstSheet="1" activeTab="11" xr2:uid="{EAC23EE3-0CA0-4FF8-990D-9B21A59FA3E0}"/>
  </bookViews>
  <sheets>
    <sheet name="Notes" sheetId="23" r:id="rId1"/>
    <sheet name="Prototype" sheetId="2" r:id="rId2"/>
    <sheet name="Zones" sheetId="13" r:id="rId3"/>
    <sheet name="Envelope" sheetId="1" r:id="rId4"/>
    <sheet name="HVAC System" sheetId="14" r:id="rId5"/>
    <sheet name="Thermostat" sheetId="30" r:id="rId6"/>
    <sheet name="Ventilation" sheetId="18" r:id="rId7"/>
    <sheet name="Water Heater" sheetId="7" r:id="rId8"/>
    <sheet name="Interior Lights" sheetId="25" r:id="rId9"/>
    <sheet name="Ext Lighting" sheetId="9" r:id="rId10"/>
    <sheet name="Equipment" sheetId="29" r:id="rId11"/>
    <sheet name="Schedules" sheetId="28" r:id="rId12"/>
    <sheet name="Energy Usage" sheetId="20" r:id="rId13"/>
    <sheet name="Weights" sheetId="21" r:id="rId14"/>
    <sheet name="PV" sheetId="27" state="hidden" r:id="rId15"/>
    <sheet name="EV Charger" sheetId="22" state="hidden" r:id="rId16"/>
    <sheet name="Data" sheetId="31" state="hidden" r:id="rId17"/>
  </sheets>
  <definedNames>
    <definedName name="_xlnm._FilterDatabase" localSheetId="16" hidden="1">Data!$D$1:$G$1</definedName>
    <definedName name="nonparticipating_forecastzone_scale_factor" localSheetId="16">#REF!</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 i="21" l="1"/>
  <c r="A1" i="21"/>
  <c r="H4" i="18" l="1"/>
  <c r="AV4" i="20"/>
  <c r="AU2" i="20"/>
  <c r="AU4" i="20" s="1"/>
  <c r="T4" i="20"/>
  <c r="V4" i="20" s="1"/>
  <c r="U4" i="20"/>
  <c r="T5" i="20"/>
  <c r="U5" i="20"/>
  <c r="V5" i="20"/>
  <c r="T6" i="20"/>
  <c r="U6" i="20"/>
  <c r="V6" i="20"/>
  <c r="T7" i="20"/>
  <c r="U7" i="20"/>
  <c r="V7" i="20"/>
  <c r="T8" i="20"/>
  <c r="U8" i="20"/>
  <c r="V8" i="20"/>
  <c r="T9" i="20"/>
  <c r="V9" i="20" s="1"/>
  <c r="U9" i="20"/>
  <c r="T10" i="20"/>
  <c r="V10" i="20" s="1"/>
  <c r="U10" i="20"/>
  <c r="T11" i="20"/>
  <c r="U11" i="20"/>
  <c r="V11" i="20"/>
  <c r="T12" i="20"/>
  <c r="U12" i="20"/>
  <c r="T13" i="20"/>
  <c r="U13" i="20"/>
  <c r="V13" i="20"/>
  <c r="T14" i="20"/>
  <c r="U14" i="20"/>
  <c r="V14" i="20"/>
  <c r="T15" i="20"/>
  <c r="U15" i="20"/>
  <c r="V15" i="20"/>
  <c r="T16" i="20"/>
  <c r="U16" i="20"/>
  <c r="V16" i="20"/>
  <c r="T17" i="20"/>
  <c r="U17" i="20"/>
  <c r="V17" i="20"/>
  <c r="T18" i="20"/>
  <c r="U18" i="20"/>
  <c r="U3" i="20"/>
  <c r="T3" i="20"/>
  <c r="K18" i="20"/>
  <c r="J18" i="20"/>
  <c r="K17" i="20"/>
  <c r="J17" i="20"/>
  <c r="L17" i="20" s="1"/>
  <c r="K16" i="20"/>
  <c r="J16" i="20"/>
  <c r="L16" i="20" s="1"/>
  <c r="K15" i="20"/>
  <c r="J15" i="20"/>
  <c r="L15" i="20" s="1"/>
  <c r="K14" i="20"/>
  <c r="J14" i="20"/>
  <c r="L14" i="20" s="1"/>
  <c r="K13" i="20"/>
  <c r="J13" i="20"/>
  <c r="L13" i="20" s="1"/>
  <c r="K12" i="20"/>
  <c r="J12" i="20"/>
  <c r="L12" i="20" s="1"/>
  <c r="K11" i="20"/>
  <c r="J11" i="20"/>
  <c r="L11" i="20" s="1"/>
  <c r="K10" i="20"/>
  <c r="J10" i="20"/>
  <c r="K9" i="20"/>
  <c r="J9" i="20"/>
  <c r="L9" i="20" s="1"/>
  <c r="K8" i="20"/>
  <c r="J8" i="20"/>
  <c r="K7" i="20"/>
  <c r="J7" i="20"/>
  <c r="K6" i="20"/>
  <c r="J6" i="20"/>
  <c r="L6" i="20" s="1"/>
  <c r="K5" i="20"/>
  <c r="J5" i="20"/>
  <c r="L5" i="20" s="1"/>
  <c r="K4" i="20"/>
  <c r="J4" i="20"/>
  <c r="L4" i="20" s="1"/>
  <c r="K3" i="20"/>
  <c r="J3" i="20"/>
  <c r="L3" i="20" s="1"/>
  <c r="D23" i="14"/>
  <c r="B19" i="7"/>
  <c r="B18" i="7"/>
  <c r="A5" i="29"/>
  <c r="A6" i="25"/>
  <c r="I7" i="13"/>
  <c r="B22" i="28"/>
  <c r="A22" i="28"/>
  <c r="L7" i="20" l="1"/>
  <c r="L18" i="20"/>
  <c r="V12" i="20"/>
  <c r="V3" i="20"/>
  <c r="V18" i="20"/>
  <c r="L10" i="20"/>
  <c r="L8" i="20"/>
  <c r="F25" i="28"/>
  <c r="F26" i="28"/>
  <c r="F27" i="28"/>
  <c r="F28" i="28"/>
  <c r="F29" i="28"/>
  <c r="F30" i="28"/>
  <c r="G25" i="28"/>
  <c r="H25" i="28"/>
  <c r="I25" i="28"/>
  <c r="J25" i="28"/>
  <c r="K25" i="28"/>
  <c r="L25" i="28"/>
  <c r="M25" i="28"/>
  <c r="N25" i="28"/>
  <c r="O25" i="28"/>
  <c r="P25" i="28"/>
  <c r="Q25" i="28"/>
  <c r="R25" i="28"/>
  <c r="S25" i="28"/>
  <c r="T25" i="28"/>
  <c r="U25" i="28"/>
  <c r="V25" i="28"/>
  <c r="W25" i="28"/>
  <c r="X25" i="28"/>
  <c r="Y25" i="28"/>
  <c r="Z25" i="28"/>
  <c r="AA25" i="28"/>
  <c r="AB25" i="28"/>
  <c r="AC25" i="28"/>
  <c r="G26" i="28"/>
  <c r="H26" i="28"/>
  <c r="I26" i="28"/>
  <c r="J26" i="28"/>
  <c r="K26" i="28"/>
  <c r="L26" i="28"/>
  <c r="M26" i="28"/>
  <c r="N26" i="28"/>
  <c r="O26" i="28"/>
  <c r="P26" i="28"/>
  <c r="Q26" i="28"/>
  <c r="R26" i="28"/>
  <c r="S26" i="28"/>
  <c r="T26" i="28"/>
  <c r="U26" i="28"/>
  <c r="V26" i="28"/>
  <c r="W26" i="28"/>
  <c r="X26" i="28"/>
  <c r="Y26" i="28"/>
  <c r="Z26" i="28"/>
  <c r="AA26" i="28"/>
  <c r="AB26" i="28"/>
  <c r="AC26" i="28"/>
  <c r="G27" i="28"/>
  <c r="H27" i="28"/>
  <c r="I27" i="28"/>
  <c r="J27" i="28"/>
  <c r="K27" i="28"/>
  <c r="L27" i="28"/>
  <c r="M27" i="28"/>
  <c r="N27" i="28"/>
  <c r="O27" i="28"/>
  <c r="P27" i="28"/>
  <c r="Q27" i="28"/>
  <c r="R27" i="28"/>
  <c r="S27" i="28"/>
  <c r="T27" i="28"/>
  <c r="U27" i="28"/>
  <c r="V27" i="28"/>
  <c r="W27" i="28"/>
  <c r="X27" i="28"/>
  <c r="Y27" i="28"/>
  <c r="Z27" i="28"/>
  <c r="AA27" i="28"/>
  <c r="AB27" i="28"/>
  <c r="AC27" i="28"/>
  <c r="G28" i="28"/>
  <c r="H28" i="28"/>
  <c r="I28" i="28"/>
  <c r="J28" i="28"/>
  <c r="K28" i="28"/>
  <c r="L28" i="28"/>
  <c r="M28" i="28"/>
  <c r="N28" i="28"/>
  <c r="O28" i="28"/>
  <c r="P28" i="28"/>
  <c r="Q28" i="28"/>
  <c r="R28" i="28"/>
  <c r="S28" i="28"/>
  <c r="T28" i="28"/>
  <c r="U28" i="28"/>
  <c r="V28" i="28"/>
  <c r="W28" i="28"/>
  <c r="X28" i="28"/>
  <c r="Y28" i="28"/>
  <c r="Z28" i="28"/>
  <c r="AA28" i="28"/>
  <c r="AB28" i="28"/>
  <c r="AC28" i="28"/>
  <c r="G29" i="28"/>
  <c r="H29" i="28"/>
  <c r="I29" i="28"/>
  <c r="J29" i="28"/>
  <c r="K29" i="28"/>
  <c r="L29" i="28"/>
  <c r="M29" i="28"/>
  <c r="N29" i="28"/>
  <c r="O29" i="28"/>
  <c r="P29" i="28"/>
  <c r="Q29" i="28"/>
  <c r="R29" i="28"/>
  <c r="S29" i="28"/>
  <c r="T29" i="28"/>
  <c r="U29" i="28"/>
  <c r="V29" i="28"/>
  <c r="W29" i="28"/>
  <c r="X29" i="28"/>
  <c r="Y29" i="28"/>
  <c r="Z29" i="28"/>
  <c r="AA29" i="28"/>
  <c r="AB29" i="28"/>
  <c r="AC29" i="28"/>
  <c r="G30" i="28"/>
  <c r="H30" i="28"/>
  <c r="I30" i="28"/>
  <c r="J30" i="28"/>
  <c r="K30" i="28"/>
  <c r="L30" i="28"/>
  <c r="M30" i="28"/>
  <c r="N30" i="28"/>
  <c r="O30" i="28"/>
  <c r="P30" i="28"/>
  <c r="Q30" i="28"/>
  <c r="R30" i="28"/>
  <c r="S30" i="28"/>
  <c r="T30" i="28"/>
  <c r="U30" i="28"/>
  <c r="V30" i="28"/>
  <c r="W30" i="28"/>
  <c r="X30" i="28"/>
  <c r="Y30" i="28"/>
  <c r="Z30" i="28"/>
  <c r="AA30" i="28"/>
  <c r="AB30" i="28"/>
  <c r="AC30" i="28"/>
  <c r="B13" i="28" l="1"/>
  <c r="B19" i="28" s="1"/>
  <c r="B28" i="28" s="1"/>
  <c r="A13" i="28"/>
  <c r="A19" i="28" s="1"/>
  <c r="A28" i="28" s="1"/>
  <c r="B10" i="28"/>
  <c r="B16" i="28" s="1"/>
  <c r="B25" i="28" s="1"/>
  <c r="A10" i="28"/>
  <c r="A16" i="28" s="1"/>
  <c r="A25" i="28" s="1"/>
  <c r="B7" i="28"/>
  <c r="A7" i="28"/>
  <c r="C9" i="7" l="1"/>
  <c r="C10" i="7"/>
  <c r="C11" i="7"/>
  <c r="C12" i="7"/>
  <c r="C8" i="7"/>
  <c r="C13" i="7" s="1"/>
  <c r="A13" i="7"/>
  <c r="A12" i="7"/>
  <c r="A9" i="7"/>
  <c r="A10" i="7"/>
  <c r="A11" i="7"/>
  <c r="A8" i="7"/>
  <c r="B29" i="7"/>
  <c r="A4" i="29"/>
  <c r="A3" i="29"/>
  <c r="A5" i="25"/>
  <c r="A4" i="25"/>
  <c r="E3" i="7"/>
  <c r="A1" i="30"/>
  <c r="C18" i="7" l="1"/>
  <c r="D18" i="7" s="1"/>
  <c r="E18" i="7" s="1"/>
  <c r="F8" i="13"/>
  <c r="A1" i="22" l="1"/>
  <c r="A1" i="27"/>
  <c r="A1" i="28"/>
  <c r="A1" i="29"/>
  <c r="A1" i="9"/>
  <c r="A1" i="25"/>
  <c r="A1" i="7"/>
  <c r="A1" i="18"/>
  <c r="A1" i="1"/>
  <c r="A1" i="14"/>
  <c r="A1" i="13"/>
  <c r="C31" i="2" l="1"/>
  <c r="X19" i="1" l="1"/>
  <c r="W19" i="1"/>
  <c r="V19" i="1"/>
  <c r="U19" i="1"/>
  <c r="T19" i="1"/>
  <c r="S19" i="1"/>
  <c r="R19" i="1"/>
  <c r="Q19" i="1"/>
  <c r="P19" i="1"/>
  <c r="O19" i="1"/>
  <c r="N19" i="1"/>
  <c r="M19" i="1"/>
  <c r="L19" i="1"/>
  <c r="K19" i="1"/>
  <c r="J19" i="1"/>
  <c r="I19" i="1"/>
  <c r="X18" i="1"/>
  <c r="W18" i="1"/>
  <c r="V18" i="1"/>
  <c r="U18" i="1"/>
  <c r="T18" i="1"/>
  <c r="S18" i="1"/>
  <c r="R18" i="1"/>
  <c r="Q18" i="1"/>
  <c r="P18" i="1"/>
  <c r="O18" i="1"/>
  <c r="N18" i="1"/>
  <c r="M18" i="1"/>
  <c r="L18" i="1"/>
  <c r="K18" i="1"/>
  <c r="J18" i="1"/>
  <c r="I18" i="1"/>
  <c r="X13" i="1"/>
  <c r="X14" i="1" s="1"/>
  <c r="W13" i="1"/>
  <c r="W14" i="1" s="1"/>
  <c r="V13" i="1"/>
  <c r="V14" i="1" s="1"/>
  <c r="U13" i="1"/>
  <c r="U14" i="1" s="1"/>
  <c r="T13" i="1"/>
  <c r="T14" i="1" s="1"/>
  <c r="S13" i="1"/>
  <c r="S14" i="1" s="1"/>
  <c r="R13" i="1"/>
  <c r="R14" i="1" s="1"/>
  <c r="Q13" i="1"/>
  <c r="Q14" i="1" s="1"/>
  <c r="P13" i="1"/>
  <c r="P14" i="1" s="1"/>
  <c r="O13" i="1"/>
  <c r="O14" i="1" s="1"/>
  <c r="N13" i="1"/>
  <c r="N14" i="1" s="1"/>
  <c r="M13" i="1"/>
  <c r="M14" i="1" s="1"/>
  <c r="L13" i="1"/>
  <c r="L14" i="1" s="1"/>
  <c r="K13" i="1"/>
  <c r="K14" i="1" s="1"/>
  <c r="J13" i="1"/>
  <c r="J14" i="1" s="1"/>
  <c r="I13" i="1"/>
  <c r="I14" i="1" s="1"/>
  <c r="H20" i="21" l="1"/>
  <c r="AB9" i="21"/>
  <c r="I20" i="29" l="1"/>
  <c r="I21" i="29"/>
  <c r="I22" i="29"/>
  <c r="I19" i="29"/>
  <c r="I4" i="13"/>
  <c r="D9" i="7" s="1"/>
  <c r="F9" i="7" s="1"/>
  <c r="G9" i="7" s="1"/>
  <c r="I5" i="13"/>
  <c r="D10" i="7" s="1"/>
  <c r="F10" i="7" s="1"/>
  <c r="G10" i="7" s="1"/>
  <c r="I6" i="13"/>
  <c r="D11" i="7" s="1"/>
  <c r="F11" i="7" s="1"/>
  <c r="G11" i="7" s="1"/>
  <c r="D12" i="7"/>
  <c r="F12" i="7" s="1"/>
  <c r="G12" i="7" s="1"/>
  <c r="I3" i="13"/>
  <c r="D8" i="7" s="1"/>
  <c r="F8" i="7" l="1"/>
  <c r="D13" i="7"/>
  <c r="B20" i="9"/>
  <c r="C12" i="9" s="1"/>
  <c r="G10" i="9"/>
  <c r="G8" i="9"/>
  <c r="F13" i="7" l="1"/>
  <c r="G8" i="7"/>
  <c r="G13" i="7" s="1"/>
  <c r="G12" i="9"/>
  <c r="C19" i="7" l="1"/>
  <c r="D19" i="7" s="1"/>
  <c r="E19" i="7" s="1"/>
  <c r="B20" i="7"/>
  <c r="E4" i="7"/>
  <c r="F20" i="7" l="1"/>
  <c r="C20" i="7"/>
  <c r="D20" i="7" s="1"/>
  <c r="E20" i="7" s="1"/>
  <c r="C4" i="18"/>
  <c r="C5" i="18"/>
  <c r="C6" i="18"/>
  <c r="C7" i="18"/>
  <c r="C3" i="18"/>
  <c r="H3" i="18" s="1"/>
  <c r="F19" i="7" l="1"/>
  <c r="G19" i="7" s="1"/>
  <c r="I19" i="7" s="1"/>
  <c r="G22" i="7"/>
  <c r="I22" i="7" s="1"/>
  <c r="F18" i="7"/>
  <c r="G18" i="7" s="1"/>
  <c r="I18" i="7" s="1"/>
  <c r="I7" i="18"/>
  <c r="H7" i="18"/>
  <c r="I5" i="18"/>
  <c r="H5" i="18"/>
  <c r="I6" i="18"/>
  <c r="H6" i="18"/>
  <c r="I4" i="18"/>
  <c r="B4" i="18"/>
  <c r="G4" i="18" s="1"/>
  <c r="J4" i="18" s="1"/>
  <c r="B5" i="18"/>
  <c r="G5" i="18" s="1"/>
  <c r="J5" i="18" s="1"/>
  <c r="B6" i="18"/>
  <c r="G6" i="18" s="1"/>
  <c r="J6" i="18" s="1"/>
  <c r="B7" i="18"/>
  <c r="G7" i="18" s="1"/>
  <c r="J7" i="18" s="1"/>
  <c r="I8" i="13"/>
  <c r="G8" i="13"/>
  <c r="B21" i="9"/>
  <c r="E7" i="13" l="1"/>
  <c r="E6" i="13"/>
  <c r="E5" i="13"/>
  <c r="E3" i="13"/>
  <c r="E4" i="13"/>
  <c r="I37" i="1"/>
  <c r="I38" i="1"/>
  <c r="I39" i="1"/>
  <c r="I36" i="1"/>
  <c r="I40" i="1"/>
  <c r="C13" i="9"/>
  <c r="G13" i="9" s="1"/>
  <c r="C9" i="9"/>
  <c r="G9" i="9" s="1"/>
  <c r="C11" i="9"/>
  <c r="G11" i="9" s="1"/>
  <c r="G15" i="9" s="1"/>
  <c r="B3" i="9" s="1"/>
  <c r="E8" i="13" l="1"/>
  <c r="G14" i="9"/>
  <c r="A3" i="9" s="1"/>
  <c r="A4" i="18"/>
  <c r="A5" i="18"/>
  <c r="A6" i="18"/>
  <c r="A7" i="18"/>
  <c r="A3" i="18"/>
  <c r="C3" i="9" l="1"/>
  <c r="G16" i="9"/>
  <c r="B3" i="18"/>
  <c r="G3" i="18" s="1"/>
  <c r="J3" i="18" s="1"/>
  <c r="AB4" i="21" l="1"/>
  <c r="AB5" i="21"/>
  <c r="AB6" i="21"/>
  <c r="AB7" i="21"/>
  <c r="AB8" i="21"/>
  <c r="H5" i="21"/>
  <c r="H6" i="21"/>
  <c r="H7" i="21"/>
  <c r="H8" i="21"/>
  <c r="H9" i="21"/>
  <c r="H10" i="21"/>
  <c r="H11" i="21"/>
  <c r="H12" i="21"/>
  <c r="H13" i="21"/>
  <c r="H14" i="21"/>
  <c r="H15" i="21"/>
  <c r="H16" i="21"/>
  <c r="H17" i="21"/>
  <c r="H18" i="21"/>
  <c r="H19" i="21"/>
  <c r="H4" i="21"/>
</calcChain>
</file>

<file path=xl/sharedStrings.xml><?xml version="1.0" encoding="utf-8"?>
<sst xmlns="http://schemas.openxmlformats.org/spreadsheetml/2006/main" count="793" uniqueCount="501">
  <si>
    <t>Data Sources</t>
  </si>
  <si>
    <t>Dataset</t>
  </si>
  <si>
    <t>Dodge 2023</t>
  </si>
  <si>
    <t>CEUS 2022</t>
  </si>
  <si>
    <t>https://www.energy.ca.gov/publications/2023/2022-california-commercial-end-use-survey-ceus-final-report</t>
  </si>
  <si>
    <t xml:space="preserve"> </t>
  </si>
  <si>
    <t>CBECS 2018</t>
  </si>
  <si>
    <t>https://www.eia.gov/consumption/commercial/data/2018/index.php?view=microdata</t>
  </si>
  <si>
    <t>ComStock 2023</t>
  </si>
  <si>
    <t>https://data.openei.org/s3_viewer?bucket=oedi-data-lake&amp;prefix=nrel-pds-building-stock%2Fend-use-load-profiles-for-us-building-stock%2F2023%2Fcomstock_amy2018_release_2%2Fmetadata_and_annual_results%2Fby_state%2Fstate%3DCA%2F</t>
  </si>
  <si>
    <t>Prototype</t>
  </si>
  <si>
    <r>
      <t>CEC prototypes</t>
    </r>
    <r>
      <rPr>
        <sz val="10"/>
        <rFont val="Arial"/>
        <family val="2"/>
      </rPr>
      <t xml:space="preserve"> (CBECC 2022.3.1)</t>
    </r>
  </si>
  <si>
    <t>https://bees.noresco.com/software2022.html</t>
  </si>
  <si>
    <t>PNNL prototypes (90.1-2022)</t>
  </si>
  <si>
    <t>https://www.energycodes.gov/prototype-building-models#Commercial</t>
  </si>
  <si>
    <t>DEER prototypes (June 2023)</t>
  </si>
  <si>
    <t>https://github.com/sound-data/DEER-Prototypes-EnergyPlus</t>
  </si>
  <si>
    <t>Codes</t>
  </si>
  <si>
    <t>Title 24, part 6, referred to as T24 (1984, 1992, 2001, 2007, 2013, 2022, 2025)</t>
  </si>
  <si>
    <t>ASHRAE 90.1 (2022)</t>
  </si>
  <si>
    <t>CFR Title 10 (2010)</t>
  </si>
  <si>
    <t>https://www.govinfo.gov/content/pkg/FR-2009-03-23/pdf/FR-2009-03-23.pdf</t>
  </si>
  <si>
    <t>CFR Title 10 ( 2024)</t>
  </si>
  <si>
    <t>https://www.govinfo.gov/content/pkg/CFR-2024-title10-vol3/pdf/CFR-2024-title10-vol3-part431-subpartF.pdf</t>
  </si>
  <si>
    <t>Others</t>
  </si>
  <si>
    <t>ACM (2022)</t>
  </si>
  <si>
    <t>T24 2022 - Appendix 5.4A and Appendix 5.4B</t>
  </si>
  <si>
    <t>https://www.energy.ca.gov/publications/2022/2022-nonresidential-and-multifamily-alternative-calculation-method-reference</t>
  </si>
  <si>
    <t xml:space="preserve">2022 Reduced infiltration CASE report </t>
  </si>
  <si>
    <t>https://title24stakeholders.com/wp-content/uploads/2020/10/2022-T24-Final-CASE-Report_Reduce-Infiltration.pdf</t>
  </si>
  <si>
    <t>2019 Outdoor Lighting CASE Report</t>
  </si>
  <si>
    <t>https://title24stakeholders.com/wp-content/uploads/2016/10/T24-2019-CASE-Study-Results-Report-Outdoor-Sources_Final_with-Attachments.pdf</t>
  </si>
  <si>
    <t>PNNL 20405, 2010</t>
  </si>
  <si>
    <t>https://www.pnnl.gov/main/publications/external/technical_reports/PNNL-20405.pdf</t>
  </si>
  <si>
    <t>Air leakage Memo, NORESCO, 2025</t>
  </si>
  <si>
    <t>https://2050partners.sharepoint.com/:w:/r/sites/CalBEMCollaborativeEfforts/_layouts/15/Doc.aspx?sourcedoc=%7B3BEF8F74-7FAC-44F2-A70C-D76617660066%7D&amp;file=Infiltration_rate_report_14May2025-Short-Version.docx&amp;action=default&amp;mobileredirect=true</t>
  </si>
  <si>
    <t>Proposed Updates to Equipment Power Densities and Building Schedules for the 2028 Energy Code, referred to as "Plug load and schedules project with CEC, 2025" (Docket Number =25-BSTD-03  &amp; TN=265693)</t>
  </si>
  <si>
    <t>https://efiling.energy.ca.gov/GetDocument.aspx?tn=265693&amp;DocumentContentId=102545</t>
  </si>
  <si>
    <t>Construction Rate</t>
  </si>
  <si>
    <t>Notes</t>
  </si>
  <si>
    <t>This prototype represents an open-format "big box" typology for retail up to approximately 100,000 ft².</t>
  </si>
  <si>
    <t>Background Data [To be deleted prior to publication]</t>
  </si>
  <si>
    <t xml:space="preserve">Dodge categories 1, 4, and 101 </t>
  </si>
  <si>
    <t>Store only</t>
  </si>
  <si>
    <t>NORESCO, Updated August 2025</t>
  </si>
  <si>
    <t>RetailMedium</t>
  </si>
  <si>
    <t>Characteristic</t>
  </si>
  <si>
    <t>Value</t>
  </si>
  <si>
    <t>Building Type</t>
  </si>
  <si>
    <t>Medium Retail</t>
  </si>
  <si>
    <t>Building Category</t>
  </si>
  <si>
    <t>Nonresidential</t>
  </si>
  <si>
    <t>Vintages</t>
  </si>
  <si>
    <t>4 Vintages: Pre-1978 , 1978-1997 ,1998-2007 , 2008-2018
New Construction (2019+)</t>
  </si>
  <si>
    <t xml:space="preserve">Based on the vintage bin analysis
</t>
  </si>
  <si>
    <t>NonRes-Vintage bins-Draft Report-30Nov2023-Final.docx</t>
  </si>
  <si>
    <t>Shape</t>
  </si>
  <si>
    <t>PNNL Retail_Standalone, CBECC</t>
  </si>
  <si>
    <t>Total Floor Area (ft²)</t>
  </si>
  <si>
    <t>24,692  (178 ft x 139 ft)</t>
  </si>
  <si>
    <t>Aspect Ratio</t>
  </si>
  <si>
    <t>Number of Floors</t>
  </si>
  <si>
    <t>Roof type</t>
  </si>
  <si>
    <t>Flat</t>
  </si>
  <si>
    <t>WWR</t>
  </si>
  <si>
    <t>Shading Geometry</t>
  </si>
  <si>
    <t>none</t>
  </si>
  <si>
    <t>Floor to floor height (feet)</t>
  </si>
  <si>
    <t>N/A</t>
  </si>
  <si>
    <t>Floor to ceiling height (feet)</t>
  </si>
  <si>
    <t>Glazing sill height (feet)</t>
  </si>
  <si>
    <t>5 ft (top of the window is 8.73 ft high with 3.74 ft high glass)</t>
  </si>
  <si>
    <t>Existing Retail Prototypes</t>
  </si>
  <si>
    <t>Large size prototype</t>
  </si>
  <si>
    <t>CEC: Retail_Large</t>
  </si>
  <si>
    <t>CPUC: Retail_Multistory Large (Rt3)</t>
  </si>
  <si>
    <t>CPUC: Retail_Single-Story Large (RtL)</t>
  </si>
  <si>
    <t>Geometry</t>
  </si>
  <si>
    <t>Total floor area (ft²)</t>
  </si>
  <si>
    <t>Medium size prototype</t>
  </si>
  <si>
    <t xml:space="preserve">CEC: Retail_Medium </t>
  </si>
  <si>
    <t>PNNL : Retail_Standalone</t>
  </si>
  <si>
    <t>PNNL: Retail_Stripmall</t>
  </si>
  <si>
    <r>
      <t>CPUC: Retail_</t>
    </r>
    <r>
      <rPr>
        <b/>
        <sz val="10"/>
        <color rgb="FFFF0000"/>
        <rFont val="Arial"/>
        <family val="2"/>
      </rPr>
      <t>Grocery</t>
    </r>
  </si>
  <si>
    <t xml:space="preserve">zoning same as PNNL Stand alone with more skylight </t>
  </si>
  <si>
    <t>Small size prototype</t>
  </si>
  <si>
    <t>CEC: Retail_Stripmall (Mixed use)</t>
  </si>
  <si>
    <t xml:space="preserve">CPUC: Retail_Small (RtS) </t>
  </si>
  <si>
    <t>Space Type</t>
  </si>
  <si>
    <t>Space/Thermal Zone</t>
  </si>
  <si>
    <t>Schedule Category</t>
  </si>
  <si>
    <t>Conditioned (Y/N)</t>
  </si>
  <si>
    <t>Area Fraction</t>
  </si>
  <si>
    <t>Area (ft²)</t>
  </si>
  <si>
    <t>Volume (ft³)</t>
  </si>
  <si>
    <t>Multipliers</t>
  </si>
  <si>
    <t>Number of People</t>
  </si>
  <si>
    <t xml:space="preserve">People 
(Persons/1,000 ft²)
[T24, 2025,Table 120.1-A] </t>
  </si>
  <si>
    <t xml:space="preserve">Spaces and Zoning layout  </t>
  </si>
  <si>
    <t>Storage (General)</t>
  </si>
  <si>
    <t>Back_Space</t>
  </si>
  <si>
    <t>Retail</t>
  </si>
  <si>
    <t>Y</t>
  </si>
  <si>
    <t>Retail Sales Area (Retail Merchandise Sales)</t>
  </si>
  <si>
    <t>Core_Retail</t>
  </si>
  <si>
    <t>Point_of_Sale</t>
  </si>
  <si>
    <t>Front_Retail</t>
  </si>
  <si>
    <t>Corridor Area</t>
  </si>
  <si>
    <t>Front_Entry</t>
  </si>
  <si>
    <t>Total (2 Space types)</t>
  </si>
  <si>
    <t>Total (5 Spaces)</t>
  </si>
  <si>
    <t xml:space="preserve"> Total (5 Conditioned zones)</t>
  </si>
  <si>
    <t>Plan from CBECC 2022, Medium Retail prototype</t>
  </si>
  <si>
    <t>Floorspace-Types-30Oct2024</t>
  </si>
  <si>
    <t>Retail (CEUS 2022, statewide %)</t>
  </si>
  <si>
    <t>Conditioned</t>
  </si>
  <si>
    <t>Unconditioned</t>
  </si>
  <si>
    <t>Ventilated</t>
  </si>
  <si>
    <t>Assumed semi-heated storage</t>
  </si>
  <si>
    <t>Element</t>
  </si>
  <si>
    <t xml:space="preserve"> Assembly Type</t>
  </si>
  <si>
    <t>Construction</t>
  </si>
  <si>
    <t>Thermal Properties</t>
  </si>
  <si>
    <t>Vintage</t>
  </si>
  <si>
    <t>Selected T24</t>
  </si>
  <si>
    <t>Note</t>
  </si>
  <si>
    <t>CZ1</t>
  </si>
  <si>
    <t>CZ2</t>
  </si>
  <si>
    <t>CZ3</t>
  </si>
  <si>
    <t>CZ4</t>
  </si>
  <si>
    <t>CZ5</t>
  </si>
  <si>
    <t>CZ6</t>
  </si>
  <si>
    <t>CZ7</t>
  </si>
  <si>
    <t>CZ8</t>
  </si>
  <si>
    <t>CZ9</t>
  </si>
  <si>
    <t>CZ10</t>
  </si>
  <si>
    <t>CZ11</t>
  </si>
  <si>
    <t>CZ12</t>
  </si>
  <si>
    <t>CZ13</t>
  </si>
  <si>
    <t>CZ14</t>
  </si>
  <si>
    <t>CZ15</t>
  </si>
  <si>
    <t>CZ16</t>
  </si>
  <si>
    <t xml:space="preserve">External Wall </t>
  </si>
  <si>
    <t>ExtWall_MetalFramed_NonRes</t>
  </si>
  <si>
    <t>Metal frame + insulation + Gypsum board</t>
  </si>
  <si>
    <t>U-factor IP</t>
  </si>
  <si>
    <t>Pre 1978</t>
  </si>
  <si>
    <t>ASHRAE 90.1, 2022, Table A3.3.3.1, 3.5", R-0</t>
  </si>
  <si>
    <t>1978-1997</t>
  </si>
  <si>
    <t>Package A with Heat Capacity 10.0-14.99 (Btu/F-ft²) - Still are lower than the next vintage!</t>
  </si>
  <si>
    <t>1998-2007</t>
  </si>
  <si>
    <t>Table 1-H</t>
  </si>
  <si>
    <t>2008-2018</t>
  </si>
  <si>
    <t>Table 140.3-B</t>
  </si>
  <si>
    <t>2019+</t>
  </si>
  <si>
    <t>Roof</t>
  </si>
  <si>
    <t>FlatRoof_WoodFramedAndOther_NonRes</t>
  </si>
  <si>
    <t>Built-up roof (Metal Decking Roof): 
Roof membrane+ insulation+metal decking</t>
  </si>
  <si>
    <t>Considering 30 years for roof/ insulation replacement.</t>
  </si>
  <si>
    <t>Window</t>
  </si>
  <si>
    <t>FixedWindow_NonRes</t>
  </si>
  <si>
    <t xml:space="preserve">CBECS 2018 shows that ~ 50 % of retail that were built before 2000 are single pane </t>
  </si>
  <si>
    <t>ASHRAE Handbook of Fundamentals for single pane &amp; T24, 2013  for double pane (50%-50%)</t>
  </si>
  <si>
    <t>Double pane</t>
  </si>
  <si>
    <t xml:space="preserve">Table 140.3-B </t>
  </si>
  <si>
    <t>SHGC</t>
  </si>
  <si>
    <t>ASHRAE Handbook of Fundamentals for single pane &amp; T24, 2013 , for double pane (50%-50%)</t>
  </si>
  <si>
    <t xml:space="preserve"> Table 1-H (Non north 0-10%)</t>
  </si>
  <si>
    <t>Skylight</t>
  </si>
  <si>
    <t>Translucent</t>
  </si>
  <si>
    <t>from 1992 code cycle</t>
  </si>
  <si>
    <t>Plastic curb mounted</t>
  </si>
  <si>
    <t>From 1992 code cycle</t>
  </si>
  <si>
    <t>Table 1-H (For SSR 0-2%)</t>
  </si>
  <si>
    <t xml:space="preserve">There is no requirement in the code (considered same as 2001) </t>
  </si>
  <si>
    <t>Infiltration</t>
  </si>
  <si>
    <t xml:space="preserve">I_75 (cfm/ft²)
6-sdied Infiltration rate @ 75 pa </t>
  </si>
  <si>
    <t xml:space="preserve"> I-design (cfm/ft²) 
(4-sided Infiltration rate at normal pressure) 
(Design flow rate approach and Flow/Exterior Wall Area calculation method) </t>
  </si>
  <si>
    <t>2022 CASE report (Table 38)</t>
  </si>
  <si>
    <t>2022 CASE report (Table 38) &amp;
T24, part 6, 2008-2016 (Table 140.3-B), Dodge 2023 data</t>
  </si>
  <si>
    <t>0.6 (barrier in all CZ)</t>
  </si>
  <si>
    <t>2022 CASE report (Table 38) &amp;  
T24, part 6, 2025 (Table 140.3-B)</t>
  </si>
  <si>
    <t>Source:  T24 air barrier requirements (all editions) , the standardized infiltration rate reported in the 2022 CASE report, and Dodge 2023 data</t>
  </si>
  <si>
    <t>Infiltration_rate_report_14May2025-Short-Version.docx</t>
  </si>
  <si>
    <t>Retail Standalone</t>
  </si>
  <si>
    <t>in.comstock_building_type</t>
  </si>
  <si>
    <t>Sum of calc.weighted.sqft</t>
  </si>
  <si>
    <t>%</t>
  </si>
  <si>
    <t>Mass</t>
  </si>
  <si>
    <t>SteelFramed</t>
  </si>
  <si>
    <t>WoodFramed</t>
  </si>
  <si>
    <t>Grand Total</t>
  </si>
  <si>
    <t xml:space="preserve">Heating </t>
  </si>
  <si>
    <t>Cooling</t>
  </si>
  <si>
    <t>Air Distribution</t>
  </si>
  <si>
    <t>Source</t>
  </si>
  <si>
    <t xml:space="preserve">Existing  </t>
  </si>
  <si>
    <t>PSZAC (furnace)</t>
  </si>
  <si>
    <t>PSZAC (DX cooling)</t>
  </si>
  <si>
    <t>PSZAC</t>
  </si>
  <si>
    <t>New Construction</t>
  </si>
  <si>
    <t>SZVAVHP</t>
  </si>
  <si>
    <t>PSZVAVHP</t>
  </si>
  <si>
    <t>Title 24, 2025, Engineering judgement</t>
  </si>
  <si>
    <r>
      <t xml:space="preserve">Efficiency of HVAC system
</t>
    </r>
    <r>
      <rPr>
        <sz val="10"/>
        <color theme="0"/>
        <rFont val="Arial"/>
        <family val="2"/>
      </rPr>
      <t xml:space="preserve"> (Efficiency is capacity-dependent. The following table provides a general estimate of system efficiency based on what we saw in the existing prototype runs, or assuming cooling load base on rule of thumbs)</t>
    </r>
  </si>
  <si>
    <t>Upgrade/Installed year</t>
  </si>
  <si>
    <t>Thermal Efficiency of 80%;</t>
  </si>
  <si>
    <t>SEER 13  for &lt;65 kBtu/h
EER 10.3 for  65-135 kBtu/h
EER 9.7 for 135-240 kBtu/h
EER 9.5 for 240-760 kBtu/h</t>
  </si>
  <si>
    <t>2005 Title 20 Appliance Efficiency Regulations, 2005 T24 Standards, Tables 112-A, 112-B</t>
  </si>
  <si>
    <t>SEER 13, EER 11.2 for &lt;65 kBtu/h
EER 11.2 for  65-135 kBtu/h
EER 11 for 135-240 kBtu/h
EER 10 for 240-760 kBtu/h</t>
  </si>
  <si>
    <t>2013 Title 20 Appliance Efficiency Regulations, 2013 T24 Tables 112-A, 112-B</t>
  </si>
  <si>
    <t>SEER 14 for &lt;65 kBtu/h
EER 11, COP fed min for 65-135 kBtu/h
EER 10.6, COP fed min 135-240 kBtu/h
EER 9.5 for &gt;240 kBtu/h</t>
  </si>
  <si>
    <t>Title 20 Appliance Efficiency Regulations (Table 18) , T24, 2025, Tables 110.2-A, 110.2-B</t>
  </si>
  <si>
    <t>Fan Power</t>
  </si>
  <si>
    <t>Approach</t>
  </si>
  <si>
    <t>System</t>
  </si>
  <si>
    <t>Total Static Pressure (TSP)
(in w.c.)
[PNNL 20405, 2010, Table 5.11]</t>
  </si>
  <si>
    <t>Fan Efficiency
[ACM 2025]</t>
  </si>
  <si>
    <t>Fan Motor and Drive Efficiency 
[ACM 2025, Table 13]</t>
  </si>
  <si>
    <t>W/cfm
[ACM 2025, Table 14 and 15]</t>
  </si>
  <si>
    <t>Data Source</t>
  </si>
  <si>
    <t>Existing</t>
  </si>
  <si>
    <t>PNNL TSP</t>
  </si>
  <si>
    <t>CAV (&gt;20,000 cfm)</t>
  </si>
  <si>
    <t>~0.9 (The full-load efficiency of the motor serving the fan- will be determined based on ACM 2025, Table 13)</t>
  </si>
  <si>
    <t>ACM 2025, PNNL 2010 TSD</t>
  </si>
  <si>
    <t>Brake horse power (bhp)=(Supply cfm*TSP in w.c.)/(6356*Fan efficiency)</t>
  </si>
  <si>
    <t>Fan power (w/cfm) = bhp/motor and drive efficiency *746</t>
  </si>
  <si>
    <t>ACM 2025</t>
  </si>
  <si>
    <t>SZVAVHP System &gt;10,000 cfm</t>
  </si>
  <si>
    <t>* 0.9 is an average fan efficiency according to ACM 2025, Table 13</t>
  </si>
  <si>
    <t>Fan total eff (E+ input) = 0.65 x Motor_eff</t>
  </si>
  <si>
    <t>TSP (E+ input) in w.c. = Motor_eff/746 x (6356 x Fan_eff) x W/cfm</t>
  </si>
  <si>
    <t>Fan_eff=0.65</t>
  </si>
  <si>
    <t xml:space="preserve">CEUS 2022 </t>
  </si>
  <si>
    <t xml:space="preserve">Water Heater </t>
  </si>
  <si>
    <t>Floorspace Heated</t>
  </si>
  <si>
    <t>Primary Heating</t>
  </si>
  <si>
    <t>Fuel Type</t>
  </si>
  <si>
    <t>Floorspace Cooled</t>
  </si>
  <si>
    <t>Primary Cooling</t>
  </si>
  <si>
    <t>Primary Air Dis</t>
  </si>
  <si>
    <t>The default is the floorspace method unless otherwise specified</t>
  </si>
  <si>
    <t xml:space="preserve">The default is the floorspace method unless otherwise specified </t>
  </si>
  <si>
    <t>Package System / Heat Pump (80.2%)</t>
  </si>
  <si>
    <t>Gas (58%) Elec ( 41%)</t>
  </si>
  <si>
    <t>Single Duct CAV (92.1%)</t>
  </si>
  <si>
    <t>Elec (51%), Gas (34%)</t>
  </si>
  <si>
    <t>Setpoint</t>
  </si>
  <si>
    <t>Heating Setpoint (F)</t>
  </si>
  <si>
    <t>T24 2022 - Appendix 5.4B</t>
  </si>
  <si>
    <t>Heating Setback (F)</t>
  </si>
  <si>
    <t>Cooling Setpoint (F)</t>
  </si>
  <si>
    <t>Cooling Setback (F)</t>
  </si>
  <si>
    <t>Floor Area (ft²)</t>
  </si>
  <si>
    <t>cfm/person
[T24, 2025, Equation 120.1-F and Table 120.1-A]</t>
  </si>
  <si>
    <t>cfm/ft²  
[T24, 2025, Equation 120.1-F and Table 120.1-A]</t>
  </si>
  <si>
    <t>Required Exhaust Rate
[T24, 2025, Table 120.1-B – minimum exhaust rates]</t>
  </si>
  <si>
    <t>Total cfm 
Driven by People</t>
  </si>
  <si>
    <t>Total cfm 
Driven by Area</t>
  </si>
  <si>
    <t>Total cfm 
Driven by Exhaust</t>
  </si>
  <si>
    <t>Total cfm</t>
  </si>
  <si>
    <t>50/70</t>
  </si>
  <si>
    <t>Exhaust rate for restroom</t>
  </si>
  <si>
    <t xml:space="preserve">Currently assuming the entry is not actively ventilated due to doors (and connection to core) providing air. </t>
  </si>
  <si>
    <t>WH Type</t>
  </si>
  <si>
    <t xml:space="preserve"> Efficiency</t>
  </si>
  <si>
    <t>Tank Volume (gal)</t>
  </si>
  <si>
    <t>Tank Loss</t>
  </si>
  <si>
    <t>Unit</t>
  </si>
  <si>
    <t>Electric</t>
  </si>
  <si>
    <t>%/hr</t>
  </si>
  <si>
    <t>Loss per hour, 10 CFR 431.110(a) Table F-4</t>
  </si>
  <si>
    <t>Peak Hot Water Consumption</t>
  </si>
  <si>
    <t>Space Name</t>
  </si>
  <si>
    <t>Baseline WH Type 
[CEUS 2022]</t>
  </si>
  <si>
    <t>Total Area (ft²)</t>
  </si>
  <si>
    <t>Hot Water Usage Specification
(gal/hr per person)  
[T24, 2022, Appendix 5.4A , sheet: "2022 SpaceFuncData-Input"]</t>
  </si>
  <si>
    <t>Peak Hot Water Usage
(gal/hr)</t>
  </si>
  <si>
    <t>Peak Hot Water Usage
(gal/min)</t>
  </si>
  <si>
    <t xml:space="preserve">Water Heater Capacity, Tank Capacity, and Tank Loss </t>
  </si>
  <si>
    <t>Heat Output (Btu/hr)
[ACM, 2025, 5.9.2: Rated capacity section]</t>
  </si>
  <si>
    <t>WH Capacity (Btu/hr)
[ACM, 2025, 5.9.2: Rated capacity section]</t>
  </si>
  <si>
    <t>Required Energy Input (Btu/hr)</t>
  </si>
  <si>
    <t>Storage Volume (gal)</t>
  </si>
  <si>
    <t xml:space="preserve">Standby Loss </t>
  </si>
  <si>
    <t>Off/On Cycle Loss Coefficient to Ambient Temp (Btu/h-F)</t>
  </si>
  <si>
    <t>Gas Storage WH</t>
  </si>
  <si>
    <t>Btu/hr</t>
  </si>
  <si>
    <t>Standby loss equation: Title 20, §1605.1 Table F-4 
WH capacity equation: ACM, 2025, 5.9.2: Rated capacity section)</t>
  </si>
  <si>
    <t xml:space="preserve">Electric resistance WH </t>
  </si>
  <si>
    <t>Total</t>
  </si>
  <si>
    <t>Design supply temperature (F)</t>
  </si>
  <si>
    <t>Ref: T24 2022 - Appendix 5.4B</t>
  </si>
  <si>
    <t>Standby Loss for Existing</t>
  </si>
  <si>
    <t>Cold Water supply temperature (F)</t>
  </si>
  <si>
    <t>Ref: ACM, 2025, 5.9.2: Rated capacity section</t>
  </si>
  <si>
    <t>WH system factor</t>
  </si>
  <si>
    <t>Reheat multiplier</t>
  </si>
  <si>
    <t xml:space="preserve">* The 0.40 multiplier is a storage sizing factor used to account for the fact that the water heater doesn't need to store the full peak hour demand—it can reheat water during that time. This factor assumes that the heater will recover part of the hot water used during the peak hour, so only 40% of the peak hour demand needs to be stored at any given moment. </t>
  </si>
  <si>
    <t>**For Gas Water Heater: UA(Btu/h-°F)​=Q˙​SL​ (Btu/h)/ΔT (∘F)​</t>
  </si>
  <si>
    <t>Ambient temp</t>
  </si>
  <si>
    <t>Delta T</t>
  </si>
  <si>
    <t>** For Electric Water Heater: UA(Btu/h-°F)​= 0.0834 *SL​ (%/hr)*V gal</t>
  </si>
  <si>
    <t xml:space="preserve">Fuel should match HVAC decision for new construction. </t>
  </si>
  <si>
    <t xml:space="preserve">New Construction </t>
  </si>
  <si>
    <t>LPD (W/ft²)</t>
  </si>
  <si>
    <t>Additional LPD for Portable Lighting (W/ft²)</t>
  </si>
  <si>
    <t xml:space="preserve">LPD (W/ft²) </t>
  </si>
  <si>
    <t xml:space="preserve">T24, part 6, 2025, Table 140.6-C
(Area category method) </t>
  </si>
  <si>
    <t xml:space="preserve">T24, part 6, 2016, Table 140.6-C
(Area category method)
LPD of "All other spaces" is considered for Back_Space </t>
  </si>
  <si>
    <t>All other area=0.5</t>
  </si>
  <si>
    <t>Commercial and Industrial Storage Areas (conditioned and unconditioned)=0.6</t>
  </si>
  <si>
    <t>Motion Controlled Luminaires (W)</t>
  </si>
  <si>
    <t>Non-motion Controlled Luminaires (W)</t>
  </si>
  <si>
    <t>Total (W)</t>
  </si>
  <si>
    <t>T24, 2022</t>
  </si>
  <si>
    <t>Exterior Lighting</t>
  </si>
  <si>
    <t>Items (Assume LZ2)</t>
  </si>
  <si>
    <t>Assumptions
[2019 Outdoor Lighting CASE Report &amp; PNNL 90.1-2010 TSD]</t>
  </si>
  <si>
    <t>Lighting Power Allowance 
[T24, 2025, Table 140.7-A &amp; 140.7-B]</t>
  </si>
  <si>
    <t>Exterior lighting power (w)</t>
  </si>
  <si>
    <t>IWA (Initial Wattage Allowance)</t>
  </si>
  <si>
    <t>W</t>
  </si>
  <si>
    <t>Parking area</t>
  </si>
  <si>
    <t xml:space="preserve">400 ft² for every parking space 
1 parking space per 360 ft² of gross building area </t>
  </si>
  <si>
    <t>(ft²)</t>
  </si>
  <si>
    <t>(W/ft²)</t>
  </si>
  <si>
    <t>Building Entrance</t>
  </si>
  <si>
    <t>1 per 10,000sf footprint</t>
  </si>
  <si>
    <t>(count)</t>
  </si>
  <si>
    <t>(W/ea)</t>
  </si>
  <si>
    <t>Hardscape Ornamental Light</t>
  </si>
  <si>
    <t>0.1 ft² per 1 ft² of gross bldg area for hardscape ornamental light</t>
  </si>
  <si>
    <t>Building façade</t>
  </si>
  <si>
    <t>0.1 W per 1 ft² of facade area 
Façade Area = Perimeter × 0.5 × 20 ft
The 0.5 factor assumes that only half of the perimeter walls are lit.
-Formula ia developed based on the 2019 Outdoor Lighting CASE report</t>
  </si>
  <si>
    <t>Sales canopy</t>
  </si>
  <si>
    <t>0.1 ft² per ft² of gross bldg area</t>
  </si>
  <si>
    <t>Motion controlled Luminaires</t>
  </si>
  <si>
    <t>Non-motion-controlled Luminaires</t>
  </si>
  <si>
    <t>*Developed based on 2019 Outdoor Lighting CASE Report</t>
  </si>
  <si>
    <t>Perimeter</t>
  </si>
  <si>
    <t>Total floor area</t>
  </si>
  <si>
    <t>Floors</t>
  </si>
  <si>
    <t>Plug load Power Density (W/ft²)</t>
  </si>
  <si>
    <t>Gas Power Density (Btu/hr-ft²)</t>
  </si>
  <si>
    <t>Refrigeration Power Density (W/ft²)</t>
  </si>
  <si>
    <t>Plug load and schedules project with CEC, 2025
T24 2022 - Appendix 5.4A: Space Use Data-T24N-2022</t>
  </si>
  <si>
    <t>Matches Retail/All Other; 
PNNL prototype =~0.7; T24 Appendix 5.4A =0.2</t>
  </si>
  <si>
    <t>~W PNNL</t>
  </si>
  <si>
    <t>ft²</t>
  </si>
  <si>
    <t>W/ft² PNNL</t>
  </si>
  <si>
    <t>W/ft² CEC</t>
  </si>
  <si>
    <t>BACK_SPACE</t>
  </si>
  <si>
    <t>CORE_RETAIL</t>
  </si>
  <si>
    <t>POINT_OF_SALE</t>
  </si>
  <si>
    <t>FRONT_RETAIL</t>
  </si>
  <si>
    <t>it is reasonable to leave the current 5.0 W/ft² assumption in the NMACM for refrigeration loads in Grocery Sales area</t>
  </si>
  <si>
    <t>Zone</t>
  </si>
  <si>
    <t>Schedule</t>
  </si>
  <si>
    <t>Type</t>
  </si>
  <si>
    <t>Hour</t>
  </si>
  <si>
    <t>All Zones</t>
  </si>
  <si>
    <t>Occupancy</t>
  </si>
  <si>
    <t>T24 2022 - Appendix 5.4B, [Retail]</t>
  </si>
  <si>
    <t>Weekday</t>
  </si>
  <si>
    <t>Saturday</t>
  </si>
  <si>
    <t>Sunday</t>
  </si>
  <si>
    <t>Lights</t>
  </si>
  <si>
    <t>ElecEquipment</t>
  </si>
  <si>
    <t>Plug load and schedules project with CEC, 2025</t>
  </si>
  <si>
    <t>HVACAvail</t>
  </si>
  <si>
    <t>ServiceHotWater</t>
  </si>
  <si>
    <t>Refrigeration</t>
  </si>
  <si>
    <t>HtgSetpt</t>
  </si>
  <si>
    <t>ClgSetpt</t>
  </si>
  <si>
    <t>Other</t>
  </si>
  <si>
    <t>Building</t>
  </si>
  <si>
    <t>ExtLightingNonMotionCtrl</t>
  </si>
  <si>
    <t>ExtLightingMotionCtrl</t>
  </si>
  <si>
    <t>Retails</t>
  </si>
  <si>
    <t>RetailSalePeopleActivityLevel</t>
  </si>
  <si>
    <t xml:space="preserve">Based on Activity level schedules in  CEC Prototypes </t>
  </si>
  <si>
    <t>CommonAreaPeopleActivityLevel</t>
  </si>
  <si>
    <t>CalBEM Energy Consumption - RetailMedium</t>
  </si>
  <si>
    <t>National Average (EnergyStar Portfoli Manager)</t>
  </si>
  <si>
    <t>CEUS Energy Consumption : Retail</t>
  </si>
  <si>
    <t>PNNL RetailStandAlone 2007 (with floor area of 24,700 ft2)  for San Diego shows 55.6 KBTU/ft2 (92% Electricity)</t>
  </si>
  <si>
    <t>Elec GJ</t>
  </si>
  <si>
    <t>Gas GJ</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</si>
  <si>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</si>
  <si>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</si>
  <si>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</si>
  <si>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</si>
  <si>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</si>
  <si>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</si>
  <si>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</si>
  <si>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</si>
  <si>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</si>
  <si>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</si>
  <si>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</si>
  <si>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</si>
  <si>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CEUS 2023 Electricity EUI (kBtu/ft²)</t>
  </si>
  <si>
    <t>CEUS 2023 Gas EUI  (kBtu/ft²)</t>
  </si>
  <si>
    <t>CEUS 2023 Total EUI (kBtu/ft²)</t>
  </si>
  <si>
    <t xml:space="preserve">CEUS 2022 Acceptable EUI Range </t>
  </si>
  <si>
    <t>PNNL RetailStandAlone 2022 (with floor area of 22,500 ft2) for San Diego shows 25.8 KBTU/ft2 (85% Electricity)</t>
  </si>
  <si>
    <t>Electricty consumption in PNNL 2022 is almost 57% lower than PNNL 2007 rate and Gas is only 16% lower</t>
  </si>
  <si>
    <t>PNNL 2007</t>
  </si>
  <si>
    <t>PNNL 2022</t>
  </si>
  <si>
    <r>
      <rPr>
        <b/>
        <sz val="10"/>
        <color theme="1"/>
        <rFont val="Arial"/>
        <family val="2"/>
      </rPr>
      <t xml:space="preserve">Ref: </t>
    </r>
    <r>
      <rPr>
        <sz val="10"/>
        <color theme="1"/>
        <rFont val="Arial"/>
        <family val="2"/>
      </rPr>
      <t xml:space="preserve">CEUS 2022 Report </t>
    </r>
  </si>
  <si>
    <t xml:space="preserve">And converted FZ level data to CZ level </t>
  </si>
  <si>
    <t>CEUS has only one category for all the retails</t>
  </si>
  <si>
    <t>Vintage Bin</t>
  </si>
  <si>
    <t>Pre-1978</t>
  </si>
  <si>
    <t>Not available</t>
  </si>
  <si>
    <t>Statewide</t>
  </si>
  <si>
    <t>Ref: CEUS 2022 dataset</t>
  </si>
  <si>
    <t>TBD</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</si>
  <si>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</si>
  <si>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</si>
  <si>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</si>
  <si>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</si>
  <si>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</si>
  <si>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</si>
  <si>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</si>
  <si>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</si>
  <si>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</si>
  <si>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</si>
  <si>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</si>
  <si>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</si>
  <si>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</si>
  <si>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</si>
  <si>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</si>
  <si>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</si>
  <si>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Classroom, Lecture, Training, Vocational Areas</t>
  </si>
  <si>
    <t>Concourse and Atria Area</t>
  </si>
  <si>
    <t>Convention, Conference, Multipurpose and Meeting Area</t>
  </si>
  <si>
    <t>Copy Room</t>
  </si>
  <si>
    <t>Dining Area (Bar/Lounge and Fine Dining)</t>
  </si>
  <si>
    <t>Dining Area (Cafeteria/Fast Food)</t>
  </si>
  <si>
    <t>Dining Area (Family and Leisure)</t>
  </si>
  <si>
    <t>Electrical, Mechanical, Telephone Rooms</t>
  </si>
  <si>
    <t>Exercise/Fitness Center and Gymnasium Areas</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</si>
  <si>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</si>
  <si>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</si>
  <si>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</si>
  <si>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</si>
  <si>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</si>
  <si>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</si>
  <si>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</si>
  <si>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</si>
  <si>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</si>
  <si>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</si>
  <si>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</si>
  <si>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Kitchen/Food Preparation Area</t>
  </si>
  <si>
    <t>Kitchenette or Residential Kitchen</t>
  </si>
  <si>
    <t>Laboratory, Scientific</t>
  </si>
  <si>
    <t xml:space="preserve">Laundry Area </t>
  </si>
  <si>
    <t>Library (Reading Area)</t>
  </si>
  <si>
    <t>Library (Stacks Area)</t>
  </si>
  <si>
    <t>Lobby, Main Entry</t>
  </si>
  <si>
    <t>Locker Room</t>
  </si>
  <si>
    <t>Lounge, Breakroom, or Waiting Area</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</si>
  <si>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</si>
  <si>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</si>
  <si>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</si>
  <si>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</si>
  <si>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</si>
  <si>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(&gt;250 square feet)</t>
  </si>
  <si>
    <t>Office Area (&lt;250 square feet)</t>
  </si>
  <si>
    <t>Parking Garage Area (Parking Zone and Ramps)</t>
  </si>
  <si>
    <t>Parking Garage Area (Daylight Adaptation Zones)</t>
  </si>
  <si>
    <t>Pharmacy Area</t>
  </si>
  <si>
    <t>Retail Sales Area (Grocery Sales)</t>
  </si>
  <si>
    <t>Retail Sales Area (Fitting Room)</t>
  </si>
  <si>
    <t>Religious Worship Area</t>
  </si>
  <si>
    <t>Restrooms</t>
  </si>
  <si>
    <t>Stairwell</t>
  </si>
  <si>
    <t>Storage, Commercial/Industrial (Warehouse)</t>
  </si>
  <si>
    <t>Storage, Commercial/Industrial (Refrigerated)</t>
  </si>
  <si>
    <t>Storage, Commercial/Industrial (Shipping &amp; Handling)</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</si>
  <si>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</si>
  <si>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</si>
  <si>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</si>
  <si>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</si>
  <si>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</si>
  <si>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</si>
  <si>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</si>
  <si>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</si>
  <si>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</si>
  <si>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High-Rise Residential Living Spaces</t>
  </si>
  <si>
    <t>Hotel/Motel Guest Room</t>
  </si>
  <si>
    <t>All other</t>
  </si>
  <si>
    <t>Attic</t>
  </si>
  <si>
    <t>Reception Area</t>
  </si>
  <si>
    <t>Elevator</t>
  </si>
  <si>
    <t>Plenum</t>
  </si>
  <si>
    <t>IT Room (EPD 12)</t>
  </si>
  <si>
    <t>Computer Room (EPD 20)</t>
  </si>
  <si>
    <t>Server Room (EPD 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</si>
</sst>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0.0%"/>
    <numFmt numFmtId="165" formatCode="0.0"/>
    <numFmt numFmtId="168" formatCode="0.000"/>
    <numFmt numFmtId="169" formatCode="_(* #,##0_);_(* \(#,##0\);_(* &quot;-&quot;??_);_(@_)"/>
    <numFmt numFmtId="170" formatCode="#,##0;\-0;[Color15]0"/>
    <numFmt numFmtId="171" formatCode="_(* #,##0.000_);_(* \(#,##0.000\);_(* &quot;-&quot;??_);_(@_)"/>
    <numFmt numFmtId="172" formatCode="_(* #,##0.0_);_(* \(#,##0.0\);_(* &quot;-&quot;?????_);_(@_)"/>
  </numFmts>
  <fonts count="59">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b/>
      <sz val="11"/>
      <color theme="0"/>
      <name val="Calibri"/>
      <family val="2"/>
      <scheme val="minor"/>
    </font>
    <font>
      <sz val="10"/>
      <color indexed="8"/>
      <name val="Arial"/>
      <family val="2"/>
    </font>
    <font>
      <sz val="11"/>
      <color theme="0"/>
      <name val="Calibri"/>
      <family val="2"/>
      <scheme val="minor"/>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theme="1"/>
      <name val="Calibri"/>
      <family val="2"/>
      <scheme val="minor"/>
    </font>
    <font>
      <sz val="11"/>
      <color rgb="FF0070C0"/>
      <name val="Arial"/>
      <family val="2"/>
    </font>
    <font>
      <b/>
      <sz val="10"/>
      <name val="Arial"/>
      <family val="2"/>
    </font>
    <font>
      <b/>
      <sz val="10"/>
      <color indexed="8"/>
      <name val="Arial"/>
      <family val="2"/>
    </font>
    <font>
      <sz val="10"/>
      <color rgb="FFC00000"/>
      <name val="Arial"/>
      <family val="2"/>
    </font>
    <font>
      <sz val="9"/>
      <color theme="1"/>
      <name val="Arial"/>
      <family val="2"/>
    </font>
    <font>
      <sz val="10"/>
      <color rgb="FF000000"/>
      <name val="Arial"/>
      <family val="2"/>
    </font>
    <font>
      <b/>
      <sz val="10"/>
      <color rgb="FF000000"/>
      <name val="Arial"/>
      <family val="2"/>
    </font>
    <font>
      <b/>
      <sz val="9"/>
      <color theme="0"/>
      <name val="Arial"/>
      <family val="2"/>
    </font>
    <font>
      <sz val="11"/>
      <color theme="1"/>
      <name val="Arial"/>
      <family val="2"/>
    </font>
    <font>
      <b/>
      <sz val="12"/>
      <color theme="1"/>
      <name val="Arial"/>
      <family val="2"/>
    </font>
    <font>
      <b/>
      <sz val="14"/>
      <color theme="1"/>
      <name val="Arial"/>
      <family val="2"/>
    </font>
    <font>
      <sz val="11"/>
      <color theme="0"/>
      <name val="Arial"/>
      <family val="2"/>
    </font>
    <font>
      <sz val="12"/>
      <color theme="1"/>
      <name val="Arial"/>
      <family val="2"/>
    </font>
    <font>
      <b/>
      <sz val="11"/>
      <color rgb="FF0000CC"/>
      <name val="Arial"/>
      <family val="2"/>
    </font>
    <font>
      <sz val="11"/>
      <color rgb="FFFF0000"/>
      <name val="Arial"/>
      <family val="2"/>
    </font>
    <font>
      <b/>
      <sz val="12"/>
      <color rgb="FFFFFFFF"/>
      <name val="Arial"/>
      <family val="2"/>
    </font>
    <font>
      <sz val="10"/>
      <color rgb="FF0070C0"/>
      <name val="Arial"/>
      <family val="2"/>
    </font>
    <font>
      <b/>
      <sz val="11"/>
      <color theme="1"/>
      <name val="Arial"/>
      <family val="2"/>
    </font>
    <font>
      <b/>
      <sz val="10"/>
      <color rgb="FFFF0000"/>
      <name val="Arial"/>
      <family val="2"/>
    </font>
    <font>
      <b/>
      <sz val="12"/>
      <color rgb="FF0000CC"/>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0"/>
      <color theme="0"/>
      <name val="Arial"/>
      <family val="2"/>
    </font>
    <font>
      <b/>
      <sz val="18"/>
      <color theme="3"/>
      <name val="Calibri Light"/>
      <family val="2"/>
      <scheme val="major"/>
    </font>
    <font>
      <sz val="11"/>
      <color rgb="FF9C6500"/>
      <name val="Calibri"/>
      <family val="2"/>
      <scheme val="minor"/>
    </font>
    <font>
      <sz val="11"/>
      <name val="Arial"/>
      <family val="2"/>
    </font>
    <font>
      <sz val="10"/>
      <name val="Aptos Narrow"/>
      <family val="2"/>
    </font>
    <font>
      <b/>
      <sz val="10"/>
      <color rgb="FF000000"/>
      <name val="Aptos Narrow"/>
      <family val="2"/>
    </font>
    <font>
      <b/>
      <sz val="10"/>
      <name val="Aptos Narrow"/>
      <family val="2"/>
    </font>
    <font>
      <sz val="10"/>
      <color rgb="FF000000"/>
      <name val="Aptos Narrow"/>
      <family val="2"/>
    </font>
    <font>
      <sz val="9"/>
      <name val="Arial"/>
      <family val="2"/>
    </font>
    <font>
      <sz val="9"/>
      <color rgb="FF0070C0"/>
      <name val="Arial"/>
      <family val="2"/>
    </font>
  </fonts>
  <fills count="52">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theme="0" tint="-0.34998626667073579"/>
        <bgColor indexed="64"/>
      </patternFill>
    </fill>
    <fill>
      <patternFill patternType="solid">
        <fgColor rgb="FF203764"/>
        <bgColor rgb="FF000000"/>
      </patternFill>
    </fill>
    <fill>
      <patternFill patternType="solid">
        <fgColor rgb="FFD9E1F2"/>
        <bgColor rgb="FF000000"/>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lightUp"/>
    </fill>
    <fill>
      <patternFill patternType="solid">
        <fgColor rgb="FFFFFFFF"/>
        <bgColor rgb="FF000000"/>
      </patternFill>
    </fill>
    <fill>
      <patternFill patternType="solid">
        <fgColor rgb="FFF7C7AC"/>
        <bgColor rgb="FF000000"/>
      </patternFill>
    </fill>
    <fill>
      <patternFill patternType="solid">
        <fgColor rgb="FFDAE9F8"/>
        <bgColor rgb="FF000000"/>
      </patternFill>
    </fill>
    <fill>
      <patternFill patternType="solid">
        <fgColor rgb="FFC1F0C8"/>
        <bgColor rgb="FF000000"/>
      </patternFill>
    </fill>
    <fill>
      <patternFill patternType="solid">
        <fgColor rgb="FF83CCEB"/>
        <bgColor rgb="FF000000"/>
      </patternFill>
    </fill>
    <fill>
      <patternFill patternType="solid">
        <fgColor theme="0"/>
        <bgColor rgb="FF000000"/>
      </patternFill>
    </fill>
    <fill>
      <patternFill patternType="solid">
        <fgColor rgb="FFFFF2CC"/>
        <bgColor rgb="FF000000"/>
      </patternFill>
    </fill>
  </fills>
  <borders count="121">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medium">
        <color indexed="64"/>
      </right>
      <top/>
      <bottom/>
      <diagonal/>
    </border>
    <border>
      <left style="medium">
        <color indexed="64"/>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bottom style="thin">
        <color rgb="FF000000"/>
      </bottom>
      <diagonal/>
    </border>
    <border>
      <left style="thin">
        <color indexed="64"/>
      </left>
      <right style="thin">
        <color indexed="64"/>
      </right>
      <top style="thin">
        <color indexed="64"/>
      </top>
      <bottom style="medium">
        <color indexed="64"/>
      </bottom>
      <diagonal/>
    </border>
    <border>
      <left/>
      <right/>
      <top/>
      <bottom style="thin">
        <color theme="0" tint="-0.499984740745262"/>
      </bottom>
      <diagonal/>
    </border>
    <border>
      <left/>
      <right/>
      <top/>
      <bottom style="medium">
        <color indexed="64"/>
      </bottom>
      <diagonal/>
    </border>
    <border>
      <left/>
      <right style="medium">
        <color indexed="64"/>
      </right>
      <top/>
      <bottom style="medium">
        <color indexed="64"/>
      </bottom>
      <diagonal/>
    </border>
    <border>
      <left style="thin">
        <color theme="0" tint="-0.499984740745262"/>
      </left>
      <right style="thin">
        <color theme="0" tint="-0.499984740745262"/>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style="thin">
        <color theme="1"/>
      </left>
      <right style="thin">
        <color theme="1"/>
      </right>
      <top style="thin">
        <color theme="1"/>
      </top>
      <bottom style="thin">
        <color theme="1"/>
      </bottom>
      <diagonal/>
    </border>
    <border>
      <left/>
      <right/>
      <top/>
      <bottom style="thin">
        <color rgb="FF000000"/>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1" tint="0.34998626667073579"/>
      </left>
      <right style="thin">
        <color theme="1" tint="0.34998626667073579"/>
      </right>
      <top style="thin">
        <color theme="1" tint="0.34998626667073579"/>
      </top>
      <bottom/>
      <diagonal/>
    </border>
    <border>
      <left/>
      <right style="thin">
        <color theme="1" tint="4.9989318521683403E-2"/>
      </right>
      <top style="thin">
        <color theme="1" tint="4.9989318521683403E-2"/>
      </top>
      <bottom/>
      <diagonal/>
    </border>
    <border>
      <left style="thin">
        <color theme="1" tint="4.9989318521683403E-2"/>
      </left>
      <right style="thin">
        <color theme="1" tint="4.9989318521683403E-2"/>
      </right>
      <top style="thin">
        <color theme="1" tint="4.9989318521683403E-2"/>
      </top>
      <bottom/>
      <diagonal/>
    </border>
    <border>
      <left/>
      <right style="thin">
        <color theme="1" tint="4.9989318521683403E-2"/>
      </right>
      <top style="thin">
        <color theme="1" tint="4.9989318521683403E-2"/>
      </top>
      <bottom style="thin">
        <color theme="1" tint="4.9989318521683403E-2"/>
      </bottom>
      <diagonal/>
    </border>
    <border>
      <left style="thin">
        <color theme="1" tint="0.34998626667073579"/>
      </left>
      <right/>
      <top style="thin">
        <color theme="1" tint="0.34998626667073579"/>
      </top>
      <bottom/>
      <diagonal/>
    </border>
    <border>
      <left/>
      <right/>
      <top style="thin">
        <color theme="1" tint="0.34998626667073579"/>
      </top>
      <bottom/>
      <diagonal/>
    </border>
    <border>
      <left/>
      <right style="thin">
        <color theme="1" tint="0.34998626667073579"/>
      </right>
      <top style="thin">
        <color theme="1" tint="0.34998626667073579"/>
      </top>
      <bottom/>
      <diagonal/>
    </border>
    <border>
      <left style="thin">
        <color theme="1" tint="0.34998626667073579"/>
      </left>
      <right/>
      <top/>
      <bottom/>
      <diagonal/>
    </border>
    <border>
      <left/>
      <right style="thin">
        <color theme="1" tint="0.34998626667073579"/>
      </right>
      <top/>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
      <left style="thin">
        <color rgb="FF595959"/>
      </left>
      <right style="thin">
        <color rgb="FF595959"/>
      </right>
      <top style="thin">
        <color rgb="FF595959"/>
      </top>
      <bottom style="thin">
        <color rgb="FF595959"/>
      </bottom>
      <diagonal/>
    </border>
    <border>
      <left style="thin">
        <color theme="1" tint="0.499984740745262"/>
      </left>
      <right style="thin">
        <color theme="1" tint="0.499984740745262"/>
      </right>
      <top style="thin">
        <color theme="1" tint="0.499984740745262"/>
      </top>
      <bottom/>
      <diagonal/>
    </border>
    <border>
      <left style="medium">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diagonal/>
    </border>
    <border>
      <left style="thin">
        <color theme="1" tint="0.34998626667073579"/>
      </left>
      <right style="medium">
        <color theme="1" tint="0.34998626667073579"/>
      </right>
      <top style="thin">
        <color theme="1" tint="0.34998626667073579"/>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indexed="64"/>
      </right>
      <top style="thin">
        <color rgb="FF000000"/>
      </top>
      <bottom/>
      <diagonal/>
    </border>
    <border>
      <left/>
      <right style="thin">
        <color rgb="FF000000"/>
      </right>
      <top style="medium">
        <color theme="1" tint="0.34998626667073579"/>
      </top>
      <bottom style="thin">
        <color rgb="FF000000"/>
      </bottom>
      <diagonal/>
    </border>
    <border>
      <left style="thin">
        <color indexed="64"/>
      </left>
      <right style="thin">
        <color indexed="64"/>
      </right>
      <top style="medium">
        <color theme="1" tint="0.34998626667073579"/>
      </top>
      <bottom style="thin">
        <color indexed="64"/>
      </bottom>
      <diagonal/>
    </border>
    <border>
      <left style="thin">
        <color indexed="64"/>
      </left>
      <right style="medium">
        <color theme="1" tint="0.34998626667073579"/>
      </right>
      <top style="medium">
        <color theme="1" tint="0.34998626667073579"/>
      </top>
      <bottom style="thin">
        <color indexed="64"/>
      </bottom>
      <diagonal/>
    </border>
    <border>
      <left style="thin">
        <color indexed="64"/>
      </left>
      <right style="medium">
        <color theme="1" tint="0.34998626667073579"/>
      </right>
      <top style="thin">
        <color indexed="64"/>
      </top>
      <bottom style="thin">
        <color indexed="64"/>
      </bottom>
      <diagonal/>
    </border>
    <border>
      <left style="medium">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thin">
        <color indexed="64"/>
      </left>
      <right style="medium">
        <color theme="1" tint="0.34998626667073579"/>
      </right>
      <top style="thin">
        <color indexed="64"/>
      </top>
      <bottom/>
      <diagonal/>
    </border>
    <border>
      <left style="medium">
        <color theme="1" tint="0.34998626667073579"/>
      </left>
      <right style="thin">
        <color rgb="FF000000"/>
      </right>
      <top style="medium">
        <color theme="1" tint="0.34998626667073579"/>
      </top>
      <bottom style="thin">
        <color rgb="FF000000"/>
      </bottom>
      <diagonal/>
    </border>
    <border>
      <left style="medium">
        <color theme="1" tint="0.34998626667073579"/>
      </left>
      <right style="thin">
        <color rgb="FF000000"/>
      </right>
      <top style="thin">
        <color rgb="FF000000"/>
      </top>
      <bottom style="thin">
        <color rgb="FF000000"/>
      </bottom>
      <diagonal/>
    </border>
    <border>
      <left style="medium">
        <color theme="1" tint="0.34998626667073579"/>
      </left>
      <right style="thin">
        <color rgb="FF000000"/>
      </right>
      <top style="thin">
        <color rgb="FF000000"/>
      </top>
      <bottom style="medium">
        <color theme="1" tint="0.34998626667073579"/>
      </bottom>
      <diagonal/>
    </border>
    <border>
      <left style="thin">
        <color indexed="64"/>
      </left>
      <right/>
      <top style="medium">
        <color theme="1" tint="0.34998626667073579"/>
      </top>
      <bottom/>
      <diagonal/>
    </border>
    <border>
      <left style="thin">
        <color indexed="64"/>
      </left>
      <right/>
      <top/>
      <bottom style="medium">
        <color theme="1" tint="0.34998626667073579"/>
      </bottom>
      <diagonal/>
    </border>
    <border>
      <left style="thin">
        <color theme="1" tint="0.34998626667073579"/>
      </left>
      <right style="thin">
        <color theme="1" tint="0.34998626667073579"/>
      </right>
      <top/>
      <bottom style="thin">
        <color theme="1" tint="0.34998626667073579"/>
      </bottom>
      <diagonal/>
    </border>
    <border>
      <left style="thin">
        <color indexed="64"/>
      </left>
      <right style="medium">
        <color theme="1" tint="0.34998626667073579"/>
      </right>
      <top style="medium">
        <color theme="1" tint="0.34998626667073579"/>
      </top>
      <bottom/>
      <diagonal/>
    </border>
    <border>
      <left style="medium">
        <color theme="1" tint="0.34998626667073579"/>
      </left>
      <right style="thin">
        <color rgb="FF000000"/>
      </right>
      <top style="thin">
        <color rgb="FF000000"/>
      </top>
      <bottom/>
      <diagonal/>
    </border>
    <border>
      <left style="thin">
        <color theme="1" tint="0.34998626667073579"/>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style="medium">
        <color indexed="64"/>
      </top>
      <bottom style="thin">
        <color theme="1" tint="0.34998626667073579"/>
      </bottom>
      <diagonal/>
    </border>
    <border>
      <left/>
      <right/>
      <top style="medium">
        <color theme="1" tint="0.34998626667073579"/>
      </top>
      <bottom style="thin">
        <color rgb="FF000000"/>
      </bottom>
      <diagonal/>
    </border>
    <border>
      <left style="thin">
        <color theme="1" tint="0.34998626667073579"/>
      </left>
      <right style="medium">
        <color indexed="64"/>
      </right>
      <top style="thin">
        <color theme="1" tint="0.34998626667073579"/>
      </top>
      <bottom style="thin">
        <color theme="1" tint="0.34998626667073579"/>
      </bottom>
      <diagonal/>
    </border>
    <border>
      <left/>
      <right/>
      <top style="thin">
        <color rgb="FF000000"/>
      </top>
      <bottom style="thin">
        <color rgb="FF000000"/>
      </bottom>
      <diagonal/>
    </border>
    <border>
      <left style="thin">
        <color theme="1" tint="0.34998626667073579"/>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style="thin">
        <color theme="1" tint="0.34998626667073579"/>
      </top>
      <bottom style="medium">
        <color indexed="64"/>
      </bottom>
      <diagonal/>
    </border>
    <border>
      <left/>
      <right/>
      <top style="thin">
        <color rgb="FF000000"/>
      </top>
      <bottom style="medium">
        <color theme="1" tint="0.34998626667073579"/>
      </bottom>
      <diagonal/>
    </border>
    <border>
      <left style="medium">
        <color indexed="64"/>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style="medium">
        <color indexed="64"/>
      </top>
      <bottom/>
      <diagonal/>
    </border>
    <border>
      <left/>
      <right style="thin">
        <color theme="1" tint="0.34998626667073579"/>
      </right>
      <top style="medium">
        <color indexed="64"/>
      </top>
      <bottom style="thin">
        <color theme="1" tint="0.34998626667073579"/>
      </bottom>
      <diagonal/>
    </border>
    <border>
      <left style="medium">
        <color indexed="64"/>
      </left>
      <right style="thin">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bottom/>
      <diagonal/>
    </border>
    <border>
      <left style="thin">
        <color theme="1" tint="0.34998626667073579"/>
      </left>
      <right style="medium">
        <color indexed="64"/>
      </right>
      <top/>
      <bottom/>
      <diagonal/>
    </border>
    <border>
      <left style="medium">
        <color indexed="64"/>
      </left>
      <right style="thin">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bottom style="medium">
        <color indexed="64"/>
      </bottom>
      <diagonal/>
    </border>
    <border>
      <left style="thin">
        <color theme="1" tint="0.34998626667073579"/>
      </left>
      <right style="medium">
        <color indexed="64"/>
      </right>
      <top/>
      <bottom style="medium">
        <color indexed="64"/>
      </bottom>
      <diagonal/>
    </border>
    <border>
      <left/>
      <right style="thin">
        <color theme="1" tint="0.34998626667073579"/>
      </right>
      <top style="thin">
        <color theme="1" tint="0.34998626667073579"/>
      </top>
      <bottom style="medium">
        <color indexed="64"/>
      </bottom>
      <diagonal/>
    </border>
    <border>
      <left style="medium">
        <color theme="1" tint="0.34998626667073579"/>
      </left>
      <right style="thin">
        <color theme="1" tint="0.34998626667073579"/>
      </right>
      <top/>
      <bottom style="thin">
        <color theme="1" tint="0.34998626667073579"/>
      </bottom>
      <diagonal/>
    </border>
    <border>
      <left/>
      <right style="thin">
        <color theme="1" tint="0.34998626667073579"/>
      </right>
      <top/>
      <bottom style="thin">
        <color theme="1" tint="0.34998626667073579"/>
      </bottom>
      <diagonal/>
    </border>
    <border>
      <left style="thin">
        <color theme="1" tint="0.34998626667073579"/>
      </left>
      <right style="medium">
        <color theme="1" tint="0.34998626667073579"/>
      </right>
      <top/>
      <bottom style="thin">
        <color theme="1" tint="0.34998626667073579"/>
      </bottom>
      <diagonal/>
    </border>
    <border>
      <left style="medium">
        <color indexed="64"/>
      </left>
      <right style="thin">
        <color theme="1" tint="0.34998626667073579"/>
      </right>
      <top/>
      <bottom/>
      <diagonal/>
    </border>
    <border>
      <left style="medium">
        <color indexed="64"/>
      </left>
      <right style="thin">
        <color theme="1" tint="0.34998626667073579"/>
      </right>
      <top/>
      <bottom style="medium">
        <color indexed="64"/>
      </bottom>
      <diagonal/>
    </border>
    <border>
      <left style="thin">
        <color rgb="FF000000"/>
      </left>
      <right style="thin">
        <color rgb="FF000000"/>
      </right>
      <top/>
      <bottom/>
      <diagonal/>
    </border>
    <border>
      <left style="thin">
        <color rgb="FF595959"/>
      </left>
      <right style="thin">
        <color rgb="FF595959"/>
      </right>
      <top style="thin">
        <color rgb="FF595959"/>
      </top>
      <bottom/>
      <diagonal/>
    </border>
  </borders>
  <cellStyleXfs count="56">
    <xf numFmtId="0" fontId="0" fillId="0" borderId="0"/>
    <xf numFmtId="0" fontId="1" fillId="0" borderId="0"/>
    <xf numFmtId="9" fontId="2" fillId="0" borderId="0" applyFont="0" applyFill="0" applyBorder="0" applyAlignment="0" applyProtection="0"/>
    <xf numFmtId="0" fontId="4" fillId="0" borderId="0" applyNumberFormat="0" applyFill="0" applyBorder="0" applyAlignment="0" applyProtection="0"/>
    <xf numFmtId="0" fontId="6" fillId="0" borderId="0"/>
    <xf numFmtId="0" fontId="8" fillId="0" borderId="0" applyNumberFormat="0" applyFill="0" applyBorder="0" applyAlignment="0" applyProtection="0"/>
    <xf numFmtId="43" fontId="2" fillId="0" borderId="0" applyFont="0" applyFill="0" applyBorder="0" applyAlignment="0" applyProtection="0"/>
    <xf numFmtId="0" fontId="2" fillId="0" borderId="0"/>
    <xf numFmtId="9" fontId="6" fillId="0" borderId="0" applyFont="0" applyFill="0" applyBorder="0" applyAlignment="0" applyProtection="0"/>
    <xf numFmtId="0" fontId="14" fillId="0" borderId="0"/>
    <xf numFmtId="0" fontId="16" fillId="0" borderId="0" applyNumberFormat="0" applyFill="0" applyBorder="0" applyAlignment="0" applyProtection="0"/>
    <xf numFmtId="0" fontId="6" fillId="0" borderId="0"/>
    <xf numFmtId="0" fontId="6" fillId="0" borderId="0"/>
    <xf numFmtId="0" fontId="38" fillId="0" borderId="44" applyNumberFormat="0" applyFill="0" applyAlignment="0" applyProtection="0"/>
    <xf numFmtId="0" fontId="39" fillId="0" borderId="45" applyNumberFormat="0" applyFill="0" applyAlignment="0" applyProtection="0"/>
    <xf numFmtId="0" fontId="40" fillId="0" borderId="46" applyNumberFormat="0" applyFill="0" applyAlignment="0" applyProtection="0"/>
    <xf numFmtId="0" fontId="40" fillId="0" borderId="0" applyNumberFormat="0" applyFill="0" applyBorder="0" applyAlignment="0" applyProtection="0"/>
    <xf numFmtId="0" fontId="41" fillId="13" borderId="0" applyNumberFormat="0" applyBorder="0" applyAlignment="0" applyProtection="0"/>
    <xf numFmtId="0" fontId="42" fillId="14" borderId="0" applyNumberFormat="0" applyBorder="0" applyAlignment="0" applyProtection="0"/>
    <xf numFmtId="0" fontId="43" fillId="16" borderId="47" applyNumberFormat="0" applyAlignment="0" applyProtection="0"/>
    <xf numFmtId="0" fontId="44" fillId="17" borderId="48" applyNumberFormat="0" applyAlignment="0" applyProtection="0"/>
    <xf numFmtId="0" fontId="45" fillId="17" borderId="47" applyNumberFormat="0" applyAlignment="0" applyProtection="0"/>
    <xf numFmtId="0" fontId="46" fillId="0" borderId="49" applyNumberFormat="0" applyFill="0" applyAlignment="0" applyProtection="0"/>
    <xf numFmtId="0" fontId="9" fillId="18" borderId="50" applyNumberFormat="0" applyAlignment="0" applyProtection="0"/>
    <xf numFmtId="0" fontId="47" fillId="0" borderId="0" applyNumberFormat="0" applyFill="0" applyBorder="0" applyAlignment="0" applyProtection="0"/>
    <xf numFmtId="0" fontId="2" fillId="19" borderId="51" applyNumberFormat="0" applyFont="0" applyAlignment="0" applyProtection="0"/>
    <xf numFmtId="0" fontId="48" fillId="0" borderId="0" applyNumberFormat="0" applyFill="0" applyBorder="0" applyAlignment="0" applyProtection="0"/>
    <xf numFmtId="0" fontId="3" fillId="0" borderId="52" applyNumberFormat="0" applyFill="0" applyAlignment="0" applyProtection="0"/>
    <xf numFmtId="0" fontId="11"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11"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11"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11"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11"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11"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50" fillId="0" borderId="0" applyNumberFormat="0" applyFill="0" applyBorder="0" applyAlignment="0" applyProtection="0"/>
    <xf numFmtId="0" fontId="51" fillId="15" borderId="0" applyNumberFormat="0" applyBorder="0" applyAlignment="0" applyProtection="0"/>
    <xf numFmtId="0" fontId="11" fillId="23" borderId="0" applyNumberFormat="0" applyBorder="0" applyAlignment="0" applyProtection="0"/>
    <xf numFmtId="0" fontId="11" fillId="27" borderId="0" applyNumberFormat="0" applyBorder="0" applyAlignment="0" applyProtection="0"/>
    <xf numFmtId="0" fontId="11" fillId="31" borderId="0" applyNumberFormat="0" applyBorder="0" applyAlignment="0" applyProtection="0"/>
    <xf numFmtId="0" fontId="11" fillId="35" borderId="0" applyNumberFormat="0" applyBorder="0" applyAlignment="0" applyProtection="0"/>
    <xf numFmtId="0" fontId="11" fillId="39" borderId="0" applyNumberFormat="0" applyBorder="0" applyAlignment="0" applyProtection="0"/>
    <xf numFmtId="0" fontId="11" fillId="43" borderId="0" applyNumberFormat="0" applyBorder="0" applyAlignment="0" applyProtection="0"/>
    <xf numFmtId="0" fontId="2" fillId="0" borderId="0"/>
    <xf numFmtId="0" fontId="12" fillId="0" borderId="0"/>
  </cellStyleXfs>
  <cellXfs count="496">
    <xf numFmtId="0" fontId="0" fillId="0" borderId="0" xfId="0"/>
    <xf numFmtId="0" fontId="12" fillId="0" borderId="0" xfId="0" applyFont="1"/>
    <xf numFmtId="0" fontId="6" fillId="0" borderId="0" xfId="0" applyFont="1"/>
    <xf numFmtId="0" fontId="7" fillId="0" borderId="0" xfId="0" applyFont="1"/>
    <xf numFmtId="0" fontId="6" fillId="0" borderId="0" xfId="0" applyFont="1" applyAlignment="1">
      <alignment horizontal="center" vertical="center" wrapText="1"/>
    </xf>
    <xf numFmtId="0" fontId="16" fillId="0" borderId="0" xfId="5" applyFont="1"/>
    <xf numFmtId="0" fontId="6" fillId="0" borderId="0" xfId="0" applyFont="1" applyAlignment="1">
      <alignment wrapText="1"/>
    </xf>
    <xf numFmtId="0" fontId="15" fillId="0" borderId="0" xfId="0" applyFont="1" applyAlignment="1">
      <alignment vertical="center"/>
    </xf>
    <xf numFmtId="0" fontId="1" fillId="0" borderId="2" xfId="1" applyBorder="1" applyAlignment="1">
      <alignment vertical="center" wrapText="1"/>
    </xf>
    <xf numFmtId="3" fontId="1" fillId="0" borderId="2" xfId="1" applyNumberFormat="1" applyBorder="1" applyAlignment="1">
      <alignment horizontal="center" vertical="center" wrapText="1"/>
    </xf>
    <xf numFmtId="0" fontId="1" fillId="0" borderId="2" xfId="1" applyBorder="1" applyAlignment="1">
      <alignment vertical="center"/>
    </xf>
    <xf numFmtId="0" fontId="1" fillId="0" borderId="2" xfId="1" applyBorder="1" applyAlignment="1">
      <alignment horizontal="center" vertical="center" wrapText="1"/>
    </xf>
    <xf numFmtId="0" fontId="6" fillId="0" borderId="2" xfId="0" applyFont="1" applyBorder="1" applyAlignment="1">
      <alignment vertical="center"/>
    </xf>
    <xf numFmtId="0" fontId="6" fillId="0" borderId="2" xfId="0" applyFont="1" applyBorder="1" applyAlignment="1">
      <alignment vertical="center" wrapText="1"/>
    </xf>
    <xf numFmtId="0" fontId="19" fillId="7" borderId="2" xfId="0" applyFont="1" applyFill="1" applyBorder="1" applyAlignment="1">
      <alignment vertical="center"/>
    </xf>
    <xf numFmtId="0" fontId="19" fillId="7" borderId="2" xfId="0" applyFont="1" applyFill="1" applyBorder="1" applyAlignment="1">
      <alignment horizontal="left" vertical="center"/>
    </xf>
    <xf numFmtId="3" fontId="6" fillId="0" borderId="2" xfId="7" applyNumberFormat="1" applyFont="1" applyBorder="1" applyAlignment="1">
      <alignment horizontal="center" vertical="center"/>
    </xf>
    <xf numFmtId="1" fontId="1" fillId="0" borderId="2" xfId="7" applyNumberFormat="1" applyFont="1" applyBorder="1" applyAlignment="1">
      <alignment horizontal="center" vertical="center"/>
    </xf>
    <xf numFmtId="3" fontId="10" fillId="0" borderId="2" xfId="3" applyNumberFormat="1" applyFont="1" applyBorder="1" applyAlignment="1">
      <alignment horizontal="center" vertical="center" wrapText="1"/>
    </xf>
    <xf numFmtId="3" fontId="10" fillId="0" borderId="2" xfId="3" applyNumberFormat="1" applyFont="1" applyFill="1" applyBorder="1" applyAlignment="1">
      <alignment horizontal="center" vertical="center" wrapText="1"/>
    </xf>
    <xf numFmtId="0" fontId="1" fillId="0" borderId="0" xfId="0" applyFont="1" applyAlignment="1">
      <alignment vertical="top"/>
    </xf>
    <xf numFmtId="0" fontId="6" fillId="0" borderId="0" xfId="0" applyFont="1" applyAlignment="1">
      <alignment horizontal="center" vertical="top" wrapText="1"/>
    </xf>
    <xf numFmtId="0" fontId="6" fillId="0" borderId="0" xfId="0" applyFont="1" applyAlignment="1">
      <alignment horizontal="left" vertical="top" wrapText="1"/>
    </xf>
    <xf numFmtId="0" fontId="7" fillId="0" borderId="0" xfId="0" applyFont="1" applyAlignment="1">
      <alignment horizontal="center" vertical="top" wrapText="1"/>
    </xf>
    <xf numFmtId="0" fontId="7" fillId="2" borderId="0" xfId="0" applyFont="1" applyFill="1"/>
    <xf numFmtId="0" fontId="7" fillId="2" borderId="0" xfId="0" applyFont="1" applyFill="1" applyAlignment="1">
      <alignment wrapText="1"/>
    </xf>
    <xf numFmtId="0" fontId="7" fillId="2" borderId="0" xfId="0" applyFont="1" applyFill="1" applyAlignment="1">
      <alignment horizontal="left"/>
    </xf>
    <xf numFmtId="0" fontId="7" fillId="2" borderId="0" xfId="0" applyFont="1" applyFill="1" applyAlignment="1">
      <alignment horizontal="center"/>
    </xf>
    <xf numFmtId="0" fontId="20" fillId="7" borderId="2" xfId="0" applyFont="1" applyFill="1" applyBorder="1" applyAlignment="1">
      <alignment horizontal="center" vertical="center" wrapText="1"/>
    </xf>
    <xf numFmtId="0" fontId="19" fillId="7" borderId="2" xfId="0" applyFont="1" applyFill="1" applyBorder="1" applyAlignment="1">
      <alignment horizontal="center" vertical="center"/>
    </xf>
    <xf numFmtId="9" fontId="6" fillId="0" borderId="0" xfId="2" applyFont="1" applyFill="1" applyBorder="1" applyAlignment="1">
      <alignment horizontal="center" vertical="center"/>
    </xf>
    <xf numFmtId="0" fontId="19" fillId="7" borderId="21" xfId="0" applyFont="1" applyFill="1" applyBorder="1" applyAlignment="1">
      <alignment horizontal="center" vertical="center" wrapText="1"/>
    </xf>
    <xf numFmtId="0" fontId="7" fillId="7" borderId="21" xfId="0" applyFont="1" applyFill="1" applyBorder="1" applyAlignment="1">
      <alignment horizontal="center" vertical="center"/>
    </xf>
    <xf numFmtId="9" fontId="6" fillId="0" borderId="0" xfId="0" applyNumberFormat="1" applyFont="1" applyAlignment="1">
      <alignment vertical="center"/>
    </xf>
    <xf numFmtId="0" fontId="7" fillId="0" borderId="0" xfId="0" applyFont="1" applyAlignment="1">
      <alignment vertical="center"/>
    </xf>
    <xf numFmtId="0" fontId="23" fillId="0" borderId="0" xfId="0" applyFont="1" applyAlignment="1">
      <alignment horizontal="left" vertical="center"/>
    </xf>
    <xf numFmtId="0" fontId="6" fillId="0" borderId="21" xfId="4" applyBorder="1" applyAlignment="1">
      <alignment horizontal="center" vertical="center"/>
    </xf>
    <xf numFmtId="0" fontId="24" fillId="7" borderId="9" xfId="0" applyFont="1" applyFill="1" applyBorder="1" applyAlignment="1">
      <alignment horizontal="center" vertical="center" wrapText="1"/>
    </xf>
    <xf numFmtId="0" fontId="24" fillId="7" borderId="9" xfId="0" applyFont="1" applyFill="1" applyBorder="1" applyAlignment="1">
      <alignment horizontal="center" vertical="center"/>
    </xf>
    <xf numFmtId="9" fontId="6" fillId="0" borderId="21" xfId="2" applyFont="1" applyFill="1" applyBorder="1" applyAlignment="1">
      <alignment horizontal="center" vertical="center"/>
    </xf>
    <xf numFmtId="3" fontId="6" fillId="0" borderId="2" xfId="0" applyNumberFormat="1" applyFont="1" applyBorder="1" applyAlignment="1">
      <alignment horizontal="center" vertical="center"/>
    </xf>
    <xf numFmtId="2" fontId="6" fillId="0" borderId="21" xfId="0" applyNumberFormat="1" applyFont="1" applyBorder="1" applyAlignment="1">
      <alignment horizontal="center" vertical="center"/>
    </xf>
    <xf numFmtId="0" fontId="22" fillId="0" borderId="0" xfId="0" applyFont="1" applyAlignment="1">
      <alignment horizontal="center" vertical="center"/>
    </xf>
    <xf numFmtId="0" fontId="25" fillId="5" borderId="0" xfId="0" applyFont="1" applyFill="1" applyAlignment="1">
      <alignment vertical="center" wrapText="1"/>
    </xf>
    <xf numFmtId="0" fontId="22" fillId="5" borderId="0" xfId="0" applyFont="1" applyFill="1" applyAlignment="1">
      <alignment horizontal="center" vertical="center"/>
    </xf>
    <xf numFmtId="165" fontId="22" fillId="5" borderId="0" xfId="0" applyNumberFormat="1" applyFont="1" applyFill="1" applyAlignment="1">
      <alignment horizontal="center" vertical="center"/>
    </xf>
    <xf numFmtId="0" fontId="19" fillId="7" borderId="24" xfId="0" applyFont="1" applyFill="1" applyBorder="1" applyAlignment="1">
      <alignment horizontal="center" vertical="center" wrapText="1"/>
    </xf>
    <xf numFmtId="0" fontId="24" fillId="0" borderId="0" xfId="0" applyFont="1" applyAlignment="1">
      <alignment horizontal="left" vertical="center" wrapText="1"/>
    </xf>
    <xf numFmtId="0" fontId="24" fillId="0" borderId="0" xfId="0" applyFont="1" applyAlignment="1">
      <alignment horizontal="left" vertical="center"/>
    </xf>
    <xf numFmtId="0" fontId="24" fillId="0" borderId="0" xfId="0" applyFont="1" applyAlignment="1">
      <alignment horizontal="center" vertical="center" wrapText="1"/>
    </xf>
    <xf numFmtId="10" fontId="6" fillId="0" borderId="0" xfId="8" applyNumberFormat="1" applyFont="1" applyFill="1" applyBorder="1" applyAlignment="1">
      <alignment horizontal="center"/>
    </xf>
    <xf numFmtId="9" fontId="6" fillId="0" borderId="21" xfId="0" applyNumberFormat="1" applyFont="1" applyBorder="1" applyAlignment="1">
      <alignment horizontal="center"/>
    </xf>
    <xf numFmtId="1" fontId="6" fillId="0" borderId="0" xfId="2" applyNumberFormat="1" applyFont="1" applyFill="1" applyBorder="1"/>
    <xf numFmtId="3" fontId="6" fillId="0" borderId="0" xfId="0" applyNumberFormat="1" applyFont="1" applyAlignment="1">
      <alignment horizontal="center" vertical="center"/>
    </xf>
    <xf numFmtId="3" fontId="6" fillId="0" borderId="0" xfId="0" applyNumberFormat="1" applyFont="1"/>
    <xf numFmtId="0" fontId="7" fillId="2" borderId="0" xfId="0" applyFont="1" applyFill="1" applyAlignment="1">
      <alignment horizontal="center" vertical="center"/>
    </xf>
    <xf numFmtId="168" fontId="22" fillId="0" borderId="0" xfId="0" applyNumberFormat="1" applyFont="1" applyAlignment="1">
      <alignment horizontal="center" vertical="center"/>
    </xf>
    <xf numFmtId="3" fontId="6" fillId="0" borderId="0" xfId="7" applyNumberFormat="1" applyFont="1" applyAlignment="1">
      <alignment horizontal="center" vertical="center"/>
    </xf>
    <xf numFmtId="9" fontId="6" fillId="0" borderId="23" xfId="0" applyNumberFormat="1" applyFont="1" applyBorder="1" applyAlignment="1">
      <alignment horizontal="center"/>
    </xf>
    <xf numFmtId="0" fontId="26" fillId="0" borderId="0" xfId="0" applyFont="1"/>
    <xf numFmtId="9" fontId="27" fillId="0" borderId="0" xfId="2" applyFont="1"/>
    <xf numFmtId="0" fontId="28" fillId="2" borderId="0" xfId="0" applyFont="1" applyFill="1"/>
    <xf numFmtId="0" fontId="29" fillId="0" borderId="0" xfId="0" quotePrefix="1" applyFont="1"/>
    <xf numFmtId="0" fontId="26" fillId="0" borderId="0" xfId="0" applyFont="1" applyAlignment="1">
      <alignment wrapText="1"/>
    </xf>
    <xf numFmtId="0" fontId="26" fillId="0" borderId="0" xfId="0" applyFont="1" applyAlignment="1">
      <alignment horizontal="center"/>
    </xf>
    <xf numFmtId="0" fontId="8" fillId="0" borderId="0" xfId="5" applyAlignment="1">
      <alignment vertical="center"/>
    </xf>
    <xf numFmtId="0" fontId="6" fillId="0" borderId="0" xfId="4" applyAlignment="1">
      <alignment horizontal="center" vertical="center"/>
    </xf>
    <xf numFmtId="9" fontId="6" fillId="0" borderId="0" xfId="0" applyNumberFormat="1" applyFont="1" applyAlignment="1">
      <alignment horizontal="center"/>
    </xf>
    <xf numFmtId="9" fontId="6" fillId="0" borderId="0" xfId="0" applyNumberFormat="1" applyFont="1" applyAlignment="1">
      <alignment horizontal="left"/>
    </xf>
    <xf numFmtId="4" fontId="6" fillId="0" borderId="2" xfId="7" applyNumberFormat="1" applyFont="1" applyBorder="1" applyAlignment="1">
      <alignment horizontal="center" vertical="center"/>
    </xf>
    <xf numFmtId="0" fontId="7" fillId="7" borderId="21" xfId="0" applyFont="1" applyFill="1" applyBorder="1" applyAlignment="1">
      <alignment horizontal="center" vertical="center" wrapText="1"/>
    </xf>
    <xf numFmtId="0" fontId="6" fillId="0" borderId="2" xfId="0" applyFont="1" applyBorder="1"/>
    <xf numFmtId="0" fontId="7" fillId="7" borderId="24" xfId="0" applyFont="1" applyFill="1" applyBorder="1" applyAlignment="1">
      <alignment horizontal="center" vertical="center" wrapText="1"/>
    </xf>
    <xf numFmtId="0" fontId="16" fillId="0" borderId="21" xfId="5" applyFont="1" applyBorder="1" applyAlignment="1">
      <alignment horizontal="center" vertical="center"/>
    </xf>
    <xf numFmtId="0" fontId="19" fillId="7" borderId="9" xfId="0" applyFont="1" applyFill="1" applyBorder="1" applyAlignment="1">
      <alignment horizontal="center" vertical="center" wrapText="1"/>
    </xf>
    <xf numFmtId="0" fontId="7" fillId="7" borderId="24" xfId="0" applyFont="1" applyFill="1" applyBorder="1" applyAlignment="1">
      <alignment horizontal="center" vertical="center"/>
    </xf>
    <xf numFmtId="0" fontId="30" fillId="0" borderId="0" xfId="0" applyFont="1"/>
    <xf numFmtId="10" fontId="6" fillId="0" borderId="2" xfId="0" applyNumberFormat="1" applyFont="1" applyBorder="1" applyAlignment="1">
      <alignment horizontal="center" vertical="center" wrapText="1"/>
    </xf>
    <xf numFmtId="3" fontId="6" fillId="0" borderId="8" xfId="7" applyNumberFormat="1" applyFont="1" applyBorder="1" applyAlignment="1">
      <alignment horizontal="center" vertical="center"/>
    </xf>
    <xf numFmtId="3" fontId="6" fillId="0" borderId="15" xfId="7" applyNumberFormat="1" applyFont="1" applyBorder="1" applyAlignment="1">
      <alignment horizontal="center" vertical="center"/>
    </xf>
    <xf numFmtId="3" fontId="6" fillId="0" borderId="41" xfId="7" applyNumberFormat="1" applyFont="1" applyBorder="1" applyAlignment="1">
      <alignment horizontal="center" vertical="center"/>
    </xf>
    <xf numFmtId="9" fontId="6" fillId="0" borderId="41" xfId="2" applyFont="1" applyBorder="1" applyAlignment="1">
      <alignment horizontal="center" vertical="center"/>
    </xf>
    <xf numFmtId="9" fontId="10" fillId="0" borderId="2" xfId="2" applyFont="1" applyBorder="1" applyAlignment="1">
      <alignment horizontal="center" vertical="center" wrapText="1"/>
    </xf>
    <xf numFmtId="0" fontId="1" fillId="0" borderId="21" xfId="0" applyFont="1" applyBorder="1" applyAlignment="1">
      <alignment horizontal="center" vertical="center"/>
    </xf>
    <xf numFmtId="0" fontId="24" fillId="7" borderId="9" xfId="0" applyFont="1" applyFill="1" applyBorder="1" applyAlignment="1">
      <alignment horizontal="left" vertical="center" wrapText="1"/>
    </xf>
    <xf numFmtId="169" fontId="6" fillId="0" borderId="2" xfId="6" applyNumberFormat="1" applyFont="1" applyBorder="1" applyAlignment="1">
      <alignment horizontal="right" vertical="center" wrapText="1"/>
    </xf>
    <xf numFmtId="169" fontId="6" fillId="0" borderId="0" xfId="6" applyNumberFormat="1" applyFont="1" applyBorder="1" applyAlignment="1">
      <alignment vertical="center" wrapText="1"/>
    </xf>
    <xf numFmtId="3" fontId="6" fillId="0" borderId="0" xfId="0" applyNumberFormat="1" applyFont="1" applyAlignment="1">
      <alignment horizontal="left"/>
    </xf>
    <xf numFmtId="2" fontId="6" fillId="0" borderId="0" xfId="0" applyNumberFormat="1" applyFont="1"/>
    <xf numFmtId="4" fontId="1" fillId="0" borderId="2" xfId="1" applyNumberFormat="1" applyBorder="1" applyAlignment="1">
      <alignment horizontal="center" vertical="center" wrapText="1"/>
    </xf>
    <xf numFmtId="168" fontId="6" fillId="8" borderId="23" xfId="0" applyNumberFormat="1" applyFont="1" applyFill="1" applyBorder="1" applyAlignment="1">
      <alignment horizontal="center" vertical="center"/>
    </xf>
    <xf numFmtId="0" fontId="32" fillId="0" borderId="0" xfId="0" applyFont="1" applyAlignment="1">
      <alignment vertical="center"/>
    </xf>
    <xf numFmtId="168" fontId="6" fillId="6" borderId="21" xfId="0" applyNumberFormat="1" applyFont="1" applyFill="1" applyBorder="1" applyAlignment="1">
      <alignment horizontal="center" vertical="center"/>
    </xf>
    <xf numFmtId="0" fontId="12" fillId="0" borderId="0" xfId="0" applyFont="1" applyAlignment="1">
      <alignment vertical="center"/>
    </xf>
    <xf numFmtId="168" fontId="6" fillId="3" borderId="21" xfId="0" applyNumberFormat="1" applyFont="1" applyFill="1" applyBorder="1" applyAlignment="1">
      <alignment horizontal="center" vertical="center"/>
    </xf>
    <xf numFmtId="168" fontId="1" fillId="10" borderId="21" xfId="0" applyNumberFormat="1" applyFont="1" applyFill="1" applyBorder="1" applyAlignment="1">
      <alignment horizontal="center" vertical="center"/>
    </xf>
    <xf numFmtId="168" fontId="6" fillId="0" borderId="21" xfId="0" applyNumberFormat="1" applyFont="1" applyBorder="1" applyAlignment="1">
      <alignment horizontal="center" vertical="center"/>
    </xf>
    <xf numFmtId="168" fontId="6" fillId="8" borderId="21" xfId="0" applyNumberFormat="1" applyFont="1" applyFill="1" applyBorder="1" applyAlignment="1">
      <alignment horizontal="center" vertical="center"/>
    </xf>
    <xf numFmtId="2" fontId="6" fillId="8" borderId="23" xfId="0" applyNumberFormat="1" applyFont="1" applyFill="1" applyBorder="1" applyAlignment="1">
      <alignment horizontal="center" vertical="center"/>
    </xf>
    <xf numFmtId="0" fontId="6" fillId="6" borderId="21" xfId="0" applyFont="1" applyFill="1" applyBorder="1" applyAlignment="1">
      <alignment horizontal="center" vertical="center"/>
    </xf>
    <xf numFmtId="0" fontId="6" fillId="3" borderId="21" xfId="0" applyFont="1" applyFill="1" applyBorder="1" applyAlignment="1">
      <alignment horizontal="center" vertical="center"/>
    </xf>
    <xf numFmtId="0" fontId="1" fillId="10" borderId="21" xfId="0" applyFont="1" applyFill="1" applyBorder="1" applyAlignment="1">
      <alignment horizontal="center" vertical="center"/>
    </xf>
    <xf numFmtId="2" fontId="6" fillId="8" borderId="21" xfId="0" applyNumberFormat="1" applyFont="1" applyFill="1" applyBorder="1" applyAlignment="1">
      <alignment horizontal="center" vertical="center"/>
    </xf>
    <xf numFmtId="0" fontId="6" fillId="5" borderId="0" xfId="0" applyFont="1" applyFill="1"/>
    <xf numFmtId="0" fontId="6" fillId="5" borderId="0" xfId="0" applyFont="1" applyFill="1" applyAlignment="1">
      <alignment horizontal="center"/>
    </xf>
    <xf numFmtId="0" fontId="6" fillId="9" borderId="0" xfId="0" applyFont="1" applyFill="1"/>
    <xf numFmtId="0" fontId="12" fillId="0" borderId="0" xfId="0" applyFont="1" applyAlignment="1">
      <alignment wrapText="1"/>
    </xf>
    <xf numFmtId="0" fontId="12" fillId="0" borderId="0" xfId="0" applyFont="1" applyAlignment="1">
      <alignment horizontal="center"/>
    </xf>
    <xf numFmtId="0" fontId="15" fillId="2" borderId="0" xfId="0" applyFont="1" applyFill="1"/>
    <xf numFmtId="0" fontId="15" fillId="2" borderId="0" xfId="0" applyFont="1" applyFill="1" applyAlignment="1">
      <alignment wrapText="1"/>
    </xf>
    <xf numFmtId="0" fontId="15" fillId="2" borderId="0" xfId="0" applyFont="1" applyFill="1" applyAlignment="1">
      <alignment horizontal="left"/>
    </xf>
    <xf numFmtId="0" fontId="15" fillId="2" borderId="0" xfId="0" applyFont="1" applyFill="1" applyAlignment="1">
      <alignment horizontal="center"/>
    </xf>
    <xf numFmtId="0" fontId="24" fillId="12" borderId="43" xfId="0" applyFont="1" applyFill="1" applyBorder="1" applyAlignment="1">
      <alignment horizontal="center" vertical="center" wrapText="1"/>
    </xf>
    <xf numFmtId="0" fontId="35" fillId="0" borderId="0" xfId="0" applyFont="1"/>
    <xf numFmtId="0" fontId="17" fillId="0" borderId="2" xfId="0" applyFont="1" applyBorder="1" applyAlignment="1">
      <alignment vertical="center"/>
    </xf>
    <xf numFmtId="169" fontId="6" fillId="0" borderId="2" xfId="6" applyNumberFormat="1" applyFont="1" applyBorder="1"/>
    <xf numFmtId="3" fontId="6" fillId="0" borderId="2" xfId="0" applyNumberFormat="1" applyFont="1" applyBorder="1"/>
    <xf numFmtId="0" fontId="7" fillId="0" borderId="2" xfId="0" applyFont="1" applyBorder="1"/>
    <xf numFmtId="0" fontId="35" fillId="4" borderId="0" xfId="0" applyFont="1" applyFill="1"/>
    <xf numFmtId="0" fontId="23" fillId="0" borderId="0" xfId="0" applyFont="1"/>
    <xf numFmtId="0" fontId="23" fillId="0" borderId="0" xfId="0" applyFont="1" applyAlignment="1">
      <alignment wrapText="1"/>
    </xf>
    <xf numFmtId="0" fontId="12" fillId="5" borderId="0" xfId="0" applyFont="1" applyFill="1"/>
    <xf numFmtId="0" fontId="17" fillId="5" borderId="0" xfId="0" applyFont="1" applyFill="1"/>
    <xf numFmtId="0" fontId="35" fillId="5" borderId="0" xfId="0" applyFont="1" applyFill="1"/>
    <xf numFmtId="0" fontId="31" fillId="0" borderId="0" xfId="0" applyFont="1" applyAlignment="1">
      <alignment vertical="center"/>
    </xf>
    <xf numFmtId="0" fontId="37" fillId="0" borderId="0" xfId="0" applyFont="1" applyAlignment="1">
      <alignment vertical="center"/>
    </xf>
    <xf numFmtId="0" fontId="6" fillId="0" borderId="13" xfId="0" applyFont="1" applyBorder="1" applyAlignment="1">
      <alignment horizontal="center" vertical="center"/>
    </xf>
    <xf numFmtId="0" fontId="7" fillId="5" borderId="20" xfId="0" applyFont="1" applyFill="1" applyBorder="1" applyAlignment="1">
      <alignment horizontal="center" vertical="center"/>
    </xf>
    <xf numFmtId="0" fontId="7" fillId="5" borderId="19" xfId="0" applyFont="1" applyFill="1" applyBorder="1" applyAlignment="1">
      <alignment horizontal="center" vertical="center"/>
    </xf>
    <xf numFmtId="0" fontId="7" fillId="5" borderId="40" xfId="0" applyFont="1" applyFill="1" applyBorder="1" applyAlignment="1">
      <alignment horizontal="center" vertical="center"/>
    </xf>
    <xf numFmtId="0" fontId="7" fillId="5" borderId="34" xfId="0" applyFont="1" applyFill="1" applyBorder="1" applyAlignment="1">
      <alignment horizontal="center" vertical="center"/>
    </xf>
    <xf numFmtId="0" fontId="7" fillId="5" borderId="35" xfId="0" applyFont="1" applyFill="1" applyBorder="1" applyAlignment="1">
      <alignment horizontal="center" vertical="center"/>
    </xf>
    <xf numFmtId="0" fontId="6" fillId="0" borderId="23" xfId="4" applyBorder="1" applyAlignment="1">
      <alignment horizontal="center" vertical="center"/>
    </xf>
    <xf numFmtId="0" fontId="6" fillId="0" borderId="9" xfId="0" applyFont="1" applyBorder="1" applyAlignment="1">
      <alignment horizontal="center" vertical="center"/>
    </xf>
    <xf numFmtId="0" fontId="1" fillId="0" borderId="0" xfId="1" applyAlignment="1">
      <alignment vertical="center" wrapText="1"/>
    </xf>
    <xf numFmtId="10" fontId="6" fillId="0" borderId="2" xfId="0" applyNumberFormat="1" applyFont="1" applyBorder="1"/>
    <xf numFmtId="0" fontId="7" fillId="5" borderId="0" xfId="0" applyFont="1" applyFill="1" applyAlignment="1">
      <alignment horizontal="center" vertical="center"/>
    </xf>
    <xf numFmtId="0" fontId="12" fillId="0" borderId="2" xfId="0" applyFont="1" applyBorder="1" applyAlignment="1">
      <alignment vertical="center" wrapText="1"/>
    </xf>
    <xf numFmtId="0" fontId="12" fillId="0" borderId="2" xfId="0" applyFont="1" applyBorder="1" applyAlignment="1">
      <alignment vertical="center"/>
    </xf>
    <xf numFmtId="9" fontId="12" fillId="0" borderId="2" xfId="2" applyFont="1" applyBorder="1" applyAlignment="1">
      <alignment vertical="center"/>
    </xf>
    <xf numFmtId="0" fontId="12" fillId="8" borderId="2" xfId="0" applyFont="1" applyFill="1" applyBorder="1" applyAlignment="1">
      <alignment vertical="center" wrapText="1"/>
    </xf>
    <xf numFmtId="0" fontId="12" fillId="8" borderId="2" xfId="0" applyFont="1" applyFill="1" applyBorder="1" applyAlignment="1">
      <alignment vertical="center"/>
    </xf>
    <xf numFmtId="0" fontId="12" fillId="8" borderId="9" xfId="0" applyFont="1" applyFill="1" applyBorder="1" applyAlignment="1">
      <alignment horizontal="center" vertical="center" wrapText="1"/>
    </xf>
    <xf numFmtId="0" fontId="7" fillId="12" borderId="53" xfId="0" applyFont="1" applyFill="1" applyBorder="1" applyAlignment="1">
      <alignment horizontal="center" vertical="center" wrapText="1"/>
    </xf>
    <xf numFmtId="0" fontId="7" fillId="12" borderId="43" xfId="0" applyFont="1" applyFill="1" applyBorder="1" applyAlignment="1">
      <alignment horizontal="center" vertical="center" wrapText="1"/>
    </xf>
    <xf numFmtId="0" fontId="7" fillId="12" borderId="53" xfId="0" applyFont="1" applyFill="1" applyBorder="1" applyAlignment="1">
      <alignment horizontal="center" vertical="center"/>
    </xf>
    <xf numFmtId="0" fontId="6" fillId="0" borderId="56" xfId="0" applyFont="1" applyBorder="1" applyAlignment="1">
      <alignment horizontal="center" vertical="center" wrapText="1"/>
    </xf>
    <xf numFmtId="0" fontId="6" fillId="0" borderId="54" xfId="0" applyFont="1" applyBorder="1" applyAlignment="1">
      <alignment horizontal="center" vertical="center" wrapText="1"/>
    </xf>
    <xf numFmtId="0" fontId="6" fillId="0" borderId="55" xfId="0" applyFont="1" applyBorder="1" applyAlignment="1">
      <alignment horizontal="center" vertical="center" wrapText="1"/>
    </xf>
    <xf numFmtId="0" fontId="34" fillId="5" borderId="57" xfId="0" applyFont="1" applyFill="1" applyBorder="1" applyAlignment="1">
      <alignment horizontal="left" vertical="center"/>
    </xf>
    <xf numFmtId="0" fontId="6" fillId="5" borderId="58" xfId="0" applyFont="1" applyFill="1" applyBorder="1" applyAlignment="1">
      <alignment horizontal="left" vertical="center"/>
    </xf>
    <xf numFmtId="0" fontId="6" fillId="5" borderId="58" xfId="0" applyFont="1" applyFill="1" applyBorder="1" applyAlignment="1">
      <alignment vertical="center"/>
    </xf>
    <xf numFmtId="0" fontId="23" fillId="5" borderId="58" xfId="0" applyFont="1" applyFill="1" applyBorder="1" applyAlignment="1">
      <alignment horizontal="center" vertical="center" wrapText="1"/>
    </xf>
    <xf numFmtId="0" fontId="6" fillId="5" borderId="59" xfId="0" applyFont="1" applyFill="1" applyBorder="1"/>
    <xf numFmtId="0" fontId="34" fillId="5" borderId="60" xfId="0" applyFont="1" applyFill="1" applyBorder="1" applyAlignment="1">
      <alignment horizontal="left" vertical="center"/>
    </xf>
    <xf numFmtId="9" fontId="6" fillId="5" borderId="0" xfId="0" applyNumberFormat="1" applyFont="1" applyFill="1"/>
    <xf numFmtId="0" fontId="6" fillId="5" borderId="0" xfId="0" applyFont="1" applyFill="1" applyAlignment="1">
      <alignment vertical="center"/>
    </xf>
    <xf numFmtId="0" fontId="6" fillId="5" borderId="61" xfId="0" applyFont="1" applyFill="1" applyBorder="1"/>
    <xf numFmtId="0" fontId="21" fillId="0" borderId="0" xfId="0" applyFont="1" applyAlignment="1">
      <alignment vertical="center" wrapText="1"/>
    </xf>
    <xf numFmtId="0" fontId="6" fillId="44" borderId="55" xfId="0" quotePrefix="1" applyFont="1" applyFill="1" applyBorder="1" applyAlignment="1">
      <alignment horizontal="center" vertical="center" wrapText="1"/>
    </xf>
    <xf numFmtId="0" fontId="0" fillId="0" borderId="2" xfId="0" applyBorder="1" applyAlignment="1">
      <alignment horizontal="center" vertical="center" wrapText="1"/>
    </xf>
    <xf numFmtId="2" fontId="6" fillId="0" borderId="2" xfId="0" applyNumberFormat="1" applyFont="1" applyBorder="1" applyAlignment="1">
      <alignment horizontal="center" vertical="center"/>
    </xf>
    <xf numFmtId="0" fontId="13" fillId="0" borderId="0" xfId="0" applyFont="1" applyAlignment="1">
      <alignment vertical="center" wrapText="1"/>
    </xf>
    <xf numFmtId="9" fontId="6" fillId="0" borderId="21" xfId="0" applyNumberFormat="1" applyFont="1" applyBorder="1" applyAlignment="1">
      <alignment horizontal="center" vertical="center"/>
    </xf>
    <xf numFmtId="9" fontId="6" fillId="0" borderId="0" xfId="0" applyNumberFormat="1" applyFont="1" applyAlignment="1">
      <alignment horizontal="left" vertical="center"/>
    </xf>
    <xf numFmtId="0" fontId="22" fillId="0" borderId="62" xfId="0" applyFont="1" applyBorder="1" applyAlignment="1">
      <alignment horizontal="center" vertical="center"/>
    </xf>
    <xf numFmtId="0" fontId="22" fillId="0" borderId="8" xfId="0" applyFont="1" applyBorder="1" applyAlignment="1">
      <alignment horizontal="center" vertical="center"/>
    </xf>
    <xf numFmtId="0" fontId="22" fillId="0" borderId="63" xfId="0" applyFont="1" applyBorder="1" applyAlignment="1">
      <alignment horizontal="center" vertical="center"/>
    </xf>
    <xf numFmtId="0" fontId="22" fillId="0" borderId="64" xfId="0" applyFont="1" applyBorder="1" applyAlignment="1">
      <alignment horizontal="center" vertical="center"/>
    </xf>
    <xf numFmtId="0" fontId="22" fillId="0" borderId="65" xfId="0" applyFont="1" applyBorder="1" applyAlignment="1">
      <alignment horizontal="center" vertical="center"/>
    </xf>
    <xf numFmtId="0" fontId="10" fillId="0" borderId="2" xfId="3" applyFont="1" applyBorder="1" applyAlignment="1">
      <alignment vertical="center" wrapText="1"/>
    </xf>
    <xf numFmtId="0" fontId="10" fillId="0" borderId="2" xfId="3" applyFont="1" applyFill="1" applyBorder="1" applyAlignment="1">
      <alignment vertical="center" wrapText="1"/>
    </xf>
    <xf numFmtId="0" fontId="23" fillId="0" borderId="21" xfId="0" applyFont="1" applyBorder="1" applyAlignment="1">
      <alignment horizontal="center" vertical="center"/>
    </xf>
    <xf numFmtId="0" fontId="23" fillId="0" borderId="21" xfId="0" applyFont="1" applyBorder="1" applyAlignment="1">
      <alignment horizontal="center" vertical="center" wrapText="1"/>
    </xf>
    <xf numFmtId="0" fontId="23" fillId="0" borderId="2" xfId="0" applyFont="1" applyBorder="1" applyAlignment="1">
      <alignment horizontal="center" vertical="center" wrapText="1"/>
    </xf>
    <xf numFmtId="0" fontId="24" fillId="7" borderId="43" xfId="0" applyFont="1" applyFill="1" applyBorder="1" applyAlignment="1">
      <alignment horizontal="center" vertical="center" wrapText="1"/>
    </xf>
    <xf numFmtId="170" fontId="52" fillId="8" borderId="8" xfId="0" applyNumberFormat="1" applyFont="1" applyFill="1" applyBorder="1" applyAlignment="1">
      <alignment vertical="center"/>
    </xf>
    <xf numFmtId="0" fontId="12" fillId="0" borderId="0" xfId="0" applyFont="1" applyAlignment="1">
      <alignment horizontal="left" vertical="center"/>
    </xf>
    <xf numFmtId="170" fontId="52" fillId="0" borderId="0" xfId="0" applyNumberFormat="1" applyFont="1" applyAlignment="1">
      <alignment vertical="center"/>
    </xf>
    <xf numFmtId="170" fontId="52" fillId="0" borderId="0" xfId="0" applyNumberFormat="1" applyFont="1"/>
    <xf numFmtId="0" fontId="6" fillId="0" borderId="2" xfId="0" applyFont="1" applyBorder="1" applyAlignment="1">
      <alignment horizontal="right" vertical="center"/>
    </xf>
    <xf numFmtId="170" fontId="6" fillId="0" borderId="2" xfId="0" applyNumberFormat="1" applyFont="1" applyBorder="1" applyAlignment="1">
      <alignment vertical="center"/>
    </xf>
    <xf numFmtId="0" fontId="6" fillId="0" borderId="8" xfId="0" applyFont="1" applyBorder="1" applyAlignment="1">
      <alignment vertical="center" wrapText="1"/>
    </xf>
    <xf numFmtId="0" fontId="6" fillId="0" borderId="8" xfId="0" applyFont="1" applyBorder="1" applyAlignment="1">
      <alignment horizontal="right" vertical="center"/>
    </xf>
    <xf numFmtId="169" fontId="6" fillId="0" borderId="8" xfId="6" applyNumberFormat="1" applyFont="1" applyBorder="1" applyAlignment="1">
      <alignment horizontal="right" vertical="center"/>
    </xf>
    <xf numFmtId="170" fontId="1" fillId="0" borderId="2" xfId="0" applyNumberFormat="1" applyFont="1" applyBorder="1" applyAlignment="1">
      <alignment vertical="center"/>
    </xf>
    <xf numFmtId="169" fontId="1" fillId="0" borderId="8" xfId="6" applyNumberFormat="1" applyFont="1" applyBorder="1" applyAlignment="1">
      <alignment horizontal="right" vertical="center"/>
    </xf>
    <xf numFmtId="0" fontId="6" fillId="0" borderId="9" xfId="0" applyFont="1" applyBorder="1" applyAlignment="1">
      <alignment vertical="center"/>
    </xf>
    <xf numFmtId="169" fontId="6" fillId="0" borderId="15" xfId="6" applyNumberFormat="1" applyFont="1" applyBorder="1" applyAlignment="1">
      <alignment horizontal="right" vertical="center"/>
    </xf>
    <xf numFmtId="0" fontId="55" fillId="48" borderId="16" xfId="0" applyFont="1" applyFill="1" applyBorder="1" applyAlignment="1">
      <alignment horizontal="center" vertical="center"/>
    </xf>
    <xf numFmtId="0" fontId="55" fillId="49" borderId="3" xfId="0" applyFont="1" applyFill="1" applyBorder="1" applyAlignment="1">
      <alignment vertical="center"/>
    </xf>
    <xf numFmtId="9" fontId="6" fillId="0" borderId="0" xfId="2" applyFont="1" applyFill="1" applyBorder="1"/>
    <xf numFmtId="164" fontId="6" fillId="0" borderId="0" xfId="0" applyNumberFormat="1" applyFont="1"/>
    <xf numFmtId="0" fontId="56" fillId="48" borderId="9" xfId="0" applyFont="1" applyFill="1" applyBorder="1" applyAlignment="1">
      <alignment horizontal="center" vertical="center" wrapText="1"/>
    </xf>
    <xf numFmtId="0" fontId="56" fillId="46" borderId="13" xfId="0" applyFont="1" applyFill="1" applyBorder="1" applyAlignment="1">
      <alignment horizontal="center" vertical="center" wrapText="1"/>
    </xf>
    <xf numFmtId="0" fontId="56" fillId="47" borderId="13" xfId="0" applyFont="1" applyFill="1" applyBorder="1" applyAlignment="1">
      <alignment horizontal="center" vertical="center" wrapText="1"/>
    </xf>
    <xf numFmtId="0" fontId="56" fillId="48" borderId="13" xfId="0" applyFont="1" applyFill="1" applyBorder="1" applyAlignment="1">
      <alignment horizontal="center" vertical="center" wrapText="1"/>
    </xf>
    <xf numFmtId="0" fontId="1" fillId="50" borderId="2" xfId="0" applyFont="1" applyFill="1" applyBorder="1" applyAlignment="1">
      <alignment horizontal="center" vertical="center"/>
    </xf>
    <xf numFmtId="9" fontId="23" fillId="0" borderId="2" xfId="0" applyNumberFormat="1" applyFont="1" applyBorder="1" applyAlignment="1">
      <alignment horizontal="center" vertical="center" wrapText="1"/>
    </xf>
    <xf numFmtId="0" fontId="56" fillId="0" borderId="2" xfId="0" applyFont="1" applyBorder="1" applyAlignment="1">
      <alignment horizontal="left" vertical="center" wrapText="1"/>
    </xf>
    <xf numFmtId="9" fontId="56" fillId="0" borderId="2" xfId="0" applyNumberFormat="1" applyFont="1" applyBorder="1" applyAlignment="1">
      <alignment horizontal="center" vertical="center" wrapText="1"/>
    </xf>
    <xf numFmtId="9" fontId="6" fillId="0" borderId="0" xfId="2" applyFont="1" applyFill="1" applyBorder="1" applyAlignment="1">
      <alignment horizontal="left"/>
    </xf>
    <xf numFmtId="9" fontId="7" fillId="0" borderId="0" xfId="2" applyFont="1" applyFill="1" applyBorder="1"/>
    <xf numFmtId="0" fontId="8" fillId="0" borderId="0" xfId="5"/>
    <xf numFmtId="0" fontId="12" fillId="0" borderId="0" xfId="0" applyFont="1" applyAlignment="1">
      <alignment horizontal="center" vertical="center"/>
    </xf>
    <xf numFmtId="0" fontId="24" fillId="12" borderId="2" xfId="0" applyFont="1" applyFill="1" applyBorder="1" applyAlignment="1">
      <alignment horizontal="center" vertical="center" wrapText="1"/>
    </xf>
    <xf numFmtId="0" fontId="10" fillId="0" borderId="2" xfId="3" applyFont="1" applyBorder="1" applyAlignment="1">
      <alignment horizontal="center" vertical="center" wrapText="1"/>
    </xf>
    <xf numFmtId="1" fontId="6" fillId="0" borderId="2" xfId="0" applyNumberFormat="1" applyFont="1" applyBorder="1" applyAlignment="1">
      <alignment horizontal="center" vertical="center"/>
    </xf>
    <xf numFmtId="0" fontId="8" fillId="0" borderId="0" xfId="5" applyAlignment="1">
      <alignment horizontal="left"/>
    </xf>
    <xf numFmtId="0" fontId="8" fillId="0" borderId="0" xfId="5" applyAlignment="1"/>
    <xf numFmtId="0" fontId="19" fillId="7" borderId="9" xfId="0" applyFont="1" applyFill="1" applyBorder="1" applyAlignment="1">
      <alignment horizontal="center" vertical="center"/>
    </xf>
    <xf numFmtId="10" fontId="6" fillId="0" borderId="0" xfId="2" applyNumberFormat="1" applyFont="1" applyBorder="1" applyAlignment="1">
      <alignment horizontal="center" vertical="center" wrapText="1"/>
    </xf>
    <xf numFmtId="0" fontId="19" fillId="7" borderId="53" xfId="0" applyFont="1" applyFill="1" applyBorder="1" applyAlignment="1">
      <alignment horizontal="center" vertical="center" wrapText="1"/>
    </xf>
    <xf numFmtId="1" fontId="10" fillId="0" borderId="0" xfId="3" applyNumberFormat="1" applyFont="1" applyBorder="1" applyAlignment="1">
      <alignment horizontal="left" vertical="center" wrapText="1"/>
    </xf>
    <xf numFmtId="1" fontId="6" fillId="0" borderId="0" xfId="0" applyNumberFormat="1" applyFont="1"/>
    <xf numFmtId="43" fontId="6" fillId="0" borderId="0" xfId="6" applyFont="1" applyBorder="1" applyAlignment="1">
      <alignment horizontal="left" vertical="center"/>
    </xf>
    <xf numFmtId="43" fontId="6" fillId="0" borderId="0" xfId="0" applyNumberFormat="1" applyFont="1"/>
    <xf numFmtId="0" fontId="6" fillId="0" borderId="2" xfId="0" applyFont="1" applyBorder="1" applyAlignment="1">
      <alignment horizontal="left" vertical="center" wrapText="1"/>
    </xf>
    <xf numFmtId="169" fontId="6" fillId="0" borderId="2" xfId="0" applyNumberFormat="1" applyFont="1" applyBorder="1"/>
    <xf numFmtId="169" fontId="6" fillId="0" borderId="2" xfId="6" applyNumberFormat="1" applyFont="1" applyBorder="1" applyAlignment="1">
      <alignment horizontal="left" vertical="center"/>
    </xf>
    <xf numFmtId="0" fontId="23" fillId="45" borderId="2" xfId="0" applyFont="1" applyFill="1" applyBorder="1" applyAlignment="1">
      <alignment vertical="center"/>
    </xf>
    <xf numFmtId="172" fontId="23" fillId="45" borderId="2" xfId="0" applyNumberFormat="1" applyFont="1" applyFill="1" applyBorder="1" applyAlignment="1">
      <alignment vertical="center"/>
    </xf>
    <xf numFmtId="43" fontId="6" fillId="0" borderId="2" xfId="0" applyNumberFormat="1" applyFont="1" applyBorder="1"/>
    <xf numFmtId="172" fontId="6" fillId="0" borderId="2" xfId="0" applyNumberFormat="1" applyFont="1" applyBorder="1"/>
    <xf numFmtId="0" fontId="10" fillId="0" borderId="2" xfId="3" applyFont="1" applyBorder="1" applyAlignment="1">
      <alignment horizontal="left" vertical="center" wrapText="1"/>
    </xf>
    <xf numFmtId="0" fontId="10" fillId="0" borderId="0" xfId="3" applyFont="1" applyBorder="1" applyAlignment="1">
      <alignment horizontal="left" vertical="center" wrapText="1"/>
    </xf>
    <xf numFmtId="169" fontId="6" fillId="0" borderId="0" xfId="0" applyNumberFormat="1" applyFont="1"/>
    <xf numFmtId="169" fontId="6" fillId="0" borderId="0" xfId="6" applyNumberFormat="1" applyFont="1" applyBorder="1" applyAlignment="1">
      <alignment horizontal="left" vertical="center"/>
    </xf>
    <xf numFmtId="0" fontId="23" fillId="0" borderId="68" xfId="0" applyFont="1" applyBorder="1"/>
    <xf numFmtId="0" fontId="14" fillId="0" borderId="0" xfId="0" applyFont="1"/>
    <xf numFmtId="0" fontId="19" fillId="7" borderId="69" xfId="0" applyFont="1" applyFill="1" applyBorder="1" applyAlignment="1">
      <alignment horizontal="center" vertical="center" wrapText="1"/>
    </xf>
    <xf numFmtId="1" fontId="10" fillId="0" borderId="2" xfId="3" applyNumberFormat="1" applyFont="1" applyBorder="1" applyAlignment="1">
      <alignment horizontal="left" vertical="center" wrapText="1"/>
    </xf>
    <xf numFmtId="1" fontId="6" fillId="0" borderId="2" xfId="0" applyNumberFormat="1" applyFont="1" applyBorder="1"/>
    <xf numFmtId="2" fontId="6" fillId="0" borderId="2" xfId="0" applyNumberFormat="1" applyFont="1" applyBorder="1"/>
    <xf numFmtId="43" fontId="6" fillId="0" borderId="2" xfId="6" applyFont="1" applyBorder="1" applyAlignment="1">
      <alignment horizontal="left" vertical="center"/>
    </xf>
    <xf numFmtId="171" fontId="6" fillId="0" borderId="2" xfId="0" applyNumberFormat="1" applyFont="1" applyBorder="1"/>
    <xf numFmtId="2" fontId="22" fillId="0" borderId="1" xfId="0" applyNumberFormat="1" applyFont="1" applyBorder="1" applyAlignment="1">
      <alignment horizontal="center" vertical="center"/>
    </xf>
    <xf numFmtId="2" fontId="22" fillId="0" borderId="4" xfId="0" applyNumberFormat="1" applyFont="1" applyBorder="1" applyAlignment="1">
      <alignment horizontal="center" vertical="center"/>
    </xf>
    <xf numFmtId="2" fontId="22" fillId="0" borderId="2" xfId="0" applyNumberFormat="1" applyFont="1" applyBorder="1" applyAlignment="1">
      <alignment horizontal="center" vertical="center"/>
    </xf>
    <xf numFmtId="2" fontId="22" fillId="0" borderId="5" xfId="0" applyNumberFormat="1" applyFont="1" applyBorder="1" applyAlignment="1">
      <alignment horizontal="center" vertical="center"/>
    </xf>
    <xf numFmtId="2" fontId="22" fillId="0" borderId="32" xfId="0" applyNumberFormat="1" applyFont="1" applyBorder="1" applyAlignment="1">
      <alignment horizontal="center" vertical="center"/>
    </xf>
    <xf numFmtId="2" fontId="22" fillId="0" borderId="6" xfId="0" applyNumberFormat="1" applyFont="1" applyBorder="1" applyAlignment="1">
      <alignment horizontal="center" vertical="center"/>
    </xf>
    <xf numFmtId="2" fontId="22" fillId="0" borderId="29" xfId="0" applyNumberFormat="1" applyFont="1" applyBorder="1" applyAlignment="1">
      <alignment horizontal="center" vertical="center"/>
    </xf>
    <xf numFmtId="2" fontId="22" fillId="0" borderId="31" xfId="0" applyNumberFormat="1" applyFont="1" applyBorder="1" applyAlignment="1">
      <alignment horizontal="center" vertical="center"/>
    </xf>
    <xf numFmtId="2" fontId="22" fillId="0" borderId="28" xfId="0" applyNumberFormat="1" applyFont="1" applyBorder="1" applyAlignment="1">
      <alignment horizontal="center" vertical="center"/>
    </xf>
    <xf numFmtId="2" fontId="22" fillId="0" borderId="30" xfId="0" applyNumberFormat="1" applyFont="1" applyBorder="1" applyAlignment="1">
      <alignment horizontal="center" vertical="center"/>
    </xf>
    <xf numFmtId="0" fontId="22" fillId="0" borderId="77" xfId="0" applyFont="1" applyBorder="1" applyAlignment="1">
      <alignment horizontal="center" vertical="center"/>
    </xf>
    <xf numFmtId="2" fontId="22" fillId="0" borderId="78" xfId="0" applyNumberFormat="1" applyFont="1" applyBorder="1" applyAlignment="1">
      <alignment horizontal="center" vertical="center"/>
    </xf>
    <xf numFmtId="2" fontId="22" fillId="0" borderId="79" xfId="0" applyNumberFormat="1" applyFont="1" applyBorder="1" applyAlignment="1">
      <alignment horizontal="center" vertical="center"/>
    </xf>
    <xf numFmtId="0" fontId="22" fillId="0" borderId="80" xfId="0" applyFont="1" applyBorder="1" applyAlignment="1">
      <alignment horizontal="center" vertical="center"/>
    </xf>
    <xf numFmtId="2" fontId="22" fillId="0" borderId="81" xfId="0" applyNumberFormat="1" applyFont="1" applyBorder="1" applyAlignment="1">
      <alignment horizontal="center" vertical="center"/>
    </xf>
    <xf numFmtId="2" fontId="22" fillId="0" borderId="82" xfId="0" applyNumberFormat="1" applyFont="1" applyBorder="1" applyAlignment="1">
      <alignment horizontal="center" vertical="center"/>
    </xf>
    <xf numFmtId="2" fontId="22" fillId="0" borderId="83" xfId="0" applyNumberFormat="1" applyFont="1" applyBorder="1" applyAlignment="1">
      <alignment horizontal="center" vertical="center"/>
    </xf>
    <xf numFmtId="2" fontId="22" fillId="0" borderId="9" xfId="0" applyNumberFormat="1" applyFont="1" applyBorder="1" applyAlignment="1">
      <alignment horizontal="center" vertical="center"/>
    </xf>
    <xf numFmtId="2" fontId="22" fillId="0" borderId="87" xfId="0" applyNumberFormat="1" applyFont="1" applyBorder="1" applyAlignment="1">
      <alignment horizontal="center" vertical="center"/>
    </xf>
    <xf numFmtId="0" fontId="22" fillId="0" borderId="88" xfId="0" applyFont="1" applyBorder="1" applyAlignment="1">
      <alignment horizontal="center" vertical="center"/>
    </xf>
    <xf numFmtId="2" fontId="22" fillId="0" borderId="71" xfId="0" applyNumberFormat="1" applyFont="1" applyBorder="1" applyAlignment="1">
      <alignment horizontal="center" vertical="center"/>
    </xf>
    <xf numFmtId="2" fontId="22" fillId="0" borderId="72" xfId="0" applyNumberFormat="1" applyFont="1" applyBorder="1" applyAlignment="1">
      <alignment horizontal="center" vertical="center"/>
    </xf>
    <xf numFmtId="0" fontId="22" fillId="0" borderId="89" xfId="0" applyFont="1" applyBorder="1" applyAlignment="1">
      <alignment horizontal="center" vertical="center"/>
    </xf>
    <xf numFmtId="2" fontId="22" fillId="0" borderId="43" xfId="0" applyNumberFormat="1" applyFont="1" applyBorder="1" applyAlignment="1">
      <alignment horizontal="center" vertical="center"/>
    </xf>
    <xf numFmtId="2" fontId="22" fillId="0" borderId="74" xfId="0" applyNumberFormat="1" applyFont="1" applyBorder="1" applyAlignment="1">
      <alignment horizontal="center" vertical="center"/>
    </xf>
    <xf numFmtId="0" fontId="22" fillId="0" borderId="90" xfId="0" applyFont="1" applyBorder="1" applyAlignment="1">
      <alignment horizontal="center" vertical="center"/>
    </xf>
    <xf numFmtId="2" fontId="22" fillId="0" borderId="85" xfId="0" applyNumberFormat="1" applyFont="1" applyBorder="1" applyAlignment="1">
      <alignment horizontal="center" vertical="center"/>
    </xf>
    <xf numFmtId="2" fontId="22" fillId="0" borderId="86" xfId="0" applyNumberFormat="1" applyFont="1" applyBorder="1" applyAlignment="1">
      <alignment horizontal="center" vertical="center"/>
    </xf>
    <xf numFmtId="1" fontId="22" fillId="0" borderId="91" xfId="0" applyNumberFormat="1" applyFont="1" applyBorder="1" applyAlignment="1">
      <alignment horizontal="center" vertical="center"/>
    </xf>
    <xf numFmtId="1" fontId="22" fillId="0" borderId="94" xfId="0" applyNumberFormat="1" applyFont="1" applyBorder="1" applyAlignment="1">
      <alignment horizontal="center" vertical="center"/>
    </xf>
    <xf numFmtId="1" fontId="22" fillId="0" borderId="10" xfId="0" applyNumberFormat="1" applyFont="1" applyBorder="1" applyAlignment="1">
      <alignment horizontal="center" vertical="center"/>
    </xf>
    <xf numFmtId="1" fontId="22" fillId="0" borderId="87" xfId="0" applyNumberFormat="1" applyFont="1" applyBorder="1" applyAlignment="1">
      <alignment horizontal="center" vertical="center"/>
    </xf>
    <xf numFmtId="0" fontId="22" fillId="0" borderId="95" xfId="0" applyFont="1" applyBorder="1" applyAlignment="1">
      <alignment horizontal="center" vertical="center"/>
    </xf>
    <xf numFmtId="0" fontId="22" fillId="0" borderId="98" xfId="0" applyFont="1" applyBorder="1" applyAlignment="1">
      <alignment horizontal="center" vertical="center"/>
    </xf>
    <xf numFmtId="1" fontId="22" fillId="0" borderId="71" xfId="0" applyNumberFormat="1" applyFont="1" applyBorder="1" applyAlignment="1">
      <alignment horizontal="center" vertical="center"/>
    </xf>
    <xf numFmtId="1" fontId="22" fillId="0" borderId="72" xfId="0" applyNumberFormat="1" applyFont="1" applyBorder="1" applyAlignment="1">
      <alignment horizontal="center" vertical="center"/>
    </xf>
    <xf numFmtId="0" fontId="22" fillId="0" borderId="100" xfId="0" applyFont="1" applyBorder="1" applyAlignment="1">
      <alignment horizontal="center" vertical="center"/>
    </xf>
    <xf numFmtId="1" fontId="22" fillId="0" borderId="43" xfId="0" applyNumberFormat="1" applyFont="1" applyBorder="1" applyAlignment="1">
      <alignment horizontal="center" vertical="center"/>
    </xf>
    <xf numFmtId="1" fontId="22" fillId="0" borderId="74" xfId="0" applyNumberFormat="1" applyFont="1" applyBorder="1" applyAlignment="1">
      <alignment horizontal="center" vertical="center"/>
    </xf>
    <xf numFmtId="0" fontId="22" fillId="0" borderId="103" xfId="0" applyFont="1" applyBorder="1" applyAlignment="1">
      <alignment horizontal="center" vertical="center"/>
    </xf>
    <xf numFmtId="1" fontId="22" fillId="0" borderId="85" xfId="0" applyNumberFormat="1" applyFont="1" applyBorder="1" applyAlignment="1">
      <alignment horizontal="center" vertical="center"/>
    </xf>
    <xf numFmtId="1" fontId="22" fillId="0" borderId="86" xfId="0" applyNumberFormat="1" applyFont="1" applyBorder="1" applyAlignment="1">
      <alignment horizontal="center" vertical="center"/>
    </xf>
    <xf numFmtId="0" fontId="22" fillId="0" borderId="106" xfId="0" applyFont="1" applyBorder="1" applyAlignment="1">
      <alignment horizontal="center" vertical="center"/>
    </xf>
    <xf numFmtId="0" fontId="22" fillId="0" borderId="67" xfId="0" applyFont="1" applyBorder="1" applyAlignment="1">
      <alignment horizontal="center" vertical="center"/>
    </xf>
    <xf numFmtId="0" fontId="22" fillId="0" borderId="113" xfId="0" applyFont="1" applyBorder="1" applyAlignment="1">
      <alignment horizontal="center" vertical="center"/>
    </xf>
    <xf numFmtId="1" fontId="22" fillId="0" borderId="96" xfId="0" applyNumberFormat="1" applyFont="1" applyBorder="1" applyAlignment="1">
      <alignment horizontal="center" vertical="center"/>
    </xf>
    <xf numFmtId="1" fontId="22" fillId="0" borderId="97" xfId="0" applyNumberFormat="1" applyFont="1" applyBorder="1" applyAlignment="1">
      <alignment horizontal="center" vertical="center"/>
    </xf>
    <xf numFmtId="1" fontId="22" fillId="0" borderId="99" xfId="0" applyNumberFormat="1" applyFont="1" applyBorder="1" applyAlignment="1">
      <alignment horizontal="center" vertical="center"/>
    </xf>
    <xf numFmtId="1" fontId="22" fillId="0" borderId="101" xfId="0" applyNumberFormat="1" applyFont="1" applyBorder="1" applyAlignment="1">
      <alignment horizontal="center" vertical="center"/>
    </xf>
    <xf numFmtId="1" fontId="22" fillId="0" borderId="102" xfId="0" applyNumberFormat="1" applyFont="1" applyBorder="1" applyAlignment="1">
      <alignment horizontal="center" vertical="center"/>
    </xf>
    <xf numFmtId="0" fontId="6" fillId="0" borderId="28" xfId="0" applyFont="1" applyBorder="1" applyAlignment="1">
      <alignment horizontal="center" vertical="center" wrapText="1"/>
    </xf>
    <xf numFmtId="0" fontId="7" fillId="0" borderId="28" xfId="0" applyFont="1" applyBorder="1" applyAlignment="1">
      <alignment horizontal="center" vertical="center" wrapText="1"/>
    </xf>
    <xf numFmtId="0" fontId="6" fillId="0" borderId="28" xfId="0" applyFont="1" applyBorder="1"/>
    <xf numFmtId="0" fontId="6" fillId="0" borderId="28" xfId="0" applyFont="1" applyBorder="1" applyAlignment="1">
      <alignment horizontal="center" vertical="top" wrapText="1"/>
    </xf>
    <xf numFmtId="0" fontId="7" fillId="7" borderId="9" xfId="0" applyFont="1" applyFill="1" applyBorder="1" applyAlignment="1">
      <alignment horizontal="center" vertical="center" wrapText="1"/>
    </xf>
    <xf numFmtId="165" fontId="1" fillId="0" borderId="28" xfId="0" applyNumberFormat="1" applyFont="1" applyBorder="1" applyAlignment="1">
      <alignment horizontal="center" vertical="center"/>
    </xf>
    <xf numFmtId="165" fontId="6" fillId="0" borderId="28" xfId="0" applyNumberFormat="1" applyFont="1" applyBorder="1" applyAlignment="1">
      <alignment horizontal="center" vertical="center"/>
    </xf>
    <xf numFmtId="0" fontId="7" fillId="7" borderId="53" xfId="0" applyFont="1" applyFill="1" applyBorder="1" applyAlignment="1">
      <alignment horizontal="center" vertical="center"/>
    </xf>
    <xf numFmtId="0" fontId="24" fillId="12" borderId="9" xfId="0" applyFont="1" applyFill="1" applyBorder="1" applyAlignment="1">
      <alignment horizontal="center" vertical="center" wrapText="1"/>
    </xf>
    <xf numFmtId="0" fontId="24" fillId="12" borderId="12" xfId="0" applyFont="1" applyFill="1" applyBorder="1" applyAlignment="1">
      <alignment horizontal="center" vertical="center" wrapText="1"/>
    </xf>
    <xf numFmtId="0" fontId="24" fillId="12" borderId="120" xfId="0" applyFont="1" applyFill="1" applyBorder="1" applyAlignment="1">
      <alignment horizontal="center" vertical="center"/>
    </xf>
    <xf numFmtId="0" fontId="7" fillId="2" borderId="0" xfId="0" applyFont="1" applyFill="1" applyAlignment="1">
      <alignment horizontal="left" vertical="center"/>
    </xf>
    <xf numFmtId="0" fontId="19" fillId="51" borderId="2" xfId="0" applyFont="1" applyFill="1" applyBorder="1" applyAlignment="1">
      <alignment horizontal="center" vertical="center" wrapText="1"/>
    </xf>
    <xf numFmtId="165" fontId="23" fillId="0" borderId="2" xfId="0" applyNumberFormat="1" applyFont="1" applyBorder="1" applyAlignment="1">
      <alignment horizontal="center" vertical="center"/>
    </xf>
    <xf numFmtId="0" fontId="19" fillId="12" borderId="2" xfId="0" applyFont="1" applyFill="1" applyBorder="1" applyAlignment="1">
      <alignment horizontal="center" vertical="center" wrapText="1"/>
    </xf>
    <xf numFmtId="0" fontId="6" fillId="0" borderId="28" xfId="4" applyBorder="1" applyAlignment="1">
      <alignment horizontal="center" vertical="center"/>
    </xf>
    <xf numFmtId="3" fontId="23" fillId="0" borderId="28" xfId="0" applyNumberFormat="1" applyFont="1" applyBorder="1" applyAlignment="1">
      <alignment horizontal="center"/>
    </xf>
    <xf numFmtId="165" fontId="23" fillId="0" borderId="28" xfId="0" applyNumberFormat="1" applyFont="1" applyBorder="1" applyAlignment="1">
      <alignment horizontal="center"/>
    </xf>
    <xf numFmtId="165" fontId="6" fillId="0" borderId="28" xfId="0" applyNumberFormat="1" applyFont="1" applyBorder="1"/>
    <xf numFmtId="0" fontId="6" fillId="0" borderId="0" xfId="0" applyFont="1" applyAlignment="1">
      <alignment vertical="top"/>
    </xf>
    <xf numFmtId="0" fontId="6" fillId="0" borderId="0" xfId="0" applyFont="1" applyAlignment="1">
      <alignment horizontal="left" vertical="top"/>
    </xf>
    <xf numFmtId="9" fontId="6" fillId="0" borderId="0" xfId="2" applyFont="1" applyAlignment="1">
      <alignment horizontal="left" vertical="top"/>
    </xf>
    <xf numFmtId="0" fontId="10" fillId="0" borderId="2" xfId="3" applyFont="1" applyFill="1" applyBorder="1" applyAlignment="1">
      <alignment horizontal="center" vertical="center" wrapText="1"/>
    </xf>
    <xf numFmtId="0" fontId="22" fillId="0" borderId="106" xfId="0" applyFont="1" applyFill="1" applyBorder="1" applyAlignment="1">
      <alignment horizontal="center" vertical="center"/>
    </xf>
    <xf numFmtId="1" fontId="22" fillId="0" borderId="96" xfId="0" applyNumberFormat="1" applyFont="1" applyFill="1" applyBorder="1" applyAlignment="1">
      <alignment horizontal="center" vertical="center"/>
    </xf>
    <xf numFmtId="1" fontId="22" fillId="0" borderId="97" xfId="0" applyNumberFormat="1" applyFont="1" applyFill="1" applyBorder="1" applyAlignment="1">
      <alignment horizontal="center" vertical="center"/>
    </xf>
    <xf numFmtId="0" fontId="22" fillId="0" borderId="67" xfId="0" applyFont="1" applyFill="1" applyBorder="1" applyAlignment="1">
      <alignment horizontal="center" vertical="center"/>
    </xf>
    <xf numFmtId="1" fontId="22" fillId="0" borderId="43" xfId="0" applyNumberFormat="1" applyFont="1" applyFill="1" applyBorder="1" applyAlignment="1">
      <alignment horizontal="center" vertical="center"/>
    </xf>
    <xf numFmtId="1" fontId="22" fillId="0" borderId="99" xfId="0" applyNumberFormat="1" applyFont="1" applyFill="1" applyBorder="1" applyAlignment="1">
      <alignment horizontal="center" vertical="center"/>
    </xf>
    <xf numFmtId="0" fontId="22" fillId="0" borderId="113" xfId="0" applyFont="1" applyFill="1" applyBorder="1" applyAlignment="1">
      <alignment horizontal="center" vertical="center"/>
    </xf>
    <xf numFmtId="1" fontId="22" fillId="0" borderId="101" xfId="0" applyNumberFormat="1" applyFont="1" applyFill="1" applyBorder="1" applyAlignment="1">
      <alignment horizontal="center" vertical="center"/>
    </xf>
    <xf numFmtId="1" fontId="22" fillId="0" borderId="102" xfId="0" applyNumberFormat="1" applyFont="1" applyFill="1" applyBorder="1" applyAlignment="1">
      <alignment horizontal="center" vertical="center"/>
    </xf>
    <xf numFmtId="0" fontId="22" fillId="0" borderId="115" xfId="0" applyFont="1" applyFill="1" applyBorder="1" applyAlignment="1">
      <alignment horizontal="center" vertical="center"/>
    </xf>
    <xf numFmtId="0" fontId="22" fillId="0" borderId="59" xfId="0" applyFont="1" applyFill="1" applyBorder="1" applyAlignment="1">
      <alignment horizontal="center" vertical="center"/>
    </xf>
    <xf numFmtId="1" fontId="22" fillId="0" borderId="93" xfId="0" applyNumberFormat="1" applyFont="1" applyFill="1" applyBorder="1" applyAlignment="1">
      <alignment horizontal="center" vertical="center"/>
    </xf>
    <xf numFmtId="1" fontId="22" fillId="0" borderId="116" xfId="0" applyNumberFormat="1" applyFont="1" applyFill="1" applyBorder="1" applyAlignment="1">
      <alignment horizontal="center" vertical="center"/>
    </xf>
    <xf numFmtId="1" fontId="22" fillId="0" borderId="74" xfId="0" applyNumberFormat="1" applyFont="1" applyFill="1" applyBorder="1" applyAlignment="1">
      <alignment horizontal="center" vertical="center"/>
    </xf>
    <xf numFmtId="1" fontId="22" fillId="0" borderId="53" xfId="0" applyNumberFormat="1" applyFont="1" applyFill="1" applyBorder="1" applyAlignment="1">
      <alignment horizontal="center" vertical="center"/>
    </xf>
    <xf numFmtId="1" fontId="22" fillId="0" borderId="76" xfId="0" applyNumberFormat="1" applyFont="1" applyFill="1" applyBorder="1" applyAlignment="1">
      <alignment horizontal="center" vertical="center"/>
    </xf>
    <xf numFmtId="0" fontId="6" fillId="0" borderId="0" xfId="0" applyFont="1" applyAlignment="1">
      <alignment vertical="center" wrapText="1"/>
    </xf>
    <xf numFmtId="0" fontId="6" fillId="0" borderId="0" xfId="0" applyFont="1" applyAlignment="1">
      <alignment horizontal="left"/>
    </xf>
    <xf numFmtId="0" fontId="6" fillId="0" borderId="0" xfId="0" applyFont="1" applyAlignment="1">
      <alignment horizontal="left" vertical="center"/>
    </xf>
    <xf numFmtId="0" fontId="6" fillId="0" borderId="0" xfId="0" applyFont="1" applyAlignment="1">
      <alignment vertical="center"/>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6" fillId="0" borderId="0" xfId="0" applyFont="1" applyAlignment="1">
      <alignment horizontal="center"/>
    </xf>
    <xf numFmtId="0" fontId="56" fillId="46" borderId="9" xfId="0" applyFont="1" applyFill="1" applyBorder="1" applyAlignment="1">
      <alignment horizontal="center" vertical="center" wrapText="1"/>
    </xf>
    <xf numFmtId="0" fontId="56" fillId="47" borderId="9" xfId="0" applyFont="1" applyFill="1" applyBorder="1" applyAlignment="1">
      <alignment horizontal="center" vertical="center" wrapText="1"/>
    </xf>
    <xf numFmtId="0" fontId="6" fillId="0" borderId="24" xfId="0" applyFont="1" applyBorder="1" applyAlignment="1">
      <alignment horizontal="center" vertical="center"/>
    </xf>
    <xf numFmtId="0" fontId="6" fillId="0" borderId="23" xfId="0" applyFont="1" applyBorder="1" applyAlignment="1">
      <alignment horizontal="center" vertical="center"/>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23" fillId="0" borderId="0" xfId="0" applyFont="1" applyAlignment="1">
      <alignment horizontal="left"/>
    </xf>
    <xf numFmtId="10" fontId="6" fillId="0" borderId="2" xfId="2" applyNumberFormat="1" applyFont="1" applyBorder="1" applyAlignment="1">
      <alignment horizontal="center" vertical="center" wrapText="1"/>
    </xf>
    <xf numFmtId="0" fontId="7" fillId="7" borderId="2" xfId="0" applyFont="1" applyFill="1" applyBorder="1" applyAlignment="1">
      <alignment horizontal="center" vertical="center"/>
    </xf>
    <xf numFmtId="0" fontId="7" fillId="7" borderId="9" xfId="0" applyFont="1" applyFill="1" applyBorder="1" applyAlignment="1">
      <alignment horizontal="center" vertical="center"/>
    </xf>
    <xf numFmtId="0" fontId="7" fillId="7" borderId="2" xfId="0" applyFont="1" applyFill="1" applyBorder="1" applyAlignment="1">
      <alignment horizontal="center" vertical="center" wrapText="1"/>
    </xf>
    <xf numFmtId="0" fontId="7" fillId="7" borderId="0" xfId="0" applyFont="1" applyFill="1" applyAlignment="1">
      <alignment horizontal="center" vertical="center"/>
    </xf>
    <xf numFmtId="0" fontId="19" fillId="7" borderId="2" xfId="0" applyFont="1" applyFill="1" applyBorder="1" applyAlignment="1">
      <alignment horizontal="center" vertical="center" wrapText="1"/>
    </xf>
    <xf numFmtId="0" fontId="6" fillId="0" borderId="28" xfId="0" applyFont="1" applyBorder="1" applyAlignment="1">
      <alignment horizontal="center" vertical="center"/>
    </xf>
    <xf numFmtId="0" fontId="23" fillId="0" borderId="2" xfId="0" applyFont="1" applyBorder="1" applyAlignment="1">
      <alignment horizontal="center" vertical="center"/>
    </xf>
    <xf numFmtId="9" fontId="6" fillId="0" borderId="23" xfId="2" applyFont="1" applyFill="1" applyBorder="1" applyAlignment="1">
      <alignment horizontal="center" vertical="center"/>
    </xf>
    <xf numFmtId="0" fontId="6" fillId="0" borderId="0" xfId="0" applyFont="1" applyAlignment="1">
      <alignment horizontal="center" vertical="center"/>
    </xf>
    <xf numFmtId="0" fontId="24" fillId="7" borderId="2" xfId="0" applyFont="1" applyFill="1" applyBorder="1" applyAlignment="1">
      <alignment horizontal="center" vertical="center"/>
    </xf>
    <xf numFmtId="0" fontId="0" fillId="0" borderId="0" xfId="0" applyAlignment="1">
      <alignment horizontal="center"/>
    </xf>
    <xf numFmtId="0" fontId="6" fillId="0" borderId="0" xfId="0" applyFont="1" applyAlignment="1">
      <alignment vertical="center" wrapText="1"/>
    </xf>
    <xf numFmtId="0" fontId="13" fillId="9" borderId="0" xfId="0" applyFont="1" applyFill="1" applyAlignment="1">
      <alignment horizontal="center" vertical="center"/>
    </xf>
    <xf numFmtId="0" fontId="6" fillId="0" borderId="0" xfId="0" applyFont="1" applyAlignment="1">
      <alignment horizontal="left"/>
    </xf>
    <xf numFmtId="0" fontId="6" fillId="0" borderId="0" xfId="0" applyFont="1" applyAlignment="1">
      <alignment horizontal="left" vertical="center"/>
    </xf>
    <xf numFmtId="0" fontId="6" fillId="0" borderId="0" xfId="0" applyFont="1" applyAlignment="1">
      <alignment vertical="center"/>
    </xf>
    <xf numFmtId="0" fontId="18" fillId="0" borderId="17" xfId="0" applyFont="1" applyBorder="1" applyAlignment="1">
      <alignment horizontal="left" vertical="center"/>
    </xf>
    <xf numFmtId="0" fontId="13" fillId="9" borderId="3" xfId="1" applyFont="1" applyFill="1" applyBorder="1" applyAlignment="1">
      <alignment horizontal="center" vertical="center" wrapText="1"/>
    </xf>
    <xf numFmtId="0" fontId="13" fillId="9" borderId="7" xfId="1" applyFont="1" applyFill="1" applyBorder="1" applyAlignment="1">
      <alignment horizontal="center" vertical="center" wrapText="1"/>
    </xf>
    <xf numFmtId="0" fontId="13" fillId="9" borderId="17" xfId="0" applyFont="1" applyFill="1" applyBorder="1" applyAlignment="1">
      <alignment horizontal="center" vertical="center"/>
    </xf>
    <xf numFmtId="0" fontId="7" fillId="5" borderId="37" xfId="0" applyFont="1" applyFill="1" applyBorder="1" applyAlignment="1">
      <alignment horizontal="center" vertical="center"/>
    </xf>
    <xf numFmtId="0" fontId="7" fillId="5" borderId="38" xfId="0" applyFont="1" applyFill="1" applyBorder="1" applyAlignment="1">
      <alignment horizontal="center" vertical="center"/>
    </xf>
    <xf numFmtId="0" fontId="7" fillId="5" borderId="39" xfId="0" applyFont="1" applyFill="1" applyBorder="1" applyAlignment="1">
      <alignment horizontal="center" vertical="center"/>
    </xf>
    <xf numFmtId="0" fontId="6" fillId="6" borderId="2" xfId="0" applyFont="1" applyFill="1" applyBorder="1" applyAlignment="1">
      <alignment horizontal="center"/>
    </xf>
    <xf numFmtId="0" fontId="12" fillId="6" borderId="2" xfId="0" applyFont="1" applyFill="1" applyBorder="1" applyAlignment="1">
      <alignment horizontal="center" vertical="center"/>
    </xf>
    <xf numFmtId="0" fontId="6" fillId="0" borderId="24" xfId="0" applyFont="1" applyBorder="1" applyAlignment="1">
      <alignment horizontal="center" vertical="center" wrapText="1"/>
    </xf>
    <xf numFmtId="0" fontId="6" fillId="0" borderId="23" xfId="0" applyFont="1" applyBorder="1" applyAlignment="1">
      <alignment horizontal="center" vertical="center" wrapText="1"/>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23" fillId="0" borderId="24" xfId="0" applyFont="1" applyBorder="1" applyAlignment="1">
      <alignment horizontal="center" vertical="center" wrapText="1"/>
    </xf>
    <xf numFmtId="0" fontId="23" fillId="0" borderId="22" xfId="0" applyFont="1" applyBorder="1" applyAlignment="1">
      <alignment horizontal="center" vertical="center" wrapText="1"/>
    </xf>
    <xf numFmtId="0" fontId="23" fillId="0" borderId="23" xfId="0" applyFont="1" applyBorder="1" applyAlignment="1">
      <alignment horizontal="center" vertical="center" wrapText="1"/>
    </xf>
    <xf numFmtId="0" fontId="7" fillId="7" borderId="25" xfId="0" applyFont="1" applyFill="1" applyBorder="1" applyAlignment="1">
      <alignment horizontal="center" vertical="center" wrapText="1"/>
    </xf>
    <xf numFmtId="0" fontId="7" fillId="7" borderId="26" xfId="0" applyFont="1" applyFill="1" applyBorder="1" applyAlignment="1">
      <alignment horizontal="center" vertical="center" wrapText="1"/>
    </xf>
    <xf numFmtId="0" fontId="7" fillId="7" borderId="27" xfId="0" applyFont="1" applyFill="1" applyBorder="1" applyAlignment="1">
      <alignment horizontal="center" vertical="center" wrapText="1"/>
    </xf>
    <xf numFmtId="0" fontId="6" fillId="0" borderId="0" xfId="0" applyFont="1" applyAlignment="1">
      <alignment horizontal="center"/>
    </xf>
    <xf numFmtId="0" fontId="13" fillId="9" borderId="0" xfId="0" applyFont="1" applyFill="1" applyAlignment="1">
      <alignment horizontal="center" vertical="center" wrapText="1"/>
    </xf>
    <xf numFmtId="0" fontId="6" fillId="0" borderId="22" xfId="0" applyFont="1" applyBorder="1" applyAlignment="1">
      <alignment horizontal="center" vertical="center" wrapText="1"/>
    </xf>
    <xf numFmtId="0" fontId="1" fillId="0" borderId="21" xfId="0" applyFont="1" applyBorder="1" applyAlignment="1">
      <alignment horizontal="center" vertical="center" wrapText="1"/>
    </xf>
    <xf numFmtId="168" fontId="6" fillId="0" borderId="25" xfId="0" applyNumberFormat="1" applyFont="1" applyBorder="1" applyAlignment="1">
      <alignment horizontal="center" vertical="center" wrapText="1"/>
    </xf>
    <xf numFmtId="168" fontId="6" fillId="0" borderId="26" xfId="0" applyNumberFormat="1" applyFont="1" applyBorder="1" applyAlignment="1">
      <alignment horizontal="center" vertical="center" wrapText="1"/>
    </xf>
    <xf numFmtId="168" fontId="6" fillId="0" borderId="27" xfId="0" applyNumberFormat="1" applyFont="1" applyBorder="1" applyAlignment="1">
      <alignment horizontal="center" vertical="center" wrapText="1"/>
    </xf>
    <xf numFmtId="0" fontId="13" fillId="9" borderId="33" xfId="0" applyFont="1" applyFill="1" applyBorder="1" applyAlignment="1">
      <alignment horizontal="center" vertical="center"/>
    </xf>
    <xf numFmtId="0" fontId="6" fillId="0" borderId="24" xfId="0" applyFont="1" applyBorder="1" applyAlignment="1">
      <alignment horizontal="left" vertical="center"/>
    </xf>
    <xf numFmtId="0" fontId="6" fillId="0" borderId="22" xfId="0" applyFont="1" applyBorder="1" applyAlignment="1">
      <alignment horizontal="left" vertical="center"/>
    </xf>
    <xf numFmtId="0" fontId="6" fillId="0" borderId="23" xfId="0" applyFont="1" applyBorder="1" applyAlignment="1">
      <alignment horizontal="left" vertical="center"/>
    </xf>
    <xf numFmtId="0" fontId="33" fillId="11" borderId="0" xfId="0" applyFont="1" applyFill="1" applyAlignment="1">
      <alignment horizontal="center" vertical="center"/>
    </xf>
    <xf numFmtId="0" fontId="13" fillId="9" borderId="17" xfId="0" applyFont="1" applyFill="1" applyBorder="1" applyAlignment="1">
      <alignment horizontal="center" vertical="center" wrapText="1"/>
    </xf>
    <xf numFmtId="0" fontId="6" fillId="5" borderId="36" xfId="0" applyFont="1" applyFill="1" applyBorder="1" applyAlignment="1">
      <alignment horizontal="center" vertical="center" wrapText="1"/>
    </xf>
    <xf numFmtId="0" fontId="6" fillId="5" borderId="22" xfId="0" applyFont="1" applyFill="1" applyBorder="1" applyAlignment="1">
      <alignment horizontal="center" vertical="center" wrapText="1"/>
    </xf>
    <xf numFmtId="0" fontId="6" fillId="5" borderId="23" xfId="0" applyFont="1" applyFill="1" applyBorder="1" applyAlignment="1">
      <alignment horizontal="center" vertical="center" wrapText="1"/>
    </xf>
    <xf numFmtId="0" fontId="6" fillId="0" borderId="24" xfId="0" applyFont="1" applyBorder="1" applyAlignment="1">
      <alignment horizontal="center" vertical="center"/>
    </xf>
    <xf numFmtId="0" fontId="6" fillId="0" borderId="22" xfId="0" applyFont="1" applyBorder="1" applyAlignment="1">
      <alignment horizontal="center" vertical="center"/>
    </xf>
    <xf numFmtId="0" fontId="6" fillId="0" borderId="23" xfId="0" applyFont="1" applyBorder="1" applyAlignment="1">
      <alignment horizontal="center" vertical="center"/>
    </xf>
    <xf numFmtId="0" fontId="56" fillId="49" borderId="10" xfId="0" applyFont="1" applyFill="1" applyBorder="1" applyAlignment="1">
      <alignment horizontal="center" vertical="center"/>
    </xf>
    <xf numFmtId="0" fontId="56" fillId="49" borderId="16" xfId="0" applyFont="1" applyFill="1" applyBorder="1" applyAlignment="1">
      <alignment horizontal="center" vertical="center"/>
    </xf>
    <xf numFmtId="0" fontId="53" fillId="45" borderId="9" xfId="0" applyFont="1" applyFill="1" applyBorder="1" applyAlignment="1">
      <alignment horizontal="center" vertical="center" wrapText="1"/>
    </xf>
    <xf numFmtId="0" fontId="53" fillId="45" borderId="13" xfId="0" applyFont="1" applyFill="1" applyBorder="1" applyAlignment="1">
      <alignment horizontal="center" vertical="center" wrapText="1"/>
    </xf>
    <xf numFmtId="0" fontId="53" fillId="45" borderId="15" xfId="0" applyFont="1" applyFill="1" applyBorder="1" applyAlignment="1">
      <alignment horizontal="center" vertical="center" wrapText="1"/>
    </xf>
    <xf numFmtId="0" fontId="54" fillId="46" borderId="2" xfId="0" applyFont="1" applyFill="1" applyBorder="1" applyAlignment="1">
      <alignment horizontal="center" vertical="center"/>
    </xf>
    <xf numFmtId="0" fontId="54" fillId="47" borderId="3" xfId="0" applyFont="1" applyFill="1" applyBorder="1" applyAlignment="1">
      <alignment horizontal="center" vertical="center"/>
    </xf>
    <xf numFmtId="0" fontId="54" fillId="47" borderId="8" xfId="0" applyFont="1" applyFill="1" applyBorder="1" applyAlignment="1">
      <alignment horizontal="center" vertical="center"/>
    </xf>
    <xf numFmtId="0" fontId="56" fillId="46" borderId="9" xfId="0" applyFont="1" applyFill="1" applyBorder="1" applyAlignment="1">
      <alignment horizontal="center" vertical="center" wrapText="1"/>
    </xf>
    <xf numFmtId="0" fontId="56" fillId="46" borderId="15" xfId="0" applyFont="1" applyFill="1" applyBorder="1" applyAlignment="1">
      <alignment horizontal="center" vertical="center" wrapText="1"/>
    </xf>
    <xf numFmtId="0" fontId="56" fillId="47" borderId="9" xfId="0" applyFont="1" applyFill="1" applyBorder="1" applyAlignment="1">
      <alignment horizontal="center" vertical="center" wrapText="1"/>
    </xf>
    <xf numFmtId="0" fontId="56" fillId="47" borderId="15" xfId="0" applyFont="1" applyFill="1" applyBorder="1" applyAlignment="1">
      <alignment horizontal="center" vertical="center" wrapText="1"/>
    </xf>
    <xf numFmtId="0" fontId="0" fillId="0" borderId="9" xfId="0" applyBorder="1" applyAlignment="1">
      <alignment horizontal="center" vertical="center" wrapText="1"/>
    </xf>
    <xf numFmtId="0" fontId="0" fillId="0" borderId="13" xfId="0" applyBorder="1" applyAlignment="1">
      <alignment horizontal="center" vertical="center" wrapText="1"/>
    </xf>
    <xf numFmtId="0" fontId="0" fillId="0" borderId="15" xfId="0" applyBorder="1" applyAlignment="1">
      <alignment horizontal="center" vertical="center"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23" fillId="0" borderId="0" xfId="0" applyFont="1" applyAlignment="1">
      <alignment horizontal="left"/>
    </xf>
    <xf numFmtId="10" fontId="6" fillId="0" borderId="2" xfId="2" applyNumberFormat="1" applyFont="1" applyBorder="1" applyAlignment="1">
      <alignment horizontal="center" vertical="center" wrapText="1"/>
    </xf>
    <xf numFmtId="0" fontId="13" fillId="9" borderId="16" xfId="0" applyFont="1" applyFill="1" applyBorder="1" applyAlignment="1">
      <alignment horizontal="center" vertical="center" wrapText="1"/>
    </xf>
    <xf numFmtId="0" fontId="13" fillId="9" borderId="28" xfId="0" applyFont="1" applyFill="1" applyBorder="1" applyAlignment="1">
      <alignment horizontal="center" vertical="center" wrapText="1"/>
    </xf>
    <xf numFmtId="0" fontId="33" fillId="11" borderId="2" xfId="0" applyFont="1" applyFill="1" applyBorder="1" applyAlignment="1">
      <alignment horizontal="center" vertical="center" wrapText="1"/>
    </xf>
    <xf numFmtId="0" fontId="7" fillId="7" borderId="2" xfId="0" applyFont="1" applyFill="1" applyBorder="1" applyAlignment="1">
      <alignment horizontal="center" vertical="center"/>
    </xf>
    <xf numFmtId="0" fontId="7" fillId="7" borderId="9" xfId="0" applyFont="1" applyFill="1" applyBorder="1" applyAlignment="1">
      <alignment horizontal="center" vertical="center"/>
    </xf>
    <xf numFmtId="0" fontId="7" fillId="7" borderId="2" xfId="0" applyFont="1" applyFill="1" applyBorder="1" applyAlignment="1">
      <alignment horizontal="center" vertical="center" wrapText="1"/>
    </xf>
    <xf numFmtId="0" fontId="6" fillId="0" borderId="78" xfId="0" applyFont="1" applyBorder="1" applyAlignment="1">
      <alignment horizontal="center" vertical="center" wrapText="1"/>
    </xf>
    <xf numFmtId="0" fontId="6" fillId="0" borderId="119" xfId="0" applyFont="1" applyBorder="1" applyAlignment="1">
      <alignment horizontal="center" vertical="center" wrapText="1"/>
    </xf>
    <xf numFmtId="0" fontId="6" fillId="0" borderId="29" xfId="0" applyFont="1" applyBorder="1" applyAlignment="1">
      <alignment horizontal="center" vertical="center" wrapText="1"/>
    </xf>
    <xf numFmtId="0" fontId="6" fillId="8" borderId="2" xfId="0" applyFont="1" applyFill="1" applyBorder="1" applyAlignment="1">
      <alignment horizontal="left" vertical="center"/>
    </xf>
    <xf numFmtId="0" fontId="24" fillId="7" borderId="66" xfId="0" applyFont="1" applyFill="1" applyBorder="1" applyAlignment="1">
      <alignment horizontal="center" vertical="center" wrapText="1"/>
    </xf>
    <xf numFmtId="0" fontId="24" fillId="7" borderId="67" xfId="0" applyFont="1" applyFill="1" applyBorder="1" applyAlignment="1">
      <alignment horizontal="center" vertical="center" wrapText="1"/>
    </xf>
    <xf numFmtId="0" fontId="0" fillId="0" borderId="78" xfId="0" applyBorder="1" applyAlignment="1">
      <alignment horizontal="center" vertical="center" wrapText="1"/>
    </xf>
    <xf numFmtId="0" fontId="0" fillId="0" borderId="119" xfId="0" applyBorder="1" applyAlignment="1">
      <alignment horizontal="center" vertical="center" wrapText="1"/>
    </xf>
    <xf numFmtId="0" fontId="0" fillId="0" borderId="29" xfId="0" applyBorder="1" applyAlignment="1">
      <alignment horizontal="center" vertical="center" wrapText="1"/>
    </xf>
    <xf numFmtId="0" fontId="13" fillId="9" borderId="16" xfId="0" applyFont="1" applyFill="1" applyBorder="1" applyAlignment="1">
      <alignment horizontal="center" vertical="center"/>
    </xf>
    <xf numFmtId="0" fontId="22" fillId="0" borderId="104" xfId="0" applyFont="1" applyBorder="1" applyAlignment="1">
      <alignment horizontal="center" vertical="center" wrapText="1"/>
    </xf>
    <xf numFmtId="0" fontId="22" fillId="0" borderId="117" xfId="0" applyFont="1" applyBorder="1" applyAlignment="1">
      <alignment horizontal="center" vertical="center" wrapText="1"/>
    </xf>
    <xf numFmtId="0" fontId="22" fillId="0" borderId="118" xfId="0" applyFont="1" applyBorder="1" applyAlignment="1">
      <alignment horizontal="center" vertical="center" wrapText="1"/>
    </xf>
    <xf numFmtId="0" fontId="22" fillId="0" borderId="96" xfId="0" applyFont="1" applyBorder="1" applyAlignment="1">
      <alignment horizontal="center" vertical="center" wrapText="1"/>
    </xf>
    <xf numFmtId="0" fontId="22" fillId="0" borderId="108" xfId="0" applyFont="1" applyBorder="1" applyAlignment="1">
      <alignment horizontal="center" vertical="center" wrapText="1"/>
    </xf>
    <xf numFmtId="0" fontId="22" fillId="0" borderId="111" xfId="0" applyFont="1" applyBorder="1" applyAlignment="1">
      <alignment horizontal="center" vertical="center" wrapText="1"/>
    </xf>
    <xf numFmtId="0" fontId="22" fillId="0" borderId="97" xfId="0" applyFont="1" applyBorder="1" applyAlignment="1">
      <alignment horizontal="center" vertical="center" wrapText="1"/>
    </xf>
    <xf numFmtId="0" fontId="22" fillId="0" borderId="99" xfId="0" applyFont="1" applyBorder="1" applyAlignment="1">
      <alignment horizontal="center" vertical="center" wrapText="1"/>
    </xf>
    <xf numFmtId="0" fontId="22" fillId="0" borderId="102" xfId="0" applyFont="1" applyBorder="1" applyAlignment="1">
      <alignment horizontal="center" vertical="center" wrapText="1"/>
    </xf>
    <xf numFmtId="0" fontId="13" fillId="9" borderId="18" xfId="0" applyFont="1" applyFill="1" applyBorder="1" applyAlignment="1">
      <alignment horizontal="center" vertical="center" wrapText="1"/>
    </xf>
    <xf numFmtId="0" fontId="22" fillId="0" borderId="70" xfId="0" applyFont="1" applyBorder="1" applyAlignment="1">
      <alignment horizontal="center" vertical="center" wrapText="1"/>
    </xf>
    <xf numFmtId="0" fontId="22" fillId="0" borderId="73" xfId="0" applyFont="1" applyBorder="1" applyAlignment="1">
      <alignment horizontal="center" vertical="center" wrapText="1"/>
    </xf>
    <xf numFmtId="0" fontId="22" fillId="0" borderId="75" xfId="0" applyFont="1" applyBorder="1" applyAlignment="1">
      <alignment horizontal="center" vertical="center" wrapText="1"/>
    </xf>
    <xf numFmtId="0" fontId="22" fillId="0" borderId="84" xfId="0" applyFont="1" applyBorder="1" applyAlignment="1">
      <alignment horizontal="center" vertical="center" wrapText="1"/>
    </xf>
    <xf numFmtId="3" fontId="22" fillId="0" borderId="71" xfId="0" applyNumberFormat="1" applyFont="1" applyBorder="1" applyAlignment="1">
      <alignment horizontal="center" vertical="center"/>
    </xf>
    <xf numFmtId="0" fontId="22" fillId="0" borderId="43" xfId="0" applyFont="1" applyBorder="1" applyAlignment="1">
      <alignment horizontal="center" vertical="center"/>
    </xf>
    <xf numFmtId="0" fontId="22" fillId="0" borderId="53" xfId="0" applyFont="1" applyBorder="1" applyAlignment="1">
      <alignment horizontal="center" vertical="center"/>
    </xf>
    <xf numFmtId="0" fontId="57" fillId="0" borderId="71" xfId="0" applyFont="1" applyBorder="1" applyAlignment="1">
      <alignment horizontal="center" vertical="center"/>
    </xf>
    <xf numFmtId="0" fontId="57" fillId="0" borderId="43" xfId="0" applyFont="1" applyBorder="1" applyAlignment="1">
      <alignment horizontal="center" vertical="center"/>
    </xf>
    <xf numFmtId="0" fontId="57" fillId="0" borderId="53" xfId="0" applyFont="1" applyBorder="1" applyAlignment="1">
      <alignment horizontal="center" vertical="center"/>
    </xf>
    <xf numFmtId="0" fontId="57" fillId="0" borderId="85" xfId="0" applyFont="1" applyBorder="1" applyAlignment="1">
      <alignment horizontal="center" vertical="center"/>
    </xf>
    <xf numFmtId="0" fontId="58" fillId="0" borderId="72" xfId="0" applyFont="1" applyBorder="1" applyAlignment="1">
      <alignment horizontal="center" vertical="center" wrapText="1"/>
    </xf>
    <xf numFmtId="0" fontId="58" fillId="0" borderId="74" xfId="0" applyFont="1" applyBorder="1" applyAlignment="1">
      <alignment horizontal="center" vertical="center" wrapText="1"/>
    </xf>
    <xf numFmtId="0" fontId="58" fillId="0" borderId="86" xfId="0" applyFont="1" applyBorder="1" applyAlignment="1">
      <alignment horizontal="center" vertical="center" wrapText="1"/>
    </xf>
    <xf numFmtId="0" fontId="22" fillId="0" borderId="71" xfId="0" applyFont="1" applyBorder="1" applyAlignment="1">
      <alignment horizontal="center" vertical="center" wrapText="1"/>
    </xf>
    <xf numFmtId="0" fontId="22" fillId="0" borderId="43" xfId="0" applyFont="1" applyBorder="1" applyAlignment="1">
      <alignment horizontal="center" vertical="center" wrapText="1"/>
    </xf>
    <xf numFmtId="0" fontId="22" fillId="0" borderId="53" xfId="0" applyFont="1" applyBorder="1" applyAlignment="1">
      <alignment horizontal="center" vertical="center" wrapText="1"/>
    </xf>
    <xf numFmtId="0" fontId="22" fillId="0" borderId="71" xfId="0" applyFont="1" applyBorder="1" applyAlignment="1">
      <alignment horizontal="center" vertical="center"/>
    </xf>
    <xf numFmtId="0" fontId="19" fillId="7" borderId="2" xfId="0" applyFont="1" applyFill="1" applyBorder="1" applyAlignment="1">
      <alignment horizontal="center" vertical="center" wrapText="1"/>
    </xf>
    <xf numFmtId="0" fontId="22" fillId="0" borderId="107" xfId="0" applyFont="1" applyBorder="1" applyAlignment="1">
      <alignment horizontal="center" vertical="center" wrapText="1"/>
    </xf>
    <xf numFmtId="0" fontId="22" fillId="0" borderId="110" xfId="0" applyFont="1" applyBorder="1" applyAlignment="1">
      <alignment horizontal="center" vertical="center" wrapText="1"/>
    </xf>
    <xf numFmtId="0" fontId="22" fillId="0" borderId="96" xfId="0" applyFont="1" applyBorder="1" applyAlignment="1">
      <alignment horizontal="center" vertical="center"/>
    </xf>
    <xf numFmtId="0" fontId="22" fillId="0" borderId="101" xfId="0" applyFont="1" applyBorder="1" applyAlignment="1">
      <alignment horizontal="center" vertical="center"/>
    </xf>
    <xf numFmtId="0" fontId="22" fillId="0" borderId="96" xfId="0" applyFont="1" applyFill="1" applyBorder="1" applyAlignment="1">
      <alignment horizontal="center" vertical="center" wrapText="1"/>
    </xf>
    <xf numFmtId="0" fontId="22" fillId="0" borderId="108" xfId="0" applyFont="1" applyFill="1" applyBorder="1" applyAlignment="1">
      <alignment horizontal="center" vertical="center" wrapText="1"/>
    </xf>
    <xf numFmtId="0" fontId="22" fillId="0" borderId="111" xfId="0" applyFont="1" applyFill="1" applyBorder="1" applyAlignment="1">
      <alignment horizontal="center" vertical="center" wrapText="1"/>
    </xf>
    <xf numFmtId="0" fontId="22" fillId="0" borderId="105" xfId="0" applyFont="1" applyFill="1" applyBorder="1" applyAlignment="1">
      <alignment horizontal="center" vertical="center" wrapText="1"/>
    </xf>
    <xf numFmtId="0" fontId="22" fillId="0" borderId="109" xfId="0" applyFont="1" applyFill="1" applyBorder="1" applyAlignment="1">
      <alignment horizontal="center" vertical="center" wrapText="1"/>
    </xf>
    <xf numFmtId="0" fontId="22" fillId="0" borderId="112" xfId="0" applyFont="1" applyFill="1" applyBorder="1" applyAlignment="1">
      <alignment horizontal="center" vertical="center" wrapText="1"/>
    </xf>
    <xf numFmtId="0" fontId="22" fillId="0" borderId="114" xfId="0" applyFont="1" applyBorder="1" applyAlignment="1">
      <alignment horizontal="center" vertical="center" wrapText="1"/>
    </xf>
    <xf numFmtId="0" fontId="22" fillId="0" borderId="93" xfId="0" applyFont="1" applyBorder="1" applyAlignment="1">
      <alignment horizontal="center" vertical="center"/>
    </xf>
    <xf numFmtId="0" fontId="22" fillId="0" borderId="93" xfId="0" applyFont="1" applyFill="1" applyBorder="1" applyAlignment="1">
      <alignment horizontal="center" vertical="center" wrapText="1"/>
    </xf>
    <xf numFmtId="0" fontId="22" fillId="0" borderId="101" xfId="0" applyFont="1" applyBorder="1" applyAlignment="1">
      <alignment horizontal="center" vertical="center" wrapText="1"/>
    </xf>
    <xf numFmtId="0" fontId="7" fillId="7" borderId="60" xfId="0" applyFont="1" applyFill="1" applyBorder="1" applyAlignment="1">
      <alignment horizontal="center" vertical="center"/>
    </xf>
    <xf numFmtId="0" fontId="7" fillId="7" borderId="0" xfId="0" applyFont="1" applyFill="1" applyAlignment="1">
      <alignment horizontal="center" vertical="center"/>
    </xf>
    <xf numFmtId="0" fontId="7" fillId="7" borderId="61" xfId="0" applyFont="1" applyFill="1" applyBorder="1" applyAlignment="1">
      <alignment horizontal="center" vertical="center"/>
    </xf>
    <xf numFmtId="0" fontId="22" fillId="0" borderId="93" xfId="0" applyFont="1" applyBorder="1" applyAlignment="1">
      <alignment horizontal="center" vertical="center" wrapText="1"/>
    </xf>
    <xf numFmtId="0" fontId="22" fillId="0" borderId="72" xfId="0" applyFont="1" applyBorder="1" applyAlignment="1">
      <alignment horizontal="center" vertical="center" wrapText="1"/>
    </xf>
    <xf numFmtId="0" fontId="22" fillId="0" borderId="74" xfId="0" applyFont="1" applyBorder="1" applyAlignment="1">
      <alignment horizontal="center" vertical="center" wrapText="1"/>
    </xf>
    <xf numFmtId="0" fontId="22" fillId="0" borderId="76" xfId="0" applyFont="1" applyBorder="1" applyAlignment="1">
      <alignment horizontal="center" vertical="center" wrapText="1"/>
    </xf>
    <xf numFmtId="0" fontId="22" fillId="0" borderId="91" xfId="0" applyFont="1" applyBorder="1" applyAlignment="1">
      <alignment horizontal="center" vertical="center"/>
    </xf>
    <xf numFmtId="0" fontId="22" fillId="0" borderId="14" xfId="0" applyFont="1" applyBorder="1" applyAlignment="1">
      <alignment horizontal="center" vertical="center"/>
    </xf>
    <xf numFmtId="0" fontId="22" fillId="0" borderId="92" xfId="0" applyFont="1" applyBorder="1" applyAlignment="1">
      <alignment horizontal="center" vertical="center"/>
    </xf>
    <xf numFmtId="0" fontId="22" fillId="0" borderId="85" xfId="0" applyFont="1" applyBorder="1" applyAlignment="1">
      <alignment horizontal="center" vertical="center" wrapText="1"/>
    </xf>
    <xf numFmtId="0" fontId="6" fillId="0" borderId="0" xfId="0" applyFont="1" applyAlignment="1">
      <alignment horizontal="center" vertical="top"/>
    </xf>
    <xf numFmtId="0" fontId="6" fillId="0" borderId="28" xfId="0" applyFont="1" applyBorder="1" applyAlignment="1">
      <alignment horizontal="center" vertical="center"/>
    </xf>
    <xf numFmtId="0" fontId="23" fillId="0" borderId="2" xfId="0" applyFont="1" applyBorder="1" applyAlignment="1">
      <alignment horizontal="center" vertical="center"/>
    </xf>
    <xf numFmtId="0" fontId="33" fillId="11" borderId="16" xfId="0" applyFont="1" applyFill="1" applyBorder="1" applyAlignment="1">
      <alignment horizontal="center" vertical="center"/>
    </xf>
    <xf numFmtId="0" fontId="33" fillId="11" borderId="17" xfId="0" applyFont="1" applyFill="1" applyBorder="1" applyAlignment="1">
      <alignment horizontal="center" vertical="center"/>
    </xf>
    <xf numFmtId="9" fontId="6" fillId="0" borderId="36" xfId="2" applyFont="1" applyFill="1" applyBorder="1" applyAlignment="1">
      <alignment horizontal="center" vertical="center"/>
    </xf>
    <xf numFmtId="9" fontId="6" fillId="0" borderId="22" xfId="2" applyFont="1" applyFill="1" applyBorder="1" applyAlignment="1">
      <alignment horizontal="center" vertical="center"/>
    </xf>
    <xf numFmtId="9" fontId="6" fillId="0" borderId="23" xfId="2" applyFont="1" applyFill="1" applyBorder="1" applyAlignment="1">
      <alignment horizontal="center" vertical="center"/>
    </xf>
    <xf numFmtId="0" fontId="6" fillId="0" borderId="11" xfId="0" applyFont="1" applyBorder="1" applyAlignment="1">
      <alignment horizontal="center" vertical="center"/>
    </xf>
    <xf numFmtId="0" fontId="6" fillId="0" borderId="0" xfId="0" applyFont="1" applyAlignment="1">
      <alignment horizontal="center" vertical="center"/>
    </xf>
    <xf numFmtId="0" fontId="6" fillId="0" borderId="42" xfId="0" applyFont="1" applyBorder="1" applyAlignment="1">
      <alignment horizontal="center" vertical="center"/>
    </xf>
    <xf numFmtId="0" fontId="24" fillId="7" borderId="2" xfId="0" applyFont="1" applyFill="1" applyBorder="1" applyAlignment="1">
      <alignment horizontal="center" vertical="center"/>
    </xf>
    <xf numFmtId="0" fontId="0" fillId="0" borderId="0" xfId="0" applyAlignment="1">
      <alignment horizontal="center"/>
    </xf>
  </cellXfs>
  <cellStyles count="56">
    <cellStyle name="20% - Accent1" xfId="29" builtinId="30" customBuiltin="1"/>
    <cellStyle name="20% - Accent2" xfId="32" builtinId="34" customBuiltin="1"/>
    <cellStyle name="20% - Accent3" xfId="35" builtinId="38" customBuiltin="1"/>
    <cellStyle name="20% - Accent4" xfId="38" builtinId="42" customBuiltin="1"/>
    <cellStyle name="20% - Accent5" xfId="41" builtinId="46" customBuiltin="1"/>
    <cellStyle name="20% - Accent6" xfId="44" builtinId="50" customBuiltin="1"/>
    <cellStyle name="40% - Accent1" xfId="30" builtinId="31" customBuiltin="1"/>
    <cellStyle name="40% - Accent2" xfId="33" builtinId="35" customBuiltin="1"/>
    <cellStyle name="40% - Accent3" xfId="36" builtinId="39" customBuiltin="1"/>
    <cellStyle name="40% - Accent4" xfId="39" builtinId="43" customBuiltin="1"/>
    <cellStyle name="40% - Accent5" xfId="42" builtinId="47" customBuiltin="1"/>
    <cellStyle name="40% - Accent6" xfId="45" builtinId="51" customBuiltin="1"/>
    <cellStyle name="60% - Accent1 2" xfId="48" xr:uid="{874909A9-6B6C-4ED3-AEEF-7FB802EDD672}"/>
    <cellStyle name="60% - Accent2 2" xfId="49" xr:uid="{551EE961-B200-442F-8E70-43348D80993C}"/>
    <cellStyle name="60% - Accent3 2" xfId="50" xr:uid="{D43732E8-CB5B-4914-8A74-FB6CF190AA60}"/>
    <cellStyle name="60% - Accent4 2" xfId="51" xr:uid="{7CA9A3AF-F1FA-4BCC-98BF-66D8D8016BFE}"/>
    <cellStyle name="60% - Accent5 2" xfId="52" xr:uid="{A7F421C6-D5E5-4280-ADE4-5B119369A8F6}"/>
    <cellStyle name="60% - Accent6 2" xfId="53" xr:uid="{68C62149-6229-4222-A172-EE59CBC8D235}"/>
    <cellStyle name="Accent1" xfId="28" builtinId="29" customBuiltin="1"/>
    <cellStyle name="Accent2" xfId="31" builtinId="33" customBuiltin="1"/>
    <cellStyle name="Accent3" xfId="34" builtinId="37" customBuiltin="1"/>
    <cellStyle name="Accent4" xfId="37" builtinId="41" customBuiltin="1"/>
    <cellStyle name="Accent5" xfId="40" builtinId="45" customBuiltin="1"/>
    <cellStyle name="Accent6" xfId="43" builtinId="49" customBuiltin="1"/>
    <cellStyle name="Bad" xfId="18" builtinId="27" customBuiltin="1"/>
    <cellStyle name="Calculation" xfId="21" builtinId="22" customBuiltin="1"/>
    <cellStyle name="Check Cell" xfId="23" builtinId="23" customBuiltin="1"/>
    <cellStyle name="Comma" xfId="6" builtinId="3"/>
    <cellStyle name="Explanatory Text" xfId="26" builtinId="53" customBuiltin="1"/>
    <cellStyle name="Good" xfId="17" builtinId="26" customBuiltin="1"/>
    <cellStyle name="Heading 1" xfId="13" builtinId="16" customBuiltin="1"/>
    <cellStyle name="Heading 2" xfId="14" builtinId="17" customBuiltin="1"/>
    <cellStyle name="Heading 3" xfId="15" builtinId="18" customBuiltin="1"/>
    <cellStyle name="Heading 4" xfId="16" builtinId="19" customBuiltin="1"/>
    <cellStyle name="Hyperlink" xfId="5" builtinId="8"/>
    <cellStyle name="Hyperlink 2" xfId="10" xr:uid="{10C1E3C0-F46B-4E25-BD9A-EE5D62F88FF2}"/>
    <cellStyle name="Input" xfId="19" builtinId="20" customBuiltin="1"/>
    <cellStyle name="Linked Cell" xfId="22" builtinId="24" customBuiltin="1"/>
    <cellStyle name="Neutral 2" xfId="47" xr:uid="{DDF4F503-C0CF-4195-9257-4F45B68F3098}"/>
    <cellStyle name="Normal" xfId="0" builtinId="0"/>
    <cellStyle name="Normal 2" xfId="3" xr:uid="{E38C2638-0821-4BB2-9C33-A89D3950ADA6}"/>
    <cellStyle name="Normal 2 2" xfId="4" xr:uid="{7604919E-E68F-4366-A693-6A7B8B8DA661}"/>
    <cellStyle name="Normal 2 3" xfId="9" xr:uid="{8A1E39CD-7ABA-4D79-A464-67010D1209C1}"/>
    <cellStyle name="Normal 2 4" xfId="55" xr:uid="{E96257D3-C98A-4AC9-A7B2-E6BDC6978BF6}"/>
    <cellStyle name="Normal 3" xfId="7" xr:uid="{1C10DAE4-4F9C-4E19-81E4-5574511A6741}"/>
    <cellStyle name="Normal 4" xfId="11" xr:uid="{43272557-B37F-4996-BC18-AA3EDEAFA379}"/>
    <cellStyle name="Normal 5" xfId="12" xr:uid="{642BE191-BE2F-4847-8420-1C59B95E270E}"/>
    <cellStyle name="Normal 6" xfId="54" xr:uid="{7585D5C8-B005-4741-8680-972F49B8AC32}"/>
    <cellStyle name="Normal_Prototype_Scorecard-LgOffice-2008-03-13" xfId="1" xr:uid="{F839F8A1-86E5-4008-9801-0F032E8A3317}"/>
    <cellStyle name="Note" xfId="25" builtinId="10" customBuiltin="1"/>
    <cellStyle name="Output" xfId="20" builtinId="21" customBuiltin="1"/>
    <cellStyle name="Percent" xfId="2" builtinId="5"/>
    <cellStyle name="Percent 2" xfId="8" xr:uid="{CB789C3E-741F-4464-8065-385A956411E6}"/>
    <cellStyle name="Title 2" xfId="46" xr:uid="{5A7D0C32-8F4B-497D-90E5-7131264DDEAA}"/>
    <cellStyle name="Total" xfId="27" builtinId="25" customBuiltin="1"/>
    <cellStyle name="Warning Text" xfId="24" builtinId="11" customBuiltin="1"/>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0000CC"/>
      <color rgb="FFFF9900"/>
      <color rgb="FFCCCCFF"/>
      <color rgb="FF8238BA"/>
      <color rgb="FFFFEBCD"/>
      <color rgb="FF002F8E"/>
      <color rgb="FF2E9F17"/>
      <color rgb="FFFFFAF3"/>
      <color rgb="FF2DC8FF"/>
      <color rgb="FF001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c:f>
          <c:strCache>
            <c:ptCount val="1"/>
            <c:pt idx="0">
              <c:v>Occupancy</c:v>
            </c:pt>
          </c:strCache>
        </c:strRef>
      </c:tx>
      <c:layout>
        <c:manualLayout>
          <c:xMode val="edge"/>
          <c:yMode val="edge"/>
          <c:x val="0.44433467123907239"/>
          <c:y val="0"/>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0.00</c:formatCode>
                <c:ptCount val="24"/>
                <c:pt idx="0">
                  <c:v>0</c:v>
                </c:pt>
                <c:pt idx="1">
                  <c:v>0</c:v>
                </c:pt>
                <c:pt idx="2">
                  <c:v>0</c:v>
                </c:pt>
                <c:pt idx="3">
                  <c:v>0</c:v>
                </c:pt>
                <c:pt idx="4">
                  <c:v>0</c:v>
                </c:pt>
                <c:pt idx="5">
                  <c:v>0</c:v>
                </c:pt>
                <c:pt idx="6">
                  <c:v>0</c:v>
                </c:pt>
                <c:pt idx="7">
                  <c:v>0.1</c:v>
                </c:pt>
                <c:pt idx="8">
                  <c:v>0.2</c:v>
                </c:pt>
                <c:pt idx="9">
                  <c:v>0.5</c:v>
                </c:pt>
                <c:pt idx="10">
                  <c:v>0.5</c:v>
                </c:pt>
                <c:pt idx="11">
                  <c:v>0.7</c:v>
                </c:pt>
                <c:pt idx="12">
                  <c:v>0.7</c:v>
                </c:pt>
                <c:pt idx="13">
                  <c:v>0.7</c:v>
                </c:pt>
                <c:pt idx="14">
                  <c:v>0.7</c:v>
                </c:pt>
                <c:pt idx="15">
                  <c:v>0.8</c:v>
                </c:pt>
                <c:pt idx="16">
                  <c:v>0.7</c:v>
                </c:pt>
                <c:pt idx="17">
                  <c:v>0.5</c:v>
                </c:pt>
                <c:pt idx="18">
                  <c:v>0.5</c:v>
                </c:pt>
                <c:pt idx="19">
                  <c:v>0.3</c:v>
                </c:pt>
                <c:pt idx="20">
                  <c:v>0.3</c:v>
                </c:pt>
                <c:pt idx="21">
                  <c:v>0</c:v>
                </c:pt>
                <c:pt idx="22">
                  <c:v>0</c:v>
                </c:pt>
                <c:pt idx="23">
                  <c:v>0</c:v>
                </c:pt>
              </c:numCache>
            </c:numRef>
          </c:val>
          <c:smooth val="0"/>
          <c:extLst>
            <c:ext xmlns:c16="http://schemas.microsoft.com/office/drawing/2014/chart" uri="{C3380CC4-5D6E-409C-BE32-E72D297353CC}">
              <c16:uniqueId val="{00000000-06BB-4405-BC60-B55164A79AEF}"/>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0.00</c:formatCode>
                <c:ptCount val="24"/>
                <c:pt idx="0">
                  <c:v>0</c:v>
                </c:pt>
                <c:pt idx="1">
                  <c:v>0</c:v>
                </c:pt>
                <c:pt idx="2">
                  <c:v>0</c:v>
                </c:pt>
                <c:pt idx="3">
                  <c:v>0</c:v>
                </c:pt>
                <c:pt idx="4">
                  <c:v>0</c:v>
                </c:pt>
                <c:pt idx="5">
                  <c:v>0</c:v>
                </c:pt>
                <c:pt idx="6">
                  <c:v>0</c:v>
                </c:pt>
                <c:pt idx="7">
                  <c:v>0.1</c:v>
                </c:pt>
                <c:pt idx="8">
                  <c:v>0.2</c:v>
                </c:pt>
                <c:pt idx="9">
                  <c:v>0.5</c:v>
                </c:pt>
                <c:pt idx="10">
                  <c:v>0.6</c:v>
                </c:pt>
                <c:pt idx="11">
                  <c:v>0.8</c:v>
                </c:pt>
                <c:pt idx="12">
                  <c:v>0.8</c:v>
                </c:pt>
                <c:pt idx="13">
                  <c:v>0.8</c:v>
                </c:pt>
                <c:pt idx="14">
                  <c:v>0.8</c:v>
                </c:pt>
                <c:pt idx="15">
                  <c:v>0.8</c:v>
                </c:pt>
                <c:pt idx="16">
                  <c:v>0.8</c:v>
                </c:pt>
                <c:pt idx="17">
                  <c:v>0.6</c:v>
                </c:pt>
                <c:pt idx="18">
                  <c:v>0.2</c:v>
                </c:pt>
                <c:pt idx="19">
                  <c:v>0.2</c:v>
                </c:pt>
                <c:pt idx="20">
                  <c:v>0.2</c:v>
                </c:pt>
                <c:pt idx="21">
                  <c:v>0.1</c:v>
                </c:pt>
                <c:pt idx="22">
                  <c:v>0</c:v>
                </c:pt>
                <c:pt idx="23">
                  <c:v>0</c:v>
                </c:pt>
              </c:numCache>
            </c:numRef>
          </c:val>
          <c:smooth val="0"/>
          <c:extLst>
            <c:ext xmlns:c16="http://schemas.microsoft.com/office/drawing/2014/chart" uri="{C3380CC4-5D6E-409C-BE32-E72D297353CC}">
              <c16:uniqueId val="{00000001-06BB-4405-BC60-B55164A79AEF}"/>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0.00</c:formatCode>
                <c:ptCount val="24"/>
                <c:pt idx="0">
                  <c:v>0</c:v>
                </c:pt>
                <c:pt idx="1">
                  <c:v>0</c:v>
                </c:pt>
                <c:pt idx="2">
                  <c:v>0</c:v>
                </c:pt>
                <c:pt idx="3">
                  <c:v>0</c:v>
                </c:pt>
                <c:pt idx="4">
                  <c:v>0</c:v>
                </c:pt>
                <c:pt idx="5">
                  <c:v>0</c:v>
                </c:pt>
                <c:pt idx="6">
                  <c:v>0</c:v>
                </c:pt>
                <c:pt idx="7">
                  <c:v>0</c:v>
                </c:pt>
                <c:pt idx="8">
                  <c:v>0</c:v>
                </c:pt>
                <c:pt idx="9">
                  <c:v>0.1</c:v>
                </c:pt>
                <c:pt idx="10">
                  <c:v>0.2</c:v>
                </c:pt>
                <c:pt idx="11">
                  <c:v>0.2</c:v>
                </c:pt>
                <c:pt idx="12">
                  <c:v>0.4</c:v>
                </c:pt>
                <c:pt idx="13">
                  <c:v>0.4</c:v>
                </c:pt>
                <c:pt idx="14">
                  <c:v>0.4</c:v>
                </c:pt>
                <c:pt idx="15">
                  <c:v>0.4</c:v>
                </c:pt>
                <c:pt idx="16">
                  <c:v>0.4</c:v>
                </c:pt>
                <c:pt idx="17">
                  <c:v>0.2</c:v>
                </c:pt>
                <c:pt idx="18">
                  <c:v>0.1</c:v>
                </c:pt>
                <c:pt idx="19">
                  <c:v>0</c:v>
                </c:pt>
                <c:pt idx="20">
                  <c:v>0</c:v>
                </c:pt>
                <c:pt idx="21">
                  <c:v>0</c:v>
                </c:pt>
                <c:pt idx="22">
                  <c:v>0</c:v>
                </c:pt>
                <c:pt idx="23">
                  <c:v>0</c:v>
                </c:pt>
              </c:numCache>
            </c:numRef>
          </c:val>
          <c:smooth val="0"/>
          <c:extLst>
            <c:ext xmlns:c16="http://schemas.microsoft.com/office/drawing/2014/chart" uri="{C3380CC4-5D6E-409C-BE32-E72D297353CC}">
              <c16:uniqueId val="{00000002-06BB-4405-BC60-B55164A79A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0.00</c:formatCode>
                <c:ptCount val="24"/>
                <c:pt idx="0">
                  <c:v>0.05</c:v>
                </c:pt>
                <c:pt idx="1">
                  <c:v>0.05</c:v>
                </c:pt>
                <c:pt idx="2">
                  <c:v>0.05</c:v>
                </c:pt>
                <c:pt idx="3">
                  <c:v>0.05</c:v>
                </c:pt>
                <c:pt idx="4">
                  <c:v>0.05</c:v>
                </c:pt>
                <c:pt idx="5">
                  <c:v>0.05</c:v>
                </c:pt>
                <c:pt idx="6">
                  <c:v>0.05</c:v>
                </c:pt>
                <c:pt idx="7">
                  <c:v>0.2</c:v>
                </c:pt>
                <c:pt idx="8">
                  <c:v>0.5</c:v>
                </c:pt>
                <c:pt idx="9">
                  <c:v>0.85</c:v>
                </c:pt>
                <c:pt idx="10">
                  <c:v>0.85</c:v>
                </c:pt>
                <c:pt idx="11">
                  <c:v>0.85</c:v>
                </c:pt>
                <c:pt idx="12">
                  <c:v>0.85</c:v>
                </c:pt>
                <c:pt idx="13">
                  <c:v>0.85</c:v>
                </c:pt>
                <c:pt idx="14">
                  <c:v>0.85</c:v>
                </c:pt>
                <c:pt idx="15">
                  <c:v>0.85</c:v>
                </c:pt>
                <c:pt idx="16">
                  <c:v>0.85</c:v>
                </c:pt>
                <c:pt idx="17">
                  <c:v>0.85</c:v>
                </c:pt>
                <c:pt idx="18">
                  <c:v>0.55000000000000004</c:v>
                </c:pt>
                <c:pt idx="19">
                  <c:v>0.55000000000000004</c:v>
                </c:pt>
                <c:pt idx="20">
                  <c:v>0.5</c:v>
                </c:pt>
                <c:pt idx="21">
                  <c:v>0.2</c:v>
                </c:pt>
                <c:pt idx="22">
                  <c:v>0.05</c:v>
                </c:pt>
                <c:pt idx="23">
                  <c:v>0.05</c:v>
                </c:pt>
              </c:numCache>
            </c:numRef>
          </c:val>
          <c:smooth val="0"/>
          <c:extLst>
            <c:ext xmlns:c16="http://schemas.microsoft.com/office/drawing/2014/chart" uri="{C3380CC4-5D6E-409C-BE32-E72D297353CC}">
              <c16:uniqueId val="{00000000-5ED3-4941-8080-3783F3668DDA}"/>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0.00</c:formatCode>
                <c:ptCount val="24"/>
                <c:pt idx="0">
                  <c:v>0.05</c:v>
                </c:pt>
                <c:pt idx="1">
                  <c:v>0.05</c:v>
                </c:pt>
                <c:pt idx="2">
                  <c:v>0.05</c:v>
                </c:pt>
                <c:pt idx="3">
                  <c:v>0.05</c:v>
                </c:pt>
                <c:pt idx="4">
                  <c:v>0.05</c:v>
                </c:pt>
                <c:pt idx="5">
                  <c:v>0.05</c:v>
                </c:pt>
                <c:pt idx="6">
                  <c:v>0.05</c:v>
                </c:pt>
                <c:pt idx="7">
                  <c:v>0.1</c:v>
                </c:pt>
                <c:pt idx="8">
                  <c:v>0.3</c:v>
                </c:pt>
                <c:pt idx="9">
                  <c:v>0.55000000000000004</c:v>
                </c:pt>
                <c:pt idx="10">
                  <c:v>0.85</c:v>
                </c:pt>
                <c:pt idx="11">
                  <c:v>0.85</c:v>
                </c:pt>
                <c:pt idx="12">
                  <c:v>0.85</c:v>
                </c:pt>
                <c:pt idx="13">
                  <c:v>0.85</c:v>
                </c:pt>
                <c:pt idx="14">
                  <c:v>0.85</c:v>
                </c:pt>
                <c:pt idx="15">
                  <c:v>0.85</c:v>
                </c:pt>
                <c:pt idx="16">
                  <c:v>0.85</c:v>
                </c:pt>
                <c:pt idx="17">
                  <c:v>0.85</c:v>
                </c:pt>
                <c:pt idx="18">
                  <c:v>0.5</c:v>
                </c:pt>
                <c:pt idx="19">
                  <c:v>0.3</c:v>
                </c:pt>
                <c:pt idx="20">
                  <c:v>0.3</c:v>
                </c:pt>
                <c:pt idx="21">
                  <c:v>0.1</c:v>
                </c:pt>
                <c:pt idx="22">
                  <c:v>0.05</c:v>
                </c:pt>
                <c:pt idx="23">
                  <c:v>0.05</c:v>
                </c:pt>
              </c:numCache>
            </c:numRef>
          </c:val>
          <c:smooth val="0"/>
          <c:extLst>
            <c:ext xmlns:c16="http://schemas.microsoft.com/office/drawing/2014/chart" uri="{C3380CC4-5D6E-409C-BE32-E72D297353CC}">
              <c16:uniqueId val="{00000001-5ED3-4941-8080-3783F3668DDA}"/>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0.00</c:formatCode>
                <c:ptCount val="24"/>
                <c:pt idx="0">
                  <c:v>0.05</c:v>
                </c:pt>
                <c:pt idx="1">
                  <c:v>0.05</c:v>
                </c:pt>
                <c:pt idx="2">
                  <c:v>0.05</c:v>
                </c:pt>
                <c:pt idx="3">
                  <c:v>0.05</c:v>
                </c:pt>
                <c:pt idx="4">
                  <c:v>0.05</c:v>
                </c:pt>
                <c:pt idx="5">
                  <c:v>0.05</c:v>
                </c:pt>
                <c:pt idx="6">
                  <c:v>0.05</c:v>
                </c:pt>
                <c:pt idx="7">
                  <c:v>0.05</c:v>
                </c:pt>
                <c:pt idx="8">
                  <c:v>0.1</c:v>
                </c:pt>
                <c:pt idx="9">
                  <c:v>0.1</c:v>
                </c:pt>
                <c:pt idx="10">
                  <c:v>0.4</c:v>
                </c:pt>
                <c:pt idx="11">
                  <c:v>0.4</c:v>
                </c:pt>
                <c:pt idx="12">
                  <c:v>0.55000000000000004</c:v>
                </c:pt>
                <c:pt idx="13">
                  <c:v>0.55000000000000004</c:v>
                </c:pt>
                <c:pt idx="14">
                  <c:v>0.55000000000000004</c:v>
                </c:pt>
                <c:pt idx="15">
                  <c:v>0.55000000000000004</c:v>
                </c:pt>
                <c:pt idx="16">
                  <c:v>0.55000000000000004</c:v>
                </c:pt>
                <c:pt idx="17">
                  <c:v>0.4</c:v>
                </c:pt>
                <c:pt idx="18">
                  <c:v>0.2</c:v>
                </c:pt>
                <c:pt idx="19">
                  <c:v>0.05</c:v>
                </c:pt>
                <c:pt idx="20">
                  <c:v>0.05</c:v>
                </c:pt>
                <c:pt idx="21">
                  <c:v>0.05</c:v>
                </c:pt>
                <c:pt idx="22">
                  <c:v>0.05</c:v>
                </c:pt>
                <c:pt idx="23">
                  <c:v>0.05</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0.4</c:v>
                </c:pt>
                <c:pt idx="1">
                  <c:v>0.4</c:v>
                </c:pt>
                <c:pt idx="2">
                  <c:v>0.4</c:v>
                </c:pt>
                <c:pt idx="3">
                  <c:v>0.4</c:v>
                </c:pt>
                <c:pt idx="4">
                  <c:v>0.4</c:v>
                </c:pt>
                <c:pt idx="5">
                  <c:v>0.4</c:v>
                </c:pt>
                <c:pt idx="6">
                  <c:v>0.6</c:v>
                </c:pt>
                <c:pt idx="7">
                  <c:v>0.6</c:v>
                </c:pt>
                <c:pt idx="8">
                  <c:v>0.9</c:v>
                </c:pt>
                <c:pt idx="9">
                  <c:v>0.9</c:v>
                </c:pt>
                <c:pt idx="10">
                  <c:v>0.9</c:v>
                </c:pt>
                <c:pt idx="11">
                  <c:v>0.9</c:v>
                </c:pt>
                <c:pt idx="12">
                  <c:v>0.9</c:v>
                </c:pt>
                <c:pt idx="13">
                  <c:v>0.9</c:v>
                </c:pt>
                <c:pt idx="14">
                  <c:v>0.9</c:v>
                </c:pt>
                <c:pt idx="15">
                  <c:v>0.9</c:v>
                </c:pt>
                <c:pt idx="16">
                  <c:v>0.9</c:v>
                </c:pt>
                <c:pt idx="17">
                  <c:v>0.9</c:v>
                </c:pt>
                <c:pt idx="18">
                  <c:v>0.9</c:v>
                </c:pt>
                <c:pt idx="19">
                  <c:v>0.6</c:v>
                </c:pt>
                <c:pt idx="20">
                  <c:v>0.6</c:v>
                </c:pt>
                <c:pt idx="21">
                  <c:v>0.4</c:v>
                </c:pt>
                <c:pt idx="22">
                  <c:v>0.4</c:v>
                </c:pt>
                <c:pt idx="23">
                  <c:v>0.4</c:v>
                </c:pt>
              </c:numCache>
            </c:numRef>
          </c:val>
          <c:smooth val="0"/>
          <c:extLst>
            <c:ext xmlns:c16="http://schemas.microsoft.com/office/drawing/2014/chart" uri="{C3380CC4-5D6E-409C-BE32-E72D297353CC}">
              <c16:uniqueId val="{00000000-541D-40B0-962A-A5C79439ED8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0.4</c:v>
                </c:pt>
                <c:pt idx="1">
                  <c:v>0.4</c:v>
                </c:pt>
                <c:pt idx="2">
                  <c:v>0.4</c:v>
                </c:pt>
                <c:pt idx="3">
                  <c:v>0.4</c:v>
                </c:pt>
                <c:pt idx="4">
                  <c:v>0.4</c:v>
                </c:pt>
                <c:pt idx="5">
                  <c:v>0.4</c:v>
                </c:pt>
                <c:pt idx="6">
                  <c:v>0.6</c:v>
                </c:pt>
                <c:pt idx="7">
                  <c:v>0.6</c:v>
                </c:pt>
                <c:pt idx="8">
                  <c:v>0.9</c:v>
                </c:pt>
                <c:pt idx="9">
                  <c:v>0.9</c:v>
                </c:pt>
                <c:pt idx="10">
                  <c:v>0.9</c:v>
                </c:pt>
                <c:pt idx="11">
                  <c:v>0.9</c:v>
                </c:pt>
                <c:pt idx="12">
                  <c:v>0.9</c:v>
                </c:pt>
                <c:pt idx="13">
                  <c:v>0.9</c:v>
                </c:pt>
                <c:pt idx="14">
                  <c:v>0.9</c:v>
                </c:pt>
                <c:pt idx="15">
                  <c:v>0.9</c:v>
                </c:pt>
                <c:pt idx="16">
                  <c:v>0.9</c:v>
                </c:pt>
                <c:pt idx="17">
                  <c:v>0.9</c:v>
                </c:pt>
                <c:pt idx="18">
                  <c:v>0.9</c:v>
                </c:pt>
                <c:pt idx="19">
                  <c:v>0.9</c:v>
                </c:pt>
                <c:pt idx="20">
                  <c:v>0.6</c:v>
                </c:pt>
                <c:pt idx="21">
                  <c:v>0.6</c:v>
                </c:pt>
                <c:pt idx="22">
                  <c:v>0.4</c:v>
                </c:pt>
                <c:pt idx="23">
                  <c:v>0.4</c:v>
                </c:pt>
              </c:numCache>
            </c:numRef>
          </c:val>
          <c:smooth val="0"/>
          <c:extLst>
            <c:ext xmlns:c16="http://schemas.microsoft.com/office/drawing/2014/chart" uri="{C3380CC4-5D6E-409C-BE32-E72D297353CC}">
              <c16:uniqueId val="{00000001-541D-40B0-962A-A5C79439ED86}"/>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0.4</c:v>
                </c:pt>
                <c:pt idx="1">
                  <c:v>0.4</c:v>
                </c:pt>
                <c:pt idx="2">
                  <c:v>0.4</c:v>
                </c:pt>
                <c:pt idx="3">
                  <c:v>0.4</c:v>
                </c:pt>
                <c:pt idx="4">
                  <c:v>0.4</c:v>
                </c:pt>
                <c:pt idx="5">
                  <c:v>0.4</c:v>
                </c:pt>
                <c:pt idx="6">
                  <c:v>0.4</c:v>
                </c:pt>
                <c:pt idx="7">
                  <c:v>0.4</c:v>
                </c:pt>
                <c:pt idx="8">
                  <c:v>0.6</c:v>
                </c:pt>
                <c:pt idx="9">
                  <c:v>0.6</c:v>
                </c:pt>
                <c:pt idx="10">
                  <c:v>0.6</c:v>
                </c:pt>
                <c:pt idx="11">
                  <c:v>0.9</c:v>
                </c:pt>
                <c:pt idx="12">
                  <c:v>0.9</c:v>
                </c:pt>
                <c:pt idx="13">
                  <c:v>0.9</c:v>
                </c:pt>
                <c:pt idx="14">
                  <c:v>0.9</c:v>
                </c:pt>
                <c:pt idx="15">
                  <c:v>0.9</c:v>
                </c:pt>
                <c:pt idx="16">
                  <c:v>0.9</c:v>
                </c:pt>
                <c:pt idx="17">
                  <c:v>0.6</c:v>
                </c:pt>
                <c:pt idx="18">
                  <c:v>0.6</c:v>
                </c:pt>
                <c:pt idx="19">
                  <c:v>0.4</c:v>
                </c:pt>
                <c:pt idx="20">
                  <c:v>0.4</c:v>
                </c:pt>
                <c:pt idx="21">
                  <c:v>0.4</c:v>
                </c:pt>
                <c:pt idx="22">
                  <c:v>0.4</c:v>
                </c:pt>
                <c:pt idx="23">
                  <c:v>0.4</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RetailMedium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0.0</c:formatCode>
                <c:ptCount val="16"/>
                <c:pt idx="0">
                  <c:v>35.099999999999994</c:v>
                </c:pt>
                <c:pt idx="1">
                  <c:v>43.8</c:v>
                </c:pt>
                <c:pt idx="2">
                  <c:v>39.224999999999994</c:v>
                </c:pt>
                <c:pt idx="3">
                  <c:v>45.674999999999997</c:v>
                </c:pt>
                <c:pt idx="4">
                  <c:v>37.799999999999997</c:v>
                </c:pt>
                <c:pt idx="5">
                  <c:v>43.349999999999994</c:v>
                </c:pt>
                <c:pt idx="6">
                  <c:v>43.349999999999994</c:v>
                </c:pt>
                <c:pt idx="7">
                  <c:v>44.174999999999997</c:v>
                </c:pt>
                <c:pt idx="8">
                  <c:v>44.7</c:v>
                </c:pt>
                <c:pt idx="9">
                  <c:v>45.150000000000006</c:v>
                </c:pt>
                <c:pt idx="10">
                  <c:v>46.724999999999994</c:v>
                </c:pt>
                <c:pt idx="11">
                  <c:v>45.974999999999994</c:v>
                </c:pt>
                <c:pt idx="12">
                  <c:v>46.724999999999994</c:v>
                </c:pt>
                <c:pt idx="13">
                  <c:v>46.95</c:v>
                </c:pt>
                <c:pt idx="14">
                  <c:v>45.075000000000003</c:v>
                </c:pt>
                <c:pt idx="15">
                  <c:v>45.900000000000006</c:v>
                </c:pt>
              </c:numCache>
            </c:numRef>
          </c:val>
          <c:extLst>
            <c:ext xmlns:c16="http://schemas.microsoft.com/office/drawing/2014/chart" uri="{C3380CC4-5D6E-409C-BE32-E72D297353CC}">
              <c16:uniqueId val="{00000000-64D0-4525-8450-B3075DBA1BAE}"/>
            </c:ext>
          </c:extLst>
        </c:ser>
        <c:ser>
          <c:idx val="2"/>
          <c:order val="1"/>
          <c:tx>
            <c:strRef>
              <c:f>'Energy Usage'!$L$2</c:f>
              <c:strCache>
                <c:ptCount val="1"/>
                <c:pt idx="0">
                  <c:v>National Average Acceptable EUI Range</c:v>
                </c:pt>
              </c:strCache>
            </c:strRef>
          </c:tx>
          <c:spPr>
            <a:solidFill>
              <a:srgbClr val="CCCCFF"/>
            </a:solidFill>
            <a:ln>
              <a:solidFill>
                <a:srgbClr val="8238BA"/>
              </a:solidFill>
            </a:ln>
            <a:effectLst/>
          </c:spPr>
          <c:invertIfNegative val="0"/>
          <c:val>
            <c:numRef>
              <c:f>'Energy Usage'!$L$3:$L$18</c:f>
              <c:numCache>
                <c:formatCode>0.0</c:formatCode>
                <c:ptCount val="16"/>
                <c:pt idx="0">
                  <c:v>23.400000000000006</c:v>
                </c:pt>
                <c:pt idx="1">
                  <c:v>29.200000000000003</c:v>
                </c:pt>
                <c:pt idx="2">
                  <c:v>26.150000000000006</c:v>
                </c:pt>
                <c:pt idx="3">
                  <c:v>30.450000000000003</c:v>
                </c:pt>
                <c:pt idx="4">
                  <c:v>25.200000000000003</c:v>
                </c:pt>
                <c:pt idx="5">
                  <c:v>28.900000000000006</c:v>
                </c:pt>
                <c:pt idx="6">
                  <c:v>28.900000000000006</c:v>
                </c:pt>
                <c:pt idx="7">
                  <c:v>29.450000000000003</c:v>
                </c:pt>
                <c:pt idx="8">
                  <c:v>29.799999999999997</c:v>
                </c:pt>
                <c:pt idx="9">
                  <c:v>30.099999999999994</c:v>
                </c:pt>
                <c:pt idx="10">
                  <c:v>31.150000000000006</c:v>
                </c:pt>
                <c:pt idx="11">
                  <c:v>30.650000000000006</c:v>
                </c:pt>
                <c:pt idx="12">
                  <c:v>31.150000000000006</c:v>
                </c:pt>
                <c:pt idx="13">
                  <c:v>31.299999999999997</c:v>
                </c:pt>
                <c:pt idx="14">
                  <c:v>30.049999999999997</c:v>
                </c:pt>
                <c:pt idx="15">
                  <c:v>30.599999999999994</c:v>
                </c:pt>
              </c:numCache>
            </c:numRef>
          </c:val>
          <c:extLst>
            <c:ext xmlns:c16="http://schemas.microsoft.com/office/drawing/2014/chart" uri="{C3380CC4-5D6E-409C-BE32-E72D297353CC}">
              <c16:uniqueId val="{00000001-64D0-4525-8450-B3075DBA1BAE}"/>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pt idx="0">
                  <c:v>66.5</c:v>
                </c:pt>
                <c:pt idx="1">
                  <c:v>57.5</c:v>
                </c:pt>
                <c:pt idx="2">
                  <c:v>51.6</c:v>
                </c:pt>
                <c:pt idx="3">
                  <c:v>64.5</c:v>
                </c:pt>
                <c:pt idx="4">
                  <c:v>40</c:v>
                </c:pt>
                <c:pt idx="5">
                  <c:v>41.4</c:v>
                </c:pt>
                <c:pt idx="6">
                  <c:v>38.700000000000003</c:v>
                </c:pt>
                <c:pt idx="7">
                  <c:v>47.7</c:v>
                </c:pt>
                <c:pt idx="8">
                  <c:v>55.6</c:v>
                </c:pt>
                <c:pt idx="9">
                  <c:v>47.9</c:v>
                </c:pt>
                <c:pt idx="10">
                  <c:v>68.099999999999994</c:v>
                </c:pt>
                <c:pt idx="11">
                  <c:v>62.7</c:v>
                </c:pt>
                <c:pt idx="12">
                  <c:v>62.9</c:v>
                </c:pt>
                <c:pt idx="13">
                  <c:v>65.400000000000006</c:v>
                </c:pt>
                <c:pt idx="14">
                  <c:v>53.5</c:v>
                </c:pt>
                <c:pt idx="15">
                  <c:v>74.900000000000006</c:v>
                </c:pt>
              </c:numCache>
            </c:numRef>
          </c:yVal>
          <c:smooth val="0"/>
          <c:extLst>
            <c:ext xmlns:c16="http://schemas.microsoft.com/office/drawing/2014/chart" uri="{C3380CC4-5D6E-409C-BE32-E72D297353CC}">
              <c16:uniqueId val="{00000002-64D0-4525-8450-B3075DBA1BAE}"/>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pt idx="0">
                  <c:v>29.8</c:v>
                </c:pt>
                <c:pt idx="1">
                  <c:v>30.7</c:v>
                </c:pt>
                <c:pt idx="2">
                  <c:v>26.8</c:v>
                </c:pt>
                <c:pt idx="3">
                  <c:v>32.299999999999997</c:v>
                </c:pt>
                <c:pt idx="4">
                  <c:v>26.6</c:v>
                </c:pt>
                <c:pt idx="5">
                  <c:v>26.5</c:v>
                </c:pt>
                <c:pt idx="6">
                  <c:v>26.3</c:v>
                </c:pt>
                <c:pt idx="7">
                  <c:v>30</c:v>
                </c:pt>
                <c:pt idx="8">
                  <c:v>30</c:v>
                </c:pt>
                <c:pt idx="9">
                  <c:v>31.5</c:v>
                </c:pt>
                <c:pt idx="10">
                  <c:v>35.700000000000003</c:v>
                </c:pt>
                <c:pt idx="11">
                  <c:v>32.5</c:v>
                </c:pt>
                <c:pt idx="12">
                  <c:v>34.700000000000003</c:v>
                </c:pt>
                <c:pt idx="13">
                  <c:v>35.6</c:v>
                </c:pt>
                <c:pt idx="14">
                  <c:v>41</c:v>
                </c:pt>
                <c:pt idx="15">
                  <c:v>34.6</c:v>
                </c:pt>
              </c:numCache>
            </c:numRef>
          </c:yVal>
          <c:smooth val="0"/>
          <c:extLst>
            <c:ext xmlns:c16="http://schemas.microsoft.com/office/drawing/2014/chart" uri="{C3380CC4-5D6E-409C-BE32-E72D297353CC}">
              <c16:uniqueId val="{00000003-64D0-4525-8450-B3075DBA1BAE}"/>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100"/>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2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RetailMedium CalBEM Prototype vs. CEUS 2022</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Usage'!$U$2</c:f>
              <c:strCache>
                <c:ptCount val="1"/>
                <c:pt idx="0">
                  <c:v>Acceptable Range (25% Lower)</c:v>
                </c:pt>
              </c:strCache>
            </c:strRef>
          </c:tx>
          <c:spPr>
            <a:noFill/>
            <a:ln>
              <a:noFill/>
            </a:ln>
            <a:effectLst/>
          </c:spPr>
          <c:invertIfNegative val="0"/>
          <c:val>
            <c:numRef>
              <c:f>'Energy Usage'!$U$3:$U$18</c:f>
              <c:numCache>
                <c:formatCode>0.0</c:formatCode>
                <c:ptCount val="16"/>
                <c:pt idx="0">
                  <c:v>36.235439999999997</c:v>
                </c:pt>
                <c:pt idx="1">
                  <c:v>31.091849999999997</c:v>
                </c:pt>
                <c:pt idx="2">
                  <c:v>35.00712</c:v>
                </c:pt>
                <c:pt idx="3">
                  <c:v>35.263019999999997</c:v>
                </c:pt>
                <c:pt idx="4">
                  <c:v>34.751220000000004</c:v>
                </c:pt>
                <c:pt idx="5">
                  <c:v>25.462049999999998</c:v>
                </c:pt>
                <c:pt idx="6">
                  <c:v>28.737570000000002</c:v>
                </c:pt>
                <c:pt idx="7">
                  <c:v>25.103789999999996</c:v>
                </c:pt>
                <c:pt idx="8">
                  <c:v>27.6372</c:v>
                </c:pt>
                <c:pt idx="9">
                  <c:v>27.739560000000001</c:v>
                </c:pt>
                <c:pt idx="10">
                  <c:v>34.085880000000003</c:v>
                </c:pt>
                <c:pt idx="11">
                  <c:v>35.49333</c:v>
                </c:pt>
                <c:pt idx="12">
                  <c:v>38.410589999999999</c:v>
                </c:pt>
                <c:pt idx="13">
                  <c:v>25.282920000000001</c:v>
                </c:pt>
                <c:pt idx="14">
                  <c:v>31.782779999999995</c:v>
                </c:pt>
                <c:pt idx="15">
                  <c:v>28.558439999999994</c:v>
                </c:pt>
              </c:numCache>
            </c:numRef>
          </c:val>
          <c:extLst>
            <c:ext xmlns:c16="http://schemas.microsoft.com/office/drawing/2014/chart" uri="{C3380CC4-5D6E-409C-BE32-E72D297353CC}">
              <c16:uniqueId val="{00000000-964F-4532-ACF6-8598D763CF58}"/>
            </c:ext>
          </c:extLst>
        </c:ser>
        <c:ser>
          <c:idx val="2"/>
          <c:order val="1"/>
          <c:tx>
            <c:strRef>
              <c:f>'Energy Usage'!$V$2</c:f>
              <c:strCache>
                <c:ptCount val="1"/>
                <c:pt idx="0">
                  <c:v>CEUS 2022 Acceptable EUI Range </c:v>
                </c:pt>
              </c:strCache>
            </c:strRef>
          </c:tx>
          <c:spPr>
            <a:solidFill>
              <a:schemeClr val="accent4">
                <a:lumMod val="40000"/>
                <a:lumOff val="60000"/>
              </a:schemeClr>
            </a:solidFill>
            <a:ln>
              <a:solidFill>
                <a:schemeClr val="accent4">
                  <a:lumMod val="75000"/>
                </a:schemeClr>
              </a:solidFill>
            </a:ln>
            <a:effectLst/>
          </c:spPr>
          <c:invertIfNegative val="0"/>
          <c:val>
            <c:numRef>
              <c:f>'Energy Usage'!$V$3:$V$18</c:f>
              <c:numCache>
                <c:formatCode>0.0</c:formatCode>
                <c:ptCount val="16"/>
                <c:pt idx="0">
                  <c:v>24.156959999999998</c:v>
                </c:pt>
                <c:pt idx="1">
                  <c:v>20.727900000000002</c:v>
                </c:pt>
                <c:pt idx="2">
                  <c:v>23.338079999999991</c:v>
                </c:pt>
                <c:pt idx="3">
                  <c:v>23.508679999999998</c:v>
                </c:pt>
                <c:pt idx="4">
                  <c:v>23.167479999999998</c:v>
                </c:pt>
                <c:pt idx="5">
                  <c:v>16.974699999999999</c:v>
                </c:pt>
                <c:pt idx="6">
                  <c:v>19.158379999999998</c:v>
                </c:pt>
                <c:pt idx="7">
                  <c:v>16.735860000000002</c:v>
                </c:pt>
                <c:pt idx="8">
                  <c:v>18.424800000000005</c:v>
                </c:pt>
                <c:pt idx="9">
                  <c:v>18.493040000000004</c:v>
                </c:pt>
                <c:pt idx="10">
                  <c:v>22.723919999999993</c:v>
                </c:pt>
                <c:pt idx="11">
                  <c:v>23.662219999999991</c:v>
                </c:pt>
                <c:pt idx="12">
                  <c:v>25.60705999999999</c:v>
                </c:pt>
                <c:pt idx="13">
                  <c:v>16.855279999999997</c:v>
                </c:pt>
                <c:pt idx="14">
                  <c:v>21.188519999999997</c:v>
                </c:pt>
                <c:pt idx="15">
                  <c:v>19.038959999999999</c:v>
                </c:pt>
              </c:numCache>
            </c:numRef>
          </c:val>
          <c:extLst>
            <c:ext xmlns:c16="http://schemas.microsoft.com/office/drawing/2014/chart" uri="{C3380CC4-5D6E-409C-BE32-E72D297353CC}">
              <c16:uniqueId val="{00000001-964F-4532-ACF6-8598D763CF58}"/>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pt idx="0">
                  <c:v>66.5</c:v>
                </c:pt>
                <c:pt idx="1">
                  <c:v>57.5</c:v>
                </c:pt>
                <c:pt idx="2">
                  <c:v>51.6</c:v>
                </c:pt>
                <c:pt idx="3">
                  <c:v>64.5</c:v>
                </c:pt>
                <c:pt idx="4">
                  <c:v>40</c:v>
                </c:pt>
                <c:pt idx="5">
                  <c:v>41.4</c:v>
                </c:pt>
                <c:pt idx="6">
                  <c:v>38.700000000000003</c:v>
                </c:pt>
                <c:pt idx="7">
                  <c:v>47.7</c:v>
                </c:pt>
                <c:pt idx="8">
                  <c:v>55.6</c:v>
                </c:pt>
                <c:pt idx="9">
                  <c:v>47.9</c:v>
                </c:pt>
                <c:pt idx="10">
                  <c:v>68.099999999999994</c:v>
                </c:pt>
                <c:pt idx="11">
                  <c:v>62.7</c:v>
                </c:pt>
                <c:pt idx="12">
                  <c:v>62.9</c:v>
                </c:pt>
                <c:pt idx="13">
                  <c:v>65.400000000000006</c:v>
                </c:pt>
                <c:pt idx="14">
                  <c:v>53.5</c:v>
                </c:pt>
                <c:pt idx="15">
                  <c:v>74.900000000000006</c:v>
                </c:pt>
              </c:numCache>
            </c:numRef>
          </c:yVal>
          <c:smooth val="0"/>
          <c:extLst>
            <c:ext xmlns:c16="http://schemas.microsoft.com/office/drawing/2014/chart" uri="{C3380CC4-5D6E-409C-BE32-E72D297353CC}">
              <c16:uniqueId val="{00000002-964F-4532-ACF6-8598D763CF58}"/>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pt idx="0">
                  <c:v>29.8</c:v>
                </c:pt>
                <c:pt idx="1">
                  <c:v>30.7</c:v>
                </c:pt>
                <c:pt idx="2">
                  <c:v>26.8</c:v>
                </c:pt>
                <c:pt idx="3">
                  <c:v>32.299999999999997</c:v>
                </c:pt>
                <c:pt idx="4">
                  <c:v>26.6</c:v>
                </c:pt>
                <c:pt idx="5">
                  <c:v>26.5</c:v>
                </c:pt>
                <c:pt idx="6">
                  <c:v>26.3</c:v>
                </c:pt>
                <c:pt idx="7">
                  <c:v>30</c:v>
                </c:pt>
                <c:pt idx="8">
                  <c:v>30</c:v>
                </c:pt>
                <c:pt idx="9">
                  <c:v>31.5</c:v>
                </c:pt>
                <c:pt idx="10">
                  <c:v>35.700000000000003</c:v>
                </c:pt>
                <c:pt idx="11">
                  <c:v>32.5</c:v>
                </c:pt>
                <c:pt idx="12">
                  <c:v>34.700000000000003</c:v>
                </c:pt>
                <c:pt idx="13">
                  <c:v>35.6</c:v>
                </c:pt>
                <c:pt idx="14">
                  <c:v>41</c:v>
                </c:pt>
                <c:pt idx="15">
                  <c:v>34.6</c:v>
                </c:pt>
              </c:numCache>
            </c:numRef>
          </c:yVal>
          <c:smooth val="0"/>
          <c:extLst>
            <c:ext xmlns:c16="http://schemas.microsoft.com/office/drawing/2014/chart" uri="{C3380CC4-5D6E-409C-BE32-E72D297353CC}">
              <c16:uniqueId val="{00000003-964F-4532-ACF6-8598D763CF58}"/>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100"/>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10" Type="http://schemas.openxmlformats.org/officeDocument/2006/relationships/image" Target="../media/image14.png"/><Relationship Id="rId4" Type="http://schemas.openxmlformats.org/officeDocument/2006/relationships/image" Target="../media/image8.png"/><Relationship Id="rId9" Type="http://schemas.openxmlformats.org/officeDocument/2006/relationships/image" Target="../media/image13.png"/></Relationships>
</file>

<file path=xl/drawings/_rels/drawing3.xml.rels><?xml version="1.0" encoding="UTF-8" standalone="yes"?>
<Relationships xmlns="http://schemas.openxmlformats.org/package/2006/relationships"><Relationship Id="rId1" Type="http://schemas.openxmlformats.org/officeDocument/2006/relationships/image" Target="../media/image15.png"/></Relationships>
</file>

<file path=xl/drawings/_rels/drawing4.xml.rels><?xml version="1.0" encoding="UTF-8" standalone="yes"?>
<Relationships xmlns="http://schemas.openxmlformats.org/package/2006/relationships"><Relationship Id="rId1" Type="http://schemas.openxmlformats.org/officeDocument/2006/relationships/image" Target="../media/image16.png"/></Relationships>
</file>

<file path=xl/drawings/_rels/drawing5.xml.rels><?xml version="1.0" encoding="UTF-8" standalone="yes"?>
<Relationships xmlns="http://schemas.openxmlformats.org/package/2006/relationships"><Relationship Id="rId1" Type="http://schemas.openxmlformats.org/officeDocument/2006/relationships/image" Target="../media/image17.png"/></Relationships>
</file>

<file path=xl/drawings/_rels/drawing6.xml.rels><?xml version="1.0" encoding="UTF-8" standalone="yes"?>
<Relationships xmlns="http://schemas.openxmlformats.org/package/2006/relationships"><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8.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xdr:from>
      <xdr:col>0</xdr:col>
      <xdr:colOff>0</xdr:colOff>
      <xdr:row>43</xdr:row>
      <xdr:rowOff>28576</xdr:rowOff>
    </xdr:from>
    <xdr:to>
      <xdr:col>1</xdr:col>
      <xdr:colOff>2857500</xdr:colOff>
      <xdr:row>56</xdr:row>
      <xdr:rowOff>23034</xdr:rowOff>
    </xdr:to>
    <xdr:pic>
      <xdr:nvPicPr>
        <xdr:cNvPr id="4" name="Picture 3">
          <a:extLst>
            <a:ext uri="{FF2B5EF4-FFF2-40B4-BE49-F238E27FC236}">
              <a16:creationId xmlns:a16="http://schemas.microsoft.com/office/drawing/2014/main" id="{7F0AE380-0207-403A-9BC8-1D2F20ED341B}"/>
            </a:ext>
          </a:extLst>
        </xdr:cNvPr>
        <xdr:cNvPicPr>
          <a:picLocks noChangeAspect="1"/>
        </xdr:cNvPicPr>
      </xdr:nvPicPr>
      <xdr:blipFill>
        <a:blip xmlns:r="http://schemas.openxmlformats.org/officeDocument/2006/relationships" r:embed="rId1"/>
        <a:stretch>
          <a:fillRect/>
        </a:stretch>
      </xdr:blipFill>
      <xdr:spPr>
        <a:xfrm>
          <a:off x="0" y="6686551"/>
          <a:ext cx="3867150" cy="2211878"/>
        </a:xfrm>
        <a:prstGeom prst="rect">
          <a:avLst/>
        </a:prstGeom>
      </xdr:spPr>
    </xdr:pic>
    <xdr:clientData/>
  </xdr:twoCellAnchor>
  <xdr:twoCellAnchor>
    <xdr:from>
      <xdr:col>1</xdr:col>
      <xdr:colOff>3051362</xdr:colOff>
      <xdr:row>43</xdr:row>
      <xdr:rowOff>36196</xdr:rowOff>
    </xdr:from>
    <xdr:to>
      <xdr:col>3</xdr:col>
      <xdr:colOff>0</xdr:colOff>
      <xdr:row>56</xdr:row>
      <xdr:rowOff>20955</xdr:rowOff>
    </xdr:to>
    <xdr:pic>
      <xdr:nvPicPr>
        <xdr:cNvPr id="5" name="Picture 4">
          <a:extLst>
            <a:ext uri="{FF2B5EF4-FFF2-40B4-BE49-F238E27FC236}">
              <a16:creationId xmlns:a16="http://schemas.microsoft.com/office/drawing/2014/main" id="{FDDD33B8-E82D-4B5C-BA37-0C256756E603}"/>
            </a:ext>
          </a:extLst>
        </xdr:cNvPr>
        <xdr:cNvPicPr>
          <a:picLocks noChangeAspect="1"/>
        </xdr:cNvPicPr>
      </xdr:nvPicPr>
      <xdr:blipFill>
        <a:blip xmlns:r="http://schemas.openxmlformats.org/officeDocument/2006/relationships" r:embed="rId2"/>
        <a:stretch>
          <a:fillRect/>
        </a:stretch>
      </xdr:blipFill>
      <xdr:spPr>
        <a:xfrm>
          <a:off x="4061012" y="6694171"/>
          <a:ext cx="3914696" cy="2219324"/>
        </a:xfrm>
        <a:prstGeom prst="rect">
          <a:avLst/>
        </a:prstGeom>
      </xdr:spPr>
    </xdr:pic>
    <xdr:clientData/>
  </xdr:twoCellAnchor>
  <xdr:twoCellAnchor>
    <xdr:from>
      <xdr:col>0</xdr:col>
      <xdr:colOff>0</xdr:colOff>
      <xdr:row>63</xdr:row>
      <xdr:rowOff>0</xdr:rowOff>
    </xdr:from>
    <xdr:to>
      <xdr:col>1</xdr:col>
      <xdr:colOff>2914649</xdr:colOff>
      <xdr:row>74</xdr:row>
      <xdr:rowOff>66</xdr:rowOff>
    </xdr:to>
    <xdr:pic>
      <xdr:nvPicPr>
        <xdr:cNvPr id="6" name="Picture 5">
          <a:extLst>
            <a:ext uri="{FF2B5EF4-FFF2-40B4-BE49-F238E27FC236}">
              <a16:creationId xmlns:a16="http://schemas.microsoft.com/office/drawing/2014/main" id="{A307D6D9-6305-4A4D-80D8-DA35F4B208AA}"/>
            </a:ext>
          </a:extLst>
        </xdr:cNvPr>
        <xdr:cNvPicPr>
          <a:picLocks noChangeAspect="1" noChangeArrowheads="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t="12313"/>
        <a:stretch>
          <a:fillRect/>
        </a:stretch>
      </xdr:blipFill>
      <xdr:spPr bwMode="auto">
        <a:xfrm>
          <a:off x="0" y="9582150"/>
          <a:ext cx="3931919" cy="18860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3095625</xdr:colOff>
      <xdr:row>62</xdr:row>
      <xdr:rowOff>88640</xdr:rowOff>
    </xdr:from>
    <xdr:to>
      <xdr:col>3</xdr:col>
      <xdr:colOff>0</xdr:colOff>
      <xdr:row>74</xdr:row>
      <xdr:rowOff>0</xdr:rowOff>
    </xdr:to>
    <xdr:pic>
      <xdr:nvPicPr>
        <xdr:cNvPr id="7" name="Picture 6">
          <a:extLst>
            <a:ext uri="{FF2B5EF4-FFF2-40B4-BE49-F238E27FC236}">
              <a16:creationId xmlns:a16="http://schemas.microsoft.com/office/drawing/2014/main" id="{05802ED0-4DAB-4010-98D6-C22C6F02B3C0}"/>
            </a:ext>
          </a:extLst>
        </xdr:cNvPr>
        <xdr:cNvPicPr>
          <a:picLocks noChangeAspect="1" noChangeArrowheads="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t="12983"/>
        <a:stretch>
          <a:fillRect/>
        </a:stretch>
      </xdr:blipFill>
      <xdr:spPr bwMode="auto">
        <a:xfrm>
          <a:off x="4105275" y="10013690"/>
          <a:ext cx="3907913" cy="19592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342900</xdr:colOff>
      <xdr:row>6</xdr:row>
      <xdr:rowOff>40104</xdr:rowOff>
    </xdr:from>
    <xdr:to>
      <xdr:col>1</xdr:col>
      <xdr:colOff>3105150</xdr:colOff>
      <xdr:row>6</xdr:row>
      <xdr:rowOff>1198344</xdr:rowOff>
    </xdr:to>
    <xdr:pic>
      <xdr:nvPicPr>
        <xdr:cNvPr id="6" name="Picture 2">
          <a:extLst>
            <a:ext uri="{FF2B5EF4-FFF2-40B4-BE49-F238E27FC236}">
              <a16:creationId xmlns:a16="http://schemas.microsoft.com/office/drawing/2014/main" id="{763CB40D-258F-4451-937F-ADC72A32E7B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10638" b="31480"/>
        <a:stretch>
          <a:fillRect/>
        </a:stretch>
      </xdr:blipFill>
      <xdr:spPr bwMode="auto">
        <a:xfrm>
          <a:off x="2227847" y="1624262"/>
          <a:ext cx="2752725" cy="1162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52445</xdr:colOff>
      <xdr:row>29</xdr:row>
      <xdr:rowOff>392207</xdr:rowOff>
    </xdr:from>
    <xdr:to>
      <xdr:col>1</xdr:col>
      <xdr:colOff>3447399</xdr:colOff>
      <xdr:row>29</xdr:row>
      <xdr:rowOff>1447464</xdr:rowOff>
    </xdr:to>
    <xdr:pic>
      <xdr:nvPicPr>
        <xdr:cNvPr id="13" name="Picture 12">
          <a:extLst>
            <a:ext uri="{FF2B5EF4-FFF2-40B4-BE49-F238E27FC236}">
              <a16:creationId xmlns:a16="http://schemas.microsoft.com/office/drawing/2014/main" id="{45A43EB6-EA74-7A40-D04D-2373C3F149A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766945" y="7575178"/>
          <a:ext cx="3408289" cy="10552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134913</xdr:colOff>
      <xdr:row>34</xdr:row>
      <xdr:rowOff>309442</xdr:rowOff>
    </xdr:from>
    <xdr:to>
      <xdr:col>2</xdr:col>
      <xdr:colOff>2716549</xdr:colOff>
      <xdr:row>34</xdr:row>
      <xdr:rowOff>1375092</xdr:rowOff>
    </xdr:to>
    <xdr:pic>
      <xdr:nvPicPr>
        <xdr:cNvPr id="15" name="Picture 14">
          <a:extLst>
            <a:ext uri="{FF2B5EF4-FFF2-40B4-BE49-F238E27FC236}">
              <a16:creationId xmlns:a16="http://schemas.microsoft.com/office/drawing/2014/main" id="{4C80B8BB-C8E3-1224-5A61-B26E99153F86}"/>
            </a:ext>
          </a:extLst>
        </xdr:cNvPr>
        <xdr:cNvPicPr>
          <a:picLocks noChangeAspect="1"/>
        </xdr:cNvPicPr>
      </xdr:nvPicPr>
      <xdr:blipFill>
        <a:blip xmlns:r="http://schemas.openxmlformats.org/officeDocument/2006/relationships" r:embed="rId3"/>
        <a:stretch>
          <a:fillRect/>
        </a:stretch>
      </xdr:blipFill>
      <xdr:spPr>
        <a:xfrm>
          <a:off x="11262354" y="7313118"/>
          <a:ext cx="2581636" cy="1065650"/>
        </a:xfrm>
        <a:prstGeom prst="rect">
          <a:avLst/>
        </a:prstGeom>
      </xdr:spPr>
    </xdr:pic>
    <xdr:clientData/>
  </xdr:twoCellAnchor>
  <xdr:twoCellAnchor>
    <xdr:from>
      <xdr:col>3</xdr:col>
      <xdr:colOff>65332</xdr:colOff>
      <xdr:row>34</xdr:row>
      <xdr:rowOff>394159</xdr:rowOff>
    </xdr:from>
    <xdr:to>
      <xdr:col>3</xdr:col>
      <xdr:colOff>3074912</xdr:colOff>
      <xdr:row>34</xdr:row>
      <xdr:rowOff>1456765</xdr:rowOff>
    </xdr:to>
    <xdr:pic>
      <xdr:nvPicPr>
        <xdr:cNvPr id="16" name="Picture 15">
          <a:extLst>
            <a:ext uri="{FF2B5EF4-FFF2-40B4-BE49-F238E27FC236}">
              <a16:creationId xmlns:a16="http://schemas.microsoft.com/office/drawing/2014/main" id="{9E1D8925-688A-4941-ED2C-716B0ECC504D}"/>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330420" y="7397835"/>
          <a:ext cx="3009580" cy="10626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74633</xdr:colOff>
      <xdr:row>34</xdr:row>
      <xdr:rowOff>210327</xdr:rowOff>
    </xdr:from>
    <xdr:to>
      <xdr:col>5</xdr:col>
      <xdr:colOff>3039644</xdr:colOff>
      <xdr:row>34</xdr:row>
      <xdr:rowOff>1434354</xdr:rowOff>
    </xdr:to>
    <xdr:pic>
      <xdr:nvPicPr>
        <xdr:cNvPr id="18" name="Picture 17">
          <a:extLst>
            <a:ext uri="{FF2B5EF4-FFF2-40B4-BE49-F238E27FC236}">
              <a16:creationId xmlns:a16="http://schemas.microsoft.com/office/drawing/2014/main" id="{3AFA9C98-B3B3-F63D-E38E-23943B91C609}"/>
            </a:ext>
          </a:extLst>
        </xdr:cNvPr>
        <xdr:cNvPicPr>
          <a:picLocks noChangeAspect="1"/>
        </xdr:cNvPicPr>
      </xdr:nvPicPr>
      <xdr:blipFill>
        <a:blip xmlns:r="http://schemas.openxmlformats.org/officeDocument/2006/relationships" r:embed="rId5"/>
        <a:stretch>
          <a:fillRect/>
        </a:stretch>
      </xdr:blipFill>
      <xdr:spPr>
        <a:xfrm>
          <a:off x="26531721" y="7214003"/>
          <a:ext cx="2965011" cy="1224027"/>
        </a:xfrm>
        <a:prstGeom prst="rect">
          <a:avLst/>
        </a:prstGeom>
      </xdr:spPr>
    </xdr:pic>
    <xdr:clientData/>
  </xdr:twoCellAnchor>
  <xdr:twoCellAnchor>
    <xdr:from>
      <xdr:col>1</xdr:col>
      <xdr:colOff>241792</xdr:colOff>
      <xdr:row>34</xdr:row>
      <xdr:rowOff>254179</xdr:rowOff>
    </xdr:from>
    <xdr:to>
      <xdr:col>1</xdr:col>
      <xdr:colOff>2870167</xdr:colOff>
      <xdr:row>34</xdr:row>
      <xdr:rowOff>1362745</xdr:rowOff>
    </xdr:to>
    <xdr:pic>
      <xdr:nvPicPr>
        <xdr:cNvPr id="19" name="Picture 18">
          <a:extLst>
            <a:ext uri="{FF2B5EF4-FFF2-40B4-BE49-F238E27FC236}">
              <a16:creationId xmlns:a16="http://schemas.microsoft.com/office/drawing/2014/main" id="{47AF1A39-050B-8441-BE75-39849A3D7339}"/>
            </a:ext>
          </a:extLst>
        </xdr:cNvPr>
        <xdr:cNvPicPr>
          <a:picLocks noChangeAspect="1"/>
        </xdr:cNvPicPr>
      </xdr:nvPicPr>
      <xdr:blipFill>
        <a:blip xmlns:r="http://schemas.openxmlformats.org/officeDocument/2006/relationships" r:embed="rId6"/>
        <a:stretch>
          <a:fillRect/>
        </a:stretch>
      </xdr:blipFill>
      <xdr:spPr>
        <a:xfrm>
          <a:off x="8433292" y="7257855"/>
          <a:ext cx="2628375" cy="1108566"/>
        </a:xfrm>
        <a:prstGeom prst="rect">
          <a:avLst/>
        </a:prstGeom>
      </xdr:spPr>
    </xdr:pic>
    <xdr:clientData/>
  </xdr:twoCellAnchor>
  <xdr:twoCellAnchor>
    <xdr:from>
      <xdr:col>1</xdr:col>
      <xdr:colOff>313765</xdr:colOff>
      <xdr:row>39</xdr:row>
      <xdr:rowOff>252299</xdr:rowOff>
    </xdr:from>
    <xdr:to>
      <xdr:col>1</xdr:col>
      <xdr:colOff>2761056</xdr:colOff>
      <xdr:row>39</xdr:row>
      <xdr:rowOff>1540809</xdr:rowOff>
    </xdr:to>
    <xdr:pic>
      <xdr:nvPicPr>
        <xdr:cNvPr id="20" name="Picture 19">
          <a:extLst>
            <a:ext uri="{FF2B5EF4-FFF2-40B4-BE49-F238E27FC236}">
              <a16:creationId xmlns:a16="http://schemas.microsoft.com/office/drawing/2014/main" id="{367EE4C1-741C-1A7C-A298-0D09B6F94333}"/>
            </a:ext>
          </a:extLst>
        </xdr:cNvPr>
        <xdr:cNvPicPr>
          <a:picLocks noChangeAspect="1"/>
        </xdr:cNvPicPr>
      </xdr:nvPicPr>
      <xdr:blipFill>
        <a:blip xmlns:r="http://schemas.openxmlformats.org/officeDocument/2006/relationships" r:embed="rId7"/>
        <a:stretch>
          <a:fillRect/>
        </a:stretch>
      </xdr:blipFill>
      <xdr:spPr>
        <a:xfrm>
          <a:off x="8964706" y="7435270"/>
          <a:ext cx="2451101" cy="1284700"/>
        </a:xfrm>
        <a:prstGeom prst="rect">
          <a:avLst/>
        </a:prstGeom>
      </xdr:spPr>
    </xdr:pic>
    <xdr:clientData/>
  </xdr:twoCellAnchor>
  <xdr:twoCellAnchor>
    <xdr:from>
      <xdr:col>2</xdr:col>
      <xdr:colOff>114734</xdr:colOff>
      <xdr:row>39</xdr:row>
      <xdr:rowOff>54125</xdr:rowOff>
    </xdr:from>
    <xdr:to>
      <xdr:col>2</xdr:col>
      <xdr:colOff>2454088</xdr:colOff>
      <xdr:row>39</xdr:row>
      <xdr:rowOff>1555991</xdr:rowOff>
    </xdr:to>
    <xdr:pic>
      <xdr:nvPicPr>
        <xdr:cNvPr id="21" name="Picture 20">
          <a:extLst>
            <a:ext uri="{FF2B5EF4-FFF2-40B4-BE49-F238E27FC236}">
              <a16:creationId xmlns:a16="http://schemas.microsoft.com/office/drawing/2014/main" id="{CF6F9B66-C6E0-4EEA-AB60-D8D93953091B}"/>
            </a:ext>
          </a:extLst>
        </xdr:cNvPr>
        <xdr:cNvPicPr>
          <a:picLocks noChangeAspect="1"/>
        </xdr:cNvPicPr>
      </xdr:nvPicPr>
      <xdr:blipFill>
        <a:blip xmlns:r="http://schemas.openxmlformats.org/officeDocument/2006/relationships" r:embed="rId8"/>
        <a:stretch>
          <a:fillRect/>
        </a:stretch>
      </xdr:blipFill>
      <xdr:spPr>
        <a:xfrm>
          <a:off x="23714322" y="7057801"/>
          <a:ext cx="2339354" cy="1501866"/>
        </a:xfrm>
        <a:prstGeom prst="rect">
          <a:avLst/>
        </a:prstGeom>
      </xdr:spPr>
    </xdr:pic>
    <xdr:clientData/>
  </xdr:twoCellAnchor>
  <xdr:twoCellAnchor>
    <xdr:from>
      <xdr:col>2</xdr:col>
      <xdr:colOff>218179</xdr:colOff>
      <xdr:row>29</xdr:row>
      <xdr:rowOff>113554</xdr:rowOff>
    </xdr:from>
    <xdr:to>
      <xdr:col>2</xdr:col>
      <xdr:colOff>2850103</xdr:colOff>
      <xdr:row>29</xdr:row>
      <xdr:rowOff>1668810</xdr:rowOff>
    </xdr:to>
    <xdr:pic>
      <xdr:nvPicPr>
        <xdr:cNvPr id="22" name="Picture 21">
          <a:extLst>
            <a:ext uri="{FF2B5EF4-FFF2-40B4-BE49-F238E27FC236}">
              <a16:creationId xmlns:a16="http://schemas.microsoft.com/office/drawing/2014/main" id="{266977DA-7DCF-FFA2-D686-40D70B90B1E2}"/>
            </a:ext>
          </a:extLst>
        </xdr:cNvPr>
        <xdr:cNvPicPr>
          <a:picLocks noChangeAspect="1"/>
        </xdr:cNvPicPr>
      </xdr:nvPicPr>
      <xdr:blipFill>
        <a:blip xmlns:r="http://schemas.openxmlformats.org/officeDocument/2006/relationships" r:embed="rId9"/>
        <a:stretch>
          <a:fillRect/>
        </a:stretch>
      </xdr:blipFill>
      <xdr:spPr>
        <a:xfrm>
          <a:off x="17396797" y="7117230"/>
          <a:ext cx="2631924" cy="1555256"/>
        </a:xfrm>
        <a:prstGeom prst="rect">
          <a:avLst/>
        </a:prstGeom>
      </xdr:spPr>
    </xdr:pic>
    <xdr:clientData/>
  </xdr:twoCellAnchor>
  <xdr:twoCellAnchor>
    <xdr:from>
      <xdr:col>3</xdr:col>
      <xdr:colOff>97265</xdr:colOff>
      <xdr:row>29</xdr:row>
      <xdr:rowOff>193201</xdr:rowOff>
    </xdr:from>
    <xdr:to>
      <xdr:col>3</xdr:col>
      <xdr:colOff>2859405</xdr:colOff>
      <xdr:row>29</xdr:row>
      <xdr:rowOff>1556600</xdr:rowOff>
    </xdr:to>
    <xdr:pic>
      <xdr:nvPicPr>
        <xdr:cNvPr id="23" name="Picture 22">
          <a:extLst>
            <a:ext uri="{FF2B5EF4-FFF2-40B4-BE49-F238E27FC236}">
              <a16:creationId xmlns:a16="http://schemas.microsoft.com/office/drawing/2014/main" id="{9F973CE7-AED9-6585-B3B6-A3BE1194169B}"/>
            </a:ext>
          </a:extLst>
        </xdr:cNvPr>
        <xdr:cNvPicPr>
          <a:picLocks noChangeAspect="1"/>
        </xdr:cNvPicPr>
      </xdr:nvPicPr>
      <xdr:blipFill>
        <a:blip xmlns:r="http://schemas.openxmlformats.org/officeDocument/2006/relationships" r:embed="rId10"/>
        <a:stretch>
          <a:fillRect/>
        </a:stretch>
      </xdr:blipFill>
      <xdr:spPr>
        <a:xfrm>
          <a:off x="20563591" y="7233418"/>
          <a:ext cx="2762140" cy="13633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12</xdr:col>
      <xdr:colOff>1282561</xdr:colOff>
      <xdr:row>0</xdr:row>
      <xdr:rowOff>35035</xdr:rowOff>
    </xdr:from>
    <xdr:to>
      <xdr:col>12</xdr:col>
      <xdr:colOff>1282561</xdr:colOff>
      <xdr:row>0</xdr:row>
      <xdr:rowOff>321779</xdr:rowOff>
    </xdr:to>
    <xdr:cxnSp macro="">
      <xdr:nvCxnSpPr>
        <xdr:cNvPr id="4" name="Straight Arrow Connector 3">
          <a:extLst>
            <a:ext uri="{FF2B5EF4-FFF2-40B4-BE49-F238E27FC236}">
              <a16:creationId xmlns:a16="http://schemas.microsoft.com/office/drawing/2014/main" id="{BB0EC946-BDB6-09C9-DB60-21B21720AE71}"/>
            </a:ext>
          </a:extLst>
        </xdr:cNvPr>
        <xdr:cNvCxnSpPr/>
      </xdr:nvCxnSpPr>
      <xdr:spPr>
        <a:xfrm flipV="1">
          <a:off x="12000257" y="350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1325218</xdr:colOff>
      <xdr:row>0</xdr:row>
      <xdr:rowOff>67505</xdr:rowOff>
    </xdr:from>
    <xdr:to>
      <xdr:col>12</xdr:col>
      <xdr:colOff>1565412</xdr:colOff>
      <xdr:row>1</xdr:row>
      <xdr:rowOff>103203</xdr:rowOff>
    </xdr:to>
    <xdr:sp macro="" textlink="">
      <xdr:nvSpPr>
        <xdr:cNvPr id="8" name="TextBox 7">
          <a:extLst>
            <a:ext uri="{FF2B5EF4-FFF2-40B4-BE49-F238E27FC236}">
              <a16:creationId xmlns:a16="http://schemas.microsoft.com/office/drawing/2014/main" id="{1DDDC35D-79DC-FE8D-E36B-A215903DCB00}"/>
            </a:ext>
          </a:extLst>
        </xdr:cNvPr>
        <xdr:cNvSpPr txBox="1"/>
      </xdr:nvSpPr>
      <xdr:spPr>
        <a:xfrm>
          <a:off x="13855148" y="67505"/>
          <a:ext cx="240194" cy="3603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editAs="oneCell">
    <xdr:from>
      <xdr:col>12</xdr:col>
      <xdr:colOff>453390</xdr:colOff>
      <xdr:row>1</xdr:row>
      <xdr:rowOff>344805</xdr:rowOff>
    </xdr:from>
    <xdr:to>
      <xdr:col>14</xdr:col>
      <xdr:colOff>263456</xdr:colOff>
      <xdr:row>11</xdr:row>
      <xdr:rowOff>2812</xdr:rowOff>
    </xdr:to>
    <xdr:pic>
      <xdr:nvPicPr>
        <xdr:cNvPr id="2" name="Picture 1">
          <a:extLst>
            <a:ext uri="{FF2B5EF4-FFF2-40B4-BE49-F238E27FC236}">
              <a16:creationId xmlns:a16="http://schemas.microsoft.com/office/drawing/2014/main" id="{44AE3E02-1423-44B2-8DB6-75D5FC3A65D0}"/>
            </a:ext>
          </a:extLst>
        </xdr:cNvPr>
        <xdr:cNvPicPr>
          <a:picLocks noChangeAspect="1"/>
        </xdr:cNvPicPr>
      </xdr:nvPicPr>
      <xdr:blipFill>
        <a:blip xmlns:r="http://schemas.openxmlformats.org/officeDocument/2006/relationships" r:embed="rId1"/>
        <a:stretch>
          <a:fillRect/>
        </a:stretch>
      </xdr:blipFill>
      <xdr:spPr>
        <a:xfrm>
          <a:off x="12673965" y="668655"/>
          <a:ext cx="3077141" cy="207164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35</xdr:row>
      <xdr:rowOff>76200</xdr:rowOff>
    </xdr:from>
    <xdr:to>
      <xdr:col>2</xdr:col>
      <xdr:colOff>1139394</xdr:colOff>
      <xdr:row>62</xdr:row>
      <xdr:rowOff>141483</xdr:rowOff>
    </xdr:to>
    <xdr:pic>
      <xdr:nvPicPr>
        <xdr:cNvPr id="2" name="Picture 2">
          <a:extLst>
            <a:ext uri="{FF2B5EF4-FFF2-40B4-BE49-F238E27FC236}">
              <a16:creationId xmlns:a16="http://schemas.microsoft.com/office/drawing/2014/main" id="{FA3B08BF-53BE-42B9-BE9B-F08C7EDF1C9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2948940"/>
          <a:ext cx="4423614" cy="459156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xdr:row>
      <xdr:rowOff>15240</xdr:rowOff>
    </xdr:from>
    <xdr:to>
      <xdr:col>5</xdr:col>
      <xdr:colOff>243840</xdr:colOff>
      <xdr:row>24</xdr:row>
      <xdr:rowOff>66344</xdr:rowOff>
    </xdr:to>
    <xdr:pic>
      <xdr:nvPicPr>
        <xdr:cNvPr id="3" name="Picture 1">
          <a:extLst>
            <a:ext uri="{FF2B5EF4-FFF2-40B4-BE49-F238E27FC236}">
              <a16:creationId xmlns:a16="http://schemas.microsoft.com/office/drawing/2014/main" id="{8E4C9FDC-56AE-6406-B3B4-62D1F5570B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5082540"/>
          <a:ext cx="7178040" cy="1590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1</xdr:colOff>
      <xdr:row>15</xdr:row>
      <xdr:rowOff>125729</xdr:rowOff>
    </xdr:from>
    <xdr:to>
      <xdr:col>4</xdr:col>
      <xdr:colOff>629008</xdr:colOff>
      <xdr:row>35</xdr:row>
      <xdr:rowOff>5714</xdr:rowOff>
    </xdr:to>
    <xdr:pic>
      <xdr:nvPicPr>
        <xdr:cNvPr id="2" name="Picture 1">
          <a:extLst>
            <a:ext uri="{FF2B5EF4-FFF2-40B4-BE49-F238E27FC236}">
              <a16:creationId xmlns:a16="http://schemas.microsoft.com/office/drawing/2014/main" id="{D7AFFBF3-95D4-4DEF-A310-E3C99FD31C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 y="3907154"/>
          <a:ext cx="5572482" cy="33070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29</xdr:col>
      <xdr:colOff>289560</xdr:colOff>
      <xdr:row>1</xdr:row>
      <xdr:rowOff>251791</xdr:rowOff>
    </xdr:from>
    <xdr:to>
      <xdr:col>36</xdr:col>
      <xdr:colOff>0</xdr:colOff>
      <xdr:row>5</xdr:row>
      <xdr:rowOff>364434</xdr:rowOff>
    </xdr:to>
    <xdr:graphicFrame macro="">
      <xdr:nvGraphicFramePr>
        <xdr:cNvPr id="9" name="Chart 5">
          <a:extLst>
            <a:ext uri="{FF2B5EF4-FFF2-40B4-BE49-F238E27FC236}">
              <a16:creationId xmlns:a16="http://schemas.microsoft.com/office/drawing/2014/main" id="{CBDA0656-8164-4FA8-8BE7-79F7FE5F5FB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289560</xdr:colOff>
      <xdr:row>6</xdr:row>
      <xdr:rowOff>0</xdr:rowOff>
    </xdr:from>
    <xdr:to>
      <xdr:col>36</xdr:col>
      <xdr:colOff>0</xdr:colOff>
      <xdr:row>8</xdr:row>
      <xdr:rowOff>391886</xdr:rowOff>
    </xdr:to>
    <xdr:graphicFrame macro="">
      <xdr:nvGraphicFramePr>
        <xdr:cNvPr id="18"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315686</xdr:colOff>
      <xdr:row>9</xdr:row>
      <xdr:rowOff>0</xdr:rowOff>
    </xdr:from>
    <xdr:to>
      <xdr:col>36</xdr:col>
      <xdr:colOff>26126</xdr:colOff>
      <xdr:row>12</xdr:row>
      <xdr:rowOff>0</xdr:rowOff>
    </xdr:to>
    <xdr:graphicFrame macro="">
      <xdr:nvGraphicFramePr>
        <xdr:cNvPr id="19"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23</xdr:col>
      <xdr:colOff>485775</xdr:colOff>
      <xdr:row>23</xdr:row>
      <xdr:rowOff>152400</xdr:rowOff>
    </xdr:from>
    <xdr:to>
      <xdr:col>40</xdr:col>
      <xdr:colOff>264734</xdr:colOff>
      <xdr:row>52</xdr:row>
      <xdr:rowOff>22553</xdr:rowOff>
    </xdr:to>
    <xdr:graphicFrame macro="">
      <xdr:nvGraphicFramePr>
        <xdr:cNvPr id="7" name="Chart 2">
          <a:extLst>
            <a:ext uri="{FF2B5EF4-FFF2-40B4-BE49-F238E27FC236}">
              <a16:creationId xmlns:a16="http://schemas.microsoft.com/office/drawing/2014/main" id="{A9375B8D-4916-4A48-A9ED-CEFAFC0F588A}"/>
            </a:ext>
            <a:ext uri="{147F2762-F138-4A5C-976F-8EAC2B608ADB}">
              <a16:predDERef xmlns:a16="http://schemas.microsoft.com/office/drawing/2014/main" pred="{739FCDD5-3C6A-46AF-B213-5AEAD12550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533400</xdr:colOff>
      <xdr:row>1</xdr:row>
      <xdr:rowOff>428625</xdr:rowOff>
    </xdr:from>
    <xdr:to>
      <xdr:col>40</xdr:col>
      <xdr:colOff>264585</xdr:colOff>
      <xdr:row>20</xdr:row>
      <xdr:rowOff>154940</xdr:rowOff>
    </xdr:to>
    <xdr:graphicFrame macro="">
      <xdr:nvGraphicFramePr>
        <xdr:cNvPr id="8" name="Chart 1">
          <a:extLst>
            <a:ext uri="{FF2B5EF4-FFF2-40B4-BE49-F238E27FC236}">
              <a16:creationId xmlns:a16="http://schemas.microsoft.com/office/drawing/2014/main" id="{5AC1F19F-ED31-400E-B053-4AF3F62345AC}"/>
            </a:ext>
            <a:ext uri="{147F2762-F138-4A5C-976F-8EAC2B608ADB}">
              <a16:predDERef xmlns:a16="http://schemas.microsoft.com/office/drawing/2014/main" pred="{A9375B8D-4916-4A48-A9ED-CEFAFC0F58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250627</xdr:colOff>
      <xdr:row>22</xdr:row>
      <xdr:rowOff>168221</xdr:rowOff>
    </xdr:from>
    <xdr:to>
      <xdr:col>9</xdr:col>
      <xdr:colOff>163830</xdr:colOff>
      <xdr:row>32</xdr:row>
      <xdr:rowOff>143847</xdr:rowOff>
    </xdr:to>
    <xdr:pic>
      <xdr:nvPicPr>
        <xdr:cNvPr id="2" name="Picture 1">
          <a:extLst>
            <a:ext uri="{FF2B5EF4-FFF2-40B4-BE49-F238E27FC236}">
              <a16:creationId xmlns:a16="http://schemas.microsoft.com/office/drawing/2014/main" id="{C68FDA43-0D02-4D6B-8A10-1F478024FA93}"/>
            </a:ext>
          </a:extLst>
        </xdr:cNvPr>
        <xdr:cNvPicPr>
          <a:picLocks noChangeAspect="1"/>
        </xdr:cNvPicPr>
      </xdr:nvPicPr>
      <xdr:blipFill>
        <a:blip xmlns:r="http://schemas.openxmlformats.org/officeDocument/2006/relationships" r:embed="rId1"/>
        <a:stretch>
          <a:fillRect/>
        </a:stretch>
      </xdr:blipFill>
      <xdr:spPr>
        <a:xfrm>
          <a:off x="250627" y="4168721"/>
          <a:ext cx="5399603" cy="1785376"/>
        </a:xfrm>
        <a:prstGeom prst="rect">
          <a:avLst/>
        </a:prstGeom>
      </xdr:spPr>
    </xdr:pic>
    <xdr:clientData/>
  </xdr:twoCellAnchor>
  <xdr:twoCellAnchor>
    <xdr:from>
      <xdr:col>0</xdr:col>
      <xdr:colOff>0</xdr:colOff>
      <xdr:row>14</xdr:row>
      <xdr:rowOff>38100</xdr:rowOff>
    </xdr:from>
    <xdr:to>
      <xdr:col>10</xdr:col>
      <xdr:colOff>104775</xdr:colOff>
      <xdr:row>22</xdr:row>
      <xdr:rowOff>105747</xdr:rowOff>
    </xdr:to>
    <xdr:pic>
      <xdr:nvPicPr>
        <xdr:cNvPr id="3" name="Picture 2">
          <a:extLst>
            <a:ext uri="{FF2B5EF4-FFF2-40B4-BE49-F238E27FC236}">
              <a16:creationId xmlns:a16="http://schemas.microsoft.com/office/drawing/2014/main" id="{E484624E-F40F-47F4-AA72-4A9B10BD7C89}"/>
            </a:ext>
          </a:extLst>
        </xdr:cNvPr>
        <xdr:cNvPicPr>
          <a:picLocks noChangeAspect="1"/>
        </xdr:cNvPicPr>
      </xdr:nvPicPr>
      <xdr:blipFill>
        <a:blip xmlns:r="http://schemas.openxmlformats.org/officeDocument/2006/relationships" r:embed="rId2"/>
        <a:stretch>
          <a:fillRect/>
        </a:stretch>
      </xdr:blipFill>
      <xdr:spPr>
        <a:xfrm>
          <a:off x="0" y="2590800"/>
          <a:ext cx="6200775" cy="151544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govinfo.gov/content/pkg/CFR-2024-title10-vol3/pdf/CFR-2024-title10-vol3-part431-subpartF.pdf" TargetMode="External"/><Relationship Id="rId13" Type="http://schemas.openxmlformats.org/officeDocument/2006/relationships/hyperlink" Target="https://title24stakeholders.com/wp-content/uploads/2016/10/T24-2019-CASE-Study-Results-Report-Outdoor-Sources_Final_with-Attachments.pdf" TargetMode="External"/><Relationship Id="rId3" Type="http://schemas.openxmlformats.org/officeDocument/2006/relationships/hyperlink" Target="https://github.com/sound-data/DEER-Prototypes-EnergyPlus" TargetMode="External"/><Relationship Id="rId7" Type="http://schemas.openxmlformats.org/officeDocument/2006/relationships/hyperlink" Target="https://www.govinfo.gov/content/pkg/FR-2009-03-23/pdf/FR-2009-03-23.pdf" TargetMode="External"/><Relationship Id="rId12" Type="http://schemas.openxmlformats.org/officeDocument/2006/relationships/hyperlink" Target="https://2050partners.sharepoint.com/:w:/r/sites/CalBEMCollaborativeEfforts/_layouts/15/Doc.aspx?sourcedoc=%7B3BEF8F74-7FAC-44F2-A70C-D76617660066%7D&amp;file=Infiltration_rate_report_14May2025-Short-Version.docx&amp;action=default&amp;mobileredirect=true" TargetMode="External"/><Relationship Id="rId2" Type="http://schemas.openxmlformats.org/officeDocument/2006/relationships/hyperlink" Target="https://www.energycodes.gov/prototype-building-models" TargetMode="External"/><Relationship Id="rId1" Type="http://schemas.openxmlformats.org/officeDocument/2006/relationships/hyperlink" Target="https://bees.noresco.com/software2022.html" TargetMode="External"/><Relationship Id="rId6" Type="http://schemas.openxmlformats.org/officeDocument/2006/relationships/hyperlink" Target="https://data.openei.org/s3_viewer?bucket=oedi-data-lake&amp;prefix=nrel-pds-building-stock%2Fend-use-load-profiles-for-us-building-stock%2F2023%2Fcomstock_amy2018_release_2%2Fmetadata_and_annual_results%2Fby_state%2Fstate%3DCA%2F" TargetMode="External"/><Relationship Id="rId11" Type="http://schemas.openxmlformats.org/officeDocument/2006/relationships/hyperlink" Target="https://www.pnnl.gov/main/publications/external/technical_reports/PNNL-20405.pdf" TargetMode="External"/><Relationship Id="rId5" Type="http://schemas.openxmlformats.org/officeDocument/2006/relationships/hyperlink" Target="https://www.eia.gov/consumption/commercial/data/2018/index.php?view=microdata" TargetMode="External"/><Relationship Id="rId15" Type="http://schemas.openxmlformats.org/officeDocument/2006/relationships/drawing" Target="../drawings/drawing1.xml"/><Relationship Id="rId10" Type="http://schemas.openxmlformats.org/officeDocument/2006/relationships/hyperlink" Target="https://title24stakeholders.com/wp-content/uploads/2020/10/2022-T24-Final-CASE-Report_Reduce-Infiltration.pdf" TargetMode="External"/><Relationship Id="rId4" Type="http://schemas.openxmlformats.org/officeDocument/2006/relationships/hyperlink" Target="https://www.energy.ca.gov/publications/2023/2022-california-commercial-end-use-survey-ceus-final-report" TargetMode="External"/><Relationship Id="rId9" Type="http://schemas.openxmlformats.org/officeDocument/2006/relationships/hyperlink" Target="https://www.energy.ca.gov/publications/2022/2022-nonresidential-and-multifamily-alternative-calculation-method-reference" TargetMode="External"/><Relationship Id="rId14" Type="http://schemas.openxmlformats.org/officeDocument/2006/relationships/hyperlink" Target="https://efiling.energy.ca.gov/GetDocument.aspx?tn=265693&amp;DocumentContentId=102545"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onRes-Vintage%20bins-Draft%20Report-30Nov2023-Final.docx?d=w8560be34ea9744e086bccf7767b0a3cf&amp;csf=1&amp;web=1&amp;e=tpxacv"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2050partners.sharepoint.com/:w:/r/sites/CalBEMCollaborativeEfforts/_layouts/15/Doc.aspx?sourcedoc=%7B3BEF8F74-7FAC-44F2-A70C-D76617660066%7D&amp;file=Infiltration_rate_report_14May2025-Short-Version.docx&amp;action=default&amp;mobileredirect=true&amp;wdLOR=c37D90580-1DC7-4CAF-9995-F2723497E773" TargetMode="External"/><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title24stakeholders.com/wp-content/uploads/2020/10/2022-T24-Final-CASE-Report_Reduce-Infiltration.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H75"/>
  <sheetViews>
    <sheetView zoomScaleNormal="100" workbookViewId="0">
      <selection sqref="A1:C1"/>
    </sheetView>
  </sheetViews>
  <sheetFormatPr defaultColWidth="9.28515625" defaultRowHeight="13.15"/>
  <cols>
    <col min="1" max="1" width="14.7109375" style="2" customWidth="1"/>
    <col min="2" max="2" width="96.42578125" style="2" customWidth="1"/>
    <col min="3" max="3" width="42.140625" style="2" customWidth="1"/>
    <col min="4" max="4" width="9.28515625" style="2"/>
    <col min="5" max="5" width="21.7109375" style="2" customWidth="1"/>
    <col min="6" max="6" width="10.7109375" style="2" customWidth="1"/>
    <col min="7" max="7" width="9.7109375" style="2" customWidth="1"/>
    <col min="8" max="8" width="9.7109375" style="2" bestFit="1" customWidth="1"/>
    <col min="9" max="16384" width="9.28515625" style="2"/>
  </cols>
  <sheetData>
    <row r="1" spans="1:4" ht="20.45" customHeight="1">
      <c r="A1" s="352" t="s">
        <v>0</v>
      </c>
      <c r="B1" s="352"/>
      <c r="C1" s="352"/>
    </row>
    <row r="2" spans="1:4">
      <c r="A2" s="354" t="s">
        <v>1</v>
      </c>
      <c r="B2" s="2" t="s">
        <v>2</v>
      </c>
      <c r="C2" s="331"/>
    </row>
    <row r="3" spans="1:4" ht="14.45">
      <c r="A3" s="354"/>
      <c r="B3" s="2" t="s">
        <v>3</v>
      </c>
      <c r="C3" s="208" t="s">
        <v>4</v>
      </c>
      <c r="D3" s="2" t="s">
        <v>5</v>
      </c>
    </row>
    <row r="4" spans="1:4" ht="14.45">
      <c r="A4" s="354"/>
      <c r="B4" s="2" t="s">
        <v>6</v>
      </c>
      <c r="C4" s="208" t="s">
        <v>7</v>
      </c>
      <c r="D4" s="2" t="s">
        <v>5</v>
      </c>
    </row>
    <row r="5" spans="1:4" ht="14.45">
      <c r="A5" s="354"/>
      <c r="B5" s="2" t="s">
        <v>8</v>
      </c>
      <c r="C5" s="208" t="s">
        <v>9</v>
      </c>
      <c r="D5" s="2" t="s">
        <v>5</v>
      </c>
    </row>
    <row r="6" spans="1:4" ht="14.45">
      <c r="A6" s="354" t="s">
        <v>10</v>
      </c>
      <c r="B6" s="2" t="s">
        <v>11</v>
      </c>
      <c r="C6" s="208" t="s">
        <v>12</v>
      </c>
      <c r="D6" s="2" t="s">
        <v>5</v>
      </c>
    </row>
    <row r="7" spans="1:4" ht="14.45">
      <c r="A7" s="354"/>
      <c r="B7" s="2" t="s">
        <v>13</v>
      </c>
      <c r="C7" s="208" t="s">
        <v>14</v>
      </c>
      <c r="D7" s="2" t="s">
        <v>5</v>
      </c>
    </row>
    <row r="8" spans="1:4" ht="14.45">
      <c r="A8" s="354"/>
      <c r="B8" s="2" t="s">
        <v>15</v>
      </c>
      <c r="C8" s="208" t="s">
        <v>16</v>
      </c>
      <c r="D8" s="2" t="s">
        <v>5</v>
      </c>
    </row>
    <row r="9" spans="1:4" ht="14.45">
      <c r="A9" s="354"/>
      <c r="C9" s="208"/>
      <c r="D9" s="2" t="s">
        <v>5</v>
      </c>
    </row>
    <row r="10" spans="1:4">
      <c r="A10" s="355" t="s">
        <v>17</v>
      </c>
      <c r="B10" s="2" t="s">
        <v>18</v>
      </c>
      <c r="C10" s="331"/>
      <c r="D10" s="2" t="s">
        <v>5</v>
      </c>
    </row>
    <row r="11" spans="1:4">
      <c r="A11" s="355"/>
      <c r="B11" s="2" t="s">
        <v>19</v>
      </c>
      <c r="C11" s="331"/>
      <c r="D11" s="2" t="s">
        <v>5</v>
      </c>
    </row>
    <row r="12" spans="1:4" ht="14.45">
      <c r="A12" s="355"/>
      <c r="B12" s="119" t="s">
        <v>20</v>
      </c>
      <c r="C12" s="208" t="s">
        <v>21</v>
      </c>
      <c r="D12" s="119" t="s">
        <v>5</v>
      </c>
    </row>
    <row r="13" spans="1:4" ht="14.45">
      <c r="A13" s="355"/>
      <c r="B13" s="119" t="s">
        <v>22</v>
      </c>
      <c r="C13" s="208" t="s">
        <v>23</v>
      </c>
      <c r="D13" s="119" t="s">
        <v>5</v>
      </c>
    </row>
    <row r="14" spans="1:4">
      <c r="A14" s="355"/>
      <c r="C14" s="331"/>
      <c r="D14" s="2" t="s">
        <v>5</v>
      </c>
    </row>
    <row r="15" spans="1:4" ht="14.45" customHeight="1">
      <c r="A15" s="354" t="s">
        <v>24</v>
      </c>
      <c r="B15" s="2" t="s">
        <v>25</v>
      </c>
      <c r="C15" s="331"/>
      <c r="D15" s="2" t="s">
        <v>5</v>
      </c>
    </row>
    <row r="16" spans="1:4" ht="14.45">
      <c r="A16" s="354"/>
      <c r="B16" s="119" t="s">
        <v>26</v>
      </c>
      <c r="C16" s="208" t="s">
        <v>27</v>
      </c>
      <c r="D16" s="2" t="s">
        <v>5</v>
      </c>
    </row>
    <row r="17" spans="1:4" ht="14.45">
      <c r="A17" s="354"/>
      <c r="B17" s="120" t="s">
        <v>28</v>
      </c>
      <c r="C17" s="208" t="s">
        <v>29</v>
      </c>
      <c r="D17" s="2" t="s">
        <v>5</v>
      </c>
    </row>
    <row r="18" spans="1:4" ht="14.45">
      <c r="A18" s="354"/>
      <c r="B18" s="2" t="s">
        <v>30</v>
      </c>
      <c r="C18" s="208" t="s">
        <v>31</v>
      </c>
      <c r="D18" s="2" t="s">
        <v>5</v>
      </c>
    </row>
    <row r="19" spans="1:4" ht="14.45">
      <c r="A19" s="354"/>
      <c r="B19" s="119" t="s">
        <v>32</v>
      </c>
      <c r="C19" s="208" t="s">
        <v>33</v>
      </c>
      <c r="D19" s="2" t="s">
        <v>5</v>
      </c>
    </row>
    <row r="20" spans="1:4" ht="14.45">
      <c r="A20" s="354"/>
      <c r="B20" s="119" t="s">
        <v>34</v>
      </c>
      <c r="C20" s="209" t="s">
        <v>35</v>
      </c>
      <c r="D20" s="2" t="s">
        <v>5</v>
      </c>
    </row>
    <row r="21" spans="1:4" ht="30" customHeight="1">
      <c r="A21" s="354"/>
      <c r="B21" s="6" t="s">
        <v>36</v>
      </c>
      <c r="C21" s="65" t="s">
        <v>37</v>
      </c>
      <c r="D21" s="2" t="s">
        <v>5</v>
      </c>
    </row>
    <row r="22" spans="1:4">
      <c r="C22" s="331"/>
    </row>
    <row r="23" spans="1:4" ht="18.600000000000001" customHeight="1">
      <c r="A23" s="352" t="s">
        <v>38</v>
      </c>
      <c r="B23" s="352"/>
      <c r="C23" s="352"/>
    </row>
    <row r="24" spans="1:4">
      <c r="C24" s="331"/>
    </row>
    <row r="25" spans="1:4">
      <c r="C25" s="331"/>
    </row>
    <row r="26" spans="1:4">
      <c r="C26" s="331"/>
    </row>
    <row r="27" spans="1:4">
      <c r="C27" s="331"/>
    </row>
    <row r="28" spans="1:4">
      <c r="C28" s="331"/>
    </row>
    <row r="29" spans="1:4">
      <c r="C29" s="331"/>
    </row>
    <row r="30" spans="1:4">
      <c r="C30" s="331"/>
    </row>
    <row r="31" spans="1:4">
      <c r="C31" s="331"/>
    </row>
    <row r="32" spans="1:4">
      <c r="C32" s="331"/>
    </row>
    <row r="33" spans="1:8">
      <c r="C33" s="331"/>
    </row>
    <row r="34" spans="1:8">
      <c r="C34" s="331"/>
    </row>
    <row r="35" spans="1:8">
      <c r="C35" s="331"/>
    </row>
    <row r="36" spans="1:8" ht="19.149999999999999" customHeight="1">
      <c r="A36" s="352" t="s">
        <v>39</v>
      </c>
      <c r="B36" s="352"/>
      <c r="C36" s="352"/>
    </row>
    <row r="37" spans="1:8" ht="14.65" customHeight="1">
      <c r="A37" s="353" t="s">
        <v>40</v>
      </c>
      <c r="B37" s="353"/>
      <c r="C37" s="353"/>
      <c r="E37" s="325"/>
      <c r="F37" s="348"/>
      <c r="G37" s="348"/>
      <c r="H37" s="348"/>
    </row>
    <row r="38" spans="1:8" ht="14.65" customHeight="1">
      <c r="A38" s="353"/>
      <c r="B38" s="353"/>
      <c r="C38" s="353"/>
      <c r="E38" s="325"/>
      <c r="F38" s="348"/>
      <c r="G38" s="348"/>
      <c r="H38" s="348"/>
    </row>
    <row r="39" spans="1:8" ht="14.65" customHeight="1">
      <c r="A39" s="353"/>
      <c r="B39" s="353"/>
      <c r="C39" s="353"/>
      <c r="E39" s="325"/>
      <c r="F39" s="348"/>
      <c r="G39" s="348"/>
      <c r="H39" s="348"/>
    </row>
    <row r="40" spans="1:8" ht="14.65" customHeight="1">
      <c r="A40" s="326"/>
      <c r="B40" s="326"/>
      <c r="C40" s="326"/>
      <c r="E40" s="325"/>
      <c r="F40" s="348"/>
      <c r="G40" s="348"/>
      <c r="H40" s="348"/>
    </row>
    <row r="41" spans="1:8">
      <c r="A41" s="4"/>
      <c r="B41" s="325"/>
      <c r="C41" s="325"/>
      <c r="E41" s="325"/>
      <c r="F41" s="30"/>
      <c r="G41" s="30"/>
      <c r="H41" s="30"/>
    </row>
    <row r="42" spans="1:8" s="24" customFormat="1" hidden="1">
      <c r="A42" s="24" t="s">
        <v>41</v>
      </c>
    </row>
    <row r="43" spans="1:8" hidden="1">
      <c r="A43" s="4"/>
      <c r="B43" s="351"/>
      <c r="C43" s="351"/>
    </row>
    <row r="44" spans="1:8" hidden="1"/>
    <row r="45" spans="1:8" hidden="1"/>
    <row r="46" spans="1:8" hidden="1"/>
    <row r="47" spans="1:8" hidden="1"/>
    <row r="48" spans="1:8" hidden="1"/>
    <row r="49" spans="1:1" hidden="1"/>
    <row r="50" spans="1:1" hidden="1"/>
    <row r="51" spans="1:1" hidden="1"/>
    <row r="52" spans="1:1" hidden="1"/>
    <row r="53" spans="1:1" hidden="1"/>
    <row r="54" spans="1:1" hidden="1"/>
    <row r="55" spans="1:1" hidden="1"/>
    <row r="56" spans="1:1" hidden="1"/>
    <row r="57" spans="1:1" ht="13.9" hidden="1">
      <c r="A57" s="1" t="s">
        <v>42</v>
      </c>
    </row>
    <row r="58" spans="1:1" ht="13.9" hidden="1">
      <c r="A58" s="1"/>
    </row>
    <row r="59" spans="1:1" ht="13.9" hidden="1">
      <c r="A59" s="1"/>
    </row>
    <row r="60" spans="1:1" ht="13.9" hidden="1">
      <c r="A60" s="1"/>
    </row>
    <row r="61" spans="1:1" ht="14.45" hidden="1">
      <c r="A61"/>
    </row>
    <row r="62" spans="1:1" ht="13.9" hidden="1">
      <c r="A62" s="1" t="s">
        <v>43</v>
      </c>
    </row>
    <row r="63" spans="1:1" hidden="1"/>
    <row r="64" spans="1:1" hidden="1"/>
    <row r="65" hidden="1"/>
    <row r="66" hidden="1"/>
    <row r="67" hidden="1"/>
    <row r="68" hidden="1"/>
    <row r="69" hidden="1"/>
    <row r="70" hidden="1"/>
    <row r="71" hidden="1"/>
    <row r="72" hidden="1"/>
    <row r="73" hidden="1"/>
    <row r="74" hidden="1"/>
    <row r="75" hidden="1"/>
  </sheetData>
  <mergeCells count="11">
    <mergeCell ref="B43:C43"/>
    <mergeCell ref="A36:C36"/>
    <mergeCell ref="A37:C37"/>
    <mergeCell ref="A1:C1"/>
    <mergeCell ref="A2:A5"/>
    <mergeCell ref="A38:C38"/>
    <mergeCell ref="A39:C39"/>
    <mergeCell ref="A15:A21"/>
    <mergeCell ref="A6:A9"/>
    <mergeCell ref="A10:A14"/>
    <mergeCell ref="A23:C23"/>
  </mergeCells>
  <hyperlinks>
    <hyperlink ref="C6" r:id="rId1" xr:uid="{BE11EEF8-3AF7-48F0-A38B-7309CE5A9491}"/>
    <hyperlink ref="C7" r:id="rId2" location="Commercial" xr:uid="{626A4776-C2FA-489E-88C0-BC9C7C8EA36F}"/>
    <hyperlink ref="C8" r:id="rId3" xr:uid="{0DEB00BB-3A26-4527-9ED4-40D17F93A579}"/>
    <hyperlink ref="C3" r:id="rId4" xr:uid="{7ADAAC21-6BF3-4C55-B602-4E3B84FE2AAA}"/>
    <hyperlink ref="C4" r:id="rId5" xr:uid="{8ADA6228-A7BF-4E82-9D60-E20B0FF95F19}"/>
    <hyperlink ref="C5" r:id="rId6" xr:uid="{19AF5EF3-14A5-44AE-B730-140BF104272A}"/>
    <hyperlink ref="C12" r:id="rId7" xr:uid="{FE849DB3-ED6C-49D1-8118-F2ED33AD63B9}"/>
    <hyperlink ref="C13" r:id="rId8" xr:uid="{A3A3FEFD-D3A5-46F8-8802-C48303DFA2AE}"/>
    <hyperlink ref="C16" r:id="rId9" xr:uid="{966D1FE9-8F3C-4D29-921A-C562DFD37547}"/>
    <hyperlink ref="C17" r:id="rId10" xr:uid="{09FF6D93-0EB0-4F00-A53C-70B27D559697}"/>
    <hyperlink ref="C19" r:id="rId11" xr:uid="{36ECAA37-AD9D-4333-B1AF-B6179117630C}"/>
    <hyperlink ref="C20" r:id="rId12" xr:uid="{CB9194D6-90E5-4386-936C-EF07D8272919}"/>
    <hyperlink ref="C18" r:id="rId13" xr:uid="{C3C0C153-47D3-4B3D-8F63-4BDB1F8259C6}"/>
    <hyperlink ref="C21" r:id="rId14" xr:uid="{20223A04-22A0-4778-88A4-4ED62E0EC414}"/>
  </hyperlinks>
  <pageMargins left="0.7" right="0.7" top="0.75" bottom="0.75" header="0.3" footer="0.3"/>
  <drawing r:id="rId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K53"/>
  <sheetViews>
    <sheetView zoomScale="85" zoomScaleNormal="85" workbookViewId="0">
      <selection sqref="A1:C1"/>
    </sheetView>
  </sheetViews>
  <sheetFormatPr defaultColWidth="9.28515625" defaultRowHeight="13.9"/>
  <cols>
    <col min="1" max="1" width="27.5703125" style="1" customWidth="1"/>
    <col min="2" max="2" width="51.28515625" style="1" customWidth="1"/>
    <col min="3" max="3" width="42.85546875" style="1" customWidth="1"/>
    <col min="4" max="4" width="42.7109375" style="1" customWidth="1"/>
    <col min="5" max="5" width="21.42578125" style="1" customWidth="1"/>
    <col min="6" max="6" width="46.140625" style="1" customWidth="1"/>
    <col min="7" max="7" width="44.140625" style="1" customWidth="1"/>
    <col min="8" max="8" width="43.7109375" style="1" customWidth="1"/>
    <col min="9" max="9" width="41.7109375" style="1" customWidth="1"/>
    <col min="10" max="10" width="46.28515625" style="1" customWidth="1"/>
    <col min="11" max="16384" width="9.28515625" style="1"/>
  </cols>
  <sheetData>
    <row r="1" spans="1:4" ht="17.45">
      <c r="A1" s="356" t="s">
        <v>44</v>
      </c>
      <c r="B1" s="356"/>
      <c r="C1" s="356"/>
      <c r="D1" s="7"/>
    </row>
    <row r="2" spans="1:4" ht="25.15" customHeight="1">
      <c r="A2" s="357" t="s">
        <v>45</v>
      </c>
      <c r="B2" s="358"/>
      <c r="C2" s="358"/>
      <c r="D2" s="7"/>
    </row>
    <row r="3" spans="1:4" ht="20.45" customHeight="1">
      <c r="A3" s="14" t="s">
        <v>46</v>
      </c>
      <c r="B3" s="343" t="s">
        <v>47</v>
      </c>
      <c r="C3" s="15" t="s">
        <v>0</v>
      </c>
    </row>
    <row r="4" spans="1:4" ht="16.149999999999999" customHeight="1">
      <c r="A4" s="12" t="s">
        <v>48</v>
      </c>
      <c r="B4" s="337" t="s">
        <v>49</v>
      </c>
      <c r="C4" s="12"/>
    </row>
    <row r="5" spans="1:4" ht="16.149999999999999" customHeight="1">
      <c r="A5" s="12" t="s">
        <v>50</v>
      </c>
      <c r="B5" s="337" t="s">
        <v>51</v>
      </c>
      <c r="C5" s="12"/>
    </row>
    <row r="6" spans="1:4" ht="28.9" customHeight="1">
      <c r="A6" s="12" t="s">
        <v>52</v>
      </c>
      <c r="B6" s="336" t="s">
        <v>53</v>
      </c>
      <c r="C6" s="13" t="s">
        <v>54</v>
      </c>
      <c r="D6" s="65" t="s">
        <v>55</v>
      </c>
    </row>
    <row r="7" spans="1:4" ht="97.15" customHeight="1">
      <c r="A7" s="12" t="s">
        <v>56</v>
      </c>
      <c r="B7" s="350"/>
      <c r="C7" s="13" t="s">
        <v>57</v>
      </c>
    </row>
    <row r="8" spans="1:4" ht="16.149999999999999" customHeight="1">
      <c r="A8" s="8" t="s">
        <v>58</v>
      </c>
      <c r="B8" s="9" t="s">
        <v>59</v>
      </c>
      <c r="C8" s="13" t="s">
        <v>57</v>
      </c>
    </row>
    <row r="9" spans="1:4" ht="16.149999999999999" customHeight="1">
      <c r="A9" s="8" t="s">
        <v>60</v>
      </c>
      <c r="B9" s="89">
        <v>1.28</v>
      </c>
      <c r="C9" s="13" t="s">
        <v>57</v>
      </c>
    </row>
    <row r="10" spans="1:4">
      <c r="A10" s="10" t="s">
        <v>61</v>
      </c>
      <c r="B10" s="337">
        <v>1</v>
      </c>
      <c r="C10" s="13" t="s">
        <v>57</v>
      </c>
    </row>
    <row r="11" spans="1:4">
      <c r="A11" s="10" t="s">
        <v>62</v>
      </c>
      <c r="B11" s="337" t="s">
        <v>63</v>
      </c>
      <c r="C11" s="13" t="s">
        <v>57</v>
      </c>
    </row>
    <row r="12" spans="1:4">
      <c r="A12" s="10" t="s">
        <v>64</v>
      </c>
      <c r="B12" s="77">
        <v>7.0999999999999994E-2</v>
      </c>
      <c r="C12" s="13" t="s">
        <v>57</v>
      </c>
    </row>
    <row r="13" spans="1:4" ht="14.65" customHeight="1">
      <c r="A13" s="8" t="s">
        <v>65</v>
      </c>
      <c r="B13" s="11" t="s">
        <v>66</v>
      </c>
      <c r="C13" s="13" t="s">
        <v>57</v>
      </c>
    </row>
    <row r="14" spans="1:4" ht="14.65" customHeight="1">
      <c r="A14" s="8" t="s">
        <v>67</v>
      </c>
      <c r="B14" s="337" t="s">
        <v>68</v>
      </c>
      <c r="C14" s="13" t="s">
        <v>57</v>
      </c>
    </row>
    <row r="15" spans="1:4" ht="16.149999999999999" customHeight="1">
      <c r="A15" s="8" t="s">
        <v>69</v>
      </c>
      <c r="B15" s="337">
        <v>20</v>
      </c>
      <c r="C15" s="13" t="s">
        <v>57</v>
      </c>
    </row>
    <row r="16" spans="1:4">
      <c r="A16" s="8" t="s">
        <v>70</v>
      </c>
      <c r="B16" s="336" t="s">
        <v>71</v>
      </c>
      <c r="C16" s="13" t="s">
        <v>57</v>
      </c>
    </row>
    <row r="17" spans="1:11">
      <c r="A17" s="134"/>
      <c r="B17" s="4"/>
      <c r="C17" s="325"/>
    </row>
    <row r="18" spans="1:11">
      <c r="A18" s="134"/>
      <c r="B18" s="4"/>
      <c r="C18" s="325"/>
    </row>
    <row r="19" spans="1:11">
      <c r="A19" s="134"/>
      <c r="B19" s="4"/>
      <c r="C19" s="325"/>
    </row>
    <row r="20" spans="1:11">
      <c r="A20" s="134"/>
      <c r="B20" s="4"/>
      <c r="C20" s="325"/>
    </row>
    <row r="21" spans="1:11">
      <c r="A21" s="134"/>
      <c r="B21" s="4"/>
      <c r="C21" s="325"/>
    </row>
    <row r="22" spans="1:11">
      <c r="A22" s="134"/>
      <c r="B22" s="4"/>
      <c r="C22" s="325"/>
    </row>
    <row r="24" spans="1:11" ht="14.65" customHeight="1"/>
    <row r="25" spans="1:11" s="24" customFormat="1" ht="13.15">
      <c r="A25" s="24" t="s">
        <v>41</v>
      </c>
    </row>
    <row r="26" spans="1:11" s="2" customFormat="1" ht="13.15">
      <c r="G26" s="52"/>
      <c r="H26" s="52"/>
      <c r="I26" s="52"/>
      <c r="J26" s="52"/>
      <c r="K26" s="52"/>
    </row>
    <row r="27" spans="1:11" s="2" customFormat="1" ht="21" customHeight="1">
      <c r="A27" s="125" t="s">
        <v>72</v>
      </c>
      <c r="B27" s="124"/>
      <c r="C27" s="124"/>
      <c r="F27" s="52"/>
      <c r="G27" s="52"/>
      <c r="H27" s="52"/>
      <c r="I27" s="52"/>
      <c r="J27" s="52"/>
    </row>
    <row r="28" spans="1:11" ht="14.65" customHeight="1">
      <c r="A28" s="2"/>
      <c r="B28" s="2"/>
      <c r="C28" s="2"/>
      <c r="D28" s="2"/>
      <c r="E28" s="2"/>
      <c r="F28" s="2"/>
      <c r="G28" s="2"/>
    </row>
    <row r="29" spans="1:11" s="113" customFormat="1" ht="14.65" customHeight="1">
      <c r="A29" s="118" t="s">
        <v>73</v>
      </c>
      <c r="B29" s="117" t="s">
        <v>74</v>
      </c>
      <c r="C29" s="117" t="s">
        <v>75</v>
      </c>
      <c r="D29" s="117" t="s">
        <v>76</v>
      </c>
    </row>
    <row r="30" spans="1:11" ht="143.44999999999999" customHeight="1">
      <c r="A30" s="114" t="s">
        <v>77</v>
      </c>
      <c r="B30" s="71"/>
      <c r="C30" s="71"/>
      <c r="D30" s="71"/>
    </row>
    <row r="31" spans="1:11">
      <c r="A31" s="71" t="s">
        <v>78</v>
      </c>
      <c r="B31" s="115">
        <v>240000</v>
      </c>
      <c r="C31" s="115">
        <f>3*40000</f>
        <v>120000</v>
      </c>
      <c r="D31" s="115">
        <v>130502</v>
      </c>
    </row>
    <row r="32" spans="1:11">
      <c r="A32" s="121"/>
      <c r="B32" s="121"/>
      <c r="C32" s="103"/>
      <c r="D32" s="121"/>
      <c r="F32" s="2"/>
    </row>
    <row r="33" spans="1:7" ht="14.45">
      <c r="A33" s="122"/>
      <c r="B33" s="123"/>
      <c r="C33" s="123"/>
      <c r="D33" s="123"/>
      <c r="E33" s="2"/>
      <c r="F33" s="2"/>
      <c r="G33" s="2"/>
    </row>
    <row r="34" spans="1:7">
      <c r="A34" s="118" t="s">
        <v>79</v>
      </c>
      <c r="B34" s="117" t="s">
        <v>80</v>
      </c>
      <c r="C34" s="117" t="s">
        <v>81</v>
      </c>
      <c r="D34" s="117" t="s">
        <v>82</v>
      </c>
      <c r="E34" s="2"/>
      <c r="F34" s="117" t="s">
        <v>83</v>
      </c>
    </row>
    <row r="35" spans="1:7" ht="127.15" customHeight="1">
      <c r="A35" s="114" t="s">
        <v>77</v>
      </c>
      <c r="B35" s="71" t="s">
        <v>84</v>
      </c>
      <c r="C35" s="71"/>
      <c r="D35" s="71"/>
      <c r="F35" s="71"/>
    </row>
    <row r="36" spans="1:7">
      <c r="A36" s="71" t="s">
        <v>78</v>
      </c>
      <c r="B36" s="116">
        <v>24692</v>
      </c>
      <c r="C36" s="116">
        <v>24692</v>
      </c>
      <c r="D36" s="115">
        <v>22500</v>
      </c>
      <c r="F36" s="115">
        <v>49997</v>
      </c>
    </row>
    <row r="37" spans="1:7">
      <c r="A37" s="121"/>
      <c r="B37" s="121"/>
      <c r="C37" s="121"/>
    </row>
    <row r="38" spans="1:7">
      <c r="A38" s="121"/>
      <c r="B38" s="121"/>
      <c r="C38" s="121"/>
    </row>
    <row r="39" spans="1:7">
      <c r="A39" s="118" t="s">
        <v>85</v>
      </c>
      <c r="B39" s="117" t="s">
        <v>86</v>
      </c>
      <c r="C39" s="117" t="s">
        <v>87</v>
      </c>
    </row>
    <row r="40" spans="1:7" ht="123.6" customHeight="1">
      <c r="A40" s="114" t="s">
        <v>77</v>
      </c>
      <c r="B40" s="71"/>
      <c r="C40" s="71"/>
    </row>
    <row r="41" spans="1:7">
      <c r="A41" s="71" t="s">
        <v>78</v>
      </c>
      <c r="B41" s="115">
        <v>9375</v>
      </c>
      <c r="C41" s="115">
        <v>8001</v>
      </c>
    </row>
    <row r="43" spans="1:7" ht="14.45">
      <c r="A43"/>
    </row>
    <row r="53" spans="3:3" ht="14.45">
      <c r="C53"/>
    </row>
  </sheetData>
  <mergeCells count="2">
    <mergeCell ref="A1:C1"/>
    <mergeCell ref="A2:C2"/>
  </mergeCells>
  <hyperlinks>
    <hyperlink ref="D6" r:id="rId1" display="https://2050partners.sharepoint.com/:w:/r/sites/CalBEMCollaborativeEfforts/Shared Documents/Working Group 1 - Streamlined Process/D - Complexity of Compliance/Prototype Unification/Project Development/Phase 2 (Collect Inputs) Development/NonRes-Vintage bins-Draft Report-30Nov2023-Final.docx?d=w8560be34ea9744e086bccf7767b0a3cf&amp;csf=1&amp;web=1&amp;e=tpxacv" xr:uid="{9B264631-F0F0-4192-B5C5-F574CB46B1DA}"/>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P20"/>
  <sheetViews>
    <sheetView zoomScaleNormal="100" workbookViewId="0">
      <selection sqref="A1:J1"/>
    </sheetView>
  </sheetViews>
  <sheetFormatPr defaultColWidth="8.7109375" defaultRowHeight="12.75" customHeight="1"/>
  <cols>
    <col min="1" max="1" width="46.7109375" style="2" customWidth="1"/>
    <col min="2" max="3" width="27.28515625" style="2" customWidth="1"/>
    <col min="4" max="4" width="19" style="2" customWidth="1"/>
    <col min="5" max="5" width="14.7109375" style="2" customWidth="1"/>
    <col min="6" max="6" width="12.7109375" style="2" customWidth="1"/>
    <col min="7" max="7" width="12" style="2" bestFit="1" customWidth="1"/>
    <col min="8" max="9" width="11.28515625" style="2" customWidth="1"/>
    <col min="10" max="10" width="32.5703125" style="2" customWidth="1"/>
    <col min="11" max="11" width="10.140625" style="2" customWidth="1"/>
    <col min="12" max="12" width="12.7109375" style="2" customWidth="1"/>
    <col min="13" max="13" width="25.28515625" style="2" customWidth="1"/>
    <col min="14" max="14" width="22.28515625" style="2" bestFit="1" customWidth="1"/>
    <col min="15" max="15" width="18.28515625" style="2" customWidth="1"/>
    <col min="16" max="16" width="25.7109375" style="2" customWidth="1"/>
    <col min="17" max="17" width="22.7109375" style="2" customWidth="1"/>
    <col min="18" max="18" width="16.28515625" style="2" customWidth="1"/>
    <col min="19" max="19" width="6.7109375" style="2" bestFit="1" customWidth="1"/>
    <col min="20" max="24" width="17.28515625" style="2" customWidth="1"/>
    <col min="25" max="16384" width="8.7109375" style="2"/>
  </cols>
  <sheetData>
    <row r="1" spans="1:16" ht="25.9" customHeight="1">
      <c r="A1" s="359" t="str">
        <f>"Proposed Layout - "&amp;Prototype!A2</f>
        <v>Proposed Layout - RetailMedium</v>
      </c>
      <c r="B1" s="352"/>
      <c r="C1" s="352"/>
      <c r="D1" s="359"/>
      <c r="E1" s="359"/>
      <c r="F1" s="359"/>
      <c r="G1" s="359"/>
      <c r="H1" s="359"/>
      <c r="I1" s="359"/>
      <c r="J1" s="359"/>
    </row>
    <row r="2" spans="1:16" ht="39.6">
      <c r="A2" s="14" t="s">
        <v>88</v>
      </c>
      <c r="B2" s="14" t="s">
        <v>89</v>
      </c>
      <c r="C2" s="210" t="s">
        <v>90</v>
      </c>
      <c r="D2" s="28" t="s">
        <v>91</v>
      </c>
      <c r="E2" s="29" t="s">
        <v>92</v>
      </c>
      <c r="F2" s="344" t="s">
        <v>93</v>
      </c>
      <c r="G2" s="28" t="s">
        <v>94</v>
      </c>
      <c r="H2" s="28" t="s">
        <v>95</v>
      </c>
      <c r="I2" s="112" t="s">
        <v>96</v>
      </c>
      <c r="J2" s="28" t="s">
        <v>97</v>
      </c>
      <c r="L2" s="360" t="s">
        <v>98</v>
      </c>
      <c r="M2" s="361"/>
      <c r="N2" s="361"/>
      <c r="O2" s="362"/>
    </row>
    <row r="3" spans="1:16" ht="13.15">
      <c r="A3" s="171" t="s">
        <v>99</v>
      </c>
      <c r="B3" s="170" t="s">
        <v>100</v>
      </c>
      <c r="C3" s="308" t="s">
        <v>101</v>
      </c>
      <c r="D3" s="16" t="s">
        <v>102</v>
      </c>
      <c r="E3" s="81">
        <f>F3/$F$8</f>
        <v>0.16560229120440803</v>
      </c>
      <c r="F3" s="80">
        <v>4089.1017698999995</v>
      </c>
      <c r="G3" s="80">
        <v>81835.74423109999</v>
      </c>
      <c r="H3" s="78">
        <v>1</v>
      </c>
      <c r="I3" s="16">
        <f>J3*F3/1000*0.5</f>
        <v>4.0891017698999992</v>
      </c>
      <c r="J3" s="17">
        <v>2</v>
      </c>
      <c r="L3" s="127"/>
      <c r="M3" s="136"/>
      <c r="N3" s="136"/>
      <c r="O3" s="128"/>
    </row>
    <row r="4" spans="1:16" ht="17.649999999999999" customHeight="1">
      <c r="A4" s="171" t="s">
        <v>103</v>
      </c>
      <c r="B4" s="170" t="s">
        <v>104</v>
      </c>
      <c r="C4" s="206" t="s">
        <v>101</v>
      </c>
      <c r="D4" s="16" t="s">
        <v>102</v>
      </c>
      <c r="E4" s="81">
        <f>F4/$F$8</f>
        <v>0.69768394805557121</v>
      </c>
      <c r="F4" s="80">
        <v>17227.422676799997</v>
      </c>
      <c r="G4" s="79">
        <v>344775.35747650004</v>
      </c>
      <c r="H4" s="16">
        <v>1</v>
      </c>
      <c r="I4" s="16">
        <f t="shared" ref="I4:I6" si="0">J4*F4/1000*0.5</f>
        <v>146.43309275279998</v>
      </c>
      <c r="J4" s="17">
        <v>17</v>
      </c>
      <c r="L4" s="127"/>
      <c r="M4" s="136"/>
      <c r="N4" s="136"/>
      <c r="O4" s="128"/>
    </row>
    <row r="5" spans="1:16" ht="17.649999999999999" customHeight="1">
      <c r="A5" s="171" t="s">
        <v>103</v>
      </c>
      <c r="B5" s="170" t="s">
        <v>105</v>
      </c>
      <c r="C5" s="206" t="s">
        <v>101</v>
      </c>
      <c r="D5" s="16" t="s">
        <v>102</v>
      </c>
      <c r="E5" s="81">
        <f>F5/$F$8</f>
        <v>6.5741350223845779E-2</v>
      </c>
      <c r="F5" s="80">
        <v>1623.3052670999998</v>
      </c>
      <c r="G5" s="16">
        <v>32487.3775198</v>
      </c>
      <c r="H5" s="16">
        <v>1</v>
      </c>
      <c r="I5" s="16">
        <f t="shared" si="0"/>
        <v>13.798094770349998</v>
      </c>
      <c r="J5" s="17">
        <v>17</v>
      </c>
      <c r="K5" s="54"/>
      <c r="L5" s="127"/>
      <c r="M5" s="136"/>
      <c r="N5" s="136"/>
      <c r="O5" s="128"/>
    </row>
    <row r="6" spans="1:16" ht="17.649999999999999" customHeight="1">
      <c r="A6" s="171" t="s">
        <v>103</v>
      </c>
      <c r="B6" s="171" t="s">
        <v>106</v>
      </c>
      <c r="C6" s="206" t="s">
        <v>101</v>
      </c>
      <c r="D6" s="16" t="s">
        <v>102</v>
      </c>
      <c r="E6" s="81">
        <f>F6/$F$8</f>
        <v>6.5741350223845779E-2</v>
      </c>
      <c r="F6" s="16">
        <v>1623.3052670999998</v>
      </c>
      <c r="G6" s="16">
        <v>32487.3775198</v>
      </c>
      <c r="H6" s="16">
        <v>1</v>
      </c>
      <c r="I6" s="16">
        <f t="shared" si="0"/>
        <v>13.798094770349998</v>
      </c>
      <c r="J6" s="17">
        <v>17</v>
      </c>
      <c r="L6" s="127"/>
      <c r="M6" s="136"/>
      <c r="N6" s="136"/>
      <c r="O6" s="128"/>
    </row>
    <row r="7" spans="1:16" ht="16.5" customHeight="1">
      <c r="A7" s="171" t="s">
        <v>107</v>
      </c>
      <c r="B7" s="171" t="s">
        <v>108</v>
      </c>
      <c r="C7" s="206" t="s">
        <v>101</v>
      </c>
      <c r="D7" s="16" t="s">
        <v>102</v>
      </c>
      <c r="E7" s="81">
        <f>F7/$F$8</f>
        <v>5.2310602923290863E-3</v>
      </c>
      <c r="F7" s="69">
        <v>129.16692</v>
      </c>
      <c r="G7" s="16">
        <v>2585.033844</v>
      </c>
      <c r="H7" s="16">
        <v>1</v>
      </c>
      <c r="I7" s="16">
        <f>J7*F7/1000*0.5</f>
        <v>0.32291730000000002</v>
      </c>
      <c r="J7" s="17">
        <v>5</v>
      </c>
      <c r="L7" s="127"/>
      <c r="M7" s="136"/>
      <c r="N7" s="136"/>
      <c r="O7" s="128"/>
    </row>
    <row r="8" spans="1:16" ht="39.6" customHeight="1">
      <c r="A8" s="171" t="s">
        <v>109</v>
      </c>
      <c r="B8" s="171" t="s">
        <v>110</v>
      </c>
      <c r="C8" s="171"/>
      <c r="D8" s="19" t="s">
        <v>111</v>
      </c>
      <c r="E8" s="82">
        <f>SUM(E3:E7)</f>
        <v>0.99999999999999989</v>
      </c>
      <c r="F8" s="18">
        <f>SUM(F3:F7)</f>
        <v>24692.301900899998</v>
      </c>
      <c r="G8" s="18">
        <f>SUM(G3:G7)</f>
        <v>494170.89059120003</v>
      </c>
      <c r="H8" s="16"/>
      <c r="I8" s="18">
        <f>SUM(I3:I7)</f>
        <v>178.44130136339996</v>
      </c>
      <c r="J8" s="17"/>
      <c r="L8" s="127"/>
      <c r="M8" s="136"/>
      <c r="N8" s="136"/>
      <c r="O8" s="128"/>
    </row>
    <row r="9" spans="1:16" ht="13.15">
      <c r="F9" s="21"/>
      <c r="G9" s="21"/>
      <c r="H9" s="21"/>
      <c r="I9" s="21"/>
      <c r="J9" s="22"/>
      <c r="L9" s="127"/>
      <c r="M9" s="136"/>
      <c r="N9" s="136"/>
      <c r="O9" s="128"/>
    </row>
    <row r="10" spans="1:16" ht="13.15">
      <c r="A10" s="2" t="s">
        <v>112</v>
      </c>
      <c r="B10" s="3"/>
      <c r="C10" s="3"/>
      <c r="D10" s="3"/>
      <c r="E10" s="3"/>
      <c r="F10" s="23"/>
      <c r="H10" s="21"/>
      <c r="I10" s="21"/>
      <c r="J10" s="21"/>
      <c r="L10" s="127"/>
      <c r="M10" s="136"/>
      <c r="N10" s="136"/>
      <c r="O10" s="128"/>
    </row>
    <row r="11" spans="1:16" ht="14.65" customHeight="1">
      <c r="B11" s="5"/>
      <c r="C11" s="5"/>
      <c r="D11" s="5"/>
      <c r="F11" s="21"/>
      <c r="G11" s="21"/>
      <c r="H11" s="21"/>
      <c r="I11" s="21"/>
      <c r="J11" s="21"/>
      <c r="L11" s="129"/>
      <c r="M11" s="130"/>
      <c r="N11" s="130"/>
      <c r="O11" s="131"/>
    </row>
    <row r="12" spans="1:16" ht="13.15">
      <c r="F12" s="21"/>
      <c r="G12" s="21"/>
      <c r="H12" s="21"/>
      <c r="I12" s="21"/>
      <c r="J12" s="21"/>
    </row>
    <row r="13" spans="1:16" ht="13.15">
      <c r="F13" s="21"/>
      <c r="G13" s="21"/>
      <c r="H13" s="21"/>
      <c r="I13" s="21"/>
      <c r="J13" s="21"/>
    </row>
    <row r="14" spans="1:16" s="24" customFormat="1" ht="13.15" hidden="1" customHeight="1">
      <c r="B14" s="24" t="s">
        <v>41</v>
      </c>
      <c r="F14" s="25"/>
      <c r="G14" s="27"/>
      <c r="L14" s="2"/>
      <c r="M14" s="2"/>
      <c r="N14" s="2"/>
      <c r="O14" s="2"/>
      <c r="P14" s="2"/>
    </row>
    <row r="15" spans="1:16" ht="13.15" hidden="1" customHeight="1">
      <c r="B15" s="20"/>
      <c r="C15" s="20"/>
      <c r="D15" s="20"/>
      <c r="E15" s="20"/>
    </row>
    <row r="16" spans="1:16" ht="13.15" hidden="1" customHeight="1">
      <c r="A16" s="2" t="s">
        <v>113</v>
      </c>
    </row>
    <row r="17" spans="1:4" ht="13.15" hidden="1" customHeight="1">
      <c r="A17" s="363" t="s">
        <v>114</v>
      </c>
      <c r="B17" s="363"/>
      <c r="C17" s="363"/>
      <c r="D17" s="363"/>
    </row>
    <row r="18" spans="1:4" ht="13.15" hidden="1" customHeight="1">
      <c r="A18" s="71" t="s">
        <v>115</v>
      </c>
      <c r="B18" s="71" t="s">
        <v>116</v>
      </c>
      <c r="C18" s="71"/>
      <c r="D18" s="71" t="s">
        <v>117</v>
      </c>
    </row>
    <row r="19" spans="1:4" ht="13.15" hidden="1" customHeight="1">
      <c r="A19" s="135">
        <v>0.82620000000000005</v>
      </c>
      <c r="B19" s="135">
        <v>0.17369999999999999</v>
      </c>
      <c r="C19" s="135"/>
      <c r="D19" s="116">
        <v>0.83440000000000003</v>
      </c>
    </row>
    <row r="20" spans="1:4" ht="13.9" hidden="1" customHeight="1">
      <c r="B20" s="2" t="s">
        <v>118</v>
      </c>
    </row>
  </sheetData>
  <mergeCells count="3">
    <mergeCell ref="A1:J1"/>
    <mergeCell ref="L2:O2"/>
    <mergeCell ref="A17:D17"/>
  </mergeCells>
  <phoneticPr fontId="5"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879DBC2-F1AF-4004-B9D3-883859B7F622}">
          <x14:formula1>
            <xm:f>Data!$A$2:$A$200</xm:f>
          </x14:formula1>
          <xm:sqref>A3:A7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AX54"/>
  <sheetViews>
    <sheetView zoomScale="85" zoomScaleNormal="85" workbookViewId="0">
      <selection sqref="A1:X1"/>
    </sheetView>
  </sheetViews>
  <sheetFormatPr defaultColWidth="9.28515625" defaultRowHeight="13.9"/>
  <cols>
    <col min="1" max="1" width="15.42578125" style="59" customWidth="1"/>
    <col min="2" max="2" width="18.28515625" style="63" customWidth="1"/>
    <col min="3" max="3" width="18.5703125" style="59" customWidth="1"/>
    <col min="4" max="4" width="42.5703125" style="59" customWidth="1"/>
    <col min="5" max="5" width="13.28515625" style="59" customWidth="1"/>
    <col min="6" max="6" width="16.140625" style="59" customWidth="1"/>
    <col min="7" max="7" width="20.5703125" style="64" customWidth="1"/>
    <col min="8" max="8" width="46.7109375" style="59" customWidth="1"/>
    <col min="9" max="9" width="6.85546875" style="59" customWidth="1"/>
    <col min="10" max="12" width="7" style="59" customWidth="1"/>
    <col min="13" max="13" width="7.85546875" style="59" customWidth="1"/>
    <col min="14" max="14" width="8.7109375" style="59" customWidth="1"/>
    <col min="15" max="15" width="7" style="59" customWidth="1"/>
    <col min="16" max="16" width="7.140625" style="59" customWidth="1"/>
    <col min="17" max="17" width="7.5703125" style="59" customWidth="1"/>
    <col min="18" max="21" width="7" style="59" customWidth="1"/>
    <col min="22" max="22" width="7.7109375" style="59" customWidth="1"/>
    <col min="23" max="24" width="7" style="59" customWidth="1"/>
    <col min="25" max="26" width="9.28515625" style="59"/>
    <col min="27" max="30" width="7.7109375" style="59" customWidth="1"/>
    <col min="31" max="31" width="9.7109375" style="59" customWidth="1"/>
    <col min="32" max="32" width="7.5703125" style="59" customWidth="1"/>
    <col min="33" max="33" width="11.42578125" style="59" customWidth="1"/>
    <col min="34" max="42" width="7.7109375" style="59" customWidth="1"/>
    <col min="43" max="46" width="10.42578125" style="59" customWidth="1"/>
    <col min="47" max="47" width="9.85546875" style="59" customWidth="1"/>
    <col min="48" max="48" width="10.42578125" style="59" customWidth="1"/>
    <col min="49" max="49" width="21.7109375" style="59" customWidth="1"/>
    <col min="50" max="50" width="10.42578125" style="59" customWidth="1"/>
    <col min="51" max="53" width="7.42578125" style="59" customWidth="1"/>
    <col min="54" max="54" width="7.7109375" style="59" customWidth="1"/>
    <col min="55" max="55" width="7.42578125" style="59" customWidth="1"/>
    <col min="56" max="56" width="13.7109375" style="59" customWidth="1"/>
    <col min="57" max="60" width="7.42578125" style="59" customWidth="1"/>
    <col min="61" max="62" width="9.7109375" style="59" bestFit="1" customWidth="1"/>
    <col min="63" max="16384" width="9.28515625" style="59"/>
  </cols>
  <sheetData>
    <row r="1" spans="1:25" ht="31.9" customHeight="1">
      <c r="A1" s="376" t="str">
        <f>"Envelope - "&amp;Prototype!A2</f>
        <v>Envelope - RetailMedium</v>
      </c>
      <c r="B1" s="376"/>
      <c r="C1" s="376"/>
      <c r="D1" s="376"/>
      <c r="E1" s="376"/>
      <c r="F1" s="376"/>
      <c r="G1" s="376"/>
      <c r="H1" s="376"/>
      <c r="I1" s="376"/>
      <c r="J1" s="376"/>
      <c r="K1" s="376"/>
      <c r="L1" s="376"/>
      <c r="M1" s="376"/>
      <c r="N1" s="376"/>
      <c r="O1" s="376"/>
      <c r="P1" s="376"/>
      <c r="Q1" s="376"/>
      <c r="R1" s="376"/>
      <c r="S1" s="376"/>
      <c r="T1" s="376"/>
      <c r="U1" s="376"/>
      <c r="V1" s="376"/>
      <c r="W1" s="376"/>
      <c r="X1" s="376"/>
      <c r="Y1" s="1"/>
    </row>
    <row r="2" spans="1:25" ht="32.450000000000003" customHeight="1">
      <c r="A2" s="32" t="s">
        <v>119</v>
      </c>
      <c r="B2" s="32" t="s">
        <v>10</v>
      </c>
      <c r="C2" s="32" t="s">
        <v>120</v>
      </c>
      <c r="D2" s="32" t="s">
        <v>121</v>
      </c>
      <c r="E2" s="70" t="s">
        <v>122</v>
      </c>
      <c r="F2" s="32" t="s">
        <v>123</v>
      </c>
      <c r="G2" s="70" t="s">
        <v>124</v>
      </c>
      <c r="H2" s="32" t="s">
        <v>125</v>
      </c>
      <c r="I2" s="32" t="s">
        <v>126</v>
      </c>
      <c r="J2" s="32" t="s">
        <v>127</v>
      </c>
      <c r="K2" s="32" t="s">
        <v>128</v>
      </c>
      <c r="L2" s="32" t="s">
        <v>129</v>
      </c>
      <c r="M2" s="32" t="s">
        <v>130</v>
      </c>
      <c r="N2" s="32" t="s">
        <v>131</v>
      </c>
      <c r="O2" s="32" t="s">
        <v>132</v>
      </c>
      <c r="P2" s="32" t="s">
        <v>133</v>
      </c>
      <c r="Q2" s="32" t="s">
        <v>134</v>
      </c>
      <c r="R2" s="32" t="s">
        <v>135</v>
      </c>
      <c r="S2" s="32" t="s">
        <v>136</v>
      </c>
      <c r="T2" s="32" t="s">
        <v>137</v>
      </c>
      <c r="U2" s="32" t="s">
        <v>138</v>
      </c>
      <c r="V2" s="32" t="s">
        <v>139</v>
      </c>
      <c r="W2" s="32" t="s">
        <v>140</v>
      </c>
      <c r="X2" s="32" t="s">
        <v>141</v>
      </c>
      <c r="Y2" s="1"/>
    </row>
    <row r="3" spans="1:25" s="1" customFormat="1" ht="13.9" customHeight="1">
      <c r="A3" s="367" t="s">
        <v>142</v>
      </c>
      <c r="B3" s="367" t="s">
        <v>45</v>
      </c>
      <c r="C3" s="368" t="s">
        <v>143</v>
      </c>
      <c r="D3" s="378" t="s">
        <v>144</v>
      </c>
      <c r="E3" s="367" t="s">
        <v>145</v>
      </c>
      <c r="F3" s="329" t="s">
        <v>146</v>
      </c>
      <c r="G3" s="329" t="s">
        <v>68</v>
      </c>
      <c r="H3" s="96" t="s">
        <v>147</v>
      </c>
      <c r="I3" s="329">
        <v>0.35199999999999998</v>
      </c>
      <c r="J3" s="329">
        <v>0.35199999999999998</v>
      </c>
      <c r="K3" s="329">
        <v>0.35199999999999998</v>
      </c>
      <c r="L3" s="329">
        <v>0.35199999999999998</v>
      </c>
      <c r="M3" s="329">
        <v>0.35199999999999998</v>
      </c>
      <c r="N3" s="329">
        <v>0.35199999999999998</v>
      </c>
      <c r="O3" s="329">
        <v>0.35199999999999998</v>
      </c>
      <c r="P3" s="329">
        <v>0.35199999999999998</v>
      </c>
      <c r="Q3" s="329">
        <v>0.35199999999999998</v>
      </c>
      <c r="R3" s="329">
        <v>0.35199999999999998</v>
      </c>
      <c r="S3" s="329">
        <v>0.35199999999999998</v>
      </c>
      <c r="T3" s="329">
        <v>0.35199999999999998</v>
      </c>
      <c r="U3" s="329">
        <v>0.35199999999999998</v>
      </c>
      <c r="V3" s="329">
        <v>0.35199999999999998</v>
      </c>
      <c r="W3" s="329">
        <v>0.35199999999999998</v>
      </c>
      <c r="X3" s="329">
        <v>0.35199999999999998</v>
      </c>
    </row>
    <row r="4" spans="1:25" s="1" customFormat="1" ht="31.9" customHeight="1">
      <c r="A4" s="367"/>
      <c r="B4" s="367"/>
      <c r="C4" s="368"/>
      <c r="D4" s="378"/>
      <c r="E4" s="367"/>
      <c r="F4" s="329" t="s">
        <v>148</v>
      </c>
      <c r="G4" s="329">
        <v>1986</v>
      </c>
      <c r="H4" s="330" t="s">
        <v>149</v>
      </c>
      <c r="I4" s="90">
        <v>0.150829562594268</v>
      </c>
      <c r="J4" s="90">
        <v>0.15748031496062992</v>
      </c>
      <c r="K4" s="90">
        <v>0.15748031496062992</v>
      </c>
      <c r="L4" s="90">
        <v>0.14367816091954022</v>
      </c>
      <c r="M4" s="90">
        <v>0.14367816091954022</v>
      </c>
      <c r="N4" s="90">
        <v>0.21645021645021645</v>
      </c>
      <c r="O4" s="90">
        <v>0.21645021645021645</v>
      </c>
      <c r="P4" s="90">
        <v>0.21645021645021645</v>
      </c>
      <c r="Q4" s="90">
        <v>0.21645021645021645</v>
      </c>
      <c r="R4" s="90">
        <v>0.21645021645021645</v>
      </c>
      <c r="S4" s="90">
        <v>0.18621973929236499</v>
      </c>
      <c r="T4" s="90">
        <v>0.18621973929236499</v>
      </c>
      <c r="U4" s="90">
        <v>0.18621973929236499</v>
      </c>
      <c r="V4" s="90">
        <v>0.15873015873015872</v>
      </c>
      <c r="W4" s="90">
        <v>0.15873015873015872</v>
      </c>
      <c r="X4" s="90">
        <v>0.15082956259426847</v>
      </c>
      <c r="Y4" s="91"/>
    </row>
    <row r="5" spans="1:25" s="1" customFormat="1" ht="13.9" customHeight="1">
      <c r="A5" s="367"/>
      <c r="B5" s="367"/>
      <c r="C5" s="368"/>
      <c r="D5" s="378"/>
      <c r="E5" s="367"/>
      <c r="F5" s="329" t="s">
        <v>150</v>
      </c>
      <c r="G5" s="329">
        <v>2001</v>
      </c>
      <c r="H5" s="329" t="s">
        <v>151</v>
      </c>
      <c r="I5" s="92">
        <v>0.182</v>
      </c>
      <c r="J5" s="92">
        <v>0.182</v>
      </c>
      <c r="K5" s="92">
        <v>0.189</v>
      </c>
      <c r="L5" s="92">
        <v>0.189</v>
      </c>
      <c r="M5" s="92">
        <v>0.189</v>
      </c>
      <c r="N5" s="92">
        <v>0.189</v>
      </c>
      <c r="O5" s="92">
        <v>0.189</v>
      </c>
      <c r="P5" s="92">
        <v>0.189</v>
      </c>
      <c r="Q5" s="92">
        <v>0.189</v>
      </c>
      <c r="R5" s="92">
        <v>0.182</v>
      </c>
      <c r="S5" s="92">
        <v>0.182</v>
      </c>
      <c r="T5" s="92">
        <v>0.182</v>
      </c>
      <c r="U5" s="92">
        <v>0.182</v>
      </c>
      <c r="V5" s="92">
        <v>0.182</v>
      </c>
      <c r="W5" s="92">
        <v>0.182</v>
      </c>
      <c r="X5" s="92">
        <v>0.182</v>
      </c>
      <c r="Y5" s="93"/>
    </row>
    <row r="6" spans="1:25" s="1" customFormat="1" ht="13.9" customHeight="1">
      <c r="A6" s="367"/>
      <c r="B6" s="367"/>
      <c r="C6" s="368"/>
      <c r="D6" s="378"/>
      <c r="E6" s="367"/>
      <c r="F6" s="329" t="s">
        <v>152</v>
      </c>
      <c r="G6" s="329">
        <v>2013</v>
      </c>
      <c r="H6" s="329" t="s">
        <v>153</v>
      </c>
      <c r="I6" s="94">
        <v>9.8000000000000004E-2</v>
      </c>
      <c r="J6" s="94">
        <v>6.2E-2</v>
      </c>
      <c r="K6" s="94">
        <v>8.2000000000000003E-2</v>
      </c>
      <c r="L6" s="94">
        <v>6.2E-2</v>
      </c>
      <c r="M6" s="94">
        <v>6.2E-2</v>
      </c>
      <c r="N6" s="94">
        <v>9.8000000000000004E-2</v>
      </c>
      <c r="O6" s="94">
        <v>9.8000000000000004E-2</v>
      </c>
      <c r="P6" s="94">
        <v>6.2E-2</v>
      </c>
      <c r="Q6" s="94">
        <v>6.2E-2</v>
      </c>
      <c r="R6" s="94">
        <v>6.2E-2</v>
      </c>
      <c r="S6" s="94">
        <v>6.2E-2</v>
      </c>
      <c r="T6" s="94">
        <v>6.2E-2</v>
      </c>
      <c r="U6" s="94">
        <v>6.2E-2</v>
      </c>
      <c r="V6" s="94">
        <v>6.2E-2</v>
      </c>
      <c r="W6" s="94">
        <v>6.2E-2</v>
      </c>
      <c r="X6" s="94">
        <v>6.2E-2</v>
      </c>
      <c r="Y6" s="93"/>
    </row>
    <row r="7" spans="1:25" s="1" customFormat="1" ht="13.9" customHeight="1">
      <c r="A7" s="367"/>
      <c r="B7" s="367"/>
      <c r="C7" s="368"/>
      <c r="D7" s="378"/>
      <c r="E7" s="367"/>
      <c r="F7" s="329" t="s">
        <v>154</v>
      </c>
      <c r="G7" s="83">
        <v>2025</v>
      </c>
      <c r="H7" s="83" t="s">
        <v>153</v>
      </c>
      <c r="I7" s="95">
        <v>0.06</v>
      </c>
      <c r="J7" s="95">
        <v>5.5E-2</v>
      </c>
      <c r="K7" s="95">
        <v>7.0999999999999994E-2</v>
      </c>
      <c r="L7" s="95">
        <v>5.5E-2</v>
      </c>
      <c r="M7" s="95">
        <v>5.5E-2</v>
      </c>
      <c r="N7" s="95">
        <v>0.06</v>
      </c>
      <c r="O7" s="95">
        <v>0.06</v>
      </c>
      <c r="P7" s="95">
        <v>5.5E-2</v>
      </c>
      <c r="Q7" s="95">
        <v>5.5E-2</v>
      </c>
      <c r="R7" s="95">
        <v>5.5E-2</v>
      </c>
      <c r="S7" s="95">
        <v>5.5E-2</v>
      </c>
      <c r="T7" s="95">
        <v>5.5E-2</v>
      </c>
      <c r="U7" s="95">
        <v>5.5E-2</v>
      </c>
      <c r="V7" s="95">
        <v>5.5E-2</v>
      </c>
      <c r="W7" s="95">
        <v>5.5E-2</v>
      </c>
      <c r="X7" s="95">
        <v>5.5E-2</v>
      </c>
      <c r="Y7" s="93"/>
    </row>
    <row r="8" spans="1:25" s="1" customFormat="1" ht="13.9" customHeight="1">
      <c r="A8" s="367" t="s">
        <v>155</v>
      </c>
      <c r="B8" s="367" t="s">
        <v>45</v>
      </c>
      <c r="C8" s="368" t="s">
        <v>156</v>
      </c>
      <c r="D8" s="378" t="s">
        <v>157</v>
      </c>
      <c r="E8" s="367" t="s">
        <v>145</v>
      </c>
      <c r="F8" s="329" t="s">
        <v>146</v>
      </c>
      <c r="G8" s="329" t="s">
        <v>68</v>
      </c>
      <c r="H8" s="365" t="s">
        <v>158</v>
      </c>
      <c r="I8" s="96">
        <v>5.7000000000000002E-2</v>
      </c>
      <c r="J8" s="96">
        <v>5.7000000000000002E-2</v>
      </c>
      <c r="K8" s="96">
        <v>5.7000000000000002E-2</v>
      </c>
      <c r="L8" s="96">
        <v>5.7000000000000002E-2</v>
      </c>
      <c r="M8" s="96">
        <v>5.7000000000000002E-2</v>
      </c>
      <c r="N8" s="96">
        <v>7.8E-2</v>
      </c>
      <c r="O8" s="96">
        <v>7.8E-2</v>
      </c>
      <c r="P8" s="96">
        <v>7.8E-2</v>
      </c>
      <c r="Q8" s="96">
        <v>7.8E-2</v>
      </c>
      <c r="R8" s="96">
        <v>7.8E-2</v>
      </c>
      <c r="S8" s="96">
        <v>5.7000000000000002E-2</v>
      </c>
      <c r="T8" s="96">
        <v>5.7000000000000002E-2</v>
      </c>
      <c r="U8" s="96">
        <v>5.7000000000000002E-2</v>
      </c>
      <c r="V8" s="96">
        <v>5.7000000000000002E-2</v>
      </c>
      <c r="W8" s="96">
        <v>5.7000000000000002E-2</v>
      </c>
      <c r="X8" s="96">
        <v>5.7000000000000002E-2</v>
      </c>
      <c r="Y8" s="93"/>
    </row>
    <row r="9" spans="1:25" s="1" customFormat="1" ht="13.9" customHeight="1">
      <c r="A9" s="367"/>
      <c r="B9" s="367"/>
      <c r="C9" s="368"/>
      <c r="D9" s="378"/>
      <c r="E9" s="367"/>
      <c r="F9" s="329" t="s">
        <v>148</v>
      </c>
      <c r="G9" s="329">
        <v>1992</v>
      </c>
      <c r="H9" s="366"/>
      <c r="I9" s="97">
        <v>5.7000000000000002E-2</v>
      </c>
      <c r="J9" s="97">
        <v>5.7000000000000002E-2</v>
      </c>
      <c r="K9" s="97">
        <v>5.7000000000000002E-2</v>
      </c>
      <c r="L9" s="97">
        <v>5.7000000000000002E-2</v>
      </c>
      <c r="M9" s="97">
        <v>5.7000000000000002E-2</v>
      </c>
      <c r="N9" s="97">
        <v>7.8E-2</v>
      </c>
      <c r="O9" s="97">
        <v>7.8E-2</v>
      </c>
      <c r="P9" s="97">
        <v>7.8E-2</v>
      </c>
      <c r="Q9" s="97">
        <v>7.8E-2</v>
      </c>
      <c r="R9" s="97">
        <v>7.8E-2</v>
      </c>
      <c r="S9" s="97">
        <v>5.7000000000000002E-2</v>
      </c>
      <c r="T9" s="97">
        <v>5.7000000000000002E-2</v>
      </c>
      <c r="U9" s="97">
        <v>5.7000000000000002E-2</v>
      </c>
      <c r="V9" s="97">
        <v>5.7000000000000002E-2</v>
      </c>
      <c r="W9" s="97">
        <v>5.7000000000000002E-2</v>
      </c>
      <c r="X9" s="97">
        <v>5.7000000000000002E-2</v>
      </c>
      <c r="Y9" s="93"/>
    </row>
    <row r="10" spans="1:25" s="1" customFormat="1" ht="13.9" customHeight="1">
      <c r="A10" s="367"/>
      <c r="B10" s="367"/>
      <c r="C10" s="368"/>
      <c r="D10" s="378"/>
      <c r="E10" s="367"/>
      <c r="F10" s="329" t="s">
        <v>150</v>
      </c>
      <c r="G10" s="329">
        <v>2001</v>
      </c>
      <c r="H10" s="329" t="s">
        <v>151</v>
      </c>
      <c r="I10" s="92">
        <v>5.7000000000000002E-2</v>
      </c>
      <c r="J10" s="92">
        <v>5.7000000000000002E-2</v>
      </c>
      <c r="K10" s="92">
        <v>5.7000000000000002E-2</v>
      </c>
      <c r="L10" s="92">
        <v>5.7000000000000002E-2</v>
      </c>
      <c r="M10" s="92">
        <v>5.7000000000000002E-2</v>
      </c>
      <c r="N10" s="92">
        <v>7.8E-2</v>
      </c>
      <c r="O10" s="92">
        <v>7.8E-2</v>
      </c>
      <c r="P10" s="92">
        <v>7.8E-2</v>
      </c>
      <c r="Q10" s="92">
        <v>7.8E-2</v>
      </c>
      <c r="R10" s="92">
        <v>5.7000000000000002E-2</v>
      </c>
      <c r="S10" s="92">
        <v>5.7000000000000002E-2</v>
      </c>
      <c r="T10" s="92">
        <v>5.7000000000000002E-2</v>
      </c>
      <c r="U10" s="92">
        <v>5.7000000000000002E-2</v>
      </c>
      <c r="V10" s="92">
        <v>5.7000000000000002E-2</v>
      </c>
      <c r="W10" s="92">
        <v>5.7000000000000002E-2</v>
      </c>
      <c r="X10" s="92">
        <v>5.7000000000000002E-2</v>
      </c>
      <c r="Y10" s="93"/>
    </row>
    <row r="11" spans="1:25" s="1" customFormat="1" ht="13.9" customHeight="1">
      <c r="A11" s="367"/>
      <c r="B11" s="367"/>
      <c r="C11" s="368"/>
      <c r="D11" s="378"/>
      <c r="E11" s="367"/>
      <c r="F11" s="329" t="s">
        <v>152</v>
      </c>
      <c r="G11" s="329">
        <v>2013</v>
      </c>
      <c r="H11" s="329" t="s">
        <v>153</v>
      </c>
      <c r="I11" s="94">
        <v>4.9000000000000002E-2</v>
      </c>
      <c r="J11" s="94">
        <v>3.9E-2</v>
      </c>
      <c r="K11" s="94">
        <v>3.9E-2</v>
      </c>
      <c r="L11" s="94">
        <v>3.9E-2</v>
      </c>
      <c r="M11" s="94">
        <v>4.9000000000000002E-2</v>
      </c>
      <c r="N11" s="94">
        <v>7.4999999999999997E-2</v>
      </c>
      <c r="O11" s="94">
        <v>6.7000000000000004E-2</v>
      </c>
      <c r="P11" s="94">
        <v>6.7000000000000004E-2</v>
      </c>
      <c r="Q11" s="94">
        <v>3.9E-2</v>
      </c>
      <c r="R11" s="94">
        <v>3.9E-2</v>
      </c>
      <c r="S11" s="94">
        <v>3.9E-2</v>
      </c>
      <c r="T11" s="94">
        <v>3.9E-2</v>
      </c>
      <c r="U11" s="94">
        <v>3.9E-2</v>
      </c>
      <c r="V11" s="94">
        <v>3.9E-2</v>
      </c>
      <c r="W11" s="94">
        <v>3.9E-2</v>
      </c>
      <c r="X11" s="94">
        <v>3.9E-2</v>
      </c>
      <c r="Y11" s="93"/>
    </row>
    <row r="12" spans="1:25" s="1" customFormat="1" ht="13.9" customHeight="1">
      <c r="A12" s="367"/>
      <c r="B12" s="367"/>
      <c r="C12" s="368"/>
      <c r="D12" s="378"/>
      <c r="E12" s="367"/>
      <c r="F12" s="329" t="s">
        <v>154</v>
      </c>
      <c r="G12" s="83">
        <v>2025</v>
      </c>
      <c r="H12" s="83" t="s">
        <v>153</v>
      </c>
      <c r="I12" s="95">
        <v>2.8000000000000001E-2</v>
      </c>
      <c r="J12" s="95">
        <v>2.8000000000000001E-2</v>
      </c>
      <c r="K12" s="95">
        <v>2.8000000000000001E-2</v>
      </c>
      <c r="L12" s="95">
        <v>2.8000000000000001E-2</v>
      </c>
      <c r="M12" s="95">
        <v>2.8000000000000001E-2</v>
      </c>
      <c r="N12" s="95">
        <v>4.7E-2</v>
      </c>
      <c r="O12" s="95">
        <v>4.7E-2</v>
      </c>
      <c r="P12" s="95">
        <v>4.7E-2</v>
      </c>
      <c r="Q12" s="95">
        <v>2.8000000000000001E-2</v>
      </c>
      <c r="R12" s="95">
        <v>2.8000000000000001E-2</v>
      </c>
      <c r="S12" s="95">
        <v>2.8000000000000001E-2</v>
      </c>
      <c r="T12" s="95">
        <v>2.8000000000000001E-2</v>
      </c>
      <c r="U12" s="95">
        <v>2.8000000000000001E-2</v>
      </c>
      <c r="V12" s="95">
        <v>2.8000000000000001E-2</v>
      </c>
      <c r="W12" s="95">
        <v>2.8000000000000001E-2</v>
      </c>
      <c r="X12" s="95">
        <v>2.8000000000000001E-2</v>
      </c>
      <c r="Y12" s="93"/>
    </row>
    <row r="13" spans="1:25" s="1" customFormat="1" ht="22.15" customHeight="1">
      <c r="A13" s="367" t="s">
        <v>159</v>
      </c>
      <c r="B13" s="367" t="s">
        <v>45</v>
      </c>
      <c r="C13" s="365" t="s">
        <v>160</v>
      </c>
      <c r="D13" s="368" t="s">
        <v>161</v>
      </c>
      <c r="E13" s="367" t="s">
        <v>145</v>
      </c>
      <c r="F13" s="329" t="s">
        <v>146</v>
      </c>
      <c r="G13" s="329" t="s">
        <v>68</v>
      </c>
      <c r="H13" s="365" t="s">
        <v>162</v>
      </c>
      <c r="I13" s="329">
        <f t="shared" ref="I13:X13" si="0">0.5*1.12+0.5*I16</f>
        <v>0.74</v>
      </c>
      <c r="J13" s="329">
        <f t="shared" si="0"/>
        <v>0.74</v>
      </c>
      <c r="K13" s="329">
        <f t="shared" si="0"/>
        <v>0.74</v>
      </c>
      <c r="L13" s="329">
        <f t="shared" si="0"/>
        <v>0.74</v>
      </c>
      <c r="M13" s="329">
        <f t="shared" si="0"/>
        <v>0.74</v>
      </c>
      <c r="N13" s="329">
        <f t="shared" si="0"/>
        <v>0.74</v>
      </c>
      <c r="O13" s="329">
        <f t="shared" si="0"/>
        <v>0.74</v>
      </c>
      <c r="P13" s="329">
        <f t="shared" si="0"/>
        <v>0.74</v>
      </c>
      <c r="Q13" s="329">
        <f t="shared" si="0"/>
        <v>0.74</v>
      </c>
      <c r="R13" s="329">
        <f t="shared" si="0"/>
        <v>0.74</v>
      </c>
      <c r="S13" s="329">
        <f t="shared" si="0"/>
        <v>0.74</v>
      </c>
      <c r="T13" s="329">
        <f t="shared" si="0"/>
        <v>0.74</v>
      </c>
      <c r="U13" s="329">
        <f t="shared" si="0"/>
        <v>0.74</v>
      </c>
      <c r="V13" s="329">
        <f t="shared" si="0"/>
        <v>0.74</v>
      </c>
      <c r="W13" s="329">
        <f t="shared" si="0"/>
        <v>0.74</v>
      </c>
      <c r="X13" s="329">
        <f t="shared" si="0"/>
        <v>0.74</v>
      </c>
      <c r="Y13" s="93"/>
    </row>
    <row r="14" spans="1:25" s="1" customFormat="1" ht="21" customHeight="1">
      <c r="A14" s="367"/>
      <c r="B14" s="367"/>
      <c r="C14" s="377"/>
      <c r="D14" s="368"/>
      <c r="E14" s="367"/>
      <c r="F14" s="329" t="s">
        <v>148</v>
      </c>
      <c r="G14" s="329" t="s">
        <v>68</v>
      </c>
      <c r="H14" s="366"/>
      <c r="I14" s="98">
        <f>I13</f>
        <v>0.74</v>
      </c>
      <c r="J14" s="98">
        <f t="shared" ref="J14:X14" si="1">J13</f>
        <v>0.74</v>
      </c>
      <c r="K14" s="98">
        <f t="shared" si="1"/>
        <v>0.74</v>
      </c>
      <c r="L14" s="98">
        <f t="shared" si="1"/>
        <v>0.74</v>
      </c>
      <c r="M14" s="98">
        <f t="shared" si="1"/>
        <v>0.74</v>
      </c>
      <c r="N14" s="98">
        <f t="shared" si="1"/>
        <v>0.74</v>
      </c>
      <c r="O14" s="98">
        <f t="shared" si="1"/>
        <v>0.74</v>
      </c>
      <c r="P14" s="98">
        <f t="shared" si="1"/>
        <v>0.74</v>
      </c>
      <c r="Q14" s="98">
        <f t="shared" si="1"/>
        <v>0.74</v>
      </c>
      <c r="R14" s="98">
        <f t="shared" si="1"/>
        <v>0.74</v>
      </c>
      <c r="S14" s="98">
        <f t="shared" si="1"/>
        <v>0.74</v>
      </c>
      <c r="T14" s="98">
        <f t="shared" si="1"/>
        <v>0.74</v>
      </c>
      <c r="U14" s="98">
        <f t="shared" si="1"/>
        <v>0.74</v>
      </c>
      <c r="V14" s="98">
        <f t="shared" si="1"/>
        <v>0.74</v>
      </c>
      <c r="W14" s="98">
        <f t="shared" si="1"/>
        <v>0.74</v>
      </c>
      <c r="X14" s="98">
        <f t="shared" si="1"/>
        <v>0.74</v>
      </c>
      <c r="Y14" s="93"/>
    </row>
    <row r="15" spans="1:25" s="1" customFormat="1">
      <c r="A15" s="367"/>
      <c r="B15" s="367"/>
      <c r="C15" s="377"/>
      <c r="D15" s="367" t="s">
        <v>163</v>
      </c>
      <c r="E15" s="367"/>
      <c r="F15" s="329" t="s">
        <v>150</v>
      </c>
      <c r="G15" s="329">
        <v>2001</v>
      </c>
      <c r="H15" s="329" t="s">
        <v>151</v>
      </c>
      <c r="I15" s="99">
        <v>0.49</v>
      </c>
      <c r="J15" s="99">
        <v>0.49</v>
      </c>
      <c r="K15" s="99">
        <v>0.81</v>
      </c>
      <c r="L15" s="99">
        <v>0.81</v>
      </c>
      <c r="M15" s="99">
        <v>0.81</v>
      </c>
      <c r="N15" s="99">
        <v>0.81</v>
      </c>
      <c r="O15" s="99">
        <v>0.81</v>
      </c>
      <c r="P15" s="99">
        <v>0.81</v>
      </c>
      <c r="Q15" s="99">
        <v>0.81</v>
      </c>
      <c r="R15" s="99">
        <v>0.49</v>
      </c>
      <c r="S15" s="99">
        <v>0.49</v>
      </c>
      <c r="T15" s="99">
        <v>0.49</v>
      </c>
      <c r="U15" s="99">
        <v>0.49</v>
      </c>
      <c r="V15" s="99">
        <v>0.49</v>
      </c>
      <c r="W15" s="99">
        <v>0.49</v>
      </c>
      <c r="X15" s="99">
        <v>0.49</v>
      </c>
      <c r="Y15" s="93"/>
    </row>
    <row r="16" spans="1:25" s="1" customFormat="1" ht="13.9" customHeight="1">
      <c r="A16" s="367"/>
      <c r="B16" s="367"/>
      <c r="C16" s="377"/>
      <c r="D16" s="367"/>
      <c r="E16" s="367"/>
      <c r="F16" s="329" t="s">
        <v>152</v>
      </c>
      <c r="G16" s="329">
        <v>2013</v>
      </c>
      <c r="H16" s="329" t="s">
        <v>164</v>
      </c>
      <c r="I16" s="100">
        <v>0.36</v>
      </c>
      <c r="J16" s="100">
        <v>0.36</v>
      </c>
      <c r="K16" s="100">
        <v>0.36</v>
      </c>
      <c r="L16" s="100">
        <v>0.36</v>
      </c>
      <c r="M16" s="100">
        <v>0.36</v>
      </c>
      <c r="N16" s="100">
        <v>0.36</v>
      </c>
      <c r="O16" s="100">
        <v>0.36</v>
      </c>
      <c r="P16" s="100">
        <v>0.36</v>
      </c>
      <c r="Q16" s="100">
        <v>0.36</v>
      </c>
      <c r="R16" s="100">
        <v>0.36</v>
      </c>
      <c r="S16" s="100">
        <v>0.36</v>
      </c>
      <c r="T16" s="100">
        <v>0.36</v>
      </c>
      <c r="U16" s="100">
        <v>0.36</v>
      </c>
      <c r="V16" s="100">
        <v>0.36</v>
      </c>
      <c r="W16" s="100">
        <v>0.36</v>
      </c>
      <c r="X16" s="100">
        <v>0.36</v>
      </c>
      <c r="Y16" s="93"/>
    </row>
    <row r="17" spans="1:25" s="1" customFormat="1" ht="13.9" customHeight="1">
      <c r="A17" s="367"/>
      <c r="B17" s="367"/>
      <c r="C17" s="366"/>
      <c r="D17" s="367"/>
      <c r="E17" s="367"/>
      <c r="F17" s="329" t="s">
        <v>154</v>
      </c>
      <c r="G17" s="83">
        <v>2025</v>
      </c>
      <c r="H17" s="83" t="s">
        <v>164</v>
      </c>
      <c r="I17" s="101">
        <v>0.36</v>
      </c>
      <c r="J17" s="101">
        <v>0.36</v>
      </c>
      <c r="K17" s="101">
        <v>0.36</v>
      </c>
      <c r="L17" s="101">
        <v>0.36</v>
      </c>
      <c r="M17" s="101">
        <v>0.36</v>
      </c>
      <c r="N17" s="101">
        <v>0.36</v>
      </c>
      <c r="O17" s="101">
        <v>0.36</v>
      </c>
      <c r="P17" s="101">
        <v>0.36</v>
      </c>
      <c r="Q17" s="101">
        <v>0.34</v>
      </c>
      <c r="R17" s="101">
        <v>0.36</v>
      </c>
      <c r="S17" s="101">
        <v>0.34</v>
      </c>
      <c r="T17" s="101">
        <v>0.34</v>
      </c>
      <c r="U17" s="101">
        <v>0.34</v>
      </c>
      <c r="V17" s="101">
        <v>0.34</v>
      </c>
      <c r="W17" s="101">
        <v>0.34</v>
      </c>
      <c r="X17" s="101">
        <v>0.36</v>
      </c>
      <c r="Y17" s="93"/>
    </row>
    <row r="18" spans="1:25" s="1" customFormat="1" ht="17.45" customHeight="1">
      <c r="A18" s="367"/>
      <c r="B18" s="367" t="s">
        <v>45</v>
      </c>
      <c r="C18" s="365" t="s">
        <v>160</v>
      </c>
      <c r="D18" s="368" t="s">
        <v>161</v>
      </c>
      <c r="E18" s="367" t="s">
        <v>165</v>
      </c>
      <c r="F18" s="329" t="s">
        <v>146</v>
      </c>
      <c r="G18" s="329" t="s">
        <v>68</v>
      </c>
      <c r="H18" s="365" t="s">
        <v>166</v>
      </c>
      <c r="I18" s="41">
        <f t="shared" ref="I18:X19" si="2">0.8*0.5+I21*0.5</f>
        <v>0.52500000000000002</v>
      </c>
      <c r="J18" s="41">
        <f t="shared" si="2"/>
        <v>0.52500000000000002</v>
      </c>
      <c r="K18" s="41">
        <f t="shared" si="2"/>
        <v>0.52500000000000002</v>
      </c>
      <c r="L18" s="41">
        <f t="shared" si="2"/>
        <v>0.52500000000000002</v>
      </c>
      <c r="M18" s="41">
        <f t="shared" si="2"/>
        <v>0.52500000000000002</v>
      </c>
      <c r="N18" s="41">
        <f t="shared" si="2"/>
        <v>0.52500000000000002</v>
      </c>
      <c r="O18" s="41">
        <f t="shared" si="2"/>
        <v>0.52500000000000002</v>
      </c>
      <c r="P18" s="41">
        <f t="shared" si="2"/>
        <v>0.52500000000000002</v>
      </c>
      <c r="Q18" s="41">
        <f t="shared" si="2"/>
        <v>0.52500000000000002</v>
      </c>
      <c r="R18" s="41">
        <f t="shared" si="2"/>
        <v>0.52500000000000002</v>
      </c>
      <c r="S18" s="41">
        <f t="shared" si="2"/>
        <v>0.52500000000000002</v>
      </c>
      <c r="T18" s="41">
        <f t="shared" si="2"/>
        <v>0.52500000000000002</v>
      </c>
      <c r="U18" s="41">
        <f t="shared" si="2"/>
        <v>0.52500000000000002</v>
      </c>
      <c r="V18" s="41">
        <f t="shared" si="2"/>
        <v>0.52500000000000002</v>
      </c>
      <c r="W18" s="41">
        <f t="shared" si="2"/>
        <v>0.52500000000000002</v>
      </c>
      <c r="X18" s="41">
        <f t="shared" si="2"/>
        <v>0.52500000000000002</v>
      </c>
      <c r="Y18" s="93"/>
    </row>
    <row r="19" spans="1:25" s="1" customFormat="1" ht="16.149999999999999" customHeight="1">
      <c r="A19" s="367"/>
      <c r="B19" s="367"/>
      <c r="C19" s="377"/>
      <c r="D19" s="368"/>
      <c r="E19" s="367"/>
      <c r="F19" s="329" t="s">
        <v>148</v>
      </c>
      <c r="G19" s="329" t="s">
        <v>68</v>
      </c>
      <c r="H19" s="366"/>
      <c r="I19" s="102">
        <f t="shared" si="2"/>
        <v>0.52500000000000002</v>
      </c>
      <c r="J19" s="102">
        <f t="shared" si="2"/>
        <v>0.52500000000000002</v>
      </c>
      <c r="K19" s="102">
        <f t="shared" si="2"/>
        <v>0.52500000000000002</v>
      </c>
      <c r="L19" s="102">
        <f t="shared" si="2"/>
        <v>0.52500000000000002</v>
      </c>
      <c r="M19" s="102">
        <f t="shared" si="2"/>
        <v>0.52500000000000002</v>
      </c>
      <c r="N19" s="102">
        <f t="shared" si="2"/>
        <v>0.52500000000000002</v>
      </c>
      <c r="O19" s="102">
        <f t="shared" si="2"/>
        <v>0.52500000000000002</v>
      </c>
      <c r="P19" s="102">
        <f t="shared" si="2"/>
        <v>0.52500000000000002</v>
      </c>
      <c r="Q19" s="102">
        <f t="shared" si="2"/>
        <v>0.51</v>
      </c>
      <c r="R19" s="102">
        <f t="shared" si="2"/>
        <v>0.52500000000000002</v>
      </c>
      <c r="S19" s="102">
        <f t="shared" si="2"/>
        <v>0.51</v>
      </c>
      <c r="T19" s="102">
        <f t="shared" si="2"/>
        <v>0.51</v>
      </c>
      <c r="U19" s="102">
        <f t="shared" si="2"/>
        <v>0.51</v>
      </c>
      <c r="V19" s="102">
        <f t="shared" si="2"/>
        <v>0.51</v>
      </c>
      <c r="W19" s="102">
        <f t="shared" si="2"/>
        <v>0.51</v>
      </c>
      <c r="X19" s="102">
        <f t="shared" si="2"/>
        <v>0.52500000000000002</v>
      </c>
      <c r="Y19" s="93"/>
    </row>
    <row r="20" spans="1:25" s="1" customFormat="1">
      <c r="A20" s="367"/>
      <c r="B20" s="367"/>
      <c r="C20" s="377"/>
      <c r="D20" s="367" t="s">
        <v>163</v>
      </c>
      <c r="E20" s="367"/>
      <c r="F20" s="334" t="s">
        <v>150</v>
      </c>
      <c r="G20" s="334">
        <v>2001</v>
      </c>
      <c r="H20" s="329" t="s">
        <v>167</v>
      </c>
      <c r="I20" s="99">
        <v>0.49</v>
      </c>
      <c r="J20" s="99">
        <v>0.47</v>
      </c>
      <c r="K20" s="99">
        <v>0.61</v>
      </c>
      <c r="L20" s="99">
        <v>0.61</v>
      </c>
      <c r="M20" s="99">
        <v>0.61</v>
      </c>
      <c r="N20" s="99">
        <v>0.61</v>
      </c>
      <c r="O20" s="99">
        <v>0.61</v>
      </c>
      <c r="P20" s="99">
        <v>0.61</v>
      </c>
      <c r="Q20" s="99">
        <v>0.61</v>
      </c>
      <c r="R20" s="99">
        <v>0.47</v>
      </c>
      <c r="S20" s="99">
        <v>0.47</v>
      </c>
      <c r="T20" s="99">
        <v>0.47</v>
      </c>
      <c r="U20" s="99">
        <v>0.47</v>
      </c>
      <c r="V20" s="99">
        <v>0.46</v>
      </c>
      <c r="W20" s="99">
        <v>0.46</v>
      </c>
      <c r="X20" s="99">
        <v>0.49</v>
      </c>
      <c r="Y20" s="93"/>
    </row>
    <row r="21" spans="1:25" s="1" customFormat="1">
      <c r="A21" s="367"/>
      <c r="B21" s="367"/>
      <c r="C21" s="377"/>
      <c r="D21" s="367"/>
      <c r="E21" s="367"/>
      <c r="F21" s="329" t="s">
        <v>152</v>
      </c>
      <c r="G21" s="329">
        <v>2013</v>
      </c>
      <c r="H21" s="329" t="s">
        <v>164</v>
      </c>
      <c r="I21" s="100">
        <v>0.25</v>
      </c>
      <c r="J21" s="100">
        <v>0.25</v>
      </c>
      <c r="K21" s="100">
        <v>0.25</v>
      </c>
      <c r="L21" s="100">
        <v>0.25</v>
      </c>
      <c r="M21" s="100">
        <v>0.25</v>
      </c>
      <c r="N21" s="100">
        <v>0.25</v>
      </c>
      <c r="O21" s="100">
        <v>0.25</v>
      </c>
      <c r="P21" s="100">
        <v>0.25</v>
      </c>
      <c r="Q21" s="100">
        <v>0.25</v>
      </c>
      <c r="R21" s="100">
        <v>0.25</v>
      </c>
      <c r="S21" s="100">
        <v>0.25</v>
      </c>
      <c r="T21" s="100">
        <v>0.25</v>
      </c>
      <c r="U21" s="100">
        <v>0.25</v>
      </c>
      <c r="V21" s="100">
        <v>0.25</v>
      </c>
      <c r="W21" s="100">
        <v>0.25</v>
      </c>
      <c r="X21" s="100">
        <v>0.25</v>
      </c>
      <c r="Y21" s="93"/>
    </row>
    <row r="22" spans="1:25" s="1" customFormat="1">
      <c r="A22" s="367"/>
      <c r="B22" s="367"/>
      <c r="C22" s="366"/>
      <c r="D22" s="367"/>
      <c r="E22" s="367"/>
      <c r="F22" s="329" t="s">
        <v>154</v>
      </c>
      <c r="G22" s="83">
        <v>2025</v>
      </c>
      <c r="H22" s="83" t="s">
        <v>164</v>
      </c>
      <c r="I22" s="101">
        <v>0.25</v>
      </c>
      <c r="J22" s="101">
        <v>0.25</v>
      </c>
      <c r="K22" s="101">
        <v>0.25</v>
      </c>
      <c r="L22" s="101">
        <v>0.25</v>
      </c>
      <c r="M22" s="101">
        <v>0.25</v>
      </c>
      <c r="N22" s="101">
        <v>0.25</v>
      </c>
      <c r="O22" s="101">
        <v>0.25</v>
      </c>
      <c r="P22" s="101">
        <v>0.25</v>
      </c>
      <c r="Q22" s="101">
        <v>0.22</v>
      </c>
      <c r="R22" s="101">
        <v>0.25</v>
      </c>
      <c r="S22" s="101">
        <v>0.22</v>
      </c>
      <c r="T22" s="101">
        <v>0.22</v>
      </c>
      <c r="U22" s="101">
        <v>0.22</v>
      </c>
      <c r="V22" s="101">
        <v>0.22</v>
      </c>
      <c r="W22" s="101">
        <v>0.22</v>
      </c>
      <c r="X22" s="101">
        <v>0.25</v>
      </c>
      <c r="Y22" s="93"/>
    </row>
    <row r="23" spans="1:25" ht="13.9" customHeight="1">
      <c r="A23" s="367" t="s">
        <v>168</v>
      </c>
      <c r="B23" s="367" t="s">
        <v>45</v>
      </c>
      <c r="C23" s="368" t="s">
        <v>168</v>
      </c>
      <c r="D23" s="365" t="s">
        <v>169</v>
      </c>
      <c r="E23" s="367" t="s">
        <v>145</v>
      </c>
      <c r="F23" s="329" t="s">
        <v>146</v>
      </c>
      <c r="G23" s="329" t="s">
        <v>68</v>
      </c>
      <c r="H23" s="365" t="s">
        <v>170</v>
      </c>
      <c r="I23" s="329">
        <v>0.85</v>
      </c>
      <c r="J23" s="329">
        <v>1.31</v>
      </c>
      <c r="K23" s="329">
        <v>1.31</v>
      </c>
      <c r="L23" s="329">
        <v>1.31</v>
      </c>
      <c r="M23" s="329">
        <v>1.31</v>
      </c>
      <c r="N23" s="329">
        <v>1.31</v>
      </c>
      <c r="O23" s="329">
        <v>1.31</v>
      </c>
      <c r="P23" s="329">
        <v>1.31</v>
      </c>
      <c r="Q23" s="329">
        <v>1.31</v>
      </c>
      <c r="R23" s="329">
        <v>1.31</v>
      </c>
      <c r="S23" s="329">
        <v>0.85</v>
      </c>
      <c r="T23" s="329">
        <v>0.85</v>
      </c>
      <c r="U23" s="329">
        <v>0.85</v>
      </c>
      <c r="V23" s="329">
        <v>0.85</v>
      </c>
      <c r="W23" s="329">
        <v>0.85</v>
      </c>
      <c r="X23" s="329">
        <v>0.85</v>
      </c>
      <c r="Y23" s="93"/>
    </row>
    <row r="24" spans="1:25" ht="13.9" customHeight="1">
      <c r="A24" s="367"/>
      <c r="B24" s="367"/>
      <c r="C24" s="368"/>
      <c r="D24" s="366"/>
      <c r="E24" s="367"/>
      <c r="F24" s="329" t="s">
        <v>148</v>
      </c>
      <c r="G24" s="329" t="s">
        <v>68</v>
      </c>
      <c r="H24" s="366"/>
      <c r="I24" s="98">
        <v>0.85</v>
      </c>
      <c r="J24" s="98">
        <v>1.31</v>
      </c>
      <c r="K24" s="98">
        <v>1.31</v>
      </c>
      <c r="L24" s="98">
        <v>1.31</v>
      </c>
      <c r="M24" s="98">
        <v>1.31</v>
      </c>
      <c r="N24" s="98">
        <v>1.31</v>
      </c>
      <c r="O24" s="98">
        <v>1.31</v>
      </c>
      <c r="P24" s="98">
        <v>1.31</v>
      </c>
      <c r="Q24" s="98">
        <v>1.31</v>
      </c>
      <c r="R24" s="98">
        <v>1.31</v>
      </c>
      <c r="S24" s="98">
        <v>0.85</v>
      </c>
      <c r="T24" s="98">
        <v>0.85</v>
      </c>
      <c r="U24" s="98">
        <v>0.85</v>
      </c>
      <c r="V24" s="98">
        <v>0.85</v>
      </c>
      <c r="W24" s="98">
        <v>0.85</v>
      </c>
      <c r="X24" s="98">
        <v>0.85</v>
      </c>
      <c r="Y24" s="93"/>
    </row>
    <row r="25" spans="1:25" ht="13.9" customHeight="1">
      <c r="A25" s="367"/>
      <c r="B25" s="367"/>
      <c r="C25" s="368"/>
      <c r="D25" s="369" t="s">
        <v>171</v>
      </c>
      <c r="E25" s="367"/>
      <c r="F25" s="329" t="s">
        <v>150</v>
      </c>
      <c r="G25" s="329">
        <v>2001</v>
      </c>
      <c r="H25" s="329" t="s">
        <v>151</v>
      </c>
      <c r="I25" s="99">
        <v>0.87</v>
      </c>
      <c r="J25" s="99">
        <v>1.1000000000000001</v>
      </c>
      <c r="K25" s="99">
        <v>1.3</v>
      </c>
      <c r="L25" s="99">
        <v>1.3</v>
      </c>
      <c r="M25" s="99">
        <v>1.3</v>
      </c>
      <c r="N25" s="99">
        <v>1.3</v>
      </c>
      <c r="O25" s="99">
        <v>1.3</v>
      </c>
      <c r="P25" s="99">
        <v>1.3</v>
      </c>
      <c r="Q25" s="99">
        <v>1.3</v>
      </c>
      <c r="R25" s="99">
        <v>1.1000000000000001</v>
      </c>
      <c r="S25" s="99">
        <v>1.1000000000000001</v>
      </c>
      <c r="T25" s="99">
        <v>1.1000000000000001</v>
      </c>
      <c r="U25" s="99">
        <v>1.1000000000000001</v>
      </c>
      <c r="V25" s="99">
        <v>1.1000000000000001</v>
      </c>
      <c r="W25" s="99">
        <v>1.1000000000000001</v>
      </c>
      <c r="X25" s="99">
        <v>0.87</v>
      </c>
      <c r="Y25" s="93"/>
    </row>
    <row r="26" spans="1:25" ht="13.9" customHeight="1">
      <c r="A26" s="367"/>
      <c r="B26" s="367"/>
      <c r="C26" s="368"/>
      <c r="D26" s="370"/>
      <c r="E26" s="367"/>
      <c r="F26" s="329" t="s">
        <v>152</v>
      </c>
      <c r="G26" s="329">
        <v>2013</v>
      </c>
      <c r="H26" s="329" t="s">
        <v>153</v>
      </c>
      <c r="I26" s="100">
        <v>0.88</v>
      </c>
      <c r="J26" s="100">
        <v>0.88</v>
      </c>
      <c r="K26" s="100">
        <v>0.88</v>
      </c>
      <c r="L26" s="100">
        <v>0.88</v>
      </c>
      <c r="M26" s="100">
        <v>0.88</v>
      </c>
      <c r="N26" s="100">
        <v>0.88</v>
      </c>
      <c r="O26" s="100">
        <v>0.88</v>
      </c>
      <c r="P26" s="100">
        <v>0.88</v>
      </c>
      <c r="Q26" s="100">
        <v>0.88</v>
      </c>
      <c r="R26" s="100">
        <v>0.88</v>
      </c>
      <c r="S26" s="100">
        <v>0.88</v>
      </c>
      <c r="T26" s="100">
        <v>0.88</v>
      </c>
      <c r="U26" s="100">
        <v>0.88</v>
      </c>
      <c r="V26" s="100">
        <v>0.88</v>
      </c>
      <c r="W26" s="100">
        <v>0.88</v>
      </c>
      <c r="X26" s="100">
        <v>0.88</v>
      </c>
      <c r="Y26" s="93"/>
    </row>
    <row r="27" spans="1:25" ht="13.9" customHeight="1">
      <c r="A27" s="367"/>
      <c r="B27" s="367"/>
      <c r="C27" s="368"/>
      <c r="D27" s="371"/>
      <c r="E27" s="367"/>
      <c r="F27" s="329" t="s">
        <v>154</v>
      </c>
      <c r="G27" s="83">
        <v>2025</v>
      </c>
      <c r="H27" s="83" t="s">
        <v>153</v>
      </c>
      <c r="I27" s="101">
        <v>0.88</v>
      </c>
      <c r="J27" s="101">
        <v>0.88</v>
      </c>
      <c r="K27" s="101">
        <v>0.88</v>
      </c>
      <c r="L27" s="101">
        <v>0.88</v>
      </c>
      <c r="M27" s="101">
        <v>0.88</v>
      </c>
      <c r="N27" s="101">
        <v>0.88</v>
      </c>
      <c r="O27" s="101">
        <v>0.88</v>
      </c>
      <c r="P27" s="101">
        <v>0.88</v>
      </c>
      <c r="Q27" s="101">
        <v>0.88</v>
      </c>
      <c r="R27" s="101">
        <v>0.88</v>
      </c>
      <c r="S27" s="101">
        <v>0.88</v>
      </c>
      <c r="T27" s="101">
        <v>0.88</v>
      </c>
      <c r="U27" s="101">
        <v>0.88</v>
      </c>
      <c r="V27" s="101">
        <v>0.88</v>
      </c>
      <c r="W27" s="101">
        <v>0.88</v>
      </c>
      <c r="X27" s="101">
        <v>0.88</v>
      </c>
      <c r="Y27" s="93"/>
    </row>
    <row r="28" spans="1:25" ht="13.9" customHeight="1">
      <c r="A28" s="367"/>
      <c r="B28" s="367" t="s">
        <v>45</v>
      </c>
      <c r="C28" s="368" t="s">
        <v>168</v>
      </c>
      <c r="D28" s="365" t="s">
        <v>169</v>
      </c>
      <c r="E28" s="367" t="s">
        <v>165</v>
      </c>
      <c r="F28" s="329" t="s">
        <v>146</v>
      </c>
      <c r="G28" s="329" t="s">
        <v>68</v>
      </c>
      <c r="H28" s="365" t="s">
        <v>172</v>
      </c>
      <c r="I28" s="41">
        <v>0.81</v>
      </c>
      <c r="J28" s="41">
        <v>0.86</v>
      </c>
      <c r="K28" s="41">
        <v>0.86</v>
      </c>
      <c r="L28" s="41">
        <v>0.86</v>
      </c>
      <c r="M28" s="41">
        <v>0.86</v>
      </c>
      <c r="N28" s="41">
        <v>0.86</v>
      </c>
      <c r="O28" s="41">
        <v>0.86</v>
      </c>
      <c r="P28" s="41">
        <v>0.86</v>
      </c>
      <c r="Q28" s="41">
        <v>0.86</v>
      </c>
      <c r="R28" s="41">
        <v>0.86</v>
      </c>
      <c r="S28" s="41">
        <v>0.81</v>
      </c>
      <c r="T28" s="41">
        <v>0.81</v>
      </c>
      <c r="U28" s="41">
        <v>0.81</v>
      </c>
      <c r="V28" s="41">
        <v>0.81</v>
      </c>
      <c r="W28" s="41">
        <v>0.81</v>
      </c>
      <c r="X28" s="41">
        <v>0.81</v>
      </c>
      <c r="Y28" s="93"/>
    </row>
    <row r="29" spans="1:25" ht="13.9" customHeight="1">
      <c r="A29" s="367"/>
      <c r="B29" s="367"/>
      <c r="C29" s="368"/>
      <c r="D29" s="366"/>
      <c r="E29" s="367"/>
      <c r="F29" s="329" t="s">
        <v>148</v>
      </c>
      <c r="G29" s="329" t="s">
        <v>68</v>
      </c>
      <c r="H29" s="366"/>
      <c r="I29" s="102">
        <v>0.81</v>
      </c>
      <c r="J29" s="102">
        <v>0.86</v>
      </c>
      <c r="K29" s="102">
        <v>0.86</v>
      </c>
      <c r="L29" s="102">
        <v>0.86</v>
      </c>
      <c r="M29" s="102">
        <v>0.86</v>
      </c>
      <c r="N29" s="102">
        <v>0.86</v>
      </c>
      <c r="O29" s="102">
        <v>0.86</v>
      </c>
      <c r="P29" s="102">
        <v>0.86</v>
      </c>
      <c r="Q29" s="102">
        <v>0.86</v>
      </c>
      <c r="R29" s="102">
        <v>0.86</v>
      </c>
      <c r="S29" s="102">
        <v>0.81</v>
      </c>
      <c r="T29" s="102">
        <v>0.81</v>
      </c>
      <c r="U29" s="102">
        <v>0.81</v>
      </c>
      <c r="V29" s="102">
        <v>0.81</v>
      </c>
      <c r="W29" s="102">
        <v>0.81</v>
      </c>
      <c r="X29" s="102">
        <v>0.81</v>
      </c>
      <c r="Y29" s="93"/>
    </row>
    <row r="30" spans="1:25" ht="13.9" customHeight="1">
      <c r="A30" s="367"/>
      <c r="B30" s="367"/>
      <c r="C30" s="368"/>
      <c r="D30" s="369" t="s">
        <v>171</v>
      </c>
      <c r="E30" s="367"/>
      <c r="F30" s="334" t="s">
        <v>150</v>
      </c>
      <c r="G30" s="334">
        <v>2001</v>
      </c>
      <c r="H30" s="329" t="s">
        <v>173</v>
      </c>
      <c r="I30" s="99">
        <v>0.77</v>
      </c>
      <c r="J30" s="99">
        <v>0.77</v>
      </c>
      <c r="K30" s="99">
        <v>0.79</v>
      </c>
      <c r="L30" s="99">
        <v>0.79</v>
      </c>
      <c r="M30" s="99">
        <v>0.79</v>
      </c>
      <c r="N30" s="99">
        <v>0.77</v>
      </c>
      <c r="O30" s="99">
        <v>0.77</v>
      </c>
      <c r="P30" s="99">
        <v>0.77</v>
      </c>
      <c r="Q30" s="99">
        <v>0.77</v>
      </c>
      <c r="R30" s="99">
        <v>0.77</v>
      </c>
      <c r="S30" s="99">
        <v>0.77</v>
      </c>
      <c r="T30" s="99">
        <v>0.77</v>
      </c>
      <c r="U30" s="99">
        <v>0.77</v>
      </c>
      <c r="V30" s="99">
        <v>0.71</v>
      </c>
      <c r="W30" s="99">
        <v>0.71</v>
      </c>
      <c r="X30" s="99">
        <v>0.77</v>
      </c>
      <c r="Y30" s="93"/>
    </row>
    <row r="31" spans="1:25" ht="13.9" customHeight="1">
      <c r="A31" s="367"/>
      <c r="B31" s="367"/>
      <c r="C31" s="368"/>
      <c r="D31" s="370"/>
      <c r="E31" s="367"/>
      <c r="F31" s="329" t="s">
        <v>152</v>
      </c>
      <c r="G31" s="329">
        <v>2013</v>
      </c>
      <c r="H31" s="365" t="s">
        <v>174</v>
      </c>
      <c r="I31" s="100">
        <v>0.77</v>
      </c>
      <c r="J31" s="100">
        <v>0.77</v>
      </c>
      <c r="K31" s="100">
        <v>0.79</v>
      </c>
      <c r="L31" s="100">
        <v>0.79</v>
      </c>
      <c r="M31" s="100">
        <v>0.79</v>
      </c>
      <c r="N31" s="100">
        <v>0.77</v>
      </c>
      <c r="O31" s="100">
        <v>0.77</v>
      </c>
      <c r="P31" s="100">
        <v>0.77</v>
      </c>
      <c r="Q31" s="100">
        <v>0.77</v>
      </c>
      <c r="R31" s="100">
        <v>0.77</v>
      </c>
      <c r="S31" s="100">
        <v>0.77</v>
      </c>
      <c r="T31" s="100">
        <v>0.77</v>
      </c>
      <c r="U31" s="100">
        <v>0.77</v>
      </c>
      <c r="V31" s="100">
        <v>0.71</v>
      </c>
      <c r="W31" s="100">
        <v>0.71</v>
      </c>
      <c r="X31" s="100">
        <v>0.77</v>
      </c>
      <c r="Y31" s="93"/>
    </row>
    <row r="32" spans="1:25" ht="13.9" customHeight="1">
      <c r="A32" s="367"/>
      <c r="B32" s="367"/>
      <c r="C32" s="368"/>
      <c r="D32" s="371"/>
      <c r="E32" s="367"/>
      <c r="F32" s="329" t="s">
        <v>154</v>
      </c>
      <c r="G32" s="83">
        <v>2025</v>
      </c>
      <c r="H32" s="366"/>
      <c r="I32" s="101">
        <v>0.77</v>
      </c>
      <c r="J32" s="101">
        <v>0.77</v>
      </c>
      <c r="K32" s="101">
        <v>0.79</v>
      </c>
      <c r="L32" s="101">
        <v>0.79</v>
      </c>
      <c r="M32" s="101">
        <v>0.79</v>
      </c>
      <c r="N32" s="101">
        <v>0.77</v>
      </c>
      <c r="O32" s="101">
        <v>0.77</v>
      </c>
      <c r="P32" s="101">
        <v>0.77</v>
      </c>
      <c r="Q32" s="101">
        <v>0.77</v>
      </c>
      <c r="R32" s="101">
        <v>0.77</v>
      </c>
      <c r="S32" s="101">
        <v>0.77</v>
      </c>
      <c r="T32" s="101">
        <v>0.77</v>
      </c>
      <c r="U32" s="101">
        <v>0.77</v>
      </c>
      <c r="V32" s="101">
        <v>0.71</v>
      </c>
      <c r="W32" s="101">
        <v>0.71</v>
      </c>
      <c r="X32" s="101">
        <v>0.77</v>
      </c>
      <c r="Y32" s="93"/>
    </row>
    <row r="33" spans="1:50" ht="15" customHeight="1">
      <c r="A33" s="2"/>
      <c r="B33" s="6"/>
      <c r="C33" s="2"/>
      <c r="D33" s="2"/>
      <c r="E33" s="103"/>
      <c r="F33" s="103"/>
      <c r="G33" s="104"/>
      <c r="H33" s="103"/>
      <c r="I33" s="103"/>
      <c r="J33" s="103"/>
      <c r="K33" s="103"/>
      <c r="L33" s="103"/>
      <c r="M33" s="103"/>
      <c r="N33" s="103"/>
      <c r="O33" s="103"/>
      <c r="P33" s="103"/>
      <c r="Q33" s="103"/>
      <c r="R33" s="103"/>
      <c r="S33" s="103"/>
      <c r="T33" s="103"/>
      <c r="U33" s="103"/>
      <c r="V33" s="103"/>
      <c r="W33" s="103"/>
      <c r="X33" s="103"/>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row>
    <row r="34" spans="1:50" ht="25.9" customHeight="1">
      <c r="A34" s="2"/>
      <c r="B34" s="6"/>
      <c r="C34" s="2"/>
      <c r="D34" s="2"/>
      <c r="E34" s="382" t="s">
        <v>175</v>
      </c>
      <c r="F34" s="382"/>
      <c r="G34" s="382"/>
      <c r="H34" s="382"/>
      <c r="I34" s="382"/>
      <c r="J34" s="382"/>
      <c r="K34" s="382"/>
      <c r="L34" s="382"/>
      <c r="M34" s="105"/>
      <c r="N34" s="105"/>
      <c r="O34" s="105"/>
      <c r="P34" s="105"/>
      <c r="Q34" s="105"/>
      <c r="R34" s="105"/>
      <c r="S34" s="105"/>
      <c r="T34" s="105"/>
      <c r="U34" s="105"/>
      <c r="V34" s="105"/>
      <c r="W34" s="105"/>
      <c r="X34" s="105"/>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row>
    <row r="35" spans="1:50" ht="43.15" customHeight="1">
      <c r="A35" s="2"/>
      <c r="B35" s="6"/>
      <c r="C35" s="2"/>
      <c r="D35" s="2"/>
      <c r="E35" s="70"/>
      <c r="F35" s="32" t="s">
        <v>123</v>
      </c>
      <c r="G35" s="72" t="s">
        <v>176</v>
      </c>
      <c r="H35" s="72" t="s">
        <v>125</v>
      </c>
      <c r="I35" s="372" t="s">
        <v>177</v>
      </c>
      <c r="J35" s="373"/>
      <c r="K35" s="373"/>
      <c r="L35" s="373"/>
      <c r="M35" s="373"/>
      <c r="N35" s="373"/>
      <c r="O35" s="373"/>
      <c r="P35" s="373"/>
      <c r="Q35" s="373"/>
      <c r="R35" s="373"/>
      <c r="S35" s="373"/>
      <c r="T35" s="373"/>
      <c r="U35" s="373"/>
      <c r="V35" s="373"/>
      <c r="W35" s="373"/>
      <c r="X35" s="374"/>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row>
    <row r="36" spans="1:50" ht="24.6" customHeight="1">
      <c r="A36" s="2"/>
      <c r="B36" s="6"/>
      <c r="C36" s="2"/>
      <c r="D36" s="2"/>
      <c r="E36" s="383" t="s">
        <v>175</v>
      </c>
      <c r="F36" s="329" t="s">
        <v>146</v>
      </c>
      <c r="G36" s="329">
        <v>1.1000000000000001</v>
      </c>
      <c r="H36" s="73" t="s">
        <v>178</v>
      </c>
      <c r="I36" s="379">
        <f>(G36*0.112)*((2*'Ext Lighting'!$B$21+'Ext Lighting'!$B$20*Prototype!$B$15)/('Ext Lighting'!$B$20*Prototype!$B$15))</f>
        <v>0.60302517258531241</v>
      </c>
      <c r="J36" s="380"/>
      <c r="K36" s="380"/>
      <c r="L36" s="380"/>
      <c r="M36" s="380"/>
      <c r="N36" s="380"/>
      <c r="O36" s="380"/>
      <c r="P36" s="380"/>
      <c r="Q36" s="380"/>
      <c r="R36" s="380"/>
      <c r="S36" s="380"/>
      <c r="T36" s="380"/>
      <c r="U36" s="380"/>
      <c r="V36" s="380"/>
      <c r="W36" s="380"/>
      <c r="X36" s="38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row>
    <row r="37" spans="1:50" ht="24.6" customHeight="1">
      <c r="A37" s="2"/>
      <c r="B37" s="2"/>
      <c r="C37" s="2"/>
      <c r="D37" s="2"/>
      <c r="E37" s="384"/>
      <c r="F37" s="329" t="s">
        <v>148</v>
      </c>
      <c r="G37" s="329">
        <v>1.1000000000000001</v>
      </c>
      <c r="H37" s="73" t="s">
        <v>178</v>
      </c>
      <c r="I37" s="379">
        <f>(G37*0.112)*((2*'Ext Lighting'!$B$21+'Ext Lighting'!$B$20*Prototype!$B$15)/('Ext Lighting'!$B$20*Prototype!$B$15))</f>
        <v>0.60302517258531241</v>
      </c>
      <c r="J37" s="380"/>
      <c r="K37" s="380"/>
      <c r="L37" s="380"/>
      <c r="M37" s="380"/>
      <c r="N37" s="380"/>
      <c r="O37" s="380"/>
      <c r="P37" s="380"/>
      <c r="Q37" s="380"/>
      <c r="R37" s="380"/>
      <c r="S37" s="380"/>
      <c r="T37" s="380"/>
      <c r="U37" s="380"/>
      <c r="V37" s="380"/>
      <c r="W37" s="380"/>
      <c r="X37" s="38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row>
    <row r="38" spans="1:50" ht="24.6" customHeight="1">
      <c r="A38" s="2"/>
      <c r="B38" s="6"/>
      <c r="C38" s="2"/>
      <c r="D38" s="2"/>
      <c r="E38" s="384"/>
      <c r="F38" s="329" t="s">
        <v>150</v>
      </c>
      <c r="G38" s="329">
        <v>1.1000000000000001</v>
      </c>
      <c r="H38" s="73" t="s">
        <v>178</v>
      </c>
      <c r="I38" s="379">
        <f>(G38*0.112)*((2*'Ext Lighting'!$B$21+'Ext Lighting'!$B$20*Prototype!$B$15)/('Ext Lighting'!$B$20*Prototype!$B$15))</f>
        <v>0.60302517258531241</v>
      </c>
      <c r="J38" s="380"/>
      <c r="K38" s="380"/>
      <c r="L38" s="380"/>
      <c r="M38" s="380"/>
      <c r="N38" s="380"/>
      <c r="O38" s="380"/>
      <c r="P38" s="380"/>
      <c r="Q38" s="380"/>
      <c r="R38" s="380"/>
      <c r="S38" s="380"/>
      <c r="T38" s="380"/>
      <c r="U38" s="380"/>
      <c r="V38" s="380"/>
      <c r="W38" s="380"/>
      <c r="X38" s="381"/>
      <c r="Y38" s="62"/>
      <c r="Z38" s="1"/>
      <c r="AA38" s="1"/>
      <c r="AB38" s="375"/>
      <c r="AC38" s="375"/>
      <c r="AD38" s="375"/>
      <c r="AE38" s="375"/>
      <c r="AF38" s="375"/>
      <c r="AG38" s="375"/>
      <c r="AH38" s="375"/>
      <c r="AI38" s="375"/>
      <c r="AJ38" s="375"/>
      <c r="AK38" s="375"/>
      <c r="AL38" s="375"/>
      <c r="AM38" s="375"/>
      <c r="AN38" s="375"/>
      <c r="AO38" s="375"/>
      <c r="AP38" s="375"/>
      <c r="AQ38" s="375"/>
      <c r="AR38" s="375"/>
      <c r="AS38" s="375"/>
      <c r="AT38" s="375"/>
      <c r="AU38" s="375"/>
      <c r="AV38" s="375"/>
      <c r="AW38" s="375"/>
      <c r="AX38" s="375"/>
    </row>
    <row r="39" spans="1:50" ht="39.6">
      <c r="A39" s="2"/>
      <c r="B39" s="6"/>
      <c r="C39" s="2"/>
      <c r="D39" s="2"/>
      <c r="E39" s="384"/>
      <c r="F39" s="329" t="s">
        <v>152</v>
      </c>
      <c r="G39" s="329">
        <v>1</v>
      </c>
      <c r="H39" s="330" t="s">
        <v>179</v>
      </c>
      <c r="I39" s="379">
        <f>(G39*0.112)*((2*'Ext Lighting'!$B$21+'Ext Lighting'!$B$20*Prototype!$B$15)/('Ext Lighting'!$B$20*Prototype!$B$15))</f>
        <v>0.54820470235028396</v>
      </c>
      <c r="J39" s="380"/>
      <c r="K39" s="380"/>
      <c r="L39" s="380"/>
      <c r="M39" s="380"/>
      <c r="N39" s="380"/>
      <c r="O39" s="380"/>
      <c r="P39" s="380"/>
      <c r="Q39" s="380"/>
      <c r="R39" s="380"/>
      <c r="S39" s="380"/>
      <c r="T39" s="380"/>
      <c r="U39" s="380"/>
      <c r="V39" s="380"/>
      <c r="W39" s="380"/>
      <c r="X39" s="38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row>
    <row r="40" spans="1:50" ht="30.6" customHeight="1">
      <c r="A40" s="2"/>
      <c r="B40" s="6"/>
      <c r="C40" s="2"/>
      <c r="D40" s="2"/>
      <c r="E40" s="385"/>
      <c r="F40" s="329" t="s">
        <v>154</v>
      </c>
      <c r="G40" s="329" t="s">
        <v>180</v>
      </c>
      <c r="H40" s="330" t="s">
        <v>181</v>
      </c>
      <c r="I40" s="379">
        <f>(0.6*0.112)*((2*'Ext Lighting'!$B$21+'Ext Lighting'!$B$20*Prototype!$B$15)/('Ext Lighting'!$B$20*Prototype!$B$15))</f>
        <v>0.32892282141017032</v>
      </c>
      <c r="J40" s="380"/>
      <c r="K40" s="380"/>
      <c r="L40" s="380"/>
      <c r="M40" s="380"/>
      <c r="N40" s="380"/>
      <c r="O40" s="380"/>
      <c r="P40" s="380"/>
      <c r="Q40" s="380"/>
      <c r="R40" s="380"/>
      <c r="S40" s="380"/>
      <c r="T40" s="380"/>
      <c r="U40" s="380"/>
      <c r="V40" s="380"/>
      <c r="W40" s="380"/>
      <c r="X40" s="38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row>
    <row r="41" spans="1:50">
      <c r="A41" s="1"/>
      <c r="B41" s="106"/>
      <c r="C41" s="1"/>
      <c r="D41" s="1"/>
      <c r="E41" s="119" t="s">
        <v>182</v>
      </c>
      <c r="F41" s="1"/>
      <c r="G41" s="107"/>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row>
    <row r="42" spans="1:50" ht="14.45">
      <c r="A42" s="1"/>
      <c r="B42" s="106"/>
      <c r="C42" s="1"/>
      <c r="D42" s="1"/>
      <c r="E42" s="203" t="s">
        <v>183</v>
      </c>
      <c r="F42" s="1"/>
      <c r="G42" s="107"/>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row>
    <row r="43" spans="1:50">
      <c r="A43" s="1"/>
      <c r="B43" s="106"/>
      <c r="C43" s="1"/>
      <c r="D43" s="1"/>
      <c r="E43" s="1"/>
      <c r="F43" s="1"/>
      <c r="G43" s="107"/>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row>
    <row r="45" spans="1:50" s="61" customFormat="1" ht="17.45" hidden="1">
      <c r="A45" s="24" t="s">
        <v>41</v>
      </c>
      <c r="B45" s="108"/>
      <c r="C45" s="108"/>
      <c r="D45" s="108"/>
      <c r="E45" s="109"/>
      <c r="F45" s="110"/>
      <c r="G45" s="111"/>
      <c r="H45" s="108"/>
      <c r="I45" s="108"/>
      <c r="J45" s="108"/>
      <c r="K45" s="108"/>
      <c r="L45" s="108"/>
      <c r="M45" s="108"/>
      <c r="N45" s="108"/>
      <c r="O45" s="108"/>
      <c r="P45" s="108"/>
      <c r="Q45" s="108"/>
      <c r="R45" s="108"/>
      <c r="S45" s="108"/>
      <c r="T45" s="108"/>
      <c r="U45" s="108"/>
      <c r="V45" s="108"/>
      <c r="W45" s="108"/>
      <c r="X45" s="108"/>
      <c r="Y45" s="108"/>
      <c r="Z45" s="108"/>
      <c r="AA45" s="108"/>
      <c r="AB45" s="108"/>
      <c r="AC45" s="108"/>
      <c r="AD45" s="108"/>
      <c r="AE45" s="108"/>
      <c r="AF45" s="108"/>
      <c r="AG45" s="108"/>
      <c r="AH45" s="108"/>
      <c r="AI45" s="108"/>
      <c r="AJ45" s="108"/>
      <c r="AK45" s="108"/>
      <c r="AL45" s="108"/>
      <c r="AM45" s="108"/>
      <c r="AN45" s="108"/>
      <c r="AO45" s="108"/>
      <c r="AP45" s="108"/>
      <c r="AQ45" s="108"/>
      <c r="AR45" s="108"/>
      <c r="AS45" s="108"/>
      <c r="AT45" s="108"/>
      <c r="AU45" s="108"/>
      <c r="AV45" s="108"/>
      <c r="AW45" s="108"/>
      <c r="AX45" s="108"/>
    </row>
    <row r="46" spans="1:50" hidden="1">
      <c r="A46" s="1"/>
      <c r="B46" s="106"/>
      <c r="C46" s="1"/>
      <c r="D46" s="1"/>
      <c r="E46" s="1"/>
      <c r="F46" s="1"/>
      <c r="G46" s="107"/>
      <c r="H46" s="107"/>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row>
    <row r="47" spans="1:50" hidden="1">
      <c r="A47" s="1"/>
      <c r="B47" s="106"/>
      <c r="C47" s="1"/>
      <c r="D47" s="1"/>
      <c r="E47" s="1"/>
      <c r="F47" s="1"/>
      <c r="G47" s="107"/>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row>
    <row r="48" spans="1:50" ht="27.6" hidden="1" customHeight="1">
      <c r="A48" s="364" t="s">
        <v>184</v>
      </c>
      <c r="B48" s="364"/>
      <c r="C48" s="364"/>
      <c r="D48" s="1"/>
      <c r="E48" s="1"/>
      <c r="F48" s="107"/>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row>
    <row r="49" spans="1:7" ht="33" hidden="1" customHeight="1">
      <c r="A49" s="142" t="s">
        <v>185</v>
      </c>
      <c r="B49" s="140" t="s">
        <v>186</v>
      </c>
      <c r="C49" s="141" t="s">
        <v>187</v>
      </c>
      <c r="D49" s="1"/>
      <c r="E49" s="1"/>
      <c r="F49" s="107"/>
      <c r="G49" s="1"/>
    </row>
    <row r="50" spans="1:7" hidden="1">
      <c r="A50" s="137" t="s">
        <v>188</v>
      </c>
      <c r="B50" s="138">
        <v>150093118.84930971</v>
      </c>
      <c r="C50" s="139">
        <v>0.30478551720547664</v>
      </c>
      <c r="D50" s="1"/>
      <c r="E50" s="1"/>
      <c r="F50" s="107"/>
      <c r="G50" s="1"/>
    </row>
    <row r="51" spans="1:7" hidden="1">
      <c r="A51" s="137" t="s">
        <v>189</v>
      </c>
      <c r="B51" s="138">
        <v>200520458.73471507</v>
      </c>
      <c r="C51" s="139">
        <v>0.40718543391118722</v>
      </c>
      <c r="D51" s="1"/>
      <c r="E51" s="1"/>
      <c r="F51" s="107"/>
      <c r="G51" s="1"/>
    </row>
    <row r="52" spans="1:7" hidden="1">
      <c r="A52" s="137" t="s">
        <v>190</v>
      </c>
      <c r="B52" s="138">
        <v>141841314.05743647</v>
      </c>
      <c r="C52" s="139">
        <v>0.28802904888333619</v>
      </c>
      <c r="D52" s="1"/>
      <c r="E52" s="1"/>
      <c r="F52" s="107"/>
      <c r="G52" s="1"/>
    </row>
    <row r="53" spans="1:7" hidden="1">
      <c r="A53" s="137" t="s">
        <v>191</v>
      </c>
      <c r="B53" s="138">
        <v>492454891.64146125</v>
      </c>
      <c r="C53" s="139">
        <v>1</v>
      </c>
      <c r="D53" s="1"/>
      <c r="E53" s="1"/>
      <c r="F53" s="107"/>
      <c r="G53" s="1"/>
    </row>
    <row r="54" spans="1:7">
      <c r="A54" s="106"/>
      <c r="B54" s="1"/>
      <c r="C54" s="1"/>
      <c r="D54" s="1"/>
      <c r="E54" s="1"/>
      <c r="F54" s="107"/>
      <c r="G54" s="1"/>
    </row>
  </sheetData>
  <mergeCells count="53">
    <mergeCell ref="I40:X40"/>
    <mergeCell ref="D20:D22"/>
    <mergeCell ref="A8:A12"/>
    <mergeCell ref="C13:C17"/>
    <mergeCell ref="B8:B12"/>
    <mergeCell ref="E34:L34"/>
    <mergeCell ref="E36:E40"/>
    <mergeCell ref="I37:X37"/>
    <mergeCell ref="I38:X38"/>
    <mergeCell ref="I39:X39"/>
    <mergeCell ref="I36:X36"/>
    <mergeCell ref="E8:E12"/>
    <mergeCell ref="E13:E17"/>
    <mergeCell ref="D8:D12"/>
    <mergeCell ref="D15:D17"/>
    <mergeCell ref="D13:D14"/>
    <mergeCell ref="A1:X1"/>
    <mergeCell ref="C18:C22"/>
    <mergeCell ref="E18:E22"/>
    <mergeCell ref="A13:A22"/>
    <mergeCell ref="B18:B22"/>
    <mergeCell ref="B13:B17"/>
    <mergeCell ref="E3:E7"/>
    <mergeCell ref="B3:B7"/>
    <mergeCell ref="A3:A7"/>
    <mergeCell ref="C8:C12"/>
    <mergeCell ref="H8:H9"/>
    <mergeCell ref="D18:D19"/>
    <mergeCell ref="D3:D7"/>
    <mergeCell ref="C3:C7"/>
    <mergeCell ref="H13:H14"/>
    <mergeCell ref="H18:H19"/>
    <mergeCell ref="I35:X35"/>
    <mergeCell ref="AQ38:AT38"/>
    <mergeCell ref="AU38:AX38"/>
    <mergeCell ref="AG38:AK38"/>
    <mergeCell ref="AB38:AF38"/>
    <mergeCell ref="AL38:AP38"/>
    <mergeCell ref="A48:C48"/>
    <mergeCell ref="H31:H32"/>
    <mergeCell ref="H23:H24"/>
    <mergeCell ref="H28:H29"/>
    <mergeCell ref="A23:A32"/>
    <mergeCell ref="B23:B27"/>
    <mergeCell ref="C23:C27"/>
    <mergeCell ref="D23:D24"/>
    <mergeCell ref="E23:E27"/>
    <mergeCell ref="D25:D27"/>
    <mergeCell ref="B28:B32"/>
    <mergeCell ref="C28:C32"/>
    <mergeCell ref="D28:D29"/>
    <mergeCell ref="E28:E32"/>
    <mergeCell ref="D30:D32"/>
  </mergeCells>
  <phoneticPr fontId="5" type="noConversion"/>
  <hyperlinks>
    <hyperlink ref="H36" r:id="rId1" xr:uid="{9153F47E-FCBB-42B5-A7E2-9AE58445F5C5}"/>
    <hyperlink ref="H37:H38" r:id="rId2" display="2022 CASE report (Table 38)" xr:uid="{AB6FEC5D-A312-48E5-9443-3858096808B6}"/>
    <hyperlink ref="E42" r:id="rId3" display="https://2050partners.sharepoint.com/:w:/r/sites/CalBEMCollaborativeEfforts/_layouts/15/Doc.aspx?sourcedoc=%7B3BEF8F74-7FAC-44F2-A70C-D76617660066%7D&amp;file=Infiltration_rate_report_14May2025-Short-Version.docx&amp;action=default&amp;mobileredirect=true&amp;wdLOR=c37D90580-1DC7-4CAF-9995-F2723497E773" xr:uid="{5E37F7AB-A615-400D-870E-870102B311F9}"/>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AL42"/>
  <sheetViews>
    <sheetView zoomScaleNormal="100" workbookViewId="0">
      <selection sqref="A1:E1"/>
    </sheetView>
  </sheetViews>
  <sheetFormatPr defaultColWidth="8.7109375" defaultRowHeight="13.15"/>
  <cols>
    <col min="1" max="1" width="26" style="2" customWidth="1"/>
    <col min="2" max="2" width="30.42578125" style="2" customWidth="1"/>
    <col min="3" max="3" width="36" style="2" customWidth="1"/>
    <col min="4" max="4" width="35.28515625" style="2" customWidth="1"/>
    <col min="5" max="5" width="37" style="2" customWidth="1"/>
    <col min="6" max="6" width="28.7109375" style="2" customWidth="1"/>
    <col min="7" max="7" width="25.85546875" style="2" customWidth="1"/>
    <col min="8" max="8" width="19.42578125" style="2" customWidth="1"/>
    <col min="9" max="11" width="12.7109375" style="2" customWidth="1"/>
    <col min="12" max="19" width="15.28515625" style="2" customWidth="1"/>
    <col min="20" max="20" width="14.7109375" style="2" customWidth="1"/>
    <col min="21" max="21" width="13.5703125" style="2" customWidth="1"/>
    <col min="22" max="22" width="15.7109375" style="2" customWidth="1"/>
    <col min="23" max="29" width="11" style="2" customWidth="1"/>
    <col min="30" max="38" width="6.5703125" style="2" customWidth="1"/>
    <col min="39" max="39" width="8.7109375" style="2" customWidth="1"/>
    <col min="40" max="16384" width="8.7109375" style="2"/>
  </cols>
  <sheetData>
    <row r="1" spans="1:9" ht="27" customHeight="1">
      <c r="A1" s="387" t="str">
        <f>"HVAC system - "&amp;Prototype!A2</f>
        <v>HVAC system - RetailMedium</v>
      </c>
      <c r="B1" s="387"/>
      <c r="C1" s="387"/>
      <c r="D1" s="387"/>
      <c r="E1" s="387"/>
    </row>
    <row r="2" spans="1:9" ht="19.149999999999999" customHeight="1">
      <c r="A2" s="344" t="s">
        <v>123</v>
      </c>
      <c r="B2" s="344" t="s">
        <v>192</v>
      </c>
      <c r="C2" s="344" t="s">
        <v>193</v>
      </c>
      <c r="D2" s="344" t="s">
        <v>194</v>
      </c>
      <c r="E2" s="344" t="s">
        <v>195</v>
      </c>
    </row>
    <row r="3" spans="1:9" ht="27.6" customHeight="1">
      <c r="A3" s="336" t="s">
        <v>196</v>
      </c>
      <c r="B3" s="336" t="s">
        <v>197</v>
      </c>
      <c r="C3" s="336" t="s">
        <v>198</v>
      </c>
      <c r="D3" s="336" t="s">
        <v>199</v>
      </c>
      <c r="E3" s="337" t="s">
        <v>3</v>
      </c>
      <c r="F3" s="327"/>
      <c r="G3" s="327"/>
      <c r="H3" s="327"/>
      <c r="I3" s="327"/>
    </row>
    <row r="4" spans="1:9" ht="19.899999999999999" customHeight="1">
      <c r="A4" s="336" t="s">
        <v>200</v>
      </c>
      <c r="B4" s="336" t="s">
        <v>201</v>
      </c>
      <c r="C4" s="336" t="s">
        <v>201</v>
      </c>
      <c r="D4" s="337" t="s">
        <v>202</v>
      </c>
      <c r="E4" s="336" t="s">
        <v>203</v>
      </c>
      <c r="F4" s="158"/>
      <c r="G4" s="158"/>
      <c r="H4" s="158"/>
      <c r="I4" s="158"/>
    </row>
    <row r="5" spans="1:9" ht="15.6" customHeight="1">
      <c r="A5" s="348"/>
      <c r="B5" s="348"/>
      <c r="C5" s="348"/>
      <c r="D5" s="327"/>
      <c r="E5" s="348"/>
    </row>
    <row r="6" spans="1:9">
      <c r="A6" s="327"/>
      <c r="B6" s="348"/>
      <c r="C6" s="348"/>
      <c r="D6" s="327"/>
      <c r="E6" s="348"/>
    </row>
    <row r="7" spans="1:9">
      <c r="A7" s="348"/>
      <c r="B7" s="348"/>
      <c r="C7" s="348"/>
      <c r="D7" s="348"/>
      <c r="E7" s="348"/>
    </row>
    <row r="8" spans="1:9" ht="41.45" customHeight="1">
      <c r="A8" s="387" t="s">
        <v>204</v>
      </c>
      <c r="B8" s="387"/>
      <c r="C8" s="387"/>
      <c r="D8" s="387"/>
      <c r="E8" s="376"/>
    </row>
    <row r="9" spans="1:9" ht="16.149999999999999" customHeight="1">
      <c r="A9" s="32" t="s">
        <v>123</v>
      </c>
      <c r="B9" s="70" t="s">
        <v>205</v>
      </c>
      <c r="C9" s="31" t="s">
        <v>192</v>
      </c>
      <c r="D9" s="31" t="s">
        <v>193</v>
      </c>
      <c r="E9" s="344" t="s">
        <v>195</v>
      </c>
    </row>
    <row r="10" spans="1:9" ht="19.149999999999999" customHeight="1">
      <c r="A10" s="329" t="s">
        <v>146</v>
      </c>
      <c r="B10" s="365">
        <v>2008</v>
      </c>
      <c r="C10" s="391" t="s">
        <v>206</v>
      </c>
      <c r="D10" s="365" t="s">
        <v>207</v>
      </c>
      <c r="E10" s="388" t="s">
        <v>208</v>
      </c>
    </row>
    <row r="11" spans="1:9" ht="19.149999999999999" customHeight="1">
      <c r="A11" s="329" t="s">
        <v>148</v>
      </c>
      <c r="B11" s="377"/>
      <c r="C11" s="392"/>
      <c r="D11" s="377"/>
      <c r="E11" s="389"/>
    </row>
    <row r="12" spans="1:9" ht="19.149999999999999" customHeight="1">
      <c r="A12" s="329" t="s">
        <v>150</v>
      </c>
      <c r="B12" s="366"/>
      <c r="C12" s="393"/>
      <c r="D12" s="366"/>
      <c r="E12" s="390"/>
    </row>
    <row r="13" spans="1:9" ht="60.6" customHeight="1">
      <c r="A13" s="329" t="s">
        <v>152</v>
      </c>
      <c r="B13" s="329">
        <v>2013</v>
      </c>
      <c r="C13" s="172" t="s">
        <v>206</v>
      </c>
      <c r="D13" s="173" t="s">
        <v>209</v>
      </c>
      <c r="E13" s="174" t="s">
        <v>210</v>
      </c>
    </row>
    <row r="14" spans="1:9" ht="59.45" customHeight="1">
      <c r="A14" s="335" t="s">
        <v>200</v>
      </c>
      <c r="B14" s="329">
        <v>2025</v>
      </c>
      <c r="C14" s="330" t="s">
        <v>211</v>
      </c>
      <c r="D14" s="330" t="s">
        <v>211</v>
      </c>
      <c r="E14" s="330" t="s">
        <v>212</v>
      </c>
    </row>
    <row r="15" spans="1:9">
      <c r="B15" s="328"/>
      <c r="C15" s="328"/>
      <c r="D15" s="33"/>
      <c r="E15" s="328"/>
    </row>
    <row r="16" spans="1:9">
      <c r="B16" s="328"/>
      <c r="C16" s="328"/>
      <c r="D16" s="33"/>
      <c r="E16" s="328"/>
    </row>
    <row r="17" spans="1:8">
      <c r="A17" s="34"/>
      <c r="B17" s="328"/>
      <c r="C17" s="328"/>
      <c r="D17" s="33"/>
      <c r="E17" s="328"/>
    </row>
    <row r="18" spans="1:8" ht="15.6">
      <c r="A18" s="386" t="s">
        <v>213</v>
      </c>
      <c r="B18" s="386"/>
      <c r="C18" s="386"/>
      <c r="D18" s="386"/>
      <c r="E18" s="386"/>
      <c r="F18" s="386"/>
      <c r="G18" s="386"/>
      <c r="H18" s="386"/>
    </row>
    <row r="19" spans="1:8" ht="39.6">
      <c r="A19" s="341" t="s">
        <v>123</v>
      </c>
      <c r="B19" s="341" t="s">
        <v>214</v>
      </c>
      <c r="C19" s="341" t="s">
        <v>215</v>
      </c>
      <c r="D19" s="143" t="s">
        <v>216</v>
      </c>
      <c r="E19" s="143" t="s">
        <v>217</v>
      </c>
      <c r="F19" s="144" t="s">
        <v>218</v>
      </c>
      <c r="G19" s="144" t="s">
        <v>219</v>
      </c>
      <c r="H19" s="145" t="s">
        <v>220</v>
      </c>
    </row>
    <row r="20" spans="1:8" ht="52.9">
      <c r="A20" s="147" t="s">
        <v>221</v>
      </c>
      <c r="B20" s="148" t="s">
        <v>222</v>
      </c>
      <c r="C20" s="146" t="s">
        <v>223</v>
      </c>
      <c r="D20" s="336">
        <v>4.09</v>
      </c>
      <c r="E20" s="336">
        <v>0.65</v>
      </c>
      <c r="F20" s="148" t="s">
        <v>224</v>
      </c>
      <c r="G20" s="159"/>
      <c r="H20" s="148" t="s">
        <v>225</v>
      </c>
    </row>
    <row r="21" spans="1:8">
      <c r="A21" s="149" t="s">
        <v>226</v>
      </c>
      <c r="B21" s="150"/>
      <c r="C21" s="151"/>
      <c r="D21" s="151"/>
      <c r="E21" s="152"/>
      <c r="F21" s="151"/>
      <c r="G21" s="151"/>
      <c r="H21" s="153"/>
    </row>
    <row r="22" spans="1:8">
      <c r="A22" s="154" t="s">
        <v>227</v>
      </c>
      <c r="B22" s="103"/>
      <c r="C22" s="103"/>
      <c r="D22" s="155"/>
      <c r="E22" s="103"/>
      <c r="F22" s="156"/>
      <c r="G22" s="156"/>
      <c r="H22" s="157"/>
    </row>
    <row r="23" spans="1:8" ht="16.899999999999999" customHeight="1">
      <c r="A23" s="336" t="s">
        <v>200</v>
      </c>
      <c r="B23" s="336" t="s">
        <v>228</v>
      </c>
      <c r="C23" s="336" t="s">
        <v>229</v>
      </c>
      <c r="D23" s="161">
        <f>G23*E23*F23/746*6356</f>
        <v>3.369361608579089</v>
      </c>
      <c r="E23" s="337">
        <v>0.65</v>
      </c>
      <c r="F23" s="337">
        <v>0.9</v>
      </c>
      <c r="G23" s="160">
        <v>0.67600000000000005</v>
      </c>
      <c r="H23" s="336" t="s">
        <v>228</v>
      </c>
    </row>
    <row r="24" spans="1:8">
      <c r="F24" s="328" t="s">
        <v>230</v>
      </c>
    </row>
    <row r="25" spans="1:8">
      <c r="A25" s="2" t="s">
        <v>231</v>
      </c>
    </row>
    <row r="26" spans="1:8">
      <c r="A26" s="328" t="s">
        <v>232</v>
      </c>
    </row>
    <row r="27" spans="1:8">
      <c r="A27" s="328" t="s">
        <v>233</v>
      </c>
    </row>
    <row r="28" spans="1:8">
      <c r="E28" s="6"/>
    </row>
    <row r="33" spans="1:38" hidden="1"/>
    <row r="34" spans="1:38" s="24" customFormat="1" hidden="1">
      <c r="A34" s="24" t="s">
        <v>41</v>
      </c>
    </row>
    <row r="35" spans="1:38" hidden="1">
      <c r="U35" s="191"/>
      <c r="V35" s="201"/>
      <c r="W35" s="52"/>
      <c r="X35" s="52"/>
      <c r="Y35" s="52"/>
      <c r="Z35" s="52"/>
      <c r="AA35" s="52"/>
      <c r="AB35" s="52"/>
      <c r="AC35" s="52"/>
      <c r="AD35" s="52"/>
      <c r="AE35" s="52"/>
      <c r="AF35" s="52"/>
      <c r="AG35" s="52"/>
      <c r="AH35" s="52"/>
      <c r="AI35" s="52"/>
      <c r="AJ35" s="52"/>
      <c r="AK35" s="52"/>
      <c r="AL35" s="52"/>
    </row>
    <row r="36" spans="1:38" hidden="1">
      <c r="U36" s="202"/>
      <c r="W36" s="191"/>
      <c r="X36" s="191"/>
      <c r="Y36" s="191"/>
      <c r="Z36" s="191"/>
      <c r="AA36" s="191"/>
      <c r="AB36" s="191"/>
      <c r="AC36" s="191"/>
      <c r="AD36" s="191"/>
      <c r="AE36" s="191"/>
      <c r="AF36" s="191"/>
      <c r="AG36" s="191"/>
      <c r="AH36" s="191"/>
      <c r="AI36" s="191"/>
      <c r="AJ36" s="191"/>
      <c r="AK36" s="191"/>
      <c r="AL36" s="191"/>
    </row>
    <row r="37" spans="1:38" hidden="1">
      <c r="U37" s="191"/>
    </row>
    <row r="38" spans="1:38" ht="13.9" hidden="1">
      <c r="A38" s="396" t="s">
        <v>234</v>
      </c>
      <c r="B38" s="399" t="s">
        <v>192</v>
      </c>
      <c r="C38" s="399"/>
      <c r="D38" s="399"/>
      <c r="E38" s="400" t="s">
        <v>193</v>
      </c>
      <c r="F38" s="401"/>
      <c r="G38" s="189" t="s">
        <v>194</v>
      </c>
      <c r="H38" s="190" t="s">
        <v>235</v>
      </c>
      <c r="S38" s="191"/>
      <c r="T38" s="192"/>
    </row>
    <row r="39" spans="1:38" ht="14.45" hidden="1" customHeight="1">
      <c r="A39" s="397"/>
      <c r="B39" s="402" t="s">
        <v>236</v>
      </c>
      <c r="C39" s="332" t="s">
        <v>237</v>
      </c>
      <c r="D39" s="402" t="s">
        <v>238</v>
      </c>
      <c r="E39" s="404" t="s">
        <v>239</v>
      </c>
      <c r="F39" s="333" t="s">
        <v>240</v>
      </c>
      <c r="G39" s="193" t="s">
        <v>241</v>
      </c>
      <c r="H39" s="394" t="s">
        <v>238</v>
      </c>
      <c r="S39" s="191"/>
      <c r="T39" s="192"/>
    </row>
    <row r="40" spans="1:38" ht="46.9" hidden="1" customHeight="1">
      <c r="A40" s="398"/>
      <c r="B40" s="403"/>
      <c r="C40" s="194" t="s">
        <v>242</v>
      </c>
      <c r="D40" s="403"/>
      <c r="E40" s="405"/>
      <c r="F40" s="195" t="s">
        <v>242</v>
      </c>
      <c r="G40" s="196" t="s">
        <v>243</v>
      </c>
      <c r="H40" s="395"/>
      <c r="S40" s="191"/>
      <c r="T40" s="192"/>
    </row>
    <row r="41" spans="1:38" ht="29.45" hidden="1" customHeight="1">
      <c r="A41" s="197" t="s">
        <v>101</v>
      </c>
      <c r="B41" s="198">
        <v>0.79</v>
      </c>
      <c r="C41" s="199" t="s">
        <v>244</v>
      </c>
      <c r="D41" s="200" t="s">
        <v>245</v>
      </c>
      <c r="E41" s="200">
        <v>0.8</v>
      </c>
      <c r="F41" s="199" t="s">
        <v>244</v>
      </c>
      <c r="G41" s="199" t="s">
        <v>246</v>
      </c>
      <c r="H41" s="200" t="s">
        <v>247</v>
      </c>
      <c r="S41" s="191"/>
      <c r="T41" s="192"/>
    </row>
    <row r="42" spans="1:38">
      <c r="U42" s="191"/>
      <c r="V42" s="192"/>
    </row>
  </sheetData>
  <mergeCells count="14">
    <mergeCell ref="H39:H40"/>
    <mergeCell ref="A38:A40"/>
    <mergeCell ref="B38:D38"/>
    <mergeCell ref="E38:F38"/>
    <mergeCell ref="B39:B40"/>
    <mergeCell ref="D39:D40"/>
    <mergeCell ref="E39:E40"/>
    <mergeCell ref="A18:H18"/>
    <mergeCell ref="A1:E1"/>
    <mergeCell ref="A8:E8"/>
    <mergeCell ref="E10:E12"/>
    <mergeCell ref="C10:C12"/>
    <mergeCell ref="D10:D12"/>
    <mergeCell ref="B10:B12"/>
  </mergeCells>
  <phoneticPr fontId="5"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CF2B8-D81A-4739-B3FD-7DE124AB8529}">
  <dimension ref="A1:R6"/>
  <sheetViews>
    <sheetView workbookViewId="0"/>
  </sheetViews>
  <sheetFormatPr defaultRowHeight="14.45"/>
  <cols>
    <col min="1" max="1" width="26.140625" customWidth="1"/>
    <col min="18" max="18" width="22.5703125" customWidth="1"/>
  </cols>
  <sheetData>
    <row r="1" spans="1:18" ht="24" customHeight="1">
      <c r="A1" s="376" t="str">
        <f>"Thermostat Setpoints - "&amp;Prototype!A2</f>
        <v>Thermostat Setpoints - RetailMedium</v>
      </c>
      <c r="B1" s="376"/>
      <c r="C1" s="376"/>
      <c r="D1" s="376"/>
      <c r="E1" s="376"/>
      <c r="F1" s="376"/>
      <c r="G1" s="376"/>
      <c r="H1" s="376"/>
      <c r="I1" s="376"/>
      <c r="J1" s="376"/>
      <c r="K1" s="376"/>
      <c r="L1" s="376"/>
      <c r="M1" s="376"/>
      <c r="N1" s="376"/>
      <c r="O1" s="376"/>
      <c r="P1" s="376"/>
      <c r="Q1" s="376"/>
      <c r="R1" s="376"/>
    </row>
    <row r="2" spans="1:18" ht="22.15" customHeight="1">
      <c r="A2" s="74" t="s">
        <v>248</v>
      </c>
      <c r="B2" s="75" t="s">
        <v>126</v>
      </c>
      <c r="C2" s="75" t="s">
        <v>127</v>
      </c>
      <c r="D2" s="75" t="s">
        <v>128</v>
      </c>
      <c r="E2" s="75" t="s">
        <v>129</v>
      </c>
      <c r="F2" s="75" t="s">
        <v>130</v>
      </c>
      <c r="G2" s="75" t="s">
        <v>131</v>
      </c>
      <c r="H2" s="75" t="s">
        <v>132</v>
      </c>
      <c r="I2" s="75" t="s">
        <v>133</v>
      </c>
      <c r="J2" s="75" t="s">
        <v>134</v>
      </c>
      <c r="K2" s="75" t="s">
        <v>135</v>
      </c>
      <c r="L2" s="75" t="s">
        <v>136</v>
      </c>
      <c r="M2" s="75" t="s">
        <v>137</v>
      </c>
      <c r="N2" s="75" t="s">
        <v>138</v>
      </c>
      <c r="O2" s="75" t="s">
        <v>139</v>
      </c>
      <c r="P2" s="75" t="s">
        <v>140</v>
      </c>
      <c r="Q2" s="75" t="s">
        <v>141</v>
      </c>
      <c r="R2" s="75" t="s">
        <v>195</v>
      </c>
    </row>
    <row r="3" spans="1:18" ht="21" customHeight="1">
      <c r="A3" s="337" t="s">
        <v>249</v>
      </c>
      <c r="B3" s="337">
        <v>70</v>
      </c>
      <c r="C3" s="337">
        <v>70</v>
      </c>
      <c r="D3" s="337">
        <v>70</v>
      </c>
      <c r="E3" s="337">
        <v>70</v>
      </c>
      <c r="F3" s="337">
        <v>70</v>
      </c>
      <c r="G3" s="337">
        <v>70</v>
      </c>
      <c r="H3" s="337">
        <v>70</v>
      </c>
      <c r="I3" s="337">
        <v>70</v>
      </c>
      <c r="J3" s="337">
        <v>70</v>
      </c>
      <c r="K3" s="337">
        <v>70</v>
      </c>
      <c r="L3" s="337">
        <v>70</v>
      </c>
      <c r="M3" s="337">
        <v>70</v>
      </c>
      <c r="N3" s="337">
        <v>70</v>
      </c>
      <c r="O3" s="337">
        <v>70</v>
      </c>
      <c r="P3" s="337">
        <v>70</v>
      </c>
      <c r="Q3" s="337">
        <v>70</v>
      </c>
      <c r="R3" s="406" t="s">
        <v>250</v>
      </c>
    </row>
    <row r="4" spans="1:18" ht="21" customHeight="1">
      <c r="A4" s="337" t="s">
        <v>251</v>
      </c>
      <c r="B4" s="337">
        <v>60</v>
      </c>
      <c r="C4" s="337">
        <v>60</v>
      </c>
      <c r="D4" s="337">
        <v>60</v>
      </c>
      <c r="E4" s="337">
        <v>60</v>
      </c>
      <c r="F4" s="337">
        <v>60</v>
      </c>
      <c r="G4" s="337">
        <v>60</v>
      </c>
      <c r="H4" s="337">
        <v>60</v>
      </c>
      <c r="I4" s="337">
        <v>60</v>
      </c>
      <c r="J4" s="337">
        <v>60</v>
      </c>
      <c r="K4" s="337">
        <v>60</v>
      </c>
      <c r="L4" s="337">
        <v>60</v>
      </c>
      <c r="M4" s="337">
        <v>60</v>
      </c>
      <c r="N4" s="337">
        <v>60</v>
      </c>
      <c r="O4" s="337">
        <v>60</v>
      </c>
      <c r="P4" s="337">
        <v>60</v>
      </c>
      <c r="Q4" s="337">
        <v>60</v>
      </c>
      <c r="R4" s="407"/>
    </row>
    <row r="5" spans="1:18" ht="21" customHeight="1">
      <c r="A5" s="337" t="s">
        <v>252</v>
      </c>
      <c r="B5" s="337">
        <v>75</v>
      </c>
      <c r="C5" s="337">
        <v>75</v>
      </c>
      <c r="D5" s="337">
        <v>75</v>
      </c>
      <c r="E5" s="337">
        <v>75</v>
      </c>
      <c r="F5" s="337">
        <v>75</v>
      </c>
      <c r="G5" s="337">
        <v>75</v>
      </c>
      <c r="H5" s="337">
        <v>75</v>
      </c>
      <c r="I5" s="337">
        <v>75</v>
      </c>
      <c r="J5" s="337">
        <v>75</v>
      </c>
      <c r="K5" s="337">
        <v>75</v>
      </c>
      <c r="L5" s="337">
        <v>75</v>
      </c>
      <c r="M5" s="337">
        <v>75</v>
      </c>
      <c r="N5" s="337">
        <v>75</v>
      </c>
      <c r="O5" s="337">
        <v>75</v>
      </c>
      <c r="P5" s="337">
        <v>75</v>
      </c>
      <c r="Q5" s="337">
        <v>75</v>
      </c>
      <c r="R5" s="407"/>
    </row>
    <row r="6" spans="1:18" ht="21" customHeight="1">
      <c r="A6" s="337" t="s">
        <v>253</v>
      </c>
      <c r="B6" s="337">
        <v>85</v>
      </c>
      <c r="C6" s="337">
        <v>85</v>
      </c>
      <c r="D6" s="337">
        <v>85</v>
      </c>
      <c r="E6" s="337">
        <v>85</v>
      </c>
      <c r="F6" s="337">
        <v>85</v>
      </c>
      <c r="G6" s="337">
        <v>85</v>
      </c>
      <c r="H6" s="337">
        <v>85</v>
      </c>
      <c r="I6" s="337">
        <v>85</v>
      </c>
      <c r="J6" s="337">
        <v>85</v>
      </c>
      <c r="K6" s="337">
        <v>85</v>
      </c>
      <c r="L6" s="337">
        <v>85</v>
      </c>
      <c r="M6" s="337">
        <v>85</v>
      </c>
      <c r="N6" s="337">
        <v>85</v>
      </c>
      <c r="O6" s="337">
        <v>85</v>
      </c>
      <c r="P6" s="337">
        <v>85</v>
      </c>
      <c r="Q6" s="337">
        <v>85</v>
      </c>
      <c r="R6" s="408"/>
    </row>
  </sheetData>
  <mergeCells count="2">
    <mergeCell ref="R3:R6"/>
    <mergeCell ref="A1:R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L15"/>
  <sheetViews>
    <sheetView zoomScaleNormal="100" workbookViewId="0"/>
  </sheetViews>
  <sheetFormatPr defaultColWidth="9.28515625" defaultRowHeight="13.9"/>
  <cols>
    <col min="1" max="1" width="21.7109375" style="59" customWidth="1"/>
    <col min="2" max="2" width="25.140625" style="59" bestFit="1" customWidth="1"/>
    <col min="3" max="4" width="23.42578125" style="59" customWidth="1"/>
    <col min="5" max="6" width="24" style="59" customWidth="1"/>
    <col min="7" max="9" width="21.85546875" style="59" customWidth="1"/>
    <col min="10" max="10" width="15.5703125" style="59" customWidth="1"/>
    <col min="11" max="11" width="30.42578125" style="59" customWidth="1"/>
    <col min="12" max="12" width="13.7109375" style="59" customWidth="1"/>
    <col min="13" max="13" width="12.28515625" style="59" customWidth="1"/>
    <col min="14" max="14" width="13.7109375" style="59" customWidth="1"/>
    <col min="15" max="15" width="11.7109375" style="59" customWidth="1"/>
    <col min="16" max="16" width="13.7109375" style="59" customWidth="1"/>
    <col min="17" max="17" width="12.28515625" style="59" customWidth="1"/>
    <col min="18" max="18" width="13.7109375" style="59" customWidth="1"/>
    <col min="19" max="19" width="12.28515625" style="59" customWidth="1"/>
    <col min="20" max="20" width="13.7109375" style="59" customWidth="1"/>
    <col min="21" max="21" width="11.7109375" style="59" customWidth="1"/>
    <col min="22" max="23" width="10.7109375" style="59" customWidth="1"/>
    <col min="24" max="24" width="9.28515625" style="59"/>
    <col min="25" max="29" width="11.28515625" style="59" customWidth="1"/>
    <col min="30" max="16384" width="9.28515625" style="59"/>
  </cols>
  <sheetData>
    <row r="1" spans="1:12" ht="24.6" customHeight="1">
      <c r="A1" s="376" t="str">
        <f>"Outdoor Airflow Rate - "&amp;Prototype!A2</f>
        <v>Outdoor Airflow Rate - RetailMedium</v>
      </c>
      <c r="B1" s="376"/>
      <c r="C1" s="376"/>
      <c r="D1" s="376"/>
      <c r="E1" s="376"/>
      <c r="F1" s="376"/>
      <c r="G1" s="376"/>
      <c r="H1" s="376"/>
      <c r="I1" s="376"/>
      <c r="J1" s="376"/>
      <c r="K1" s="376"/>
      <c r="L1" s="93"/>
    </row>
    <row r="2" spans="1:12" ht="52.9">
      <c r="A2" s="340" t="s">
        <v>89</v>
      </c>
      <c r="B2" s="205" t="s">
        <v>96</v>
      </c>
      <c r="C2" s="205" t="s">
        <v>254</v>
      </c>
      <c r="D2" s="342" t="s">
        <v>255</v>
      </c>
      <c r="E2" s="342" t="s">
        <v>256</v>
      </c>
      <c r="F2" s="342" t="s">
        <v>257</v>
      </c>
      <c r="G2" s="342" t="s">
        <v>258</v>
      </c>
      <c r="H2" s="342" t="s">
        <v>259</v>
      </c>
      <c r="I2" s="342" t="s">
        <v>260</v>
      </c>
      <c r="J2" s="340" t="s">
        <v>261</v>
      </c>
      <c r="K2" s="340" t="s">
        <v>39</v>
      </c>
      <c r="L2" s="204"/>
    </row>
    <row r="3" spans="1:12" s="2" customFormat="1" ht="20.65" customHeight="1">
      <c r="A3" s="206" t="str">
        <f>Zones!B3</f>
        <v>Back_Space</v>
      </c>
      <c r="B3" s="40">
        <f>Zones!I3</f>
        <v>4.0891017698999992</v>
      </c>
      <c r="C3" s="40">
        <f>Zones!F3</f>
        <v>4089.1017698999995</v>
      </c>
      <c r="D3" s="337">
        <v>15</v>
      </c>
      <c r="E3" s="337">
        <v>0.15</v>
      </c>
      <c r="F3" s="337" t="s">
        <v>262</v>
      </c>
      <c r="G3" s="207">
        <f>D3*B3</f>
        <v>61.33652654849999</v>
      </c>
      <c r="H3" s="207">
        <f>E3*C3</f>
        <v>613.3652654849999</v>
      </c>
      <c r="I3" s="337">
        <v>70</v>
      </c>
      <c r="J3" s="207">
        <f>MAX(G3:I3)</f>
        <v>613.3652654849999</v>
      </c>
      <c r="K3" s="13" t="s">
        <v>263</v>
      </c>
    </row>
    <row r="4" spans="1:12" s="2" customFormat="1" ht="20.65" customHeight="1">
      <c r="A4" s="206" t="str">
        <f>Zones!B4</f>
        <v>Core_Retail</v>
      </c>
      <c r="B4" s="40">
        <f>Zones!I4</f>
        <v>146.43309275279998</v>
      </c>
      <c r="C4" s="40">
        <f>Zones!F4</f>
        <v>17227.422676799997</v>
      </c>
      <c r="D4" s="337">
        <v>15</v>
      </c>
      <c r="E4" s="337">
        <v>0.2</v>
      </c>
      <c r="F4" s="337"/>
      <c r="G4" s="207">
        <f t="shared" ref="G4:H6" si="0">D4*B4</f>
        <v>2196.4963912919998</v>
      </c>
      <c r="H4" s="207">
        <f>E4*C4</f>
        <v>3445.4845353599994</v>
      </c>
      <c r="I4" s="337">
        <f t="shared" ref="I4:I6" si="1">F4*C4</f>
        <v>0</v>
      </c>
      <c r="J4" s="207">
        <f t="shared" ref="J4:J6" si="2">MAX(G4:I4)</f>
        <v>3445.4845353599994</v>
      </c>
      <c r="K4" s="13"/>
    </row>
    <row r="5" spans="1:12" s="2" customFormat="1" ht="20.65" customHeight="1">
      <c r="A5" s="206" t="str">
        <f>Zones!B5</f>
        <v>Point_of_Sale</v>
      </c>
      <c r="B5" s="40">
        <f>Zones!I5</f>
        <v>13.798094770349998</v>
      </c>
      <c r="C5" s="40">
        <f>Zones!F5</f>
        <v>1623.3052670999998</v>
      </c>
      <c r="D5" s="337">
        <v>15</v>
      </c>
      <c r="E5" s="337">
        <v>0.2</v>
      </c>
      <c r="F5" s="337"/>
      <c r="G5" s="207">
        <f t="shared" si="0"/>
        <v>206.97142155524998</v>
      </c>
      <c r="H5" s="207">
        <f t="shared" si="0"/>
        <v>324.66105341999997</v>
      </c>
      <c r="I5" s="337">
        <f t="shared" si="1"/>
        <v>0</v>
      </c>
      <c r="J5" s="207">
        <f t="shared" si="2"/>
        <v>324.66105341999997</v>
      </c>
      <c r="K5" s="13"/>
    </row>
    <row r="6" spans="1:12" s="2" customFormat="1" ht="20.65" customHeight="1">
      <c r="A6" s="206" t="str">
        <f>Zones!B6</f>
        <v>Front_Retail</v>
      </c>
      <c r="B6" s="40">
        <f>Zones!I6</f>
        <v>13.798094770349998</v>
      </c>
      <c r="C6" s="40">
        <f>Zones!F6</f>
        <v>1623.3052670999998</v>
      </c>
      <c r="D6" s="337">
        <v>15</v>
      </c>
      <c r="E6" s="337">
        <v>0.2</v>
      </c>
      <c r="F6" s="337"/>
      <c r="G6" s="207">
        <f t="shared" si="0"/>
        <v>206.97142155524998</v>
      </c>
      <c r="H6" s="207">
        <f t="shared" si="0"/>
        <v>324.66105341999997</v>
      </c>
      <c r="I6" s="337">
        <f t="shared" si="1"/>
        <v>0</v>
      </c>
      <c r="J6" s="207">
        <f t="shared" si="2"/>
        <v>324.66105341999997</v>
      </c>
      <c r="K6" s="13"/>
    </row>
    <row r="7" spans="1:12" s="2" customFormat="1" ht="20.65" customHeight="1">
      <c r="A7" s="206" t="str">
        <f>Zones!B7</f>
        <v>Front_Entry</v>
      </c>
      <c r="B7" s="40">
        <f>Zones!I7</f>
        <v>0.32291730000000002</v>
      </c>
      <c r="C7" s="40">
        <f>Zones!F7</f>
        <v>129.16692</v>
      </c>
      <c r="D7" s="337">
        <v>15</v>
      </c>
      <c r="E7" s="337">
        <v>0.15</v>
      </c>
      <c r="F7" s="337"/>
      <c r="G7" s="207">
        <f t="shared" ref="G7" si="3">D7*B7</f>
        <v>4.8437595</v>
      </c>
      <c r="H7" s="207">
        <f t="shared" ref="H7" si="4">E7*C7</f>
        <v>19.375038</v>
      </c>
      <c r="I7" s="337">
        <f t="shared" ref="I7" si="5">F7*C7</f>
        <v>0</v>
      </c>
      <c r="J7" s="207">
        <f t="shared" ref="J7" si="6">MAX(G7:I7)</f>
        <v>19.375038</v>
      </c>
      <c r="K7" s="13"/>
    </row>
    <row r="8" spans="1:12" s="2" customFormat="1" ht="13.15"/>
    <row r="11" spans="1:12" ht="15.6">
      <c r="A11" s="1"/>
      <c r="B11" s="1"/>
      <c r="C11" s="1"/>
      <c r="D11" s="1"/>
      <c r="E11" s="1"/>
      <c r="F11" s="1"/>
      <c r="G11" s="1"/>
      <c r="H11" s="1"/>
      <c r="I11" s="1"/>
      <c r="J11" s="1"/>
      <c r="K11" s="60"/>
      <c r="L11" s="1"/>
    </row>
    <row r="12" spans="1:12" s="61" customFormat="1" ht="17.45" hidden="1">
      <c r="A12" s="24" t="s">
        <v>41</v>
      </c>
      <c r="B12" s="24"/>
      <c r="C12" s="108"/>
      <c r="D12" s="108"/>
      <c r="E12" s="108"/>
      <c r="F12" s="108"/>
      <c r="G12" s="108"/>
      <c r="H12" s="108"/>
      <c r="I12" s="108"/>
      <c r="J12" s="108"/>
      <c r="K12" s="109"/>
      <c r="L12" s="110"/>
    </row>
    <row r="13" spans="1:12" hidden="1">
      <c r="A13" s="1"/>
      <c r="B13" s="1"/>
      <c r="C13" s="1"/>
      <c r="D13" s="1"/>
      <c r="E13" s="1"/>
      <c r="F13" s="1"/>
      <c r="G13" s="1"/>
      <c r="H13" s="1"/>
      <c r="I13" s="1"/>
      <c r="J13" s="1"/>
      <c r="K13" s="1"/>
      <c r="L13" s="1"/>
    </row>
    <row r="14" spans="1:12" s="2" customFormat="1" ht="13.15" hidden="1">
      <c r="A14" s="2" t="s">
        <v>264</v>
      </c>
    </row>
    <row r="15" spans="1:12" hidden="1">
      <c r="A15" s="1"/>
      <c r="B15" s="1"/>
      <c r="C15" s="1"/>
      <c r="D15" s="1"/>
      <c r="E15" s="1"/>
      <c r="F15" s="1"/>
      <c r="G15" s="1"/>
      <c r="H15" s="1"/>
      <c r="I15" s="1"/>
      <c r="J15" s="1"/>
      <c r="K15" s="1"/>
      <c r="L15" s="1"/>
    </row>
  </sheetData>
  <mergeCells count="1">
    <mergeCell ref="A1:K1"/>
  </mergeCells>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3AA08-0AC5-4FCC-829D-381EF7CA031C}">
  <sheetPr codeName="Sheet10"/>
  <dimension ref="A1:AL63"/>
  <sheetViews>
    <sheetView zoomScale="85" zoomScaleNormal="85" workbookViewId="0">
      <selection sqref="A1:G1"/>
    </sheetView>
  </sheetViews>
  <sheetFormatPr defaultColWidth="8.7109375" defaultRowHeight="13.15"/>
  <cols>
    <col min="1" max="1" width="25.28515625" style="2" customWidth="1"/>
    <col min="2" max="4" width="22.5703125" style="2" customWidth="1"/>
    <col min="5" max="5" width="25.42578125" style="2" customWidth="1"/>
    <col min="6" max="6" width="19.42578125" style="2" customWidth="1"/>
    <col min="7" max="7" width="15.5703125" style="2" customWidth="1"/>
    <col min="8" max="8" width="6.28515625" style="2" customWidth="1"/>
    <col min="9" max="9" width="14.42578125" style="2" customWidth="1"/>
    <col min="10" max="12" width="15.28515625" style="2" customWidth="1"/>
    <col min="13" max="13" width="12.28515625" style="2" customWidth="1"/>
    <col min="14" max="14" width="13.28515625" style="2" customWidth="1"/>
    <col min="15" max="15" width="15.28515625" style="2" customWidth="1"/>
    <col min="16" max="16" width="11" style="2" customWidth="1"/>
    <col min="17" max="20" width="15.28515625" style="2" customWidth="1"/>
    <col min="21" max="21" width="7.7109375" style="2" hidden="1" customWidth="1"/>
    <col min="22" max="22" width="12.42578125" style="2" hidden="1" customWidth="1"/>
    <col min="23" max="38" width="6.5703125" style="2" hidden="1" customWidth="1"/>
    <col min="39" max="39" width="15.28515625" style="2" customWidth="1"/>
    <col min="40" max="40" width="11.28515625" style="2" customWidth="1"/>
    <col min="41" max="41" width="6.28515625" style="2" customWidth="1"/>
    <col min="42" max="45" width="4.7109375" style="2" customWidth="1"/>
    <col min="46" max="46" width="6.28515625" style="2" customWidth="1"/>
    <col min="47" max="61" width="4.7109375" style="2" customWidth="1"/>
    <col min="62" max="16384" width="8.7109375" style="2"/>
  </cols>
  <sheetData>
    <row r="1" spans="1:10" ht="24" customHeight="1">
      <c r="A1" s="413" t="str">
        <f>"Water Heater - "&amp;Prototype!A2</f>
        <v>Water Heater - RetailMedium</v>
      </c>
      <c r="B1" s="387"/>
      <c r="C1" s="387"/>
      <c r="D1" s="387"/>
      <c r="E1" s="387"/>
      <c r="F1" s="387"/>
      <c r="G1" s="387"/>
    </row>
    <row r="2" spans="1:10" ht="22.15" customHeight="1">
      <c r="A2" s="344" t="s">
        <v>123</v>
      </c>
      <c r="B2" s="344" t="s">
        <v>265</v>
      </c>
      <c r="C2" s="344" t="s">
        <v>266</v>
      </c>
      <c r="D2" s="344" t="s">
        <v>267</v>
      </c>
      <c r="E2" s="344" t="s">
        <v>268</v>
      </c>
      <c r="F2" s="344" t="s">
        <v>269</v>
      </c>
      <c r="G2" s="344" t="s">
        <v>195</v>
      </c>
    </row>
    <row r="3" spans="1:10" ht="25.15" customHeight="1">
      <c r="A3" s="336" t="s">
        <v>196</v>
      </c>
      <c r="B3" s="336" t="s">
        <v>270</v>
      </c>
      <c r="C3" s="336">
        <v>1</v>
      </c>
      <c r="D3" s="336">
        <v>50</v>
      </c>
      <c r="E3" s="339">
        <f>(0.3+27/D3)/100</f>
        <v>8.4000000000000012E-3</v>
      </c>
      <c r="F3" s="71" t="s">
        <v>271</v>
      </c>
      <c r="G3" s="412" t="s">
        <v>272</v>
      </c>
    </row>
    <row r="4" spans="1:10" ht="24" customHeight="1">
      <c r="A4" s="336" t="s">
        <v>200</v>
      </c>
      <c r="B4" s="336" t="s">
        <v>270</v>
      </c>
      <c r="C4" s="336">
        <v>1</v>
      </c>
      <c r="D4" s="336">
        <v>50</v>
      </c>
      <c r="E4" s="339">
        <f>(0.3+27/D4)/100</f>
        <v>8.4000000000000012E-3</v>
      </c>
      <c r="F4" s="71" t="s">
        <v>271</v>
      </c>
      <c r="G4" s="412"/>
    </row>
    <row r="5" spans="1:10" ht="24" customHeight="1">
      <c r="A5" s="4"/>
      <c r="B5" s="4"/>
      <c r="C5" s="4"/>
      <c r="D5" s="4"/>
      <c r="E5" s="211"/>
      <c r="F5" s="211"/>
    </row>
    <row r="6" spans="1:10" ht="14.65" customHeight="1">
      <c r="A6" s="414" t="s">
        <v>273</v>
      </c>
      <c r="B6" s="414"/>
      <c r="C6" s="414"/>
      <c r="D6" s="414"/>
      <c r="E6" s="414"/>
      <c r="F6" s="414"/>
      <c r="G6" s="414"/>
    </row>
    <row r="7" spans="1:10" ht="67.5" customHeight="1">
      <c r="A7" s="230" t="s">
        <v>274</v>
      </c>
      <c r="B7" s="212" t="s">
        <v>275</v>
      </c>
      <c r="C7" s="212" t="s">
        <v>276</v>
      </c>
      <c r="D7" s="212" t="s">
        <v>96</v>
      </c>
      <c r="E7" s="212" t="s">
        <v>277</v>
      </c>
      <c r="F7" s="212" t="s">
        <v>278</v>
      </c>
      <c r="G7" s="212" t="s">
        <v>279</v>
      </c>
    </row>
    <row r="8" spans="1:10" ht="16.149999999999999" customHeight="1">
      <c r="A8" s="231" t="str">
        <f>Zones!B3</f>
        <v>Back_Space</v>
      </c>
      <c r="B8" s="71" t="s">
        <v>270</v>
      </c>
      <c r="C8" s="232">
        <f>Zones!F3</f>
        <v>4089.1017698999995</v>
      </c>
      <c r="D8" s="116">
        <f>Zones!I3</f>
        <v>4.0891017698999992</v>
      </c>
      <c r="E8" s="233">
        <v>0.18</v>
      </c>
      <c r="F8" s="234">
        <f>E8*D8</f>
        <v>0.73603831858199986</v>
      </c>
      <c r="G8" s="235">
        <f>F8/60</f>
        <v>1.2267305309699997E-2</v>
      </c>
    </row>
    <row r="9" spans="1:10" ht="16.149999999999999" customHeight="1">
      <c r="A9" s="231" t="str">
        <f>Zones!B4</f>
        <v>Core_Retail</v>
      </c>
      <c r="B9" s="71" t="s">
        <v>270</v>
      </c>
      <c r="C9" s="232">
        <f>Zones!F4</f>
        <v>17227.422676799997</v>
      </c>
      <c r="D9" s="116">
        <f>Zones!I4</f>
        <v>146.43309275279998</v>
      </c>
      <c r="E9" s="233">
        <v>0.18</v>
      </c>
      <c r="F9" s="234">
        <f t="shared" ref="F9:F12" si="0">E9*D9</f>
        <v>26.357956695503994</v>
      </c>
      <c r="G9" s="235">
        <f t="shared" ref="G9:G12" si="1">F9/60</f>
        <v>0.43929927825839987</v>
      </c>
    </row>
    <row r="10" spans="1:10" ht="16.149999999999999" customHeight="1">
      <c r="A10" s="231" t="str">
        <f>Zones!B5</f>
        <v>Point_of_Sale</v>
      </c>
      <c r="B10" s="71" t="s">
        <v>270</v>
      </c>
      <c r="C10" s="232">
        <f>Zones!F5</f>
        <v>1623.3052670999998</v>
      </c>
      <c r="D10" s="116">
        <f>Zones!I5</f>
        <v>13.798094770349998</v>
      </c>
      <c r="E10" s="233">
        <v>0.18</v>
      </c>
      <c r="F10" s="234">
        <f t="shared" si="0"/>
        <v>2.4836570586629994</v>
      </c>
      <c r="G10" s="235">
        <f t="shared" si="1"/>
        <v>4.1394284311049988E-2</v>
      </c>
    </row>
    <row r="11" spans="1:10" s="3" customFormat="1">
      <c r="A11" s="231" t="str">
        <f>Zones!B6</f>
        <v>Front_Retail</v>
      </c>
      <c r="B11" s="71" t="s">
        <v>270</v>
      </c>
      <c r="C11" s="232">
        <f>Zones!F6</f>
        <v>1623.3052670999998</v>
      </c>
      <c r="D11" s="116">
        <f>Zones!I6</f>
        <v>13.798094770349998</v>
      </c>
      <c r="E11" s="233">
        <v>0.18</v>
      </c>
      <c r="F11" s="234">
        <f t="shared" si="0"/>
        <v>2.4836570586629994</v>
      </c>
      <c r="G11" s="235">
        <f t="shared" si="1"/>
        <v>4.1394284311049988E-2</v>
      </c>
    </row>
    <row r="12" spans="1:10" ht="27.75" customHeight="1">
      <c r="A12" s="231" t="str">
        <f>Zones!B7</f>
        <v>Front_Entry</v>
      </c>
      <c r="B12" s="71" t="s">
        <v>270</v>
      </c>
      <c r="C12" s="232">
        <f>Zones!F7</f>
        <v>129.16692</v>
      </c>
      <c r="D12" s="116">
        <f>Zones!I7</f>
        <v>0.32291730000000002</v>
      </c>
      <c r="E12" s="233">
        <v>0.18</v>
      </c>
      <c r="F12" s="234">
        <f t="shared" si="0"/>
        <v>5.8125113999999999E-2</v>
      </c>
      <c r="G12" s="235">
        <f t="shared" si="1"/>
        <v>9.6875189999999999E-4</v>
      </c>
    </row>
    <row r="13" spans="1:10" ht="27.75" customHeight="1">
      <c r="A13" s="231" t="str">
        <f>Zones!B8</f>
        <v>Total (5 Spaces)</v>
      </c>
      <c r="B13" s="71"/>
      <c r="C13" s="232">
        <f>SUM(C8:C12)</f>
        <v>24692.301900899998</v>
      </c>
      <c r="D13" s="232">
        <f>SUM(D8:D12)</f>
        <v>178.44130136339996</v>
      </c>
      <c r="E13" s="233"/>
      <c r="F13" s="234">
        <f>SUM(F8:F12)</f>
        <v>32.119434245411995</v>
      </c>
      <c r="G13" s="222">
        <f>SUM(G8:G12)</f>
        <v>0.53532390409019981</v>
      </c>
    </row>
    <row r="14" spans="1:10" ht="27.75" customHeight="1">
      <c r="A14" s="213"/>
      <c r="C14" s="214"/>
      <c r="D14" s="214"/>
      <c r="E14" s="88"/>
      <c r="F14" s="215"/>
      <c r="G14" s="216"/>
    </row>
    <row r="15" spans="1:10" ht="27.75" customHeight="1">
      <c r="A15" s="213"/>
      <c r="C15" s="214"/>
      <c r="D15" s="214"/>
      <c r="E15" s="88"/>
      <c r="F15" s="215"/>
      <c r="G15" s="216"/>
    </row>
    <row r="16" spans="1:10" ht="27.75" customHeight="1">
      <c r="A16" s="415" t="s">
        <v>280</v>
      </c>
      <c r="B16" s="415"/>
      <c r="C16" s="415"/>
      <c r="D16" s="415"/>
      <c r="E16" s="415"/>
      <c r="F16" s="415"/>
      <c r="G16" s="415"/>
      <c r="H16" s="415"/>
      <c r="I16" s="415"/>
      <c r="J16" s="415"/>
    </row>
    <row r="17" spans="1:10" ht="62.45" customHeight="1">
      <c r="A17" s="344" t="s">
        <v>265</v>
      </c>
      <c r="B17" s="344" t="s">
        <v>278</v>
      </c>
      <c r="C17" s="344" t="s">
        <v>281</v>
      </c>
      <c r="D17" s="344" t="s">
        <v>282</v>
      </c>
      <c r="E17" s="344" t="s">
        <v>283</v>
      </c>
      <c r="F17" s="344" t="s">
        <v>284</v>
      </c>
      <c r="G17" s="344" t="s">
        <v>285</v>
      </c>
      <c r="H17" s="344" t="s">
        <v>269</v>
      </c>
      <c r="I17" s="344" t="s">
        <v>286</v>
      </c>
      <c r="J17" s="344" t="s">
        <v>195</v>
      </c>
    </row>
    <row r="18" spans="1:10" ht="27.75" customHeight="1">
      <c r="A18" s="217" t="s">
        <v>287</v>
      </c>
      <c r="B18" s="218">
        <f xml:space="preserve"> SUMIF(B8:B11, "*Gas*",F8:F11)</f>
        <v>0</v>
      </c>
      <c r="C18" s="218">
        <f>B18*(135-55)*8.2877*1</f>
        <v>0</v>
      </c>
      <c r="D18" s="218">
        <f>C18*0.6</f>
        <v>0</v>
      </c>
      <c r="E18" s="219">
        <f>D18/0.8</f>
        <v>0</v>
      </c>
      <c r="F18" s="218">
        <f>(B18*F20)/B20</f>
        <v>0</v>
      </c>
      <c r="G18" s="218">
        <f>(E18/800)+110*SQRT(F18)</f>
        <v>0</v>
      </c>
      <c r="H18" s="220" t="s">
        <v>288</v>
      </c>
      <c r="I18" s="221">
        <f>G18/B29</f>
        <v>0</v>
      </c>
      <c r="J18" s="409" t="s">
        <v>289</v>
      </c>
    </row>
    <row r="19" spans="1:10" ht="27.75" customHeight="1">
      <c r="A19" s="217" t="s">
        <v>290</v>
      </c>
      <c r="B19" s="218">
        <f xml:space="preserve"> MAX(125,(SUMIF(B8:B12, "*Electric*",F8:F12)))</f>
        <v>125</v>
      </c>
      <c r="C19" s="218">
        <f>B19*(135-55)*8.2877*1</f>
        <v>82876.999999999985</v>
      </c>
      <c r="D19" s="218">
        <f>C19*0.85</f>
        <v>70445.449999999983</v>
      </c>
      <c r="E19" s="219">
        <f>D19/1</f>
        <v>70445.449999999983</v>
      </c>
      <c r="F19" s="218">
        <f>(B19*F20)/B20</f>
        <v>50</v>
      </c>
      <c r="G19" s="222">
        <f>0.3+(27/F19)</f>
        <v>0.84000000000000008</v>
      </c>
      <c r="H19" s="71" t="s">
        <v>271</v>
      </c>
      <c r="I19" s="223">
        <f>0.0834*G19*F19</f>
        <v>3.5028000000000006</v>
      </c>
      <c r="J19" s="410"/>
    </row>
    <row r="20" spans="1:10" ht="27.75" customHeight="1">
      <c r="A20" s="224" t="s">
        <v>291</v>
      </c>
      <c r="B20" s="218">
        <f>B18+B19</f>
        <v>125</v>
      </c>
      <c r="C20" s="218">
        <f>B20*(135-55)*8.2877*1</f>
        <v>82876.999999999985</v>
      </c>
      <c r="D20" s="218">
        <f>C20*0.85</f>
        <v>70445.449999999983</v>
      </c>
      <c r="E20" s="219">
        <f>D20/1</f>
        <v>70445.449999999983</v>
      </c>
      <c r="F20" s="218">
        <f>B20*1*0.4</f>
        <v>50</v>
      </c>
      <c r="G20" s="71"/>
      <c r="H20" s="71"/>
      <c r="I20" s="71"/>
      <c r="J20" s="410"/>
    </row>
    <row r="21" spans="1:10" ht="27.75" customHeight="1">
      <c r="A21" s="225"/>
      <c r="B21" s="226"/>
      <c r="D21" s="226"/>
      <c r="E21" s="227"/>
      <c r="F21" s="226"/>
    </row>
    <row r="22" spans="1:10" ht="27.75" customHeight="1">
      <c r="A22" s="119" t="s">
        <v>292</v>
      </c>
      <c r="B22" s="338">
        <v>135</v>
      </c>
      <c r="C22" s="119" t="s">
        <v>293</v>
      </c>
      <c r="D22" s="119"/>
      <c r="E22" s="119"/>
      <c r="F22" s="228" t="s">
        <v>294</v>
      </c>
      <c r="G22" s="222">
        <f>0.3+(27/F20)</f>
        <v>0.84000000000000008</v>
      </c>
      <c r="H22" s="71" t="s">
        <v>271</v>
      </c>
      <c r="I22" s="223">
        <f>0.0834*G22*F20</f>
        <v>3.5028000000000006</v>
      </c>
      <c r="J22" s="119"/>
    </row>
    <row r="23" spans="1:10" ht="24" customHeight="1">
      <c r="A23" s="119" t="s">
        <v>295</v>
      </c>
      <c r="B23" s="338">
        <v>55</v>
      </c>
      <c r="C23" s="119" t="s">
        <v>296</v>
      </c>
      <c r="D23" s="119"/>
      <c r="E23" s="119"/>
      <c r="F23" s="119"/>
      <c r="G23" s="119"/>
      <c r="H23" s="119"/>
      <c r="I23" s="119"/>
      <c r="J23" s="119"/>
    </row>
    <row r="24" spans="1:10" ht="24" customHeight="1">
      <c r="A24" s="229" t="s">
        <v>297</v>
      </c>
      <c r="B24" s="338">
        <v>0.6</v>
      </c>
      <c r="C24" s="119" t="s">
        <v>296</v>
      </c>
      <c r="D24" s="119"/>
      <c r="E24" s="119"/>
      <c r="F24" s="119"/>
      <c r="G24" s="119"/>
      <c r="H24" s="119"/>
      <c r="I24" s="119"/>
      <c r="J24" s="119"/>
    </row>
    <row r="25" spans="1:10" ht="24" customHeight="1">
      <c r="A25" s="119" t="s">
        <v>298</v>
      </c>
      <c r="B25" s="338">
        <v>0.4</v>
      </c>
      <c r="C25" s="119"/>
      <c r="D25" s="119"/>
      <c r="E25" s="119"/>
      <c r="F25" s="119"/>
      <c r="G25" s="119"/>
      <c r="H25" s="119"/>
      <c r="I25" s="119"/>
      <c r="J25" s="119"/>
    </row>
    <row r="26" spans="1:10" ht="24" customHeight="1">
      <c r="A26" s="411" t="s">
        <v>299</v>
      </c>
      <c r="B26" s="411"/>
      <c r="C26" s="411"/>
      <c r="D26" s="411"/>
      <c r="E26" s="411"/>
      <c r="F26" s="411"/>
      <c r="G26" s="411"/>
      <c r="H26" s="411"/>
      <c r="I26" s="411"/>
      <c r="J26" s="411"/>
    </row>
    <row r="27" spans="1:10" ht="14.65" customHeight="1">
      <c r="A27" t="s">
        <v>300</v>
      </c>
      <c r="E27" s="227"/>
    </row>
    <row r="28" spans="1:10" ht="14.65" customHeight="1">
      <c r="A28" t="s">
        <v>301</v>
      </c>
      <c r="B28" s="214">
        <v>68</v>
      </c>
    </row>
    <row r="29" spans="1:10" ht="13.9" customHeight="1">
      <c r="A29" t="s">
        <v>302</v>
      </c>
      <c r="B29" s="214">
        <f>B22-B28</f>
        <v>67</v>
      </c>
    </row>
    <row r="30" spans="1:10" ht="16.149999999999999" customHeight="1">
      <c r="A30" t="s">
        <v>303</v>
      </c>
      <c r="B30" s="214"/>
    </row>
    <row r="31" spans="1:10" ht="16.149999999999999" customHeight="1"/>
    <row r="32" spans="1:10" ht="16.149999999999999" customHeight="1">
      <c r="A32" s="325"/>
      <c r="B32" s="325"/>
      <c r="C32" s="325"/>
    </row>
    <row r="33" spans="1:7" s="24" customFormat="1" hidden="1">
      <c r="A33" s="24" t="s">
        <v>41</v>
      </c>
      <c r="E33" s="25"/>
      <c r="F33" s="26"/>
      <c r="G33" s="27"/>
    </row>
    <row r="34" spans="1:7" hidden="1"/>
    <row r="35" spans="1:7" hidden="1">
      <c r="A35" s="2" t="s">
        <v>304</v>
      </c>
    </row>
    <row r="36" spans="1:7" hidden="1"/>
    <row r="37" spans="1:7" hidden="1"/>
    <row r="38" spans="1:7" hidden="1"/>
    <row r="39" spans="1:7" hidden="1"/>
    <row r="40" spans="1:7" hidden="1"/>
    <row r="41" spans="1:7" hidden="1"/>
    <row r="42" spans="1:7" hidden="1"/>
    <row r="43" spans="1:7" hidden="1"/>
    <row r="44" spans="1:7" hidden="1"/>
    <row r="45" spans="1:7" hidden="1"/>
    <row r="46" spans="1:7" hidden="1"/>
    <row r="47" spans="1:7" hidden="1"/>
    <row r="48" spans="1:7" hidden="1"/>
    <row r="49" hidden="1"/>
    <row r="50" hidden="1"/>
    <row r="51" hidden="1"/>
    <row r="52" hidden="1"/>
    <row r="53" hidden="1"/>
    <row r="54" hidden="1"/>
    <row r="55" hidden="1"/>
    <row r="56" hidden="1"/>
    <row r="57" hidden="1"/>
    <row r="58" hidden="1"/>
    <row r="59" hidden="1"/>
    <row r="60" hidden="1"/>
    <row r="61" hidden="1"/>
    <row r="62" hidden="1"/>
    <row r="63" hidden="1"/>
  </sheetData>
  <mergeCells count="6">
    <mergeCell ref="J18:J20"/>
    <mergeCell ref="A26:J26"/>
    <mergeCell ref="G3:G4"/>
    <mergeCell ref="A1:G1"/>
    <mergeCell ref="A6:G6"/>
    <mergeCell ref="A16:J16"/>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N25"/>
  <sheetViews>
    <sheetView zoomScaleNormal="100" workbookViewId="0">
      <selection sqref="A1:G1"/>
    </sheetView>
  </sheetViews>
  <sheetFormatPr defaultColWidth="8.7109375" defaultRowHeight="13.15"/>
  <cols>
    <col min="1" max="1" width="44" style="2" customWidth="1"/>
    <col min="2" max="2" width="19.7109375" style="2" customWidth="1"/>
    <col min="3" max="3" width="23.28515625" style="2" customWidth="1"/>
    <col min="4" max="4" width="21.42578125" style="2" bestFit="1" customWidth="1"/>
    <col min="5" max="5" width="20" style="2" customWidth="1"/>
    <col min="6" max="6" width="22.140625" style="2" customWidth="1"/>
    <col min="7" max="7" width="32.28515625" style="2" customWidth="1"/>
    <col min="8" max="8" width="24" style="2" customWidth="1"/>
    <col min="9" max="9" width="10.5703125" style="2" customWidth="1"/>
    <col min="10" max="10" width="11.42578125" style="2" customWidth="1"/>
    <col min="11" max="11" width="10.5703125" style="2" customWidth="1"/>
    <col min="12" max="12" width="13.28515625" style="2" customWidth="1"/>
    <col min="13" max="13" width="9.7109375" style="2" customWidth="1"/>
    <col min="14" max="14" width="9.42578125" style="2" customWidth="1"/>
    <col min="15" max="15" width="12.7109375" style="2" customWidth="1"/>
    <col min="16" max="16" width="14.7109375" style="2" customWidth="1"/>
    <col min="17" max="17" width="20.7109375" style="2" customWidth="1"/>
    <col min="18" max="18" width="19.7109375" style="2" customWidth="1"/>
    <col min="19" max="24" width="8.7109375" style="2"/>
    <col min="25" max="25" width="13.7109375" style="2" bestFit="1" customWidth="1"/>
    <col min="26" max="16384" width="8.7109375" style="2"/>
  </cols>
  <sheetData>
    <row r="1" spans="1:14" ht="25.9" customHeight="1">
      <c r="A1" s="413" t="str">
        <f>"Interior Lighting - "&amp;Prototype!A2</f>
        <v>Interior Lighting - RetailMedium</v>
      </c>
      <c r="B1" s="387"/>
      <c r="C1" s="387"/>
      <c r="D1" s="387"/>
      <c r="E1" s="387"/>
      <c r="F1" s="387"/>
      <c r="G1" s="387"/>
      <c r="H1" s="162"/>
      <c r="I1" s="162"/>
      <c r="J1" s="162"/>
      <c r="K1" s="162"/>
      <c r="L1" s="162"/>
      <c r="M1" s="162"/>
      <c r="N1" s="162"/>
    </row>
    <row r="2" spans="1:14" ht="18" customHeight="1">
      <c r="A2" s="416" t="s">
        <v>88</v>
      </c>
      <c r="B2" s="418" t="s">
        <v>305</v>
      </c>
      <c r="C2" s="418"/>
      <c r="D2" s="418"/>
      <c r="E2" s="418" t="s">
        <v>221</v>
      </c>
      <c r="F2" s="418"/>
      <c r="G2" s="418"/>
    </row>
    <row r="3" spans="1:14" ht="30.6" customHeight="1">
      <c r="A3" s="417"/>
      <c r="B3" s="290" t="s">
        <v>306</v>
      </c>
      <c r="C3" s="290" t="s">
        <v>307</v>
      </c>
      <c r="D3" s="290" t="s">
        <v>195</v>
      </c>
      <c r="E3" s="290" t="s">
        <v>308</v>
      </c>
      <c r="F3" s="290" t="s">
        <v>307</v>
      </c>
      <c r="G3" s="290" t="s">
        <v>195</v>
      </c>
    </row>
    <row r="4" spans="1:14" ht="34.5" customHeight="1">
      <c r="A4" s="286" t="str">
        <f>Zones!A3</f>
        <v>Storage (General)</v>
      </c>
      <c r="B4" s="286">
        <v>0.4</v>
      </c>
      <c r="C4" s="287"/>
      <c r="D4" s="419" t="s">
        <v>309</v>
      </c>
      <c r="E4" s="286">
        <v>0.5</v>
      </c>
      <c r="F4" s="288"/>
      <c r="G4" s="419" t="s">
        <v>310</v>
      </c>
    </row>
    <row r="5" spans="1:14" ht="40.5" customHeight="1">
      <c r="A5" s="286" t="str">
        <f>Zones!A4</f>
        <v>Retail Sales Area (Retail Merchandise Sales)</v>
      </c>
      <c r="B5" s="286">
        <v>0.95</v>
      </c>
      <c r="C5" s="286"/>
      <c r="D5" s="420"/>
      <c r="E5" s="286">
        <v>1.2</v>
      </c>
      <c r="F5" s="288"/>
      <c r="G5" s="420"/>
    </row>
    <row r="6" spans="1:14" ht="13.15" customHeight="1">
      <c r="A6" s="286" t="str">
        <f>Zones!A7</f>
        <v>Corridor Area</v>
      </c>
      <c r="B6" s="289">
        <v>0.4</v>
      </c>
      <c r="C6" s="289"/>
      <c r="D6" s="421"/>
      <c r="E6" s="286">
        <v>0.6</v>
      </c>
      <c r="F6" s="288"/>
      <c r="G6" s="421"/>
    </row>
    <row r="7" spans="1:14" ht="13.15" customHeight="1">
      <c r="B7" s="21"/>
      <c r="C7" s="21"/>
      <c r="D7" s="21"/>
    </row>
    <row r="8" spans="1:14" ht="13.15" customHeight="1">
      <c r="B8" s="21"/>
      <c r="C8" s="21"/>
      <c r="D8" s="21"/>
    </row>
    <row r="9" spans="1:14" ht="12.6" customHeight="1">
      <c r="B9" s="21"/>
      <c r="C9" s="21"/>
      <c r="D9" s="21"/>
    </row>
    <row r="10" spans="1:14" s="24" customFormat="1" hidden="1">
      <c r="A10" s="24" t="s">
        <v>41</v>
      </c>
      <c r="E10" s="27"/>
    </row>
    <row r="11" spans="1:14" ht="17.649999999999999" hidden="1" customHeight="1"/>
    <row r="12" spans="1:14" hidden="1"/>
    <row r="13" spans="1:14" hidden="1">
      <c r="A13" s="2">
        <v>2016</v>
      </c>
    </row>
    <row r="14" spans="1:14" ht="14.45" hidden="1">
      <c r="A14" t="s">
        <v>311</v>
      </c>
    </row>
    <row r="15" spans="1:14" ht="14.45" hidden="1">
      <c r="A15" t="s">
        <v>312</v>
      </c>
    </row>
    <row r="16" spans="1:14" hidden="1"/>
    <row r="17" hidden="1"/>
    <row r="18" hidden="1"/>
    <row r="19" hidden="1"/>
    <row r="20" hidden="1"/>
    <row r="21" hidden="1"/>
    <row r="22" hidden="1"/>
    <row r="23" hidden="1"/>
    <row r="24" hidden="1"/>
    <row r="25" hidden="1"/>
  </sheetData>
  <mergeCells count="6">
    <mergeCell ref="A2:A3"/>
    <mergeCell ref="B2:D2"/>
    <mergeCell ref="E2:G2"/>
    <mergeCell ref="A1:G1"/>
    <mergeCell ref="D4:D6"/>
    <mergeCell ref="G4:G6"/>
  </mergeCells>
  <phoneticPr fontId="5"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H26"/>
  <sheetViews>
    <sheetView zoomScaleNormal="100" workbookViewId="0">
      <selection sqref="A1:D1"/>
    </sheetView>
  </sheetViews>
  <sheetFormatPr defaultColWidth="8.7109375" defaultRowHeight="13.15"/>
  <cols>
    <col min="1" max="1" width="31.28515625" style="2" customWidth="1"/>
    <col min="2" max="2" width="38.7109375" style="2" customWidth="1"/>
    <col min="3" max="3" width="19.42578125" style="2" customWidth="1"/>
    <col min="4" max="4" width="19.28515625" style="2" customWidth="1"/>
    <col min="5" max="5" width="24.42578125" style="2" customWidth="1"/>
    <col min="6" max="6" width="17.140625" style="2" customWidth="1"/>
    <col min="7" max="7" width="17.5703125" style="2" customWidth="1"/>
    <col min="8" max="8" width="15.5703125" style="2" customWidth="1"/>
    <col min="9" max="9" width="13.28515625" style="2" customWidth="1"/>
    <col min="10" max="16384" width="8.7109375" style="2"/>
  </cols>
  <sheetData>
    <row r="1" spans="1:8" ht="25.15" customHeight="1">
      <c r="A1" s="359" t="str">
        <f>"Exterior Lighting - "&amp;Prototype!A2</f>
        <v>Exterior Lighting - RetailMedium</v>
      </c>
      <c r="B1" s="359"/>
      <c r="C1" s="359"/>
      <c r="D1" s="359"/>
    </row>
    <row r="2" spans="1:8" ht="37.15" customHeight="1">
      <c r="A2" s="37" t="s">
        <v>313</v>
      </c>
      <c r="B2" s="37" t="s">
        <v>314</v>
      </c>
      <c r="C2" s="37" t="s">
        <v>315</v>
      </c>
      <c r="D2" s="37" t="s">
        <v>195</v>
      </c>
    </row>
    <row r="3" spans="1:8" ht="22.15" customHeight="1">
      <c r="A3" s="40">
        <f>G14</f>
        <v>1911.8201183613</v>
      </c>
      <c r="B3" s="40">
        <f>G15</f>
        <v>651.28461133063001</v>
      </c>
      <c r="C3" s="40">
        <f>SUM(A3:B3)</f>
        <v>2563.1047296919301</v>
      </c>
      <c r="D3" s="337" t="s">
        <v>316</v>
      </c>
    </row>
    <row r="4" spans="1:8" ht="22.15" customHeight="1">
      <c r="A4" s="53"/>
      <c r="B4" s="53"/>
      <c r="C4" s="53"/>
    </row>
    <row r="5" spans="1:8" ht="12.75" customHeight="1">
      <c r="A5" s="119"/>
      <c r="B5" s="119"/>
      <c r="C5" s="119"/>
    </row>
    <row r="6" spans="1:8" ht="27" customHeight="1">
      <c r="A6" s="359" t="s">
        <v>317</v>
      </c>
      <c r="B6" s="359"/>
      <c r="C6" s="359"/>
      <c r="D6" s="359"/>
      <c r="E6" s="359"/>
      <c r="F6" s="359"/>
      <c r="G6" s="359"/>
    </row>
    <row r="7" spans="1:8" ht="39.6">
      <c r="A7" s="84" t="s">
        <v>318</v>
      </c>
      <c r="B7" s="423" t="s">
        <v>319</v>
      </c>
      <c r="C7" s="424"/>
      <c r="D7" s="175" t="s">
        <v>269</v>
      </c>
      <c r="E7" s="175" t="s">
        <v>320</v>
      </c>
      <c r="F7" s="175" t="s">
        <v>269</v>
      </c>
      <c r="G7" s="37" t="s">
        <v>321</v>
      </c>
    </row>
    <row r="8" spans="1:8">
      <c r="A8" s="12" t="s">
        <v>322</v>
      </c>
      <c r="B8" s="12"/>
      <c r="C8" s="180"/>
      <c r="D8" s="337"/>
      <c r="E8" s="337">
        <v>200</v>
      </c>
      <c r="F8" s="337" t="s">
        <v>323</v>
      </c>
      <c r="G8" s="181">
        <f>$E8</f>
        <v>200</v>
      </c>
      <c r="H8" s="325"/>
    </row>
    <row r="9" spans="1:8" ht="43.9" customHeight="1">
      <c r="A9" s="13" t="s">
        <v>324</v>
      </c>
      <c r="B9" s="13" t="s">
        <v>325</v>
      </c>
      <c r="C9" s="85">
        <f>B21/360*400</f>
        <v>27435.891001</v>
      </c>
      <c r="D9" s="337" t="s">
        <v>326</v>
      </c>
      <c r="E9" s="337">
        <v>1.9E-2</v>
      </c>
      <c r="F9" s="337" t="s">
        <v>327</v>
      </c>
      <c r="G9" s="181">
        <f>$E9*C9</f>
        <v>521.28192901900002</v>
      </c>
      <c r="H9" s="86"/>
    </row>
    <row r="10" spans="1:8">
      <c r="A10" s="12" t="s">
        <v>328</v>
      </c>
      <c r="B10" s="182" t="s">
        <v>329</v>
      </c>
      <c r="C10" s="183">
        <v>2</v>
      </c>
      <c r="D10" s="337" t="s">
        <v>330</v>
      </c>
      <c r="E10" s="337">
        <v>15</v>
      </c>
      <c r="F10" s="337" t="s">
        <v>331</v>
      </c>
      <c r="G10" s="181">
        <f>E10*C10</f>
        <v>30</v>
      </c>
    </row>
    <row r="11" spans="1:8" ht="26.45">
      <c r="A11" s="12" t="s">
        <v>332</v>
      </c>
      <c r="B11" s="182" t="s">
        <v>333</v>
      </c>
      <c r="C11" s="184">
        <f>B21*0.1</f>
        <v>2469.2301900900002</v>
      </c>
      <c r="D11" s="337" t="s">
        <v>326</v>
      </c>
      <c r="E11" s="337">
        <v>7.0000000000000001E-3</v>
      </c>
      <c r="F11" s="337" t="s">
        <v>327</v>
      </c>
      <c r="G11" s="185">
        <f>E11*C11</f>
        <v>17.284611330630003</v>
      </c>
    </row>
    <row r="12" spans="1:8" ht="79.150000000000006">
      <c r="A12" s="12" t="s">
        <v>334</v>
      </c>
      <c r="B12" s="182" t="s">
        <v>335</v>
      </c>
      <c r="C12" s="186">
        <f>B20*0.5*Prototype!B15</f>
        <v>6340</v>
      </c>
      <c r="D12" s="337" t="s">
        <v>326</v>
      </c>
      <c r="E12" s="337">
        <v>0.1</v>
      </c>
      <c r="F12" s="337" t="s">
        <v>327</v>
      </c>
      <c r="G12" s="185">
        <f>E12*C12</f>
        <v>634</v>
      </c>
    </row>
    <row r="13" spans="1:8">
      <c r="A13" s="187" t="s">
        <v>336</v>
      </c>
      <c r="B13" s="2" t="s">
        <v>337</v>
      </c>
      <c r="C13" s="188">
        <f>(B21/B22)*0.1</f>
        <v>2469.2301900900002</v>
      </c>
      <c r="D13" s="126" t="s">
        <v>326</v>
      </c>
      <c r="E13" s="133">
        <v>0.47</v>
      </c>
      <c r="F13" s="133" t="s">
        <v>327</v>
      </c>
      <c r="G13" s="185">
        <f>E13*C13</f>
        <v>1160.5381893423</v>
      </c>
    </row>
    <row r="14" spans="1:8" ht="13.9">
      <c r="A14" s="422" t="s">
        <v>338</v>
      </c>
      <c r="B14" s="422"/>
      <c r="C14" s="422"/>
      <c r="D14" s="422"/>
      <c r="E14" s="422"/>
      <c r="F14" s="422"/>
      <c r="G14" s="176">
        <f>SUM(G8:G13)-G15</f>
        <v>1911.8201183613</v>
      </c>
    </row>
    <row r="15" spans="1:8" ht="13.9">
      <c r="A15" s="422" t="s">
        <v>339</v>
      </c>
      <c r="B15" s="422"/>
      <c r="C15" s="422"/>
      <c r="D15" s="422"/>
      <c r="E15" s="422"/>
      <c r="F15" s="422"/>
      <c r="G15" s="176">
        <f>G11+G12</f>
        <v>651.28461133063001</v>
      </c>
    </row>
    <row r="16" spans="1:8" ht="13.9">
      <c r="A16" s="422" t="s">
        <v>291</v>
      </c>
      <c r="B16" s="422"/>
      <c r="C16" s="422"/>
      <c r="D16" s="422"/>
      <c r="E16" s="422"/>
      <c r="F16" s="422"/>
      <c r="G16" s="176">
        <f t="shared" ref="G16" si="0">G14+G15</f>
        <v>2563.1047296919301</v>
      </c>
    </row>
    <row r="17" spans="1:7" ht="13.9">
      <c r="A17" s="177"/>
      <c r="B17" s="177"/>
      <c r="C17" s="177"/>
      <c r="D17" s="177"/>
      <c r="E17" s="177"/>
      <c r="F17" s="177"/>
      <c r="G17" s="178"/>
    </row>
    <row r="18" spans="1:7" ht="13.9">
      <c r="A18" s="2" t="s">
        <v>340</v>
      </c>
      <c r="C18" s="331"/>
      <c r="F18" s="179"/>
    </row>
    <row r="19" spans="1:7" ht="13.9">
      <c r="C19" s="331"/>
      <c r="F19" s="179"/>
    </row>
    <row r="20" spans="1:7" ht="12.75" customHeight="1">
      <c r="A20" s="119" t="s">
        <v>341</v>
      </c>
      <c r="B20" s="338">
        <f>178*2+139*2</f>
        <v>634</v>
      </c>
      <c r="C20" s="119"/>
    </row>
    <row r="21" spans="1:7" ht="13.9">
      <c r="A21" s="2" t="s">
        <v>342</v>
      </c>
      <c r="B21" s="87">
        <f>Zones!F8</f>
        <v>24692.301900899998</v>
      </c>
      <c r="F21" s="179"/>
    </row>
    <row r="22" spans="1:7" ht="13.9">
      <c r="A22" s="2" t="s">
        <v>343</v>
      </c>
      <c r="B22" s="326">
        <v>1</v>
      </c>
      <c r="F22" s="179"/>
    </row>
    <row r="24" spans="1:7" ht="12.75" customHeight="1">
      <c r="A24" s="119"/>
      <c r="B24" s="119"/>
      <c r="C24" s="119"/>
    </row>
    <row r="26" spans="1:7" s="24" customFormat="1" ht="13.15" hidden="1" customHeight="1">
      <c r="A26" s="24" t="s">
        <v>41</v>
      </c>
      <c r="E26" s="25"/>
      <c r="F26" s="26"/>
      <c r="G26" s="27"/>
    </row>
  </sheetData>
  <mergeCells count="6">
    <mergeCell ref="A1:D1"/>
    <mergeCell ref="A14:F14"/>
    <mergeCell ref="A15:F15"/>
    <mergeCell ref="A16:F16"/>
    <mergeCell ref="A6:G6"/>
    <mergeCell ref="B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dimension ref="A1:J40"/>
  <sheetViews>
    <sheetView workbookViewId="0">
      <selection sqref="A1:F1"/>
    </sheetView>
  </sheetViews>
  <sheetFormatPr defaultColWidth="8.7109375" defaultRowHeight="12.75" customHeight="1"/>
  <cols>
    <col min="1" max="1" width="41.7109375" style="2" customWidth="1"/>
    <col min="2" max="2" width="31.28515625" style="2" customWidth="1"/>
    <col min="3" max="3" width="24" style="2" customWidth="1"/>
    <col min="4" max="4" width="25" style="2" customWidth="1"/>
    <col min="5" max="5" width="30" style="2" customWidth="1"/>
    <col min="6" max="6" width="26.85546875" style="2" customWidth="1"/>
    <col min="7" max="7" width="38.42578125" style="2" customWidth="1"/>
    <col min="8" max="8" width="8.7109375" style="2"/>
    <col min="9" max="9" width="10.140625" style="2" bestFit="1" customWidth="1"/>
    <col min="10" max="10" width="16.28515625" style="2" customWidth="1"/>
    <col min="11" max="11" width="10.7109375" style="2" bestFit="1" customWidth="1"/>
    <col min="12" max="12" width="10.5703125" style="2" bestFit="1" customWidth="1"/>
    <col min="13" max="16384" width="8.7109375" style="2"/>
  </cols>
  <sheetData>
    <row r="1" spans="1:7" ht="23.45" customHeight="1">
      <c r="A1" s="428" t="str">
        <f>"Equipment - "&amp;Prototype!A2</f>
        <v>Equipment - RetailMedium</v>
      </c>
      <c r="B1" s="359"/>
      <c r="C1" s="359"/>
      <c r="D1" s="359"/>
      <c r="E1" s="359"/>
      <c r="F1" s="359"/>
    </row>
    <row r="2" spans="1:7" ht="31.5" customHeight="1">
      <c r="A2" s="293" t="s">
        <v>88</v>
      </c>
      <c r="B2" s="294" t="s">
        <v>344</v>
      </c>
      <c r="C2" s="295" t="s">
        <v>345</v>
      </c>
      <c r="D2" s="295" t="s">
        <v>346</v>
      </c>
      <c r="E2" s="296" t="s">
        <v>195</v>
      </c>
      <c r="F2" s="341" t="s">
        <v>125</v>
      </c>
    </row>
    <row r="3" spans="1:7" ht="41.25" customHeight="1">
      <c r="A3" s="345" t="str">
        <f>Zones!A3</f>
        <v>Storage (General)</v>
      </c>
      <c r="B3" s="291">
        <v>0.4</v>
      </c>
      <c r="C3" s="291"/>
      <c r="D3" s="291"/>
      <c r="E3" s="425" t="s">
        <v>347</v>
      </c>
      <c r="F3" s="286" t="s">
        <v>348</v>
      </c>
    </row>
    <row r="4" spans="1:7" ht="29.25" customHeight="1">
      <c r="A4" s="345" t="str">
        <f>Zones!A4</f>
        <v>Retail Sales Area (Retail Merchandise Sales)</v>
      </c>
      <c r="B4" s="292">
        <v>0.4</v>
      </c>
      <c r="C4" s="291"/>
      <c r="D4" s="291"/>
      <c r="E4" s="426"/>
      <c r="F4" s="288"/>
      <c r="G4" s="57"/>
    </row>
    <row r="5" spans="1:7" ht="18" customHeight="1">
      <c r="A5" s="345" t="str">
        <f>Zones!A7</f>
        <v>Corridor Area</v>
      </c>
      <c r="B5" s="292">
        <v>0.4</v>
      </c>
      <c r="C5" s="286"/>
      <c r="D5" s="286"/>
      <c r="E5" s="427"/>
      <c r="F5" s="292"/>
    </row>
    <row r="7" spans="1:7" ht="13.15">
      <c r="A7" s="3"/>
    </row>
    <row r="8" spans="1:7" ht="15" customHeight="1"/>
    <row r="9" spans="1:7" ht="12.6" customHeight="1">
      <c r="A9" s="203"/>
    </row>
    <row r="10" spans="1:7" ht="13.9" customHeight="1"/>
    <row r="11" spans="1:7" s="24" customFormat="1" ht="13.15" hidden="1">
      <c r="A11" s="24" t="s">
        <v>41</v>
      </c>
      <c r="E11" s="26"/>
      <c r="F11" s="27"/>
    </row>
    <row r="12" spans="1:7" ht="13.15" hidden="1"/>
    <row r="13" spans="1:7" ht="13.15" hidden="1"/>
    <row r="14" spans="1:7" s="76" customFormat="1" ht="15" hidden="1"/>
    <row r="15" spans="1:7" ht="13.15" hidden="1"/>
    <row r="16" spans="1:7" ht="13.15" hidden="1"/>
    <row r="17" spans="6:10" ht="13.15" hidden="1"/>
    <row r="18" spans="6:10" ht="13.15" hidden="1">
      <c r="G18" s="2" t="s">
        <v>349</v>
      </c>
      <c r="H18" s="2" t="s">
        <v>350</v>
      </c>
      <c r="I18" s="2" t="s">
        <v>351</v>
      </c>
      <c r="J18" s="2" t="s">
        <v>352</v>
      </c>
    </row>
    <row r="19" spans="6:10" ht="13.15" hidden="1">
      <c r="F19" s="2" t="s">
        <v>353</v>
      </c>
      <c r="G19" s="328">
        <v>3000</v>
      </c>
      <c r="H19" s="2">
        <v>4089.1017698999995</v>
      </c>
      <c r="I19" s="88">
        <f>G19/H19</f>
        <v>0.73365745555248585</v>
      </c>
      <c r="J19" s="2">
        <v>0.2</v>
      </c>
    </row>
    <row r="20" spans="6:10" ht="13.15" hidden="1">
      <c r="F20" s="2" t="s">
        <v>354</v>
      </c>
      <c r="G20" s="328">
        <v>5000</v>
      </c>
      <c r="H20" s="2">
        <v>17227.422676799997</v>
      </c>
      <c r="I20" s="88">
        <f t="shared" ref="I20:I22" si="0">G20/H20</f>
        <v>0.29023494075718309</v>
      </c>
      <c r="J20" s="2">
        <v>0.4</v>
      </c>
    </row>
    <row r="21" spans="6:10" ht="13.15" hidden="1">
      <c r="F21" s="2" t="s">
        <v>355</v>
      </c>
      <c r="G21" s="328">
        <v>3000</v>
      </c>
      <c r="H21" s="2">
        <v>1623.3052670999998</v>
      </c>
      <c r="I21" s="88">
        <f t="shared" si="0"/>
        <v>1.8480812332725538</v>
      </c>
      <c r="J21" s="2">
        <v>0.4</v>
      </c>
    </row>
    <row r="22" spans="6:10" ht="13.15" hidden="1">
      <c r="F22" s="2" t="s">
        <v>356</v>
      </c>
      <c r="G22" s="328">
        <v>500</v>
      </c>
      <c r="H22" s="2">
        <v>1623.3052670999998</v>
      </c>
      <c r="I22" s="88">
        <f t="shared" si="0"/>
        <v>0.30801353887875899</v>
      </c>
      <c r="J22" s="2">
        <v>0.4</v>
      </c>
    </row>
    <row r="23" spans="6:10" ht="13.15" hidden="1"/>
    <row r="24" spans="6:10" ht="13.15" hidden="1"/>
    <row r="25" spans="6:10" ht="13.15" hidden="1"/>
    <row r="26" spans="6:10" ht="13.15" hidden="1"/>
    <row r="27" spans="6:10" ht="13.15" hidden="1"/>
    <row r="28" spans="6:10" ht="13.15" hidden="1"/>
    <row r="29" spans="6:10" ht="13.15" hidden="1"/>
    <row r="30" spans="6:10" ht="13.15" hidden="1"/>
    <row r="31" spans="6:10" ht="13.15" hidden="1"/>
    <row r="32" spans="6:10" ht="13.15" hidden="1"/>
    <row r="33" spans="1:1" ht="13.15" hidden="1"/>
    <row r="34" spans="1:1" ht="13.15" hidden="1"/>
    <row r="35" spans="1:1" ht="13.15" hidden="1"/>
    <row r="36" spans="1:1" ht="13.15" hidden="1"/>
    <row r="37" spans="1:1" ht="13.15" hidden="1"/>
    <row r="38" spans="1:1" ht="13.15" hidden="1">
      <c r="A38" s="2" t="s">
        <v>357</v>
      </c>
    </row>
    <row r="39" spans="1:1" ht="13.15" hidden="1"/>
    <row r="40" spans="1:1" ht="13.15" hidden="1"/>
  </sheetData>
  <mergeCells count="2">
    <mergeCell ref="E3:E5"/>
    <mergeCell ref="A1:F1"/>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dimension ref="A1:AM80"/>
  <sheetViews>
    <sheetView tabSelected="1" zoomScale="85" zoomScaleNormal="85" workbookViewId="0"/>
  </sheetViews>
  <sheetFormatPr defaultColWidth="9.28515625" defaultRowHeight="11.45"/>
  <cols>
    <col min="1" max="1" width="13.7109375" style="42" customWidth="1"/>
    <col min="2" max="2" width="22.42578125" style="42" customWidth="1"/>
    <col min="3" max="3" width="22.140625" style="42" customWidth="1"/>
    <col min="4" max="4" width="24.7109375" style="42" customWidth="1"/>
    <col min="5" max="5" width="9.28515625" style="42"/>
    <col min="6" max="29" width="5.7109375" style="42" customWidth="1"/>
    <col min="30" max="16384" width="9.28515625" style="42"/>
  </cols>
  <sheetData>
    <row r="1" spans="1:39" ht="24" customHeight="1">
      <c r="A1" s="387" t="str">
        <f>"Schedules - "&amp;Prototype!A2</f>
        <v>Schedules - RetailMedium</v>
      </c>
      <c r="B1" s="387"/>
      <c r="C1" s="387"/>
      <c r="D1" s="387"/>
      <c r="E1" s="387"/>
      <c r="F1" s="387"/>
      <c r="G1" s="387"/>
      <c r="H1" s="387"/>
      <c r="I1" s="387"/>
      <c r="J1" s="387"/>
      <c r="K1" s="387"/>
      <c r="L1" s="387"/>
      <c r="M1" s="387"/>
      <c r="N1" s="387"/>
      <c r="O1" s="387"/>
      <c r="P1" s="387"/>
      <c r="Q1" s="387"/>
      <c r="R1" s="387"/>
      <c r="S1" s="387"/>
      <c r="T1" s="387"/>
      <c r="U1" s="387"/>
      <c r="V1" s="387"/>
      <c r="W1" s="387"/>
      <c r="X1" s="387"/>
      <c r="Y1" s="387"/>
      <c r="Z1" s="387"/>
      <c r="AA1" s="387"/>
      <c r="AB1" s="387"/>
      <c r="AC1" s="438"/>
      <c r="AD1" s="43"/>
      <c r="AE1" s="43"/>
      <c r="AF1" s="43"/>
      <c r="AG1" s="43"/>
      <c r="AH1" s="43"/>
      <c r="AI1" s="44"/>
      <c r="AJ1" s="44"/>
      <c r="AK1" s="44"/>
    </row>
    <row r="2" spans="1:39" ht="24" customHeight="1">
      <c r="A2" s="416" t="s">
        <v>358</v>
      </c>
      <c r="B2" s="416" t="s">
        <v>90</v>
      </c>
      <c r="C2" s="416" t="s">
        <v>359</v>
      </c>
      <c r="D2" s="416" t="s">
        <v>195</v>
      </c>
      <c r="E2" s="416" t="s">
        <v>360</v>
      </c>
      <c r="F2" s="457" t="s">
        <v>361</v>
      </c>
      <c r="G2" s="457"/>
      <c r="H2" s="457"/>
      <c r="I2" s="457"/>
      <c r="J2" s="457"/>
      <c r="K2" s="457"/>
      <c r="L2" s="457"/>
      <c r="M2" s="457"/>
      <c r="N2" s="457"/>
      <c r="O2" s="457"/>
      <c r="P2" s="457"/>
      <c r="Q2" s="457"/>
      <c r="R2" s="457"/>
      <c r="S2" s="457"/>
      <c r="T2" s="457"/>
      <c r="U2" s="457"/>
      <c r="V2" s="457"/>
      <c r="W2" s="457"/>
      <c r="X2" s="457"/>
      <c r="Y2" s="457"/>
      <c r="Z2" s="457"/>
      <c r="AA2" s="457"/>
      <c r="AB2" s="457"/>
      <c r="AC2" s="457"/>
      <c r="AD2" s="43"/>
      <c r="AE2" s="43"/>
      <c r="AF2" s="43"/>
      <c r="AG2" s="43"/>
      <c r="AH2" s="43"/>
      <c r="AI2" s="44"/>
      <c r="AJ2" s="44"/>
      <c r="AK2" s="44"/>
    </row>
    <row r="3" spans="1:39" ht="25.15" customHeight="1" thickBot="1">
      <c r="A3" s="417"/>
      <c r="B3" s="417"/>
      <c r="C3" s="417"/>
      <c r="D3" s="417"/>
      <c r="E3" s="417"/>
      <c r="F3" s="341">
        <v>1</v>
      </c>
      <c r="G3" s="341">
        <v>2</v>
      </c>
      <c r="H3" s="341">
        <v>3</v>
      </c>
      <c r="I3" s="341">
        <v>4</v>
      </c>
      <c r="J3" s="341">
        <v>5</v>
      </c>
      <c r="K3" s="341">
        <v>6</v>
      </c>
      <c r="L3" s="341">
        <v>7</v>
      </c>
      <c r="M3" s="341">
        <v>8</v>
      </c>
      <c r="N3" s="341">
        <v>9</v>
      </c>
      <c r="O3" s="341">
        <v>10</v>
      </c>
      <c r="P3" s="341">
        <v>11</v>
      </c>
      <c r="Q3" s="341">
        <v>12</v>
      </c>
      <c r="R3" s="341">
        <v>13</v>
      </c>
      <c r="S3" s="341">
        <v>14</v>
      </c>
      <c r="T3" s="341">
        <v>15</v>
      </c>
      <c r="U3" s="341">
        <v>16</v>
      </c>
      <c r="V3" s="341">
        <v>17</v>
      </c>
      <c r="W3" s="341">
        <v>18</v>
      </c>
      <c r="X3" s="341">
        <v>19</v>
      </c>
      <c r="Y3" s="341">
        <v>20</v>
      </c>
      <c r="Z3" s="341">
        <v>21</v>
      </c>
      <c r="AA3" s="341">
        <v>22</v>
      </c>
      <c r="AB3" s="341">
        <v>23</v>
      </c>
      <c r="AC3" s="341">
        <v>24</v>
      </c>
      <c r="AD3" s="44"/>
      <c r="AE3" s="44"/>
      <c r="AF3" s="44"/>
      <c r="AG3" s="44"/>
      <c r="AH3" s="44"/>
      <c r="AI3" s="44"/>
      <c r="AJ3" s="44"/>
      <c r="AK3" s="44"/>
    </row>
    <row r="4" spans="1:39" ht="25.15" customHeight="1">
      <c r="A4" s="439" t="s">
        <v>362</v>
      </c>
      <c r="B4" s="443" t="s">
        <v>101</v>
      </c>
      <c r="C4" s="456" t="s">
        <v>363</v>
      </c>
      <c r="D4" s="476" t="s">
        <v>364</v>
      </c>
      <c r="E4" s="165" t="s">
        <v>365</v>
      </c>
      <c r="F4" s="236">
        <v>0</v>
      </c>
      <c r="G4" s="236">
        <v>0</v>
      </c>
      <c r="H4" s="236">
        <v>0</v>
      </c>
      <c r="I4" s="236">
        <v>0</v>
      </c>
      <c r="J4" s="236">
        <v>0</v>
      </c>
      <c r="K4" s="236">
        <v>0</v>
      </c>
      <c r="L4" s="236">
        <v>0</v>
      </c>
      <c r="M4" s="236">
        <v>0.1</v>
      </c>
      <c r="N4" s="236">
        <v>0.2</v>
      </c>
      <c r="O4" s="236">
        <v>0.5</v>
      </c>
      <c r="P4" s="236">
        <v>0.5</v>
      </c>
      <c r="Q4" s="236">
        <v>0.7</v>
      </c>
      <c r="R4" s="236">
        <v>0.7</v>
      </c>
      <c r="S4" s="236">
        <v>0.7</v>
      </c>
      <c r="T4" s="236">
        <v>0.7</v>
      </c>
      <c r="U4" s="236">
        <v>0.8</v>
      </c>
      <c r="V4" s="236">
        <v>0.7</v>
      </c>
      <c r="W4" s="236">
        <v>0.5</v>
      </c>
      <c r="X4" s="236">
        <v>0.5</v>
      </c>
      <c r="Y4" s="236">
        <v>0.3</v>
      </c>
      <c r="Z4" s="236">
        <v>0.3</v>
      </c>
      <c r="AA4" s="236">
        <v>0</v>
      </c>
      <c r="AB4" s="236">
        <v>0</v>
      </c>
      <c r="AC4" s="237">
        <v>0</v>
      </c>
      <c r="AD4" s="44"/>
      <c r="AE4" s="44"/>
      <c r="AF4" s="44"/>
      <c r="AG4" s="44"/>
      <c r="AH4" s="44"/>
      <c r="AI4" s="44"/>
      <c r="AJ4" s="44"/>
      <c r="AK4" s="44"/>
    </row>
    <row r="5" spans="1:39" ht="33" customHeight="1">
      <c r="A5" s="440"/>
      <c r="B5" s="444"/>
      <c r="C5" s="444"/>
      <c r="D5" s="477"/>
      <c r="E5" s="166" t="s">
        <v>366</v>
      </c>
      <c r="F5" s="238">
        <v>0</v>
      </c>
      <c r="G5" s="238">
        <v>0</v>
      </c>
      <c r="H5" s="238">
        <v>0</v>
      </c>
      <c r="I5" s="238">
        <v>0</v>
      </c>
      <c r="J5" s="238">
        <v>0</v>
      </c>
      <c r="K5" s="238">
        <v>0</v>
      </c>
      <c r="L5" s="238">
        <v>0</v>
      </c>
      <c r="M5" s="238">
        <v>0.1</v>
      </c>
      <c r="N5" s="238">
        <v>0.2</v>
      </c>
      <c r="O5" s="238">
        <v>0.5</v>
      </c>
      <c r="P5" s="238">
        <v>0.6</v>
      </c>
      <c r="Q5" s="238">
        <v>0.8</v>
      </c>
      <c r="R5" s="238">
        <v>0.8</v>
      </c>
      <c r="S5" s="238">
        <v>0.8</v>
      </c>
      <c r="T5" s="238">
        <v>0.8</v>
      </c>
      <c r="U5" s="238">
        <v>0.8</v>
      </c>
      <c r="V5" s="238">
        <v>0.8</v>
      </c>
      <c r="W5" s="238">
        <v>0.6</v>
      </c>
      <c r="X5" s="238">
        <v>0.2</v>
      </c>
      <c r="Y5" s="238">
        <v>0.2</v>
      </c>
      <c r="Z5" s="238">
        <v>0.2</v>
      </c>
      <c r="AA5" s="238">
        <v>0.1</v>
      </c>
      <c r="AB5" s="238">
        <v>0</v>
      </c>
      <c r="AC5" s="239">
        <v>0</v>
      </c>
      <c r="AD5" s="44"/>
      <c r="AE5" s="44"/>
      <c r="AF5" s="44"/>
      <c r="AG5" s="44"/>
      <c r="AH5" s="44"/>
      <c r="AI5" s="44"/>
      <c r="AJ5" s="44"/>
      <c r="AK5" s="44"/>
    </row>
    <row r="6" spans="1:39" ht="33" customHeight="1" thickBot="1">
      <c r="A6" s="441"/>
      <c r="B6" s="445"/>
      <c r="C6" s="445"/>
      <c r="D6" s="478"/>
      <c r="E6" s="167" t="s">
        <v>367</v>
      </c>
      <c r="F6" s="240">
        <v>0</v>
      </c>
      <c r="G6" s="240">
        <v>0</v>
      </c>
      <c r="H6" s="240">
        <v>0</v>
      </c>
      <c r="I6" s="240">
        <v>0</v>
      </c>
      <c r="J6" s="240">
        <v>0</v>
      </c>
      <c r="K6" s="240">
        <v>0</v>
      </c>
      <c r="L6" s="240">
        <v>0</v>
      </c>
      <c r="M6" s="240">
        <v>0</v>
      </c>
      <c r="N6" s="240">
        <v>0</v>
      </c>
      <c r="O6" s="240">
        <v>0.1</v>
      </c>
      <c r="P6" s="240">
        <v>0.2</v>
      </c>
      <c r="Q6" s="240">
        <v>0.2</v>
      </c>
      <c r="R6" s="240">
        <v>0.4</v>
      </c>
      <c r="S6" s="240">
        <v>0.4</v>
      </c>
      <c r="T6" s="240">
        <v>0.4</v>
      </c>
      <c r="U6" s="240">
        <v>0.4</v>
      </c>
      <c r="V6" s="240">
        <v>0.4</v>
      </c>
      <c r="W6" s="240">
        <v>0.2</v>
      </c>
      <c r="X6" s="240">
        <v>0.1</v>
      </c>
      <c r="Y6" s="240">
        <v>0</v>
      </c>
      <c r="Z6" s="240">
        <v>0</v>
      </c>
      <c r="AA6" s="240">
        <v>0</v>
      </c>
      <c r="AB6" s="240">
        <v>0</v>
      </c>
      <c r="AC6" s="241">
        <v>0</v>
      </c>
      <c r="AD6" s="44"/>
      <c r="AE6" s="44"/>
      <c r="AF6" s="44"/>
      <c r="AG6" s="44"/>
      <c r="AH6" s="44"/>
      <c r="AI6" s="44"/>
      <c r="AJ6" s="44"/>
      <c r="AK6" s="44"/>
    </row>
    <row r="7" spans="1:39" ht="38.65" customHeight="1">
      <c r="A7" s="439" t="str">
        <f>A4</f>
        <v>All Zones</v>
      </c>
      <c r="B7" s="446" t="str">
        <f>B4</f>
        <v>Retail</v>
      </c>
      <c r="C7" s="456" t="s">
        <v>368</v>
      </c>
      <c r="D7" s="476" t="s">
        <v>364</v>
      </c>
      <c r="E7" s="168" t="s">
        <v>365</v>
      </c>
      <c r="F7" s="242">
        <v>0.05</v>
      </c>
      <c r="G7" s="242">
        <v>0.05</v>
      </c>
      <c r="H7" s="242">
        <v>0.05</v>
      </c>
      <c r="I7" s="242">
        <v>0.05</v>
      </c>
      <c r="J7" s="242">
        <v>0.05</v>
      </c>
      <c r="K7" s="242">
        <v>0.05</v>
      </c>
      <c r="L7" s="242">
        <v>0.05</v>
      </c>
      <c r="M7" s="242">
        <v>0.2</v>
      </c>
      <c r="N7" s="242">
        <v>0.5</v>
      </c>
      <c r="O7" s="242">
        <v>0.85</v>
      </c>
      <c r="P7" s="242">
        <v>0.85</v>
      </c>
      <c r="Q7" s="242">
        <v>0.85</v>
      </c>
      <c r="R7" s="242">
        <v>0.85</v>
      </c>
      <c r="S7" s="242">
        <v>0.85</v>
      </c>
      <c r="T7" s="242">
        <v>0.85</v>
      </c>
      <c r="U7" s="242">
        <v>0.85</v>
      </c>
      <c r="V7" s="242">
        <v>0.85</v>
      </c>
      <c r="W7" s="242">
        <v>0.85</v>
      </c>
      <c r="X7" s="242">
        <v>0.55000000000000004</v>
      </c>
      <c r="Y7" s="242">
        <v>0.55000000000000004</v>
      </c>
      <c r="Z7" s="242">
        <v>0.5</v>
      </c>
      <c r="AA7" s="242">
        <v>0.2</v>
      </c>
      <c r="AB7" s="242">
        <v>0.05</v>
      </c>
      <c r="AC7" s="243">
        <v>0.05</v>
      </c>
      <c r="AD7" s="44"/>
      <c r="AE7" s="44"/>
      <c r="AF7" s="44"/>
      <c r="AG7" s="44"/>
      <c r="AH7" s="44"/>
      <c r="AI7" s="44"/>
      <c r="AJ7" s="44"/>
      <c r="AK7" s="44"/>
      <c r="AM7" s="56"/>
    </row>
    <row r="8" spans="1:39" ht="38.65" customHeight="1">
      <c r="A8" s="440"/>
      <c r="B8" s="447"/>
      <c r="C8" s="444"/>
      <c r="D8" s="477"/>
      <c r="E8" s="169" t="s">
        <v>366</v>
      </c>
      <c r="F8" s="244">
        <v>0.05</v>
      </c>
      <c r="G8" s="244">
        <v>0.05</v>
      </c>
      <c r="H8" s="244">
        <v>0.05</v>
      </c>
      <c r="I8" s="244">
        <v>0.05</v>
      </c>
      <c r="J8" s="244">
        <v>0.05</v>
      </c>
      <c r="K8" s="244">
        <v>0.05</v>
      </c>
      <c r="L8" s="244">
        <v>0.05</v>
      </c>
      <c r="M8" s="244">
        <v>0.1</v>
      </c>
      <c r="N8" s="244">
        <v>0.3</v>
      </c>
      <c r="O8" s="244">
        <v>0.55000000000000004</v>
      </c>
      <c r="P8" s="244">
        <v>0.85</v>
      </c>
      <c r="Q8" s="244">
        <v>0.85</v>
      </c>
      <c r="R8" s="244">
        <v>0.85</v>
      </c>
      <c r="S8" s="244">
        <v>0.85</v>
      </c>
      <c r="T8" s="244">
        <v>0.85</v>
      </c>
      <c r="U8" s="244">
        <v>0.85</v>
      </c>
      <c r="V8" s="244">
        <v>0.85</v>
      </c>
      <c r="W8" s="244">
        <v>0.85</v>
      </c>
      <c r="X8" s="244">
        <v>0.5</v>
      </c>
      <c r="Y8" s="244">
        <v>0.3</v>
      </c>
      <c r="Z8" s="244">
        <v>0.3</v>
      </c>
      <c r="AA8" s="244">
        <v>0.1</v>
      </c>
      <c r="AB8" s="244">
        <v>0.05</v>
      </c>
      <c r="AC8" s="245">
        <v>0.05</v>
      </c>
      <c r="AD8" s="44"/>
      <c r="AE8" s="44"/>
      <c r="AF8" s="44"/>
      <c r="AG8" s="44"/>
      <c r="AH8" s="44"/>
      <c r="AI8" s="44"/>
      <c r="AJ8" s="44"/>
      <c r="AK8" s="44"/>
      <c r="AM8" s="56"/>
    </row>
    <row r="9" spans="1:39" ht="38.65" customHeight="1" thickBot="1">
      <c r="A9" s="441"/>
      <c r="B9" s="448"/>
      <c r="C9" s="445"/>
      <c r="D9" s="478"/>
      <c r="E9" s="246" t="s">
        <v>367</v>
      </c>
      <c r="F9" s="247">
        <v>0.05</v>
      </c>
      <c r="G9" s="247">
        <v>0.05</v>
      </c>
      <c r="H9" s="247">
        <v>0.05</v>
      </c>
      <c r="I9" s="247">
        <v>0.05</v>
      </c>
      <c r="J9" s="247">
        <v>0.05</v>
      </c>
      <c r="K9" s="247">
        <v>0.05</v>
      </c>
      <c r="L9" s="247">
        <v>0.05</v>
      </c>
      <c r="M9" s="247">
        <v>0.05</v>
      </c>
      <c r="N9" s="247">
        <v>0.1</v>
      </c>
      <c r="O9" s="247">
        <v>0.1</v>
      </c>
      <c r="P9" s="247">
        <v>0.4</v>
      </c>
      <c r="Q9" s="247">
        <v>0.4</v>
      </c>
      <c r="R9" s="247">
        <v>0.55000000000000004</v>
      </c>
      <c r="S9" s="247">
        <v>0.55000000000000004</v>
      </c>
      <c r="T9" s="247">
        <v>0.55000000000000004</v>
      </c>
      <c r="U9" s="247">
        <v>0.55000000000000004</v>
      </c>
      <c r="V9" s="247">
        <v>0.55000000000000004</v>
      </c>
      <c r="W9" s="247">
        <v>0.4</v>
      </c>
      <c r="X9" s="247">
        <v>0.2</v>
      </c>
      <c r="Y9" s="247">
        <v>0.05</v>
      </c>
      <c r="Z9" s="247">
        <v>0.05</v>
      </c>
      <c r="AA9" s="247">
        <v>0.05</v>
      </c>
      <c r="AB9" s="247">
        <v>0.05</v>
      </c>
      <c r="AC9" s="248">
        <v>0.05</v>
      </c>
      <c r="AD9" s="44"/>
      <c r="AE9" s="44"/>
      <c r="AF9" s="44"/>
      <c r="AG9" s="44"/>
      <c r="AH9" s="44"/>
      <c r="AI9" s="44"/>
      <c r="AJ9" s="44"/>
      <c r="AK9" s="44"/>
      <c r="AM9" s="56"/>
    </row>
    <row r="10" spans="1:39" ht="36" customHeight="1">
      <c r="A10" s="439" t="str">
        <f>A4</f>
        <v>All Zones</v>
      </c>
      <c r="B10" s="446" t="str">
        <f>B4</f>
        <v>Retail</v>
      </c>
      <c r="C10" s="453" t="s">
        <v>369</v>
      </c>
      <c r="D10" s="450" t="s">
        <v>370</v>
      </c>
      <c r="E10" s="249" t="s">
        <v>365</v>
      </c>
      <c r="F10" s="250">
        <v>0.4</v>
      </c>
      <c r="G10" s="250">
        <v>0.4</v>
      </c>
      <c r="H10" s="250">
        <v>0.4</v>
      </c>
      <c r="I10" s="250">
        <v>0.4</v>
      </c>
      <c r="J10" s="250">
        <v>0.4</v>
      </c>
      <c r="K10" s="250">
        <v>0.4</v>
      </c>
      <c r="L10" s="250">
        <v>0.6</v>
      </c>
      <c r="M10" s="250">
        <v>0.6</v>
      </c>
      <c r="N10" s="250">
        <v>0.9</v>
      </c>
      <c r="O10" s="250">
        <v>0.9</v>
      </c>
      <c r="P10" s="250">
        <v>0.9</v>
      </c>
      <c r="Q10" s="250">
        <v>0.9</v>
      </c>
      <c r="R10" s="250">
        <v>0.9</v>
      </c>
      <c r="S10" s="250">
        <v>0.9</v>
      </c>
      <c r="T10" s="250">
        <v>0.9</v>
      </c>
      <c r="U10" s="250">
        <v>0.9</v>
      </c>
      <c r="V10" s="250">
        <v>0.9</v>
      </c>
      <c r="W10" s="250">
        <v>0.9</v>
      </c>
      <c r="X10" s="250">
        <v>0.9</v>
      </c>
      <c r="Y10" s="250">
        <v>0.6</v>
      </c>
      <c r="Z10" s="250">
        <v>0.6</v>
      </c>
      <c r="AA10" s="250">
        <v>0.4</v>
      </c>
      <c r="AB10" s="250">
        <v>0.4</v>
      </c>
      <c r="AC10" s="251">
        <v>0.4</v>
      </c>
      <c r="AD10" s="45"/>
      <c r="AE10" s="44"/>
      <c r="AF10" s="44"/>
      <c r="AG10" s="44"/>
      <c r="AH10" s="44"/>
      <c r="AI10" s="44"/>
      <c r="AJ10" s="44"/>
      <c r="AK10" s="44"/>
      <c r="AM10" s="56"/>
    </row>
    <row r="11" spans="1:39" ht="36" customHeight="1">
      <c r="A11" s="440"/>
      <c r="B11" s="447"/>
      <c r="C11" s="454"/>
      <c r="D11" s="451"/>
      <c r="E11" s="169" t="s">
        <v>366</v>
      </c>
      <c r="F11" s="238">
        <v>0.4</v>
      </c>
      <c r="G11" s="238">
        <v>0.4</v>
      </c>
      <c r="H11" s="238">
        <v>0.4</v>
      </c>
      <c r="I11" s="238">
        <v>0.4</v>
      </c>
      <c r="J11" s="238">
        <v>0.4</v>
      </c>
      <c r="K11" s="238">
        <v>0.4</v>
      </c>
      <c r="L11" s="238">
        <v>0.6</v>
      </c>
      <c r="M11" s="238">
        <v>0.6</v>
      </c>
      <c r="N11" s="238">
        <v>0.9</v>
      </c>
      <c r="O11" s="238">
        <v>0.9</v>
      </c>
      <c r="P11" s="238">
        <v>0.9</v>
      </c>
      <c r="Q11" s="238">
        <v>0.9</v>
      </c>
      <c r="R11" s="238">
        <v>0.9</v>
      </c>
      <c r="S11" s="238">
        <v>0.9</v>
      </c>
      <c r="T11" s="238">
        <v>0.9</v>
      </c>
      <c r="U11" s="238">
        <v>0.9</v>
      </c>
      <c r="V11" s="238">
        <v>0.9</v>
      </c>
      <c r="W11" s="238">
        <v>0.9</v>
      </c>
      <c r="X11" s="238">
        <v>0.9</v>
      </c>
      <c r="Y11" s="238">
        <v>0.9</v>
      </c>
      <c r="Z11" s="238">
        <v>0.6</v>
      </c>
      <c r="AA11" s="238">
        <v>0.6</v>
      </c>
      <c r="AB11" s="238">
        <v>0.4</v>
      </c>
      <c r="AC11" s="252">
        <v>0.4</v>
      </c>
      <c r="AD11" s="45"/>
      <c r="AE11" s="44"/>
      <c r="AF11" s="44"/>
      <c r="AG11" s="44"/>
      <c r="AH11" s="44"/>
      <c r="AI11" s="44"/>
      <c r="AJ11" s="44"/>
      <c r="AK11" s="44"/>
      <c r="AM11" s="56"/>
    </row>
    <row r="12" spans="1:39" ht="36" customHeight="1" thickBot="1">
      <c r="A12" s="442"/>
      <c r="B12" s="449"/>
      <c r="C12" s="455"/>
      <c r="D12" s="452"/>
      <c r="E12" s="246" t="s">
        <v>367</v>
      </c>
      <c r="F12" s="253">
        <v>0.4</v>
      </c>
      <c r="G12" s="253">
        <v>0.4</v>
      </c>
      <c r="H12" s="253">
        <v>0.4</v>
      </c>
      <c r="I12" s="253">
        <v>0.4</v>
      </c>
      <c r="J12" s="253">
        <v>0.4</v>
      </c>
      <c r="K12" s="253">
        <v>0.4</v>
      </c>
      <c r="L12" s="253">
        <v>0.4</v>
      </c>
      <c r="M12" s="253">
        <v>0.4</v>
      </c>
      <c r="N12" s="253">
        <v>0.6</v>
      </c>
      <c r="O12" s="253">
        <v>0.6</v>
      </c>
      <c r="P12" s="253">
        <v>0.6</v>
      </c>
      <c r="Q12" s="253">
        <v>0.9</v>
      </c>
      <c r="R12" s="253">
        <v>0.9</v>
      </c>
      <c r="S12" s="253">
        <v>0.9</v>
      </c>
      <c r="T12" s="253">
        <v>0.9</v>
      </c>
      <c r="U12" s="253">
        <v>0.9</v>
      </c>
      <c r="V12" s="253">
        <v>0.9</v>
      </c>
      <c r="W12" s="253">
        <v>0.6</v>
      </c>
      <c r="X12" s="253">
        <v>0.6</v>
      </c>
      <c r="Y12" s="253">
        <v>0.4</v>
      </c>
      <c r="Z12" s="253">
        <v>0.4</v>
      </c>
      <c r="AA12" s="253">
        <v>0.4</v>
      </c>
      <c r="AB12" s="253">
        <v>0.4</v>
      </c>
      <c r="AC12" s="254">
        <v>0.4</v>
      </c>
      <c r="AD12" s="45"/>
      <c r="AE12" s="44"/>
      <c r="AF12" s="44"/>
      <c r="AG12" s="44"/>
      <c r="AH12" s="44"/>
      <c r="AI12" s="44"/>
      <c r="AJ12" s="44"/>
      <c r="AK12" s="44"/>
      <c r="AM12" s="56"/>
    </row>
    <row r="13" spans="1:39" ht="26.45" customHeight="1">
      <c r="A13" s="439" t="str">
        <f t="shared" ref="A13:B13" si="0">A7</f>
        <v>All Zones</v>
      </c>
      <c r="B13" s="446" t="str">
        <f t="shared" si="0"/>
        <v>Retail</v>
      </c>
      <c r="C13" s="453" t="s">
        <v>371</v>
      </c>
      <c r="D13" s="476" t="s">
        <v>364</v>
      </c>
      <c r="E13" s="255" t="s">
        <v>365</v>
      </c>
      <c r="F13" s="256">
        <v>0</v>
      </c>
      <c r="G13" s="256">
        <v>0</v>
      </c>
      <c r="H13" s="256">
        <v>0</v>
      </c>
      <c r="I13" s="256">
        <v>0</v>
      </c>
      <c r="J13" s="256">
        <v>0</v>
      </c>
      <c r="K13" s="256">
        <v>0</v>
      </c>
      <c r="L13" s="256">
        <v>1</v>
      </c>
      <c r="M13" s="256">
        <v>1</v>
      </c>
      <c r="N13" s="256">
        <v>1</v>
      </c>
      <c r="O13" s="256">
        <v>1</v>
      </c>
      <c r="P13" s="256">
        <v>1</v>
      </c>
      <c r="Q13" s="256">
        <v>1</v>
      </c>
      <c r="R13" s="256">
        <v>1</v>
      </c>
      <c r="S13" s="256">
        <v>1</v>
      </c>
      <c r="T13" s="256">
        <v>1</v>
      </c>
      <c r="U13" s="256">
        <v>1</v>
      </c>
      <c r="V13" s="256">
        <v>1</v>
      </c>
      <c r="W13" s="256">
        <v>1</v>
      </c>
      <c r="X13" s="256">
        <v>1</v>
      </c>
      <c r="Y13" s="256">
        <v>1</v>
      </c>
      <c r="Z13" s="256">
        <v>1</v>
      </c>
      <c r="AA13" s="256">
        <v>0</v>
      </c>
      <c r="AB13" s="256">
        <v>0</v>
      </c>
      <c r="AC13" s="257">
        <v>0</v>
      </c>
    </row>
    <row r="14" spans="1:39" ht="26.45" customHeight="1">
      <c r="A14" s="440"/>
      <c r="B14" s="447"/>
      <c r="C14" s="454"/>
      <c r="D14" s="477"/>
      <c r="E14" s="258" t="s">
        <v>366</v>
      </c>
      <c r="F14" s="259">
        <v>0</v>
      </c>
      <c r="G14" s="259">
        <v>0</v>
      </c>
      <c r="H14" s="259">
        <v>0</v>
      </c>
      <c r="I14" s="259">
        <v>0</v>
      </c>
      <c r="J14" s="259">
        <v>0</v>
      </c>
      <c r="K14" s="259">
        <v>0</v>
      </c>
      <c r="L14" s="259">
        <v>1</v>
      </c>
      <c r="M14" s="259">
        <v>1</v>
      </c>
      <c r="N14" s="259">
        <v>1</v>
      </c>
      <c r="O14" s="259">
        <v>1</v>
      </c>
      <c r="P14" s="259">
        <v>1</v>
      </c>
      <c r="Q14" s="259">
        <v>1</v>
      </c>
      <c r="R14" s="259">
        <v>1</v>
      </c>
      <c r="S14" s="259">
        <v>1</v>
      </c>
      <c r="T14" s="259">
        <v>1</v>
      </c>
      <c r="U14" s="259">
        <v>1</v>
      </c>
      <c r="V14" s="259">
        <v>1</v>
      </c>
      <c r="W14" s="259">
        <v>1</v>
      </c>
      <c r="X14" s="259">
        <v>1</v>
      </c>
      <c r="Y14" s="259">
        <v>1</v>
      </c>
      <c r="Z14" s="259">
        <v>1</v>
      </c>
      <c r="AA14" s="259">
        <v>1</v>
      </c>
      <c r="AB14" s="259">
        <v>0</v>
      </c>
      <c r="AC14" s="260">
        <v>0</v>
      </c>
    </row>
    <row r="15" spans="1:39" ht="26.45" customHeight="1" thickBot="1">
      <c r="A15" s="442"/>
      <c r="B15" s="449"/>
      <c r="C15" s="482"/>
      <c r="D15" s="478"/>
      <c r="E15" s="261" t="s">
        <v>367</v>
      </c>
      <c r="F15" s="262">
        <v>0</v>
      </c>
      <c r="G15" s="262">
        <v>0</v>
      </c>
      <c r="H15" s="262">
        <v>0</v>
      </c>
      <c r="I15" s="262">
        <v>0</v>
      </c>
      <c r="J15" s="262">
        <v>0</v>
      </c>
      <c r="K15" s="262">
        <v>0</v>
      </c>
      <c r="L15" s="262">
        <v>0</v>
      </c>
      <c r="M15" s="262">
        <v>0</v>
      </c>
      <c r="N15" s="262">
        <v>1</v>
      </c>
      <c r="O15" s="262">
        <v>1</v>
      </c>
      <c r="P15" s="262">
        <v>1</v>
      </c>
      <c r="Q15" s="262">
        <v>1</v>
      </c>
      <c r="R15" s="262">
        <v>1</v>
      </c>
      <c r="S15" s="262">
        <v>1</v>
      </c>
      <c r="T15" s="262">
        <v>1</v>
      </c>
      <c r="U15" s="262">
        <v>1</v>
      </c>
      <c r="V15" s="262">
        <v>1</v>
      </c>
      <c r="W15" s="262">
        <v>1</v>
      </c>
      <c r="X15" s="262">
        <v>1</v>
      </c>
      <c r="Y15" s="262">
        <v>0</v>
      </c>
      <c r="Z15" s="262">
        <v>0</v>
      </c>
      <c r="AA15" s="262">
        <v>0</v>
      </c>
      <c r="AB15" s="262">
        <v>0</v>
      </c>
      <c r="AC15" s="263">
        <v>0</v>
      </c>
    </row>
    <row r="16" spans="1:39" ht="26.45" customHeight="1">
      <c r="A16" s="439" t="str">
        <f t="shared" ref="A16:B16" si="1">A10</f>
        <v>All Zones</v>
      </c>
      <c r="B16" s="446" t="str">
        <f t="shared" si="1"/>
        <v>Retail</v>
      </c>
      <c r="C16" s="480" t="s">
        <v>372</v>
      </c>
      <c r="D16" s="476" t="s">
        <v>364</v>
      </c>
      <c r="E16" s="255" t="s">
        <v>365</v>
      </c>
      <c r="F16" s="256">
        <v>0.04</v>
      </c>
      <c r="G16" s="256">
        <v>0.05</v>
      </c>
      <c r="H16" s="256">
        <v>0.05</v>
      </c>
      <c r="I16" s="256">
        <v>0.04</v>
      </c>
      <c r="J16" s="256">
        <v>0.04</v>
      </c>
      <c r="K16" s="256">
        <v>0.04</v>
      </c>
      <c r="L16" s="256">
        <v>0.04</v>
      </c>
      <c r="M16" s="256">
        <v>0.15</v>
      </c>
      <c r="N16" s="256">
        <v>0.23</v>
      </c>
      <c r="O16" s="256">
        <v>0.32</v>
      </c>
      <c r="P16" s="256">
        <v>0.41</v>
      </c>
      <c r="Q16" s="256">
        <v>0.56999999999999995</v>
      </c>
      <c r="R16" s="256">
        <v>0.62</v>
      </c>
      <c r="S16" s="256">
        <v>0.61</v>
      </c>
      <c r="T16" s="256">
        <v>0.5</v>
      </c>
      <c r="U16" s="256">
        <v>0.45</v>
      </c>
      <c r="V16" s="256">
        <v>0.46</v>
      </c>
      <c r="W16" s="256">
        <v>0.47</v>
      </c>
      <c r="X16" s="256">
        <v>0.42</v>
      </c>
      <c r="Y16" s="256">
        <v>0.34</v>
      </c>
      <c r="Z16" s="256">
        <v>0.33</v>
      </c>
      <c r="AA16" s="256">
        <v>0.23</v>
      </c>
      <c r="AB16" s="256">
        <v>0.13</v>
      </c>
      <c r="AC16" s="257">
        <v>0.08</v>
      </c>
    </row>
    <row r="17" spans="1:29" ht="26.45" customHeight="1">
      <c r="A17" s="440"/>
      <c r="B17" s="447"/>
      <c r="C17" s="480"/>
      <c r="D17" s="477"/>
      <c r="E17" s="258" t="s">
        <v>366</v>
      </c>
      <c r="F17" s="259">
        <v>0.11</v>
      </c>
      <c r="G17" s="259">
        <v>0.1</v>
      </c>
      <c r="H17" s="259">
        <v>0.08</v>
      </c>
      <c r="I17" s="259">
        <v>0.06</v>
      </c>
      <c r="J17" s="259">
        <v>0.06</v>
      </c>
      <c r="K17" s="259">
        <v>0.06</v>
      </c>
      <c r="L17" s="259">
        <v>7.0000000000000007E-2</v>
      </c>
      <c r="M17" s="259">
        <v>0.2</v>
      </c>
      <c r="N17" s="259">
        <v>0.24</v>
      </c>
      <c r="O17" s="259">
        <v>0.27</v>
      </c>
      <c r="P17" s="259">
        <v>0.42</v>
      </c>
      <c r="Q17" s="259">
        <v>0.54</v>
      </c>
      <c r="R17" s="259">
        <v>0.59</v>
      </c>
      <c r="S17" s="259">
        <v>0.6</v>
      </c>
      <c r="T17" s="259">
        <v>0.49</v>
      </c>
      <c r="U17" s="259">
        <v>0.48</v>
      </c>
      <c r="V17" s="259">
        <v>0.47</v>
      </c>
      <c r="W17" s="259">
        <v>0.46</v>
      </c>
      <c r="X17" s="259">
        <v>0.44</v>
      </c>
      <c r="Y17" s="259">
        <v>0.36</v>
      </c>
      <c r="Z17" s="259">
        <v>0.28999999999999998</v>
      </c>
      <c r="AA17" s="259">
        <v>0.22</v>
      </c>
      <c r="AB17" s="259">
        <v>0.16</v>
      </c>
      <c r="AC17" s="260">
        <v>0.13</v>
      </c>
    </row>
    <row r="18" spans="1:29" ht="26.45" customHeight="1" thickBot="1">
      <c r="A18" s="442"/>
      <c r="B18" s="449"/>
      <c r="C18" s="480"/>
      <c r="D18" s="478"/>
      <c r="E18" s="261" t="s">
        <v>367</v>
      </c>
      <c r="F18" s="262">
        <v>7.0000000000000007E-2</v>
      </c>
      <c r="G18" s="262">
        <v>7.0000000000000007E-2</v>
      </c>
      <c r="H18" s="262">
        <v>7.0000000000000007E-2</v>
      </c>
      <c r="I18" s="262">
        <v>0.06</v>
      </c>
      <c r="J18" s="262">
        <v>0.06</v>
      </c>
      <c r="K18" s="262">
        <v>0.06</v>
      </c>
      <c r="L18" s="262">
        <v>7.0000000000000007E-2</v>
      </c>
      <c r="M18" s="262">
        <v>0.1</v>
      </c>
      <c r="N18" s="262">
        <v>0.12</v>
      </c>
      <c r="O18" s="262">
        <v>0.14000000000000001</v>
      </c>
      <c r="P18" s="262">
        <v>0.28999999999999998</v>
      </c>
      <c r="Q18" s="262">
        <v>0.31</v>
      </c>
      <c r="R18" s="262">
        <v>0.36</v>
      </c>
      <c r="S18" s="262">
        <v>0.36</v>
      </c>
      <c r="T18" s="262">
        <v>0.34</v>
      </c>
      <c r="U18" s="262">
        <v>0.35</v>
      </c>
      <c r="V18" s="262">
        <v>0.37</v>
      </c>
      <c r="W18" s="262">
        <v>0.34</v>
      </c>
      <c r="X18" s="262">
        <v>0.25</v>
      </c>
      <c r="Y18" s="262">
        <v>0.27</v>
      </c>
      <c r="Z18" s="262">
        <v>0.21</v>
      </c>
      <c r="AA18" s="262">
        <v>0.16</v>
      </c>
      <c r="AB18" s="262">
        <v>0.1</v>
      </c>
      <c r="AC18" s="263">
        <v>0.06</v>
      </c>
    </row>
    <row r="19" spans="1:29" ht="26.45" customHeight="1">
      <c r="A19" s="439" t="str">
        <f t="shared" ref="A19:B19" si="2">A13</f>
        <v>All Zones</v>
      </c>
      <c r="B19" s="446" t="str">
        <f t="shared" si="2"/>
        <v>Retail</v>
      </c>
      <c r="C19" s="479" t="s">
        <v>175</v>
      </c>
      <c r="D19" s="476" t="s">
        <v>364</v>
      </c>
      <c r="E19" s="255" t="s">
        <v>365</v>
      </c>
      <c r="F19" s="256">
        <v>1</v>
      </c>
      <c r="G19" s="256">
        <v>1</v>
      </c>
      <c r="H19" s="256">
        <v>1</v>
      </c>
      <c r="I19" s="256">
        <v>1</v>
      </c>
      <c r="J19" s="256">
        <v>1</v>
      </c>
      <c r="K19" s="256">
        <v>1</v>
      </c>
      <c r="L19" s="256">
        <v>0.25</v>
      </c>
      <c r="M19" s="256">
        <v>0.25</v>
      </c>
      <c r="N19" s="256">
        <v>0.25</v>
      </c>
      <c r="O19" s="256">
        <v>0.25</v>
      </c>
      <c r="P19" s="256">
        <v>0.25</v>
      </c>
      <c r="Q19" s="256">
        <v>0.25</v>
      </c>
      <c r="R19" s="256">
        <v>0.25</v>
      </c>
      <c r="S19" s="256">
        <v>0.25</v>
      </c>
      <c r="T19" s="256">
        <v>0.25</v>
      </c>
      <c r="U19" s="256">
        <v>0.25</v>
      </c>
      <c r="V19" s="256">
        <v>0.25</v>
      </c>
      <c r="W19" s="256">
        <v>0.25</v>
      </c>
      <c r="X19" s="256">
        <v>0.25</v>
      </c>
      <c r="Y19" s="256">
        <v>0.25</v>
      </c>
      <c r="Z19" s="256">
        <v>0.25</v>
      </c>
      <c r="AA19" s="256">
        <v>1</v>
      </c>
      <c r="AB19" s="256">
        <v>1</v>
      </c>
      <c r="AC19" s="257">
        <v>1</v>
      </c>
    </row>
    <row r="20" spans="1:29" ht="26.45" customHeight="1">
      <c r="A20" s="440"/>
      <c r="B20" s="447"/>
      <c r="C20" s="480"/>
      <c r="D20" s="477"/>
      <c r="E20" s="258" t="s">
        <v>366</v>
      </c>
      <c r="F20" s="259">
        <v>1</v>
      </c>
      <c r="G20" s="259">
        <v>1</v>
      </c>
      <c r="H20" s="259">
        <v>1</v>
      </c>
      <c r="I20" s="259">
        <v>1</v>
      </c>
      <c r="J20" s="259">
        <v>1</v>
      </c>
      <c r="K20" s="259">
        <v>1</v>
      </c>
      <c r="L20" s="259">
        <v>0.25</v>
      </c>
      <c r="M20" s="259">
        <v>0.25</v>
      </c>
      <c r="N20" s="259">
        <v>0.25</v>
      </c>
      <c r="O20" s="259">
        <v>0.25</v>
      </c>
      <c r="P20" s="259">
        <v>0.25</v>
      </c>
      <c r="Q20" s="259">
        <v>0.25</v>
      </c>
      <c r="R20" s="259">
        <v>0.25</v>
      </c>
      <c r="S20" s="259">
        <v>0.25</v>
      </c>
      <c r="T20" s="259">
        <v>0.25</v>
      </c>
      <c r="U20" s="259">
        <v>0.25</v>
      </c>
      <c r="V20" s="259">
        <v>0.25</v>
      </c>
      <c r="W20" s="259">
        <v>0.25</v>
      </c>
      <c r="X20" s="259">
        <v>0.25</v>
      </c>
      <c r="Y20" s="259">
        <v>0.25</v>
      </c>
      <c r="Z20" s="259">
        <v>0.25</v>
      </c>
      <c r="AA20" s="259">
        <v>0.25</v>
      </c>
      <c r="AB20" s="259">
        <v>1</v>
      </c>
      <c r="AC20" s="260">
        <v>1</v>
      </c>
    </row>
    <row r="21" spans="1:29" ht="26.45" customHeight="1" thickBot="1">
      <c r="A21" s="442"/>
      <c r="B21" s="449"/>
      <c r="C21" s="481"/>
      <c r="D21" s="478"/>
      <c r="E21" s="261" t="s">
        <v>367</v>
      </c>
      <c r="F21" s="262">
        <v>1</v>
      </c>
      <c r="G21" s="262">
        <v>1</v>
      </c>
      <c r="H21" s="262">
        <v>1</v>
      </c>
      <c r="I21" s="262">
        <v>1</v>
      </c>
      <c r="J21" s="262">
        <v>1</v>
      </c>
      <c r="K21" s="262">
        <v>1</v>
      </c>
      <c r="L21" s="262">
        <v>1</v>
      </c>
      <c r="M21" s="262">
        <v>1</v>
      </c>
      <c r="N21" s="262">
        <v>0.25</v>
      </c>
      <c r="O21" s="262">
        <v>0.25</v>
      </c>
      <c r="P21" s="262">
        <v>0.25</v>
      </c>
      <c r="Q21" s="262">
        <v>0.25</v>
      </c>
      <c r="R21" s="262">
        <v>0.25</v>
      </c>
      <c r="S21" s="262">
        <v>0.25</v>
      </c>
      <c r="T21" s="262">
        <v>0.25</v>
      </c>
      <c r="U21" s="262">
        <v>0.25</v>
      </c>
      <c r="V21" s="262">
        <v>0.25</v>
      </c>
      <c r="W21" s="262">
        <v>0.25</v>
      </c>
      <c r="X21" s="262">
        <v>0.25</v>
      </c>
      <c r="Y21" s="262">
        <v>1</v>
      </c>
      <c r="Z21" s="262">
        <v>1</v>
      </c>
      <c r="AA21" s="262">
        <v>1</v>
      </c>
      <c r="AB21" s="262">
        <v>1</v>
      </c>
      <c r="AC21" s="263">
        <v>1</v>
      </c>
    </row>
    <row r="22" spans="1:29" ht="26.45" customHeight="1">
      <c r="A22" s="439" t="str">
        <f t="shared" ref="A22:B22" si="3">A16</f>
        <v>All Zones</v>
      </c>
      <c r="B22" s="446" t="str">
        <f t="shared" si="3"/>
        <v>Retail</v>
      </c>
      <c r="C22" s="479" t="s">
        <v>373</v>
      </c>
      <c r="D22" s="476" t="s">
        <v>364</v>
      </c>
      <c r="E22" s="255" t="s">
        <v>365</v>
      </c>
      <c r="F22" s="256">
        <v>0.9</v>
      </c>
      <c r="G22" s="256">
        <v>0.9</v>
      </c>
      <c r="H22" s="256">
        <v>0.9</v>
      </c>
      <c r="I22" s="256">
        <v>0.9</v>
      </c>
      <c r="J22" s="256">
        <v>0.9</v>
      </c>
      <c r="K22" s="256">
        <v>0.9</v>
      </c>
      <c r="L22" s="256">
        <v>0.9</v>
      </c>
      <c r="M22" s="256">
        <v>0.9</v>
      </c>
      <c r="N22" s="256">
        <v>0.9</v>
      </c>
      <c r="O22" s="256">
        <v>0.9</v>
      </c>
      <c r="P22" s="256">
        <v>0.9</v>
      </c>
      <c r="Q22" s="256">
        <v>0.9</v>
      </c>
      <c r="R22" s="256">
        <v>0.9</v>
      </c>
      <c r="S22" s="256">
        <v>0.9</v>
      </c>
      <c r="T22" s="256">
        <v>0.9</v>
      </c>
      <c r="U22" s="256">
        <v>0.9</v>
      </c>
      <c r="V22" s="256">
        <v>0.9</v>
      </c>
      <c r="W22" s="256">
        <v>0.9</v>
      </c>
      <c r="X22" s="256">
        <v>0.9</v>
      </c>
      <c r="Y22" s="256">
        <v>0.9</v>
      </c>
      <c r="Z22" s="256">
        <v>0.9</v>
      </c>
      <c r="AA22" s="256">
        <v>0.9</v>
      </c>
      <c r="AB22" s="256">
        <v>0.9</v>
      </c>
      <c r="AC22" s="257">
        <v>0.9</v>
      </c>
    </row>
    <row r="23" spans="1:29" ht="26.45" customHeight="1">
      <c r="A23" s="440"/>
      <c r="B23" s="447"/>
      <c r="C23" s="480"/>
      <c r="D23" s="477"/>
      <c r="E23" s="258" t="s">
        <v>366</v>
      </c>
      <c r="F23" s="259">
        <v>0.9</v>
      </c>
      <c r="G23" s="259">
        <v>0.9</v>
      </c>
      <c r="H23" s="259">
        <v>0.9</v>
      </c>
      <c r="I23" s="259">
        <v>0.9</v>
      </c>
      <c r="J23" s="259">
        <v>0.9</v>
      </c>
      <c r="K23" s="259">
        <v>0.9</v>
      </c>
      <c r="L23" s="259">
        <v>0.9</v>
      </c>
      <c r="M23" s="259">
        <v>0.9</v>
      </c>
      <c r="N23" s="259">
        <v>0.9</v>
      </c>
      <c r="O23" s="259">
        <v>0.9</v>
      </c>
      <c r="P23" s="259">
        <v>0.9</v>
      </c>
      <c r="Q23" s="259">
        <v>0.9</v>
      </c>
      <c r="R23" s="259">
        <v>0.9</v>
      </c>
      <c r="S23" s="259">
        <v>0.9</v>
      </c>
      <c r="T23" s="259">
        <v>0.9</v>
      </c>
      <c r="U23" s="259">
        <v>0.9</v>
      </c>
      <c r="V23" s="259">
        <v>0.9</v>
      </c>
      <c r="W23" s="259">
        <v>0.9</v>
      </c>
      <c r="X23" s="259">
        <v>0.9</v>
      </c>
      <c r="Y23" s="259">
        <v>0.9</v>
      </c>
      <c r="Z23" s="259">
        <v>0.9</v>
      </c>
      <c r="AA23" s="259">
        <v>0.9</v>
      </c>
      <c r="AB23" s="259">
        <v>0.9</v>
      </c>
      <c r="AC23" s="260">
        <v>0.9</v>
      </c>
    </row>
    <row r="24" spans="1:29" ht="26.45" customHeight="1" thickBot="1">
      <c r="A24" s="442"/>
      <c r="B24" s="449"/>
      <c r="C24" s="481"/>
      <c r="D24" s="478"/>
      <c r="E24" s="261" t="s">
        <v>367</v>
      </c>
      <c r="F24" s="262">
        <v>0.9</v>
      </c>
      <c r="G24" s="262">
        <v>0.9</v>
      </c>
      <c r="H24" s="262">
        <v>0.9</v>
      </c>
      <c r="I24" s="262">
        <v>0.9</v>
      </c>
      <c r="J24" s="262">
        <v>0.9</v>
      </c>
      <c r="K24" s="262">
        <v>0.9</v>
      </c>
      <c r="L24" s="262">
        <v>0.9</v>
      </c>
      <c r="M24" s="262">
        <v>0.9</v>
      </c>
      <c r="N24" s="262">
        <v>0.9</v>
      </c>
      <c r="O24" s="262">
        <v>0.9</v>
      </c>
      <c r="P24" s="262">
        <v>0.9</v>
      </c>
      <c r="Q24" s="262">
        <v>0.9</v>
      </c>
      <c r="R24" s="262">
        <v>0.9</v>
      </c>
      <c r="S24" s="262">
        <v>0.9</v>
      </c>
      <c r="T24" s="262">
        <v>0.9</v>
      </c>
      <c r="U24" s="262">
        <v>0.9</v>
      </c>
      <c r="V24" s="262">
        <v>0.9</v>
      </c>
      <c r="W24" s="262">
        <v>0.9</v>
      </c>
      <c r="X24" s="262">
        <v>0.9</v>
      </c>
      <c r="Y24" s="262">
        <v>0.9</v>
      </c>
      <c r="Z24" s="262">
        <v>0.9</v>
      </c>
      <c r="AA24" s="262">
        <v>0.9</v>
      </c>
      <c r="AB24" s="262">
        <v>0.9</v>
      </c>
      <c r="AC24" s="263">
        <v>0.9</v>
      </c>
    </row>
    <row r="25" spans="1:29" ht="26.45" customHeight="1">
      <c r="A25" s="439" t="str">
        <f t="shared" ref="A25:B25" si="4">A16</f>
        <v>All Zones</v>
      </c>
      <c r="B25" s="446" t="str">
        <f t="shared" si="4"/>
        <v>Retail</v>
      </c>
      <c r="C25" s="475" t="s">
        <v>374</v>
      </c>
      <c r="D25" s="476" t="s">
        <v>364</v>
      </c>
      <c r="E25" s="255" t="s">
        <v>365</v>
      </c>
      <c r="F25" s="264">
        <f>IF(F13=1,Thermostat!$B$3,Thermostat!$B$4)</f>
        <v>60</v>
      </c>
      <c r="G25" s="264">
        <f>IF(G13=1,Thermostat!$B$3,Thermostat!$B$4)</f>
        <v>60</v>
      </c>
      <c r="H25" s="264">
        <f>IF(H13=1,Thermostat!$B$3,Thermostat!$B$4)</f>
        <v>60</v>
      </c>
      <c r="I25" s="264">
        <f>IF(I13=1,Thermostat!$B$3,Thermostat!$B$4)</f>
        <v>60</v>
      </c>
      <c r="J25" s="264">
        <f>IF(J13=1,Thermostat!$B$3,Thermostat!$B$4)</f>
        <v>60</v>
      </c>
      <c r="K25" s="264">
        <f>IF(K13=1,Thermostat!$B$3,Thermostat!$B$4)</f>
        <v>60</v>
      </c>
      <c r="L25" s="264">
        <f>IF(L13=1,Thermostat!$B$3,Thermostat!$B$4)</f>
        <v>70</v>
      </c>
      <c r="M25" s="264">
        <f>IF(M13=1,Thermostat!$B$3,Thermostat!$B$4)</f>
        <v>70</v>
      </c>
      <c r="N25" s="264">
        <f>IF(N13=1,Thermostat!$B$3,Thermostat!$B$4)</f>
        <v>70</v>
      </c>
      <c r="O25" s="264">
        <f>IF(O13=1,Thermostat!$B$3,Thermostat!$B$4)</f>
        <v>70</v>
      </c>
      <c r="P25" s="264">
        <f>IF(P13=1,Thermostat!$B$3,Thermostat!$B$4)</f>
        <v>70</v>
      </c>
      <c r="Q25" s="264">
        <f>IF(Q13=1,Thermostat!$B$3,Thermostat!$B$4)</f>
        <v>70</v>
      </c>
      <c r="R25" s="264">
        <f>IF(R13=1,Thermostat!$B$3,Thermostat!$B$4)</f>
        <v>70</v>
      </c>
      <c r="S25" s="264">
        <f>IF(S13=1,Thermostat!$B$3,Thermostat!$B$4)</f>
        <v>70</v>
      </c>
      <c r="T25" s="264">
        <f>IF(T13=1,Thermostat!$B$3,Thermostat!$B$4)</f>
        <v>70</v>
      </c>
      <c r="U25" s="264">
        <f>IF(U13=1,Thermostat!$B$3,Thermostat!$B$4)</f>
        <v>70</v>
      </c>
      <c r="V25" s="264">
        <f>IF(V13=1,Thermostat!$B$3,Thermostat!$B$4)</f>
        <v>70</v>
      </c>
      <c r="W25" s="264">
        <f>IF(W13=1,Thermostat!$B$3,Thermostat!$B$4)</f>
        <v>70</v>
      </c>
      <c r="X25" s="264">
        <f>IF(X13=1,Thermostat!$B$3,Thermostat!$B$4)</f>
        <v>70</v>
      </c>
      <c r="Y25" s="264">
        <f>IF(Y13=1,Thermostat!$B$3,Thermostat!$B$4)</f>
        <v>70</v>
      </c>
      <c r="Z25" s="264">
        <f>IF(Z13=1,Thermostat!$B$3,Thermostat!$B$4)</f>
        <v>70</v>
      </c>
      <c r="AA25" s="264">
        <f>IF(AA13=1,Thermostat!$B$3,Thermostat!$B$4)</f>
        <v>60</v>
      </c>
      <c r="AB25" s="264">
        <f>IF(AB13=1,Thermostat!$B$3,Thermostat!$B$4)</f>
        <v>60</v>
      </c>
      <c r="AC25" s="265">
        <f>IF(AC13=1,Thermostat!$B$3,Thermostat!$B$4)</f>
        <v>60</v>
      </c>
    </row>
    <row r="26" spans="1:29" ht="26.45" customHeight="1">
      <c r="A26" s="440"/>
      <c r="B26" s="447"/>
      <c r="C26" s="454"/>
      <c r="D26" s="477"/>
      <c r="E26" s="258" t="s">
        <v>366</v>
      </c>
      <c r="F26" s="266">
        <f>IF(F14=1,Thermostat!$B$3,Thermostat!$B$4)</f>
        <v>60</v>
      </c>
      <c r="G26" s="266">
        <f>IF(G14=1,Thermostat!$B$3,Thermostat!$B$4)</f>
        <v>60</v>
      </c>
      <c r="H26" s="266">
        <f>IF(H14=1,Thermostat!$B$3,Thermostat!$B$4)</f>
        <v>60</v>
      </c>
      <c r="I26" s="266">
        <f>IF(I14=1,Thermostat!$B$3,Thermostat!$B$4)</f>
        <v>60</v>
      </c>
      <c r="J26" s="266">
        <f>IF(J14=1,Thermostat!$B$3,Thermostat!$B$4)</f>
        <v>60</v>
      </c>
      <c r="K26" s="266">
        <f>IF(K14=1,Thermostat!$B$3,Thermostat!$B$4)</f>
        <v>60</v>
      </c>
      <c r="L26" s="266">
        <f>IF(L14=1,Thermostat!$B$3,Thermostat!$B$4)</f>
        <v>70</v>
      </c>
      <c r="M26" s="266">
        <f>IF(M14=1,Thermostat!$B$3,Thermostat!$B$4)</f>
        <v>70</v>
      </c>
      <c r="N26" s="266">
        <f>IF(N14=1,Thermostat!$B$3,Thermostat!$B$4)</f>
        <v>70</v>
      </c>
      <c r="O26" s="266">
        <f>IF(O14=1,Thermostat!$B$3,Thermostat!$B$4)</f>
        <v>70</v>
      </c>
      <c r="P26" s="266">
        <f>IF(P14=1,Thermostat!$B$3,Thermostat!$B$4)</f>
        <v>70</v>
      </c>
      <c r="Q26" s="266">
        <f>IF(Q14=1,Thermostat!$B$3,Thermostat!$B$4)</f>
        <v>70</v>
      </c>
      <c r="R26" s="266">
        <f>IF(R14=1,Thermostat!$B$3,Thermostat!$B$4)</f>
        <v>70</v>
      </c>
      <c r="S26" s="266">
        <f>IF(S14=1,Thermostat!$B$3,Thermostat!$B$4)</f>
        <v>70</v>
      </c>
      <c r="T26" s="266">
        <f>IF(T14=1,Thermostat!$B$3,Thermostat!$B$4)</f>
        <v>70</v>
      </c>
      <c r="U26" s="266">
        <f>IF(U14=1,Thermostat!$B$3,Thermostat!$B$4)</f>
        <v>70</v>
      </c>
      <c r="V26" s="266">
        <f>IF(V14=1,Thermostat!$B$3,Thermostat!$B$4)</f>
        <v>70</v>
      </c>
      <c r="W26" s="266">
        <f>IF(W14=1,Thermostat!$B$3,Thermostat!$B$4)</f>
        <v>70</v>
      </c>
      <c r="X26" s="266">
        <f>IF(X14=1,Thermostat!$B$3,Thermostat!$B$4)</f>
        <v>70</v>
      </c>
      <c r="Y26" s="266">
        <f>IF(Y14=1,Thermostat!$B$3,Thermostat!$B$4)</f>
        <v>70</v>
      </c>
      <c r="Z26" s="266">
        <f>IF(Z14=1,Thermostat!$B$3,Thermostat!$B$4)</f>
        <v>70</v>
      </c>
      <c r="AA26" s="266">
        <f>IF(AA14=1,Thermostat!$B$3,Thermostat!$B$4)</f>
        <v>70</v>
      </c>
      <c r="AB26" s="266">
        <f>IF(AB14=1,Thermostat!$B$3,Thermostat!$B$4)</f>
        <v>60</v>
      </c>
      <c r="AC26" s="267">
        <f>IF(AC14=1,Thermostat!$B$3,Thermostat!$B$4)</f>
        <v>60</v>
      </c>
    </row>
    <row r="27" spans="1:29" ht="26.45" customHeight="1" thickBot="1">
      <c r="A27" s="442"/>
      <c r="B27" s="449"/>
      <c r="C27" s="455"/>
      <c r="D27" s="478"/>
      <c r="E27" s="268" t="s">
        <v>367</v>
      </c>
      <c r="F27" s="266">
        <f>IF(F15=1,Thermostat!$B$3,Thermostat!$B$4)</f>
        <v>60</v>
      </c>
      <c r="G27" s="266">
        <f>IF(G15=1,Thermostat!$B$3,Thermostat!$B$4)</f>
        <v>60</v>
      </c>
      <c r="H27" s="266">
        <f>IF(H15=1,Thermostat!$B$3,Thermostat!$B$4)</f>
        <v>60</v>
      </c>
      <c r="I27" s="266">
        <f>IF(I15=1,Thermostat!$B$3,Thermostat!$B$4)</f>
        <v>60</v>
      </c>
      <c r="J27" s="266">
        <f>IF(J15=1,Thermostat!$B$3,Thermostat!$B$4)</f>
        <v>60</v>
      </c>
      <c r="K27" s="266">
        <f>IF(K15=1,Thermostat!$B$3,Thermostat!$B$4)</f>
        <v>60</v>
      </c>
      <c r="L27" s="266">
        <f>IF(L15=1,Thermostat!$B$3,Thermostat!$B$4)</f>
        <v>60</v>
      </c>
      <c r="M27" s="266">
        <f>IF(M15=1,Thermostat!$B$3,Thermostat!$B$4)</f>
        <v>60</v>
      </c>
      <c r="N27" s="266">
        <f>IF(N15=1,Thermostat!$B$3,Thermostat!$B$4)</f>
        <v>70</v>
      </c>
      <c r="O27" s="266">
        <f>IF(O15=1,Thermostat!$B$3,Thermostat!$B$4)</f>
        <v>70</v>
      </c>
      <c r="P27" s="266">
        <f>IF(P15=1,Thermostat!$B$3,Thermostat!$B$4)</f>
        <v>70</v>
      </c>
      <c r="Q27" s="266">
        <f>IF(Q15=1,Thermostat!$B$3,Thermostat!$B$4)</f>
        <v>70</v>
      </c>
      <c r="R27" s="266">
        <f>IF(R15=1,Thermostat!$B$3,Thermostat!$B$4)</f>
        <v>70</v>
      </c>
      <c r="S27" s="266">
        <f>IF(S15=1,Thermostat!$B$3,Thermostat!$B$4)</f>
        <v>70</v>
      </c>
      <c r="T27" s="266">
        <f>IF(T15=1,Thermostat!$B$3,Thermostat!$B$4)</f>
        <v>70</v>
      </c>
      <c r="U27" s="266">
        <f>IF(U15=1,Thermostat!$B$3,Thermostat!$B$4)</f>
        <v>70</v>
      </c>
      <c r="V27" s="266">
        <f>IF(V15=1,Thermostat!$B$3,Thermostat!$B$4)</f>
        <v>70</v>
      </c>
      <c r="W27" s="266">
        <f>IF(W15=1,Thermostat!$B$3,Thermostat!$B$4)</f>
        <v>70</v>
      </c>
      <c r="X27" s="266">
        <f>IF(X15=1,Thermostat!$B$3,Thermostat!$B$4)</f>
        <v>70</v>
      </c>
      <c r="Y27" s="266">
        <f>IF(Y15=1,Thermostat!$B$3,Thermostat!$B$4)</f>
        <v>60</v>
      </c>
      <c r="Z27" s="266">
        <f>IF(Z15=1,Thermostat!$B$3,Thermostat!$B$4)</f>
        <v>60</v>
      </c>
      <c r="AA27" s="266">
        <f>IF(AA15=1,Thermostat!$B$3,Thermostat!$B$4)</f>
        <v>60</v>
      </c>
      <c r="AB27" s="266">
        <f>IF(AB15=1,Thermostat!$B$3,Thermostat!$B$4)</f>
        <v>60</v>
      </c>
      <c r="AC27" s="267">
        <f>IF(AC15=1,Thermostat!$B$3,Thermostat!$B$4)</f>
        <v>60</v>
      </c>
    </row>
    <row r="28" spans="1:29" ht="26.45" customHeight="1">
      <c r="A28" s="439" t="str">
        <f t="shared" ref="A28:B28" si="5">A19</f>
        <v>All Zones</v>
      </c>
      <c r="B28" s="446" t="str">
        <f t="shared" si="5"/>
        <v>Retail</v>
      </c>
      <c r="C28" s="432" t="s">
        <v>375</v>
      </c>
      <c r="D28" s="435" t="s">
        <v>364</v>
      </c>
      <c r="E28" s="269" t="s">
        <v>365</v>
      </c>
      <c r="F28" s="270">
        <f>IF(F13=1,Thermostat!$B$5,Thermostat!$B$6)</f>
        <v>85</v>
      </c>
      <c r="G28" s="270">
        <f>IF(G13=1,Thermostat!$B$5,Thermostat!$B$6)</f>
        <v>85</v>
      </c>
      <c r="H28" s="270">
        <f>IF(H13=1,Thermostat!$B$5,Thermostat!$B$6)</f>
        <v>85</v>
      </c>
      <c r="I28" s="270">
        <f>IF(I13=1,Thermostat!$B$5,Thermostat!$B$6)</f>
        <v>85</v>
      </c>
      <c r="J28" s="270">
        <f>IF(J13=1,Thermostat!$B$5,Thermostat!$B$6)</f>
        <v>85</v>
      </c>
      <c r="K28" s="270">
        <f>IF(K13=1,Thermostat!$B$5,Thermostat!$B$6)</f>
        <v>85</v>
      </c>
      <c r="L28" s="270">
        <f>IF(L13=1,Thermostat!$B$5,Thermostat!$B$6)</f>
        <v>75</v>
      </c>
      <c r="M28" s="270">
        <f>IF(M13=1,Thermostat!$B$5,Thermostat!$B$6)</f>
        <v>75</v>
      </c>
      <c r="N28" s="270">
        <f>IF(N13=1,Thermostat!$B$5,Thermostat!$B$6)</f>
        <v>75</v>
      </c>
      <c r="O28" s="270">
        <f>IF(O13=1,Thermostat!$B$5,Thermostat!$B$6)</f>
        <v>75</v>
      </c>
      <c r="P28" s="270">
        <f>IF(P13=1,Thermostat!$B$5,Thermostat!$B$6)</f>
        <v>75</v>
      </c>
      <c r="Q28" s="270">
        <f>IF(Q13=1,Thermostat!$B$5,Thermostat!$B$6)</f>
        <v>75</v>
      </c>
      <c r="R28" s="270">
        <f>IF(R13=1,Thermostat!$B$5,Thermostat!$B$6)</f>
        <v>75</v>
      </c>
      <c r="S28" s="270">
        <f>IF(S13=1,Thermostat!$B$5,Thermostat!$B$6)</f>
        <v>75</v>
      </c>
      <c r="T28" s="270">
        <f>IF(T13=1,Thermostat!$B$5,Thermostat!$B$6)</f>
        <v>75</v>
      </c>
      <c r="U28" s="270">
        <f>IF(U13=1,Thermostat!$B$5,Thermostat!$B$6)</f>
        <v>75</v>
      </c>
      <c r="V28" s="270">
        <f>IF(V13=1,Thermostat!$B$5,Thermostat!$B$6)</f>
        <v>75</v>
      </c>
      <c r="W28" s="270">
        <f>IF(W13=1,Thermostat!$B$5,Thermostat!$B$6)</f>
        <v>75</v>
      </c>
      <c r="X28" s="270">
        <f>IF(X13=1,Thermostat!$B$5,Thermostat!$B$6)</f>
        <v>75</v>
      </c>
      <c r="Y28" s="270">
        <f>IF(Y13=1,Thermostat!$B$5,Thermostat!$B$6)</f>
        <v>75</v>
      </c>
      <c r="Z28" s="270">
        <f>IF(Z13=1,Thermostat!$B$5,Thermostat!$B$6)</f>
        <v>75</v>
      </c>
      <c r="AA28" s="270">
        <f>IF(AA13=1,Thermostat!$B$5,Thermostat!$B$6)</f>
        <v>85</v>
      </c>
      <c r="AB28" s="270">
        <f>IF(AB13=1,Thermostat!$B$5,Thermostat!$B$6)</f>
        <v>85</v>
      </c>
      <c r="AC28" s="271">
        <f>IF(AC13=1,Thermostat!$B$5,Thermostat!$B$6)</f>
        <v>85</v>
      </c>
    </row>
    <row r="29" spans="1:29" ht="26.45" customHeight="1">
      <c r="A29" s="440"/>
      <c r="B29" s="447"/>
      <c r="C29" s="454"/>
      <c r="D29" s="436"/>
      <c r="E29" s="272" t="s">
        <v>366</v>
      </c>
      <c r="F29" s="273">
        <f>IF(F14=1,Thermostat!$B$5,Thermostat!$B$6)</f>
        <v>85</v>
      </c>
      <c r="G29" s="273">
        <f>IF(G14=1,Thermostat!$B$5,Thermostat!$B$6)</f>
        <v>85</v>
      </c>
      <c r="H29" s="273">
        <f>IF(H14=1,Thermostat!$B$5,Thermostat!$B$6)</f>
        <v>85</v>
      </c>
      <c r="I29" s="273">
        <f>IF(I14=1,Thermostat!$B$5,Thermostat!$B$6)</f>
        <v>85</v>
      </c>
      <c r="J29" s="273">
        <f>IF(J14=1,Thermostat!$B$5,Thermostat!$B$6)</f>
        <v>85</v>
      </c>
      <c r="K29" s="273">
        <f>IF(K14=1,Thermostat!$B$5,Thermostat!$B$6)</f>
        <v>85</v>
      </c>
      <c r="L29" s="273">
        <f>IF(L14=1,Thermostat!$B$5,Thermostat!$B$6)</f>
        <v>75</v>
      </c>
      <c r="M29" s="273">
        <f>IF(M14=1,Thermostat!$B$5,Thermostat!$B$6)</f>
        <v>75</v>
      </c>
      <c r="N29" s="273">
        <f>IF(N14=1,Thermostat!$B$5,Thermostat!$B$6)</f>
        <v>75</v>
      </c>
      <c r="O29" s="273">
        <f>IF(O14=1,Thermostat!$B$5,Thermostat!$B$6)</f>
        <v>75</v>
      </c>
      <c r="P29" s="273">
        <f>IF(P14=1,Thermostat!$B$5,Thermostat!$B$6)</f>
        <v>75</v>
      </c>
      <c r="Q29" s="273">
        <f>IF(Q14=1,Thermostat!$B$5,Thermostat!$B$6)</f>
        <v>75</v>
      </c>
      <c r="R29" s="273">
        <f>IF(R14=1,Thermostat!$B$5,Thermostat!$B$6)</f>
        <v>75</v>
      </c>
      <c r="S29" s="273">
        <f>IF(S14=1,Thermostat!$B$5,Thermostat!$B$6)</f>
        <v>75</v>
      </c>
      <c r="T29" s="273">
        <f>IF(T14=1,Thermostat!$B$5,Thermostat!$B$6)</f>
        <v>75</v>
      </c>
      <c r="U29" s="273">
        <f>IF(U14=1,Thermostat!$B$5,Thermostat!$B$6)</f>
        <v>75</v>
      </c>
      <c r="V29" s="273">
        <f>IF(V14=1,Thermostat!$B$5,Thermostat!$B$6)</f>
        <v>75</v>
      </c>
      <c r="W29" s="273">
        <f>IF(W14=1,Thermostat!$B$5,Thermostat!$B$6)</f>
        <v>75</v>
      </c>
      <c r="X29" s="273">
        <f>IF(X14=1,Thermostat!$B$5,Thermostat!$B$6)</f>
        <v>75</v>
      </c>
      <c r="Y29" s="273">
        <f>IF(Y14=1,Thermostat!$B$5,Thermostat!$B$6)</f>
        <v>75</v>
      </c>
      <c r="Z29" s="273">
        <f>IF(Z14=1,Thermostat!$B$5,Thermostat!$B$6)</f>
        <v>75</v>
      </c>
      <c r="AA29" s="273">
        <f>IF(AA14=1,Thermostat!$B$5,Thermostat!$B$6)</f>
        <v>75</v>
      </c>
      <c r="AB29" s="273">
        <f>IF(AB14=1,Thermostat!$B$5,Thermostat!$B$6)</f>
        <v>85</v>
      </c>
      <c r="AC29" s="274">
        <f>IF(AC14=1,Thermostat!$B$5,Thermostat!$B$6)</f>
        <v>85</v>
      </c>
    </row>
    <row r="30" spans="1:29" ht="26.45" customHeight="1" thickBot="1">
      <c r="A30" s="442"/>
      <c r="B30" s="449"/>
      <c r="C30" s="471"/>
      <c r="D30" s="437"/>
      <c r="E30" s="275" t="s">
        <v>367</v>
      </c>
      <c r="F30" s="276">
        <f>IF(F15=1,Thermostat!$B$5,Thermostat!$B$6)</f>
        <v>85</v>
      </c>
      <c r="G30" s="276">
        <f>IF(G15=1,Thermostat!$B$5,Thermostat!$B$6)</f>
        <v>85</v>
      </c>
      <c r="H30" s="276">
        <f>IF(H15=1,Thermostat!$B$5,Thermostat!$B$6)</f>
        <v>85</v>
      </c>
      <c r="I30" s="276">
        <f>IF(I15=1,Thermostat!$B$5,Thermostat!$B$6)</f>
        <v>85</v>
      </c>
      <c r="J30" s="276">
        <f>IF(J15=1,Thermostat!$B$5,Thermostat!$B$6)</f>
        <v>85</v>
      </c>
      <c r="K30" s="276">
        <f>IF(K15=1,Thermostat!$B$5,Thermostat!$B$6)</f>
        <v>85</v>
      </c>
      <c r="L30" s="276">
        <f>IF(L15=1,Thermostat!$B$5,Thermostat!$B$6)</f>
        <v>85</v>
      </c>
      <c r="M30" s="276">
        <f>IF(M15=1,Thermostat!$B$5,Thermostat!$B$6)</f>
        <v>85</v>
      </c>
      <c r="N30" s="276">
        <f>IF(N15=1,Thermostat!$B$5,Thermostat!$B$6)</f>
        <v>75</v>
      </c>
      <c r="O30" s="276">
        <f>IF(O15=1,Thermostat!$B$5,Thermostat!$B$6)</f>
        <v>75</v>
      </c>
      <c r="P30" s="276">
        <f>IF(P15=1,Thermostat!$B$5,Thermostat!$B$6)</f>
        <v>75</v>
      </c>
      <c r="Q30" s="276">
        <f>IF(Q15=1,Thermostat!$B$5,Thermostat!$B$6)</f>
        <v>75</v>
      </c>
      <c r="R30" s="276">
        <f>IF(R15=1,Thermostat!$B$5,Thermostat!$B$6)</f>
        <v>75</v>
      </c>
      <c r="S30" s="276">
        <f>IF(S15=1,Thermostat!$B$5,Thermostat!$B$6)</f>
        <v>75</v>
      </c>
      <c r="T30" s="276">
        <f>IF(T15=1,Thermostat!$B$5,Thermostat!$B$6)</f>
        <v>75</v>
      </c>
      <c r="U30" s="276">
        <f>IF(U15=1,Thermostat!$B$5,Thermostat!$B$6)</f>
        <v>75</v>
      </c>
      <c r="V30" s="276">
        <f>IF(V15=1,Thermostat!$B$5,Thermostat!$B$6)</f>
        <v>75</v>
      </c>
      <c r="W30" s="276">
        <f>IF(W15=1,Thermostat!$B$5,Thermostat!$B$6)</f>
        <v>75</v>
      </c>
      <c r="X30" s="276">
        <f>IF(X15=1,Thermostat!$B$5,Thermostat!$B$6)</f>
        <v>75</v>
      </c>
      <c r="Y30" s="276">
        <f>IF(Y15=1,Thermostat!$B$5,Thermostat!$B$6)</f>
        <v>85</v>
      </c>
      <c r="Z30" s="276">
        <f>IF(Z15=1,Thermostat!$B$5,Thermostat!$B$6)</f>
        <v>85</v>
      </c>
      <c r="AA30" s="276">
        <f>IF(AA15=1,Thermostat!$B$5,Thermostat!$B$6)</f>
        <v>85</v>
      </c>
      <c r="AB30" s="276">
        <f>IF(AB15=1,Thermostat!$B$5,Thermostat!$B$6)</f>
        <v>85</v>
      </c>
      <c r="AC30" s="277">
        <f>IF(AC15=1,Thermostat!$B$5,Thermostat!$B$6)</f>
        <v>85</v>
      </c>
    </row>
    <row r="31" spans="1:29" ht="26.45" customHeight="1" thickBot="1">
      <c r="A31" s="472" t="s">
        <v>376</v>
      </c>
      <c r="B31" s="473"/>
      <c r="C31" s="473"/>
      <c r="D31" s="473"/>
      <c r="E31" s="473"/>
      <c r="F31" s="473"/>
      <c r="G31" s="473"/>
      <c r="H31" s="473"/>
      <c r="I31" s="473"/>
      <c r="J31" s="473"/>
      <c r="K31" s="473"/>
      <c r="L31" s="473"/>
      <c r="M31" s="473"/>
      <c r="N31" s="473"/>
      <c r="O31" s="473"/>
      <c r="P31" s="473"/>
      <c r="Q31" s="473"/>
      <c r="R31" s="473"/>
      <c r="S31" s="473"/>
      <c r="T31" s="473"/>
      <c r="U31" s="473"/>
      <c r="V31" s="473"/>
      <c r="W31" s="473"/>
      <c r="X31" s="473"/>
      <c r="Y31" s="473"/>
      <c r="Z31" s="473"/>
      <c r="AA31" s="473"/>
      <c r="AB31" s="473"/>
      <c r="AC31" s="474"/>
    </row>
    <row r="32" spans="1:29" ht="26.45" customHeight="1">
      <c r="A32" s="429"/>
      <c r="B32" s="460" t="s">
        <v>377</v>
      </c>
      <c r="C32" s="462" t="s">
        <v>378</v>
      </c>
      <c r="D32" s="465"/>
      <c r="E32" s="309" t="s">
        <v>365</v>
      </c>
      <c r="F32" s="310">
        <v>1</v>
      </c>
      <c r="G32" s="310">
        <v>1</v>
      </c>
      <c r="H32" s="310">
        <v>1</v>
      </c>
      <c r="I32" s="310">
        <v>1</v>
      </c>
      <c r="J32" s="310">
        <v>1</v>
      </c>
      <c r="K32" s="310">
        <v>1</v>
      </c>
      <c r="L32" s="310">
        <v>1</v>
      </c>
      <c r="M32" s="310">
        <v>1</v>
      </c>
      <c r="N32" s="310">
        <v>1</v>
      </c>
      <c r="O32" s="310">
        <v>1</v>
      </c>
      <c r="P32" s="310">
        <v>1</v>
      </c>
      <c r="Q32" s="310">
        <v>1</v>
      </c>
      <c r="R32" s="310">
        <v>1</v>
      </c>
      <c r="S32" s="310">
        <v>1</v>
      </c>
      <c r="T32" s="310">
        <v>1</v>
      </c>
      <c r="U32" s="310">
        <v>1</v>
      </c>
      <c r="V32" s="310">
        <v>1</v>
      </c>
      <c r="W32" s="310">
        <v>1</v>
      </c>
      <c r="X32" s="310">
        <v>1</v>
      </c>
      <c r="Y32" s="310">
        <v>1</v>
      </c>
      <c r="Z32" s="310">
        <v>1</v>
      </c>
      <c r="AA32" s="310">
        <v>1</v>
      </c>
      <c r="AB32" s="310">
        <v>1</v>
      </c>
      <c r="AC32" s="311">
        <v>1</v>
      </c>
    </row>
    <row r="33" spans="1:29" ht="26.45" customHeight="1">
      <c r="A33" s="458"/>
      <c r="B33" s="444"/>
      <c r="C33" s="463"/>
      <c r="D33" s="466"/>
      <c r="E33" s="312" t="s">
        <v>366</v>
      </c>
      <c r="F33" s="313">
        <v>1</v>
      </c>
      <c r="G33" s="313">
        <v>1</v>
      </c>
      <c r="H33" s="313">
        <v>1</v>
      </c>
      <c r="I33" s="313">
        <v>1</v>
      </c>
      <c r="J33" s="313">
        <v>1</v>
      </c>
      <c r="K33" s="313">
        <v>1</v>
      </c>
      <c r="L33" s="313">
        <v>1</v>
      </c>
      <c r="M33" s="313">
        <v>1</v>
      </c>
      <c r="N33" s="313">
        <v>1</v>
      </c>
      <c r="O33" s="313">
        <v>1</v>
      </c>
      <c r="P33" s="313">
        <v>1</v>
      </c>
      <c r="Q33" s="313">
        <v>1</v>
      </c>
      <c r="R33" s="313">
        <v>1</v>
      </c>
      <c r="S33" s="313">
        <v>1</v>
      </c>
      <c r="T33" s="313">
        <v>1</v>
      </c>
      <c r="U33" s="313">
        <v>1</v>
      </c>
      <c r="V33" s="313">
        <v>1</v>
      </c>
      <c r="W33" s="313">
        <v>1</v>
      </c>
      <c r="X33" s="313">
        <v>1</v>
      </c>
      <c r="Y33" s="313">
        <v>1</v>
      </c>
      <c r="Z33" s="313">
        <v>1</v>
      </c>
      <c r="AA33" s="313">
        <v>1</v>
      </c>
      <c r="AB33" s="313">
        <v>1</v>
      </c>
      <c r="AC33" s="314">
        <v>1</v>
      </c>
    </row>
    <row r="34" spans="1:29" ht="26.45" customHeight="1" thickBot="1">
      <c r="A34" s="459"/>
      <c r="B34" s="461"/>
      <c r="C34" s="464"/>
      <c r="D34" s="467"/>
      <c r="E34" s="315" t="s">
        <v>367</v>
      </c>
      <c r="F34" s="316">
        <v>1</v>
      </c>
      <c r="G34" s="316">
        <v>1</v>
      </c>
      <c r="H34" s="316">
        <v>1</v>
      </c>
      <c r="I34" s="316">
        <v>1</v>
      </c>
      <c r="J34" s="316">
        <v>1</v>
      </c>
      <c r="K34" s="316">
        <v>1</v>
      </c>
      <c r="L34" s="316">
        <v>1</v>
      </c>
      <c r="M34" s="316">
        <v>1</v>
      </c>
      <c r="N34" s="316">
        <v>1</v>
      </c>
      <c r="O34" s="316">
        <v>1</v>
      </c>
      <c r="P34" s="316">
        <v>1</v>
      </c>
      <c r="Q34" s="316">
        <v>1</v>
      </c>
      <c r="R34" s="316">
        <v>1</v>
      </c>
      <c r="S34" s="316">
        <v>1</v>
      </c>
      <c r="T34" s="316">
        <v>1</v>
      </c>
      <c r="U34" s="316">
        <v>1</v>
      </c>
      <c r="V34" s="316">
        <v>1</v>
      </c>
      <c r="W34" s="316">
        <v>1</v>
      </c>
      <c r="X34" s="316">
        <v>1</v>
      </c>
      <c r="Y34" s="316">
        <v>1</v>
      </c>
      <c r="Z34" s="316">
        <v>1</v>
      </c>
      <c r="AA34" s="316">
        <v>1</v>
      </c>
      <c r="AB34" s="316">
        <v>1</v>
      </c>
      <c r="AC34" s="317">
        <v>1</v>
      </c>
    </row>
    <row r="35" spans="1:29" ht="26.45" customHeight="1">
      <c r="A35" s="468"/>
      <c r="B35" s="469" t="s">
        <v>377</v>
      </c>
      <c r="C35" s="470" t="s">
        <v>379</v>
      </c>
      <c r="D35" s="466"/>
      <c r="E35" s="318" t="s">
        <v>365</v>
      </c>
      <c r="F35" s="320">
        <v>0</v>
      </c>
      <c r="G35" s="320">
        <v>0</v>
      </c>
      <c r="H35" s="320">
        <v>0</v>
      </c>
      <c r="I35" s="320">
        <v>0</v>
      </c>
      <c r="J35" s="320">
        <v>0</v>
      </c>
      <c r="K35" s="320">
        <v>1</v>
      </c>
      <c r="L35" s="320">
        <v>1</v>
      </c>
      <c r="M35" s="320">
        <v>1</v>
      </c>
      <c r="N35" s="320">
        <v>1</v>
      </c>
      <c r="O35" s="320">
        <v>1</v>
      </c>
      <c r="P35" s="320">
        <v>1</v>
      </c>
      <c r="Q35" s="320">
        <v>1</v>
      </c>
      <c r="R35" s="320">
        <v>1</v>
      </c>
      <c r="S35" s="320">
        <v>1</v>
      </c>
      <c r="T35" s="320">
        <v>1</v>
      </c>
      <c r="U35" s="320">
        <v>1</v>
      </c>
      <c r="V35" s="320">
        <v>1</v>
      </c>
      <c r="W35" s="320">
        <v>1</v>
      </c>
      <c r="X35" s="320">
        <v>1</v>
      </c>
      <c r="Y35" s="320">
        <v>1</v>
      </c>
      <c r="Z35" s="320">
        <v>1</v>
      </c>
      <c r="AA35" s="320">
        <v>1</v>
      </c>
      <c r="AB35" s="320">
        <v>0</v>
      </c>
      <c r="AC35" s="321">
        <v>0</v>
      </c>
    </row>
    <row r="36" spans="1:29" ht="26.45" customHeight="1">
      <c r="A36" s="440"/>
      <c r="B36" s="444"/>
      <c r="C36" s="463"/>
      <c r="D36" s="466"/>
      <c r="E36" s="312" t="s">
        <v>366</v>
      </c>
      <c r="F36" s="313">
        <v>0</v>
      </c>
      <c r="G36" s="313">
        <v>0</v>
      </c>
      <c r="H36" s="313">
        <v>0</v>
      </c>
      <c r="I36" s="313">
        <v>0</v>
      </c>
      <c r="J36" s="313">
        <v>0</v>
      </c>
      <c r="K36" s="313">
        <v>1</v>
      </c>
      <c r="L36" s="313">
        <v>1</v>
      </c>
      <c r="M36" s="313">
        <v>1</v>
      </c>
      <c r="N36" s="313">
        <v>1</v>
      </c>
      <c r="O36" s="313">
        <v>1</v>
      </c>
      <c r="P36" s="313">
        <v>1</v>
      </c>
      <c r="Q36" s="313">
        <v>1</v>
      </c>
      <c r="R36" s="313">
        <v>1</v>
      </c>
      <c r="S36" s="313">
        <v>1</v>
      </c>
      <c r="T36" s="313">
        <v>1</v>
      </c>
      <c r="U36" s="313">
        <v>1</v>
      </c>
      <c r="V36" s="313">
        <v>1</v>
      </c>
      <c r="W36" s="313">
        <v>1</v>
      </c>
      <c r="X36" s="313">
        <v>1</v>
      </c>
      <c r="Y36" s="313">
        <v>1</v>
      </c>
      <c r="Z36" s="313">
        <v>1</v>
      </c>
      <c r="AA36" s="313">
        <v>1</v>
      </c>
      <c r="AB36" s="313">
        <v>1</v>
      </c>
      <c r="AC36" s="322">
        <v>1</v>
      </c>
    </row>
    <row r="37" spans="1:29" ht="26.45" customHeight="1" thickBot="1">
      <c r="A37" s="441"/>
      <c r="B37" s="445"/>
      <c r="C37" s="463"/>
      <c r="D37" s="466"/>
      <c r="E37" s="319" t="s">
        <v>367</v>
      </c>
      <c r="F37" s="323">
        <v>0</v>
      </c>
      <c r="G37" s="323">
        <v>0</v>
      </c>
      <c r="H37" s="323">
        <v>0</v>
      </c>
      <c r="I37" s="323">
        <v>0</v>
      </c>
      <c r="J37" s="323">
        <v>0</v>
      </c>
      <c r="K37" s="323">
        <v>1</v>
      </c>
      <c r="L37" s="323">
        <v>1</v>
      </c>
      <c r="M37" s="323">
        <v>1</v>
      </c>
      <c r="N37" s="323">
        <v>1</v>
      </c>
      <c r="O37" s="323">
        <v>1</v>
      </c>
      <c r="P37" s="323">
        <v>1</v>
      </c>
      <c r="Q37" s="323">
        <v>1</v>
      </c>
      <c r="R37" s="323">
        <v>1</v>
      </c>
      <c r="S37" s="323">
        <v>1</v>
      </c>
      <c r="T37" s="323">
        <v>1</v>
      </c>
      <c r="U37" s="323">
        <v>1</v>
      </c>
      <c r="V37" s="323">
        <v>1</v>
      </c>
      <c r="W37" s="323">
        <v>1</v>
      </c>
      <c r="X37" s="323">
        <v>1</v>
      </c>
      <c r="Y37" s="323">
        <v>1</v>
      </c>
      <c r="Z37" s="323">
        <v>1</v>
      </c>
      <c r="AA37" s="323">
        <v>1</v>
      </c>
      <c r="AB37" s="323">
        <v>1</v>
      </c>
      <c r="AC37" s="324">
        <v>1</v>
      </c>
    </row>
    <row r="38" spans="1:29" ht="26.45" customHeight="1">
      <c r="A38" s="429" t="s">
        <v>380</v>
      </c>
      <c r="B38" s="432" t="s">
        <v>377</v>
      </c>
      <c r="C38" s="432" t="s">
        <v>381</v>
      </c>
      <c r="D38" s="435" t="s">
        <v>382</v>
      </c>
      <c r="E38" s="278" t="s">
        <v>365</v>
      </c>
      <c r="F38" s="281">
        <v>131.9</v>
      </c>
      <c r="G38" s="281">
        <v>131.9</v>
      </c>
      <c r="H38" s="281">
        <v>131.9</v>
      </c>
      <c r="I38" s="281">
        <v>131.9</v>
      </c>
      <c r="J38" s="281">
        <v>131.9</v>
      </c>
      <c r="K38" s="281">
        <v>131.9</v>
      </c>
      <c r="L38" s="281">
        <v>131.9</v>
      </c>
      <c r="M38" s="281">
        <v>131.9</v>
      </c>
      <c r="N38" s="281">
        <v>131.9</v>
      </c>
      <c r="O38" s="281">
        <v>131.9</v>
      </c>
      <c r="P38" s="281">
        <v>131.9</v>
      </c>
      <c r="Q38" s="281">
        <v>131.9</v>
      </c>
      <c r="R38" s="281">
        <v>131.9</v>
      </c>
      <c r="S38" s="281">
        <v>131.9</v>
      </c>
      <c r="T38" s="281">
        <v>131.9</v>
      </c>
      <c r="U38" s="281">
        <v>131.9</v>
      </c>
      <c r="V38" s="281">
        <v>131.9</v>
      </c>
      <c r="W38" s="281">
        <v>131.9</v>
      </c>
      <c r="X38" s="281">
        <v>131.9</v>
      </c>
      <c r="Y38" s="281">
        <v>131.9</v>
      </c>
      <c r="Z38" s="281">
        <v>131.9</v>
      </c>
      <c r="AA38" s="281">
        <v>131.9</v>
      </c>
      <c r="AB38" s="281">
        <v>131.9</v>
      </c>
      <c r="AC38" s="282">
        <v>131.9</v>
      </c>
    </row>
    <row r="39" spans="1:29" ht="26.45" customHeight="1">
      <c r="A39" s="430"/>
      <c r="B39" s="433"/>
      <c r="C39" s="433"/>
      <c r="D39" s="436"/>
      <c r="E39" s="279" t="s">
        <v>366</v>
      </c>
      <c r="F39" s="273">
        <v>131.9</v>
      </c>
      <c r="G39" s="273">
        <v>131.9</v>
      </c>
      <c r="H39" s="273">
        <v>131.9</v>
      </c>
      <c r="I39" s="273">
        <v>131.9</v>
      </c>
      <c r="J39" s="273">
        <v>131.9</v>
      </c>
      <c r="K39" s="273">
        <v>131.9</v>
      </c>
      <c r="L39" s="273">
        <v>131.9</v>
      </c>
      <c r="M39" s="273">
        <v>131.9</v>
      </c>
      <c r="N39" s="273">
        <v>131.9</v>
      </c>
      <c r="O39" s="273">
        <v>131.9</v>
      </c>
      <c r="P39" s="273">
        <v>131.9</v>
      </c>
      <c r="Q39" s="273">
        <v>131.9</v>
      </c>
      <c r="R39" s="273">
        <v>131.9</v>
      </c>
      <c r="S39" s="273">
        <v>131.9</v>
      </c>
      <c r="T39" s="273">
        <v>131.9</v>
      </c>
      <c r="U39" s="273">
        <v>131.9</v>
      </c>
      <c r="V39" s="273">
        <v>131.9</v>
      </c>
      <c r="W39" s="273">
        <v>131.9</v>
      </c>
      <c r="X39" s="273">
        <v>131.9</v>
      </c>
      <c r="Y39" s="273">
        <v>131.9</v>
      </c>
      <c r="Z39" s="273">
        <v>131.9</v>
      </c>
      <c r="AA39" s="273">
        <v>131.9</v>
      </c>
      <c r="AB39" s="273">
        <v>131.9</v>
      </c>
      <c r="AC39" s="283">
        <v>131.9</v>
      </c>
    </row>
    <row r="40" spans="1:29" ht="26.45" customHeight="1" thickBot="1">
      <c r="A40" s="431"/>
      <c r="B40" s="434"/>
      <c r="C40" s="434"/>
      <c r="D40" s="437"/>
      <c r="E40" s="280" t="s">
        <v>367</v>
      </c>
      <c r="F40" s="284">
        <v>131.9</v>
      </c>
      <c r="G40" s="284">
        <v>131.9</v>
      </c>
      <c r="H40" s="284">
        <v>131.9</v>
      </c>
      <c r="I40" s="284">
        <v>131.9</v>
      </c>
      <c r="J40" s="284">
        <v>131.9</v>
      </c>
      <c r="K40" s="284">
        <v>131.9</v>
      </c>
      <c r="L40" s="284">
        <v>131.9</v>
      </c>
      <c r="M40" s="284">
        <v>131.9</v>
      </c>
      <c r="N40" s="284">
        <v>131.9</v>
      </c>
      <c r="O40" s="284">
        <v>131.9</v>
      </c>
      <c r="P40" s="284">
        <v>131.9</v>
      </c>
      <c r="Q40" s="284">
        <v>131.9</v>
      </c>
      <c r="R40" s="284">
        <v>131.9</v>
      </c>
      <c r="S40" s="284">
        <v>131.9</v>
      </c>
      <c r="T40" s="284">
        <v>131.9</v>
      </c>
      <c r="U40" s="284">
        <v>131.9</v>
      </c>
      <c r="V40" s="284">
        <v>131.9</v>
      </c>
      <c r="W40" s="284">
        <v>131.9</v>
      </c>
      <c r="X40" s="284">
        <v>131.9</v>
      </c>
      <c r="Y40" s="284">
        <v>131.9</v>
      </c>
      <c r="Z40" s="284">
        <v>131.9</v>
      </c>
      <c r="AA40" s="284">
        <v>131.9</v>
      </c>
      <c r="AB40" s="284">
        <v>131.9</v>
      </c>
      <c r="AC40" s="285">
        <v>131.9</v>
      </c>
    </row>
    <row r="41" spans="1:29" ht="27.6" customHeight="1">
      <c r="A41" s="429" t="s">
        <v>380</v>
      </c>
      <c r="B41" s="432" t="s">
        <v>377</v>
      </c>
      <c r="C41" s="432" t="s">
        <v>383</v>
      </c>
      <c r="D41" s="435" t="s">
        <v>382</v>
      </c>
      <c r="E41" s="278" t="s">
        <v>365</v>
      </c>
      <c r="F41" s="281">
        <v>146.5</v>
      </c>
      <c r="G41" s="281">
        <v>146.5</v>
      </c>
      <c r="H41" s="281">
        <v>146.5</v>
      </c>
      <c r="I41" s="281">
        <v>146.5</v>
      </c>
      <c r="J41" s="281">
        <v>146.5</v>
      </c>
      <c r="K41" s="281">
        <v>146.5</v>
      </c>
      <c r="L41" s="281">
        <v>146.5</v>
      </c>
      <c r="M41" s="281">
        <v>146.5</v>
      </c>
      <c r="N41" s="281">
        <v>146.5</v>
      </c>
      <c r="O41" s="281">
        <v>146.5</v>
      </c>
      <c r="P41" s="281">
        <v>146.5</v>
      </c>
      <c r="Q41" s="281">
        <v>146.5</v>
      </c>
      <c r="R41" s="281">
        <v>146.5</v>
      </c>
      <c r="S41" s="281">
        <v>146.5</v>
      </c>
      <c r="T41" s="281">
        <v>146.5</v>
      </c>
      <c r="U41" s="281">
        <v>146.5</v>
      </c>
      <c r="V41" s="281">
        <v>146.5</v>
      </c>
      <c r="W41" s="281">
        <v>146.5</v>
      </c>
      <c r="X41" s="281">
        <v>146.5</v>
      </c>
      <c r="Y41" s="281">
        <v>146.5</v>
      </c>
      <c r="Z41" s="281">
        <v>146.5</v>
      </c>
      <c r="AA41" s="281">
        <v>146.5</v>
      </c>
      <c r="AB41" s="281">
        <v>146.5</v>
      </c>
      <c r="AC41" s="282">
        <v>146.5</v>
      </c>
    </row>
    <row r="42" spans="1:29" ht="27.6" customHeight="1">
      <c r="A42" s="430"/>
      <c r="B42" s="433"/>
      <c r="C42" s="433"/>
      <c r="D42" s="436"/>
      <c r="E42" s="279" t="s">
        <v>366</v>
      </c>
      <c r="F42" s="273">
        <v>146.5</v>
      </c>
      <c r="G42" s="273">
        <v>146.5</v>
      </c>
      <c r="H42" s="273">
        <v>146.5</v>
      </c>
      <c r="I42" s="273">
        <v>146.5</v>
      </c>
      <c r="J42" s="273">
        <v>146.5</v>
      </c>
      <c r="K42" s="273">
        <v>146.5</v>
      </c>
      <c r="L42" s="273">
        <v>146.5</v>
      </c>
      <c r="M42" s="273">
        <v>146.5</v>
      </c>
      <c r="N42" s="273">
        <v>146.5</v>
      </c>
      <c r="O42" s="273">
        <v>146.5</v>
      </c>
      <c r="P42" s="273">
        <v>146.5</v>
      </c>
      <c r="Q42" s="273">
        <v>146.5</v>
      </c>
      <c r="R42" s="273">
        <v>146.5</v>
      </c>
      <c r="S42" s="273">
        <v>146.5</v>
      </c>
      <c r="T42" s="273">
        <v>146.5</v>
      </c>
      <c r="U42" s="273">
        <v>146.5</v>
      </c>
      <c r="V42" s="273">
        <v>146.5</v>
      </c>
      <c r="W42" s="273">
        <v>146.5</v>
      </c>
      <c r="X42" s="273">
        <v>146.5</v>
      </c>
      <c r="Y42" s="273">
        <v>146.5</v>
      </c>
      <c r="Z42" s="273">
        <v>146.5</v>
      </c>
      <c r="AA42" s="273">
        <v>146.5</v>
      </c>
      <c r="AB42" s="273">
        <v>146.5</v>
      </c>
      <c r="AC42" s="283">
        <v>146.5</v>
      </c>
    </row>
    <row r="43" spans="1:29" ht="27.6" customHeight="1" thickBot="1">
      <c r="A43" s="431"/>
      <c r="B43" s="434"/>
      <c r="C43" s="434"/>
      <c r="D43" s="437"/>
      <c r="E43" s="280" t="s">
        <v>367</v>
      </c>
      <c r="F43" s="284">
        <v>146.5</v>
      </c>
      <c r="G43" s="284">
        <v>146.5</v>
      </c>
      <c r="H43" s="284">
        <v>146.5</v>
      </c>
      <c r="I43" s="284">
        <v>146.5</v>
      </c>
      <c r="J43" s="284">
        <v>146.5</v>
      </c>
      <c r="K43" s="284">
        <v>146.5</v>
      </c>
      <c r="L43" s="284">
        <v>146.5</v>
      </c>
      <c r="M43" s="284">
        <v>146.5</v>
      </c>
      <c r="N43" s="284">
        <v>146.5</v>
      </c>
      <c r="O43" s="284">
        <v>146.5</v>
      </c>
      <c r="P43" s="284">
        <v>146.5</v>
      </c>
      <c r="Q43" s="284">
        <v>146.5</v>
      </c>
      <c r="R43" s="284">
        <v>146.5</v>
      </c>
      <c r="S43" s="284">
        <v>146.5</v>
      </c>
      <c r="T43" s="284">
        <v>146.5</v>
      </c>
      <c r="U43" s="284">
        <v>146.5</v>
      </c>
      <c r="V43" s="284">
        <v>146.5</v>
      </c>
      <c r="W43" s="284">
        <v>146.5</v>
      </c>
      <c r="X43" s="284">
        <v>146.5</v>
      </c>
      <c r="Y43" s="284">
        <v>146.5</v>
      </c>
      <c r="Z43" s="284">
        <v>146.5</v>
      </c>
      <c r="AA43" s="284">
        <v>146.5</v>
      </c>
      <c r="AB43" s="284">
        <v>146.5</v>
      </c>
      <c r="AC43" s="285">
        <v>146.5</v>
      </c>
    </row>
    <row r="80" spans="1:6" s="55" customFormat="1" ht="18" customHeight="1">
      <c r="A80" s="297" t="s">
        <v>41</v>
      </c>
      <c r="B80" s="297"/>
      <c r="C80" s="297"/>
      <c r="D80" s="297"/>
      <c r="E80" s="297"/>
      <c r="F80" s="297"/>
    </row>
  </sheetData>
  <mergeCells count="60">
    <mergeCell ref="D4:D6"/>
    <mergeCell ref="C4:C6"/>
    <mergeCell ref="D7:D9"/>
    <mergeCell ref="A19:A21"/>
    <mergeCell ref="B19:B21"/>
    <mergeCell ref="C19:C21"/>
    <mergeCell ref="D19:D21"/>
    <mergeCell ref="A13:A15"/>
    <mergeCell ref="B13:B15"/>
    <mergeCell ref="C13:C15"/>
    <mergeCell ref="D13:D15"/>
    <mergeCell ref="A16:A18"/>
    <mergeCell ref="B16:B18"/>
    <mergeCell ref="C16:C18"/>
    <mergeCell ref="D16:D18"/>
    <mergeCell ref="A25:A27"/>
    <mergeCell ref="B25:B27"/>
    <mergeCell ref="C25:C27"/>
    <mergeCell ref="D25:D27"/>
    <mergeCell ref="A22:A24"/>
    <mergeCell ref="B22:B24"/>
    <mergeCell ref="C22:C24"/>
    <mergeCell ref="D22:D24"/>
    <mergeCell ref="A28:A30"/>
    <mergeCell ref="B28:B30"/>
    <mergeCell ref="C28:C30"/>
    <mergeCell ref="D28:D30"/>
    <mergeCell ref="A31:AC31"/>
    <mergeCell ref="A32:A34"/>
    <mergeCell ref="B32:B34"/>
    <mergeCell ref="C32:C34"/>
    <mergeCell ref="D32:D34"/>
    <mergeCell ref="A35:A37"/>
    <mergeCell ref="B35:B37"/>
    <mergeCell ref="C35:C37"/>
    <mergeCell ref="D35:D37"/>
    <mergeCell ref="A1:AC1"/>
    <mergeCell ref="A2:A3"/>
    <mergeCell ref="A4:A6"/>
    <mergeCell ref="A7:A9"/>
    <mergeCell ref="A10:A12"/>
    <mergeCell ref="B4:B6"/>
    <mergeCell ref="B7:B9"/>
    <mergeCell ref="B2:B3"/>
    <mergeCell ref="B10:B12"/>
    <mergeCell ref="D10:D12"/>
    <mergeCell ref="C10:C12"/>
    <mergeCell ref="C7:C9"/>
    <mergeCell ref="F2:AC2"/>
    <mergeCell ref="E2:E3"/>
    <mergeCell ref="D2:D3"/>
    <mergeCell ref="C2:C3"/>
    <mergeCell ref="A41:A43"/>
    <mergeCell ref="B41:B43"/>
    <mergeCell ref="C41:C43"/>
    <mergeCell ref="D41:D43"/>
    <mergeCell ref="A38:A40"/>
    <mergeCell ref="B38:B40"/>
    <mergeCell ref="C38:C40"/>
    <mergeCell ref="D38:D40"/>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AV25"/>
  <sheetViews>
    <sheetView zoomScaleNormal="100" workbookViewId="0">
      <selection sqref="A1:H1"/>
    </sheetView>
  </sheetViews>
  <sheetFormatPr defaultColWidth="8.7109375" defaultRowHeight="12.75" customHeight="1"/>
  <cols>
    <col min="1" max="1" width="13.28515625" style="2" customWidth="1"/>
    <col min="2" max="2" width="8.7109375" style="2"/>
    <col min="3" max="8" width="17" style="2" customWidth="1"/>
    <col min="9" max="11" width="13" style="2" customWidth="1"/>
    <col min="12" max="12" width="16.42578125" style="2" customWidth="1"/>
    <col min="13" max="13" width="12.42578125" style="2" customWidth="1"/>
    <col min="14" max="14" width="13" style="2" customWidth="1"/>
    <col min="15" max="15" width="15.42578125" style="2" customWidth="1"/>
    <col min="16" max="16" width="19.28515625" style="2" customWidth="1"/>
    <col min="17" max="18" width="18.28515625" style="2" customWidth="1"/>
    <col min="19" max="21" width="13.7109375" style="2" customWidth="1"/>
    <col min="22" max="22" width="15.7109375" style="2" customWidth="1"/>
    <col min="23" max="24" width="8.7109375" style="2"/>
    <col min="25" max="25" width="13.7109375" style="2" customWidth="1"/>
    <col min="26" max="28" width="8.7109375" style="2"/>
    <col min="29" max="29" width="12.42578125" style="2" customWidth="1"/>
    <col min="30" max="45" width="8.7109375" style="2"/>
    <col min="46" max="46" width="17.42578125" style="2" customWidth="1"/>
    <col min="47" max="16384" width="8.7109375" style="2"/>
  </cols>
  <sheetData>
    <row r="1" spans="1:48" ht="27" customHeight="1">
      <c r="A1" s="486" t="s">
        <v>384</v>
      </c>
      <c r="B1" s="487"/>
      <c r="C1" s="487"/>
      <c r="D1" s="487"/>
      <c r="E1" s="487"/>
      <c r="F1" s="487"/>
      <c r="G1" s="487"/>
      <c r="H1" s="487"/>
      <c r="I1" s="487" t="s">
        <v>385</v>
      </c>
      <c r="J1" s="487"/>
      <c r="K1" s="487"/>
      <c r="L1" s="487"/>
      <c r="N1" s="352" t="s">
        <v>386</v>
      </c>
      <c r="O1" s="352"/>
      <c r="P1" s="352"/>
      <c r="Q1" s="352"/>
      <c r="R1" s="352"/>
      <c r="S1" s="352"/>
      <c r="T1" s="352"/>
      <c r="U1" s="352"/>
      <c r="V1" s="352"/>
      <c r="Y1" s="375" t="s">
        <v>387</v>
      </c>
      <c r="Z1" s="375"/>
      <c r="AA1" s="375"/>
      <c r="AB1" s="375"/>
      <c r="AC1" s="375"/>
      <c r="AD1" s="375"/>
      <c r="AE1" s="375"/>
      <c r="AF1" s="375"/>
      <c r="AG1" s="375"/>
      <c r="AH1" s="375"/>
      <c r="AU1" s="2" t="s">
        <v>388</v>
      </c>
      <c r="AV1" s="2" t="s">
        <v>389</v>
      </c>
    </row>
    <row r="2" spans="1:48" ht="39" customHeight="1">
      <c r="A2" s="344" t="s">
        <v>10</v>
      </c>
      <c r="B2" s="344" t="s">
        <v>390</v>
      </c>
      <c r="C2" s="344" t="s">
        <v>391</v>
      </c>
      <c r="D2" s="344" t="s">
        <v>392</v>
      </c>
      <c r="E2" s="344" t="s">
        <v>393</v>
      </c>
      <c r="F2" s="344" t="s">
        <v>394</v>
      </c>
      <c r="G2" s="344" t="s">
        <v>395</v>
      </c>
      <c r="H2" s="344" t="s">
        <v>396</v>
      </c>
      <c r="I2" s="298" t="s">
        <v>397</v>
      </c>
      <c r="J2" s="298" t="s">
        <v>398</v>
      </c>
      <c r="K2" s="298" t="s">
        <v>399</v>
      </c>
      <c r="L2" s="298" t="s">
        <v>400</v>
      </c>
      <c r="N2" s="38" t="s">
        <v>10</v>
      </c>
      <c r="O2" s="46" t="s">
        <v>390</v>
      </c>
      <c r="P2" s="344" t="s">
        <v>401</v>
      </c>
      <c r="Q2" s="344" t="s">
        <v>402</v>
      </c>
      <c r="R2" s="344" t="s">
        <v>403</v>
      </c>
      <c r="S2" s="300" t="s">
        <v>404</v>
      </c>
      <c r="T2" s="300" t="s">
        <v>398</v>
      </c>
      <c r="U2" s="300" t="s">
        <v>399</v>
      </c>
      <c r="V2" s="300" t="s">
        <v>405</v>
      </c>
      <c r="Y2" s="483" t="s">
        <v>406</v>
      </c>
      <c r="Z2" s="483"/>
      <c r="AA2" s="483"/>
      <c r="AB2" s="483"/>
      <c r="AC2" s="483"/>
      <c r="AD2" s="483"/>
      <c r="AE2" s="483"/>
      <c r="AF2" s="483"/>
      <c r="AG2" s="483"/>
      <c r="AH2" s="483"/>
      <c r="AJ2" s="305" t="s">
        <v>407</v>
      </c>
      <c r="AT2" s="326" t="s">
        <v>408</v>
      </c>
      <c r="AU2" s="326">
        <f>1330</f>
        <v>1330</v>
      </c>
      <c r="AV2" s="326">
        <v>119</v>
      </c>
    </row>
    <row r="3" spans="1:48" ht="19.149999999999999" customHeight="1">
      <c r="A3" s="485" t="s">
        <v>45</v>
      </c>
      <c r="B3" s="346">
        <v>1</v>
      </c>
      <c r="C3" s="299">
        <v>36.6</v>
      </c>
      <c r="D3" s="299">
        <v>29.9</v>
      </c>
      <c r="E3" s="299">
        <v>66.5</v>
      </c>
      <c r="F3" s="346">
        <v>29.8</v>
      </c>
      <c r="G3" s="346">
        <v>0</v>
      </c>
      <c r="H3" s="346">
        <v>29.8</v>
      </c>
      <c r="I3" s="346">
        <v>46.8</v>
      </c>
      <c r="J3" s="299">
        <f>(I3*1.25)</f>
        <v>58.5</v>
      </c>
      <c r="K3" s="299">
        <f>(I3*0.75)</f>
        <v>35.099999999999994</v>
      </c>
      <c r="L3" s="299">
        <f>J3-K3</f>
        <v>23.400000000000006</v>
      </c>
      <c r="N3" s="484" t="s">
        <v>101</v>
      </c>
      <c r="O3" s="301">
        <v>1</v>
      </c>
      <c r="P3" s="302">
        <v>13814</v>
      </c>
      <c r="Q3" s="303">
        <v>37.873199999999997</v>
      </c>
      <c r="R3" s="303">
        <v>10.440720000000001</v>
      </c>
      <c r="S3" s="304">
        <v>48.313919999999996</v>
      </c>
      <c r="T3" s="304">
        <f t="shared" ref="T3:T18" si="0">S3*1.25</f>
        <v>60.392399999999995</v>
      </c>
      <c r="U3" s="304">
        <f t="shared" ref="U3:U18" si="1">S3*0.75</f>
        <v>36.235439999999997</v>
      </c>
      <c r="V3" s="304">
        <f t="shared" ref="V3:V18" si="2">T3-U3</f>
        <v>24.156959999999998</v>
      </c>
      <c r="AT3" s="305" t="s">
        <v>409</v>
      </c>
      <c r="AU3" s="306">
        <v>573</v>
      </c>
      <c r="AV3" s="306">
        <v>100</v>
      </c>
    </row>
    <row r="4" spans="1:48" ht="19.149999999999999" customHeight="1">
      <c r="A4" s="485"/>
      <c r="B4" s="346">
        <v>2</v>
      </c>
      <c r="C4" s="299">
        <v>37.9</v>
      </c>
      <c r="D4" s="299">
        <v>19.600000000000001</v>
      </c>
      <c r="E4" s="299">
        <v>57.5</v>
      </c>
      <c r="F4" s="346">
        <v>30.7</v>
      </c>
      <c r="G4" s="346">
        <v>0</v>
      </c>
      <c r="H4" s="346">
        <v>30.7</v>
      </c>
      <c r="I4" s="346">
        <v>58.4</v>
      </c>
      <c r="J4" s="299">
        <f t="shared" ref="J4:J18" si="3">(I4*1.25)</f>
        <v>73</v>
      </c>
      <c r="K4" s="299">
        <f t="shared" ref="K4:K18" si="4">(I4*0.75)</f>
        <v>43.8</v>
      </c>
      <c r="L4" s="299">
        <f t="shared" ref="L4:L18" si="5">J4-K4</f>
        <v>29.200000000000003</v>
      </c>
      <c r="N4" s="484"/>
      <c r="O4" s="301">
        <v>2</v>
      </c>
      <c r="P4" s="302">
        <v>25239</v>
      </c>
      <c r="Q4" s="303">
        <v>26.613599999999998</v>
      </c>
      <c r="R4" s="303">
        <v>14.842199999999998</v>
      </c>
      <c r="S4" s="304">
        <v>41.455799999999996</v>
      </c>
      <c r="T4" s="304">
        <f t="shared" si="0"/>
        <v>51.819749999999999</v>
      </c>
      <c r="U4" s="304">
        <f t="shared" si="1"/>
        <v>31.091849999999997</v>
      </c>
      <c r="V4" s="304">
        <f t="shared" si="2"/>
        <v>20.727900000000002</v>
      </c>
      <c r="AT4" s="305"/>
      <c r="AU4" s="307">
        <f>1-AU3/AU2</f>
        <v>0.569172932330827</v>
      </c>
      <c r="AV4" s="307">
        <f>1-AV3/AV2</f>
        <v>0.15966386554621848</v>
      </c>
    </row>
    <row r="5" spans="1:48" ht="19.149999999999999" customHeight="1">
      <c r="A5" s="485"/>
      <c r="B5" s="346">
        <v>3</v>
      </c>
      <c r="C5" s="299">
        <v>36.299999999999997</v>
      </c>
      <c r="D5" s="299">
        <v>15.2</v>
      </c>
      <c r="E5" s="299">
        <v>51.6</v>
      </c>
      <c r="F5" s="346">
        <v>26.8</v>
      </c>
      <c r="G5" s="346">
        <v>0</v>
      </c>
      <c r="H5" s="346">
        <v>26.8</v>
      </c>
      <c r="I5" s="346">
        <v>52.3</v>
      </c>
      <c r="J5" s="299">
        <f t="shared" si="3"/>
        <v>65.375</v>
      </c>
      <c r="K5" s="299">
        <f t="shared" si="4"/>
        <v>39.224999999999994</v>
      </c>
      <c r="L5" s="299">
        <f t="shared" si="5"/>
        <v>26.150000000000006</v>
      </c>
      <c r="N5" s="484"/>
      <c r="O5" s="301">
        <v>3</v>
      </c>
      <c r="P5" s="302">
        <v>88648</v>
      </c>
      <c r="Q5" s="303">
        <v>34.802399999999999</v>
      </c>
      <c r="R5" s="303">
        <v>11.873759999999999</v>
      </c>
      <c r="S5" s="304">
        <v>46.676159999999996</v>
      </c>
      <c r="T5" s="304">
        <f t="shared" si="0"/>
        <v>58.345199999999991</v>
      </c>
      <c r="U5" s="304">
        <f t="shared" si="1"/>
        <v>35.00712</v>
      </c>
      <c r="V5" s="304">
        <f t="shared" si="2"/>
        <v>23.338079999999991</v>
      </c>
    </row>
    <row r="6" spans="1:48" ht="19.149999999999999" customHeight="1">
      <c r="A6" s="485"/>
      <c r="B6" s="346">
        <v>4</v>
      </c>
      <c r="C6" s="299">
        <v>45</v>
      </c>
      <c r="D6" s="299">
        <v>19.5</v>
      </c>
      <c r="E6" s="299">
        <v>64.5</v>
      </c>
      <c r="F6" s="346">
        <v>32.299999999999997</v>
      </c>
      <c r="G6" s="346">
        <v>0</v>
      </c>
      <c r="H6" s="346">
        <v>32.299999999999997</v>
      </c>
      <c r="I6" s="346">
        <v>60.9</v>
      </c>
      <c r="J6" s="299">
        <f t="shared" si="3"/>
        <v>76.125</v>
      </c>
      <c r="K6" s="299">
        <f t="shared" si="4"/>
        <v>45.674999999999997</v>
      </c>
      <c r="L6" s="299">
        <f t="shared" si="5"/>
        <v>30.450000000000003</v>
      </c>
      <c r="N6" s="484"/>
      <c r="O6" s="301">
        <v>4</v>
      </c>
      <c r="P6" s="302">
        <v>44551</v>
      </c>
      <c r="Q6" s="303">
        <v>35.4848</v>
      </c>
      <c r="R6" s="303">
        <v>11.53256</v>
      </c>
      <c r="S6" s="304">
        <v>47.017359999999996</v>
      </c>
      <c r="T6" s="304">
        <f t="shared" si="0"/>
        <v>58.771699999999996</v>
      </c>
      <c r="U6" s="304">
        <f t="shared" si="1"/>
        <v>35.263019999999997</v>
      </c>
      <c r="V6" s="304">
        <f t="shared" si="2"/>
        <v>23.508679999999998</v>
      </c>
    </row>
    <row r="7" spans="1:48" ht="19.149999999999999" customHeight="1">
      <c r="A7" s="485"/>
      <c r="B7" s="346">
        <v>5</v>
      </c>
      <c r="C7" s="299">
        <v>29.4</v>
      </c>
      <c r="D7" s="299">
        <v>10.5</v>
      </c>
      <c r="E7" s="299">
        <v>40</v>
      </c>
      <c r="F7" s="346">
        <v>26.6</v>
      </c>
      <c r="G7" s="346">
        <v>0</v>
      </c>
      <c r="H7" s="346">
        <v>26.6</v>
      </c>
      <c r="I7" s="346">
        <v>50.4</v>
      </c>
      <c r="J7" s="299">
        <f t="shared" si="3"/>
        <v>63</v>
      </c>
      <c r="K7" s="299">
        <f t="shared" si="4"/>
        <v>37.799999999999997</v>
      </c>
      <c r="L7" s="299">
        <f t="shared" si="5"/>
        <v>25.200000000000003</v>
      </c>
      <c r="N7" s="484"/>
      <c r="O7" s="301">
        <v>5</v>
      </c>
      <c r="P7" s="302">
        <v>9847</v>
      </c>
      <c r="Q7" s="303">
        <v>31.7316</v>
      </c>
      <c r="R7" s="303">
        <v>14.60336</v>
      </c>
      <c r="S7" s="304">
        <v>46.334960000000002</v>
      </c>
      <c r="T7" s="304">
        <f t="shared" si="0"/>
        <v>57.918700000000001</v>
      </c>
      <c r="U7" s="304">
        <f t="shared" si="1"/>
        <v>34.751220000000004</v>
      </c>
      <c r="V7" s="304">
        <f t="shared" si="2"/>
        <v>23.167479999999998</v>
      </c>
    </row>
    <row r="8" spans="1:48" ht="19.149999999999999" customHeight="1">
      <c r="A8" s="485"/>
      <c r="B8" s="346">
        <v>6</v>
      </c>
      <c r="C8" s="299">
        <v>36.9</v>
      </c>
      <c r="D8" s="299">
        <v>4.5999999999999996</v>
      </c>
      <c r="E8" s="299">
        <v>41.4</v>
      </c>
      <c r="F8" s="346">
        <v>26.5</v>
      </c>
      <c r="G8" s="346">
        <v>0</v>
      </c>
      <c r="H8" s="346">
        <v>26.5</v>
      </c>
      <c r="I8" s="346">
        <v>57.8</v>
      </c>
      <c r="J8" s="299">
        <f t="shared" si="3"/>
        <v>72.25</v>
      </c>
      <c r="K8" s="299">
        <f t="shared" si="4"/>
        <v>43.349999999999994</v>
      </c>
      <c r="L8" s="299">
        <f t="shared" si="5"/>
        <v>28.900000000000006</v>
      </c>
      <c r="N8" s="484"/>
      <c r="O8" s="301">
        <v>6</v>
      </c>
      <c r="P8" s="302">
        <v>92562</v>
      </c>
      <c r="Q8" s="303">
        <v>29.3432</v>
      </c>
      <c r="R8" s="303">
        <v>4.6062000000000003</v>
      </c>
      <c r="S8" s="304">
        <v>33.949399999999997</v>
      </c>
      <c r="T8" s="304">
        <f t="shared" si="0"/>
        <v>42.436749999999996</v>
      </c>
      <c r="U8" s="304">
        <f t="shared" si="1"/>
        <v>25.462049999999998</v>
      </c>
      <c r="V8" s="304">
        <f t="shared" si="2"/>
        <v>16.974699999999999</v>
      </c>
    </row>
    <row r="9" spans="1:48" ht="19.149999999999999" customHeight="1">
      <c r="A9" s="485"/>
      <c r="B9" s="346">
        <v>7</v>
      </c>
      <c r="C9" s="299">
        <v>35.4</v>
      </c>
      <c r="D9" s="299">
        <v>3.3</v>
      </c>
      <c r="E9" s="299">
        <v>38.700000000000003</v>
      </c>
      <c r="F9" s="346">
        <v>26.3</v>
      </c>
      <c r="G9" s="346">
        <v>0</v>
      </c>
      <c r="H9" s="346">
        <v>26.3</v>
      </c>
      <c r="I9" s="346">
        <v>57.8</v>
      </c>
      <c r="J9" s="299">
        <f t="shared" si="3"/>
        <v>72.25</v>
      </c>
      <c r="K9" s="299">
        <f t="shared" si="4"/>
        <v>43.349999999999994</v>
      </c>
      <c r="L9" s="299">
        <f t="shared" si="5"/>
        <v>28.900000000000006</v>
      </c>
      <c r="N9" s="484"/>
      <c r="O9" s="301">
        <v>7</v>
      </c>
      <c r="P9" s="302">
        <v>63471</v>
      </c>
      <c r="Q9" s="303">
        <v>35.143599999999999</v>
      </c>
      <c r="R9" s="303">
        <v>3.1731600000000002</v>
      </c>
      <c r="S9" s="304">
        <v>38.316760000000002</v>
      </c>
      <c r="T9" s="304">
        <f t="shared" si="0"/>
        <v>47.895949999999999</v>
      </c>
      <c r="U9" s="304">
        <f t="shared" si="1"/>
        <v>28.737570000000002</v>
      </c>
      <c r="V9" s="304">
        <f t="shared" si="2"/>
        <v>19.158379999999998</v>
      </c>
    </row>
    <row r="10" spans="1:48" ht="19.149999999999999" customHeight="1">
      <c r="A10" s="485"/>
      <c r="B10" s="346">
        <v>8</v>
      </c>
      <c r="C10" s="299">
        <v>42.5</v>
      </c>
      <c r="D10" s="299">
        <v>5.0999999999999996</v>
      </c>
      <c r="E10" s="299">
        <v>47.7</v>
      </c>
      <c r="F10" s="346">
        <v>30</v>
      </c>
      <c r="G10" s="346">
        <v>0</v>
      </c>
      <c r="H10" s="346">
        <v>30</v>
      </c>
      <c r="I10" s="346">
        <v>58.9</v>
      </c>
      <c r="J10" s="299">
        <f t="shared" si="3"/>
        <v>73.625</v>
      </c>
      <c r="K10" s="299">
        <f t="shared" si="4"/>
        <v>44.174999999999997</v>
      </c>
      <c r="L10" s="299">
        <f t="shared" si="5"/>
        <v>29.450000000000003</v>
      </c>
      <c r="N10" s="484"/>
      <c r="O10" s="301">
        <v>8</v>
      </c>
      <c r="P10" s="302">
        <v>147354</v>
      </c>
      <c r="Q10" s="303">
        <v>29.001999999999999</v>
      </c>
      <c r="R10" s="303">
        <v>4.4697199999999997</v>
      </c>
      <c r="S10" s="304">
        <v>33.471719999999998</v>
      </c>
      <c r="T10" s="304">
        <f t="shared" si="0"/>
        <v>41.839649999999999</v>
      </c>
      <c r="U10" s="304">
        <f t="shared" si="1"/>
        <v>25.103789999999996</v>
      </c>
      <c r="V10" s="304">
        <f t="shared" si="2"/>
        <v>16.735860000000002</v>
      </c>
    </row>
    <row r="11" spans="1:48" ht="19.149999999999999" customHeight="1">
      <c r="A11" s="485"/>
      <c r="B11" s="346">
        <v>9</v>
      </c>
      <c r="C11" s="299">
        <v>47.8</v>
      </c>
      <c r="D11" s="299">
        <v>7.8</v>
      </c>
      <c r="E11" s="299">
        <v>55.6</v>
      </c>
      <c r="F11" s="346">
        <v>30</v>
      </c>
      <c r="G11" s="346">
        <v>0</v>
      </c>
      <c r="H11" s="346">
        <v>30</v>
      </c>
      <c r="I11" s="346">
        <v>59.6</v>
      </c>
      <c r="J11" s="299">
        <f t="shared" si="3"/>
        <v>74.5</v>
      </c>
      <c r="K11" s="299">
        <f t="shared" si="4"/>
        <v>44.7</v>
      </c>
      <c r="L11" s="299">
        <f t="shared" si="5"/>
        <v>29.799999999999997</v>
      </c>
      <c r="N11" s="484"/>
      <c r="O11" s="301">
        <v>9</v>
      </c>
      <c r="P11" s="302">
        <v>212697</v>
      </c>
      <c r="Q11" s="303">
        <v>32.072800000000001</v>
      </c>
      <c r="R11" s="303">
        <v>4.7767999999999997</v>
      </c>
      <c r="S11" s="304">
        <v>36.849600000000002</v>
      </c>
      <c r="T11" s="304">
        <f t="shared" si="0"/>
        <v>46.062000000000005</v>
      </c>
      <c r="U11" s="304">
        <f t="shared" si="1"/>
        <v>27.6372</v>
      </c>
      <c r="V11" s="304">
        <f t="shared" si="2"/>
        <v>18.424800000000005</v>
      </c>
    </row>
    <row r="12" spans="1:48" ht="19.149999999999999" customHeight="1">
      <c r="A12" s="485"/>
      <c r="B12" s="346">
        <v>10</v>
      </c>
      <c r="C12" s="299">
        <v>41.4</v>
      </c>
      <c r="D12" s="299">
        <v>6.5</v>
      </c>
      <c r="E12" s="299">
        <v>47.9</v>
      </c>
      <c r="F12" s="346">
        <v>31.5</v>
      </c>
      <c r="G12" s="346">
        <v>0</v>
      </c>
      <c r="H12" s="346">
        <v>31.5</v>
      </c>
      <c r="I12" s="346">
        <v>60.2</v>
      </c>
      <c r="J12" s="299">
        <f t="shared" si="3"/>
        <v>75.25</v>
      </c>
      <c r="K12" s="299">
        <f t="shared" si="4"/>
        <v>45.150000000000006</v>
      </c>
      <c r="L12" s="299">
        <f t="shared" si="5"/>
        <v>30.099999999999994</v>
      </c>
      <c r="N12" s="484"/>
      <c r="O12" s="301">
        <v>10</v>
      </c>
      <c r="P12" s="302">
        <v>149832</v>
      </c>
      <c r="Q12" s="303">
        <v>31.7316</v>
      </c>
      <c r="R12" s="303">
        <v>5.25448</v>
      </c>
      <c r="S12" s="304">
        <v>36.986080000000001</v>
      </c>
      <c r="T12" s="304">
        <f t="shared" si="0"/>
        <v>46.232600000000005</v>
      </c>
      <c r="U12" s="304">
        <f t="shared" si="1"/>
        <v>27.739560000000001</v>
      </c>
      <c r="V12" s="304">
        <f t="shared" si="2"/>
        <v>18.493040000000004</v>
      </c>
    </row>
    <row r="13" spans="1:48" ht="19.149999999999999" customHeight="1">
      <c r="A13" s="485"/>
      <c r="B13" s="346">
        <v>11</v>
      </c>
      <c r="C13" s="299">
        <v>47.3</v>
      </c>
      <c r="D13" s="299">
        <v>20.8</v>
      </c>
      <c r="E13" s="299">
        <v>68.099999999999994</v>
      </c>
      <c r="F13" s="346">
        <v>35.700000000000003</v>
      </c>
      <c r="G13" s="346">
        <v>0</v>
      </c>
      <c r="H13" s="346">
        <v>35.700000000000003</v>
      </c>
      <c r="I13" s="346">
        <v>62.3</v>
      </c>
      <c r="J13" s="299">
        <f t="shared" si="3"/>
        <v>77.875</v>
      </c>
      <c r="K13" s="299">
        <f t="shared" si="4"/>
        <v>46.724999999999994</v>
      </c>
      <c r="L13" s="299">
        <f t="shared" si="5"/>
        <v>31.150000000000006</v>
      </c>
      <c r="N13" s="484"/>
      <c r="O13" s="301">
        <v>11</v>
      </c>
      <c r="P13" s="302">
        <v>45934</v>
      </c>
      <c r="Q13" s="303">
        <v>36.167200000000001</v>
      </c>
      <c r="R13" s="303">
        <v>9.28064</v>
      </c>
      <c r="S13" s="304">
        <v>45.447839999999999</v>
      </c>
      <c r="T13" s="304">
        <f t="shared" si="0"/>
        <v>56.809799999999996</v>
      </c>
      <c r="U13" s="304">
        <f t="shared" si="1"/>
        <v>34.085880000000003</v>
      </c>
      <c r="V13" s="304">
        <f t="shared" si="2"/>
        <v>22.723919999999993</v>
      </c>
    </row>
    <row r="14" spans="1:48" ht="19.149999999999999" customHeight="1">
      <c r="A14" s="485"/>
      <c r="B14" s="346">
        <v>12</v>
      </c>
      <c r="C14" s="299">
        <v>43.4</v>
      </c>
      <c r="D14" s="299">
        <v>19.3</v>
      </c>
      <c r="E14" s="299">
        <v>62.7</v>
      </c>
      <c r="F14" s="346">
        <v>32.5</v>
      </c>
      <c r="G14" s="346">
        <v>0</v>
      </c>
      <c r="H14" s="346">
        <v>32.5</v>
      </c>
      <c r="I14" s="346">
        <v>61.3</v>
      </c>
      <c r="J14" s="299">
        <f t="shared" si="3"/>
        <v>76.625</v>
      </c>
      <c r="K14" s="299">
        <f t="shared" si="4"/>
        <v>45.974999999999994</v>
      </c>
      <c r="L14" s="299">
        <f t="shared" si="5"/>
        <v>30.650000000000006</v>
      </c>
      <c r="N14" s="484"/>
      <c r="O14" s="301">
        <v>12</v>
      </c>
      <c r="P14" s="302">
        <v>195816</v>
      </c>
      <c r="Q14" s="303">
        <v>37.531999999999996</v>
      </c>
      <c r="R14" s="303">
        <v>9.7924400000000009</v>
      </c>
      <c r="S14" s="304">
        <v>47.324439999999996</v>
      </c>
      <c r="T14" s="304">
        <f t="shared" si="0"/>
        <v>59.155549999999991</v>
      </c>
      <c r="U14" s="304">
        <f t="shared" si="1"/>
        <v>35.49333</v>
      </c>
      <c r="V14" s="304">
        <f t="shared" si="2"/>
        <v>23.662219999999991</v>
      </c>
    </row>
    <row r="15" spans="1:48" ht="19.149999999999999" customHeight="1">
      <c r="A15" s="485"/>
      <c r="B15" s="346">
        <v>13</v>
      </c>
      <c r="C15" s="299">
        <v>47.4</v>
      </c>
      <c r="D15" s="299">
        <v>15.4</v>
      </c>
      <c r="E15" s="299">
        <v>62.9</v>
      </c>
      <c r="F15" s="346">
        <v>34.700000000000003</v>
      </c>
      <c r="G15" s="346">
        <v>0</v>
      </c>
      <c r="H15" s="346">
        <v>34.700000000000003</v>
      </c>
      <c r="I15" s="346">
        <v>62.3</v>
      </c>
      <c r="J15" s="299">
        <f t="shared" si="3"/>
        <v>77.875</v>
      </c>
      <c r="K15" s="299">
        <f t="shared" si="4"/>
        <v>46.724999999999994</v>
      </c>
      <c r="L15" s="299">
        <f t="shared" si="5"/>
        <v>31.150000000000006</v>
      </c>
      <c r="N15" s="484"/>
      <c r="O15" s="301">
        <v>13</v>
      </c>
      <c r="P15" s="302">
        <v>67122</v>
      </c>
      <c r="Q15" s="303">
        <v>42.308799999999998</v>
      </c>
      <c r="R15" s="303">
        <v>8.9053199999999997</v>
      </c>
      <c r="S15" s="304">
        <v>51.214119999999994</v>
      </c>
      <c r="T15" s="304">
        <f t="shared" si="0"/>
        <v>64.017649999999989</v>
      </c>
      <c r="U15" s="304">
        <f t="shared" si="1"/>
        <v>38.410589999999999</v>
      </c>
      <c r="V15" s="304">
        <f t="shared" si="2"/>
        <v>25.60705999999999</v>
      </c>
    </row>
    <row r="16" spans="1:48" ht="19.149999999999999" customHeight="1">
      <c r="A16" s="485"/>
      <c r="B16" s="346">
        <v>14</v>
      </c>
      <c r="C16" s="299">
        <v>47.3</v>
      </c>
      <c r="D16" s="299">
        <v>18.100000000000001</v>
      </c>
      <c r="E16" s="299">
        <v>65.400000000000006</v>
      </c>
      <c r="F16" s="346">
        <v>35.6</v>
      </c>
      <c r="G16" s="346">
        <v>0</v>
      </c>
      <c r="H16" s="346">
        <v>35.6</v>
      </c>
      <c r="I16" s="346">
        <v>62.6</v>
      </c>
      <c r="J16" s="299">
        <f t="shared" si="3"/>
        <v>78.25</v>
      </c>
      <c r="K16" s="299">
        <f t="shared" si="4"/>
        <v>46.95</v>
      </c>
      <c r="L16" s="299">
        <f t="shared" si="5"/>
        <v>31.299999999999997</v>
      </c>
      <c r="N16" s="484"/>
      <c r="O16" s="301">
        <v>14</v>
      </c>
      <c r="P16" s="302">
        <v>39049</v>
      </c>
      <c r="Q16" s="303">
        <v>29.3432</v>
      </c>
      <c r="R16" s="303">
        <v>4.3673599999999997</v>
      </c>
      <c r="S16" s="304">
        <v>33.710560000000001</v>
      </c>
      <c r="T16" s="304">
        <f t="shared" si="0"/>
        <v>42.138199999999998</v>
      </c>
      <c r="U16" s="304">
        <f t="shared" si="1"/>
        <v>25.282920000000001</v>
      </c>
      <c r="V16" s="304">
        <f t="shared" si="2"/>
        <v>16.855279999999997</v>
      </c>
    </row>
    <row r="17" spans="1:22" ht="19.149999999999999" customHeight="1">
      <c r="A17" s="485"/>
      <c r="B17" s="346">
        <v>15</v>
      </c>
      <c r="C17" s="299">
        <v>50.3</v>
      </c>
      <c r="D17" s="299">
        <v>3.2</v>
      </c>
      <c r="E17" s="299">
        <v>53.5</v>
      </c>
      <c r="F17" s="346">
        <v>41</v>
      </c>
      <c r="G17" s="346">
        <v>0</v>
      </c>
      <c r="H17" s="346">
        <v>41</v>
      </c>
      <c r="I17" s="346">
        <v>60.1</v>
      </c>
      <c r="J17" s="299">
        <f t="shared" si="3"/>
        <v>75.125</v>
      </c>
      <c r="K17" s="299">
        <f t="shared" si="4"/>
        <v>45.075000000000003</v>
      </c>
      <c r="L17" s="299">
        <f t="shared" si="5"/>
        <v>30.049999999999997</v>
      </c>
      <c r="N17" s="484"/>
      <c r="O17" s="301">
        <v>15</v>
      </c>
      <c r="P17" s="302">
        <v>73160</v>
      </c>
      <c r="Q17" s="303">
        <v>34.119999999999997</v>
      </c>
      <c r="R17" s="303">
        <v>8.2570399999999999</v>
      </c>
      <c r="S17" s="304">
        <v>42.377039999999994</v>
      </c>
      <c r="T17" s="304">
        <f t="shared" si="0"/>
        <v>52.971299999999992</v>
      </c>
      <c r="U17" s="304">
        <f t="shared" si="1"/>
        <v>31.782779999999995</v>
      </c>
      <c r="V17" s="304">
        <f t="shared" si="2"/>
        <v>21.188519999999997</v>
      </c>
    </row>
    <row r="18" spans="1:22" ht="19.149999999999999" customHeight="1">
      <c r="A18" s="485"/>
      <c r="B18" s="346">
        <v>16</v>
      </c>
      <c r="C18" s="299">
        <v>41.3</v>
      </c>
      <c r="D18" s="299">
        <v>33.6</v>
      </c>
      <c r="E18" s="299">
        <v>74.900000000000006</v>
      </c>
      <c r="F18" s="346">
        <v>34.6</v>
      </c>
      <c r="G18" s="346">
        <v>0</v>
      </c>
      <c r="H18" s="346">
        <v>34.6</v>
      </c>
      <c r="I18" s="346">
        <v>61.2</v>
      </c>
      <c r="J18" s="299">
        <f t="shared" si="3"/>
        <v>76.5</v>
      </c>
      <c r="K18" s="299">
        <f t="shared" si="4"/>
        <v>45.900000000000006</v>
      </c>
      <c r="L18" s="299">
        <f t="shared" si="5"/>
        <v>30.599999999999994</v>
      </c>
      <c r="N18" s="484"/>
      <c r="O18" s="301">
        <v>16</v>
      </c>
      <c r="P18" s="302">
        <v>149464</v>
      </c>
      <c r="Q18" s="303">
        <v>32.755199999999995</v>
      </c>
      <c r="R18" s="303">
        <v>5.3227200000000003</v>
      </c>
      <c r="S18" s="304">
        <v>38.077919999999992</v>
      </c>
      <c r="T18" s="304">
        <f t="shared" si="0"/>
        <v>47.597399999999993</v>
      </c>
      <c r="U18" s="304">
        <f t="shared" si="1"/>
        <v>28.558439999999994</v>
      </c>
      <c r="V18" s="304">
        <f t="shared" si="2"/>
        <v>19.038959999999999</v>
      </c>
    </row>
    <row r="20" spans="1:22" ht="13.15">
      <c r="N20" s="2" t="s">
        <v>410</v>
      </c>
    </row>
    <row r="21" spans="1:22" ht="13.15">
      <c r="N21" s="2" t="s">
        <v>411</v>
      </c>
    </row>
    <row r="22" spans="1:22" ht="13.15">
      <c r="N22" s="2" t="s">
        <v>412</v>
      </c>
    </row>
    <row r="25" spans="1:22" s="24" customFormat="1" ht="13.15" hidden="1">
      <c r="N25" s="24" t="s">
        <v>41</v>
      </c>
      <c r="R25" s="25"/>
      <c r="S25" s="26"/>
      <c r="T25" s="27"/>
    </row>
  </sheetData>
  <mergeCells count="7">
    <mergeCell ref="Y1:AH1"/>
    <mergeCell ref="Y2:AH2"/>
    <mergeCell ref="N3:N18"/>
    <mergeCell ref="A3:A18"/>
    <mergeCell ref="N1:V1"/>
    <mergeCell ref="A1:H1"/>
    <mergeCell ref="I1:L1"/>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B29"/>
  <sheetViews>
    <sheetView zoomScaleNormal="100" workbookViewId="0">
      <selection sqref="A1:G1"/>
    </sheetView>
  </sheetViews>
  <sheetFormatPr defaultColWidth="8.7109375" defaultRowHeight="13.15"/>
  <cols>
    <col min="1" max="2" width="12" style="2" customWidth="1"/>
    <col min="3" max="6" width="13.7109375" style="2" customWidth="1"/>
    <col min="7" max="7" width="13.28515625" style="2" customWidth="1"/>
    <col min="8" max="8" width="12.7109375" style="2" bestFit="1" customWidth="1"/>
    <col min="9" max="9" width="8.7109375" style="2"/>
    <col min="10" max="10" width="12" style="2" customWidth="1"/>
    <col min="11" max="11" width="14.140625" style="2" customWidth="1"/>
    <col min="12" max="12" width="10.28515625" style="2" customWidth="1"/>
    <col min="13" max="27" width="5.7109375" style="2" customWidth="1"/>
    <col min="28" max="16384" width="8.7109375" style="2"/>
  </cols>
  <sheetData>
    <row r="1" spans="1:28" ht="28.9" customHeight="1">
      <c r="A1" s="376" t="str">
        <f>"% of Floor Area per CZ and Vintage Bin - Retail"</f>
        <v>% of Floor Area per CZ and Vintage Bin - Retail</v>
      </c>
      <c r="B1" s="376"/>
      <c r="C1" s="376"/>
      <c r="D1" s="376"/>
      <c r="E1" s="376"/>
      <c r="F1" s="376"/>
      <c r="G1" s="376"/>
      <c r="J1" s="376" t="str">
        <f>"% of Floor Area per CZ and Vintage Bin - Retail"</f>
        <v>% of Floor Area per CZ and Vintage Bin - Retail</v>
      </c>
      <c r="K1" s="376"/>
      <c r="L1" s="376"/>
      <c r="M1" s="376"/>
      <c r="N1" s="376"/>
      <c r="O1" s="376"/>
      <c r="P1" s="376"/>
      <c r="Q1" s="376"/>
      <c r="R1" s="376"/>
      <c r="S1" s="376"/>
      <c r="T1" s="376"/>
      <c r="U1" s="376"/>
      <c r="V1" s="376"/>
      <c r="W1" s="376"/>
      <c r="X1" s="376"/>
      <c r="Y1" s="376"/>
      <c r="Z1" s="376"/>
      <c r="AA1" s="376"/>
    </row>
    <row r="2" spans="1:28" ht="21" customHeight="1">
      <c r="A2" s="494" t="s">
        <v>10</v>
      </c>
      <c r="B2" s="494" t="s">
        <v>390</v>
      </c>
      <c r="C2" s="494" t="s">
        <v>413</v>
      </c>
      <c r="D2" s="494"/>
      <c r="E2" s="494"/>
      <c r="F2" s="494"/>
      <c r="G2" s="494"/>
      <c r="J2" s="494" t="s">
        <v>10</v>
      </c>
      <c r="K2" s="494" t="s">
        <v>413</v>
      </c>
      <c r="L2" s="494" t="s">
        <v>390</v>
      </c>
      <c r="M2" s="494"/>
      <c r="N2" s="494"/>
      <c r="O2" s="494"/>
      <c r="P2" s="494"/>
      <c r="Q2" s="494"/>
      <c r="R2" s="494"/>
      <c r="S2" s="494"/>
      <c r="T2" s="494"/>
      <c r="U2" s="494"/>
      <c r="V2" s="494"/>
      <c r="W2" s="494"/>
      <c r="X2" s="494"/>
      <c r="Y2" s="494"/>
      <c r="Z2" s="494"/>
      <c r="AA2" s="494"/>
    </row>
    <row r="3" spans="1:28" ht="21" customHeight="1">
      <c r="A3" s="494"/>
      <c r="B3" s="494"/>
      <c r="C3" s="349" t="s">
        <v>414</v>
      </c>
      <c r="D3" s="349" t="s">
        <v>148</v>
      </c>
      <c r="E3" s="349" t="s">
        <v>150</v>
      </c>
      <c r="F3" s="349" t="s">
        <v>152</v>
      </c>
      <c r="G3" s="349" t="s">
        <v>415</v>
      </c>
      <c r="J3" s="494"/>
      <c r="K3" s="494"/>
      <c r="L3" s="349">
        <v>1</v>
      </c>
      <c r="M3" s="349">
        <v>2</v>
      </c>
      <c r="N3" s="349">
        <v>3</v>
      </c>
      <c r="O3" s="349">
        <v>4</v>
      </c>
      <c r="P3" s="349">
        <v>5</v>
      </c>
      <c r="Q3" s="349">
        <v>6</v>
      </c>
      <c r="R3" s="349">
        <v>7</v>
      </c>
      <c r="S3" s="349">
        <v>8</v>
      </c>
      <c r="T3" s="349">
        <v>9</v>
      </c>
      <c r="U3" s="349">
        <v>10</v>
      </c>
      <c r="V3" s="349">
        <v>11</v>
      </c>
      <c r="W3" s="349">
        <v>12</v>
      </c>
      <c r="X3" s="349">
        <v>13</v>
      </c>
      <c r="Y3" s="349">
        <v>14</v>
      </c>
      <c r="Z3" s="349">
        <v>15</v>
      </c>
      <c r="AA3" s="349">
        <v>16</v>
      </c>
    </row>
    <row r="4" spans="1:28" ht="16.899999999999999" customHeight="1">
      <c r="A4" s="491" t="s">
        <v>101</v>
      </c>
      <c r="B4" s="132">
        <v>1</v>
      </c>
      <c r="C4" s="347">
        <v>0.312</v>
      </c>
      <c r="D4" s="347">
        <v>0.28299999999999997</v>
      </c>
      <c r="E4" s="347">
        <v>0.16200000000000001</v>
      </c>
      <c r="F4" s="347">
        <v>8.5999999999999993E-2</v>
      </c>
      <c r="G4" s="58">
        <v>0.157</v>
      </c>
      <c r="H4" s="68">
        <f>SUM(C4:G4)</f>
        <v>1</v>
      </c>
      <c r="J4" s="488" t="s">
        <v>101</v>
      </c>
      <c r="K4" s="39" t="s">
        <v>414</v>
      </c>
      <c r="L4" s="39">
        <v>1.0318539E-2</v>
      </c>
      <c r="M4" s="39">
        <v>2.9366620999999999E-2</v>
      </c>
      <c r="N4" s="39">
        <v>8.4695091E-2</v>
      </c>
      <c r="O4" s="39">
        <v>4.4778878000000001E-2</v>
      </c>
      <c r="P4" s="39">
        <v>5.1230199999999998E-3</v>
      </c>
      <c r="Q4" s="39">
        <v>9.2452429000000003E-2</v>
      </c>
      <c r="R4" s="39">
        <v>3.9592212000000002E-2</v>
      </c>
      <c r="S4" s="39">
        <v>0.15153345600000001</v>
      </c>
      <c r="T4" s="39">
        <v>0.227736361</v>
      </c>
      <c r="U4" s="39">
        <v>4.3801296000000003E-2</v>
      </c>
      <c r="V4" s="39">
        <v>2.9412305E-2</v>
      </c>
      <c r="W4" s="39">
        <v>0.123247883</v>
      </c>
      <c r="X4" s="39">
        <v>3.4112319000000002E-2</v>
      </c>
      <c r="Y4" s="39">
        <v>1.7624404999999999E-2</v>
      </c>
      <c r="Z4" s="39">
        <v>2.2383301000000001E-2</v>
      </c>
      <c r="AA4" s="39">
        <v>4.3821882999999999E-2</v>
      </c>
      <c r="AB4" s="68">
        <f t="shared" ref="AB4:AB9" si="0">SUM(L4:AA4)</f>
        <v>0.99999999900000003</v>
      </c>
    </row>
    <row r="5" spans="1:28" ht="16.899999999999999" customHeight="1">
      <c r="A5" s="492"/>
      <c r="B5" s="36">
        <v>2</v>
      </c>
      <c r="C5" s="39">
        <v>0.48599999999999999</v>
      </c>
      <c r="D5" s="39">
        <v>0.29199999999999998</v>
      </c>
      <c r="E5" s="39">
        <v>6.8000000000000005E-2</v>
      </c>
      <c r="F5" s="39">
        <v>2.5999999999999999E-2</v>
      </c>
      <c r="G5" s="51">
        <v>0.128</v>
      </c>
      <c r="H5" s="68">
        <f t="shared" ref="H5:H19" si="1">SUM(C5:G5)</f>
        <v>1</v>
      </c>
      <c r="J5" s="489"/>
      <c r="K5" s="39" t="s">
        <v>148</v>
      </c>
      <c r="L5" s="39">
        <v>9.6543110000000005E-3</v>
      </c>
      <c r="M5" s="39">
        <v>1.8200183000000002E-2</v>
      </c>
      <c r="N5" s="39">
        <v>4.8977778E-2</v>
      </c>
      <c r="O5" s="39">
        <v>2.3912375E-2</v>
      </c>
      <c r="P5" s="39">
        <v>6.5232989999999998E-3</v>
      </c>
      <c r="Q5" s="39">
        <v>6.1209764E-2</v>
      </c>
      <c r="R5" s="39">
        <v>6.7170300000000002E-2</v>
      </c>
      <c r="S5" s="39">
        <v>8.8770271999999997E-2</v>
      </c>
      <c r="T5" s="39">
        <v>0.13600272499999999</v>
      </c>
      <c r="U5" s="39">
        <v>0.12822096999999999</v>
      </c>
      <c r="V5" s="39">
        <v>2.8728246999999998E-2</v>
      </c>
      <c r="W5" s="39">
        <v>0.135588193</v>
      </c>
      <c r="X5" s="39">
        <v>4.4256912000000002E-2</v>
      </c>
      <c r="Y5" s="39">
        <v>2.9196159999999999E-2</v>
      </c>
      <c r="Z5" s="39">
        <v>5.5827031999999999E-2</v>
      </c>
      <c r="AA5" s="39">
        <v>0.11776148</v>
      </c>
      <c r="AB5" s="68">
        <f t="shared" si="0"/>
        <v>1.0000000010000001</v>
      </c>
    </row>
    <row r="6" spans="1:28" ht="16.899999999999999" customHeight="1">
      <c r="A6" s="492"/>
      <c r="B6" s="36">
        <v>3</v>
      </c>
      <c r="C6" s="39">
        <v>0.4</v>
      </c>
      <c r="D6" s="39">
        <v>0.224</v>
      </c>
      <c r="E6" s="39">
        <v>0.14299999999999999</v>
      </c>
      <c r="F6" s="39">
        <v>9.4E-2</v>
      </c>
      <c r="G6" s="51">
        <v>0.14000000000000001</v>
      </c>
      <c r="H6" s="68">
        <f t="shared" si="1"/>
        <v>1.0009999999999999</v>
      </c>
      <c r="J6" s="489"/>
      <c r="K6" s="39" t="s">
        <v>150</v>
      </c>
      <c r="L6" s="39">
        <v>8.9363310000000005E-3</v>
      </c>
      <c r="M6" s="39">
        <v>6.8539200000000003E-3</v>
      </c>
      <c r="N6" s="39">
        <v>5.0648865000000001E-2</v>
      </c>
      <c r="O6" s="39">
        <v>2.3776164999999998E-2</v>
      </c>
      <c r="P6" s="39">
        <v>8.8369260000000002E-3</v>
      </c>
      <c r="Q6" s="39">
        <v>5.2331234999999997E-2</v>
      </c>
      <c r="R6" s="39">
        <v>3.5697864000000003E-2</v>
      </c>
      <c r="S6" s="39">
        <v>8.5961078999999996E-2</v>
      </c>
      <c r="T6" s="39">
        <v>0.131069771</v>
      </c>
      <c r="U6" s="39">
        <v>0.103253792</v>
      </c>
      <c r="V6" s="39">
        <v>3.7879151999999999E-2</v>
      </c>
      <c r="W6" s="39">
        <v>0.18437962499999999</v>
      </c>
      <c r="X6" s="39">
        <v>7.6306105999999999E-2</v>
      </c>
      <c r="Y6" s="39">
        <v>2.7957388999999999E-2</v>
      </c>
      <c r="Z6" s="39">
        <v>5.9186013000000003E-2</v>
      </c>
      <c r="AA6" s="39">
        <v>0.10692576600000001</v>
      </c>
      <c r="AB6" s="68">
        <f t="shared" si="0"/>
        <v>0.99999999900000014</v>
      </c>
    </row>
    <row r="7" spans="1:28" ht="16.899999999999999" customHeight="1">
      <c r="A7" s="492"/>
      <c r="B7" s="36">
        <v>4</v>
      </c>
      <c r="C7" s="39">
        <v>0.42</v>
      </c>
      <c r="D7" s="39">
        <v>0.217</v>
      </c>
      <c r="E7" s="39">
        <v>0.13400000000000001</v>
      </c>
      <c r="F7" s="39">
        <v>0.10100000000000001</v>
      </c>
      <c r="G7" s="51">
        <v>0.128</v>
      </c>
      <c r="H7" s="68">
        <f t="shared" si="1"/>
        <v>1</v>
      </c>
      <c r="J7" s="489"/>
      <c r="K7" s="39" t="s">
        <v>152</v>
      </c>
      <c r="L7" s="39">
        <v>6.9801780000000001E-3</v>
      </c>
      <c r="M7" s="39">
        <v>3.835504E-3</v>
      </c>
      <c r="N7" s="39">
        <v>4.8925516000000002E-2</v>
      </c>
      <c r="O7" s="39">
        <v>2.6371556000000001E-2</v>
      </c>
      <c r="P7" s="39">
        <v>2.609625E-3</v>
      </c>
      <c r="Q7" s="39">
        <v>2.6863664999999998E-2</v>
      </c>
      <c r="R7" s="39">
        <v>1.1595095E-2</v>
      </c>
      <c r="S7" s="39">
        <v>4.3944136000000002E-2</v>
      </c>
      <c r="T7" s="39">
        <v>4.9958990000000002E-2</v>
      </c>
      <c r="U7" s="39">
        <v>0.217001413</v>
      </c>
      <c r="V7" s="39">
        <v>2.9401699999999999E-2</v>
      </c>
      <c r="W7" s="39">
        <v>0.105672272</v>
      </c>
      <c r="X7" s="39">
        <v>3.9400408999999997E-2</v>
      </c>
      <c r="Y7" s="39">
        <v>5.3281132000000002E-2</v>
      </c>
      <c r="Z7" s="39">
        <v>9.3022767000000006E-2</v>
      </c>
      <c r="AA7" s="39">
        <v>0.24113604299999999</v>
      </c>
      <c r="AB7" s="68">
        <f t="shared" si="0"/>
        <v>1.0000000009999999</v>
      </c>
    </row>
    <row r="8" spans="1:28" ht="16.899999999999999" customHeight="1">
      <c r="A8" s="492"/>
      <c r="B8" s="36">
        <v>5</v>
      </c>
      <c r="C8" s="39">
        <v>0.218</v>
      </c>
      <c r="D8" s="39">
        <v>0.26800000000000002</v>
      </c>
      <c r="E8" s="39">
        <v>0.22500000000000001</v>
      </c>
      <c r="F8" s="39">
        <v>4.4999999999999998E-2</v>
      </c>
      <c r="G8" s="51">
        <v>0.245</v>
      </c>
      <c r="H8" s="68">
        <f t="shared" si="1"/>
        <v>1.0009999999999999</v>
      </c>
      <c r="J8" s="489"/>
      <c r="K8" s="39" t="s">
        <v>415</v>
      </c>
      <c r="L8" s="39">
        <v>1.2366366E-2</v>
      </c>
      <c r="M8" s="39">
        <v>1.8382498000000001E-2</v>
      </c>
      <c r="N8" s="39">
        <v>7.0681501999999993E-2</v>
      </c>
      <c r="O8" s="39">
        <v>3.2523011999999997E-2</v>
      </c>
      <c r="P8" s="39">
        <v>1.3731721000000001E-2</v>
      </c>
      <c r="Q8" s="39">
        <v>6.5337692000000003E-2</v>
      </c>
      <c r="R8" s="39">
        <v>5.0258313999999998E-2</v>
      </c>
      <c r="S8" s="39">
        <v>0.108712183</v>
      </c>
      <c r="T8" s="39">
        <v>0.12039145499999999</v>
      </c>
      <c r="U8" s="39">
        <v>9.6425317999999996E-2</v>
      </c>
      <c r="V8" s="39">
        <v>4.2933064999999999E-2</v>
      </c>
      <c r="W8" s="39">
        <v>0.14416053700000001</v>
      </c>
      <c r="X8" s="39">
        <v>5.217082E-2</v>
      </c>
      <c r="Y8" s="39">
        <v>2.1740072999999999E-2</v>
      </c>
      <c r="Z8" s="39">
        <v>6.0365786999999997E-2</v>
      </c>
      <c r="AA8" s="39">
        <v>8.9819656999999997E-2</v>
      </c>
      <c r="AB8" s="68">
        <f t="shared" si="0"/>
        <v>1</v>
      </c>
    </row>
    <row r="9" spans="1:28" ht="16.899999999999999" customHeight="1">
      <c r="A9" s="492"/>
      <c r="B9" s="36">
        <v>6</v>
      </c>
      <c r="C9" s="39">
        <v>0.41799999999999998</v>
      </c>
      <c r="D9" s="39">
        <v>0.26800000000000002</v>
      </c>
      <c r="E9" s="39">
        <v>0.14199999999999999</v>
      </c>
      <c r="F9" s="39">
        <v>4.9000000000000002E-2</v>
      </c>
      <c r="G9" s="51">
        <v>0.124</v>
      </c>
      <c r="H9" s="68">
        <f t="shared" si="1"/>
        <v>1.0009999999999999</v>
      </c>
      <c r="J9" s="490"/>
      <c r="K9" s="39" t="s">
        <v>291</v>
      </c>
      <c r="L9" s="39">
        <v>9.7387419999999999E-3</v>
      </c>
      <c r="M9" s="39">
        <v>1.7792715000000001E-2</v>
      </c>
      <c r="N9" s="39">
        <v>6.2478314E-2</v>
      </c>
      <c r="O9" s="39">
        <v>3.1398052000000003E-2</v>
      </c>
      <c r="P9" s="39">
        <v>6.9418329999999997E-3</v>
      </c>
      <c r="Q9" s="39">
        <v>6.5251490999999995E-2</v>
      </c>
      <c r="R9" s="39">
        <v>4.4744863000000003E-2</v>
      </c>
      <c r="S9" s="39">
        <v>0.103874984</v>
      </c>
      <c r="T9" s="39">
        <v>0.14994120999999999</v>
      </c>
      <c r="U9" s="39">
        <v>0.10562719800000001</v>
      </c>
      <c r="V9" s="39">
        <v>3.2381859999999998E-2</v>
      </c>
      <c r="W9" s="39">
        <v>0.13803907500000001</v>
      </c>
      <c r="X9" s="39">
        <v>4.7319033000000003E-2</v>
      </c>
      <c r="Y9" s="39">
        <v>2.7527533999999999E-2</v>
      </c>
      <c r="Z9" s="39">
        <v>5.1575598E-2</v>
      </c>
      <c r="AA9" s="39">
        <v>0.105367498</v>
      </c>
      <c r="AB9" s="68">
        <f t="shared" si="0"/>
        <v>0.99999999999999989</v>
      </c>
    </row>
    <row r="10" spans="1:28" ht="16.899999999999999" customHeight="1">
      <c r="A10" s="492"/>
      <c r="B10" s="36">
        <v>7</v>
      </c>
      <c r="C10" s="39">
        <v>0.26100000000000001</v>
      </c>
      <c r="D10" s="39">
        <v>0.42799999999999999</v>
      </c>
      <c r="E10" s="39">
        <v>0.14099999999999999</v>
      </c>
      <c r="F10" s="39">
        <v>3.1E-2</v>
      </c>
      <c r="G10" s="51">
        <v>0.13900000000000001</v>
      </c>
      <c r="H10" s="68">
        <f t="shared" si="1"/>
        <v>1</v>
      </c>
      <c r="J10" s="328"/>
      <c r="K10" s="66"/>
      <c r="L10" s="30"/>
      <c r="M10" s="30"/>
      <c r="N10" s="30"/>
      <c r="O10" s="30"/>
      <c r="P10" s="67"/>
    </row>
    <row r="11" spans="1:28" ht="16.899999999999999" customHeight="1">
      <c r="A11" s="492"/>
      <c r="B11" s="36">
        <v>8</v>
      </c>
      <c r="C11" s="39">
        <v>0.43</v>
      </c>
      <c r="D11" s="39">
        <v>0.24399999999999999</v>
      </c>
      <c r="E11" s="39">
        <v>0.14599999999999999</v>
      </c>
      <c r="F11" s="39">
        <v>5.0999999999999997E-2</v>
      </c>
      <c r="G11" s="51">
        <v>0.129</v>
      </c>
      <c r="H11" s="68">
        <f t="shared" si="1"/>
        <v>1</v>
      </c>
      <c r="J11" s="328"/>
      <c r="K11" s="66"/>
      <c r="L11" s="30"/>
      <c r="M11" s="30"/>
      <c r="N11" s="30"/>
      <c r="O11" s="30"/>
      <c r="P11" s="67"/>
    </row>
    <row r="12" spans="1:28" ht="16.899999999999999" customHeight="1">
      <c r="A12" s="492"/>
      <c r="B12" s="36">
        <v>9</v>
      </c>
      <c r="C12" s="39">
        <v>0.44800000000000001</v>
      </c>
      <c r="D12" s="39">
        <v>0.25900000000000001</v>
      </c>
      <c r="E12" s="39">
        <v>0.154</v>
      </c>
      <c r="F12" s="39">
        <v>0.04</v>
      </c>
      <c r="G12" s="51">
        <v>9.9000000000000005E-2</v>
      </c>
      <c r="H12" s="68">
        <f t="shared" si="1"/>
        <v>1.0000000000000002</v>
      </c>
      <c r="J12" s="328"/>
      <c r="K12" s="66"/>
      <c r="L12" s="30"/>
      <c r="M12" s="30"/>
      <c r="N12" s="30"/>
      <c r="O12" s="30"/>
      <c r="P12" s="67"/>
    </row>
    <row r="13" spans="1:28" ht="16.899999999999999" customHeight="1">
      <c r="A13" s="492"/>
      <c r="B13" s="36">
        <v>10</v>
      </c>
      <c r="C13" s="39">
        <v>0.122</v>
      </c>
      <c r="D13" s="39">
        <v>0.34599999999999997</v>
      </c>
      <c r="E13" s="39">
        <v>0.17199999999999999</v>
      </c>
      <c r="F13" s="39">
        <v>0.246</v>
      </c>
      <c r="G13" s="51">
        <v>0.113</v>
      </c>
      <c r="H13" s="68">
        <f t="shared" si="1"/>
        <v>0.99899999999999989</v>
      </c>
      <c r="J13" s="328"/>
      <c r="K13" s="66"/>
      <c r="L13" s="30"/>
      <c r="M13" s="30"/>
      <c r="N13" s="30"/>
      <c r="O13" s="30"/>
      <c r="P13" s="67"/>
    </row>
    <row r="14" spans="1:28" ht="16.899999999999999" customHeight="1">
      <c r="A14" s="492"/>
      <c r="B14" s="36">
        <v>11</v>
      </c>
      <c r="C14" s="39">
        <v>0.26800000000000002</v>
      </c>
      <c r="D14" s="39">
        <v>0.253</v>
      </c>
      <c r="E14" s="39">
        <v>0.20599999999999999</v>
      </c>
      <c r="F14" s="39">
        <v>0.109</v>
      </c>
      <c r="G14" s="51">
        <v>0.16400000000000001</v>
      </c>
      <c r="H14" s="68">
        <f t="shared" si="1"/>
        <v>1</v>
      </c>
      <c r="J14" s="328"/>
      <c r="K14" s="66"/>
      <c r="L14" s="30"/>
      <c r="M14" s="30"/>
      <c r="N14" s="30"/>
      <c r="O14" s="30"/>
      <c r="P14" s="67"/>
    </row>
    <row r="15" spans="1:28" ht="16.899999999999999" customHeight="1">
      <c r="A15" s="492"/>
      <c r="B15" s="36">
        <v>12</v>
      </c>
      <c r="C15" s="39">
        <v>0.26300000000000001</v>
      </c>
      <c r="D15" s="39">
        <v>0.28000000000000003</v>
      </c>
      <c r="E15" s="39">
        <v>0.23599999999999999</v>
      </c>
      <c r="F15" s="39">
        <v>9.1999999999999998E-2</v>
      </c>
      <c r="G15" s="51">
        <v>0.129</v>
      </c>
      <c r="H15" s="68">
        <f t="shared" si="1"/>
        <v>1</v>
      </c>
      <c r="J15" s="328"/>
      <c r="K15" s="66"/>
      <c r="L15" s="30"/>
      <c r="M15" s="30"/>
      <c r="N15" s="30"/>
      <c r="O15" s="30"/>
      <c r="P15" s="67"/>
    </row>
    <row r="16" spans="1:28" ht="16.899999999999999" customHeight="1">
      <c r="A16" s="492"/>
      <c r="B16" s="36">
        <v>13</v>
      </c>
      <c r="C16" s="39">
        <v>0.21199999999999999</v>
      </c>
      <c r="D16" s="39">
        <v>0.26700000000000002</v>
      </c>
      <c r="E16" s="39">
        <v>0.28499999999999998</v>
      </c>
      <c r="F16" s="39">
        <v>0.1</v>
      </c>
      <c r="G16" s="51">
        <v>0.13600000000000001</v>
      </c>
      <c r="H16" s="68">
        <f t="shared" si="1"/>
        <v>1</v>
      </c>
      <c r="J16" s="328"/>
      <c r="K16" s="66"/>
      <c r="L16" s="30"/>
      <c r="M16" s="30"/>
      <c r="N16" s="30"/>
      <c r="O16" s="30"/>
      <c r="P16" s="67"/>
    </row>
    <row r="17" spans="1:16" ht="16.899999999999999" customHeight="1">
      <c r="A17" s="492"/>
      <c r="B17" s="36">
        <v>14</v>
      </c>
      <c r="C17" s="39">
        <v>0.189</v>
      </c>
      <c r="D17" s="39">
        <v>0.30299999999999999</v>
      </c>
      <c r="E17" s="39">
        <v>0.17899999999999999</v>
      </c>
      <c r="F17" s="39">
        <v>0.23200000000000001</v>
      </c>
      <c r="G17" s="51">
        <v>9.8000000000000004E-2</v>
      </c>
      <c r="H17" s="68">
        <f t="shared" si="1"/>
        <v>1.0010000000000001</v>
      </c>
      <c r="J17" s="328"/>
      <c r="K17" s="66"/>
      <c r="L17" s="30"/>
      <c r="M17" s="30"/>
      <c r="N17" s="30"/>
      <c r="O17" s="30"/>
      <c r="P17" s="67"/>
    </row>
    <row r="18" spans="1:16" ht="16.899999999999999" customHeight="1">
      <c r="A18" s="492"/>
      <c r="B18" s="36">
        <v>15</v>
      </c>
      <c r="C18" s="39">
        <v>0.128</v>
      </c>
      <c r="D18" s="39">
        <v>0.309</v>
      </c>
      <c r="E18" s="39">
        <v>0.20200000000000001</v>
      </c>
      <c r="F18" s="39">
        <v>0.216</v>
      </c>
      <c r="G18" s="51">
        <v>0.14499999999999999</v>
      </c>
      <c r="H18" s="68">
        <f t="shared" si="1"/>
        <v>1</v>
      </c>
      <c r="J18" s="328"/>
      <c r="K18" s="66"/>
      <c r="L18" s="30"/>
      <c r="M18" s="30"/>
      <c r="N18" s="30"/>
      <c r="O18" s="30"/>
      <c r="P18" s="67"/>
    </row>
    <row r="19" spans="1:16" ht="16.899999999999999" customHeight="1">
      <c r="A19" s="492"/>
      <c r="B19" s="36">
        <v>16</v>
      </c>
      <c r="C19" s="51">
        <v>0.123</v>
      </c>
      <c r="D19" s="51">
        <v>0.31900000000000001</v>
      </c>
      <c r="E19" s="51">
        <v>0.17899999999999999</v>
      </c>
      <c r="F19" s="51">
        <v>0.27400000000000002</v>
      </c>
      <c r="G19" s="51">
        <v>0.105</v>
      </c>
      <c r="H19" s="68">
        <f t="shared" si="1"/>
        <v>1</v>
      </c>
      <c r="J19" s="328"/>
      <c r="K19" s="66"/>
      <c r="L19" s="30"/>
      <c r="M19" s="30"/>
      <c r="N19" s="30"/>
      <c r="O19" s="30"/>
      <c r="P19" s="67"/>
    </row>
    <row r="20" spans="1:16" ht="18" customHeight="1">
      <c r="A20" s="493"/>
      <c r="B20" s="163" t="s">
        <v>416</v>
      </c>
      <c r="C20" s="163">
        <v>0.32900000000000001</v>
      </c>
      <c r="D20" s="163">
        <v>0.28000000000000003</v>
      </c>
      <c r="E20" s="163">
        <v>0.17199999999999999</v>
      </c>
      <c r="F20" s="163">
        <v>9.7000000000000003E-2</v>
      </c>
      <c r="G20" s="163">
        <v>0.121</v>
      </c>
      <c r="H20" s="164">
        <f>SUM(C20:G20)</f>
        <v>0.99899999999999989</v>
      </c>
    </row>
    <row r="21" spans="1:16">
      <c r="H21" s="68"/>
    </row>
    <row r="22" spans="1:16">
      <c r="A22" s="2" t="s">
        <v>417</v>
      </c>
    </row>
    <row r="23" spans="1:16">
      <c r="A23" s="2" t="s">
        <v>411</v>
      </c>
    </row>
    <row r="24" spans="1:16">
      <c r="A24" s="2" t="s">
        <v>412</v>
      </c>
    </row>
    <row r="29" spans="1:16" s="24" customFormat="1" hidden="1">
      <c r="A29" s="24" t="s">
        <v>41</v>
      </c>
      <c r="E29" s="25"/>
      <c r="F29" s="26"/>
      <c r="G29" s="27"/>
    </row>
  </sheetData>
  <mergeCells count="10">
    <mergeCell ref="J4:J9"/>
    <mergeCell ref="A4:A20"/>
    <mergeCell ref="J1:AA1"/>
    <mergeCell ref="C2:G2"/>
    <mergeCell ref="L2:AA2"/>
    <mergeCell ref="K2:K3"/>
    <mergeCell ref="J2:J3"/>
    <mergeCell ref="A1:G1"/>
    <mergeCell ref="B2:B3"/>
    <mergeCell ref="A2:A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tabColor rgb="FFFF0000"/>
  </sheetPr>
  <dimension ref="A1:J34"/>
  <sheetViews>
    <sheetView workbookViewId="0"/>
  </sheetViews>
  <sheetFormatPr defaultRowHeight="14.45"/>
  <sheetData>
    <row r="1" spans="1:10" ht="21.6" customHeight="1">
      <c r="A1" s="376" t="str">
        <f>"PV - "&amp;Prototype!A2</f>
        <v>PV - RetailMedium</v>
      </c>
      <c r="B1" s="376"/>
      <c r="C1" s="376"/>
      <c r="D1" s="376"/>
      <c r="E1" s="376"/>
      <c r="F1" s="376"/>
      <c r="G1" s="376"/>
      <c r="H1" s="376"/>
      <c r="I1" s="376"/>
      <c r="J1" s="376"/>
    </row>
    <row r="2" spans="1:10">
      <c r="A2" t="s">
        <v>418</v>
      </c>
    </row>
    <row r="14" spans="1:10" hidden="1"/>
    <row r="15" spans="1:10" hidden="1"/>
    <row r="16" spans="1:10"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sheetData>
  <mergeCells count="1">
    <mergeCell ref="A1:J1"/>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tabColor rgb="FFFF0000"/>
  </sheetPr>
  <dimension ref="A1:H11"/>
  <sheetViews>
    <sheetView zoomScaleNormal="70" workbookViewId="0">
      <selection activeCell="D5" sqref="D5"/>
    </sheetView>
  </sheetViews>
  <sheetFormatPr defaultColWidth="8.7109375" defaultRowHeight="13.15"/>
  <cols>
    <col min="1" max="1" width="21" style="2" customWidth="1"/>
    <col min="2" max="2" width="14.28515625" style="2" customWidth="1"/>
    <col min="3" max="3" width="14.5703125" style="2" customWidth="1"/>
    <col min="4" max="8" width="8.7109375" style="2"/>
    <col min="9" max="9" width="13.7109375" style="2" customWidth="1"/>
    <col min="10" max="10" width="14.42578125" style="2" customWidth="1"/>
    <col min="11" max="16384" width="8.7109375" style="2"/>
  </cols>
  <sheetData>
    <row r="1" spans="1:8" ht="24.6" customHeight="1">
      <c r="A1" s="376" t="str">
        <f>"EV Charger - "&amp;Prototype!A2</f>
        <v>EV Charger - RetailMedium</v>
      </c>
      <c r="B1" s="376"/>
      <c r="C1" s="376"/>
      <c r="D1" s="376"/>
      <c r="E1" s="376"/>
      <c r="F1" s="376"/>
      <c r="G1" s="376"/>
      <c r="H1" s="376"/>
    </row>
    <row r="2" spans="1:8">
      <c r="A2" s="2" t="s">
        <v>418</v>
      </c>
      <c r="B2" s="47"/>
      <c r="C2" s="48"/>
      <c r="D2" s="49"/>
      <c r="E2" s="49"/>
    </row>
    <row r="3" spans="1:8">
      <c r="A3" s="35"/>
      <c r="B3" s="338"/>
      <c r="C3" s="326"/>
      <c r="D3" s="50"/>
      <c r="E3" s="50"/>
    </row>
    <row r="11" spans="1:8" s="24" customFormat="1" hidden="1">
      <c r="A11" s="24" t="s">
        <v>41</v>
      </c>
      <c r="E11" s="25"/>
      <c r="F11" s="26"/>
      <c r="G11" s="27"/>
    </row>
  </sheetData>
  <mergeCells count="1">
    <mergeCell ref="A1:H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6697E-7176-4D2A-B6D3-6E02AC0F4C82}">
  <dimension ref="A1:G83"/>
  <sheetViews>
    <sheetView workbookViewId="0">
      <selection activeCell="F11" sqref="F11"/>
    </sheetView>
  </sheetViews>
  <sheetFormatPr defaultRowHeight="14.45"/>
  <cols>
    <col min="1" max="1" width="58.7109375" customWidth="1"/>
    <col min="2" max="2" width="30.85546875" customWidth="1"/>
    <col min="3" max="3" width="30.28515625" customWidth="1"/>
  </cols>
  <sheetData>
    <row r="1" spans="1:7">
      <c r="A1" t="s">
        <v>419</v>
      </c>
      <c r="B1" t="s">
        <v>420</v>
      </c>
      <c r="C1" t="s">
        <v>420</v>
      </c>
      <c r="D1" s="495" t="s">
        <v>421</v>
      </c>
      <c r="E1" s="495"/>
      <c r="F1" s="495"/>
      <c r="G1" s="495"/>
    </row>
    <row r="2" spans="1:7">
      <c r="A2" s="327" t="s">
        <v>422</v>
      </c>
      <c r="D2">
        <v>2013</v>
      </c>
      <c r="E2">
        <v>2016</v>
      </c>
      <c r="F2">
        <v>2019</v>
      </c>
      <c r="G2">
        <v>2025</v>
      </c>
    </row>
    <row r="3" spans="1:7">
      <c r="A3" s="327" t="s">
        <v>423</v>
      </c>
    </row>
    <row r="4" spans="1:7">
      <c r="A4" t="s">
        <v>424</v>
      </c>
    </row>
    <row r="5" spans="1:7">
      <c r="A5" t="s">
        <v>425</v>
      </c>
    </row>
    <row r="6" spans="1:7">
      <c r="A6" t="s">
        <v>426</v>
      </c>
    </row>
    <row r="7" spans="1:7">
      <c r="A7" t="s">
        <v>427</v>
      </c>
    </row>
    <row r="8" spans="1:7">
      <c r="A8" t="s">
        <v>428</v>
      </c>
    </row>
    <row r="9" spans="1:7">
      <c r="A9" t="s">
        <v>429</v>
      </c>
    </row>
    <row r="10" spans="1:7">
      <c r="A10" t="s">
        <v>430</v>
      </c>
    </row>
    <row r="11" spans="1:7">
      <c r="A11" t="s">
        <v>431</v>
      </c>
    </row>
    <row r="12" spans="1:7">
      <c r="A12" t="s">
        <v>432</v>
      </c>
    </row>
    <row r="13" spans="1:7">
      <c r="A13" t="s">
        <v>433</v>
      </c>
    </row>
    <row r="14" spans="1:7">
      <c r="A14" t="s">
        <v>434</v>
      </c>
    </row>
    <row r="15" spans="1:7">
      <c r="A15" t="s">
        <v>435</v>
      </c>
    </row>
    <row r="16" spans="1:7">
      <c r="A16" t="s">
        <v>436</v>
      </c>
    </row>
    <row r="17" spans="1:1">
      <c r="A17" t="s">
        <v>437</v>
      </c>
    </row>
    <row r="18" spans="1:1">
      <c r="A18" t="s">
        <v>438</v>
      </c>
    </row>
    <row r="19" spans="1:1">
      <c r="A19" t="s">
        <v>107</v>
      </c>
    </row>
    <row r="20" spans="1:1">
      <c r="A20" t="s">
        <v>439</v>
      </c>
    </row>
    <row r="21" spans="1:1">
      <c r="A21" t="s">
        <v>440</v>
      </c>
    </row>
    <row r="22" spans="1:1">
      <c r="A22" t="s">
        <v>441</v>
      </c>
    </row>
    <row r="23" spans="1:1">
      <c r="A23" t="s">
        <v>442</v>
      </c>
    </row>
    <row r="24" spans="1:1">
      <c r="A24" t="s">
        <v>443</v>
      </c>
    </row>
    <row r="25" spans="1:1">
      <c r="A25" t="s">
        <v>444</v>
      </c>
    </row>
    <row r="26" spans="1:1">
      <c r="A26" t="s">
        <v>445</v>
      </c>
    </row>
    <row r="27" spans="1:1">
      <c r="A27" t="s">
        <v>446</v>
      </c>
    </row>
    <row r="28" spans="1:1">
      <c r="A28" t="s">
        <v>447</v>
      </c>
    </row>
    <row r="29" spans="1:1">
      <c r="A29" t="s">
        <v>448</v>
      </c>
    </row>
    <row r="30" spans="1:1">
      <c r="A30" t="s">
        <v>449</v>
      </c>
    </row>
    <row r="31" spans="1:1">
      <c r="A31" t="s">
        <v>450</v>
      </c>
    </row>
    <row r="32" spans="1:1">
      <c r="A32" t="s">
        <v>451</v>
      </c>
    </row>
    <row r="33" spans="1:1">
      <c r="A33" t="s">
        <v>452</v>
      </c>
    </row>
    <row r="34" spans="1:1">
      <c r="A34" t="s">
        <v>453</v>
      </c>
    </row>
    <row r="35" spans="1:1">
      <c r="A35" t="s">
        <v>454</v>
      </c>
    </row>
    <row r="36" spans="1:1">
      <c r="A36" t="s">
        <v>455</v>
      </c>
    </row>
    <row r="37" spans="1:1">
      <c r="A37" t="s">
        <v>456</v>
      </c>
    </row>
    <row r="38" spans="1:1">
      <c r="A38" t="s">
        <v>457</v>
      </c>
    </row>
    <row r="39" spans="1:1">
      <c r="A39" t="s">
        <v>458</v>
      </c>
    </row>
    <row r="40" spans="1:1">
      <c r="A40" t="s">
        <v>459</v>
      </c>
    </row>
    <row r="41" spans="1:1">
      <c r="A41" t="s">
        <v>460</v>
      </c>
    </row>
    <row r="42" spans="1:1">
      <c r="A42" t="s">
        <v>461</v>
      </c>
    </row>
    <row r="43" spans="1:1">
      <c r="A43" t="s">
        <v>462</v>
      </c>
    </row>
    <row r="44" spans="1:1">
      <c r="A44" t="s">
        <v>463</v>
      </c>
    </row>
    <row r="45" spans="1:1">
      <c r="A45" t="s">
        <v>464</v>
      </c>
    </row>
    <row r="46" spans="1:1">
      <c r="A46" t="s">
        <v>465</v>
      </c>
    </row>
    <row r="47" spans="1:1">
      <c r="A47" t="s">
        <v>466</v>
      </c>
    </row>
    <row r="48" spans="1:1">
      <c r="A48" t="s">
        <v>467</v>
      </c>
    </row>
    <row r="49" spans="1:1">
      <c r="A49" t="s">
        <v>468</v>
      </c>
    </row>
    <row r="50" spans="1:1">
      <c r="A50" t="s">
        <v>469</v>
      </c>
    </row>
    <row r="51" spans="1:1">
      <c r="A51" t="s">
        <v>470</v>
      </c>
    </row>
    <row r="52" spans="1:1">
      <c r="A52" t="s">
        <v>471</v>
      </c>
    </row>
    <row r="53" spans="1:1">
      <c r="A53" t="s">
        <v>472</v>
      </c>
    </row>
    <row r="54" spans="1:1">
      <c r="A54" t="s">
        <v>473</v>
      </c>
    </row>
    <row r="55" spans="1:1">
      <c r="A55" t="s">
        <v>474</v>
      </c>
    </row>
    <row r="56" spans="1:1">
      <c r="A56" t="s">
        <v>103</v>
      </c>
    </row>
    <row r="57" spans="1:1">
      <c r="A57" t="s">
        <v>475</v>
      </c>
    </row>
    <row r="58" spans="1:1">
      <c r="A58" t="s">
        <v>476</v>
      </c>
    </row>
    <row r="59" spans="1:1">
      <c r="A59" t="s">
        <v>477</v>
      </c>
    </row>
    <row r="60" spans="1:1">
      <c r="A60" t="s">
        <v>478</v>
      </c>
    </row>
    <row r="61" spans="1:1">
      <c r="A61" t="s">
        <v>479</v>
      </c>
    </row>
    <row r="62" spans="1:1">
      <c r="A62" t="s">
        <v>480</v>
      </c>
    </row>
    <row r="63" spans="1:1">
      <c r="A63" t="s">
        <v>481</v>
      </c>
    </row>
    <row r="64" spans="1:1">
      <c r="A64" t="s">
        <v>99</v>
      </c>
    </row>
    <row r="65" spans="1:1">
      <c r="A65" t="s">
        <v>482</v>
      </c>
    </row>
    <row r="66" spans="1:1">
      <c r="A66" t="s">
        <v>483</v>
      </c>
    </row>
    <row r="67" spans="1:1">
      <c r="A67" t="s">
        <v>484</v>
      </c>
    </row>
    <row r="68" spans="1:1">
      <c r="A68" t="s">
        <v>485</v>
      </c>
    </row>
    <row r="69" spans="1:1">
      <c r="A69" t="s">
        <v>486</v>
      </c>
    </row>
    <row r="70" spans="1:1">
      <c r="A70" t="s">
        <v>487</v>
      </c>
    </row>
    <row r="71" spans="1:1">
      <c r="A71" t="s">
        <v>488</v>
      </c>
    </row>
    <row r="72" spans="1:1">
      <c r="A72" t="s">
        <v>489</v>
      </c>
    </row>
    <row r="73" spans="1:1">
      <c r="A73" t="s">
        <v>490</v>
      </c>
    </row>
    <row r="74" spans="1:1">
      <c r="A74" t="s">
        <v>491</v>
      </c>
    </row>
    <row r="75" spans="1:1">
      <c r="A75" t="s">
        <v>492</v>
      </c>
    </row>
    <row r="76" spans="1:1">
      <c r="A76" t="s">
        <v>493</v>
      </c>
    </row>
    <row r="77" spans="1:1">
      <c r="A77" t="s">
        <v>494</v>
      </c>
    </row>
    <row r="78" spans="1:1">
      <c r="A78" t="s">
        <v>495</v>
      </c>
    </row>
    <row r="79" spans="1:1">
      <c r="A79" t="s">
        <v>496</v>
      </c>
    </row>
    <row r="80" spans="1:1">
      <c r="A80" t="s">
        <v>497</v>
      </c>
    </row>
    <row r="81" spans="1:1">
      <c r="A81" t="s">
        <v>498</v>
      </c>
    </row>
    <row r="82" spans="1:1">
      <c r="A82" t="s">
        <v>499</v>
      </c>
    </row>
    <row r="83" spans="1:1">
      <c r="A83" t="s">
        <v>500</v>
      </c>
    </row>
  </sheetData>
  <mergeCells count="1">
    <mergeCell ref="D1:G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3CFD1B72A5F084B90FB7B73F4613BEC" ma:contentTypeVersion="6" ma:contentTypeDescription="Create a new document." ma:contentTypeScope="" ma:versionID="2558ad62346f4e4f9cd41e24fac43610">
  <xsd:schema xmlns:xsd="http://www.w3.org/2001/XMLSchema" xmlns:xs="http://www.w3.org/2001/XMLSchema" xmlns:p="http://schemas.microsoft.com/office/2006/metadata/properties" xmlns:ns2="f3a47e91-274c-46a0-ba98-7b939b571e5b" xmlns:ns3="ea1b199f-450f-4d51-8ad4-88f218385cd9" targetNamespace="http://schemas.microsoft.com/office/2006/metadata/properties" ma:root="true" ma:fieldsID="7070cde7c6343b0e2bf1de7a4c91f34e" ns2:_="" ns3:_="">
    <xsd:import namespace="f3a47e91-274c-46a0-ba98-7b939b571e5b"/>
    <xsd:import namespace="ea1b199f-450f-4d51-8ad4-88f218385cd9"/>
    <xsd:element name="properties">
      <xsd:complexType>
        <xsd:sequence>
          <xsd:element name="documentManagement">
            <xsd:complexType>
              <xsd:all>
                <xsd:element ref="ns2:MediaServiceSearchProperties" minOccurs="0"/>
                <xsd:element ref="ns2:MediaServiceObjectDetectorVersions" minOccurs="0"/>
                <xsd:element ref="ns3:SharedWithUsers" minOccurs="0"/>
                <xsd:element ref="ns3:SharedWithDetails" minOccurs="0"/>
                <xsd:element ref="ns2:MediaServiceMetadata" minOccurs="0"/>
                <xsd:element ref="ns2:MediaServiceFast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a47e91-274c-46a0-ba98-7b939b571e5b" elementFormDefault="qualified">
    <xsd:import namespace="http://schemas.microsoft.com/office/2006/documentManagement/types"/>
    <xsd:import namespace="http://schemas.microsoft.com/office/infopath/2007/PartnerControls"/>
    <xsd:element name="MediaServiceSearchProperties" ma:index="8" nillable="true" ma:displayName="MediaServiceSearchProperties" ma:hidden="true" ma:internalName="MediaServiceSearchProperties" ma:readOnly="true">
      <xsd:simpleType>
        <xsd:restriction base="dms:Note"/>
      </xsd:simpleType>
    </xsd:element>
    <xsd:element name="MediaServiceObjectDetectorVersions" ma:index="9" nillable="true" ma:displayName="MediaServiceObjectDetectorVersions" ma:hidden="true" ma:indexed="true" ma:internalName="MediaServiceObjectDetectorVersions" ma:readOnly="true">
      <xsd:simpleType>
        <xsd:restriction base="dms:Text"/>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a1b199f-450f-4d51-8ad4-88f218385cd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816333-575B-4274-8A3E-18699B071E90}"/>
</file>

<file path=customXml/itemProps2.xml><?xml version="1.0" encoding="utf-8"?>
<ds:datastoreItem xmlns:ds="http://schemas.openxmlformats.org/officeDocument/2006/customXml" ds:itemID="{E24BA378-368A-48F5-A1EC-4E4010D10111}"/>
</file>

<file path=customXml/itemProps3.xml><?xml version="1.0" encoding="utf-8"?>
<ds:datastoreItem xmlns:ds="http://schemas.openxmlformats.org/officeDocument/2006/customXml" ds:itemID="{7921AF10-0BF8-441A-BDBA-64AF3E09D4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cp:lastModifiedBy>
  <cp:revision/>
  <dcterms:created xsi:type="dcterms:W3CDTF">2024-06-21T17:19:36Z</dcterms:created>
  <dcterms:modified xsi:type="dcterms:W3CDTF">2025-12-24T09:18:39Z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0x01010003CFD1B72A5F084B90FB7B73F4613BEC</vt:lpwstr>
  </property>
  <property fmtid="{D5CDD505-2E9C-101B-9397-08002B2CF9AE}" pid="17" name="MediaServiceImageTags">
    <vt:lpwstr/>
  </property>
</Properties>
</file>