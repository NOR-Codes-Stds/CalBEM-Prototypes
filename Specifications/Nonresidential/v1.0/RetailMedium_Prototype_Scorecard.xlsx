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C0B45F3B-CA66-4A2B-B70F-AB2D4DE6FF37}"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0" r:id="rId7"/>
    <sheet name="Water Heater" sheetId="33"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1" state="hidden" r:id="rId17"/>
  </sheets>
  <definedNames>
    <definedName name="_xlnm._FilterDatabase" localSheetId="16" hidden="1">Data!$D$1:$G$1</definedName>
    <definedName name="nonparticipating_forecastzone_scale_factor" localSheetId="16">#REF!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3" l="1" a="1"/>
  <c r="G17" i="13"/>
  <c r="H5" i="21"/>
  <c r="H6" i="21"/>
  <c r="H7" i="21"/>
  <c r="H8" i="21"/>
  <c r="H9" i="21"/>
  <c r="H10" i="21"/>
  <c r="H11" i="21"/>
  <c r="H12" i="21"/>
  <c r="H13" i="21"/>
  <c r="H14" i="21"/>
  <c r="H15" i="21"/>
  <c r="H16" i="21"/>
  <c r="H17" i="21"/>
  <c r="H18" i="21"/>
  <c r="H19" i="21"/>
  <c r="H20" i="21"/>
  <c r="H4" i="21"/>
  <c r="A35" i="28"/>
  <c r="B35" i="28"/>
  <c r="A32" i="28"/>
  <c r="A44" i="28" s="1"/>
  <c r="B32" i="28"/>
  <c r="A38" i="28"/>
  <c r="B38" i="28"/>
  <c r="A41" i="28"/>
  <c r="B41" i="28"/>
  <c r="B44" i="28"/>
  <c r="A47" i="28"/>
  <c r="B47" i="28"/>
  <c r="A50" i="28"/>
  <c r="B50" i="28"/>
  <c r="I28" i="1"/>
  <c r="AA38" i="1" l="1"/>
  <c r="AA37" i="1"/>
  <c r="AA40" i="1" l="1"/>
  <c r="AA39" i="1"/>
  <c r="I10" i="18"/>
  <c r="F8" i="25"/>
  <c r="C8" i="25"/>
  <c r="I37" i="1" l="1"/>
  <c r="I41" i="1"/>
  <c r="I39" i="1"/>
  <c r="I40" i="1"/>
  <c r="I38" i="1"/>
  <c r="A15" i="33"/>
  <c r="A14" i="33"/>
  <c r="A13" i="33"/>
  <c r="A12" i="33"/>
  <c r="A11" i="33"/>
  <c r="A10" i="33"/>
  <c r="A9" i="33"/>
  <c r="A8" i="33"/>
  <c r="A1" i="33"/>
  <c r="I47" i="33"/>
  <c r="I18" i="1" l="1"/>
  <c r="I48" i="1"/>
  <c r="B59" i="1" a="1"/>
  <c r="B59" i="1" s="1"/>
  <c r="B52" i="1"/>
  <c r="B50" i="1" s="1"/>
  <c r="B49" i="1" s="1" a="1"/>
  <c r="B49" i="1" s="1"/>
  <c r="B48" i="1" l="1"/>
  <c r="E46" i="13"/>
  <c r="E45" i="13"/>
  <c r="I4" i="13"/>
  <c r="C9" i="33" s="1"/>
  <c r="I5" i="13"/>
  <c r="C10" i="33" s="1"/>
  <c r="I7" i="13"/>
  <c r="C12" i="33" s="1"/>
  <c r="I8" i="13"/>
  <c r="C13" i="33" s="1"/>
  <c r="I9" i="13"/>
  <c r="C14" i="33" s="1"/>
  <c r="I10" i="13"/>
  <c r="C15" i="33" s="1"/>
  <c r="I3" i="13"/>
  <c r="C8" i="33" s="1"/>
  <c r="H6" i="13"/>
  <c r="I6" i="13" s="1"/>
  <c r="P21" i="13"/>
  <c r="P20" i="13"/>
  <c r="P19" i="13"/>
  <c r="P18" i="13"/>
  <c r="P17" i="13"/>
  <c r="P16" i="13"/>
  <c r="A6" i="29"/>
  <c r="C4" i="18"/>
  <c r="C5" i="18"/>
  <c r="A3" i="18"/>
  <c r="A4" i="18"/>
  <c r="A5" i="18"/>
  <c r="A6" i="18"/>
  <c r="A7" i="18"/>
  <c r="A8" i="18"/>
  <c r="A9" i="18"/>
  <c r="A10" i="18"/>
  <c r="A4" i="25"/>
  <c r="A3" i="29" s="1"/>
  <c r="A6" i="25"/>
  <c r="A5" i="29" s="1"/>
  <c r="A5" i="25"/>
  <c r="A4" i="29" s="1"/>
  <c r="A7" i="25"/>
  <c r="L8" i="13"/>
  <c r="D13" i="33" s="1"/>
  <c r="F13" i="33" s="1"/>
  <c r="G13" i="33" s="1"/>
  <c r="J3" i="13"/>
  <c r="J4" i="13"/>
  <c r="T29" i="1"/>
  <c r="U29" i="1"/>
  <c r="V29" i="1"/>
  <c r="W29" i="1"/>
  <c r="X29" i="1"/>
  <c r="S29" i="1"/>
  <c r="K29" i="1"/>
  <c r="L29" i="1"/>
  <c r="M29" i="1"/>
  <c r="N29" i="1"/>
  <c r="O29" i="1"/>
  <c r="P29" i="1"/>
  <c r="Q29" i="1"/>
  <c r="R29" i="1"/>
  <c r="J29" i="1"/>
  <c r="I29" i="1"/>
  <c r="T28" i="1"/>
  <c r="U28" i="1"/>
  <c r="V28" i="1"/>
  <c r="W28" i="1"/>
  <c r="X28" i="1"/>
  <c r="S28" i="1"/>
  <c r="K28" i="1"/>
  <c r="L28" i="1"/>
  <c r="M28" i="1"/>
  <c r="N28" i="1"/>
  <c r="O28" i="1"/>
  <c r="P28" i="1"/>
  <c r="Q28" i="1"/>
  <c r="R28" i="1"/>
  <c r="J28" i="1"/>
  <c r="J18" i="1"/>
  <c r="J19" i="1" s="1"/>
  <c r="K18" i="1"/>
  <c r="K19" i="1" s="1"/>
  <c r="L18" i="1"/>
  <c r="L19" i="1" s="1"/>
  <c r="M18" i="1"/>
  <c r="M19" i="1" s="1"/>
  <c r="N18" i="1"/>
  <c r="N19" i="1" s="1"/>
  <c r="O18" i="1"/>
  <c r="O19" i="1" s="1"/>
  <c r="P18" i="1"/>
  <c r="P19" i="1" s="1"/>
  <c r="Q18" i="1"/>
  <c r="R18" i="1"/>
  <c r="S18" i="1"/>
  <c r="T18" i="1"/>
  <c r="U18" i="1"/>
  <c r="U19" i="1" s="1"/>
  <c r="V18" i="1"/>
  <c r="V19" i="1" s="1"/>
  <c r="W18" i="1"/>
  <c r="W19" i="1" s="1"/>
  <c r="X18" i="1"/>
  <c r="X19" i="1" s="1"/>
  <c r="I13" i="1"/>
  <c r="Q19" i="1"/>
  <c r="R19" i="1"/>
  <c r="S19" i="1"/>
  <c r="T19" i="1"/>
  <c r="I19" i="1"/>
  <c r="L4" i="13"/>
  <c r="D9" i="33" s="1"/>
  <c r="F9" i="33" s="1"/>
  <c r="G9" i="33" s="1"/>
  <c r="L5" i="13"/>
  <c r="D10" i="33" s="1"/>
  <c r="F10" i="33" s="1"/>
  <c r="G10" i="33" s="1"/>
  <c r="J1" i="21"/>
  <c r="A1" i="21"/>
  <c r="I14" i="1" l="1"/>
  <c r="L10" i="13"/>
  <c r="D15" i="33" s="1"/>
  <c r="F15" i="33" s="1"/>
  <c r="G15" i="33" s="1"/>
  <c r="L3" i="13"/>
  <c r="D8" i="33" s="1"/>
  <c r="F8" i="33" s="1"/>
  <c r="C11" i="33"/>
  <c r="L6" i="13"/>
  <c r="D11" i="33" s="1"/>
  <c r="F11" i="33" s="1"/>
  <c r="G11" i="33" s="1"/>
  <c r="J6" i="13"/>
  <c r="C6" i="18"/>
  <c r="L7" i="13"/>
  <c r="D12" i="33" s="1"/>
  <c r="F12" i="33" s="1"/>
  <c r="G12" i="33" s="1"/>
  <c r="L9" i="13"/>
  <c r="D14" i="33" s="1"/>
  <c r="F14" i="33" s="1"/>
  <c r="G14" i="33" s="1"/>
  <c r="C10" i="18"/>
  <c r="H10" i="18" s="1"/>
  <c r="J7" i="13"/>
  <c r="J10" i="13"/>
  <c r="J8" i="13"/>
  <c r="C9" i="18"/>
  <c r="H9" i="18" s="1"/>
  <c r="C8" i="18"/>
  <c r="H8" i="18" s="1"/>
  <c r="J9" i="13"/>
  <c r="J5" i="13"/>
  <c r="C7" i="18"/>
  <c r="I7" i="18" s="1"/>
  <c r="B6" i="18"/>
  <c r="B5" i="18"/>
  <c r="B4" i="18"/>
  <c r="B8" i="18"/>
  <c r="G8" i="18" s="1"/>
  <c r="AV4" i="20"/>
  <c r="AU2" i="20"/>
  <c r="AU4" i="20" s="1"/>
  <c r="T4" i="20"/>
  <c r="V4" i="20" s="1"/>
  <c r="U4" i="20"/>
  <c r="T5" i="20"/>
  <c r="U5" i="20"/>
  <c r="V5" i="20"/>
  <c r="T6" i="20"/>
  <c r="U6" i="20"/>
  <c r="V6" i="20"/>
  <c r="T7" i="20"/>
  <c r="U7" i="20"/>
  <c r="V7" i="20"/>
  <c r="T8" i="20"/>
  <c r="U8" i="20"/>
  <c r="V8" i="20"/>
  <c r="T9" i="20"/>
  <c r="V9" i="20" s="1"/>
  <c r="U9" i="20"/>
  <c r="T10" i="20"/>
  <c r="V10" i="20" s="1"/>
  <c r="U10" i="20"/>
  <c r="T11" i="20"/>
  <c r="U11" i="20"/>
  <c r="V11" i="20"/>
  <c r="T12" i="20"/>
  <c r="U12" i="20"/>
  <c r="T13" i="20"/>
  <c r="U13" i="20"/>
  <c r="V13" i="20"/>
  <c r="T14" i="20"/>
  <c r="U14" i="20"/>
  <c r="V14" i="20"/>
  <c r="T15" i="20"/>
  <c r="U15" i="20"/>
  <c r="V15" i="20"/>
  <c r="T16" i="20"/>
  <c r="U16" i="20"/>
  <c r="V16" i="20"/>
  <c r="T17" i="20"/>
  <c r="U17" i="20"/>
  <c r="V17" i="20"/>
  <c r="T18" i="20"/>
  <c r="U18" i="20"/>
  <c r="U3" i="20"/>
  <c r="T3" i="20"/>
  <c r="K18" i="20"/>
  <c r="J18" i="20"/>
  <c r="K17" i="20"/>
  <c r="J17" i="20"/>
  <c r="L17" i="20" s="1"/>
  <c r="K16" i="20"/>
  <c r="J16" i="20"/>
  <c r="L16" i="20" s="1"/>
  <c r="K15" i="20"/>
  <c r="J15" i="20"/>
  <c r="L15" i="20" s="1"/>
  <c r="K14" i="20"/>
  <c r="J14" i="20"/>
  <c r="L14" i="20" s="1"/>
  <c r="K13" i="20"/>
  <c r="J13" i="20"/>
  <c r="L13" i="20" s="1"/>
  <c r="K12" i="20"/>
  <c r="J12" i="20"/>
  <c r="L12" i="20" s="1"/>
  <c r="K11" i="20"/>
  <c r="J11" i="20"/>
  <c r="L11" i="20" s="1"/>
  <c r="K10" i="20"/>
  <c r="J10" i="20"/>
  <c r="K9" i="20"/>
  <c r="J9" i="20"/>
  <c r="L9" i="20" s="1"/>
  <c r="K8" i="20"/>
  <c r="J8" i="20"/>
  <c r="K7" i="20"/>
  <c r="J7" i="20"/>
  <c r="K6" i="20"/>
  <c r="J6" i="20"/>
  <c r="L6" i="20" s="1"/>
  <c r="K5" i="20"/>
  <c r="J5" i="20"/>
  <c r="L5" i="20" s="1"/>
  <c r="K4" i="20"/>
  <c r="J4" i="20"/>
  <c r="L4" i="20" s="1"/>
  <c r="K3" i="20"/>
  <c r="J3" i="20"/>
  <c r="L3" i="20" s="1"/>
  <c r="A8" i="29"/>
  <c r="A9" i="25"/>
  <c r="B3" i="18" l="1"/>
  <c r="B10" i="18"/>
  <c r="G10" i="18" s="1"/>
  <c r="G8" i="33"/>
  <c r="F17" i="33"/>
  <c r="F16" i="33"/>
  <c r="J11" i="13"/>
  <c r="J10" i="18"/>
  <c r="H7" i="18"/>
  <c r="I9" i="18"/>
  <c r="B7" i="18"/>
  <c r="G7" i="18" s="1"/>
  <c r="I8" i="18"/>
  <c r="J8" i="18" s="1"/>
  <c r="L11" i="13"/>
  <c r="B9" i="18"/>
  <c r="G9" i="18" s="1"/>
  <c r="J7" i="18"/>
  <c r="J9" i="18"/>
  <c r="L7" i="20"/>
  <c r="L18" i="20"/>
  <c r="V12" i="20"/>
  <c r="V3" i="20"/>
  <c r="V18" i="20"/>
  <c r="L10" i="20"/>
  <c r="L8" i="20"/>
  <c r="F22" i="28"/>
  <c r="F23" i="28"/>
  <c r="F24" i="28"/>
  <c r="F25" i="28"/>
  <c r="F26" i="28"/>
  <c r="F27"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D28" i="33" l="1"/>
  <c r="D29" i="33"/>
  <c r="D30" i="33"/>
  <c r="D31" i="33"/>
  <c r="D32" i="33"/>
  <c r="D33" i="33"/>
  <c r="E33" i="33" s="1"/>
  <c r="F33" i="33" s="1"/>
  <c r="D34" i="33"/>
  <c r="G28" i="33"/>
  <c r="H28" i="33" s="1"/>
  <c r="J28" i="33" s="1"/>
  <c r="D35" i="33"/>
  <c r="G29" i="33"/>
  <c r="H29" i="33" s="1"/>
  <c r="J29" i="33" s="1"/>
  <c r="D36" i="33"/>
  <c r="E36" i="33" s="1"/>
  <c r="F36" i="33" s="1"/>
  <c r="D37" i="33"/>
  <c r="E37" i="33" s="1"/>
  <c r="F37" i="33" s="1"/>
  <c r="G31" i="33"/>
  <c r="H31" i="33" s="1"/>
  <c r="J31" i="33" s="1"/>
  <c r="D38" i="33"/>
  <c r="D39" i="33"/>
  <c r="E39" i="33" s="1"/>
  <c r="F39" i="33" s="1"/>
  <c r="G33" i="33"/>
  <c r="H33" i="33" s="1"/>
  <c r="J33" i="33" s="1"/>
  <c r="G34" i="33"/>
  <c r="H34" i="33" s="1"/>
  <c r="J34" i="33" s="1"/>
  <c r="D42" i="33"/>
  <c r="E42" i="33" s="1"/>
  <c r="F42" i="33" s="1"/>
  <c r="G27" i="33"/>
  <c r="H27" i="33" s="1"/>
  <c r="J27" i="33" s="1"/>
  <c r="D27" i="33"/>
  <c r="E27" i="33" s="1"/>
  <c r="F27" i="33" s="1"/>
  <c r="G39" i="33"/>
  <c r="H39" i="33" s="1"/>
  <c r="J39" i="33" s="1"/>
  <c r="G40" i="33"/>
  <c r="H40" i="33" s="1"/>
  <c r="J40" i="33" s="1"/>
  <c r="G30" i="33"/>
  <c r="H30" i="33" s="1"/>
  <c r="J30" i="33" s="1"/>
  <c r="G32" i="33"/>
  <c r="H32" i="33" s="1"/>
  <c r="J32" i="33" s="1"/>
  <c r="D40" i="33"/>
  <c r="D41" i="33"/>
  <c r="E41" i="33" s="1"/>
  <c r="F41" i="33" s="1"/>
  <c r="G35" i="33"/>
  <c r="H35" i="33" s="1"/>
  <c r="J35" i="33" s="1"/>
  <c r="G36" i="33"/>
  <c r="H36" i="33" s="1"/>
  <c r="J36" i="33" s="1"/>
  <c r="G37" i="33"/>
  <c r="H37" i="33" s="1"/>
  <c r="J37" i="33" s="1"/>
  <c r="G38" i="33"/>
  <c r="H38" i="33" s="1"/>
  <c r="J38" i="33" s="1"/>
  <c r="G41" i="33"/>
  <c r="H41" i="33" s="1"/>
  <c r="J41" i="33" s="1"/>
  <c r="G42" i="33"/>
  <c r="H42" i="33" s="1"/>
  <c r="J42" i="33" s="1"/>
  <c r="I36" i="33"/>
  <c r="I37" i="33"/>
  <c r="E30" i="33"/>
  <c r="F30" i="33" s="1"/>
  <c r="I33" i="33"/>
  <c r="E40" i="33"/>
  <c r="F40" i="33" s="1"/>
  <c r="I31" i="33"/>
  <c r="E38" i="33"/>
  <c r="F38" i="33" s="1"/>
  <c r="E32" i="33"/>
  <c r="F32" i="33" s="1"/>
  <c r="I40" i="33"/>
  <c r="I28" i="33"/>
  <c r="I29" i="33"/>
  <c r="I32" i="33"/>
  <c r="I38" i="33"/>
  <c r="I34" i="33"/>
  <c r="I30" i="33"/>
  <c r="I42" i="33"/>
  <c r="E29" i="33"/>
  <c r="F29" i="33" s="1"/>
  <c r="E28" i="33"/>
  <c r="F28" i="33" s="1"/>
  <c r="I27" i="33"/>
  <c r="I35" i="33"/>
  <c r="E34" i="33"/>
  <c r="F34" i="33" s="1"/>
  <c r="I39" i="33"/>
  <c r="E35" i="33"/>
  <c r="F35" i="33" s="1"/>
  <c r="E31" i="33"/>
  <c r="F31" i="33" s="1"/>
  <c r="I41" i="33"/>
  <c r="B10" i="28"/>
  <c r="B16" i="28" s="1"/>
  <c r="A10" i="28"/>
  <c r="A16" i="28" s="1"/>
  <c r="B7" i="28"/>
  <c r="B13" i="28" s="1"/>
  <c r="B19" i="28" s="1"/>
  <c r="B25" i="28" s="1"/>
  <c r="A7" i="28"/>
  <c r="A13" i="28" s="1"/>
  <c r="A19" i="28" s="1"/>
  <c r="A25" i="28" s="1"/>
  <c r="A22" i="28" l="1"/>
  <c r="B22" i="28"/>
  <c r="A7" i="29"/>
  <c r="A8" i="25"/>
  <c r="A1" i="30"/>
  <c r="S18" i="13" l="1"/>
  <c r="S19" i="13"/>
  <c r="S20" i="13"/>
  <c r="S21" i="13"/>
  <c r="A1" i="22"/>
  <c r="A1" i="27"/>
  <c r="A1" i="28"/>
  <c r="A1" i="29"/>
  <c r="A1" i="9"/>
  <c r="A1" i="25"/>
  <c r="A1" i="18"/>
  <c r="A1" i="1"/>
  <c r="A1" i="14"/>
  <c r="A1" i="13"/>
  <c r="C32" i="2" l="1"/>
  <c r="X13" i="1" l="1"/>
  <c r="X14" i="1" s="1"/>
  <c r="W13" i="1"/>
  <c r="W14" i="1" s="1"/>
  <c r="V13" i="1"/>
  <c r="V14" i="1" s="1"/>
  <c r="U13" i="1"/>
  <c r="U14" i="1" s="1"/>
  <c r="T13" i="1"/>
  <c r="T14" i="1" s="1"/>
  <c r="S13" i="1"/>
  <c r="S14" i="1" s="1"/>
  <c r="R13" i="1"/>
  <c r="R14" i="1" s="1"/>
  <c r="Q13" i="1"/>
  <c r="Q14" i="1" s="1"/>
  <c r="P13" i="1"/>
  <c r="P14" i="1" s="1"/>
  <c r="O13" i="1"/>
  <c r="O14" i="1" s="1"/>
  <c r="N13" i="1"/>
  <c r="N14" i="1" s="1"/>
  <c r="M13" i="1"/>
  <c r="M14" i="1" s="1"/>
  <c r="L13" i="1"/>
  <c r="L14" i="1" s="1"/>
  <c r="K13" i="1"/>
  <c r="K14" i="1" s="1"/>
  <c r="J13" i="1"/>
  <c r="J14" i="1" l="1"/>
  <c r="AB9" i="21"/>
  <c r="I23" i="29" l="1"/>
  <c r="I24" i="29"/>
  <c r="I25" i="29"/>
  <c r="I22" i="29"/>
  <c r="B20" i="9" l="1"/>
  <c r="C12" i="9" s="1"/>
  <c r="G8" i="9"/>
  <c r="G12" i="9" l="1"/>
  <c r="C3" i="18" l="1"/>
  <c r="H3" i="18" s="1"/>
  <c r="I6" i="18" l="1"/>
  <c r="H6" i="18"/>
  <c r="I4" i="18"/>
  <c r="H4" i="18"/>
  <c r="I5" i="18"/>
  <c r="H5" i="18"/>
  <c r="I3" i="18"/>
  <c r="G3" i="18"/>
  <c r="J3" i="18" s="1"/>
  <c r="G4" i="18"/>
  <c r="J4" i="18" s="1"/>
  <c r="G5" i="18"/>
  <c r="J5" i="18" s="1"/>
  <c r="G6" i="18"/>
  <c r="J6" i="18" s="1"/>
  <c r="B21" i="9"/>
  <c r="C11" i="9" s="1"/>
  <c r="G11" i="9" l="1"/>
  <c r="C10" i="9"/>
  <c r="G10" i="9" s="1"/>
  <c r="S17" i="13"/>
  <c r="H11" i="13"/>
  <c r="G13" i="9"/>
  <c r="C9" i="9"/>
  <c r="G9" i="9" s="1"/>
  <c r="G15" i="9"/>
  <c r="B3" i="9" s="1"/>
  <c r="S16" i="13" l="1"/>
  <c r="S22" i="13" s="1"/>
  <c r="G14" i="9"/>
  <c r="A3" i="9" s="1"/>
  <c r="C3" i="9" l="1"/>
  <c r="G16" i="9"/>
  <c r="AB4" i="21" l="1"/>
  <c r="AB5" i="21"/>
  <c r="AB6" i="21"/>
  <c r="AB7" i="21"/>
  <c r="AB8"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<sst xmlns="http://schemas.openxmlformats.org/spreadsheetml/2006/main" count="1140" uniqueCount="678">
  <si>
    <t>Data Sources</t>
  </si>
  <si>
    <t>Dataset</t>
  </si>
  <si>
    <t>Dodge 2023</t>
  </si>
  <si>
    <r>
      <t>Commercial End-Use Survey</t>
    </r>
    <r>
      <rPr>
        <sz val="10"/>
        <rFont val="Arial"/>
        <family val="2"/>
      </rPr>
      <t xml:space="preserve"> (CEUS) 2022</t>
    </r>
  </si>
  <si>
    <t>https://www.energy.ca.gov/publications/2023/2022-california-commercial-end-use-survey-ceus-final-report</t>
  </si>
  <si>
    <t xml:space="preserve"> </t>
  </si>
  <si>
    <r>
      <t xml:space="preserve">Commercial Buildings Energy Consumption Survey </t>
    </r>
    <r>
      <rPr>
        <sz val="10"/>
        <rFont val="Arial"/>
        <family val="2"/>
      </rPr>
      <t>(CBECS) 2018</t>
    </r>
  </si>
  <si>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</si>
  <si>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</si>
  <si>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</si>
  <si>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t>
  </si>
  <si>
    <r>
      <rPr>
        <sz val="10"/>
        <color rgb="FF000000"/>
        <rFont val="Arial"/>
        <family val="2"/>
      </rPr>
      <t>California Energy Commission</t>
    </r>
    <r>
      <rPr>
        <sz val="10"/>
        <color theme="1"/>
        <rFont val="Arial"/>
        <family val="2"/>
      </rPr>
      <t xml:space="preserve"> (CEC) Medium Retail prototype</t>
    </r>
    <r>
      <rPr>
        <sz val="10"/>
        <rFont val="Arial"/>
        <family val="2"/>
      </rPr>
      <t xml:space="preserve"> (CBECC 2022.3.1)</t>
    </r>
  </si>
  <si>
    <t>https://bees.noresco.com/software2022.html</t>
  </si>
  <si>
    <r>
      <rPr>
        <sz val="10"/>
        <color rgb="FF000000"/>
        <rFont val="Arial"/>
        <family val="2"/>
      </rPr>
      <t>Pacific Northwest National Laboratory</t>
    </r>
    <r>
      <rPr>
        <sz val="10"/>
        <color theme="1"/>
        <rFont val="Arial"/>
        <family val="2"/>
      </rPr>
      <t xml:space="preserve"> (PNNL) Standalone Retail prototypes (90.1-2022)</t>
    </r>
  </si>
  <si>
    <t>https://www.energycodes.gov/prototype-building-models#Commercial</t>
  </si>
  <si>
    <r>
      <rPr>
        <sz val="10"/>
        <color rgb="FF000000"/>
        <rFont val="Arial"/>
        <family val="2"/>
      </rPr>
      <t>Database for Energy Efficient Resources</t>
    </r>
    <r>
      <rPr>
        <sz val="10"/>
        <color theme="1"/>
        <rFont val="Arial"/>
        <family val="2"/>
      </rPr>
      <t xml:space="preserve"> (DEER) Retail prototypes (June 2023)</t>
    </r>
  </si>
  <si>
    <t>https://github.com/sound-data/DEER-Prototypes-EnergyPlus</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</si>
  <si>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</si>
  <si>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</si>
  <si>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</si>
  <si>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</si>
  <si>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</si>
  <si>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</si>
  <si>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</si>
  <si>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r>
      <rPr>
        <sz val="10"/>
        <color rgb="FF000000"/>
        <rFont val="Arial"/>
        <family val="2"/>
      </rPr>
      <t>Code of Federal Regulations</t>
    </r>
    <r>
      <rPr>
        <sz val="10"/>
        <rFont val="Arial"/>
        <family val="2"/>
      </rPr>
      <t xml:space="preserve"> (CFR) Title 10 ( 2010)</t>
    </r>
  </si>
  <si>
    <t>https://www.govinfo.gov/content/pkg/FR-2009-03-23/pdf/FR-2009-03-23.pdf</t>
  </si>
  <si>
    <t>CFR Title 10 ( 2024)</t>
  </si>
  <si>
    <t>https://www.govinfo.gov/content/pkg/CFR-2024-title10-vol3/pdf/CFR-2024-title10-vol3-part431-subpartF.pdf</t>
  </si>
  <si>
    <t>Others</t>
  </si>
  <si>
    <r>
      <rPr>
        <sz val="10"/>
        <color rgb="FF000000"/>
        <rFont val="Arial"/>
        <family val="2"/>
      </rPr>
      <t>Alternative Calculation Method</t>
    </r>
    <r>
      <rPr>
        <sz val="10"/>
        <color theme="1"/>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</si>
  <si>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</si>
  <si>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</si>
  <si>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</si>
  <si>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r>
      <rPr>
        <sz val="10"/>
        <color rgb="FF000000"/>
        <rFont val="Arial"/>
        <family val="2"/>
      </rPr>
      <t xml:space="preserve">Nonres ACM 2022, </t>
    </r>
    <r>
      <rPr>
        <sz val="10"/>
        <color theme="1"/>
        <rFont val="Arial"/>
        <family val="2"/>
      </rPr>
      <t>Appendix 5.4A and Appendix 5.4B</t>
    </r>
  </si>
  <si>
    <r>
      <t xml:space="preserve">2022 Reduced infiltration </t>
    </r>
    <r>
      <rPr>
        <sz val="10"/>
        <color rgb="FF000000"/>
        <rFont val="Arial"/>
        <family val="2"/>
      </rPr>
      <t xml:space="preserve">Codes and Standards Enhancement </t>
    </r>
    <r>
      <rPr>
        <sz val="10"/>
        <color theme="1"/>
        <rFont val="Arial"/>
        <family val="2"/>
      </rPr>
      <t xml:space="preserve">(CASE)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</si>
  <si>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</si>
  <si>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</si>
  <si>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</si>
  <si>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</si>
  <si>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</si>
  <si>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</si>
  <si>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</si>
  <si>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</si>
  <si>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</si>
  <si>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Retail Building Guide for Entrance Energy Efficiency Measures (2012)</t>
  </si>
  <si>
    <t>https://www.osti.gov/servlets/purl/1037934</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</si>
  <si>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</si>
  <si>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</si>
  <si>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</si>
  <si>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</si>
  <si>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</si>
  <si>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</si>
  <si>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</si>
  <si>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</si>
  <si>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</si>
  <si>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 xml:space="preserve">Source:Dodge Construction Data, 2023 ( NEW Stores built after 1967) (STC refers to building types in Dodge terminology). </t>
  </si>
  <si>
    <t>Notes</t>
  </si>
  <si>
    <r>
      <rPr>
        <sz val="10"/>
        <color rgb="FF000000"/>
        <rFont val="Arial"/>
        <family val="2"/>
      </rPr>
      <t xml:space="preserve">This prototype represents an open-format </t>
    </r>
    <r>
      <rPr>
        <sz val="10"/>
        <color rgb="FF000000"/>
        <rFont val="Arial"/>
        <family val="2"/>
      </rPr>
      <t>general merchandise</t>
    </r>
    <r>
      <rPr>
        <sz val="10"/>
        <color rgb="FF000000"/>
        <rFont val="Arial"/>
        <family val="2"/>
      </rPr>
      <t xml:space="preserve"> "big box" typology for retail up to approximately </t>
    </r>
    <r>
      <rPr>
        <sz val="10"/>
        <color rgb="FF000000"/>
        <rFont val="Arial"/>
        <family val="2"/>
      </rPr>
      <t>50,000 ft²</t>
    </r>
    <r>
      <rPr>
        <sz val="10"/>
        <color rgb="FF000000"/>
        <rFont val="Arial"/>
        <family val="2"/>
      </rPr>
      <t xml:space="preserve">. </t>
    </r>
    <r>
      <rPr>
        <sz val="10"/>
        <color rgb="FF000000"/>
        <rFont val="Arial"/>
        <family val="2"/>
      </rPr>
      <t>It is intended to capture the overall building and energy-use characteristics of non-grocery general merchandise retailers, such as</t>
    </r>
    <r>
      <rPr>
        <sz val="10"/>
        <color rgb="FF000000"/>
        <rFont val="Arial"/>
        <family val="2"/>
      </rPr>
      <t xml:space="preserve"> CVS, REI, Tj Max, Home Goods, Ross, Staples, Petco, Marshall, Mattress Firm, Old Navy, and other similar retail shops. This prototype is distinct from g</t>
    </r>
    <r>
      <rPr>
        <sz val="10"/>
        <color rgb="FF000000"/>
        <rFont val="Arial"/>
        <family val="2"/>
      </rPr>
      <t>rocery stores, warehouse clubs, strip malls, and malls, as their refrigeration, plug/process load, lightings, occupancy, schedules, and other energy-use characteristics can differ substantially from general merchandise retail.</t>
    </r>
  </si>
  <si>
    <t>NORESCO, Updated September 2026</t>
  </si>
  <si>
    <t>RetailMedium</t>
  </si>
  <si>
    <t>Characteristic</t>
  </si>
  <si>
    <t>Value</t>
  </si>
  <si>
    <t>Building Type</t>
  </si>
  <si>
    <t>General Merchandise Retail</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</si>
  <si>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</si>
  <si>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</si>
  <si>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</si>
  <si>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</si>
  <si>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</si>
  <si>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</si>
  <si>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</si>
  <si>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</si>
  <si>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Typical medium-sized box retail shop</t>
  </si>
  <si>
    <t>Total Floor Area (ft²)</t>
  </si>
  <si>
    <t>24,692  (178 ft x 139 ft)</t>
  </si>
  <si>
    <t>Assumption: same as the CBECC RetailMedium prototypes.
According to Dodge 2023 construction data, the average floor area of stores between 10,000 ft² and 50,000 ft² in California is approximately 20,414 ft²</t>
  </si>
  <si>
    <t>Aspect Ratio</t>
  </si>
  <si>
    <t>Assumption; same as PNNL Retail_Standalone and CBECC RetailMedium prototypes</t>
  </si>
  <si>
    <t>Number of Floors</t>
  </si>
  <si>
    <t>Roof type</t>
  </si>
  <si>
    <t>Flat</t>
  </si>
  <si>
    <t>WWR_Whole Building</t>
  </si>
  <si>
    <t>Close to the General Merchandise 50% Energy Savings Technical Support Document (PNNL, 2009) which reports a 6.2% whole‑building WWR and 22% front‑façade WWR based on analysis of the 2003 CBECS retail dataset</t>
  </si>
  <si>
    <t>WWR_South Facade</t>
  </si>
  <si>
    <t>Shading Geometry</t>
  </si>
  <si>
    <t>None</t>
  </si>
  <si>
    <t>Floor to floor height (feet)</t>
  </si>
  <si>
    <t>N/A</t>
  </si>
  <si>
    <t>Floor to ceiling height (feet)</t>
  </si>
  <si>
    <t>Glazing sill height (feet)</t>
  </si>
  <si>
    <t>5 ft (top of the window is 8.73 ft high with 3.74 ft high glass)</t>
  </si>
  <si>
    <t>Skylight-to-Roof-Ratio (SRR)</t>
  </si>
  <si>
    <t xml:space="preserve">Background Data </t>
  </si>
  <si>
    <t>Existing Retail Prototypes</t>
  </si>
  <si>
    <t>Large size prototype</t>
  </si>
  <si>
    <t>CEC: Retail_Large</t>
  </si>
  <si>
    <t>CPUC: Retail_Multistory Large (Rt3)</t>
  </si>
  <si>
    <t>CPUC: Retail_Single-Story Large (RtL)</t>
  </si>
  <si>
    <t>Geometry</t>
  </si>
  <si>
    <t>Total floor area (ft²)</t>
  </si>
  <si>
    <t>Medium size prototype</t>
  </si>
  <si>
    <t xml:space="preserve">CEC: Retail_Medium </t>
  </si>
  <si>
    <t>PNNL : Retail_Standalone</t>
  </si>
  <si>
    <t>PNNL: Retail_Stripmall</t>
  </si>
  <si>
    <r>
      <t>CPUC: Retail_</t>
    </r>
    <r>
      <rPr>
        <b/>
        <sz val="10"/>
        <color rgb="FF000000"/>
        <rFont val="Arial"/>
        <family val="2"/>
      </rPr>
      <t>Grocery</t>
    </r>
  </si>
  <si>
    <t xml:space="preserve">zoning same as PNNL Stand alone with more skylight </t>
  </si>
  <si>
    <t>Small size prototype</t>
  </si>
  <si>
    <t>CEC: Retail_Stripmall (Mixed use)</t>
  </si>
  <si>
    <t xml:space="preserve">CPUC: Retail_Small (RtS) </t>
  </si>
  <si>
    <t xml:space="preserve">Spaces and Zoning layout  </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</si>
  <si>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</si>
  <si>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</si>
  <si>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</si>
  <si>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 (NC)</t>
  </si>
  <si>
    <t>HVAC System Name (Existing)</t>
  </si>
  <si>
    <t>Schedule Category</t>
  </si>
  <si>
    <t>Conditioned (Y/N)</t>
  </si>
  <si>
    <t>Area Fraction*</t>
  </si>
  <si>
    <t>Area (ft²)</t>
  </si>
  <si>
    <t>Volume (ft³)</t>
  </si>
  <si>
    <t>Multipliers</t>
  </si>
  <si>
    <t>Number of People</t>
  </si>
  <si>
    <t xml:space="preserve">People 
(Persons/1,000 ft²)
[T24, 2025,Table 120.1-A] </t>
  </si>
  <si>
    <t>Core_Retail</t>
  </si>
  <si>
    <t>Retail Sales Area (Retail Merchandise Sales)</t>
  </si>
  <si>
    <t>PSZAC_Core1, PSZAC_Core2, PSZAC_Core3, PSZAC_Core4</t>
  </si>
  <si>
    <t>SZVAVHP_Core1, SZVAVHP_Core2, SZVAVHP_Core3, SZVAVHP_Core4</t>
  </si>
  <si>
    <t>Retail</t>
  </si>
  <si>
    <t>Y</t>
  </si>
  <si>
    <t>Point_of_Sale</t>
  </si>
  <si>
    <t>PSZAC_Point_Of_Sale</t>
  </si>
  <si>
    <t>PSZVAVHP_Point_Of_Sale</t>
  </si>
  <si>
    <t>Front_Retail</t>
  </si>
  <si>
    <t>PSZAC_Front_Retail</t>
  </si>
  <si>
    <t>SZVAVHP_Front_Retail</t>
  </si>
  <si>
    <t>Front_Entry</t>
  </si>
  <si>
    <t>Corridor Area</t>
  </si>
  <si>
    <t>N</t>
  </si>
  <si>
    <t>Loading_Dock</t>
  </si>
  <si>
    <t>Storage, Commercial/Industrial (Shipping &amp; Handling)</t>
  </si>
  <si>
    <t>PSZAC_Storage</t>
  </si>
  <si>
    <t>SZVAVHP_Storage</t>
  </si>
  <si>
    <t>Ancillary</t>
  </si>
  <si>
    <t>Bulk_Storage</t>
  </si>
  <si>
    <t>Storage (General)</t>
  </si>
  <si>
    <t>Office/Stuff</t>
  </si>
  <si>
    <t>Office Area (&gt;250 square feet)</t>
  </si>
  <si>
    <t>PSZAC_Office</t>
  </si>
  <si>
    <t>SZVAVHP_Office</t>
  </si>
  <si>
    <t>Restroom</t>
  </si>
  <si>
    <t>Restrooms</t>
  </si>
  <si>
    <t>Restroom:  Indirectly conditioned: Transfer air + Exhaust room ( No dedicated HVAC)</t>
  </si>
  <si>
    <t>Total (1 Building)</t>
  </si>
  <si>
    <t>Total (8 Spaces)</t>
  </si>
  <si>
    <t>Total (6 Space types)</t>
  </si>
  <si>
    <t>Total (8 HVAC Systems)</t>
  </si>
  <si>
    <t xml:space="preserve"> Total (8 Conditioned zones)</t>
  </si>
  <si>
    <t>`</t>
  </si>
  <si>
    <t xml:space="preserve">*Note. The area fractions in this prototype align closely with the space distribution shown in the Advanced Energy Design Guide for Medium to Big Box Retail Buildings (ASHRAE), </t>
  </si>
  <si>
    <t>which indicates approximately 85% sales area and 15% non-sales area. The CalBEM RetailMedium prototype reflects a similar distribution, with 83% allocated to sales area and 17% to non-sales functions.</t>
  </si>
  <si>
    <t>Area Distribution By Space Type</t>
  </si>
  <si>
    <t>Space Type</t>
  </si>
  <si>
    <t>%  Area</t>
  </si>
  <si>
    <t>Total</t>
  </si>
  <si>
    <t>Floorspace-Types-30Oct2024</t>
  </si>
  <si>
    <t>Retail (CEUS 2022, statewide %)</t>
  </si>
  <si>
    <t>Conditioned</t>
  </si>
  <si>
    <t>Ventilated</t>
  </si>
  <si>
    <t>Advanced Energy Design Guide for Medium to Big Box Retail Buildings</t>
  </si>
  <si>
    <t>Medium Box Area (ft²)</t>
  </si>
  <si>
    <t>Percentage of Total Area</t>
  </si>
  <si>
    <t>Main sales</t>
  </si>
  <si>
    <t>Perimeter sales</t>
  </si>
  <si>
    <t>Enclosed office</t>
  </si>
  <si>
    <t>Meeting room</t>
  </si>
  <si>
    <t>Break room</t>
  </si>
  <si>
    <t>Mechanical room</t>
  </si>
  <si>
    <t>Corridor</t>
  </si>
  <si>
    <t>Vestibule</t>
  </si>
  <si>
    <t>Active storage</t>
  </si>
  <si>
    <t>Sales</t>
  </si>
  <si>
    <t>Non-Sell</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</si>
  <si>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</si>
  <si>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</si>
  <si>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</si>
  <si>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</si>
  <si>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</si>
  <si>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</si>
  <si>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</si>
  <si>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</si>
  <si>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</si>
  <si>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</si>
  <si>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</si>
  <si>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</si>
  <si>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</si>
  <si>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</si>
  <si>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</si>
  <si>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</si>
  <si>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</si>
  <si>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</si>
  <si>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</si>
  <si>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</si>
  <si>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</si>
  <si>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</si>
  <si>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</si>
  <si>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</si>
  <si>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</si>
  <si>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framed wall:
Metal frame + insulation + Gypsum board</t>
  </si>
  <si>
    <t>U-factor IP</t>
  </si>
  <si>
    <t>Pre 1978</t>
  </si>
  <si>
    <t>ASHRAE 90.1, 2022, Table A3.3.3.1, 3.5", R-0</t>
  </si>
  <si>
    <t>1978-1997</t>
  </si>
  <si>
    <t>Package A with Heat Capacity 10.0-14.99 (Btu/F-ft²) - Still are lower than the next vintage!</t>
  </si>
  <si>
    <t>1998-2007</t>
  </si>
  <si>
    <t>Table 1-H</t>
  </si>
  <si>
    <t>2008-2018</t>
  </si>
  <si>
    <t>Table 140.3-B</t>
  </si>
  <si>
    <t>Existing</t>
  </si>
  <si>
    <t>2019+</t>
  </si>
  <si>
    <t>Roof</t>
  </si>
  <si>
    <t>FlatRoof_WoodFramedAndOther_NonRes</t>
  </si>
  <si>
    <t>Metal deck roof: 
Roof membrane + insulation + metal decking</t>
  </si>
  <si>
    <t>Considering 30 years for roof/ insulation replacement.</t>
  </si>
  <si>
    <t>Window</t>
  </si>
  <si>
    <t>FixedWindow_NonRes</t>
  </si>
  <si>
    <t xml:space="preserve">CBECS 2018 shows that ~ 50 % of retail that were built before 2000 are single pane </t>
  </si>
  <si>
    <t>2021 ASHRAE Handbook of Fundamentals - Section 15.9 Table 4 for single pane &amp; T24, 2013 Table 140.3-B for double pane (50%-50%)</t>
  </si>
  <si>
    <t>Double pane</t>
  </si>
  <si>
    <t xml:space="preserve">Table 140.3-B </t>
  </si>
  <si>
    <t>SHGC</t>
  </si>
  <si>
    <t>2021 ASHRAE Handbook of Fundamentals - Section 15.22 Table 10 for single pane &amp; T24, 2013 Table 140.3-B for double pane (50%-50%)</t>
  </si>
  <si>
    <t xml:space="preserve"> Table 1-H (Non north 0-10%)</t>
  </si>
  <si>
    <t>Skylight</t>
  </si>
  <si>
    <t>Translucent</t>
  </si>
  <si>
    <t>from 1992 code cycle</t>
  </si>
  <si>
    <t>Plastic curb mounted</t>
  </si>
  <si>
    <t>From 1992 code cycle</t>
  </si>
  <si>
    <r>
      <rPr>
        <sz val="10"/>
        <color rgb="FF000000"/>
        <rFont val="Arial"/>
        <family val="2"/>
      </rPr>
      <t>Table 1-H (For S</t>
    </r>
    <r>
      <rPr>
        <sz val="10"/>
        <color rgb="FF000000"/>
        <rFont val="Arial"/>
        <family val="2"/>
      </rPr>
      <t>R</t>
    </r>
    <r>
      <rPr>
        <sz val="10"/>
        <color rgb="FF000000"/>
        <rFont val="Arial"/>
        <family val="2"/>
      </rPr>
      <t>R 0-2%)</t>
    </r>
  </si>
  <si>
    <t xml:space="preserve">There is no requirement in the code (considered same as 2001) </t>
  </si>
  <si>
    <t>Infiltration</t>
  </si>
  <si>
    <t>Zones</t>
  </si>
  <si>
    <t xml:space="preserve">I_75 (cfm/ft²)
6-sdied Infiltration rate @ 75 pa </t>
  </si>
  <si>
    <t xml:space="preserve"> I-design (cfm/ft²) 
(4-sided Infiltration rate at normal pressure) 
(Design flow rate approach and Flow/Exterior Wall Area calculation method) </t>
  </si>
  <si>
    <t>2022 CASE report (Table 38)</t>
  </si>
  <si>
    <r>
      <t>Floor or roof area (ft</t>
    </r>
    <r>
      <rPr>
        <vertAlign val="superscript"/>
        <sz val="10"/>
        <color rgb="FF000000"/>
        <rFont val="Arial"/>
        <family val="2"/>
      </rPr>
      <t>2</t>
    </r>
    <r>
      <rPr>
        <sz val="10"/>
        <color rgb="FF000000"/>
        <rFont val="Arial"/>
        <family val="2"/>
      </rPr>
      <t>)</t>
    </r>
  </si>
  <si>
    <t>Walls area (ft2)</t>
  </si>
  <si>
    <t xml:space="preserve">Building 4 sided area (ft2) </t>
  </si>
  <si>
    <t>2022 CASE report (Table 38) &amp;
T24, part 6, 2008-2016 (Table 140.3-B), Dodge 2023 data</t>
  </si>
  <si>
    <t xml:space="preserve">Building 6 sided area (ft2) </t>
  </si>
  <si>
    <t>0.6 (barrier in all CZ)</t>
  </si>
  <si>
    <t>2022 CASE report (Table 38) &amp;  
T24, part 6, 2025 (Table 140.3-B)</t>
  </si>
  <si>
    <t>Source:  T24 air barrier requirements (all editions) , the standardized infiltration rate reported in the 2022 CASE report, and Dodge 2023 data</t>
  </si>
  <si>
    <t>Entrance Door Infiltration</t>
  </si>
  <si>
    <t>Loading Dock Infiltration</t>
  </si>
  <si>
    <t>Parameter</t>
  </si>
  <si>
    <t>Units</t>
  </si>
  <si>
    <t>Description</t>
  </si>
  <si>
    <t xml:space="preserve"> Source</t>
  </si>
  <si>
    <t>Value / Formula</t>
  </si>
  <si>
    <t>Source</t>
  </si>
  <si>
    <t>cfm</t>
  </si>
  <si>
    <t>Entrance infiltration airflow;CFM = CA × Door Area × Rp</t>
  </si>
  <si>
    <t>NREL, Retail Building Guide for Entrance Energy Efficiency Measures, Section 1</t>
  </si>
  <si>
    <t>Loading Dock CFM</t>
  </si>
  <si>
    <t>Design infiltration rate through loading dock when open</t>
  </si>
  <si>
    <t>Retail Building Guide for Entrance Energy Efficiency Measures, Section 5, Eq. 5-1</t>
  </si>
  <si>
    <t>CA</t>
  </si>
  <si>
    <t>cfm/ft²/√in.H₂O</t>
  </si>
  <si>
    <t>Airflow coefficient based on PPH and entrance/vestibule configuration</t>
  </si>
  <si>
    <t>NREL, Retail Building Guide for Entrance Energy Efficiency Measures, Section 1, Equations 1-1 through 1-4</t>
  </si>
  <si>
    <t>Loading Dock Door Area</t>
  </si>
  <si>
    <t>ft²</t>
  </si>
  <si>
    <t>Effective open area of loading dock door</t>
  </si>
  <si>
    <t>Assumed</t>
  </si>
  <si>
    <t>PPH</t>
  </si>
  <si>
    <t>people/hr</t>
  </si>
  <si>
    <t>Annual average one-way trips through each modeled entrance during entrance operating hours</t>
  </si>
  <si>
    <t>Loading Dock Door Number</t>
  </si>
  <si>
    <t>#</t>
  </si>
  <si>
    <t>Transactions/week</t>
  </si>
  <si>
    <t>transactions/week</t>
  </si>
  <si>
    <t>Example weekly retail transaction volume used to estimate door traffic</t>
  </si>
  <si>
    <t>NREL, Retail Building Guide for Entrance Energy Efficiency Measures</t>
  </si>
  <si>
    <t>Reference Door Area</t>
  </si>
  <si>
    <t>Reference effective door area used to produce Table 5-1</t>
  </si>
  <si>
    <t>Retail Building Guide for Entrance Energy Efficiency Measures, Section 5</t>
  </si>
  <si>
    <t>Operating hours/week</t>
  </si>
  <si>
    <t>hr/week</t>
  </si>
  <si>
    <t>Weekly hours during which the customer entrance is available for use</t>
  </si>
  <si>
    <t>8 AM–9 PM, 7 days/week</t>
  </si>
  <si>
    <t>CFM230</t>
  </si>
  <si>
    <t>Infiltration rate for 230-ft² reference opening for climate Zone 3B</t>
  </si>
  <si>
    <t>Retail Building Guide for Entrance Energy Efficiency Measures, Table 5-1</t>
  </si>
  <si>
    <t>Trips/customer</t>
  </si>
  <si>
    <t>one-way trips/customer</t>
  </si>
  <si>
    <t>Assumes each transaction represents one customer who enters once and exits once</t>
  </si>
  <si>
    <t>Number of main entrances</t>
  </si>
  <si>
    <t>entrance</t>
  </si>
  <si>
    <t>Number of equivalent customer entrances among which traffic is distributed</t>
  </si>
  <si>
    <t>Based on the Geometry</t>
  </si>
  <si>
    <t>Vestibule Types:</t>
  </si>
  <si>
    <t>Vestibule Type</t>
  </si>
  <si>
    <t>Sliding doors - across</t>
  </si>
  <si>
    <t>—</t>
  </si>
  <si>
    <t>Entrance/vestibule configuration used to select the CA equation</t>
  </si>
  <si>
    <t>without a vestibule</t>
  </si>
  <si>
    <t>No vestibule</t>
  </si>
  <si>
    <t>Door Area</t>
  </si>
  <si>
    <t>Effective/total open area of modeled entrance door</t>
  </si>
  <si>
    <t>vestibule with swinging doors</t>
  </si>
  <si>
    <t>Swinging doors</t>
  </si>
  <si>
    <t>Wind Speed</t>
  </si>
  <si>
    <t>mph</t>
  </si>
  <si>
    <t>Average wind speed while the entrance is in use</t>
  </si>
  <si>
    <t>Assumed based on representative California weather</t>
  </si>
  <si>
    <t>vestibule with sliding doors, where the inner and outer doors are across from each other</t>
  </si>
  <si>
    <t>Wind Impact</t>
  </si>
  <si>
    <t>Moderate</t>
  </si>
  <si>
    <t>Wind-pressure exposure assumption; Moderate corresponds to Cp = 0.45</t>
  </si>
  <si>
    <t>Assumed; Cp definition and options from NREL, Retail Building Guide for Entrance Energy Efficiency Measures, Table 1-1</t>
  </si>
  <si>
    <t>vestibule with sliding doors, where the outer doors are on the left or right side of the vestibule</t>
  </si>
  <si>
    <t>Sliding doors - side</t>
  </si>
  <si>
    <t>Rp</t>
  </si>
  <si>
    <t>√in.H₂O</t>
  </si>
  <si>
    <t>Pressure factor based on average wind speed and wind-pressure impact</t>
  </si>
  <si>
    <t>NREL, Retail Building Guide for Entrance Energy Efficiency Measures, Section 1, Step 2, Table 1-1</t>
  </si>
  <si>
    <t>Wind speed</t>
  </si>
  <si>
    <t>(C_p=0.45)</t>
  </si>
  <si>
    <t>(C_p=0.70)</t>
  </si>
  <si>
    <t>5 mph</t>
  </si>
  <si>
    <t>10 mph</t>
  </si>
  <si>
    <t>15 mph</t>
  </si>
  <si>
    <t>20 mph</t>
  </si>
  <si>
    <t xml:space="preserve">Heating </t>
  </si>
  <si>
    <t>Cooling</t>
  </si>
  <si>
    <t>Air Distribution</t>
  </si>
  <si>
    <t>Other systems</t>
  </si>
  <si>
    <t xml:space="preserve">Existing  </t>
  </si>
  <si>
    <t>PSZAC (furnace)</t>
  </si>
  <si>
    <t>PSZAC (DX cooling)</t>
  </si>
  <si>
    <t xml:space="preserve">CAV </t>
  </si>
  <si>
    <t>OA mixing 
Economizer for Vintage 3 and 4</t>
  </si>
  <si>
    <t xml:space="preserve">CEUS 2022 </t>
  </si>
  <si>
    <t>4 RTUs for Core zone (each with a max of  20 ton)</t>
  </si>
  <si>
    <t>New Construction</t>
  </si>
  <si>
    <t>SZVAVHP</t>
  </si>
  <si>
    <t>VAV</t>
  </si>
  <si>
    <t xml:space="preserve">OA mixing 
Economizer </t>
  </si>
  <si>
    <t>Title 24, 2025, Engineering judgement</t>
  </si>
  <si>
    <t>4 systems for Core zone (each with a max of  20 ton)</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</si>
  <si>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</si>
  <si>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</si>
  <si>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Thermal Efficiency of 80%</t>
  </si>
  <si>
    <t>SEER=13.0 for &lt;65 kBtu/h
EER 10.1 for  65-135 kBtu/h
EER 9.5 for 135-240 kBtu/h
EER 9.3 for 240-760 kBtu/h</t>
  </si>
  <si>
    <t>T24, Table 112-A (2008)
10 CFR § 431.97, Table 1 (2008)
California Title 20 Appliance Efficiency Regulations, Table E-4, Standards for Gas- and Oil-Fired Central Furnaces (2008)</t>
  </si>
  <si>
    <t>Thermal Efficiency of 80%;</t>
  </si>
  <si>
    <t>SEER 13 for &lt;65 kBtu/h
EER 11.0 for  65-135 kBtu/h
EER 10.8 for 135-240 kBtu/h
EER 9.8 for 240-760 kBtu/h</t>
  </si>
  <si>
    <t>T24, 2013  Table 110.2-J &amp; Table 110.2-A (2013)
10 CFR § 431.97(b) Table 1 (2013)</t>
  </si>
  <si>
    <t>HSPF 8.0 for &lt;65 kBtu/h
COP 3.4 for 65-135 kBtu/h
COP 3.3 for 135-240 kBtu/h
COP 3.2 for &gt;240 kBtu/h</t>
  </si>
  <si>
    <t>SEER 14 for &lt;65 kBtu/h
EER 10.8, IEER 13.9 for 65-135 kBtu/h
EER 10.4,  IEER = 13.3 135-240 kBtu/h
EER 9.3, IEER=12.3 for &gt;240 kBtu/h</t>
  </si>
  <si>
    <t xml:space="preserve"> 10 CFR § 431.97(b) Table 1 (2025)
Title 20 Appliance Efficiency Regulations, Section 1605.1, Table C-5 (2025)
T24, Table 110.2-B (2025)</t>
  </si>
  <si>
    <t xml:space="preserve">cfm </t>
  </si>
  <si>
    <t>5000 12.5 tons  _ 8000 cfm</t>
  </si>
  <si>
    <t>Fan Power</t>
  </si>
  <si>
    <t>Approach</t>
  </si>
  <si>
    <t>System</t>
  </si>
  <si>
    <t>Total Static Pressure (TSP)
(in w.c.)</t>
  </si>
  <si>
    <t>Fan Efficiency
[ACM 2025]</t>
  </si>
  <si>
    <t xml:space="preserve">Motor Efficiency </t>
  </si>
  <si>
    <t xml:space="preserve"> Fan Power Index 
(W/cfm)</t>
  </si>
  <si>
    <t>Data Source</t>
  </si>
  <si>
    <t>PNNL 90.1-2011, TSP</t>
  </si>
  <si>
    <t>CAV &lt; 7,437 cfm</t>
  </si>
  <si>
    <t>ASHRAE 90.1, 2004, Table 10.8 *</t>
  </si>
  <si>
    <t>Fan power formula: PNNL 20405, 2010, section 5.2.2.5
TSP and fan efficiency: PNNL 20405, 2010, Table 5.11, 90.1-04ac values
Motor and drive efficiency: ASHRAE 90.1, 2004, Table 10.8</t>
  </si>
  <si>
    <t>CAV &gt;= 7,437 cfm</t>
  </si>
  <si>
    <t>Brake horsepower (bhp) = (Supply cfm × TSP in w.c.) / (6356 × fan efficiency)</t>
  </si>
  <si>
    <t>Fan power (w/cfm) = (bhp ×  746) / ( supply cfm × motor efficiency )</t>
  </si>
  <si>
    <t>ACM 2025</t>
  </si>
  <si>
    <t>SZVAVHP (System 7b), &gt;5,000 and ≤10,000 cfm</t>
  </si>
  <si>
    <t>TSP = fan power × motor efficiency × fan efficiency × 6356 / 746</t>
  </si>
  <si>
    <t>2025 ACM Table 12 **</t>
  </si>
  <si>
    <t>Fan power index: [ACM 2025, Table 13]
Motor efficiency: [ACM 2025, Table 12]</t>
  </si>
  <si>
    <t>SZVAVHP (System 7b), &gt;10,000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</si>
  <si>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</si>
  <si>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HVAC: 4 core systems, each max 20 ton (about 8,000 cfm). ACM System 7b mid bin.
     Note: Only if a unit exceeds 10,000 cfm. Design note is max 20 ton, which is the row above.</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</si>
  <si>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</si>
  <si>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</si>
  <si>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</si>
  <si>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</si>
  <si>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</si>
  <si>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</si>
  <si>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</si>
  <si>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</si>
  <si>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 xml:space="preserve">Shipping/receiving </t>
  </si>
  <si>
    <t xml:space="preserve">Warehouses </t>
  </si>
  <si>
    <r>
      <rPr>
        <sz val="10"/>
        <color rgb="FF000000"/>
        <rFont val="Arial"/>
        <family val="2"/>
      </rPr>
      <t>4*</t>
    </r>
    <r>
      <rPr>
        <sz val="10"/>
        <color rgb="FF000000"/>
        <rFont val="Arial"/>
        <family val="2"/>
      </rPr>
      <t>50/70 (cfm/unit)</t>
    </r>
  </si>
  <si>
    <t xml:space="preserve">Currently assuming the entry is not actively ventilated due to doors (and connection to core) providing air. </t>
  </si>
  <si>
    <t>Spaces/Zones</t>
  </si>
  <si>
    <t>Setpoint</t>
  </si>
  <si>
    <t>All spaces except Bulk_Storage and Loading_Dock</t>
  </si>
  <si>
    <t>Heating Setpoint (F)</t>
  </si>
  <si>
    <t>T24 2022 - Appendix 5.4B</t>
  </si>
  <si>
    <t>Heating Setback (F)</t>
  </si>
  <si>
    <t>Cooling Setpoint (F)</t>
  </si>
  <si>
    <t>Cooling Setback (F)</t>
  </si>
  <si>
    <t>Bulk_Storage and Loading_Dock</t>
  </si>
  <si>
    <t>Engineering Judgment 
(Semi‑conditioned space)</t>
  </si>
  <si>
    <t>WH Type</t>
  </si>
  <si>
    <t>Efficiency</t>
  </si>
  <si>
    <t>Number of WH</t>
  </si>
  <si>
    <t>Tank Volume (gal)</t>
  </si>
  <si>
    <t>Tank Loss</t>
  </si>
  <si>
    <t>Electric</t>
  </si>
  <si>
    <t>30  
See table below for CZ-specific values: Climate Zone Water Heater Sizing and Loss Coefficients, Storage Volume column (col F)</t>
  </si>
  <si>
    <t>1.2 %/hr 
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</si>
  <si>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</si>
  <si>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</si>
  <si>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</si>
  <si>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</si>
  <si>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</si>
  <si>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</si>
  <si>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</si>
  <si>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</si>
  <si>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</si>
  <si>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</si>
  <si>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</si>
  <si>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</si>
  <si>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</si>
  <si>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</si>
  <si>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</si>
  <si>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</si>
  <si>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</si>
  <si>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</si>
  <si>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</si>
  <si>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</si>
  <si>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 (Individual WH)</t>
  </si>
  <si>
    <t>Water Heater Name</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</si>
  <si>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</si>
  <si>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</si>
  <si>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</si>
  <si>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</si>
  <si>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</si>
  <si>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</si>
  <si>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</si>
  <si>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</si>
  <si>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</si>
  <si>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WH_RetailMedium</t>
  </si>
  <si>
    <t>CZ01</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</si>
  <si>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</si>
  <si>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</si>
  <si>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</si>
  <si>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</si>
  <si>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</si>
  <si>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</si>
  <si>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</si>
  <si>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</si>
  <si>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</si>
  <si>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</si>
  <si>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</si>
  <si>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</si>
  <si>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</si>
  <si>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</si>
  <si>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</si>
  <si>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</si>
  <si>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</si>
  <si>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</si>
  <si>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</si>
  <si>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</si>
  <si>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</si>
  <si>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</si>
  <si>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New Construction </t>
  </si>
  <si>
    <t>LPD (W/ft²)</t>
  </si>
  <si>
    <t>Additional LPD for Portable Lighting (W/ft²)</t>
  </si>
  <si>
    <t xml:space="preserve">LPD (W/ft²) </t>
  </si>
  <si>
    <t xml:space="preserve">T24, part 6, 2025, Table 140.6-C
(Area category method) </t>
  </si>
  <si>
    <t>-</t>
  </si>
  <si>
    <t xml:space="preserve">T24, part 6, 2016, Table 140.6-C
(Area category method)
</t>
  </si>
  <si>
    <t>It is assumed that 50% of the additional allowance lighting is in use.</t>
  </si>
  <si>
    <t>Used the value for General 
Commercial and Industrial 
Work Areas in 2016</t>
  </si>
  <si>
    <t>Space type used: Storage, 
Commercial/Industrial _ Warehouse in 2025
Commercial and Industrial Storage Area in 2016</t>
  </si>
  <si>
    <t>The percentage of additional lighting depends heavily on the specific store type. As a general assumption, additional lighting is calculated for 20% of the Retail Sales Area.</t>
  </si>
  <si>
    <t>The values from Table 140.6-C have been slightly adjusted for this space to align with main entry space type</t>
  </si>
  <si>
    <t>Motion Controlled Luminaires (W)</t>
  </si>
  <si>
    <t>Non-motion Controlled Luminaires (W)</t>
  </si>
  <si>
    <t>Total (W)</t>
  </si>
  <si>
    <t>T24, 2022</t>
  </si>
  <si>
    <t>Exterior Lighting</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</si>
  <si>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</si>
  <si>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</si>
  <si>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</si>
  <si>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</si>
  <si>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</si>
  <si>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</si>
  <si>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</si>
  <si>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</si>
  <si>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r>
      <t xml:space="preserve">400 ft² for every parking space </t>
    </r>
    <r>
      <rPr>
        <sz val="10"/>
        <color rgb="FF000000"/>
        <rFont val="Arial"/>
        <family val="2"/>
      </rPr>
      <t xml:space="preserve"> [2019 Lighting CASE report, Appendix H]</t>
    </r>
    <r>
      <rPr>
        <sz val="10"/>
        <color theme="1"/>
        <rFont val="Arial"/>
        <family val="2"/>
      </rPr>
      <t xml:space="preserve">
1 parking space per 360 ft² of gross building area </t>
    </r>
    <r>
      <rPr>
        <sz val="10"/>
        <color rgb="FF000000"/>
        <rFont val="Arial"/>
        <family val="2"/>
      </rPr>
      <t>[2019 Lighting CASE report,Table 38]</t>
    </r>
  </si>
  <si>
    <t>(ft²)</t>
  </si>
  <si>
    <t>(W/ft²)</t>
  </si>
  <si>
    <t>Building Entrance</t>
  </si>
  <si>
    <r>
      <rPr>
        <sz val="10"/>
        <color rgb="FF000000"/>
        <rFont val="Arial"/>
        <family val="2"/>
      </rPr>
      <t xml:space="preserve">1 per </t>
    </r>
    <r>
      <rPr>
        <sz val="10"/>
        <color rgb="FF000000"/>
        <rFont val="Arial"/>
        <family val="2"/>
      </rPr>
      <t xml:space="preserve">5,000 </t>
    </r>
    <r>
      <rPr>
        <sz val="10"/>
        <color rgb="FF000000"/>
        <rFont val="Arial"/>
        <family val="2"/>
      </rPr>
      <t>sf footprint</t>
    </r>
    <r>
      <rPr>
        <sz val="10"/>
        <color rgb="FF000000"/>
        <rFont val="Arial"/>
        <family val="2"/>
      </rPr>
      <t xml:space="preserve"> [2019 Lighting CASE report,Table 36]</t>
    </r>
  </si>
  <si>
    <t>(count)</t>
  </si>
  <si>
    <t>(W/ea)</t>
  </si>
  <si>
    <t>Hardscape Ornamental Light</t>
  </si>
  <si>
    <r>
      <rPr>
        <sz val="10"/>
        <color rgb="FF000000"/>
        <rFont val="Arial"/>
        <family val="2"/>
      </rPr>
      <t xml:space="preserve">0.1 ft² per 1 ft² of gross bldg area </t>
    </r>
    <r>
      <rPr>
        <sz val="10"/>
        <color rgb="FF000000"/>
        <rFont val="Arial"/>
        <family val="2"/>
      </rPr>
      <t xml:space="preserve"> [2019 Lighting CASE report,Table 36]</t>
    </r>
    <r>
      <rPr>
        <sz val="10"/>
        <color rgb="FF000000"/>
        <rFont val="Arial"/>
        <family val="2"/>
      </rPr>
      <t xml:space="preserve">
</t>
    </r>
    <r>
      <rPr>
        <sz val="10"/>
        <color rgb="FF000000"/>
        <rFont val="Arial"/>
        <family val="2"/>
      </rPr>
      <t>*The 0.5 multiplier has not been applied, as it is assumed it will be incorporated later during the measure analysis study.</t>
    </r>
  </si>
  <si>
    <t>Building façade</t>
  </si>
  <si>
    <t>0.1 W per 1 ft² of facade area 
Façade Area = Perimeter × 0.5 × 20 ft
The 0.5 factor assumes that only half of the perimeter walls are lit.
-Formula ia developed based on the 2019 Outdoor Lighting CASE report</t>
  </si>
  <si>
    <t> </t>
  </si>
  <si>
    <t>Sales canopy</t>
  </si>
  <si>
    <t>0.1 ft² per ft² of gross bldg area</t>
  </si>
  <si>
    <t>Motion controlled Luminaires</t>
  </si>
  <si>
    <t>Non-motion-controlled Luminaires</t>
  </si>
  <si>
    <t>*Developed based on 2019 Outdoor Lighting CASE Report</t>
  </si>
  <si>
    <t>Perimeter</t>
  </si>
  <si>
    <t>Total floor area</t>
  </si>
  <si>
    <t>Floors</t>
  </si>
  <si>
    <t xml:space="preserve">The referenced report for many of the assumptions on this tab is the 2019 Outdoor Lighting CASE Report, which contains the following table. For retail, they applied the value to only 50% of the floor area. Perhaps the same factor should be applied to the prototype. </t>
  </si>
  <si>
    <t>Plug load Power Density (W/ft²)</t>
  </si>
  <si>
    <t>Gas Power Density (Btu/hr-ft²)</t>
  </si>
  <si>
    <t>Refrigeration Power Density (W/ft²)</t>
  </si>
  <si>
    <t>Proposed Updates to Equipment Power Densities and Schedules in the 2028 Energy Code Nonresidential and Multifamily Alternative Calculation Method (NRMFACM) Reference Manual, August 7, 2025</t>
  </si>
  <si>
    <t>T24 2022 - Appendix 5.4A: Space Use Data-T24N-2022</t>
  </si>
  <si>
    <t>Matches Retail/All Other; 
PNNL prototype =~0.7; T24 Appendix 5.4A =0.2</t>
  </si>
  <si>
    <t xml:space="preserve">Mix of sources including "High-Efficiency Retrofit Lessons for Retail from a SuperTarget" (2013) &amp;
ASHRAE 90.1 Prototype </t>
  </si>
  <si>
    <t>Background Data [To be deleted prior to publication]</t>
  </si>
  <si>
    <t>~W PNNL</t>
  </si>
  <si>
    <t>W/ft² PNNL</t>
  </si>
  <si>
    <t>W/ft² CEC</t>
  </si>
  <si>
    <t>BACK_SPACE</t>
  </si>
  <si>
    <t>CORE_RETAIL</t>
  </si>
  <si>
    <t>POINT_OF_SALE</t>
  </si>
  <si>
    <t>FRONT_RETAIL</t>
  </si>
  <si>
    <t>it is reasonable to leave the current 5.0 W/ft² assumption in the NMACM for refrigeration loads in Grocery Sales area</t>
  </si>
  <si>
    <t>Zone</t>
  </si>
  <si>
    <t>Schedule</t>
  </si>
  <si>
    <t>Type</t>
  </si>
  <si>
    <t>Hour</t>
  </si>
  <si>
    <t>All Zones</t>
  </si>
  <si>
    <t>Occupancy</t>
  </si>
  <si>
    <t>NLR Study "Final Optimization Report: Empowering Energy Efficiency in Existing Big-Box Retail/Grocery Stores", (2020)
&amp;
Adjusted based on Google Popular Time</t>
  </si>
  <si>
    <t>Weekday</t>
  </si>
  <si>
    <t>Saturday</t>
  </si>
  <si>
    <t>Sunday</t>
  </si>
  <si>
    <t>Lights</t>
  </si>
  <si>
    <t>T24 2022 - Appendix 5.4B, [Retail]</t>
  </si>
  <si>
    <t>ElecEquipment</t>
  </si>
  <si>
    <t>Plug load and schedules project with CEC, 2025</t>
  </si>
  <si>
    <t>HVACAvail</t>
  </si>
  <si>
    <t>ServiceHotWater</t>
  </si>
  <si>
    <t>HtgSetpt</t>
  </si>
  <si>
    <t>ClgSetpt</t>
  </si>
  <si>
    <t>Storage &amp; Loading Dock</t>
  </si>
  <si>
    <t xml:space="preserve">T24 2022 - Appendix 5.4B
</t>
  </si>
  <si>
    <t>Engineering Judgement</t>
  </si>
  <si>
    <t>Loading Dock EL1</t>
  </si>
  <si>
    <t>Loading Dock Door Infiltration</t>
  </si>
  <si>
    <t>CASE Report - Dock Seals (2017)
Truck Trip Generation by Grocery Stores (2010)</t>
  </si>
  <si>
    <t>Other</t>
  </si>
  <si>
    <t>ExtLightingNonMotionCtrl</t>
  </si>
  <si>
    <t>ExtLightingMotionCtrl</t>
  </si>
  <si>
    <t>Retails</t>
  </si>
  <si>
    <t>RetailSalePeopleActivityLevel</t>
  </si>
  <si>
    <t xml:space="preserve">Based on Activity level schedules in  CEC Prototypes </t>
  </si>
  <si>
    <t>CommonAreaPeopleActivityLevel</t>
  </si>
  <si>
    <t>CalBEM Energy Consumption - RetailMedium</t>
  </si>
  <si>
    <t>National Average (EnergyStar Portfoli Manager)</t>
  </si>
  <si>
    <t>CEUS Energy Consumption : Retail</t>
  </si>
  <si>
    <t>PNNL RetailStandAlone 2007 (with floor area of 24,700 ft2)  for San Diego shows 55.6 KBTU/ft2 (92% Electricity)</t>
  </si>
  <si>
    <t>Elec GJ</t>
  </si>
  <si>
    <t>Gas GJ</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</si>
  <si>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</si>
  <si>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</si>
  <si>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</si>
  <si>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</si>
  <si>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</si>
  <si>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</si>
  <si>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</si>
  <si>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</si>
  <si>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</si>
  <si>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</si>
  <si>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</si>
  <si>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</si>
  <si>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</si>
  <si>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</si>
  <si>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</si>
  <si>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 xml:space="preserve">CEUS 2022 Acceptable EUI Range </t>
  </si>
  <si>
    <t>PNNL RetailStandAlone 2022 (with floor area of 22,500 ft2) for San Diego shows 25.8 KBTU/ft2 (85% Electricity)</t>
  </si>
  <si>
    <t>Electricty consumption in PNNL 2022 is almost 57% lower than PNNL 2007 rate and Gas is only 16% lower</t>
  </si>
  <si>
    <t>PNNL 2007</t>
  </si>
  <si>
    <t>PNNL 2022</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</si>
  <si>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</si>
  <si>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</si>
  <si>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all the retails</t>
  </si>
  <si>
    <t>Vintage Bin</t>
  </si>
  <si>
    <t>Pre-1978</t>
  </si>
  <si>
    <t>Not available</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</si>
  <si>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</si>
  <si>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</si>
  <si>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</si>
  <si>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</si>
  <si>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</si>
  <si>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</si>
  <si>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</si>
  <si>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</si>
  <si>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</si>
  <si>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</si>
  <si>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</si>
  <si>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</si>
  <si>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</si>
  <si>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</si>
  <si>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</si>
  <si>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</si>
  <si>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</si>
  <si>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</si>
  <si>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</si>
  <si>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</si>
  <si>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</si>
  <si>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</si>
  <si>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</si>
  <si>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</si>
  <si>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</si>
  <si>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</si>
  <si>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</si>
  <si>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</si>
  <si>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</si>
  <si>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</si>
  <si>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</si>
  <si>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</si>
  <si>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</si>
  <si>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</si>
  <si>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</si>
  <si>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</si>
  <si>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</si>
  <si>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</si>
  <si>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</si>
  <si>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</si>
  <si>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</si>
  <si>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</si>
  <si>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</si>
  <si>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</si>
  <si>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</si>
  <si>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</si>
  <si>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</si>
  <si>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</si>
  <si>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</si>
  <si>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</si>
  <si>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</si>
  <si>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</si>
  <si>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</si>
  <si>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</si>
  <si>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</si>
  <si>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</si>
  <si>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</si>
  <si>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</si>
  <si>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(Fitting Room)</t>
  </si>
  <si>
    <t>Religious Worship Area</t>
  </si>
  <si>
    <t>Stairwell</t>
  </si>
  <si>
    <t>Storage, Commercial/Industrial (Warehouse)</t>
  </si>
  <si>
    <t>Storage, Commercial/Industrial (Refrigerated)</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</si>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</sst>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00"/>
    <numFmt numFmtId="167" formatCode="_(* #,##0_);_(* \(#,##0\);_(* &quot;-&quot;??_);_(@_)"/>
    <numFmt numFmtId="168" formatCode="#,##0;\-0;[Color15]0"/>
    <numFmt numFmtId="169" formatCode="_(* #,##0.000_);_(* \(#,##0.000\);_(* &quot;-&quot;??_);_(@_)"/>
    <numFmt numFmtId="170" formatCode="0.0000"/>
  </numFmts>
  <fonts count="68"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2"/>
      <color theme="1"/>
      <name val="Arial"/>
      <family val="2"/>
    </font>
    <font>
      <sz val="11"/>
      <color theme="0"/>
      <name val="Arial"/>
      <family val="2"/>
    </font>
    <font>
      <sz val="12"/>
      <color theme="1"/>
      <name val="Arial"/>
      <family val="2"/>
    </font>
    <font>
      <b/>
      <sz val="11"/>
      <color rgb="FF0000CC"/>
      <name val="Arial"/>
      <family val="2"/>
    </font>
    <font>
      <sz val="11"/>
      <color rgb="FF000000"/>
      <name val="Arial"/>
      <family val="2"/>
    </font>
    <font>
      <b/>
      <sz val="12"/>
      <color rgb="FFFFFFFF"/>
      <name val="Arial"/>
      <family val="2"/>
    </font>
    <font>
      <sz val="10"/>
      <color rgb="FF0070C0"/>
      <name val="Arial"/>
      <family val="2"/>
    </font>
    <font>
      <b/>
      <sz val="11"/>
      <color theme="1"/>
      <name val="Arial"/>
      <family val="2"/>
    </font>
    <font>
      <b/>
      <sz val="12"/>
      <color rgb="FF0000CC"/>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sz val="11"/>
      <name val="Arial"/>
      <family val="2"/>
    </font>
    <font>
      <sz val="9"/>
      <name val="Arial"/>
      <family val="2"/>
    </font>
    <font>
      <sz val="9"/>
      <color rgb="FF0070C0"/>
      <name val="Arial"/>
      <family val="2"/>
    </font>
    <font>
      <sz val="9"/>
      <color rgb="FF000000"/>
      <name val="Arial"/>
      <family val="2"/>
    </font>
    <font>
      <sz val="12"/>
      <name val="Aptos"/>
      <family val="2"/>
    </font>
    <font>
      <sz val="9"/>
      <name val="Segoe UI"/>
      <family val="2"/>
    </font>
    <font>
      <sz val="11"/>
      <color rgb="FF000000"/>
      <name val="Calibri"/>
      <family val="2"/>
    </font>
    <font>
      <b/>
      <sz val="11"/>
      <color rgb="FF000000"/>
      <name val="Calibri"/>
      <family val="2"/>
      <scheme val="minor"/>
    </font>
    <font>
      <sz val="12"/>
      <color rgb="FF000000"/>
      <name val="Aptos"/>
      <family val="2"/>
    </font>
    <font>
      <b/>
      <sz val="12"/>
      <color rgb="FF000000"/>
      <name val="Arial"/>
      <family val="2"/>
    </font>
    <font>
      <u/>
      <sz val="11"/>
      <color rgb="FF000000"/>
      <name val="Calibri"/>
      <family val="2"/>
      <scheme val="minor"/>
    </font>
    <font>
      <sz val="11"/>
      <color theme="1"/>
      <name val="Calibri"/>
      <family val="2"/>
    </font>
    <font>
      <u/>
      <sz val="10"/>
      <color theme="10"/>
      <name val="Calibri"/>
      <family val="2"/>
      <scheme val="minor"/>
    </font>
    <font>
      <u/>
      <sz val="10"/>
      <color rgb="FF000000"/>
      <name val="Arial"/>
      <family val="2"/>
    </font>
    <font>
      <vertAlign val="superscript"/>
      <sz val="10"/>
      <color rgb="FF000000"/>
      <name val="Arial"/>
      <family val="2"/>
    </font>
    <font>
      <sz val="12"/>
      <color rgb="FF000000"/>
      <name val="Arial"/>
      <family val="2"/>
    </font>
    <font>
      <sz val="10"/>
      <color theme="1" tint="4.9989318521683403E-2"/>
      <name val="Arial"/>
      <family val="2"/>
    </font>
    <font>
      <sz val="10"/>
      <color theme="1"/>
      <name val="Arial"/>
    </font>
    <font>
      <b/>
      <sz val="12"/>
      <color rgb="FFFFFFFF"/>
      <name val="Arial"/>
    </font>
    <font>
      <sz val="10"/>
      <color rgb="FFFFFFFF"/>
      <name val="Arial"/>
    </font>
  </fonts>
  <fills count="5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203764"/>
        <bgColor rgb="FF000000"/>
      </patternFill>
    </fill>
    <fill>
      <patternFill patternType="solid">
        <fgColor rgb="FFD9E1F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rgb="FFFFF2CC"/>
        <bgColor rgb="FF000000"/>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2F2F2"/>
        <bgColor indexed="64"/>
      </patternFill>
    </fill>
    <fill>
      <patternFill patternType="solid">
        <fgColor rgb="FF969696"/>
        <bgColor indexed="64"/>
      </patternFill>
    </fill>
    <fill>
      <patternFill patternType="solid">
        <fgColor rgb="FFBFBFBF"/>
        <bgColor indexed="64"/>
      </patternFill>
    </fill>
    <fill>
      <patternFill patternType="solid">
        <fgColor rgb="FFC2BCBC"/>
        <bgColor indexed="64"/>
      </patternFill>
    </fill>
  </fills>
  <borders count="20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bottom style="thin">
        <color rgb="FF000000"/>
      </bottom>
      <diagonal/>
    </border>
    <border>
      <left/>
      <right/>
      <top/>
      <bottom style="thin">
        <color theme="0" tint="-0.499984740745262"/>
      </bottom>
      <diagonal/>
    </border>
    <border>
      <left style="thin">
        <color theme="0" tint="-0.499984740745262"/>
      </left>
      <right style="thin">
        <color theme="0" tint="-0.499984740745262"/>
      </right>
      <top style="thin">
        <color indexed="64"/>
      </top>
      <bottom/>
      <diagonal/>
    </border>
    <border>
      <left style="thin">
        <color theme="1"/>
      </left>
      <right style="thin">
        <color theme="1"/>
      </right>
      <top style="thin">
        <color theme="1"/>
      </top>
      <bottom style="thin">
        <color theme="1"/>
      </bottom>
      <diagonal/>
    </border>
    <border>
      <left/>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diagonal/>
    </border>
    <border>
      <left/>
      <right style="thin">
        <color theme="1" tint="0.34998626667073579"/>
      </right>
      <top style="thin">
        <color theme="1" tint="0.34998626667073579"/>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499984740745262"/>
      </top>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medium">
        <color theme="1" tint="0.34998626667073579"/>
      </top>
      <bottom style="thin">
        <color rgb="FF000000"/>
      </bottom>
      <diagonal/>
    </border>
    <border>
      <left style="medium">
        <color theme="1" tint="0.34998626667073579"/>
      </left>
      <right style="thin">
        <color rgb="FF000000"/>
      </right>
      <top style="thin">
        <color rgb="FF000000"/>
      </top>
      <bottom style="thin">
        <color rgb="FF000000"/>
      </bottom>
      <diagonal/>
    </border>
    <border>
      <left style="medium">
        <color theme="1" tint="0.34998626667073579"/>
      </left>
      <right style="thin">
        <color rgb="FF000000"/>
      </right>
      <top style="thin">
        <color rgb="FF000000"/>
      </top>
      <bottom style="medium">
        <color theme="1" tint="0.34998626667073579"/>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indexed="64"/>
      </left>
      <right style="medium">
        <color theme="1" tint="0.34998626667073579"/>
      </right>
      <top style="medium">
        <color theme="1" tint="0.34998626667073579"/>
      </top>
      <bottom/>
      <diagonal/>
    </border>
    <border>
      <left style="medium">
        <color theme="1" tint="0.34998626667073579"/>
      </left>
      <right style="thin">
        <color rgb="FF000000"/>
      </right>
      <top style="thin">
        <color rgb="FF000000"/>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top style="medium">
        <color theme="1" tint="0.34998626667073579"/>
      </top>
      <bottom style="thin">
        <color rgb="FF000000"/>
      </bottom>
      <diagonal/>
    </border>
    <border>
      <left style="thin">
        <color theme="1" tint="0.34998626667073579"/>
      </left>
      <right style="medium">
        <color indexed="64"/>
      </right>
      <top style="thin">
        <color theme="1" tint="0.34998626667073579"/>
      </top>
      <bottom style="thin">
        <color theme="1" tint="0.34998626667073579"/>
      </bottom>
      <diagonal/>
    </border>
    <border>
      <left/>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rgb="FF000000"/>
      </left>
      <right style="thin">
        <color rgb="FF000000"/>
      </right>
      <top/>
      <bottom/>
      <diagonal/>
    </border>
    <border>
      <left style="thin">
        <color rgb="FF595959"/>
      </left>
      <right style="thin">
        <color rgb="FF595959"/>
      </right>
      <top style="thin">
        <color rgb="FF595959"/>
      </top>
      <bottom/>
      <diagonal/>
    </border>
    <border>
      <left style="thin">
        <color rgb="FF000000"/>
      </left>
      <right/>
      <top style="thin">
        <color rgb="FF000000"/>
      </top>
      <bottom style="thin">
        <color rgb="FF000000"/>
      </bottom>
      <diagonal/>
    </border>
    <border>
      <left/>
      <right style="thin">
        <color rgb="FF000000"/>
      </right>
      <top/>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theme="1" tint="0.34998626667073579"/>
      </right>
      <top style="medium">
        <color rgb="FF000000"/>
      </top>
      <bottom style="thin">
        <color theme="1" tint="0.34998626667073579"/>
      </bottom>
      <diagonal/>
    </border>
    <border>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medium">
        <color theme="1" tint="0.34998626667073579"/>
      </right>
      <top style="thin">
        <color theme="1" tint="0.34998626667073579"/>
      </top>
      <bottom style="medium">
        <color rgb="FF000000"/>
      </bottom>
      <diagonal/>
    </border>
    <border>
      <left/>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medium">
        <color rgb="FF000000"/>
      </bottom>
      <diagonal/>
    </border>
    <border>
      <left style="thin">
        <color rgb="FF000000"/>
      </left>
      <right/>
      <top/>
      <bottom style="thin">
        <color rgb="FF000000"/>
      </bottom>
      <diagonal/>
    </border>
    <border>
      <left style="thin">
        <color indexed="64"/>
      </left>
      <right/>
      <top style="thin">
        <color indexed="64"/>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medium">
        <color rgb="FF000000"/>
      </top>
      <bottom/>
      <diagonal/>
    </border>
    <border>
      <left/>
      <right style="medium">
        <color rgb="FF000000"/>
      </right>
      <top style="thin">
        <color rgb="FF000000"/>
      </top>
      <bottom style="thin">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medium">
        <color rgb="FF000000"/>
      </bottom>
      <diagonal/>
    </border>
    <border>
      <left/>
      <right/>
      <top style="thin">
        <color rgb="FF000000"/>
      </top>
      <bottom/>
      <diagonal/>
    </border>
    <border>
      <left style="thin">
        <color theme="1" tint="0.34998626667073579"/>
      </left>
      <right style="medium">
        <color rgb="FF000000"/>
      </right>
      <top/>
      <bottom style="thin">
        <color rgb="FF000000"/>
      </bottom>
      <diagonal/>
    </border>
    <border>
      <left/>
      <right style="medium">
        <color rgb="FF000000"/>
      </right>
      <top/>
      <bottom style="thin">
        <color rgb="FF000000"/>
      </bottom>
      <diagonal/>
    </border>
    <border>
      <left style="thin">
        <color theme="1" tint="0.34998626667073579"/>
      </left>
      <right style="medium">
        <color rgb="FF000000"/>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right style="thin">
        <color indexed="64"/>
      </right>
      <top/>
      <bottom/>
      <diagonal/>
    </border>
    <border>
      <left style="thin">
        <color rgb="FF808080"/>
      </left>
      <right/>
      <top style="thin">
        <color rgb="FF808080"/>
      </top>
      <bottom style="thin">
        <color rgb="FF808080"/>
      </bottom>
      <diagonal/>
    </border>
    <border>
      <left/>
      <right style="thin">
        <color indexed="64"/>
      </right>
      <top style="thin">
        <color rgb="FF808080"/>
      </top>
      <bottom style="thin">
        <color rgb="FF808080"/>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thin">
        <color rgb="FF000000"/>
      </left>
      <right style="medium">
        <color rgb="FF000000"/>
      </right>
      <top style="thin">
        <color rgb="FF000000"/>
      </top>
      <bottom style="thin">
        <color rgb="FF000000"/>
      </bottom>
      <diagonal/>
    </border>
    <border>
      <left style="medium">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rgb="FF000000"/>
      </top>
      <bottom/>
      <diagonal/>
    </border>
    <border>
      <left style="thin">
        <color theme="1" tint="0.34998626667073579"/>
      </left>
      <right style="medium">
        <color indexed="64"/>
      </right>
      <top style="medium">
        <color rgb="FF000000"/>
      </top>
      <bottom style="thin">
        <color theme="1" tint="0.34998626667073579"/>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medium">
        <color indexed="64"/>
      </right>
      <top style="thin">
        <color theme="1" tint="0.34998626667073579"/>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indexed="64"/>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rgb="FF000000"/>
      </right>
      <top/>
      <bottom style="medium">
        <color rgb="FF000000"/>
      </bottom>
      <diagonal/>
    </border>
    <border>
      <left/>
      <right style="thin">
        <color theme="1" tint="0.34998626667073579"/>
      </right>
      <top style="medium">
        <color theme="1" tint="0.34998626667073579"/>
      </top>
      <bottom style="thin">
        <color theme="1" tint="0.34998626667073579"/>
      </bottom>
      <diagonal/>
    </border>
    <border>
      <left style="medium">
        <color indexed="64"/>
      </left>
      <right/>
      <top style="medium">
        <color rgb="FF000000"/>
      </top>
      <bottom style="thin">
        <color indexed="64"/>
      </bottom>
      <diagonal/>
    </border>
    <border>
      <left style="thin">
        <color indexed="64"/>
      </left>
      <right/>
      <top style="medium">
        <color rgb="FF000000"/>
      </top>
      <bottom/>
      <diagonal/>
    </border>
    <border>
      <left style="thin">
        <color indexed="64"/>
      </left>
      <right style="medium">
        <color rgb="FF000000"/>
      </right>
      <top style="medium">
        <color rgb="FF000000"/>
      </top>
      <bottom/>
      <diagonal/>
    </border>
    <border>
      <left style="medium">
        <color indexed="64"/>
      </left>
      <right/>
      <top style="thin">
        <color indexed="64"/>
      </top>
      <bottom style="thin">
        <color indexed="64"/>
      </bottom>
      <diagonal/>
    </border>
    <border>
      <left style="thin">
        <color indexed="64"/>
      </left>
      <right style="medium">
        <color rgb="FF000000"/>
      </right>
      <top style="thin">
        <color indexed="64"/>
      </top>
      <bottom/>
      <diagonal/>
    </border>
    <border>
      <left style="medium">
        <color rgb="FF000000"/>
      </left>
      <right style="thin">
        <color theme="1" tint="0.34998626667073579"/>
      </right>
      <top style="thin">
        <color theme="1" tint="0.34998626667073579"/>
      </top>
      <bottom/>
      <diagonal/>
    </border>
    <border>
      <left style="medium">
        <color indexed="64"/>
      </left>
      <right/>
      <top style="thin">
        <color indexed="64"/>
      </top>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medium">
        <color indexed="64"/>
      </right>
      <top style="medium">
        <color theme="1" tint="0.34998626667073579"/>
      </top>
      <bottom style="thin">
        <color theme="1" tint="0.34998626667073579"/>
      </bottom>
      <diagonal/>
    </border>
    <border>
      <left style="medium">
        <color indexed="64"/>
      </left>
      <right style="thin">
        <color indexed="64"/>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indexed="64"/>
      </bottom>
      <diagonal/>
    </border>
    <border>
      <left style="thin">
        <color theme="1" tint="0.34998626667073579"/>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style="thin">
        <color indexed="64"/>
      </top>
      <bottom style="thin">
        <color indexed="64"/>
      </bottom>
      <diagonal/>
    </border>
    <border>
      <left/>
      <right style="thin">
        <color rgb="FF000000"/>
      </right>
      <top style="medium">
        <color rgb="FF000000"/>
      </top>
      <bottom style="thin">
        <color rgb="FF000000"/>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rgb="FF000000"/>
      </bottom>
      <diagonal/>
    </border>
    <border>
      <left style="thin">
        <color rgb="FF000000"/>
      </left>
      <right style="thin">
        <color rgb="FF000000"/>
      </right>
      <top style="thin">
        <color rgb="FF000000"/>
      </top>
      <bottom style="thin">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indexed="64"/>
      </top>
      <bottom style="medium">
        <color rgb="FF000000"/>
      </bottom>
      <diagonal/>
    </border>
    <border>
      <left style="thin">
        <color indexed="64"/>
      </left>
      <right/>
      <top/>
      <bottom style="medium">
        <color rgb="FF000000"/>
      </bottom>
      <diagonal/>
    </border>
    <border>
      <left style="thin">
        <color theme="1" tint="0.34998626667073579"/>
      </left>
      <right style="thin">
        <color theme="1" tint="0.34998626667073579"/>
      </right>
      <top style="thin">
        <color indexed="64"/>
      </top>
      <bottom/>
      <diagonal/>
    </border>
  </borders>
  <cellStyleXfs count="5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5" fillId="0" borderId="31" applyNumberFormat="0" applyFill="0" applyAlignment="0" applyProtection="0"/>
    <xf numFmtId="0" fontId="36" fillId="0" borderId="32" applyNumberFormat="0" applyFill="0" applyAlignment="0" applyProtection="0"/>
    <xf numFmtId="0" fontId="37" fillId="0" borderId="33" applyNumberFormat="0" applyFill="0" applyAlignment="0" applyProtection="0"/>
    <xf numFmtId="0" fontId="37" fillId="0" borderId="0" applyNumberFormat="0" applyFill="0" applyBorder="0" applyAlignment="0" applyProtection="0"/>
    <xf numFmtId="0" fontId="38" fillId="12" borderId="0" applyNumberFormat="0" applyBorder="0" applyAlignment="0" applyProtection="0"/>
    <xf numFmtId="0" fontId="39" fillId="13" borderId="0" applyNumberFormat="0" applyBorder="0" applyAlignment="0" applyProtection="0"/>
    <xf numFmtId="0" fontId="40" fillId="15" borderId="34" applyNumberFormat="0" applyAlignment="0" applyProtection="0"/>
    <xf numFmtId="0" fontId="41" fillId="16" borderId="35" applyNumberFormat="0" applyAlignment="0" applyProtection="0"/>
    <xf numFmtId="0" fontId="42" fillId="16" borderId="34" applyNumberFormat="0" applyAlignment="0" applyProtection="0"/>
    <xf numFmtId="0" fontId="43" fillId="0" borderId="36" applyNumberFormat="0" applyFill="0" applyAlignment="0" applyProtection="0"/>
    <xf numFmtId="0" fontId="9" fillId="17" borderId="37" applyNumberFormat="0" applyAlignment="0" applyProtection="0"/>
    <xf numFmtId="0" fontId="44" fillId="0" borderId="0" applyNumberFormat="0" applyFill="0" applyBorder="0" applyAlignment="0" applyProtection="0"/>
    <xf numFmtId="0" fontId="2" fillId="18" borderId="38" applyNumberFormat="0" applyFont="0" applyAlignment="0" applyProtection="0"/>
    <xf numFmtId="0" fontId="45" fillId="0" borderId="0" applyNumberFormat="0" applyFill="0" applyBorder="0" applyAlignment="0" applyProtection="0"/>
    <xf numFmtId="0" fontId="3" fillId="0" borderId="39" applyNumberFormat="0" applyFill="0" applyAlignment="0" applyProtection="0"/>
    <xf numFmtId="0" fontId="1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1"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1"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1"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11"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11"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46" fillId="0" borderId="0" applyNumberFormat="0" applyFill="0" applyBorder="0" applyAlignment="0" applyProtection="0"/>
    <xf numFmtId="0" fontId="47" fillId="14" borderId="0" applyNumberFormat="0" applyBorder="0" applyAlignment="0" applyProtection="0"/>
    <xf numFmtId="0" fontId="11" fillId="22"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2" fillId="0" borderId="0"/>
    <xf numFmtId="0" fontId="12" fillId="0" borderId="0"/>
    <xf numFmtId="0" fontId="59" fillId="0" borderId="0"/>
  </cellStyleXfs>
  <cellXfs count="795">
    <xf numFmtId="0" fontId="0" fillId="0" borderId="0" xfId="0"/>
    <xf numFmtId="0" fontId="12" fillId="0" borderId="0" xfId="0" applyFont="1"/>
    <xf numFmtId="0" fontId="6" fillId="0" borderId="0" xfId="0" applyFont="1"/>
    <xf numFmtId="0" fontId="7" fillId="0" borderId="0" xfId="0" applyFont="1"/>
    <xf numFmtId="0" fontId="6" fillId="0" borderId="0" xfId="0" applyFont="1" applyAlignment="1">
      <alignment horizontal="center" vertical="center" wrapText="1"/>
    </xf>
    <xf numFmtId="0" fontId="6" fillId="0" borderId="0" xfId="0" applyFont="1" applyAlignment="1">
      <alignment wrapText="1"/>
    </xf>
    <xf numFmtId="0" fontId="15" fillId="0" borderId="0" xfId="0" applyFont="1" applyAlignment="1">
      <alignment vertical="center"/>
    </xf>
    <xf numFmtId="0" fontId="1" fillId="0" borderId="1" xfId="1" applyBorder="1" applyAlignment="1">
      <alignment vertical="center" wrapText="1"/>
    </xf>
    <xf numFmtId="3" fontId="1" fillId="0" borderId="1" xfId="1" applyNumberFormat="1" applyBorder="1" applyAlignment="1">
      <alignment horizontal="center" vertical="center" wrapText="1"/>
    </xf>
    <xf numFmtId="0" fontId="1" fillId="0" borderId="1" xfId="1" applyBorder="1" applyAlignment="1">
      <alignment vertical="center"/>
    </xf>
    <xf numFmtId="0" fontId="1" fillId="0" borderId="1" xfId="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19" fillId="7" borderId="1" xfId="0" applyFont="1" applyFill="1" applyBorder="1" applyAlignment="1">
      <alignment vertical="center"/>
    </xf>
    <xf numFmtId="0" fontId="19" fillId="7" borderId="1" xfId="0" applyFont="1" applyFill="1" applyBorder="1" applyAlignment="1">
      <alignment horizontal="left" vertical="center"/>
    </xf>
    <xf numFmtId="3" fontId="6" fillId="0" borderId="1" xfId="7" applyNumberFormat="1" applyFont="1" applyBorder="1" applyAlignment="1">
      <alignment horizontal="center" vertical="center"/>
    </xf>
    <xf numFmtId="1" fontId="1" fillId="0" borderId="1" xfId="7" applyNumberFormat="1" applyFont="1" applyBorder="1" applyAlignment="1">
      <alignment horizontal="center" vertical="center"/>
    </xf>
    <xf numFmtId="3" fontId="10" fillId="0" borderId="1" xfId="3" applyNumberFormat="1" applyFont="1" applyBorder="1" applyAlignment="1">
      <alignment horizontal="center" vertical="center" wrapText="1"/>
    </xf>
    <xf numFmtId="0" fontId="1" fillId="0" borderId="0" xfId="0" applyFont="1" applyAlignment="1">
      <alignment vertical="top"/>
    </xf>
    <xf numFmtId="0" fontId="6" fillId="0" borderId="0" xfId="0" applyFont="1" applyAlignment="1">
      <alignment horizontal="center"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7" borderId="1" xfId="0" applyFont="1" applyFill="1" applyBorder="1" applyAlignment="1">
      <alignment horizontal="center" vertical="center" wrapText="1"/>
    </xf>
    <xf numFmtId="0" fontId="19" fillId="7" borderId="1" xfId="0" applyFont="1" applyFill="1" applyBorder="1" applyAlignment="1">
      <alignment horizontal="center" vertical="center"/>
    </xf>
    <xf numFmtId="9" fontId="6" fillId="0" borderId="0" xfId="2" applyFont="1" applyFill="1" applyBorder="1" applyAlignment="1">
      <alignment horizontal="center" vertical="center"/>
    </xf>
    <xf numFmtId="0" fontId="19" fillId="7" borderId="15" xfId="0" applyFont="1" applyFill="1" applyBorder="1" applyAlignment="1">
      <alignment horizontal="center" vertical="center" wrapText="1"/>
    </xf>
    <xf numFmtId="0" fontId="7" fillId="7" borderId="15" xfId="0" applyFont="1" applyFill="1" applyBorder="1" applyAlignment="1">
      <alignment horizontal="center" vertical="center"/>
    </xf>
    <xf numFmtId="9" fontId="6" fillId="0" borderId="0" xfId="0" applyNumberFormat="1" applyFont="1" applyAlignment="1">
      <alignment vertical="center"/>
    </xf>
    <xf numFmtId="0" fontId="7" fillId="0" borderId="0" xfId="0" applyFont="1" applyAlignment="1">
      <alignment vertical="center"/>
    </xf>
    <xf numFmtId="0" fontId="6" fillId="0" borderId="15" xfId="4" applyBorder="1" applyAlignment="1">
      <alignment horizontal="center" vertical="center"/>
    </xf>
    <xf numFmtId="0" fontId="23" fillId="7" borderId="5" xfId="0" applyFont="1" applyFill="1" applyBorder="1" applyAlignment="1">
      <alignment horizontal="center" vertical="center" wrapText="1"/>
    </xf>
    <xf numFmtId="0" fontId="23" fillId="7" borderId="5" xfId="0" applyFont="1" applyFill="1" applyBorder="1" applyAlignment="1">
      <alignment horizontal="center" vertical="center"/>
    </xf>
    <xf numFmtId="9" fontId="6" fillId="0" borderId="15" xfId="2" applyFont="1" applyFill="1" applyBorder="1" applyAlignment="1">
      <alignment horizontal="center" vertical="center"/>
    </xf>
    <xf numFmtId="3" fontId="6" fillId="0" borderId="1" xfId="0" applyNumberFormat="1" applyFont="1" applyBorder="1" applyAlignment="1">
      <alignment horizontal="center" vertical="center"/>
    </xf>
    <xf numFmtId="0" fontId="22" fillId="0" borderId="0" xfId="0" applyFont="1" applyAlignment="1">
      <alignment horizontal="center" vertical="center"/>
    </xf>
    <xf numFmtId="0" fontId="24" fillId="5" borderId="0" xfId="0" applyFont="1" applyFill="1" applyAlignment="1">
      <alignment vertical="center" wrapText="1"/>
    </xf>
    <xf numFmtId="0" fontId="22" fillId="5" borderId="0" xfId="0" applyFont="1" applyFill="1" applyAlignment="1">
      <alignment horizontal="center" vertical="center"/>
    </xf>
    <xf numFmtId="165" fontId="22" fillId="5" borderId="0" xfId="0" applyNumberFormat="1" applyFont="1" applyFill="1" applyAlignment="1">
      <alignment horizontal="center" vertical="center"/>
    </xf>
    <xf numFmtId="0" fontId="19" fillId="7" borderId="18" xfId="0" applyFont="1" applyFill="1" applyBorder="1" applyAlignment="1">
      <alignment horizontal="center" vertical="center" wrapText="1"/>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15" xfId="0" applyNumberFormat="1" applyFont="1" applyBorder="1" applyAlignment="1">
      <alignment horizontal="center"/>
    </xf>
    <xf numFmtId="1" fontId="6" fillId="0" borderId="0" xfId="2" applyNumberFormat="1" applyFont="1" applyFill="1" applyBorder="1"/>
    <xf numFmtId="3" fontId="6" fillId="0" borderId="0" xfId="0" applyNumberFormat="1" applyFont="1" applyAlignment="1">
      <alignment horizontal="center" vertical="center"/>
    </xf>
    <xf numFmtId="3" fontId="6" fillId="0" borderId="0" xfId="0" applyNumberFormat="1" applyFont="1"/>
    <xf numFmtId="166" fontId="22" fillId="0" borderId="0" xfId="0" applyNumberFormat="1" applyFont="1" applyAlignment="1">
      <alignment horizontal="center" vertical="center"/>
    </xf>
    <xf numFmtId="3" fontId="6" fillId="0" borderId="0" xfId="7" applyNumberFormat="1" applyFont="1" applyAlignment="1">
      <alignment horizontal="center" vertical="center"/>
    </xf>
    <xf numFmtId="9" fontId="6" fillId="0" borderId="17" xfId="0" applyNumberFormat="1" applyFont="1" applyBorder="1" applyAlignment="1">
      <alignment horizontal="center"/>
    </xf>
    <xf numFmtId="0" fontId="25" fillId="0" borderId="0" xfId="0" applyFont="1"/>
    <xf numFmtId="9" fontId="26" fillId="0" borderId="0" xfId="2" applyFont="1"/>
    <xf numFmtId="0" fontId="27" fillId="0" borderId="0" xfId="0" quotePrefix="1" applyFont="1"/>
    <xf numFmtId="0" fontId="25" fillId="0" borderId="0" xfId="0" applyFont="1" applyAlignment="1">
      <alignment wrapText="1"/>
    </xf>
    <xf numFmtId="0" fontId="25" fillId="0" borderId="0" xfId="0" applyFont="1" applyAlignment="1">
      <alignment horizontal="center"/>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7" fillId="7" borderId="15" xfId="0" applyFont="1" applyFill="1" applyBorder="1" applyAlignment="1">
      <alignment horizontal="center" vertical="center" wrapText="1"/>
    </xf>
    <xf numFmtId="0" fontId="6" fillId="0" borderId="1" xfId="0" applyFont="1" applyBorder="1"/>
    <xf numFmtId="0" fontId="7" fillId="7" borderId="18" xfId="0" applyFont="1" applyFill="1" applyBorder="1" applyAlignment="1">
      <alignment horizontal="center" vertical="center" wrapText="1"/>
    </xf>
    <xf numFmtId="0" fontId="16" fillId="0" borderId="15" xfId="5" applyFont="1" applyBorder="1" applyAlignment="1">
      <alignment horizontal="center" vertical="center"/>
    </xf>
    <xf numFmtId="0" fontId="19" fillId="7" borderId="5" xfId="0" applyFont="1" applyFill="1" applyBorder="1" applyAlignment="1">
      <alignment horizontal="center" vertical="center" wrapText="1"/>
    </xf>
    <xf numFmtId="0" fontId="7" fillId="7" borderId="18" xfId="0" applyFont="1" applyFill="1" applyBorder="1" applyAlignment="1">
      <alignment horizontal="center" vertical="center"/>
    </xf>
    <xf numFmtId="0" fontId="28" fillId="0" borderId="0" xfId="0" applyFont="1"/>
    <xf numFmtId="10" fontId="6" fillId="0" borderId="1" xfId="0" applyNumberFormat="1" applyFont="1" applyBorder="1" applyAlignment="1">
      <alignment horizontal="center" vertical="center" wrapText="1"/>
    </xf>
    <xf numFmtId="0" fontId="23" fillId="7" borderId="5" xfId="0" applyFont="1" applyFill="1" applyBorder="1" applyAlignment="1">
      <alignment horizontal="left" vertical="center" wrapText="1"/>
    </xf>
    <xf numFmtId="167" fontId="6" fillId="0" borderId="1" xfId="6" applyNumberFormat="1" applyFont="1" applyBorder="1" applyAlignment="1">
      <alignment horizontal="right" vertical="center" wrapText="1"/>
    </xf>
    <xf numFmtId="167" fontId="6" fillId="0" borderId="0" xfId="6" applyNumberFormat="1" applyFont="1" applyBorder="1" applyAlignment="1">
      <alignment vertical="center" wrapText="1"/>
    </xf>
    <xf numFmtId="3" fontId="6" fillId="0" borderId="0" xfId="0" applyNumberFormat="1" applyFont="1" applyAlignment="1">
      <alignment horizontal="left"/>
    </xf>
    <xf numFmtId="2" fontId="6" fillId="0" borderId="0" xfId="0" applyNumberFormat="1" applyFont="1"/>
    <xf numFmtId="4" fontId="1" fillId="0" borderId="1" xfId="1" applyNumberFormat="1" applyBorder="1" applyAlignment="1">
      <alignment horizontal="center" vertical="center" wrapText="1"/>
    </xf>
    <xf numFmtId="166" fontId="6" fillId="8" borderId="17" xfId="0" applyNumberFormat="1" applyFont="1" applyFill="1" applyBorder="1" applyAlignment="1">
      <alignment horizontal="center" vertical="center"/>
    </xf>
    <xf numFmtId="0" fontId="30" fillId="0" borderId="0" xfId="0" applyFont="1" applyAlignment="1">
      <alignment vertical="center"/>
    </xf>
    <xf numFmtId="166" fontId="6" fillId="6" borderId="15" xfId="0" applyNumberFormat="1" applyFont="1" applyFill="1" applyBorder="1" applyAlignment="1">
      <alignment horizontal="center" vertical="center"/>
    </xf>
    <xf numFmtId="0" fontId="12" fillId="0" borderId="0" xfId="0" applyFont="1" applyAlignment="1">
      <alignment vertical="center"/>
    </xf>
    <xf numFmtId="166" fontId="6" fillId="3" borderId="15" xfId="0" applyNumberFormat="1" applyFont="1" applyFill="1" applyBorder="1" applyAlignment="1">
      <alignment horizontal="center" vertical="center"/>
    </xf>
    <xf numFmtId="166" fontId="6" fillId="0" borderId="15" xfId="0" applyNumberFormat="1" applyFont="1" applyBorder="1" applyAlignment="1">
      <alignment horizontal="center" vertical="center"/>
    </xf>
    <xf numFmtId="166" fontId="6" fillId="8" borderId="15" xfId="0" applyNumberFormat="1" applyFont="1" applyFill="1" applyBorder="1" applyAlignment="1">
      <alignment horizontal="center" vertical="center"/>
    </xf>
    <xf numFmtId="2" fontId="6" fillId="8" borderId="17" xfId="0" applyNumberFormat="1" applyFont="1" applyFill="1" applyBorder="1" applyAlignment="1">
      <alignment horizontal="center" vertical="center"/>
    </xf>
    <xf numFmtId="0" fontId="6" fillId="6" borderId="15" xfId="0" applyFont="1" applyFill="1" applyBorder="1" applyAlignment="1">
      <alignment horizontal="center" vertical="center"/>
    </xf>
    <xf numFmtId="0" fontId="6" fillId="3" borderId="15" xfId="0" applyFont="1" applyFill="1" applyBorder="1" applyAlignment="1">
      <alignment horizontal="center" vertical="center"/>
    </xf>
    <xf numFmtId="0" fontId="6" fillId="5" borderId="0" xfId="0" applyFont="1" applyFill="1"/>
    <xf numFmtId="0" fontId="12" fillId="0" borderId="0" xfId="0" applyFont="1" applyAlignment="1">
      <alignment wrapText="1"/>
    </xf>
    <xf numFmtId="0" fontId="12" fillId="0" borderId="0" xfId="0" applyFont="1" applyAlignment="1">
      <alignment horizontal="center"/>
    </xf>
    <xf numFmtId="0" fontId="23" fillId="11" borderId="30" xfId="0" applyFont="1" applyFill="1" applyBorder="1" applyAlignment="1">
      <alignment horizontal="center" vertical="center" wrapText="1"/>
    </xf>
    <xf numFmtId="0" fontId="33" fillId="0" borderId="0" xfId="0" applyFont="1"/>
    <xf numFmtId="0" fontId="17" fillId="0" borderId="1" xfId="0" applyFont="1" applyBorder="1" applyAlignment="1">
      <alignment vertical="center"/>
    </xf>
    <xf numFmtId="167" fontId="6" fillId="0" borderId="1" xfId="6" applyNumberFormat="1" applyFont="1" applyBorder="1"/>
    <xf numFmtId="3" fontId="6" fillId="0" borderId="1" xfId="0" applyNumberFormat="1" applyFont="1" applyBorder="1"/>
    <xf numFmtId="0" fontId="7" fillId="0" borderId="1" xfId="0" applyFont="1" applyBorder="1"/>
    <xf numFmtId="0" fontId="33" fillId="4" borderId="0" xfId="0" applyFont="1" applyFill="1"/>
    <xf numFmtId="0" fontId="12" fillId="5" borderId="0" xfId="0" applyFont="1" applyFill="1"/>
    <xf numFmtId="0" fontId="17" fillId="5" borderId="0" xfId="0" applyFont="1" applyFill="1"/>
    <xf numFmtId="0" fontId="33" fillId="5" borderId="0" xfId="0" applyFont="1" applyFill="1"/>
    <xf numFmtId="0" fontId="29" fillId="0" borderId="0" xfId="0" applyFont="1" applyAlignment="1">
      <alignment vertical="center"/>
    </xf>
    <xf numFmtId="0" fontId="34" fillId="0" borderId="0" xfId="0" applyFont="1" applyAlignment="1">
      <alignment vertical="center"/>
    </xf>
    <xf numFmtId="0" fontId="6" fillId="0" borderId="17" xfId="4" applyBorder="1" applyAlignment="1">
      <alignment horizontal="center" vertical="center"/>
    </xf>
    <xf numFmtId="0" fontId="1" fillId="0" borderId="0" xfId="1" applyAlignment="1">
      <alignment vertical="center" wrapText="1"/>
    </xf>
    <xf numFmtId="10" fontId="6" fillId="0" borderId="1" xfId="0" applyNumberFormat="1" applyFont="1" applyBorder="1"/>
    <xf numFmtId="0" fontId="7" fillId="11" borderId="40" xfId="0" applyFont="1" applyFill="1" applyBorder="1" applyAlignment="1">
      <alignment horizontal="center" vertical="center"/>
    </xf>
    <xf numFmtId="9" fontId="6" fillId="5" borderId="0" xfId="0" applyNumberFormat="1" applyFont="1" applyFill="1"/>
    <xf numFmtId="0" fontId="21" fillId="0" borderId="0" xfId="0" applyFont="1" applyAlignment="1">
      <alignment vertical="center" wrapText="1"/>
    </xf>
    <xf numFmtId="2" fontId="6" fillId="0" borderId="1" xfId="0" applyNumberFormat="1" applyFont="1" applyBorder="1" applyAlignment="1">
      <alignment horizontal="center" vertical="center"/>
    </xf>
    <xf numFmtId="0" fontId="13" fillId="0" borderId="0" xfId="0" applyFont="1" applyAlignment="1">
      <alignment vertical="center" wrapText="1"/>
    </xf>
    <xf numFmtId="9" fontId="6" fillId="0" borderId="15" xfId="0" applyNumberFormat="1" applyFont="1" applyBorder="1" applyAlignment="1">
      <alignment horizontal="center" vertical="center"/>
    </xf>
    <xf numFmtId="0" fontId="22" fillId="0" borderId="44" xfId="0" applyFont="1" applyBorder="1" applyAlignment="1">
      <alignment horizontal="center" vertical="center"/>
    </xf>
    <xf numFmtId="0" fontId="10" fillId="0" borderId="1" xfId="3" applyFont="1" applyFill="1" applyBorder="1" applyAlignment="1">
      <alignment vertical="center" wrapText="1"/>
    </xf>
    <xf numFmtId="0" fontId="23" fillId="7" borderId="30" xfId="0" applyFont="1" applyFill="1" applyBorder="1" applyAlignment="1">
      <alignment horizontal="center" vertical="center" wrapText="1"/>
    </xf>
    <xf numFmtId="168" fontId="48" fillId="8" borderId="4" xfId="0" applyNumberFormat="1" applyFont="1" applyFill="1" applyBorder="1" applyAlignment="1">
      <alignment vertical="center"/>
    </xf>
    <xf numFmtId="0" fontId="12" fillId="0" borderId="0" xfId="0" applyFont="1" applyAlignment="1">
      <alignment horizontal="left" vertical="center"/>
    </xf>
    <xf numFmtId="168" fontId="48" fillId="0" borderId="0" xfId="0" applyNumberFormat="1" applyFont="1" applyAlignment="1">
      <alignment vertical="center"/>
    </xf>
    <xf numFmtId="168" fontId="48" fillId="0" borderId="0" xfId="0" applyNumberFormat="1" applyFont="1"/>
    <xf numFmtId="0" fontId="6" fillId="0" borderId="1" xfId="0" applyFont="1" applyBorder="1" applyAlignment="1">
      <alignment horizontal="right" vertical="center"/>
    </xf>
    <xf numFmtId="168" fontId="6" fillId="0" borderId="1" xfId="0" applyNumberFormat="1" applyFont="1" applyBorder="1" applyAlignment="1">
      <alignment vertical="center"/>
    </xf>
    <xf numFmtId="0" fontId="6" fillId="0" borderId="4" xfId="0" applyFont="1" applyBorder="1" applyAlignment="1">
      <alignment vertical="center" wrapText="1"/>
    </xf>
    <xf numFmtId="167" fontId="6" fillId="0" borderId="4" xfId="6" applyNumberFormat="1" applyFont="1" applyBorder="1" applyAlignment="1">
      <alignment horizontal="right" vertical="center"/>
    </xf>
    <xf numFmtId="168" fontId="1" fillId="0" borderId="1" xfId="0" applyNumberFormat="1" applyFont="1" applyBorder="1" applyAlignment="1">
      <alignment vertical="center"/>
    </xf>
    <xf numFmtId="167" fontId="1" fillId="0" borderId="4" xfId="6" applyNumberFormat="1" applyFont="1" applyBorder="1" applyAlignment="1">
      <alignment horizontal="right" vertical="center"/>
    </xf>
    <xf numFmtId="164" fontId="6" fillId="0" borderId="0" xfId="0" applyNumberFormat="1" applyFont="1"/>
    <xf numFmtId="0" fontId="8" fillId="0" borderId="0" xfId="5"/>
    <xf numFmtId="0" fontId="12" fillId="0" borderId="0" xfId="0" applyFont="1" applyAlignment="1">
      <alignment horizontal="center" vertical="center"/>
    </xf>
    <xf numFmtId="0" fontId="23" fillId="11" borderId="1" xfId="0" applyFont="1" applyFill="1" applyBorder="1" applyAlignment="1">
      <alignment horizontal="center" vertical="center" wrapText="1"/>
    </xf>
    <xf numFmtId="0" fontId="10" fillId="0" borderId="1" xfId="3" applyFont="1" applyBorder="1" applyAlignment="1">
      <alignment horizontal="center" vertical="center" wrapText="1"/>
    </xf>
    <xf numFmtId="1" fontId="6" fillId="0" borderId="1" xfId="0" applyNumberFormat="1" applyFont="1" applyBorder="1" applyAlignment="1">
      <alignment horizontal="center" vertical="center"/>
    </xf>
    <xf numFmtId="0" fontId="19" fillId="7" borderId="5" xfId="0" applyFont="1" applyFill="1" applyBorder="1" applyAlignment="1">
      <alignment horizontal="center" vertical="center"/>
    </xf>
    <xf numFmtId="0" fontId="19" fillId="7" borderId="40" xfId="0" applyFont="1" applyFill="1" applyBorder="1" applyAlignment="1">
      <alignment horizontal="center" vertical="center" wrapText="1"/>
    </xf>
    <xf numFmtId="167" fontId="6" fillId="0" borderId="0" xfId="0" applyNumberFormat="1" applyFont="1"/>
    <xf numFmtId="0" fontId="19" fillId="7" borderId="47" xfId="0" applyFont="1" applyFill="1" applyBorder="1" applyAlignment="1">
      <alignment horizontal="center" vertical="center" wrapText="1"/>
    </xf>
    <xf numFmtId="2" fontId="22" fillId="0" borderId="1" xfId="0" applyNumberFormat="1" applyFont="1" applyBorder="1" applyAlignment="1">
      <alignment horizontal="center" vertical="center"/>
    </xf>
    <xf numFmtId="2" fontId="22" fillId="0" borderId="23" xfId="0" applyNumberFormat="1" applyFont="1" applyBorder="1" applyAlignment="1">
      <alignment horizontal="center" vertical="center"/>
    </xf>
    <xf numFmtId="2" fontId="22" fillId="0" borderId="25" xfId="0" applyNumberFormat="1" applyFont="1" applyBorder="1" applyAlignment="1">
      <alignment horizontal="center" vertical="center"/>
    </xf>
    <xf numFmtId="2" fontId="22" fillId="0" borderId="22" xfId="0" applyNumberFormat="1" applyFont="1" applyBorder="1" applyAlignment="1">
      <alignment horizontal="center" vertical="center"/>
    </xf>
    <xf numFmtId="2" fontId="22" fillId="0" borderId="24" xfId="0" applyNumberFormat="1" applyFont="1" applyBorder="1" applyAlignment="1">
      <alignment horizontal="center" vertical="center"/>
    </xf>
    <xf numFmtId="0" fontId="22" fillId="0" borderId="55" xfId="0" applyFont="1" applyBorder="1" applyAlignment="1">
      <alignment horizontal="center" vertical="center"/>
    </xf>
    <xf numFmtId="2" fontId="22" fillId="0" borderId="56" xfId="0" applyNumberFormat="1" applyFont="1" applyBorder="1" applyAlignment="1">
      <alignment horizontal="center" vertical="center"/>
    </xf>
    <xf numFmtId="2" fontId="22" fillId="0" borderId="57" xfId="0" applyNumberFormat="1" applyFont="1" applyBorder="1" applyAlignment="1">
      <alignment horizontal="center" vertical="center"/>
    </xf>
    <xf numFmtId="0" fontId="22" fillId="0" borderId="58" xfId="0" applyFont="1" applyBorder="1" applyAlignment="1">
      <alignment horizontal="center" vertical="center"/>
    </xf>
    <xf numFmtId="2" fontId="22" fillId="0" borderId="59" xfId="0" applyNumberFormat="1" applyFont="1" applyBorder="1" applyAlignment="1">
      <alignment horizontal="center" vertical="center"/>
    </xf>
    <xf numFmtId="2" fontId="22" fillId="0" borderId="60" xfId="0" applyNumberFormat="1" applyFont="1" applyBorder="1" applyAlignment="1">
      <alignment horizontal="center" vertical="center"/>
    </xf>
    <xf numFmtId="2" fontId="22" fillId="0" borderId="61" xfId="0" applyNumberFormat="1" applyFont="1" applyBorder="1" applyAlignment="1">
      <alignment horizontal="center" vertical="center"/>
    </xf>
    <xf numFmtId="2" fontId="22" fillId="0" borderId="5" xfId="0" applyNumberFormat="1" applyFont="1" applyBorder="1" applyAlignment="1">
      <alignment horizontal="center" vertical="center"/>
    </xf>
    <xf numFmtId="2" fontId="22" fillId="0" borderId="65" xfId="0" applyNumberFormat="1" applyFont="1" applyBorder="1" applyAlignment="1">
      <alignment horizontal="center" vertical="center"/>
    </xf>
    <xf numFmtId="0" fontId="22" fillId="0" borderId="66" xfId="0" applyFont="1" applyBorder="1" applyAlignment="1">
      <alignment horizontal="center" vertical="center"/>
    </xf>
    <xf numFmtId="2" fontId="22" fillId="0" borderId="49" xfId="0" applyNumberFormat="1" applyFont="1" applyBorder="1" applyAlignment="1">
      <alignment horizontal="center" vertical="center"/>
    </xf>
    <xf numFmtId="2" fontId="22" fillId="0" borderId="50" xfId="0" applyNumberFormat="1" applyFont="1" applyBorder="1" applyAlignment="1">
      <alignment horizontal="center" vertical="center"/>
    </xf>
    <xf numFmtId="0" fontId="22" fillId="0" borderId="67" xfId="0" applyFont="1" applyBorder="1" applyAlignment="1">
      <alignment horizontal="center" vertical="center"/>
    </xf>
    <xf numFmtId="2" fontId="22" fillId="0" borderId="30" xfId="0" applyNumberFormat="1" applyFont="1" applyBorder="1" applyAlignment="1">
      <alignment horizontal="center" vertical="center"/>
    </xf>
    <xf numFmtId="2" fontId="22" fillId="0" borderId="52" xfId="0" applyNumberFormat="1" applyFont="1" applyBorder="1" applyAlignment="1">
      <alignment horizontal="center" vertical="center"/>
    </xf>
    <xf numFmtId="0" fontId="22" fillId="0" borderId="68" xfId="0" applyFont="1" applyBorder="1" applyAlignment="1">
      <alignment horizontal="center" vertical="center"/>
    </xf>
    <xf numFmtId="2" fontId="22" fillId="0" borderId="63" xfId="0" applyNumberFormat="1" applyFont="1" applyBorder="1" applyAlignment="1">
      <alignment horizontal="center" vertical="center"/>
    </xf>
    <xf numFmtId="2" fontId="22" fillId="0" borderId="64" xfId="0" applyNumberFormat="1" applyFont="1" applyBorder="1" applyAlignment="1">
      <alignment horizontal="center" vertical="center"/>
    </xf>
    <xf numFmtId="1" fontId="22" fillId="0" borderId="69" xfId="0" applyNumberFormat="1" applyFont="1" applyBorder="1" applyAlignment="1">
      <alignment horizontal="center" vertical="center"/>
    </xf>
    <xf numFmtId="1" fontId="22" fillId="0" borderId="72" xfId="0" applyNumberFormat="1" applyFont="1" applyBorder="1" applyAlignment="1">
      <alignment horizontal="center" vertical="center"/>
    </xf>
    <xf numFmtId="1" fontId="22" fillId="0" borderId="6" xfId="0" applyNumberFormat="1" applyFont="1" applyBorder="1" applyAlignment="1">
      <alignment horizontal="center" vertical="center"/>
    </xf>
    <xf numFmtId="1" fontId="22" fillId="0" borderId="65" xfId="0" applyNumberFormat="1" applyFont="1" applyBorder="1" applyAlignment="1">
      <alignment horizontal="center" vertical="center"/>
    </xf>
    <xf numFmtId="0" fontId="22" fillId="0" borderId="73" xfId="0" applyFont="1" applyBorder="1" applyAlignment="1">
      <alignment horizontal="center" vertical="center"/>
    </xf>
    <xf numFmtId="0" fontId="22" fillId="0" borderId="76" xfId="0" applyFont="1" applyBorder="1" applyAlignment="1">
      <alignment horizontal="center" vertical="center"/>
    </xf>
    <xf numFmtId="1" fontId="22" fillId="0" borderId="49" xfId="0" applyNumberFormat="1" applyFont="1" applyBorder="1" applyAlignment="1">
      <alignment horizontal="center" vertical="center"/>
    </xf>
    <xf numFmtId="1" fontId="22" fillId="0" borderId="50" xfId="0" applyNumberFormat="1" applyFont="1" applyBorder="1" applyAlignment="1">
      <alignment horizontal="center" vertical="center"/>
    </xf>
    <xf numFmtId="0" fontId="22" fillId="0" borderId="78" xfId="0" applyFont="1" applyBorder="1" applyAlignment="1">
      <alignment horizontal="center" vertical="center"/>
    </xf>
    <xf numFmtId="1" fontId="22" fillId="0" borderId="30" xfId="0" applyNumberFormat="1" applyFont="1" applyBorder="1" applyAlignment="1">
      <alignment horizontal="center" vertical="center"/>
    </xf>
    <xf numFmtId="1" fontId="22" fillId="0" borderId="52" xfId="0" applyNumberFormat="1" applyFont="1" applyBorder="1" applyAlignment="1">
      <alignment horizontal="center" vertical="center"/>
    </xf>
    <xf numFmtId="0" fontId="22" fillId="0" borderId="82" xfId="0" applyFont="1" applyBorder="1" applyAlignment="1">
      <alignment horizontal="center" vertical="center"/>
    </xf>
    <xf numFmtId="0" fontId="22" fillId="0" borderId="46" xfId="0" applyFont="1" applyBorder="1" applyAlignment="1">
      <alignment horizontal="center" vertical="center"/>
    </xf>
    <xf numFmtId="0" fontId="22" fillId="0" borderId="89" xfId="0" applyFont="1" applyBorder="1" applyAlignment="1">
      <alignment horizontal="center" vertical="center"/>
    </xf>
    <xf numFmtId="1" fontId="22" fillId="0" borderId="74" xfId="0" applyNumberFormat="1" applyFont="1" applyBorder="1" applyAlignment="1">
      <alignment horizontal="center" vertical="center"/>
    </xf>
    <xf numFmtId="1" fontId="22" fillId="0" borderId="75" xfId="0" applyNumberFormat="1" applyFont="1" applyBorder="1" applyAlignment="1">
      <alignment horizontal="center" vertical="center"/>
    </xf>
    <xf numFmtId="1" fontId="22" fillId="0" borderId="77" xfId="0" applyNumberFormat="1" applyFont="1" applyBorder="1" applyAlignment="1">
      <alignment horizontal="center" vertical="center"/>
    </xf>
    <xf numFmtId="1" fontId="22" fillId="0" borderId="79" xfId="0" applyNumberFormat="1" applyFont="1" applyBorder="1" applyAlignment="1">
      <alignment horizontal="center" vertical="center"/>
    </xf>
    <xf numFmtId="1" fontId="22" fillId="0" borderId="80" xfId="0" applyNumberFormat="1" applyFont="1" applyBorder="1" applyAlignment="1">
      <alignment horizontal="center" vertical="center"/>
    </xf>
    <xf numFmtId="0" fontId="6" fillId="0" borderId="22" xfId="0" applyFont="1" applyBorder="1"/>
    <xf numFmtId="0" fontId="6" fillId="0" borderId="22" xfId="0" applyFont="1" applyBorder="1" applyAlignment="1">
      <alignment horizontal="center" vertical="top" wrapText="1"/>
    </xf>
    <xf numFmtId="0" fontId="7" fillId="7" borderId="5" xfId="0" applyFont="1" applyFill="1" applyBorder="1" applyAlignment="1">
      <alignment horizontal="center" vertical="center" wrapText="1"/>
    </xf>
    <xf numFmtId="165" fontId="1" fillId="0" borderId="22" xfId="0" applyNumberFormat="1" applyFont="1" applyBorder="1" applyAlignment="1">
      <alignment horizontal="center" vertical="center"/>
    </xf>
    <xf numFmtId="165" fontId="6" fillId="0" borderId="22" xfId="0" applyNumberFormat="1" applyFont="1" applyBorder="1" applyAlignment="1">
      <alignment horizontal="center" vertical="center"/>
    </xf>
    <xf numFmtId="0" fontId="7" fillId="7" borderId="40" xfId="0" applyFont="1" applyFill="1" applyBorder="1" applyAlignment="1">
      <alignment horizontal="center" vertical="center"/>
    </xf>
    <xf numFmtId="0" fontId="23" fillId="11" borderId="5" xfId="0" applyFont="1" applyFill="1" applyBorder="1" applyAlignment="1">
      <alignment horizontal="center" vertical="center" wrapText="1"/>
    </xf>
    <xf numFmtId="0" fontId="23" fillId="11" borderId="8" xfId="0" applyFont="1" applyFill="1" applyBorder="1" applyAlignment="1">
      <alignment horizontal="center" vertical="center" wrapText="1"/>
    </xf>
    <xf numFmtId="0" fontId="23" fillId="11" borderId="96" xfId="0" applyFont="1" applyFill="1" applyBorder="1" applyAlignment="1">
      <alignment horizontal="center" vertical="center"/>
    </xf>
    <xf numFmtId="0" fontId="19" fillId="44" borderId="1" xfId="0" applyFont="1" applyFill="1" applyBorder="1" applyAlignment="1">
      <alignment horizontal="center" vertical="center" wrapText="1"/>
    </xf>
    <xf numFmtId="0" fontId="19" fillId="11" borderId="1" xfId="0" applyFont="1" applyFill="1" applyBorder="1" applyAlignment="1">
      <alignment horizontal="center" vertical="center" wrapText="1"/>
    </xf>
    <xf numFmtId="0" fontId="6" fillId="0" borderId="22" xfId="4" applyBorder="1" applyAlignment="1">
      <alignment horizontal="center" vertical="center"/>
    </xf>
    <xf numFmtId="165" fontId="6" fillId="0" borderId="22" xfId="0" applyNumberFormat="1" applyFont="1" applyBorder="1"/>
    <xf numFmtId="0" fontId="6" fillId="0" borderId="0" xfId="0" applyFont="1" applyAlignment="1">
      <alignment vertical="top"/>
    </xf>
    <xf numFmtId="0" fontId="6" fillId="0" borderId="0" xfId="0" applyFont="1" applyAlignment="1">
      <alignment horizontal="left" vertical="top"/>
    </xf>
    <xf numFmtId="9" fontId="6" fillId="0" borderId="0" xfId="2" applyFont="1" applyAlignment="1">
      <alignment horizontal="left" vertical="top"/>
    </xf>
    <xf numFmtId="0" fontId="10" fillId="0" borderId="1" xfId="3" applyFont="1" applyFill="1" applyBorder="1" applyAlignment="1">
      <alignment horizontal="center" vertical="center" wrapText="1"/>
    </xf>
    <xf numFmtId="0" fontId="22" fillId="0" borderId="91" xfId="0" applyFont="1" applyBorder="1" applyAlignment="1">
      <alignment horizontal="center" vertical="center"/>
    </xf>
    <xf numFmtId="0" fontId="22" fillId="0" borderId="42" xfId="0" applyFont="1" applyBorder="1" applyAlignment="1">
      <alignment horizontal="center" vertical="center"/>
    </xf>
    <xf numFmtId="1" fontId="22" fillId="0" borderId="71" xfId="0" applyNumberFormat="1" applyFont="1" applyBorder="1" applyAlignment="1">
      <alignment horizontal="center" vertical="center"/>
    </xf>
    <xf numFmtId="1" fontId="22" fillId="0" borderId="92" xfId="0" applyNumberFormat="1" applyFont="1" applyBorder="1" applyAlignment="1">
      <alignment horizontal="center" vertical="center"/>
    </xf>
    <xf numFmtId="1" fontId="22" fillId="0" borderId="40" xfId="0" applyNumberFormat="1" applyFont="1" applyBorder="1" applyAlignment="1">
      <alignment horizontal="center" vertical="center"/>
    </xf>
    <xf numFmtId="1" fontId="22" fillId="0" borderId="54" xfId="0" applyNumberFormat="1" applyFont="1" applyBorder="1" applyAlignment="1">
      <alignment horizontal="center" vertical="center"/>
    </xf>
    <xf numFmtId="2" fontId="51" fillId="0" borderId="59" xfId="0" applyNumberFormat="1" applyFont="1" applyBorder="1" applyAlignment="1">
      <alignment horizontal="center" vertical="center"/>
    </xf>
    <xf numFmtId="0" fontId="52" fillId="0" borderId="0" xfId="0" applyFont="1" applyAlignment="1">
      <alignment wrapText="1"/>
    </xf>
    <xf numFmtId="0" fontId="53" fillId="0" borderId="0" xfId="0" applyFont="1" applyAlignment="1">
      <alignment wrapText="1"/>
    </xf>
    <xf numFmtId="0" fontId="52" fillId="0" borderId="0" xfId="0" applyFont="1"/>
    <xf numFmtId="0" fontId="54" fillId="0" borderId="0" xfId="0" applyFont="1" applyAlignment="1">
      <alignment horizontal="center" vertical="center" wrapText="1"/>
    </xf>
    <xf numFmtId="0" fontId="1" fillId="0" borderId="5" xfId="1" applyBorder="1" applyAlignment="1">
      <alignment vertical="center" wrapText="1"/>
    </xf>
    <xf numFmtId="0" fontId="6" fillId="0" borderId="5" xfId="0" applyFont="1" applyBorder="1" applyAlignment="1">
      <alignment vertical="center" wrapText="1"/>
    </xf>
    <xf numFmtId="0" fontId="1" fillId="0" borderId="0" xfId="0" applyFont="1" applyAlignment="1">
      <alignment horizontal="center" vertical="center"/>
    </xf>
    <xf numFmtId="165" fontId="1" fillId="0" borderId="97" xfId="0" applyNumberFormat="1" applyFont="1" applyBorder="1" applyAlignment="1">
      <alignment horizontal="center" vertical="center"/>
    </xf>
    <xf numFmtId="0" fontId="6" fillId="0" borderId="44" xfId="0" applyFont="1" applyBorder="1" applyAlignment="1">
      <alignment wrapText="1"/>
    </xf>
    <xf numFmtId="0" fontId="22" fillId="0" borderId="43" xfId="0" applyFont="1" applyBorder="1" applyAlignment="1">
      <alignment horizontal="center" vertical="center"/>
    </xf>
    <xf numFmtId="0" fontId="22" fillId="0" borderId="3" xfId="0" applyFont="1" applyBorder="1" applyAlignment="1">
      <alignment horizontal="center" vertical="center"/>
    </xf>
    <xf numFmtId="0" fontId="51" fillId="0" borderId="22" xfId="0" applyFont="1" applyBorder="1" applyAlignment="1">
      <alignment horizontal="center" vertical="center"/>
    </xf>
    <xf numFmtId="0" fontId="22" fillId="0" borderId="102" xfId="0" applyFont="1" applyBorder="1" applyAlignment="1">
      <alignment horizontal="center" vertical="center"/>
    </xf>
    <xf numFmtId="0" fontId="51" fillId="0" borderId="103" xfId="0" applyFont="1" applyBorder="1" applyAlignment="1">
      <alignment horizontal="center" vertical="center"/>
    </xf>
    <xf numFmtId="0" fontId="22" fillId="0" borderId="109" xfId="0" applyFont="1" applyBorder="1" applyAlignment="1">
      <alignment horizontal="center" vertical="center"/>
    </xf>
    <xf numFmtId="0" fontId="51" fillId="0" borderId="110" xfId="0" applyFont="1" applyBorder="1" applyAlignment="1">
      <alignment horizontal="center" vertical="center"/>
    </xf>
    <xf numFmtId="0" fontId="19" fillId="7" borderId="22" xfId="0" applyFont="1" applyFill="1" applyBorder="1" applyAlignment="1">
      <alignment horizontal="center" vertical="center" wrapText="1"/>
    </xf>
    <xf numFmtId="0" fontId="19" fillId="7" borderId="41" xfId="0" applyFont="1" applyFill="1" applyBorder="1" applyAlignment="1">
      <alignment horizontal="center" vertical="center" wrapText="1"/>
    </xf>
    <xf numFmtId="0" fontId="6" fillId="0" borderId="5" xfId="0" applyFont="1" applyBorder="1" applyAlignment="1">
      <alignment vertical="center"/>
    </xf>
    <xf numFmtId="0" fontId="6" fillId="0" borderId="9" xfId="0" applyFont="1" applyBorder="1" applyAlignment="1">
      <alignment horizontal="center" vertical="center"/>
    </xf>
    <xf numFmtId="0" fontId="6" fillId="0" borderId="5" xfId="0" applyFont="1" applyBorder="1" applyAlignment="1">
      <alignment horizontal="center" vertical="center"/>
    </xf>
    <xf numFmtId="0" fontId="56" fillId="0" borderId="0" xfId="0" applyFont="1" applyAlignment="1">
      <alignment wrapText="1"/>
    </xf>
    <xf numFmtId="0" fontId="7" fillId="0" borderId="0" xfId="0" applyFont="1" applyAlignment="1">
      <alignment horizontal="center" vertical="center"/>
    </xf>
    <xf numFmtId="1" fontId="10" fillId="0" borderId="1" xfId="3" applyNumberFormat="1" applyFont="1" applyBorder="1" applyAlignment="1">
      <alignment horizontal="center" vertical="center" wrapText="1"/>
    </xf>
    <xf numFmtId="43" fontId="6" fillId="0" borderId="2" xfId="6" applyFont="1" applyBorder="1" applyAlignment="1">
      <alignment horizontal="center" vertical="center"/>
    </xf>
    <xf numFmtId="0" fontId="19" fillId="0" borderId="0" xfId="0" applyFont="1" applyAlignment="1">
      <alignment horizontal="center" vertical="center" wrapText="1"/>
    </xf>
    <xf numFmtId="0" fontId="7" fillId="0" borderId="23" xfId="0" applyFont="1" applyBorder="1" applyAlignment="1">
      <alignment horizontal="center" vertical="center" wrapText="1"/>
    </xf>
    <xf numFmtId="0" fontId="6" fillId="0" borderId="23" xfId="0" applyFont="1" applyBorder="1"/>
    <xf numFmtId="0" fontId="10" fillId="0" borderId="0" xfId="3" applyFont="1" applyBorder="1" applyAlignment="1">
      <alignment horizontal="center" vertical="center" wrapText="1"/>
    </xf>
    <xf numFmtId="0" fontId="12" fillId="0" borderId="22" xfId="0" applyFont="1" applyBorder="1"/>
    <xf numFmtId="1" fontId="6" fillId="0" borderId="5" xfId="0" applyNumberFormat="1" applyFont="1" applyBorder="1" applyAlignment="1">
      <alignment horizontal="center" vertical="center"/>
    </xf>
    <xf numFmtId="1" fontId="6" fillId="0" borderId="22" xfId="0" applyNumberFormat="1" applyFont="1" applyBorder="1" applyAlignment="1">
      <alignment horizontal="center" vertical="center"/>
    </xf>
    <xf numFmtId="0" fontId="6" fillId="0" borderId="8" xfId="0" applyFont="1" applyBorder="1" applyAlignment="1">
      <alignment horizontal="center" vertical="center"/>
    </xf>
    <xf numFmtId="9" fontId="26" fillId="0" borderId="44" xfId="2" applyFont="1" applyBorder="1"/>
    <xf numFmtId="0" fontId="30" fillId="0" borderId="22" xfId="0" applyFont="1" applyBorder="1" applyAlignment="1">
      <alignment horizontal="center" vertical="center"/>
    </xf>
    <xf numFmtId="0" fontId="30" fillId="0" borderId="97" xfId="0" applyFont="1" applyBorder="1" applyAlignment="1">
      <alignment horizontal="center" vertical="center"/>
    </xf>
    <xf numFmtId="0" fontId="6" fillId="0" borderId="23" xfId="0" applyFont="1" applyBorder="1" applyAlignment="1">
      <alignment horizontal="center" vertical="center"/>
    </xf>
    <xf numFmtId="165" fontId="1" fillId="0" borderId="23" xfId="0" applyNumberFormat="1" applyFont="1" applyBorder="1" applyAlignment="1">
      <alignment horizontal="center" vertical="center"/>
    </xf>
    <xf numFmtId="165" fontId="1" fillId="0" borderId="115" xfId="0" applyNumberFormat="1" applyFont="1" applyBorder="1" applyAlignment="1">
      <alignment horizontal="center" vertical="center"/>
    </xf>
    <xf numFmtId="0" fontId="6" fillId="0" borderId="43" xfId="0" applyFont="1" applyBorder="1" applyAlignment="1">
      <alignment horizontal="center" vertical="center" wrapText="1"/>
    </xf>
    <xf numFmtId="0" fontId="51" fillId="0" borderId="104" xfId="0" applyFont="1" applyBorder="1" applyAlignment="1">
      <alignment horizontal="center" vertical="center"/>
    </xf>
    <xf numFmtId="0" fontId="51" fillId="0" borderId="111" xfId="0" applyFont="1" applyBorder="1" applyAlignment="1">
      <alignment horizontal="center" vertical="center"/>
    </xf>
    <xf numFmtId="0" fontId="51" fillId="0" borderId="97" xfId="0" applyFont="1" applyBorder="1" applyAlignment="1">
      <alignment horizontal="center" vertical="center"/>
    </xf>
    <xf numFmtId="0" fontId="51" fillId="0" borderId="117" xfId="0" applyFont="1" applyBorder="1" applyAlignment="1">
      <alignment horizontal="center" vertical="center"/>
    </xf>
    <xf numFmtId="0" fontId="51" fillId="0" borderId="118" xfId="0" applyFont="1" applyBorder="1" applyAlignment="1">
      <alignment horizontal="center" vertical="center"/>
    </xf>
    <xf numFmtId="0" fontId="51" fillId="0" borderId="119" xfId="0" applyFont="1" applyBorder="1" applyAlignment="1">
      <alignment horizontal="center" vertical="center"/>
    </xf>
    <xf numFmtId="0" fontId="51" fillId="0" borderId="120" xfId="0" applyFont="1" applyBorder="1" applyAlignment="1">
      <alignment horizontal="center" vertical="center"/>
    </xf>
    <xf numFmtId="0" fontId="51" fillId="0" borderId="121" xfId="0" applyFont="1" applyBorder="1" applyAlignment="1">
      <alignment horizontal="center" vertical="center"/>
    </xf>
    <xf numFmtId="2" fontId="51" fillId="0" borderId="23" xfId="0" applyNumberFormat="1" applyFont="1" applyBorder="1" applyAlignment="1">
      <alignment horizontal="center" vertical="center"/>
    </xf>
    <xf numFmtId="2" fontId="51" fillId="0" borderId="56" xfId="0" applyNumberFormat="1" applyFont="1" applyBorder="1" applyAlignment="1">
      <alignment horizontal="center" vertical="center"/>
    </xf>
    <xf numFmtId="2" fontId="51" fillId="0" borderId="22" xfId="0" applyNumberFormat="1" applyFont="1" applyBorder="1" applyAlignment="1">
      <alignment horizontal="center" vertical="center"/>
    </xf>
    <xf numFmtId="2" fontId="51" fillId="0" borderId="1" xfId="0" applyNumberFormat="1" applyFont="1" applyBorder="1" applyAlignment="1">
      <alignment horizontal="center" vertical="center"/>
    </xf>
    <xf numFmtId="2" fontId="51" fillId="0" borderId="5" xfId="0" applyNumberFormat="1" applyFont="1" applyBorder="1" applyAlignment="1">
      <alignment horizontal="center" vertical="center"/>
    </xf>
    <xf numFmtId="3" fontId="6" fillId="0" borderId="0" xfId="0" applyNumberFormat="1" applyFont="1" applyAlignment="1">
      <alignment horizontal="center" vertical="top" wrapText="1"/>
    </xf>
    <xf numFmtId="0" fontId="19" fillId="0" borderId="0" xfId="0" applyFont="1" applyAlignment="1">
      <alignment horizontal="center" vertical="center"/>
    </xf>
    <xf numFmtId="0" fontId="20" fillId="0" borderId="0" xfId="0" applyFont="1" applyAlignment="1">
      <alignment horizontal="center" vertical="center" wrapText="1"/>
    </xf>
    <xf numFmtId="4" fontId="6" fillId="0" borderId="0" xfId="7" applyNumberFormat="1" applyFont="1" applyAlignment="1">
      <alignment horizontal="center" vertical="center"/>
    </xf>
    <xf numFmtId="3" fontId="10" fillId="0" borderId="0" xfId="3" applyNumberFormat="1" applyFont="1" applyFill="1" applyBorder="1" applyAlignment="1">
      <alignment horizontal="center" vertical="center" wrapText="1"/>
    </xf>
    <xf numFmtId="10" fontId="6" fillId="0" borderId="22" xfId="0" applyNumberFormat="1" applyFont="1" applyBorder="1" applyAlignment="1">
      <alignment horizontal="center" vertical="center"/>
    </xf>
    <xf numFmtId="0" fontId="7" fillId="0" borderId="122" xfId="0" applyFont="1" applyBorder="1" applyAlignment="1">
      <alignment horizontal="center" vertical="center" wrapText="1"/>
    </xf>
    <xf numFmtId="0" fontId="7" fillId="0" borderId="123" xfId="0" applyFont="1" applyBorder="1" applyAlignment="1">
      <alignment horizontal="center" vertical="center" wrapText="1"/>
    </xf>
    <xf numFmtId="0" fontId="7" fillId="0" borderId="124" xfId="0" applyFont="1" applyBorder="1" applyAlignment="1">
      <alignment horizontal="center" vertical="center" wrapText="1"/>
    </xf>
    <xf numFmtId="10" fontId="6" fillId="0" borderId="23" xfId="0" applyNumberFormat="1" applyFont="1" applyBorder="1" applyAlignment="1">
      <alignment horizontal="center" vertical="center"/>
    </xf>
    <xf numFmtId="0" fontId="6" fillId="0" borderId="56" xfId="0" applyFont="1" applyBorder="1" applyAlignment="1">
      <alignment horizontal="center" vertical="center"/>
    </xf>
    <xf numFmtId="10" fontId="6" fillId="0" borderId="56" xfId="0" applyNumberFormat="1" applyFont="1" applyBorder="1" applyAlignment="1">
      <alignment horizontal="center" vertical="center"/>
    </xf>
    <xf numFmtId="0" fontId="7" fillId="0" borderId="122" xfId="0" applyFont="1" applyBorder="1" applyAlignment="1">
      <alignment horizontal="center" vertical="center"/>
    </xf>
    <xf numFmtId="0" fontId="7" fillId="0" borderId="123" xfId="0" applyFont="1" applyBorder="1" applyAlignment="1">
      <alignment horizontal="center" vertical="center"/>
    </xf>
    <xf numFmtId="10" fontId="7" fillId="0" borderId="124" xfId="0" applyNumberFormat="1" applyFont="1" applyBorder="1" applyAlignment="1">
      <alignment horizontal="center" vertical="center"/>
    </xf>
    <xf numFmtId="10" fontId="6" fillId="0" borderId="0" xfId="0" applyNumberFormat="1" applyFont="1" applyAlignment="1">
      <alignment horizontal="center" vertical="center"/>
    </xf>
    <xf numFmtId="0" fontId="6" fillId="2" borderId="0" xfId="0" applyFont="1" applyFill="1"/>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30" fillId="0" borderId="0" xfId="0" applyFont="1"/>
    <xf numFmtId="0" fontId="30" fillId="0" borderId="0" xfId="0" applyFont="1" applyAlignment="1">
      <alignment horizontal="center" vertical="center" wrapText="1"/>
    </xf>
    <xf numFmtId="2" fontId="51" fillId="0" borderId="84" xfId="0" applyNumberFormat="1" applyFont="1" applyBorder="1" applyAlignment="1">
      <alignment horizontal="center" vertical="center"/>
    </xf>
    <xf numFmtId="2" fontId="51" fillId="0" borderId="144" xfId="0" applyNumberFormat="1" applyFont="1" applyBorder="1" applyAlignment="1">
      <alignment horizontal="center" vertical="center"/>
    </xf>
    <xf numFmtId="2" fontId="51" fillId="0" borderId="145" xfId="0" applyNumberFormat="1" applyFont="1" applyBorder="1" applyAlignment="1">
      <alignment horizontal="center" vertical="center"/>
    </xf>
    <xf numFmtId="2" fontId="51" fillId="0" borderId="146" xfId="0" applyNumberFormat="1" applyFont="1" applyBorder="1" applyAlignment="1">
      <alignment horizontal="center" vertical="center"/>
    </xf>
    <xf numFmtId="0" fontId="6" fillId="0" borderId="0" xfId="56" applyFont="1"/>
    <xf numFmtId="0" fontId="6" fillId="0" borderId="0" xfId="56" applyFont="1" applyAlignment="1">
      <alignment wrapText="1"/>
    </xf>
    <xf numFmtId="0" fontId="7" fillId="11" borderId="1" xfId="0" applyFont="1" applyFill="1" applyBorder="1" applyAlignment="1">
      <alignment horizontal="center" vertical="center" wrapText="1"/>
    </xf>
    <xf numFmtId="2" fontId="6" fillId="0" borderId="1" xfId="0" applyNumberFormat="1" applyFont="1" applyBorder="1" applyAlignment="1">
      <alignment horizontal="center" vertical="center" wrapText="1"/>
    </xf>
    <xf numFmtId="169" fontId="6" fillId="0" borderId="97" xfId="0" applyNumberFormat="1" applyFont="1" applyBorder="1" applyAlignment="1">
      <alignment horizontal="center" vertical="center"/>
    </xf>
    <xf numFmtId="43" fontId="6" fillId="0" borderId="1" xfId="6" applyFont="1" applyBorder="1" applyAlignment="1">
      <alignment horizontal="center" vertical="center"/>
    </xf>
    <xf numFmtId="0" fontId="54" fillId="0" borderId="0" xfId="56" applyFont="1" applyAlignment="1">
      <alignment vertical="center" wrapText="1"/>
    </xf>
    <xf numFmtId="0" fontId="54" fillId="0" borderId="0" xfId="56" applyFont="1" applyAlignment="1">
      <alignment vertical="center"/>
    </xf>
    <xf numFmtId="0" fontId="6" fillId="0" borderId="0" xfId="56" applyFont="1" applyAlignment="1">
      <alignment horizontal="left"/>
    </xf>
    <xf numFmtId="0" fontId="59" fillId="0" borderId="0" xfId="56"/>
    <xf numFmtId="0" fontId="8" fillId="0" borderId="0" xfId="5" applyAlignment="1">
      <alignment horizontal="left" vertical="top"/>
    </xf>
    <xf numFmtId="0" fontId="59" fillId="0" borderId="0" xfId="56" applyAlignment="1">
      <alignment horizontal="left" vertical="center"/>
    </xf>
    <xf numFmtId="0" fontId="6" fillId="0" borderId="0" xfId="56" applyFont="1" applyAlignment="1">
      <alignment horizontal="left" vertical="center"/>
    </xf>
    <xf numFmtId="0" fontId="60" fillId="0" borderId="0" xfId="5" applyFont="1" applyAlignment="1">
      <alignment horizontal="left"/>
    </xf>
    <xf numFmtId="10" fontId="6" fillId="0" borderId="112" xfId="2" applyNumberFormat="1" applyFont="1" applyFill="1" applyBorder="1" applyAlignment="1">
      <alignment horizontal="center" vertical="center" wrapText="1"/>
    </xf>
    <xf numFmtId="10" fontId="6" fillId="0" borderId="0" xfId="2" applyNumberFormat="1" applyFont="1" applyBorder="1" applyAlignment="1">
      <alignment horizontal="center" vertical="center" wrapText="1"/>
    </xf>
    <xf numFmtId="0" fontId="6" fillId="0" borderId="5" xfId="0" applyFont="1" applyBorder="1" applyAlignment="1">
      <alignment horizontal="center" vertical="center" wrapText="1"/>
    </xf>
    <xf numFmtId="9" fontId="6" fillId="0" borderId="0" xfId="0" applyNumberFormat="1" applyFont="1"/>
    <xf numFmtId="0" fontId="61" fillId="0" borderId="0" xfId="5" applyFont="1" applyAlignment="1">
      <alignment horizontal="left" vertical="center"/>
    </xf>
    <xf numFmtId="0" fontId="1" fillId="0" borderId="0" xfId="0" applyFont="1" applyAlignment="1">
      <alignment vertical="center"/>
    </xf>
    <xf numFmtId="0" fontId="16" fillId="0" borderId="0" xfId="5" applyFont="1" applyAlignment="1">
      <alignment horizontal="left" vertical="center"/>
    </xf>
    <xf numFmtId="0" fontId="16" fillId="0" borderId="0" xfId="5" applyFont="1" applyAlignment="1">
      <alignment horizontal="left"/>
    </xf>
    <xf numFmtId="0" fontId="61" fillId="0" borderId="0" xfId="5" applyFont="1"/>
    <xf numFmtId="0" fontId="16" fillId="0" borderId="0" xfId="5" applyFont="1" applyAlignment="1">
      <alignment vertical="center"/>
    </xf>
    <xf numFmtId="0" fontId="8" fillId="0" borderId="0" xfId="5" applyAlignment="1">
      <alignment horizontal="left" vertical="center"/>
    </xf>
    <xf numFmtId="1" fontId="1" fillId="0" borderId="0" xfId="7" applyNumberFormat="1" applyFont="1" applyAlignment="1">
      <alignment horizontal="center" vertical="center"/>
    </xf>
    <xf numFmtId="3" fontId="10" fillId="0" borderId="0" xfId="3" applyNumberFormat="1" applyFont="1" applyBorder="1" applyAlignment="1">
      <alignment horizontal="center" vertical="center" wrapText="1"/>
    </xf>
    <xf numFmtId="0" fontId="30" fillId="8" borderId="7" xfId="56" applyFont="1" applyFill="1" applyBorder="1" applyAlignment="1">
      <alignment horizontal="left" vertical="center"/>
    </xf>
    <xf numFmtId="0" fontId="30" fillId="8" borderId="0" xfId="56" applyFont="1" applyFill="1" applyAlignment="1">
      <alignment horizontal="left" vertical="center"/>
    </xf>
    <xf numFmtId="0" fontId="32" fillId="43" borderId="112" xfId="0" applyFont="1" applyFill="1" applyBorder="1" applyAlignment="1">
      <alignment horizontal="left" vertical="center"/>
    </xf>
    <xf numFmtId="0" fontId="33" fillId="6" borderId="143" xfId="56" applyFont="1" applyFill="1" applyBorder="1" applyAlignment="1">
      <alignment vertical="center" wrapText="1"/>
    </xf>
    <xf numFmtId="0" fontId="30" fillId="0" borderId="0" xfId="0" applyFont="1" applyAlignment="1">
      <alignment horizontal="left" vertical="center"/>
    </xf>
    <xf numFmtId="0" fontId="30" fillId="0" borderId="0" xfId="0" applyFont="1" applyAlignment="1">
      <alignment horizontal="left" vertical="center" wrapText="1"/>
    </xf>
    <xf numFmtId="0" fontId="7" fillId="11" borderId="42" xfId="0" applyFont="1" applyFill="1" applyBorder="1" applyAlignment="1">
      <alignment horizontal="center" vertical="center"/>
    </xf>
    <xf numFmtId="0" fontId="7" fillId="7" borderId="6" xfId="0" applyFont="1" applyFill="1" applyBorder="1" applyAlignment="1">
      <alignment horizontal="center" vertical="center"/>
    </xf>
    <xf numFmtId="0" fontId="6" fillId="5" borderId="0" xfId="0" applyFont="1" applyFill="1" applyAlignment="1">
      <alignment horizontal="left" vertical="center"/>
    </xf>
    <xf numFmtId="0" fontId="6" fillId="5" borderId="0" xfId="0" applyFont="1" applyFill="1" applyAlignment="1">
      <alignment vertical="center"/>
    </xf>
    <xf numFmtId="0" fontId="8" fillId="0" borderId="0" xfId="5" applyAlignment="1">
      <alignment horizontal="left"/>
    </xf>
    <xf numFmtId="0" fontId="6" fillId="0" borderId="17" xfId="0" applyFont="1" applyBorder="1" applyAlignment="1">
      <alignment horizontal="center" vertical="center"/>
    </xf>
    <xf numFmtId="0" fontId="7" fillId="7" borderId="0" xfId="0" applyFont="1" applyFill="1" applyAlignment="1">
      <alignment horizontal="center" vertical="center"/>
    </xf>
    <xf numFmtId="0" fontId="33" fillId="49" borderId="6" xfId="56" applyFont="1" applyFill="1" applyBorder="1" applyAlignment="1">
      <alignment vertical="center" wrapText="1"/>
    </xf>
    <xf numFmtId="0" fontId="33" fillId="49" borderId="7" xfId="56" applyFont="1" applyFill="1" applyBorder="1" applyAlignment="1">
      <alignment vertical="center" wrapText="1"/>
    </xf>
    <xf numFmtId="0" fontId="7" fillId="49" borderId="7" xfId="56" applyFont="1" applyFill="1" applyBorder="1" applyAlignment="1">
      <alignment vertical="center" wrapText="1"/>
    </xf>
    <xf numFmtId="0" fontId="33" fillId="49" borderId="7" xfId="56" applyFont="1" applyFill="1" applyBorder="1" applyAlignment="1">
      <alignment horizontal="left" vertical="center" wrapText="1"/>
    </xf>
    <xf numFmtId="0" fontId="33" fillId="49" borderId="8" xfId="56" applyFont="1" applyFill="1" applyBorder="1" applyAlignment="1">
      <alignment vertical="center" wrapText="1"/>
    </xf>
    <xf numFmtId="0" fontId="51" fillId="0" borderId="14" xfId="0" applyFont="1" applyBorder="1" applyAlignment="1">
      <alignment horizontal="center" vertical="center"/>
    </xf>
    <xf numFmtId="0" fontId="51" fillId="0" borderId="4" xfId="0" applyFont="1" applyBorder="1" applyAlignment="1">
      <alignment horizontal="center" vertical="center"/>
    </xf>
    <xf numFmtId="0" fontId="51" fillId="0" borderId="8" xfId="0" applyFont="1" applyBorder="1" applyAlignment="1">
      <alignment horizontal="center" vertical="center"/>
    </xf>
    <xf numFmtId="0" fontId="51" fillId="0" borderId="82" xfId="0" applyFont="1" applyBorder="1" applyAlignment="1">
      <alignment horizontal="center" vertical="center"/>
    </xf>
    <xf numFmtId="0" fontId="51" fillId="0" borderId="46" xfId="0" applyFont="1" applyBorder="1" applyAlignment="1">
      <alignment horizontal="center" vertical="center"/>
    </xf>
    <xf numFmtId="0" fontId="51" fillId="0" borderId="42" xfId="0" applyFont="1" applyBorder="1" applyAlignment="1">
      <alignment horizontal="center" vertical="center"/>
    </xf>
    <xf numFmtId="0" fontId="51" fillId="0" borderId="168" xfId="0" applyFont="1" applyBorder="1" applyAlignment="1">
      <alignment horizontal="center" vertical="center"/>
    </xf>
    <xf numFmtId="2" fontId="51" fillId="0" borderId="30" xfId="0" applyNumberFormat="1" applyFont="1" applyBorder="1" applyAlignment="1">
      <alignment horizontal="center" vertical="center"/>
    </xf>
    <xf numFmtId="0" fontId="51" fillId="0" borderId="173" xfId="0" applyFont="1" applyBorder="1" applyAlignment="1">
      <alignment horizontal="center" vertical="center"/>
    </xf>
    <xf numFmtId="0" fontId="51" fillId="0" borderId="91" xfId="0" applyFont="1" applyBorder="1" applyAlignment="1">
      <alignment horizontal="center" vertical="center"/>
    </xf>
    <xf numFmtId="2" fontId="51" fillId="0" borderId="162" xfId="0" applyNumberFormat="1" applyFont="1" applyBorder="1" applyAlignment="1">
      <alignment horizontal="center" vertical="center"/>
    </xf>
    <xf numFmtId="0" fontId="51" fillId="0" borderId="177" xfId="0" applyFont="1" applyBorder="1" applyAlignment="1">
      <alignment horizontal="center" vertical="center"/>
    </xf>
    <xf numFmtId="2" fontId="51" fillId="0" borderId="171" xfId="0" applyNumberFormat="1" applyFont="1" applyBorder="1" applyAlignment="1">
      <alignment horizontal="center" vertical="center"/>
    </xf>
    <xf numFmtId="2" fontId="51" fillId="0" borderId="178" xfId="0" applyNumberFormat="1" applyFont="1" applyBorder="1" applyAlignment="1">
      <alignment horizontal="center" vertical="center"/>
    </xf>
    <xf numFmtId="0" fontId="51" fillId="0" borderId="179" xfId="0" applyFont="1" applyBorder="1" applyAlignment="1">
      <alignment horizontal="center" vertical="center"/>
    </xf>
    <xf numFmtId="0" fontId="51" fillId="0" borderId="180" xfId="0" applyFont="1" applyBorder="1" applyAlignment="1">
      <alignment horizontal="center" vertical="center"/>
    </xf>
    <xf numFmtId="1" fontId="51" fillId="0" borderId="181" xfId="0" applyNumberFormat="1" applyFont="1" applyBorder="1" applyAlignment="1">
      <alignment horizontal="center" vertical="center"/>
    </xf>
    <xf numFmtId="1" fontId="51" fillId="0" borderId="182" xfId="0" applyNumberFormat="1" applyFont="1" applyBorder="1" applyAlignment="1">
      <alignment horizontal="center" vertical="center"/>
    </xf>
    <xf numFmtId="0" fontId="51" fillId="0" borderId="183" xfId="0" applyFont="1" applyBorder="1" applyAlignment="1">
      <alignment horizontal="center" vertical="center"/>
    </xf>
    <xf numFmtId="1" fontId="51" fillId="0" borderId="6" xfId="0" applyNumberFormat="1" applyFont="1" applyBorder="1" applyAlignment="1">
      <alignment horizontal="center" vertical="center"/>
    </xf>
    <xf numFmtId="1" fontId="51" fillId="0" borderId="184" xfId="0" applyNumberFormat="1" applyFont="1" applyBorder="1" applyAlignment="1">
      <alignment horizontal="center" vertical="center"/>
    </xf>
    <xf numFmtId="0" fontId="51" fillId="0" borderId="186" xfId="0" applyFont="1" applyBorder="1" applyAlignment="1">
      <alignment horizontal="center" vertical="center"/>
    </xf>
    <xf numFmtId="0" fontId="51" fillId="0" borderId="189" xfId="0" applyFont="1" applyBorder="1" applyAlignment="1">
      <alignment horizontal="center" vertical="center"/>
    </xf>
    <xf numFmtId="1" fontId="51" fillId="0" borderId="100" xfId="0" applyNumberFormat="1" applyFont="1" applyBorder="1" applyAlignment="1">
      <alignment horizontal="center" vertical="center"/>
    </xf>
    <xf numFmtId="1" fontId="51" fillId="0" borderId="169" xfId="0" applyNumberFormat="1" applyFont="1" applyBorder="1" applyAlignment="1">
      <alignment horizontal="center" vertical="center"/>
    </xf>
    <xf numFmtId="0" fontId="51" fillId="0" borderId="191" xfId="0" applyFont="1" applyBorder="1" applyAlignment="1">
      <alignment horizontal="center" vertical="center"/>
    </xf>
    <xf numFmtId="1" fontId="51" fillId="0" borderId="30" xfId="0" applyNumberFormat="1" applyFont="1" applyBorder="1" applyAlignment="1">
      <alignment horizontal="center" vertical="center"/>
    </xf>
    <xf numFmtId="1" fontId="51" fillId="0" borderId="170" xfId="0" applyNumberFormat="1" applyFont="1" applyBorder="1" applyAlignment="1">
      <alignment horizontal="center" vertical="center"/>
    </xf>
    <xf numFmtId="0" fontId="51" fillId="0" borderId="192" xfId="0" applyFont="1" applyBorder="1" applyAlignment="1">
      <alignment horizontal="center" vertical="center"/>
    </xf>
    <xf numFmtId="1" fontId="51" fillId="0" borderId="107" xfId="0" applyNumberFormat="1" applyFont="1" applyBorder="1" applyAlignment="1">
      <alignment horizontal="center" vertical="center"/>
    </xf>
    <xf numFmtId="1" fontId="51" fillId="0" borderId="174" xfId="0" applyNumberFormat="1" applyFont="1" applyBorder="1" applyAlignment="1">
      <alignment horizontal="center" vertical="center"/>
    </xf>
    <xf numFmtId="0" fontId="22" fillId="0" borderId="143" xfId="0" applyFont="1" applyBorder="1" applyAlignment="1">
      <alignment horizontal="center" vertical="center"/>
    </xf>
    <xf numFmtId="2" fontId="51" fillId="0" borderId="25" xfId="0" applyNumberFormat="1" applyFont="1" applyBorder="1" applyAlignment="1">
      <alignment horizontal="center" vertical="center"/>
    </xf>
    <xf numFmtId="2" fontId="51" fillId="0" borderId="24" xfId="0" applyNumberFormat="1" applyFont="1" applyBorder="1" applyAlignment="1">
      <alignment horizontal="center" vertical="center"/>
    </xf>
    <xf numFmtId="2" fontId="51" fillId="0" borderId="57" xfId="0" applyNumberFormat="1" applyFont="1" applyBorder="1" applyAlignment="1">
      <alignment horizontal="center" vertical="center"/>
    </xf>
    <xf numFmtId="2" fontId="51" fillId="0" borderId="49" xfId="0" applyNumberFormat="1" applyFont="1" applyBorder="1" applyAlignment="1">
      <alignment horizontal="center" vertical="center"/>
    </xf>
    <xf numFmtId="2" fontId="51" fillId="0" borderId="50" xfId="0" applyNumberFormat="1" applyFont="1" applyBorder="1" applyAlignment="1">
      <alignment horizontal="center" vertical="center"/>
    </xf>
    <xf numFmtId="2" fontId="51" fillId="0" borderId="52" xfId="0" applyNumberFormat="1" applyFont="1" applyBorder="1" applyAlignment="1">
      <alignment horizontal="center" vertical="center"/>
    </xf>
    <xf numFmtId="2" fontId="51" fillId="0" borderId="63" xfId="0" applyNumberFormat="1" applyFont="1" applyBorder="1" applyAlignment="1">
      <alignment horizontal="center" vertical="center"/>
    </xf>
    <xf numFmtId="2" fontId="51" fillId="0" borderId="64" xfId="0" applyNumberFormat="1" applyFont="1" applyBorder="1" applyAlignment="1">
      <alignment horizontal="center" vertical="center"/>
    </xf>
    <xf numFmtId="0" fontId="51" fillId="0" borderId="44" xfId="0" applyFont="1" applyBorder="1" applyAlignment="1">
      <alignment horizontal="center" vertical="center"/>
    </xf>
    <xf numFmtId="0" fontId="51" fillId="0" borderId="198" xfId="0" applyFont="1" applyBorder="1" applyAlignment="1">
      <alignment horizontal="center" vertical="center"/>
    </xf>
    <xf numFmtId="2" fontId="51" fillId="0" borderId="199" xfId="0" applyNumberFormat="1" applyFont="1" applyBorder="1" applyAlignment="1">
      <alignment horizontal="center" vertical="center"/>
    </xf>
    <xf numFmtId="2" fontId="51" fillId="0" borderId="200" xfId="0" applyNumberFormat="1" applyFont="1" applyBorder="1" applyAlignment="1">
      <alignment horizontal="center" vertical="center"/>
    </xf>
    <xf numFmtId="2" fontId="51" fillId="0" borderId="201" xfId="0" applyNumberFormat="1" applyFont="1" applyBorder="1" applyAlignment="1">
      <alignment horizontal="center" vertical="center"/>
    </xf>
    <xf numFmtId="0" fontId="51" fillId="0" borderId="126" xfId="0" applyFont="1" applyBorder="1" applyAlignment="1">
      <alignment horizontal="center" vertical="center"/>
    </xf>
    <xf numFmtId="2" fontId="51" fillId="0" borderId="114" xfId="0" applyNumberFormat="1" applyFont="1" applyBorder="1" applyAlignment="1">
      <alignment horizontal="center" vertical="center"/>
    </xf>
    <xf numFmtId="2" fontId="51" fillId="0" borderId="202" xfId="0" applyNumberFormat="1" applyFont="1" applyBorder="1" applyAlignment="1">
      <alignment horizontal="center" vertical="center"/>
    </xf>
    <xf numFmtId="1" fontId="22" fillId="0" borderId="161" xfId="0" applyNumberFormat="1" applyFont="1" applyBorder="1" applyAlignment="1">
      <alignment horizontal="center" vertical="center"/>
    </xf>
    <xf numFmtId="0" fontId="6" fillId="52" borderId="15" xfId="0" applyFont="1" applyFill="1" applyBorder="1" applyAlignment="1">
      <alignment horizontal="center" vertical="center"/>
    </xf>
    <xf numFmtId="0" fontId="1" fillId="52" borderId="15" xfId="0" applyFont="1" applyFill="1" applyBorder="1" applyAlignment="1">
      <alignment horizontal="center" vertical="center"/>
    </xf>
    <xf numFmtId="166" fontId="1" fillId="52" borderId="15" xfId="0" applyNumberFormat="1" applyFont="1" applyFill="1" applyBorder="1" applyAlignment="1">
      <alignment horizontal="center" vertical="center"/>
    </xf>
    <xf numFmtId="166" fontId="6" fillId="53" borderId="15" xfId="0" applyNumberFormat="1" applyFont="1" applyFill="1" applyBorder="1" applyAlignment="1">
      <alignment horizontal="center" vertical="center"/>
    </xf>
    <xf numFmtId="0" fontId="6" fillId="53" borderId="15" xfId="0" applyFont="1" applyFill="1" applyBorder="1" applyAlignment="1">
      <alignment horizontal="center" vertical="center"/>
    </xf>
    <xf numFmtId="0" fontId="6" fillId="53" borderId="18" xfId="0" applyFont="1" applyFill="1" applyBorder="1" applyAlignment="1">
      <alignment horizontal="center" vertical="center" wrapText="1"/>
    </xf>
    <xf numFmtId="0" fontId="6" fillId="6" borderId="18" xfId="0" applyFont="1" applyFill="1" applyBorder="1" applyAlignment="1">
      <alignment horizontal="center" vertical="center"/>
    </xf>
    <xf numFmtId="0" fontId="64" fillId="6" borderId="15" xfId="0" applyFont="1" applyFill="1" applyBorder="1" applyAlignment="1">
      <alignment horizontal="center" vertical="center"/>
    </xf>
    <xf numFmtId="0" fontId="6" fillId="8" borderId="15" xfId="0" applyFont="1" applyFill="1" applyBorder="1" applyAlignment="1">
      <alignment horizontal="center" vertical="center"/>
    </xf>
    <xf numFmtId="0" fontId="6" fillId="8" borderId="15" xfId="0" applyFont="1" applyFill="1" applyBorder="1" applyAlignment="1">
      <alignment horizontal="center" vertical="center" wrapText="1"/>
    </xf>
    <xf numFmtId="0" fontId="7" fillId="11" borderId="40" xfId="0" applyFont="1" applyFill="1" applyBorder="1" applyAlignment="1">
      <alignment horizontal="center" vertical="center" wrapText="1"/>
    </xf>
    <xf numFmtId="0" fontId="6" fillId="0" borderId="6" xfId="0" applyFont="1" applyBorder="1" applyAlignment="1">
      <alignment horizontal="center" vertical="center"/>
    </xf>
    <xf numFmtId="0" fontId="6" fillId="5" borderId="157" xfId="0" applyFont="1" applyFill="1" applyBorder="1"/>
    <xf numFmtId="0" fontId="16" fillId="0" borderId="22" xfId="5" applyFont="1" applyBorder="1" applyAlignment="1">
      <alignment horizontal="center" vertical="center" wrapText="1"/>
    </xf>
    <xf numFmtId="0" fontId="58" fillId="0" borderId="0" xfId="5"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horizontal="left"/>
    </xf>
    <xf numFmtId="0" fontId="21" fillId="0" borderId="0" xfId="0" applyFont="1"/>
    <xf numFmtId="0" fontId="21" fillId="0" borderId="0" xfId="0" applyFont="1" applyAlignment="1">
      <alignment horizontal="left" vertical="center"/>
    </xf>
    <xf numFmtId="0" fontId="21" fillId="0" borderId="1" xfId="0" applyFont="1" applyBorder="1" applyAlignment="1">
      <alignment vertical="center"/>
    </xf>
    <xf numFmtId="0" fontId="21" fillId="0" borderId="1" xfId="0" applyFont="1" applyBorder="1" applyAlignment="1">
      <alignment vertical="center" wrapText="1"/>
    </xf>
    <xf numFmtId="0" fontId="21" fillId="0" borderId="1" xfId="1" applyFont="1" applyBorder="1" applyAlignment="1">
      <alignment vertical="center"/>
    </xf>
    <xf numFmtId="10" fontId="21" fillId="0" borderId="1" xfId="0" applyNumberFormat="1" applyFont="1" applyBorder="1" applyAlignment="1">
      <alignment horizontal="center" vertical="center" wrapText="1"/>
    </xf>
    <xf numFmtId="0" fontId="21" fillId="0" borderId="22" xfId="1" applyFont="1" applyBorder="1" applyAlignment="1">
      <alignment vertical="center" wrapText="1"/>
    </xf>
    <xf numFmtId="10" fontId="21" fillId="0" borderId="22" xfId="0" applyNumberFormat="1" applyFont="1" applyBorder="1" applyAlignment="1">
      <alignment horizontal="center" vertical="center" wrapText="1"/>
    </xf>
    <xf numFmtId="0" fontId="21" fillId="0" borderId="22" xfId="0" applyFont="1" applyBorder="1" applyAlignment="1">
      <alignment vertical="center" wrapText="1"/>
    </xf>
    <xf numFmtId="0" fontId="21" fillId="0" borderId="1" xfId="3" applyFont="1" applyBorder="1" applyAlignment="1">
      <alignment horizontal="center" vertical="center" wrapText="1"/>
    </xf>
    <xf numFmtId="164" fontId="21" fillId="0" borderId="28" xfId="2" applyNumberFormat="1" applyFont="1" applyBorder="1" applyAlignment="1">
      <alignment horizontal="center" vertical="center"/>
    </xf>
    <xf numFmtId="3" fontId="21" fillId="0" borderId="28" xfId="7" applyNumberFormat="1" applyFont="1" applyBorder="1" applyAlignment="1">
      <alignment horizontal="center" vertical="center"/>
    </xf>
    <xf numFmtId="3" fontId="21" fillId="0" borderId="1" xfId="7" applyNumberFormat="1" applyFont="1" applyBorder="1" applyAlignment="1">
      <alignment horizontal="center" vertical="center"/>
    </xf>
    <xf numFmtId="164" fontId="21" fillId="0" borderId="113" xfId="2" applyNumberFormat="1" applyFont="1" applyBorder="1" applyAlignment="1">
      <alignment horizontal="center" vertical="center"/>
    </xf>
    <xf numFmtId="0" fontId="21" fillId="0" borderId="1" xfId="3" applyFont="1" applyFill="1" applyBorder="1" applyAlignment="1">
      <alignment horizontal="center" vertical="center" wrapText="1"/>
    </xf>
    <xf numFmtId="3" fontId="21" fillId="0" borderId="2" xfId="7" applyNumberFormat="1" applyFont="1" applyBorder="1" applyAlignment="1">
      <alignment horizontal="center" vertical="center"/>
    </xf>
    <xf numFmtId="1" fontId="21" fillId="0" borderId="1" xfId="7" applyNumberFormat="1" applyFont="1" applyBorder="1" applyAlignment="1">
      <alignment horizontal="center" vertical="center"/>
    </xf>
    <xf numFmtId="1" fontId="21" fillId="0" borderId="0" xfId="7" applyNumberFormat="1" applyFont="1" applyAlignment="1">
      <alignment horizontal="center" vertical="center"/>
    </xf>
    <xf numFmtId="164" fontId="21" fillId="0" borderId="22" xfId="2" applyNumberFormat="1" applyFont="1" applyBorder="1" applyAlignment="1">
      <alignment horizontal="center" vertical="center"/>
    </xf>
    <xf numFmtId="3" fontId="21" fillId="0" borderId="1" xfId="3" applyNumberFormat="1" applyFont="1" applyFill="1" applyBorder="1" applyAlignment="1">
      <alignment horizontal="center" vertical="center" wrapText="1"/>
    </xf>
    <xf numFmtId="9" fontId="21" fillId="0" borderId="11" xfId="2" applyFont="1" applyBorder="1" applyAlignment="1">
      <alignment horizontal="center" vertical="center" wrapText="1"/>
    </xf>
    <xf numFmtId="3" fontId="21" fillId="0" borderId="1" xfId="3" applyNumberFormat="1" applyFont="1" applyBorder="1" applyAlignment="1">
      <alignment horizontal="center" vertical="center" wrapText="1"/>
    </xf>
    <xf numFmtId="3" fontId="21" fillId="0" borderId="0" xfId="7" applyNumberFormat="1" applyFont="1" applyAlignment="1">
      <alignment horizontal="center" vertical="center"/>
    </xf>
    <xf numFmtId="10" fontId="21" fillId="0" borderId="1" xfId="0" applyNumberFormat="1" applyFont="1" applyBorder="1" applyAlignment="1">
      <alignment horizontal="center" vertical="center"/>
    </xf>
    <xf numFmtId="4" fontId="21" fillId="0" borderId="0" xfId="7" applyNumberFormat="1" applyFont="1" applyAlignment="1">
      <alignment horizontal="center" vertical="center"/>
    </xf>
    <xf numFmtId="10" fontId="23" fillId="0" borderId="1" xfId="0" applyNumberFormat="1" applyFont="1" applyBorder="1" applyAlignment="1">
      <alignment horizontal="center" vertical="center"/>
    </xf>
    <xf numFmtId="2" fontId="21" fillId="0" borderId="15" xfId="0" applyNumberFormat="1" applyFont="1" applyBorder="1" applyAlignment="1">
      <alignment horizontal="center" vertical="center"/>
    </xf>
    <xf numFmtId="2" fontId="21" fillId="8" borderId="17" xfId="0" applyNumberFormat="1" applyFont="1" applyFill="1" applyBorder="1" applyAlignment="1">
      <alignment horizontal="center" vertical="center"/>
    </xf>
    <xf numFmtId="2" fontId="21" fillId="8" borderId="15" xfId="0" applyNumberFormat="1" applyFont="1" applyFill="1" applyBorder="1" applyAlignment="1">
      <alignment horizontal="center" vertical="center"/>
    </xf>
    <xf numFmtId="0" fontId="21" fillId="0" borderId="0" xfId="0" applyFont="1" applyAlignment="1">
      <alignment horizontal="center" vertical="center" wrapText="1"/>
    </xf>
    <xf numFmtId="0" fontId="23" fillId="7" borderId="15" xfId="0" applyFont="1" applyFill="1" applyBorder="1" applyAlignment="1">
      <alignment horizontal="center" vertical="center" wrapText="1"/>
    </xf>
    <xf numFmtId="3" fontId="21" fillId="0" borderId="0" xfId="0" applyNumberFormat="1" applyFont="1" applyAlignment="1">
      <alignment horizontal="left" vertical="center"/>
    </xf>
    <xf numFmtId="0" fontId="21" fillId="0" borderId="1" xfId="0" applyFont="1" applyBorder="1" applyAlignment="1">
      <alignment horizontal="center" vertical="center" wrapText="1"/>
    </xf>
    <xf numFmtId="0" fontId="55" fillId="7" borderId="127" xfId="0" applyFont="1" applyFill="1" applyBorder="1" applyAlignment="1">
      <alignment horizontal="center" vertical="center" wrapText="1"/>
    </xf>
    <xf numFmtId="0" fontId="55" fillId="7" borderId="128" xfId="0" applyFont="1" applyFill="1" applyBorder="1" applyAlignment="1">
      <alignment horizontal="center" vertical="center" wrapText="1"/>
    </xf>
    <xf numFmtId="0" fontId="55" fillId="7" borderId="129" xfId="0" applyFont="1" applyFill="1" applyBorder="1" applyAlignment="1">
      <alignment horizontal="center" vertical="center" wrapText="1"/>
    </xf>
    <xf numFmtId="0" fontId="55" fillId="7" borderId="117" xfId="0" applyFont="1" applyFill="1" applyBorder="1" applyAlignment="1">
      <alignment horizontal="center" vertical="center" wrapText="1"/>
    </xf>
    <xf numFmtId="0" fontId="55" fillId="7" borderId="125" xfId="0" applyFont="1" applyFill="1" applyBorder="1" applyAlignment="1">
      <alignment horizontal="center" vertical="center" wrapText="1"/>
    </xf>
    <xf numFmtId="0" fontId="55" fillId="7" borderId="126" xfId="0" applyFont="1" applyFill="1" applyBorder="1" applyAlignment="1">
      <alignment horizontal="center" vertical="center" wrapText="1"/>
    </xf>
    <xf numFmtId="0" fontId="55" fillId="0" borderId="130" xfId="0" applyFont="1" applyBorder="1" applyAlignment="1">
      <alignment horizontal="center" vertical="center" wrapText="1"/>
    </xf>
    <xf numFmtId="1" fontId="55" fillId="0" borderId="131" xfId="0" quotePrefix="1" applyNumberFormat="1" applyFont="1" applyBorder="1" applyAlignment="1">
      <alignment horizontal="center" vertical="center" wrapText="1"/>
    </xf>
    <xf numFmtId="0" fontId="55" fillId="0" borderId="131" xfId="0" applyFont="1" applyBorder="1" applyAlignment="1">
      <alignment horizontal="center" vertical="center" wrapText="1"/>
    </xf>
    <xf numFmtId="0" fontId="55" fillId="0" borderId="132" xfId="0" applyFont="1" applyBorder="1" applyAlignment="1">
      <alignment horizontal="center" vertical="center" wrapText="1"/>
    </xf>
    <xf numFmtId="0" fontId="55" fillId="0" borderId="142" xfId="0" applyFont="1" applyBorder="1" applyAlignment="1">
      <alignment horizontal="center" vertical="center" wrapText="1"/>
    </xf>
    <xf numFmtId="1" fontId="55" fillId="0" borderId="140" xfId="0" quotePrefix="1" applyNumberFormat="1" applyFont="1" applyBorder="1" applyAlignment="1">
      <alignment horizontal="center" vertical="center" wrapText="1"/>
    </xf>
    <xf numFmtId="0" fontId="55" fillId="0" borderId="140" xfId="0" applyFont="1" applyBorder="1" applyAlignment="1">
      <alignment horizontal="center" vertical="center" wrapText="1"/>
    </xf>
    <xf numFmtId="0" fontId="55" fillId="0" borderId="120" xfId="0" applyFont="1" applyBorder="1" applyAlignment="1">
      <alignment horizontal="center" vertical="center" wrapText="1"/>
    </xf>
    <xf numFmtId="0" fontId="14" fillId="0" borderId="112" xfId="0" applyFont="1" applyBorder="1" applyAlignment="1">
      <alignment horizontal="center" vertical="center" wrapText="1"/>
    </xf>
    <xf numFmtId="1" fontId="14" fillId="0" borderId="0" xfId="0" quotePrefix="1" applyNumberFormat="1" applyFont="1" applyAlignment="1">
      <alignment horizontal="center" vertical="center" wrapText="1"/>
    </xf>
    <xf numFmtId="0" fontId="14" fillId="0" borderId="0" xfId="0" applyFont="1" applyAlignment="1">
      <alignment horizontal="center" vertical="center" wrapText="1"/>
    </xf>
    <xf numFmtId="0" fontId="14" fillId="0" borderId="98" xfId="0" applyFont="1" applyBorder="1" applyAlignment="1">
      <alignment horizontal="center" vertical="center" wrapText="1"/>
    </xf>
    <xf numFmtId="0" fontId="14" fillId="0" borderId="115" xfId="0" applyFont="1" applyBorder="1" applyAlignment="1">
      <alignment horizontal="center" vertical="center" wrapText="1"/>
    </xf>
    <xf numFmtId="3" fontId="14" fillId="0" borderId="29" xfId="0" applyNumberFormat="1" applyFont="1" applyBorder="1" applyAlignment="1">
      <alignment horizontal="center" vertical="center" wrapText="1"/>
    </xf>
    <xf numFmtId="0" fontId="14" fillId="0" borderId="29" xfId="0" applyFont="1" applyBorder="1" applyAlignment="1">
      <alignment horizontal="center" vertical="center" wrapText="1"/>
    </xf>
    <xf numFmtId="0" fontId="14" fillId="0" borderId="43" xfId="0" applyFont="1" applyBorder="1" applyAlignment="1">
      <alignment horizontal="center" vertical="center" wrapText="1"/>
    </xf>
    <xf numFmtId="0" fontId="14" fillId="0" borderId="29" xfId="0" quotePrefix="1" applyFont="1" applyBorder="1" applyAlignment="1">
      <alignment horizontal="center" vertical="center" wrapText="1"/>
    </xf>
    <xf numFmtId="0" fontId="55" fillId="7" borderId="135" xfId="0" applyFont="1" applyFill="1" applyBorder="1" applyAlignment="1">
      <alignment horizontal="center" vertical="center"/>
    </xf>
    <xf numFmtId="0" fontId="55" fillId="7" borderId="131" xfId="0" applyFont="1" applyFill="1" applyBorder="1" applyAlignment="1">
      <alignment horizontal="center" vertical="center"/>
    </xf>
    <xf numFmtId="0" fontId="55" fillId="7" borderId="136" xfId="0" applyFont="1" applyFill="1" applyBorder="1" applyAlignment="1">
      <alignment horizontal="center" vertical="center" wrapText="1"/>
    </xf>
    <xf numFmtId="0" fontId="14" fillId="0" borderId="137" xfId="0" applyFont="1" applyBorder="1" applyAlignment="1">
      <alignment horizontal="center" vertical="center"/>
    </xf>
    <xf numFmtId="0" fontId="14" fillId="0" borderId="0" xfId="0" applyFont="1" applyAlignment="1">
      <alignment horizontal="center" vertical="center"/>
    </xf>
    <xf numFmtId="0" fontId="14" fillId="0" borderId="139" xfId="0" applyFont="1" applyBorder="1" applyAlignment="1">
      <alignment horizontal="center" vertical="center"/>
    </xf>
    <xf numFmtId="0" fontId="14" fillId="0" borderId="140" xfId="0" applyFont="1" applyBorder="1" applyAlignment="1">
      <alignment horizontal="center" vertical="center"/>
    </xf>
    <xf numFmtId="0" fontId="23" fillId="7" borderId="1" xfId="0" applyFont="1" applyFill="1" applyBorder="1" applyAlignment="1">
      <alignment horizontal="center" vertical="center" wrapText="1"/>
    </xf>
    <xf numFmtId="0" fontId="21" fillId="0" borderId="1" xfId="0" applyFont="1" applyBorder="1" applyAlignment="1">
      <alignment horizontal="left" vertical="center" wrapText="1"/>
    </xf>
    <xf numFmtId="0" fontId="21" fillId="5" borderId="0" xfId="0" applyFont="1" applyFill="1" applyAlignment="1">
      <alignment horizontal="center" vertical="center" wrapText="1"/>
    </xf>
    <xf numFmtId="0" fontId="21" fillId="5" borderId="22" xfId="0" applyFont="1" applyFill="1" applyBorder="1" applyAlignment="1">
      <alignment horizontal="center" vertical="center" wrapText="1"/>
    </xf>
    <xf numFmtId="2" fontId="21" fillId="5" borderId="22" xfId="0" applyNumberFormat="1" applyFont="1" applyFill="1" applyBorder="1" applyAlignment="1">
      <alignment horizontal="center" vertical="center" wrapText="1"/>
    </xf>
    <xf numFmtId="0" fontId="21" fillId="0" borderId="22" xfId="0" quotePrefix="1" applyFont="1" applyBorder="1" applyAlignment="1">
      <alignment horizontal="center" vertical="center" wrapText="1"/>
    </xf>
    <xf numFmtId="2" fontId="21" fillId="0" borderId="203" xfId="0" applyNumberFormat="1" applyFont="1" applyBorder="1" applyAlignment="1">
      <alignment horizontal="center" vertical="center" wrapText="1"/>
    </xf>
    <xf numFmtId="0" fontId="21" fillId="0" borderId="203" xfId="0" quotePrefix="1" applyFont="1" applyBorder="1" applyAlignment="1">
      <alignment horizontal="center" vertical="center" wrapText="1"/>
    </xf>
    <xf numFmtId="2" fontId="21" fillId="0" borderId="0" xfId="0" applyNumberFormat="1" applyFont="1" applyAlignment="1">
      <alignment horizontal="center" vertical="center" wrapText="1"/>
    </xf>
    <xf numFmtId="0" fontId="21" fillId="0" borderId="0" xfId="0" quotePrefix="1" applyFont="1" applyAlignment="1">
      <alignment horizontal="center" vertical="center" wrapText="1"/>
    </xf>
    <xf numFmtId="0" fontId="21" fillId="0" borderId="0" xfId="0" applyFont="1" applyAlignment="1">
      <alignment wrapText="1"/>
    </xf>
    <xf numFmtId="0" fontId="21" fillId="0" borderId="2" xfId="3" applyFont="1" applyBorder="1" applyAlignment="1">
      <alignment horizontal="center" vertical="center" wrapText="1"/>
    </xf>
    <xf numFmtId="3" fontId="21" fillId="0" borderId="1" xfId="0" applyNumberFormat="1" applyFont="1" applyBorder="1" applyAlignment="1">
      <alignment horizontal="center" vertical="center"/>
    </xf>
    <xf numFmtId="0" fontId="21" fillId="0" borderId="5" xfId="0" applyFont="1" applyBorder="1" applyAlignment="1">
      <alignment horizontal="center" vertical="center"/>
    </xf>
    <xf numFmtId="0" fontId="21" fillId="0" borderId="22" xfId="0" applyFont="1" applyBorder="1" applyAlignment="1">
      <alignment horizontal="center" vertical="center"/>
    </xf>
    <xf numFmtId="0" fontId="21" fillId="0" borderId="97" xfId="0" applyFont="1" applyBorder="1" applyAlignment="1">
      <alignment horizontal="center" vertical="center"/>
    </xf>
    <xf numFmtId="1" fontId="21" fillId="0" borderId="22" xfId="0" applyNumberFormat="1" applyFont="1" applyBorder="1" applyAlignment="1">
      <alignment horizontal="center" vertical="center"/>
    </xf>
    <xf numFmtId="0" fontId="21" fillId="0" borderId="8" xfId="0" applyFont="1" applyBorder="1" applyAlignment="1">
      <alignment horizontal="center" vertical="center"/>
    </xf>
    <xf numFmtId="1" fontId="21" fillId="0" borderId="5" xfId="0" applyNumberFormat="1" applyFont="1" applyBorder="1" applyAlignment="1">
      <alignment horizontal="center" vertical="center"/>
    </xf>
    <xf numFmtId="0" fontId="21" fillId="0" borderId="22" xfId="0" applyFont="1" applyBorder="1" applyAlignment="1">
      <alignment horizontal="center"/>
    </xf>
    <xf numFmtId="0" fontId="21" fillId="0" borderId="6" xfId="3" applyFont="1" applyBorder="1" applyAlignment="1">
      <alignment horizontal="center" vertical="center" wrapText="1"/>
    </xf>
    <xf numFmtId="0" fontId="21" fillId="0" borderId="97" xfId="3" applyFont="1" applyBorder="1" applyAlignment="1">
      <alignment horizontal="center" vertical="center" wrapText="1"/>
    </xf>
    <xf numFmtId="3" fontId="21" fillId="0" borderId="2" xfId="0" applyNumberFormat="1" applyFont="1" applyBorder="1" applyAlignment="1">
      <alignment horizontal="center" vertical="center"/>
    </xf>
    <xf numFmtId="1" fontId="21" fillId="0" borderId="97" xfId="0" applyNumberFormat="1" applyFont="1" applyBorder="1" applyAlignment="1">
      <alignment horizontal="center" vertical="center"/>
    </xf>
    <xf numFmtId="1" fontId="21" fillId="0" borderId="44" xfId="0" applyNumberFormat="1" applyFont="1" applyBorder="1" applyAlignment="1">
      <alignment horizontal="center" vertical="center"/>
    </xf>
    <xf numFmtId="1" fontId="21" fillId="0" borderId="1" xfId="0" applyNumberFormat="1" applyFont="1" applyBorder="1" applyAlignment="1">
      <alignment horizontal="center" vertical="center" wrapText="1"/>
    </xf>
    <xf numFmtId="3" fontId="21" fillId="0" borderId="1" xfId="0" applyNumberFormat="1" applyFont="1" applyBorder="1" applyAlignment="1">
      <alignment horizontal="center" vertical="center" wrapText="1"/>
    </xf>
    <xf numFmtId="167" fontId="21" fillId="0" borderId="1" xfId="0" applyNumberFormat="1" applyFont="1" applyBorder="1" applyAlignment="1">
      <alignment horizontal="center" vertical="center" wrapText="1"/>
    </xf>
    <xf numFmtId="0" fontId="21" fillId="0" borderId="2" xfId="0" applyFont="1" applyBorder="1" applyAlignment="1">
      <alignment horizontal="center" vertical="center" wrapText="1"/>
    </xf>
    <xf numFmtId="2" fontId="21" fillId="0" borderId="1" xfId="0" applyNumberFormat="1" applyFont="1" applyBorder="1" applyAlignment="1">
      <alignment horizontal="center" vertical="center"/>
    </xf>
    <xf numFmtId="1" fontId="21" fillId="0" borderId="1" xfId="3" applyNumberFormat="1" applyFont="1" applyBorder="1" applyAlignment="1">
      <alignment horizontal="center" vertical="center" wrapText="1"/>
    </xf>
    <xf numFmtId="1" fontId="21" fillId="0" borderId="1" xfId="0" applyNumberFormat="1" applyFont="1" applyBorder="1" applyAlignment="1">
      <alignment horizontal="center" vertical="center"/>
    </xf>
    <xf numFmtId="43" fontId="21" fillId="0" borderId="2" xfId="6" applyFont="1" applyBorder="1" applyAlignment="1">
      <alignment horizontal="center" vertical="center"/>
    </xf>
    <xf numFmtId="169" fontId="21" fillId="0" borderId="97" xfId="0" applyNumberFormat="1" applyFont="1" applyBorder="1" applyAlignment="1">
      <alignment horizontal="center" vertical="center"/>
    </xf>
    <xf numFmtId="1" fontId="21" fillId="0" borderId="5" xfId="3" applyNumberFormat="1" applyFont="1" applyBorder="1" applyAlignment="1">
      <alignment horizontal="center" vertical="center" wrapText="1"/>
    </xf>
    <xf numFmtId="2" fontId="21" fillId="0" borderId="5" xfId="0" applyNumberFormat="1" applyFont="1" applyBorder="1" applyAlignment="1">
      <alignment horizontal="center" vertical="center"/>
    </xf>
    <xf numFmtId="1" fontId="21" fillId="0" borderId="22" xfId="3" applyNumberFormat="1" applyFont="1" applyBorder="1" applyAlignment="1">
      <alignment horizontal="center" vertical="center" wrapText="1"/>
    </xf>
    <xf numFmtId="2" fontId="21" fillId="0" borderId="22" xfId="0" applyNumberFormat="1" applyFont="1" applyBorder="1" applyAlignment="1">
      <alignment horizontal="center" vertical="center"/>
    </xf>
    <xf numFmtId="1" fontId="21" fillId="0" borderId="110" xfId="3" applyNumberFormat="1" applyFont="1" applyBorder="1" applyAlignment="1">
      <alignment horizontal="center" vertical="center" wrapText="1"/>
    </xf>
    <xf numFmtId="0" fontId="21" fillId="0" borderId="110" xfId="0" applyFont="1" applyBorder="1" applyAlignment="1">
      <alignment horizontal="center" vertical="center"/>
    </xf>
    <xf numFmtId="1" fontId="21" fillId="0" borderId="114" xfId="0" applyNumberFormat="1" applyFont="1" applyBorder="1" applyAlignment="1">
      <alignment horizontal="center" vertical="center"/>
    </xf>
    <xf numFmtId="3" fontId="21" fillId="0" borderId="114" xfId="0" applyNumberFormat="1" applyFont="1" applyBorder="1" applyAlignment="1">
      <alignment horizontal="center" vertical="center"/>
    </xf>
    <xf numFmtId="2" fontId="21" fillId="0" borderId="110" xfId="0" applyNumberFormat="1" applyFont="1" applyBorder="1" applyAlignment="1">
      <alignment horizontal="center" vertical="center"/>
    </xf>
    <xf numFmtId="43" fontId="21" fillId="0" borderId="116" xfId="6" applyFont="1" applyBorder="1" applyAlignment="1">
      <alignment horizontal="center" vertical="center"/>
    </xf>
    <xf numFmtId="169" fontId="21" fillId="0" borderId="117" xfId="0" applyNumberFormat="1" applyFont="1" applyBorder="1" applyAlignment="1">
      <alignment horizontal="center" vertical="center"/>
    </xf>
    <xf numFmtId="43" fontId="23" fillId="0" borderId="1" xfId="6" applyFont="1" applyBorder="1" applyAlignment="1">
      <alignment horizontal="center" vertical="center"/>
    </xf>
    <xf numFmtId="2" fontId="23" fillId="0" borderId="1" xfId="0" applyNumberFormat="1" applyFont="1" applyBorder="1" applyAlignment="1">
      <alignment horizontal="center" vertical="center" wrapText="1"/>
    </xf>
    <xf numFmtId="0" fontId="21" fillId="0" borderId="0" xfId="56" applyFont="1" applyAlignment="1">
      <alignment vertical="center" wrapText="1"/>
    </xf>
    <xf numFmtId="165" fontId="21" fillId="0" borderId="0" xfId="56" applyNumberFormat="1" applyFont="1" applyAlignment="1">
      <alignment horizontal="left" vertical="center" wrapText="1"/>
    </xf>
    <xf numFmtId="0" fontId="21" fillId="0" borderId="0" xfId="56" applyFont="1" applyAlignment="1">
      <alignment vertical="center"/>
    </xf>
    <xf numFmtId="166" fontId="21" fillId="0" borderId="0" xfId="56" applyNumberFormat="1" applyFont="1" applyAlignment="1">
      <alignment horizontal="left" vertical="center" wrapText="1"/>
    </xf>
    <xf numFmtId="0" fontId="21" fillId="0" borderId="0" xfId="56" applyFont="1" applyAlignment="1">
      <alignment horizontal="left" vertical="center" wrapText="1"/>
    </xf>
    <xf numFmtId="170" fontId="21" fillId="0" borderId="0" xfId="56" applyNumberFormat="1" applyFont="1" applyAlignment="1">
      <alignment horizontal="left" vertical="center" wrapText="1"/>
    </xf>
    <xf numFmtId="0" fontId="23" fillId="46" borderId="151" xfId="56" applyFont="1" applyFill="1" applyBorder="1" applyAlignment="1">
      <alignment horizontal="center" vertical="center" wrapText="1"/>
    </xf>
    <xf numFmtId="0" fontId="23" fillId="46" borderId="5" xfId="56" applyFont="1" applyFill="1" applyBorder="1" applyAlignment="1">
      <alignment vertical="center" wrapText="1"/>
    </xf>
    <xf numFmtId="0" fontId="21" fillId="0" borderId="151" xfId="56" applyFont="1" applyBorder="1" applyAlignment="1">
      <alignment horizontal="center" vertical="center" wrapText="1"/>
    </xf>
    <xf numFmtId="165" fontId="21" fillId="47" borderId="151" xfId="56" applyNumberFormat="1" applyFont="1" applyFill="1" applyBorder="1" applyAlignment="1">
      <alignment horizontal="center" vertical="center" wrapText="1"/>
    </xf>
    <xf numFmtId="3" fontId="21" fillId="0" borderId="151" xfId="56" applyNumberFormat="1" applyFont="1" applyBorder="1" applyAlignment="1">
      <alignment horizontal="center" vertical="center" wrapText="1"/>
    </xf>
    <xf numFmtId="4" fontId="21" fillId="0" borderId="151" xfId="56" applyNumberFormat="1" applyFont="1" applyBorder="1" applyAlignment="1">
      <alignment horizontal="center" vertical="center" wrapText="1"/>
    </xf>
    <xf numFmtId="2" fontId="21" fillId="48" borderId="152" xfId="56" applyNumberFormat="1" applyFont="1" applyFill="1" applyBorder="1" applyAlignment="1">
      <alignment horizontal="center" vertical="center" wrapText="1"/>
    </xf>
    <xf numFmtId="3" fontId="21" fillId="0" borderId="153" xfId="56" applyNumberFormat="1" applyFont="1" applyBorder="1" applyAlignment="1">
      <alignment horizontal="center" vertical="center" wrapText="1"/>
    </xf>
    <xf numFmtId="0" fontId="23" fillId="6" borderId="156" xfId="56" applyFont="1" applyFill="1" applyBorder="1" applyAlignment="1">
      <alignment vertical="center" wrapText="1"/>
    </xf>
    <xf numFmtId="37" fontId="21" fillId="51" borderId="6" xfId="6" applyNumberFormat="1" applyFont="1" applyFill="1" applyBorder="1" applyAlignment="1">
      <alignment horizontal="left" vertical="center"/>
    </xf>
    <xf numFmtId="0" fontId="21" fillId="50" borderId="156" xfId="56" applyFont="1" applyFill="1" applyBorder="1" applyAlignment="1">
      <alignment horizontal="left" vertical="center"/>
    </xf>
    <xf numFmtId="3" fontId="21" fillId="50" borderId="143" xfId="6" applyNumberFormat="1" applyFont="1" applyFill="1" applyBorder="1" applyAlignment="1">
      <alignment horizontal="left" vertical="center"/>
    </xf>
    <xf numFmtId="0" fontId="21" fillId="50" borderId="143" xfId="56" applyFont="1" applyFill="1" applyBorder="1" applyAlignment="1">
      <alignment horizontal="left" vertical="center"/>
    </xf>
    <xf numFmtId="0" fontId="21" fillId="50" borderId="55" xfId="56" applyFont="1" applyFill="1" applyBorder="1" applyAlignment="1">
      <alignment horizontal="left" vertical="center"/>
    </xf>
    <xf numFmtId="37" fontId="21" fillId="51" borderId="10" xfId="6" applyNumberFormat="1" applyFont="1" applyFill="1" applyBorder="1" applyAlignment="1">
      <alignment horizontal="left" vertical="center"/>
    </xf>
    <xf numFmtId="0" fontId="21" fillId="50" borderId="112" xfId="56" applyFont="1" applyFill="1" applyBorder="1" applyAlignment="1">
      <alignment horizontal="left" vertical="center"/>
    </xf>
    <xf numFmtId="3" fontId="21" fillId="50" borderId="0" xfId="6" applyNumberFormat="1" applyFont="1" applyFill="1" applyBorder="1" applyAlignment="1">
      <alignment horizontal="left" vertical="center"/>
    </xf>
    <xf numFmtId="0" fontId="21" fillId="50" borderId="0" xfId="56" applyFont="1" applyFill="1" applyAlignment="1">
      <alignment horizontal="left" vertical="center"/>
    </xf>
    <xf numFmtId="0" fontId="21" fillId="50" borderId="98" xfId="56" applyFont="1" applyFill="1" applyBorder="1" applyAlignment="1">
      <alignment horizontal="left" vertical="center"/>
    </xf>
    <xf numFmtId="0" fontId="21" fillId="8" borderId="0" xfId="56" applyFont="1" applyFill="1" applyAlignment="1">
      <alignment horizontal="left" vertical="center"/>
    </xf>
    <xf numFmtId="0" fontId="21" fillId="51" borderId="0" xfId="56" applyFont="1" applyFill="1" applyAlignment="1">
      <alignment horizontal="left" vertical="center"/>
    </xf>
    <xf numFmtId="0" fontId="21" fillId="50" borderId="115" xfId="56" applyFont="1" applyFill="1" applyBorder="1" applyAlignment="1">
      <alignment horizontal="left" vertical="center"/>
    </xf>
    <xf numFmtId="0" fontId="21" fillId="50" borderId="29" xfId="56" applyFont="1" applyFill="1" applyBorder="1" applyAlignment="1">
      <alignment horizontal="left" vertical="center"/>
    </xf>
    <xf numFmtId="0" fontId="21" fillId="50" borderId="43" xfId="56" applyFont="1" applyFill="1" applyBorder="1" applyAlignment="1">
      <alignment horizontal="left" vertical="center"/>
    </xf>
    <xf numFmtId="0" fontId="21" fillId="8" borderId="157" xfId="56" applyFont="1" applyFill="1" applyBorder="1" applyAlignment="1">
      <alignment horizontal="left" vertical="center"/>
    </xf>
    <xf numFmtId="37" fontId="21" fillId="51" borderId="12" xfId="6" applyNumberFormat="1" applyFont="1" applyFill="1" applyBorder="1" applyAlignment="1">
      <alignment horizontal="left" vertical="center"/>
    </xf>
    <xf numFmtId="0" fontId="21" fillId="8" borderId="14" xfId="56" applyFont="1" applyFill="1" applyBorder="1" applyAlignment="1">
      <alignment horizontal="left" vertical="center"/>
    </xf>
    <xf numFmtId="165" fontId="21" fillId="0" borderId="22" xfId="0" applyNumberFormat="1" applyFont="1" applyBorder="1" applyAlignment="1">
      <alignment horizontal="center" vertical="center" wrapText="1"/>
    </xf>
    <xf numFmtId="0" fontId="21" fillId="0" borderId="23" xfId="0" applyFont="1" applyBorder="1" applyAlignment="1">
      <alignment horizontal="center" vertical="center"/>
    </xf>
    <xf numFmtId="0" fontId="21" fillId="0" borderId="23" xfId="0" applyFont="1" applyBorder="1" applyAlignment="1">
      <alignment horizontal="center" vertical="center" wrapText="1"/>
    </xf>
    <xf numFmtId="0" fontId="21" fillId="5" borderId="23" xfId="0" applyFont="1" applyFill="1" applyBorder="1" applyAlignment="1">
      <alignment horizontal="center" vertical="center" wrapText="1"/>
    </xf>
    <xf numFmtId="0" fontId="21" fillId="0" borderId="95" xfId="0" applyFont="1" applyBorder="1" applyAlignment="1">
      <alignment horizontal="center" vertical="center" wrapText="1"/>
    </xf>
    <xf numFmtId="2" fontId="21" fillId="0" borderId="22" xfId="0" applyNumberFormat="1" applyFont="1" applyBorder="1" applyAlignment="1">
      <alignment horizontal="center" vertical="center" wrapText="1"/>
    </xf>
    <xf numFmtId="0" fontId="21" fillId="0" borderId="4" xfId="0" applyFont="1" applyBorder="1" applyAlignment="1">
      <alignment horizontal="right" vertical="center"/>
    </xf>
    <xf numFmtId="0" fontId="21" fillId="0" borderId="4" xfId="0" applyFont="1" applyBorder="1" applyAlignment="1">
      <alignment vertical="center" wrapText="1"/>
    </xf>
    <xf numFmtId="168" fontId="21" fillId="0" borderId="1" xfId="0" applyNumberFormat="1" applyFont="1" applyBorder="1" applyAlignment="1">
      <alignment vertical="center"/>
    </xf>
    <xf numFmtId="167" fontId="21" fillId="0" borderId="11" xfId="6" applyNumberFormat="1" applyFont="1" applyFill="1" applyBorder="1" applyAlignment="1">
      <alignment horizontal="right" vertical="center"/>
    </xf>
    <xf numFmtId="2" fontId="21" fillId="0" borderId="23" xfId="0" applyNumberFormat="1" applyFont="1" applyBorder="1" applyAlignment="1">
      <alignment horizontal="center" vertical="center"/>
    </xf>
    <xf numFmtId="0" fontId="14" fillId="0" borderId="155" xfId="0" applyFont="1" applyBorder="1" applyAlignment="1">
      <alignment horizontal="center" vertical="center" wrapText="1"/>
    </xf>
    <xf numFmtId="0" fontId="14" fillId="0" borderId="22" xfId="0" applyFont="1" applyBorder="1" applyAlignment="1">
      <alignment horizontal="center" vertical="center" wrapText="1"/>
    </xf>
    <xf numFmtId="165" fontId="21" fillId="0" borderId="1" xfId="0" applyNumberFormat="1" applyFont="1" applyBorder="1" applyAlignment="1">
      <alignment horizontal="center" vertical="center"/>
    </xf>
    <xf numFmtId="3" fontId="21" fillId="0" borderId="22" xfId="0" applyNumberFormat="1" applyFont="1" applyBorder="1" applyAlignment="1">
      <alignment horizontal="center"/>
    </xf>
    <xf numFmtId="165" fontId="21" fillId="0" borderId="22" xfId="0" applyNumberFormat="1" applyFont="1" applyBorder="1" applyAlignment="1">
      <alignment horizontal="center"/>
    </xf>
    <xf numFmtId="9" fontId="6" fillId="0" borderId="17" xfId="2" applyFont="1" applyFill="1" applyBorder="1" applyAlignment="1">
      <alignment horizontal="center" vertical="center"/>
    </xf>
    <xf numFmtId="0" fontId="6" fillId="0" borderId="0" xfId="0" applyFont="1" applyAlignment="1">
      <alignment horizontal="center" vertical="center"/>
    </xf>
    <xf numFmtId="0" fontId="23" fillId="7" borderId="1" xfId="0" applyFont="1" applyFill="1" applyBorder="1" applyAlignment="1">
      <alignment horizontal="center" vertical="center"/>
    </xf>
    <xf numFmtId="0" fontId="6" fillId="0" borderId="0" xfId="0" applyFont="1" applyAlignment="1">
      <alignment vertical="center" wrapText="1"/>
    </xf>
    <xf numFmtId="0" fontId="6" fillId="0" borderId="0" xfId="0" applyFont="1" applyAlignment="1">
      <alignment horizontal="left" vertical="top" wrapText="1"/>
    </xf>
    <xf numFmtId="0" fontId="6" fillId="0" borderId="0" xfId="0" applyFont="1" applyAlignment="1">
      <alignment horizontal="left" vertical="center"/>
    </xf>
    <xf numFmtId="0" fontId="6" fillId="0" borderId="0" xfId="0" applyFont="1" applyAlignment="1">
      <alignment horizontal="left"/>
    </xf>
    <xf numFmtId="0" fontId="6" fillId="0" borderId="0" xfId="0" applyFont="1" applyAlignment="1">
      <alignment vertical="center"/>
    </xf>
    <xf numFmtId="0" fontId="21" fillId="0" borderId="0" xfId="0" applyFont="1" applyAlignment="1">
      <alignment horizontal="left" vertical="top" wrapText="1"/>
    </xf>
    <xf numFmtId="0" fontId="21" fillId="0" borderId="1" xfId="0" applyFont="1" applyBorder="1" applyAlignment="1">
      <alignment horizontal="center" vertical="center"/>
    </xf>
    <xf numFmtId="0" fontId="23" fillId="0" borderId="1" xfId="0" applyFont="1" applyBorder="1" applyAlignment="1">
      <alignment horizontal="center" vertical="center"/>
    </xf>
    <xf numFmtId="0" fontId="6" fillId="0" borderId="0" xfId="0" applyFont="1" applyAlignment="1">
      <alignment horizontal="center"/>
    </xf>
    <xf numFmtId="0" fontId="6" fillId="0" borderId="15" xfId="0" applyFont="1" applyBorder="1" applyAlignment="1">
      <alignment horizontal="center" vertical="center"/>
    </xf>
    <xf numFmtId="0" fontId="6" fillId="0" borderId="15" xfId="0" applyFont="1" applyBorder="1" applyAlignment="1">
      <alignment horizontal="center" vertical="center" wrapText="1"/>
    </xf>
    <xf numFmtId="0" fontId="21" fillId="0" borderId="22"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2" xfId="0" applyFont="1" applyBorder="1" applyAlignment="1">
      <alignment horizontal="center" vertical="center"/>
    </xf>
    <xf numFmtId="0" fontId="21" fillId="0" borderId="203" xfId="0" applyFont="1" applyBorder="1" applyAlignment="1">
      <alignment horizontal="center" vertical="center" wrapText="1"/>
    </xf>
    <xf numFmtId="0" fontId="14" fillId="0" borderId="23" xfId="0" applyFont="1" applyBorder="1" applyAlignment="1">
      <alignment horizontal="center" vertical="center" wrapText="1"/>
    </xf>
    <xf numFmtId="0" fontId="21" fillId="0" borderId="56" xfId="0" applyFont="1" applyBorder="1" applyAlignment="1">
      <alignment horizontal="center" vertical="center" wrapText="1"/>
    </xf>
    <xf numFmtId="0" fontId="7" fillId="7" borderId="1"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1" xfId="0" applyFont="1" applyFill="1" applyBorder="1" applyAlignment="1">
      <alignment horizontal="center" vertical="center" wrapText="1"/>
    </xf>
    <xf numFmtId="0" fontId="6" fillId="0" borderId="23" xfId="0" applyFont="1" applyBorder="1" applyAlignment="1">
      <alignment horizontal="center" vertical="center" wrapText="1"/>
    </xf>
    <xf numFmtId="0" fontId="19" fillId="7" borderId="1" xfId="0" applyFont="1" applyFill="1" applyBorder="1" applyAlignment="1">
      <alignment horizontal="center" vertical="center" wrapText="1"/>
    </xf>
    <xf numFmtId="0" fontId="22" fillId="0" borderId="198" xfId="0" applyFont="1" applyBorder="1" applyAlignment="1">
      <alignment horizontal="center" vertical="center"/>
    </xf>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1" fontId="21" fillId="0" borderId="1" xfId="7" applyNumberFormat="1" applyFont="1" applyBorder="1" applyAlignment="1">
      <alignment horizontal="center" vertical="center" wrapText="1"/>
    </xf>
    <xf numFmtId="0" fontId="18" fillId="0" borderId="13" xfId="0" applyFont="1" applyBorder="1" applyAlignment="1">
      <alignment horizontal="left" vertical="center"/>
    </xf>
    <xf numFmtId="0" fontId="13" fillId="9" borderId="2" xfId="1" applyFont="1" applyFill="1" applyBorder="1" applyAlignment="1">
      <alignment horizontal="center" vertical="center" wrapText="1"/>
    </xf>
    <xf numFmtId="0" fontId="13" fillId="9" borderId="3" xfId="1" applyFont="1" applyFill="1" applyBorder="1" applyAlignment="1">
      <alignment horizontal="center" vertical="center" wrapText="1"/>
    </xf>
    <xf numFmtId="0" fontId="21" fillId="0" borderId="5" xfId="0" applyFont="1" applyBorder="1" applyAlignment="1">
      <alignment horizontal="left" vertical="center" wrapText="1"/>
    </xf>
    <xf numFmtId="0" fontId="21" fillId="0" borderId="11" xfId="0" applyFont="1" applyBorder="1" applyAlignment="1">
      <alignment horizontal="left" vertical="center" wrapText="1"/>
    </xf>
    <xf numFmtId="0" fontId="6" fillId="0" borderId="0" xfId="0" applyFont="1" applyAlignment="1">
      <alignment horizontal="left"/>
    </xf>
    <xf numFmtId="0" fontId="6" fillId="0" borderId="0" xfId="0" applyFont="1" applyAlignment="1">
      <alignment horizontal="left" vertical="center"/>
    </xf>
    <xf numFmtId="0" fontId="6" fillId="0" borderId="0" xfId="0" applyFont="1" applyAlignment="1">
      <alignment vertical="center"/>
    </xf>
    <xf numFmtId="0" fontId="13" fillId="9" borderId="0" xfId="0" applyFont="1" applyFill="1" applyAlignment="1">
      <alignment horizontal="center" vertical="center"/>
    </xf>
    <xf numFmtId="0" fontId="21" fillId="0" borderId="0" xfId="0" applyFont="1" applyAlignment="1">
      <alignment horizontal="left" vertical="top" wrapText="1"/>
    </xf>
    <xf numFmtId="0" fontId="6" fillId="0" borderId="0" xfId="0" applyFont="1" applyAlignment="1">
      <alignment horizontal="left" vertical="top" wrapText="1"/>
    </xf>
    <xf numFmtId="0" fontId="6" fillId="6" borderId="1" xfId="0" applyFont="1" applyFill="1" applyBorder="1" applyAlignment="1">
      <alignment horizontal="center"/>
    </xf>
    <xf numFmtId="0" fontId="23" fillId="0" borderId="1" xfId="0" applyFont="1" applyBorder="1" applyAlignment="1">
      <alignment horizontal="center" vertical="center"/>
    </xf>
    <xf numFmtId="0" fontId="21" fillId="0" borderId="1" xfId="0" applyFont="1" applyBorder="1" applyAlignment="1">
      <alignment horizontal="center" vertical="center"/>
    </xf>
    <xf numFmtId="0" fontId="6" fillId="0" borderId="18"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5" xfId="0" applyFont="1" applyBorder="1" applyAlignment="1">
      <alignment horizontal="center" vertical="center"/>
    </xf>
    <xf numFmtId="0" fontId="6" fillId="0" borderId="15"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0" fontId="30" fillId="0" borderId="138" xfId="0" applyFont="1" applyBorder="1" applyAlignment="1">
      <alignment horizontal="center" vertical="center" wrapText="1"/>
    </xf>
    <xf numFmtId="0" fontId="30" fillId="0" borderId="141" xfId="0" applyFont="1" applyBorder="1" applyAlignment="1">
      <alignment horizontal="center" vertical="center" wrapText="1"/>
    </xf>
    <xf numFmtId="0" fontId="13" fillId="9" borderId="26" xfId="0" applyFont="1" applyFill="1" applyBorder="1" applyAlignment="1">
      <alignment horizontal="center" vertical="center"/>
    </xf>
    <xf numFmtId="0" fontId="6" fillId="0" borderId="0" xfId="0" applyFont="1" applyAlignment="1">
      <alignment horizontal="center"/>
    </xf>
    <xf numFmtId="0" fontId="7" fillId="7" borderId="19" xfId="0" applyFont="1" applyFill="1" applyBorder="1" applyAlignment="1">
      <alignment horizontal="center" vertical="center" wrapText="1"/>
    </xf>
    <xf numFmtId="0" fontId="7" fillId="7" borderId="20" xfId="0" applyFont="1" applyFill="1" applyBorder="1" applyAlignment="1">
      <alignment horizontal="center" vertical="center" wrapText="1"/>
    </xf>
    <xf numFmtId="0" fontId="7" fillId="7" borderId="21" xfId="0" applyFont="1" applyFill="1" applyBorder="1" applyAlignment="1">
      <alignment horizontal="center" vertical="center" wrapText="1"/>
    </xf>
    <xf numFmtId="0" fontId="57" fillId="9" borderId="29" xfId="0" applyFont="1" applyFill="1" applyBorder="1" applyAlignment="1">
      <alignment horizontal="center" vertical="center"/>
    </xf>
    <xf numFmtId="0" fontId="63" fillId="9" borderId="29" xfId="0" applyFont="1" applyFill="1" applyBorder="1" applyAlignment="1">
      <alignment horizontal="center" vertical="center"/>
    </xf>
    <xf numFmtId="166" fontId="6" fillId="0" borderId="19" xfId="0" applyNumberFormat="1" applyFont="1" applyBorder="1" applyAlignment="1">
      <alignment horizontal="center" vertical="center" wrapText="1"/>
    </xf>
    <xf numFmtId="166" fontId="6" fillId="0" borderId="20" xfId="0" applyNumberFormat="1" applyFont="1" applyBorder="1" applyAlignment="1">
      <alignment horizontal="center" vertical="center" wrapText="1"/>
    </xf>
    <xf numFmtId="166" fontId="6" fillId="0" borderId="21" xfId="0" applyNumberFormat="1" applyFont="1" applyBorder="1" applyAlignment="1">
      <alignment horizontal="center" vertical="center" wrapText="1"/>
    </xf>
    <xf numFmtId="0" fontId="21" fillId="0" borderId="18" xfId="0" applyFont="1" applyBorder="1" applyAlignment="1">
      <alignment horizontal="center" vertical="center"/>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58" fillId="9" borderId="133" xfId="5" applyFont="1" applyFill="1" applyBorder="1" applyAlignment="1">
      <alignment horizontal="center" vertical="center"/>
    </xf>
    <xf numFmtId="0" fontId="58" fillId="9" borderId="128" xfId="5" applyFont="1" applyFill="1" applyBorder="1" applyAlignment="1">
      <alignment horizontal="center" vertical="center"/>
    </xf>
    <xf numFmtId="0" fontId="58" fillId="9" borderId="134" xfId="5" applyFont="1" applyFill="1" applyBorder="1" applyAlignment="1">
      <alignment horizontal="center" vertical="center"/>
    </xf>
    <xf numFmtId="0" fontId="13" fillId="9" borderId="0" xfId="0" applyFont="1" applyFill="1" applyAlignment="1">
      <alignment horizontal="center" vertical="center" wrapText="1"/>
    </xf>
    <xf numFmtId="0" fontId="6" fillId="0" borderId="16" xfId="0" applyFont="1" applyBorder="1" applyAlignment="1">
      <alignment horizontal="center" vertical="center" wrapText="1"/>
    </xf>
    <xf numFmtId="0" fontId="65" fillId="0" borderId="15" xfId="0" applyFont="1" applyBorder="1" applyAlignment="1">
      <alignment horizontal="center" vertical="center" wrapText="1"/>
    </xf>
    <xf numFmtId="0" fontId="57" fillId="9" borderId="117" xfId="0" applyFont="1" applyFill="1" applyBorder="1" applyAlignment="1">
      <alignment horizontal="center" vertical="center"/>
    </xf>
    <xf numFmtId="0" fontId="57" fillId="9" borderId="125" xfId="0" applyFont="1" applyFill="1" applyBorder="1" applyAlignment="1">
      <alignment horizontal="center" vertical="center"/>
    </xf>
    <xf numFmtId="0" fontId="57" fillId="9" borderId="126" xfId="0" applyFont="1" applyFill="1" applyBorder="1" applyAlignment="1">
      <alignment horizontal="center" vertical="center"/>
    </xf>
    <xf numFmtId="0" fontId="1" fillId="0" borderId="15" xfId="0" applyFont="1" applyBorder="1" applyAlignment="1">
      <alignment horizontal="center" vertical="center" wrapText="1"/>
    </xf>
    <xf numFmtId="0" fontId="8" fillId="0" borderId="22" xfId="5" applyBorder="1" applyAlignment="1">
      <alignment horizontal="center" vertical="center"/>
    </xf>
    <xf numFmtId="0" fontId="6" fillId="0" borderId="22" xfId="0" applyFont="1" applyBorder="1" applyAlignment="1">
      <alignment horizontal="center" vertical="center" wrapText="1"/>
    </xf>
    <xf numFmtId="0" fontId="21" fillId="0" borderId="22" xfId="0" applyFont="1" applyBorder="1" applyAlignment="1">
      <alignment horizontal="center" vertical="center" wrapText="1"/>
    </xf>
    <xf numFmtId="0" fontId="21" fillId="54" borderId="22" xfId="0" quotePrefix="1" applyFont="1" applyFill="1" applyBorder="1" applyAlignment="1">
      <alignment horizontal="center" vertical="center" wrapText="1"/>
    </xf>
    <xf numFmtId="0" fontId="13" fillId="9" borderId="13" xfId="0" applyFont="1" applyFill="1" applyBorder="1" applyAlignment="1">
      <alignment horizontal="center" vertical="center" wrapText="1"/>
    </xf>
    <xf numFmtId="0" fontId="66" fillId="9" borderId="156" xfId="0" applyFont="1" applyFill="1" applyBorder="1" applyAlignment="1">
      <alignment horizontal="center" vertical="center" wrapText="1"/>
    </xf>
    <xf numFmtId="0" fontId="66" fillId="9" borderId="143" xfId="0" applyFont="1" applyFill="1" applyBorder="1" applyAlignment="1">
      <alignment horizontal="center" vertical="center" wrapText="1"/>
    </xf>
    <xf numFmtId="0" fontId="6" fillId="0" borderId="22" xfId="0" applyFont="1" applyBorder="1" applyAlignment="1">
      <alignment horizontal="center" vertical="center"/>
    </xf>
    <xf numFmtId="0" fontId="31" fillId="10" borderId="6" xfId="0" applyFont="1" applyFill="1" applyBorder="1" applyAlignment="1">
      <alignment horizontal="center" vertical="center"/>
    </xf>
    <xf numFmtId="0" fontId="31" fillId="10" borderId="5" xfId="0" applyFont="1" applyFill="1" applyBorder="1" applyAlignment="1">
      <alignment horizontal="center" vertical="center"/>
    </xf>
    <xf numFmtId="0" fontId="31" fillId="10" borderId="0" xfId="0" applyFont="1" applyFill="1" applyAlignment="1">
      <alignment horizontal="center" vertical="center"/>
    </xf>
    <xf numFmtId="0" fontId="0" fillId="0" borderId="0" xfId="0" applyAlignment="1">
      <alignment horizontal="center" vertical="center"/>
    </xf>
    <xf numFmtId="0" fontId="6" fillId="0" borderId="203" xfId="0" applyFont="1" applyBorder="1" applyAlignment="1">
      <alignment horizontal="center" vertical="center"/>
    </xf>
    <xf numFmtId="0" fontId="21" fillId="0" borderId="203" xfId="0" applyFont="1"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14" fillId="0" borderId="56" xfId="0" applyFont="1" applyBorder="1" applyAlignment="1">
      <alignment horizontal="center" vertical="center" wrapText="1"/>
    </xf>
    <xf numFmtId="0" fontId="14" fillId="0" borderId="95" xfId="0" applyFont="1" applyBorder="1" applyAlignment="1">
      <alignment horizontal="center" vertical="center" wrapText="1"/>
    </xf>
    <xf numFmtId="0" fontId="14" fillId="0" borderId="23" xfId="0" applyFont="1" applyBorder="1" applyAlignment="1">
      <alignment horizontal="center" vertical="center" wrapText="1"/>
    </xf>
    <xf numFmtId="0" fontId="13" fillId="9" borderId="10" xfId="0" applyFont="1" applyFill="1" applyBorder="1" applyAlignment="1">
      <alignment horizontal="center" vertical="center" wrapText="1"/>
    </xf>
    <xf numFmtId="0" fontId="13" fillId="9" borderId="12" xfId="0" applyFont="1" applyFill="1" applyBorder="1" applyAlignment="1">
      <alignment horizontal="center" vertical="center" wrapText="1"/>
    </xf>
    <xf numFmtId="0" fontId="23" fillId="46" borderId="158" xfId="56" applyFont="1" applyFill="1" applyBorder="1" applyAlignment="1">
      <alignment horizontal="center" vertical="center" wrapText="1"/>
    </xf>
    <xf numFmtId="0" fontId="23" fillId="46" borderId="159" xfId="56" applyFont="1" applyFill="1" applyBorder="1" applyAlignment="1">
      <alignment horizontal="center" vertical="center" wrapText="1"/>
    </xf>
    <xf numFmtId="0" fontId="23" fillId="46" borderId="1" xfId="56" applyFont="1" applyFill="1" applyBorder="1" applyAlignment="1">
      <alignment horizontal="center" vertical="center" wrapText="1"/>
    </xf>
    <xf numFmtId="0" fontId="21" fillId="0" borderId="56" xfId="0" applyFont="1" applyBorder="1" applyAlignment="1">
      <alignment horizontal="center" vertical="center" wrapText="1"/>
    </xf>
    <xf numFmtId="0" fontId="21" fillId="0" borderId="154" xfId="0" applyFont="1" applyBorder="1" applyAlignment="1">
      <alignment horizontal="center" vertical="center" wrapText="1"/>
    </xf>
    <xf numFmtId="0" fontId="21" fillId="0" borderId="155" xfId="0" applyFont="1" applyBorder="1" applyAlignment="1">
      <alignment horizontal="center" vertical="center" wrapText="1"/>
    </xf>
    <xf numFmtId="0" fontId="13" fillId="9" borderId="112" xfId="0" applyFont="1" applyFill="1" applyBorder="1" applyAlignment="1">
      <alignment horizontal="center" vertical="center" wrapText="1"/>
    </xf>
    <xf numFmtId="0" fontId="6" fillId="0" borderId="147" xfId="0" applyFont="1" applyBorder="1" applyAlignment="1">
      <alignment horizontal="center" vertical="center" wrapText="1"/>
    </xf>
    <xf numFmtId="0" fontId="6" fillId="0" borderId="148" xfId="0" applyFont="1" applyBorder="1" applyAlignment="1">
      <alignment horizontal="center" vertical="center" wrapText="1"/>
    </xf>
    <xf numFmtId="0" fontId="6" fillId="0" borderId="149" xfId="0" applyFont="1" applyBorder="1" applyAlignment="1">
      <alignment horizontal="center" vertical="center" wrapText="1"/>
    </xf>
    <xf numFmtId="43" fontId="23" fillId="0" borderId="2" xfId="6" applyFont="1" applyBorder="1" applyAlignment="1">
      <alignment horizontal="center" vertical="center"/>
    </xf>
    <xf numFmtId="43" fontId="23" fillId="0" borderId="3" xfId="6" applyFont="1" applyBorder="1" applyAlignment="1">
      <alignment horizontal="center" vertical="center"/>
    </xf>
    <xf numFmtId="43" fontId="23" fillId="0" borderId="4" xfId="6" applyFont="1" applyBorder="1" applyAlignment="1">
      <alignment horizontal="center" vertical="center"/>
    </xf>
    <xf numFmtId="43" fontId="21" fillId="0" borderId="9" xfId="6" applyFont="1" applyBorder="1" applyAlignment="1">
      <alignment horizontal="center" vertical="center" wrapText="1"/>
    </xf>
    <xf numFmtId="43" fontId="21" fillId="0" borderId="11" xfId="6" applyFont="1" applyBorder="1" applyAlignment="1">
      <alignment horizontal="center" vertical="center" wrapText="1"/>
    </xf>
    <xf numFmtId="0" fontId="13" fillId="45" borderId="150" xfId="56" applyFont="1" applyFill="1" applyBorder="1" applyAlignment="1">
      <alignment horizontal="center" vertical="center" wrapText="1"/>
    </xf>
    <xf numFmtId="0" fontId="13" fillId="45" borderId="0" xfId="56" applyFont="1" applyFill="1" applyAlignment="1">
      <alignment horizontal="center" vertical="center" wrapText="1"/>
    </xf>
    <xf numFmtId="0" fontId="7" fillId="7" borderId="1"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1" xfId="0" applyFont="1" applyFill="1" applyBorder="1" applyAlignment="1">
      <alignment horizontal="center" vertical="center" wrapText="1"/>
    </xf>
    <xf numFmtId="0" fontId="6" fillId="0" borderId="56" xfId="0" applyFont="1" applyBorder="1" applyAlignment="1">
      <alignment horizontal="center" vertical="center" wrapText="1"/>
    </xf>
    <xf numFmtId="0" fontId="6" fillId="0" borderId="95" xfId="0" applyFont="1" applyBorder="1" applyAlignment="1">
      <alignment horizontal="center" vertical="center" wrapText="1"/>
    </xf>
    <xf numFmtId="0" fontId="6" fillId="0" borderId="23" xfId="0" applyFont="1" applyBorder="1" applyAlignment="1">
      <alignment horizontal="center" vertical="center" wrapText="1"/>
    </xf>
    <xf numFmtId="0" fontId="13" fillId="9" borderId="13" xfId="0" applyFont="1" applyFill="1" applyBorder="1" applyAlignment="1">
      <alignment horizontal="center" vertical="center"/>
    </xf>
    <xf numFmtId="0" fontId="6" fillId="8" borderId="1" xfId="0" applyFont="1" applyFill="1" applyBorder="1" applyAlignment="1">
      <alignment horizontal="left" vertical="center"/>
    </xf>
    <xf numFmtId="0" fontId="23" fillId="7" borderId="45" xfId="0" applyFont="1" applyFill="1" applyBorder="1" applyAlignment="1">
      <alignment horizontal="center" vertical="center" wrapText="1"/>
    </xf>
    <xf numFmtId="0" fontId="23" fillId="7" borderId="46" xfId="0" applyFont="1" applyFill="1" applyBorder="1" applyAlignment="1">
      <alignment horizontal="center" vertical="center" wrapText="1"/>
    </xf>
    <xf numFmtId="0" fontId="13" fillId="9" borderId="12" xfId="0" applyFont="1" applyFill="1" applyBorder="1" applyAlignment="1">
      <alignment horizontal="center" vertical="center"/>
    </xf>
    <xf numFmtId="0" fontId="22" fillId="0" borderId="81" xfId="0" applyFont="1" applyBorder="1" applyAlignment="1">
      <alignment horizontal="center" vertical="center" wrapText="1"/>
    </xf>
    <xf numFmtId="0" fontId="22" fillId="0" borderId="93" xfId="0" applyFont="1" applyBorder="1" applyAlignment="1">
      <alignment horizontal="center" vertical="center" wrapText="1"/>
    </xf>
    <xf numFmtId="0" fontId="22" fillId="0" borderId="94" xfId="0" applyFont="1" applyBorder="1" applyAlignment="1">
      <alignment horizontal="center" vertical="center" wrapText="1"/>
    </xf>
    <xf numFmtId="0" fontId="22" fillId="0" borderId="74" xfId="0" applyFont="1" applyBorder="1" applyAlignment="1">
      <alignment horizontal="center" vertical="center" wrapText="1"/>
    </xf>
    <xf numFmtId="0" fontId="22" fillId="0" borderId="84" xfId="0" applyFont="1" applyBorder="1" applyAlignment="1">
      <alignment horizontal="center" vertical="center" wrapText="1"/>
    </xf>
    <xf numFmtId="0" fontId="22" fillId="0" borderId="87" xfId="0" applyFont="1" applyBorder="1" applyAlignment="1">
      <alignment horizontal="center" vertical="center" wrapText="1"/>
    </xf>
    <xf numFmtId="0" fontId="22" fillId="0" borderId="75" xfId="0" applyFont="1" applyBorder="1" applyAlignment="1">
      <alignment horizontal="center" vertical="center" wrapText="1"/>
    </xf>
    <xf numFmtId="0" fontId="22" fillId="0" borderId="77" xfId="0" applyFont="1" applyBorder="1" applyAlignment="1">
      <alignment horizontal="center" vertical="center" wrapText="1"/>
    </xf>
    <xf numFmtId="0" fontId="22" fillId="0" borderId="80" xfId="0" applyFont="1" applyBorder="1" applyAlignment="1">
      <alignment horizontal="center" vertical="center" wrapText="1"/>
    </xf>
    <xf numFmtId="0" fontId="22" fillId="0" borderId="90" xfId="0" applyFont="1" applyBorder="1" applyAlignment="1">
      <alignment horizontal="center" vertical="center" wrapText="1"/>
    </xf>
    <xf numFmtId="0" fontId="22" fillId="0" borderId="51" xfId="0" applyFont="1" applyBorder="1" applyAlignment="1">
      <alignment horizontal="center" vertical="center" wrapText="1"/>
    </xf>
    <xf numFmtId="0" fontId="22" fillId="0" borderId="53" xfId="0" applyFont="1" applyBorder="1" applyAlignment="1">
      <alignment horizontal="center" vertical="center" wrapText="1"/>
    </xf>
    <xf numFmtId="0" fontId="22" fillId="0" borderId="71" xfId="0" applyFont="1" applyBorder="1" applyAlignment="1">
      <alignment horizontal="center" vertical="center"/>
    </xf>
    <xf numFmtId="0" fontId="22" fillId="0" borderId="30" xfId="0" applyFont="1" applyBorder="1" applyAlignment="1">
      <alignment horizontal="center" vertical="center"/>
    </xf>
    <xf numFmtId="0" fontId="22" fillId="0" borderId="40" xfId="0" applyFont="1" applyBorder="1" applyAlignment="1">
      <alignment horizontal="center" vertical="center"/>
    </xf>
    <xf numFmtId="0" fontId="22" fillId="0" borderId="71" xfId="0" applyFont="1" applyBorder="1" applyAlignment="1">
      <alignment horizontal="center" vertical="center" wrapText="1"/>
    </xf>
    <xf numFmtId="0" fontId="22" fillId="0" borderId="85" xfId="0" applyFont="1" applyBorder="1" applyAlignment="1">
      <alignment horizontal="center" vertical="center" wrapText="1"/>
    </xf>
    <xf numFmtId="0" fontId="22" fillId="0" borderId="48" xfId="0" applyFont="1" applyBorder="1" applyAlignment="1">
      <alignment horizontal="center" vertical="center" wrapText="1"/>
    </xf>
    <xf numFmtId="0" fontId="22" fillId="0" borderId="62" xfId="0" applyFont="1" applyBorder="1" applyAlignment="1">
      <alignment horizontal="center" vertical="center" wrapText="1"/>
    </xf>
    <xf numFmtId="0" fontId="49" fillId="0" borderId="49" xfId="0" applyFont="1" applyBorder="1" applyAlignment="1">
      <alignment horizontal="center" vertical="center"/>
    </xf>
    <xf numFmtId="0" fontId="49" fillId="0" borderId="30" xfId="0" applyFont="1" applyBorder="1" applyAlignment="1">
      <alignment horizontal="center" vertical="center"/>
    </xf>
    <xf numFmtId="0" fontId="49" fillId="0" borderId="63" xfId="0" applyFont="1" applyBorder="1" applyAlignment="1">
      <alignment horizontal="center" vertical="center"/>
    </xf>
    <xf numFmtId="0" fontId="22" fillId="0" borderId="30" xfId="0" applyFont="1" applyBorder="1" applyAlignment="1">
      <alignment horizontal="center" vertical="center" wrapText="1"/>
    </xf>
    <xf numFmtId="0" fontId="22" fillId="0" borderId="40" xfId="0" applyFont="1" applyBorder="1" applyAlignment="1">
      <alignment horizontal="center" vertical="center" wrapText="1"/>
    </xf>
    <xf numFmtId="0" fontId="22" fillId="0" borderId="92" xfId="0" applyFont="1" applyBorder="1" applyAlignment="1">
      <alignment horizontal="center" vertical="center" wrapText="1"/>
    </xf>
    <xf numFmtId="0" fontId="22" fillId="0" borderId="52" xfId="0" applyFont="1" applyBorder="1" applyAlignment="1">
      <alignment horizontal="center" vertical="center" wrapText="1"/>
    </xf>
    <xf numFmtId="0" fontId="22" fillId="0" borderId="54" xfId="0" applyFont="1" applyBorder="1" applyAlignment="1">
      <alignment horizontal="center" vertical="center" wrapText="1"/>
    </xf>
    <xf numFmtId="0" fontId="22" fillId="0" borderId="160" xfId="0" applyFont="1" applyBorder="1" applyAlignment="1">
      <alignment horizontal="center" vertical="center" wrapText="1"/>
    </xf>
    <xf numFmtId="0" fontId="22" fillId="0" borderId="83" xfId="0" applyFont="1" applyBorder="1" applyAlignment="1">
      <alignment horizontal="center" vertical="center" wrapText="1"/>
    </xf>
    <xf numFmtId="0" fontId="22" fillId="0" borderId="86" xfId="0" applyFont="1" applyBorder="1" applyAlignment="1">
      <alignment horizontal="center" vertical="center" wrapText="1"/>
    </xf>
    <xf numFmtId="0" fontId="22" fillId="0" borderId="79" xfId="0" applyFont="1" applyBorder="1" applyAlignment="1">
      <alignment horizontal="center" vertical="center"/>
    </xf>
    <xf numFmtId="0" fontId="22" fillId="0" borderId="88" xfId="0" applyFont="1" applyBorder="1" applyAlignment="1">
      <alignment horizontal="center" vertical="center" wrapText="1"/>
    </xf>
    <xf numFmtId="0" fontId="7" fillId="7" borderId="139" xfId="0" applyFont="1" applyFill="1" applyBorder="1" applyAlignment="1">
      <alignment horizontal="center" vertical="center"/>
    </xf>
    <xf numFmtId="0" fontId="7" fillId="7" borderId="140" xfId="0" applyFont="1" applyFill="1" applyBorder="1" applyAlignment="1">
      <alignment horizontal="center" vertical="center"/>
    </xf>
    <xf numFmtId="0" fontId="7" fillId="7" borderId="131" xfId="0" applyFont="1" applyFill="1" applyBorder="1" applyAlignment="1">
      <alignment horizontal="center" vertical="center"/>
    </xf>
    <xf numFmtId="0" fontId="7" fillId="7" borderId="136" xfId="0" applyFont="1" applyFill="1" applyBorder="1" applyAlignment="1">
      <alignment horizontal="center" vertical="center"/>
    </xf>
    <xf numFmtId="0" fontId="13" fillId="9" borderId="14" xfId="0" applyFont="1" applyFill="1" applyBorder="1" applyAlignment="1">
      <alignment horizontal="center" vertical="center" wrapText="1"/>
    </xf>
    <xf numFmtId="0" fontId="22" fillId="0" borderId="99" xfId="0" applyFont="1" applyBorder="1" applyAlignment="1">
      <alignment horizontal="center" vertical="center" wrapText="1"/>
    </xf>
    <xf numFmtId="0" fontId="22" fillId="0" borderId="105" xfId="0" applyFont="1" applyBorder="1" applyAlignment="1">
      <alignment horizontal="center" vertical="center" wrapText="1"/>
    </xf>
    <xf numFmtId="0" fontId="22" fillId="0" borderId="106" xfId="0" applyFont="1" applyBorder="1" applyAlignment="1">
      <alignment horizontal="center" vertical="center" wrapText="1"/>
    </xf>
    <xf numFmtId="3" fontId="22" fillId="0" borderId="100" xfId="0" applyNumberFormat="1" applyFont="1" applyBorder="1" applyAlignment="1">
      <alignment horizontal="center" vertical="center"/>
    </xf>
    <xf numFmtId="0" fontId="22" fillId="0" borderId="107" xfId="0" applyFont="1" applyBorder="1" applyAlignment="1">
      <alignment horizontal="center" vertical="center"/>
    </xf>
    <xf numFmtId="0" fontId="49" fillId="0" borderId="71" xfId="0" applyFont="1" applyBorder="1" applyAlignment="1">
      <alignment horizontal="center" vertical="center"/>
    </xf>
    <xf numFmtId="0" fontId="49" fillId="0" borderId="40" xfId="0" applyFont="1" applyBorder="1" applyAlignment="1">
      <alignment horizontal="center" vertical="center"/>
    </xf>
    <xf numFmtId="0" fontId="50" fillId="0" borderId="50" xfId="0" applyFont="1" applyBorder="1" applyAlignment="1">
      <alignment horizontal="center" vertical="center" wrapText="1"/>
    </xf>
    <xf numFmtId="0" fontId="50" fillId="0" borderId="52" xfId="0" applyFont="1" applyBorder="1" applyAlignment="1">
      <alignment horizontal="center" vertical="center" wrapText="1"/>
    </xf>
    <xf numFmtId="0" fontId="50" fillId="0" borderId="64" xfId="0" applyFont="1" applyBorder="1" applyAlignment="1">
      <alignment horizontal="center" vertical="center" wrapText="1"/>
    </xf>
    <xf numFmtId="0" fontId="22" fillId="0" borderId="49" xfId="0" applyFont="1" applyBorder="1" applyAlignment="1">
      <alignment horizontal="center" vertical="center" wrapText="1"/>
    </xf>
    <xf numFmtId="0" fontId="51" fillId="0" borderId="101" xfId="0" applyFont="1" applyBorder="1" applyAlignment="1">
      <alignment horizontal="center" vertical="center" wrapText="1"/>
    </xf>
    <xf numFmtId="0" fontId="51" fillId="0" borderId="52" xfId="0" applyFont="1" applyBorder="1" applyAlignment="1">
      <alignment horizontal="center" vertical="center" wrapText="1"/>
    </xf>
    <xf numFmtId="0" fontId="51" fillId="0" borderId="108" xfId="0" applyFont="1" applyBorder="1" applyAlignment="1">
      <alignment horizontal="center" vertical="center" wrapText="1"/>
    </xf>
    <xf numFmtId="0" fontId="22" fillId="0" borderId="100" xfId="0" applyFont="1" applyBorder="1" applyAlignment="1">
      <alignment horizontal="center" vertical="center"/>
    </xf>
    <xf numFmtId="0" fontId="19" fillId="7" borderId="1" xfId="0" applyFont="1" applyFill="1" applyBorder="1" applyAlignment="1">
      <alignment horizontal="center" vertical="center" wrapText="1"/>
    </xf>
    <xf numFmtId="0" fontId="22" fillId="0" borderId="164" xfId="0" applyFont="1" applyBorder="1" applyAlignment="1">
      <alignment horizontal="center" vertical="center" wrapText="1"/>
    </xf>
    <xf numFmtId="0" fontId="51" fillId="0" borderId="160" xfId="0" applyFont="1" applyBorder="1" applyAlignment="1">
      <alignment horizontal="center" vertical="center" wrapText="1"/>
    </xf>
    <xf numFmtId="0" fontId="51" fillId="0" borderId="83" xfId="0" applyFont="1" applyBorder="1" applyAlignment="1">
      <alignment horizontal="center" vertical="center" wrapText="1"/>
    </xf>
    <xf numFmtId="0" fontId="51" fillId="0" borderId="163" xfId="0" applyFont="1" applyBorder="1" applyAlignment="1">
      <alignment horizontal="center" vertical="center" wrapText="1"/>
    </xf>
    <xf numFmtId="0" fontId="51" fillId="0" borderId="84" xfId="0" applyFont="1" applyBorder="1" applyAlignment="1">
      <alignment horizontal="center" vertical="center"/>
    </xf>
    <xf numFmtId="0" fontId="51" fillId="0" borderId="71" xfId="0" applyFont="1" applyBorder="1" applyAlignment="1">
      <alignment horizontal="center" vertical="center" wrapText="1"/>
    </xf>
    <xf numFmtId="0" fontId="51" fillId="0" borderId="30"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161" xfId="0" applyFont="1" applyBorder="1" applyAlignment="1">
      <alignment horizontal="center" vertical="center" wrapText="1"/>
    </xf>
    <xf numFmtId="0" fontId="51" fillId="0" borderId="77" xfId="0" applyFont="1" applyBorder="1" applyAlignment="1">
      <alignment horizontal="center" vertical="center" wrapText="1"/>
    </xf>
    <xf numFmtId="0" fontId="51" fillId="0" borderId="164" xfId="0" applyFont="1" applyBorder="1" applyAlignment="1">
      <alignment horizontal="center" vertical="center" wrapText="1"/>
    </xf>
    <xf numFmtId="0" fontId="51" fillId="0" borderId="81" xfId="0" applyFont="1" applyBorder="1" applyAlignment="1">
      <alignment horizontal="center" vertical="center" wrapText="1"/>
    </xf>
    <xf numFmtId="0" fontId="51" fillId="0" borderId="165" xfId="0" applyFont="1" applyBorder="1" applyAlignment="1">
      <alignment horizontal="center" vertical="center"/>
    </xf>
    <xf numFmtId="0" fontId="51" fillId="0" borderId="74" xfId="0" applyFont="1" applyBorder="1" applyAlignment="1">
      <alignment horizontal="center" vertical="center" wrapText="1"/>
    </xf>
    <xf numFmtId="0" fontId="51" fillId="0" borderId="75" xfId="0" applyFont="1" applyBorder="1" applyAlignment="1">
      <alignment horizontal="center" vertical="center" wrapText="1"/>
    </xf>
    <xf numFmtId="0" fontId="51" fillId="0" borderId="99" xfId="0" applyFont="1" applyBorder="1" applyAlignment="1">
      <alignment horizontal="center" vertical="center" wrapText="1"/>
    </xf>
    <xf numFmtId="0" fontId="51" fillId="0" borderId="105" xfId="0" applyFont="1" applyBorder="1" applyAlignment="1">
      <alignment horizontal="center" vertical="center" wrapText="1"/>
    </xf>
    <xf numFmtId="0" fontId="51" fillId="0" borderId="106" xfId="0" applyFont="1" applyBorder="1" applyAlignment="1">
      <alignment horizontal="center" vertical="center" wrapText="1"/>
    </xf>
    <xf numFmtId="0" fontId="51" fillId="0" borderId="166" xfId="0" applyFont="1" applyBorder="1" applyAlignment="1">
      <alignment horizontal="center" vertical="center"/>
    </xf>
    <xf numFmtId="0" fontId="51" fillId="0" borderId="171" xfId="0" applyFont="1" applyBorder="1" applyAlignment="1">
      <alignment horizontal="center" vertical="center"/>
    </xf>
    <xf numFmtId="0" fontId="51" fillId="0" borderId="100" xfId="0" applyFont="1" applyBorder="1" applyAlignment="1">
      <alignment horizontal="center" vertical="center" wrapText="1"/>
    </xf>
    <xf numFmtId="0" fontId="51" fillId="0" borderId="107" xfId="0" applyFont="1" applyBorder="1" applyAlignment="1">
      <alignment horizontal="center" vertical="center" wrapText="1"/>
    </xf>
    <xf numFmtId="0" fontId="51" fillId="0" borderId="167" xfId="0" applyFont="1" applyBorder="1" applyAlignment="1">
      <alignment horizontal="center" vertical="center" wrapText="1"/>
    </xf>
    <xf numFmtId="0" fontId="51" fillId="0" borderId="172" xfId="0" applyFont="1" applyBorder="1" applyAlignment="1">
      <alignment horizontal="center" vertical="center" wrapText="1"/>
    </xf>
    <xf numFmtId="0" fontId="22" fillId="0" borderId="69" xfId="0" applyFont="1" applyBorder="1" applyAlignment="1">
      <alignment horizontal="center" vertical="center"/>
    </xf>
    <xf numFmtId="0" fontId="22" fillId="0" borderId="10" xfId="0" applyFont="1" applyBorder="1" applyAlignment="1">
      <alignment horizontal="center" vertical="center"/>
    </xf>
    <xf numFmtId="0" fontId="22" fillId="0" borderId="70" xfId="0" applyFont="1" applyBorder="1" applyAlignment="1">
      <alignment horizontal="center" vertical="center"/>
    </xf>
    <xf numFmtId="0" fontId="22" fillId="0" borderId="50" xfId="0" applyFont="1" applyBorder="1" applyAlignment="1">
      <alignment horizontal="center" vertical="center" wrapText="1"/>
    </xf>
    <xf numFmtId="0" fontId="22" fillId="0" borderId="108" xfId="0" applyFont="1" applyBorder="1" applyAlignment="1">
      <alignment horizontal="center" vertical="center" wrapText="1"/>
    </xf>
    <xf numFmtId="0" fontId="22" fillId="0" borderId="63" xfId="0" applyFont="1" applyBorder="1" applyAlignment="1">
      <alignment horizontal="center" vertical="center" wrapText="1"/>
    </xf>
    <xf numFmtId="0" fontId="51" fillId="0" borderId="188" xfId="0" applyFont="1" applyBorder="1" applyAlignment="1">
      <alignment horizontal="center" vertical="center" wrapText="1"/>
    </xf>
    <xf numFmtId="0" fontId="51" fillId="0" borderId="175" xfId="0" applyFont="1" applyBorder="1" applyAlignment="1">
      <alignment horizontal="center" vertical="center" wrapText="1"/>
    </xf>
    <xf numFmtId="0" fontId="51" fillId="0" borderId="176" xfId="0" applyFont="1" applyBorder="1" applyAlignment="1">
      <alignment horizontal="center" vertical="center"/>
    </xf>
    <xf numFmtId="0" fontId="51" fillId="0" borderId="63" xfId="0" applyFont="1" applyBorder="1" applyAlignment="1">
      <alignment horizontal="center" vertical="center" wrapText="1"/>
    </xf>
    <xf numFmtId="0" fontId="51" fillId="0" borderId="49" xfId="0" applyFont="1" applyBorder="1" applyAlignment="1">
      <alignment horizontal="center" vertical="center" wrapText="1"/>
    </xf>
    <xf numFmtId="0" fontId="51" fillId="0" borderId="80" xfId="0" applyFont="1" applyBorder="1" applyAlignment="1">
      <alignment horizontal="center" vertical="center" wrapText="1"/>
    </xf>
    <xf numFmtId="0" fontId="51" fillId="0" borderId="193" xfId="0" applyFont="1" applyBorder="1" applyAlignment="1">
      <alignment horizontal="center" vertical="center"/>
    </xf>
    <xf numFmtId="0" fontId="51" fillId="0" borderId="196" xfId="0" applyFont="1" applyBorder="1" applyAlignment="1">
      <alignment horizontal="center" vertical="center"/>
    </xf>
    <xf numFmtId="0" fontId="51" fillId="0" borderId="204" xfId="0" applyFont="1" applyBorder="1" applyAlignment="1">
      <alignment horizontal="center" vertical="center"/>
    </xf>
    <xf numFmtId="0" fontId="51" fillId="0" borderId="194" xfId="0" applyFont="1" applyBorder="1" applyAlignment="1">
      <alignment horizontal="center" vertical="center" wrapText="1"/>
    </xf>
    <xf numFmtId="0" fontId="51" fillId="0" borderId="197" xfId="0" applyFont="1" applyBorder="1" applyAlignment="1">
      <alignment horizontal="center" vertical="center" wrapText="1"/>
    </xf>
    <xf numFmtId="0" fontId="51" fillId="0" borderId="205" xfId="0" applyFont="1" applyBorder="1" applyAlignment="1">
      <alignment horizontal="center" vertical="center" wrapText="1"/>
    </xf>
    <xf numFmtId="0" fontId="51" fillId="0" borderId="181" xfId="0" applyFont="1" applyBorder="1" applyAlignment="1">
      <alignment horizontal="center" vertical="center" wrapText="1"/>
    </xf>
    <xf numFmtId="0" fontId="51" fillId="0" borderId="10" xfId="0" applyFont="1" applyBorder="1" applyAlignment="1">
      <alignment horizontal="center" vertical="center" wrapText="1"/>
    </xf>
    <xf numFmtId="0" fontId="51" fillId="0" borderId="206" xfId="0" applyFont="1" applyBorder="1" applyAlignment="1">
      <alignment horizontal="center" vertical="center" wrapText="1"/>
    </xf>
    <xf numFmtId="0" fontId="51" fillId="0" borderId="195" xfId="0" applyFont="1" applyBorder="1" applyAlignment="1">
      <alignment horizontal="center" vertical="center" wrapText="1"/>
    </xf>
    <xf numFmtId="0" fontId="51" fillId="0" borderId="146" xfId="0" applyFont="1" applyBorder="1" applyAlignment="1">
      <alignment horizontal="center" vertical="center" wrapText="1"/>
    </xf>
    <xf numFmtId="0" fontId="51" fillId="0" borderId="178" xfId="0" applyFont="1" applyBorder="1" applyAlignment="1">
      <alignment horizontal="center" vertical="center" wrapText="1"/>
    </xf>
    <xf numFmtId="0" fontId="7" fillId="7" borderId="135" xfId="0" applyFont="1" applyFill="1" applyBorder="1" applyAlignment="1">
      <alignment horizontal="center" vertical="center"/>
    </xf>
    <xf numFmtId="0" fontId="51" fillId="0" borderId="100" xfId="0" applyFont="1" applyBorder="1" applyAlignment="1">
      <alignment horizontal="center" vertical="center"/>
    </xf>
    <xf numFmtId="0" fontId="51" fillId="0" borderId="30" xfId="0" applyFont="1" applyBorder="1" applyAlignment="1">
      <alignment horizontal="center" vertical="center"/>
    </xf>
    <xf numFmtId="0" fontId="51" fillId="0" borderId="107" xfId="0" applyFont="1" applyBorder="1" applyAlignment="1">
      <alignment horizontal="center" vertical="center"/>
    </xf>
    <xf numFmtId="0" fontId="51" fillId="0" borderId="185" xfId="0" applyFont="1" applyBorder="1" applyAlignment="1">
      <alignment horizontal="center" vertical="center" wrapText="1"/>
    </xf>
    <xf numFmtId="0" fontId="51" fillId="0" borderId="103" xfId="0" applyFont="1" applyBorder="1" applyAlignment="1">
      <alignment horizontal="center" vertical="center" wrapText="1"/>
    </xf>
    <xf numFmtId="0" fontId="51" fillId="0" borderId="22" xfId="0" applyFont="1" applyBorder="1" applyAlignment="1">
      <alignment horizontal="center" vertical="center" wrapText="1"/>
    </xf>
    <xf numFmtId="0" fontId="51" fillId="0" borderId="56" xfId="0" applyFont="1" applyBorder="1" applyAlignment="1">
      <alignment horizontal="center" vertical="center" wrapText="1"/>
    </xf>
    <xf numFmtId="0" fontId="51" fillId="0" borderId="187" xfId="0" applyFont="1" applyBorder="1" applyAlignment="1">
      <alignment horizontal="center" vertical="center" wrapText="1"/>
    </xf>
    <xf numFmtId="0" fontId="51" fillId="0" borderId="190" xfId="0" applyFont="1" applyBorder="1" applyAlignment="1">
      <alignment horizontal="center" vertical="center" wrapText="1"/>
    </xf>
    <xf numFmtId="0" fontId="51" fillId="0" borderId="207" xfId="0" applyFont="1" applyBorder="1" applyAlignment="1">
      <alignment horizontal="center" vertical="center" wrapText="1"/>
    </xf>
    <xf numFmtId="0" fontId="6" fillId="0" borderId="0" xfId="0" applyFont="1" applyAlignment="1">
      <alignment horizontal="center" vertical="top"/>
    </xf>
    <xf numFmtId="0" fontId="31" fillId="10" borderId="12" xfId="0" applyFont="1" applyFill="1" applyBorder="1" applyAlignment="1">
      <alignment horizontal="center" vertical="center"/>
    </xf>
    <xf numFmtId="0" fontId="31" fillId="10" borderId="13" xfId="0" applyFont="1" applyFill="1" applyBorder="1" applyAlignment="1">
      <alignment horizontal="center" vertical="center"/>
    </xf>
    <xf numFmtId="9" fontId="6" fillId="0" borderId="27" xfId="2" applyFont="1" applyFill="1" applyBorder="1" applyAlignment="1">
      <alignment horizontal="center" vertical="center"/>
    </xf>
    <xf numFmtId="9" fontId="6" fillId="0" borderId="16" xfId="2" applyFont="1" applyFill="1" applyBorder="1" applyAlignment="1">
      <alignment horizontal="center" vertical="center"/>
    </xf>
    <xf numFmtId="9" fontId="6" fillId="0" borderId="17" xfId="2" applyFont="1" applyFill="1" applyBorder="1" applyAlignment="1">
      <alignment horizontal="center" vertical="center"/>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29" xfId="0" applyFont="1" applyBorder="1" applyAlignment="1">
      <alignment horizontal="center" vertical="center"/>
    </xf>
    <xf numFmtId="0" fontId="23" fillId="7" borderId="1" xfId="0" applyFont="1" applyFill="1" applyBorder="1" applyAlignment="1">
      <alignment horizontal="center" vertical="center"/>
    </xf>
    <xf numFmtId="0" fontId="0" fillId="0" borderId="0" xfId="0" applyAlignment="1">
      <alignment horizontal="center"/>
    </xf>
  </cellXfs>
  <cellStyles count="57">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874909A9-6B6C-4ED3-AEEF-7FB802EDD672}"/>
    <cellStyle name="60% - Accent2 2" xfId="49" xr:uid="{551EE961-B200-442F-8E70-43348D80993C}"/>
    <cellStyle name="60% - Accent3 2" xfId="50" xr:uid="{D43732E8-CB5B-4914-8A74-FB6CF190AA60}"/>
    <cellStyle name="60% - Accent4 2" xfId="51" xr:uid="{7CA9A3AF-F1FA-4BCC-98BF-66D8D8016BFE}"/>
    <cellStyle name="60% - Accent5 2" xfId="52" xr:uid="{A7F421C6-D5E5-4280-ADE4-5B119369A8F6}"/>
    <cellStyle name="60% - Accent6 2" xfId="53" xr:uid="{68C62149-6229-4222-A172-EE59CBC8D235}"/>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8" builtinId="27" customBuiltin="1"/>
    <cellStyle name="Calculation" xfId="21" builtinId="22" customBuiltin="1"/>
    <cellStyle name="Check Cell" xfId="23" builtinId="23" customBuiltin="1"/>
    <cellStyle name="Comma" xfId="6"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 builtinId="8"/>
    <cellStyle name="Hyperlink 2" xfId="10" xr:uid="{10C1E3C0-F46B-4E25-BD9A-EE5D62F88FF2}"/>
    <cellStyle name="Input" xfId="19" builtinId="20" customBuiltin="1"/>
    <cellStyle name="Linked Cell" xfId="22" builtinId="24" customBuiltin="1"/>
    <cellStyle name="Neutral 2" xfId="47" xr:uid="{DDF4F503-C0CF-4195-9257-4F45B68F3098}"/>
    <cellStyle name="Normal" xfId="0" builtinId="0"/>
    <cellStyle name="Normal 2" xfId="3" xr:uid="{E38C2638-0821-4BB2-9C33-A89D3950ADA6}"/>
    <cellStyle name="Normal 2 2" xfId="4" xr:uid="{7604919E-E68F-4366-A693-6A7B8B8DA661}"/>
    <cellStyle name="Normal 2 3" xfId="9" xr:uid="{8A1E39CD-7ABA-4D79-A464-67010D1209C1}"/>
    <cellStyle name="Normal 2 4" xfId="55" xr:uid="{E96257D3-C98A-4AC9-A7B2-E6BDC6978BF6}"/>
    <cellStyle name="Normal 3" xfId="7" xr:uid="{1C10DAE4-4F9C-4E19-81E4-5574511A6741}"/>
    <cellStyle name="Normal 4" xfId="11" xr:uid="{43272557-B37F-4996-BC18-AA3EDEAFA379}"/>
    <cellStyle name="Normal 5" xfId="12" xr:uid="{642BE191-BE2F-4847-8420-1C59B95E270E}"/>
    <cellStyle name="Normal 6" xfId="54" xr:uid="{7585D5C8-B005-4741-8680-972F49B8AC32}"/>
    <cellStyle name="Normal 7" xfId="56" xr:uid="{23232EE5-360E-4EBF-B618-7C1CA3AE470F}"/>
    <cellStyle name="Normal_Prototype_Scorecard-LgOffice-2008-03-13" xfId="1" xr:uid="{F839F8A1-86E5-4008-9801-0F032E8A3317}"/>
    <cellStyle name="Note" xfId="25" builtinId="10" customBuiltin="1"/>
    <cellStyle name="Output" xfId="20" builtinId="21" customBuiltin="1"/>
    <cellStyle name="Percent" xfId="2" builtinId="5"/>
    <cellStyle name="Percent 2" xfId="8" xr:uid="{CB789C3E-741F-4464-8065-385A956411E6}"/>
    <cellStyle name="Title 2" xfId="46" xr:uid="{5A7D0C32-8F4B-497D-90E5-7131264DDEAA}"/>
    <cellStyle name="Total" xfId="27" builtinId="25" customBuiltin="1"/>
    <cellStyle name="Warning Text" xfId="24"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8238BA"/>
      <color rgb="FF0000CC"/>
      <color rgb="FFFF9900"/>
      <color rgb="FFCCCCFF"/>
      <color rgb="FFFFEBCD"/>
      <color rgb="FF002F8E"/>
      <color rgb="FF2E9F17"/>
      <color rgb="FFFFFAF3"/>
      <color rgb="FF2DC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layout>
        <c:manualLayout>
          <c:xMode val="edge"/>
          <c:yMode val="edge"/>
          <c:x val="0.44433467123907239"/>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c:v>
                </c:pt>
                <c:pt idx="8">
                  <c:v>0.2</c:v>
                </c:pt>
                <c:pt idx="9">
                  <c:v>0.4</c:v>
                </c:pt>
                <c:pt idx="10">
                  <c:v>0.5</c:v>
                </c:pt>
                <c:pt idx="11">
                  <c:v>0.6</c:v>
                </c:pt>
                <c:pt idx="12">
                  <c:v>0.6</c:v>
                </c:pt>
                <c:pt idx="13">
                  <c:v>0.6</c:v>
                </c:pt>
                <c:pt idx="14">
                  <c:v>0.6</c:v>
                </c:pt>
                <c:pt idx="15">
                  <c:v>0.6</c:v>
                </c:pt>
                <c:pt idx="16">
                  <c:v>0.7</c:v>
                </c:pt>
                <c:pt idx="17">
                  <c:v>0.8</c:v>
                </c:pt>
                <c:pt idx="18">
                  <c:v>0.8</c:v>
                </c:pt>
                <c:pt idx="19">
                  <c:v>0.6</c:v>
                </c:pt>
                <c:pt idx="20">
                  <c:v>0.3</c:v>
                </c:pt>
                <c:pt idx="21">
                  <c:v>0</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c:v>
                </c:pt>
                <c:pt idx="8">
                  <c:v>0.3</c:v>
                </c:pt>
                <c:pt idx="9">
                  <c:v>0.6</c:v>
                </c:pt>
                <c:pt idx="10">
                  <c:v>0.8</c:v>
                </c:pt>
                <c:pt idx="11">
                  <c:v>0.9</c:v>
                </c:pt>
                <c:pt idx="12">
                  <c:v>0.9</c:v>
                </c:pt>
                <c:pt idx="13">
                  <c:v>0.9</c:v>
                </c:pt>
                <c:pt idx="14">
                  <c:v>0.9</c:v>
                </c:pt>
                <c:pt idx="15">
                  <c:v>0.8</c:v>
                </c:pt>
                <c:pt idx="16">
                  <c:v>0.8</c:v>
                </c:pt>
                <c:pt idx="17">
                  <c:v>0.7</c:v>
                </c:pt>
                <c:pt idx="18">
                  <c:v>0.6</c:v>
                </c:pt>
                <c:pt idx="19">
                  <c:v>0.5</c:v>
                </c:pt>
                <c:pt idx="20">
                  <c:v>0.3</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0.2</c:v>
                </c:pt>
                <c:pt idx="9">
                  <c:v>0.5</c:v>
                </c:pt>
                <c:pt idx="10">
                  <c:v>0.7</c:v>
                </c:pt>
                <c:pt idx="11">
                  <c:v>0.8</c:v>
                </c:pt>
                <c:pt idx="12">
                  <c:v>0.8</c:v>
                </c:pt>
                <c:pt idx="13">
                  <c:v>0.8</c:v>
                </c:pt>
                <c:pt idx="14">
                  <c:v>0.8</c:v>
                </c:pt>
                <c:pt idx="15">
                  <c:v>0.7</c:v>
                </c:pt>
                <c:pt idx="16">
                  <c:v>0.7</c:v>
                </c:pt>
                <c:pt idx="17">
                  <c:v>0.6</c:v>
                </c:pt>
                <c:pt idx="18">
                  <c:v>0.5</c:v>
                </c:pt>
                <c:pt idx="19">
                  <c:v>0.4</c:v>
                </c:pt>
                <c:pt idx="20">
                  <c:v>0.2</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0.7</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0.7</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0.7</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c:v>
                </c:pt>
                <c:pt idx="1">
                  <c:v>0.4</c:v>
                </c:pt>
                <c:pt idx="2">
                  <c:v>0.4</c:v>
                </c:pt>
                <c:pt idx="3">
                  <c:v>0.4</c:v>
                </c:pt>
                <c:pt idx="4">
                  <c:v>0.4</c:v>
                </c:pt>
                <c:pt idx="5">
                  <c:v>0.4</c:v>
                </c:pt>
                <c:pt idx="6">
                  <c:v>0.4</c:v>
                </c:pt>
                <c:pt idx="7">
                  <c:v>0.4</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c:v>
                </c:pt>
                <c:pt idx="1">
                  <c:v>0.4</c:v>
                </c:pt>
                <c:pt idx="2">
                  <c:v>0.4</c:v>
                </c:pt>
                <c:pt idx="3">
                  <c:v>0.4</c:v>
                </c:pt>
                <c:pt idx="4">
                  <c:v>0.4</c:v>
                </c:pt>
                <c:pt idx="5">
                  <c:v>0.4</c:v>
                </c:pt>
                <c:pt idx="6">
                  <c:v>0.4</c:v>
                </c:pt>
                <c:pt idx="7">
                  <c:v>0.4</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c:v>
                </c:pt>
                <c:pt idx="1">
                  <c:v>0.4</c:v>
                </c:pt>
                <c:pt idx="2">
                  <c:v>0.4</c:v>
                </c:pt>
                <c:pt idx="3">
                  <c:v>0.4</c:v>
                </c:pt>
                <c:pt idx="4">
                  <c:v>0.4</c:v>
                </c:pt>
                <c:pt idx="5">
                  <c:v>0.4</c:v>
                </c:pt>
                <c:pt idx="6">
                  <c:v>0.4</c:v>
                </c:pt>
                <c:pt idx="7">
                  <c:v>0.4</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RetailMedium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35.099999999999994</c:v>
                </c:pt>
                <c:pt idx="1">
                  <c:v>43.8</c:v>
                </c:pt>
                <c:pt idx="2">
                  <c:v>39.224999999999994</c:v>
                </c:pt>
                <c:pt idx="3">
                  <c:v>45.674999999999997</c:v>
                </c:pt>
                <c:pt idx="4">
                  <c:v>37.799999999999997</c:v>
                </c:pt>
                <c:pt idx="5">
                  <c:v>43.349999999999994</c:v>
                </c:pt>
                <c:pt idx="6">
                  <c:v>43.349999999999994</c:v>
                </c:pt>
                <c:pt idx="7">
                  <c:v>44.174999999999997</c:v>
                </c:pt>
                <c:pt idx="8">
                  <c:v>44.7</c:v>
                </c:pt>
                <c:pt idx="9">
                  <c:v>45.150000000000006</c:v>
                </c:pt>
                <c:pt idx="10">
                  <c:v>46.724999999999994</c:v>
                </c:pt>
                <c:pt idx="11">
                  <c:v>45.974999999999994</c:v>
                </c:pt>
                <c:pt idx="12">
                  <c:v>46.724999999999994</c:v>
                </c:pt>
                <c:pt idx="13">
                  <c:v>46.95</c:v>
                </c:pt>
                <c:pt idx="14">
                  <c:v>45.075000000000003</c:v>
                </c:pt>
                <c:pt idx="15">
                  <c:v>45.900000000000006</c:v>
                </c:pt>
              </c:numCache>
            </c:numRef>
          </c:val>
          <c:extLst>
            <c:ext xmlns:c16="http://schemas.microsoft.com/office/drawing/2014/chart" uri="{C3380CC4-5D6E-409C-BE32-E72D297353CC}">
              <c16:uniqueId val="{00000000-64D0-4525-8450-B3075DBA1BAE}"/>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23.400000000000006</c:v>
                </c:pt>
                <c:pt idx="1">
                  <c:v>29.200000000000003</c:v>
                </c:pt>
                <c:pt idx="2">
                  <c:v>26.150000000000006</c:v>
                </c:pt>
                <c:pt idx="3">
                  <c:v>30.450000000000003</c:v>
                </c:pt>
                <c:pt idx="4">
                  <c:v>25.200000000000003</c:v>
                </c:pt>
                <c:pt idx="5">
                  <c:v>28.900000000000006</c:v>
                </c:pt>
                <c:pt idx="6">
                  <c:v>28.900000000000006</c:v>
                </c:pt>
                <c:pt idx="7">
                  <c:v>29.450000000000003</c:v>
                </c:pt>
                <c:pt idx="8">
                  <c:v>29.799999999999997</c:v>
                </c:pt>
                <c:pt idx="9">
                  <c:v>30.099999999999994</c:v>
                </c:pt>
                <c:pt idx="10">
                  <c:v>31.150000000000006</c:v>
                </c:pt>
                <c:pt idx="11">
                  <c:v>30.650000000000006</c:v>
                </c:pt>
                <c:pt idx="12">
                  <c:v>31.150000000000006</c:v>
                </c:pt>
                <c:pt idx="13">
                  <c:v>31.299999999999997</c:v>
                </c:pt>
                <c:pt idx="14">
                  <c:v>30.049999999999997</c:v>
                </c:pt>
                <c:pt idx="15">
                  <c:v>30.599999999999994</c:v>
                </c:pt>
              </c:numCache>
            </c:numRef>
          </c:val>
          <c:extLst>
            <c:ext xmlns:c16="http://schemas.microsoft.com/office/drawing/2014/chart" uri="{C3380CC4-5D6E-409C-BE32-E72D297353CC}">
              <c16:uniqueId val="{00000001-64D0-4525-8450-B3075DBA1BA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64D0-4525-8450-B3075DBA1BA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64D0-4525-8450-B3075DBA1BA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RetailMedium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36.235439999999997</c:v>
                </c:pt>
                <c:pt idx="1">
                  <c:v>31.091849999999997</c:v>
                </c:pt>
                <c:pt idx="2">
                  <c:v>35.00712</c:v>
                </c:pt>
                <c:pt idx="3">
                  <c:v>35.263019999999997</c:v>
                </c:pt>
                <c:pt idx="4">
                  <c:v>34.751220000000004</c:v>
                </c:pt>
                <c:pt idx="5">
                  <c:v>25.462049999999998</c:v>
                </c:pt>
                <c:pt idx="6">
                  <c:v>28.737570000000002</c:v>
                </c:pt>
                <c:pt idx="7">
                  <c:v>25.103789999999996</c:v>
                </c:pt>
                <c:pt idx="8">
                  <c:v>27.6372</c:v>
                </c:pt>
                <c:pt idx="9">
                  <c:v>27.739560000000001</c:v>
                </c:pt>
                <c:pt idx="10">
                  <c:v>34.085880000000003</c:v>
                </c:pt>
                <c:pt idx="11">
                  <c:v>35.49333</c:v>
                </c:pt>
                <c:pt idx="12">
                  <c:v>38.410589999999999</c:v>
                </c:pt>
                <c:pt idx="13">
                  <c:v>25.282920000000001</c:v>
                </c:pt>
                <c:pt idx="14">
                  <c:v>31.782779999999995</c:v>
                </c:pt>
                <c:pt idx="15">
                  <c:v>28.558439999999994</c:v>
                </c:pt>
              </c:numCache>
            </c:numRef>
          </c:val>
          <c:extLst>
            <c:ext xmlns:c16="http://schemas.microsoft.com/office/drawing/2014/chart" uri="{C3380CC4-5D6E-409C-BE32-E72D297353CC}">
              <c16:uniqueId val="{00000000-964F-4532-ACF6-8598D763CF58}"/>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0.0</c:formatCode>
                <c:ptCount val="16"/>
                <c:pt idx="0">
                  <c:v>24.156959999999998</c:v>
                </c:pt>
                <c:pt idx="1">
                  <c:v>20.727900000000002</c:v>
                </c:pt>
                <c:pt idx="2">
                  <c:v>23.338079999999991</c:v>
                </c:pt>
                <c:pt idx="3">
                  <c:v>23.508679999999998</c:v>
                </c:pt>
                <c:pt idx="4">
                  <c:v>23.167479999999998</c:v>
                </c:pt>
                <c:pt idx="5">
                  <c:v>16.974699999999999</c:v>
                </c:pt>
                <c:pt idx="6">
                  <c:v>19.158379999999998</c:v>
                </c:pt>
                <c:pt idx="7">
                  <c:v>16.735860000000002</c:v>
                </c:pt>
                <c:pt idx="8">
                  <c:v>18.424800000000005</c:v>
                </c:pt>
                <c:pt idx="9">
                  <c:v>18.493040000000004</c:v>
                </c:pt>
                <c:pt idx="10">
                  <c:v>22.723919999999993</c:v>
                </c:pt>
                <c:pt idx="11">
                  <c:v>23.662219999999991</c:v>
                </c:pt>
                <c:pt idx="12">
                  <c:v>25.60705999999999</c:v>
                </c:pt>
                <c:pt idx="13">
                  <c:v>16.855279999999997</c:v>
                </c:pt>
                <c:pt idx="14">
                  <c:v>21.188519999999997</c:v>
                </c:pt>
                <c:pt idx="15">
                  <c:v>19.038959999999999</c:v>
                </c:pt>
              </c:numCache>
            </c:numRef>
          </c:val>
          <c:extLst>
            <c:ext xmlns:c16="http://schemas.microsoft.com/office/drawing/2014/chart" uri="{C3380CC4-5D6E-409C-BE32-E72D297353CC}">
              <c16:uniqueId val="{00000001-964F-4532-ACF6-8598D763CF58}"/>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964F-4532-ACF6-8598D763CF58}"/>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964F-4532-ACF6-8598D763CF58}"/>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tmp"/><Relationship Id="rId1" Type="http://schemas.openxmlformats.org/officeDocument/2006/relationships/image" Target="../media/image14.tmp"/></Relationships>
</file>

<file path=xl/drawings/_rels/drawing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0</xdr:col>
      <xdr:colOff>331694</xdr:colOff>
      <xdr:row>33</xdr:row>
      <xdr:rowOff>89570</xdr:rowOff>
    </xdr:from>
    <xdr:to>
      <xdr:col>2</xdr:col>
      <xdr:colOff>1141411</xdr:colOff>
      <xdr:row>44</xdr:row>
      <xdr:rowOff>139110</xdr:rowOff>
    </xdr:to>
    <xdr:pic>
      <xdr:nvPicPr>
        <xdr:cNvPr id="3" name="Picture 2">
          <a:extLst>
            <a:ext uri="{FF2B5EF4-FFF2-40B4-BE49-F238E27FC236}">
              <a16:creationId xmlns:a16="http://schemas.microsoft.com/office/drawing/2014/main" id="{6D9BCA28-ED9B-F8B0-E20A-27294C7BCF83}"/>
            </a:ext>
          </a:extLst>
        </xdr:cNvPr>
        <xdr:cNvPicPr>
          <a:picLocks noChangeAspect="1"/>
        </xdr:cNvPicPr>
      </xdr:nvPicPr>
      <xdr:blipFill>
        <a:blip xmlns:r="http://schemas.openxmlformats.org/officeDocument/2006/relationships" r:embed="rId1"/>
        <a:stretch>
          <a:fillRect/>
        </a:stretch>
      </xdr:blipFill>
      <xdr:spPr>
        <a:xfrm>
          <a:off x="331694" y="6750346"/>
          <a:ext cx="8429717" cy="19410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52445</xdr:colOff>
      <xdr:row>30</xdr:row>
      <xdr:rowOff>392207</xdr:rowOff>
    </xdr:from>
    <xdr:to>
      <xdr:col>1</xdr:col>
      <xdr:colOff>3447399</xdr:colOff>
      <xdr:row>30</xdr:row>
      <xdr:rowOff>1447464</xdr:rowOff>
    </xdr:to>
    <xdr:pic>
      <xdr:nvPicPr>
        <xdr:cNvPr id="13" name="Picture 12">
          <a:extLst>
            <a:ext uri="{FF2B5EF4-FFF2-40B4-BE49-F238E27FC236}">
              <a16:creationId xmlns:a16="http://schemas.microsoft.com/office/drawing/2014/main" id="{45A43EB6-EA74-7A40-D04D-2373C3F149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66945" y="7575178"/>
          <a:ext cx="3408289" cy="1055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134913</xdr:colOff>
      <xdr:row>35</xdr:row>
      <xdr:rowOff>309442</xdr:rowOff>
    </xdr:from>
    <xdr:to>
      <xdr:col>2</xdr:col>
      <xdr:colOff>2716549</xdr:colOff>
      <xdr:row>35</xdr:row>
      <xdr:rowOff>1375092</xdr:rowOff>
    </xdr:to>
    <xdr:pic>
      <xdr:nvPicPr>
        <xdr:cNvPr id="15" name="Picture 14">
          <a:extLst>
            <a:ext uri="{FF2B5EF4-FFF2-40B4-BE49-F238E27FC236}">
              <a16:creationId xmlns:a16="http://schemas.microsoft.com/office/drawing/2014/main" id="{4C80B8BB-C8E3-1224-5A61-B26E99153F86}"/>
            </a:ext>
          </a:extLst>
        </xdr:cNvPr>
        <xdr:cNvPicPr>
          <a:picLocks noChangeAspect="1"/>
        </xdr:cNvPicPr>
      </xdr:nvPicPr>
      <xdr:blipFill>
        <a:blip xmlns:r="http://schemas.openxmlformats.org/officeDocument/2006/relationships" r:embed="rId2"/>
        <a:stretch>
          <a:fillRect/>
        </a:stretch>
      </xdr:blipFill>
      <xdr:spPr>
        <a:xfrm>
          <a:off x="11262354" y="7313118"/>
          <a:ext cx="2581636" cy="1065650"/>
        </a:xfrm>
        <a:prstGeom prst="rect">
          <a:avLst/>
        </a:prstGeom>
      </xdr:spPr>
    </xdr:pic>
    <xdr:clientData/>
  </xdr:twoCellAnchor>
  <xdr:twoCellAnchor>
    <xdr:from>
      <xdr:col>3</xdr:col>
      <xdr:colOff>65332</xdr:colOff>
      <xdr:row>35</xdr:row>
      <xdr:rowOff>394159</xdr:rowOff>
    </xdr:from>
    <xdr:to>
      <xdr:col>3</xdr:col>
      <xdr:colOff>3074912</xdr:colOff>
      <xdr:row>35</xdr:row>
      <xdr:rowOff>1456765</xdr:rowOff>
    </xdr:to>
    <xdr:pic>
      <xdr:nvPicPr>
        <xdr:cNvPr id="16" name="Picture 15">
          <a:extLst>
            <a:ext uri="{FF2B5EF4-FFF2-40B4-BE49-F238E27FC236}">
              <a16:creationId xmlns:a16="http://schemas.microsoft.com/office/drawing/2014/main" id="{9E1D8925-688A-4941-ED2C-716B0ECC50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330420" y="7397835"/>
          <a:ext cx="3009580" cy="1062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74633</xdr:colOff>
      <xdr:row>35</xdr:row>
      <xdr:rowOff>210327</xdr:rowOff>
    </xdr:from>
    <xdr:to>
      <xdr:col>5</xdr:col>
      <xdr:colOff>3039644</xdr:colOff>
      <xdr:row>35</xdr:row>
      <xdr:rowOff>1434354</xdr:rowOff>
    </xdr:to>
    <xdr:pic>
      <xdr:nvPicPr>
        <xdr:cNvPr id="18" name="Picture 17">
          <a:extLst>
            <a:ext uri="{FF2B5EF4-FFF2-40B4-BE49-F238E27FC236}">
              <a16:creationId xmlns:a16="http://schemas.microsoft.com/office/drawing/2014/main" id="{3AFA9C98-B3B3-F63D-E38E-23943B91C609}"/>
            </a:ext>
          </a:extLst>
        </xdr:cNvPr>
        <xdr:cNvPicPr>
          <a:picLocks noChangeAspect="1"/>
        </xdr:cNvPicPr>
      </xdr:nvPicPr>
      <xdr:blipFill>
        <a:blip xmlns:r="http://schemas.openxmlformats.org/officeDocument/2006/relationships" r:embed="rId4"/>
        <a:stretch>
          <a:fillRect/>
        </a:stretch>
      </xdr:blipFill>
      <xdr:spPr>
        <a:xfrm>
          <a:off x="26531721" y="7214003"/>
          <a:ext cx="2965011" cy="1224027"/>
        </a:xfrm>
        <a:prstGeom prst="rect">
          <a:avLst/>
        </a:prstGeom>
      </xdr:spPr>
    </xdr:pic>
    <xdr:clientData/>
  </xdr:twoCellAnchor>
  <xdr:twoCellAnchor>
    <xdr:from>
      <xdr:col>1</xdr:col>
      <xdr:colOff>241792</xdr:colOff>
      <xdr:row>35</xdr:row>
      <xdr:rowOff>254179</xdr:rowOff>
    </xdr:from>
    <xdr:to>
      <xdr:col>1</xdr:col>
      <xdr:colOff>2870167</xdr:colOff>
      <xdr:row>35</xdr:row>
      <xdr:rowOff>1362745</xdr:rowOff>
    </xdr:to>
    <xdr:pic>
      <xdr:nvPicPr>
        <xdr:cNvPr id="19" name="Picture 18">
          <a:extLst>
            <a:ext uri="{FF2B5EF4-FFF2-40B4-BE49-F238E27FC236}">
              <a16:creationId xmlns:a16="http://schemas.microsoft.com/office/drawing/2014/main" id="{47AF1A39-050B-8441-BE75-39849A3D7339}"/>
            </a:ext>
          </a:extLst>
        </xdr:cNvPr>
        <xdr:cNvPicPr>
          <a:picLocks noChangeAspect="1"/>
        </xdr:cNvPicPr>
      </xdr:nvPicPr>
      <xdr:blipFill>
        <a:blip xmlns:r="http://schemas.openxmlformats.org/officeDocument/2006/relationships" r:embed="rId5"/>
        <a:stretch>
          <a:fillRect/>
        </a:stretch>
      </xdr:blipFill>
      <xdr:spPr>
        <a:xfrm>
          <a:off x="8433292" y="7257855"/>
          <a:ext cx="2628375" cy="1108566"/>
        </a:xfrm>
        <a:prstGeom prst="rect">
          <a:avLst/>
        </a:prstGeom>
      </xdr:spPr>
    </xdr:pic>
    <xdr:clientData/>
  </xdr:twoCellAnchor>
  <xdr:twoCellAnchor>
    <xdr:from>
      <xdr:col>1</xdr:col>
      <xdr:colOff>313765</xdr:colOff>
      <xdr:row>40</xdr:row>
      <xdr:rowOff>252299</xdr:rowOff>
    </xdr:from>
    <xdr:to>
      <xdr:col>1</xdr:col>
      <xdr:colOff>2761056</xdr:colOff>
      <xdr:row>40</xdr:row>
      <xdr:rowOff>1540809</xdr:rowOff>
    </xdr:to>
    <xdr:pic>
      <xdr:nvPicPr>
        <xdr:cNvPr id="20" name="Picture 19">
          <a:extLst>
            <a:ext uri="{FF2B5EF4-FFF2-40B4-BE49-F238E27FC236}">
              <a16:creationId xmlns:a16="http://schemas.microsoft.com/office/drawing/2014/main" id="{367EE4C1-741C-1A7C-A298-0D09B6F94333}"/>
            </a:ext>
          </a:extLst>
        </xdr:cNvPr>
        <xdr:cNvPicPr>
          <a:picLocks noChangeAspect="1"/>
        </xdr:cNvPicPr>
      </xdr:nvPicPr>
      <xdr:blipFill>
        <a:blip xmlns:r="http://schemas.openxmlformats.org/officeDocument/2006/relationships" r:embed="rId6"/>
        <a:stretch>
          <a:fillRect/>
        </a:stretch>
      </xdr:blipFill>
      <xdr:spPr>
        <a:xfrm>
          <a:off x="8964706" y="7435270"/>
          <a:ext cx="2451101" cy="1284700"/>
        </a:xfrm>
        <a:prstGeom prst="rect">
          <a:avLst/>
        </a:prstGeom>
      </xdr:spPr>
    </xdr:pic>
    <xdr:clientData/>
  </xdr:twoCellAnchor>
  <xdr:twoCellAnchor>
    <xdr:from>
      <xdr:col>2</xdr:col>
      <xdr:colOff>114734</xdr:colOff>
      <xdr:row>40</xdr:row>
      <xdr:rowOff>54125</xdr:rowOff>
    </xdr:from>
    <xdr:to>
      <xdr:col>2</xdr:col>
      <xdr:colOff>2454088</xdr:colOff>
      <xdr:row>40</xdr:row>
      <xdr:rowOff>1555991</xdr:rowOff>
    </xdr:to>
    <xdr:pic>
      <xdr:nvPicPr>
        <xdr:cNvPr id="21" name="Picture 20">
          <a:extLst>
            <a:ext uri="{FF2B5EF4-FFF2-40B4-BE49-F238E27FC236}">
              <a16:creationId xmlns:a16="http://schemas.microsoft.com/office/drawing/2014/main" id="{CF6F9B66-C6E0-4EEA-AB60-D8D93953091B}"/>
            </a:ext>
          </a:extLst>
        </xdr:cNvPr>
        <xdr:cNvPicPr>
          <a:picLocks noChangeAspect="1"/>
        </xdr:cNvPicPr>
      </xdr:nvPicPr>
      <xdr:blipFill>
        <a:blip xmlns:r="http://schemas.openxmlformats.org/officeDocument/2006/relationships" r:embed="rId7"/>
        <a:stretch>
          <a:fillRect/>
        </a:stretch>
      </xdr:blipFill>
      <xdr:spPr>
        <a:xfrm>
          <a:off x="23714322" y="7057801"/>
          <a:ext cx="2339354" cy="1501866"/>
        </a:xfrm>
        <a:prstGeom prst="rect">
          <a:avLst/>
        </a:prstGeom>
      </xdr:spPr>
    </xdr:pic>
    <xdr:clientData/>
  </xdr:twoCellAnchor>
  <xdr:twoCellAnchor>
    <xdr:from>
      <xdr:col>2</xdr:col>
      <xdr:colOff>218179</xdr:colOff>
      <xdr:row>30</xdr:row>
      <xdr:rowOff>113554</xdr:rowOff>
    </xdr:from>
    <xdr:to>
      <xdr:col>2</xdr:col>
      <xdr:colOff>2850103</xdr:colOff>
      <xdr:row>30</xdr:row>
      <xdr:rowOff>1668810</xdr:rowOff>
    </xdr:to>
    <xdr:pic>
      <xdr:nvPicPr>
        <xdr:cNvPr id="22" name="Picture 21">
          <a:extLst>
            <a:ext uri="{FF2B5EF4-FFF2-40B4-BE49-F238E27FC236}">
              <a16:creationId xmlns:a16="http://schemas.microsoft.com/office/drawing/2014/main" id="{266977DA-7DCF-FFA2-D686-40D70B90B1E2}"/>
            </a:ext>
          </a:extLst>
        </xdr:cNvPr>
        <xdr:cNvPicPr>
          <a:picLocks noChangeAspect="1"/>
        </xdr:cNvPicPr>
      </xdr:nvPicPr>
      <xdr:blipFill>
        <a:blip xmlns:r="http://schemas.openxmlformats.org/officeDocument/2006/relationships" r:embed="rId8"/>
        <a:stretch>
          <a:fillRect/>
        </a:stretch>
      </xdr:blipFill>
      <xdr:spPr>
        <a:xfrm>
          <a:off x="17396797" y="7117230"/>
          <a:ext cx="2631924" cy="1555256"/>
        </a:xfrm>
        <a:prstGeom prst="rect">
          <a:avLst/>
        </a:prstGeom>
      </xdr:spPr>
    </xdr:pic>
    <xdr:clientData/>
  </xdr:twoCellAnchor>
  <xdr:twoCellAnchor>
    <xdr:from>
      <xdr:col>3</xdr:col>
      <xdr:colOff>97265</xdr:colOff>
      <xdr:row>30</xdr:row>
      <xdr:rowOff>193201</xdr:rowOff>
    </xdr:from>
    <xdr:to>
      <xdr:col>3</xdr:col>
      <xdr:colOff>2859405</xdr:colOff>
      <xdr:row>30</xdr:row>
      <xdr:rowOff>1556600</xdr:rowOff>
    </xdr:to>
    <xdr:pic>
      <xdr:nvPicPr>
        <xdr:cNvPr id="23" name="Picture 22">
          <a:extLst>
            <a:ext uri="{FF2B5EF4-FFF2-40B4-BE49-F238E27FC236}">
              <a16:creationId xmlns:a16="http://schemas.microsoft.com/office/drawing/2014/main" id="{9F973CE7-AED9-6585-B3B6-A3BE1194169B}"/>
            </a:ext>
          </a:extLst>
        </xdr:cNvPr>
        <xdr:cNvPicPr>
          <a:picLocks noChangeAspect="1"/>
        </xdr:cNvPicPr>
      </xdr:nvPicPr>
      <xdr:blipFill>
        <a:blip xmlns:r="http://schemas.openxmlformats.org/officeDocument/2006/relationships" r:embed="rId9"/>
        <a:stretch>
          <a:fillRect/>
        </a:stretch>
      </xdr:blipFill>
      <xdr:spPr>
        <a:xfrm>
          <a:off x="20563591" y="7233418"/>
          <a:ext cx="2762140" cy="1363399"/>
        </a:xfrm>
        <a:prstGeom prst="rect">
          <a:avLst/>
        </a:prstGeom>
      </xdr:spPr>
    </xdr:pic>
    <xdr:clientData/>
  </xdr:twoCellAnchor>
  <xdr:twoCellAnchor editAs="oneCell">
    <xdr:from>
      <xdr:col>1</xdr:col>
      <xdr:colOff>685800</xdr:colOff>
      <xdr:row>7</xdr:row>
      <xdr:rowOff>9525</xdr:rowOff>
    </xdr:from>
    <xdr:to>
      <xdr:col>1</xdr:col>
      <xdr:colOff>2952750</xdr:colOff>
      <xdr:row>7</xdr:row>
      <xdr:rowOff>1162050</xdr:rowOff>
    </xdr:to>
    <xdr:pic>
      <xdr:nvPicPr>
        <xdr:cNvPr id="6" name="Picture 5">
          <a:extLst>
            <a:ext uri="{FF2B5EF4-FFF2-40B4-BE49-F238E27FC236}">
              <a16:creationId xmlns:a16="http://schemas.microsoft.com/office/drawing/2014/main" id="{571BCC73-D958-361C-4C86-4BCC24EA87F6}"/>
            </a:ext>
            <a:ext uri="{147F2762-F138-4A5C-976F-8EAC2B608ADB}">
              <a16:predDERef xmlns:a16="http://schemas.microsoft.com/office/drawing/2014/main" pred="{F18782F0-93EE-515F-A626-4E4BDB8A4EFC}"/>
            </a:ext>
          </a:extLst>
        </xdr:cNvPr>
        <xdr:cNvPicPr>
          <a:picLocks noChangeAspect="1"/>
        </xdr:cNvPicPr>
      </xdr:nvPicPr>
      <xdr:blipFill>
        <a:blip xmlns:r="http://schemas.openxmlformats.org/officeDocument/2006/relationships" r:embed="rId10"/>
        <a:stretch>
          <a:fillRect/>
        </a:stretch>
      </xdr:blipFill>
      <xdr:spPr>
        <a:xfrm>
          <a:off x="2524125" y="1562100"/>
          <a:ext cx="2266950" cy="1152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17</xdr:col>
      <xdr:colOff>539611</xdr:colOff>
      <xdr:row>0</xdr:row>
      <xdr:rowOff>73135</xdr:rowOff>
    </xdr:from>
    <xdr:to>
      <xdr:col>17</xdr:col>
      <xdr:colOff>539611</xdr:colOff>
      <xdr:row>1</xdr:row>
      <xdr:rowOff>36029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24418786" y="731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544168</xdr:colOff>
      <xdr:row>0</xdr:row>
      <xdr:rowOff>134180</xdr:rowOff>
    </xdr:from>
    <xdr:to>
      <xdr:col>17</xdr:col>
      <xdr:colOff>784362</xdr:colOff>
      <xdr:row>1</xdr:row>
      <xdr:rowOff>169878</xdr:rowOff>
    </xdr:to>
    <xdr:sp macro="" textlink="">
      <xdr:nvSpPr>
        <xdr:cNvPr id="8" name="TextBox 7">
          <a:extLst>
            <a:ext uri="{FF2B5EF4-FFF2-40B4-BE49-F238E27FC236}">
              <a16:creationId xmlns:a16="http://schemas.microsoft.com/office/drawing/2014/main" id="{1DDDC35D-79DC-FE8D-E36B-A215903DCB00}"/>
            </a:ext>
            <a:ext uri="{147F2762-F138-4A5C-976F-8EAC2B608ADB}">
              <a16:predDERef xmlns:a16="http://schemas.microsoft.com/office/drawing/2014/main" pred="{BB0EC946-BDB6-09C9-DB60-21B21720AE71}"/>
            </a:ext>
          </a:extLst>
        </xdr:cNvPr>
        <xdr:cNvSpPr txBox="1"/>
      </xdr:nvSpPr>
      <xdr:spPr>
        <a:xfrm>
          <a:off x="24423343" y="134180"/>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15</xdr:col>
      <xdr:colOff>600075</xdr:colOff>
      <xdr:row>1</xdr:row>
      <xdr:rowOff>114300</xdr:rowOff>
    </xdr:from>
    <xdr:to>
      <xdr:col>17</xdr:col>
      <xdr:colOff>1050888</xdr:colOff>
      <xdr:row>9</xdr:row>
      <xdr:rowOff>321945</xdr:rowOff>
    </xdr:to>
    <xdr:pic>
      <xdr:nvPicPr>
        <xdr:cNvPr id="6" name="Picture 5">
          <a:extLst>
            <a:ext uri="{FF2B5EF4-FFF2-40B4-BE49-F238E27FC236}">
              <a16:creationId xmlns:a16="http://schemas.microsoft.com/office/drawing/2014/main" id="{7C5E3427-A702-C242-7D99-DD7766088B27}"/>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a:off x="14792325" y="438150"/>
          <a:ext cx="3552825" cy="2619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353153</xdr:colOff>
      <xdr:row>39</xdr:row>
      <xdr:rowOff>103790</xdr:rowOff>
    </xdr:from>
    <xdr:ext cx="2486193" cy="365678"/>
    <mc:AlternateContent xmlns:mc="http://schemas.openxmlformats.org/markup-compatibility/2006" xmlns:a14="http://schemas.microsoft.com/office/drawing/2010/main">
      <mc:Choice Requires="a14">
        <xdr:sp macro="" textlink="">
          <xdr:nvSpPr>
            <xdr:cNvPr id="12" name="TextBox 1">
              <a:extLst>
                <a:ext uri="{FF2B5EF4-FFF2-40B4-BE49-F238E27FC236}">
                  <a16:creationId xmlns:a16="http://schemas.microsoft.com/office/drawing/2014/main" id="{338B3BB2-BD6D-4EF6-9260-7D0809D8F590}"/>
                </a:ext>
              </a:extLst>
            </xdr:cNvPr>
            <xdr:cNvSpPr txBox="1">
              <a:spLocks/>
            </xdr:cNvSpPr>
          </xdr:nvSpPr>
          <xdr:spPr>
            <a:xfrm>
              <a:off x="353153" y="13024172"/>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12" name="TextBox 1">
              <a:extLst>
                <a:ext uri="{FF2B5EF4-FFF2-40B4-BE49-F238E27FC236}">
                  <a16:creationId xmlns:a16="http://schemas.microsoft.com/office/drawing/2014/main" id="{338B3BB2-BD6D-4EF6-9260-7D0809D8F590}"/>
                </a:ext>
              </a:extLst>
            </xdr:cNvPr>
            <xdr:cNvSpPr txBox="1">
              <a:spLocks/>
            </xdr:cNvSpPr>
          </xdr:nvSpPr>
          <xdr:spPr>
            <a:xfrm>
              <a:off x="353153" y="13024172"/>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260593</xdr:colOff>
      <xdr:row>30</xdr:row>
      <xdr:rowOff>0</xdr:rowOff>
    </xdr:from>
    <xdr:ext cx="1369028" cy="372025"/>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EF2F20C7-D42F-4D1B-A49F-8B08EC5DC558}"/>
                </a:ext>
                <a:ext uri="{147F2762-F138-4A5C-976F-8EAC2B608ADB}">
                  <a16:predDERef xmlns:a16="http://schemas.microsoft.com/office/drawing/2014/main" pred="{338B3BB2-BD6D-4EF6-9260-7D0809D8F590}"/>
                </a:ext>
              </a:extLst>
            </xdr:cNvPr>
            <xdr:cNvSpPr txBox="1">
              <a:spLocks/>
            </xdr:cNvSpPr>
          </xdr:nvSpPr>
          <xdr:spPr>
            <a:xfrm>
              <a:off x="260593" y="11508441"/>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10" name="TextBox 2">
              <a:extLst>
                <a:ext uri="{FF2B5EF4-FFF2-40B4-BE49-F238E27FC236}">
                  <a16:creationId xmlns:a16="http://schemas.microsoft.com/office/drawing/2014/main" id="{EF2F20C7-D42F-4D1B-A49F-8B08EC5DC558}"/>
                </a:ext>
                <a:ext uri="{147F2762-F138-4A5C-976F-8EAC2B608ADB}">
                  <a16:predDERef xmlns:a16="http://schemas.microsoft.com/office/drawing/2014/main" pred="{338B3BB2-BD6D-4EF6-9260-7D0809D8F590}"/>
                </a:ext>
              </a:extLst>
            </xdr:cNvPr>
            <xdr:cNvSpPr txBox="1">
              <a:spLocks/>
            </xdr:cNvSpPr>
          </xdr:nvSpPr>
          <xdr:spPr>
            <a:xfrm>
              <a:off x="260593" y="11508441"/>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227259</xdr:colOff>
      <xdr:row>33</xdr:row>
      <xdr:rowOff>54893</xdr:rowOff>
    </xdr:from>
    <xdr:ext cx="2027222" cy="35105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BDCB3C6-5E05-4FBE-A417-88BA8E1D69E0}"/>
                </a:ext>
              </a:extLst>
            </xdr:cNvPr>
            <xdr:cNvSpPr txBox="1">
              <a:spLocks/>
            </xdr:cNvSpPr>
          </xdr:nvSpPr>
          <xdr:spPr>
            <a:xfrm>
              <a:off x="227259" y="12033981"/>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4" name="TextBox 3">
              <a:extLst>
                <a:ext uri="{FF2B5EF4-FFF2-40B4-BE49-F238E27FC236}">
                  <a16:creationId xmlns:a16="http://schemas.microsoft.com/office/drawing/2014/main" id="{3BDCB3C6-5E05-4FBE-A417-88BA8E1D69E0}"/>
                </a:ext>
              </a:extLst>
            </xdr:cNvPr>
            <xdr:cNvSpPr txBox="1">
              <a:spLocks/>
            </xdr:cNvSpPr>
          </xdr:nvSpPr>
          <xdr:spPr>
            <a:xfrm>
              <a:off x="227259" y="12033981"/>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293370</xdr:colOff>
      <xdr:row>36</xdr:row>
      <xdr:rowOff>136465</xdr:rowOff>
    </xdr:from>
    <xdr:ext cx="2360967" cy="328231"/>
    <mc:AlternateContent xmlns:mc="http://schemas.openxmlformats.org/markup-compatibility/2006" xmlns:a14="http://schemas.microsoft.com/office/drawing/2010/main">
      <mc:Choice Requires="a14">
        <xdr:sp macro="" textlink="">
          <xdr:nvSpPr>
            <xdr:cNvPr id="11" name="TextBox 4">
              <a:extLst>
                <a:ext uri="{FF2B5EF4-FFF2-40B4-BE49-F238E27FC236}">
                  <a16:creationId xmlns:a16="http://schemas.microsoft.com/office/drawing/2014/main" id="{821A7335-42B5-4A55-930B-3A316D84916C}"/>
                </a:ext>
                <a:ext uri="{147F2762-F138-4A5C-976F-8EAC2B608ADB}">
                  <a16:predDERef xmlns:a16="http://schemas.microsoft.com/office/drawing/2014/main" pred="{3BDCB3C6-5E05-4FBE-A417-88BA8E1D69E0}"/>
                </a:ext>
              </a:extLst>
            </xdr:cNvPr>
            <xdr:cNvSpPr txBox="1">
              <a:spLocks/>
            </xdr:cNvSpPr>
          </xdr:nvSpPr>
          <xdr:spPr>
            <a:xfrm>
              <a:off x="293370" y="12586200"/>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11" name="TextBox 4">
              <a:extLst>
                <a:ext uri="{FF2B5EF4-FFF2-40B4-BE49-F238E27FC236}">
                  <a16:creationId xmlns:a16="http://schemas.microsoft.com/office/drawing/2014/main" id="{821A7335-42B5-4A55-930B-3A316D84916C}"/>
                </a:ext>
                <a:ext uri="{147F2762-F138-4A5C-976F-8EAC2B608ADB}">
                  <a16:predDERef xmlns:a16="http://schemas.microsoft.com/office/drawing/2014/main" pred="{3BDCB3C6-5E05-4FBE-A417-88BA8E1D69E0}"/>
                </a:ext>
              </a:extLst>
            </xdr:cNvPr>
            <xdr:cNvSpPr txBox="1">
              <a:spLocks/>
            </xdr:cNvSpPr>
          </xdr:nvSpPr>
          <xdr:spPr>
            <a:xfrm>
              <a:off x="293370" y="12586200"/>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84</xdr:row>
      <xdr:rowOff>76200</xdr:rowOff>
    </xdr:from>
    <xdr:to>
      <xdr:col>2</xdr:col>
      <xdr:colOff>1139394</xdr:colOff>
      <xdr:row>111</xdr:row>
      <xdr:rowOff>141483</xdr:rowOff>
    </xdr:to>
    <xdr:pic>
      <xdr:nvPicPr>
        <xdr:cNvPr id="2" name="Picture 2">
          <a:extLst>
            <a:ext uri="{FF2B5EF4-FFF2-40B4-BE49-F238E27FC236}">
              <a16:creationId xmlns:a16="http://schemas.microsoft.com/office/drawing/2014/main" id="{0751E976-426E-4937-9236-F62CA3F476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355050"/>
          <a:ext cx="5511369"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152400</xdr:colOff>
      <xdr:row>18</xdr:row>
      <xdr:rowOff>104775</xdr:rowOff>
    </xdr:from>
    <xdr:to>
      <xdr:col>6</xdr:col>
      <xdr:colOff>664845</xdr:colOff>
      <xdr:row>26</xdr:row>
      <xdr:rowOff>87630</xdr:rowOff>
    </xdr:to>
    <xdr:pic>
      <xdr:nvPicPr>
        <xdr:cNvPr id="2" name="Picture 1">
          <a:extLst>
            <a:ext uri="{FF2B5EF4-FFF2-40B4-BE49-F238E27FC236}">
              <a16:creationId xmlns:a16="http://schemas.microsoft.com/office/drawing/2014/main" id="{907CEDC4-1205-D482-5762-36037936B41B}"/>
            </a:ext>
          </a:extLst>
        </xdr:cNvPr>
        <xdr:cNvPicPr>
          <a:picLocks noChangeAspect="1"/>
        </xdr:cNvPicPr>
      </xdr:nvPicPr>
      <xdr:blipFill>
        <a:blip xmlns:r="http://schemas.openxmlformats.org/officeDocument/2006/relationships" r:embed="rId1"/>
        <a:stretch>
          <a:fillRect/>
        </a:stretch>
      </xdr:blipFill>
      <xdr:spPr>
        <a:xfrm>
          <a:off x="6115050" y="6734175"/>
          <a:ext cx="4570095" cy="1306830"/>
        </a:xfrm>
        <a:prstGeom prst="rect">
          <a:avLst/>
        </a:prstGeom>
      </xdr:spPr>
    </xdr:pic>
    <xdr:clientData/>
  </xdr:twoCellAnchor>
  <xdr:twoCellAnchor editAs="oneCell">
    <xdr:from>
      <xdr:col>3</xdr:col>
      <xdr:colOff>152400</xdr:colOff>
      <xdr:row>27</xdr:row>
      <xdr:rowOff>9525</xdr:rowOff>
    </xdr:from>
    <xdr:to>
      <xdr:col>6</xdr:col>
      <xdr:colOff>668655</xdr:colOff>
      <xdr:row>27</xdr:row>
      <xdr:rowOff>150495</xdr:rowOff>
    </xdr:to>
    <xdr:pic>
      <xdr:nvPicPr>
        <xdr:cNvPr id="3" name="Picture 2">
          <a:extLst>
            <a:ext uri="{FF2B5EF4-FFF2-40B4-BE49-F238E27FC236}">
              <a16:creationId xmlns:a16="http://schemas.microsoft.com/office/drawing/2014/main" id="{F3B5E6EF-F387-6CA4-B9D5-E5176563ECC2}"/>
            </a:ext>
            <a:ext uri="{147F2762-F138-4A5C-976F-8EAC2B608ADB}">
              <a16:predDERef xmlns:a16="http://schemas.microsoft.com/office/drawing/2014/main" pred="{907CEDC4-1205-D482-5762-36037936B41B}"/>
            </a:ext>
          </a:extLst>
        </xdr:cNvPr>
        <xdr:cNvPicPr>
          <a:picLocks noChangeAspect="1"/>
        </xdr:cNvPicPr>
      </xdr:nvPicPr>
      <xdr:blipFill>
        <a:blip xmlns:r="http://schemas.openxmlformats.org/officeDocument/2006/relationships" r:embed="rId2"/>
        <a:stretch>
          <a:fillRect/>
        </a:stretch>
      </xdr:blipFill>
      <xdr:spPr>
        <a:xfrm>
          <a:off x="6115050" y="8124825"/>
          <a:ext cx="4573905" cy="14097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18</xdr:row>
      <xdr:rowOff>125729</xdr:rowOff>
    </xdr:from>
    <xdr:to>
      <xdr:col>4</xdr:col>
      <xdr:colOff>629008</xdr:colOff>
      <xdr:row>38</xdr:row>
      <xdr:rowOff>5714</xdr:rowOff>
    </xdr:to>
    <xdr:pic>
      <xdr:nvPicPr>
        <xdr:cNvPr id="2" name="Picture 1">
          <a:extLst>
            <a:ext uri="{FF2B5EF4-FFF2-40B4-BE49-F238E27FC236}">
              <a16:creationId xmlns:a16="http://schemas.microsoft.com/office/drawing/2014/main" id="{D7AFFBF3-95D4-4DEF-A310-E3C99FD31C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3907154"/>
          <a:ext cx="5572482" cy="3307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29</xdr:col>
      <xdr:colOff>289560</xdr:colOff>
      <xdr:row>1</xdr:row>
      <xdr:rowOff>251791</xdr:rowOff>
    </xdr:from>
    <xdr:to>
      <xdr:col>36</xdr:col>
      <xdr:colOff>0</xdr:colOff>
      <xdr:row>5</xdr:row>
      <xdr:rowOff>364434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23</xdr:col>
      <xdr:colOff>485775</xdr:colOff>
      <xdr:row>23</xdr:row>
      <xdr:rowOff>152400</xdr:rowOff>
    </xdr:from>
    <xdr:to>
      <xdr:col>40</xdr:col>
      <xdr:colOff>264734</xdr:colOff>
      <xdr:row>52</xdr:row>
      <xdr:rowOff>22553</xdr:rowOff>
    </xdr:to>
    <xdr:graphicFrame macro="">
      <xdr:nvGraphicFramePr>
        <xdr:cNvPr id="7" name="Chart 2">
          <a:extLst>
            <a:ext uri="{FF2B5EF4-FFF2-40B4-BE49-F238E27FC236}">
              <a16:creationId xmlns:a16="http://schemas.microsoft.com/office/drawing/2014/main" id="{A9375B8D-4916-4A48-A9ED-CEFAFC0F588A}"/>
            </a:ext>
            <a:ext uri="{147F2762-F138-4A5C-976F-8EAC2B608ADB}">
              <a16:predDERef xmlns:a16="http://schemas.microsoft.com/office/drawing/2014/main" pred="{739FCDD5-3C6A-46AF-B213-5AEAD1255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533400</xdr:colOff>
      <xdr:row>1</xdr:row>
      <xdr:rowOff>428625</xdr:rowOff>
    </xdr:from>
    <xdr:to>
      <xdr:col>40</xdr:col>
      <xdr:colOff>264585</xdr:colOff>
      <xdr:row>20</xdr:row>
      <xdr:rowOff>154940</xdr:rowOff>
    </xdr:to>
    <xdr:graphicFrame macro="">
      <xdr:nvGraphicFramePr>
        <xdr:cNvPr id="8" name="Chart 1">
          <a:extLst>
            <a:ext uri="{FF2B5EF4-FFF2-40B4-BE49-F238E27FC236}">
              <a16:creationId xmlns:a16="http://schemas.microsoft.com/office/drawing/2014/main" id="{5AC1F19F-ED31-400E-B053-4AF3F62345AC}"/>
            </a:ext>
            <a:ext uri="{147F2762-F138-4A5C-976F-8EAC2B608ADB}">
              <a16:predDERef xmlns:a16="http://schemas.microsoft.com/office/drawing/2014/main" pred="{A9375B8D-4916-4A48-A9ED-CEFAFC0F5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250627</xdr:colOff>
      <xdr:row>22</xdr:row>
      <xdr:rowOff>168221</xdr:rowOff>
    </xdr:from>
    <xdr:to>
      <xdr:col>9</xdr:col>
      <xdr:colOff>163830</xdr:colOff>
      <xdr:row>32</xdr:row>
      <xdr:rowOff>143847</xdr:rowOff>
    </xdr:to>
    <xdr:pic>
      <xdr:nvPicPr>
        <xdr:cNvPr id="2" name="Picture 1">
          <a:extLst>
            <a:ext uri="{FF2B5EF4-FFF2-40B4-BE49-F238E27FC236}">
              <a16:creationId xmlns:a16="http://schemas.microsoft.com/office/drawing/2014/main" id="{C68FDA43-0D02-4D6B-8A10-1F478024FA93}"/>
            </a:ext>
          </a:extLst>
        </xdr:cNvPr>
        <xdr:cNvPicPr>
          <a:picLocks noChangeAspect="1"/>
        </xdr:cNvPicPr>
      </xdr:nvPicPr>
      <xdr:blipFill>
        <a:blip xmlns:r="http://schemas.openxmlformats.org/officeDocument/2006/relationships" r:embed="rId1"/>
        <a:stretch>
          <a:fillRect/>
        </a:stretch>
      </xdr:blipFill>
      <xdr:spPr>
        <a:xfrm>
          <a:off x="250627" y="4168721"/>
          <a:ext cx="5399603" cy="1785376"/>
        </a:xfrm>
        <a:prstGeom prst="rect">
          <a:avLst/>
        </a:prstGeom>
      </xdr:spPr>
    </xdr:pic>
    <xdr:clientData/>
  </xdr:twoCellAnchor>
  <xdr:twoCellAnchor>
    <xdr:from>
      <xdr:col>0</xdr:col>
      <xdr:colOff>0</xdr:colOff>
      <xdr:row>14</xdr:row>
      <xdr:rowOff>38100</xdr:rowOff>
    </xdr:from>
    <xdr:to>
      <xdr:col>10</xdr:col>
      <xdr:colOff>104775</xdr:colOff>
      <xdr:row>22</xdr:row>
      <xdr:rowOff>105747</xdr:rowOff>
    </xdr:to>
    <xdr:pic>
      <xdr:nvPicPr>
        <xdr:cNvPr id="3" name="Picture 2">
          <a:extLst>
            <a:ext uri="{FF2B5EF4-FFF2-40B4-BE49-F238E27FC236}">
              <a16:creationId xmlns:a16="http://schemas.microsoft.com/office/drawing/2014/main" id="{E484624E-F40F-47F4-AA72-4A9B10BD7C89}"/>
            </a:ext>
          </a:extLst>
        </xdr:cNvPr>
        <xdr:cNvPicPr>
          <a:picLocks noChangeAspect="1"/>
        </xdr:cNvPicPr>
      </xdr:nvPicPr>
      <xdr:blipFill>
        <a:blip xmlns:r="http://schemas.openxmlformats.org/officeDocument/2006/relationships" r:embed="rId2"/>
        <a:stretch>
          <a:fillRect/>
        </a:stretch>
      </xdr:blipFill>
      <xdr:spPr>
        <a:xfrm>
          <a:off x="0" y="2590800"/>
          <a:ext cx="6200775" cy="151544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info.gov/content/pkg/CFR-2024-title10-vol3/pdf/CFR-2024-title10-vol3-part431-subpartF.pdf" TargetMode="External"/><Relationship Id="rId13" Type="http://schemas.openxmlformats.org/officeDocument/2006/relationships/hyperlink" Target="https://www.osti.gov/servlets/purl/1037934" TargetMode="External"/><Relationship Id="rId18" Type="http://schemas.openxmlformats.org/officeDocument/2006/relationships/hyperlink" Target="https://www.energy.ca.gov/publications/2025/2025-nonresidential-and-multifamily-alternative-calculation-method-reference" TargetMode="External"/><Relationship Id="rId3" Type="http://schemas.openxmlformats.org/officeDocument/2006/relationships/hyperlink" Target="https://github.com/sound-data/DEER-Prototypes-EnergyPlus" TargetMode="External"/><Relationship Id="rId21" Type="http://schemas.openxmlformats.org/officeDocument/2006/relationships/hyperlink" Target="https://www.thefreelibrary.com/Determining+Vintage+Bins+for+Prototype+Development%3a+An+Analysis+of...-a0879271125" TargetMode="External"/><Relationship Id="rId7" Type="http://schemas.openxmlformats.org/officeDocument/2006/relationships/hyperlink" Target="https://www.govinfo.gov/content/pkg/FR-2009-03-23/pdf/FR-2009-03-23.pdf" TargetMode="External"/><Relationship Id="rId12" Type="http://schemas.openxmlformats.org/officeDocument/2006/relationships/hyperlink" Target="https://efiling.energy.ca.gov/GetDocument.aspx?tn=265693&amp;DocumentContentId=102545" TargetMode="External"/><Relationship Id="rId17" Type="http://schemas.openxmlformats.org/officeDocument/2006/relationships/hyperlink" Target="https://www.energy.ca.gov/publications/2022/2022-nonresidential-and-multifamily-alternative-calculation-method-reference" TargetMode="External"/><Relationship Id="rId25" Type="http://schemas.openxmlformats.org/officeDocument/2006/relationships/drawing" Target="../drawings/drawing1.xml"/><Relationship Id="rId2" Type="http://schemas.openxmlformats.org/officeDocument/2006/relationships/hyperlink" Target="https://www.energycodes.gov/prototype-building-models" TargetMode="External"/><Relationship Id="rId16" Type="http://schemas.openxmlformats.org/officeDocument/2006/relationships/hyperlink" Target="https://www.grainger.com/category/plumbing/water-heaters/electric-tank-water-heaters" TargetMode="External"/><Relationship Id="rId20"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 Type="http://schemas.openxmlformats.org/officeDocument/2006/relationships/hyperlink" Target="https://bees.noresco.com/software2022.html" TargetMode="External"/><Relationship Id="rId6"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1" Type="http://schemas.openxmlformats.org/officeDocument/2006/relationships/hyperlink" Target="https://title24stakeholders.com/wp-content/uploads/2016/10/T24-2019-CASE-Study-Results-Report-Outdoor-Sources_Final_with-Attachments.pdf" TargetMode="External"/><Relationship Id="rId24" Type="http://schemas.openxmlformats.org/officeDocument/2006/relationships/hyperlink" Target="https://codes.iccsafe.org/codes/united-states/california" TargetMode="External"/><Relationship Id="rId5" Type="http://schemas.openxmlformats.org/officeDocument/2006/relationships/hyperlink" Target="https://www.eia.gov/consumption/commercial/data/2018/index.php?view=microdata" TargetMode="External"/><Relationship Id="rId15" Type="http://schemas.openxmlformats.org/officeDocument/2006/relationships/hyperlink" Target="https://www.grainger.com/category/plumbing/water-heaters/gas-tank-water-heaters" TargetMode="External"/><Relationship Id="rId23" Type="http://schemas.openxmlformats.org/officeDocument/2006/relationships/hyperlink" Target="https://www.energy.ca.gov/publications/2025/2025-building-energy-efficiency-standards-residential-and-nonresidential" TargetMode="External"/><Relationship Id="rId10" Type="http://schemas.openxmlformats.org/officeDocument/2006/relationships/hyperlink" Target="https://www.pnnl.gov/main/publications/external/technical_reports/PNNL-20405.pdf" TargetMode="External"/><Relationship Id="rId19" Type="http://schemas.openxmlformats.org/officeDocument/2006/relationships/hyperlink" Target="https://www.energy.ca.gov/publications/2022/2022-nonresidential-and-multifamily-alternative-calculation-method-reference" TargetMode="External"/><Relationship Id="rId4" Type="http://schemas.openxmlformats.org/officeDocument/2006/relationships/hyperlink" Target="https://www.energy.ca.gov/publications/2023/2022-california-commercial-end-use-survey-ceus-final-report" TargetMode="External"/><Relationship Id="rId9" Type="http://schemas.openxmlformats.org/officeDocument/2006/relationships/hyperlink" Target="https://title24stakeholders.com/wp-content/uploads/2020/10/2022-T24-Final-CASE-Report_Reduce-Infiltration.pdf" TargetMode="External"/><Relationship Id="rId14" Type="http://schemas.openxmlformats.org/officeDocument/2006/relationships/hyperlink" Target="https://www.energystar.gov/productfinder/product/certified-commercial-water-heaters/results?fuel_filter=Gas&amp;markets_filter=United+States" TargetMode="External"/><Relationship Id="rId22" Type="http://schemas.openxmlformats.org/officeDocument/2006/relationships/hyperlink" Target="https://www.ashrae.org/technical-resources/standards-and-guidelines/read-only-versions-of-ashrae-standard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50"/>
  <sheetViews>
    <sheetView zoomScale="85" zoomScaleNormal="85" workbookViewId="0">
      <selection sqref="A1:C1"/>
    </sheetView>
  </sheetViews>
  <sheetFormatPr defaultColWidth="9.33203125" defaultRowHeight="13.2" x14ac:dyDescent="0.25"/>
  <cols>
    <col min="1" max="1" width="14.6640625" style="2" customWidth="1"/>
    <col min="2" max="2" width="96.44140625" style="2" customWidth="1"/>
    <col min="3" max="3" width="42.109375" style="2" customWidth="1"/>
    <col min="4" max="4" width="9.33203125" style="2"/>
    <col min="5" max="5" width="21.6640625" style="2" customWidth="1"/>
    <col min="6" max="6" width="10.6640625" style="2" customWidth="1"/>
    <col min="7" max="7" width="9.6640625" style="2" customWidth="1"/>
    <col min="8" max="8" width="9.6640625" style="2" bestFit="1" customWidth="1"/>
    <col min="9" max="16384" width="9.33203125" style="2"/>
  </cols>
  <sheetData>
    <row r="1" spans="1:4" ht="20.399999999999999" customHeight="1" x14ac:dyDescent="0.25">
      <c r="A1" s="584" t="s">
        <v>0</v>
      </c>
      <c r="B1" s="584"/>
      <c r="C1" s="584"/>
    </row>
    <row r="2" spans="1:4" x14ac:dyDescent="0.25">
      <c r="A2" s="582" t="s">
        <v>1</v>
      </c>
      <c r="B2" s="2" t="s">
        <v>2</v>
      </c>
      <c r="C2" s="557"/>
    </row>
    <row r="3" spans="1:4" x14ac:dyDescent="0.25">
      <c r="A3" s="582"/>
      <c r="B3" s="385" t="s">
        <v>3</v>
      </c>
      <c r="C3" s="297" t="s">
        <v>4</v>
      </c>
      <c r="D3" s="2" t="s">
        <v>5</v>
      </c>
    </row>
    <row r="4" spans="1:4" x14ac:dyDescent="0.25">
      <c r="A4" s="582"/>
      <c r="B4" s="385" t="s">
        <v>6</v>
      </c>
      <c r="C4" s="297" t="s">
        <v>7</v>
      </c>
      <c r="D4" s="2" t="s">
        <v>5</v>
      </c>
    </row>
    <row r="5" spans="1:4" x14ac:dyDescent="0.25">
      <c r="A5" s="582"/>
      <c r="B5" s="553" t="s">
        <v>8</v>
      </c>
      <c r="C5" s="297" t="s">
        <v>9</v>
      </c>
      <c r="D5" s="2" t="s">
        <v>5</v>
      </c>
    </row>
    <row r="6" spans="1:4" x14ac:dyDescent="0.25">
      <c r="A6" s="582" t="s">
        <v>10</v>
      </c>
      <c r="B6" s="2" t="s">
        <v>11</v>
      </c>
      <c r="C6" s="297" t="s">
        <v>12</v>
      </c>
      <c r="D6" s="2" t="s">
        <v>5</v>
      </c>
    </row>
    <row r="7" spans="1:4" x14ac:dyDescent="0.25">
      <c r="A7" s="582"/>
      <c r="B7" s="2" t="s">
        <v>13</v>
      </c>
      <c r="C7" s="297" t="s">
        <v>14</v>
      </c>
      <c r="D7" s="2" t="s">
        <v>5</v>
      </c>
    </row>
    <row r="8" spans="1:4" x14ac:dyDescent="0.25">
      <c r="A8" s="582"/>
      <c r="B8" s="2" t="s">
        <v>15</v>
      </c>
      <c r="C8" s="297" t="s">
        <v>16</v>
      </c>
      <c r="D8" s="2" t="s">
        <v>5</v>
      </c>
    </row>
    <row r="9" spans="1:4" x14ac:dyDescent="0.25">
      <c r="A9" s="582"/>
      <c r="C9" s="297"/>
      <c r="D9" s="2" t="s">
        <v>5</v>
      </c>
    </row>
    <row r="10" spans="1:4" ht="14.4" x14ac:dyDescent="0.25">
      <c r="A10" s="583" t="s">
        <v>17</v>
      </c>
      <c r="B10" s="585" t="s">
        <v>18</v>
      </c>
      <c r="C10" s="300" t="s">
        <v>19</v>
      </c>
      <c r="D10" s="386">
        <v>2025</v>
      </c>
    </row>
    <row r="11" spans="1:4" ht="14.4" x14ac:dyDescent="0.25">
      <c r="A11" s="583"/>
      <c r="B11" s="585"/>
      <c r="C11" s="300" t="s">
        <v>20</v>
      </c>
      <c r="D11" s="387" t="s">
        <v>21</v>
      </c>
    </row>
    <row r="12" spans="1:4" ht="14.4" x14ac:dyDescent="0.3">
      <c r="A12" s="583"/>
      <c r="B12" s="387" t="s">
        <v>22</v>
      </c>
      <c r="C12" s="313" t="s">
        <v>23</v>
      </c>
      <c r="D12" s="2" t="s">
        <v>5</v>
      </c>
    </row>
    <row r="13" spans="1:4" x14ac:dyDescent="0.25">
      <c r="A13" s="583"/>
      <c r="B13" s="295" t="s">
        <v>24</v>
      </c>
      <c r="C13" s="297" t="s">
        <v>25</v>
      </c>
      <c r="D13" s="387" t="s">
        <v>5</v>
      </c>
    </row>
    <row r="14" spans="1:4" x14ac:dyDescent="0.25">
      <c r="A14" s="583"/>
      <c r="B14" s="387" t="s">
        <v>26</v>
      </c>
      <c r="C14" s="297" t="s">
        <v>27</v>
      </c>
      <c r="D14" s="387" t="s">
        <v>5</v>
      </c>
    </row>
    <row r="15" spans="1:4" x14ac:dyDescent="0.25">
      <c r="A15" s="583"/>
      <c r="C15" s="557"/>
      <c r="D15" s="2" t="s">
        <v>5</v>
      </c>
    </row>
    <row r="16" spans="1:4" ht="14.4" customHeight="1" x14ac:dyDescent="0.25">
      <c r="A16" s="582" t="s">
        <v>28</v>
      </c>
      <c r="B16" s="553" t="s">
        <v>29</v>
      </c>
      <c r="C16" s="294" t="s">
        <v>30</v>
      </c>
      <c r="D16" s="2" t="s">
        <v>5</v>
      </c>
    </row>
    <row r="17" spans="1:4" ht="14.4" customHeight="1" x14ac:dyDescent="0.25">
      <c r="A17" s="582"/>
      <c r="B17" s="385" t="s">
        <v>31</v>
      </c>
      <c r="C17" s="294" t="s">
        <v>32</v>
      </c>
      <c r="D17" s="2" t="s">
        <v>5</v>
      </c>
    </row>
    <row r="18" spans="1:4" x14ac:dyDescent="0.25">
      <c r="A18" s="582"/>
      <c r="B18" s="553" t="s">
        <v>33</v>
      </c>
      <c r="C18" s="296" t="s">
        <v>30</v>
      </c>
      <c r="D18" s="2" t="s">
        <v>5</v>
      </c>
    </row>
    <row r="19" spans="1:4" x14ac:dyDescent="0.25">
      <c r="A19" s="582"/>
      <c r="B19" s="549" t="s">
        <v>34</v>
      </c>
      <c r="C19" s="297" t="s">
        <v>35</v>
      </c>
      <c r="D19" s="2" t="s">
        <v>5</v>
      </c>
    </row>
    <row r="20" spans="1:4" x14ac:dyDescent="0.25">
      <c r="A20" s="582"/>
      <c r="B20" s="2" t="s">
        <v>36</v>
      </c>
      <c r="C20" s="297" t="s">
        <v>37</v>
      </c>
      <c r="D20" s="2" t="s">
        <v>5</v>
      </c>
    </row>
    <row r="21" spans="1:4" x14ac:dyDescent="0.25">
      <c r="A21" s="582"/>
      <c r="B21" s="387" t="s">
        <v>38</v>
      </c>
      <c r="C21" s="297" t="s">
        <v>39</v>
      </c>
      <c r="D21" s="2" t="s">
        <v>5</v>
      </c>
    </row>
    <row r="22" spans="1:4" x14ac:dyDescent="0.25">
      <c r="A22" s="582"/>
      <c r="B22" s="553" t="s">
        <v>40</v>
      </c>
      <c r="C22" s="296" t="s">
        <v>41</v>
      </c>
      <c r="D22" s="2" t="s">
        <v>5</v>
      </c>
    </row>
    <row r="23" spans="1:4" ht="26.4" x14ac:dyDescent="0.25">
      <c r="A23" s="582"/>
      <c r="B23" s="105" t="s">
        <v>42</v>
      </c>
      <c r="C23" s="294" t="s">
        <v>43</v>
      </c>
      <c r="D23" s="2" t="s">
        <v>5</v>
      </c>
    </row>
    <row r="24" spans="1:4" x14ac:dyDescent="0.25">
      <c r="A24" s="582"/>
      <c r="B24" s="387" t="s">
        <v>44</v>
      </c>
      <c r="C24" s="298" t="s">
        <v>45</v>
      </c>
      <c r="D24" s="2" t="s">
        <v>5</v>
      </c>
    </row>
    <row r="25" spans="1:4" ht="30" customHeight="1" x14ac:dyDescent="0.25">
      <c r="A25" s="582"/>
      <c r="B25" s="5" t="s">
        <v>46</v>
      </c>
      <c r="C25" s="299" t="s">
        <v>47</v>
      </c>
      <c r="D25" s="2" t="s">
        <v>5</v>
      </c>
    </row>
    <row r="26" spans="1:4" x14ac:dyDescent="0.25">
      <c r="A26" s="582"/>
      <c r="B26" s="388" t="s">
        <v>48</v>
      </c>
      <c r="C26" s="294" t="s">
        <v>49</v>
      </c>
      <c r="D26" s="2" t="s">
        <v>5</v>
      </c>
    </row>
    <row r="27" spans="1:4" x14ac:dyDescent="0.25">
      <c r="A27" s="582"/>
      <c r="B27" s="388" t="s">
        <v>50</v>
      </c>
      <c r="C27" s="294" t="s">
        <v>51</v>
      </c>
      <c r="D27" s="2" t="s">
        <v>5</v>
      </c>
    </row>
    <row r="28" spans="1:4" x14ac:dyDescent="0.25">
      <c r="A28" s="582"/>
      <c r="B28" s="388" t="s">
        <v>52</v>
      </c>
      <c r="C28" s="294" t="s">
        <v>53</v>
      </c>
      <c r="D28" s="2" t="s">
        <v>5</v>
      </c>
    </row>
    <row r="29" spans="1:4" ht="30" customHeight="1" x14ac:dyDescent="0.25">
      <c r="A29" s="582"/>
      <c r="C29" s="297"/>
      <c r="D29" s="2" t="s">
        <v>5</v>
      </c>
    </row>
    <row r="30" spans="1:4" ht="30" customHeight="1" x14ac:dyDescent="0.3">
      <c r="A30" s="551"/>
      <c r="C30" s="289"/>
    </row>
    <row r="31" spans="1:4" ht="13.8" x14ac:dyDescent="0.3">
      <c r="A31" s="551"/>
      <c r="C31" s="289"/>
    </row>
    <row r="32" spans="1:4" ht="18.600000000000001" customHeight="1" x14ac:dyDescent="0.25">
      <c r="C32" s="557"/>
    </row>
    <row r="33" spans="1:8" ht="15.6" x14ac:dyDescent="0.25">
      <c r="A33" s="584" t="s">
        <v>54</v>
      </c>
      <c r="B33" s="584"/>
      <c r="C33" s="584"/>
    </row>
    <row r="34" spans="1:8" ht="14.4" x14ac:dyDescent="0.3">
      <c r="C34" s="557"/>
      <c r="E34"/>
    </row>
    <row r="35" spans="1:8" ht="14.4" x14ac:dyDescent="0.3">
      <c r="A35"/>
      <c r="C35" s="557"/>
    </row>
    <row r="36" spans="1:8" x14ac:dyDescent="0.25">
      <c r="C36" s="557"/>
    </row>
    <row r="37" spans="1:8" x14ac:dyDescent="0.25">
      <c r="C37" s="557"/>
    </row>
    <row r="38" spans="1:8" x14ac:dyDescent="0.25">
      <c r="C38" s="557"/>
    </row>
    <row r="39" spans="1:8" x14ac:dyDescent="0.25">
      <c r="C39" s="557"/>
    </row>
    <row r="40" spans="1:8" x14ac:dyDescent="0.25">
      <c r="C40" s="557"/>
    </row>
    <row r="41" spans="1:8" x14ac:dyDescent="0.25">
      <c r="C41" s="557"/>
    </row>
    <row r="42" spans="1:8" x14ac:dyDescent="0.25">
      <c r="C42" s="557"/>
    </row>
    <row r="43" spans="1:8" x14ac:dyDescent="0.25">
      <c r="C43" s="557"/>
    </row>
    <row r="44" spans="1:8" x14ac:dyDescent="0.25">
      <c r="C44" s="557"/>
    </row>
    <row r="45" spans="1:8" x14ac:dyDescent="0.25">
      <c r="C45" s="557"/>
    </row>
    <row r="46" spans="1:8" ht="19.2" customHeight="1" x14ac:dyDescent="0.25">
      <c r="B46" s="387" t="s">
        <v>55</v>
      </c>
      <c r="C46" s="557"/>
    </row>
    <row r="47" spans="1:8" ht="67.95" customHeight="1" x14ac:dyDescent="0.25">
      <c r="A47" s="584" t="s">
        <v>56</v>
      </c>
      <c r="B47" s="584"/>
      <c r="C47" s="584"/>
      <c r="E47" s="549"/>
      <c r="F47" s="547"/>
      <c r="G47" s="547"/>
      <c r="H47" s="547"/>
    </row>
    <row r="48" spans="1:8" ht="67.2" customHeight="1" x14ac:dyDescent="0.25">
      <c r="A48" s="586" t="s">
        <v>57</v>
      </c>
      <c r="B48" s="586"/>
      <c r="C48" s="586"/>
      <c r="E48" s="549"/>
      <c r="F48" s="547"/>
      <c r="G48" s="547"/>
      <c r="H48" s="547"/>
    </row>
    <row r="49" spans="1:8" ht="14.7" customHeight="1" x14ac:dyDescent="0.25">
      <c r="A49" s="581"/>
      <c r="B49" s="581"/>
      <c r="C49" s="581"/>
      <c r="E49" s="549"/>
      <c r="F49" s="547"/>
      <c r="G49" s="547"/>
      <c r="H49" s="547"/>
    </row>
    <row r="50" spans="1:8" ht="14.7" customHeight="1" x14ac:dyDescent="0.25">
      <c r="A50" s="581"/>
      <c r="B50" s="581"/>
      <c r="C50" s="581"/>
      <c r="E50" s="549"/>
      <c r="F50" s="547"/>
      <c r="G50" s="547"/>
      <c r="H50" s="547"/>
    </row>
  </sheetData>
  <mergeCells count="11">
    <mergeCell ref="A1:C1"/>
    <mergeCell ref="A2:A5"/>
    <mergeCell ref="A49:C49"/>
    <mergeCell ref="A50:C50"/>
    <mergeCell ref="A6:A9"/>
    <mergeCell ref="A10:A15"/>
    <mergeCell ref="A33:C33"/>
    <mergeCell ref="A16:A29"/>
    <mergeCell ref="B10:B11"/>
    <mergeCell ref="A47:C47"/>
    <mergeCell ref="A48:C48"/>
  </mergeCells>
  <hyperlinks>
    <hyperlink ref="C6" r:id="rId1" xr:uid="{BE11EEF8-3AF7-48F0-A38B-7309CE5A9491}"/>
    <hyperlink ref="C7" r:id="rId2" location="Commercial" xr:uid="{626A4776-C2FA-489E-88C0-BC9C7C8EA36F}"/>
    <hyperlink ref="C8" r:id="rId3" xr:uid="{0DEB00BB-3A26-4527-9ED4-40D17F93A579}"/>
    <hyperlink ref="C3" r:id="rId4" xr:uid="{7ADAAC21-6BF3-4C55-B602-4E3B84FE2AAA}"/>
    <hyperlink ref="C4" r:id="rId5" xr:uid="{8ADA6228-A7BF-4E82-9D60-E20B0FF95F19}"/>
    <hyperlink ref="C5" r:id="rId6" xr:uid="{19AF5EF3-14A5-44AE-B730-140BF104272A}"/>
    <hyperlink ref="C13" r:id="rId7" xr:uid="{FE849DB3-ED6C-49D1-8118-F2ED33AD63B9}"/>
    <hyperlink ref="C14" r:id="rId8" xr:uid="{A3A3FEFD-D3A5-46F8-8802-C48303DFA2AE}"/>
    <hyperlink ref="C19" r:id="rId9" xr:uid="{09FF6D93-0EB0-4F00-A53C-70B27D559697}"/>
    <hyperlink ref="C21" r:id="rId10" xr:uid="{36ECAA37-AD9D-4333-B1AF-B6179117630C}"/>
    <hyperlink ref="C20" r:id="rId11" xr:uid="{C3C0C153-47D3-4B3D-8F63-4BDB1F8259C6}"/>
    <hyperlink ref="C25" r:id="rId12" xr:uid="{20223A04-22A0-4778-88A4-4ED62E0EC414}"/>
    <hyperlink ref="C24" r:id="rId13" xr:uid="{CCBF7C75-683C-48EA-B05D-3FBFA2FAE6F7}"/>
    <hyperlink ref="C26" r:id="rId14" xr:uid="{BB2140FD-7C85-4153-820A-FE5C5E1AC35A}"/>
    <hyperlink ref="C27" r:id="rId15" xr:uid="{09503C06-8CAA-4379-AE8F-27EA4760126C}"/>
    <hyperlink ref="C28" r:id="rId16" xr:uid="{15B04732-5B4A-40E1-9017-BBA2EE8E99E4}"/>
    <hyperlink ref="C16" r:id="rId17" xr:uid="{5CD7BF1E-9C5D-4346-B70E-27888923F4DA}"/>
    <hyperlink ref="C17" r:id="rId18" xr:uid="{3A05B4BE-2957-4012-A4E9-D0F87E44C2AA}"/>
    <hyperlink ref="C18" r:id="rId19" xr:uid="{466EAC2A-6361-4550-AC35-1F5BA3FD817E}"/>
    <hyperlink ref="C22" r:id="rId20" xr:uid="{7F91AD59-D1C2-4D63-8181-0B1289D1A53A}"/>
    <hyperlink ref="C23" r:id="rId21" xr:uid="{46D2FE17-8E1D-4B01-992E-DBF27731934F}"/>
    <hyperlink ref="C12" r:id="rId22" xr:uid="{7F5EC148-A409-457D-AB64-579F0B993910}"/>
    <hyperlink ref="C10" r:id="rId23" xr:uid="{9B390AFE-8CA9-443D-9FC2-D11E26C74564}"/>
    <hyperlink ref="C11" r:id="rId24" xr:uid="{910F695A-CA9E-49E0-A609-F66768B7A99E}"/>
  </hyperlinks>
  <pageMargins left="0.7" right="0.7" top="0.75" bottom="0.75" header="0.3" footer="0.3"/>
  <drawing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K54"/>
  <sheetViews>
    <sheetView tabSelected="1" zoomScale="70" zoomScaleNormal="70" workbookViewId="0">
      <selection sqref="A1:C1"/>
    </sheetView>
  </sheetViews>
  <sheetFormatPr defaultColWidth="9.33203125" defaultRowHeight="13.8" x14ac:dyDescent="0.25"/>
  <cols>
    <col min="1" max="1" width="27.5546875" style="1" customWidth="1"/>
    <col min="2" max="2" width="51.33203125" style="1" customWidth="1"/>
    <col min="3" max="3" width="50.6640625" style="1" customWidth="1"/>
    <col min="4" max="4" width="42.6640625" style="1" customWidth="1"/>
    <col min="5" max="5" width="52" style="1" customWidth="1"/>
    <col min="6" max="6" width="46.109375" style="1" customWidth="1"/>
    <col min="7" max="7" width="44.109375" style="1" customWidth="1"/>
    <col min="8" max="8" width="43.6640625" style="1" customWidth="1"/>
    <col min="9" max="9" width="41.6640625" style="1" customWidth="1"/>
    <col min="10" max="10" width="46.33203125" style="1" customWidth="1"/>
    <col min="11" max="16384" width="9.33203125" style="1"/>
  </cols>
  <sheetData>
    <row r="1" spans="1:5" ht="17.399999999999999" x14ac:dyDescent="0.25">
      <c r="A1" s="576" t="s">
        <v>58</v>
      </c>
      <c r="B1" s="576"/>
      <c r="C1" s="576"/>
      <c r="D1" s="6"/>
    </row>
    <row r="2" spans="1:5" ht="25.2" customHeight="1" x14ac:dyDescent="0.25">
      <c r="A2" s="577" t="s">
        <v>59</v>
      </c>
      <c r="B2" s="578"/>
      <c r="C2" s="578"/>
      <c r="D2" s="6"/>
    </row>
    <row r="3" spans="1:5" ht="20.399999999999999" customHeight="1" x14ac:dyDescent="0.25">
      <c r="A3" s="13" t="s">
        <v>60</v>
      </c>
      <c r="B3" s="315" t="s">
        <v>61</v>
      </c>
      <c r="C3" s="14" t="s">
        <v>0</v>
      </c>
    </row>
    <row r="4" spans="1:5" ht="16.2" customHeight="1" x14ac:dyDescent="0.25">
      <c r="A4" s="11" t="s">
        <v>62</v>
      </c>
      <c r="B4" s="555" t="s">
        <v>63</v>
      </c>
      <c r="C4" s="11"/>
    </row>
    <row r="5" spans="1:5" ht="16.2" customHeight="1" x14ac:dyDescent="0.25">
      <c r="A5" s="11" t="s">
        <v>64</v>
      </c>
      <c r="B5" s="269" t="s">
        <v>65</v>
      </c>
      <c r="C5" s="11"/>
    </row>
    <row r="6" spans="1:5" ht="16.2" customHeight="1" x14ac:dyDescent="0.25">
      <c r="A6" s="389" t="s">
        <v>66</v>
      </c>
      <c r="B6" s="555" t="s">
        <v>67</v>
      </c>
      <c r="C6" s="11"/>
      <c r="D6" s="300"/>
    </row>
    <row r="7" spans="1:5" ht="111.75" customHeight="1" x14ac:dyDescent="0.25">
      <c r="A7" s="11" t="s">
        <v>68</v>
      </c>
      <c r="B7" s="268" t="s">
        <v>69</v>
      </c>
      <c r="C7" s="12" t="s">
        <v>70</v>
      </c>
      <c r="E7" s="57"/>
    </row>
    <row r="8" spans="1:5" ht="97.2" customHeight="1" x14ac:dyDescent="0.3">
      <c r="A8" s="11" t="s">
        <v>71</v>
      </c>
      <c r="B8"/>
      <c r="C8" s="390" t="s">
        <v>72</v>
      </c>
      <c r="D8"/>
    </row>
    <row r="9" spans="1:5" ht="82.95" customHeight="1" x14ac:dyDescent="0.25">
      <c r="A9" s="7" t="s">
        <v>73</v>
      </c>
      <c r="B9" s="8" t="s">
        <v>74</v>
      </c>
      <c r="C9" s="390" t="s">
        <v>75</v>
      </c>
    </row>
    <row r="10" spans="1:5" ht="31.95" customHeight="1" x14ac:dyDescent="0.25">
      <c r="A10" s="7" t="s">
        <v>76</v>
      </c>
      <c r="B10" s="74">
        <v>1.28</v>
      </c>
      <c r="C10" s="12" t="s">
        <v>77</v>
      </c>
    </row>
    <row r="11" spans="1:5" ht="33" customHeight="1" x14ac:dyDescent="0.25">
      <c r="A11" s="9" t="s">
        <v>78</v>
      </c>
      <c r="B11" s="269">
        <v>1</v>
      </c>
      <c r="C11" s="12" t="s">
        <v>72</v>
      </c>
    </row>
    <row r="12" spans="1:5" ht="32.4" customHeight="1" x14ac:dyDescent="0.25">
      <c r="A12" s="9" t="s">
        <v>79</v>
      </c>
      <c r="B12" s="269" t="s">
        <v>80</v>
      </c>
      <c r="C12" s="12" t="s">
        <v>72</v>
      </c>
    </row>
    <row r="13" spans="1:5" ht="35.25" customHeight="1" x14ac:dyDescent="0.25">
      <c r="A13" s="9" t="s">
        <v>81</v>
      </c>
      <c r="B13" s="68">
        <v>7.0999999999999994E-2</v>
      </c>
      <c r="C13" s="579" t="s">
        <v>82</v>
      </c>
    </row>
    <row r="14" spans="1:5" ht="27.75" customHeight="1" x14ac:dyDescent="0.25">
      <c r="A14" s="391" t="s">
        <v>83</v>
      </c>
      <c r="B14" s="392">
        <v>0.254</v>
      </c>
      <c r="C14" s="580"/>
    </row>
    <row r="15" spans="1:5" ht="33" customHeight="1" x14ac:dyDescent="0.25">
      <c r="A15" s="7" t="s">
        <v>84</v>
      </c>
      <c r="B15" s="10" t="s">
        <v>85</v>
      </c>
      <c r="C15" s="12" t="s">
        <v>77</v>
      </c>
    </row>
    <row r="16" spans="1:5" ht="37.950000000000003" customHeight="1" x14ac:dyDescent="0.25">
      <c r="A16" s="7" t="s">
        <v>86</v>
      </c>
      <c r="B16" s="269" t="s">
        <v>87</v>
      </c>
      <c r="C16" s="12"/>
    </row>
    <row r="17" spans="1:11" ht="44.4" customHeight="1" x14ac:dyDescent="0.25">
      <c r="A17" s="7" t="s">
        <v>88</v>
      </c>
      <c r="B17" s="269">
        <v>20</v>
      </c>
      <c r="C17" s="12" t="s">
        <v>77</v>
      </c>
    </row>
    <row r="18" spans="1:11" ht="26.4" x14ac:dyDescent="0.25">
      <c r="A18" s="202" t="s">
        <v>89</v>
      </c>
      <c r="B18" s="292" t="s">
        <v>90</v>
      </c>
      <c r="C18" s="203" t="s">
        <v>77</v>
      </c>
    </row>
    <row r="19" spans="1:11" ht="26.4" x14ac:dyDescent="0.25">
      <c r="A19" s="393" t="s">
        <v>91</v>
      </c>
      <c r="B19" s="394">
        <v>2.07E-2</v>
      </c>
      <c r="C19" s="395" t="s">
        <v>77</v>
      </c>
    </row>
    <row r="20" spans="1:11" x14ac:dyDescent="0.25">
      <c r="A20" s="101"/>
      <c r="B20" s="4"/>
      <c r="C20" s="549"/>
    </row>
    <row r="21" spans="1:11" x14ac:dyDescent="0.25">
      <c r="A21" s="101"/>
      <c r="B21" s="4"/>
      <c r="C21" s="549"/>
    </row>
    <row r="22" spans="1:11" ht="14.4" x14ac:dyDescent="0.25">
      <c r="A22" s="201"/>
      <c r="B22" s="201"/>
      <c r="C22" s="201"/>
      <c r="D22" s="201"/>
      <c r="E22" s="201"/>
      <c r="F22" s="201"/>
      <c r="G22" s="201"/>
      <c r="H22" s="201"/>
    </row>
    <row r="23" spans="1:11" ht="14.4" x14ac:dyDescent="0.25">
      <c r="A23" s="201"/>
      <c r="B23" s="201"/>
      <c r="C23" s="201"/>
      <c r="D23" s="201"/>
      <c r="E23" s="201"/>
      <c r="F23" s="201"/>
      <c r="G23" s="201"/>
      <c r="H23" s="201"/>
    </row>
    <row r="24" spans="1:11" x14ac:dyDescent="0.25">
      <c r="A24" s="101"/>
      <c r="B24" s="4"/>
      <c r="C24" s="549"/>
    </row>
    <row r="25" spans="1:11" x14ac:dyDescent="0.25">
      <c r="A25" s="101"/>
      <c r="B25" s="4"/>
      <c r="C25" s="549"/>
    </row>
    <row r="26" spans="1:11" s="20" customFormat="1" ht="13.2" x14ac:dyDescent="0.25">
      <c r="A26" s="20" t="s">
        <v>92</v>
      </c>
    </row>
    <row r="27" spans="1:11" s="2" customFormat="1" ht="13.2" x14ac:dyDescent="0.25">
      <c r="G27" s="46"/>
      <c r="H27" s="46"/>
      <c r="I27" s="46"/>
      <c r="J27" s="46"/>
      <c r="K27" s="46"/>
    </row>
    <row r="28" spans="1:11" s="2" customFormat="1" ht="21" customHeight="1" x14ac:dyDescent="0.25">
      <c r="A28" s="99" t="s">
        <v>93</v>
      </c>
      <c r="B28" s="98"/>
      <c r="C28" s="98"/>
      <c r="F28" s="46"/>
      <c r="G28" s="46"/>
      <c r="H28" s="46"/>
      <c r="I28" s="46"/>
      <c r="J28" s="46"/>
    </row>
    <row r="29" spans="1:11" ht="14.7" customHeight="1" x14ac:dyDescent="0.25">
      <c r="A29" s="2"/>
      <c r="B29" s="2"/>
      <c r="C29" s="2"/>
      <c r="D29" s="2"/>
      <c r="E29" s="2"/>
      <c r="F29" s="2"/>
      <c r="G29" s="2"/>
    </row>
    <row r="30" spans="1:11" s="89" customFormat="1" ht="14.7" customHeight="1" x14ac:dyDescent="0.25">
      <c r="A30" s="94" t="s">
        <v>94</v>
      </c>
      <c r="B30" s="93" t="s">
        <v>95</v>
      </c>
      <c r="C30" s="93" t="s">
        <v>96</v>
      </c>
      <c r="D30" s="93" t="s">
        <v>97</v>
      </c>
    </row>
    <row r="31" spans="1:11" ht="143.4" customHeight="1" x14ac:dyDescent="0.25">
      <c r="A31" s="90" t="s">
        <v>98</v>
      </c>
      <c r="B31" s="62"/>
      <c r="C31" s="62"/>
      <c r="D31" s="62"/>
    </row>
    <row r="32" spans="1:11" x14ac:dyDescent="0.25">
      <c r="A32" s="62" t="s">
        <v>99</v>
      </c>
      <c r="B32" s="91">
        <v>240000</v>
      </c>
      <c r="C32" s="91">
        <f>3*40000</f>
        <v>120000</v>
      </c>
      <c r="D32" s="91">
        <v>130502</v>
      </c>
    </row>
    <row r="33" spans="1:7" x14ac:dyDescent="0.25">
      <c r="A33" s="95"/>
      <c r="B33" s="95"/>
      <c r="C33" s="85"/>
      <c r="D33" s="95"/>
      <c r="F33" s="2"/>
    </row>
    <row r="34" spans="1:7" ht="14.4" x14ac:dyDescent="0.3">
      <c r="A34" s="96"/>
      <c r="B34" s="97"/>
      <c r="C34" s="97"/>
      <c r="D34" s="97"/>
      <c r="E34" s="2"/>
      <c r="F34" s="2"/>
      <c r="G34" s="2"/>
    </row>
    <row r="35" spans="1:7" x14ac:dyDescent="0.25">
      <c r="A35" s="94" t="s">
        <v>100</v>
      </c>
      <c r="B35" s="93" t="s">
        <v>101</v>
      </c>
      <c r="C35" s="93" t="s">
        <v>102</v>
      </c>
      <c r="D35" s="93" t="s">
        <v>103</v>
      </c>
      <c r="E35" s="2"/>
      <c r="F35" s="93" t="s">
        <v>104</v>
      </c>
    </row>
    <row r="36" spans="1:7" ht="127.2" customHeight="1" x14ac:dyDescent="0.25">
      <c r="A36" s="90" t="s">
        <v>98</v>
      </c>
      <c r="B36" s="62" t="s">
        <v>105</v>
      </c>
      <c r="C36" s="62"/>
      <c r="D36" s="62"/>
      <c r="F36" s="62"/>
    </row>
    <row r="37" spans="1:7" x14ac:dyDescent="0.25">
      <c r="A37" s="62" t="s">
        <v>99</v>
      </c>
      <c r="B37" s="92">
        <v>24692</v>
      </c>
      <c r="C37" s="92">
        <v>24692</v>
      </c>
      <c r="D37" s="91">
        <v>22500</v>
      </c>
      <c r="F37" s="91">
        <v>49997</v>
      </c>
    </row>
    <row r="38" spans="1:7" x14ac:dyDescent="0.25">
      <c r="A38" s="95"/>
      <c r="B38" s="95"/>
      <c r="C38" s="95"/>
    </row>
    <row r="39" spans="1:7" x14ac:dyDescent="0.25">
      <c r="A39" s="95"/>
      <c r="B39" s="95"/>
      <c r="C39" s="95"/>
    </row>
    <row r="40" spans="1:7" x14ac:dyDescent="0.25">
      <c r="A40" s="94" t="s">
        <v>106</v>
      </c>
      <c r="B40" s="93" t="s">
        <v>107</v>
      </c>
      <c r="C40" s="93" t="s">
        <v>108</v>
      </c>
    </row>
    <row r="41" spans="1:7" ht="123.6" customHeight="1" x14ac:dyDescent="0.25">
      <c r="A41" s="90" t="s">
        <v>98</v>
      </c>
      <c r="B41" s="62"/>
      <c r="C41" s="62"/>
    </row>
    <row r="42" spans="1:7" x14ac:dyDescent="0.25">
      <c r="A42" s="62" t="s">
        <v>99</v>
      </c>
      <c r="B42" s="91">
        <v>9375</v>
      </c>
      <c r="C42" s="91">
        <v>8001</v>
      </c>
    </row>
    <row r="44" spans="1:7" ht="14.4" x14ac:dyDescent="0.3">
      <c r="A44"/>
    </row>
    <row r="54" spans="3:3" ht="14.4" x14ac:dyDescent="0.3">
      <c r="C54"/>
    </row>
  </sheetData>
  <mergeCells count="3">
    <mergeCell ref="A1:C1"/>
    <mergeCell ref="A2:C2"/>
    <mergeCell ref="C13:C1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U46"/>
  <sheetViews>
    <sheetView topLeftCell="A11" zoomScaleNormal="100" workbookViewId="0">
      <selection activeCell="N10" sqref="N10"/>
    </sheetView>
  </sheetViews>
  <sheetFormatPr defaultColWidth="8.6640625" defaultRowHeight="12.75" customHeight="1" x14ac:dyDescent="0.25"/>
  <cols>
    <col min="1" max="1" width="21.109375" style="2" customWidth="1"/>
    <col min="2" max="2" width="22.33203125" style="2" customWidth="1"/>
    <col min="3" max="3" width="46.6640625" style="2" customWidth="1"/>
    <col min="4" max="4" width="21.44140625" style="2" customWidth="1"/>
    <col min="5" max="5" width="26.109375" style="2" customWidth="1"/>
    <col min="6" max="6" width="14.6640625" style="2" customWidth="1"/>
    <col min="7" max="7" width="12.6640625" style="2" customWidth="1"/>
    <col min="8" max="8" width="12" style="2" bestFit="1" customWidth="1"/>
    <col min="9" max="10" width="11.33203125" style="2" customWidth="1"/>
    <col min="11" max="11" width="32.5546875" style="2" customWidth="1"/>
    <col min="12" max="12" width="27.6640625" style="2" customWidth="1"/>
    <col min="13" max="13" width="26.44140625" style="2" customWidth="1"/>
    <col min="14" max="14" width="36.5546875" style="2" customWidth="1"/>
    <col min="15" max="15" width="14" style="2" customWidth="1"/>
    <col min="16" max="16" width="21" style="2" customWidth="1"/>
    <col min="17" max="17" width="25.6640625" style="2" customWidth="1"/>
    <col min="18" max="18" width="22.6640625" style="2" customWidth="1"/>
    <col min="19" max="19" width="16.33203125" style="2" customWidth="1"/>
    <col min="20" max="20" width="10.6640625" style="2" customWidth="1"/>
    <col min="21" max="25" width="17.33203125" style="2" customWidth="1"/>
    <col min="26" max="16384" width="8.6640625" style="2"/>
  </cols>
  <sheetData>
    <row r="1" spans="1:21" ht="25.95" customHeight="1" x14ac:dyDescent="0.25">
      <c r="A1" s="584" t="str">
        <f>"Proposed Layout - "&amp;Prototype!A2</f>
        <v>Proposed Layout - RetailMedium</v>
      </c>
      <c r="B1" s="584"/>
      <c r="C1" s="584"/>
      <c r="D1" s="584"/>
      <c r="E1" s="584"/>
      <c r="F1" s="584"/>
      <c r="G1" s="584"/>
      <c r="H1" s="584"/>
      <c r="I1" s="584"/>
      <c r="J1" s="584"/>
      <c r="K1" s="584"/>
      <c r="L1" s="584"/>
      <c r="M1" s="584"/>
      <c r="N1" s="584"/>
      <c r="Q1" s="3" t="s">
        <v>109</v>
      </c>
    </row>
    <row r="2" spans="1:21" ht="39.6" x14ac:dyDescent="0.25">
      <c r="A2" s="111" t="s">
        <v>110</v>
      </c>
      <c r="B2" s="25" t="s">
        <v>111</v>
      </c>
      <c r="C2" s="570" t="s">
        <v>112</v>
      </c>
      <c r="D2" s="570" t="s">
        <v>113</v>
      </c>
      <c r="E2" s="65" t="s">
        <v>114</v>
      </c>
      <c r="F2" s="128" t="s">
        <v>115</v>
      </c>
      <c r="G2" s="24" t="s">
        <v>116</v>
      </c>
      <c r="H2" s="25" t="s">
        <v>117</v>
      </c>
      <c r="I2" s="570" t="s">
        <v>118</v>
      </c>
      <c r="J2" s="24" t="s">
        <v>119</v>
      </c>
      <c r="K2" s="24" t="s">
        <v>120</v>
      </c>
      <c r="L2" s="88" t="s">
        <v>121</v>
      </c>
      <c r="M2" s="24" t="s">
        <v>122</v>
      </c>
      <c r="N2" s="24" t="s">
        <v>56</v>
      </c>
      <c r="Q2" s="30"/>
      <c r="R2" s="30"/>
      <c r="S2" s="30"/>
      <c r="T2" s="30"/>
    </row>
    <row r="3" spans="1:21" ht="56.4" customHeight="1" x14ac:dyDescent="0.25">
      <c r="A3" s="396" t="s">
        <v>59</v>
      </c>
      <c r="B3" s="126" t="s">
        <v>123</v>
      </c>
      <c r="C3" s="190" t="s">
        <v>124</v>
      </c>
      <c r="D3" s="396" t="s">
        <v>125</v>
      </c>
      <c r="E3" s="396" t="s">
        <v>126</v>
      </c>
      <c r="F3" s="126" t="s">
        <v>127</v>
      </c>
      <c r="G3" s="15" t="s">
        <v>128</v>
      </c>
      <c r="H3" s="397">
        <v>0.69799999999999995</v>
      </c>
      <c r="I3" s="398">
        <f>H3*$I$11</f>
        <v>17235.016</v>
      </c>
      <c r="J3" s="399">
        <f t="shared" ref="J3:J5" si="0">I3*20</f>
        <v>344700.32</v>
      </c>
      <c r="K3" s="15">
        <v>1</v>
      </c>
      <c r="L3" s="399">
        <f t="shared" ref="L3:L10" si="1">M3*I3/1000</f>
        <v>292.995272</v>
      </c>
      <c r="M3" s="16">
        <v>17</v>
      </c>
      <c r="N3" s="16"/>
      <c r="O3" s="301"/>
      <c r="Q3" s="30"/>
      <c r="R3" s="30"/>
      <c r="S3" s="30"/>
      <c r="T3" s="30"/>
    </row>
    <row r="4" spans="1:21" ht="17.7" customHeight="1" x14ac:dyDescent="0.25">
      <c r="A4" s="396" t="s">
        <v>59</v>
      </c>
      <c r="B4" s="126" t="s">
        <v>129</v>
      </c>
      <c r="C4" s="190" t="s">
        <v>124</v>
      </c>
      <c r="D4" s="396" t="s">
        <v>130</v>
      </c>
      <c r="E4" s="396" t="s">
        <v>131</v>
      </c>
      <c r="F4" s="126" t="s">
        <v>127</v>
      </c>
      <c r="G4" s="15" t="s">
        <v>128</v>
      </c>
      <c r="H4" s="397">
        <v>6.6000000000000003E-2</v>
      </c>
      <c r="I4" s="398">
        <f t="shared" ref="I4:I10" si="2">H4*$I$11</f>
        <v>1629.672</v>
      </c>
      <c r="J4" s="399">
        <f t="shared" si="0"/>
        <v>32593.440000000002</v>
      </c>
      <c r="K4" s="15">
        <v>1</v>
      </c>
      <c r="L4" s="399">
        <f t="shared" si="1"/>
        <v>27.704423999999999</v>
      </c>
      <c r="M4" s="16">
        <v>17</v>
      </c>
      <c r="N4" s="16"/>
      <c r="O4" s="301"/>
      <c r="P4" s="48"/>
      <c r="Q4" s="30"/>
      <c r="R4" s="30"/>
      <c r="T4" s="30"/>
    </row>
    <row r="5" spans="1:21" ht="17.7" customHeight="1" x14ac:dyDescent="0.25">
      <c r="A5" s="396" t="s">
        <v>59</v>
      </c>
      <c r="B5" s="190" t="s">
        <v>132</v>
      </c>
      <c r="C5" s="190" t="s">
        <v>124</v>
      </c>
      <c r="D5" s="396" t="s">
        <v>133</v>
      </c>
      <c r="E5" s="396" t="s">
        <v>134</v>
      </c>
      <c r="F5" s="126" t="s">
        <v>127</v>
      </c>
      <c r="G5" s="15" t="s">
        <v>128</v>
      </c>
      <c r="H5" s="397">
        <v>6.6000000000000003E-2</v>
      </c>
      <c r="I5" s="398">
        <f t="shared" si="2"/>
        <v>1629.672</v>
      </c>
      <c r="J5" s="399">
        <f t="shared" si="0"/>
        <v>32593.440000000002</v>
      </c>
      <c r="K5" s="15">
        <v>1</v>
      </c>
      <c r="L5" s="399">
        <f t="shared" si="1"/>
        <v>27.704423999999999</v>
      </c>
      <c r="M5" s="16">
        <v>17</v>
      </c>
      <c r="N5" s="16"/>
      <c r="O5" s="301"/>
      <c r="Q5" s="30"/>
      <c r="R5" s="30"/>
      <c r="S5" s="30"/>
    </row>
    <row r="6" spans="1:21" ht="16.5" customHeight="1" x14ac:dyDescent="0.25">
      <c r="A6" s="396" t="s">
        <v>59</v>
      </c>
      <c r="B6" s="190" t="s">
        <v>135</v>
      </c>
      <c r="C6" s="190" t="s">
        <v>136</v>
      </c>
      <c r="D6" s="396"/>
      <c r="E6" s="396"/>
      <c r="F6" s="126" t="s">
        <v>127</v>
      </c>
      <c r="G6" s="15" t="s">
        <v>137</v>
      </c>
      <c r="H6" s="400">
        <f>0.005</f>
        <v>5.0000000000000001E-3</v>
      </c>
      <c r="I6" s="398">
        <f t="shared" si="2"/>
        <v>123.46000000000001</v>
      </c>
      <c r="J6" s="399">
        <f>I6*20</f>
        <v>2469.2000000000003</v>
      </c>
      <c r="K6" s="15">
        <v>1</v>
      </c>
      <c r="L6" s="399">
        <f t="shared" si="1"/>
        <v>0.61730000000000007</v>
      </c>
      <c r="M6" s="16">
        <v>5</v>
      </c>
      <c r="N6" s="16"/>
      <c r="O6" s="301"/>
      <c r="Q6" s="30"/>
      <c r="R6" s="30"/>
      <c r="S6" s="30"/>
    </row>
    <row r="7" spans="1:21" ht="16.5" customHeight="1" x14ac:dyDescent="0.25">
      <c r="A7" s="396" t="s">
        <v>59</v>
      </c>
      <c r="B7" s="401" t="s">
        <v>138</v>
      </c>
      <c r="C7" s="401" t="s">
        <v>139</v>
      </c>
      <c r="D7" s="396" t="s">
        <v>140</v>
      </c>
      <c r="E7" s="396" t="s">
        <v>141</v>
      </c>
      <c r="F7" s="401" t="s">
        <v>142</v>
      </c>
      <c r="G7" s="402" t="s">
        <v>128</v>
      </c>
      <c r="H7" s="400">
        <v>2.4E-2</v>
      </c>
      <c r="I7" s="398">
        <f t="shared" si="2"/>
        <v>592.60800000000006</v>
      </c>
      <c r="J7" s="399">
        <f>I7*20</f>
        <v>11852.160000000002</v>
      </c>
      <c r="K7" s="399">
        <v>1</v>
      </c>
      <c r="L7" s="399">
        <f t="shared" si="1"/>
        <v>1.185216</v>
      </c>
      <c r="M7" s="403">
        <v>2</v>
      </c>
      <c r="N7" s="403"/>
      <c r="O7" s="404"/>
      <c r="Q7" s="30"/>
      <c r="R7" s="30"/>
      <c r="S7" s="30"/>
      <c r="T7" s="553"/>
    </row>
    <row r="8" spans="1:21" ht="16.5" customHeight="1" x14ac:dyDescent="0.25">
      <c r="A8" s="396" t="s">
        <v>59</v>
      </c>
      <c r="B8" s="401" t="s">
        <v>143</v>
      </c>
      <c r="C8" s="401" t="s">
        <v>144</v>
      </c>
      <c r="D8" s="396" t="s">
        <v>140</v>
      </c>
      <c r="E8" s="396" t="s">
        <v>141</v>
      </c>
      <c r="F8" s="401" t="s">
        <v>142</v>
      </c>
      <c r="G8" s="402" t="s">
        <v>128</v>
      </c>
      <c r="H8" s="400">
        <v>9.7000000000000003E-2</v>
      </c>
      <c r="I8" s="398">
        <f t="shared" si="2"/>
        <v>2395.1240000000003</v>
      </c>
      <c r="J8" s="399">
        <f t="shared" ref="J8:J10" si="3">I8*20</f>
        <v>47902.48</v>
      </c>
      <c r="K8" s="399">
        <v>1</v>
      </c>
      <c r="L8" s="399">
        <f t="shared" si="1"/>
        <v>0</v>
      </c>
      <c r="M8" s="403">
        <v>0</v>
      </c>
      <c r="N8" s="403"/>
      <c r="O8" s="404"/>
      <c r="Q8" s="30"/>
      <c r="R8" s="30"/>
      <c r="S8" s="30"/>
      <c r="T8" s="30"/>
    </row>
    <row r="9" spans="1:21" ht="16.5" customHeight="1" x14ac:dyDescent="0.25">
      <c r="A9" s="396" t="s">
        <v>59</v>
      </c>
      <c r="B9" s="401" t="s">
        <v>145</v>
      </c>
      <c r="C9" s="401" t="s">
        <v>146</v>
      </c>
      <c r="D9" s="396" t="s">
        <v>147</v>
      </c>
      <c r="E9" s="396" t="s">
        <v>148</v>
      </c>
      <c r="F9" s="396" t="s">
        <v>127</v>
      </c>
      <c r="G9" s="402" t="s">
        <v>128</v>
      </c>
      <c r="H9" s="400">
        <v>2.7E-2</v>
      </c>
      <c r="I9" s="398">
        <f t="shared" si="2"/>
        <v>666.68399999999997</v>
      </c>
      <c r="J9" s="399">
        <f t="shared" si="3"/>
        <v>13333.68</v>
      </c>
      <c r="K9" s="399">
        <v>1</v>
      </c>
      <c r="L9" s="399">
        <f t="shared" si="1"/>
        <v>3.3334200000000003</v>
      </c>
      <c r="M9" s="403">
        <v>5</v>
      </c>
      <c r="N9" s="403"/>
      <c r="O9" s="404"/>
      <c r="Q9" s="30"/>
      <c r="R9" s="30"/>
      <c r="S9" s="30"/>
      <c r="T9" s="30"/>
    </row>
    <row r="10" spans="1:21" ht="31.5" customHeight="1" x14ac:dyDescent="0.25">
      <c r="A10" s="396" t="s">
        <v>59</v>
      </c>
      <c r="B10" s="401" t="s">
        <v>149</v>
      </c>
      <c r="C10" s="401" t="s">
        <v>150</v>
      </c>
      <c r="D10" s="396"/>
      <c r="E10" s="396"/>
      <c r="F10" s="396" t="s">
        <v>127</v>
      </c>
      <c r="G10" s="402" t="s">
        <v>128</v>
      </c>
      <c r="H10" s="405">
        <v>1.7000000000000001E-2</v>
      </c>
      <c r="I10" s="398">
        <f t="shared" si="2"/>
        <v>419.76400000000001</v>
      </c>
      <c r="J10" s="399">
        <f t="shared" si="3"/>
        <v>8395.2800000000007</v>
      </c>
      <c r="K10" s="399">
        <v>1</v>
      </c>
      <c r="L10" s="399">
        <f t="shared" si="1"/>
        <v>0</v>
      </c>
      <c r="M10" s="403">
        <v>0</v>
      </c>
      <c r="N10" s="575" t="s">
        <v>151</v>
      </c>
      <c r="O10" s="404"/>
      <c r="Q10" s="30"/>
      <c r="R10" s="30"/>
      <c r="S10" s="30"/>
      <c r="T10" s="30"/>
    </row>
    <row r="11" spans="1:21" ht="39.6" customHeight="1" x14ac:dyDescent="0.25">
      <c r="A11" s="396" t="s">
        <v>152</v>
      </c>
      <c r="B11" s="190" t="s">
        <v>153</v>
      </c>
      <c r="C11" s="401" t="s">
        <v>154</v>
      </c>
      <c r="D11" s="396" t="s">
        <v>155</v>
      </c>
      <c r="E11" s="396" t="s">
        <v>155</v>
      </c>
      <c r="F11" s="110"/>
      <c r="G11" s="406" t="s">
        <v>156</v>
      </c>
      <c r="H11" s="407">
        <f>SUM(H3:H10)</f>
        <v>1</v>
      </c>
      <c r="I11" s="408">
        <v>24692</v>
      </c>
      <c r="J11" s="408">
        <f>SUM(J3:J10)</f>
        <v>493840</v>
      </c>
      <c r="K11" s="399"/>
      <c r="L11" s="408">
        <f>SUM(L3:L10)</f>
        <v>353.54005600000005</v>
      </c>
      <c r="M11" s="17"/>
      <c r="N11" s="17"/>
      <c r="O11" s="302"/>
      <c r="P11" s="30"/>
      <c r="Q11" s="30"/>
      <c r="R11" s="30"/>
      <c r="S11" s="30"/>
      <c r="T11" s="30"/>
      <c r="U11" s="2" t="s">
        <v>157</v>
      </c>
    </row>
    <row r="12" spans="1:21" ht="13.2" x14ac:dyDescent="0.25">
      <c r="I12" s="251"/>
      <c r="J12" s="19"/>
      <c r="K12" s="19"/>
      <c r="L12" s="19"/>
      <c r="M12" s="550"/>
      <c r="N12" s="550"/>
      <c r="O12" s="550"/>
      <c r="P12" s="220"/>
      <c r="Q12" s="220"/>
      <c r="R12" s="220"/>
      <c r="S12" s="220"/>
    </row>
    <row r="13" spans="1:21" ht="13.2" x14ac:dyDescent="0.25">
      <c r="B13" s="2" t="s">
        <v>158</v>
      </c>
      <c r="I13" s="19"/>
      <c r="J13" s="19"/>
      <c r="K13" s="19"/>
      <c r="L13" s="19"/>
      <c r="M13" s="550"/>
      <c r="N13" s="550"/>
      <c r="O13" s="550"/>
      <c r="P13" s="220"/>
      <c r="Q13" s="220"/>
      <c r="R13" s="220"/>
      <c r="S13" s="220"/>
    </row>
    <row r="14" spans="1:21" ht="13.2" x14ac:dyDescent="0.25">
      <c r="B14" s="2" t="s">
        <v>159</v>
      </c>
      <c r="H14" s="252"/>
      <c r="I14" s="223"/>
      <c r="J14" s="253"/>
      <c r="K14" s="19"/>
      <c r="L14" s="19"/>
      <c r="M14" s="550"/>
      <c r="N14" s="550"/>
      <c r="O14" s="550"/>
      <c r="P14" s="588" t="s">
        <v>160</v>
      </c>
      <c r="Q14" s="588"/>
      <c r="R14" s="588"/>
      <c r="S14" s="588"/>
    </row>
    <row r="15" spans="1:21" ht="13.2" x14ac:dyDescent="0.25">
      <c r="H15" s="122"/>
      <c r="I15" s="50"/>
      <c r="J15" s="409"/>
      <c r="K15" s="19"/>
      <c r="L15" s="19"/>
      <c r="M15" s="550"/>
      <c r="N15" s="550"/>
      <c r="O15" s="550"/>
      <c r="P15" s="588" t="s">
        <v>161</v>
      </c>
      <c r="Q15" s="588"/>
      <c r="R15" s="588"/>
      <c r="S15" s="556" t="s">
        <v>162</v>
      </c>
    </row>
    <row r="16" spans="1:21" ht="13.2" x14ac:dyDescent="0.25">
      <c r="H16" s="122"/>
      <c r="I16" s="50"/>
      <c r="J16" s="409"/>
      <c r="K16" s="19"/>
      <c r="L16" s="19"/>
      <c r="M16" s="550"/>
      <c r="N16" s="550"/>
      <c r="O16" s="550"/>
      <c r="P16" s="589" t="str">
        <f>C3</f>
        <v>Retail Sales Area (Retail Merchandise Sales)</v>
      </c>
      <c r="Q16" s="589"/>
      <c r="R16" s="589"/>
      <c r="S16" s="410">
        <f>SUM(H3:H5)</f>
        <v>0.83000000000000007</v>
      </c>
    </row>
    <row r="17" spans="3:20" ht="13.2" x14ac:dyDescent="0.25">
      <c r="G17" s="2" t="str" cm="1">
        <f t="array" ref="G17:G22">_xlfn.UNIQUE(C3:C10)</f>
        <v>Retail Sales Area (Retail Merchandise Sales)</v>
      </c>
      <c r="H17" s="122"/>
      <c r="I17" s="50"/>
      <c r="J17" s="409"/>
      <c r="K17" s="19"/>
      <c r="L17" s="19"/>
      <c r="M17" s="550"/>
      <c r="N17" s="550"/>
      <c r="O17" s="550"/>
      <c r="P17" s="589" t="str">
        <f>C6</f>
        <v>Corridor Area</v>
      </c>
      <c r="Q17" s="589"/>
      <c r="R17" s="589"/>
      <c r="S17" s="410">
        <f>H6</f>
        <v>5.0000000000000001E-3</v>
      </c>
    </row>
    <row r="18" spans="3:20" ht="13.2" x14ac:dyDescent="0.25">
      <c r="G18" s="2" t="str">
        <v>Corridor Area</v>
      </c>
      <c r="H18" s="122"/>
      <c r="I18" s="254"/>
      <c r="J18" s="409"/>
      <c r="K18" s="19"/>
      <c r="L18" s="19"/>
      <c r="M18" s="550"/>
      <c r="N18" s="550"/>
      <c r="O18" s="550"/>
      <c r="P18" s="589" t="str">
        <f>C7</f>
        <v>Storage, Commercial/Industrial (Shipping &amp; Handling)</v>
      </c>
      <c r="Q18" s="589"/>
      <c r="R18" s="589"/>
      <c r="S18" s="410">
        <f>H7</f>
        <v>2.4E-2</v>
      </c>
    </row>
    <row r="19" spans="3:20" ht="13.2" x14ac:dyDescent="0.25">
      <c r="G19" s="2" t="str">
        <v>Storage, Commercial/Industrial (Shipping &amp; Handling)</v>
      </c>
      <c r="H19" s="122"/>
      <c r="I19" s="411"/>
      <c r="J19" s="409"/>
      <c r="K19" s="19"/>
      <c r="L19" s="19"/>
      <c r="M19" s="550"/>
      <c r="N19" s="550"/>
      <c r="O19" s="550"/>
      <c r="P19" s="589" t="str">
        <f>C8</f>
        <v>Storage (General)</v>
      </c>
      <c r="Q19" s="589"/>
      <c r="R19" s="589"/>
      <c r="S19" s="410">
        <f>H8</f>
        <v>9.7000000000000003E-2</v>
      </c>
    </row>
    <row r="20" spans="3:20" ht="13.2" x14ac:dyDescent="0.25">
      <c r="G20" s="2" t="str">
        <v>Storage (General)</v>
      </c>
      <c r="H20" s="122"/>
      <c r="I20" s="411"/>
      <c r="J20" s="409"/>
      <c r="K20" s="19"/>
      <c r="L20" s="19"/>
      <c r="M20" s="550"/>
      <c r="N20" s="550"/>
      <c r="O20" s="550"/>
      <c r="P20" s="589" t="str">
        <f>C9</f>
        <v>Office Area (&gt;250 square feet)</v>
      </c>
      <c r="Q20" s="589"/>
      <c r="R20" s="589"/>
      <c r="S20" s="410">
        <f>H9</f>
        <v>2.7E-2</v>
      </c>
    </row>
    <row r="21" spans="3:20" ht="13.2" x14ac:dyDescent="0.25">
      <c r="G21" s="2" t="str">
        <v>Office Area (&gt;250 square feet)</v>
      </c>
      <c r="H21" s="122"/>
      <c r="I21" s="411"/>
      <c r="J21" s="409"/>
      <c r="K21" s="19"/>
      <c r="L21" s="19"/>
      <c r="M21" s="550"/>
      <c r="N21" s="550"/>
      <c r="O21" s="550"/>
      <c r="P21" s="589" t="str">
        <f>C10</f>
        <v>Restrooms</v>
      </c>
      <c r="Q21" s="589"/>
      <c r="R21" s="589"/>
      <c r="S21" s="410">
        <f>H10</f>
        <v>1.7000000000000001E-2</v>
      </c>
      <c r="T21" s="293"/>
    </row>
    <row r="22" spans="3:20" ht="13.2" x14ac:dyDescent="0.25">
      <c r="G22" s="2" t="str">
        <v>Restrooms</v>
      </c>
      <c r="H22" s="122"/>
      <c r="I22" s="411"/>
      <c r="J22" s="409"/>
      <c r="K22" s="19"/>
      <c r="L22" s="19"/>
      <c r="M22" s="19"/>
      <c r="N22" s="19"/>
      <c r="O22" s="19"/>
      <c r="P22" s="588" t="s">
        <v>163</v>
      </c>
      <c r="Q22" s="588"/>
      <c r="R22" s="588"/>
      <c r="S22" s="412">
        <f>SUM(S16:S21)</f>
        <v>1</v>
      </c>
    </row>
    <row r="23" spans="3:20" ht="13.2" x14ac:dyDescent="0.25">
      <c r="H23" s="122"/>
      <c r="I23" s="255"/>
      <c r="J23" s="255"/>
      <c r="K23" s="19"/>
      <c r="L23" s="19"/>
      <c r="M23" s="19"/>
      <c r="N23" s="19"/>
      <c r="O23" s="19"/>
    </row>
    <row r="24" spans="3:20" s="20" customFormat="1" ht="13.2" customHeight="1" x14ac:dyDescent="0.25">
      <c r="G24" s="21"/>
      <c r="H24" s="23"/>
      <c r="M24" s="267"/>
      <c r="N24" s="267"/>
      <c r="O24" s="267"/>
      <c r="P24" s="267"/>
      <c r="Q24" s="267"/>
    </row>
    <row r="25" spans="3:20" ht="13.2" customHeight="1" x14ac:dyDescent="0.25">
      <c r="D25" s="18"/>
      <c r="E25" s="18"/>
      <c r="F25" s="18"/>
    </row>
    <row r="26" spans="3:20" ht="13.2" customHeight="1" x14ac:dyDescent="0.25">
      <c r="C26" s="2" t="s">
        <v>164</v>
      </c>
    </row>
    <row r="27" spans="3:20" ht="13.2" customHeight="1" x14ac:dyDescent="0.25">
      <c r="C27" s="587" t="s">
        <v>165</v>
      </c>
      <c r="D27" s="587"/>
      <c r="E27" s="587"/>
    </row>
    <row r="28" spans="3:20" ht="13.2" customHeight="1" x14ac:dyDescent="0.25">
      <c r="C28" s="62" t="s">
        <v>166</v>
      </c>
      <c r="D28" s="62"/>
      <c r="E28" s="62" t="s">
        <v>167</v>
      </c>
    </row>
    <row r="29" spans="3:20" ht="13.2" customHeight="1" x14ac:dyDescent="0.25">
      <c r="C29" s="102">
        <v>0.82620000000000005</v>
      </c>
      <c r="D29" s="102"/>
      <c r="E29" s="92">
        <v>0.83440000000000003</v>
      </c>
    </row>
    <row r="30" spans="3:20" ht="13.95" customHeight="1" x14ac:dyDescent="0.25"/>
    <row r="31" spans="3:20" ht="12.75" customHeight="1" x14ac:dyDescent="0.25">
      <c r="C31" s="3" t="s">
        <v>168</v>
      </c>
    </row>
    <row r="32" spans="3:20" ht="12.75" customHeight="1" x14ac:dyDescent="0.25">
      <c r="C32" s="257" t="s">
        <v>161</v>
      </c>
      <c r="D32" s="258" t="s">
        <v>169</v>
      </c>
      <c r="E32" s="259" t="s">
        <v>170</v>
      </c>
    </row>
    <row r="33" spans="3:5" ht="12.75" customHeight="1" x14ac:dyDescent="0.25">
      <c r="C33" s="234" t="s">
        <v>171</v>
      </c>
      <c r="D33" s="234">
        <v>31500</v>
      </c>
      <c r="E33" s="260">
        <v>0.77780000000000005</v>
      </c>
    </row>
    <row r="34" spans="3:5" ht="12.75" customHeight="1" x14ac:dyDescent="0.25">
      <c r="C34" s="562" t="s">
        <v>172</v>
      </c>
      <c r="D34" s="562">
        <v>3076</v>
      </c>
      <c r="E34" s="256">
        <v>7.5999999999999998E-2</v>
      </c>
    </row>
    <row r="35" spans="3:5" ht="12.75" customHeight="1" x14ac:dyDescent="0.25">
      <c r="C35" s="562" t="s">
        <v>173</v>
      </c>
      <c r="D35" s="562">
        <v>300</v>
      </c>
      <c r="E35" s="256">
        <v>7.4000000000000003E-3</v>
      </c>
    </row>
    <row r="36" spans="3:5" ht="12.75" customHeight="1" x14ac:dyDescent="0.25">
      <c r="C36" s="562" t="s">
        <v>174</v>
      </c>
      <c r="D36" s="562">
        <v>500</v>
      </c>
      <c r="E36" s="256">
        <v>1.23E-2</v>
      </c>
    </row>
    <row r="37" spans="3:5" ht="12.75" customHeight="1" x14ac:dyDescent="0.25">
      <c r="C37" s="562" t="s">
        <v>175</v>
      </c>
      <c r="D37" s="562">
        <v>500</v>
      </c>
      <c r="E37" s="256">
        <v>1.23E-2</v>
      </c>
    </row>
    <row r="38" spans="3:5" ht="12.75" customHeight="1" x14ac:dyDescent="0.25">
      <c r="C38" s="562" t="s">
        <v>149</v>
      </c>
      <c r="D38" s="562">
        <v>625</v>
      </c>
      <c r="E38" s="256">
        <v>1.54E-2</v>
      </c>
    </row>
    <row r="39" spans="3:5" ht="12.75" customHeight="1" x14ac:dyDescent="0.25">
      <c r="C39" s="562" t="s">
        <v>176</v>
      </c>
      <c r="D39" s="562">
        <v>200</v>
      </c>
      <c r="E39" s="256">
        <v>4.8999999999999998E-3</v>
      </c>
    </row>
    <row r="40" spans="3:5" ht="12.75" customHeight="1" x14ac:dyDescent="0.25">
      <c r="C40" s="562" t="s">
        <v>177</v>
      </c>
      <c r="D40" s="562">
        <v>450</v>
      </c>
      <c r="E40" s="256">
        <v>1.11E-2</v>
      </c>
    </row>
    <row r="41" spans="3:5" ht="12.75" customHeight="1" x14ac:dyDescent="0.25">
      <c r="C41" s="562" t="s">
        <v>178</v>
      </c>
      <c r="D41" s="562">
        <v>300</v>
      </c>
      <c r="E41" s="256">
        <v>7.4000000000000003E-3</v>
      </c>
    </row>
    <row r="42" spans="3:5" ht="12.75" customHeight="1" x14ac:dyDescent="0.25">
      <c r="C42" s="261" t="s">
        <v>179</v>
      </c>
      <c r="D42" s="261">
        <v>3050</v>
      </c>
      <c r="E42" s="262">
        <v>7.5300000000000006E-2</v>
      </c>
    </row>
    <row r="43" spans="3:5" ht="12.75" customHeight="1" x14ac:dyDescent="0.25">
      <c r="C43" s="263" t="s">
        <v>163</v>
      </c>
      <c r="D43" s="264">
        <v>40500</v>
      </c>
      <c r="E43" s="265">
        <v>1</v>
      </c>
    </row>
    <row r="45" spans="3:5" ht="12.75" customHeight="1" x14ac:dyDescent="0.25">
      <c r="C45" s="2" t="s">
        <v>180</v>
      </c>
      <c r="E45" s="266">
        <f>SUM(E33:E34)</f>
        <v>0.8538</v>
      </c>
    </row>
    <row r="46" spans="3:5" ht="12.75" customHeight="1" x14ac:dyDescent="0.25">
      <c r="C46" s="2" t="s">
        <v>181</v>
      </c>
      <c r="E46" s="266">
        <f>SUM(E35:E42)</f>
        <v>0.14610000000000001</v>
      </c>
    </row>
  </sheetData>
  <mergeCells count="11">
    <mergeCell ref="A1:N1"/>
    <mergeCell ref="P19:R19"/>
    <mergeCell ref="P20:R20"/>
    <mergeCell ref="P21:R21"/>
    <mergeCell ref="P22:R22"/>
    <mergeCell ref="C27:E27"/>
    <mergeCell ref="P14:S14"/>
    <mergeCell ref="P15:R15"/>
    <mergeCell ref="P16:R16"/>
    <mergeCell ref="P17:R17"/>
    <mergeCell ref="P18:R18"/>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879DBC2-F1AF-4004-B9D3-883859B7F622}">
          <x14:formula1>
            <xm:f>Data!$A$2:$A$200</xm:f>
          </x14:formula1>
          <xm:sqref>C3:C10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K92"/>
  <sheetViews>
    <sheetView topLeftCell="B1" zoomScale="85" zoomScaleNormal="85" workbookViewId="0">
      <selection sqref="A1:X1"/>
    </sheetView>
  </sheetViews>
  <sheetFormatPr defaultColWidth="9.33203125" defaultRowHeight="14.25" customHeight="1" x14ac:dyDescent="0.25"/>
  <cols>
    <col min="1" max="1" width="15.44140625" style="52" customWidth="1"/>
    <col min="2" max="2" width="18.33203125" style="55" customWidth="1"/>
    <col min="3" max="3" width="21.5546875" style="52" customWidth="1"/>
    <col min="4" max="4" width="42.5546875" style="52" customWidth="1"/>
    <col min="5" max="5" width="36.6640625" style="52" customWidth="1"/>
    <col min="6" max="6" width="16.109375" style="52" customWidth="1"/>
    <col min="7" max="7" width="20.5546875" style="56" customWidth="1"/>
    <col min="8" max="8" width="43.44140625" style="52" customWidth="1"/>
    <col min="9" max="10" width="8.109375" style="52" customWidth="1"/>
    <col min="11" max="11" width="23.88671875" style="52" customWidth="1"/>
    <col min="12" max="12" width="28.6640625" style="52" customWidth="1"/>
    <col min="13" max="24" width="8.109375" style="52" customWidth="1"/>
    <col min="25" max="25" width="9.33203125" style="52"/>
    <col min="26" max="26" width="27" style="52" customWidth="1"/>
    <col min="27" max="27" width="12.5546875" style="52" customWidth="1"/>
    <col min="28" max="28" width="7.6640625" style="52" customWidth="1"/>
    <col min="29" max="31" width="17.6640625" style="52" customWidth="1"/>
    <col min="32" max="32" width="41.33203125" style="52" customWidth="1"/>
    <col min="33" max="33" width="38.44140625" style="52" customWidth="1"/>
    <col min="34" max="34" width="11.44140625" style="52" customWidth="1"/>
    <col min="35" max="35" width="7.6640625" style="52" customWidth="1"/>
    <col min="36" max="36" width="26.6640625" style="52" customWidth="1"/>
    <col min="37" max="38" width="13.33203125" style="52" customWidth="1"/>
    <col min="39" max="39" width="31.33203125" style="52" customWidth="1"/>
    <col min="40" max="40" width="27.5546875" style="52" customWidth="1"/>
    <col min="41" max="43" width="7.6640625" style="52" customWidth="1"/>
    <col min="44" max="47" width="10.44140625" style="52" customWidth="1"/>
    <col min="48" max="48" width="9.88671875" style="52" customWidth="1"/>
    <col min="49" max="49" width="10.44140625" style="52" customWidth="1"/>
    <col min="50" max="50" width="21.6640625" style="52" customWidth="1"/>
    <col min="51" max="51" width="10.44140625" style="52" customWidth="1"/>
    <col min="52" max="54" width="7.44140625" style="52" customWidth="1"/>
    <col min="55" max="55" width="7.6640625" style="52" customWidth="1"/>
    <col min="56" max="56" width="7.44140625" style="52" customWidth="1"/>
    <col min="57" max="57" width="13.6640625" style="52" customWidth="1"/>
    <col min="58" max="61" width="7.44140625" style="52" customWidth="1"/>
    <col min="62" max="63" width="9.6640625" style="52" bestFit="1" customWidth="1"/>
    <col min="64" max="16384" width="9.33203125" style="52"/>
  </cols>
  <sheetData>
    <row r="1" spans="1:26" ht="31.95" customHeight="1" x14ac:dyDescent="0.25">
      <c r="A1" s="615" t="str">
        <f>"Envelope - "&amp;Prototype!A2</f>
        <v>Envelope - RetailMedium</v>
      </c>
      <c r="B1" s="615"/>
      <c r="C1" s="615"/>
      <c r="D1" s="615"/>
      <c r="E1" s="615"/>
      <c r="F1" s="615"/>
      <c r="G1" s="615"/>
      <c r="H1" s="615"/>
      <c r="I1" s="615"/>
      <c r="J1" s="615"/>
      <c r="K1" s="615"/>
      <c r="L1" s="615"/>
      <c r="M1" s="615"/>
      <c r="N1" s="615"/>
      <c r="O1" s="615"/>
      <c r="P1" s="615"/>
      <c r="Q1" s="615"/>
      <c r="R1" s="615"/>
      <c r="S1" s="615"/>
      <c r="T1" s="615"/>
      <c r="U1" s="615"/>
      <c r="V1" s="615"/>
      <c r="W1" s="615"/>
      <c r="X1" s="615"/>
      <c r="Y1" s="1"/>
      <c r="Z1" s="1"/>
    </row>
    <row r="2" spans="1:26" ht="32.4" customHeight="1" x14ac:dyDescent="0.25">
      <c r="A2" s="28" t="s">
        <v>182</v>
      </c>
      <c r="B2" s="28" t="s">
        <v>10</v>
      </c>
      <c r="C2" s="28" t="s">
        <v>183</v>
      </c>
      <c r="D2" s="28" t="s">
        <v>184</v>
      </c>
      <c r="E2" s="61" t="s">
        <v>185</v>
      </c>
      <c r="F2" s="28" t="s">
        <v>186</v>
      </c>
      <c r="G2" s="61" t="s">
        <v>187</v>
      </c>
      <c r="H2" s="28" t="s">
        <v>188</v>
      </c>
      <c r="I2" s="28" t="s">
        <v>189</v>
      </c>
      <c r="J2" s="28" t="s">
        <v>190</v>
      </c>
      <c r="K2" s="28" t="s">
        <v>191</v>
      </c>
      <c r="L2" s="28" t="s">
        <v>192</v>
      </c>
      <c r="M2" s="28" t="s">
        <v>193</v>
      </c>
      <c r="N2" s="28" t="s">
        <v>194</v>
      </c>
      <c r="O2" s="28" t="s">
        <v>195</v>
      </c>
      <c r="P2" s="28" t="s">
        <v>196</v>
      </c>
      <c r="Q2" s="28" t="s">
        <v>197</v>
      </c>
      <c r="R2" s="28" t="s">
        <v>198</v>
      </c>
      <c r="S2" s="28" t="s">
        <v>199</v>
      </c>
      <c r="T2" s="28" t="s">
        <v>200</v>
      </c>
      <c r="U2" s="28" t="s">
        <v>201</v>
      </c>
      <c r="V2" s="28" t="s">
        <v>202</v>
      </c>
      <c r="W2" s="28" t="s">
        <v>203</v>
      </c>
      <c r="X2" s="28" t="s">
        <v>204</v>
      </c>
      <c r="Y2" s="1"/>
      <c r="Z2" s="1"/>
    </row>
    <row r="3" spans="1:26" s="1" customFormat="1" ht="13.95" customHeight="1" x14ac:dyDescent="0.25">
      <c r="A3" s="592" t="s">
        <v>205</v>
      </c>
      <c r="B3" s="592" t="s">
        <v>59</v>
      </c>
      <c r="C3" s="593" t="s">
        <v>206</v>
      </c>
      <c r="D3" s="617" t="s">
        <v>207</v>
      </c>
      <c r="E3" s="592" t="s">
        <v>208</v>
      </c>
      <c r="F3" s="558" t="s">
        <v>209</v>
      </c>
      <c r="G3" s="558" t="s">
        <v>87</v>
      </c>
      <c r="H3" s="80" t="s">
        <v>210</v>
      </c>
      <c r="I3" s="558">
        <v>0.35199999999999998</v>
      </c>
      <c r="J3" s="558">
        <v>0.35199999999999998</v>
      </c>
      <c r="K3" s="558">
        <v>0.35199999999999998</v>
      </c>
      <c r="L3" s="558">
        <v>0.35199999999999998</v>
      </c>
      <c r="M3" s="558">
        <v>0.35199999999999998</v>
      </c>
      <c r="N3" s="558">
        <v>0.35199999999999998</v>
      </c>
      <c r="O3" s="558">
        <v>0.35199999999999998</v>
      </c>
      <c r="P3" s="558">
        <v>0.35199999999999998</v>
      </c>
      <c r="Q3" s="558">
        <v>0.35199999999999998</v>
      </c>
      <c r="R3" s="558">
        <v>0.35199999999999998</v>
      </c>
      <c r="S3" s="558">
        <v>0.35199999999999998</v>
      </c>
      <c r="T3" s="558">
        <v>0.35199999999999998</v>
      </c>
      <c r="U3" s="558">
        <v>0.35199999999999998</v>
      </c>
      <c r="V3" s="558">
        <v>0.35199999999999998</v>
      </c>
      <c r="W3" s="558">
        <v>0.35199999999999998</v>
      </c>
      <c r="X3" s="558">
        <v>0.35199999999999998</v>
      </c>
    </row>
    <row r="4" spans="1:26" s="1" customFormat="1" ht="31.95" customHeight="1" x14ac:dyDescent="0.25">
      <c r="A4" s="592"/>
      <c r="B4" s="592"/>
      <c r="C4" s="593"/>
      <c r="D4" s="593"/>
      <c r="E4" s="592"/>
      <c r="F4" s="378" t="s">
        <v>211</v>
      </c>
      <c r="G4" s="378">
        <v>1986</v>
      </c>
      <c r="H4" s="379" t="s">
        <v>212</v>
      </c>
      <c r="I4" s="75">
        <v>0.150829562594268</v>
      </c>
      <c r="J4" s="75">
        <v>0.15748031496062992</v>
      </c>
      <c r="K4" s="75">
        <v>0.15748031496062992</v>
      </c>
      <c r="L4" s="75">
        <v>0.14367816091954022</v>
      </c>
      <c r="M4" s="75">
        <v>0.14367816091954022</v>
      </c>
      <c r="N4" s="75">
        <v>0.21645021645021645</v>
      </c>
      <c r="O4" s="75">
        <v>0.21645021645021645</v>
      </c>
      <c r="P4" s="75">
        <v>0.21645021645021645</v>
      </c>
      <c r="Q4" s="75">
        <v>0.21645021645021645</v>
      </c>
      <c r="R4" s="75">
        <v>0.21645021645021645</v>
      </c>
      <c r="S4" s="75">
        <v>0.18621973929236499</v>
      </c>
      <c r="T4" s="75">
        <v>0.18621973929236499</v>
      </c>
      <c r="U4" s="75">
        <v>0.18621973929236499</v>
      </c>
      <c r="V4" s="75">
        <v>0.15873015873015872</v>
      </c>
      <c r="W4" s="75">
        <v>0.15873015873015872</v>
      </c>
      <c r="X4" s="75">
        <v>0.15082956259426847</v>
      </c>
      <c r="Y4" s="76"/>
      <c r="Z4" s="76"/>
    </row>
    <row r="5" spans="1:26" s="1" customFormat="1" ht="13.95" customHeight="1" x14ac:dyDescent="0.25">
      <c r="A5" s="592"/>
      <c r="B5" s="592"/>
      <c r="C5" s="593"/>
      <c r="D5" s="593"/>
      <c r="E5" s="592"/>
      <c r="F5" s="83" t="s">
        <v>213</v>
      </c>
      <c r="G5" s="83">
        <v>2001</v>
      </c>
      <c r="H5" s="83" t="s">
        <v>214</v>
      </c>
      <c r="I5" s="77">
        <v>0.182</v>
      </c>
      <c r="J5" s="77">
        <v>0.182</v>
      </c>
      <c r="K5" s="77">
        <v>0.189</v>
      </c>
      <c r="L5" s="77">
        <v>0.189</v>
      </c>
      <c r="M5" s="77">
        <v>0.189</v>
      </c>
      <c r="N5" s="77">
        <v>0.189</v>
      </c>
      <c r="O5" s="77">
        <v>0.189</v>
      </c>
      <c r="P5" s="77">
        <v>0.189</v>
      </c>
      <c r="Q5" s="77">
        <v>0.189</v>
      </c>
      <c r="R5" s="77">
        <v>0.182</v>
      </c>
      <c r="S5" s="77">
        <v>0.182</v>
      </c>
      <c r="T5" s="77">
        <v>0.182</v>
      </c>
      <c r="U5" s="77">
        <v>0.182</v>
      </c>
      <c r="V5" s="77">
        <v>0.182</v>
      </c>
      <c r="W5" s="77">
        <v>0.182</v>
      </c>
      <c r="X5" s="77">
        <v>0.182</v>
      </c>
      <c r="Y5" s="78"/>
      <c r="Z5" s="78"/>
    </row>
    <row r="6" spans="1:26" s="1" customFormat="1" ht="13.95" customHeight="1" x14ac:dyDescent="0.25">
      <c r="A6" s="592"/>
      <c r="B6" s="592"/>
      <c r="C6" s="593"/>
      <c r="D6" s="593"/>
      <c r="E6" s="592"/>
      <c r="F6" s="374" t="s">
        <v>215</v>
      </c>
      <c r="G6" s="374">
        <v>2013</v>
      </c>
      <c r="H6" s="374" t="s">
        <v>216</v>
      </c>
      <c r="I6" s="79">
        <v>9.8000000000000004E-2</v>
      </c>
      <c r="J6" s="79">
        <v>6.2E-2</v>
      </c>
      <c r="K6" s="79">
        <v>8.2000000000000003E-2</v>
      </c>
      <c r="L6" s="79">
        <v>6.2E-2</v>
      </c>
      <c r="M6" s="79">
        <v>6.2E-2</v>
      </c>
      <c r="N6" s="79">
        <v>9.8000000000000004E-2</v>
      </c>
      <c r="O6" s="79">
        <v>9.8000000000000004E-2</v>
      </c>
      <c r="P6" s="79">
        <v>6.2E-2</v>
      </c>
      <c r="Q6" s="79">
        <v>6.2E-2</v>
      </c>
      <c r="R6" s="79">
        <v>6.2E-2</v>
      </c>
      <c r="S6" s="79">
        <v>6.2E-2</v>
      </c>
      <c r="T6" s="79">
        <v>6.2E-2</v>
      </c>
      <c r="U6" s="79">
        <v>6.2E-2</v>
      </c>
      <c r="V6" s="79">
        <v>6.2E-2</v>
      </c>
      <c r="W6" s="79">
        <v>6.2E-2</v>
      </c>
      <c r="X6" s="79">
        <v>6.2E-2</v>
      </c>
      <c r="Y6" s="78"/>
      <c r="Z6" s="78"/>
    </row>
    <row r="7" spans="1:26" s="1" customFormat="1" ht="13.95" customHeight="1" x14ac:dyDescent="0.25">
      <c r="A7" s="592"/>
      <c r="B7" s="592"/>
      <c r="C7" s="593"/>
      <c r="D7" s="593"/>
      <c r="E7" s="592"/>
      <c r="F7" s="370" t="s">
        <v>218</v>
      </c>
      <c r="G7" s="371">
        <v>2025</v>
      </c>
      <c r="H7" s="371" t="s">
        <v>216</v>
      </c>
      <c r="I7" s="372">
        <v>0.06</v>
      </c>
      <c r="J7" s="372">
        <v>5.5E-2</v>
      </c>
      <c r="K7" s="372">
        <v>7.0999999999999994E-2</v>
      </c>
      <c r="L7" s="372">
        <v>5.5E-2</v>
      </c>
      <c r="M7" s="372">
        <v>5.5E-2</v>
      </c>
      <c r="N7" s="372">
        <v>0.06</v>
      </c>
      <c r="O7" s="372">
        <v>0.06</v>
      </c>
      <c r="P7" s="372">
        <v>5.5E-2</v>
      </c>
      <c r="Q7" s="372">
        <v>5.5E-2</v>
      </c>
      <c r="R7" s="372">
        <v>5.5E-2</v>
      </c>
      <c r="S7" s="372">
        <v>5.5E-2</v>
      </c>
      <c r="T7" s="372">
        <v>5.5E-2</v>
      </c>
      <c r="U7" s="372">
        <v>5.5E-2</v>
      </c>
      <c r="V7" s="372">
        <v>5.5E-2</v>
      </c>
      <c r="W7" s="372">
        <v>5.5E-2</v>
      </c>
      <c r="X7" s="372">
        <v>5.5E-2</v>
      </c>
      <c r="Y7" s="78"/>
      <c r="Z7" s="78"/>
    </row>
    <row r="8" spans="1:26" s="1" customFormat="1" ht="13.95" customHeight="1" x14ac:dyDescent="0.25">
      <c r="A8" s="592" t="s">
        <v>219</v>
      </c>
      <c r="B8" s="592" t="s">
        <v>59</v>
      </c>
      <c r="C8" s="593" t="s">
        <v>220</v>
      </c>
      <c r="D8" s="621" t="s">
        <v>221</v>
      </c>
      <c r="E8" s="592" t="s">
        <v>208</v>
      </c>
      <c r="F8" s="558" t="s">
        <v>209</v>
      </c>
      <c r="G8" s="558" t="s">
        <v>87</v>
      </c>
      <c r="H8" s="590" t="s">
        <v>222</v>
      </c>
      <c r="I8" s="80">
        <v>5.7000000000000002E-2</v>
      </c>
      <c r="J8" s="80">
        <v>5.7000000000000002E-2</v>
      </c>
      <c r="K8" s="80">
        <v>5.7000000000000002E-2</v>
      </c>
      <c r="L8" s="80">
        <v>5.7000000000000002E-2</v>
      </c>
      <c r="M8" s="80">
        <v>5.7000000000000002E-2</v>
      </c>
      <c r="N8" s="80">
        <v>7.8E-2</v>
      </c>
      <c r="O8" s="80">
        <v>7.8E-2</v>
      </c>
      <c r="P8" s="80">
        <v>7.8E-2</v>
      </c>
      <c r="Q8" s="80">
        <v>7.8E-2</v>
      </c>
      <c r="R8" s="80">
        <v>7.8E-2</v>
      </c>
      <c r="S8" s="80">
        <v>5.7000000000000002E-2</v>
      </c>
      <c r="T8" s="80">
        <v>5.7000000000000002E-2</v>
      </c>
      <c r="U8" s="80">
        <v>5.7000000000000002E-2</v>
      </c>
      <c r="V8" s="80">
        <v>5.7000000000000002E-2</v>
      </c>
      <c r="W8" s="80">
        <v>5.7000000000000002E-2</v>
      </c>
      <c r="X8" s="80">
        <v>5.7000000000000002E-2</v>
      </c>
      <c r="Y8" s="78"/>
      <c r="Z8" s="78"/>
    </row>
    <row r="9" spans="1:26" s="1" customFormat="1" ht="13.95" customHeight="1" x14ac:dyDescent="0.25">
      <c r="A9" s="592"/>
      <c r="B9" s="592"/>
      <c r="C9" s="593"/>
      <c r="D9" s="621"/>
      <c r="E9" s="592"/>
      <c r="F9" s="378" t="s">
        <v>211</v>
      </c>
      <c r="G9" s="378">
        <v>1992</v>
      </c>
      <c r="H9" s="591"/>
      <c r="I9" s="81">
        <v>5.7000000000000002E-2</v>
      </c>
      <c r="J9" s="81">
        <v>5.7000000000000002E-2</v>
      </c>
      <c r="K9" s="81">
        <v>5.7000000000000002E-2</v>
      </c>
      <c r="L9" s="81">
        <v>5.7000000000000002E-2</v>
      </c>
      <c r="M9" s="81">
        <v>5.7000000000000002E-2</v>
      </c>
      <c r="N9" s="81">
        <v>7.8E-2</v>
      </c>
      <c r="O9" s="81">
        <v>7.8E-2</v>
      </c>
      <c r="P9" s="81">
        <v>7.8E-2</v>
      </c>
      <c r="Q9" s="81">
        <v>7.8E-2</v>
      </c>
      <c r="R9" s="81">
        <v>7.8E-2</v>
      </c>
      <c r="S9" s="81">
        <v>5.7000000000000002E-2</v>
      </c>
      <c r="T9" s="81">
        <v>5.7000000000000002E-2</v>
      </c>
      <c r="U9" s="81">
        <v>5.7000000000000002E-2</v>
      </c>
      <c r="V9" s="81">
        <v>5.7000000000000002E-2</v>
      </c>
      <c r="W9" s="81">
        <v>5.7000000000000002E-2</v>
      </c>
      <c r="X9" s="81">
        <v>5.7000000000000002E-2</v>
      </c>
      <c r="Y9" s="78"/>
      <c r="Z9" s="78"/>
    </row>
    <row r="10" spans="1:26" s="1" customFormat="1" ht="13.95" customHeight="1" x14ac:dyDescent="0.25">
      <c r="A10" s="592"/>
      <c r="B10" s="592"/>
      <c r="C10" s="593"/>
      <c r="D10" s="621"/>
      <c r="E10" s="592"/>
      <c r="F10" s="83" t="s">
        <v>213</v>
      </c>
      <c r="G10" s="83">
        <v>2001</v>
      </c>
      <c r="H10" s="83" t="s">
        <v>214</v>
      </c>
      <c r="I10" s="77">
        <v>5.7000000000000002E-2</v>
      </c>
      <c r="J10" s="77">
        <v>5.7000000000000002E-2</v>
      </c>
      <c r="K10" s="77">
        <v>5.7000000000000002E-2</v>
      </c>
      <c r="L10" s="77">
        <v>5.7000000000000002E-2</v>
      </c>
      <c r="M10" s="77">
        <v>5.7000000000000002E-2</v>
      </c>
      <c r="N10" s="77">
        <v>7.8E-2</v>
      </c>
      <c r="O10" s="77">
        <v>7.8E-2</v>
      </c>
      <c r="P10" s="77">
        <v>7.8E-2</v>
      </c>
      <c r="Q10" s="77">
        <v>7.8E-2</v>
      </c>
      <c r="R10" s="77">
        <v>5.7000000000000002E-2</v>
      </c>
      <c r="S10" s="77">
        <v>5.7000000000000002E-2</v>
      </c>
      <c r="T10" s="77">
        <v>5.7000000000000002E-2</v>
      </c>
      <c r="U10" s="77">
        <v>5.7000000000000002E-2</v>
      </c>
      <c r="V10" s="77">
        <v>5.7000000000000002E-2</v>
      </c>
      <c r="W10" s="77">
        <v>5.7000000000000002E-2</v>
      </c>
      <c r="X10" s="77">
        <v>5.7000000000000002E-2</v>
      </c>
      <c r="Y10" s="78"/>
      <c r="Z10" s="78"/>
    </row>
    <row r="11" spans="1:26" s="1" customFormat="1" ht="13.95" customHeight="1" x14ac:dyDescent="0.25">
      <c r="A11" s="592"/>
      <c r="B11" s="592"/>
      <c r="C11" s="593"/>
      <c r="D11" s="621"/>
      <c r="E11" s="592"/>
      <c r="F11" s="373" t="s">
        <v>215</v>
      </c>
      <c r="G11" s="373">
        <v>2013</v>
      </c>
      <c r="H11" s="373" t="s">
        <v>216</v>
      </c>
      <c r="I11" s="79">
        <v>4.9000000000000002E-2</v>
      </c>
      <c r="J11" s="79">
        <v>3.9E-2</v>
      </c>
      <c r="K11" s="79">
        <v>3.9E-2</v>
      </c>
      <c r="L11" s="79">
        <v>3.9E-2</v>
      </c>
      <c r="M11" s="79">
        <v>4.9000000000000002E-2</v>
      </c>
      <c r="N11" s="79">
        <v>7.4999999999999997E-2</v>
      </c>
      <c r="O11" s="79">
        <v>6.7000000000000004E-2</v>
      </c>
      <c r="P11" s="79">
        <v>6.7000000000000004E-2</v>
      </c>
      <c r="Q11" s="79">
        <v>3.9E-2</v>
      </c>
      <c r="R11" s="79">
        <v>3.9E-2</v>
      </c>
      <c r="S11" s="79">
        <v>3.9E-2</v>
      </c>
      <c r="T11" s="79">
        <v>3.9E-2</v>
      </c>
      <c r="U11" s="79">
        <v>3.9E-2</v>
      </c>
      <c r="V11" s="79">
        <v>3.9E-2</v>
      </c>
      <c r="W11" s="79">
        <v>3.9E-2</v>
      </c>
      <c r="X11" s="79">
        <v>3.9E-2</v>
      </c>
      <c r="Y11" s="78"/>
      <c r="Z11" s="78"/>
    </row>
    <row r="12" spans="1:26" s="1" customFormat="1" ht="13.95" customHeight="1" x14ac:dyDescent="0.25">
      <c r="A12" s="592"/>
      <c r="B12" s="592"/>
      <c r="C12" s="593"/>
      <c r="D12" s="621"/>
      <c r="E12" s="592"/>
      <c r="F12" s="370" t="s">
        <v>218</v>
      </c>
      <c r="G12" s="371">
        <v>2025</v>
      </c>
      <c r="H12" s="371" t="s">
        <v>216</v>
      </c>
      <c r="I12" s="372">
        <v>2.8000000000000001E-2</v>
      </c>
      <c r="J12" s="372">
        <v>2.8000000000000001E-2</v>
      </c>
      <c r="K12" s="372">
        <v>2.8000000000000001E-2</v>
      </c>
      <c r="L12" s="372">
        <v>2.8000000000000001E-2</v>
      </c>
      <c r="M12" s="372">
        <v>2.8000000000000001E-2</v>
      </c>
      <c r="N12" s="372">
        <v>4.7E-2</v>
      </c>
      <c r="O12" s="372">
        <v>4.7E-2</v>
      </c>
      <c r="P12" s="372">
        <v>4.7E-2</v>
      </c>
      <c r="Q12" s="372">
        <v>2.8000000000000001E-2</v>
      </c>
      <c r="R12" s="372">
        <v>2.8000000000000001E-2</v>
      </c>
      <c r="S12" s="372">
        <v>2.8000000000000001E-2</v>
      </c>
      <c r="T12" s="372">
        <v>2.8000000000000001E-2</v>
      </c>
      <c r="U12" s="372">
        <v>2.8000000000000001E-2</v>
      </c>
      <c r="V12" s="372">
        <v>2.8000000000000001E-2</v>
      </c>
      <c r="W12" s="372">
        <v>2.8000000000000001E-2</v>
      </c>
      <c r="X12" s="372">
        <v>2.8000000000000001E-2</v>
      </c>
      <c r="Y12" s="78"/>
      <c r="Z12" s="78"/>
    </row>
    <row r="13" spans="1:26" s="1" customFormat="1" ht="27" customHeight="1" x14ac:dyDescent="0.25">
      <c r="A13" s="592" t="s">
        <v>223</v>
      </c>
      <c r="B13" s="592" t="s">
        <v>59</v>
      </c>
      <c r="C13" s="590" t="s">
        <v>224</v>
      </c>
      <c r="D13" s="593" t="s">
        <v>225</v>
      </c>
      <c r="E13" s="592" t="s">
        <v>208</v>
      </c>
      <c r="F13" s="558" t="s">
        <v>209</v>
      </c>
      <c r="G13" s="558" t="s">
        <v>87</v>
      </c>
      <c r="H13" s="590" t="s">
        <v>226</v>
      </c>
      <c r="I13" s="558">
        <f>0.5*1.12+0.5*I16</f>
        <v>0.74</v>
      </c>
      <c r="J13" s="558">
        <f t="shared" ref="J13:X13" si="0">0.5*1.12+0.5*J16</f>
        <v>0.74</v>
      </c>
      <c r="K13" s="558">
        <f t="shared" si="0"/>
        <v>0.74</v>
      </c>
      <c r="L13" s="558">
        <f t="shared" si="0"/>
        <v>0.74</v>
      </c>
      <c r="M13" s="558">
        <f t="shared" si="0"/>
        <v>0.74</v>
      </c>
      <c r="N13" s="558">
        <f t="shared" si="0"/>
        <v>0.74</v>
      </c>
      <c r="O13" s="558">
        <f t="shared" si="0"/>
        <v>0.74</v>
      </c>
      <c r="P13" s="558">
        <f t="shared" si="0"/>
        <v>0.74</v>
      </c>
      <c r="Q13" s="558">
        <f t="shared" si="0"/>
        <v>0.74</v>
      </c>
      <c r="R13" s="558">
        <f t="shared" si="0"/>
        <v>0.74</v>
      </c>
      <c r="S13" s="558">
        <f t="shared" si="0"/>
        <v>0.74</v>
      </c>
      <c r="T13" s="558">
        <f t="shared" si="0"/>
        <v>0.74</v>
      </c>
      <c r="U13" s="558">
        <f t="shared" si="0"/>
        <v>0.74</v>
      </c>
      <c r="V13" s="558">
        <f t="shared" si="0"/>
        <v>0.74</v>
      </c>
      <c r="W13" s="558">
        <f t="shared" si="0"/>
        <v>0.74</v>
      </c>
      <c r="X13" s="558">
        <f t="shared" si="0"/>
        <v>0.74</v>
      </c>
      <c r="Y13" s="78"/>
      <c r="Z13" s="78"/>
    </row>
    <row r="14" spans="1:26" s="1" customFormat="1" ht="21" customHeight="1" x14ac:dyDescent="0.25">
      <c r="A14" s="592"/>
      <c r="B14" s="592"/>
      <c r="C14" s="616"/>
      <c r="D14" s="593"/>
      <c r="E14" s="592"/>
      <c r="F14" s="378" t="s">
        <v>211</v>
      </c>
      <c r="G14" s="378" t="s">
        <v>87</v>
      </c>
      <c r="H14" s="591"/>
      <c r="I14" s="82">
        <f>I13</f>
        <v>0.74</v>
      </c>
      <c r="J14" s="82">
        <f t="shared" ref="J14:X14" si="1">J13</f>
        <v>0.74</v>
      </c>
      <c r="K14" s="82">
        <f t="shared" si="1"/>
        <v>0.74</v>
      </c>
      <c r="L14" s="82">
        <f t="shared" si="1"/>
        <v>0.74</v>
      </c>
      <c r="M14" s="82">
        <f t="shared" si="1"/>
        <v>0.74</v>
      </c>
      <c r="N14" s="82">
        <f t="shared" si="1"/>
        <v>0.74</v>
      </c>
      <c r="O14" s="82">
        <f t="shared" si="1"/>
        <v>0.74</v>
      </c>
      <c r="P14" s="82">
        <f t="shared" si="1"/>
        <v>0.74</v>
      </c>
      <c r="Q14" s="82">
        <f t="shared" si="1"/>
        <v>0.74</v>
      </c>
      <c r="R14" s="82">
        <f t="shared" si="1"/>
        <v>0.74</v>
      </c>
      <c r="S14" s="82">
        <f t="shared" si="1"/>
        <v>0.74</v>
      </c>
      <c r="T14" s="82">
        <f t="shared" si="1"/>
        <v>0.74</v>
      </c>
      <c r="U14" s="82">
        <f t="shared" si="1"/>
        <v>0.74</v>
      </c>
      <c r="V14" s="82">
        <f t="shared" si="1"/>
        <v>0.74</v>
      </c>
      <c r="W14" s="82">
        <f t="shared" si="1"/>
        <v>0.74</v>
      </c>
      <c r="X14" s="82">
        <f t="shared" si="1"/>
        <v>0.74</v>
      </c>
      <c r="Y14" s="78"/>
      <c r="Z14" s="78"/>
    </row>
    <row r="15" spans="1:26" s="1" customFormat="1" ht="21" customHeight="1" x14ac:dyDescent="0.25">
      <c r="A15" s="592"/>
      <c r="B15" s="592"/>
      <c r="C15" s="616"/>
      <c r="D15" s="592" t="s">
        <v>227</v>
      </c>
      <c r="E15" s="592"/>
      <c r="F15" s="83" t="s">
        <v>213</v>
      </c>
      <c r="G15" s="83">
        <v>2001</v>
      </c>
      <c r="H15" s="83" t="s">
        <v>214</v>
      </c>
      <c r="I15" s="83">
        <v>0.49</v>
      </c>
      <c r="J15" s="83">
        <v>0.49</v>
      </c>
      <c r="K15" s="83">
        <v>0.81</v>
      </c>
      <c r="L15" s="83">
        <v>0.81</v>
      </c>
      <c r="M15" s="83">
        <v>0.81</v>
      </c>
      <c r="N15" s="83">
        <v>0.81</v>
      </c>
      <c r="O15" s="83">
        <v>0.81</v>
      </c>
      <c r="P15" s="83">
        <v>0.81</v>
      </c>
      <c r="Q15" s="83">
        <v>0.81</v>
      </c>
      <c r="R15" s="83">
        <v>0.49</v>
      </c>
      <c r="S15" s="83">
        <v>0.49</v>
      </c>
      <c r="T15" s="83">
        <v>0.49</v>
      </c>
      <c r="U15" s="83">
        <v>0.49</v>
      </c>
      <c r="V15" s="83">
        <v>0.49</v>
      </c>
      <c r="W15" s="83">
        <v>0.49</v>
      </c>
      <c r="X15" s="83">
        <v>0.49</v>
      </c>
      <c r="Y15" s="78"/>
      <c r="Z15" s="78"/>
    </row>
    <row r="16" spans="1:26" s="1" customFormat="1" ht="13.95" customHeight="1" x14ac:dyDescent="0.25">
      <c r="A16" s="592"/>
      <c r="B16" s="592"/>
      <c r="C16" s="616"/>
      <c r="D16" s="592"/>
      <c r="E16" s="592"/>
      <c r="F16" s="374" t="s">
        <v>215</v>
      </c>
      <c r="G16" s="374">
        <v>2013</v>
      </c>
      <c r="H16" s="374" t="s">
        <v>228</v>
      </c>
      <c r="I16" s="374">
        <v>0.36</v>
      </c>
      <c r="J16" s="84">
        <v>0.36</v>
      </c>
      <c r="K16" s="84">
        <v>0.36</v>
      </c>
      <c r="L16" s="84">
        <v>0.36</v>
      </c>
      <c r="M16" s="84">
        <v>0.36</v>
      </c>
      <c r="N16" s="84">
        <v>0.36</v>
      </c>
      <c r="O16" s="84">
        <v>0.36</v>
      </c>
      <c r="P16" s="84">
        <v>0.36</v>
      </c>
      <c r="Q16" s="84">
        <v>0.36</v>
      </c>
      <c r="R16" s="84">
        <v>0.36</v>
      </c>
      <c r="S16" s="84">
        <v>0.36</v>
      </c>
      <c r="T16" s="84">
        <v>0.36</v>
      </c>
      <c r="U16" s="84">
        <v>0.36</v>
      </c>
      <c r="V16" s="84">
        <v>0.36</v>
      </c>
      <c r="W16" s="84">
        <v>0.36</v>
      </c>
      <c r="X16" s="84">
        <v>0.36</v>
      </c>
      <c r="Y16" s="78"/>
      <c r="Z16" s="78"/>
    </row>
    <row r="17" spans="1:63" s="1" customFormat="1" ht="13.95" customHeight="1" x14ac:dyDescent="0.25">
      <c r="A17" s="592"/>
      <c r="B17" s="592"/>
      <c r="C17" s="591"/>
      <c r="D17" s="592"/>
      <c r="E17" s="592"/>
      <c r="F17" s="370" t="s">
        <v>218</v>
      </c>
      <c r="G17" s="371">
        <v>2025</v>
      </c>
      <c r="H17" s="371" t="s">
        <v>228</v>
      </c>
      <c r="I17" s="371">
        <v>0.36</v>
      </c>
      <c r="J17" s="371">
        <v>0.36</v>
      </c>
      <c r="K17" s="371">
        <v>0.36</v>
      </c>
      <c r="L17" s="371">
        <v>0.36</v>
      </c>
      <c r="M17" s="371">
        <v>0.36</v>
      </c>
      <c r="N17" s="371">
        <v>0.36</v>
      </c>
      <c r="O17" s="371">
        <v>0.36</v>
      </c>
      <c r="P17" s="371">
        <v>0.36</v>
      </c>
      <c r="Q17" s="371">
        <v>0.34</v>
      </c>
      <c r="R17" s="371">
        <v>0.36</v>
      </c>
      <c r="S17" s="371">
        <v>0.34</v>
      </c>
      <c r="T17" s="371">
        <v>0.34</v>
      </c>
      <c r="U17" s="371">
        <v>0.34</v>
      </c>
      <c r="V17" s="371">
        <v>0.34</v>
      </c>
      <c r="W17" s="371">
        <v>0.34</v>
      </c>
      <c r="X17" s="371">
        <v>0.36</v>
      </c>
      <c r="Y17" s="78"/>
      <c r="Z17" s="78"/>
    </row>
    <row r="18" spans="1:63" s="1" customFormat="1" ht="17.399999999999999" customHeight="1" x14ac:dyDescent="0.25">
      <c r="A18" s="592"/>
      <c r="B18" s="592" t="s">
        <v>59</v>
      </c>
      <c r="C18" s="590" t="s">
        <v>224</v>
      </c>
      <c r="D18" s="593" t="s">
        <v>225</v>
      </c>
      <c r="E18" s="592" t="s">
        <v>229</v>
      </c>
      <c r="F18" s="558" t="s">
        <v>209</v>
      </c>
      <c r="G18" s="558" t="s">
        <v>87</v>
      </c>
      <c r="H18" s="590" t="s">
        <v>230</v>
      </c>
      <c r="I18" s="413">
        <f>0.79*0.5+I21*0.5</f>
        <v>0.52</v>
      </c>
      <c r="J18" s="413">
        <f t="shared" ref="J18:X18" si="2">0.79*0.5+J21*0.5</f>
        <v>0.52</v>
      </c>
      <c r="K18" s="413">
        <f t="shared" si="2"/>
        <v>0.52</v>
      </c>
      <c r="L18" s="413">
        <f t="shared" si="2"/>
        <v>0.52</v>
      </c>
      <c r="M18" s="413">
        <f t="shared" si="2"/>
        <v>0.52</v>
      </c>
      <c r="N18" s="413">
        <f t="shared" si="2"/>
        <v>0.52</v>
      </c>
      <c r="O18" s="413">
        <f t="shared" si="2"/>
        <v>0.52</v>
      </c>
      <c r="P18" s="413">
        <f t="shared" si="2"/>
        <v>0.52</v>
      </c>
      <c r="Q18" s="413">
        <f t="shared" si="2"/>
        <v>0.52</v>
      </c>
      <c r="R18" s="413">
        <f t="shared" si="2"/>
        <v>0.52</v>
      </c>
      <c r="S18" s="413">
        <f t="shared" si="2"/>
        <v>0.52</v>
      </c>
      <c r="T18" s="413">
        <f t="shared" si="2"/>
        <v>0.52</v>
      </c>
      <c r="U18" s="413">
        <f t="shared" si="2"/>
        <v>0.52</v>
      </c>
      <c r="V18" s="413">
        <f t="shared" si="2"/>
        <v>0.52</v>
      </c>
      <c r="W18" s="413">
        <f t="shared" si="2"/>
        <v>0.52</v>
      </c>
      <c r="X18" s="413">
        <f t="shared" si="2"/>
        <v>0.52</v>
      </c>
      <c r="Y18" s="78"/>
      <c r="Z18" s="78"/>
    </row>
    <row r="19" spans="1:63" s="1" customFormat="1" ht="36" customHeight="1" x14ac:dyDescent="0.25">
      <c r="A19" s="592"/>
      <c r="B19" s="592"/>
      <c r="C19" s="616"/>
      <c r="D19" s="593"/>
      <c r="E19" s="592"/>
      <c r="F19" s="378" t="s">
        <v>211</v>
      </c>
      <c r="G19" s="378" t="s">
        <v>87</v>
      </c>
      <c r="H19" s="591"/>
      <c r="I19" s="414">
        <f>I18</f>
        <v>0.52</v>
      </c>
      <c r="J19" s="414">
        <f t="shared" ref="J19:X19" si="3">J18</f>
        <v>0.52</v>
      </c>
      <c r="K19" s="414">
        <f t="shared" si="3"/>
        <v>0.52</v>
      </c>
      <c r="L19" s="414">
        <f t="shared" si="3"/>
        <v>0.52</v>
      </c>
      <c r="M19" s="414">
        <f t="shared" si="3"/>
        <v>0.52</v>
      </c>
      <c r="N19" s="414">
        <f t="shared" si="3"/>
        <v>0.52</v>
      </c>
      <c r="O19" s="414">
        <f t="shared" si="3"/>
        <v>0.52</v>
      </c>
      <c r="P19" s="414">
        <f t="shared" si="3"/>
        <v>0.52</v>
      </c>
      <c r="Q19" s="414">
        <f t="shared" si="3"/>
        <v>0.52</v>
      </c>
      <c r="R19" s="414">
        <f t="shared" si="3"/>
        <v>0.52</v>
      </c>
      <c r="S19" s="414">
        <f t="shared" si="3"/>
        <v>0.52</v>
      </c>
      <c r="T19" s="414">
        <f t="shared" si="3"/>
        <v>0.52</v>
      </c>
      <c r="U19" s="414">
        <f t="shared" si="3"/>
        <v>0.52</v>
      </c>
      <c r="V19" s="414">
        <f t="shared" si="3"/>
        <v>0.52</v>
      </c>
      <c r="W19" s="414">
        <f t="shared" si="3"/>
        <v>0.52</v>
      </c>
      <c r="X19" s="414">
        <f t="shared" si="3"/>
        <v>0.52</v>
      </c>
      <c r="Y19" s="78"/>
      <c r="Z19" s="78"/>
    </row>
    <row r="20" spans="1:63" s="1" customFormat="1" ht="13.8" x14ac:dyDescent="0.25">
      <c r="A20" s="592"/>
      <c r="B20" s="592"/>
      <c r="C20" s="616"/>
      <c r="D20" s="592" t="s">
        <v>227</v>
      </c>
      <c r="E20" s="592"/>
      <c r="F20" s="376" t="s">
        <v>213</v>
      </c>
      <c r="G20" s="376">
        <v>2001</v>
      </c>
      <c r="H20" s="83" t="s">
        <v>231</v>
      </c>
      <c r="I20" s="83">
        <v>0.49</v>
      </c>
      <c r="J20" s="83">
        <v>0.47</v>
      </c>
      <c r="K20" s="83">
        <v>0.61</v>
      </c>
      <c r="L20" s="83">
        <v>0.61</v>
      </c>
      <c r="M20" s="83">
        <v>0.61</v>
      </c>
      <c r="N20" s="83">
        <v>0.61</v>
      </c>
      <c r="O20" s="83">
        <v>0.61</v>
      </c>
      <c r="P20" s="83">
        <v>0.61</v>
      </c>
      <c r="Q20" s="83">
        <v>0.61</v>
      </c>
      <c r="R20" s="83">
        <v>0.47</v>
      </c>
      <c r="S20" s="83">
        <v>0.47</v>
      </c>
      <c r="T20" s="83">
        <v>0.47</v>
      </c>
      <c r="U20" s="83">
        <v>0.47</v>
      </c>
      <c r="V20" s="83">
        <v>0.46</v>
      </c>
      <c r="W20" s="83">
        <v>0.46</v>
      </c>
      <c r="X20" s="83">
        <v>0.49</v>
      </c>
      <c r="Y20" s="78"/>
      <c r="Z20" s="78"/>
    </row>
    <row r="21" spans="1:63" s="1" customFormat="1" ht="13.8" x14ac:dyDescent="0.25">
      <c r="A21" s="592"/>
      <c r="B21" s="592"/>
      <c r="C21" s="616"/>
      <c r="D21" s="592"/>
      <c r="E21" s="592"/>
      <c r="F21" s="374" t="s">
        <v>215</v>
      </c>
      <c r="G21" s="374">
        <v>2013</v>
      </c>
      <c r="H21" s="374" t="s">
        <v>228</v>
      </c>
      <c r="I21" s="84">
        <v>0.25</v>
      </c>
      <c r="J21" s="84">
        <v>0.25</v>
      </c>
      <c r="K21" s="84">
        <v>0.25</v>
      </c>
      <c r="L21" s="84">
        <v>0.25</v>
      </c>
      <c r="M21" s="84">
        <v>0.25</v>
      </c>
      <c r="N21" s="84">
        <v>0.25</v>
      </c>
      <c r="O21" s="84">
        <v>0.25</v>
      </c>
      <c r="P21" s="84">
        <v>0.25</v>
      </c>
      <c r="Q21" s="84">
        <v>0.25</v>
      </c>
      <c r="R21" s="84">
        <v>0.25</v>
      </c>
      <c r="S21" s="84">
        <v>0.25</v>
      </c>
      <c r="T21" s="84">
        <v>0.25</v>
      </c>
      <c r="U21" s="84">
        <v>0.25</v>
      </c>
      <c r="V21" s="84">
        <v>0.25</v>
      </c>
      <c r="W21" s="84">
        <v>0.25</v>
      </c>
      <c r="X21" s="84">
        <v>0.25</v>
      </c>
      <c r="Y21" s="78"/>
      <c r="Z21" s="78"/>
    </row>
    <row r="22" spans="1:63" s="1" customFormat="1" ht="13.8" x14ac:dyDescent="0.25">
      <c r="A22" s="592"/>
      <c r="B22" s="592"/>
      <c r="C22" s="591"/>
      <c r="D22" s="592"/>
      <c r="E22" s="592"/>
      <c r="F22" s="370" t="s">
        <v>218</v>
      </c>
      <c r="G22" s="371">
        <v>2025</v>
      </c>
      <c r="H22" s="371" t="s">
        <v>228</v>
      </c>
      <c r="I22" s="371">
        <v>0.25</v>
      </c>
      <c r="J22" s="371">
        <v>0.25</v>
      </c>
      <c r="K22" s="371">
        <v>0.25</v>
      </c>
      <c r="L22" s="371">
        <v>0.25</v>
      </c>
      <c r="M22" s="371">
        <v>0.25</v>
      </c>
      <c r="N22" s="371">
        <v>0.25</v>
      </c>
      <c r="O22" s="371">
        <v>0.25</v>
      </c>
      <c r="P22" s="371">
        <v>0.25</v>
      </c>
      <c r="Q22" s="371">
        <v>0.22</v>
      </c>
      <c r="R22" s="371">
        <v>0.25</v>
      </c>
      <c r="S22" s="371">
        <v>0.22</v>
      </c>
      <c r="T22" s="371">
        <v>0.22</v>
      </c>
      <c r="U22" s="371">
        <v>0.22</v>
      </c>
      <c r="V22" s="371">
        <v>0.22</v>
      </c>
      <c r="W22" s="371">
        <v>0.22</v>
      </c>
      <c r="X22" s="371">
        <v>0.25</v>
      </c>
      <c r="Y22" s="78"/>
      <c r="Z22" s="78"/>
    </row>
    <row r="23" spans="1:63" ht="13.95" customHeight="1" x14ac:dyDescent="0.25">
      <c r="A23" s="592" t="s">
        <v>232</v>
      </c>
      <c r="B23" s="592" t="s">
        <v>59</v>
      </c>
      <c r="C23" s="593" t="s">
        <v>232</v>
      </c>
      <c r="D23" s="590" t="s">
        <v>233</v>
      </c>
      <c r="E23" s="592" t="s">
        <v>208</v>
      </c>
      <c r="F23" s="558" t="s">
        <v>209</v>
      </c>
      <c r="G23" s="558" t="s">
        <v>87</v>
      </c>
      <c r="H23" s="590" t="s">
        <v>234</v>
      </c>
      <c r="I23" s="558">
        <v>0.85</v>
      </c>
      <c r="J23" s="558">
        <v>1.31</v>
      </c>
      <c r="K23" s="558">
        <v>1.31</v>
      </c>
      <c r="L23" s="558">
        <v>1.31</v>
      </c>
      <c r="M23" s="558">
        <v>1.31</v>
      </c>
      <c r="N23" s="558">
        <v>1.31</v>
      </c>
      <c r="O23" s="558">
        <v>1.31</v>
      </c>
      <c r="P23" s="558">
        <v>1.31</v>
      </c>
      <c r="Q23" s="558">
        <v>1.31</v>
      </c>
      <c r="R23" s="558">
        <v>1.31</v>
      </c>
      <c r="S23" s="558">
        <v>0.85</v>
      </c>
      <c r="T23" s="558">
        <v>0.85</v>
      </c>
      <c r="U23" s="558">
        <v>0.85</v>
      </c>
      <c r="V23" s="558">
        <v>0.85</v>
      </c>
      <c r="W23" s="558">
        <v>0.85</v>
      </c>
      <c r="X23" s="558">
        <v>0.85</v>
      </c>
      <c r="Y23" s="78"/>
      <c r="Z23" s="78"/>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row>
    <row r="24" spans="1:63" ht="13.95" customHeight="1" x14ac:dyDescent="0.25">
      <c r="A24" s="592"/>
      <c r="B24" s="592"/>
      <c r="C24" s="593"/>
      <c r="D24" s="591"/>
      <c r="E24" s="592"/>
      <c r="F24" s="378" t="s">
        <v>211</v>
      </c>
      <c r="G24" s="378" t="s">
        <v>87</v>
      </c>
      <c r="H24" s="591"/>
      <c r="I24" s="82">
        <v>0.85</v>
      </c>
      <c r="J24" s="82">
        <v>1.31</v>
      </c>
      <c r="K24" s="82">
        <v>1.31</v>
      </c>
      <c r="L24" s="82">
        <v>1.31</v>
      </c>
      <c r="M24" s="82">
        <v>1.31</v>
      </c>
      <c r="N24" s="82">
        <v>1.31</v>
      </c>
      <c r="O24" s="82">
        <v>1.31</v>
      </c>
      <c r="P24" s="82">
        <v>1.31</v>
      </c>
      <c r="Q24" s="82">
        <v>1.31</v>
      </c>
      <c r="R24" s="82">
        <v>1.31</v>
      </c>
      <c r="S24" s="82">
        <v>0.85</v>
      </c>
      <c r="T24" s="82">
        <v>0.85</v>
      </c>
      <c r="U24" s="82">
        <v>0.85</v>
      </c>
      <c r="V24" s="82">
        <v>0.85</v>
      </c>
      <c r="W24" s="82">
        <v>0.85</v>
      </c>
      <c r="X24" s="82">
        <v>0.85</v>
      </c>
      <c r="Y24" s="78"/>
      <c r="Z24" s="78"/>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row>
    <row r="25" spans="1:63" ht="13.95" customHeight="1" x14ac:dyDescent="0.25">
      <c r="A25" s="592"/>
      <c r="B25" s="592"/>
      <c r="C25" s="593"/>
      <c r="D25" s="594" t="s">
        <v>235</v>
      </c>
      <c r="E25" s="592"/>
      <c r="F25" s="83" t="s">
        <v>213</v>
      </c>
      <c r="G25" s="83">
        <v>2001</v>
      </c>
      <c r="H25" s="377" t="s">
        <v>214</v>
      </c>
      <c r="I25" s="83">
        <v>0.87</v>
      </c>
      <c r="J25" s="83">
        <v>1.1000000000000001</v>
      </c>
      <c r="K25" s="83">
        <v>1.3</v>
      </c>
      <c r="L25" s="83">
        <v>1.3</v>
      </c>
      <c r="M25" s="83">
        <v>1.3</v>
      </c>
      <c r="N25" s="83">
        <v>1.3</v>
      </c>
      <c r="O25" s="83">
        <v>1.3</v>
      </c>
      <c r="P25" s="83">
        <v>1.3</v>
      </c>
      <c r="Q25" s="83">
        <v>1.3</v>
      </c>
      <c r="R25" s="83">
        <v>1.1000000000000001</v>
      </c>
      <c r="S25" s="83">
        <v>1.1000000000000001</v>
      </c>
      <c r="T25" s="83">
        <v>1.1000000000000001</v>
      </c>
      <c r="U25" s="83">
        <v>1.1000000000000001</v>
      </c>
      <c r="V25" s="83">
        <v>1.1000000000000001</v>
      </c>
      <c r="W25" s="83">
        <v>1.1000000000000001</v>
      </c>
      <c r="X25" s="83">
        <v>0.87</v>
      </c>
      <c r="Y25" s="78"/>
      <c r="Z25" s="78"/>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row>
    <row r="26" spans="1:63" ht="13.95" customHeight="1" x14ac:dyDescent="0.25">
      <c r="A26" s="592"/>
      <c r="B26" s="592"/>
      <c r="C26" s="593"/>
      <c r="D26" s="595"/>
      <c r="E26" s="592"/>
      <c r="F26" s="374" t="s">
        <v>215</v>
      </c>
      <c r="G26" s="374">
        <v>2013</v>
      </c>
      <c r="H26" s="374" t="s">
        <v>216</v>
      </c>
      <c r="I26" s="374">
        <v>0.88</v>
      </c>
      <c r="J26" s="84">
        <v>0.88</v>
      </c>
      <c r="K26" s="84">
        <v>0.88</v>
      </c>
      <c r="L26" s="84">
        <v>0.88</v>
      </c>
      <c r="M26" s="84">
        <v>0.88</v>
      </c>
      <c r="N26" s="84">
        <v>0.88</v>
      </c>
      <c r="O26" s="84">
        <v>0.88</v>
      </c>
      <c r="P26" s="84">
        <v>0.88</v>
      </c>
      <c r="Q26" s="84">
        <v>0.88</v>
      </c>
      <c r="R26" s="84">
        <v>0.88</v>
      </c>
      <c r="S26" s="84">
        <v>0.88</v>
      </c>
      <c r="T26" s="84">
        <v>0.88</v>
      </c>
      <c r="U26" s="84">
        <v>0.88</v>
      </c>
      <c r="V26" s="84">
        <v>0.88</v>
      </c>
      <c r="W26" s="84">
        <v>0.88</v>
      </c>
      <c r="X26" s="84">
        <v>0.88</v>
      </c>
      <c r="Y26" s="78"/>
      <c r="Z26" s="78"/>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row>
    <row r="27" spans="1:63" ht="13.95" customHeight="1" x14ac:dyDescent="0.25">
      <c r="A27" s="592"/>
      <c r="B27" s="592"/>
      <c r="C27" s="593"/>
      <c r="D27" s="596"/>
      <c r="E27" s="592"/>
      <c r="F27" s="370" t="s">
        <v>218</v>
      </c>
      <c r="G27" s="371">
        <v>2025</v>
      </c>
      <c r="H27" s="371" t="s">
        <v>216</v>
      </c>
      <c r="I27" s="371">
        <v>0.88</v>
      </c>
      <c r="J27" s="371">
        <v>0.88</v>
      </c>
      <c r="K27" s="371">
        <v>0.88</v>
      </c>
      <c r="L27" s="371">
        <v>0.88</v>
      </c>
      <c r="M27" s="371">
        <v>0.88</v>
      </c>
      <c r="N27" s="371">
        <v>0.88</v>
      </c>
      <c r="O27" s="371">
        <v>0.88</v>
      </c>
      <c r="P27" s="371">
        <v>0.88</v>
      </c>
      <c r="Q27" s="371">
        <v>0.88</v>
      </c>
      <c r="R27" s="371">
        <v>0.88</v>
      </c>
      <c r="S27" s="371">
        <v>0.88</v>
      </c>
      <c r="T27" s="371">
        <v>0.88</v>
      </c>
      <c r="U27" s="371">
        <v>0.88</v>
      </c>
      <c r="V27" s="371">
        <v>0.88</v>
      </c>
      <c r="W27" s="371">
        <v>0.88</v>
      </c>
      <c r="X27" s="371">
        <v>0.88</v>
      </c>
      <c r="Y27" s="78"/>
      <c r="Z27" s="78"/>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row>
    <row r="28" spans="1:63" ht="13.95" customHeight="1" x14ac:dyDescent="0.25">
      <c r="A28" s="592"/>
      <c r="B28" s="592" t="s">
        <v>59</v>
      </c>
      <c r="C28" s="593" t="s">
        <v>232</v>
      </c>
      <c r="D28" s="590" t="s">
        <v>233</v>
      </c>
      <c r="E28" s="592" t="s">
        <v>229</v>
      </c>
      <c r="F28" s="558" t="s">
        <v>209</v>
      </c>
      <c r="G28" s="558" t="s">
        <v>87</v>
      </c>
      <c r="H28" s="590" t="s">
        <v>236</v>
      </c>
      <c r="I28" s="413">
        <f>0.81*0.87</f>
        <v>0.70469999999999999</v>
      </c>
      <c r="J28" s="413">
        <f>0.86*0.87</f>
        <v>0.74819999999999998</v>
      </c>
      <c r="K28" s="413">
        <f t="shared" ref="K28:R29" si="4">0.86*0.87</f>
        <v>0.74819999999999998</v>
      </c>
      <c r="L28" s="413">
        <f t="shared" si="4"/>
        <v>0.74819999999999998</v>
      </c>
      <c r="M28" s="413">
        <f t="shared" si="4"/>
        <v>0.74819999999999998</v>
      </c>
      <c r="N28" s="413">
        <f t="shared" si="4"/>
        <v>0.74819999999999998</v>
      </c>
      <c r="O28" s="413">
        <f t="shared" si="4"/>
        <v>0.74819999999999998</v>
      </c>
      <c r="P28" s="413">
        <f t="shared" si="4"/>
        <v>0.74819999999999998</v>
      </c>
      <c r="Q28" s="413">
        <f t="shared" si="4"/>
        <v>0.74819999999999998</v>
      </c>
      <c r="R28" s="413">
        <f t="shared" si="4"/>
        <v>0.74819999999999998</v>
      </c>
      <c r="S28" s="413">
        <f>0.81*0.87</f>
        <v>0.70469999999999999</v>
      </c>
      <c r="T28" s="413">
        <f t="shared" ref="T28:X29" si="5">0.81*0.87</f>
        <v>0.70469999999999999</v>
      </c>
      <c r="U28" s="413">
        <f t="shared" si="5"/>
        <v>0.70469999999999999</v>
      </c>
      <c r="V28" s="413">
        <f t="shared" si="5"/>
        <v>0.70469999999999999</v>
      </c>
      <c r="W28" s="413">
        <f t="shared" si="5"/>
        <v>0.70469999999999999</v>
      </c>
      <c r="X28" s="413">
        <f t="shared" si="5"/>
        <v>0.70469999999999999</v>
      </c>
      <c r="Y28" s="78"/>
      <c r="Z28" s="78"/>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row>
    <row r="29" spans="1:63" ht="20.25" customHeight="1" x14ac:dyDescent="0.25">
      <c r="A29" s="592"/>
      <c r="B29" s="592"/>
      <c r="C29" s="593"/>
      <c r="D29" s="591"/>
      <c r="E29" s="592"/>
      <c r="F29" s="378" t="s">
        <v>211</v>
      </c>
      <c r="G29" s="378" t="s">
        <v>87</v>
      </c>
      <c r="H29" s="591"/>
      <c r="I29" s="415">
        <f>0.81*0.87</f>
        <v>0.70469999999999999</v>
      </c>
      <c r="J29" s="415">
        <f>0.86*0.87</f>
        <v>0.74819999999999998</v>
      </c>
      <c r="K29" s="415">
        <f t="shared" si="4"/>
        <v>0.74819999999999998</v>
      </c>
      <c r="L29" s="415">
        <f t="shared" si="4"/>
        <v>0.74819999999999998</v>
      </c>
      <c r="M29" s="415">
        <f t="shared" si="4"/>
        <v>0.74819999999999998</v>
      </c>
      <c r="N29" s="415">
        <f t="shared" si="4"/>
        <v>0.74819999999999998</v>
      </c>
      <c r="O29" s="415">
        <f t="shared" si="4"/>
        <v>0.74819999999999998</v>
      </c>
      <c r="P29" s="415">
        <f t="shared" si="4"/>
        <v>0.74819999999999998</v>
      </c>
      <c r="Q29" s="415">
        <f t="shared" si="4"/>
        <v>0.74819999999999998</v>
      </c>
      <c r="R29" s="415">
        <f t="shared" si="4"/>
        <v>0.74819999999999998</v>
      </c>
      <c r="S29" s="415">
        <f>0.81*0.87</f>
        <v>0.70469999999999999</v>
      </c>
      <c r="T29" s="415">
        <f t="shared" si="5"/>
        <v>0.70469999999999999</v>
      </c>
      <c r="U29" s="415">
        <f t="shared" si="5"/>
        <v>0.70469999999999999</v>
      </c>
      <c r="V29" s="415">
        <f t="shared" si="5"/>
        <v>0.70469999999999999</v>
      </c>
      <c r="W29" s="415">
        <f t="shared" si="5"/>
        <v>0.70469999999999999</v>
      </c>
      <c r="X29" s="415">
        <f t="shared" si="5"/>
        <v>0.70469999999999999</v>
      </c>
      <c r="Y29" s="78"/>
      <c r="Z29" s="78"/>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row>
    <row r="30" spans="1:63" ht="13.95" customHeight="1" x14ac:dyDescent="0.25">
      <c r="A30" s="592"/>
      <c r="B30" s="592"/>
      <c r="C30" s="593"/>
      <c r="D30" s="594" t="s">
        <v>235</v>
      </c>
      <c r="E30" s="592"/>
      <c r="F30" s="376" t="s">
        <v>213</v>
      </c>
      <c r="G30" s="376">
        <v>2001</v>
      </c>
      <c r="H30" s="83" t="s">
        <v>237</v>
      </c>
      <c r="I30" s="83">
        <v>0.77</v>
      </c>
      <c r="J30" s="83">
        <v>0.77</v>
      </c>
      <c r="K30" s="83">
        <v>0.79</v>
      </c>
      <c r="L30" s="83">
        <v>0.79</v>
      </c>
      <c r="M30" s="83">
        <v>0.79</v>
      </c>
      <c r="N30" s="83">
        <v>0.77</v>
      </c>
      <c r="O30" s="83">
        <v>0.77</v>
      </c>
      <c r="P30" s="83">
        <v>0.77</v>
      </c>
      <c r="Q30" s="83">
        <v>0.77</v>
      </c>
      <c r="R30" s="83">
        <v>0.77</v>
      </c>
      <c r="S30" s="83">
        <v>0.77</v>
      </c>
      <c r="T30" s="83">
        <v>0.77</v>
      </c>
      <c r="U30" s="83">
        <v>0.77</v>
      </c>
      <c r="V30" s="83">
        <v>0.71</v>
      </c>
      <c r="W30" s="83">
        <v>0.71</v>
      </c>
      <c r="X30" s="83">
        <v>0.77</v>
      </c>
      <c r="Y30" s="78"/>
      <c r="Z30" s="78"/>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spans="1:63" ht="20.25" customHeight="1" x14ac:dyDescent="0.25">
      <c r="A31" s="592"/>
      <c r="B31" s="592"/>
      <c r="C31" s="593"/>
      <c r="D31" s="595"/>
      <c r="E31" s="592"/>
      <c r="F31" s="374" t="s">
        <v>215</v>
      </c>
      <c r="G31" s="374">
        <v>2013</v>
      </c>
      <c r="H31" s="375" t="s">
        <v>238</v>
      </c>
      <c r="I31" s="84">
        <v>0.77</v>
      </c>
      <c r="J31" s="84">
        <v>0.77</v>
      </c>
      <c r="K31" s="84">
        <v>0.79</v>
      </c>
      <c r="L31" s="84">
        <v>0.79</v>
      </c>
      <c r="M31" s="84">
        <v>0.79</v>
      </c>
      <c r="N31" s="84">
        <v>0.77</v>
      </c>
      <c r="O31" s="84">
        <v>0.77</v>
      </c>
      <c r="P31" s="84">
        <v>0.77</v>
      </c>
      <c r="Q31" s="84">
        <v>0.77</v>
      </c>
      <c r="R31" s="84">
        <v>0.77</v>
      </c>
      <c r="S31" s="84">
        <v>0.77</v>
      </c>
      <c r="T31" s="84">
        <v>0.77</v>
      </c>
      <c r="U31" s="84">
        <v>0.77</v>
      </c>
      <c r="V31" s="84">
        <v>0.71</v>
      </c>
      <c r="W31" s="84">
        <v>0.71</v>
      </c>
      <c r="X31" s="84">
        <v>0.77</v>
      </c>
      <c r="Y31" s="78"/>
      <c r="Z31" s="78"/>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spans="1:63" ht="13.95" customHeight="1" x14ac:dyDescent="0.25">
      <c r="A32" s="592"/>
      <c r="B32" s="592"/>
      <c r="C32" s="593"/>
      <c r="D32" s="596"/>
      <c r="E32" s="592"/>
      <c r="F32" s="370" t="s">
        <v>218</v>
      </c>
      <c r="G32" s="371">
        <v>2025</v>
      </c>
      <c r="H32" s="371"/>
      <c r="I32" s="371">
        <v>0.77</v>
      </c>
      <c r="J32" s="371">
        <v>0.77</v>
      </c>
      <c r="K32" s="371">
        <v>0.79</v>
      </c>
      <c r="L32" s="371">
        <v>0.79</v>
      </c>
      <c r="M32" s="371">
        <v>0.79</v>
      </c>
      <c r="N32" s="371">
        <v>0.77</v>
      </c>
      <c r="O32" s="371">
        <v>0.77</v>
      </c>
      <c r="P32" s="371">
        <v>0.77</v>
      </c>
      <c r="Q32" s="371">
        <v>0.77</v>
      </c>
      <c r="R32" s="371">
        <v>0.77</v>
      </c>
      <c r="S32" s="371">
        <v>0.77</v>
      </c>
      <c r="T32" s="371">
        <v>0.77</v>
      </c>
      <c r="U32" s="371">
        <v>0.77</v>
      </c>
      <c r="V32" s="371">
        <v>0.71</v>
      </c>
      <c r="W32" s="371">
        <v>0.71</v>
      </c>
      <c r="X32" s="371">
        <v>0.77</v>
      </c>
      <c r="Y32" s="78"/>
      <c r="Z32" s="78"/>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row>
    <row r="33" spans="1:63" ht="13.95" customHeight="1" x14ac:dyDescent="0.25">
      <c r="A33" s="547"/>
      <c r="B33" s="547"/>
      <c r="C33" s="4"/>
      <c r="D33" s="416"/>
      <c r="E33" s="547"/>
      <c r="F33" s="547"/>
      <c r="G33" s="204"/>
      <c r="H33" s="4"/>
      <c r="I33" s="204"/>
      <c r="J33" s="204"/>
      <c r="K33" s="204"/>
      <c r="L33" s="204"/>
      <c r="M33" s="204"/>
      <c r="N33" s="204"/>
      <c r="O33" s="204"/>
      <c r="P33" s="204"/>
      <c r="Q33" s="204"/>
      <c r="R33" s="204"/>
      <c r="S33" s="204"/>
      <c r="T33" s="204"/>
      <c r="U33" s="204"/>
      <c r="V33" s="204"/>
      <c r="W33" s="204"/>
      <c r="X33" s="204"/>
      <c r="Y33" s="78"/>
      <c r="Z33" s="78"/>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row>
    <row r="34" spans="1:63" ht="13.95" customHeight="1" x14ac:dyDescent="0.25">
      <c r="A34" s="547"/>
      <c r="B34" s="547"/>
      <c r="C34" s="4"/>
      <c r="D34" s="416"/>
      <c r="E34" s="1"/>
      <c r="F34" s="553"/>
      <c r="G34" s="553"/>
      <c r="H34" s="553"/>
      <c r="I34" s="553"/>
      <c r="J34" s="553"/>
      <c r="K34" s="553"/>
      <c r="L34" s="553"/>
      <c r="M34" s="1"/>
      <c r="N34" s="553"/>
      <c r="O34" s="553"/>
      <c r="P34" s="553"/>
      <c r="Q34" s="553"/>
      <c r="R34" s="553"/>
      <c r="S34" s="553"/>
      <c r="T34" s="553"/>
      <c r="U34" s="553"/>
      <c r="V34" s="553"/>
      <c r="W34" s="553"/>
      <c r="X34" s="553"/>
      <c r="Y34" s="78"/>
      <c r="Z34" s="78"/>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row>
    <row r="35" spans="1:63" ht="25.95" customHeight="1" x14ac:dyDescent="0.25">
      <c r="A35" s="2"/>
      <c r="B35" s="5"/>
      <c r="C35" s="599" t="s">
        <v>239</v>
      </c>
      <c r="D35" s="599"/>
      <c r="E35" s="599"/>
      <c r="F35" s="599"/>
      <c r="G35" s="599"/>
      <c r="H35" s="599"/>
      <c r="I35" s="599"/>
      <c r="J35" s="599"/>
      <c r="K35" s="599"/>
      <c r="L35" s="599"/>
      <c r="M35" s="599"/>
      <c r="N35" s="599"/>
      <c r="O35" s="599"/>
      <c r="P35" s="599"/>
      <c r="Q35" s="599"/>
      <c r="R35" s="599"/>
      <c r="S35" s="599"/>
      <c r="T35" s="599"/>
      <c r="U35" s="599"/>
      <c r="V35" s="599"/>
      <c r="W35" s="599"/>
      <c r="X35" s="599"/>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row>
    <row r="36" spans="1:63" ht="43.2" customHeight="1" x14ac:dyDescent="0.25">
      <c r="A36" s="2"/>
      <c r="B36" s="5"/>
      <c r="C36" s="417"/>
      <c r="D36" s="417" t="s">
        <v>110</v>
      </c>
      <c r="E36" s="417" t="s">
        <v>240</v>
      </c>
      <c r="F36" s="28" t="s">
        <v>186</v>
      </c>
      <c r="G36" s="63" t="s">
        <v>241</v>
      </c>
      <c r="H36" s="63" t="s">
        <v>188</v>
      </c>
      <c r="I36" s="601" t="s">
        <v>242</v>
      </c>
      <c r="J36" s="602"/>
      <c r="K36" s="602"/>
      <c r="L36" s="602"/>
      <c r="M36" s="602"/>
      <c r="N36" s="602"/>
      <c r="O36" s="602"/>
      <c r="P36" s="602"/>
      <c r="Q36" s="602"/>
      <c r="R36" s="602"/>
      <c r="S36" s="602"/>
      <c r="T36" s="602"/>
      <c r="U36" s="602"/>
      <c r="V36" s="602"/>
      <c r="W36" s="602"/>
      <c r="X36" s="603"/>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row>
    <row r="37" spans="1:63" ht="15.6" x14ac:dyDescent="0.25">
      <c r="A37" s="2"/>
      <c r="B37" s="5"/>
      <c r="C37" s="609" t="s">
        <v>239</v>
      </c>
      <c r="D37" s="609" t="s">
        <v>59</v>
      </c>
      <c r="E37" s="609"/>
      <c r="F37" s="558" t="s">
        <v>209</v>
      </c>
      <c r="G37" s="558">
        <v>1.1000000000000001</v>
      </c>
      <c r="H37" s="64" t="s">
        <v>243</v>
      </c>
      <c r="I37" s="606" t="e">
        <f>(G37*0.112)*#REF!</f>
        <v>#REF!</v>
      </c>
      <c r="J37" s="607"/>
      <c r="K37" s="607"/>
      <c r="L37" s="607"/>
      <c r="M37" s="607"/>
      <c r="N37" s="607"/>
      <c r="O37" s="607"/>
      <c r="P37" s="607"/>
      <c r="Q37" s="607"/>
      <c r="R37" s="607"/>
      <c r="S37" s="607"/>
      <c r="T37" s="607"/>
      <c r="U37" s="607"/>
      <c r="V37" s="607"/>
      <c r="W37" s="607"/>
      <c r="X37" s="608"/>
      <c r="Y37" s="1"/>
      <c r="Z37" s="105" t="s">
        <v>244</v>
      </c>
      <c r="AA37" s="418">
        <f>Zones!I11</f>
        <v>24692</v>
      </c>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row>
    <row r="38" spans="1:63" ht="13.8" x14ac:dyDescent="0.25">
      <c r="A38" s="2"/>
      <c r="B38" s="2"/>
      <c r="C38" s="610"/>
      <c r="D38" s="610"/>
      <c r="E38" s="610"/>
      <c r="F38" s="558" t="s">
        <v>211</v>
      </c>
      <c r="G38" s="558">
        <v>1.1000000000000001</v>
      </c>
      <c r="H38" s="64" t="s">
        <v>243</v>
      </c>
      <c r="I38" s="606" t="e">
        <f>(G38*0.112)*#REF!</f>
        <v>#REF!</v>
      </c>
      <c r="J38" s="607"/>
      <c r="K38" s="607"/>
      <c r="L38" s="607"/>
      <c r="M38" s="607"/>
      <c r="N38" s="607"/>
      <c r="O38" s="607"/>
      <c r="P38" s="607"/>
      <c r="Q38" s="607"/>
      <c r="R38" s="607"/>
      <c r="S38" s="607"/>
      <c r="T38" s="607"/>
      <c r="U38" s="607"/>
      <c r="V38" s="607"/>
      <c r="W38" s="607"/>
      <c r="X38" s="608"/>
      <c r="Y38" s="1"/>
      <c r="Z38" s="105" t="s">
        <v>245</v>
      </c>
      <c r="AA38" s="388">
        <f>(178+139 )*2*20</f>
        <v>12680</v>
      </c>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row>
    <row r="39" spans="1:63" ht="13.8" x14ac:dyDescent="0.25">
      <c r="A39" s="2"/>
      <c r="B39" s="5"/>
      <c r="C39" s="610"/>
      <c r="D39" s="610"/>
      <c r="E39" s="610"/>
      <c r="F39" s="558" t="s">
        <v>213</v>
      </c>
      <c r="G39" s="558">
        <v>1.1000000000000001</v>
      </c>
      <c r="H39" s="64" t="s">
        <v>243</v>
      </c>
      <c r="I39" s="606" t="e">
        <f>(G39*0.112)*#REF!</f>
        <v>#REF!</v>
      </c>
      <c r="J39" s="607"/>
      <c r="K39" s="607"/>
      <c r="L39" s="607"/>
      <c r="M39" s="607"/>
      <c r="N39" s="607"/>
      <c r="O39" s="607"/>
      <c r="P39" s="607"/>
      <c r="Q39" s="607"/>
      <c r="R39" s="607"/>
      <c r="S39" s="607"/>
      <c r="T39" s="607"/>
      <c r="U39" s="607"/>
      <c r="V39" s="607"/>
      <c r="W39" s="607"/>
      <c r="X39" s="608"/>
      <c r="Y39" s="54"/>
      <c r="Z39" s="105" t="s">
        <v>246</v>
      </c>
      <c r="AA39" s="388">
        <f>AA38</f>
        <v>12680</v>
      </c>
      <c r="AB39" s="1"/>
      <c r="AC39" s="1"/>
      <c r="AD39" s="1"/>
      <c r="AE39" s="1"/>
      <c r="AF39" s="1"/>
      <c r="AG39" s="1"/>
      <c r="AH39" s="1"/>
      <c r="AI39" s="1"/>
      <c r="AJ39" s="1"/>
      <c r="AK39" s="1"/>
      <c r="AL39" s="1"/>
      <c r="AM39" s="1"/>
      <c r="AN39" s="1"/>
      <c r="AO39" s="1"/>
      <c r="AP39" s="1"/>
      <c r="AQ39" s="1"/>
      <c r="AR39" s="1"/>
      <c r="AS39" s="1"/>
      <c r="AT39" s="1"/>
      <c r="AU39" s="1"/>
      <c r="AV39" s="600"/>
      <c r="AW39" s="600"/>
      <c r="AX39" s="600"/>
      <c r="AY39" s="600"/>
      <c r="AZ39" s="1"/>
      <c r="BA39" s="1"/>
      <c r="BB39" s="1"/>
      <c r="BC39" s="1"/>
      <c r="BD39" s="1"/>
      <c r="BE39" s="1"/>
      <c r="BF39" s="1"/>
      <c r="BG39" s="1"/>
      <c r="BH39" s="1"/>
      <c r="BI39" s="1"/>
      <c r="BJ39" s="1"/>
      <c r="BK39" s="1"/>
    </row>
    <row r="40" spans="1:63" ht="39.6" x14ac:dyDescent="0.25">
      <c r="A40" s="2"/>
      <c r="B40" s="5"/>
      <c r="C40" s="610"/>
      <c r="D40" s="610"/>
      <c r="E40" s="610"/>
      <c r="F40" s="558" t="s">
        <v>215</v>
      </c>
      <c r="G40" s="558">
        <v>1</v>
      </c>
      <c r="H40" s="559" t="s">
        <v>247</v>
      </c>
      <c r="I40" s="606" t="e">
        <f>(G40*0.112)*#REF!</f>
        <v>#REF!</v>
      </c>
      <c r="J40" s="607"/>
      <c r="K40" s="607"/>
      <c r="L40" s="607"/>
      <c r="M40" s="607"/>
      <c r="N40" s="607"/>
      <c r="O40" s="607"/>
      <c r="P40" s="607"/>
      <c r="Q40" s="607"/>
      <c r="R40" s="607"/>
      <c r="S40" s="607"/>
      <c r="T40" s="607"/>
      <c r="U40" s="607"/>
      <c r="V40" s="607"/>
      <c r="W40" s="607"/>
      <c r="X40" s="608"/>
      <c r="Y40" s="1"/>
      <c r="Z40" s="105" t="s">
        <v>248</v>
      </c>
      <c r="AA40" s="388">
        <f>AA38+2*AA37</f>
        <v>62064</v>
      </c>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row>
    <row r="41" spans="1:63" ht="26.4" x14ac:dyDescent="0.25">
      <c r="A41" s="2"/>
      <c r="B41" s="5"/>
      <c r="C41" s="611"/>
      <c r="D41" s="611"/>
      <c r="E41" s="611"/>
      <c r="F41" s="558" t="s">
        <v>218</v>
      </c>
      <c r="G41" s="558" t="s">
        <v>249</v>
      </c>
      <c r="H41" s="559" t="s">
        <v>250</v>
      </c>
      <c r="I41" s="606" t="e">
        <f>(0.6*0.112)*#REF!</f>
        <v>#REF!</v>
      </c>
      <c r="J41" s="607"/>
      <c r="K41" s="607"/>
      <c r="L41" s="607"/>
      <c r="M41" s="607"/>
      <c r="N41" s="607"/>
      <c r="O41" s="607"/>
      <c r="P41" s="607"/>
      <c r="Q41" s="607"/>
      <c r="R41" s="607"/>
      <c r="S41" s="607"/>
      <c r="T41" s="607"/>
      <c r="U41" s="607"/>
      <c r="V41" s="607"/>
      <c r="W41" s="607"/>
      <c r="X41" s="608"/>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row>
    <row r="42" spans="1:63" ht="13.8" x14ac:dyDescent="0.25">
      <c r="A42" s="1"/>
      <c r="B42" s="86"/>
      <c r="C42" s="1"/>
      <c r="D42" s="1"/>
      <c r="E42" s="553" t="s">
        <v>41</v>
      </c>
      <c r="F42" s="1"/>
      <c r="G42" s="87"/>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row>
    <row r="43" spans="1:63" ht="13.8" x14ac:dyDescent="0.25">
      <c r="A43" s="1"/>
      <c r="B43" s="86"/>
      <c r="C43" s="1"/>
      <c r="D43" s="1"/>
      <c r="E43" s="553" t="s">
        <v>251</v>
      </c>
      <c r="F43" s="1"/>
      <c r="G43" s="87"/>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row>
    <row r="44" spans="1:63" ht="13.8" x14ac:dyDescent="0.25">
      <c r="A44" s="1"/>
      <c r="B44" s="86"/>
      <c r="C44" s="1"/>
      <c r="D44" s="1"/>
      <c r="E44" s="553"/>
      <c r="F44" s="1"/>
      <c r="G44" s="87"/>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row>
    <row r="45" spans="1:63" ht="13.8" x14ac:dyDescent="0.25">
      <c r="A45" s="1"/>
      <c r="B45" s="86"/>
      <c r="C45" s="1"/>
      <c r="D45" s="1"/>
      <c r="E45" s="1"/>
      <c r="F45" s="1"/>
      <c r="G45" s="87"/>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row>
    <row r="46" spans="1:63" ht="28.2" customHeight="1" thickBot="1" x14ac:dyDescent="0.3">
      <c r="A46" s="618" t="s">
        <v>252</v>
      </c>
      <c r="B46" s="619"/>
      <c r="C46" s="619"/>
      <c r="D46" s="619"/>
      <c r="E46" s="620"/>
      <c r="F46" s="76"/>
      <c r="G46" s="270"/>
      <c r="H46" s="604" t="s">
        <v>253</v>
      </c>
      <c r="I46" s="605"/>
      <c r="J46" s="605"/>
      <c r="K46" s="605"/>
      <c r="L46" s="605"/>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row>
    <row r="47" spans="1:63" ht="29.4" thickBot="1" x14ac:dyDescent="0.3">
      <c r="A47" s="420" t="s">
        <v>254</v>
      </c>
      <c r="B47" s="421" t="s">
        <v>61</v>
      </c>
      <c r="C47" s="421" t="s">
        <v>255</v>
      </c>
      <c r="D47" s="421" t="s">
        <v>256</v>
      </c>
      <c r="E47" s="422" t="s">
        <v>257</v>
      </c>
      <c r="F47" s="76"/>
      <c r="G47" s="270"/>
      <c r="H47" s="423" t="s">
        <v>254</v>
      </c>
      <c r="I47" s="424" t="s">
        <v>258</v>
      </c>
      <c r="J47" s="424" t="s">
        <v>255</v>
      </c>
      <c r="K47" s="424" t="s">
        <v>256</v>
      </c>
      <c r="L47" s="425" t="s">
        <v>259</v>
      </c>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row>
    <row r="48" spans="1:63" ht="43.8" thickBot="1" x14ac:dyDescent="0.3">
      <c r="A48" s="426" t="s">
        <v>252</v>
      </c>
      <c r="B48" s="427">
        <f>B49*B56*B59</f>
        <v>1105.5365999999999</v>
      </c>
      <c r="C48" s="428" t="s">
        <v>260</v>
      </c>
      <c r="D48" s="428" t="s">
        <v>261</v>
      </c>
      <c r="E48" s="429" t="s">
        <v>262</v>
      </c>
      <c r="F48" s="76"/>
      <c r="G48" s="270"/>
      <c r="H48" s="430" t="s">
        <v>263</v>
      </c>
      <c r="I48" s="431">
        <f>I49*I50/230*I52</f>
        <v>20739.130434782608</v>
      </c>
      <c r="J48" s="432" t="s">
        <v>260</v>
      </c>
      <c r="K48" s="432" t="s">
        <v>264</v>
      </c>
      <c r="L48" s="433" t="s">
        <v>265</v>
      </c>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row>
    <row r="49" spans="1:63" ht="43.2" x14ac:dyDescent="0.25">
      <c r="A49" s="434" t="s">
        <v>266</v>
      </c>
      <c r="B49" s="435" cm="1">
        <f t="array" ref="B49">_xlfn.IFS(B55="No vestibule",-0.0024*B50^2+3.813*B50-4.219,B55="Swinging doors",-0.0016*B50^2+2.722*B50-8.591,B55="Sliding doors - across",-0.0013*B50^2+2.479*B50-7.518,B55="Sliding doors - side",-0.0012*B50^2+2.229*B50-6.637)</f>
        <v>175.482</v>
      </c>
      <c r="C49" s="436" t="s">
        <v>267</v>
      </c>
      <c r="D49" s="436" t="s">
        <v>268</v>
      </c>
      <c r="E49" s="437" t="s">
        <v>269</v>
      </c>
      <c r="F49" s="76"/>
      <c r="G49" s="270"/>
      <c r="H49" s="434" t="s">
        <v>270</v>
      </c>
      <c r="I49" s="436">
        <v>90</v>
      </c>
      <c r="J49" s="436" t="s">
        <v>271</v>
      </c>
      <c r="K49" s="436" t="s">
        <v>272</v>
      </c>
      <c r="L49" s="437" t="s">
        <v>273</v>
      </c>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spans="1:63" ht="43.2" x14ac:dyDescent="0.25">
      <c r="A50" s="434" t="s">
        <v>274</v>
      </c>
      <c r="B50" s="435">
        <f>B51*B53/(B52*B54)</f>
        <v>76.92307692307692</v>
      </c>
      <c r="C50" s="436" t="s">
        <v>275</v>
      </c>
      <c r="D50" s="436" t="s">
        <v>276</v>
      </c>
      <c r="E50" s="437" t="s">
        <v>262</v>
      </c>
      <c r="F50" s="76"/>
      <c r="G50" s="270"/>
      <c r="H50" s="434" t="s">
        <v>277</v>
      </c>
      <c r="I50" s="436">
        <v>2</v>
      </c>
      <c r="J50" s="436" t="s">
        <v>278</v>
      </c>
      <c r="K50" s="436"/>
      <c r="L50" s="437" t="s">
        <v>273</v>
      </c>
      <c r="M50" s="557"/>
      <c r="N50" s="557"/>
      <c r="O50" s="557"/>
      <c r="P50" s="600"/>
      <c r="Q50" s="600"/>
      <c r="R50" s="600"/>
      <c r="S50" s="600"/>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spans="1:63" ht="37.950000000000003" customHeight="1" x14ac:dyDescent="0.25">
      <c r="A51" s="434" t="s">
        <v>279</v>
      </c>
      <c r="B51" s="436">
        <v>3500</v>
      </c>
      <c r="C51" s="436" t="s">
        <v>280</v>
      </c>
      <c r="D51" s="436" t="s">
        <v>281</v>
      </c>
      <c r="E51" s="437" t="s">
        <v>282</v>
      </c>
      <c r="F51" s="76"/>
      <c r="G51" s="270"/>
      <c r="H51" s="434" t="s">
        <v>283</v>
      </c>
      <c r="I51" s="436">
        <v>230</v>
      </c>
      <c r="J51" s="436" t="s">
        <v>271</v>
      </c>
      <c r="K51" s="436" t="s">
        <v>284</v>
      </c>
      <c r="L51" s="437" t="s">
        <v>285</v>
      </c>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spans="1:63" ht="43.2" x14ac:dyDescent="0.25">
      <c r="A52" s="434" t="s">
        <v>286</v>
      </c>
      <c r="B52" s="436">
        <f>13*7</f>
        <v>91</v>
      </c>
      <c r="C52" s="436" t="s">
        <v>287</v>
      </c>
      <c r="D52" s="436" t="s">
        <v>288</v>
      </c>
      <c r="E52" s="437" t="s">
        <v>289</v>
      </c>
      <c r="F52" s="76"/>
      <c r="G52" s="270"/>
      <c r="H52" s="438" t="s">
        <v>290</v>
      </c>
      <c r="I52" s="439">
        <v>26500</v>
      </c>
      <c r="J52" s="440" t="s">
        <v>260</v>
      </c>
      <c r="K52" s="440" t="s">
        <v>291</v>
      </c>
      <c r="L52" s="441" t="s">
        <v>292</v>
      </c>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spans="1:63" ht="28.8" x14ac:dyDescent="0.25">
      <c r="A53" s="434" t="s">
        <v>293</v>
      </c>
      <c r="B53" s="436">
        <v>2</v>
      </c>
      <c r="C53" s="436" t="s">
        <v>294</v>
      </c>
      <c r="D53" s="436" t="s">
        <v>295</v>
      </c>
      <c r="E53" s="437" t="s">
        <v>273</v>
      </c>
      <c r="F53" s="76"/>
      <c r="G53" s="270"/>
      <c r="H53" s="270"/>
      <c r="I53" s="270"/>
      <c r="J53" s="270"/>
      <c r="K53" s="270"/>
      <c r="L53" s="270"/>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spans="1:63" ht="28.8" x14ac:dyDescent="0.25">
      <c r="A54" s="434" t="s">
        <v>296</v>
      </c>
      <c r="B54" s="436">
        <v>1</v>
      </c>
      <c r="C54" s="436" t="s">
        <v>297</v>
      </c>
      <c r="D54" s="436" t="s">
        <v>298</v>
      </c>
      <c r="E54" s="437" t="s">
        <v>299</v>
      </c>
      <c r="F54" s="76"/>
      <c r="G54" s="270"/>
      <c r="H54" s="76" t="s">
        <v>300</v>
      </c>
      <c r="I54" s="270"/>
      <c r="J54" s="270"/>
      <c r="K54" s="270"/>
      <c r="L54" s="270"/>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spans="1:63" ht="28.8" x14ac:dyDescent="0.25">
      <c r="A55" s="434" t="s">
        <v>301</v>
      </c>
      <c r="B55" s="436" t="s">
        <v>302</v>
      </c>
      <c r="C55" s="436" t="s">
        <v>303</v>
      </c>
      <c r="D55" s="436" t="s">
        <v>304</v>
      </c>
      <c r="E55" s="437" t="s">
        <v>299</v>
      </c>
      <c r="F55" s="76"/>
      <c r="G55" s="270"/>
      <c r="H55" s="307" t="s">
        <v>305</v>
      </c>
      <c r="I55" s="307" t="s">
        <v>306</v>
      </c>
      <c r="J55" s="270"/>
      <c r="K55" s="270"/>
      <c r="L55" s="270"/>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spans="1:63" ht="28.8" x14ac:dyDescent="0.25">
      <c r="A56" s="434" t="s">
        <v>307</v>
      </c>
      <c r="B56" s="436">
        <v>42</v>
      </c>
      <c r="C56" s="436" t="s">
        <v>271</v>
      </c>
      <c r="D56" s="436" t="s">
        <v>308</v>
      </c>
      <c r="E56" s="437" t="s">
        <v>299</v>
      </c>
      <c r="F56" s="76"/>
      <c r="G56" s="270"/>
      <c r="H56" s="308" t="s">
        <v>309</v>
      </c>
      <c r="I56" s="307" t="s">
        <v>310</v>
      </c>
      <c r="J56" s="270"/>
      <c r="K56" s="270"/>
      <c r="L56" s="270"/>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spans="1:63" ht="28.8" x14ac:dyDescent="0.25">
      <c r="A57" s="434" t="s">
        <v>311</v>
      </c>
      <c r="B57" s="436">
        <v>10</v>
      </c>
      <c r="C57" s="436" t="s">
        <v>312</v>
      </c>
      <c r="D57" s="436" t="s">
        <v>313</v>
      </c>
      <c r="E57" s="437" t="s">
        <v>314</v>
      </c>
      <c r="F57" s="76"/>
      <c r="G57" s="270"/>
      <c r="H57" s="308" t="s">
        <v>315</v>
      </c>
      <c r="I57" s="307" t="s">
        <v>302</v>
      </c>
      <c r="J57" s="270"/>
      <c r="K57" s="270"/>
      <c r="L57" s="270"/>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spans="1:63" ht="43.2" x14ac:dyDescent="0.25">
      <c r="A58" s="434" t="s">
        <v>316</v>
      </c>
      <c r="B58" s="436" t="s">
        <v>317</v>
      </c>
      <c r="C58" s="436" t="s">
        <v>303</v>
      </c>
      <c r="D58" s="436" t="s">
        <v>318</v>
      </c>
      <c r="E58" s="437" t="s">
        <v>319</v>
      </c>
      <c r="F58" s="271"/>
      <c r="G58" s="270"/>
      <c r="H58" s="308" t="s">
        <v>320</v>
      </c>
      <c r="I58" s="307" t="s">
        <v>321</v>
      </c>
      <c r="J58" s="270"/>
      <c r="K58" s="270"/>
      <c r="L58" s="270"/>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spans="1:63" ht="43.2" x14ac:dyDescent="0.25">
      <c r="A59" s="438" t="s">
        <v>322</v>
      </c>
      <c r="B59" s="442" cm="1">
        <f t="array" ref="B59">_xlfn.IFS(
B58="Moderate",_xlfn.XLOOKUP(B57&amp;" mph",$A$63:$A$66,$B$63:$B$66),
B58="Maximum",_xlfn.XLOOKUP(B57&amp;" mph",$A$63:$A$66,$C$63:$C$66)
)</f>
        <v>0.15</v>
      </c>
      <c r="C59" s="440" t="s">
        <v>323</v>
      </c>
      <c r="D59" s="440" t="s">
        <v>324</v>
      </c>
      <c r="E59" s="441" t="s">
        <v>325</v>
      </c>
      <c r="F59" s="271"/>
      <c r="G59" s="270"/>
      <c r="H59" s="76"/>
      <c r="I59" s="270"/>
      <c r="J59" s="270"/>
      <c r="K59" s="270"/>
      <c r="L59" s="270"/>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spans="1:63" ht="14.4" thickBot="1" x14ac:dyDescent="0.3">
      <c r="A60" s="76"/>
      <c r="B60" s="76"/>
      <c r="C60" s="76"/>
      <c r="D60" s="76"/>
      <c r="E60" s="76"/>
      <c r="F60" s="271"/>
      <c r="G60" s="270"/>
      <c r="H60" s="270"/>
      <c r="I60" s="270"/>
      <c r="J60" s="270"/>
      <c r="K60" s="270"/>
      <c r="L60" s="270"/>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row>
    <row r="61" spans="1:63" ht="15" thickBot="1" x14ac:dyDescent="0.3">
      <c r="A61" s="612"/>
      <c r="B61" s="613"/>
      <c r="C61" s="613"/>
      <c r="D61" s="614"/>
      <c r="E61" s="76"/>
      <c r="F61" s="76"/>
      <c r="G61" s="270"/>
      <c r="H61" s="270"/>
      <c r="I61" s="270"/>
      <c r="J61" s="270"/>
      <c r="K61" s="270"/>
      <c r="L61" s="270"/>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spans="1:63" ht="15" thickBot="1" x14ac:dyDescent="0.3">
      <c r="A62" s="443" t="s">
        <v>326</v>
      </c>
      <c r="B62" s="444" t="s">
        <v>327</v>
      </c>
      <c r="C62" s="444" t="s">
        <v>328</v>
      </c>
      <c r="D62" s="445" t="s">
        <v>259</v>
      </c>
      <c r="E62" s="271"/>
      <c r="F62" s="271"/>
      <c r="G62" s="270"/>
      <c r="H62" s="270"/>
      <c r="I62" s="270"/>
      <c r="J62" s="270"/>
      <c r="K62" s="270"/>
      <c r="L62" s="270"/>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row>
    <row r="63" spans="1:63" ht="18" customHeight="1" x14ac:dyDescent="0.25">
      <c r="A63" s="446" t="s">
        <v>329</v>
      </c>
      <c r="B63" s="447">
        <v>7.0000000000000007E-2</v>
      </c>
      <c r="C63" s="447">
        <v>0.09</v>
      </c>
      <c r="D63" s="597" t="s">
        <v>325</v>
      </c>
      <c r="E63" s="76"/>
      <c r="F63" s="76"/>
      <c r="G63" s="270"/>
      <c r="H63" s="270"/>
      <c r="I63" s="270"/>
      <c r="J63" s="270"/>
      <c r="K63" s="270"/>
      <c r="L63" s="270"/>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row>
    <row r="64" spans="1:63" ht="14.4" x14ac:dyDescent="0.25">
      <c r="A64" s="446" t="s">
        <v>330</v>
      </c>
      <c r="B64" s="447">
        <v>0.15</v>
      </c>
      <c r="C64" s="447">
        <v>0.18</v>
      </c>
      <c r="D64" s="597"/>
      <c r="E64" s="76"/>
      <c r="F64" s="76"/>
      <c r="G64" s="270"/>
      <c r="H64" s="270"/>
      <c r="I64" s="270"/>
      <c r="J64" s="270"/>
      <c r="K64" s="270"/>
      <c r="L64" s="270"/>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row>
    <row r="65" spans="1:63" ht="14.4" x14ac:dyDescent="0.25">
      <c r="A65" s="446" t="s">
        <v>331</v>
      </c>
      <c r="B65" s="447">
        <v>0.22</v>
      </c>
      <c r="C65" s="447">
        <v>0.28000000000000003</v>
      </c>
      <c r="D65" s="597"/>
      <c r="E65" s="76"/>
      <c r="F65" s="76"/>
      <c r="G65" s="270"/>
      <c r="H65" s="270"/>
      <c r="I65" s="270"/>
      <c r="J65" s="270"/>
      <c r="K65" s="270"/>
      <c r="L65" s="270"/>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row>
    <row r="66" spans="1:63" ht="15" thickBot="1" x14ac:dyDescent="0.3">
      <c r="A66" s="448" t="s">
        <v>332</v>
      </c>
      <c r="B66" s="449">
        <v>0.28999999999999998</v>
      </c>
      <c r="C66" s="449">
        <v>0.37</v>
      </c>
      <c r="D66" s="598"/>
      <c r="E66" s="76"/>
      <c r="F66" s="76"/>
      <c r="G66" s="270"/>
      <c r="H66" s="270"/>
      <c r="I66" s="270"/>
      <c r="J66" s="270"/>
      <c r="K66" s="270"/>
      <c r="L66" s="270"/>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row>
    <row r="67" spans="1:63" ht="28.9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row>
    <row r="68" spans="1:63" ht="13.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row>
    <row r="69" spans="1:63" ht="13.8" x14ac:dyDescent="0.25">
      <c r="A69" s="1"/>
      <c r="B69" s="86"/>
      <c r="C69" s="1"/>
      <c r="D69" s="1"/>
      <c r="E69" s="1"/>
      <c r="F69" s="1"/>
      <c r="G69" s="87"/>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row>
    <row r="70" spans="1:63" ht="13.8" x14ac:dyDescent="0.25">
      <c r="A70" s="1"/>
      <c r="B70" s="86"/>
      <c r="C70" s="1"/>
      <c r="D70" s="1"/>
      <c r="E70" s="1"/>
      <c r="F70" s="1"/>
      <c r="G70" s="87"/>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row>
    <row r="71" spans="1:63" ht="13.8" x14ac:dyDescent="0.25">
      <c r="A71" s="1"/>
      <c r="B71" s="86"/>
      <c r="C71" s="1"/>
      <c r="D71" s="1"/>
      <c r="E71" s="1"/>
      <c r="F71" s="1"/>
      <c r="G71" s="87"/>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row>
    <row r="72" spans="1:63" ht="14.4" x14ac:dyDescent="0.3">
      <c r="A72" s="1"/>
      <c r="B72" s="86"/>
      <c r="C72" s="1"/>
      <c r="D72" s="1"/>
      <c r="E72" s="123"/>
      <c r="F72" s="1"/>
      <c r="G72" s="87"/>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row>
    <row r="73" spans="1:63" ht="14.4" x14ac:dyDescent="0.3">
      <c r="A73" s="1"/>
      <c r="B73" s="86"/>
      <c r="C73" s="1"/>
      <c r="D73" s="1"/>
      <c r="E73" s="123"/>
      <c r="F73" s="1"/>
      <c r="G73" s="87"/>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row>
    <row r="74" spans="1:63" ht="14.4" x14ac:dyDescent="0.3">
      <c r="A74" s="1"/>
      <c r="B74" s="86"/>
      <c r="C74" s="1"/>
      <c r="D74" s="1"/>
      <c r="E74" s="123"/>
      <c r="F74" s="1"/>
      <c r="G74" s="87"/>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row>
    <row r="75" spans="1:63" ht="14.4" x14ac:dyDescent="0.3">
      <c r="A75" s="1"/>
      <c r="B75" s="86"/>
      <c r="C75" s="1"/>
      <c r="D75" s="1"/>
      <c r="E75" s="123"/>
      <c r="F75" s="1"/>
      <c r="G75" s="87"/>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row>
    <row r="76" spans="1:63" ht="14.4" x14ac:dyDescent="0.3">
      <c r="A76" s="1"/>
      <c r="B76" s="86"/>
      <c r="C76" s="1"/>
      <c r="D76" s="1"/>
      <c r="E76" s="123"/>
      <c r="F76" s="1"/>
      <c r="G76" s="87"/>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row>
    <row r="77" spans="1:63" ht="14.4" x14ac:dyDescent="0.3">
      <c r="A77" s="1"/>
      <c r="B77" s="86"/>
      <c r="C77" s="1"/>
      <c r="D77" s="1"/>
      <c r="E77" s="123"/>
      <c r="F77" s="1"/>
      <c r="G77" s="87"/>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row>
    <row r="78" spans="1:63" ht="13.8" x14ac:dyDescent="0.25">
      <c r="A78" s="1"/>
      <c r="B78" s="86"/>
      <c r="C78" s="1"/>
      <c r="D78" s="1"/>
      <c r="E78" s="1"/>
      <c r="F78" s="1"/>
      <c r="G78" s="87"/>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row>
    <row r="79" spans="1:63" ht="13.8" x14ac:dyDescent="0.25">
      <c r="A79" s="1"/>
      <c r="B79" s="86"/>
      <c r="C79" s="1"/>
      <c r="D79" s="1"/>
      <c r="E79" s="1"/>
      <c r="F79" s="1"/>
      <c r="G79" s="87"/>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row>
    <row r="80" spans="1:63" ht="14.25" customHeight="1" x14ac:dyDescent="0.25">
      <c r="A80" s="1"/>
      <c r="B80" s="86"/>
      <c r="C80" s="1"/>
      <c r="D80" s="1"/>
      <c r="E80" s="1"/>
      <c r="F80" s="1"/>
      <c r="G80" s="87"/>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row>
    <row r="81" spans="1:63" ht="14.25" customHeight="1" x14ac:dyDescent="0.25">
      <c r="A81" s="1"/>
      <c r="B81" s="86"/>
      <c r="C81" s="1"/>
      <c r="D81" s="1"/>
      <c r="E81" s="1"/>
      <c r="F81" s="1"/>
      <c r="G81" s="87"/>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row>
    <row r="82" spans="1:63" ht="14.25" customHeight="1" x14ac:dyDescent="0.25">
      <c r="A82" s="1"/>
      <c r="B82" s="86"/>
      <c r="C82" s="1"/>
      <c r="D82" s="1"/>
      <c r="E82" s="1"/>
      <c r="F82" s="1"/>
      <c r="G82" s="87"/>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row>
    <row r="83" spans="1:63" ht="14.25" customHeight="1" x14ac:dyDescent="0.25">
      <c r="A83" s="1"/>
      <c r="B83" s="86"/>
      <c r="C83" s="1"/>
      <c r="D83" s="1"/>
      <c r="E83" s="1"/>
      <c r="F83" s="1"/>
      <c r="G83" s="87"/>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row>
    <row r="84" spans="1:63" ht="14.25" customHeight="1" x14ac:dyDescent="0.25">
      <c r="A84" s="1"/>
      <c r="B84" s="86"/>
      <c r="C84" s="1"/>
      <c r="D84" s="1"/>
      <c r="E84" s="1"/>
      <c r="F84" s="1"/>
      <c r="G84" s="87"/>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row>
    <row r="85" spans="1:63" ht="14.25" customHeight="1" x14ac:dyDescent="0.25">
      <c r="A85" s="1"/>
      <c r="B85" s="86"/>
      <c r="C85" s="1"/>
      <c r="D85" s="1"/>
      <c r="E85" s="1"/>
      <c r="F85" s="1"/>
      <c r="G85" s="87"/>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row>
    <row r="86" spans="1:63" ht="14.25" customHeight="1" x14ac:dyDescent="0.25">
      <c r="A86" s="1"/>
      <c r="B86" s="86"/>
      <c r="C86" s="1"/>
      <c r="D86" s="1"/>
      <c r="E86" s="1"/>
      <c r="F86" s="1"/>
      <c r="G86" s="87"/>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row>
    <row r="87" spans="1:63" ht="14.25" customHeight="1" x14ac:dyDescent="0.25">
      <c r="A87" s="1"/>
      <c r="B87" s="86"/>
      <c r="C87" s="1"/>
      <c r="D87" s="1"/>
      <c r="E87" s="1"/>
      <c r="F87" s="1"/>
      <c r="G87" s="87"/>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row>
    <row r="88" spans="1:63" ht="14.25" customHeight="1" x14ac:dyDescent="0.25">
      <c r="A88" s="1"/>
      <c r="B88" s="86"/>
      <c r="C88" s="1"/>
      <c r="D88" s="1"/>
      <c r="E88" s="1"/>
      <c r="F88" s="1"/>
      <c r="G88" s="87"/>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row>
    <row r="89" spans="1:63" ht="14.25" customHeight="1" x14ac:dyDescent="0.25">
      <c r="A89" s="1"/>
      <c r="B89" s="86"/>
      <c r="C89" s="1"/>
      <c r="D89" s="1"/>
      <c r="E89" s="1"/>
      <c r="F89" s="1"/>
      <c r="G89" s="87"/>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row>
    <row r="90" spans="1:63" ht="14.25" customHeight="1" x14ac:dyDescent="0.25">
      <c r="A90" s="1"/>
      <c r="B90" s="86"/>
      <c r="C90" s="1"/>
      <c r="D90" s="1"/>
      <c r="E90" s="1"/>
      <c r="F90" s="1"/>
      <c r="G90" s="87"/>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row>
    <row r="91" spans="1:63" ht="14.25" customHeight="1" x14ac:dyDescent="0.25">
      <c r="A91" s="1"/>
      <c r="B91" s="86"/>
      <c r="C91" s="1"/>
      <c r="D91" s="1"/>
      <c r="E91" s="1"/>
      <c r="F91" s="1"/>
      <c r="G91" s="87"/>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row>
    <row r="92" spans="1:63" ht="14.25" customHeight="1" x14ac:dyDescent="0.25">
      <c r="A92" s="1"/>
      <c r="B92" s="86"/>
      <c r="C92" s="1"/>
      <c r="D92" s="1"/>
      <c r="E92" s="1"/>
      <c r="F92" s="1"/>
      <c r="G92" s="87"/>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row>
  </sheetData>
  <mergeCells count="54">
    <mergeCell ref="A8:A12"/>
    <mergeCell ref="C13:C17"/>
    <mergeCell ref="B8:B12"/>
    <mergeCell ref="D20:D22"/>
    <mergeCell ref="A46:E46"/>
    <mergeCell ref="E8:E12"/>
    <mergeCell ref="E13:E17"/>
    <mergeCell ref="D8:D12"/>
    <mergeCell ref="D15:D17"/>
    <mergeCell ref="D13:D14"/>
    <mergeCell ref="C37:C41"/>
    <mergeCell ref="D37:D41"/>
    <mergeCell ref="A1:X1"/>
    <mergeCell ref="C18:C22"/>
    <mergeCell ref="E18:E22"/>
    <mergeCell ref="A13:A22"/>
    <mergeCell ref="B18:B22"/>
    <mergeCell ref="B13:B17"/>
    <mergeCell ref="E3:E7"/>
    <mergeCell ref="B3:B7"/>
    <mergeCell ref="A3:A7"/>
    <mergeCell ref="C8:C12"/>
    <mergeCell ref="H8:H9"/>
    <mergeCell ref="D18:D19"/>
    <mergeCell ref="D3:D7"/>
    <mergeCell ref="C3:C7"/>
    <mergeCell ref="H13:H14"/>
    <mergeCell ref="H18:H19"/>
    <mergeCell ref="D63:D66"/>
    <mergeCell ref="C35:X35"/>
    <mergeCell ref="AV39:AY39"/>
    <mergeCell ref="I36:X36"/>
    <mergeCell ref="H46:L46"/>
    <mergeCell ref="I41:X41"/>
    <mergeCell ref="E37:E41"/>
    <mergeCell ref="I38:X38"/>
    <mergeCell ref="I39:X39"/>
    <mergeCell ref="I40:X40"/>
    <mergeCell ref="I37:X37"/>
    <mergeCell ref="P50:S50"/>
    <mergeCell ref="A61:D61"/>
    <mergeCell ref="H23:H24"/>
    <mergeCell ref="H28:H29"/>
    <mergeCell ref="A23:A32"/>
    <mergeCell ref="B23:B27"/>
    <mergeCell ref="C23:C27"/>
    <mergeCell ref="D23:D24"/>
    <mergeCell ref="E23:E27"/>
    <mergeCell ref="D25:D27"/>
    <mergeCell ref="B28:B32"/>
    <mergeCell ref="C28:C32"/>
    <mergeCell ref="D28:D29"/>
    <mergeCell ref="E28:E32"/>
    <mergeCell ref="D30:D32"/>
  </mergeCells>
  <phoneticPr fontId="5" type="noConversion"/>
  <dataValidations disablePrompts="1" count="1">
    <dataValidation type="list" allowBlank="1" showInputMessage="1" showErrorMessage="1" sqref="B55" xr:uid="{812CAE40-26EC-4CC7-A74A-0F0FD1812524}">
      <formula1>$I$55:$I$58</formula1>
    </dataValidation>
  </dataValidations>
  <hyperlinks>
    <hyperlink ref="H37" r:id="rId1" xr:uid="{9153F47E-FCBB-42B5-A7E2-9AE58445F5C5}"/>
    <hyperlink ref="H38:H39" r:id="rId2" display="2022 CASE report (Table 38)" xr:uid="{AB6FEC5D-A312-48E5-9443-3858096808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J45"/>
  <sheetViews>
    <sheetView zoomScale="85" zoomScaleNormal="85" workbookViewId="0">
      <selection sqref="A1:G1"/>
    </sheetView>
  </sheetViews>
  <sheetFormatPr defaultColWidth="8.6640625" defaultRowHeight="13.2" x14ac:dyDescent="0.25"/>
  <cols>
    <col min="1" max="1" width="26" style="2" customWidth="1"/>
    <col min="2" max="2" width="30.44140625" style="2" customWidth="1"/>
    <col min="3" max="3" width="36" style="2" customWidth="1"/>
    <col min="4" max="4" width="35.33203125" style="2" customWidth="1"/>
    <col min="5" max="5" width="42.6640625" style="2" customWidth="1"/>
    <col min="6" max="6" width="41" style="2" customWidth="1"/>
    <col min="7" max="7" width="25.88671875" style="2" customWidth="1"/>
    <col min="8" max="8" width="36" style="2" customWidth="1"/>
    <col min="9" max="11" width="12.6640625" style="2" customWidth="1"/>
    <col min="12" max="19" width="15.33203125" style="2" customWidth="1"/>
    <col min="20" max="20" width="14.6640625" style="2" customWidth="1"/>
    <col min="21" max="21" width="13.5546875" style="2" customWidth="1"/>
    <col min="22" max="22" width="15.6640625" style="2" customWidth="1"/>
    <col min="23" max="29" width="11" style="2" customWidth="1"/>
    <col min="30" max="38" width="6.5546875" style="2" customWidth="1"/>
    <col min="39" max="39" width="8.6640625" style="2" customWidth="1"/>
    <col min="40" max="16384" width="8.6640625" style="2"/>
  </cols>
  <sheetData>
    <row r="1" spans="1:10" ht="27" customHeight="1" x14ac:dyDescent="0.25">
      <c r="A1" s="626" t="str">
        <f>"HVAC system - "&amp;Prototype!A2</f>
        <v>HVAC system - RetailMedium</v>
      </c>
      <c r="B1" s="626"/>
      <c r="C1" s="626"/>
      <c r="D1" s="626"/>
      <c r="E1" s="626"/>
      <c r="F1" s="626"/>
      <c r="G1" s="626"/>
    </row>
    <row r="2" spans="1:10" ht="19.2" customHeight="1" x14ac:dyDescent="0.25">
      <c r="A2" s="570" t="s">
        <v>186</v>
      </c>
      <c r="B2" s="570" t="s">
        <v>333</v>
      </c>
      <c r="C2" s="570" t="s">
        <v>334</v>
      </c>
      <c r="D2" s="570" t="s">
        <v>335</v>
      </c>
      <c r="E2" s="450" t="s">
        <v>336</v>
      </c>
      <c r="F2" s="570" t="s">
        <v>259</v>
      </c>
      <c r="G2" s="570" t="s">
        <v>188</v>
      </c>
    </row>
    <row r="3" spans="1:10" ht="36.6" customHeight="1" x14ac:dyDescent="0.25">
      <c r="A3" s="268" t="s">
        <v>337</v>
      </c>
      <c r="B3" s="268" t="s">
        <v>338</v>
      </c>
      <c r="C3" s="268" t="s">
        <v>339</v>
      </c>
      <c r="D3" s="419" t="s">
        <v>340</v>
      </c>
      <c r="E3" s="419" t="s">
        <v>341</v>
      </c>
      <c r="F3" s="269" t="s">
        <v>342</v>
      </c>
      <c r="G3" s="451" t="s">
        <v>343</v>
      </c>
      <c r="H3" s="553"/>
      <c r="I3" s="551"/>
      <c r="J3" s="551"/>
    </row>
    <row r="4" spans="1:10" ht="52.2" customHeight="1" x14ac:dyDescent="0.25">
      <c r="A4" s="268" t="s">
        <v>344</v>
      </c>
      <c r="B4" s="268" t="s">
        <v>345</v>
      </c>
      <c r="C4" s="268" t="s">
        <v>345</v>
      </c>
      <c r="D4" s="269" t="s">
        <v>346</v>
      </c>
      <c r="E4" s="419" t="s">
        <v>347</v>
      </c>
      <c r="F4" s="268" t="s">
        <v>348</v>
      </c>
      <c r="G4" s="390" t="s">
        <v>349</v>
      </c>
      <c r="H4" s="553"/>
      <c r="I4" s="105"/>
      <c r="J4" s="105"/>
    </row>
    <row r="5" spans="1:10" ht="15.6" customHeight="1" x14ac:dyDescent="0.25">
      <c r="A5" s="547"/>
      <c r="B5" s="547"/>
      <c r="C5" s="547"/>
      <c r="D5" s="551"/>
      <c r="E5" s="547"/>
    </row>
    <row r="6" spans="1:10" x14ac:dyDescent="0.25">
      <c r="A6" s="551"/>
      <c r="B6" s="547"/>
      <c r="C6" s="547"/>
      <c r="D6" s="551"/>
      <c r="E6" s="547"/>
    </row>
    <row r="7" spans="1:10" x14ac:dyDescent="0.25">
      <c r="A7" s="547"/>
      <c r="B7" s="547"/>
      <c r="C7" s="547"/>
      <c r="D7" s="547"/>
      <c r="E7" s="547"/>
    </row>
    <row r="8" spans="1:10" ht="41.4" customHeight="1" x14ac:dyDescent="0.25">
      <c r="A8" s="627" t="s">
        <v>350</v>
      </c>
      <c r="B8" s="628"/>
      <c r="C8" s="628"/>
      <c r="D8" s="628"/>
      <c r="E8" s="628"/>
    </row>
    <row r="9" spans="1:10" ht="16.2" customHeight="1" x14ac:dyDescent="0.25">
      <c r="A9" s="28" t="s">
        <v>186</v>
      </c>
      <c r="B9" s="61" t="s">
        <v>351</v>
      </c>
      <c r="C9" s="27" t="s">
        <v>333</v>
      </c>
      <c r="D9" s="27" t="s">
        <v>334</v>
      </c>
      <c r="E9" s="570" t="s">
        <v>259</v>
      </c>
    </row>
    <row r="10" spans="1:10" ht="19.2" customHeight="1" x14ac:dyDescent="0.25">
      <c r="A10" s="558" t="s">
        <v>209</v>
      </c>
      <c r="B10" s="590">
        <v>2008</v>
      </c>
      <c r="C10" s="629" t="s">
        <v>352</v>
      </c>
      <c r="D10" s="624" t="s">
        <v>353</v>
      </c>
      <c r="E10" s="624" t="s">
        <v>354</v>
      </c>
    </row>
    <row r="11" spans="1:10" ht="19.2" customHeight="1" x14ac:dyDescent="0.25">
      <c r="A11" s="558" t="s">
        <v>211</v>
      </c>
      <c r="B11" s="616"/>
      <c r="C11" s="629"/>
      <c r="D11" s="623"/>
      <c r="E11" s="623"/>
    </row>
    <row r="12" spans="1:10" ht="27.75" customHeight="1" x14ac:dyDescent="0.25">
      <c r="A12" s="558" t="s">
        <v>213</v>
      </c>
      <c r="B12" s="591"/>
      <c r="C12" s="629"/>
      <c r="D12" s="623"/>
      <c r="E12" s="623"/>
    </row>
    <row r="13" spans="1:10" ht="60.6" customHeight="1" x14ac:dyDescent="0.25">
      <c r="A13" s="558" t="s">
        <v>215</v>
      </c>
      <c r="B13" s="558">
        <v>2013</v>
      </c>
      <c r="C13" s="562" t="s">
        <v>355</v>
      </c>
      <c r="D13" s="560" t="s">
        <v>356</v>
      </c>
      <c r="E13" s="560" t="s">
        <v>357</v>
      </c>
    </row>
    <row r="14" spans="1:10" ht="94.95" customHeight="1" x14ac:dyDescent="0.25">
      <c r="A14" s="314" t="s">
        <v>344</v>
      </c>
      <c r="B14" s="558">
        <v>2025</v>
      </c>
      <c r="C14" s="560" t="s">
        <v>358</v>
      </c>
      <c r="D14" s="560" t="s">
        <v>359</v>
      </c>
      <c r="E14" s="560" t="s">
        <v>360</v>
      </c>
    </row>
    <row r="15" spans="1:10" x14ac:dyDescent="0.25">
      <c r="B15" s="553"/>
      <c r="C15" s="553"/>
      <c r="D15" s="29"/>
      <c r="E15" s="553"/>
    </row>
    <row r="16" spans="1:10" x14ac:dyDescent="0.25">
      <c r="B16" s="553"/>
      <c r="C16" s="553"/>
      <c r="D16" s="29"/>
      <c r="E16" s="553"/>
    </row>
    <row r="17" spans="1:9" x14ac:dyDescent="0.25">
      <c r="A17" s="30"/>
      <c r="B17" s="553" t="s">
        <v>361</v>
      </c>
      <c r="C17" s="553" t="s">
        <v>362</v>
      </c>
      <c r="D17" s="29"/>
      <c r="E17" s="553"/>
    </row>
    <row r="18" spans="1:9" ht="15.6" x14ac:dyDescent="0.25">
      <c r="A18" s="630" t="s">
        <v>363</v>
      </c>
      <c r="B18" s="630"/>
      <c r="C18" s="630"/>
      <c r="D18" s="630"/>
      <c r="E18" s="630"/>
      <c r="F18" s="630"/>
      <c r="G18" s="630"/>
      <c r="H18" s="631"/>
      <c r="I18" s="632"/>
    </row>
    <row r="19" spans="1:9" ht="27.6" customHeight="1" x14ac:dyDescent="0.25">
      <c r="A19" s="310" t="s">
        <v>186</v>
      </c>
      <c r="B19" s="179" t="s">
        <v>364</v>
      </c>
      <c r="C19" s="179" t="s">
        <v>365</v>
      </c>
      <c r="D19" s="380" t="s">
        <v>366</v>
      </c>
      <c r="E19" s="380" t="s">
        <v>367</v>
      </c>
      <c r="F19" s="380" t="s">
        <v>368</v>
      </c>
      <c r="G19" s="380" t="s">
        <v>369</v>
      </c>
      <c r="H19" s="103" t="s">
        <v>370</v>
      </c>
      <c r="I19" s="309" t="s">
        <v>188</v>
      </c>
    </row>
    <row r="20" spans="1:9" ht="54" customHeight="1" x14ac:dyDescent="0.25">
      <c r="A20" s="629" t="s">
        <v>217</v>
      </c>
      <c r="B20" s="622" t="s">
        <v>371</v>
      </c>
      <c r="C20" s="560" t="s">
        <v>372</v>
      </c>
      <c r="D20" s="560">
        <v>2.5</v>
      </c>
      <c r="E20" s="623">
        <v>0.65</v>
      </c>
      <c r="F20" s="624" t="s">
        <v>373</v>
      </c>
      <c r="G20" s="625"/>
      <c r="H20" s="624" t="s">
        <v>374</v>
      </c>
      <c r="I20" s="383"/>
    </row>
    <row r="21" spans="1:9" ht="54" customHeight="1" x14ac:dyDescent="0.25">
      <c r="A21" s="629"/>
      <c r="B21" s="622"/>
      <c r="C21" s="560" t="s">
        <v>375</v>
      </c>
      <c r="D21" s="560">
        <v>4.09</v>
      </c>
      <c r="E21" s="623"/>
      <c r="F21" s="624"/>
      <c r="G21" s="625"/>
      <c r="H21" s="624"/>
      <c r="I21" s="383"/>
    </row>
    <row r="22" spans="1:9" x14ac:dyDescent="0.25">
      <c r="A22" s="305" t="s">
        <v>376</v>
      </c>
      <c r="B22" s="311"/>
      <c r="C22" s="312"/>
      <c r="D22" s="312"/>
      <c r="E22" s="452"/>
      <c r="F22" s="312"/>
      <c r="G22" s="312"/>
      <c r="H22" s="85"/>
      <c r="I22" s="382"/>
    </row>
    <row r="23" spans="1:9" x14ac:dyDescent="0.25">
      <c r="A23" s="305" t="s">
        <v>377</v>
      </c>
      <c r="B23" s="85"/>
      <c r="C23" s="85"/>
      <c r="D23" s="104"/>
      <c r="E23" s="85"/>
      <c r="F23" s="312"/>
      <c r="G23" s="312"/>
      <c r="H23" s="85"/>
      <c r="I23" s="382"/>
    </row>
    <row r="24" spans="1:9" ht="31.5" customHeight="1" x14ac:dyDescent="0.25">
      <c r="A24" s="629" t="s">
        <v>344</v>
      </c>
      <c r="B24" s="633" t="s">
        <v>378</v>
      </c>
      <c r="C24" s="453" t="s">
        <v>379</v>
      </c>
      <c r="D24" s="454" t="s">
        <v>380</v>
      </c>
      <c r="E24" s="624">
        <v>0.65</v>
      </c>
      <c r="F24" s="624" t="s">
        <v>381</v>
      </c>
      <c r="G24" s="455">
        <v>0.72</v>
      </c>
      <c r="H24" s="624" t="s">
        <v>382</v>
      </c>
      <c r="I24" s="560"/>
    </row>
    <row r="25" spans="1:9" ht="31.5" customHeight="1" x14ac:dyDescent="0.25">
      <c r="A25" s="634"/>
      <c r="B25" s="633"/>
      <c r="C25" s="563" t="s">
        <v>383</v>
      </c>
      <c r="D25" s="456" t="s">
        <v>380</v>
      </c>
      <c r="E25" s="635"/>
      <c r="F25" s="635"/>
      <c r="G25" s="457">
        <v>0.67600000000000005</v>
      </c>
      <c r="H25" s="635"/>
      <c r="I25" s="563"/>
    </row>
    <row r="26" spans="1:9" ht="12.75" customHeight="1" x14ac:dyDescent="0.25">
      <c r="A26" s="547"/>
      <c r="B26" s="384"/>
      <c r="C26" s="416"/>
      <c r="D26" s="458"/>
      <c r="E26" s="416"/>
      <c r="F26" s="416"/>
      <c r="G26" s="459"/>
      <c r="H26" s="416"/>
      <c r="I26" s="416"/>
    </row>
    <row r="27" spans="1:9" ht="31.5" customHeight="1" x14ac:dyDescent="0.25">
      <c r="A27" s="585" t="s">
        <v>384</v>
      </c>
      <c r="B27" s="586"/>
      <c r="C27" s="586"/>
      <c r="D27" s="586"/>
      <c r="E27" s="586"/>
      <c r="F27" s="586"/>
      <c r="G27" s="586"/>
      <c r="H27" s="586"/>
      <c r="I27" s="586"/>
    </row>
    <row r="28" spans="1:9" ht="57" customHeight="1" x14ac:dyDescent="0.25">
      <c r="A28" s="585" t="s">
        <v>385</v>
      </c>
      <c r="B28" s="585"/>
      <c r="C28" s="585"/>
      <c r="D28" s="585"/>
      <c r="E28" s="585"/>
      <c r="F28" s="585"/>
      <c r="G28" s="585"/>
      <c r="H28" s="585"/>
      <c r="I28" s="585"/>
    </row>
    <row r="29" spans="1:9" ht="15" customHeight="1" x14ac:dyDescent="0.25">
      <c r="A29" s="554"/>
      <c r="B29" s="554"/>
      <c r="C29" s="554"/>
      <c r="D29" s="554"/>
      <c r="E29" s="554"/>
      <c r="F29" s="554"/>
      <c r="G29" s="554"/>
      <c r="H29" s="554"/>
      <c r="I29" s="554"/>
    </row>
    <row r="30" spans="1:9" ht="63.75" customHeight="1" x14ac:dyDescent="0.25">
      <c r="A30" s="554"/>
      <c r="B30" s="554"/>
      <c r="C30" s="554"/>
      <c r="D30" s="554"/>
      <c r="E30" s="554"/>
      <c r="F30" s="554"/>
      <c r="G30" s="554"/>
      <c r="H30" s="554"/>
      <c r="I30" s="554"/>
    </row>
    <row r="31" spans="1:9" ht="12.75" customHeight="1" x14ac:dyDescent="0.25">
      <c r="A31" s="554"/>
      <c r="B31" s="554"/>
      <c r="C31" s="554"/>
      <c r="D31" s="554"/>
      <c r="E31" s="554"/>
      <c r="F31" s="554"/>
      <c r="G31" s="554"/>
      <c r="H31" s="554"/>
      <c r="I31" s="554"/>
    </row>
    <row r="32" spans="1:9" ht="12.75" customHeight="1" x14ac:dyDescent="0.25">
      <c r="A32" s="553"/>
    </row>
    <row r="33" spans="5:5" ht="12.75" customHeight="1" x14ac:dyDescent="0.25">
      <c r="E33" s="5"/>
    </row>
    <row r="34" spans="5:5" ht="12.75" customHeight="1" x14ac:dyDescent="0.25"/>
    <row r="35" spans="5:5" ht="12.75" customHeight="1" x14ac:dyDescent="0.25"/>
    <row r="36" spans="5:5" ht="12.75" customHeight="1" x14ac:dyDescent="0.25"/>
    <row r="37" spans="5:5" ht="12.75" customHeight="1" x14ac:dyDescent="0.25"/>
    <row r="38" spans="5:5" ht="12.75" customHeight="1" x14ac:dyDescent="0.25"/>
    <row r="39" spans="5:5" ht="12.75" customHeight="1" x14ac:dyDescent="0.25"/>
    <row r="40" spans="5:5" ht="12.75" customHeight="1" x14ac:dyDescent="0.25"/>
    <row r="41" spans="5:5" ht="12.75" customHeight="1" x14ac:dyDescent="0.25"/>
    <row r="42" spans="5:5" ht="12.75" customHeight="1" x14ac:dyDescent="0.25"/>
    <row r="43" spans="5:5" ht="12.75" customHeight="1" x14ac:dyDescent="0.25"/>
    <row r="44" spans="5:5" ht="12.75" customHeight="1" x14ac:dyDescent="0.25"/>
    <row r="45" spans="5:5" ht="12.75" customHeight="1" x14ac:dyDescent="0.25"/>
  </sheetData>
  <mergeCells count="20">
    <mergeCell ref="A18:I18"/>
    <mergeCell ref="H20:H21"/>
    <mergeCell ref="B24:B25"/>
    <mergeCell ref="A24:A25"/>
    <mergeCell ref="E24:E25"/>
    <mergeCell ref="F24:F25"/>
    <mergeCell ref="H24:H25"/>
    <mergeCell ref="A20:A21"/>
    <mergeCell ref="A1:G1"/>
    <mergeCell ref="A8:E8"/>
    <mergeCell ref="E10:E12"/>
    <mergeCell ref="C10:C12"/>
    <mergeCell ref="D10:D12"/>
    <mergeCell ref="B10:B12"/>
    <mergeCell ref="B20:B21"/>
    <mergeCell ref="E20:E21"/>
    <mergeCell ref="F20:F21"/>
    <mergeCell ref="G20:G21"/>
    <mergeCell ref="A28:I28"/>
    <mergeCell ref="A27:I27"/>
  </mergeCells>
  <phoneticPr fontId="5" type="noConversion"/>
  <hyperlinks>
    <hyperlink ref="B20" r:id="rId1" xr:uid="{3217A4CC-2F3D-4F2F-BAB4-1EE4CDDCE567}"/>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C17"/>
  <sheetViews>
    <sheetView zoomScaleNormal="100" workbookViewId="0">
      <selection sqref="A1:K1"/>
    </sheetView>
  </sheetViews>
  <sheetFormatPr defaultColWidth="9.33203125" defaultRowHeight="13.8" x14ac:dyDescent="0.25"/>
  <cols>
    <col min="1" max="1" width="21.6640625" style="52" customWidth="1"/>
    <col min="2" max="2" width="25.109375" style="52" bestFit="1" customWidth="1"/>
    <col min="3" max="4" width="23.44140625" style="52" customWidth="1"/>
    <col min="5" max="6" width="24" style="52" customWidth="1"/>
    <col min="7" max="9" width="21.88671875" style="52" customWidth="1"/>
    <col min="10" max="10" width="15.5546875" style="52" customWidth="1"/>
    <col min="11" max="11" width="42" style="52" customWidth="1"/>
    <col min="12" max="12" width="13.6640625" style="52" customWidth="1"/>
    <col min="13" max="13" width="12.33203125" style="52" customWidth="1"/>
    <col min="14" max="14" width="13.6640625" style="52" customWidth="1"/>
    <col min="15" max="15" width="11.6640625" style="52" customWidth="1"/>
    <col min="16" max="16" width="13.6640625" style="52" customWidth="1"/>
    <col min="17" max="17" width="12.33203125" style="52" customWidth="1"/>
    <col min="18" max="18" width="13.6640625" style="52" customWidth="1"/>
    <col min="19" max="19" width="12.33203125" style="52" customWidth="1"/>
    <col min="20" max="20" width="13.6640625" style="52" customWidth="1"/>
    <col min="21" max="21" width="11.6640625" style="52" customWidth="1"/>
    <col min="22" max="23" width="10.6640625" style="52" customWidth="1"/>
    <col min="24" max="24" width="9.33203125" style="52"/>
    <col min="25" max="29" width="11.33203125" style="52" customWidth="1"/>
    <col min="30" max="16384" width="9.33203125" style="52"/>
  </cols>
  <sheetData>
    <row r="1" spans="1:29" ht="24.6" customHeight="1" x14ac:dyDescent="0.25">
      <c r="A1" s="615" t="str">
        <f>"Outdoor Airflow Rate - "&amp;Prototype!A2</f>
        <v>Outdoor Airflow Rate - RetailMedium</v>
      </c>
      <c r="B1" s="615"/>
      <c r="C1" s="615"/>
      <c r="D1" s="615"/>
      <c r="E1" s="615"/>
      <c r="F1" s="615"/>
      <c r="G1" s="615"/>
      <c r="H1" s="615"/>
      <c r="I1" s="615"/>
      <c r="J1" s="615"/>
      <c r="K1" s="615"/>
      <c r="L1" s="78"/>
      <c r="M1" s="1"/>
      <c r="N1" s="1"/>
      <c r="O1" s="1"/>
      <c r="P1" s="1"/>
      <c r="Q1" s="1"/>
      <c r="R1" s="1"/>
      <c r="S1" s="1"/>
      <c r="T1" s="1"/>
      <c r="U1" s="1"/>
      <c r="V1" s="1"/>
      <c r="W1" s="1"/>
      <c r="X1" s="1"/>
      <c r="Y1" s="1"/>
      <c r="Z1" s="1"/>
      <c r="AA1" s="1"/>
      <c r="AB1" s="1"/>
      <c r="AC1" s="1"/>
    </row>
    <row r="2" spans="1:29" ht="52.8" x14ac:dyDescent="0.25">
      <c r="A2" s="566" t="s">
        <v>111</v>
      </c>
      <c r="B2" s="125" t="s">
        <v>121</v>
      </c>
      <c r="C2" s="125" t="s">
        <v>386</v>
      </c>
      <c r="D2" s="568" t="s">
        <v>387</v>
      </c>
      <c r="E2" s="568" t="s">
        <v>388</v>
      </c>
      <c r="F2" s="568" t="s">
        <v>389</v>
      </c>
      <c r="G2" s="568" t="s">
        <v>390</v>
      </c>
      <c r="H2" s="568" t="s">
        <v>391</v>
      </c>
      <c r="I2" s="568" t="s">
        <v>392</v>
      </c>
      <c r="J2" s="566" t="s">
        <v>393</v>
      </c>
      <c r="K2" s="566" t="s">
        <v>56</v>
      </c>
      <c r="L2" s="124"/>
      <c r="M2" s="1"/>
      <c r="N2" s="1"/>
      <c r="O2" s="1"/>
      <c r="P2" s="1"/>
      <c r="Q2" s="1"/>
      <c r="R2" s="1"/>
      <c r="S2" s="1"/>
      <c r="T2" s="1"/>
      <c r="U2" s="1"/>
      <c r="V2" s="1"/>
      <c r="W2" s="1"/>
      <c r="X2" s="1"/>
      <c r="Y2" s="1"/>
      <c r="Z2" s="1"/>
      <c r="AA2" s="1"/>
      <c r="AB2" s="1"/>
      <c r="AC2" s="1"/>
    </row>
    <row r="3" spans="1:29" s="2" customFormat="1" ht="20.7" customHeight="1" x14ac:dyDescent="0.25">
      <c r="A3" s="126" t="str">
        <f>Zones!B3</f>
        <v>Core_Retail</v>
      </c>
      <c r="B3" s="35">
        <f>Zones!L3</f>
        <v>292.995272</v>
      </c>
      <c r="C3" s="35">
        <f>Zones!I3</f>
        <v>17235.016</v>
      </c>
      <c r="D3" s="269">
        <v>15</v>
      </c>
      <c r="E3" s="269">
        <v>0.2</v>
      </c>
      <c r="F3" s="269"/>
      <c r="G3" s="127">
        <f t="shared" ref="G3:H5" si="0">D3*B3</f>
        <v>4394.9290799999999</v>
      </c>
      <c r="H3" s="127">
        <f>E3*C3</f>
        <v>3447.0032000000001</v>
      </c>
      <c r="I3" s="269">
        <f t="shared" ref="I3:I5" si="1">F3*C3</f>
        <v>0</v>
      </c>
      <c r="J3" s="127">
        <f t="shared" ref="J3:J5" si="2">MAX(G3:I3)</f>
        <v>4394.9290799999999</v>
      </c>
      <c r="K3" s="12"/>
    </row>
    <row r="4" spans="1:29" s="2" customFormat="1" ht="20.7" customHeight="1" x14ac:dyDescent="0.25">
      <c r="A4" s="126" t="str">
        <f>Zones!B4</f>
        <v>Point_of_Sale</v>
      </c>
      <c r="B4" s="35">
        <f>Zones!L4</f>
        <v>27.704423999999999</v>
      </c>
      <c r="C4" s="35">
        <f>Zones!I4</f>
        <v>1629.672</v>
      </c>
      <c r="D4" s="269">
        <v>15</v>
      </c>
      <c r="E4" s="269">
        <v>0.2</v>
      </c>
      <c r="F4" s="269"/>
      <c r="G4" s="127">
        <f t="shared" si="0"/>
        <v>415.56635999999997</v>
      </c>
      <c r="H4" s="127">
        <f t="shared" si="0"/>
        <v>325.93440000000004</v>
      </c>
      <c r="I4" s="269">
        <f t="shared" si="1"/>
        <v>0</v>
      </c>
      <c r="J4" s="127">
        <f t="shared" si="2"/>
        <v>415.56635999999997</v>
      </c>
      <c r="K4" s="12"/>
    </row>
    <row r="5" spans="1:29" s="2" customFormat="1" ht="20.7" customHeight="1" x14ac:dyDescent="0.25">
      <c r="A5" s="126" t="str">
        <f>Zones!B5</f>
        <v>Front_Retail</v>
      </c>
      <c r="B5" s="35">
        <f>Zones!L5</f>
        <v>27.704423999999999</v>
      </c>
      <c r="C5" s="35">
        <f>Zones!I5</f>
        <v>1629.672</v>
      </c>
      <c r="D5" s="269">
        <v>15</v>
      </c>
      <c r="E5" s="269">
        <v>0.2</v>
      </c>
      <c r="F5" s="269"/>
      <c r="G5" s="228">
        <f t="shared" si="0"/>
        <v>415.56635999999997</v>
      </c>
      <c r="H5" s="228">
        <f t="shared" si="0"/>
        <v>325.93440000000004</v>
      </c>
      <c r="I5" s="269">
        <f t="shared" si="1"/>
        <v>0</v>
      </c>
      <c r="J5" s="127">
        <f t="shared" si="2"/>
        <v>415.56635999999997</v>
      </c>
      <c r="K5" s="12"/>
    </row>
    <row r="6" spans="1:29" s="2" customFormat="1" ht="20.7" customHeight="1" x14ac:dyDescent="0.25">
      <c r="A6" s="126" t="str">
        <f>Zones!B6</f>
        <v>Front_Entry</v>
      </c>
      <c r="B6" s="35">
        <f>Zones!L6</f>
        <v>0.61730000000000007</v>
      </c>
      <c r="C6" s="35">
        <f>Zones!I6</f>
        <v>123.46000000000001</v>
      </c>
      <c r="D6" s="218">
        <v>15</v>
      </c>
      <c r="E6" s="218">
        <v>0.15</v>
      </c>
      <c r="F6" s="381"/>
      <c r="G6" s="229">
        <f t="shared" ref="G6:G10" si="3">D6*B6</f>
        <v>9.259500000000001</v>
      </c>
      <c r="H6" s="229">
        <f t="shared" ref="H6:H10" si="4">E6*C6</f>
        <v>18.519000000000002</v>
      </c>
      <c r="I6" s="230">
        <f t="shared" ref="I6:I9" si="5">F6*C6</f>
        <v>0</v>
      </c>
      <c r="J6" s="228">
        <f t="shared" ref="J6:J10" si="6">MAX(G6:I6)</f>
        <v>18.519000000000002</v>
      </c>
      <c r="K6" s="203"/>
    </row>
    <row r="7" spans="1:29" s="2" customFormat="1" ht="13.2" x14ac:dyDescent="0.25">
      <c r="A7" s="461" t="str">
        <f>Zones!B7</f>
        <v>Loading_Dock</v>
      </c>
      <c r="B7" s="462">
        <f>Zones!L7</f>
        <v>1.185216</v>
      </c>
      <c r="C7" s="462">
        <f>Zones!I7</f>
        <v>592.60800000000006</v>
      </c>
      <c r="D7" s="463">
        <v>15</v>
      </c>
      <c r="E7" s="464">
        <v>0.15</v>
      </c>
      <c r="F7" s="465"/>
      <c r="G7" s="466">
        <f t="shared" si="3"/>
        <v>17.77824</v>
      </c>
      <c r="H7" s="466">
        <f t="shared" si="4"/>
        <v>88.891200000000012</v>
      </c>
      <c r="I7" s="467">
        <f t="shared" si="5"/>
        <v>0</v>
      </c>
      <c r="J7" s="468">
        <f t="shared" si="6"/>
        <v>88.891200000000012</v>
      </c>
      <c r="K7" s="469" t="s">
        <v>394</v>
      </c>
    </row>
    <row r="8" spans="1:29" x14ac:dyDescent="0.25">
      <c r="A8" s="461" t="str">
        <f>Zones!B8</f>
        <v>Bulk_Storage</v>
      </c>
      <c r="B8" s="462">
        <f>Zones!L8</f>
        <v>0</v>
      </c>
      <c r="C8" s="462">
        <f>Zones!I8</f>
        <v>2395.1240000000003</v>
      </c>
      <c r="D8" s="463">
        <v>15</v>
      </c>
      <c r="E8" s="232">
        <v>0.15</v>
      </c>
      <c r="F8" s="233"/>
      <c r="G8" s="466">
        <f t="shared" si="3"/>
        <v>0</v>
      </c>
      <c r="H8" s="466">
        <f t="shared" si="4"/>
        <v>359.26860000000005</v>
      </c>
      <c r="I8" s="467">
        <f t="shared" si="5"/>
        <v>0</v>
      </c>
      <c r="J8" s="468">
        <f t="shared" si="6"/>
        <v>359.26860000000005</v>
      </c>
      <c r="K8" s="469" t="s">
        <v>395</v>
      </c>
      <c r="L8" s="1"/>
      <c r="M8" s="1"/>
      <c r="N8" s="1"/>
      <c r="O8" s="1"/>
      <c r="P8" s="1"/>
      <c r="Q8" s="1"/>
      <c r="R8" s="1"/>
      <c r="S8" s="1"/>
      <c r="T8" s="1"/>
      <c r="U8" s="1"/>
      <c r="V8" s="1"/>
      <c r="W8" s="1"/>
      <c r="X8" s="1"/>
      <c r="Y8" s="1"/>
      <c r="Z8" s="1"/>
      <c r="AA8" s="1"/>
      <c r="AB8" s="1"/>
      <c r="AC8" s="1"/>
    </row>
    <row r="9" spans="1:29" x14ac:dyDescent="0.25">
      <c r="A9" s="470" t="str">
        <f>Zones!B9</f>
        <v>Office/Stuff</v>
      </c>
      <c r="B9" s="462">
        <f>Zones!L9</f>
        <v>3.3334200000000003</v>
      </c>
      <c r="C9" s="462">
        <f>Zones!I9</f>
        <v>666.68399999999997</v>
      </c>
      <c r="D9" s="463">
        <v>15</v>
      </c>
      <c r="E9" s="232">
        <v>0.15</v>
      </c>
      <c r="F9" s="233"/>
      <c r="G9" s="466">
        <f t="shared" si="3"/>
        <v>50.001300000000001</v>
      </c>
      <c r="H9" s="466">
        <f t="shared" si="4"/>
        <v>100.00259999999999</v>
      </c>
      <c r="I9" s="467">
        <f t="shared" si="5"/>
        <v>0</v>
      </c>
      <c r="J9" s="468">
        <f t="shared" si="6"/>
        <v>100.00259999999999</v>
      </c>
      <c r="K9" s="227"/>
      <c r="L9" s="1"/>
      <c r="M9" s="1"/>
      <c r="N9" s="1"/>
      <c r="O9" s="1"/>
      <c r="P9" s="1"/>
      <c r="Q9" s="1"/>
      <c r="R9" s="1"/>
      <c r="S9" s="1"/>
      <c r="T9" s="1"/>
      <c r="U9" s="1"/>
      <c r="V9" s="1"/>
      <c r="W9" s="1"/>
      <c r="X9" s="1"/>
      <c r="Y9" s="1"/>
      <c r="Z9" s="1"/>
      <c r="AA9" s="1"/>
      <c r="AB9" s="1"/>
      <c r="AC9" s="1"/>
    </row>
    <row r="10" spans="1:29" ht="15.6" x14ac:dyDescent="0.3">
      <c r="A10" s="471" t="str">
        <f>Zones!B10</f>
        <v>Restroom</v>
      </c>
      <c r="B10" s="462">
        <f>Zones!L10</f>
        <v>0</v>
      </c>
      <c r="C10" s="472">
        <f>Zones!I10</f>
        <v>419.76400000000001</v>
      </c>
      <c r="D10" s="464">
        <v>15</v>
      </c>
      <c r="E10" s="232">
        <v>0.15</v>
      </c>
      <c r="F10" s="465" t="s">
        <v>396</v>
      </c>
      <c r="G10" s="466">
        <f t="shared" si="3"/>
        <v>0</v>
      </c>
      <c r="H10" s="473">
        <f t="shared" si="4"/>
        <v>62.964599999999997</v>
      </c>
      <c r="I10" s="464">
        <f>4*50</f>
        <v>200</v>
      </c>
      <c r="J10" s="474">
        <f t="shared" si="6"/>
        <v>200</v>
      </c>
      <c r="K10" s="231"/>
      <c r="L10" s="1"/>
      <c r="M10" s="1"/>
      <c r="N10" s="1"/>
      <c r="O10" s="1"/>
      <c r="P10" s="1"/>
      <c r="Q10" s="1"/>
      <c r="R10" s="1"/>
      <c r="S10" s="1"/>
      <c r="T10" s="1"/>
      <c r="U10" s="1"/>
      <c r="V10" s="1"/>
      <c r="W10" s="1"/>
      <c r="X10" s="1"/>
      <c r="Y10" s="1"/>
      <c r="Z10" s="1"/>
      <c r="AA10" s="1"/>
      <c r="AB10" s="1"/>
      <c r="AC10" s="1"/>
    </row>
    <row r="11" spans="1:29" ht="15.6" x14ac:dyDescent="0.3">
      <c r="A11" s="226"/>
      <c r="B11" s="1"/>
      <c r="C11" s="1"/>
      <c r="D11" s="1"/>
      <c r="E11" s="1"/>
      <c r="F11" s="1"/>
      <c r="G11" s="1"/>
      <c r="H11" s="1"/>
      <c r="I11" s="1"/>
      <c r="J11" s="1"/>
      <c r="K11" s="53"/>
      <c r="L11" s="1"/>
      <c r="M11" s="1"/>
      <c r="N11" s="1"/>
      <c r="O11" s="1"/>
      <c r="P11" s="1"/>
      <c r="Q11" s="1"/>
      <c r="R11" s="1"/>
      <c r="S11" s="1"/>
      <c r="T11" s="1"/>
      <c r="U11" s="1"/>
      <c r="V11" s="1"/>
      <c r="W11" s="1"/>
      <c r="X11" s="1"/>
      <c r="Y11" s="1"/>
      <c r="Z11" s="1"/>
      <c r="AA11" s="1"/>
      <c r="AB11" s="1"/>
      <c r="AC11" s="1"/>
    </row>
    <row r="12" spans="1:29" ht="15.6" x14ac:dyDescent="0.3">
      <c r="A12" s="226"/>
      <c r="B12" s="1"/>
      <c r="C12" s="1"/>
      <c r="D12" s="1"/>
      <c r="E12" s="1"/>
      <c r="F12" s="1"/>
      <c r="G12" s="1"/>
      <c r="H12" s="1"/>
      <c r="I12" s="1"/>
      <c r="J12" s="1"/>
      <c r="K12" s="53"/>
      <c r="L12" s="1"/>
      <c r="M12" s="1"/>
      <c r="N12" s="1"/>
      <c r="O12" s="1"/>
      <c r="P12" s="1"/>
      <c r="Q12" s="1"/>
      <c r="R12" s="1"/>
      <c r="S12" s="1"/>
      <c r="T12" s="1"/>
      <c r="U12" s="1"/>
      <c r="V12" s="1"/>
      <c r="W12" s="1"/>
      <c r="X12" s="1"/>
      <c r="Y12" s="1"/>
      <c r="Z12" s="1"/>
      <c r="AA12" s="1"/>
      <c r="AB12" s="1"/>
      <c r="AC12" s="1"/>
    </row>
    <row r="13" spans="1:29"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spans="1:29" s="2" customFormat="1" ht="13.2" x14ac:dyDescent="0.25">
      <c r="A14" s="2" t="s">
        <v>397</v>
      </c>
    </row>
    <row r="15" spans="1:29"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spans="1:29"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spans="1:2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sheetData>
  <mergeCells count="1">
    <mergeCell ref="A1:K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dimension ref="A1:S10"/>
  <sheetViews>
    <sheetView workbookViewId="0">
      <selection sqref="A1:S1"/>
    </sheetView>
  </sheetViews>
  <sheetFormatPr defaultRowHeight="14.4" x14ac:dyDescent="0.3"/>
  <cols>
    <col min="1" max="1" width="18.6640625" customWidth="1"/>
    <col min="2" max="2" width="26.109375" customWidth="1"/>
    <col min="19" max="19" width="25.5546875" customWidth="1"/>
  </cols>
  <sheetData>
    <row r="1" spans="1:19" ht="24" customHeight="1" x14ac:dyDescent="0.3">
      <c r="A1" s="615" t="str">
        <f>"Thermostat Setpoints - "&amp;Prototype!A2</f>
        <v>Thermostat Setpoints - RetailMedium</v>
      </c>
      <c r="B1" s="615"/>
      <c r="C1" s="615"/>
      <c r="D1" s="615"/>
      <c r="E1" s="615"/>
      <c r="F1" s="615"/>
      <c r="G1" s="615"/>
      <c r="H1" s="615"/>
      <c r="I1" s="615"/>
      <c r="J1" s="615"/>
      <c r="K1" s="615"/>
      <c r="L1" s="615"/>
      <c r="M1" s="615"/>
      <c r="N1" s="615"/>
      <c r="O1" s="615"/>
      <c r="P1" s="615"/>
      <c r="Q1" s="615"/>
      <c r="R1" s="615"/>
      <c r="S1" s="615"/>
    </row>
    <row r="2" spans="1:19" ht="22.2" customHeight="1" x14ac:dyDescent="0.3">
      <c r="A2" s="184" t="s">
        <v>398</v>
      </c>
      <c r="B2" s="65" t="s">
        <v>399</v>
      </c>
      <c r="C2" s="66" t="s">
        <v>189</v>
      </c>
      <c r="D2" s="66" t="s">
        <v>190</v>
      </c>
      <c r="E2" s="66" t="s">
        <v>191</v>
      </c>
      <c r="F2" s="66" t="s">
        <v>192</v>
      </c>
      <c r="G2" s="66" t="s">
        <v>193</v>
      </c>
      <c r="H2" s="66" t="s">
        <v>194</v>
      </c>
      <c r="I2" s="66" t="s">
        <v>195</v>
      </c>
      <c r="J2" s="66" t="s">
        <v>196</v>
      </c>
      <c r="K2" s="66" t="s">
        <v>197</v>
      </c>
      <c r="L2" s="66" t="s">
        <v>198</v>
      </c>
      <c r="M2" s="66" t="s">
        <v>199</v>
      </c>
      <c r="N2" s="66" t="s">
        <v>200</v>
      </c>
      <c r="O2" s="66" t="s">
        <v>201</v>
      </c>
      <c r="P2" s="66" t="s">
        <v>202</v>
      </c>
      <c r="Q2" s="66" t="s">
        <v>203</v>
      </c>
      <c r="R2" s="66" t="s">
        <v>204</v>
      </c>
      <c r="S2" s="66" t="s">
        <v>259</v>
      </c>
    </row>
    <row r="3" spans="1:19" ht="21" customHeight="1" x14ac:dyDescent="0.3">
      <c r="A3" s="636" t="s">
        <v>400</v>
      </c>
      <c r="B3" s="269" t="s">
        <v>401</v>
      </c>
      <c r="C3" s="269">
        <v>70</v>
      </c>
      <c r="D3" s="269">
        <v>70</v>
      </c>
      <c r="E3" s="269">
        <v>70</v>
      </c>
      <c r="F3" s="269">
        <v>70</v>
      </c>
      <c r="G3" s="269">
        <v>70</v>
      </c>
      <c r="H3" s="269">
        <v>70</v>
      </c>
      <c r="I3" s="269">
        <v>70</v>
      </c>
      <c r="J3" s="269">
        <v>70</v>
      </c>
      <c r="K3" s="269">
        <v>70</v>
      </c>
      <c r="L3" s="269">
        <v>70</v>
      </c>
      <c r="M3" s="269">
        <v>70</v>
      </c>
      <c r="N3" s="269">
        <v>70</v>
      </c>
      <c r="O3" s="269">
        <v>70</v>
      </c>
      <c r="P3" s="269">
        <v>70</v>
      </c>
      <c r="Q3" s="269">
        <v>70</v>
      </c>
      <c r="R3" s="269">
        <v>70</v>
      </c>
      <c r="S3" s="636" t="s">
        <v>402</v>
      </c>
    </row>
    <row r="4" spans="1:19" ht="21" customHeight="1" x14ac:dyDescent="0.3">
      <c r="A4" s="637"/>
      <c r="B4" s="269" t="s">
        <v>403</v>
      </c>
      <c r="C4" s="269">
        <v>60</v>
      </c>
      <c r="D4" s="269">
        <v>60</v>
      </c>
      <c r="E4" s="269">
        <v>60</v>
      </c>
      <c r="F4" s="269">
        <v>60</v>
      </c>
      <c r="G4" s="269">
        <v>60</v>
      </c>
      <c r="H4" s="269">
        <v>60</v>
      </c>
      <c r="I4" s="269">
        <v>60</v>
      </c>
      <c r="J4" s="269">
        <v>60</v>
      </c>
      <c r="K4" s="269">
        <v>60</v>
      </c>
      <c r="L4" s="269">
        <v>60</v>
      </c>
      <c r="M4" s="269">
        <v>60</v>
      </c>
      <c r="N4" s="269">
        <v>60</v>
      </c>
      <c r="O4" s="269">
        <v>60</v>
      </c>
      <c r="P4" s="269">
        <v>60</v>
      </c>
      <c r="Q4" s="269">
        <v>60</v>
      </c>
      <c r="R4" s="269">
        <v>60</v>
      </c>
      <c r="S4" s="637"/>
    </row>
    <row r="5" spans="1:19" ht="21" customHeight="1" x14ac:dyDescent="0.3">
      <c r="A5" s="637"/>
      <c r="B5" s="269" t="s">
        <v>404</v>
      </c>
      <c r="C5" s="269">
        <v>75</v>
      </c>
      <c r="D5" s="269">
        <v>75</v>
      </c>
      <c r="E5" s="269">
        <v>75</v>
      </c>
      <c r="F5" s="269">
        <v>75</v>
      </c>
      <c r="G5" s="269">
        <v>75</v>
      </c>
      <c r="H5" s="269">
        <v>75</v>
      </c>
      <c r="I5" s="269">
        <v>75</v>
      </c>
      <c r="J5" s="269">
        <v>75</v>
      </c>
      <c r="K5" s="269">
        <v>75</v>
      </c>
      <c r="L5" s="269">
        <v>75</v>
      </c>
      <c r="M5" s="269">
        <v>75</v>
      </c>
      <c r="N5" s="269">
        <v>75</v>
      </c>
      <c r="O5" s="269">
        <v>75</v>
      </c>
      <c r="P5" s="269">
        <v>75</v>
      </c>
      <c r="Q5" s="269">
        <v>75</v>
      </c>
      <c r="R5" s="269">
        <v>75</v>
      </c>
      <c r="S5" s="637"/>
    </row>
    <row r="6" spans="1:19" ht="21" customHeight="1" x14ac:dyDescent="0.3">
      <c r="A6" s="638"/>
      <c r="B6" s="269" t="s">
        <v>405</v>
      </c>
      <c r="C6" s="269">
        <v>85</v>
      </c>
      <c r="D6" s="269">
        <v>85</v>
      </c>
      <c r="E6" s="269">
        <v>85</v>
      </c>
      <c r="F6" s="269">
        <v>85</v>
      </c>
      <c r="G6" s="269">
        <v>85</v>
      </c>
      <c r="H6" s="269">
        <v>85</v>
      </c>
      <c r="I6" s="269">
        <v>85</v>
      </c>
      <c r="J6" s="269">
        <v>85</v>
      </c>
      <c r="K6" s="269">
        <v>85</v>
      </c>
      <c r="L6" s="269">
        <v>85</v>
      </c>
      <c r="M6" s="269">
        <v>85</v>
      </c>
      <c r="N6" s="269">
        <v>85</v>
      </c>
      <c r="O6" s="269">
        <v>85</v>
      </c>
      <c r="P6" s="269">
        <v>85</v>
      </c>
      <c r="Q6" s="269">
        <v>85</v>
      </c>
      <c r="R6" s="269">
        <v>85</v>
      </c>
      <c r="S6" s="638"/>
    </row>
    <row r="7" spans="1:19" ht="19.95" customHeight="1" x14ac:dyDescent="0.3">
      <c r="A7" s="636" t="s">
        <v>406</v>
      </c>
      <c r="B7" s="555" t="s">
        <v>401</v>
      </c>
      <c r="C7" s="464">
        <v>60</v>
      </c>
      <c r="D7" s="464">
        <v>60</v>
      </c>
      <c r="E7" s="464">
        <v>60</v>
      </c>
      <c r="F7" s="464">
        <v>60</v>
      </c>
      <c r="G7" s="464">
        <v>60</v>
      </c>
      <c r="H7" s="464">
        <v>60</v>
      </c>
      <c r="I7" s="464">
        <v>60</v>
      </c>
      <c r="J7" s="464">
        <v>60</v>
      </c>
      <c r="K7" s="464">
        <v>60</v>
      </c>
      <c r="L7" s="464">
        <v>60</v>
      </c>
      <c r="M7" s="464">
        <v>60</v>
      </c>
      <c r="N7" s="464">
        <v>60</v>
      </c>
      <c r="O7" s="464">
        <v>60</v>
      </c>
      <c r="P7" s="464">
        <v>60</v>
      </c>
      <c r="Q7" s="464">
        <v>60</v>
      </c>
      <c r="R7" s="464">
        <v>60</v>
      </c>
      <c r="S7" s="639" t="s">
        <v>407</v>
      </c>
    </row>
    <row r="8" spans="1:19" ht="19.95" customHeight="1" x14ac:dyDescent="0.3">
      <c r="A8" s="637"/>
      <c r="B8" s="555" t="s">
        <v>403</v>
      </c>
      <c r="C8" s="464">
        <v>60</v>
      </c>
      <c r="D8" s="464">
        <v>60</v>
      </c>
      <c r="E8" s="464">
        <v>60</v>
      </c>
      <c r="F8" s="464">
        <v>60</v>
      </c>
      <c r="G8" s="464">
        <v>60</v>
      </c>
      <c r="H8" s="464">
        <v>60</v>
      </c>
      <c r="I8" s="464">
        <v>60</v>
      </c>
      <c r="J8" s="464">
        <v>60</v>
      </c>
      <c r="K8" s="464">
        <v>60</v>
      </c>
      <c r="L8" s="464">
        <v>60</v>
      </c>
      <c r="M8" s="464">
        <v>60</v>
      </c>
      <c r="N8" s="464">
        <v>60</v>
      </c>
      <c r="O8" s="464">
        <v>60</v>
      </c>
      <c r="P8" s="464">
        <v>60</v>
      </c>
      <c r="Q8" s="464">
        <v>60</v>
      </c>
      <c r="R8" s="464">
        <v>60</v>
      </c>
      <c r="S8" s="640"/>
    </row>
    <row r="9" spans="1:19" ht="19.95" customHeight="1" x14ac:dyDescent="0.3">
      <c r="A9" s="637"/>
      <c r="B9" s="555" t="s">
        <v>404</v>
      </c>
      <c r="C9" s="464">
        <v>85</v>
      </c>
      <c r="D9" s="464">
        <v>85</v>
      </c>
      <c r="E9" s="464">
        <v>85</v>
      </c>
      <c r="F9" s="464">
        <v>85</v>
      </c>
      <c r="G9" s="464">
        <v>85</v>
      </c>
      <c r="H9" s="464">
        <v>85</v>
      </c>
      <c r="I9" s="464">
        <v>85</v>
      </c>
      <c r="J9" s="464">
        <v>85</v>
      </c>
      <c r="K9" s="464">
        <v>85</v>
      </c>
      <c r="L9" s="464">
        <v>85</v>
      </c>
      <c r="M9" s="464">
        <v>85</v>
      </c>
      <c r="N9" s="464">
        <v>85</v>
      </c>
      <c r="O9" s="464">
        <v>85</v>
      </c>
      <c r="P9" s="464">
        <v>85</v>
      </c>
      <c r="Q9" s="464">
        <v>85</v>
      </c>
      <c r="R9" s="464">
        <v>85</v>
      </c>
      <c r="S9" s="640"/>
    </row>
    <row r="10" spans="1:19" ht="19.95" customHeight="1" x14ac:dyDescent="0.3">
      <c r="A10" s="638"/>
      <c r="B10" s="555" t="s">
        <v>405</v>
      </c>
      <c r="C10" s="464">
        <v>85</v>
      </c>
      <c r="D10" s="464">
        <v>85</v>
      </c>
      <c r="E10" s="464">
        <v>85</v>
      </c>
      <c r="F10" s="464">
        <v>85</v>
      </c>
      <c r="G10" s="464">
        <v>85</v>
      </c>
      <c r="H10" s="464">
        <v>85</v>
      </c>
      <c r="I10" s="464">
        <v>85</v>
      </c>
      <c r="J10" s="464">
        <v>85</v>
      </c>
      <c r="K10" s="464">
        <v>85</v>
      </c>
      <c r="L10" s="464">
        <v>85</v>
      </c>
      <c r="M10" s="464">
        <v>85</v>
      </c>
      <c r="N10" s="464">
        <v>85</v>
      </c>
      <c r="O10" s="464">
        <v>85</v>
      </c>
      <c r="P10" s="464">
        <v>85</v>
      </c>
      <c r="Q10" s="464">
        <v>85</v>
      </c>
      <c r="R10" s="464">
        <v>85</v>
      </c>
      <c r="S10" s="641"/>
    </row>
  </sheetData>
  <mergeCells count="5">
    <mergeCell ref="S3:S6"/>
    <mergeCell ref="A3:A6"/>
    <mergeCell ref="A1:S1"/>
    <mergeCell ref="A7:A10"/>
    <mergeCell ref="S7:S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064D-48E9-4C51-A7C7-9C2820CE56B2}">
  <dimension ref="A1:AL118"/>
  <sheetViews>
    <sheetView zoomScale="85" zoomScaleNormal="85" workbookViewId="0">
      <selection sqref="A1:G1"/>
    </sheetView>
  </sheetViews>
  <sheetFormatPr defaultColWidth="8.6640625" defaultRowHeight="12.75" customHeight="1" x14ac:dyDescent="0.25"/>
  <cols>
    <col min="1" max="1" width="35.88671875" style="2" customWidth="1"/>
    <col min="2" max="2" width="29.6640625" style="2" customWidth="1"/>
    <col min="3" max="3" width="23.109375" style="2" customWidth="1"/>
    <col min="4" max="4" width="33" style="2" customWidth="1"/>
    <col min="5" max="5" width="32.44140625" style="2" customWidth="1"/>
    <col min="6" max="6" width="25.5546875" style="2" customWidth="1"/>
    <col min="7" max="7" width="23" style="2" customWidth="1"/>
    <col min="8" max="8" width="27.44140625" style="2" customWidth="1"/>
    <col min="9" max="10" width="23" style="2" customWidth="1"/>
    <col min="11" max="11" width="19" style="2" customWidth="1"/>
    <col min="12" max="12" width="37.44140625" style="2" customWidth="1"/>
    <col min="13" max="13" width="12.33203125" style="2" customWidth="1"/>
    <col min="14" max="14" width="13.33203125" style="2" customWidth="1"/>
    <col min="15" max="15" width="15.33203125" style="2" customWidth="1"/>
    <col min="16" max="16" width="11" style="2" customWidth="1"/>
    <col min="17" max="20" width="15.33203125" style="2" customWidth="1"/>
    <col min="21" max="21" width="7.6640625" style="2" hidden="1" customWidth="1"/>
    <col min="22" max="22" width="12.44140625" style="2" hidden="1" customWidth="1"/>
    <col min="23" max="38" width="6.5546875" style="2" hidden="1" customWidth="1"/>
    <col min="39" max="39" width="15.33203125" style="2" customWidth="1"/>
    <col min="40" max="40" width="11.33203125" style="2" customWidth="1"/>
    <col min="41" max="41" width="6.33203125" style="2" customWidth="1"/>
    <col min="42" max="45" width="4.6640625" style="2" customWidth="1"/>
    <col min="46" max="46" width="6.33203125" style="2" customWidth="1"/>
    <col min="47" max="61" width="4.6640625" style="2" customWidth="1"/>
    <col min="62" max="16384" width="8.6640625" style="2"/>
  </cols>
  <sheetData>
    <row r="1" spans="1:9" ht="24" customHeight="1" x14ac:dyDescent="0.25">
      <c r="A1" s="643" t="str">
        <f>"Water Heater - "&amp;Prototype!A2</f>
        <v>Water Heater - RetailMedium</v>
      </c>
      <c r="B1" s="626"/>
      <c r="C1" s="626"/>
      <c r="D1" s="626"/>
      <c r="E1" s="626"/>
      <c r="F1" s="626"/>
      <c r="G1" s="626"/>
    </row>
    <row r="2" spans="1:9" ht="22.35" customHeight="1" x14ac:dyDescent="0.25">
      <c r="A2" s="184" t="s">
        <v>186</v>
      </c>
      <c r="B2" s="184" t="s">
        <v>408</v>
      </c>
      <c r="C2" s="184" t="s">
        <v>409</v>
      </c>
      <c r="D2" s="125" t="s">
        <v>410</v>
      </c>
      <c r="E2" s="278" t="s">
        <v>411</v>
      </c>
      <c r="F2" s="278" t="s">
        <v>412</v>
      </c>
      <c r="G2" s="278" t="s">
        <v>259</v>
      </c>
      <c r="H2" s="223"/>
    </row>
    <row r="3" spans="1:9" ht="69.599999999999994" customHeight="1" x14ac:dyDescent="0.25">
      <c r="A3" s="268" t="s">
        <v>337</v>
      </c>
      <c r="B3" s="268" t="s">
        <v>413</v>
      </c>
      <c r="C3" s="279">
        <v>1</v>
      </c>
      <c r="D3" s="475">
        <v>1</v>
      </c>
      <c r="E3" s="476" t="s">
        <v>414</v>
      </c>
      <c r="F3" s="477" t="s">
        <v>415</v>
      </c>
      <c r="G3" s="478" t="s">
        <v>416</v>
      </c>
      <c r="H3" s="290"/>
    </row>
    <row r="4" spans="1:9" ht="69.599999999999994" customHeight="1" x14ac:dyDescent="0.25">
      <c r="A4" s="268" t="s">
        <v>344</v>
      </c>
      <c r="B4" s="268" t="s">
        <v>413</v>
      </c>
      <c r="C4" s="279">
        <v>1</v>
      </c>
      <c r="D4" s="475">
        <v>1</v>
      </c>
      <c r="E4" s="476" t="s">
        <v>414</v>
      </c>
      <c r="F4" s="477" t="s">
        <v>415</v>
      </c>
      <c r="G4" s="478" t="s">
        <v>416</v>
      </c>
      <c r="H4" s="290"/>
    </row>
    <row r="5" spans="1:9" ht="24" customHeight="1" x14ac:dyDescent="0.25">
      <c r="A5" s="4"/>
      <c r="B5" s="4"/>
      <c r="C5" s="4"/>
      <c r="D5" s="4"/>
      <c r="E5" s="291"/>
      <c r="F5" s="291"/>
    </row>
    <row r="6" spans="1:9" ht="33" customHeight="1" x14ac:dyDescent="0.25">
      <c r="A6" s="650" t="s">
        <v>417</v>
      </c>
      <c r="B6" s="615"/>
      <c r="C6" s="615"/>
      <c r="D6" s="615"/>
      <c r="E6" s="615"/>
      <c r="F6" s="615"/>
      <c r="G6" s="615"/>
      <c r="H6" s="615"/>
      <c r="I6" s="107"/>
    </row>
    <row r="7" spans="1:9" ht="77.25" customHeight="1" x14ac:dyDescent="0.25">
      <c r="A7" s="131" t="s">
        <v>418</v>
      </c>
      <c r="B7" s="129" t="s">
        <v>419</v>
      </c>
      <c r="C7" s="129" t="s">
        <v>420</v>
      </c>
      <c r="D7" s="129" t="s">
        <v>121</v>
      </c>
      <c r="E7" s="129" t="s">
        <v>421</v>
      </c>
      <c r="F7" s="215" t="s">
        <v>422</v>
      </c>
      <c r="G7" s="214" t="s">
        <v>423</v>
      </c>
      <c r="H7" s="65" t="s">
        <v>188</v>
      </c>
      <c r="I7" s="223"/>
    </row>
    <row r="8" spans="1:9" ht="17.25" customHeight="1" x14ac:dyDescent="0.25">
      <c r="A8" s="221" t="str">
        <f>Zones!B3</f>
        <v>Core_Retail</v>
      </c>
      <c r="B8" s="269" t="s">
        <v>413</v>
      </c>
      <c r="C8" s="127">
        <f>Zones!I3</f>
        <v>17235.016</v>
      </c>
      <c r="D8" s="35">
        <f>Zones!L3</f>
        <v>292.995272</v>
      </c>
      <c r="E8" s="106">
        <v>0.18</v>
      </c>
      <c r="F8" s="222">
        <f>E8*D8</f>
        <v>52.739148960000001</v>
      </c>
      <c r="G8" s="280">
        <f>F8/60</f>
        <v>0.87898581600000003</v>
      </c>
      <c r="H8" s="651" t="s">
        <v>424</v>
      </c>
    </row>
    <row r="9" spans="1:9" ht="17.25" customHeight="1" x14ac:dyDescent="0.25">
      <c r="A9" s="221" t="str">
        <f>Zones!B4</f>
        <v>Point_of_Sale</v>
      </c>
      <c r="B9" s="269" t="s">
        <v>413</v>
      </c>
      <c r="C9" s="127">
        <f>Zones!I4</f>
        <v>1629.672</v>
      </c>
      <c r="D9" s="35">
        <f>Zones!L4</f>
        <v>27.704423999999999</v>
      </c>
      <c r="E9" s="106">
        <v>0.18</v>
      </c>
      <c r="F9" s="222">
        <f t="shared" ref="F9:F15" si="0">E9*D9</f>
        <v>4.9867963199999998</v>
      </c>
      <c r="G9" s="280">
        <f t="shared" ref="G9:G15" si="1">F9/60</f>
        <v>8.3113272000000002E-2</v>
      </c>
      <c r="H9" s="652"/>
    </row>
    <row r="10" spans="1:9" ht="17.25" customHeight="1" x14ac:dyDescent="0.25">
      <c r="A10" s="221" t="str">
        <f>Zones!B5</f>
        <v>Front_Retail</v>
      </c>
      <c r="B10" s="269" t="s">
        <v>413</v>
      </c>
      <c r="C10" s="127">
        <f>Zones!I5</f>
        <v>1629.672</v>
      </c>
      <c r="D10" s="35">
        <f>Zones!L5</f>
        <v>27.704423999999999</v>
      </c>
      <c r="E10" s="106">
        <v>0.18</v>
      </c>
      <c r="F10" s="222">
        <f t="shared" si="0"/>
        <v>4.9867963199999998</v>
      </c>
      <c r="G10" s="280">
        <f t="shared" si="1"/>
        <v>8.3113272000000002E-2</v>
      </c>
      <c r="H10" s="652"/>
    </row>
    <row r="11" spans="1:9" s="3" customFormat="1" ht="17.25" customHeight="1" x14ac:dyDescent="0.25">
      <c r="A11" s="221" t="str">
        <f>Zones!B6</f>
        <v>Front_Entry</v>
      </c>
      <c r="B11" s="269" t="s">
        <v>413</v>
      </c>
      <c r="C11" s="127">
        <f>Zones!I6</f>
        <v>123.46000000000001</v>
      </c>
      <c r="D11" s="35">
        <f>Zones!L6</f>
        <v>0.61730000000000007</v>
      </c>
      <c r="E11" s="479">
        <v>0</v>
      </c>
      <c r="F11" s="222">
        <f t="shared" si="0"/>
        <v>0</v>
      </c>
      <c r="G11" s="280">
        <f t="shared" si="1"/>
        <v>0</v>
      </c>
      <c r="H11" s="652"/>
    </row>
    <row r="12" spans="1:9" ht="17.25" customHeight="1" x14ac:dyDescent="0.25">
      <c r="A12" s="480" t="str">
        <f>Zones!B7</f>
        <v>Loading_Dock</v>
      </c>
      <c r="B12" s="555" t="s">
        <v>413</v>
      </c>
      <c r="C12" s="481">
        <f>Zones!I7</f>
        <v>592.60800000000006</v>
      </c>
      <c r="D12" s="462">
        <f>Zones!L7</f>
        <v>1.185216</v>
      </c>
      <c r="E12" s="479">
        <v>0.18</v>
      </c>
      <c r="F12" s="482">
        <f t="shared" si="0"/>
        <v>0.21333888000000001</v>
      </c>
      <c r="G12" s="483">
        <f t="shared" si="1"/>
        <v>3.5556480000000002E-3</v>
      </c>
      <c r="H12" s="652"/>
    </row>
    <row r="13" spans="1:9" ht="17.25" customHeight="1" x14ac:dyDescent="0.25">
      <c r="A13" s="484" t="str">
        <f>Zones!B8</f>
        <v>Bulk_Storage</v>
      </c>
      <c r="B13" s="463" t="s">
        <v>413</v>
      </c>
      <c r="C13" s="481">
        <f>Zones!I8</f>
        <v>2395.1240000000003</v>
      </c>
      <c r="D13" s="462">
        <f>Zones!L8</f>
        <v>0</v>
      </c>
      <c r="E13" s="485">
        <v>0</v>
      </c>
      <c r="F13" s="482">
        <f t="shared" si="0"/>
        <v>0</v>
      </c>
      <c r="G13" s="483">
        <f t="shared" si="1"/>
        <v>0</v>
      </c>
      <c r="H13" s="652"/>
    </row>
    <row r="14" spans="1:9" ht="17.25" customHeight="1" x14ac:dyDescent="0.25">
      <c r="A14" s="486" t="str">
        <f>Zones!B9</f>
        <v>Office/Stuff</v>
      </c>
      <c r="B14" s="464" t="s">
        <v>413</v>
      </c>
      <c r="C14" s="481">
        <f>Zones!I9</f>
        <v>666.68399999999997</v>
      </c>
      <c r="D14" s="462">
        <f>Zones!L9</f>
        <v>3.3334200000000003</v>
      </c>
      <c r="E14" s="487">
        <v>0.18</v>
      </c>
      <c r="F14" s="482">
        <f t="shared" si="0"/>
        <v>0.60001559999999998</v>
      </c>
      <c r="G14" s="483">
        <f t="shared" si="1"/>
        <v>1.000026E-2</v>
      </c>
      <c r="H14" s="652"/>
    </row>
    <row r="15" spans="1:9" ht="17.25" customHeight="1" x14ac:dyDescent="0.25">
      <c r="A15" s="488" t="str">
        <f>Zones!B10</f>
        <v>Restroom</v>
      </c>
      <c r="B15" s="489" t="s">
        <v>413</v>
      </c>
      <c r="C15" s="490">
        <f>Zones!I10</f>
        <v>419.76400000000001</v>
      </c>
      <c r="D15" s="491">
        <f>Zones!L10</f>
        <v>0</v>
      </c>
      <c r="E15" s="492">
        <v>0</v>
      </c>
      <c r="F15" s="493">
        <f t="shared" si="0"/>
        <v>0</v>
      </c>
      <c r="G15" s="494">
        <f t="shared" si="1"/>
        <v>0</v>
      </c>
      <c r="H15" s="653"/>
    </row>
    <row r="16" spans="1:9" ht="20.25" customHeight="1" x14ac:dyDescent="0.25">
      <c r="A16" s="495" t="s">
        <v>163</v>
      </c>
      <c r="B16" s="654" t="s">
        <v>425</v>
      </c>
      <c r="C16" s="655"/>
      <c r="D16" s="655"/>
      <c r="E16" s="656"/>
      <c r="F16" s="496">
        <f>_xlfn.LET(
  _xlpm.g,SUMIF($B$8:$B$15,"Gas*",$F$8:$F$15),
  _xlpm.e,SUMIF($B$8:$B$15,"Electric*",$F$8:$F$15),
  IF(AND(_xlpm.g&gt;0,_xlpm.e&gt;0),_xlpm.g,IF(_xlpm.g&gt;0,MAX(75,_xlpm.g),0)))</f>
        <v>0</v>
      </c>
      <c r="G16" s="281"/>
      <c r="H16" s="657" t="s">
        <v>426</v>
      </c>
    </row>
    <row r="17" spans="1:13" ht="19.5" customHeight="1" x14ac:dyDescent="0.25">
      <c r="A17" s="495" t="s">
        <v>427</v>
      </c>
      <c r="B17" s="654" t="s">
        <v>428</v>
      </c>
      <c r="C17" s="655"/>
      <c r="D17" s="655"/>
      <c r="E17" s="656"/>
      <c r="F17" s="496">
        <f>_xlfn.LET(
  _xlpm.g,SUMIF($B$8:$B$15,"Gas*",$F$8:$F$15),
  _xlpm.e,SUMIF($B$8:$B$15,"Electric*",$F$8:$F$15),
  IF(AND(_xlpm.g&gt;0,_xlpm.e&gt;0),_xlpm.e,IF(_xlpm.e&gt;0,MAX(75,_xlpm.e),0)))</f>
        <v>75</v>
      </c>
      <c r="G17" s="281"/>
      <c r="H17" s="658"/>
    </row>
    <row r="18" spans="1:13" s="276" customFormat="1" ht="14.4" x14ac:dyDescent="0.3">
      <c r="A18"/>
      <c r="B18"/>
      <c r="C18"/>
      <c r="D18"/>
      <c r="E18"/>
      <c r="F18"/>
      <c r="G18"/>
      <c r="H18"/>
      <c r="I18"/>
      <c r="J18"/>
    </row>
    <row r="19" spans="1:13" s="276" customFormat="1" ht="14.4" x14ac:dyDescent="0.3">
      <c r="A19"/>
      <c r="B19"/>
      <c r="C19"/>
      <c r="D19"/>
      <c r="E19"/>
      <c r="F19"/>
      <c r="G19"/>
      <c r="H19"/>
      <c r="I19"/>
      <c r="J19"/>
    </row>
    <row r="20" spans="1:13" s="276" customFormat="1" ht="14.4" x14ac:dyDescent="0.3">
      <c r="A20"/>
      <c r="B20"/>
      <c r="C20"/>
      <c r="D20"/>
      <c r="E20"/>
      <c r="F20"/>
      <c r="G20"/>
      <c r="H20"/>
      <c r="I20"/>
      <c r="J20"/>
    </row>
    <row r="21" spans="1:13" s="276" customFormat="1" ht="15" customHeight="1" x14ac:dyDescent="0.3">
      <c r="A21" s="497" t="s">
        <v>429</v>
      </c>
      <c r="B21" s="498">
        <v>135</v>
      </c>
      <c r="C21" s="499" t="s">
        <v>430</v>
      </c>
      <c r="D21" s="282"/>
      <c r="E21" s="282"/>
      <c r="F21"/>
      <c r="G21"/>
      <c r="H21"/>
      <c r="I21"/>
      <c r="J21"/>
    </row>
    <row r="22" spans="1:13" s="276" customFormat="1" ht="15" customHeight="1" x14ac:dyDescent="0.3">
      <c r="A22" s="282" t="s">
        <v>431</v>
      </c>
      <c r="B22" s="500">
        <v>0.6</v>
      </c>
      <c r="C22" s="499" t="s">
        <v>432</v>
      </c>
      <c r="D22" s="283"/>
      <c r="E22" s="283"/>
      <c r="F22"/>
      <c r="G22"/>
      <c r="H22"/>
      <c r="I22"/>
      <c r="J22"/>
    </row>
    <row r="23" spans="1:13" s="276" customFormat="1" ht="14.4" x14ac:dyDescent="0.3">
      <c r="A23" s="501" t="s">
        <v>433</v>
      </c>
      <c r="B23" s="502">
        <v>8.2876999999999992</v>
      </c>
      <c r="C23" s="499" t="s">
        <v>432</v>
      </c>
      <c r="D23" s="499"/>
      <c r="E23" s="499"/>
      <c r="F23"/>
      <c r="G23"/>
      <c r="H23"/>
      <c r="I23"/>
      <c r="J23"/>
    </row>
    <row r="24" spans="1:13" s="276" customFormat="1" ht="14.4" x14ac:dyDescent="0.3">
      <c r="A24" s="276" t="s">
        <v>434</v>
      </c>
      <c r="B24" s="284">
        <v>0.4</v>
      </c>
      <c r="C24" s="285" t="s">
        <v>435</v>
      </c>
      <c r="D24" s="285"/>
      <c r="F24" s="285"/>
      <c r="G24" s="285"/>
    </row>
    <row r="25" spans="1:13" s="276" customFormat="1" ht="26.1" customHeight="1" x14ac:dyDescent="0.25">
      <c r="A25" s="659" t="s">
        <v>436</v>
      </c>
      <c r="B25" s="660"/>
      <c r="C25" s="660"/>
      <c r="D25" s="660"/>
      <c r="E25" s="660"/>
      <c r="F25" s="660"/>
      <c r="G25" s="660"/>
      <c r="H25" s="660"/>
      <c r="I25" s="660"/>
      <c r="J25" s="660"/>
      <c r="K25" s="660"/>
      <c r="L25" s="660"/>
    </row>
    <row r="26" spans="1:13" s="276" customFormat="1" ht="48.75" customHeight="1" x14ac:dyDescent="0.3">
      <c r="A26" s="503" t="s">
        <v>437</v>
      </c>
      <c r="B26" s="503" t="s">
        <v>438</v>
      </c>
      <c r="C26" s="503" t="s">
        <v>439</v>
      </c>
      <c r="D26" s="503" t="s">
        <v>440</v>
      </c>
      <c r="E26" s="503" t="s">
        <v>441</v>
      </c>
      <c r="F26" s="503" t="s">
        <v>442</v>
      </c>
      <c r="G26" s="503" t="s">
        <v>443</v>
      </c>
      <c r="H26" s="644" t="s">
        <v>444</v>
      </c>
      <c r="I26" s="645"/>
      <c r="J26" s="646" t="s">
        <v>445</v>
      </c>
      <c r="K26" s="646"/>
      <c r="L26" s="504" t="s">
        <v>446</v>
      </c>
      <c r="M26"/>
    </row>
    <row r="27" spans="1:13" s="276" customFormat="1" ht="18.75" customHeight="1" x14ac:dyDescent="0.25">
      <c r="A27" s="505" t="s">
        <v>447</v>
      </c>
      <c r="B27" s="505" t="s">
        <v>448</v>
      </c>
      <c r="C27" s="506">
        <v>47.9</v>
      </c>
      <c r="D27" s="507">
        <f t="shared" ref="D27:D42" si="2">$F$17*($B$21-C27)*$B$23</f>
        <v>54139.400249999992</v>
      </c>
      <c r="E27" s="507">
        <f t="shared" ref="E27:E42" si="3">D27*$B$22</f>
        <v>32483.640149999992</v>
      </c>
      <c r="F27" s="507">
        <f t="shared" ref="F27:F42" si="4">_xlfn.LET(_xlpm.x,_xlfn.XLOOKUP(E27,$D$48:$D$62,$D$48:$D$62,"",1),IF(_xlpm.x="",ROUNDUP(E27,0),_xlpm.x))</f>
        <v>34121</v>
      </c>
      <c r="G27" s="507">
        <f t="shared" ref="G27:G42" si="5">_xlfn.LET(_xlpm.v,MAX(30,$F$17*$B$24),_xlpm.x,_xlfn.XLOOKUP(_xlpm.v,$G$48:$G$62,$G$48:$G$62,"",1),IF(_xlpm.x="",ROUNDUP(_xlpm.v,0),_xlpm.x))</f>
        <v>30</v>
      </c>
      <c r="H27" s="508">
        <f t="shared" ref="H27:H42" si="6">0.3+27/G27</f>
        <v>1.2</v>
      </c>
      <c r="I27" s="507" t="str">
        <f t="shared" ref="I27:I42" si="7">IF($F$17&gt;0,"%/hr","Btu/hr")</f>
        <v>%/hr</v>
      </c>
      <c r="J27" s="509">
        <f t="shared" ref="J27:J42" si="8">0.0834*H27*G27</f>
        <v>3.0024000000000002</v>
      </c>
      <c r="K27" s="510" t="s">
        <v>449</v>
      </c>
      <c r="L27" s="647" t="s">
        <v>450</v>
      </c>
    </row>
    <row r="28" spans="1:13" s="276" customFormat="1" ht="18.75" customHeight="1" x14ac:dyDescent="0.25">
      <c r="A28" s="505" t="s">
        <v>447</v>
      </c>
      <c r="B28" s="505" t="s">
        <v>451</v>
      </c>
      <c r="C28" s="506">
        <v>50.8</v>
      </c>
      <c r="D28" s="507">
        <f t="shared" si="2"/>
        <v>52336.825499999992</v>
      </c>
      <c r="E28" s="507">
        <f t="shared" si="3"/>
        <v>31402.095299999994</v>
      </c>
      <c r="F28" s="507">
        <f t="shared" si="4"/>
        <v>34121</v>
      </c>
      <c r="G28" s="507">
        <f t="shared" si="5"/>
        <v>30</v>
      </c>
      <c r="H28" s="508">
        <f t="shared" si="6"/>
        <v>1.2</v>
      </c>
      <c r="I28" s="507" t="str">
        <f t="shared" si="7"/>
        <v>%/hr</v>
      </c>
      <c r="J28" s="509">
        <f t="shared" si="8"/>
        <v>3.0024000000000002</v>
      </c>
      <c r="K28" s="510" t="s">
        <v>449</v>
      </c>
      <c r="L28" s="648"/>
    </row>
    <row r="29" spans="1:13" s="276" customFormat="1" ht="18.75" customHeight="1" x14ac:dyDescent="0.25">
      <c r="A29" s="505" t="s">
        <v>447</v>
      </c>
      <c r="B29" s="505" t="s">
        <v>452</v>
      </c>
      <c r="C29" s="506">
        <v>52.2</v>
      </c>
      <c r="D29" s="507">
        <f t="shared" si="2"/>
        <v>51466.616999999998</v>
      </c>
      <c r="E29" s="507">
        <f t="shared" si="3"/>
        <v>30879.970199999996</v>
      </c>
      <c r="F29" s="507">
        <f t="shared" si="4"/>
        <v>34121</v>
      </c>
      <c r="G29" s="507">
        <f t="shared" si="5"/>
        <v>30</v>
      </c>
      <c r="H29" s="508">
        <f t="shared" si="6"/>
        <v>1.2</v>
      </c>
      <c r="I29" s="507" t="str">
        <f t="shared" si="7"/>
        <v>%/hr</v>
      </c>
      <c r="J29" s="509">
        <f t="shared" si="8"/>
        <v>3.0024000000000002</v>
      </c>
      <c r="K29" s="510" t="s">
        <v>449</v>
      </c>
      <c r="L29" s="648"/>
    </row>
    <row r="30" spans="1:13" s="276" customFormat="1" ht="18.75" customHeight="1" x14ac:dyDescent="0.25">
      <c r="A30" s="505" t="s">
        <v>447</v>
      </c>
      <c r="B30" s="505" t="s">
        <v>453</v>
      </c>
      <c r="C30" s="506">
        <v>52.7</v>
      </c>
      <c r="D30" s="507">
        <f t="shared" si="2"/>
        <v>51155.828249999991</v>
      </c>
      <c r="E30" s="507">
        <f t="shared" si="3"/>
        <v>30693.496949999993</v>
      </c>
      <c r="F30" s="507">
        <f t="shared" si="4"/>
        <v>30709</v>
      </c>
      <c r="G30" s="507">
        <f t="shared" si="5"/>
        <v>30</v>
      </c>
      <c r="H30" s="508">
        <f t="shared" si="6"/>
        <v>1.2</v>
      </c>
      <c r="I30" s="507" t="str">
        <f t="shared" si="7"/>
        <v>%/hr</v>
      </c>
      <c r="J30" s="509">
        <f t="shared" si="8"/>
        <v>3.0024000000000002</v>
      </c>
      <c r="K30" s="510" t="s">
        <v>449</v>
      </c>
      <c r="L30" s="648"/>
    </row>
    <row r="31" spans="1:13" s="276" customFormat="1" ht="18.75" customHeight="1" x14ac:dyDescent="0.25">
      <c r="A31" s="505" t="s">
        <v>447</v>
      </c>
      <c r="B31" s="505" t="s">
        <v>454</v>
      </c>
      <c r="C31" s="506">
        <v>51.6</v>
      </c>
      <c r="D31" s="507">
        <f t="shared" si="2"/>
        <v>51839.563499999997</v>
      </c>
      <c r="E31" s="507">
        <f t="shared" si="3"/>
        <v>31103.738099999995</v>
      </c>
      <c r="F31" s="507">
        <f t="shared" si="4"/>
        <v>34121</v>
      </c>
      <c r="G31" s="507">
        <f t="shared" si="5"/>
        <v>30</v>
      </c>
      <c r="H31" s="508">
        <f t="shared" si="6"/>
        <v>1.2</v>
      </c>
      <c r="I31" s="507" t="str">
        <f t="shared" si="7"/>
        <v>%/hr</v>
      </c>
      <c r="J31" s="509">
        <f t="shared" si="8"/>
        <v>3.0024000000000002</v>
      </c>
      <c r="K31" s="510" t="s">
        <v>449</v>
      </c>
      <c r="L31" s="648"/>
    </row>
    <row r="32" spans="1:13" s="276" customFormat="1" ht="18.75" customHeight="1" x14ac:dyDescent="0.25">
      <c r="A32" s="505" t="s">
        <v>447</v>
      </c>
      <c r="B32" s="505" t="s">
        <v>455</v>
      </c>
      <c r="C32" s="506">
        <v>56.8</v>
      </c>
      <c r="D32" s="507">
        <f t="shared" si="2"/>
        <v>48607.360499999995</v>
      </c>
      <c r="E32" s="507">
        <f t="shared" si="3"/>
        <v>29164.416299999997</v>
      </c>
      <c r="F32" s="507">
        <f t="shared" si="4"/>
        <v>30709</v>
      </c>
      <c r="G32" s="507">
        <f t="shared" si="5"/>
        <v>30</v>
      </c>
      <c r="H32" s="508">
        <f t="shared" si="6"/>
        <v>1.2</v>
      </c>
      <c r="I32" s="507" t="str">
        <f t="shared" si="7"/>
        <v>%/hr</v>
      </c>
      <c r="J32" s="509">
        <f t="shared" si="8"/>
        <v>3.0024000000000002</v>
      </c>
      <c r="K32" s="510" t="s">
        <v>449</v>
      </c>
      <c r="L32" s="648"/>
    </row>
    <row r="33" spans="1:12" s="276" customFormat="1" ht="18.75" customHeight="1" x14ac:dyDescent="0.25">
      <c r="A33" s="505" t="s">
        <v>447</v>
      </c>
      <c r="B33" s="505" t="s">
        <v>456</v>
      </c>
      <c r="C33" s="506">
        <v>58.4</v>
      </c>
      <c r="D33" s="507">
        <f t="shared" si="2"/>
        <v>47612.836499999998</v>
      </c>
      <c r="E33" s="507">
        <f t="shared" si="3"/>
        <v>28567.701899999996</v>
      </c>
      <c r="F33" s="507">
        <f t="shared" si="4"/>
        <v>30709</v>
      </c>
      <c r="G33" s="507">
        <f t="shared" si="5"/>
        <v>30</v>
      </c>
      <c r="H33" s="508">
        <f t="shared" si="6"/>
        <v>1.2</v>
      </c>
      <c r="I33" s="507" t="str">
        <f t="shared" si="7"/>
        <v>%/hr</v>
      </c>
      <c r="J33" s="509">
        <f t="shared" si="8"/>
        <v>3.0024000000000002</v>
      </c>
      <c r="K33" s="510" t="s">
        <v>449</v>
      </c>
      <c r="L33" s="648"/>
    </row>
    <row r="34" spans="1:12" s="276" customFormat="1" ht="18.75" customHeight="1" x14ac:dyDescent="0.25">
      <c r="A34" s="505" t="s">
        <v>447</v>
      </c>
      <c r="B34" s="505" t="s">
        <v>457</v>
      </c>
      <c r="C34" s="506">
        <v>58.4</v>
      </c>
      <c r="D34" s="507">
        <f t="shared" si="2"/>
        <v>47612.836499999998</v>
      </c>
      <c r="E34" s="507">
        <f t="shared" si="3"/>
        <v>28567.701899999996</v>
      </c>
      <c r="F34" s="507">
        <f t="shared" si="4"/>
        <v>30709</v>
      </c>
      <c r="G34" s="507">
        <f t="shared" si="5"/>
        <v>30</v>
      </c>
      <c r="H34" s="508">
        <f t="shared" si="6"/>
        <v>1.2</v>
      </c>
      <c r="I34" s="507" t="str">
        <f t="shared" si="7"/>
        <v>%/hr</v>
      </c>
      <c r="J34" s="509">
        <f t="shared" si="8"/>
        <v>3.0024000000000002</v>
      </c>
      <c r="K34" s="510" t="s">
        <v>449</v>
      </c>
      <c r="L34" s="648"/>
    </row>
    <row r="35" spans="1:12" s="276" customFormat="1" ht="18.75" customHeight="1" x14ac:dyDescent="0.25">
      <c r="A35" s="505" t="s">
        <v>447</v>
      </c>
      <c r="B35" s="505" t="s">
        <v>458</v>
      </c>
      <c r="C35" s="506">
        <v>57.6</v>
      </c>
      <c r="D35" s="507">
        <f t="shared" si="2"/>
        <v>48110.098499999993</v>
      </c>
      <c r="E35" s="507">
        <f t="shared" si="3"/>
        <v>28866.059099999995</v>
      </c>
      <c r="F35" s="507">
        <f t="shared" si="4"/>
        <v>30709</v>
      </c>
      <c r="G35" s="507">
        <f t="shared" si="5"/>
        <v>30</v>
      </c>
      <c r="H35" s="508">
        <f t="shared" si="6"/>
        <v>1.2</v>
      </c>
      <c r="I35" s="507" t="str">
        <f t="shared" si="7"/>
        <v>%/hr</v>
      </c>
      <c r="J35" s="509">
        <f t="shared" si="8"/>
        <v>3.0024000000000002</v>
      </c>
      <c r="K35" s="510" t="s">
        <v>449</v>
      </c>
      <c r="L35" s="648"/>
    </row>
    <row r="36" spans="1:12" s="276" customFormat="1" ht="18.75" customHeight="1" x14ac:dyDescent="0.25">
      <c r="A36" s="505" t="s">
        <v>447</v>
      </c>
      <c r="B36" s="505" t="s">
        <v>198</v>
      </c>
      <c r="C36" s="506">
        <v>57.1</v>
      </c>
      <c r="D36" s="507">
        <f t="shared" si="2"/>
        <v>48420.887249999992</v>
      </c>
      <c r="E36" s="507">
        <f t="shared" si="3"/>
        <v>29052.532349999994</v>
      </c>
      <c r="F36" s="507">
        <f t="shared" si="4"/>
        <v>30709</v>
      </c>
      <c r="G36" s="507">
        <f t="shared" si="5"/>
        <v>30</v>
      </c>
      <c r="H36" s="508">
        <f t="shared" si="6"/>
        <v>1.2</v>
      </c>
      <c r="I36" s="507" t="str">
        <f t="shared" si="7"/>
        <v>%/hr</v>
      </c>
      <c r="J36" s="509">
        <f t="shared" si="8"/>
        <v>3.0024000000000002</v>
      </c>
      <c r="K36" s="510" t="s">
        <v>449</v>
      </c>
      <c r="L36" s="648"/>
    </row>
    <row r="37" spans="1:12" s="276" customFormat="1" ht="18.75" customHeight="1" x14ac:dyDescent="0.25">
      <c r="A37" s="505" t="s">
        <v>447</v>
      </c>
      <c r="B37" s="505" t="s">
        <v>199</v>
      </c>
      <c r="C37" s="506">
        <v>50.5</v>
      </c>
      <c r="D37" s="507">
        <f t="shared" si="2"/>
        <v>52523.298749999994</v>
      </c>
      <c r="E37" s="507">
        <f t="shared" si="3"/>
        <v>31513.979249999997</v>
      </c>
      <c r="F37" s="507">
        <f t="shared" si="4"/>
        <v>34121</v>
      </c>
      <c r="G37" s="507">
        <f t="shared" si="5"/>
        <v>30</v>
      </c>
      <c r="H37" s="508">
        <f t="shared" si="6"/>
        <v>1.2</v>
      </c>
      <c r="I37" s="507" t="str">
        <f t="shared" si="7"/>
        <v>%/hr</v>
      </c>
      <c r="J37" s="509">
        <f t="shared" si="8"/>
        <v>3.0024000000000002</v>
      </c>
      <c r="K37" s="510" t="s">
        <v>449</v>
      </c>
      <c r="L37" s="648"/>
    </row>
    <row r="38" spans="1:12" s="276" customFormat="1" ht="18.75" customHeight="1" x14ac:dyDescent="0.25">
      <c r="A38" s="505" t="s">
        <v>447</v>
      </c>
      <c r="B38" s="505" t="s">
        <v>200</v>
      </c>
      <c r="C38" s="506">
        <v>51.4</v>
      </c>
      <c r="D38" s="507">
        <f t="shared" si="2"/>
        <v>51963.878999999994</v>
      </c>
      <c r="E38" s="507">
        <f t="shared" si="3"/>
        <v>31178.327399999995</v>
      </c>
      <c r="F38" s="507">
        <f t="shared" si="4"/>
        <v>34121</v>
      </c>
      <c r="G38" s="507">
        <f t="shared" si="5"/>
        <v>30</v>
      </c>
      <c r="H38" s="508">
        <f t="shared" si="6"/>
        <v>1.2</v>
      </c>
      <c r="I38" s="507" t="str">
        <f t="shared" si="7"/>
        <v>%/hr</v>
      </c>
      <c r="J38" s="509">
        <f t="shared" si="8"/>
        <v>3.0024000000000002</v>
      </c>
      <c r="K38" s="510" t="s">
        <v>449</v>
      </c>
      <c r="L38" s="648"/>
    </row>
    <row r="39" spans="1:12" s="276" customFormat="1" ht="18.75" customHeight="1" x14ac:dyDescent="0.25">
      <c r="A39" s="505" t="s">
        <v>447</v>
      </c>
      <c r="B39" s="505" t="s">
        <v>201</v>
      </c>
      <c r="C39" s="506">
        <v>51.7</v>
      </c>
      <c r="D39" s="507">
        <f t="shared" si="2"/>
        <v>51777.405749999998</v>
      </c>
      <c r="E39" s="507">
        <f t="shared" si="3"/>
        <v>31066.443449999999</v>
      </c>
      <c r="F39" s="507">
        <f t="shared" si="4"/>
        <v>34121</v>
      </c>
      <c r="G39" s="507">
        <f t="shared" si="5"/>
        <v>30</v>
      </c>
      <c r="H39" s="508">
        <f t="shared" si="6"/>
        <v>1.2</v>
      </c>
      <c r="I39" s="507" t="str">
        <f t="shared" si="7"/>
        <v>%/hr</v>
      </c>
      <c r="J39" s="509">
        <f t="shared" si="8"/>
        <v>3.0024000000000002</v>
      </c>
      <c r="K39" s="510" t="s">
        <v>449</v>
      </c>
      <c r="L39" s="648"/>
    </row>
    <row r="40" spans="1:12" s="276" customFormat="1" ht="18.75" customHeight="1" x14ac:dyDescent="0.25">
      <c r="A40" s="505" t="s">
        <v>447</v>
      </c>
      <c r="B40" s="505" t="s">
        <v>202</v>
      </c>
      <c r="C40" s="506">
        <v>50.1</v>
      </c>
      <c r="D40" s="507">
        <f t="shared" si="2"/>
        <v>52771.929749999996</v>
      </c>
      <c r="E40" s="507">
        <f t="shared" si="3"/>
        <v>31663.157849999996</v>
      </c>
      <c r="F40" s="507">
        <f t="shared" si="4"/>
        <v>34121</v>
      </c>
      <c r="G40" s="507">
        <f t="shared" si="5"/>
        <v>30</v>
      </c>
      <c r="H40" s="508">
        <f t="shared" si="6"/>
        <v>1.2</v>
      </c>
      <c r="I40" s="507" t="str">
        <f t="shared" si="7"/>
        <v>%/hr</v>
      </c>
      <c r="J40" s="509">
        <f t="shared" si="8"/>
        <v>3.0024000000000002</v>
      </c>
      <c r="K40" s="510" t="s">
        <v>449</v>
      </c>
      <c r="L40" s="648"/>
    </row>
    <row r="41" spans="1:12" s="276" customFormat="1" ht="18.75" customHeight="1" x14ac:dyDescent="0.25">
      <c r="A41" s="505" t="s">
        <v>447</v>
      </c>
      <c r="B41" s="505" t="s">
        <v>203</v>
      </c>
      <c r="C41" s="506">
        <v>63.2</v>
      </c>
      <c r="D41" s="507">
        <f t="shared" si="2"/>
        <v>44629.264499999997</v>
      </c>
      <c r="E41" s="507">
        <f t="shared" si="3"/>
        <v>26777.558699999998</v>
      </c>
      <c r="F41" s="507">
        <f t="shared" si="4"/>
        <v>27297</v>
      </c>
      <c r="G41" s="507">
        <f t="shared" si="5"/>
        <v>30</v>
      </c>
      <c r="H41" s="508">
        <f t="shared" si="6"/>
        <v>1.2</v>
      </c>
      <c r="I41" s="507" t="str">
        <f t="shared" si="7"/>
        <v>%/hr</v>
      </c>
      <c r="J41" s="509">
        <f t="shared" si="8"/>
        <v>3.0024000000000002</v>
      </c>
      <c r="K41" s="510" t="s">
        <v>449</v>
      </c>
      <c r="L41" s="648"/>
    </row>
    <row r="42" spans="1:12" s="276" customFormat="1" ht="18.75" customHeight="1" x14ac:dyDescent="0.25">
      <c r="A42" s="505" t="s">
        <v>447</v>
      </c>
      <c r="B42" s="505" t="s">
        <v>204</v>
      </c>
      <c r="C42" s="506">
        <v>41.4</v>
      </c>
      <c r="D42" s="507">
        <f t="shared" si="2"/>
        <v>58179.653999999995</v>
      </c>
      <c r="E42" s="507">
        <f t="shared" si="3"/>
        <v>34907.792399999998</v>
      </c>
      <c r="F42" s="507">
        <f t="shared" si="4"/>
        <v>40946</v>
      </c>
      <c r="G42" s="507">
        <f t="shared" si="5"/>
        <v>30</v>
      </c>
      <c r="H42" s="508">
        <f t="shared" si="6"/>
        <v>1.2</v>
      </c>
      <c r="I42" s="507" t="str">
        <f t="shared" si="7"/>
        <v>%/hr</v>
      </c>
      <c r="J42" s="509">
        <f t="shared" si="8"/>
        <v>3.0024000000000002</v>
      </c>
      <c r="K42" s="510" t="s">
        <v>449</v>
      </c>
      <c r="L42" s="649"/>
    </row>
    <row r="43" spans="1:12" s="276" customFormat="1" ht="14.4" x14ac:dyDescent="0.3">
      <c r="C43" s="285"/>
      <c r="D43" s="285"/>
      <c r="F43" s="285"/>
      <c r="G43" s="285"/>
    </row>
    <row r="44" spans="1:12" s="276" customFormat="1" ht="14.4" x14ac:dyDescent="0.3">
      <c r="C44" s="285"/>
      <c r="D44" s="285"/>
      <c r="F44" s="285"/>
      <c r="G44" s="285"/>
    </row>
    <row r="45" spans="1:12" s="276" customFormat="1" ht="14.4" x14ac:dyDescent="0.3">
      <c r="C45" s="285"/>
      <c r="D45" s="285"/>
      <c r="F45" s="285"/>
      <c r="G45" s="285"/>
    </row>
    <row r="46" spans="1:12" s="276" customFormat="1" ht="15.6" x14ac:dyDescent="0.25">
      <c r="A46" s="642" t="s">
        <v>459</v>
      </c>
      <c r="B46" s="615"/>
      <c r="C46" s="615"/>
      <c r="D46" s="615"/>
      <c r="E46" s="615"/>
      <c r="F46" s="615"/>
      <c r="G46" s="615"/>
      <c r="H46" s="615"/>
    </row>
    <row r="47" spans="1:12" s="277" customFormat="1" ht="27.6" x14ac:dyDescent="0.25">
      <c r="A47" s="511" t="s">
        <v>460</v>
      </c>
      <c r="B47" s="306" t="s">
        <v>461</v>
      </c>
      <c r="C47" s="316" t="s">
        <v>462</v>
      </c>
      <c r="D47" s="317" t="s">
        <v>463</v>
      </c>
      <c r="E47" s="318" t="s">
        <v>464</v>
      </c>
      <c r="F47" s="317" t="s">
        <v>465</v>
      </c>
      <c r="G47" s="319" t="s">
        <v>466</v>
      </c>
      <c r="H47" s="320" t="s">
        <v>467</v>
      </c>
      <c r="I47" s="286" t="str">
        <f>HYPERLINK("#'Note'!A1","Sources and links → Note tab")</f>
        <v>Sources and links → Note tab</v>
      </c>
    </row>
    <row r="48" spans="1:12" s="276" customFormat="1" ht="13.8" x14ac:dyDescent="0.25">
      <c r="A48" s="512">
        <v>60000</v>
      </c>
      <c r="B48" s="303" t="s">
        <v>468</v>
      </c>
      <c r="C48" s="513">
        <v>1.5</v>
      </c>
      <c r="D48" s="514">
        <v>5118</v>
      </c>
      <c r="E48" s="515">
        <v>34</v>
      </c>
      <c r="F48" s="515" t="s">
        <v>469</v>
      </c>
      <c r="G48" s="515">
        <v>6</v>
      </c>
      <c r="H48" s="516" t="s">
        <v>468</v>
      </c>
    </row>
    <row r="49" spans="1:8" s="276" customFormat="1" ht="13.8" x14ac:dyDescent="0.25">
      <c r="A49" s="517">
        <v>75100</v>
      </c>
      <c r="B49" s="304" t="s">
        <v>468</v>
      </c>
      <c r="C49" s="518">
        <v>2</v>
      </c>
      <c r="D49" s="519">
        <v>6824</v>
      </c>
      <c r="E49" s="520">
        <v>35</v>
      </c>
      <c r="F49" s="520" t="s">
        <v>468</v>
      </c>
      <c r="G49" s="520">
        <v>10</v>
      </c>
      <c r="H49" s="521" t="s">
        <v>468</v>
      </c>
    </row>
    <row r="50" spans="1:8" s="276" customFormat="1" ht="13.8" x14ac:dyDescent="0.25">
      <c r="A50" s="517">
        <v>76000</v>
      </c>
      <c r="B50" s="304" t="s">
        <v>470</v>
      </c>
      <c r="C50" s="518">
        <v>3</v>
      </c>
      <c r="D50" s="519">
        <v>10236</v>
      </c>
      <c r="E50" s="520">
        <v>48</v>
      </c>
      <c r="F50" s="520" t="s">
        <v>468</v>
      </c>
      <c r="G50" s="520">
        <v>15</v>
      </c>
      <c r="H50" s="521" t="s">
        <v>468</v>
      </c>
    </row>
    <row r="51" spans="1:8" s="276" customFormat="1" ht="13.8" x14ac:dyDescent="0.25">
      <c r="A51" s="517">
        <v>80000</v>
      </c>
      <c r="B51" s="304" t="s">
        <v>468</v>
      </c>
      <c r="C51" s="518">
        <v>4.5</v>
      </c>
      <c r="D51" s="519">
        <v>15355</v>
      </c>
      <c r="E51" s="520">
        <v>50</v>
      </c>
      <c r="F51" s="520" t="s">
        <v>470</v>
      </c>
      <c r="G51" s="520">
        <v>20</v>
      </c>
      <c r="H51" s="521" t="s">
        <v>468</v>
      </c>
    </row>
    <row r="52" spans="1:8" s="276" customFormat="1" ht="13.8" x14ac:dyDescent="0.25">
      <c r="A52" s="517">
        <v>99900</v>
      </c>
      <c r="B52" s="304" t="s">
        <v>469</v>
      </c>
      <c r="C52" s="518">
        <v>6</v>
      </c>
      <c r="D52" s="519">
        <v>20473</v>
      </c>
      <c r="E52" s="520">
        <v>55</v>
      </c>
      <c r="F52" s="520" t="s">
        <v>469</v>
      </c>
      <c r="G52" s="520">
        <v>28</v>
      </c>
      <c r="H52" s="521" t="s">
        <v>468</v>
      </c>
    </row>
    <row r="53" spans="1:8" s="276" customFormat="1" ht="13.8" x14ac:dyDescent="0.25">
      <c r="A53" s="517">
        <v>100000</v>
      </c>
      <c r="B53" s="304" t="s">
        <v>470</v>
      </c>
      <c r="C53" s="518">
        <v>8</v>
      </c>
      <c r="D53" s="519">
        <v>27297</v>
      </c>
      <c r="E53" s="520">
        <v>60</v>
      </c>
      <c r="F53" s="520" t="s">
        <v>469</v>
      </c>
      <c r="G53" s="520">
        <v>30</v>
      </c>
      <c r="H53" s="521" t="s">
        <v>468</v>
      </c>
    </row>
    <row r="54" spans="1:8" s="276" customFormat="1" ht="13.8" x14ac:dyDescent="0.25">
      <c r="A54" s="517">
        <v>120000</v>
      </c>
      <c r="B54" s="304" t="s">
        <v>469</v>
      </c>
      <c r="C54" s="518">
        <v>9</v>
      </c>
      <c r="D54" s="519">
        <v>30709</v>
      </c>
      <c r="E54" s="520">
        <v>65</v>
      </c>
      <c r="F54" s="520" t="s">
        <v>470</v>
      </c>
      <c r="G54" s="520">
        <v>36</v>
      </c>
      <c r="H54" s="521" t="s">
        <v>468</v>
      </c>
    </row>
    <row r="55" spans="1:8" s="276" customFormat="1" ht="13.8" x14ac:dyDescent="0.25">
      <c r="A55" s="517">
        <v>125000</v>
      </c>
      <c r="B55" s="304" t="s">
        <v>470</v>
      </c>
      <c r="C55" s="518">
        <v>10</v>
      </c>
      <c r="D55" s="519">
        <v>34121</v>
      </c>
      <c r="E55" s="520">
        <v>72</v>
      </c>
      <c r="F55" s="520" t="s">
        <v>468</v>
      </c>
      <c r="G55" s="520">
        <v>40</v>
      </c>
      <c r="H55" s="521" t="s">
        <v>468</v>
      </c>
    </row>
    <row r="56" spans="1:8" s="276" customFormat="1" ht="13.8" x14ac:dyDescent="0.25">
      <c r="A56" s="517">
        <v>130000</v>
      </c>
      <c r="B56" s="304" t="s">
        <v>470</v>
      </c>
      <c r="C56" s="518">
        <v>12</v>
      </c>
      <c r="D56" s="519">
        <v>40946</v>
      </c>
      <c r="E56" s="520">
        <v>75</v>
      </c>
      <c r="F56" s="520" t="s">
        <v>470</v>
      </c>
      <c r="G56" s="520">
        <v>47</v>
      </c>
      <c r="H56" s="521"/>
    </row>
    <row r="57" spans="1:8" s="276" customFormat="1" ht="13.8" x14ac:dyDescent="0.25">
      <c r="A57" s="517">
        <v>145000</v>
      </c>
      <c r="B57" s="304" t="s">
        <v>469</v>
      </c>
      <c r="C57" s="518">
        <v>12.1</v>
      </c>
      <c r="D57" s="519">
        <v>41287</v>
      </c>
      <c r="E57" s="520">
        <v>76</v>
      </c>
      <c r="F57" s="520" t="s">
        <v>468</v>
      </c>
      <c r="G57" s="520">
        <v>50</v>
      </c>
      <c r="H57" s="521"/>
    </row>
    <row r="58" spans="1:8" s="276" customFormat="1" ht="13.8" x14ac:dyDescent="0.25">
      <c r="A58" s="517">
        <v>150000</v>
      </c>
      <c r="B58" s="304" t="s">
        <v>469</v>
      </c>
      <c r="C58" s="518">
        <v>18</v>
      </c>
      <c r="D58" s="519">
        <v>61419</v>
      </c>
      <c r="E58" s="520">
        <v>80</v>
      </c>
      <c r="F58" s="520" t="s">
        <v>470</v>
      </c>
      <c r="G58" s="520">
        <v>65</v>
      </c>
      <c r="H58" s="521"/>
    </row>
    <row r="59" spans="1:8" s="276" customFormat="1" ht="13.2" x14ac:dyDescent="0.25">
      <c r="A59" s="517">
        <v>156000</v>
      </c>
      <c r="B59" s="522" t="s">
        <v>468</v>
      </c>
      <c r="C59" s="518">
        <v>24</v>
      </c>
      <c r="D59" s="519">
        <v>81891</v>
      </c>
      <c r="E59" s="520">
        <v>82</v>
      </c>
      <c r="F59" s="520" t="s">
        <v>468</v>
      </c>
      <c r="G59" s="520">
        <v>80</v>
      </c>
      <c r="H59" s="521"/>
    </row>
    <row r="60" spans="1:8" s="276" customFormat="1" ht="13.2" x14ac:dyDescent="0.25">
      <c r="A60" s="517">
        <v>160000</v>
      </c>
      <c r="B60" s="522" t="s">
        <v>470</v>
      </c>
      <c r="C60" s="518">
        <v>27</v>
      </c>
      <c r="D60" s="519">
        <v>92128</v>
      </c>
      <c r="E60" s="520">
        <v>85</v>
      </c>
      <c r="F60" s="520" t="s">
        <v>468</v>
      </c>
      <c r="G60" s="520">
        <v>85</v>
      </c>
      <c r="H60" s="521"/>
    </row>
    <row r="61" spans="1:8" s="276" customFormat="1" ht="13.2" x14ac:dyDescent="0.25">
      <c r="A61" s="517">
        <v>175000</v>
      </c>
      <c r="B61" s="523" t="s">
        <v>469</v>
      </c>
      <c r="C61" s="518">
        <v>36</v>
      </c>
      <c r="D61" s="519">
        <v>122837</v>
      </c>
      <c r="E61" s="520">
        <v>90</v>
      </c>
      <c r="F61" s="520" t="s">
        <v>470</v>
      </c>
      <c r="G61" s="520">
        <v>105</v>
      </c>
      <c r="H61" s="521"/>
    </row>
    <row r="62" spans="1:8" s="276" customFormat="1" ht="13.2" x14ac:dyDescent="0.25">
      <c r="A62" s="517">
        <v>180000</v>
      </c>
      <c r="B62" s="522" t="s">
        <v>468</v>
      </c>
      <c r="C62" s="518">
        <v>54</v>
      </c>
      <c r="D62" s="519">
        <v>184256</v>
      </c>
      <c r="E62" s="520">
        <v>91</v>
      </c>
      <c r="F62" s="520" t="s">
        <v>468</v>
      </c>
      <c r="G62" s="520">
        <v>120</v>
      </c>
      <c r="H62" s="521"/>
    </row>
    <row r="63" spans="1:8" s="276" customFormat="1" ht="13.2" x14ac:dyDescent="0.25">
      <c r="A63" s="517">
        <v>199000</v>
      </c>
      <c r="B63" s="522" t="s">
        <v>469</v>
      </c>
      <c r="C63" s="518"/>
      <c r="D63" s="520"/>
      <c r="E63" s="520">
        <v>100</v>
      </c>
      <c r="F63" s="520" t="s">
        <v>470</v>
      </c>
      <c r="G63" s="520"/>
      <c r="H63" s="521"/>
    </row>
    <row r="64" spans="1:8" s="276" customFormat="1" ht="13.2" x14ac:dyDescent="0.25">
      <c r="A64" s="517">
        <v>199900</v>
      </c>
      <c r="B64" s="522" t="s">
        <v>470</v>
      </c>
      <c r="C64" s="518"/>
      <c r="D64" s="520"/>
      <c r="E64" s="520">
        <v>110</v>
      </c>
      <c r="F64" s="520" t="s">
        <v>469</v>
      </c>
      <c r="G64" s="520"/>
      <c r="H64" s="521"/>
    </row>
    <row r="65" spans="1:8" s="276" customFormat="1" ht="13.2" x14ac:dyDescent="0.25">
      <c r="A65" s="517">
        <v>200000</v>
      </c>
      <c r="B65" s="522" t="s">
        <v>469</v>
      </c>
      <c r="C65" s="518"/>
      <c r="D65" s="520"/>
      <c r="E65" s="520">
        <v>119</v>
      </c>
      <c r="F65" s="520" t="s">
        <v>470</v>
      </c>
      <c r="G65" s="520"/>
      <c r="H65" s="521"/>
    </row>
    <row r="66" spans="1:8" s="276" customFormat="1" ht="13.2" x14ac:dyDescent="0.25">
      <c r="A66" s="517">
        <v>250000</v>
      </c>
      <c r="B66" s="522" t="s">
        <v>470</v>
      </c>
      <c r="C66" s="524"/>
      <c r="D66" s="525"/>
      <c r="E66" s="525">
        <v>125</v>
      </c>
      <c r="F66" s="525" t="s">
        <v>469</v>
      </c>
      <c r="G66" s="525"/>
      <c r="H66" s="526"/>
    </row>
    <row r="67" spans="1:8" s="276" customFormat="1" ht="14.4" x14ac:dyDescent="0.3">
      <c r="A67" s="517">
        <v>251000</v>
      </c>
      <c r="B67" s="527" t="s">
        <v>469</v>
      </c>
      <c r="C67"/>
      <c r="D67"/>
      <c r="E67" s="288"/>
      <c r="F67" s="287"/>
      <c r="G67" s="287"/>
    </row>
    <row r="68" spans="1:8" s="276" customFormat="1" ht="14.4" x14ac:dyDescent="0.3">
      <c r="A68" s="517">
        <v>270000</v>
      </c>
      <c r="B68" s="527" t="s">
        <v>468</v>
      </c>
      <c r="C68"/>
      <c r="D68"/>
      <c r="E68" s="288"/>
      <c r="F68" s="287"/>
      <c r="G68" s="287"/>
    </row>
    <row r="69" spans="1:8" s="276" customFormat="1" ht="14.4" x14ac:dyDescent="0.3">
      <c r="A69" s="517">
        <v>285000</v>
      </c>
      <c r="B69" s="527" t="s">
        <v>469</v>
      </c>
      <c r="C69"/>
      <c r="D69"/>
      <c r="E69" s="288"/>
      <c r="F69" s="287"/>
      <c r="G69" s="287"/>
    </row>
    <row r="70" spans="1:8" s="276" customFormat="1" ht="14.4" x14ac:dyDescent="0.3">
      <c r="A70" s="517">
        <v>300000</v>
      </c>
      <c r="B70" s="527" t="s">
        <v>470</v>
      </c>
      <c r="C70"/>
      <c r="D70"/>
      <c r="E70" s="288"/>
      <c r="F70" s="287"/>
      <c r="G70" s="287"/>
    </row>
    <row r="71" spans="1:8" s="276" customFormat="1" ht="14.4" x14ac:dyDescent="0.3">
      <c r="A71" s="517">
        <v>320000</v>
      </c>
      <c r="B71" s="527" t="s">
        <v>469</v>
      </c>
      <c r="C71"/>
      <c r="D71"/>
      <c r="E71" s="288"/>
      <c r="F71" s="287"/>
      <c r="G71" s="287"/>
    </row>
    <row r="72" spans="1:8" s="276" customFormat="1" ht="14.4" x14ac:dyDescent="0.3">
      <c r="A72" s="517">
        <v>360000</v>
      </c>
      <c r="B72" s="527" t="s">
        <v>468</v>
      </c>
      <c r="C72"/>
      <c r="D72"/>
      <c r="E72" s="288"/>
      <c r="F72" s="287"/>
      <c r="G72" s="287"/>
    </row>
    <row r="73" spans="1:8" s="276" customFormat="1" ht="14.4" x14ac:dyDescent="0.3">
      <c r="A73" s="517">
        <v>398000</v>
      </c>
      <c r="B73" s="527" t="s">
        <v>469</v>
      </c>
      <c r="C73"/>
      <c r="D73"/>
      <c r="E73" s="288"/>
      <c r="F73" s="287"/>
      <c r="G73" s="287"/>
    </row>
    <row r="74" spans="1:8" s="276" customFormat="1" ht="14.4" x14ac:dyDescent="0.3">
      <c r="A74" s="517">
        <v>399000</v>
      </c>
      <c r="B74" s="527" t="s">
        <v>469</v>
      </c>
      <c r="C74"/>
      <c r="D74"/>
      <c r="E74" s="288"/>
      <c r="F74" s="287"/>
      <c r="G74" s="287"/>
    </row>
    <row r="75" spans="1:8" s="276" customFormat="1" ht="14.4" x14ac:dyDescent="0.3">
      <c r="A75" s="517">
        <v>399900</v>
      </c>
      <c r="B75" s="527" t="s">
        <v>470</v>
      </c>
      <c r="C75"/>
      <c r="D75"/>
      <c r="E75" s="288"/>
      <c r="F75" s="287"/>
      <c r="G75" s="287"/>
    </row>
    <row r="76" spans="1:8" s="276" customFormat="1" ht="14.4" x14ac:dyDescent="0.3">
      <c r="A76" s="517">
        <v>499900</v>
      </c>
      <c r="B76" s="527" t="s">
        <v>468</v>
      </c>
      <c r="C76"/>
      <c r="D76"/>
      <c r="E76" s="288"/>
      <c r="F76" s="287"/>
      <c r="G76" s="287"/>
    </row>
    <row r="77" spans="1:8" s="276" customFormat="1" ht="14.4" x14ac:dyDescent="0.3">
      <c r="A77" s="517">
        <v>550000</v>
      </c>
      <c r="B77" s="527" t="s">
        <v>468</v>
      </c>
      <c r="C77"/>
      <c r="D77"/>
      <c r="E77" s="288"/>
      <c r="F77" s="287"/>
      <c r="G77" s="287"/>
    </row>
    <row r="78" spans="1:8" s="276" customFormat="1" ht="14.4" x14ac:dyDescent="0.25">
      <c r="A78" s="528">
        <v>715000</v>
      </c>
      <c r="B78" s="529" t="s">
        <v>468</v>
      </c>
      <c r="C78" s="287"/>
      <c r="D78" s="287"/>
      <c r="E78" s="288"/>
      <c r="F78" s="287"/>
      <c r="G78" s="287"/>
    </row>
    <row r="79" spans="1:8" customFormat="1" ht="14.4" x14ac:dyDescent="0.3"/>
    <row r="80" spans="1:8" customFormat="1" ht="14.4" x14ac:dyDescent="0.3"/>
    <row r="81" customFormat="1" ht="14.4" x14ac:dyDescent="0.3"/>
    <row r="82" customFormat="1" ht="14.4" x14ac:dyDescent="0.3"/>
    <row r="83" customFormat="1" ht="29.25" customHeight="1"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14.4"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row r="99" customFormat="1" ht="14.4" x14ac:dyDescent="0.3"/>
    <row r="100" customFormat="1" ht="14.4" x14ac:dyDescent="0.3"/>
    <row r="101" customFormat="1" ht="14.4" x14ac:dyDescent="0.3"/>
    <row r="102" customFormat="1" ht="14.4" x14ac:dyDescent="0.3"/>
    <row r="103" customFormat="1" ht="14.4" x14ac:dyDescent="0.3"/>
    <row r="104" customFormat="1" ht="14.4" x14ac:dyDescent="0.3"/>
    <row r="105" customFormat="1" ht="14.4" x14ac:dyDescent="0.3"/>
    <row r="106" customFormat="1" ht="14.4" x14ac:dyDescent="0.3"/>
    <row r="107" customFormat="1" ht="14.4" x14ac:dyDescent="0.3"/>
    <row r="108" customFormat="1" ht="14.4" x14ac:dyDescent="0.3"/>
    <row r="109" customFormat="1" ht="14.4" x14ac:dyDescent="0.3"/>
    <row r="110" customFormat="1" ht="14.4" x14ac:dyDescent="0.3"/>
    <row r="111" customFormat="1" ht="14.4" x14ac:dyDescent="0.3"/>
    <row r="112" customFormat="1" ht="14.4" x14ac:dyDescent="0.3"/>
    <row r="113" customFormat="1" ht="14.4" x14ac:dyDescent="0.3"/>
    <row r="114" customFormat="1" ht="14.4" x14ac:dyDescent="0.3"/>
    <row r="115" customFormat="1" ht="14.4" x14ac:dyDescent="0.3"/>
    <row r="116" customFormat="1" ht="14.4" x14ac:dyDescent="0.3"/>
    <row r="117" customFormat="1" ht="14.4" x14ac:dyDescent="0.3"/>
    <row r="118" customFormat="1" ht="14.4" x14ac:dyDescent="0.3"/>
  </sheetData>
  <mergeCells count="11">
    <mergeCell ref="A46:H46"/>
    <mergeCell ref="A1:G1"/>
    <mergeCell ref="H26:I26"/>
    <mergeCell ref="J26:K26"/>
    <mergeCell ref="L27:L42"/>
    <mergeCell ref="A6:H6"/>
    <mergeCell ref="H8:H15"/>
    <mergeCell ref="B16:E16"/>
    <mergeCell ref="H16:H17"/>
    <mergeCell ref="B17:E17"/>
    <mergeCell ref="A25:L2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N11"/>
  <sheetViews>
    <sheetView zoomScaleNormal="100" workbookViewId="0">
      <selection sqref="A1:H1"/>
    </sheetView>
  </sheetViews>
  <sheetFormatPr defaultColWidth="8.6640625" defaultRowHeight="13.2" x14ac:dyDescent="0.25"/>
  <cols>
    <col min="1" max="1" width="59.6640625" style="2" customWidth="1"/>
    <col min="2" max="2" width="19.6640625" style="2" customWidth="1"/>
    <col min="3" max="3" width="23.33203125" style="2" customWidth="1"/>
    <col min="4" max="4" width="21.44140625" style="2" bestFit="1" customWidth="1"/>
    <col min="5" max="5" width="20" style="2" customWidth="1"/>
    <col min="6" max="6" width="22.109375" style="2" customWidth="1"/>
    <col min="7" max="7" width="22.6640625" style="2" customWidth="1"/>
    <col min="8" max="8" width="40.109375" style="2" customWidth="1"/>
    <col min="9" max="9" width="10.5546875" style="2" customWidth="1"/>
    <col min="10" max="10" width="11.44140625" style="2" customWidth="1"/>
    <col min="11" max="11" width="10.5546875" style="2" customWidth="1"/>
    <col min="12" max="12" width="13.33203125" style="2" customWidth="1"/>
    <col min="13" max="13" width="9.6640625" style="2" customWidth="1"/>
    <col min="14" max="14" width="9.44140625" style="2" customWidth="1"/>
    <col min="15" max="15" width="12.6640625" style="2" customWidth="1"/>
    <col min="16" max="16" width="14.6640625" style="2" customWidth="1"/>
    <col min="17" max="17" width="20.6640625" style="2" customWidth="1"/>
    <col min="18" max="18" width="19.6640625" style="2" customWidth="1"/>
    <col min="19" max="24" width="8.6640625" style="2"/>
    <col min="25" max="25" width="13.6640625" style="2" bestFit="1" customWidth="1"/>
    <col min="26" max="16384" width="8.6640625" style="2"/>
  </cols>
  <sheetData>
    <row r="1" spans="1:14" ht="25.95" customHeight="1" x14ac:dyDescent="0.25">
      <c r="A1" s="642" t="str">
        <f>"Interior Lighting - "&amp;Prototype!A2</f>
        <v>Interior Lighting - RetailMedium</v>
      </c>
      <c r="B1" s="615"/>
      <c r="C1" s="615"/>
      <c r="D1" s="615"/>
      <c r="E1" s="615"/>
      <c r="F1" s="615"/>
      <c r="G1" s="615"/>
      <c r="H1" s="615"/>
      <c r="I1" s="107"/>
      <c r="J1" s="107"/>
      <c r="K1" s="107"/>
      <c r="L1" s="107"/>
      <c r="M1" s="107"/>
      <c r="N1" s="107"/>
    </row>
    <row r="2" spans="1:14" ht="18" customHeight="1" x14ac:dyDescent="0.25">
      <c r="A2" s="661" t="s">
        <v>161</v>
      </c>
      <c r="B2" s="663" t="s">
        <v>471</v>
      </c>
      <c r="C2" s="663"/>
      <c r="D2" s="663"/>
      <c r="E2" s="663" t="s">
        <v>217</v>
      </c>
      <c r="F2" s="663"/>
      <c r="G2" s="663"/>
      <c r="H2" s="176"/>
    </row>
    <row r="3" spans="1:14" ht="30.6" customHeight="1" x14ac:dyDescent="0.25">
      <c r="A3" s="662"/>
      <c r="B3" s="176" t="s">
        <v>472</v>
      </c>
      <c r="C3" s="176" t="s">
        <v>473</v>
      </c>
      <c r="D3" s="176" t="s">
        <v>259</v>
      </c>
      <c r="E3" s="176" t="s">
        <v>474</v>
      </c>
      <c r="F3" s="176" t="s">
        <v>473</v>
      </c>
      <c r="G3" s="176" t="s">
        <v>259</v>
      </c>
      <c r="H3" s="176" t="s">
        <v>188</v>
      </c>
    </row>
    <row r="4" spans="1:14" ht="30.6" customHeight="1" x14ac:dyDescent="0.25">
      <c r="A4" s="464" t="str">
        <f>Zones!C9</f>
        <v>Office Area (&gt;250 square feet)</v>
      </c>
      <c r="B4" s="560">
        <v>0.6</v>
      </c>
      <c r="C4" s="530">
        <v>0.1</v>
      </c>
      <c r="D4" s="664" t="s">
        <v>475</v>
      </c>
      <c r="E4" s="560">
        <v>0.75</v>
      </c>
      <c r="F4" s="560" t="s">
        <v>476</v>
      </c>
      <c r="G4" s="664" t="s">
        <v>477</v>
      </c>
      <c r="H4" s="560" t="s">
        <v>478</v>
      </c>
    </row>
    <row r="5" spans="1:14" ht="58.5" customHeight="1" x14ac:dyDescent="0.25">
      <c r="A5" s="464" t="str">
        <f>Zones!C7</f>
        <v>Storage, Commercial/Industrial (Shipping &amp; Handling)</v>
      </c>
      <c r="B5" s="560">
        <v>0.6</v>
      </c>
      <c r="C5" s="560"/>
      <c r="D5" s="665"/>
      <c r="E5" s="560">
        <v>0.9</v>
      </c>
      <c r="F5" s="560"/>
      <c r="G5" s="665"/>
      <c r="H5" s="560" t="s">
        <v>479</v>
      </c>
    </row>
    <row r="6" spans="1:14" ht="30.6" customHeight="1" x14ac:dyDescent="0.25">
      <c r="A6" s="531" t="str">
        <f>Zones!C10</f>
        <v>Restrooms</v>
      </c>
      <c r="B6" s="532">
        <v>0.65</v>
      </c>
      <c r="C6" s="532"/>
      <c r="D6" s="665"/>
      <c r="E6" s="533">
        <v>0.6</v>
      </c>
      <c r="F6" s="532"/>
      <c r="G6" s="665"/>
      <c r="H6" s="532"/>
    </row>
    <row r="7" spans="1:14" ht="85.5" customHeight="1" x14ac:dyDescent="0.25">
      <c r="A7" s="569" t="str">
        <f>Zones!C8</f>
        <v>Storage (General)</v>
      </c>
      <c r="B7" s="532">
        <v>0.4</v>
      </c>
      <c r="C7" s="224"/>
      <c r="D7" s="665"/>
      <c r="E7" s="532">
        <v>0.6</v>
      </c>
      <c r="F7" s="225"/>
      <c r="G7" s="665"/>
      <c r="H7" s="534" t="s">
        <v>480</v>
      </c>
    </row>
    <row r="8" spans="1:14" ht="52.95" customHeight="1" x14ac:dyDescent="0.25">
      <c r="A8" s="561" t="str">
        <f>Zones!C3</f>
        <v>Retail Sales Area (Retail Merchandise Sales)</v>
      </c>
      <c r="B8" s="561">
        <v>0.95</v>
      </c>
      <c r="C8" s="535">
        <f>0.52*0.2</f>
        <v>0.10400000000000001</v>
      </c>
      <c r="D8" s="665"/>
      <c r="E8" s="561">
        <v>1.2</v>
      </c>
      <c r="F8" s="487">
        <f>0.3*0.2</f>
        <v>0.06</v>
      </c>
      <c r="G8" s="665"/>
      <c r="H8" s="560" t="s">
        <v>481</v>
      </c>
    </row>
    <row r="9" spans="1:14" ht="51" customHeight="1" x14ac:dyDescent="0.25">
      <c r="A9" s="561" t="str">
        <f>Zones!C6</f>
        <v>Corridor Area</v>
      </c>
      <c r="B9" s="560">
        <v>0.7</v>
      </c>
      <c r="C9" s="175"/>
      <c r="D9" s="666"/>
      <c r="E9" s="560">
        <v>0.95</v>
      </c>
      <c r="F9" s="174"/>
      <c r="G9" s="666"/>
      <c r="H9" s="532" t="s">
        <v>482</v>
      </c>
    </row>
    <row r="10" spans="1:14" ht="13.2" customHeight="1" x14ac:dyDescent="0.25">
      <c r="C10" s="19"/>
      <c r="D10" s="19"/>
    </row>
    <row r="11" spans="1:14" ht="13.2" customHeight="1" x14ac:dyDescent="0.25">
      <c r="B11" s="387"/>
      <c r="C11" s="19"/>
      <c r="D11" s="19"/>
    </row>
  </sheetData>
  <mergeCells count="6">
    <mergeCell ref="A1:H1"/>
    <mergeCell ref="A2:A3"/>
    <mergeCell ref="B2:D2"/>
    <mergeCell ref="E2:G2"/>
    <mergeCell ref="D4:D9"/>
    <mergeCell ref="G4:G9"/>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K31"/>
  <sheetViews>
    <sheetView zoomScaleNormal="100" workbookViewId="0">
      <selection sqref="A1:D1"/>
    </sheetView>
  </sheetViews>
  <sheetFormatPr defaultColWidth="8.6640625" defaultRowHeight="13.2" x14ac:dyDescent="0.25"/>
  <cols>
    <col min="1" max="1" width="31.33203125" style="2" customWidth="1"/>
    <col min="2" max="2" width="38.6640625" style="2" customWidth="1"/>
    <col min="3" max="3" width="19.44140625" style="2" customWidth="1"/>
    <col min="4" max="4" width="19.33203125" style="2" customWidth="1"/>
    <col min="5" max="5" width="24.44140625" style="2" customWidth="1"/>
    <col min="6" max="6" width="17.109375" style="2" customWidth="1"/>
    <col min="7" max="7" width="17.5546875" style="2" customWidth="1"/>
    <col min="8" max="8" width="15.5546875" style="2" customWidth="1"/>
    <col min="9" max="9" width="13.33203125" style="2" customWidth="1"/>
    <col min="10" max="16384" width="8.6640625" style="2"/>
  </cols>
  <sheetData>
    <row r="1" spans="1:11" ht="25.2" customHeight="1" x14ac:dyDescent="0.25">
      <c r="A1" s="667" t="str">
        <f>"Exterior Lighting - "&amp;Prototype!A2</f>
        <v>Exterior Lighting - RetailMedium</v>
      </c>
      <c r="B1" s="667"/>
      <c r="C1" s="667"/>
      <c r="D1" s="667"/>
    </row>
    <row r="2" spans="1:11" ht="37.200000000000003" customHeight="1" x14ac:dyDescent="0.25">
      <c r="A2" s="32" t="s">
        <v>483</v>
      </c>
      <c r="B2" s="32" t="s">
        <v>484</v>
      </c>
      <c r="C2" s="32" t="s">
        <v>485</v>
      </c>
      <c r="D2" s="32" t="s">
        <v>259</v>
      </c>
    </row>
    <row r="3" spans="1:11" ht="22.2" customHeight="1" x14ac:dyDescent="0.25">
      <c r="A3" s="35">
        <f>G14</f>
        <v>796.27555555555546</v>
      </c>
      <c r="B3" s="35">
        <f>G15</f>
        <v>651.28440000000001</v>
      </c>
      <c r="C3" s="35">
        <f>SUM(A3:B3)</f>
        <v>1447.5599555555555</v>
      </c>
      <c r="D3" s="269" t="s">
        <v>486</v>
      </c>
    </row>
    <row r="4" spans="1:11" ht="22.2" customHeight="1" x14ac:dyDescent="0.25">
      <c r="A4" s="47"/>
      <c r="B4" s="47"/>
      <c r="C4" s="47"/>
    </row>
    <row r="5" spans="1:11" ht="12.75" customHeight="1" x14ac:dyDescent="0.25">
      <c r="A5" s="387"/>
      <c r="B5" s="387"/>
      <c r="C5" s="387"/>
    </row>
    <row r="6" spans="1:11" ht="27" customHeight="1" x14ac:dyDescent="0.25">
      <c r="A6" s="667" t="s">
        <v>487</v>
      </c>
      <c r="B6" s="667"/>
      <c r="C6" s="667"/>
      <c r="D6" s="667"/>
      <c r="E6" s="667"/>
      <c r="F6" s="667"/>
      <c r="G6" s="667"/>
    </row>
    <row r="7" spans="1:11" ht="39.6" x14ac:dyDescent="0.25">
      <c r="A7" s="69" t="s">
        <v>488</v>
      </c>
      <c r="B7" s="669" t="s">
        <v>489</v>
      </c>
      <c r="C7" s="670"/>
      <c r="D7" s="111" t="s">
        <v>490</v>
      </c>
      <c r="E7" s="111" t="s">
        <v>491</v>
      </c>
      <c r="F7" s="111" t="s">
        <v>490</v>
      </c>
      <c r="G7" s="32" t="s">
        <v>492</v>
      </c>
    </row>
    <row r="8" spans="1:11" x14ac:dyDescent="0.25">
      <c r="A8" s="11" t="s">
        <v>493</v>
      </c>
      <c r="B8" s="11"/>
      <c r="C8" s="116"/>
      <c r="D8" s="269"/>
      <c r="E8" s="269">
        <v>200</v>
      </c>
      <c r="F8" s="269" t="s">
        <v>494</v>
      </c>
      <c r="G8" s="117">
        <f>$E8</f>
        <v>200</v>
      </c>
      <c r="H8" s="549"/>
    </row>
    <row r="9" spans="1:11" ht="54.6" customHeight="1" x14ac:dyDescent="0.25">
      <c r="A9" s="12" t="s">
        <v>495</v>
      </c>
      <c r="B9" s="12" t="s">
        <v>496</v>
      </c>
      <c r="C9" s="70">
        <f>B21/360*400</f>
        <v>27435.555555555555</v>
      </c>
      <c r="D9" s="269" t="s">
        <v>497</v>
      </c>
      <c r="E9" s="269">
        <v>1.9E-2</v>
      </c>
      <c r="F9" s="269" t="s">
        <v>498</v>
      </c>
      <c r="G9" s="117">
        <f>$E9*C9</f>
        <v>521.27555555555557</v>
      </c>
      <c r="H9" s="71"/>
    </row>
    <row r="10" spans="1:11" ht="26.4" x14ac:dyDescent="0.25">
      <c r="A10" s="11" t="s">
        <v>499</v>
      </c>
      <c r="B10" s="118" t="s">
        <v>500</v>
      </c>
      <c r="C10" s="536">
        <f>ROUND(B21/5000,0)</f>
        <v>5</v>
      </c>
      <c r="D10" s="269" t="s">
        <v>501</v>
      </c>
      <c r="E10" s="269">
        <v>15</v>
      </c>
      <c r="F10" s="269" t="s">
        <v>502</v>
      </c>
      <c r="G10" s="117">
        <f>E10*C10</f>
        <v>75</v>
      </c>
    </row>
    <row r="11" spans="1:11" ht="73.5" customHeight="1" x14ac:dyDescent="0.3">
      <c r="A11" s="11" t="s">
        <v>503</v>
      </c>
      <c r="B11" s="537" t="s">
        <v>504</v>
      </c>
      <c r="C11" s="119">
        <f>B21*0.1</f>
        <v>2469.2000000000003</v>
      </c>
      <c r="D11" s="269" t="s">
        <v>497</v>
      </c>
      <c r="E11" s="269">
        <v>7.0000000000000001E-3</v>
      </c>
      <c r="F11" s="269" t="s">
        <v>498</v>
      </c>
      <c r="G11" s="538">
        <f>E11*C11</f>
        <v>17.284400000000002</v>
      </c>
      <c r="K11" s="200"/>
    </row>
    <row r="12" spans="1:11" ht="79.2" x14ac:dyDescent="0.3">
      <c r="A12" s="11" t="s">
        <v>505</v>
      </c>
      <c r="B12" s="118" t="s">
        <v>506</v>
      </c>
      <c r="C12" s="121">
        <f>B20*0.5*Prototype!B17</f>
        <v>6340</v>
      </c>
      <c r="D12" s="269" t="s">
        <v>497</v>
      </c>
      <c r="E12" s="269">
        <v>0.1</v>
      </c>
      <c r="F12" s="269" t="s">
        <v>498</v>
      </c>
      <c r="G12" s="120">
        <f>E12*C12</f>
        <v>634</v>
      </c>
      <c r="K12" s="198" t="s">
        <v>507</v>
      </c>
    </row>
    <row r="13" spans="1:11" ht="13.8" x14ac:dyDescent="0.3">
      <c r="A13" s="216" t="s">
        <v>508</v>
      </c>
      <c r="B13" s="2" t="s">
        <v>509</v>
      </c>
      <c r="C13" s="539">
        <v>0</v>
      </c>
      <c r="D13" s="217" t="s">
        <v>497</v>
      </c>
      <c r="E13" s="218">
        <v>0.47</v>
      </c>
      <c r="F13" s="218" t="s">
        <v>498</v>
      </c>
      <c r="G13" s="120">
        <f>E13*C13</f>
        <v>0</v>
      </c>
      <c r="K13" s="199"/>
    </row>
    <row r="14" spans="1:11" ht="13.8" x14ac:dyDescent="0.25">
      <c r="A14" s="668" t="s">
        <v>510</v>
      </c>
      <c r="B14" s="668"/>
      <c r="C14" s="668"/>
      <c r="D14" s="668"/>
      <c r="E14" s="668"/>
      <c r="F14" s="668"/>
      <c r="G14" s="112">
        <f>SUM(G8:G13)-G15</f>
        <v>796.27555555555546</v>
      </c>
    </row>
    <row r="15" spans="1:11" ht="13.8" x14ac:dyDescent="0.25">
      <c r="A15" s="668" t="s">
        <v>511</v>
      </c>
      <c r="B15" s="668"/>
      <c r="C15" s="668"/>
      <c r="D15" s="668"/>
      <c r="E15" s="668"/>
      <c r="F15" s="668"/>
      <c r="G15" s="112">
        <f>G11+G12</f>
        <v>651.28440000000001</v>
      </c>
    </row>
    <row r="16" spans="1:11" ht="13.8" x14ac:dyDescent="0.25">
      <c r="A16" s="668" t="s">
        <v>163</v>
      </c>
      <c r="B16" s="668"/>
      <c r="C16" s="668"/>
      <c r="D16" s="668"/>
      <c r="E16" s="668"/>
      <c r="F16" s="668"/>
      <c r="G16" s="112">
        <f t="shared" ref="G16" si="0">G14+G15</f>
        <v>1447.5599555555555</v>
      </c>
    </row>
    <row r="17" spans="1:7" ht="13.8" x14ac:dyDescent="0.25">
      <c r="A17" s="113"/>
      <c r="B17" s="113"/>
      <c r="C17" s="113"/>
      <c r="D17" s="113"/>
      <c r="E17" s="113"/>
      <c r="F17" s="113"/>
      <c r="G17" s="114"/>
    </row>
    <row r="18" spans="1:7" ht="13.8" x14ac:dyDescent="0.25">
      <c r="A18" s="2" t="s">
        <v>512</v>
      </c>
      <c r="C18" s="557"/>
      <c r="F18" s="115"/>
      <c r="G18" s="130"/>
    </row>
    <row r="19" spans="1:7" ht="13.8" x14ac:dyDescent="0.25">
      <c r="C19" s="557"/>
      <c r="F19" s="115"/>
    </row>
    <row r="20" spans="1:7" ht="12.75" customHeight="1" x14ac:dyDescent="0.25">
      <c r="A20" s="387" t="s">
        <v>513</v>
      </c>
      <c r="B20" s="386">
        <f>178*2+139*2</f>
        <v>634</v>
      </c>
      <c r="C20" s="387"/>
    </row>
    <row r="21" spans="1:7" ht="13.8" x14ac:dyDescent="0.25">
      <c r="A21" s="2" t="s">
        <v>514</v>
      </c>
      <c r="B21" s="72">
        <f>Zones!I11</f>
        <v>24692</v>
      </c>
      <c r="F21" s="115"/>
    </row>
    <row r="22" spans="1:7" ht="13.8" x14ac:dyDescent="0.25">
      <c r="A22" s="2" t="s">
        <v>515</v>
      </c>
      <c r="B22" s="552">
        <v>1</v>
      </c>
      <c r="F22" s="115"/>
    </row>
    <row r="23" spans="1:7" ht="10.5" customHeight="1" x14ac:dyDescent="0.3">
      <c r="B23" s="219"/>
      <c r="C23" s="219"/>
    </row>
    <row r="24" spans="1:7" ht="12.75" customHeight="1" x14ac:dyDescent="0.25">
      <c r="A24" s="387"/>
      <c r="B24" s="460"/>
      <c r="C24" s="387"/>
    </row>
    <row r="25" spans="1:7" x14ac:dyDescent="0.25">
      <c r="B25" s="5"/>
    </row>
    <row r="26" spans="1:7" s="3" customFormat="1" ht="13.2" customHeight="1" x14ac:dyDescent="0.25">
      <c r="B26" s="572"/>
      <c r="E26" s="572"/>
      <c r="F26" s="573"/>
      <c r="G26" s="574"/>
    </row>
    <row r="27" spans="1:7" x14ac:dyDescent="0.25">
      <c r="B27" s="5"/>
    </row>
    <row r="28" spans="1:7" x14ac:dyDescent="0.25">
      <c r="B28" s="5"/>
    </row>
    <row r="31" spans="1:7" ht="40.5" customHeight="1" x14ac:dyDescent="0.25">
      <c r="D31" s="586" t="s">
        <v>516</v>
      </c>
      <c r="E31" s="586"/>
      <c r="F31" s="586"/>
      <c r="G31" s="586"/>
    </row>
  </sheetData>
  <mergeCells count="7">
    <mergeCell ref="D31:G31"/>
    <mergeCell ref="A1:D1"/>
    <mergeCell ref="A14:F14"/>
    <mergeCell ref="A15:F15"/>
    <mergeCell ref="A16:F16"/>
    <mergeCell ref="A6:G6"/>
    <mergeCell ref="B7:C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J43"/>
  <sheetViews>
    <sheetView workbookViewId="0">
      <selection sqref="A1:F1"/>
    </sheetView>
  </sheetViews>
  <sheetFormatPr defaultColWidth="8.6640625" defaultRowHeight="12.75" customHeight="1" x14ac:dyDescent="0.25"/>
  <cols>
    <col min="1" max="1" width="41.6640625" style="2" customWidth="1"/>
    <col min="2" max="2" width="31.33203125" style="2" customWidth="1"/>
    <col min="3" max="3" width="24" style="2" customWidth="1"/>
    <col min="4" max="4" width="25" style="2" customWidth="1"/>
    <col min="5" max="5" width="44.33203125" style="2" customWidth="1"/>
    <col min="6" max="6" width="26.88671875" style="2" customWidth="1"/>
    <col min="7" max="7" width="38.44140625" style="2" customWidth="1"/>
    <col min="8" max="8" width="8.6640625" style="2"/>
    <col min="9" max="9" width="10.109375" style="2" bestFit="1" customWidth="1"/>
    <col min="10" max="10" width="16.33203125" style="2" customWidth="1"/>
    <col min="11" max="11" width="10.6640625" style="2" bestFit="1" customWidth="1"/>
    <col min="12" max="12" width="10.5546875" style="2" bestFit="1" customWidth="1"/>
    <col min="13" max="16384" width="8.6640625" style="2"/>
  </cols>
  <sheetData>
    <row r="1" spans="1:7" ht="23.4" customHeight="1" x14ac:dyDescent="0.25">
      <c r="A1" s="671" t="str">
        <f>"Equipment - "&amp;Prototype!A2</f>
        <v>Equipment - RetailMedium</v>
      </c>
      <c r="B1" s="667"/>
      <c r="C1" s="667"/>
      <c r="D1" s="667"/>
      <c r="E1" s="667"/>
      <c r="F1" s="667"/>
    </row>
    <row r="2" spans="1:7" ht="31.5" customHeight="1" x14ac:dyDescent="0.25">
      <c r="A2" s="179" t="s">
        <v>161</v>
      </c>
      <c r="B2" s="180" t="s">
        <v>517</v>
      </c>
      <c r="C2" s="181" t="s">
        <v>518</v>
      </c>
      <c r="D2" s="181" t="s">
        <v>519</v>
      </c>
      <c r="E2" s="182" t="s">
        <v>259</v>
      </c>
      <c r="F2" s="567" t="s">
        <v>188</v>
      </c>
    </row>
    <row r="3" spans="1:7" ht="59.4" customHeight="1" x14ac:dyDescent="0.25">
      <c r="A3" s="464" t="str">
        <f>'Interior Lights'!A4</f>
        <v>Office Area (&gt;250 square feet)</v>
      </c>
      <c r="B3" s="560">
        <v>0.7</v>
      </c>
      <c r="C3" s="560"/>
      <c r="D3" s="560"/>
      <c r="E3" s="560" t="s">
        <v>520</v>
      </c>
      <c r="F3" s="464"/>
    </row>
    <row r="4" spans="1:7" ht="31.5" customHeight="1" x14ac:dyDescent="0.25">
      <c r="A4" s="560" t="str">
        <f>'Interior Lights'!A5</f>
        <v>Storage, Commercial/Industrial (Shipping &amp; Handling)</v>
      </c>
      <c r="B4" s="560">
        <v>0.5</v>
      </c>
      <c r="C4" s="560"/>
      <c r="D4" s="560"/>
      <c r="E4" s="565" t="s">
        <v>521</v>
      </c>
      <c r="F4" s="464"/>
    </row>
    <row r="5" spans="1:7" ht="31.5" customHeight="1" x14ac:dyDescent="0.25">
      <c r="A5" s="464" t="str">
        <f>'Interior Lights'!A6</f>
        <v>Restrooms</v>
      </c>
      <c r="B5" s="560">
        <v>0</v>
      </c>
      <c r="C5" s="560"/>
      <c r="D5" s="560"/>
      <c r="E5" s="565" t="s">
        <v>521</v>
      </c>
      <c r="F5" s="464"/>
    </row>
    <row r="6" spans="1:7" ht="48" customHeight="1" x14ac:dyDescent="0.25">
      <c r="A6" s="234" t="str">
        <f>Zones!C8</f>
        <v>Storage (General)</v>
      </c>
      <c r="B6" s="540">
        <v>0.2</v>
      </c>
      <c r="C6" s="235"/>
      <c r="D6" s="236"/>
      <c r="E6" s="541" t="s">
        <v>521</v>
      </c>
      <c r="F6" s="237" t="s">
        <v>522</v>
      </c>
    </row>
    <row r="7" spans="1:7" ht="46.95" customHeight="1" x14ac:dyDescent="0.25">
      <c r="A7" s="562" t="str">
        <f>Zones!C3</f>
        <v>Retail Sales Area (Retail Merchandise Sales)</v>
      </c>
      <c r="B7" s="487">
        <v>0.3</v>
      </c>
      <c r="C7" s="177"/>
      <c r="D7" s="205"/>
      <c r="E7" s="542" t="s">
        <v>523</v>
      </c>
      <c r="F7" s="206"/>
      <c r="G7" s="50"/>
    </row>
    <row r="8" spans="1:7" ht="31.5" customHeight="1" x14ac:dyDescent="0.25">
      <c r="A8" s="562" t="str">
        <f>Zones!C6</f>
        <v>Corridor Area</v>
      </c>
      <c r="B8" s="178">
        <v>0</v>
      </c>
      <c r="C8" s="561"/>
      <c r="D8" s="561"/>
      <c r="E8" s="564" t="s">
        <v>521</v>
      </c>
      <c r="F8" s="178"/>
    </row>
    <row r="10" spans="1:7" ht="13.2" x14ac:dyDescent="0.25">
      <c r="A10" s="3"/>
    </row>
    <row r="11" spans="1:7" ht="15" customHeight="1" x14ac:dyDescent="0.25"/>
    <row r="12" spans="1:7" ht="12.6" customHeight="1" x14ac:dyDescent="0.3">
      <c r="A12" s="123"/>
    </row>
    <row r="13" spans="1:7" ht="13.95" customHeight="1" x14ac:dyDescent="0.25"/>
    <row r="14" spans="1:7" s="20" customFormat="1" ht="13.2" hidden="1" x14ac:dyDescent="0.25">
      <c r="A14" s="20" t="s">
        <v>524</v>
      </c>
      <c r="E14" s="22"/>
      <c r="F14" s="23"/>
    </row>
    <row r="15" spans="1:7" ht="13.2" hidden="1" x14ac:dyDescent="0.25"/>
    <row r="16" spans="1:7" ht="13.2" hidden="1" x14ac:dyDescent="0.25"/>
    <row r="17" spans="6:10" s="67" customFormat="1" ht="15" hidden="1" x14ac:dyDescent="0.25"/>
    <row r="18" spans="6:10" ht="13.2" hidden="1" x14ac:dyDescent="0.25"/>
    <row r="19" spans="6:10" ht="13.2" hidden="1" x14ac:dyDescent="0.25"/>
    <row r="20" spans="6:10" ht="13.2" hidden="1" x14ac:dyDescent="0.25"/>
    <row r="21" spans="6:10" ht="13.2" hidden="1" x14ac:dyDescent="0.25">
      <c r="G21" s="2" t="s">
        <v>525</v>
      </c>
      <c r="H21" s="2" t="s">
        <v>271</v>
      </c>
      <c r="I21" s="2" t="s">
        <v>526</v>
      </c>
      <c r="J21" s="2" t="s">
        <v>527</v>
      </c>
    </row>
    <row r="22" spans="6:10" ht="13.2" hidden="1" x14ac:dyDescent="0.25">
      <c r="F22" s="2" t="s">
        <v>528</v>
      </c>
      <c r="G22" s="553">
        <v>3000</v>
      </c>
      <c r="H22" s="2">
        <v>4089.1017698999995</v>
      </c>
      <c r="I22" s="73">
        <f>G22/H22</f>
        <v>0.73365745555248585</v>
      </c>
      <c r="J22" s="2">
        <v>0.2</v>
      </c>
    </row>
    <row r="23" spans="6:10" ht="13.2" hidden="1" x14ac:dyDescent="0.25">
      <c r="F23" s="2" t="s">
        <v>529</v>
      </c>
      <c r="G23" s="553">
        <v>5000</v>
      </c>
      <c r="H23" s="2">
        <v>17227.422676799997</v>
      </c>
      <c r="I23" s="73">
        <f t="shared" ref="I23:I25" si="0">G23/H23</f>
        <v>0.29023494075718309</v>
      </c>
      <c r="J23" s="2">
        <v>0.4</v>
      </c>
    </row>
    <row r="24" spans="6:10" ht="13.2" hidden="1" x14ac:dyDescent="0.25">
      <c r="F24" s="2" t="s">
        <v>530</v>
      </c>
      <c r="G24" s="553">
        <v>3000</v>
      </c>
      <c r="H24" s="2">
        <v>1623.3052670999998</v>
      </c>
      <c r="I24" s="73">
        <f t="shared" si="0"/>
        <v>1.8480812332725538</v>
      </c>
      <c r="J24" s="2">
        <v>0.4</v>
      </c>
    </row>
    <row r="25" spans="6:10" ht="13.2" hidden="1" x14ac:dyDescent="0.25">
      <c r="F25" s="2" t="s">
        <v>531</v>
      </c>
      <c r="G25" s="553">
        <v>500</v>
      </c>
      <c r="H25" s="2">
        <v>1623.3052670999998</v>
      </c>
      <c r="I25" s="73">
        <f t="shared" si="0"/>
        <v>0.30801353887875899</v>
      </c>
      <c r="J25" s="2">
        <v>0.4</v>
      </c>
    </row>
    <row r="26" spans="6:10" ht="13.2" hidden="1" x14ac:dyDescent="0.25"/>
    <row r="27" spans="6:10" ht="13.2" hidden="1" x14ac:dyDescent="0.25"/>
    <row r="28" spans="6:10" ht="13.2" hidden="1" x14ac:dyDescent="0.25"/>
    <row r="29" spans="6:10" ht="13.2" hidden="1" x14ac:dyDescent="0.25"/>
    <row r="30" spans="6:10" ht="13.2" hidden="1" x14ac:dyDescent="0.25"/>
    <row r="31" spans="6:10" ht="13.2" hidden="1" x14ac:dyDescent="0.25"/>
    <row r="32" spans="6:10" ht="13.2" hidden="1" x14ac:dyDescent="0.25"/>
    <row r="33" spans="1:1" ht="13.2" hidden="1" x14ac:dyDescent="0.25"/>
    <row r="34" spans="1:1" ht="13.2" hidden="1" x14ac:dyDescent="0.25"/>
    <row r="35" spans="1:1" ht="13.2" hidden="1" x14ac:dyDescent="0.25"/>
    <row r="36" spans="1:1" ht="13.2" hidden="1" x14ac:dyDescent="0.25"/>
    <row r="37" spans="1:1" ht="13.2" hidden="1" x14ac:dyDescent="0.25"/>
    <row r="38" spans="1:1" ht="13.2" hidden="1" x14ac:dyDescent="0.25"/>
    <row r="39" spans="1:1" ht="13.2" hidden="1" x14ac:dyDescent="0.25"/>
    <row r="40" spans="1:1" ht="13.2" hidden="1" x14ac:dyDescent="0.25"/>
    <row r="41" spans="1:1" ht="13.2" hidden="1" x14ac:dyDescent="0.25">
      <c r="A41" s="2" t="s">
        <v>532</v>
      </c>
    </row>
    <row r="42" spans="1:1" ht="13.2" hidden="1" x14ac:dyDescent="0.25"/>
    <row r="43" spans="1:1" ht="13.2" hidden="1" x14ac:dyDescent="0.25"/>
  </sheetData>
  <mergeCells count="1">
    <mergeCell ref="A1:F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AM68"/>
  <sheetViews>
    <sheetView zoomScale="85" zoomScaleNormal="85" workbookViewId="0">
      <selection sqref="A1:AC1"/>
    </sheetView>
  </sheetViews>
  <sheetFormatPr defaultColWidth="9.33203125" defaultRowHeight="11.4" x14ac:dyDescent="0.3"/>
  <cols>
    <col min="1" max="1" width="13.6640625" style="36" customWidth="1"/>
    <col min="2" max="2" width="22.44140625" style="36" customWidth="1"/>
    <col min="3" max="3" width="22.109375" style="36" customWidth="1"/>
    <col min="4" max="4" width="24.6640625" style="36" customWidth="1"/>
    <col min="5" max="5" width="9.33203125" style="36"/>
    <col min="6" max="29" width="5.6640625" style="36" customWidth="1"/>
    <col min="30" max="38" width="9.33203125" style="36"/>
    <col min="39" max="39" width="21.5546875" style="36" customWidth="1"/>
    <col min="40" max="16384" width="9.33203125" style="36"/>
  </cols>
  <sheetData>
    <row r="1" spans="1:39" ht="24" customHeight="1" x14ac:dyDescent="0.3">
      <c r="A1" s="626" t="str">
        <f>"Schedules - "&amp;Prototype!A2</f>
        <v>Schedules - RetailMedium</v>
      </c>
      <c r="B1" s="626"/>
      <c r="C1" s="626"/>
      <c r="D1" s="626"/>
      <c r="E1" s="626"/>
      <c r="F1" s="626"/>
      <c r="G1" s="626"/>
      <c r="H1" s="626"/>
      <c r="I1" s="626"/>
      <c r="J1" s="626"/>
      <c r="K1" s="626"/>
      <c r="L1" s="626"/>
      <c r="M1" s="626"/>
      <c r="N1" s="626"/>
      <c r="O1" s="626"/>
      <c r="P1" s="626"/>
      <c r="Q1" s="626"/>
      <c r="R1" s="626"/>
      <c r="S1" s="626"/>
      <c r="T1" s="626"/>
      <c r="U1" s="626"/>
      <c r="V1" s="626"/>
      <c r="W1" s="626"/>
      <c r="X1" s="626"/>
      <c r="Y1" s="626"/>
      <c r="Z1" s="626"/>
      <c r="AA1" s="626"/>
      <c r="AB1" s="626"/>
      <c r="AC1" s="708"/>
      <c r="AD1" s="37"/>
      <c r="AE1" s="37"/>
      <c r="AF1" s="37"/>
      <c r="AG1" s="37"/>
      <c r="AH1" s="37"/>
      <c r="AI1" s="38"/>
      <c r="AJ1" s="38"/>
      <c r="AK1" s="38"/>
    </row>
    <row r="2" spans="1:39" ht="24" customHeight="1" x14ac:dyDescent="0.3">
      <c r="A2" s="661" t="s">
        <v>533</v>
      </c>
      <c r="B2" s="661" t="s">
        <v>115</v>
      </c>
      <c r="C2" s="661" t="s">
        <v>534</v>
      </c>
      <c r="D2" s="661" t="s">
        <v>259</v>
      </c>
      <c r="E2" s="661" t="s">
        <v>535</v>
      </c>
      <c r="F2" s="724" t="s">
        <v>536</v>
      </c>
      <c r="G2" s="724"/>
      <c r="H2" s="724"/>
      <c r="I2" s="724"/>
      <c r="J2" s="724"/>
      <c r="K2" s="724"/>
      <c r="L2" s="724"/>
      <c r="M2" s="724"/>
      <c r="N2" s="724"/>
      <c r="O2" s="724"/>
      <c r="P2" s="724"/>
      <c r="Q2" s="724"/>
      <c r="R2" s="724"/>
      <c r="S2" s="724"/>
      <c r="T2" s="724"/>
      <c r="U2" s="724"/>
      <c r="V2" s="724"/>
      <c r="W2" s="724"/>
      <c r="X2" s="724"/>
      <c r="Y2" s="724"/>
      <c r="Z2" s="724"/>
      <c r="AA2" s="724"/>
      <c r="AB2" s="724"/>
      <c r="AC2" s="724"/>
      <c r="AD2" s="37"/>
      <c r="AE2" s="37"/>
      <c r="AF2" s="37"/>
      <c r="AG2" s="37"/>
      <c r="AH2" s="37"/>
      <c r="AI2" s="38"/>
      <c r="AJ2" s="38"/>
      <c r="AK2" s="38"/>
    </row>
    <row r="3" spans="1:39" ht="25.2" customHeight="1" x14ac:dyDescent="0.3">
      <c r="A3" s="662"/>
      <c r="B3" s="662"/>
      <c r="C3" s="662"/>
      <c r="D3" s="662"/>
      <c r="E3" s="662"/>
      <c r="F3" s="567">
        <v>1</v>
      </c>
      <c r="G3" s="567">
        <v>2</v>
      </c>
      <c r="H3" s="567">
        <v>3</v>
      </c>
      <c r="I3" s="567">
        <v>4</v>
      </c>
      <c r="J3" s="567">
        <v>5</v>
      </c>
      <c r="K3" s="567">
        <v>6</v>
      </c>
      <c r="L3" s="567">
        <v>7</v>
      </c>
      <c r="M3" s="567">
        <v>8</v>
      </c>
      <c r="N3" s="567">
        <v>9</v>
      </c>
      <c r="O3" s="567">
        <v>10</v>
      </c>
      <c r="P3" s="567">
        <v>11</v>
      </c>
      <c r="Q3" s="567">
        <v>12</v>
      </c>
      <c r="R3" s="567">
        <v>13</v>
      </c>
      <c r="S3" s="567">
        <v>14</v>
      </c>
      <c r="T3" s="567">
        <v>15</v>
      </c>
      <c r="U3" s="567">
        <v>16</v>
      </c>
      <c r="V3" s="567">
        <v>17</v>
      </c>
      <c r="W3" s="567">
        <v>18</v>
      </c>
      <c r="X3" s="567">
        <v>19</v>
      </c>
      <c r="Y3" s="567">
        <v>20</v>
      </c>
      <c r="Z3" s="567">
        <v>21</v>
      </c>
      <c r="AA3" s="567">
        <v>22</v>
      </c>
      <c r="AB3" s="567">
        <v>23</v>
      </c>
      <c r="AC3" s="567">
        <v>24</v>
      </c>
      <c r="AD3" s="38"/>
      <c r="AE3" s="38"/>
      <c r="AF3" s="38"/>
      <c r="AG3" s="38"/>
      <c r="AH3" s="38"/>
      <c r="AI3" s="38"/>
      <c r="AJ3" s="38"/>
      <c r="AK3" s="38"/>
    </row>
    <row r="4" spans="1:39" ht="25.2" customHeight="1" x14ac:dyDescent="0.3">
      <c r="A4" s="709" t="s">
        <v>537</v>
      </c>
      <c r="B4" s="712" t="s">
        <v>127</v>
      </c>
      <c r="C4" s="723" t="s">
        <v>538</v>
      </c>
      <c r="D4" s="720" t="s">
        <v>539</v>
      </c>
      <c r="E4" s="210" t="s">
        <v>540</v>
      </c>
      <c r="F4" s="211">
        <v>0</v>
      </c>
      <c r="G4" s="211">
        <v>0</v>
      </c>
      <c r="H4" s="211">
        <v>0</v>
      </c>
      <c r="I4" s="211">
        <v>0</v>
      </c>
      <c r="J4" s="211">
        <v>0</v>
      </c>
      <c r="K4" s="211">
        <v>0</v>
      </c>
      <c r="L4" s="211">
        <v>0</v>
      </c>
      <c r="M4" s="211">
        <v>0</v>
      </c>
      <c r="N4" s="211">
        <v>0.2</v>
      </c>
      <c r="O4" s="211">
        <v>0.4</v>
      </c>
      <c r="P4" s="211">
        <v>0.5</v>
      </c>
      <c r="Q4" s="211">
        <v>0.6</v>
      </c>
      <c r="R4" s="211">
        <v>0.6</v>
      </c>
      <c r="S4" s="211">
        <v>0.6</v>
      </c>
      <c r="T4" s="211">
        <v>0.6</v>
      </c>
      <c r="U4" s="211">
        <v>0.6</v>
      </c>
      <c r="V4" s="211">
        <v>0.7</v>
      </c>
      <c r="W4" s="211">
        <v>0.8</v>
      </c>
      <c r="X4" s="211">
        <v>0.8</v>
      </c>
      <c r="Y4" s="211">
        <v>0.6</v>
      </c>
      <c r="Z4" s="242">
        <v>0.3</v>
      </c>
      <c r="AA4" s="242">
        <v>0</v>
      </c>
      <c r="AB4" s="242">
        <v>0</v>
      </c>
      <c r="AC4" s="238">
        <v>0</v>
      </c>
      <c r="AD4" s="38"/>
      <c r="AE4" s="38"/>
      <c r="AF4" s="38"/>
      <c r="AG4" s="38"/>
      <c r="AH4" s="38"/>
      <c r="AI4" s="38"/>
      <c r="AJ4" s="38"/>
      <c r="AK4" s="38"/>
    </row>
    <row r="5" spans="1:39" ht="33" customHeight="1" x14ac:dyDescent="0.3">
      <c r="A5" s="710"/>
      <c r="B5" s="685"/>
      <c r="C5" s="685"/>
      <c r="D5" s="721"/>
      <c r="E5" s="208" t="s">
        <v>541</v>
      </c>
      <c r="F5" s="209">
        <v>0</v>
      </c>
      <c r="G5" s="209">
        <v>0</v>
      </c>
      <c r="H5" s="209">
        <v>0</v>
      </c>
      <c r="I5" s="209">
        <v>0</v>
      </c>
      <c r="J5" s="209">
        <v>0</v>
      </c>
      <c r="K5" s="209">
        <v>0</v>
      </c>
      <c r="L5" s="209">
        <v>0</v>
      </c>
      <c r="M5" s="209">
        <v>0</v>
      </c>
      <c r="N5" s="209">
        <v>0.3</v>
      </c>
      <c r="O5" s="209">
        <v>0.6</v>
      </c>
      <c r="P5" s="209">
        <v>0.8</v>
      </c>
      <c r="Q5" s="209">
        <v>0.9</v>
      </c>
      <c r="R5" s="209">
        <v>0.9</v>
      </c>
      <c r="S5" s="209">
        <v>0.9</v>
      </c>
      <c r="T5" s="209">
        <v>0.9</v>
      </c>
      <c r="U5" s="209">
        <v>0.8</v>
      </c>
      <c r="V5" s="209">
        <v>0.8</v>
      </c>
      <c r="W5" s="209">
        <v>0.7</v>
      </c>
      <c r="X5" s="209">
        <v>0.6</v>
      </c>
      <c r="Y5" s="240">
        <v>0.5</v>
      </c>
      <c r="Z5" s="240">
        <v>0.3</v>
      </c>
      <c r="AA5" s="209">
        <v>0</v>
      </c>
      <c r="AB5" s="209">
        <v>0</v>
      </c>
      <c r="AC5" s="243">
        <v>0</v>
      </c>
      <c r="AD5" s="38"/>
      <c r="AE5" s="38"/>
      <c r="AF5" s="38"/>
      <c r="AG5" s="38"/>
      <c r="AH5" s="38"/>
      <c r="AI5" s="38"/>
      <c r="AJ5" s="38"/>
      <c r="AK5" s="38"/>
    </row>
    <row r="6" spans="1:39" ht="33" customHeight="1" x14ac:dyDescent="0.3">
      <c r="A6" s="711"/>
      <c r="B6" s="713"/>
      <c r="C6" s="713"/>
      <c r="D6" s="722"/>
      <c r="E6" s="212" t="s">
        <v>542</v>
      </c>
      <c r="F6" s="213">
        <v>0</v>
      </c>
      <c r="G6" s="213">
        <v>0</v>
      </c>
      <c r="H6" s="213">
        <v>0</v>
      </c>
      <c r="I6" s="213">
        <v>0</v>
      </c>
      <c r="J6" s="213">
        <v>0</v>
      </c>
      <c r="K6" s="213">
        <v>0</v>
      </c>
      <c r="L6" s="213">
        <v>0</v>
      </c>
      <c r="M6" s="213">
        <v>0</v>
      </c>
      <c r="N6" s="213">
        <v>0.2</v>
      </c>
      <c r="O6" s="213">
        <v>0.5</v>
      </c>
      <c r="P6" s="213">
        <v>0.7</v>
      </c>
      <c r="Q6" s="213">
        <v>0.8</v>
      </c>
      <c r="R6" s="213">
        <v>0.8</v>
      </c>
      <c r="S6" s="213">
        <v>0.8</v>
      </c>
      <c r="T6" s="213">
        <v>0.8</v>
      </c>
      <c r="U6" s="213">
        <v>0.7</v>
      </c>
      <c r="V6" s="213">
        <v>0.7</v>
      </c>
      <c r="W6" s="213">
        <v>0.6</v>
      </c>
      <c r="X6" s="213">
        <v>0.5</v>
      </c>
      <c r="Y6" s="241">
        <v>0.4</v>
      </c>
      <c r="Z6" s="213">
        <v>0.2</v>
      </c>
      <c r="AA6" s="244">
        <v>0</v>
      </c>
      <c r="AB6" s="245">
        <v>0</v>
      </c>
      <c r="AC6" s="239">
        <v>0</v>
      </c>
      <c r="AD6" s="38"/>
      <c r="AE6" s="38"/>
      <c r="AF6" s="38"/>
      <c r="AG6" s="38"/>
      <c r="AH6" s="38"/>
      <c r="AI6" s="38"/>
      <c r="AJ6" s="38"/>
      <c r="AK6" s="38"/>
    </row>
    <row r="7" spans="1:39" ht="38.700000000000003" customHeight="1" x14ac:dyDescent="0.3">
      <c r="A7" s="681" t="str">
        <f>A4</f>
        <v>All Zones</v>
      </c>
      <c r="B7" s="714" t="str">
        <f>B4</f>
        <v>Retail</v>
      </c>
      <c r="C7" s="684" t="s">
        <v>543</v>
      </c>
      <c r="D7" s="696" t="s">
        <v>544</v>
      </c>
      <c r="E7" s="207" t="s">
        <v>540</v>
      </c>
      <c r="F7" s="133">
        <v>0.05</v>
      </c>
      <c r="G7" s="133">
        <v>0.05</v>
      </c>
      <c r="H7" s="133">
        <v>0.05</v>
      </c>
      <c r="I7" s="133">
        <v>0.05</v>
      </c>
      <c r="J7" s="133">
        <v>0.05</v>
      </c>
      <c r="K7" s="133">
        <v>0.05</v>
      </c>
      <c r="L7" s="133">
        <v>0.05</v>
      </c>
      <c r="M7" s="246">
        <v>0.7</v>
      </c>
      <c r="N7" s="246">
        <v>1</v>
      </c>
      <c r="O7" s="246">
        <v>1</v>
      </c>
      <c r="P7" s="246">
        <v>1</v>
      </c>
      <c r="Q7" s="246">
        <v>1</v>
      </c>
      <c r="R7" s="246">
        <v>1</v>
      </c>
      <c r="S7" s="246">
        <v>1</v>
      </c>
      <c r="T7" s="246">
        <v>1</v>
      </c>
      <c r="U7" s="246">
        <v>1</v>
      </c>
      <c r="V7" s="246">
        <v>1</v>
      </c>
      <c r="W7" s="246">
        <v>1</v>
      </c>
      <c r="X7" s="246">
        <v>1</v>
      </c>
      <c r="Y7" s="246">
        <v>1</v>
      </c>
      <c r="Z7" s="246">
        <v>1</v>
      </c>
      <c r="AA7" s="246">
        <v>0.7</v>
      </c>
      <c r="AB7" s="246">
        <v>0.05</v>
      </c>
      <c r="AC7" s="134">
        <v>0.05</v>
      </c>
      <c r="AD7" s="38"/>
      <c r="AE7" s="38"/>
      <c r="AF7" s="38"/>
      <c r="AG7" s="38"/>
      <c r="AH7" s="38"/>
      <c r="AI7" s="38"/>
      <c r="AJ7" s="38"/>
      <c r="AK7" s="38"/>
    </row>
    <row r="8" spans="1:39" ht="38.700000000000003" customHeight="1" x14ac:dyDescent="0.3">
      <c r="A8" s="682"/>
      <c r="B8" s="692"/>
      <c r="C8" s="685"/>
      <c r="D8" s="697"/>
      <c r="E8" s="109" t="s">
        <v>541</v>
      </c>
      <c r="F8" s="135">
        <v>0.05</v>
      </c>
      <c r="G8" s="135">
        <v>0.05</v>
      </c>
      <c r="H8" s="135">
        <v>0.05</v>
      </c>
      <c r="I8" s="135">
        <v>0.05</v>
      </c>
      <c r="J8" s="135">
        <v>0.05</v>
      </c>
      <c r="K8" s="135">
        <v>0.05</v>
      </c>
      <c r="L8" s="135">
        <v>0.05</v>
      </c>
      <c r="M8" s="248">
        <v>0.7</v>
      </c>
      <c r="N8" s="246">
        <v>1</v>
      </c>
      <c r="O8" s="246">
        <v>1</v>
      </c>
      <c r="P8" s="246">
        <v>1</v>
      </c>
      <c r="Q8" s="246">
        <v>1</v>
      </c>
      <c r="R8" s="246">
        <v>1</v>
      </c>
      <c r="S8" s="246">
        <v>1</v>
      </c>
      <c r="T8" s="246">
        <v>1</v>
      </c>
      <c r="U8" s="246">
        <v>1</v>
      </c>
      <c r="V8" s="246">
        <v>1</v>
      </c>
      <c r="W8" s="246">
        <v>1</v>
      </c>
      <c r="X8" s="246">
        <v>1</v>
      </c>
      <c r="Y8" s="246">
        <v>1</v>
      </c>
      <c r="Z8" s="246">
        <v>1</v>
      </c>
      <c r="AA8" s="248">
        <v>0.7</v>
      </c>
      <c r="AB8" s="248">
        <v>0.05</v>
      </c>
      <c r="AC8" s="136">
        <v>0.05</v>
      </c>
      <c r="AD8" s="38"/>
      <c r="AE8" s="38"/>
      <c r="AF8" s="38"/>
      <c r="AG8" s="38"/>
      <c r="AH8" s="38"/>
      <c r="AI8" s="38"/>
      <c r="AJ8" s="38"/>
      <c r="AK8" s="38"/>
    </row>
    <row r="9" spans="1:39" ht="38.700000000000003" customHeight="1" x14ac:dyDescent="0.3">
      <c r="A9" s="683"/>
      <c r="B9" s="715"/>
      <c r="C9" s="686"/>
      <c r="D9" s="698"/>
      <c r="E9" s="137" t="s">
        <v>542</v>
      </c>
      <c r="F9" s="138">
        <v>0.05</v>
      </c>
      <c r="G9" s="138">
        <v>0.05</v>
      </c>
      <c r="H9" s="138">
        <v>0.05</v>
      </c>
      <c r="I9" s="138">
        <v>0.05</v>
      </c>
      <c r="J9" s="138">
        <v>0.05</v>
      </c>
      <c r="K9" s="138">
        <v>0.05</v>
      </c>
      <c r="L9" s="138">
        <v>0.05</v>
      </c>
      <c r="M9" s="247">
        <v>0.7</v>
      </c>
      <c r="N9" s="247">
        <v>1</v>
      </c>
      <c r="O9" s="247">
        <v>1</v>
      </c>
      <c r="P9" s="247">
        <v>1</v>
      </c>
      <c r="Q9" s="247">
        <v>1</v>
      </c>
      <c r="R9" s="247">
        <v>1</v>
      </c>
      <c r="S9" s="247">
        <v>1</v>
      </c>
      <c r="T9" s="247">
        <v>1</v>
      </c>
      <c r="U9" s="247">
        <v>1</v>
      </c>
      <c r="V9" s="247">
        <v>1</v>
      </c>
      <c r="W9" s="247">
        <v>1</v>
      </c>
      <c r="X9" s="247">
        <v>1</v>
      </c>
      <c r="Y9" s="247">
        <v>1</v>
      </c>
      <c r="Z9" s="247">
        <v>1</v>
      </c>
      <c r="AA9" s="247">
        <v>0.7</v>
      </c>
      <c r="AB9" s="247">
        <v>0.05</v>
      </c>
      <c r="AC9" s="139">
        <v>0.05</v>
      </c>
      <c r="AD9" s="38"/>
      <c r="AE9" s="38"/>
      <c r="AF9" s="38"/>
      <c r="AG9" s="38"/>
      <c r="AH9" s="38"/>
      <c r="AI9" s="38"/>
      <c r="AJ9" s="38"/>
      <c r="AK9" s="38"/>
    </row>
    <row r="10" spans="1:39" ht="36" customHeight="1" x14ac:dyDescent="0.3">
      <c r="A10" s="689" t="str">
        <f>A4</f>
        <v>All Zones</v>
      </c>
      <c r="B10" s="691" t="str">
        <f>B4</f>
        <v>Retail</v>
      </c>
      <c r="C10" s="719" t="s">
        <v>545</v>
      </c>
      <c r="D10" s="716" t="s">
        <v>546</v>
      </c>
      <c r="E10" s="140" t="s">
        <v>540</v>
      </c>
      <c r="F10" s="141">
        <v>0.4</v>
      </c>
      <c r="G10" s="141">
        <v>0.4</v>
      </c>
      <c r="H10" s="141">
        <v>0.4</v>
      </c>
      <c r="I10" s="141">
        <v>0.4</v>
      </c>
      <c r="J10" s="141">
        <v>0.4</v>
      </c>
      <c r="K10" s="141">
        <v>0.4</v>
      </c>
      <c r="L10" s="197">
        <v>0.4</v>
      </c>
      <c r="M10" s="197">
        <v>0.4</v>
      </c>
      <c r="N10" s="197">
        <v>0.9</v>
      </c>
      <c r="O10" s="141">
        <v>0.9</v>
      </c>
      <c r="P10" s="141">
        <v>0.9</v>
      </c>
      <c r="Q10" s="141">
        <v>0.9</v>
      </c>
      <c r="R10" s="141">
        <v>0.9</v>
      </c>
      <c r="S10" s="141">
        <v>0.9</v>
      </c>
      <c r="T10" s="141">
        <v>0.9</v>
      </c>
      <c r="U10" s="141">
        <v>0.9</v>
      </c>
      <c r="V10" s="141">
        <v>0.9</v>
      </c>
      <c r="W10" s="141">
        <v>0.9</v>
      </c>
      <c r="X10" s="141">
        <v>0.9</v>
      </c>
      <c r="Y10" s="197">
        <v>0.9</v>
      </c>
      <c r="Z10" s="197">
        <v>0.9</v>
      </c>
      <c r="AA10" s="141">
        <v>0.4</v>
      </c>
      <c r="AB10" s="141">
        <v>0.4</v>
      </c>
      <c r="AC10" s="142">
        <v>0.4</v>
      </c>
      <c r="AD10" s="39"/>
      <c r="AE10" s="38"/>
      <c r="AF10" s="38"/>
      <c r="AG10" s="38"/>
      <c r="AH10" s="38"/>
      <c r="AI10" s="38"/>
      <c r="AJ10" s="38"/>
      <c r="AK10" s="38"/>
      <c r="AM10" s="49"/>
    </row>
    <row r="11" spans="1:39" ht="36" customHeight="1" x14ac:dyDescent="0.3">
      <c r="A11" s="682"/>
      <c r="B11" s="692"/>
      <c r="C11" s="694"/>
      <c r="D11" s="717"/>
      <c r="E11" s="109" t="s">
        <v>541</v>
      </c>
      <c r="F11" s="132">
        <v>0.4</v>
      </c>
      <c r="G11" s="132">
        <v>0.4</v>
      </c>
      <c r="H11" s="132">
        <v>0.4</v>
      </c>
      <c r="I11" s="132">
        <v>0.4</v>
      </c>
      <c r="J11" s="132">
        <v>0.4</v>
      </c>
      <c r="K11" s="132">
        <v>0.4</v>
      </c>
      <c r="L11" s="249">
        <v>0.4</v>
      </c>
      <c r="M11" s="249">
        <v>0.4</v>
      </c>
      <c r="N11" s="249">
        <v>0.9</v>
      </c>
      <c r="O11" s="132">
        <v>0.9</v>
      </c>
      <c r="P11" s="132">
        <v>0.9</v>
      </c>
      <c r="Q11" s="132">
        <v>0.9</v>
      </c>
      <c r="R11" s="132">
        <v>0.9</v>
      </c>
      <c r="S11" s="132">
        <v>0.9</v>
      </c>
      <c r="T11" s="132">
        <v>0.9</v>
      </c>
      <c r="U11" s="132">
        <v>0.9</v>
      </c>
      <c r="V11" s="132">
        <v>0.9</v>
      </c>
      <c r="W11" s="132">
        <v>0.9</v>
      </c>
      <c r="X11" s="132">
        <v>0.9</v>
      </c>
      <c r="Y11" s="132">
        <v>0.9</v>
      </c>
      <c r="Z11" s="249">
        <v>0.9</v>
      </c>
      <c r="AA11" s="249">
        <v>0.4</v>
      </c>
      <c r="AB11" s="132">
        <v>0.4</v>
      </c>
      <c r="AC11" s="143">
        <v>0.4</v>
      </c>
      <c r="AD11" s="39"/>
      <c r="AE11" s="38"/>
      <c r="AF11" s="38"/>
      <c r="AG11" s="38"/>
      <c r="AH11" s="38"/>
      <c r="AI11" s="38"/>
      <c r="AJ11" s="38"/>
      <c r="AK11" s="38"/>
      <c r="AM11" s="49"/>
    </row>
    <row r="12" spans="1:39" ht="36" customHeight="1" x14ac:dyDescent="0.3">
      <c r="A12" s="690"/>
      <c r="B12" s="693"/>
      <c r="C12" s="695"/>
      <c r="D12" s="718"/>
      <c r="E12" s="137" t="s">
        <v>542</v>
      </c>
      <c r="F12" s="144">
        <v>0.4</v>
      </c>
      <c r="G12" s="144">
        <v>0.4</v>
      </c>
      <c r="H12" s="144">
        <v>0.4</v>
      </c>
      <c r="I12" s="144">
        <v>0.4</v>
      </c>
      <c r="J12" s="144">
        <v>0.4</v>
      </c>
      <c r="K12" s="144">
        <v>0.4</v>
      </c>
      <c r="L12" s="250">
        <v>0.4</v>
      </c>
      <c r="M12" s="250">
        <v>0.4</v>
      </c>
      <c r="N12" s="250">
        <v>0.9</v>
      </c>
      <c r="O12" s="250">
        <v>0.9</v>
      </c>
      <c r="P12" s="250">
        <v>0.9</v>
      </c>
      <c r="Q12" s="144">
        <v>0.9</v>
      </c>
      <c r="R12" s="144">
        <v>0.9</v>
      </c>
      <c r="S12" s="144">
        <v>0.9</v>
      </c>
      <c r="T12" s="144">
        <v>0.9</v>
      </c>
      <c r="U12" s="144">
        <v>0.9</v>
      </c>
      <c r="V12" s="144">
        <v>0.9</v>
      </c>
      <c r="W12" s="250">
        <v>0.9</v>
      </c>
      <c r="X12" s="250">
        <v>0.9</v>
      </c>
      <c r="Y12" s="250">
        <v>0.9</v>
      </c>
      <c r="Z12" s="250">
        <v>0.9</v>
      </c>
      <c r="AA12" s="144">
        <v>0.4</v>
      </c>
      <c r="AB12" s="144">
        <v>0.4</v>
      </c>
      <c r="AC12" s="145">
        <v>0.4</v>
      </c>
      <c r="AD12" s="39"/>
      <c r="AE12" s="38"/>
      <c r="AF12" s="38"/>
      <c r="AG12" s="38"/>
      <c r="AH12" s="38"/>
      <c r="AI12" s="38"/>
      <c r="AJ12" s="38"/>
      <c r="AK12" s="38"/>
      <c r="AM12" s="49"/>
    </row>
    <row r="13" spans="1:39" ht="26.4" customHeight="1" x14ac:dyDescent="0.3">
      <c r="A13" s="689" t="str">
        <f t="shared" ref="A13:B13" si="0">A7</f>
        <v>All Zones</v>
      </c>
      <c r="B13" s="691" t="str">
        <f t="shared" si="0"/>
        <v>Retail</v>
      </c>
      <c r="C13" s="719" t="s">
        <v>547</v>
      </c>
      <c r="D13" s="752" t="s">
        <v>544</v>
      </c>
      <c r="E13" s="146" t="s">
        <v>540</v>
      </c>
      <c r="F13" s="147">
        <v>0</v>
      </c>
      <c r="G13" s="147">
        <v>0</v>
      </c>
      <c r="H13" s="147">
        <v>0</v>
      </c>
      <c r="I13" s="147">
        <v>0</v>
      </c>
      <c r="J13" s="147">
        <v>0</v>
      </c>
      <c r="K13" s="147">
        <v>0</v>
      </c>
      <c r="L13" s="147">
        <v>1</v>
      </c>
      <c r="M13" s="147">
        <v>1</v>
      </c>
      <c r="N13" s="147">
        <v>1</v>
      </c>
      <c r="O13" s="147">
        <v>1</v>
      </c>
      <c r="P13" s="147">
        <v>1</v>
      </c>
      <c r="Q13" s="147">
        <v>1</v>
      </c>
      <c r="R13" s="147">
        <v>1</v>
      </c>
      <c r="S13" s="147">
        <v>1</v>
      </c>
      <c r="T13" s="147">
        <v>1</v>
      </c>
      <c r="U13" s="147">
        <v>1</v>
      </c>
      <c r="V13" s="147">
        <v>1</v>
      </c>
      <c r="W13" s="147">
        <v>1</v>
      </c>
      <c r="X13" s="147">
        <v>1</v>
      </c>
      <c r="Y13" s="147">
        <v>1</v>
      </c>
      <c r="Z13" s="147">
        <v>1</v>
      </c>
      <c r="AA13" s="147">
        <v>0</v>
      </c>
      <c r="AB13" s="147">
        <v>0</v>
      </c>
      <c r="AC13" s="148">
        <v>0</v>
      </c>
    </row>
    <row r="14" spans="1:39" ht="26.4" customHeight="1" x14ac:dyDescent="0.3">
      <c r="A14" s="682"/>
      <c r="B14" s="692"/>
      <c r="C14" s="694"/>
      <c r="D14" s="697"/>
      <c r="E14" s="149" t="s">
        <v>541</v>
      </c>
      <c r="F14" s="150">
        <v>0</v>
      </c>
      <c r="G14" s="150">
        <v>0</v>
      </c>
      <c r="H14" s="150">
        <v>0</v>
      </c>
      <c r="I14" s="150">
        <v>0</v>
      </c>
      <c r="J14" s="150">
        <v>0</v>
      </c>
      <c r="K14" s="150">
        <v>0</v>
      </c>
      <c r="L14" s="150">
        <v>1</v>
      </c>
      <c r="M14" s="150">
        <v>1</v>
      </c>
      <c r="N14" s="150">
        <v>1</v>
      </c>
      <c r="O14" s="150">
        <v>1</v>
      </c>
      <c r="P14" s="150">
        <v>1</v>
      </c>
      <c r="Q14" s="150">
        <v>1</v>
      </c>
      <c r="R14" s="150">
        <v>1</v>
      </c>
      <c r="S14" s="150">
        <v>1</v>
      </c>
      <c r="T14" s="150">
        <v>1</v>
      </c>
      <c r="U14" s="150">
        <v>1</v>
      </c>
      <c r="V14" s="150">
        <v>1</v>
      </c>
      <c r="W14" s="150">
        <v>1</v>
      </c>
      <c r="X14" s="150">
        <v>1</v>
      </c>
      <c r="Y14" s="150">
        <v>1</v>
      </c>
      <c r="Z14" s="150">
        <v>1</v>
      </c>
      <c r="AA14" s="150">
        <v>1</v>
      </c>
      <c r="AB14" s="150">
        <v>0</v>
      </c>
      <c r="AC14" s="151">
        <v>0</v>
      </c>
    </row>
    <row r="15" spans="1:39" ht="26.4" customHeight="1" thickBot="1" x14ac:dyDescent="0.35">
      <c r="A15" s="690"/>
      <c r="B15" s="693"/>
      <c r="C15" s="754"/>
      <c r="D15" s="698"/>
      <c r="E15" s="152" t="s">
        <v>542</v>
      </c>
      <c r="F15" s="153">
        <v>0</v>
      </c>
      <c r="G15" s="153">
        <v>0</v>
      </c>
      <c r="H15" s="153">
        <v>0</v>
      </c>
      <c r="I15" s="153">
        <v>0</v>
      </c>
      <c r="J15" s="153">
        <v>0</v>
      </c>
      <c r="K15" s="153">
        <v>0</v>
      </c>
      <c r="L15" s="153">
        <v>0</v>
      </c>
      <c r="M15" s="153">
        <v>0</v>
      </c>
      <c r="N15" s="153">
        <v>1</v>
      </c>
      <c r="O15" s="153">
        <v>1</v>
      </c>
      <c r="P15" s="153">
        <v>1</v>
      </c>
      <c r="Q15" s="153">
        <v>1</v>
      </c>
      <c r="R15" s="153">
        <v>1</v>
      </c>
      <c r="S15" s="153">
        <v>1</v>
      </c>
      <c r="T15" s="153">
        <v>1</v>
      </c>
      <c r="U15" s="153">
        <v>1</v>
      </c>
      <c r="V15" s="153">
        <v>1</v>
      </c>
      <c r="W15" s="153">
        <v>1</v>
      </c>
      <c r="X15" s="153">
        <v>1</v>
      </c>
      <c r="Y15" s="153">
        <v>0</v>
      </c>
      <c r="Z15" s="153">
        <v>0</v>
      </c>
      <c r="AA15" s="153">
        <v>0</v>
      </c>
      <c r="AB15" s="153">
        <v>0</v>
      </c>
      <c r="AC15" s="154">
        <v>0</v>
      </c>
    </row>
    <row r="16" spans="1:39" ht="26.4" customHeight="1" x14ac:dyDescent="0.3">
      <c r="A16" s="689" t="str">
        <f t="shared" ref="A16:B16" si="1">A10</f>
        <v>All Zones</v>
      </c>
      <c r="B16" s="691" t="str">
        <f t="shared" si="1"/>
        <v>Retail</v>
      </c>
      <c r="C16" s="750" t="s">
        <v>548</v>
      </c>
      <c r="D16" s="752" t="s">
        <v>544</v>
      </c>
      <c r="E16" s="146" t="s">
        <v>540</v>
      </c>
      <c r="F16" s="147">
        <v>0.04</v>
      </c>
      <c r="G16" s="147">
        <v>0.05</v>
      </c>
      <c r="H16" s="147">
        <v>0.05</v>
      </c>
      <c r="I16" s="147">
        <v>0.04</v>
      </c>
      <c r="J16" s="147">
        <v>0.04</v>
      </c>
      <c r="K16" s="147">
        <v>0.04</v>
      </c>
      <c r="L16" s="147">
        <v>0.04</v>
      </c>
      <c r="M16" s="147">
        <v>0.15</v>
      </c>
      <c r="N16" s="147">
        <v>0.23</v>
      </c>
      <c r="O16" s="147">
        <v>0.32</v>
      </c>
      <c r="P16" s="147">
        <v>0.41</v>
      </c>
      <c r="Q16" s="147">
        <v>0.56999999999999995</v>
      </c>
      <c r="R16" s="147">
        <v>0.62</v>
      </c>
      <c r="S16" s="147">
        <v>0.61</v>
      </c>
      <c r="T16" s="147">
        <v>0.5</v>
      </c>
      <c r="U16" s="147">
        <v>0.45</v>
      </c>
      <c r="V16" s="147">
        <v>0.46</v>
      </c>
      <c r="W16" s="147">
        <v>0.47</v>
      </c>
      <c r="X16" s="147">
        <v>0.42</v>
      </c>
      <c r="Y16" s="147">
        <v>0.34</v>
      </c>
      <c r="Z16" s="147">
        <v>0.33</v>
      </c>
      <c r="AA16" s="147">
        <v>0.23</v>
      </c>
      <c r="AB16" s="147">
        <v>0.13</v>
      </c>
      <c r="AC16" s="148">
        <v>0.08</v>
      </c>
    </row>
    <row r="17" spans="1:29" ht="26.4" customHeight="1" x14ac:dyDescent="0.3">
      <c r="A17" s="682"/>
      <c r="B17" s="692"/>
      <c r="C17" s="750"/>
      <c r="D17" s="697"/>
      <c r="E17" s="149" t="s">
        <v>541</v>
      </c>
      <c r="F17" s="150">
        <v>0.11</v>
      </c>
      <c r="G17" s="150">
        <v>0.1</v>
      </c>
      <c r="H17" s="150">
        <v>0.08</v>
      </c>
      <c r="I17" s="150">
        <v>0.06</v>
      </c>
      <c r="J17" s="150">
        <v>0.06</v>
      </c>
      <c r="K17" s="150">
        <v>0.06</v>
      </c>
      <c r="L17" s="150">
        <v>7.0000000000000007E-2</v>
      </c>
      <c r="M17" s="150">
        <v>0.2</v>
      </c>
      <c r="N17" s="150">
        <v>0.24</v>
      </c>
      <c r="O17" s="150">
        <v>0.27</v>
      </c>
      <c r="P17" s="150">
        <v>0.42</v>
      </c>
      <c r="Q17" s="150">
        <v>0.54</v>
      </c>
      <c r="R17" s="150">
        <v>0.59</v>
      </c>
      <c r="S17" s="150">
        <v>0.6</v>
      </c>
      <c r="T17" s="150">
        <v>0.49</v>
      </c>
      <c r="U17" s="150">
        <v>0.48</v>
      </c>
      <c r="V17" s="150">
        <v>0.47</v>
      </c>
      <c r="W17" s="150">
        <v>0.46</v>
      </c>
      <c r="X17" s="150">
        <v>0.44</v>
      </c>
      <c r="Y17" s="150">
        <v>0.36</v>
      </c>
      <c r="Z17" s="150">
        <v>0.28999999999999998</v>
      </c>
      <c r="AA17" s="150">
        <v>0.22</v>
      </c>
      <c r="AB17" s="150">
        <v>0.16</v>
      </c>
      <c r="AC17" s="151">
        <v>0.13</v>
      </c>
    </row>
    <row r="18" spans="1:29" ht="26.4" customHeight="1" x14ac:dyDescent="0.3">
      <c r="A18" s="690"/>
      <c r="B18" s="693"/>
      <c r="C18" s="750"/>
      <c r="D18" s="698"/>
      <c r="E18" s="152" t="s">
        <v>542</v>
      </c>
      <c r="F18" s="153">
        <v>7.0000000000000007E-2</v>
      </c>
      <c r="G18" s="153">
        <v>7.0000000000000007E-2</v>
      </c>
      <c r="H18" s="153">
        <v>7.0000000000000007E-2</v>
      </c>
      <c r="I18" s="153">
        <v>0.06</v>
      </c>
      <c r="J18" s="153">
        <v>0.06</v>
      </c>
      <c r="K18" s="153">
        <v>0.06</v>
      </c>
      <c r="L18" s="153">
        <v>7.0000000000000007E-2</v>
      </c>
      <c r="M18" s="153">
        <v>0.1</v>
      </c>
      <c r="N18" s="153">
        <v>0.12</v>
      </c>
      <c r="O18" s="153">
        <v>0.14000000000000001</v>
      </c>
      <c r="P18" s="153">
        <v>0.28999999999999998</v>
      </c>
      <c r="Q18" s="153">
        <v>0.31</v>
      </c>
      <c r="R18" s="153">
        <v>0.36</v>
      </c>
      <c r="S18" s="153">
        <v>0.36</v>
      </c>
      <c r="T18" s="153">
        <v>0.34</v>
      </c>
      <c r="U18" s="153">
        <v>0.35</v>
      </c>
      <c r="V18" s="153">
        <v>0.37</v>
      </c>
      <c r="W18" s="153">
        <v>0.34</v>
      </c>
      <c r="X18" s="153">
        <v>0.25</v>
      </c>
      <c r="Y18" s="153">
        <v>0.27</v>
      </c>
      <c r="Z18" s="153">
        <v>0.21</v>
      </c>
      <c r="AA18" s="153">
        <v>0.16</v>
      </c>
      <c r="AB18" s="153">
        <v>0.1</v>
      </c>
      <c r="AC18" s="154">
        <v>0.06</v>
      </c>
    </row>
    <row r="19" spans="1:29" ht="26.4" customHeight="1" x14ac:dyDescent="0.3">
      <c r="A19" s="689" t="str">
        <f t="shared" ref="A19:B19" si="2">A13</f>
        <v>All Zones</v>
      </c>
      <c r="B19" s="691" t="str">
        <f t="shared" si="2"/>
        <v>Retail</v>
      </c>
      <c r="C19" s="749" t="s">
        <v>239</v>
      </c>
      <c r="D19" s="752" t="s">
        <v>544</v>
      </c>
      <c r="E19" s="146" t="s">
        <v>540</v>
      </c>
      <c r="F19" s="147">
        <v>1</v>
      </c>
      <c r="G19" s="147">
        <v>1</v>
      </c>
      <c r="H19" s="147">
        <v>1</v>
      </c>
      <c r="I19" s="147">
        <v>1</v>
      </c>
      <c r="J19" s="147">
        <v>1</v>
      </c>
      <c r="K19" s="147">
        <v>1</v>
      </c>
      <c r="L19" s="147">
        <v>0.25</v>
      </c>
      <c r="M19" s="147">
        <v>0.25</v>
      </c>
      <c r="N19" s="147">
        <v>0.25</v>
      </c>
      <c r="O19" s="147">
        <v>0.25</v>
      </c>
      <c r="P19" s="147">
        <v>0.25</v>
      </c>
      <c r="Q19" s="147">
        <v>0.25</v>
      </c>
      <c r="R19" s="147">
        <v>0.25</v>
      </c>
      <c r="S19" s="147">
        <v>0.25</v>
      </c>
      <c r="T19" s="147">
        <v>0.25</v>
      </c>
      <c r="U19" s="147">
        <v>0.25</v>
      </c>
      <c r="V19" s="147">
        <v>0.25</v>
      </c>
      <c r="W19" s="147">
        <v>0.25</v>
      </c>
      <c r="X19" s="147">
        <v>0.25</v>
      </c>
      <c r="Y19" s="147">
        <v>0.25</v>
      </c>
      <c r="Z19" s="147">
        <v>0.25</v>
      </c>
      <c r="AA19" s="147">
        <v>1</v>
      </c>
      <c r="AB19" s="147">
        <v>1</v>
      </c>
      <c r="AC19" s="148">
        <v>1</v>
      </c>
    </row>
    <row r="20" spans="1:29" ht="26.4" customHeight="1" x14ac:dyDescent="0.3">
      <c r="A20" s="682"/>
      <c r="B20" s="692"/>
      <c r="C20" s="750"/>
      <c r="D20" s="697"/>
      <c r="E20" s="149" t="s">
        <v>541</v>
      </c>
      <c r="F20" s="150">
        <v>1</v>
      </c>
      <c r="G20" s="150">
        <v>1</v>
      </c>
      <c r="H20" s="150">
        <v>1</v>
      </c>
      <c r="I20" s="150">
        <v>1</v>
      </c>
      <c r="J20" s="150">
        <v>1</v>
      </c>
      <c r="K20" s="150">
        <v>1</v>
      </c>
      <c r="L20" s="150">
        <v>0.25</v>
      </c>
      <c r="M20" s="150">
        <v>0.25</v>
      </c>
      <c r="N20" s="150">
        <v>0.25</v>
      </c>
      <c r="O20" s="150">
        <v>0.25</v>
      </c>
      <c r="P20" s="150">
        <v>0.25</v>
      </c>
      <c r="Q20" s="150">
        <v>0.25</v>
      </c>
      <c r="R20" s="150">
        <v>0.25</v>
      </c>
      <c r="S20" s="150">
        <v>0.25</v>
      </c>
      <c r="T20" s="150">
        <v>0.25</v>
      </c>
      <c r="U20" s="150">
        <v>0.25</v>
      </c>
      <c r="V20" s="150">
        <v>0.25</v>
      </c>
      <c r="W20" s="150">
        <v>0.25</v>
      </c>
      <c r="X20" s="150">
        <v>0.25</v>
      </c>
      <c r="Y20" s="150">
        <v>0.25</v>
      </c>
      <c r="Z20" s="150">
        <v>0.25</v>
      </c>
      <c r="AA20" s="150">
        <v>0.25</v>
      </c>
      <c r="AB20" s="150">
        <v>1</v>
      </c>
      <c r="AC20" s="151">
        <v>1</v>
      </c>
    </row>
    <row r="21" spans="1:29" ht="26.4" customHeight="1" thickBot="1" x14ac:dyDescent="0.35">
      <c r="A21" s="690"/>
      <c r="B21" s="693"/>
      <c r="C21" s="751"/>
      <c r="D21" s="753"/>
      <c r="E21" s="152" t="s">
        <v>542</v>
      </c>
      <c r="F21" s="153">
        <v>1</v>
      </c>
      <c r="G21" s="153">
        <v>1</v>
      </c>
      <c r="H21" s="153">
        <v>1</v>
      </c>
      <c r="I21" s="153">
        <v>1</v>
      </c>
      <c r="J21" s="153">
        <v>1</v>
      </c>
      <c r="K21" s="153">
        <v>1</v>
      </c>
      <c r="L21" s="153">
        <v>1</v>
      </c>
      <c r="M21" s="153">
        <v>1</v>
      </c>
      <c r="N21" s="153">
        <v>0.25</v>
      </c>
      <c r="O21" s="153">
        <v>0.25</v>
      </c>
      <c r="P21" s="153">
        <v>0.25</v>
      </c>
      <c r="Q21" s="153">
        <v>0.25</v>
      </c>
      <c r="R21" s="153">
        <v>0.25</v>
      </c>
      <c r="S21" s="153">
        <v>0.25</v>
      </c>
      <c r="T21" s="153">
        <v>0.25</v>
      </c>
      <c r="U21" s="153">
        <v>0.25</v>
      </c>
      <c r="V21" s="153">
        <v>0.25</v>
      </c>
      <c r="W21" s="153">
        <v>0.25</v>
      </c>
      <c r="X21" s="153">
        <v>0.25</v>
      </c>
      <c r="Y21" s="153">
        <v>1</v>
      </c>
      <c r="Z21" s="153">
        <v>1</v>
      </c>
      <c r="AA21" s="153">
        <v>1</v>
      </c>
      <c r="AB21" s="153">
        <v>1</v>
      </c>
      <c r="AC21" s="154">
        <v>1</v>
      </c>
    </row>
    <row r="22" spans="1:29" ht="26.4" customHeight="1" x14ac:dyDescent="0.3">
      <c r="A22" s="689" t="str">
        <f t="shared" ref="A22:B22" si="3">A16</f>
        <v>All Zones</v>
      </c>
      <c r="B22" s="691" t="str">
        <f t="shared" si="3"/>
        <v>Retail</v>
      </c>
      <c r="C22" s="687" t="s">
        <v>549</v>
      </c>
      <c r="D22" s="696" t="s">
        <v>544</v>
      </c>
      <c r="E22" s="146" t="s">
        <v>540</v>
      </c>
      <c r="F22" s="155">
        <f>IF(F13=1,Thermostat!$C$3,Thermostat!$C$4)</f>
        <v>60</v>
      </c>
      <c r="G22" s="155">
        <f>IF(G13=1,Thermostat!$C$3,Thermostat!$C$4)</f>
        <v>60</v>
      </c>
      <c r="H22" s="155">
        <f>IF(H13=1,Thermostat!$C$3,Thermostat!$C$4)</f>
        <v>60</v>
      </c>
      <c r="I22" s="155">
        <f>IF(I13=1,Thermostat!$C$3,Thermostat!$C$4)</f>
        <v>60</v>
      </c>
      <c r="J22" s="155">
        <f>IF(J13=1,Thermostat!$C$3,Thermostat!$C$4)</f>
        <v>60</v>
      </c>
      <c r="K22" s="155">
        <f>IF(K13=1,Thermostat!$C$3,Thermostat!$C$4)</f>
        <v>60</v>
      </c>
      <c r="L22" s="155">
        <f>IF(L13=1,Thermostat!$C$3,Thermostat!$C$4)</f>
        <v>70</v>
      </c>
      <c r="M22" s="155">
        <f>IF(M13=1,Thermostat!$C$3,Thermostat!$C$4)</f>
        <v>70</v>
      </c>
      <c r="N22" s="155">
        <f>IF(N13=1,Thermostat!$C$3,Thermostat!$C$4)</f>
        <v>70</v>
      </c>
      <c r="O22" s="155">
        <f>IF(O13=1,Thermostat!$C$3,Thermostat!$C$4)</f>
        <v>70</v>
      </c>
      <c r="P22" s="155">
        <f>IF(P13=1,Thermostat!$C$3,Thermostat!$C$4)</f>
        <v>70</v>
      </c>
      <c r="Q22" s="155">
        <f>IF(Q13=1,Thermostat!$C$3,Thermostat!$C$4)</f>
        <v>70</v>
      </c>
      <c r="R22" s="155">
        <f>IF(R13=1,Thermostat!$C$3,Thermostat!$C$4)</f>
        <v>70</v>
      </c>
      <c r="S22" s="155">
        <f>IF(S13=1,Thermostat!$C$3,Thermostat!$C$4)</f>
        <v>70</v>
      </c>
      <c r="T22" s="155">
        <f>IF(T13=1,Thermostat!$C$3,Thermostat!$C$4)</f>
        <v>70</v>
      </c>
      <c r="U22" s="155">
        <f>IF(U13=1,Thermostat!$C$3,Thermostat!$C$4)</f>
        <v>70</v>
      </c>
      <c r="V22" s="155">
        <f>IF(V13=1,Thermostat!$C$3,Thermostat!$C$4)</f>
        <v>70</v>
      </c>
      <c r="W22" s="155">
        <f>IF(W13=1,Thermostat!$C$3,Thermostat!$C$4)</f>
        <v>70</v>
      </c>
      <c r="X22" s="155">
        <f>IF(X13=1,Thermostat!$C$3,Thermostat!$C$4)</f>
        <v>70</v>
      </c>
      <c r="Y22" s="155">
        <f>IF(Y13=1,Thermostat!$C$3,Thermostat!$C$4)</f>
        <v>70</v>
      </c>
      <c r="Z22" s="155">
        <f>IF(Z13=1,Thermostat!$C$3,Thermostat!$C$4)</f>
        <v>70</v>
      </c>
      <c r="AA22" s="155">
        <f>IF(AA13=1,Thermostat!$C$3,Thermostat!$C$4)</f>
        <v>60</v>
      </c>
      <c r="AB22" s="155">
        <f>IF(AB13=1,Thermostat!$C$3,Thermostat!$C$4)</f>
        <v>60</v>
      </c>
      <c r="AC22" s="156">
        <f>IF(AC13=1,Thermostat!$C$3,Thermostat!$C$4)</f>
        <v>60</v>
      </c>
    </row>
    <row r="23" spans="1:29" ht="26.4" customHeight="1" x14ac:dyDescent="0.3">
      <c r="A23" s="682"/>
      <c r="B23" s="692"/>
      <c r="C23" s="694"/>
      <c r="D23" s="697"/>
      <c r="E23" s="149" t="s">
        <v>541</v>
      </c>
      <c r="F23" s="157">
        <f>IF(F14=1,Thermostat!$C$3,Thermostat!$C$4)</f>
        <v>60</v>
      </c>
      <c r="G23" s="157">
        <f>IF(G14=1,Thermostat!$C$3,Thermostat!$C$4)</f>
        <v>60</v>
      </c>
      <c r="H23" s="157">
        <f>IF(H14=1,Thermostat!$C$3,Thermostat!$C$4)</f>
        <v>60</v>
      </c>
      <c r="I23" s="157">
        <f>IF(I14=1,Thermostat!$C$3,Thermostat!$C$4)</f>
        <v>60</v>
      </c>
      <c r="J23" s="157">
        <f>IF(J14=1,Thermostat!$C$3,Thermostat!$C$4)</f>
        <v>60</v>
      </c>
      <c r="K23" s="157">
        <f>IF(K14=1,Thermostat!$C$3,Thermostat!$C$4)</f>
        <v>60</v>
      </c>
      <c r="L23" s="157">
        <f>IF(L14=1,Thermostat!$C$3,Thermostat!$C$4)</f>
        <v>70</v>
      </c>
      <c r="M23" s="157">
        <f>IF(M14=1,Thermostat!$C$3,Thermostat!$C$4)</f>
        <v>70</v>
      </c>
      <c r="N23" s="157">
        <f>IF(N14=1,Thermostat!$C$3,Thermostat!$C$4)</f>
        <v>70</v>
      </c>
      <c r="O23" s="157">
        <f>IF(O14=1,Thermostat!$C$3,Thermostat!$C$4)</f>
        <v>70</v>
      </c>
      <c r="P23" s="157">
        <f>IF(P14=1,Thermostat!$C$3,Thermostat!$C$4)</f>
        <v>70</v>
      </c>
      <c r="Q23" s="157">
        <f>IF(Q14=1,Thermostat!$C$3,Thermostat!$C$4)</f>
        <v>70</v>
      </c>
      <c r="R23" s="157">
        <f>IF(R14=1,Thermostat!$C$3,Thermostat!$C$4)</f>
        <v>70</v>
      </c>
      <c r="S23" s="157">
        <f>IF(S14=1,Thermostat!$C$3,Thermostat!$C$4)</f>
        <v>70</v>
      </c>
      <c r="T23" s="157">
        <f>IF(T14=1,Thermostat!$C$3,Thermostat!$C$4)</f>
        <v>70</v>
      </c>
      <c r="U23" s="157">
        <f>IF(U14=1,Thermostat!$C$3,Thermostat!$C$4)</f>
        <v>70</v>
      </c>
      <c r="V23" s="157">
        <f>IF(V14=1,Thermostat!$C$3,Thermostat!$C$4)</f>
        <v>70</v>
      </c>
      <c r="W23" s="157">
        <f>IF(W14=1,Thermostat!$C$3,Thermostat!$C$4)</f>
        <v>70</v>
      </c>
      <c r="X23" s="157">
        <f>IF(X14=1,Thermostat!$C$3,Thermostat!$C$4)</f>
        <v>70</v>
      </c>
      <c r="Y23" s="157">
        <f>IF(Y14=1,Thermostat!$C$3,Thermostat!$C$4)</f>
        <v>70</v>
      </c>
      <c r="Z23" s="157">
        <f>IF(Z14=1,Thermostat!$C$3,Thermostat!$C$4)</f>
        <v>70</v>
      </c>
      <c r="AA23" s="157">
        <f>IF(AA14=1,Thermostat!$C$3,Thermostat!$C$4)</f>
        <v>70</v>
      </c>
      <c r="AB23" s="157">
        <f>IF(AB14=1,Thermostat!$C$3,Thermostat!$C$4)</f>
        <v>60</v>
      </c>
      <c r="AC23" s="158">
        <f>IF(AC14=1,Thermostat!$C$3,Thermostat!$C$4)</f>
        <v>60</v>
      </c>
    </row>
    <row r="24" spans="1:29" ht="26.4" customHeight="1" thickBot="1" x14ac:dyDescent="0.35">
      <c r="A24" s="690"/>
      <c r="B24" s="693"/>
      <c r="C24" s="695"/>
      <c r="D24" s="698"/>
      <c r="E24" s="159" t="s">
        <v>542</v>
      </c>
      <c r="F24" s="157">
        <f>IF(F15=1,Thermostat!$C$3,Thermostat!$C$4)</f>
        <v>60</v>
      </c>
      <c r="G24" s="157">
        <f>IF(G15=1,Thermostat!$C$3,Thermostat!$C$4)</f>
        <v>60</v>
      </c>
      <c r="H24" s="157">
        <f>IF(H15=1,Thermostat!$C$3,Thermostat!$C$4)</f>
        <v>60</v>
      </c>
      <c r="I24" s="157">
        <f>IF(I15=1,Thermostat!$C$3,Thermostat!$C$4)</f>
        <v>60</v>
      </c>
      <c r="J24" s="157">
        <f>IF(J15=1,Thermostat!$C$3,Thermostat!$C$4)</f>
        <v>60</v>
      </c>
      <c r="K24" s="157">
        <f>IF(K15=1,Thermostat!$C$3,Thermostat!$C$4)</f>
        <v>60</v>
      </c>
      <c r="L24" s="157">
        <f>IF(L15=1,Thermostat!$C$3,Thermostat!$C$4)</f>
        <v>60</v>
      </c>
      <c r="M24" s="157">
        <f>IF(M15=1,Thermostat!$C$3,Thermostat!$C$4)</f>
        <v>60</v>
      </c>
      <c r="N24" s="157">
        <f>IF(N15=1,Thermostat!$C$3,Thermostat!$C$4)</f>
        <v>70</v>
      </c>
      <c r="O24" s="157">
        <f>IF(O15=1,Thermostat!$C$3,Thermostat!$C$4)</f>
        <v>70</v>
      </c>
      <c r="P24" s="157">
        <f>IF(P15=1,Thermostat!$C$3,Thermostat!$C$4)</f>
        <v>70</v>
      </c>
      <c r="Q24" s="157">
        <f>IF(Q15=1,Thermostat!$C$3,Thermostat!$C$4)</f>
        <v>70</v>
      </c>
      <c r="R24" s="157">
        <f>IF(R15=1,Thermostat!$C$3,Thermostat!$C$4)</f>
        <v>70</v>
      </c>
      <c r="S24" s="157">
        <f>IF(S15=1,Thermostat!$C$3,Thermostat!$C$4)</f>
        <v>70</v>
      </c>
      <c r="T24" s="157">
        <f>IF(T15=1,Thermostat!$C$3,Thermostat!$C$4)</f>
        <v>70</v>
      </c>
      <c r="U24" s="157">
        <f>IF(U15=1,Thermostat!$C$3,Thermostat!$C$4)</f>
        <v>70</v>
      </c>
      <c r="V24" s="157">
        <f>IF(V15=1,Thermostat!$C$3,Thermostat!$C$4)</f>
        <v>70</v>
      </c>
      <c r="W24" s="157">
        <f>IF(W15=1,Thermostat!$C$3,Thermostat!$C$4)</f>
        <v>70</v>
      </c>
      <c r="X24" s="157">
        <f>IF(X15=1,Thermostat!$C$3,Thermostat!$C$4)</f>
        <v>70</v>
      </c>
      <c r="Y24" s="157">
        <f>IF(Y15=1,Thermostat!$C$3,Thermostat!$C$4)</f>
        <v>60</v>
      </c>
      <c r="Z24" s="157">
        <f>IF(Z15=1,Thermostat!$C$3,Thermostat!$C$4)</f>
        <v>60</v>
      </c>
      <c r="AA24" s="157">
        <f>IF(AA15=1,Thermostat!$C$3,Thermostat!$C$4)</f>
        <v>60</v>
      </c>
      <c r="AB24" s="157">
        <f>IF(AB15=1,Thermostat!$C$3,Thermostat!$C$4)</f>
        <v>60</v>
      </c>
      <c r="AC24" s="158">
        <f>IF(AC15=1,Thermostat!$C$3,Thermostat!$C$4)</f>
        <v>60</v>
      </c>
    </row>
    <row r="25" spans="1:29" ht="26.4" customHeight="1" x14ac:dyDescent="0.3">
      <c r="A25" s="689" t="str">
        <f t="shared" ref="A25:B25" si="4">A19</f>
        <v>All Zones</v>
      </c>
      <c r="B25" s="691" t="str">
        <f t="shared" si="4"/>
        <v>Retail</v>
      </c>
      <c r="C25" s="675" t="s">
        <v>550</v>
      </c>
      <c r="D25" s="678" t="s">
        <v>544</v>
      </c>
      <c r="E25" s="160" t="s">
        <v>540</v>
      </c>
      <c r="F25" s="161">
        <f>IF(F13=1,Thermostat!$C$5,Thermostat!$C$6)</f>
        <v>85</v>
      </c>
      <c r="G25" s="161">
        <f>IF(G13=1,Thermostat!$C$5,Thermostat!$C$6)</f>
        <v>85</v>
      </c>
      <c r="H25" s="161">
        <f>IF(H13=1,Thermostat!$C$5,Thermostat!$C$6)</f>
        <v>85</v>
      </c>
      <c r="I25" s="161">
        <f>IF(I13=1,Thermostat!$C$5,Thermostat!$C$6)</f>
        <v>85</v>
      </c>
      <c r="J25" s="161">
        <f>IF(J13=1,Thermostat!$C$5,Thermostat!$C$6)</f>
        <v>85</v>
      </c>
      <c r="K25" s="161">
        <f>IF(K13=1,Thermostat!$C$5,Thermostat!$C$6)</f>
        <v>85</v>
      </c>
      <c r="L25" s="161">
        <f>IF(L13=1,Thermostat!$C$5,Thermostat!$C$6)</f>
        <v>75</v>
      </c>
      <c r="M25" s="161">
        <f>IF(M13=1,Thermostat!$C$5,Thermostat!$C$6)</f>
        <v>75</v>
      </c>
      <c r="N25" s="161">
        <f>IF(N13=1,Thermostat!$C$5,Thermostat!$C$6)</f>
        <v>75</v>
      </c>
      <c r="O25" s="161">
        <f>IF(O13=1,Thermostat!$C$5,Thermostat!$C$6)</f>
        <v>75</v>
      </c>
      <c r="P25" s="161">
        <f>IF(P13=1,Thermostat!$C$5,Thermostat!$C$6)</f>
        <v>75</v>
      </c>
      <c r="Q25" s="161">
        <f>IF(Q13=1,Thermostat!$C$5,Thermostat!$C$6)</f>
        <v>75</v>
      </c>
      <c r="R25" s="161">
        <f>IF(R13=1,Thermostat!$C$5,Thermostat!$C$6)</f>
        <v>75</v>
      </c>
      <c r="S25" s="161">
        <f>IF(S13=1,Thermostat!$C$5,Thermostat!$C$6)</f>
        <v>75</v>
      </c>
      <c r="T25" s="161">
        <f>IF(T13=1,Thermostat!$C$5,Thermostat!$C$6)</f>
        <v>75</v>
      </c>
      <c r="U25" s="161">
        <f>IF(U13=1,Thermostat!$C$5,Thermostat!$C$6)</f>
        <v>75</v>
      </c>
      <c r="V25" s="161">
        <f>IF(V13=1,Thermostat!$C$5,Thermostat!$C$6)</f>
        <v>75</v>
      </c>
      <c r="W25" s="161">
        <f>IF(W13=1,Thermostat!$C$5,Thermostat!$C$6)</f>
        <v>75</v>
      </c>
      <c r="X25" s="161">
        <f>IF(X13=1,Thermostat!$C$5,Thermostat!$C$6)</f>
        <v>75</v>
      </c>
      <c r="Y25" s="161">
        <f>IF(Y13=1,Thermostat!$C$5,Thermostat!$C$6)</f>
        <v>75</v>
      </c>
      <c r="Z25" s="161">
        <f>IF(Z13=1,Thermostat!$C$5,Thermostat!$C$6)</f>
        <v>75</v>
      </c>
      <c r="AA25" s="161">
        <f>IF(AA13=1,Thermostat!$C$5,Thermostat!$C$6)</f>
        <v>85</v>
      </c>
      <c r="AB25" s="161">
        <f>IF(AB13=1,Thermostat!$C$5,Thermostat!$C$6)</f>
        <v>85</v>
      </c>
      <c r="AC25" s="162">
        <f>IF(AC13=1,Thermostat!$C$5,Thermostat!$C$6)</f>
        <v>85</v>
      </c>
    </row>
    <row r="26" spans="1:29" ht="26.4" customHeight="1" x14ac:dyDescent="0.3">
      <c r="A26" s="682"/>
      <c r="B26" s="692"/>
      <c r="C26" s="694"/>
      <c r="D26" s="679"/>
      <c r="E26" s="163" t="s">
        <v>541</v>
      </c>
      <c r="F26" s="164">
        <f>IF(F14=1,Thermostat!$C$5,Thermostat!$C$6)</f>
        <v>85</v>
      </c>
      <c r="G26" s="164">
        <f>IF(G14=1,Thermostat!$C$5,Thermostat!$C$6)</f>
        <v>85</v>
      </c>
      <c r="H26" s="164">
        <f>IF(H14=1,Thermostat!$C$5,Thermostat!$C$6)</f>
        <v>85</v>
      </c>
      <c r="I26" s="164">
        <f>IF(I14=1,Thermostat!$C$5,Thermostat!$C$6)</f>
        <v>85</v>
      </c>
      <c r="J26" s="164">
        <f>IF(J14=1,Thermostat!$C$5,Thermostat!$C$6)</f>
        <v>85</v>
      </c>
      <c r="K26" s="164">
        <f>IF(K14=1,Thermostat!$C$5,Thermostat!$C$6)</f>
        <v>85</v>
      </c>
      <c r="L26" s="164">
        <f>IF(L14=1,Thermostat!$C$5,Thermostat!$C$6)</f>
        <v>75</v>
      </c>
      <c r="M26" s="164">
        <f>IF(M14=1,Thermostat!$C$5,Thermostat!$C$6)</f>
        <v>75</v>
      </c>
      <c r="N26" s="164">
        <f>IF(N14=1,Thermostat!$C$5,Thermostat!$C$6)</f>
        <v>75</v>
      </c>
      <c r="O26" s="164">
        <f>IF(O14=1,Thermostat!$C$5,Thermostat!$C$6)</f>
        <v>75</v>
      </c>
      <c r="P26" s="164">
        <f>IF(P14=1,Thermostat!$C$5,Thermostat!$C$6)</f>
        <v>75</v>
      </c>
      <c r="Q26" s="164">
        <f>IF(Q14=1,Thermostat!$C$5,Thermostat!$C$6)</f>
        <v>75</v>
      </c>
      <c r="R26" s="164">
        <f>IF(R14=1,Thermostat!$C$5,Thermostat!$C$6)</f>
        <v>75</v>
      </c>
      <c r="S26" s="164">
        <f>IF(S14=1,Thermostat!$C$5,Thermostat!$C$6)</f>
        <v>75</v>
      </c>
      <c r="T26" s="164">
        <f>IF(T14=1,Thermostat!$C$5,Thermostat!$C$6)</f>
        <v>75</v>
      </c>
      <c r="U26" s="164">
        <f>IF(U14=1,Thermostat!$C$5,Thermostat!$C$6)</f>
        <v>75</v>
      </c>
      <c r="V26" s="164">
        <f>IF(V14=1,Thermostat!$C$5,Thermostat!$C$6)</f>
        <v>75</v>
      </c>
      <c r="W26" s="164">
        <f>IF(W14=1,Thermostat!$C$5,Thermostat!$C$6)</f>
        <v>75</v>
      </c>
      <c r="X26" s="164">
        <f>IF(X14=1,Thermostat!$C$5,Thermostat!$C$6)</f>
        <v>75</v>
      </c>
      <c r="Y26" s="164">
        <f>IF(Y14=1,Thermostat!$C$5,Thermostat!$C$6)</f>
        <v>75</v>
      </c>
      <c r="Z26" s="164">
        <f>IF(Z14=1,Thermostat!$C$5,Thermostat!$C$6)</f>
        <v>75</v>
      </c>
      <c r="AA26" s="164">
        <f>IF(AA14=1,Thermostat!$C$5,Thermostat!$C$6)</f>
        <v>75</v>
      </c>
      <c r="AB26" s="164">
        <f>IF(AB14=1,Thermostat!$C$5,Thermostat!$C$6)</f>
        <v>85</v>
      </c>
      <c r="AC26" s="165">
        <f>IF(AC14=1,Thermostat!$C$5,Thermostat!$C$6)</f>
        <v>85</v>
      </c>
    </row>
    <row r="27" spans="1:29" ht="26.4" customHeight="1" thickBot="1" x14ac:dyDescent="0.35">
      <c r="A27" s="683"/>
      <c r="B27" s="715"/>
      <c r="C27" s="695"/>
      <c r="D27" s="725"/>
      <c r="E27" s="352" t="s">
        <v>542</v>
      </c>
      <c r="F27" s="195">
        <f>IF(F15=1,Thermostat!$C$5,Thermostat!$C$6)</f>
        <v>85</v>
      </c>
      <c r="G27" s="195">
        <f>IF(G15=1,Thermostat!$C$5,Thermostat!$C$6)</f>
        <v>85</v>
      </c>
      <c r="H27" s="195">
        <f>IF(H15=1,Thermostat!$C$5,Thermostat!$C$6)</f>
        <v>85</v>
      </c>
      <c r="I27" s="195">
        <f>IF(I15=1,Thermostat!$C$5,Thermostat!$C$6)</f>
        <v>85</v>
      </c>
      <c r="J27" s="195">
        <f>IF(J15=1,Thermostat!$C$5,Thermostat!$C$6)</f>
        <v>85</v>
      </c>
      <c r="K27" s="195">
        <f>IF(K15=1,Thermostat!$C$5,Thermostat!$C$6)</f>
        <v>85</v>
      </c>
      <c r="L27" s="195">
        <f>IF(L15=1,Thermostat!$C$5,Thermostat!$C$6)</f>
        <v>85</v>
      </c>
      <c r="M27" s="195">
        <f>IF(M15=1,Thermostat!$C$5,Thermostat!$C$6)</f>
        <v>85</v>
      </c>
      <c r="N27" s="195">
        <f>IF(N15=1,Thermostat!$C$5,Thermostat!$C$6)</f>
        <v>75</v>
      </c>
      <c r="O27" s="195">
        <f>IF(O15=1,Thermostat!$C$5,Thermostat!$C$6)</f>
        <v>75</v>
      </c>
      <c r="P27" s="195">
        <f>IF(P15=1,Thermostat!$C$5,Thermostat!$C$6)</f>
        <v>75</v>
      </c>
      <c r="Q27" s="195">
        <f>IF(Q15=1,Thermostat!$C$5,Thermostat!$C$6)</f>
        <v>75</v>
      </c>
      <c r="R27" s="195">
        <f>IF(R15=1,Thermostat!$C$5,Thermostat!$C$6)</f>
        <v>75</v>
      </c>
      <c r="S27" s="195">
        <f>IF(S15=1,Thermostat!$C$5,Thermostat!$C$6)</f>
        <v>75</v>
      </c>
      <c r="T27" s="195">
        <f>IF(T15=1,Thermostat!$C$5,Thermostat!$C$6)</f>
        <v>75</v>
      </c>
      <c r="U27" s="195">
        <f>IF(U15=1,Thermostat!$C$5,Thermostat!$C$6)</f>
        <v>75</v>
      </c>
      <c r="V27" s="195">
        <f>IF(V15=1,Thermostat!$C$5,Thermostat!$C$6)</f>
        <v>75</v>
      </c>
      <c r="W27" s="195">
        <f>IF(W15=1,Thermostat!$C$5,Thermostat!$C$6)</f>
        <v>75</v>
      </c>
      <c r="X27" s="195">
        <f>IF(X15=1,Thermostat!$C$5,Thermostat!$C$6)</f>
        <v>75</v>
      </c>
      <c r="Y27" s="195">
        <f>IF(Y15=1,Thermostat!$C$5,Thermostat!$C$6)</f>
        <v>85</v>
      </c>
      <c r="Z27" s="195">
        <f>IF(Z15=1,Thermostat!$C$5,Thermostat!$C$6)</f>
        <v>85</v>
      </c>
      <c r="AA27" s="195">
        <f>IF(AA15=1,Thermostat!$C$5,Thermostat!$C$6)</f>
        <v>85</v>
      </c>
      <c r="AB27" s="195">
        <f>IF(AB15=1,Thermostat!$C$5,Thermostat!$C$6)</f>
        <v>85</v>
      </c>
      <c r="AC27" s="196">
        <f>IF(AC15=1,Thermostat!$C$5,Thermostat!$C$6)</f>
        <v>85</v>
      </c>
    </row>
    <row r="28" spans="1:29" ht="26.4" customHeight="1" thickBot="1" x14ac:dyDescent="0.35">
      <c r="A28" s="773" t="s">
        <v>551</v>
      </c>
      <c r="B28" s="706"/>
      <c r="C28" s="706"/>
      <c r="D28" s="706"/>
      <c r="E28" s="706"/>
      <c r="F28" s="706"/>
      <c r="G28" s="706"/>
      <c r="H28" s="706"/>
      <c r="I28" s="706"/>
      <c r="J28" s="706"/>
      <c r="K28" s="706"/>
      <c r="L28" s="706"/>
      <c r="M28" s="706"/>
      <c r="N28" s="706"/>
      <c r="O28" s="706"/>
      <c r="P28" s="706"/>
      <c r="Q28" s="706"/>
      <c r="R28" s="706"/>
      <c r="S28" s="706"/>
      <c r="T28" s="706"/>
      <c r="U28" s="706"/>
      <c r="V28" s="706"/>
      <c r="W28" s="706"/>
      <c r="X28" s="706"/>
      <c r="Y28" s="706"/>
      <c r="Z28" s="706"/>
      <c r="AA28" s="706"/>
      <c r="AB28" s="706"/>
      <c r="AC28" s="707"/>
    </row>
    <row r="29" spans="1:29" ht="26.4" customHeight="1" x14ac:dyDescent="0.3">
      <c r="A29" s="726" t="s">
        <v>551</v>
      </c>
      <c r="B29" s="729" t="s">
        <v>142</v>
      </c>
      <c r="C29" s="730" t="s">
        <v>538</v>
      </c>
      <c r="D29" s="733" t="s">
        <v>402</v>
      </c>
      <c r="E29" s="321" t="s">
        <v>540</v>
      </c>
      <c r="F29" s="211">
        <v>0</v>
      </c>
      <c r="G29" s="211">
        <v>0</v>
      </c>
      <c r="H29" s="211">
        <v>0</v>
      </c>
      <c r="I29" s="211">
        <v>0</v>
      </c>
      <c r="J29" s="211">
        <v>0</v>
      </c>
      <c r="K29" s="211">
        <v>0</v>
      </c>
      <c r="L29" s="211">
        <v>0</v>
      </c>
      <c r="M29" s="211">
        <v>0</v>
      </c>
      <c r="N29" s="211">
        <v>0.2</v>
      </c>
      <c r="O29" s="211">
        <v>0.4</v>
      </c>
      <c r="P29" s="211">
        <v>0.5</v>
      </c>
      <c r="Q29" s="211">
        <v>0.6</v>
      </c>
      <c r="R29" s="211">
        <v>0.6</v>
      </c>
      <c r="S29" s="211">
        <v>0.6</v>
      </c>
      <c r="T29" s="211">
        <v>0.6</v>
      </c>
      <c r="U29" s="211">
        <v>0.6</v>
      </c>
      <c r="V29" s="211">
        <v>0.7</v>
      </c>
      <c r="W29" s="211">
        <v>0.8</v>
      </c>
      <c r="X29" s="211">
        <v>0.8</v>
      </c>
      <c r="Y29" s="211">
        <v>0.6</v>
      </c>
      <c r="Z29" s="242">
        <v>0.3</v>
      </c>
      <c r="AA29" s="242">
        <v>0</v>
      </c>
      <c r="AB29" s="242">
        <v>0</v>
      </c>
      <c r="AC29" s="238">
        <v>0</v>
      </c>
    </row>
    <row r="30" spans="1:29" ht="26.4" customHeight="1" x14ac:dyDescent="0.3">
      <c r="A30" s="727"/>
      <c r="B30" s="729"/>
      <c r="C30" s="731"/>
      <c r="D30" s="734"/>
      <c r="E30" s="322" t="s">
        <v>541</v>
      </c>
      <c r="F30" s="209">
        <v>0</v>
      </c>
      <c r="G30" s="209">
        <v>0</v>
      </c>
      <c r="H30" s="209">
        <v>0</v>
      </c>
      <c r="I30" s="209">
        <v>0</v>
      </c>
      <c r="J30" s="209">
        <v>0</v>
      </c>
      <c r="K30" s="209">
        <v>0</v>
      </c>
      <c r="L30" s="209">
        <v>0</v>
      </c>
      <c r="M30" s="209">
        <v>0</v>
      </c>
      <c r="N30" s="209">
        <v>0.3</v>
      </c>
      <c r="O30" s="209">
        <v>0.6</v>
      </c>
      <c r="P30" s="209">
        <v>0.8</v>
      </c>
      <c r="Q30" s="209">
        <v>0.9</v>
      </c>
      <c r="R30" s="209">
        <v>0.9</v>
      </c>
      <c r="S30" s="209">
        <v>0.9</v>
      </c>
      <c r="T30" s="209">
        <v>0.9</v>
      </c>
      <c r="U30" s="209">
        <v>0.8</v>
      </c>
      <c r="V30" s="209">
        <v>0.8</v>
      </c>
      <c r="W30" s="209">
        <v>0.7</v>
      </c>
      <c r="X30" s="209">
        <v>0.6</v>
      </c>
      <c r="Y30" s="240">
        <v>0.5</v>
      </c>
      <c r="Z30" s="240">
        <v>0.3</v>
      </c>
      <c r="AA30" s="209">
        <v>0</v>
      </c>
      <c r="AB30" s="209">
        <v>0</v>
      </c>
      <c r="AC30" s="243">
        <v>0</v>
      </c>
    </row>
    <row r="31" spans="1:29" ht="26.4" customHeight="1" thickBot="1" x14ac:dyDescent="0.35">
      <c r="A31" s="728"/>
      <c r="B31" s="729"/>
      <c r="C31" s="732"/>
      <c r="D31" s="735"/>
      <c r="E31" s="323" t="s">
        <v>542</v>
      </c>
      <c r="F31" s="213">
        <v>0</v>
      </c>
      <c r="G31" s="213">
        <v>0</v>
      </c>
      <c r="H31" s="213">
        <v>0</v>
      </c>
      <c r="I31" s="213">
        <v>0</v>
      </c>
      <c r="J31" s="213">
        <v>0</v>
      </c>
      <c r="K31" s="213">
        <v>0</v>
      </c>
      <c r="L31" s="213">
        <v>0</v>
      </c>
      <c r="M31" s="213">
        <v>0</v>
      </c>
      <c r="N31" s="213">
        <v>0.2</v>
      </c>
      <c r="O31" s="213">
        <v>0.5</v>
      </c>
      <c r="P31" s="213">
        <v>0.7</v>
      </c>
      <c r="Q31" s="213">
        <v>0.8</v>
      </c>
      <c r="R31" s="213">
        <v>0.8</v>
      </c>
      <c r="S31" s="213">
        <v>0.8</v>
      </c>
      <c r="T31" s="213">
        <v>0.8</v>
      </c>
      <c r="U31" s="213">
        <v>0.7</v>
      </c>
      <c r="V31" s="213">
        <v>0.7</v>
      </c>
      <c r="W31" s="213">
        <v>0.6</v>
      </c>
      <c r="X31" s="213">
        <v>0.5</v>
      </c>
      <c r="Y31" s="241">
        <v>0.4</v>
      </c>
      <c r="Z31" s="213">
        <v>0.2</v>
      </c>
      <c r="AA31" s="244">
        <v>0</v>
      </c>
      <c r="AB31" s="245">
        <v>0</v>
      </c>
      <c r="AC31" s="239">
        <v>0</v>
      </c>
    </row>
    <row r="32" spans="1:29" ht="26.4" customHeight="1" x14ac:dyDescent="0.3">
      <c r="A32" s="736" t="str">
        <f>A29</f>
        <v>Storage &amp; Loading Dock</v>
      </c>
      <c r="B32" s="737" t="str">
        <f>B29</f>
        <v>Ancillary</v>
      </c>
      <c r="C32" s="738" t="s">
        <v>543</v>
      </c>
      <c r="D32" s="739" t="s">
        <v>402</v>
      </c>
      <c r="E32" s="324" t="s">
        <v>540</v>
      </c>
      <c r="F32" s="246">
        <v>0.05</v>
      </c>
      <c r="G32" s="246">
        <v>0.05</v>
      </c>
      <c r="H32" s="246">
        <v>0.05</v>
      </c>
      <c r="I32" s="246">
        <v>0.05</v>
      </c>
      <c r="J32" s="246">
        <v>0.05</v>
      </c>
      <c r="K32" s="246">
        <v>0.05</v>
      </c>
      <c r="L32" s="246">
        <v>0.05</v>
      </c>
      <c r="M32" s="246">
        <v>0.7</v>
      </c>
      <c r="N32" s="246">
        <v>1</v>
      </c>
      <c r="O32" s="246">
        <v>1</v>
      </c>
      <c r="P32" s="246">
        <v>1</v>
      </c>
      <c r="Q32" s="246">
        <v>1</v>
      </c>
      <c r="R32" s="246">
        <v>1</v>
      </c>
      <c r="S32" s="246">
        <v>1</v>
      </c>
      <c r="T32" s="246">
        <v>1</v>
      </c>
      <c r="U32" s="246">
        <v>1</v>
      </c>
      <c r="V32" s="246">
        <v>1</v>
      </c>
      <c r="W32" s="246">
        <v>1</v>
      </c>
      <c r="X32" s="246">
        <v>1</v>
      </c>
      <c r="Y32" s="246">
        <v>1</v>
      </c>
      <c r="Z32" s="246">
        <v>1</v>
      </c>
      <c r="AA32" s="246">
        <v>0.7</v>
      </c>
      <c r="AB32" s="246">
        <v>0.05</v>
      </c>
      <c r="AC32" s="353">
        <v>0.05</v>
      </c>
    </row>
    <row r="33" spans="1:29" ht="26.4" customHeight="1" x14ac:dyDescent="0.3">
      <c r="A33" s="727"/>
      <c r="B33" s="729"/>
      <c r="C33" s="731"/>
      <c r="D33" s="734"/>
      <c r="E33" s="325" t="s">
        <v>541</v>
      </c>
      <c r="F33" s="248">
        <v>0.05</v>
      </c>
      <c r="G33" s="248">
        <v>0.05</v>
      </c>
      <c r="H33" s="248">
        <v>0.05</v>
      </c>
      <c r="I33" s="248">
        <v>0.05</v>
      </c>
      <c r="J33" s="248">
        <v>0.05</v>
      </c>
      <c r="K33" s="248">
        <v>0.05</v>
      </c>
      <c r="L33" s="248">
        <v>0.05</v>
      </c>
      <c r="M33" s="248">
        <v>0.7</v>
      </c>
      <c r="N33" s="246">
        <v>1</v>
      </c>
      <c r="O33" s="246">
        <v>1</v>
      </c>
      <c r="P33" s="246">
        <v>1</v>
      </c>
      <c r="Q33" s="246">
        <v>1</v>
      </c>
      <c r="R33" s="246">
        <v>1</v>
      </c>
      <c r="S33" s="246">
        <v>1</v>
      </c>
      <c r="T33" s="246">
        <v>1</v>
      </c>
      <c r="U33" s="246">
        <v>1</v>
      </c>
      <c r="V33" s="246">
        <v>1</v>
      </c>
      <c r="W33" s="246">
        <v>1</v>
      </c>
      <c r="X33" s="246">
        <v>1</v>
      </c>
      <c r="Y33" s="246">
        <v>1</v>
      </c>
      <c r="Z33" s="246">
        <v>1</v>
      </c>
      <c r="AA33" s="248">
        <v>0.7</v>
      </c>
      <c r="AB33" s="248">
        <v>0.05</v>
      </c>
      <c r="AC33" s="354">
        <v>0.05</v>
      </c>
    </row>
    <row r="34" spans="1:29" ht="26.4" customHeight="1" thickBot="1" x14ac:dyDescent="0.35">
      <c r="A34" s="728"/>
      <c r="B34" s="729"/>
      <c r="C34" s="732"/>
      <c r="D34" s="735"/>
      <c r="E34" s="326" t="s">
        <v>542</v>
      </c>
      <c r="F34" s="247">
        <v>0.05</v>
      </c>
      <c r="G34" s="247">
        <v>0.05</v>
      </c>
      <c r="H34" s="247">
        <v>0.05</v>
      </c>
      <c r="I34" s="247">
        <v>0.05</v>
      </c>
      <c r="J34" s="247">
        <v>0.05</v>
      </c>
      <c r="K34" s="247">
        <v>0.05</v>
      </c>
      <c r="L34" s="247">
        <v>0.05</v>
      </c>
      <c r="M34" s="247">
        <v>0.7</v>
      </c>
      <c r="N34" s="247">
        <v>1</v>
      </c>
      <c r="O34" s="247">
        <v>1</v>
      </c>
      <c r="P34" s="247">
        <v>1</v>
      </c>
      <c r="Q34" s="247">
        <v>1</v>
      </c>
      <c r="R34" s="247">
        <v>1</v>
      </c>
      <c r="S34" s="247">
        <v>1</v>
      </c>
      <c r="T34" s="247">
        <v>1</v>
      </c>
      <c r="U34" s="247">
        <v>1</v>
      </c>
      <c r="V34" s="247">
        <v>1</v>
      </c>
      <c r="W34" s="247">
        <v>1</v>
      </c>
      <c r="X34" s="247">
        <v>1</v>
      </c>
      <c r="Y34" s="247">
        <v>1</v>
      </c>
      <c r="Z34" s="247">
        <v>1</v>
      </c>
      <c r="AA34" s="247">
        <v>0.7</v>
      </c>
      <c r="AB34" s="247">
        <v>0.05</v>
      </c>
      <c r="AC34" s="355">
        <v>0.05</v>
      </c>
    </row>
    <row r="35" spans="1:29" ht="26.4" customHeight="1" x14ac:dyDescent="0.3">
      <c r="A35" s="740" t="str">
        <f>A29</f>
        <v>Storage &amp; Loading Dock</v>
      </c>
      <c r="B35" s="774" t="str">
        <f>B29</f>
        <v>Ancillary</v>
      </c>
      <c r="C35" s="745" t="s">
        <v>545</v>
      </c>
      <c r="D35" s="720" t="s">
        <v>546</v>
      </c>
      <c r="E35" s="362" t="s">
        <v>540</v>
      </c>
      <c r="F35" s="363">
        <v>0.4</v>
      </c>
      <c r="G35" s="363">
        <v>0.4</v>
      </c>
      <c r="H35" s="363">
        <v>0.4</v>
      </c>
      <c r="I35" s="363">
        <v>0.4</v>
      </c>
      <c r="J35" s="363">
        <v>0.4</v>
      </c>
      <c r="K35" s="363">
        <v>0.4</v>
      </c>
      <c r="L35" s="363">
        <v>0.4</v>
      </c>
      <c r="M35" s="363">
        <v>0.4</v>
      </c>
      <c r="N35" s="363">
        <v>0.9</v>
      </c>
      <c r="O35" s="363">
        <v>0.9</v>
      </c>
      <c r="P35" s="363">
        <v>0.9</v>
      </c>
      <c r="Q35" s="363">
        <v>0.9</v>
      </c>
      <c r="R35" s="363">
        <v>0.9</v>
      </c>
      <c r="S35" s="363">
        <v>0.9</v>
      </c>
      <c r="T35" s="363">
        <v>0.9</v>
      </c>
      <c r="U35" s="363">
        <v>0.9</v>
      </c>
      <c r="V35" s="363">
        <v>0.9</v>
      </c>
      <c r="W35" s="363">
        <v>0.9</v>
      </c>
      <c r="X35" s="363">
        <v>0.9</v>
      </c>
      <c r="Y35" s="363">
        <v>0.9</v>
      </c>
      <c r="Z35" s="363">
        <v>0.9</v>
      </c>
      <c r="AA35" s="363">
        <v>0.4</v>
      </c>
      <c r="AB35" s="363">
        <v>0.4</v>
      </c>
      <c r="AC35" s="364">
        <v>0.4</v>
      </c>
    </row>
    <row r="36" spans="1:29" ht="26.4" customHeight="1" x14ac:dyDescent="0.3">
      <c r="A36" s="741"/>
      <c r="B36" s="775"/>
      <c r="C36" s="731"/>
      <c r="D36" s="721"/>
      <c r="E36" s="361" t="s">
        <v>541</v>
      </c>
      <c r="F36" s="249">
        <v>0.4</v>
      </c>
      <c r="G36" s="249">
        <v>0.4</v>
      </c>
      <c r="H36" s="249">
        <v>0.4</v>
      </c>
      <c r="I36" s="249">
        <v>0.4</v>
      </c>
      <c r="J36" s="249">
        <v>0.4</v>
      </c>
      <c r="K36" s="249">
        <v>0.4</v>
      </c>
      <c r="L36" s="249">
        <v>0.4</v>
      </c>
      <c r="M36" s="249">
        <v>0.4</v>
      </c>
      <c r="N36" s="249">
        <v>0.9</v>
      </c>
      <c r="O36" s="249">
        <v>0.9</v>
      </c>
      <c r="P36" s="249">
        <v>0.9</v>
      </c>
      <c r="Q36" s="249">
        <v>0.9</v>
      </c>
      <c r="R36" s="249">
        <v>0.9</v>
      </c>
      <c r="S36" s="249">
        <v>0.9</v>
      </c>
      <c r="T36" s="249">
        <v>0.9</v>
      </c>
      <c r="U36" s="249">
        <v>0.9</v>
      </c>
      <c r="V36" s="249">
        <v>0.9</v>
      </c>
      <c r="W36" s="249">
        <v>0.9</v>
      </c>
      <c r="X36" s="249">
        <v>0.9</v>
      </c>
      <c r="Y36" s="249">
        <v>0.9</v>
      </c>
      <c r="Z36" s="249">
        <v>0.9</v>
      </c>
      <c r="AA36" s="249">
        <v>0.4</v>
      </c>
      <c r="AB36" s="249">
        <v>0.4</v>
      </c>
      <c r="AC36" s="365">
        <v>0.4</v>
      </c>
    </row>
    <row r="37" spans="1:29" ht="26.4" customHeight="1" thickBot="1" x14ac:dyDescent="0.35">
      <c r="A37" s="742"/>
      <c r="B37" s="776"/>
      <c r="C37" s="746"/>
      <c r="D37" s="722"/>
      <c r="E37" s="366" t="s">
        <v>542</v>
      </c>
      <c r="F37" s="367">
        <v>0.4</v>
      </c>
      <c r="G37" s="367">
        <v>0.4</v>
      </c>
      <c r="H37" s="367">
        <v>0.4</v>
      </c>
      <c r="I37" s="367">
        <v>0.4</v>
      </c>
      <c r="J37" s="367">
        <v>0.4</v>
      </c>
      <c r="K37" s="367">
        <v>0.4</v>
      </c>
      <c r="L37" s="367">
        <v>0.4</v>
      </c>
      <c r="M37" s="367">
        <v>0.4</v>
      </c>
      <c r="N37" s="367">
        <v>0.9</v>
      </c>
      <c r="O37" s="367">
        <v>0.9</v>
      </c>
      <c r="P37" s="367">
        <v>0.9</v>
      </c>
      <c r="Q37" s="367">
        <v>0.9</v>
      </c>
      <c r="R37" s="367">
        <v>0.9</v>
      </c>
      <c r="S37" s="367">
        <v>0.9</v>
      </c>
      <c r="T37" s="367">
        <v>0.9</v>
      </c>
      <c r="U37" s="367">
        <v>0.9</v>
      </c>
      <c r="V37" s="367">
        <v>0.9</v>
      </c>
      <c r="W37" s="367">
        <v>0.9</v>
      </c>
      <c r="X37" s="367">
        <v>0.9</v>
      </c>
      <c r="Y37" s="367">
        <v>0.9</v>
      </c>
      <c r="Z37" s="367">
        <v>0.9</v>
      </c>
      <c r="AA37" s="367">
        <v>0.4</v>
      </c>
      <c r="AB37" s="367">
        <v>0.4</v>
      </c>
      <c r="AC37" s="368">
        <v>0.4</v>
      </c>
    </row>
    <row r="38" spans="1:29" ht="26.4" customHeight="1" x14ac:dyDescent="0.3">
      <c r="A38" s="740" t="str">
        <f>A29</f>
        <v>Storage &amp; Loading Dock</v>
      </c>
      <c r="B38" s="743" t="str">
        <f>B29</f>
        <v>Ancillary</v>
      </c>
      <c r="C38" s="745" t="s">
        <v>547</v>
      </c>
      <c r="D38" s="747" t="s">
        <v>402</v>
      </c>
      <c r="E38" s="327" t="s">
        <v>540</v>
      </c>
      <c r="F38" s="356">
        <v>0</v>
      </c>
      <c r="G38" s="356">
        <v>0</v>
      </c>
      <c r="H38" s="356">
        <v>0</v>
      </c>
      <c r="I38" s="356">
        <v>0</v>
      </c>
      <c r="J38" s="356">
        <v>0</v>
      </c>
      <c r="K38" s="356">
        <v>0</v>
      </c>
      <c r="L38" s="356">
        <v>1</v>
      </c>
      <c r="M38" s="356">
        <v>1</v>
      </c>
      <c r="N38" s="356">
        <v>1</v>
      </c>
      <c r="O38" s="356">
        <v>1</v>
      </c>
      <c r="P38" s="356">
        <v>1</v>
      </c>
      <c r="Q38" s="356">
        <v>1</v>
      </c>
      <c r="R38" s="356">
        <v>1</v>
      </c>
      <c r="S38" s="356">
        <v>1</v>
      </c>
      <c r="T38" s="356">
        <v>1</v>
      </c>
      <c r="U38" s="356">
        <v>1</v>
      </c>
      <c r="V38" s="356">
        <v>1</v>
      </c>
      <c r="W38" s="356">
        <v>1</v>
      </c>
      <c r="X38" s="356">
        <v>1</v>
      </c>
      <c r="Y38" s="356">
        <v>1</v>
      </c>
      <c r="Z38" s="356">
        <v>1</v>
      </c>
      <c r="AA38" s="356">
        <v>0</v>
      </c>
      <c r="AB38" s="356">
        <v>0</v>
      </c>
      <c r="AC38" s="357">
        <v>0</v>
      </c>
    </row>
    <row r="39" spans="1:29" ht="26.4" customHeight="1" x14ac:dyDescent="0.3">
      <c r="A39" s="741"/>
      <c r="B39" s="729"/>
      <c r="C39" s="731"/>
      <c r="D39" s="734"/>
      <c r="E39" s="325" t="s">
        <v>541</v>
      </c>
      <c r="F39" s="328">
        <v>0</v>
      </c>
      <c r="G39" s="328">
        <v>0</v>
      </c>
      <c r="H39" s="328">
        <v>0</v>
      </c>
      <c r="I39" s="328">
        <v>0</v>
      </c>
      <c r="J39" s="328">
        <v>0</v>
      </c>
      <c r="K39" s="328">
        <v>0</v>
      </c>
      <c r="L39" s="328">
        <v>1</v>
      </c>
      <c r="M39" s="328">
        <v>1</v>
      </c>
      <c r="N39" s="328">
        <v>1</v>
      </c>
      <c r="O39" s="328">
        <v>1</v>
      </c>
      <c r="P39" s="328">
        <v>1</v>
      </c>
      <c r="Q39" s="328">
        <v>1</v>
      </c>
      <c r="R39" s="328">
        <v>1</v>
      </c>
      <c r="S39" s="328">
        <v>1</v>
      </c>
      <c r="T39" s="328">
        <v>1</v>
      </c>
      <c r="U39" s="328">
        <v>1</v>
      </c>
      <c r="V39" s="328">
        <v>1</v>
      </c>
      <c r="W39" s="328">
        <v>1</v>
      </c>
      <c r="X39" s="328">
        <v>1</v>
      </c>
      <c r="Y39" s="328">
        <v>1</v>
      </c>
      <c r="Z39" s="328">
        <v>1</v>
      </c>
      <c r="AA39" s="328">
        <v>1</v>
      </c>
      <c r="AB39" s="328">
        <v>0</v>
      </c>
      <c r="AC39" s="358">
        <v>0</v>
      </c>
    </row>
    <row r="40" spans="1:29" ht="26.4" customHeight="1" thickBot="1" x14ac:dyDescent="0.35">
      <c r="A40" s="742"/>
      <c r="B40" s="744"/>
      <c r="C40" s="746"/>
      <c r="D40" s="748"/>
      <c r="E40" s="329" t="s">
        <v>542</v>
      </c>
      <c r="F40" s="359">
        <v>0</v>
      </c>
      <c r="G40" s="359">
        <v>0</v>
      </c>
      <c r="H40" s="359">
        <v>0</v>
      </c>
      <c r="I40" s="359">
        <v>0</v>
      </c>
      <c r="J40" s="359">
        <v>0</v>
      </c>
      <c r="K40" s="359">
        <v>0</v>
      </c>
      <c r="L40" s="359">
        <v>0</v>
      </c>
      <c r="M40" s="359">
        <v>0</v>
      </c>
      <c r="N40" s="359">
        <v>1</v>
      </c>
      <c r="O40" s="359">
        <v>1</v>
      </c>
      <c r="P40" s="359">
        <v>1</v>
      </c>
      <c r="Q40" s="359">
        <v>1</v>
      </c>
      <c r="R40" s="359">
        <v>1</v>
      </c>
      <c r="S40" s="359">
        <v>1</v>
      </c>
      <c r="T40" s="359">
        <v>1</v>
      </c>
      <c r="U40" s="359">
        <v>1</v>
      </c>
      <c r="V40" s="359">
        <v>1</v>
      </c>
      <c r="W40" s="359">
        <v>1</v>
      </c>
      <c r="X40" s="359">
        <v>1</v>
      </c>
      <c r="Y40" s="359">
        <v>0</v>
      </c>
      <c r="Z40" s="359">
        <v>0</v>
      </c>
      <c r="AA40" s="359">
        <v>0</v>
      </c>
      <c r="AB40" s="359">
        <v>0</v>
      </c>
      <c r="AC40" s="360">
        <v>0</v>
      </c>
    </row>
    <row r="41" spans="1:29" ht="26.4" customHeight="1" x14ac:dyDescent="0.3">
      <c r="A41" s="726" t="str">
        <f>A29</f>
        <v>Storage &amp; Loading Dock</v>
      </c>
      <c r="B41" s="729" t="str">
        <f>B29</f>
        <v>Ancillary</v>
      </c>
      <c r="C41" s="730" t="s">
        <v>548</v>
      </c>
      <c r="D41" s="733" t="s">
        <v>552</v>
      </c>
      <c r="E41" s="330" t="s">
        <v>540</v>
      </c>
      <c r="F41" s="272">
        <v>0</v>
      </c>
      <c r="G41" s="272">
        <v>0</v>
      </c>
      <c r="H41" s="272">
        <v>0</v>
      </c>
      <c r="I41" s="272">
        <v>0</v>
      </c>
      <c r="J41" s="272">
        <v>0</v>
      </c>
      <c r="K41" s="272">
        <v>0</v>
      </c>
      <c r="L41" s="272">
        <v>0</v>
      </c>
      <c r="M41" s="272">
        <v>0</v>
      </c>
      <c r="N41" s="272">
        <v>0</v>
      </c>
      <c r="O41" s="272">
        <v>0</v>
      </c>
      <c r="P41" s="272">
        <v>0</v>
      </c>
      <c r="Q41" s="272">
        <v>0</v>
      </c>
      <c r="R41" s="272">
        <v>0</v>
      </c>
      <c r="S41" s="272">
        <v>0</v>
      </c>
      <c r="T41" s="272">
        <v>0</v>
      </c>
      <c r="U41" s="272">
        <v>0</v>
      </c>
      <c r="V41" s="272">
        <v>0</v>
      </c>
      <c r="W41" s="272">
        <v>0</v>
      </c>
      <c r="X41" s="272">
        <v>0</v>
      </c>
      <c r="Y41" s="272">
        <v>0</v>
      </c>
      <c r="Z41" s="272">
        <v>0</v>
      </c>
      <c r="AA41" s="272">
        <v>0</v>
      </c>
      <c r="AB41" s="272">
        <v>0</v>
      </c>
      <c r="AC41" s="275">
        <v>0</v>
      </c>
    </row>
    <row r="42" spans="1:29" ht="26.4" customHeight="1" x14ac:dyDescent="0.3">
      <c r="A42" s="727"/>
      <c r="B42" s="729"/>
      <c r="C42" s="731"/>
      <c r="D42" s="734"/>
      <c r="E42" s="325" t="s">
        <v>541</v>
      </c>
      <c r="F42" s="248">
        <v>0</v>
      </c>
      <c r="G42" s="248">
        <v>0</v>
      </c>
      <c r="H42" s="248">
        <v>0</v>
      </c>
      <c r="I42" s="248">
        <v>0</v>
      </c>
      <c r="J42" s="248">
        <v>0</v>
      </c>
      <c r="K42" s="248">
        <v>0</v>
      </c>
      <c r="L42" s="248">
        <v>0</v>
      </c>
      <c r="M42" s="248">
        <v>0</v>
      </c>
      <c r="N42" s="248">
        <v>0</v>
      </c>
      <c r="O42" s="248">
        <v>0</v>
      </c>
      <c r="P42" s="248">
        <v>0</v>
      </c>
      <c r="Q42" s="248">
        <v>0</v>
      </c>
      <c r="R42" s="248">
        <v>0</v>
      </c>
      <c r="S42" s="248">
        <v>0</v>
      </c>
      <c r="T42" s="248">
        <v>0</v>
      </c>
      <c r="U42" s="248">
        <v>0</v>
      </c>
      <c r="V42" s="248">
        <v>0</v>
      </c>
      <c r="W42" s="248">
        <v>0</v>
      </c>
      <c r="X42" s="248">
        <v>0</v>
      </c>
      <c r="Y42" s="248">
        <v>0</v>
      </c>
      <c r="Z42" s="248">
        <v>0</v>
      </c>
      <c r="AA42" s="248">
        <v>0</v>
      </c>
      <c r="AB42" s="248">
        <v>0</v>
      </c>
      <c r="AC42" s="331">
        <v>0</v>
      </c>
    </row>
    <row r="43" spans="1:29" ht="26.4" customHeight="1" thickBot="1" x14ac:dyDescent="0.35">
      <c r="A43" s="756"/>
      <c r="B43" s="757"/>
      <c r="C43" s="758"/>
      <c r="D43" s="748"/>
      <c r="E43" s="332" t="s">
        <v>542</v>
      </c>
      <c r="F43" s="333">
        <v>0</v>
      </c>
      <c r="G43" s="333">
        <v>0</v>
      </c>
      <c r="H43" s="333">
        <v>0</v>
      </c>
      <c r="I43" s="333">
        <v>0</v>
      </c>
      <c r="J43" s="333">
        <v>0</v>
      </c>
      <c r="K43" s="333">
        <v>0</v>
      </c>
      <c r="L43" s="333">
        <v>0</v>
      </c>
      <c r="M43" s="333">
        <v>0</v>
      </c>
      <c r="N43" s="333">
        <v>0</v>
      </c>
      <c r="O43" s="333">
        <v>0</v>
      </c>
      <c r="P43" s="333">
        <v>0</v>
      </c>
      <c r="Q43" s="333">
        <v>0</v>
      </c>
      <c r="R43" s="333">
        <v>0</v>
      </c>
      <c r="S43" s="333">
        <v>0</v>
      </c>
      <c r="T43" s="333">
        <v>0</v>
      </c>
      <c r="U43" s="333">
        <v>0</v>
      </c>
      <c r="V43" s="333">
        <v>0</v>
      </c>
      <c r="W43" s="333">
        <v>0</v>
      </c>
      <c r="X43" s="333">
        <v>0</v>
      </c>
      <c r="Y43" s="333">
        <v>0</v>
      </c>
      <c r="Z43" s="333">
        <v>0</v>
      </c>
      <c r="AA43" s="333">
        <v>0</v>
      </c>
      <c r="AB43" s="333">
        <v>0</v>
      </c>
      <c r="AC43" s="334">
        <v>0</v>
      </c>
    </row>
    <row r="44" spans="1:29" ht="26.4" customHeight="1" x14ac:dyDescent="0.3">
      <c r="A44" s="726" t="str">
        <f>A32</f>
        <v>Storage &amp; Loading Dock</v>
      </c>
      <c r="B44" s="737" t="str">
        <f>B29</f>
        <v>Ancillary</v>
      </c>
      <c r="C44" s="759" t="s">
        <v>239</v>
      </c>
      <c r="D44" s="733" t="s">
        <v>402</v>
      </c>
      <c r="E44" s="335" t="s">
        <v>540</v>
      </c>
      <c r="F44" s="356">
        <v>1</v>
      </c>
      <c r="G44" s="356">
        <v>1</v>
      </c>
      <c r="H44" s="356">
        <v>1</v>
      </c>
      <c r="I44" s="356">
        <v>1</v>
      </c>
      <c r="J44" s="356">
        <v>1</v>
      </c>
      <c r="K44" s="356">
        <v>1</v>
      </c>
      <c r="L44" s="356">
        <v>0.25</v>
      </c>
      <c r="M44" s="356">
        <v>0.25</v>
      </c>
      <c r="N44" s="356">
        <v>0.25</v>
      </c>
      <c r="O44" s="356">
        <v>0.25</v>
      </c>
      <c r="P44" s="356">
        <v>0.25</v>
      </c>
      <c r="Q44" s="356">
        <v>0.25</v>
      </c>
      <c r="R44" s="356">
        <v>0.25</v>
      </c>
      <c r="S44" s="356">
        <v>0.25</v>
      </c>
      <c r="T44" s="356">
        <v>0.25</v>
      </c>
      <c r="U44" s="356">
        <v>0.25</v>
      </c>
      <c r="V44" s="356">
        <v>0.25</v>
      </c>
      <c r="W44" s="356">
        <v>0.25</v>
      </c>
      <c r="X44" s="356">
        <v>0.25</v>
      </c>
      <c r="Y44" s="356">
        <v>0.25</v>
      </c>
      <c r="Z44" s="356">
        <v>0.25</v>
      </c>
      <c r="AA44" s="356">
        <v>1</v>
      </c>
      <c r="AB44" s="356">
        <v>1</v>
      </c>
      <c r="AC44" s="357">
        <v>1</v>
      </c>
    </row>
    <row r="45" spans="1:29" ht="26.4" customHeight="1" x14ac:dyDescent="0.3">
      <c r="A45" s="727"/>
      <c r="B45" s="729"/>
      <c r="C45" s="731"/>
      <c r="D45" s="734"/>
      <c r="E45" s="325" t="s">
        <v>541</v>
      </c>
      <c r="F45" s="328">
        <v>1</v>
      </c>
      <c r="G45" s="328">
        <v>1</v>
      </c>
      <c r="H45" s="328">
        <v>1</v>
      </c>
      <c r="I45" s="328">
        <v>1</v>
      </c>
      <c r="J45" s="328">
        <v>1</v>
      </c>
      <c r="K45" s="328">
        <v>1</v>
      </c>
      <c r="L45" s="328">
        <v>0.25</v>
      </c>
      <c r="M45" s="328">
        <v>0.25</v>
      </c>
      <c r="N45" s="328">
        <v>0.25</v>
      </c>
      <c r="O45" s="328">
        <v>0.25</v>
      </c>
      <c r="P45" s="328">
        <v>0.25</v>
      </c>
      <c r="Q45" s="328">
        <v>0.25</v>
      </c>
      <c r="R45" s="328">
        <v>0.25</v>
      </c>
      <c r="S45" s="328">
        <v>0.25</v>
      </c>
      <c r="T45" s="328">
        <v>0.25</v>
      </c>
      <c r="U45" s="328">
        <v>0.25</v>
      </c>
      <c r="V45" s="328">
        <v>0.25</v>
      </c>
      <c r="W45" s="328">
        <v>0.25</v>
      </c>
      <c r="X45" s="328">
        <v>0.25</v>
      </c>
      <c r="Y45" s="328">
        <v>0.25</v>
      </c>
      <c r="Z45" s="328">
        <v>0.25</v>
      </c>
      <c r="AA45" s="328">
        <v>0.25</v>
      </c>
      <c r="AB45" s="328">
        <v>1</v>
      </c>
      <c r="AC45" s="358">
        <v>1</v>
      </c>
    </row>
    <row r="46" spans="1:29" ht="26.4" customHeight="1" thickBot="1" x14ac:dyDescent="0.35">
      <c r="A46" s="728"/>
      <c r="B46" s="757"/>
      <c r="C46" s="732"/>
      <c r="D46" s="760"/>
      <c r="E46" s="326" t="s">
        <v>542</v>
      </c>
      <c r="F46" s="359">
        <v>1</v>
      </c>
      <c r="G46" s="359">
        <v>1</v>
      </c>
      <c r="H46" s="359">
        <v>1</v>
      </c>
      <c r="I46" s="359">
        <v>1</v>
      </c>
      <c r="J46" s="359">
        <v>1</v>
      </c>
      <c r="K46" s="359">
        <v>1</v>
      </c>
      <c r="L46" s="359">
        <v>1</v>
      </c>
      <c r="M46" s="359">
        <v>1</v>
      </c>
      <c r="N46" s="359">
        <v>0.25</v>
      </c>
      <c r="O46" s="359">
        <v>0.25</v>
      </c>
      <c r="P46" s="359">
        <v>0.25</v>
      </c>
      <c r="Q46" s="359">
        <v>0.25</v>
      </c>
      <c r="R46" s="359">
        <v>0.25</v>
      </c>
      <c r="S46" s="359">
        <v>0.25</v>
      </c>
      <c r="T46" s="359">
        <v>0.25</v>
      </c>
      <c r="U46" s="359">
        <v>0.25</v>
      </c>
      <c r="V46" s="359">
        <v>0.25</v>
      </c>
      <c r="W46" s="359">
        <v>0.25</v>
      </c>
      <c r="X46" s="359">
        <v>0.25</v>
      </c>
      <c r="Y46" s="359">
        <v>1</v>
      </c>
      <c r="Z46" s="359">
        <v>1</v>
      </c>
      <c r="AA46" s="359">
        <v>1</v>
      </c>
      <c r="AB46" s="359">
        <v>1</v>
      </c>
      <c r="AC46" s="360">
        <v>1</v>
      </c>
    </row>
    <row r="47" spans="1:29" ht="26.4" customHeight="1" x14ac:dyDescent="0.3">
      <c r="A47" s="740" t="str">
        <f>A32</f>
        <v>Storage &amp; Loading Dock</v>
      </c>
      <c r="B47" s="743" t="str">
        <f>B32</f>
        <v>Ancillary</v>
      </c>
      <c r="C47" s="778" t="s">
        <v>549</v>
      </c>
      <c r="D47" s="778" t="s">
        <v>553</v>
      </c>
      <c r="E47" s="336" t="s">
        <v>540</v>
      </c>
      <c r="F47" s="337">
        <v>50</v>
      </c>
      <c r="G47" s="337">
        <v>50</v>
      </c>
      <c r="H47" s="337">
        <v>50</v>
      </c>
      <c r="I47" s="337">
        <v>60</v>
      </c>
      <c r="J47" s="337">
        <v>60</v>
      </c>
      <c r="K47" s="337">
        <v>60</v>
      </c>
      <c r="L47" s="337">
        <v>60</v>
      </c>
      <c r="M47" s="337">
        <v>60</v>
      </c>
      <c r="N47" s="337">
        <v>60</v>
      </c>
      <c r="O47" s="337">
        <v>60</v>
      </c>
      <c r="P47" s="337">
        <v>60</v>
      </c>
      <c r="Q47" s="337">
        <v>60</v>
      </c>
      <c r="R47" s="337">
        <v>60</v>
      </c>
      <c r="S47" s="337">
        <v>60</v>
      </c>
      <c r="T47" s="337">
        <v>60</v>
      </c>
      <c r="U47" s="337">
        <v>60</v>
      </c>
      <c r="V47" s="337">
        <v>50</v>
      </c>
      <c r="W47" s="337">
        <v>50</v>
      </c>
      <c r="X47" s="337">
        <v>50</v>
      </c>
      <c r="Y47" s="337">
        <v>50</v>
      </c>
      <c r="Z47" s="337">
        <v>50</v>
      </c>
      <c r="AA47" s="337">
        <v>50</v>
      </c>
      <c r="AB47" s="337">
        <v>50</v>
      </c>
      <c r="AC47" s="338">
        <v>50</v>
      </c>
    </row>
    <row r="48" spans="1:29" ht="26.4" customHeight="1" x14ac:dyDescent="0.3">
      <c r="A48" s="741"/>
      <c r="B48" s="729"/>
      <c r="C48" s="779"/>
      <c r="D48" s="779"/>
      <c r="E48" s="339" t="s">
        <v>541</v>
      </c>
      <c r="F48" s="340">
        <v>50</v>
      </c>
      <c r="G48" s="340">
        <v>50</v>
      </c>
      <c r="H48" s="340">
        <v>50</v>
      </c>
      <c r="I48" s="340">
        <v>60</v>
      </c>
      <c r="J48" s="340">
        <v>60</v>
      </c>
      <c r="K48" s="340">
        <v>60</v>
      </c>
      <c r="L48" s="340">
        <v>60</v>
      </c>
      <c r="M48" s="340">
        <v>60</v>
      </c>
      <c r="N48" s="340">
        <v>60</v>
      </c>
      <c r="O48" s="340">
        <v>60</v>
      </c>
      <c r="P48" s="340">
        <v>60</v>
      </c>
      <c r="Q48" s="340">
        <v>60</v>
      </c>
      <c r="R48" s="340">
        <v>60</v>
      </c>
      <c r="S48" s="340">
        <v>60</v>
      </c>
      <c r="T48" s="340">
        <v>60</v>
      </c>
      <c r="U48" s="340">
        <v>60</v>
      </c>
      <c r="V48" s="340">
        <v>50</v>
      </c>
      <c r="W48" s="340">
        <v>50</v>
      </c>
      <c r="X48" s="340">
        <v>50</v>
      </c>
      <c r="Y48" s="340">
        <v>50</v>
      </c>
      <c r="Z48" s="340">
        <v>50</v>
      </c>
      <c r="AA48" s="340">
        <v>50</v>
      </c>
      <c r="AB48" s="340">
        <v>50</v>
      </c>
      <c r="AC48" s="341">
        <v>50</v>
      </c>
    </row>
    <row r="49" spans="1:29" ht="26.4" customHeight="1" thickBot="1" x14ac:dyDescent="0.35">
      <c r="A49" s="777"/>
      <c r="B49" s="729"/>
      <c r="C49" s="780"/>
      <c r="D49" s="780"/>
      <c r="E49" s="342" t="s">
        <v>542</v>
      </c>
      <c r="F49" s="340">
        <v>50</v>
      </c>
      <c r="G49" s="340">
        <v>50</v>
      </c>
      <c r="H49" s="340">
        <v>50</v>
      </c>
      <c r="I49" s="340">
        <v>60</v>
      </c>
      <c r="J49" s="340">
        <v>60</v>
      </c>
      <c r="K49" s="340">
        <v>60</v>
      </c>
      <c r="L49" s="340">
        <v>60</v>
      </c>
      <c r="M49" s="340">
        <v>60</v>
      </c>
      <c r="N49" s="340">
        <v>60</v>
      </c>
      <c r="O49" s="340">
        <v>60</v>
      </c>
      <c r="P49" s="340">
        <v>60</v>
      </c>
      <c r="Q49" s="340">
        <v>60</v>
      </c>
      <c r="R49" s="340">
        <v>60</v>
      </c>
      <c r="S49" s="340">
        <v>60</v>
      </c>
      <c r="T49" s="340">
        <v>60</v>
      </c>
      <c r="U49" s="340">
        <v>60</v>
      </c>
      <c r="V49" s="340">
        <v>50</v>
      </c>
      <c r="W49" s="340">
        <v>50</v>
      </c>
      <c r="X49" s="340">
        <v>50</v>
      </c>
      <c r="Y49" s="340">
        <v>50</v>
      </c>
      <c r="Z49" s="340">
        <v>50</v>
      </c>
      <c r="AA49" s="340">
        <v>50</v>
      </c>
      <c r="AB49" s="340">
        <v>50</v>
      </c>
      <c r="AC49" s="341">
        <v>50</v>
      </c>
    </row>
    <row r="50" spans="1:29" ht="26.4" customHeight="1" x14ac:dyDescent="0.3">
      <c r="A50" s="736" t="str">
        <f>A29</f>
        <v>Storage &amp; Loading Dock</v>
      </c>
      <c r="B50" s="737" t="str">
        <f>B29</f>
        <v>Ancillary</v>
      </c>
      <c r="C50" s="781" t="s">
        <v>550</v>
      </c>
      <c r="D50" s="755" t="s">
        <v>553</v>
      </c>
      <c r="E50" s="343" t="s">
        <v>540</v>
      </c>
      <c r="F50" s="344">
        <v>85</v>
      </c>
      <c r="G50" s="344">
        <v>85</v>
      </c>
      <c r="H50" s="344">
        <v>85</v>
      </c>
      <c r="I50" s="344">
        <v>75</v>
      </c>
      <c r="J50" s="344">
        <v>75</v>
      </c>
      <c r="K50" s="344">
        <v>75</v>
      </c>
      <c r="L50" s="344">
        <v>75</v>
      </c>
      <c r="M50" s="344">
        <v>75</v>
      </c>
      <c r="N50" s="344">
        <v>75</v>
      </c>
      <c r="O50" s="344">
        <v>75</v>
      </c>
      <c r="P50" s="344">
        <v>75</v>
      </c>
      <c r="Q50" s="344">
        <v>75</v>
      </c>
      <c r="R50" s="344">
        <v>75</v>
      </c>
      <c r="S50" s="344">
        <v>75</v>
      </c>
      <c r="T50" s="344">
        <v>75</v>
      </c>
      <c r="U50" s="344">
        <v>75</v>
      </c>
      <c r="V50" s="344">
        <v>85</v>
      </c>
      <c r="W50" s="344">
        <v>85</v>
      </c>
      <c r="X50" s="344">
        <v>85</v>
      </c>
      <c r="Y50" s="344">
        <v>85</v>
      </c>
      <c r="Z50" s="344">
        <v>85</v>
      </c>
      <c r="AA50" s="344">
        <v>85</v>
      </c>
      <c r="AB50" s="344">
        <v>85</v>
      </c>
      <c r="AC50" s="345">
        <v>85</v>
      </c>
    </row>
    <row r="51" spans="1:29" ht="26.4" customHeight="1" x14ac:dyDescent="0.3">
      <c r="A51" s="727"/>
      <c r="B51" s="729"/>
      <c r="C51" s="782"/>
      <c r="D51" s="734"/>
      <c r="E51" s="346" t="s">
        <v>541</v>
      </c>
      <c r="F51" s="347">
        <v>85</v>
      </c>
      <c r="G51" s="347">
        <v>85</v>
      </c>
      <c r="H51" s="347">
        <v>85</v>
      </c>
      <c r="I51" s="347">
        <v>75</v>
      </c>
      <c r="J51" s="347">
        <v>75</v>
      </c>
      <c r="K51" s="347">
        <v>75</v>
      </c>
      <c r="L51" s="347">
        <v>75</v>
      </c>
      <c r="M51" s="347">
        <v>75</v>
      </c>
      <c r="N51" s="347">
        <v>75</v>
      </c>
      <c r="O51" s="347">
        <v>75</v>
      </c>
      <c r="P51" s="347">
        <v>75</v>
      </c>
      <c r="Q51" s="347">
        <v>75</v>
      </c>
      <c r="R51" s="347">
        <v>75</v>
      </c>
      <c r="S51" s="347">
        <v>75</v>
      </c>
      <c r="T51" s="347">
        <v>75</v>
      </c>
      <c r="U51" s="347">
        <v>75</v>
      </c>
      <c r="V51" s="347">
        <v>85</v>
      </c>
      <c r="W51" s="347">
        <v>85</v>
      </c>
      <c r="X51" s="347">
        <v>85</v>
      </c>
      <c r="Y51" s="347">
        <v>85</v>
      </c>
      <c r="Z51" s="347">
        <v>85</v>
      </c>
      <c r="AA51" s="347">
        <v>85</v>
      </c>
      <c r="AB51" s="347">
        <v>85</v>
      </c>
      <c r="AC51" s="348">
        <v>85</v>
      </c>
    </row>
    <row r="52" spans="1:29" ht="26.4" customHeight="1" x14ac:dyDescent="0.3">
      <c r="A52" s="728"/>
      <c r="B52" s="729"/>
      <c r="C52" s="783"/>
      <c r="D52" s="735"/>
      <c r="E52" s="349" t="s">
        <v>542</v>
      </c>
      <c r="F52" s="350">
        <v>85</v>
      </c>
      <c r="G52" s="350">
        <v>85</v>
      </c>
      <c r="H52" s="350">
        <v>85</v>
      </c>
      <c r="I52" s="350">
        <v>75</v>
      </c>
      <c r="J52" s="350">
        <v>75</v>
      </c>
      <c r="K52" s="350">
        <v>75</v>
      </c>
      <c r="L52" s="350">
        <v>75</v>
      </c>
      <c r="M52" s="350">
        <v>75</v>
      </c>
      <c r="N52" s="350">
        <v>75</v>
      </c>
      <c r="O52" s="350">
        <v>75</v>
      </c>
      <c r="P52" s="350">
        <v>75</v>
      </c>
      <c r="Q52" s="350">
        <v>75</v>
      </c>
      <c r="R52" s="350">
        <v>75</v>
      </c>
      <c r="S52" s="350">
        <v>75</v>
      </c>
      <c r="T52" s="350">
        <v>75</v>
      </c>
      <c r="U52" s="350">
        <v>75</v>
      </c>
      <c r="V52" s="350">
        <v>85</v>
      </c>
      <c r="W52" s="350">
        <v>85</v>
      </c>
      <c r="X52" s="350">
        <v>85</v>
      </c>
      <c r="Y52" s="350">
        <v>85</v>
      </c>
      <c r="Z52" s="350">
        <v>85</v>
      </c>
      <c r="AA52" s="350">
        <v>85</v>
      </c>
      <c r="AB52" s="350">
        <v>85</v>
      </c>
      <c r="AC52" s="351">
        <v>85</v>
      </c>
    </row>
    <row r="53" spans="1:29" ht="26.4" customHeight="1" x14ac:dyDescent="0.3">
      <c r="A53" s="761" t="s">
        <v>554</v>
      </c>
      <c r="B53" s="764" t="s">
        <v>142</v>
      </c>
      <c r="C53" s="767" t="s">
        <v>555</v>
      </c>
      <c r="D53" s="770" t="s">
        <v>556</v>
      </c>
      <c r="E53" s="571" t="s">
        <v>540</v>
      </c>
      <c r="F53" s="272">
        <v>0</v>
      </c>
      <c r="G53" s="272">
        <v>0</v>
      </c>
      <c r="H53" s="272">
        <v>0</v>
      </c>
      <c r="I53" s="272">
        <v>0</v>
      </c>
      <c r="J53" s="272">
        <v>0</v>
      </c>
      <c r="K53" s="272">
        <v>0</v>
      </c>
      <c r="L53" s="272">
        <v>0</v>
      </c>
      <c r="M53" s="272">
        <v>0.5</v>
      </c>
      <c r="N53" s="272">
        <v>0.5</v>
      </c>
      <c r="O53" s="272">
        <v>0.5</v>
      </c>
      <c r="P53" s="272">
        <v>0</v>
      </c>
      <c r="Q53" s="272">
        <v>0</v>
      </c>
      <c r="R53" s="272">
        <v>0</v>
      </c>
      <c r="S53" s="272">
        <v>0</v>
      </c>
      <c r="T53" s="272">
        <v>0</v>
      </c>
      <c r="U53" s="272">
        <v>0</v>
      </c>
      <c r="V53" s="272">
        <v>0</v>
      </c>
      <c r="W53" s="272">
        <v>0</v>
      </c>
      <c r="X53" s="272">
        <v>0</v>
      </c>
      <c r="Y53" s="272">
        <v>0</v>
      </c>
      <c r="Z53" s="272">
        <v>0</v>
      </c>
      <c r="AA53" s="272">
        <v>0</v>
      </c>
      <c r="AB53" s="272">
        <v>0</v>
      </c>
      <c r="AC53" s="273">
        <v>0</v>
      </c>
    </row>
    <row r="54" spans="1:29" ht="26.4" customHeight="1" x14ac:dyDescent="0.3">
      <c r="A54" s="762"/>
      <c r="B54" s="765"/>
      <c r="C54" s="768"/>
      <c r="D54" s="771"/>
      <c r="E54" s="163" t="s">
        <v>541</v>
      </c>
      <c r="F54" s="248">
        <v>0</v>
      </c>
      <c r="G54" s="248">
        <v>0</v>
      </c>
      <c r="H54" s="248">
        <v>0</v>
      </c>
      <c r="I54" s="248">
        <v>0</v>
      </c>
      <c r="J54" s="248">
        <v>0</v>
      </c>
      <c r="K54" s="248">
        <v>0</v>
      </c>
      <c r="L54" s="248">
        <v>0</v>
      </c>
      <c r="M54" s="248">
        <v>0.5</v>
      </c>
      <c r="N54" s="248">
        <v>0.5</v>
      </c>
      <c r="O54" s="248">
        <v>0.5</v>
      </c>
      <c r="P54" s="248">
        <v>0</v>
      </c>
      <c r="Q54" s="248">
        <v>0</v>
      </c>
      <c r="R54" s="248">
        <v>0</v>
      </c>
      <c r="S54" s="248">
        <v>0</v>
      </c>
      <c r="T54" s="248">
        <v>0</v>
      </c>
      <c r="U54" s="248">
        <v>0</v>
      </c>
      <c r="V54" s="248">
        <v>0</v>
      </c>
      <c r="W54" s="248">
        <v>0</v>
      </c>
      <c r="X54" s="248">
        <v>0</v>
      </c>
      <c r="Y54" s="248">
        <v>0</v>
      </c>
      <c r="Z54" s="248">
        <v>0</v>
      </c>
      <c r="AA54" s="248">
        <v>0</v>
      </c>
      <c r="AB54" s="248">
        <v>0</v>
      </c>
      <c r="AC54" s="274">
        <v>0</v>
      </c>
    </row>
    <row r="55" spans="1:29" ht="26.4" customHeight="1" x14ac:dyDescent="0.3">
      <c r="A55" s="763"/>
      <c r="B55" s="766"/>
      <c r="C55" s="769"/>
      <c r="D55" s="772"/>
      <c r="E55" s="137" t="s">
        <v>542</v>
      </c>
      <c r="F55" s="272">
        <v>0</v>
      </c>
      <c r="G55" s="272">
        <v>0</v>
      </c>
      <c r="H55" s="272">
        <v>0</v>
      </c>
      <c r="I55" s="272">
        <v>0</v>
      </c>
      <c r="J55" s="272">
        <v>0</v>
      </c>
      <c r="K55" s="272">
        <v>0</v>
      </c>
      <c r="L55" s="272">
        <v>0</v>
      </c>
      <c r="M55" s="272">
        <v>0.5</v>
      </c>
      <c r="N55" s="272">
        <v>0.5</v>
      </c>
      <c r="O55" s="272">
        <v>0.5</v>
      </c>
      <c r="P55" s="272">
        <v>0</v>
      </c>
      <c r="Q55" s="272">
        <v>0</v>
      </c>
      <c r="R55" s="272">
        <v>0</v>
      </c>
      <c r="S55" s="272">
        <v>0</v>
      </c>
      <c r="T55" s="272">
        <v>0</v>
      </c>
      <c r="U55" s="272">
        <v>0</v>
      </c>
      <c r="V55" s="272">
        <v>0</v>
      </c>
      <c r="W55" s="272">
        <v>0</v>
      </c>
      <c r="X55" s="272">
        <v>0</v>
      </c>
      <c r="Y55" s="272">
        <v>0</v>
      </c>
      <c r="Z55" s="272">
        <v>0</v>
      </c>
      <c r="AA55" s="272">
        <v>0</v>
      </c>
      <c r="AB55" s="272">
        <v>0</v>
      </c>
      <c r="AC55" s="275">
        <v>0</v>
      </c>
    </row>
    <row r="56" spans="1:29" ht="26.4" customHeight="1" x14ac:dyDescent="0.3">
      <c r="A56" s="704" t="s">
        <v>557</v>
      </c>
      <c r="B56" s="705"/>
      <c r="C56" s="705"/>
      <c r="D56" s="705"/>
      <c r="E56" s="706"/>
      <c r="F56" s="706"/>
      <c r="G56" s="706"/>
      <c r="H56" s="706"/>
      <c r="I56" s="706"/>
      <c r="J56" s="706"/>
      <c r="K56" s="706"/>
      <c r="L56" s="706"/>
      <c r="M56" s="706"/>
      <c r="N56" s="706"/>
      <c r="O56" s="706"/>
      <c r="P56" s="706"/>
      <c r="Q56" s="706"/>
      <c r="R56" s="706"/>
      <c r="S56" s="706"/>
      <c r="T56" s="706"/>
      <c r="U56" s="706"/>
      <c r="V56" s="706"/>
      <c r="W56" s="706"/>
      <c r="X56" s="706"/>
      <c r="Y56" s="706"/>
      <c r="Z56" s="706"/>
      <c r="AA56" s="706"/>
      <c r="AB56" s="706"/>
      <c r="AC56" s="707"/>
    </row>
    <row r="57" spans="1:29" ht="26.4" customHeight="1" x14ac:dyDescent="0.3">
      <c r="A57" s="699"/>
      <c r="B57" s="684" t="s">
        <v>110</v>
      </c>
      <c r="C57" s="687" t="s">
        <v>558</v>
      </c>
      <c r="D57" s="688"/>
      <c r="E57" s="191" t="s">
        <v>540</v>
      </c>
      <c r="F57" s="193">
        <v>1</v>
      </c>
      <c r="G57" s="193">
        <v>1</v>
      </c>
      <c r="H57" s="193">
        <v>1</v>
      </c>
      <c r="I57" s="193">
        <v>1</v>
      </c>
      <c r="J57" s="193">
        <v>1</v>
      </c>
      <c r="K57" s="193">
        <v>1</v>
      </c>
      <c r="L57" s="193">
        <v>1</v>
      </c>
      <c r="M57" s="193">
        <v>1</v>
      </c>
      <c r="N57" s="193">
        <v>1</v>
      </c>
      <c r="O57" s="193">
        <v>1</v>
      </c>
      <c r="P57" s="193">
        <v>1</v>
      </c>
      <c r="Q57" s="193">
        <v>1</v>
      </c>
      <c r="R57" s="193">
        <v>1</v>
      </c>
      <c r="S57" s="193">
        <v>1</v>
      </c>
      <c r="T57" s="193">
        <v>1</v>
      </c>
      <c r="U57" s="193">
        <v>1</v>
      </c>
      <c r="V57" s="193">
        <v>1</v>
      </c>
      <c r="W57" s="193">
        <v>1</v>
      </c>
      <c r="X57" s="193">
        <v>1</v>
      </c>
      <c r="Y57" s="193">
        <v>1</v>
      </c>
      <c r="Z57" s="193">
        <v>1</v>
      </c>
      <c r="AA57" s="193">
        <v>1</v>
      </c>
      <c r="AB57" s="193">
        <v>1</v>
      </c>
      <c r="AC57" s="369">
        <v>1</v>
      </c>
    </row>
    <row r="58" spans="1:29" ht="26.4" customHeight="1" x14ac:dyDescent="0.3">
      <c r="A58" s="700"/>
      <c r="B58" s="685"/>
      <c r="C58" s="676"/>
      <c r="D58" s="688"/>
      <c r="E58" s="167" t="s">
        <v>541</v>
      </c>
      <c r="F58" s="164">
        <v>1</v>
      </c>
      <c r="G58" s="164">
        <v>1</v>
      </c>
      <c r="H58" s="164">
        <v>1</v>
      </c>
      <c r="I58" s="164">
        <v>1</v>
      </c>
      <c r="J58" s="164">
        <v>1</v>
      </c>
      <c r="K58" s="164">
        <v>1</v>
      </c>
      <c r="L58" s="164">
        <v>1</v>
      </c>
      <c r="M58" s="164">
        <v>1</v>
      </c>
      <c r="N58" s="164">
        <v>1</v>
      </c>
      <c r="O58" s="164">
        <v>1</v>
      </c>
      <c r="P58" s="164">
        <v>1</v>
      </c>
      <c r="Q58" s="164">
        <v>1</v>
      </c>
      <c r="R58" s="164">
        <v>1</v>
      </c>
      <c r="S58" s="164">
        <v>1</v>
      </c>
      <c r="T58" s="164">
        <v>1</v>
      </c>
      <c r="U58" s="164">
        <v>1</v>
      </c>
      <c r="V58" s="164">
        <v>1</v>
      </c>
      <c r="W58" s="164">
        <v>1</v>
      </c>
      <c r="X58" s="164">
        <v>1</v>
      </c>
      <c r="Y58" s="164">
        <v>1</v>
      </c>
      <c r="Z58" s="164">
        <v>1</v>
      </c>
      <c r="AA58" s="164">
        <v>1</v>
      </c>
      <c r="AB58" s="164">
        <v>1</v>
      </c>
      <c r="AC58" s="171">
        <v>1</v>
      </c>
    </row>
    <row r="59" spans="1:29" ht="26.4" customHeight="1" thickBot="1" x14ac:dyDescent="0.35">
      <c r="A59" s="701"/>
      <c r="B59" s="702"/>
      <c r="C59" s="677"/>
      <c r="D59" s="703"/>
      <c r="E59" s="168" t="s">
        <v>542</v>
      </c>
      <c r="F59" s="172">
        <v>1</v>
      </c>
      <c r="G59" s="172">
        <v>1</v>
      </c>
      <c r="H59" s="172">
        <v>1</v>
      </c>
      <c r="I59" s="172">
        <v>1</v>
      </c>
      <c r="J59" s="172">
        <v>1</v>
      </c>
      <c r="K59" s="172">
        <v>1</v>
      </c>
      <c r="L59" s="172">
        <v>1</v>
      </c>
      <c r="M59" s="172">
        <v>1</v>
      </c>
      <c r="N59" s="172">
        <v>1</v>
      </c>
      <c r="O59" s="172">
        <v>1</v>
      </c>
      <c r="P59" s="172">
        <v>1</v>
      </c>
      <c r="Q59" s="172">
        <v>1</v>
      </c>
      <c r="R59" s="172">
        <v>1</v>
      </c>
      <c r="S59" s="172">
        <v>1</v>
      </c>
      <c r="T59" s="172">
        <v>1</v>
      </c>
      <c r="U59" s="172">
        <v>1</v>
      </c>
      <c r="V59" s="172">
        <v>1</v>
      </c>
      <c r="W59" s="172">
        <v>1</v>
      </c>
      <c r="X59" s="172">
        <v>1</v>
      </c>
      <c r="Y59" s="172">
        <v>1</v>
      </c>
      <c r="Z59" s="172">
        <v>1</v>
      </c>
      <c r="AA59" s="172">
        <v>1</v>
      </c>
      <c r="AB59" s="172">
        <v>1</v>
      </c>
      <c r="AC59" s="173">
        <v>1</v>
      </c>
    </row>
    <row r="60" spans="1:29" ht="26.4" customHeight="1" x14ac:dyDescent="0.3">
      <c r="A60" s="681"/>
      <c r="B60" s="684" t="s">
        <v>110</v>
      </c>
      <c r="C60" s="687" t="s">
        <v>559</v>
      </c>
      <c r="D60" s="688"/>
      <c r="E60" s="191" t="s">
        <v>540</v>
      </c>
      <c r="F60" s="193">
        <v>0</v>
      </c>
      <c r="G60" s="193">
        <v>0</v>
      </c>
      <c r="H60" s="193">
        <v>0</v>
      </c>
      <c r="I60" s="193">
        <v>0</v>
      </c>
      <c r="J60" s="193">
        <v>0</v>
      </c>
      <c r="K60" s="193">
        <v>1</v>
      </c>
      <c r="L60" s="193">
        <v>1</v>
      </c>
      <c r="M60" s="193">
        <v>1</v>
      </c>
      <c r="N60" s="193">
        <v>1</v>
      </c>
      <c r="O60" s="193">
        <v>1</v>
      </c>
      <c r="P60" s="193">
        <v>1</v>
      </c>
      <c r="Q60" s="193">
        <v>1</v>
      </c>
      <c r="R60" s="193">
        <v>1</v>
      </c>
      <c r="S60" s="193">
        <v>1</v>
      </c>
      <c r="T60" s="193">
        <v>1</v>
      </c>
      <c r="U60" s="193">
        <v>1</v>
      </c>
      <c r="V60" s="193">
        <v>1</v>
      </c>
      <c r="W60" s="193">
        <v>1</v>
      </c>
      <c r="X60" s="193">
        <v>1</v>
      </c>
      <c r="Y60" s="193">
        <v>1</v>
      </c>
      <c r="Z60" s="193">
        <v>1</v>
      </c>
      <c r="AA60" s="193">
        <v>1</v>
      </c>
      <c r="AB60" s="193">
        <v>0</v>
      </c>
      <c r="AC60" s="194">
        <v>0</v>
      </c>
    </row>
    <row r="61" spans="1:29" ht="26.4" customHeight="1" x14ac:dyDescent="0.3">
      <c r="A61" s="682"/>
      <c r="B61" s="685"/>
      <c r="C61" s="676"/>
      <c r="D61" s="688"/>
      <c r="E61" s="167" t="s">
        <v>541</v>
      </c>
      <c r="F61" s="164">
        <v>0</v>
      </c>
      <c r="G61" s="164">
        <v>0</v>
      </c>
      <c r="H61" s="164">
        <v>0</v>
      </c>
      <c r="I61" s="164">
        <v>0</v>
      </c>
      <c r="J61" s="164">
        <v>0</v>
      </c>
      <c r="K61" s="164">
        <v>1</v>
      </c>
      <c r="L61" s="164">
        <v>1</v>
      </c>
      <c r="M61" s="164">
        <v>1</v>
      </c>
      <c r="N61" s="164">
        <v>1</v>
      </c>
      <c r="O61" s="164">
        <v>1</v>
      </c>
      <c r="P61" s="164">
        <v>1</v>
      </c>
      <c r="Q61" s="164">
        <v>1</v>
      </c>
      <c r="R61" s="164">
        <v>1</v>
      </c>
      <c r="S61" s="164">
        <v>1</v>
      </c>
      <c r="T61" s="164">
        <v>1</v>
      </c>
      <c r="U61" s="164">
        <v>1</v>
      </c>
      <c r="V61" s="164">
        <v>1</v>
      </c>
      <c r="W61" s="164">
        <v>1</v>
      </c>
      <c r="X61" s="164">
        <v>1</v>
      </c>
      <c r="Y61" s="164">
        <v>1</v>
      </c>
      <c r="Z61" s="164">
        <v>1</v>
      </c>
      <c r="AA61" s="164">
        <v>1</v>
      </c>
      <c r="AB61" s="164">
        <v>1</v>
      </c>
      <c r="AC61" s="165">
        <v>1</v>
      </c>
    </row>
    <row r="62" spans="1:29" ht="26.4" customHeight="1" thickBot="1" x14ac:dyDescent="0.35">
      <c r="A62" s="683"/>
      <c r="B62" s="686"/>
      <c r="C62" s="676"/>
      <c r="D62" s="688"/>
      <c r="E62" s="192" t="s">
        <v>542</v>
      </c>
      <c r="F62" s="195">
        <v>0</v>
      </c>
      <c r="G62" s="195">
        <v>0</v>
      </c>
      <c r="H62" s="195">
        <v>0</v>
      </c>
      <c r="I62" s="195">
        <v>0</v>
      </c>
      <c r="J62" s="195">
        <v>0</v>
      </c>
      <c r="K62" s="195">
        <v>1</v>
      </c>
      <c r="L62" s="195">
        <v>1</v>
      </c>
      <c r="M62" s="195">
        <v>1</v>
      </c>
      <c r="N62" s="195">
        <v>1</v>
      </c>
      <c r="O62" s="195">
        <v>1</v>
      </c>
      <c r="P62" s="195">
        <v>1</v>
      </c>
      <c r="Q62" s="195">
        <v>1</v>
      </c>
      <c r="R62" s="195">
        <v>1</v>
      </c>
      <c r="S62" s="195">
        <v>1</v>
      </c>
      <c r="T62" s="195">
        <v>1</v>
      </c>
      <c r="U62" s="195">
        <v>1</v>
      </c>
      <c r="V62" s="195">
        <v>1</v>
      </c>
      <c r="W62" s="195">
        <v>1</v>
      </c>
      <c r="X62" s="195">
        <v>1</v>
      </c>
      <c r="Y62" s="195">
        <v>1</v>
      </c>
      <c r="Z62" s="195">
        <v>1</v>
      </c>
      <c r="AA62" s="195">
        <v>1</v>
      </c>
      <c r="AB62" s="195">
        <v>1</v>
      </c>
      <c r="AC62" s="196">
        <v>1</v>
      </c>
    </row>
    <row r="63" spans="1:29" ht="26.4" customHeight="1" x14ac:dyDescent="0.3">
      <c r="A63" s="672" t="s">
        <v>560</v>
      </c>
      <c r="B63" s="675" t="s">
        <v>110</v>
      </c>
      <c r="C63" s="675" t="s">
        <v>561</v>
      </c>
      <c r="D63" s="678" t="s">
        <v>562</v>
      </c>
      <c r="E63" s="166" t="s">
        <v>540</v>
      </c>
      <c r="F63" s="169">
        <v>131.9</v>
      </c>
      <c r="G63" s="169">
        <v>131.9</v>
      </c>
      <c r="H63" s="169">
        <v>131.9</v>
      </c>
      <c r="I63" s="169">
        <v>131.9</v>
      </c>
      <c r="J63" s="169">
        <v>131.9</v>
      </c>
      <c r="K63" s="169">
        <v>131.9</v>
      </c>
      <c r="L63" s="169">
        <v>131.9</v>
      </c>
      <c r="M63" s="169">
        <v>131.9</v>
      </c>
      <c r="N63" s="169">
        <v>131.9</v>
      </c>
      <c r="O63" s="169">
        <v>131.9</v>
      </c>
      <c r="P63" s="169">
        <v>131.9</v>
      </c>
      <c r="Q63" s="169">
        <v>131.9</v>
      </c>
      <c r="R63" s="169">
        <v>131.9</v>
      </c>
      <c r="S63" s="169">
        <v>131.9</v>
      </c>
      <c r="T63" s="169">
        <v>131.9</v>
      </c>
      <c r="U63" s="169">
        <v>131.9</v>
      </c>
      <c r="V63" s="169">
        <v>131.9</v>
      </c>
      <c r="W63" s="169">
        <v>131.9</v>
      </c>
      <c r="X63" s="169">
        <v>131.9</v>
      </c>
      <c r="Y63" s="169">
        <v>131.9</v>
      </c>
      <c r="Z63" s="169">
        <v>131.9</v>
      </c>
      <c r="AA63" s="169">
        <v>131.9</v>
      </c>
      <c r="AB63" s="169">
        <v>131.9</v>
      </c>
      <c r="AC63" s="170">
        <v>131.9</v>
      </c>
    </row>
    <row r="64" spans="1:29" ht="26.4" customHeight="1" x14ac:dyDescent="0.3">
      <c r="A64" s="673"/>
      <c r="B64" s="676"/>
      <c r="C64" s="676"/>
      <c r="D64" s="679"/>
      <c r="E64" s="167" t="s">
        <v>541</v>
      </c>
      <c r="F64" s="164">
        <v>131.9</v>
      </c>
      <c r="G64" s="164">
        <v>131.9</v>
      </c>
      <c r="H64" s="164">
        <v>131.9</v>
      </c>
      <c r="I64" s="164">
        <v>131.9</v>
      </c>
      <c r="J64" s="164">
        <v>131.9</v>
      </c>
      <c r="K64" s="164">
        <v>131.9</v>
      </c>
      <c r="L64" s="164">
        <v>131.9</v>
      </c>
      <c r="M64" s="164">
        <v>131.9</v>
      </c>
      <c r="N64" s="164">
        <v>131.9</v>
      </c>
      <c r="O64" s="164">
        <v>131.9</v>
      </c>
      <c r="P64" s="164">
        <v>131.9</v>
      </c>
      <c r="Q64" s="164">
        <v>131.9</v>
      </c>
      <c r="R64" s="164">
        <v>131.9</v>
      </c>
      <c r="S64" s="164">
        <v>131.9</v>
      </c>
      <c r="T64" s="164">
        <v>131.9</v>
      </c>
      <c r="U64" s="164">
        <v>131.9</v>
      </c>
      <c r="V64" s="164">
        <v>131.9</v>
      </c>
      <c r="W64" s="164">
        <v>131.9</v>
      </c>
      <c r="X64" s="164">
        <v>131.9</v>
      </c>
      <c r="Y64" s="164">
        <v>131.9</v>
      </c>
      <c r="Z64" s="164">
        <v>131.9</v>
      </c>
      <c r="AA64" s="164">
        <v>131.9</v>
      </c>
      <c r="AB64" s="164">
        <v>131.9</v>
      </c>
      <c r="AC64" s="171">
        <v>131.9</v>
      </c>
    </row>
    <row r="65" spans="1:29" ht="26.4" customHeight="1" thickBot="1" x14ac:dyDescent="0.35">
      <c r="A65" s="674"/>
      <c r="B65" s="677"/>
      <c r="C65" s="677"/>
      <c r="D65" s="680"/>
      <c r="E65" s="168" t="s">
        <v>542</v>
      </c>
      <c r="F65" s="172">
        <v>131.9</v>
      </c>
      <c r="G65" s="172">
        <v>131.9</v>
      </c>
      <c r="H65" s="172">
        <v>131.9</v>
      </c>
      <c r="I65" s="172">
        <v>131.9</v>
      </c>
      <c r="J65" s="172">
        <v>131.9</v>
      </c>
      <c r="K65" s="172">
        <v>131.9</v>
      </c>
      <c r="L65" s="172">
        <v>131.9</v>
      </c>
      <c r="M65" s="172">
        <v>131.9</v>
      </c>
      <c r="N65" s="172">
        <v>131.9</v>
      </c>
      <c r="O65" s="172">
        <v>131.9</v>
      </c>
      <c r="P65" s="172">
        <v>131.9</v>
      </c>
      <c r="Q65" s="172">
        <v>131.9</v>
      </c>
      <c r="R65" s="172">
        <v>131.9</v>
      </c>
      <c r="S65" s="172">
        <v>131.9</v>
      </c>
      <c r="T65" s="172">
        <v>131.9</v>
      </c>
      <c r="U65" s="172">
        <v>131.9</v>
      </c>
      <c r="V65" s="172">
        <v>131.9</v>
      </c>
      <c r="W65" s="172">
        <v>131.9</v>
      </c>
      <c r="X65" s="172">
        <v>131.9</v>
      </c>
      <c r="Y65" s="172">
        <v>131.9</v>
      </c>
      <c r="Z65" s="172">
        <v>131.9</v>
      </c>
      <c r="AA65" s="172">
        <v>131.9</v>
      </c>
      <c r="AB65" s="172">
        <v>131.9</v>
      </c>
      <c r="AC65" s="173">
        <v>131.9</v>
      </c>
    </row>
    <row r="66" spans="1:29" ht="27.6" customHeight="1" x14ac:dyDescent="0.3">
      <c r="A66" s="672" t="s">
        <v>560</v>
      </c>
      <c r="B66" s="675" t="s">
        <v>110</v>
      </c>
      <c r="C66" s="675" t="s">
        <v>563</v>
      </c>
      <c r="D66" s="678" t="s">
        <v>562</v>
      </c>
      <c r="E66" s="166" t="s">
        <v>540</v>
      </c>
      <c r="F66" s="169">
        <v>146.5</v>
      </c>
      <c r="G66" s="169">
        <v>146.5</v>
      </c>
      <c r="H66" s="169">
        <v>146.5</v>
      </c>
      <c r="I66" s="169">
        <v>146.5</v>
      </c>
      <c r="J66" s="169">
        <v>146.5</v>
      </c>
      <c r="K66" s="169">
        <v>146.5</v>
      </c>
      <c r="L66" s="169">
        <v>146.5</v>
      </c>
      <c r="M66" s="169">
        <v>146.5</v>
      </c>
      <c r="N66" s="169">
        <v>146.5</v>
      </c>
      <c r="O66" s="169">
        <v>146.5</v>
      </c>
      <c r="P66" s="169">
        <v>146.5</v>
      </c>
      <c r="Q66" s="169">
        <v>146.5</v>
      </c>
      <c r="R66" s="169">
        <v>146.5</v>
      </c>
      <c r="S66" s="169">
        <v>146.5</v>
      </c>
      <c r="T66" s="169">
        <v>146.5</v>
      </c>
      <c r="U66" s="169">
        <v>146.5</v>
      </c>
      <c r="V66" s="169">
        <v>146.5</v>
      </c>
      <c r="W66" s="169">
        <v>146.5</v>
      </c>
      <c r="X66" s="169">
        <v>146.5</v>
      </c>
      <c r="Y66" s="169">
        <v>146.5</v>
      </c>
      <c r="Z66" s="169">
        <v>146.5</v>
      </c>
      <c r="AA66" s="169">
        <v>146.5</v>
      </c>
      <c r="AB66" s="169">
        <v>146.5</v>
      </c>
      <c r="AC66" s="170">
        <v>146.5</v>
      </c>
    </row>
    <row r="67" spans="1:29" ht="27.6" customHeight="1" x14ac:dyDescent="0.3">
      <c r="A67" s="673"/>
      <c r="B67" s="676"/>
      <c r="C67" s="676"/>
      <c r="D67" s="679"/>
      <c r="E67" s="167" t="s">
        <v>541</v>
      </c>
      <c r="F67" s="164">
        <v>146.5</v>
      </c>
      <c r="G67" s="164">
        <v>146.5</v>
      </c>
      <c r="H67" s="164">
        <v>146.5</v>
      </c>
      <c r="I67" s="164">
        <v>146.5</v>
      </c>
      <c r="J67" s="164">
        <v>146.5</v>
      </c>
      <c r="K67" s="164">
        <v>146.5</v>
      </c>
      <c r="L67" s="164">
        <v>146.5</v>
      </c>
      <c r="M67" s="164">
        <v>146.5</v>
      </c>
      <c r="N67" s="164">
        <v>146.5</v>
      </c>
      <c r="O67" s="164">
        <v>146.5</v>
      </c>
      <c r="P67" s="164">
        <v>146.5</v>
      </c>
      <c r="Q67" s="164">
        <v>146.5</v>
      </c>
      <c r="R67" s="164">
        <v>146.5</v>
      </c>
      <c r="S67" s="164">
        <v>146.5</v>
      </c>
      <c r="T67" s="164">
        <v>146.5</v>
      </c>
      <c r="U67" s="164">
        <v>146.5</v>
      </c>
      <c r="V67" s="164">
        <v>146.5</v>
      </c>
      <c r="W67" s="164">
        <v>146.5</v>
      </c>
      <c r="X67" s="164">
        <v>146.5</v>
      </c>
      <c r="Y67" s="164">
        <v>146.5</v>
      </c>
      <c r="Z67" s="164">
        <v>146.5</v>
      </c>
      <c r="AA67" s="164">
        <v>146.5</v>
      </c>
      <c r="AB67" s="164">
        <v>146.5</v>
      </c>
      <c r="AC67" s="171">
        <v>146.5</v>
      </c>
    </row>
    <row r="68" spans="1:29" ht="27.6" customHeight="1" thickBot="1" x14ac:dyDescent="0.35">
      <c r="A68" s="674"/>
      <c r="B68" s="677"/>
      <c r="C68" s="677"/>
      <c r="D68" s="680"/>
      <c r="E68" s="168" t="s">
        <v>542</v>
      </c>
      <c r="F68" s="172">
        <v>146.5</v>
      </c>
      <c r="G68" s="172">
        <v>146.5</v>
      </c>
      <c r="H68" s="172">
        <v>146.5</v>
      </c>
      <c r="I68" s="172">
        <v>146.5</v>
      </c>
      <c r="J68" s="172">
        <v>146.5</v>
      </c>
      <c r="K68" s="172">
        <v>146.5</v>
      </c>
      <c r="L68" s="172">
        <v>146.5</v>
      </c>
      <c r="M68" s="172">
        <v>146.5</v>
      </c>
      <c r="N68" s="172">
        <v>146.5</v>
      </c>
      <c r="O68" s="172">
        <v>146.5</v>
      </c>
      <c r="P68" s="172">
        <v>146.5</v>
      </c>
      <c r="Q68" s="172">
        <v>146.5</v>
      </c>
      <c r="R68" s="172">
        <v>146.5</v>
      </c>
      <c r="S68" s="172">
        <v>146.5</v>
      </c>
      <c r="T68" s="172">
        <v>146.5</v>
      </c>
      <c r="U68" s="172">
        <v>146.5</v>
      </c>
      <c r="V68" s="172">
        <v>146.5</v>
      </c>
      <c r="W68" s="172">
        <v>146.5</v>
      </c>
      <c r="X68" s="172">
        <v>146.5</v>
      </c>
      <c r="Y68" s="172">
        <v>146.5</v>
      </c>
      <c r="Z68" s="172">
        <v>146.5</v>
      </c>
      <c r="AA68" s="172">
        <v>146.5</v>
      </c>
      <c r="AB68" s="172">
        <v>146.5</v>
      </c>
      <c r="AC68" s="173">
        <v>146.5</v>
      </c>
    </row>
  </sheetData>
  <mergeCells count="93">
    <mergeCell ref="A53:A55"/>
    <mergeCell ref="B53:B55"/>
    <mergeCell ref="C53:C55"/>
    <mergeCell ref="D53:D55"/>
    <mergeCell ref="A28:AC28"/>
    <mergeCell ref="A35:A37"/>
    <mergeCell ref="B35:B37"/>
    <mergeCell ref="C35:C37"/>
    <mergeCell ref="D35:D37"/>
    <mergeCell ref="A47:A49"/>
    <mergeCell ref="B47:B49"/>
    <mergeCell ref="C47:C49"/>
    <mergeCell ref="D47:D49"/>
    <mergeCell ref="A50:A52"/>
    <mergeCell ref="B50:B52"/>
    <mergeCell ref="C50:C52"/>
    <mergeCell ref="D50:D52"/>
    <mergeCell ref="A41:A43"/>
    <mergeCell ref="B41:B43"/>
    <mergeCell ref="C41:C43"/>
    <mergeCell ref="D41:D43"/>
    <mergeCell ref="A44:A46"/>
    <mergeCell ref="B44:B46"/>
    <mergeCell ref="C44:C46"/>
    <mergeCell ref="D44:D46"/>
    <mergeCell ref="A19:A21"/>
    <mergeCell ref="B19:B21"/>
    <mergeCell ref="C19:C21"/>
    <mergeCell ref="D19:D21"/>
    <mergeCell ref="A13:A15"/>
    <mergeCell ref="B13:B15"/>
    <mergeCell ref="C13:C15"/>
    <mergeCell ref="D13:D15"/>
    <mergeCell ref="A16:A18"/>
    <mergeCell ref="B16:B18"/>
    <mergeCell ref="C16:C18"/>
    <mergeCell ref="D16:D18"/>
    <mergeCell ref="A32:A34"/>
    <mergeCell ref="B32:B34"/>
    <mergeCell ref="C32:C34"/>
    <mergeCell ref="D32:D34"/>
    <mergeCell ref="A38:A40"/>
    <mergeCell ref="B38:B40"/>
    <mergeCell ref="C38:C40"/>
    <mergeCell ref="D38:D40"/>
    <mergeCell ref="A25:A27"/>
    <mergeCell ref="B25:B27"/>
    <mergeCell ref="C25:C27"/>
    <mergeCell ref="D25:D27"/>
    <mergeCell ref="A29:A31"/>
    <mergeCell ref="B29:B31"/>
    <mergeCell ref="C29:C31"/>
    <mergeCell ref="D29:D31"/>
    <mergeCell ref="A1:AC1"/>
    <mergeCell ref="A2:A3"/>
    <mergeCell ref="A4:A6"/>
    <mergeCell ref="A7:A9"/>
    <mergeCell ref="A10:A12"/>
    <mergeCell ref="B4:B6"/>
    <mergeCell ref="B7:B9"/>
    <mergeCell ref="B2:B3"/>
    <mergeCell ref="B10:B12"/>
    <mergeCell ref="D10:D12"/>
    <mergeCell ref="C10:C12"/>
    <mergeCell ref="C7:C9"/>
    <mergeCell ref="D4:D6"/>
    <mergeCell ref="C4:C6"/>
    <mergeCell ref="D7:D9"/>
    <mergeCell ref="F2:AC2"/>
    <mergeCell ref="E2:E3"/>
    <mergeCell ref="D2:D3"/>
    <mergeCell ref="C2:C3"/>
    <mergeCell ref="A60:A62"/>
    <mergeCell ref="B60:B62"/>
    <mergeCell ref="C60:C62"/>
    <mergeCell ref="D60:D62"/>
    <mergeCell ref="A22:A24"/>
    <mergeCell ref="B22:B24"/>
    <mergeCell ref="C22:C24"/>
    <mergeCell ref="D22:D24"/>
    <mergeCell ref="A57:A59"/>
    <mergeCell ref="B57:B59"/>
    <mergeCell ref="C57:C59"/>
    <mergeCell ref="D57:D59"/>
    <mergeCell ref="A56:AC56"/>
    <mergeCell ref="A66:A68"/>
    <mergeCell ref="B66:B68"/>
    <mergeCell ref="C66:C68"/>
    <mergeCell ref="D66:D68"/>
    <mergeCell ref="A63:A65"/>
    <mergeCell ref="B63:B65"/>
    <mergeCell ref="C63:C65"/>
    <mergeCell ref="D63:D6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AV25"/>
  <sheetViews>
    <sheetView zoomScaleNormal="100" workbookViewId="0">
      <selection sqref="A1:H1"/>
    </sheetView>
  </sheetViews>
  <sheetFormatPr defaultColWidth="8.6640625" defaultRowHeight="12.75" customHeight="1" x14ac:dyDescent="0.25"/>
  <cols>
    <col min="1" max="1" width="13.33203125" style="2" customWidth="1"/>
    <col min="2" max="2" width="8.6640625" style="2"/>
    <col min="3" max="8" width="17" style="2" customWidth="1"/>
    <col min="9" max="11" width="13" style="2" customWidth="1"/>
    <col min="12" max="12" width="16.44140625" style="2" customWidth="1"/>
    <col min="13" max="13" width="12.44140625" style="2" customWidth="1"/>
    <col min="14" max="14" width="13" style="2" customWidth="1"/>
    <col min="15" max="15" width="15.44140625" style="2" customWidth="1"/>
    <col min="16" max="16" width="19.33203125" style="2" customWidth="1"/>
    <col min="17" max="18" width="18.33203125" style="2" customWidth="1"/>
    <col min="19" max="21" width="13.6640625" style="2" customWidth="1"/>
    <col min="22" max="22" width="15.6640625" style="2" customWidth="1"/>
    <col min="23" max="24" width="8.6640625" style="2"/>
    <col min="25" max="25" width="13.6640625" style="2" customWidth="1"/>
    <col min="26" max="28" width="8.6640625" style="2"/>
    <col min="29" max="29" width="12.44140625" style="2" customWidth="1"/>
    <col min="30" max="45" width="8.6640625" style="2"/>
    <col min="46" max="46" width="17.44140625" style="2" customWidth="1"/>
    <col min="47" max="16384" width="8.6640625" style="2"/>
  </cols>
  <sheetData>
    <row r="1" spans="1:48" ht="27" customHeight="1" x14ac:dyDescent="0.25">
      <c r="A1" s="785" t="s">
        <v>564</v>
      </c>
      <c r="B1" s="786"/>
      <c r="C1" s="786"/>
      <c r="D1" s="786"/>
      <c r="E1" s="786"/>
      <c r="F1" s="786"/>
      <c r="G1" s="786"/>
      <c r="H1" s="786"/>
      <c r="I1" s="786" t="s">
        <v>565</v>
      </c>
      <c r="J1" s="786"/>
      <c r="K1" s="786"/>
      <c r="L1" s="786"/>
      <c r="N1" s="584" t="s">
        <v>566</v>
      </c>
      <c r="O1" s="584"/>
      <c r="P1" s="584"/>
      <c r="Q1" s="584"/>
      <c r="R1" s="584"/>
      <c r="S1" s="584"/>
      <c r="T1" s="584"/>
      <c r="U1" s="584"/>
      <c r="V1" s="584"/>
      <c r="Y1" s="600" t="s">
        <v>567</v>
      </c>
      <c r="Z1" s="600"/>
      <c r="AA1" s="600"/>
      <c r="AB1" s="600"/>
      <c r="AC1" s="600"/>
      <c r="AD1" s="600"/>
      <c r="AE1" s="600"/>
      <c r="AF1" s="600"/>
      <c r="AG1" s="600"/>
      <c r="AH1" s="600"/>
      <c r="AU1" s="2" t="s">
        <v>568</v>
      </c>
      <c r="AV1" s="2" t="s">
        <v>569</v>
      </c>
    </row>
    <row r="2" spans="1:48" ht="39" customHeight="1" x14ac:dyDescent="0.25">
      <c r="A2" s="570" t="s">
        <v>10</v>
      </c>
      <c r="B2" s="570" t="s">
        <v>570</v>
      </c>
      <c r="C2" s="570" t="s">
        <v>571</v>
      </c>
      <c r="D2" s="570" t="s">
        <v>572</v>
      </c>
      <c r="E2" s="570" t="s">
        <v>573</v>
      </c>
      <c r="F2" s="570" t="s">
        <v>574</v>
      </c>
      <c r="G2" s="570" t="s">
        <v>575</v>
      </c>
      <c r="H2" s="570" t="s">
        <v>576</v>
      </c>
      <c r="I2" s="183" t="s">
        <v>577</v>
      </c>
      <c r="J2" s="183" t="s">
        <v>578</v>
      </c>
      <c r="K2" s="183" t="s">
        <v>579</v>
      </c>
      <c r="L2" s="183" t="s">
        <v>580</v>
      </c>
      <c r="N2" s="33" t="s">
        <v>10</v>
      </c>
      <c r="O2" s="40" t="s">
        <v>570</v>
      </c>
      <c r="P2" s="570" t="s">
        <v>581</v>
      </c>
      <c r="Q2" s="570" t="s">
        <v>582</v>
      </c>
      <c r="R2" s="570" t="s">
        <v>583</v>
      </c>
      <c r="S2" s="184" t="s">
        <v>584</v>
      </c>
      <c r="T2" s="184" t="s">
        <v>578</v>
      </c>
      <c r="U2" s="184" t="s">
        <v>579</v>
      </c>
      <c r="V2" s="184" t="s">
        <v>585</v>
      </c>
      <c r="Y2" s="784" t="s">
        <v>586</v>
      </c>
      <c r="Z2" s="784"/>
      <c r="AA2" s="784"/>
      <c r="AB2" s="784"/>
      <c r="AC2" s="784"/>
      <c r="AD2" s="784"/>
      <c r="AE2" s="784"/>
      <c r="AF2" s="784"/>
      <c r="AG2" s="784"/>
      <c r="AH2" s="784"/>
      <c r="AJ2" s="187" t="s">
        <v>587</v>
      </c>
      <c r="AT2" s="552" t="s">
        <v>588</v>
      </c>
      <c r="AU2" s="552">
        <f>1330</f>
        <v>1330</v>
      </c>
      <c r="AV2" s="552">
        <v>119</v>
      </c>
    </row>
    <row r="3" spans="1:48" ht="19.2" customHeight="1" x14ac:dyDescent="0.25">
      <c r="A3" s="589" t="s">
        <v>59</v>
      </c>
      <c r="B3" s="555">
        <v>1</v>
      </c>
      <c r="C3" s="543"/>
      <c r="D3" s="543"/>
      <c r="E3" s="543"/>
      <c r="F3" s="555"/>
      <c r="G3" s="555"/>
      <c r="H3" s="555"/>
      <c r="I3" s="555">
        <v>46.8</v>
      </c>
      <c r="J3" s="543">
        <f>(I3*1.25)</f>
        <v>58.5</v>
      </c>
      <c r="K3" s="543">
        <f>(I3*0.75)</f>
        <v>35.099999999999994</v>
      </c>
      <c r="L3" s="543">
        <f>J3-K3</f>
        <v>23.400000000000006</v>
      </c>
      <c r="N3" s="629" t="s">
        <v>127</v>
      </c>
      <c r="O3" s="185">
        <v>1</v>
      </c>
      <c r="P3" s="544">
        <v>13814</v>
      </c>
      <c r="Q3" s="545">
        <v>37.873199999999997</v>
      </c>
      <c r="R3" s="545">
        <v>10.440720000000001</v>
      </c>
      <c r="S3" s="186">
        <v>48.313919999999996</v>
      </c>
      <c r="T3" s="186">
        <f t="shared" ref="T3:T18" si="0">S3*1.25</f>
        <v>60.392399999999995</v>
      </c>
      <c r="U3" s="186">
        <f t="shared" ref="U3:U18" si="1">S3*0.75</f>
        <v>36.235439999999997</v>
      </c>
      <c r="V3" s="186">
        <f t="shared" ref="V3:V18" si="2">T3-U3</f>
        <v>24.156959999999998</v>
      </c>
      <c r="AT3" s="187" t="s">
        <v>589</v>
      </c>
      <c r="AU3" s="188">
        <v>573</v>
      </c>
      <c r="AV3" s="188">
        <v>100</v>
      </c>
    </row>
    <row r="4" spans="1:48" ht="19.2" customHeight="1" x14ac:dyDescent="0.25">
      <c r="A4" s="589"/>
      <c r="B4" s="555">
        <v>2</v>
      </c>
      <c r="C4" s="543"/>
      <c r="D4" s="543"/>
      <c r="E4" s="543"/>
      <c r="F4" s="555"/>
      <c r="G4" s="555"/>
      <c r="H4" s="555"/>
      <c r="I4" s="555">
        <v>58.4</v>
      </c>
      <c r="J4" s="543">
        <f t="shared" ref="J4:J18" si="3">(I4*1.25)</f>
        <v>73</v>
      </c>
      <c r="K4" s="543">
        <f t="shared" ref="K4:K18" si="4">(I4*0.75)</f>
        <v>43.8</v>
      </c>
      <c r="L4" s="543">
        <f t="shared" ref="L4:L18" si="5">J4-K4</f>
        <v>29.200000000000003</v>
      </c>
      <c r="N4" s="629"/>
      <c r="O4" s="185">
        <v>2</v>
      </c>
      <c r="P4" s="544">
        <v>25239</v>
      </c>
      <c r="Q4" s="545">
        <v>26.613599999999998</v>
      </c>
      <c r="R4" s="545">
        <v>14.842199999999998</v>
      </c>
      <c r="S4" s="186">
        <v>41.455799999999996</v>
      </c>
      <c r="T4" s="186">
        <f t="shared" si="0"/>
        <v>51.819749999999999</v>
      </c>
      <c r="U4" s="186">
        <f t="shared" si="1"/>
        <v>31.091849999999997</v>
      </c>
      <c r="V4" s="186">
        <f t="shared" si="2"/>
        <v>20.727900000000002</v>
      </c>
      <c r="AT4" s="187"/>
      <c r="AU4" s="189">
        <f>1-AU3/AU2</f>
        <v>0.569172932330827</v>
      </c>
      <c r="AV4" s="189">
        <f>1-AV3/AV2</f>
        <v>0.15966386554621848</v>
      </c>
    </row>
    <row r="5" spans="1:48" ht="19.2" customHeight="1" x14ac:dyDescent="0.25">
      <c r="A5" s="589"/>
      <c r="B5" s="555">
        <v>3</v>
      </c>
      <c r="C5" s="543"/>
      <c r="D5" s="543"/>
      <c r="E5" s="543"/>
      <c r="F5" s="555"/>
      <c r="G5" s="555"/>
      <c r="H5" s="555"/>
      <c r="I5" s="555">
        <v>52.3</v>
      </c>
      <c r="J5" s="543">
        <f t="shared" si="3"/>
        <v>65.375</v>
      </c>
      <c r="K5" s="543">
        <f t="shared" si="4"/>
        <v>39.224999999999994</v>
      </c>
      <c r="L5" s="543">
        <f t="shared" si="5"/>
        <v>26.150000000000006</v>
      </c>
      <c r="N5" s="629"/>
      <c r="O5" s="185">
        <v>3</v>
      </c>
      <c r="P5" s="544">
        <v>88648</v>
      </c>
      <c r="Q5" s="545">
        <v>34.802399999999999</v>
      </c>
      <c r="R5" s="545">
        <v>11.873759999999999</v>
      </c>
      <c r="S5" s="186">
        <v>46.676159999999996</v>
      </c>
      <c r="T5" s="186">
        <f t="shared" si="0"/>
        <v>58.345199999999991</v>
      </c>
      <c r="U5" s="186">
        <f t="shared" si="1"/>
        <v>35.00712</v>
      </c>
      <c r="V5" s="186">
        <f t="shared" si="2"/>
        <v>23.338079999999991</v>
      </c>
    </row>
    <row r="6" spans="1:48" ht="19.2" customHeight="1" x14ac:dyDescent="0.25">
      <c r="A6" s="589"/>
      <c r="B6" s="555">
        <v>4</v>
      </c>
      <c r="C6" s="543"/>
      <c r="D6" s="543"/>
      <c r="E6" s="543"/>
      <c r="F6" s="555"/>
      <c r="G6" s="555"/>
      <c r="H6" s="555"/>
      <c r="I6" s="555">
        <v>60.9</v>
      </c>
      <c r="J6" s="543">
        <f t="shared" si="3"/>
        <v>76.125</v>
      </c>
      <c r="K6" s="543">
        <f t="shared" si="4"/>
        <v>45.674999999999997</v>
      </c>
      <c r="L6" s="543">
        <f t="shared" si="5"/>
        <v>30.450000000000003</v>
      </c>
      <c r="N6" s="629"/>
      <c r="O6" s="185">
        <v>4</v>
      </c>
      <c r="P6" s="544">
        <v>44551</v>
      </c>
      <c r="Q6" s="545">
        <v>35.4848</v>
      </c>
      <c r="R6" s="545">
        <v>11.53256</v>
      </c>
      <c r="S6" s="186">
        <v>47.017359999999996</v>
      </c>
      <c r="T6" s="186">
        <f t="shared" si="0"/>
        <v>58.771699999999996</v>
      </c>
      <c r="U6" s="186">
        <f t="shared" si="1"/>
        <v>35.263019999999997</v>
      </c>
      <c r="V6" s="186">
        <f t="shared" si="2"/>
        <v>23.508679999999998</v>
      </c>
    </row>
    <row r="7" spans="1:48" ht="19.2" customHeight="1" x14ac:dyDescent="0.25">
      <c r="A7" s="589"/>
      <c r="B7" s="555">
        <v>5</v>
      </c>
      <c r="C7" s="543"/>
      <c r="D7" s="543"/>
      <c r="E7" s="543"/>
      <c r="F7" s="555"/>
      <c r="G7" s="555"/>
      <c r="H7" s="555"/>
      <c r="I7" s="555">
        <v>50.4</v>
      </c>
      <c r="J7" s="543">
        <f t="shared" si="3"/>
        <v>63</v>
      </c>
      <c r="K7" s="543">
        <f t="shared" si="4"/>
        <v>37.799999999999997</v>
      </c>
      <c r="L7" s="543">
        <f t="shared" si="5"/>
        <v>25.200000000000003</v>
      </c>
      <c r="N7" s="629"/>
      <c r="O7" s="185">
        <v>5</v>
      </c>
      <c r="P7" s="544">
        <v>9847</v>
      </c>
      <c r="Q7" s="545">
        <v>31.7316</v>
      </c>
      <c r="R7" s="545">
        <v>14.60336</v>
      </c>
      <c r="S7" s="186">
        <v>46.334960000000002</v>
      </c>
      <c r="T7" s="186">
        <f t="shared" si="0"/>
        <v>57.918700000000001</v>
      </c>
      <c r="U7" s="186">
        <f t="shared" si="1"/>
        <v>34.751220000000004</v>
      </c>
      <c r="V7" s="186">
        <f t="shared" si="2"/>
        <v>23.167479999999998</v>
      </c>
    </row>
    <row r="8" spans="1:48" ht="19.2" customHeight="1" x14ac:dyDescent="0.25">
      <c r="A8" s="589"/>
      <c r="B8" s="555">
        <v>6</v>
      </c>
      <c r="C8" s="543"/>
      <c r="D8" s="543"/>
      <c r="E8" s="543"/>
      <c r="F8" s="555"/>
      <c r="G8" s="555"/>
      <c r="H8" s="555"/>
      <c r="I8" s="555">
        <v>57.8</v>
      </c>
      <c r="J8" s="543">
        <f t="shared" si="3"/>
        <v>72.25</v>
      </c>
      <c r="K8" s="543">
        <f t="shared" si="4"/>
        <v>43.349999999999994</v>
      </c>
      <c r="L8" s="543">
        <f t="shared" si="5"/>
        <v>28.900000000000006</v>
      </c>
      <c r="N8" s="629"/>
      <c r="O8" s="185">
        <v>6</v>
      </c>
      <c r="P8" s="544">
        <v>92562</v>
      </c>
      <c r="Q8" s="545">
        <v>29.3432</v>
      </c>
      <c r="R8" s="545">
        <v>4.6062000000000003</v>
      </c>
      <c r="S8" s="186">
        <v>33.949399999999997</v>
      </c>
      <c r="T8" s="186">
        <f t="shared" si="0"/>
        <v>42.436749999999996</v>
      </c>
      <c r="U8" s="186">
        <f t="shared" si="1"/>
        <v>25.462049999999998</v>
      </c>
      <c r="V8" s="186">
        <f t="shared" si="2"/>
        <v>16.974699999999999</v>
      </c>
    </row>
    <row r="9" spans="1:48" ht="19.2" customHeight="1" x14ac:dyDescent="0.25">
      <c r="A9" s="589"/>
      <c r="B9" s="555">
        <v>7</v>
      </c>
      <c r="C9" s="543"/>
      <c r="D9" s="543"/>
      <c r="E9" s="543"/>
      <c r="F9" s="555"/>
      <c r="G9" s="555"/>
      <c r="H9" s="555"/>
      <c r="I9" s="555">
        <v>57.8</v>
      </c>
      <c r="J9" s="543">
        <f t="shared" si="3"/>
        <v>72.25</v>
      </c>
      <c r="K9" s="543">
        <f t="shared" si="4"/>
        <v>43.349999999999994</v>
      </c>
      <c r="L9" s="543">
        <f t="shared" si="5"/>
        <v>28.900000000000006</v>
      </c>
      <c r="N9" s="629"/>
      <c r="O9" s="185">
        <v>7</v>
      </c>
      <c r="P9" s="544">
        <v>63471</v>
      </c>
      <c r="Q9" s="545">
        <v>35.143599999999999</v>
      </c>
      <c r="R9" s="545">
        <v>3.1731600000000002</v>
      </c>
      <c r="S9" s="186">
        <v>38.316760000000002</v>
      </c>
      <c r="T9" s="186">
        <f t="shared" si="0"/>
        <v>47.895949999999999</v>
      </c>
      <c r="U9" s="186">
        <f t="shared" si="1"/>
        <v>28.737570000000002</v>
      </c>
      <c r="V9" s="186">
        <f t="shared" si="2"/>
        <v>19.158379999999998</v>
      </c>
    </row>
    <row r="10" spans="1:48" ht="19.2" customHeight="1" x14ac:dyDescent="0.25">
      <c r="A10" s="589"/>
      <c r="B10" s="555">
        <v>8</v>
      </c>
      <c r="C10" s="543"/>
      <c r="D10" s="543"/>
      <c r="E10" s="543"/>
      <c r="F10" s="555"/>
      <c r="G10" s="555"/>
      <c r="H10" s="555"/>
      <c r="I10" s="555">
        <v>58.9</v>
      </c>
      <c r="J10" s="543">
        <f t="shared" si="3"/>
        <v>73.625</v>
      </c>
      <c r="K10" s="543">
        <f t="shared" si="4"/>
        <v>44.174999999999997</v>
      </c>
      <c r="L10" s="543">
        <f t="shared" si="5"/>
        <v>29.450000000000003</v>
      </c>
      <c r="N10" s="629"/>
      <c r="O10" s="185">
        <v>8</v>
      </c>
      <c r="P10" s="544">
        <v>147354</v>
      </c>
      <c r="Q10" s="545">
        <v>29.001999999999999</v>
      </c>
      <c r="R10" s="545">
        <v>4.4697199999999997</v>
      </c>
      <c r="S10" s="186">
        <v>33.471719999999998</v>
      </c>
      <c r="T10" s="186">
        <f t="shared" si="0"/>
        <v>41.839649999999999</v>
      </c>
      <c r="U10" s="186">
        <f t="shared" si="1"/>
        <v>25.103789999999996</v>
      </c>
      <c r="V10" s="186">
        <f t="shared" si="2"/>
        <v>16.735860000000002</v>
      </c>
    </row>
    <row r="11" spans="1:48" ht="19.2" customHeight="1" x14ac:dyDescent="0.25">
      <c r="A11" s="589"/>
      <c r="B11" s="555">
        <v>9</v>
      </c>
      <c r="C11" s="543"/>
      <c r="D11" s="543"/>
      <c r="E11" s="543"/>
      <c r="F11" s="555"/>
      <c r="G11" s="555"/>
      <c r="H11" s="555"/>
      <c r="I11" s="555">
        <v>59.6</v>
      </c>
      <c r="J11" s="543">
        <f t="shared" si="3"/>
        <v>74.5</v>
      </c>
      <c r="K11" s="543">
        <f t="shared" si="4"/>
        <v>44.7</v>
      </c>
      <c r="L11" s="543">
        <f t="shared" si="5"/>
        <v>29.799999999999997</v>
      </c>
      <c r="N11" s="629"/>
      <c r="O11" s="185">
        <v>9</v>
      </c>
      <c r="P11" s="544">
        <v>212697</v>
      </c>
      <c r="Q11" s="545">
        <v>32.072800000000001</v>
      </c>
      <c r="R11" s="545">
        <v>4.7767999999999997</v>
      </c>
      <c r="S11" s="186">
        <v>36.849600000000002</v>
      </c>
      <c r="T11" s="186">
        <f t="shared" si="0"/>
        <v>46.062000000000005</v>
      </c>
      <c r="U11" s="186">
        <f t="shared" si="1"/>
        <v>27.6372</v>
      </c>
      <c r="V11" s="186">
        <f t="shared" si="2"/>
        <v>18.424800000000005</v>
      </c>
    </row>
    <row r="12" spans="1:48" ht="19.2" customHeight="1" x14ac:dyDescent="0.25">
      <c r="A12" s="589"/>
      <c r="B12" s="555">
        <v>10</v>
      </c>
      <c r="C12" s="543"/>
      <c r="D12" s="543"/>
      <c r="E12" s="543"/>
      <c r="F12" s="555"/>
      <c r="G12" s="555"/>
      <c r="H12" s="555"/>
      <c r="I12" s="555">
        <v>60.2</v>
      </c>
      <c r="J12" s="543">
        <f t="shared" si="3"/>
        <v>75.25</v>
      </c>
      <c r="K12" s="543">
        <f t="shared" si="4"/>
        <v>45.150000000000006</v>
      </c>
      <c r="L12" s="543">
        <f t="shared" si="5"/>
        <v>30.099999999999994</v>
      </c>
      <c r="N12" s="629"/>
      <c r="O12" s="185">
        <v>10</v>
      </c>
      <c r="P12" s="544">
        <v>149832</v>
      </c>
      <c r="Q12" s="545">
        <v>31.7316</v>
      </c>
      <c r="R12" s="545">
        <v>5.25448</v>
      </c>
      <c r="S12" s="186">
        <v>36.986080000000001</v>
      </c>
      <c r="T12" s="186">
        <f t="shared" si="0"/>
        <v>46.232600000000005</v>
      </c>
      <c r="U12" s="186">
        <f t="shared" si="1"/>
        <v>27.739560000000001</v>
      </c>
      <c r="V12" s="186">
        <f t="shared" si="2"/>
        <v>18.493040000000004</v>
      </c>
    </row>
    <row r="13" spans="1:48" ht="19.2" customHeight="1" x14ac:dyDescent="0.25">
      <c r="A13" s="589"/>
      <c r="B13" s="555">
        <v>11</v>
      </c>
      <c r="C13" s="543"/>
      <c r="D13" s="543"/>
      <c r="E13" s="543"/>
      <c r="F13" s="555"/>
      <c r="G13" s="555"/>
      <c r="H13" s="555"/>
      <c r="I13" s="555">
        <v>62.3</v>
      </c>
      <c r="J13" s="543">
        <f t="shared" si="3"/>
        <v>77.875</v>
      </c>
      <c r="K13" s="543">
        <f t="shared" si="4"/>
        <v>46.724999999999994</v>
      </c>
      <c r="L13" s="543">
        <f t="shared" si="5"/>
        <v>31.150000000000006</v>
      </c>
      <c r="N13" s="629"/>
      <c r="O13" s="185">
        <v>11</v>
      </c>
      <c r="P13" s="544">
        <v>45934</v>
      </c>
      <c r="Q13" s="545">
        <v>36.167200000000001</v>
      </c>
      <c r="R13" s="545">
        <v>9.28064</v>
      </c>
      <c r="S13" s="186">
        <v>45.447839999999999</v>
      </c>
      <c r="T13" s="186">
        <f t="shared" si="0"/>
        <v>56.809799999999996</v>
      </c>
      <c r="U13" s="186">
        <f t="shared" si="1"/>
        <v>34.085880000000003</v>
      </c>
      <c r="V13" s="186">
        <f t="shared" si="2"/>
        <v>22.723919999999993</v>
      </c>
    </row>
    <row r="14" spans="1:48" ht="19.2" customHeight="1" x14ac:dyDescent="0.25">
      <c r="A14" s="589"/>
      <c r="B14" s="555">
        <v>12</v>
      </c>
      <c r="C14" s="543"/>
      <c r="D14" s="543"/>
      <c r="E14" s="543"/>
      <c r="F14" s="555"/>
      <c r="G14" s="555"/>
      <c r="H14" s="555"/>
      <c r="I14" s="555">
        <v>61.3</v>
      </c>
      <c r="J14" s="543">
        <f t="shared" si="3"/>
        <v>76.625</v>
      </c>
      <c r="K14" s="543">
        <f t="shared" si="4"/>
        <v>45.974999999999994</v>
      </c>
      <c r="L14" s="543">
        <f t="shared" si="5"/>
        <v>30.650000000000006</v>
      </c>
      <c r="N14" s="629"/>
      <c r="O14" s="185">
        <v>12</v>
      </c>
      <c r="P14" s="544">
        <v>195816</v>
      </c>
      <c r="Q14" s="545">
        <v>37.531999999999996</v>
      </c>
      <c r="R14" s="545">
        <v>9.7924400000000009</v>
      </c>
      <c r="S14" s="186">
        <v>47.324439999999996</v>
      </c>
      <c r="T14" s="186">
        <f t="shared" si="0"/>
        <v>59.155549999999991</v>
      </c>
      <c r="U14" s="186">
        <f t="shared" si="1"/>
        <v>35.49333</v>
      </c>
      <c r="V14" s="186">
        <f t="shared" si="2"/>
        <v>23.662219999999991</v>
      </c>
    </row>
    <row r="15" spans="1:48" ht="19.2" customHeight="1" x14ac:dyDescent="0.25">
      <c r="A15" s="589"/>
      <c r="B15" s="555">
        <v>13</v>
      </c>
      <c r="C15" s="543"/>
      <c r="D15" s="543"/>
      <c r="E15" s="543"/>
      <c r="F15" s="555"/>
      <c r="G15" s="555"/>
      <c r="H15" s="555"/>
      <c r="I15" s="555">
        <v>62.3</v>
      </c>
      <c r="J15" s="543">
        <f t="shared" si="3"/>
        <v>77.875</v>
      </c>
      <c r="K15" s="543">
        <f t="shared" si="4"/>
        <v>46.724999999999994</v>
      </c>
      <c r="L15" s="543">
        <f t="shared" si="5"/>
        <v>31.150000000000006</v>
      </c>
      <c r="N15" s="629"/>
      <c r="O15" s="185">
        <v>13</v>
      </c>
      <c r="P15" s="544">
        <v>67122</v>
      </c>
      <c r="Q15" s="545">
        <v>42.308799999999998</v>
      </c>
      <c r="R15" s="545">
        <v>8.9053199999999997</v>
      </c>
      <c r="S15" s="186">
        <v>51.214119999999994</v>
      </c>
      <c r="T15" s="186">
        <f t="shared" si="0"/>
        <v>64.017649999999989</v>
      </c>
      <c r="U15" s="186">
        <f t="shared" si="1"/>
        <v>38.410589999999999</v>
      </c>
      <c r="V15" s="186">
        <f t="shared" si="2"/>
        <v>25.60705999999999</v>
      </c>
    </row>
    <row r="16" spans="1:48" ht="19.2" customHeight="1" x14ac:dyDescent="0.25">
      <c r="A16" s="589"/>
      <c r="B16" s="555">
        <v>14</v>
      </c>
      <c r="C16" s="543"/>
      <c r="D16" s="543"/>
      <c r="E16" s="543"/>
      <c r="F16" s="555"/>
      <c r="G16" s="555"/>
      <c r="H16" s="555"/>
      <c r="I16" s="555">
        <v>62.6</v>
      </c>
      <c r="J16" s="543">
        <f t="shared" si="3"/>
        <v>78.25</v>
      </c>
      <c r="K16" s="543">
        <f t="shared" si="4"/>
        <v>46.95</v>
      </c>
      <c r="L16" s="543">
        <f t="shared" si="5"/>
        <v>31.299999999999997</v>
      </c>
      <c r="N16" s="629"/>
      <c r="O16" s="185">
        <v>14</v>
      </c>
      <c r="P16" s="544">
        <v>39049</v>
      </c>
      <c r="Q16" s="545">
        <v>29.3432</v>
      </c>
      <c r="R16" s="545">
        <v>4.3673599999999997</v>
      </c>
      <c r="S16" s="186">
        <v>33.710560000000001</v>
      </c>
      <c r="T16" s="186">
        <f t="shared" si="0"/>
        <v>42.138199999999998</v>
      </c>
      <c r="U16" s="186">
        <f t="shared" si="1"/>
        <v>25.282920000000001</v>
      </c>
      <c r="V16" s="186">
        <f t="shared" si="2"/>
        <v>16.855279999999997</v>
      </c>
    </row>
    <row r="17" spans="1:22" ht="19.2" customHeight="1" x14ac:dyDescent="0.25">
      <c r="A17" s="589"/>
      <c r="B17" s="555">
        <v>15</v>
      </c>
      <c r="C17" s="543"/>
      <c r="D17" s="543"/>
      <c r="E17" s="543"/>
      <c r="F17" s="555"/>
      <c r="G17" s="555"/>
      <c r="H17" s="555"/>
      <c r="I17" s="555">
        <v>60.1</v>
      </c>
      <c r="J17" s="543">
        <f t="shared" si="3"/>
        <v>75.125</v>
      </c>
      <c r="K17" s="543">
        <f t="shared" si="4"/>
        <v>45.075000000000003</v>
      </c>
      <c r="L17" s="543">
        <f t="shared" si="5"/>
        <v>30.049999999999997</v>
      </c>
      <c r="N17" s="629"/>
      <c r="O17" s="185">
        <v>15</v>
      </c>
      <c r="P17" s="544">
        <v>73160</v>
      </c>
      <c r="Q17" s="545">
        <v>34.119999999999997</v>
      </c>
      <c r="R17" s="545">
        <v>8.2570399999999999</v>
      </c>
      <c r="S17" s="186">
        <v>42.377039999999994</v>
      </c>
      <c r="T17" s="186">
        <f t="shared" si="0"/>
        <v>52.971299999999992</v>
      </c>
      <c r="U17" s="186">
        <f t="shared" si="1"/>
        <v>31.782779999999995</v>
      </c>
      <c r="V17" s="186">
        <f t="shared" si="2"/>
        <v>21.188519999999997</v>
      </c>
    </row>
    <row r="18" spans="1:22" ht="19.2" customHeight="1" x14ac:dyDescent="0.25">
      <c r="A18" s="589"/>
      <c r="B18" s="555">
        <v>16</v>
      </c>
      <c r="C18" s="543"/>
      <c r="D18" s="543"/>
      <c r="E18" s="543"/>
      <c r="F18" s="555"/>
      <c r="G18" s="555"/>
      <c r="H18" s="555"/>
      <c r="I18" s="555">
        <v>61.2</v>
      </c>
      <c r="J18" s="543">
        <f t="shared" si="3"/>
        <v>76.5</v>
      </c>
      <c r="K18" s="543">
        <f t="shared" si="4"/>
        <v>45.900000000000006</v>
      </c>
      <c r="L18" s="543">
        <f t="shared" si="5"/>
        <v>30.599999999999994</v>
      </c>
      <c r="N18" s="629"/>
      <c r="O18" s="185">
        <v>16</v>
      </c>
      <c r="P18" s="544">
        <v>149464</v>
      </c>
      <c r="Q18" s="545">
        <v>32.755199999999995</v>
      </c>
      <c r="R18" s="545">
        <v>5.3227200000000003</v>
      </c>
      <c r="S18" s="186">
        <v>38.077919999999992</v>
      </c>
      <c r="T18" s="186">
        <f t="shared" si="0"/>
        <v>47.597399999999993</v>
      </c>
      <c r="U18" s="186">
        <f t="shared" si="1"/>
        <v>28.558439999999994</v>
      </c>
      <c r="V18" s="186">
        <f t="shared" si="2"/>
        <v>19.038959999999999</v>
      </c>
    </row>
    <row r="20" spans="1:22" ht="13.2" x14ac:dyDescent="0.25">
      <c r="N20" s="2" t="s">
        <v>590</v>
      </c>
    </row>
    <row r="21" spans="1:22" ht="13.2" x14ac:dyDescent="0.25">
      <c r="N21" s="2" t="s">
        <v>591</v>
      </c>
    </row>
    <row r="22" spans="1:22" ht="13.2" x14ac:dyDescent="0.25">
      <c r="N22" s="2" t="s">
        <v>592</v>
      </c>
    </row>
    <row r="25" spans="1:22" s="20" customFormat="1" ht="13.2" hidden="1" x14ac:dyDescent="0.25">
      <c r="N25" s="20" t="s">
        <v>524</v>
      </c>
      <c r="R25" s="21"/>
      <c r="S25" s="22"/>
      <c r="T25" s="23"/>
    </row>
  </sheetData>
  <mergeCells count="7">
    <mergeCell ref="Y1:AH1"/>
    <mergeCell ref="Y2:AH2"/>
    <mergeCell ref="N3:N18"/>
    <mergeCell ref="A3:A18"/>
    <mergeCell ref="N1:V1"/>
    <mergeCell ref="A1:H1"/>
    <mergeCell ref="I1:L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4"/>
  <sheetViews>
    <sheetView zoomScaleNormal="100" workbookViewId="0">
      <selection sqref="A1:G1"/>
    </sheetView>
  </sheetViews>
  <sheetFormatPr defaultColWidth="8.6640625" defaultRowHeight="13.2" x14ac:dyDescent="0.25"/>
  <cols>
    <col min="1" max="2" width="12" style="2" customWidth="1"/>
    <col min="3" max="6" width="13.6640625" style="2" customWidth="1"/>
    <col min="7" max="7" width="13.33203125" style="2" customWidth="1"/>
    <col min="8" max="8" width="12.6640625" style="2" bestFit="1" customWidth="1"/>
    <col min="9" max="9" width="8.6640625" style="2"/>
    <col min="10" max="10" width="12" style="2" customWidth="1"/>
    <col min="11" max="11" width="14.109375" style="2" customWidth="1"/>
    <col min="12" max="12" width="10.33203125" style="2" customWidth="1"/>
    <col min="13" max="27" width="5.6640625" style="2" customWidth="1"/>
    <col min="28" max="16384" width="8.6640625" style="2"/>
  </cols>
  <sheetData>
    <row r="1" spans="1:28" ht="28.95" customHeight="1" x14ac:dyDescent="0.25">
      <c r="A1" s="615" t="str">
        <f>"% of Floor Area per CZ and Vintage Bin - Retail"</f>
        <v>% of Floor Area per CZ and Vintage Bin - Retail</v>
      </c>
      <c r="B1" s="615"/>
      <c r="C1" s="615"/>
      <c r="D1" s="615"/>
      <c r="E1" s="615"/>
      <c r="F1" s="615"/>
      <c r="G1" s="615"/>
      <c r="J1" s="615" t="str">
        <f>"% of Floor Area per CZ and Vintage Bin - Retail"</f>
        <v>% of Floor Area per CZ and Vintage Bin - Retail</v>
      </c>
      <c r="K1" s="615"/>
      <c r="L1" s="615"/>
      <c r="M1" s="615"/>
      <c r="N1" s="615"/>
      <c r="O1" s="615"/>
      <c r="P1" s="615"/>
      <c r="Q1" s="615"/>
      <c r="R1" s="615"/>
      <c r="S1" s="615"/>
      <c r="T1" s="615"/>
      <c r="U1" s="615"/>
      <c r="V1" s="615"/>
      <c r="W1" s="615"/>
      <c r="X1" s="615"/>
      <c r="Y1" s="615"/>
      <c r="Z1" s="615"/>
      <c r="AA1" s="615"/>
    </row>
    <row r="2" spans="1:28" ht="21" customHeight="1" x14ac:dyDescent="0.25">
      <c r="A2" s="793" t="s">
        <v>10</v>
      </c>
      <c r="B2" s="793" t="s">
        <v>570</v>
      </c>
      <c r="C2" s="793" t="s">
        <v>593</v>
      </c>
      <c r="D2" s="793"/>
      <c r="E2" s="793"/>
      <c r="F2" s="793"/>
      <c r="G2" s="793"/>
      <c r="J2" s="793" t="s">
        <v>10</v>
      </c>
      <c r="K2" s="793" t="s">
        <v>593</v>
      </c>
      <c r="L2" s="793" t="s">
        <v>570</v>
      </c>
      <c r="M2" s="793"/>
      <c r="N2" s="793"/>
      <c r="O2" s="793"/>
      <c r="P2" s="793"/>
      <c r="Q2" s="793"/>
      <c r="R2" s="793"/>
      <c r="S2" s="793"/>
      <c r="T2" s="793"/>
      <c r="U2" s="793"/>
      <c r="V2" s="793"/>
      <c r="W2" s="793"/>
      <c r="X2" s="793"/>
      <c r="Y2" s="793"/>
      <c r="Z2" s="793"/>
      <c r="AA2" s="793"/>
    </row>
    <row r="3" spans="1:28" ht="21" customHeight="1" x14ac:dyDescent="0.25">
      <c r="A3" s="793"/>
      <c r="B3" s="793"/>
      <c r="C3" s="548" t="s">
        <v>594</v>
      </c>
      <c r="D3" s="548" t="s">
        <v>211</v>
      </c>
      <c r="E3" s="548" t="s">
        <v>213</v>
      </c>
      <c r="F3" s="548" t="s">
        <v>215</v>
      </c>
      <c r="G3" s="548" t="s">
        <v>595</v>
      </c>
      <c r="J3" s="793"/>
      <c r="K3" s="793"/>
      <c r="L3" s="548">
        <v>1</v>
      </c>
      <c r="M3" s="548">
        <v>2</v>
      </c>
      <c r="N3" s="548">
        <v>3</v>
      </c>
      <c r="O3" s="548">
        <v>4</v>
      </c>
      <c r="P3" s="548">
        <v>5</v>
      </c>
      <c r="Q3" s="548">
        <v>6</v>
      </c>
      <c r="R3" s="548">
        <v>7</v>
      </c>
      <c r="S3" s="548">
        <v>8</v>
      </c>
      <c r="T3" s="548">
        <v>9</v>
      </c>
      <c r="U3" s="548">
        <v>10</v>
      </c>
      <c r="V3" s="548">
        <v>11</v>
      </c>
      <c r="W3" s="548">
        <v>12</v>
      </c>
      <c r="X3" s="548">
        <v>13</v>
      </c>
      <c r="Y3" s="548">
        <v>14</v>
      </c>
      <c r="Z3" s="548">
        <v>15</v>
      </c>
      <c r="AA3" s="548">
        <v>16</v>
      </c>
    </row>
    <row r="4" spans="1:28" ht="16.95" customHeight="1" x14ac:dyDescent="0.25">
      <c r="A4" s="790" t="s">
        <v>127</v>
      </c>
      <c r="B4" s="100">
        <v>1</v>
      </c>
      <c r="C4" s="546"/>
      <c r="D4" s="546"/>
      <c r="E4" s="546"/>
      <c r="F4" s="546"/>
      <c r="G4" s="51"/>
      <c r="H4" s="60">
        <f t="shared" ref="H4:H20" si="0">SUM(C4:F4)</f>
        <v>0</v>
      </c>
      <c r="J4" s="787" t="s">
        <v>127</v>
      </c>
      <c r="K4" s="34" t="s">
        <v>594</v>
      </c>
      <c r="L4" s="34"/>
      <c r="M4" s="34"/>
      <c r="N4" s="34"/>
      <c r="O4" s="34"/>
      <c r="P4" s="34"/>
      <c r="Q4" s="34"/>
      <c r="R4" s="34"/>
      <c r="S4" s="34"/>
      <c r="T4" s="34"/>
      <c r="U4" s="34"/>
      <c r="V4" s="34"/>
      <c r="W4" s="34"/>
      <c r="X4" s="34"/>
      <c r="Y4" s="34"/>
      <c r="Z4" s="34"/>
      <c r="AA4" s="34"/>
      <c r="AB4" s="60">
        <f t="shared" ref="AB4:AB9" si="1">SUM(L4:AA4)</f>
        <v>0</v>
      </c>
    </row>
    <row r="5" spans="1:28" ht="16.95" customHeight="1" x14ac:dyDescent="0.25">
      <c r="A5" s="791"/>
      <c r="B5" s="31">
        <v>2</v>
      </c>
      <c r="C5" s="34"/>
      <c r="D5" s="34"/>
      <c r="E5" s="34"/>
      <c r="F5" s="34"/>
      <c r="G5" s="45"/>
      <c r="H5" s="60">
        <f t="shared" si="0"/>
        <v>0</v>
      </c>
      <c r="J5" s="788"/>
      <c r="K5" s="34" t="s">
        <v>211</v>
      </c>
      <c r="L5" s="34"/>
      <c r="M5" s="34"/>
      <c r="N5" s="34"/>
      <c r="O5" s="34"/>
      <c r="P5" s="34"/>
      <c r="Q5" s="34"/>
      <c r="R5" s="34"/>
      <c r="S5" s="34"/>
      <c r="T5" s="34"/>
      <c r="U5" s="34"/>
      <c r="V5" s="34"/>
      <c r="W5" s="34"/>
      <c r="X5" s="34"/>
      <c r="Y5" s="34"/>
      <c r="Z5" s="34"/>
      <c r="AA5" s="34"/>
      <c r="AB5" s="60">
        <f t="shared" si="1"/>
        <v>0</v>
      </c>
    </row>
    <row r="6" spans="1:28" ht="16.95" customHeight="1" x14ac:dyDescent="0.25">
      <c r="A6" s="791"/>
      <c r="B6" s="31">
        <v>3</v>
      </c>
      <c r="C6" s="34"/>
      <c r="D6" s="34"/>
      <c r="E6" s="34"/>
      <c r="F6" s="34"/>
      <c r="G6" s="45"/>
      <c r="H6" s="60">
        <f t="shared" si="0"/>
        <v>0</v>
      </c>
      <c r="J6" s="788"/>
      <c r="K6" s="34" t="s">
        <v>213</v>
      </c>
      <c r="L6" s="34"/>
      <c r="M6" s="34"/>
      <c r="N6" s="34"/>
      <c r="O6" s="34"/>
      <c r="P6" s="34"/>
      <c r="Q6" s="34"/>
      <c r="R6" s="34"/>
      <c r="S6" s="34"/>
      <c r="T6" s="34"/>
      <c r="U6" s="34"/>
      <c r="V6" s="34"/>
      <c r="W6" s="34"/>
      <c r="X6" s="34"/>
      <c r="Y6" s="34"/>
      <c r="Z6" s="34"/>
      <c r="AA6" s="34"/>
      <c r="AB6" s="60">
        <f t="shared" si="1"/>
        <v>0</v>
      </c>
    </row>
    <row r="7" spans="1:28" ht="16.95" customHeight="1" x14ac:dyDescent="0.25">
      <c r="A7" s="791"/>
      <c r="B7" s="31">
        <v>4</v>
      </c>
      <c r="C7" s="34"/>
      <c r="D7" s="34"/>
      <c r="E7" s="34"/>
      <c r="F7" s="34"/>
      <c r="G7" s="45"/>
      <c r="H7" s="60">
        <f t="shared" si="0"/>
        <v>0</v>
      </c>
      <c r="J7" s="788"/>
      <c r="K7" s="34" t="s">
        <v>215</v>
      </c>
      <c r="L7" s="34"/>
      <c r="M7" s="34"/>
      <c r="N7" s="34"/>
      <c r="O7" s="34"/>
      <c r="P7" s="34"/>
      <c r="Q7" s="34"/>
      <c r="R7" s="34"/>
      <c r="S7" s="34"/>
      <c r="T7" s="34"/>
      <c r="U7" s="34"/>
      <c r="V7" s="34"/>
      <c r="W7" s="34"/>
      <c r="X7" s="34"/>
      <c r="Y7" s="34"/>
      <c r="Z7" s="34"/>
      <c r="AA7" s="34"/>
      <c r="AB7" s="60">
        <f t="shared" si="1"/>
        <v>0</v>
      </c>
    </row>
    <row r="8" spans="1:28" ht="16.95" customHeight="1" x14ac:dyDescent="0.25">
      <c r="A8" s="791"/>
      <c r="B8" s="31">
        <v>5</v>
      </c>
      <c r="C8" s="34"/>
      <c r="D8" s="34"/>
      <c r="E8" s="34"/>
      <c r="F8" s="34"/>
      <c r="G8" s="45"/>
      <c r="H8" s="60">
        <f t="shared" si="0"/>
        <v>0</v>
      </c>
      <c r="J8" s="788"/>
      <c r="K8" s="34" t="s">
        <v>595</v>
      </c>
      <c r="L8" s="34"/>
      <c r="M8" s="34"/>
      <c r="N8" s="34"/>
      <c r="O8" s="34"/>
      <c r="P8" s="34"/>
      <c r="Q8" s="34"/>
      <c r="R8" s="34"/>
      <c r="S8" s="34"/>
      <c r="T8" s="34"/>
      <c r="U8" s="34"/>
      <c r="V8" s="34"/>
      <c r="W8" s="34"/>
      <c r="X8" s="34"/>
      <c r="Y8" s="34"/>
      <c r="Z8" s="34"/>
      <c r="AA8" s="34"/>
      <c r="AB8" s="60">
        <f t="shared" si="1"/>
        <v>0</v>
      </c>
    </row>
    <row r="9" spans="1:28" ht="16.95" customHeight="1" x14ac:dyDescent="0.25">
      <c r="A9" s="791"/>
      <c r="B9" s="31">
        <v>6</v>
      </c>
      <c r="C9" s="34"/>
      <c r="D9" s="34"/>
      <c r="E9" s="34"/>
      <c r="F9" s="34"/>
      <c r="G9" s="45"/>
      <c r="H9" s="60">
        <f t="shared" si="0"/>
        <v>0</v>
      </c>
      <c r="J9" s="789"/>
      <c r="K9" s="34" t="s">
        <v>163</v>
      </c>
      <c r="L9" s="34"/>
      <c r="M9" s="34"/>
      <c r="N9" s="34"/>
      <c r="O9" s="34"/>
      <c r="P9" s="34"/>
      <c r="Q9" s="34"/>
      <c r="R9" s="34"/>
      <c r="S9" s="34"/>
      <c r="T9" s="34"/>
      <c r="U9" s="34"/>
      <c r="V9" s="34"/>
      <c r="W9" s="34"/>
      <c r="X9" s="34"/>
      <c r="Y9" s="34"/>
      <c r="Z9" s="34"/>
      <c r="AA9" s="34"/>
      <c r="AB9" s="60">
        <f t="shared" si="1"/>
        <v>0</v>
      </c>
    </row>
    <row r="10" spans="1:28" ht="16.95" customHeight="1" x14ac:dyDescent="0.25">
      <c r="A10" s="791"/>
      <c r="B10" s="31">
        <v>7</v>
      </c>
      <c r="C10" s="34"/>
      <c r="D10" s="34"/>
      <c r="E10" s="34"/>
      <c r="F10" s="34"/>
      <c r="G10" s="45"/>
      <c r="H10" s="60">
        <f t="shared" si="0"/>
        <v>0</v>
      </c>
      <c r="J10" s="553"/>
      <c r="K10" s="58"/>
      <c r="L10" s="26"/>
      <c r="M10" s="26"/>
      <c r="N10" s="26"/>
      <c r="O10" s="26"/>
      <c r="P10" s="59"/>
    </row>
    <row r="11" spans="1:28" ht="16.95" customHeight="1" x14ac:dyDescent="0.25">
      <c r="A11" s="791"/>
      <c r="B11" s="31">
        <v>8</v>
      </c>
      <c r="C11" s="34"/>
      <c r="D11" s="34"/>
      <c r="E11" s="34"/>
      <c r="F11" s="34"/>
      <c r="G11" s="45"/>
      <c r="H11" s="60">
        <f t="shared" si="0"/>
        <v>0</v>
      </c>
      <c r="J11" s="553"/>
      <c r="K11" s="58"/>
      <c r="L11" s="26"/>
      <c r="M11" s="26"/>
      <c r="N11" s="26"/>
      <c r="O11" s="26"/>
      <c r="P11" s="59"/>
    </row>
    <row r="12" spans="1:28" ht="16.95" customHeight="1" x14ac:dyDescent="0.25">
      <c r="A12" s="791"/>
      <c r="B12" s="31">
        <v>9</v>
      </c>
      <c r="C12" s="34"/>
      <c r="D12" s="34"/>
      <c r="E12" s="34"/>
      <c r="F12" s="34"/>
      <c r="G12" s="45"/>
      <c r="H12" s="60">
        <f t="shared" si="0"/>
        <v>0</v>
      </c>
      <c r="J12" s="553"/>
      <c r="K12" s="58"/>
      <c r="L12" s="26"/>
      <c r="M12" s="26"/>
      <c r="N12" s="26"/>
      <c r="O12" s="26"/>
      <c r="P12" s="59"/>
    </row>
    <row r="13" spans="1:28" ht="16.95" customHeight="1" x14ac:dyDescent="0.25">
      <c r="A13" s="791"/>
      <c r="B13" s="31">
        <v>10</v>
      </c>
      <c r="C13" s="34"/>
      <c r="D13" s="34"/>
      <c r="E13" s="34"/>
      <c r="F13" s="34"/>
      <c r="G13" s="45"/>
      <c r="H13" s="60">
        <f t="shared" si="0"/>
        <v>0</v>
      </c>
      <c r="J13" s="553"/>
      <c r="K13" s="58"/>
      <c r="L13" s="26"/>
      <c r="M13" s="26"/>
      <c r="N13" s="26"/>
      <c r="O13" s="26"/>
      <c r="P13" s="59"/>
    </row>
    <row r="14" spans="1:28" ht="16.95" customHeight="1" x14ac:dyDescent="0.25">
      <c r="A14" s="791"/>
      <c r="B14" s="31">
        <v>11</v>
      </c>
      <c r="C14" s="34"/>
      <c r="D14" s="34"/>
      <c r="E14" s="34"/>
      <c r="F14" s="34"/>
      <c r="G14" s="45"/>
      <c r="H14" s="60">
        <f t="shared" si="0"/>
        <v>0</v>
      </c>
      <c r="J14" s="553"/>
      <c r="K14" s="58"/>
      <c r="L14" s="26"/>
      <c r="M14" s="26"/>
      <c r="N14" s="26"/>
      <c r="O14" s="26"/>
      <c r="P14" s="59"/>
    </row>
    <row r="15" spans="1:28" ht="16.95" customHeight="1" x14ac:dyDescent="0.25">
      <c r="A15" s="791"/>
      <c r="B15" s="31">
        <v>12</v>
      </c>
      <c r="C15" s="34"/>
      <c r="D15" s="34"/>
      <c r="E15" s="34"/>
      <c r="F15" s="34"/>
      <c r="G15" s="45"/>
      <c r="H15" s="60">
        <f t="shared" si="0"/>
        <v>0</v>
      </c>
      <c r="J15" s="553"/>
      <c r="K15" s="58"/>
      <c r="L15" s="26"/>
      <c r="M15" s="26"/>
      <c r="N15" s="26"/>
      <c r="O15" s="26"/>
      <c r="P15" s="59"/>
    </row>
    <row r="16" spans="1:28" ht="16.95" customHeight="1" x14ac:dyDescent="0.25">
      <c r="A16" s="791"/>
      <c r="B16" s="31">
        <v>13</v>
      </c>
      <c r="C16" s="34"/>
      <c r="D16" s="34"/>
      <c r="E16" s="34"/>
      <c r="F16" s="34"/>
      <c r="G16" s="45"/>
      <c r="H16" s="60">
        <f t="shared" si="0"/>
        <v>0</v>
      </c>
      <c r="J16" s="553"/>
      <c r="K16" s="58"/>
      <c r="L16" s="26"/>
      <c r="M16" s="26"/>
      <c r="N16" s="26"/>
      <c r="O16" s="26"/>
      <c r="P16" s="59"/>
    </row>
    <row r="17" spans="1:16" ht="16.95" customHeight="1" x14ac:dyDescent="0.25">
      <c r="A17" s="791"/>
      <c r="B17" s="31">
        <v>14</v>
      </c>
      <c r="C17" s="34"/>
      <c r="D17" s="34"/>
      <c r="E17" s="34"/>
      <c r="F17" s="34"/>
      <c r="G17" s="45"/>
      <c r="H17" s="60">
        <f t="shared" si="0"/>
        <v>0</v>
      </c>
      <c r="J17" s="553"/>
      <c r="K17" s="58"/>
      <c r="L17" s="26"/>
      <c r="M17" s="26"/>
      <c r="N17" s="26"/>
      <c r="O17" s="26"/>
      <c r="P17" s="59"/>
    </row>
    <row r="18" spans="1:16" ht="16.95" customHeight="1" x14ac:dyDescent="0.25">
      <c r="A18" s="791"/>
      <c r="B18" s="31">
        <v>15</v>
      </c>
      <c r="C18" s="34"/>
      <c r="D18" s="34"/>
      <c r="E18" s="34"/>
      <c r="F18" s="34"/>
      <c r="G18" s="45"/>
      <c r="H18" s="60">
        <f t="shared" si="0"/>
        <v>0</v>
      </c>
      <c r="J18" s="553"/>
      <c r="K18" s="58"/>
      <c r="L18" s="26"/>
      <c r="M18" s="26"/>
      <c r="N18" s="26"/>
      <c r="O18" s="26"/>
      <c r="P18" s="59"/>
    </row>
    <row r="19" spans="1:16" ht="16.95" customHeight="1" x14ac:dyDescent="0.25">
      <c r="A19" s="791"/>
      <c r="B19" s="31">
        <v>16</v>
      </c>
      <c r="C19" s="45"/>
      <c r="D19" s="45"/>
      <c r="E19" s="45"/>
      <c r="F19" s="45"/>
      <c r="G19" s="45"/>
      <c r="H19" s="60">
        <f t="shared" si="0"/>
        <v>0</v>
      </c>
      <c r="J19" s="553"/>
      <c r="K19" s="58"/>
      <c r="L19" s="26"/>
      <c r="M19" s="26"/>
      <c r="N19" s="26"/>
      <c r="O19" s="26"/>
      <c r="P19" s="59"/>
    </row>
    <row r="20" spans="1:16" ht="18" customHeight="1" x14ac:dyDescent="0.25">
      <c r="A20" s="792"/>
      <c r="B20" s="108" t="s">
        <v>596</v>
      </c>
      <c r="C20" s="108"/>
      <c r="D20" s="108"/>
      <c r="E20" s="108"/>
      <c r="F20" s="108"/>
      <c r="G20" s="108"/>
      <c r="H20" s="60">
        <f t="shared" si="0"/>
        <v>0</v>
      </c>
    </row>
    <row r="21" spans="1:16" x14ac:dyDescent="0.25">
      <c r="H21" s="60"/>
    </row>
    <row r="22" spans="1:16" x14ac:dyDescent="0.25">
      <c r="A22" s="2" t="s">
        <v>597</v>
      </c>
    </row>
    <row r="23" spans="1:16" x14ac:dyDescent="0.25">
      <c r="A23" s="2" t="s">
        <v>591</v>
      </c>
    </row>
    <row r="24" spans="1:16" x14ac:dyDescent="0.25">
      <c r="A24" s="2" t="s">
        <v>592</v>
      </c>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tabColor rgb="FF000000"/>
  </sheetPr>
  <dimension ref="A1:J34"/>
  <sheetViews>
    <sheetView workbookViewId="0"/>
  </sheetViews>
  <sheetFormatPr defaultRowHeight="14.4" x14ac:dyDescent="0.3"/>
  <sheetData>
    <row r="1" spans="1:10" ht="21.6" customHeight="1" x14ac:dyDescent="0.3">
      <c r="A1" s="615" t="str">
        <f>"PV - "&amp;Prototype!A2</f>
        <v>PV - RetailMedium</v>
      </c>
      <c r="B1" s="615"/>
      <c r="C1" s="615"/>
      <c r="D1" s="615"/>
      <c r="E1" s="615"/>
      <c r="F1" s="615"/>
      <c r="G1" s="615"/>
      <c r="H1" s="615"/>
      <c r="I1" s="615"/>
      <c r="J1" s="615"/>
    </row>
    <row r="2" spans="1:10" x14ac:dyDescent="0.3">
      <c r="A2" t="s">
        <v>598</v>
      </c>
    </row>
    <row r="14" spans="1:10" hidden="1" x14ac:dyDescent="0.3"/>
    <row r="15" spans="1:10" hidden="1" x14ac:dyDescent="0.3"/>
    <row r="16" spans="1:10" hidden="1" x14ac:dyDescent="0.3"/>
    <row r="17" hidden="1" x14ac:dyDescent="0.3"/>
    <row r="18" hidden="1" x14ac:dyDescent="0.3"/>
    <row r="19" hidden="1" x14ac:dyDescent="0.3"/>
    <row r="20" hidden="1" x14ac:dyDescent="0.3"/>
    <row r="21" hidden="1" x14ac:dyDescent="0.3"/>
    <row r="22" hidden="1" x14ac:dyDescent="0.3"/>
    <row r="23" hidden="1" x14ac:dyDescent="0.3"/>
    <row r="24" hidden="1" x14ac:dyDescent="0.3"/>
    <row r="25" hidden="1" x14ac:dyDescent="0.3"/>
    <row r="26" hidden="1" x14ac:dyDescent="0.3"/>
    <row r="27" hidden="1" x14ac:dyDescent="0.3"/>
    <row r="28" hidden="1" x14ac:dyDescent="0.3"/>
    <row r="29" hidden="1" x14ac:dyDescent="0.3"/>
    <row r="30" hidden="1" x14ac:dyDescent="0.3"/>
    <row r="31" hidden="1" x14ac:dyDescent="0.3"/>
    <row r="32" hidden="1" x14ac:dyDescent="0.3"/>
    <row r="33" hidden="1" x14ac:dyDescent="0.3"/>
    <row r="34" hidden="1" x14ac:dyDescent="0.3"/>
  </sheetData>
  <mergeCells count="1">
    <mergeCell ref="A1:J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tabColor rgb="FF000000"/>
  </sheetPr>
  <dimension ref="A1:H11"/>
  <sheetViews>
    <sheetView zoomScaleNormal="70" workbookViewId="0">
      <selection activeCell="D5" sqref="D5"/>
    </sheetView>
  </sheetViews>
  <sheetFormatPr defaultColWidth="8.6640625" defaultRowHeight="13.2" x14ac:dyDescent="0.25"/>
  <cols>
    <col min="1" max="1" width="21" style="2" customWidth="1"/>
    <col min="2" max="2" width="14.33203125" style="2" customWidth="1"/>
    <col min="3" max="3" width="14.5546875" style="2" customWidth="1"/>
    <col min="4" max="8" width="8.6640625" style="2"/>
    <col min="9" max="9" width="13.6640625" style="2" customWidth="1"/>
    <col min="10" max="10" width="14.44140625" style="2" customWidth="1"/>
    <col min="11" max="16384" width="8.6640625" style="2"/>
  </cols>
  <sheetData>
    <row r="1" spans="1:8" ht="24.6" customHeight="1" x14ac:dyDescent="0.25">
      <c r="A1" s="615" t="str">
        <f>"EV Charger - "&amp;Prototype!A2</f>
        <v>EV Charger - RetailMedium</v>
      </c>
      <c r="B1" s="615"/>
      <c r="C1" s="615"/>
      <c r="D1" s="615"/>
      <c r="E1" s="615"/>
      <c r="F1" s="615"/>
      <c r="G1" s="615"/>
      <c r="H1" s="615"/>
    </row>
    <row r="2" spans="1:8" x14ac:dyDescent="0.25">
      <c r="A2" s="2" t="s">
        <v>598</v>
      </c>
      <c r="B2" s="41"/>
      <c r="C2" s="42"/>
      <c r="D2" s="43"/>
      <c r="E2" s="43"/>
    </row>
    <row r="3" spans="1:8" x14ac:dyDescent="0.25">
      <c r="A3" s="388"/>
      <c r="B3" s="386"/>
      <c r="C3" s="552"/>
      <c r="D3" s="44"/>
      <c r="E3" s="44"/>
    </row>
    <row r="11" spans="1:8" s="20" customFormat="1" hidden="1" x14ac:dyDescent="0.25">
      <c r="A11" s="20" t="s">
        <v>524</v>
      </c>
      <c r="E11" s="21"/>
      <c r="F11" s="22"/>
      <c r="G11" s="23"/>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697E-7176-4D2A-B6D3-6E02AC0F4C82}">
  <dimension ref="A1:G83"/>
  <sheetViews>
    <sheetView workbookViewId="0">
      <selection activeCell="F11" sqref="F11"/>
    </sheetView>
  </sheetViews>
  <sheetFormatPr defaultRowHeight="14.4" x14ac:dyDescent="0.3"/>
  <cols>
    <col min="1" max="1" width="58.6640625" customWidth="1"/>
    <col min="2" max="2" width="30.88671875" customWidth="1"/>
    <col min="3" max="3" width="30.33203125" customWidth="1"/>
  </cols>
  <sheetData>
    <row r="1" spans="1:7" x14ac:dyDescent="0.3">
      <c r="A1" t="s">
        <v>599</v>
      </c>
      <c r="B1" t="s">
        <v>600</v>
      </c>
      <c r="C1" t="s">
        <v>600</v>
      </c>
      <c r="D1" s="794" t="s">
        <v>601</v>
      </c>
      <c r="E1" s="794"/>
      <c r="F1" s="794"/>
      <c r="G1" s="794"/>
    </row>
    <row r="2" spans="1:7" x14ac:dyDescent="0.3">
      <c r="A2" s="551" t="s">
        <v>602</v>
      </c>
      <c r="D2">
        <v>2013</v>
      </c>
      <c r="E2">
        <v>2016</v>
      </c>
      <c r="F2">
        <v>2019</v>
      </c>
      <c r="G2">
        <v>2025</v>
      </c>
    </row>
    <row r="3" spans="1:7" x14ac:dyDescent="0.3">
      <c r="A3" s="551" t="s">
        <v>603</v>
      </c>
    </row>
    <row r="4" spans="1:7" x14ac:dyDescent="0.3">
      <c r="A4" t="s">
        <v>604</v>
      </c>
    </row>
    <row r="5" spans="1:7" x14ac:dyDescent="0.3">
      <c r="A5" t="s">
        <v>605</v>
      </c>
    </row>
    <row r="6" spans="1:7" x14ac:dyDescent="0.3">
      <c r="A6" t="s">
        <v>606</v>
      </c>
    </row>
    <row r="7" spans="1:7" x14ac:dyDescent="0.3">
      <c r="A7" t="s">
        <v>607</v>
      </c>
    </row>
    <row r="8" spans="1:7" x14ac:dyDescent="0.3">
      <c r="A8" t="s">
        <v>608</v>
      </c>
    </row>
    <row r="9" spans="1:7" x14ac:dyDescent="0.3">
      <c r="A9" t="s">
        <v>609</v>
      </c>
    </row>
    <row r="10" spans="1:7" x14ac:dyDescent="0.3">
      <c r="A10" t="s">
        <v>610</v>
      </c>
    </row>
    <row r="11" spans="1:7" x14ac:dyDescent="0.3">
      <c r="A11" t="s">
        <v>611</v>
      </c>
    </row>
    <row r="12" spans="1:7" x14ac:dyDescent="0.3">
      <c r="A12" t="s">
        <v>612</v>
      </c>
    </row>
    <row r="13" spans="1:7" x14ac:dyDescent="0.3">
      <c r="A13" t="s">
        <v>613</v>
      </c>
    </row>
    <row r="14" spans="1:7" x14ac:dyDescent="0.3">
      <c r="A14" t="s">
        <v>614</v>
      </c>
    </row>
    <row r="15" spans="1:7" x14ac:dyDescent="0.3">
      <c r="A15" t="s">
        <v>615</v>
      </c>
    </row>
    <row r="16" spans="1:7" x14ac:dyDescent="0.3">
      <c r="A16" t="s">
        <v>616</v>
      </c>
    </row>
    <row r="17" spans="1:1" x14ac:dyDescent="0.3">
      <c r="A17" t="s">
        <v>617</v>
      </c>
    </row>
    <row r="18" spans="1:1" x14ac:dyDescent="0.3">
      <c r="A18" t="s">
        <v>618</v>
      </c>
    </row>
    <row r="19" spans="1:1" x14ac:dyDescent="0.3">
      <c r="A19" t="s">
        <v>136</v>
      </c>
    </row>
    <row r="20" spans="1:1" x14ac:dyDescent="0.3">
      <c r="A20" t="s">
        <v>619</v>
      </c>
    </row>
    <row r="21" spans="1:1" x14ac:dyDescent="0.3">
      <c r="A21" t="s">
        <v>620</v>
      </c>
    </row>
    <row r="22" spans="1:1" x14ac:dyDescent="0.3">
      <c r="A22" t="s">
        <v>621</v>
      </c>
    </row>
    <row r="23" spans="1:1" x14ac:dyDescent="0.3">
      <c r="A23" t="s">
        <v>622</v>
      </c>
    </row>
    <row r="24" spans="1:1" x14ac:dyDescent="0.3">
      <c r="A24" t="s">
        <v>623</v>
      </c>
    </row>
    <row r="25" spans="1:1" x14ac:dyDescent="0.3">
      <c r="A25" t="s">
        <v>624</v>
      </c>
    </row>
    <row r="26" spans="1:1" x14ac:dyDescent="0.3">
      <c r="A26" t="s">
        <v>625</v>
      </c>
    </row>
    <row r="27" spans="1:1" x14ac:dyDescent="0.3">
      <c r="A27" t="s">
        <v>626</v>
      </c>
    </row>
    <row r="28" spans="1:1" x14ac:dyDescent="0.3">
      <c r="A28" t="s">
        <v>627</v>
      </c>
    </row>
    <row r="29" spans="1:1" x14ac:dyDescent="0.3">
      <c r="A29" t="s">
        <v>628</v>
      </c>
    </row>
    <row r="30" spans="1:1" x14ac:dyDescent="0.3">
      <c r="A30" t="s">
        <v>629</v>
      </c>
    </row>
    <row r="31" spans="1:1" x14ac:dyDescent="0.3">
      <c r="A31" t="s">
        <v>630</v>
      </c>
    </row>
    <row r="32" spans="1:1" x14ac:dyDescent="0.3">
      <c r="A32" t="s">
        <v>631</v>
      </c>
    </row>
    <row r="33" spans="1:1" x14ac:dyDescent="0.3">
      <c r="A33" t="s">
        <v>632</v>
      </c>
    </row>
    <row r="34" spans="1:1" x14ac:dyDescent="0.3">
      <c r="A34" t="s">
        <v>633</v>
      </c>
    </row>
    <row r="35" spans="1:1" x14ac:dyDescent="0.3">
      <c r="A35" t="s">
        <v>634</v>
      </c>
    </row>
    <row r="36" spans="1:1" x14ac:dyDescent="0.3">
      <c r="A36" t="s">
        <v>635</v>
      </c>
    </row>
    <row r="37" spans="1:1" x14ac:dyDescent="0.3">
      <c r="A37" t="s">
        <v>636</v>
      </c>
    </row>
    <row r="38" spans="1:1" x14ac:dyDescent="0.3">
      <c r="A38" t="s">
        <v>637</v>
      </c>
    </row>
    <row r="39" spans="1:1" x14ac:dyDescent="0.3">
      <c r="A39" t="s">
        <v>638</v>
      </c>
    </row>
    <row r="40" spans="1:1" x14ac:dyDescent="0.3">
      <c r="A40" t="s">
        <v>639</v>
      </c>
    </row>
    <row r="41" spans="1:1" x14ac:dyDescent="0.3">
      <c r="A41" t="s">
        <v>640</v>
      </c>
    </row>
    <row r="42" spans="1:1" x14ac:dyDescent="0.3">
      <c r="A42" t="s">
        <v>641</v>
      </c>
    </row>
    <row r="43" spans="1:1" x14ac:dyDescent="0.3">
      <c r="A43" t="s">
        <v>642</v>
      </c>
    </row>
    <row r="44" spans="1:1" x14ac:dyDescent="0.3">
      <c r="A44" t="s">
        <v>643</v>
      </c>
    </row>
    <row r="45" spans="1:1" x14ac:dyDescent="0.3">
      <c r="A45" t="s">
        <v>644</v>
      </c>
    </row>
    <row r="46" spans="1:1" x14ac:dyDescent="0.3">
      <c r="A46" t="s">
        <v>645</v>
      </c>
    </row>
    <row r="47" spans="1:1" x14ac:dyDescent="0.3">
      <c r="A47" t="s">
        <v>646</v>
      </c>
    </row>
    <row r="48" spans="1:1" x14ac:dyDescent="0.3">
      <c r="A48" t="s">
        <v>647</v>
      </c>
    </row>
    <row r="49" spans="1:1" x14ac:dyDescent="0.3">
      <c r="A49" t="s">
        <v>648</v>
      </c>
    </row>
    <row r="50" spans="1:1" x14ac:dyDescent="0.3">
      <c r="A50" t="s">
        <v>146</v>
      </c>
    </row>
    <row r="51" spans="1:1" x14ac:dyDescent="0.3">
      <c r="A51" t="s">
        <v>649</v>
      </c>
    </row>
    <row r="52" spans="1:1" x14ac:dyDescent="0.3">
      <c r="A52" t="s">
        <v>650</v>
      </c>
    </row>
    <row r="53" spans="1:1" x14ac:dyDescent="0.3">
      <c r="A53" t="s">
        <v>651</v>
      </c>
    </row>
    <row r="54" spans="1:1" x14ac:dyDescent="0.3">
      <c r="A54" t="s">
        <v>652</v>
      </c>
    </row>
    <row r="55" spans="1:1" x14ac:dyDescent="0.3">
      <c r="A55" t="s">
        <v>653</v>
      </c>
    </row>
    <row r="56" spans="1:1" x14ac:dyDescent="0.3">
      <c r="A56" t="s">
        <v>124</v>
      </c>
    </row>
    <row r="57" spans="1:1" x14ac:dyDescent="0.3">
      <c r="A57" t="s">
        <v>654</v>
      </c>
    </row>
    <row r="58" spans="1:1" x14ac:dyDescent="0.3">
      <c r="A58" t="s">
        <v>655</v>
      </c>
    </row>
    <row r="59" spans="1:1" x14ac:dyDescent="0.3">
      <c r="A59" t="s">
        <v>150</v>
      </c>
    </row>
    <row r="60" spans="1:1" x14ac:dyDescent="0.3">
      <c r="A60" t="s">
        <v>656</v>
      </c>
    </row>
    <row r="61" spans="1:1" x14ac:dyDescent="0.3">
      <c r="A61" t="s">
        <v>657</v>
      </c>
    </row>
    <row r="62" spans="1:1" x14ac:dyDescent="0.3">
      <c r="A62" t="s">
        <v>658</v>
      </c>
    </row>
    <row r="63" spans="1:1" x14ac:dyDescent="0.3">
      <c r="A63" t="s">
        <v>139</v>
      </c>
    </row>
    <row r="64" spans="1:1" x14ac:dyDescent="0.3">
      <c r="A64" t="s">
        <v>144</v>
      </c>
    </row>
    <row r="65" spans="1:1" x14ac:dyDescent="0.3">
      <c r="A65" t="s">
        <v>659</v>
      </c>
    </row>
    <row r="66" spans="1:1" x14ac:dyDescent="0.3">
      <c r="A66" t="s">
        <v>660</v>
      </c>
    </row>
    <row r="67" spans="1:1" x14ac:dyDescent="0.3">
      <c r="A67" t="s">
        <v>661</v>
      </c>
    </row>
    <row r="68" spans="1:1" x14ac:dyDescent="0.3">
      <c r="A68" t="s">
        <v>662</v>
      </c>
    </row>
    <row r="69" spans="1:1" x14ac:dyDescent="0.3">
      <c r="A69" t="s">
        <v>663</v>
      </c>
    </row>
    <row r="70" spans="1:1" x14ac:dyDescent="0.3">
      <c r="A70" t="s">
        <v>664</v>
      </c>
    </row>
    <row r="71" spans="1:1" x14ac:dyDescent="0.3">
      <c r="A71" t="s">
        <v>665</v>
      </c>
    </row>
    <row r="72" spans="1:1" x14ac:dyDescent="0.3">
      <c r="A72" t="s">
        <v>666</v>
      </c>
    </row>
    <row r="73" spans="1:1" x14ac:dyDescent="0.3">
      <c r="A73" t="s">
        <v>667</v>
      </c>
    </row>
    <row r="74" spans="1:1" x14ac:dyDescent="0.3">
      <c r="A74" t="s">
        <v>668</v>
      </c>
    </row>
    <row r="75" spans="1:1" x14ac:dyDescent="0.3">
      <c r="A75" t="s">
        <v>669</v>
      </c>
    </row>
    <row r="76" spans="1:1" x14ac:dyDescent="0.3">
      <c r="A76" t="s">
        <v>670</v>
      </c>
    </row>
    <row r="77" spans="1:1" x14ac:dyDescent="0.3">
      <c r="A77" t="s">
        <v>671</v>
      </c>
    </row>
    <row r="78" spans="1:1" x14ac:dyDescent="0.3">
      <c r="A78" t="s">
        <v>672</v>
      </c>
    </row>
    <row r="79" spans="1:1" x14ac:dyDescent="0.3">
      <c r="A79" t="s">
        <v>673</v>
      </c>
    </row>
    <row r="80" spans="1:1" x14ac:dyDescent="0.3">
      <c r="A80" t="s">
        <v>674</v>
      </c>
    </row>
    <row r="81" spans="1:1" x14ac:dyDescent="0.3">
      <c r="A81" t="s">
        <v>675</v>
      </c>
    </row>
    <row r="82" spans="1:1" x14ac:dyDescent="0.3">
      <c r="A82" t="s">
        <v>676</v>
      </c>
    </row>
    <row r="83" spans="1:1" x14ac:dyDescent="0.3">
      <c r="A83" t="s">
        <v>677</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BB9FA9-CB63-4711-8EA9-B5E13AE284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