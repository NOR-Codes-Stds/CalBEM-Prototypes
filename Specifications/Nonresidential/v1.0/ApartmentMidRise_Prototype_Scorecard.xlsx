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6C8C3CEC-E9E3-4CBB-898F-3F1BEEF11FE3}" xr6:coauthVersionLast="47" xr6:coauthVersionMax="47" xr10:uidLastSave="{00000000-0000-0000-0000-000000000000}"/>
  <bookViews>
    <workbookView xWindow="-108" yWindow="-108" windowWidth="23256" windowHeight="13896" tabRatio="886" activeTab="1" xr2:uid="{EAC23EE3-0CA0-4FF8-990D-9B21A59FA3E0}"/>
  </bookViews>
  <sheets>
    <sheet name="Notes" sheetId="23" r:id="rId1"/>
    <sheet name="Prototype" sheetId="2" r:id="rId2"/>
    <sheet name="Zones" sheetId="33" r:id="rId3"/>
    <sheet name="Envelope" sheetId="1" r:id="rId4"/>
    <sheet name="HVAC System" sheetId="14" r:id="rId5"/>
    <sheet name="Thermostat" sheetId="32" r:id="rId6"/>
    <sheet name="Ventilation" sheetId="18" r:id="rId7"/>
    <sheet name="Water Heater" sheetId="35" r:id="rId8"/>
    <sheet name="Interior Lights" sheetId="25" r:id="rId9"/>
    <sheet name="Equipment" sheetId="29" r:id="rId10"/>
    <sheet name="Ext Lighting" sheetId="9" r:id="rId11"/>
    <sheet name="PV" sheetId="27" state="hidden" r:id="rId12"/>
    <sheet name="EV Charger" sheetId="22" state="hidden" r:id="rId13"/>
    <sheet name="Data" sheetId="31" state="hidden" r:id="rId14"/>
    <sheet name="Schedules" sheetId="30" r:id="rId15"/>
    <sheet name="Energy Usage" sheetId="20" state="hidden" r:id="rId16"/>
    <sheet name="Weights" sheetId="21" state="hidden" r:id="rId17"/>
  </sheets>
  <definedNames>
    <definedName name="_xlnm._FilterDatabase" localSheetId="13" hidden="1">Data!$D$1:$G$1</definedName>
    <definedName name="_xlnm._FilterDatabase" localSheetId="3" hidden="1">Envelope!$A$2:$AU$48</definedName>
    <definedName name="_xlnm._FilterDatabase" localSheetId="9" hidden="1">Equipment!$A$2:$H$13</definedName>
    <definedName name="_xlnm._FilterDatabase" localSheetId="8" hidden="1">'Interior Lights'!$A$2:$G$13</definedName>
    <definedName name="_xlnm._FilterDatabase" localSheetId="2" hidden="1">Zones!$C$2:$N$40</definedName>
    <definedName name="nonparticipating_forecastzone_scale_factor" localSheetId="13">#REF!</definedName>
    <definedName name="nonparticipating_forecastzone_scale_factor" localSheetId="14">#REF!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6" i="35" l="1"/>
  <c r="G95" i="35"/>
  <c r="G94" i="35"/>
  <c r="G93" i="35"/>
  <c r="G92" i="35"/>
  <c r="G91" i="35"/>
  <c r="G90" i="35"/>
  <c r="G89" i="35"/>
  <c r="G88" i="35"/>
  <c r="G87" i="35"/>
  <c r="G86" i="35"/>
  <c r="G85" i="35"/>
  <c r="G84" i="35"/>
  <c r="G83" i="35"/>
  <c r="G82" i="35"/>
  <c r="G81" i="35"/>
  <c r="B52" i="35"/>
  <c r="F48" i="35"/>
  <c r="D3" i="35"/>
  <c r="E3" i="35"/>
  <c r="D4" i="35"/>
  <c r="E12" i="25"/>
  <c r="B12" i="25"/>
  <c r="N38" i="33" l="1"/>
  <c r="M38" i="33" s="1"/>
  <c r="N37" i="33"/>
  <c r="M37" i="33" s="1"/>
  <c r="N34" i="33"/>
  <c r="M34" i="33" s="1"/>
  <c r="N33" i="33"/>
  <c r="M33" i="33" s="1"/>
  <c r="N32" i="33"/>
  <c r="M32" i="33" s="1"/>
  <c r="N31" i="33"/>
  <c r="M31" i="33" s="1"/>
  <c r="N30" i="33"/>
  <c r="M30" i="33" s="1"/>
  <c r="N29" i="33"/>
  <c r="M29" i="33" s="1"/>
  <c r="N28" i="33"/>
  <c r="M28" i="33" s="1"/>
  <c r="N27" i="33"/>
  <c r="M27" i="33" s="1"/>
  <c r="N26" i="33"/>
  <c r="M26" i="33" s="1"/>
  <c r="N25" i="33"/>
  <c r="M25" i="33" s="1"/>
  <c r="N24" i="33"/>
  <c r="M24" i="33" s="1"/>
  <c r="N21" i="33"/>
  <c r="M21" i="33" s="1"/>
  <c r="N20" i="33"/>
  <c r="M20" i="33" s="1"/>
  <c r="N19" i="33"/>
  <c r="M19" i="33" s="1"/>
  <c r="N18" i="33"/>
  <c r="M18" i="33" s="1"/>
  <c r="N17" i="33"/>
  <c r="M17" i="33" s="1"/>
  <c r="N16" i="33"/>
  <c r="M16" i="33" s="1"/>
  <c r="N15" i="33"/>
  <c r="M15" i="33" s="1"/>
  <c r="N14" i="33"/>
  <c r="M14" i="33" s="1"/>
  <c r="N13" i="33"/>
  <c r="M13" i="33" s="1"/>
  <c r="I96" i="35" l="1"/>
  <c r="I95" i="35"/>
  <c r="I94" i="35"/>
  <c r="I93" i="35"/>
  <c r="I92" i="35"/>
  <c r="I91" i="35"/>
  <c r="I90" i="35"/>
  <c r="I89" i="35"/>
  <c r="I88" i="35"/>
  <c r="I87" i="35"/>
  <c r="I86" i="35"/>
  <c r="I85" i="35"/>
  <c r="I84" i="35"/>
  <c r="I83" i="35"/>
  <c r="I82" i="35"/>
  <c r="I81" i="35"/>
  <c r="F81" i="35" l="1"/>
  <c r="F96" i="35"/>
  <c r="E96" i="35"/>
  <c r="F95" i="35"/>
  <c r="E95" i="35"/>
  <c r="F94" i="35"/>
  <c r="E94" i="35"/>
  <c r="F93" i="35"/>
  <c r="E93" i="35"/>
  <c r="F92" i="35"/>
  <c r="E92" i="35"/>
  <c r="F91" i="35"/>
  <c r="E91" i="35"/>
  <c r="F90" i="35"/>
  <c r="E90" i="35"/>
  <c r="F89" i="35"/>
  <c r="E89" i="35"/>
  <c r="F88" i="35"/>
  <c r="E88" i="35"/>
  <c r="F87" i="35"/>
  <c r="E87" i="35"/>
  <c r="F86" i="35"/>
  <c r="E86" i="35"/>
  <c r="F85" i="35"/>
  <c r="E85" i="35"/>
  <c r="F84" i="35"/>
  <c r="E84" i="35"/>
  <c r="F83" i="35"/>
  <c r="E83" i="35"/>
  <c r="F82" i="35"/>
  <c r="E82" i="35"/>
  <c r="E81" i="35"/>
  <c r="B54" i="35" l="1"/>
  <c r="C46" i="35"/>
  <c r="A46" i="35"/>
  <c r="C45" i="35"/>
  <c r="A45" i="35"/>
  <c r="C44" i="35"/>
  <c r="A44" i="35"/>
  <c r="C43" i="35"/>
  <c r="A43" i="35"/>
  <c r="C42" i="35"/>
  <c r="A42" i="35"/>
  <c r="C41" i="35"/>
  <c r="A41" i="35"/>
  <c r="C40" i="35"/>
  <c r="A40" i="35"/>
  <c r="C39" i="35"/>
  <c r="A39" i="35"/>
  <c r="C38" i="35"/>
  <c r="A38" i="35"/>
  <c r="C37" i="35"/>
  <c r="A37" i="35"/>
  <c r="C36" i="35"/>
  <c r="A36" i="35"/>
  <c r="C35" i="35"/>
  <c r="A35" i="35"/>
  <c r="C34" i="35"/>
  <c r="A34" i="35"/>
  <c r="C33" i="35"/>
  <c r="A33" i="35"/>
  <c r="C32" i="35"/>
  <c r="A32" i="35"/>
  <c r="C31" i="35"/>
  <c r="A31" i="35"/>
  <c r="C30" i="35"/>
  <c r="A30" i="35"/>
  <c r="C29" i="35"/>
  <c r="A29" i="35"/>
  <c r="C28" i="35"/>
  <c r="A28" i="35"/>
  <c r="C27" i="35"/>
  <c r="A27" i="35"/>
  <c r="C26" i="35"/>
  <c r="A26" i="35"/>
  <c r="C25" i="35"/>
  <c r="A25" i="35"/>
  <c r="C24" i="35"/>
  <c r="A24" i="35"/>
  <c r="C23" i="35"/>
  <c r="A23" i="35"/>
  <c r="C22" i="35"/>
  <c r="A22" i="35"/>
  <c r="C21" i="35"/>
  <c r="A21" i="35"/>
  <c r="C20" i="35"/>
  <c r="A20" i="35"/>
  <c r="C19" i="35"/>
  <c r="A19" i="35"/>
  <c r="C18" i="35"/>
  <c r="A18" i="35"/>
  <c r="C17" i="35"/>
  <c r="A17" i="35"/>
  <c r="C16" i="35"/>
  <c r="A16" i="35"/>
  <c r="C15" i="35"/>
  <c r="A15" i="35"/>
  <c r="C14" i="35"/>
  <c r="A14" i="35"/>
  <c r="C13" i="35"/>
  <c r="A13" i="35"/>
  <c r="C12" i="35"/>
  <c r="A12" i="35"/>
  <c r="C11" i="35"/>
  <c r="A11" i="35"/>
  <c r="C10" i="35"/>
  <c r="A10" i="35"/>
  <c r="A1" i="35"/>
  <c r="AC58" i="30" l="1"/>
  <c r="AB58" i="30"/>
  <c r="AA58" i="30"/>
  <c r="Z58" i="30"/>
  <c r="Y58" i="30"/>
  <c r="X58" i="30"/>
  <c r="W58" i="30"/>
  <c r="V58" i="30"/>
  <c r="U58" i="30"/>
  <c r="T58" i="30"/>
  <c r="S58" i="30"/>
  <c r="R58" i="30"/>
  <c r="Q58" i="30"/>
  <c r="P58" i="30"/>
  <c r="O58" i="30"/>
  <c r="N58" i="30"/>
  <c r="M58" i="30"/>
  <c r="L58" i="30"/>
  <c r="K58" i="30"/>
  <c r="J58" i="30"/>
  <c r="I58" i="30"/>
  <c r="H58" i="30"/>
  <c r="G58" i="30"/>
  <c r="F58" i="30"/>
  <c r="AC57" i="30"/>
  <c r="AB57" i="30"/>
  <c r="AA57" i="30"/>
  <c r="Z57" i="30"/>
  <c r="Y57" i="30"/>
  <c r="X57" i="30"/>
  <c r="W57" i="30"/>
  <c r="V57" i="30"/>
  <c r="U57" i="30"/>
  <c r="T57" i="30"/>
  <c r="S57" i="30"/>
  <c r="R57" i="30"/>
  <c r="Q57" i="30"/>
  <c r="P57" i="30"/>
  <c r="O57" i="30"/>
  <c r="N57" i="30"/>
  <c r="M57" i="30"/>
  <c r="L57" i="30"/>
  <c r="K57" i="30"/>
  <c r="J57" i="30"/>
  <c r="I57" i="30"/>
  <c r="H57" i="30"/>
  <c r="G57" i="30"/>
  <c r="F57" i="30"/>
  <c r="AC56" i="30"/>
  <c r="AB56" i="30"/>
  <c r="AA56" i="30"/>
  <c r="Z56" i="30"/>
  <c r="Y56" i="30"/>
  <c r="X56" i="30"/>
  <c r="W56" i="30"/>
  <c r="V56" i="30"/>
  <c r="U56" i="30"/>
  <c r="T56" i="30"/>
  <c r="S56" i="30"/>
  <c r="R56" i="30"/>
  <c r="Q56" i="30"/>
  <c r="P56" i="30"/>
  <c r="O56" i="30"/>
  <c r="N56" i="30"/>
  <c r="M56" i="30"/>
  <c r="L56" i="30"/>
  <c r="K56" i="30"/>
  <c r="J56" i="30"/>
  <c r="I56" i="30"/>
  <c r="H56" i="30"/>
  <c r="G56" i="30"/>
  <c r="F56" i="30"/>
  <c r="AC55" i="30"/>
  <c r="AB55" i="30"/>
  <c r="AA55" i="30"/>
  <c r="Z55" i="30"/>
  <c r="Y55" i="30"/>
  <c r="X55" i="30"/>
  <c r="W55" i="30"/>
  <c r="V55" i="30"/>
  <c r="U55" i="30"/>
  <c r="T55" i="30"/>
  <c r="S55" i="30"/>
  <c r="R55" i="30"/>
  <c r="Q55" i="30"/>
  <c r="P55" i="30"/>
  <c r="O55" i="30"/>
  <c r="N55" i="30"/>
  <c r="M55" i="30"/>
  <c r="L55" i="30"/>
  <c r="K55" i="30"/>
  <c r="J55" i="30"/>
  <c r="I55" i="30"/>
  <c r="H55" i="30"/>
  <c r="G55" i="30"/>
  <c r="F55" i="30"/>
  <c r="AC54" i="30"/>
  <c r="AB54" i="30"/>
  <c r="AA54" i="30"/>
  <c r="Z54" i="30"/>
  <c r="Y54" i="30"/>
  <c r="X54" i="30"/>
  <c r="W54" i="30"/>
  <c r="V54" i="30"/>
  <c r="U54" i="30"/>
  <c r="T54" i="30"/>
  <c r="S54" i="30"/>
  <c r="R54" i="30"/>
  <c r="Q54" i="30"/>
  <c r="P54" i="30"/>
  <c r="O54" i="30"/>
  <c r="N54" i="30"/>
  <c r="M54" i="30"/>
  <c r="L54" i="30"/>
  <c r="K54" i="30"/>
  <c r="J54" i="30"/>
  <c r="I54" i="30"/>
  <c r="H54" i="30"/>
  <c r="G54" i="30"/>
  <c r="F54" i="30"/>
  <c r="AC53" i="30"/>
  <c r="AB53" i="30"/>
  <c r="AA53" i="30"/>
  <c r="Z53" i="30"/>
  <c r="Y53" i="30"/>
  <c r="X53" i="30"/>
  <c r="W53" i="30"/>
  <c r="V53" i="30"/>
  <c r="U53" i="30"/>
  <c r="T53" i="30"/>
  <c r="S53" i="30"/>
  <c r="R53" i="30"/>
  <c r="Q53" i="30"/>
  <c r="P53" i="30"/>
  <c r="O53" i="30"/>
  <c r="N53" i="30"/>
  <c r="M53" i="30"/>
  <c r="L53" i="30"/>
  <c r="K53" i="30"/>
  <c r="J53" i="30"/>
  <c r="I53" i="30"/>
  <c r="H53" i="30"/>
  <c r="G53" i="30"/>
  <c r="F53" i="30"/>
  <c r="AC24" i="30"/>
  <c r="AB24" i="30"/>
  <c r="AA24" i="30"/>
  <c r="Z24" i="30"/>
  <c r="Y24" i="30"/>
  <c r="X24" i="30"/>
  <c r="W24" i="30"/>
  <c r="V24" i="30"/>
  <c r="U24" i="30"/>
  <c r="T24" i="30"/>
  <c r="S24" i="30"/>
  <c r="R24" i="30"/>
  <c r="Q24" i="30"/>
  <c r="P24" i="30"/>
  <c r="O24" i="30"/>
  <c r="N24" i="30"/>
  <c r="M24" i="30"/>
  <c r="L24" i="30"/>
  <c r="K24" i="30"/>
  <c r="J24" i="30"/>
  <c r="I24" i="30"/>
  <c r="H24" i="30"/>
  <c r="G24" i="30"/>
  <c r="F24" i="30"/>
  <c r="AC23" i="30"/>
  <c r="AB23" i="30"/>
  <c r="AA23" i="30"/>
  <c r="Z23" i="30"/>
  <c r="Y23" i="30"/>
  <c r="X23" i="30"/>
  <c r="W23" i="30"/>
  <c r="V23" i="30"/>
  <c r="U23" i="30"/>
  <c r="T23" i="30"/>
  <c r="S23" i="30"/>
  <c r="R23" i="30"/>
  <c r="Q23" i="30"/>
  <c r="P23" i="30"/>
  <c r="O23" i="30"/>
  <c r="N23" i="30"/>
  <c r="M23" i="30"/>
  <c r="L23" i="30"/>
  <c r="K23" i="30"/>
  <c r="J23" i="30"/>
  <c r="I23" i="30"/>
  <c r="H23" i="30"/>
  <c r="G23" i="30"/>
  <c r="F23" i="30"/>
  <c r="AC22" i="30"/>
  <c r="AB22" i="30"/>
  <c r="AA22" i="30"/>
  <c r="Z22" i="30"/>
  <c r="Y22" i="30"/>
  <c r="X22" i="30"/>
  <c r="W22" i="30"/>
  <c r="V22" i="30"/>
  <c r="U22" i="30"/>
  <c r="T22" i="30"/>
  <c r="S22" i="30"/>
  <c r="R22" i="30"/>
  <c r="Q22" i="30"/>
  <c r="P22" i="30"/>
  <c r="O22" i="30"/>
  <c r="N22" i="30"/>
  <c r="M22" i="30"/>
  <c r="L22" i="30"/>
  <c r="K22" i="30"/>
  <c r="J22" i="30"/>
  <c r="I22" i="30"/>
  <c r="H22" i="30"/>
  <c r="G22" i="30"/>
  <c r="F22" i="30"/>
  <c r="A14" i="32"/>
  <c r="A1" i="32"/>
  <c r="M39" i="33"/>
  <c r="D46" i="35" s="1"/>
  <c r="F46" i="35" s="1"/>
  <c r="G46" i="35" s="1"/>
  <c r="D45" i="35"/>
  <c r="F45" i="35" s="1"/>
  <c r="G45" i="35" s="1"/>
  <c r="D44" i="35"/>
  <c r="F44" i="35" s="1"/>
  <c r="G44" i="35" s="1"/>
  <c r="M36" i="33"/>
  <c r="D43" i="35" s="1"/>
  <c r="F43" i="35" s="1"/>
  <c r="G43" i="35" s="1"/>
  <c r="M35" i="33"/>
  <c r="D42" i="35" s="1"/>
  <c r="F42" i="35" s="1"/>
  <c r="G42" i="35" s="1"/>
  <c r="D41" i="35"/>
  <c r="F41" i="35" s="1"/>
  <c r="G41" i="35" s="1"/>
  <c r="D40" i="35"/>
  <c r="F40" i="35" s="1"/>
  <c r="G40" i="35" s="1"/>
  <c r="D39" i="35"/>
  <c r="F39" i="35" s="1"/>
  <c r="G39" i="35" s="1"/>
  <c r="D38" i="35"/>
  <c r="F38" i="35" s="1"/>
  <c r="G38" i="35" s="1"/>
  <c r="D37" i="35"/>
  <c r="F37" i="35" s="1"/>
  <c r="G37" i="35" s="1"/>
  <c r="D36" i="35"/>
  <c r="F36" i="35" s="1"/>
  <c r="G36" i="35" s="1"/>
  <c r="D35" i="35"/>
  <c r="F35" i="35" s="1"/>
  <c r="G35" i="35" s="1"/>
  <c r="D34" i="35"/>
  <c r="F34" i="35" s="1"/>
  <c r="G34" i="35" s="1"/>
  <c r="D33" i="35"/>
  <c r="F33" i="35" s="1"/>
  <c r="G33" i="35" s="1"/>
  <c r="D32" i="35"/>
  <c r="F32" i="35" s="1"/>
  <c r="G32" i="35" s="1"/>
  <c r="D31" i="35"/>
  <c r="F31" i="35" s="1"/>
  <c r="G31" i="35" s="1"/>
  <c r="M23" i="33"/>
  <c r="D30" i="35" s="1"/>
  <c r="F30" i="35" s="1"/>
  <c r="G30" i="35" s="1"/>
  <c r="M22" i="33"/>
  <c r="D29" i="35" s="1"/>
  <c r="F29" i="35" s="1"/>
  <c r="G29" i="35" s="1"/>
  <c r="D28" i="35"/>
  <c r="F28" i="35" s="1"/>
  <c r="G28" i="35" s="1"/>
  <c r="D27" i="35"/>
  <c r="F27" i="35" s="1"/>
  <c r="G27" i="35" s="1"/>
  <c r="D26" i="35"/>
  <c r="F26" i="35" s="1"/>
  <c r="G26" i="35" s="1"/>
  <c r="D25" i="35"/>
  <c r="F25" i="35" s="1"/>
  <c r="G25" i="35" s="1"/>
  <c r="D24" i="35"/>
  <c r="F24" i="35" s="1"/>
  <c r="G24" i="35" s="1"/>
  <c r="D23" i="35"/>
  <c r="F23" i="35" s="1"/>
  <c r="G23" i="35" s="1"/>
  <c r="D22" i="35"/>
  <c r="F22" i="35" s="1"/>
  <c r="G22" i="35" s="1"/>
  <c r="D21" i="35"/>
  <c r="F21" i="35" s="1"/>
  <c r="G21" i="35" s="1"/>
  <c r="D20" i="35"/>
  <c r="F20" i="35" s="1"/>
  <c r="G20" i="35" s="1"/>
  <c r="M12" i="33"/>
  <c r="D19" i="35" s="1"/>
  <c r="F19" i="35" s="1"/>
  <c r="G19" i="35" s="1"/>
  <c r="M11" i="33"/>
  <c r="D18" i="35" s="1"/>
  <c r="F18" i="35" s="1"/>
  <c r="G18" i="35" s="1"/>
  <c r="M10" i="33"/>
  <c r="D17" i="35" s="1"/>
  <c r="F17" i="35" s="1"/>
  <c r="G17" i="35" s="1"/>
  <c r="M9" i="33"/>
  <c r="D16" i="35" s="1"/>
  <c r="F16" i="35" s="1"/>
  <c r="G16" i="35" s="1"/>
  <c r="M8" i="33"/>
  <c r="D15" i="35" s="1"/>
  <c r="F15" i="35" s="1"/>
  <c r="G15" i="35" s="1"/>
  <c r="M7" i="33"/>
  <c r="D14" i="35" s="1"/>
  <c r="F14" i="35" s="1"/>
  <c r="G14" i="35" s="1"/>
  <c r="M6" i="33"/>
  <c r="D13" i="35" s="1"/>
  <c r="F13" i="35" s="1"/>
  <c r="G13" i="35" s="1"/>
  <c r="M5" i="33"/>
  <c r="D12" i="35" s="1"/>
  <c r="F12" i="35" s="1"/>
  <c r="G12" i="35" s="1"/>
  <c r="M4" i="33"/>
  <c r="D11" i="35" s="1"/>
  <c r="F11" i="35" s="1"/>
  <c r="G11" i="35" s="1"/>
  <c r="M3" i="33"/>
  <c r="D10" i="35" s="1"/>
  <c r="F10" i="35" s="1"/>
  <c r="G10" i="35" s="1"/>
  <c r="AD94" i="30"/>
  <c r="C46" i="29"/>
  <c r="A39" i="18"/>
  <c r="A13" i="25"/>
  <c r="J40" i="33"/>
  <c r="I12" i="33" s="1"/>
  <c r="B12" i="29"/>
  <c r="B11" i="29"/>
  <c r="B10" i="29"/>
  <c r="B4" i="29"/>
  <c r="B5" i="29"/>
  <c r="B6" i="29"/>
  <c r="B7" i="29"/>
  <c r="B8" i="29"/>
  <c r="B9" i="29"/>
  <c r="B3" i="29"/>
  <c r="A12" i="25"/>
  <c r="A11" i="25"/>
  <c r="A5" i="25"/>
  <c r="A6" i="25"/>
  <c r="A7" i="25"/>
  <c r="A8" i="25"/>
  <c r="A9" i="25"/>
  <c r="A10" i="25"/>
  <c r="A4" i="25"/>
  <c r="I31" i="33" l="1"/>
  <c r="I9" i="33"/>
  <c r="I36" i="33"/>
  <c r="I14" i="33"/>
  <c r="I33" i="33"/>
  <c r="I11" i="33"/>
  <c r="I32" i="33"/>
  <c r="I30" i="33"/>
  <c r="I8" i="33"/>
  <c r="I39" i="33"/>
  <c r="I29" i="33"/>
  <c r="I7" i="33"/>
  <c r="I28" i="33"/>
  <c r="I27" i="33"/>
  <c r="I5" i="33"/>
  <c r="I15" i="33"/>
  <c r="I6" i="33"/>
  <c r="I26" i="33"/>
  <c r="I4" i="33"/>
  <c r="I25" i="33"/>
  <c r="I37" i="33"/>
  <c r="I35" i="33"/>
  <c r="I10" i="33"/>
  <c r="I23" i="33"/>
  <c r="I20" i="33"/>
  <c r="I24" i="33"/>
  <c r="I22" i="33"/>
  <c r="I21" i="33"/>
  <c r="I19" i="33"/>
  <c r="I3" i="33"/>
  <c r="I18" i="33"/>
  <c r="I17" i="33"/>
  <c r="I38" i="33"/>
  <c r="I16" i="33"/>
  <c r="F49" i="35"/>
  <c r="C107" i="35" s="1"/>
  <c r="D107" i="35" s="1"/>
  <c r="E107" i="35" s="1"/>
  <c r="I13" i="33"/>
  <c r="I34" i="33"/>
  <c r="I19" i="29"/>
  <c r="H19" i="29"/>
  <c r="G19" i="29"/>
  <c r="I18" i="29"/>
  <c r="H18" i="29"/>
  <c r="G18" i="29"/>
  <c r="J19" i="29" l="1"/>
  <c r="C91" i="35"/>
  <c r="D91" i="35" s="1"/>
  <c r="J18" i="29"/>
  <c r="I40" i="33"/>
  <c r="F63" i="35"/>
  <c r="C92" i="35"/>
  <c r="D92" i="35" s="1"/>
  <c r="C75" i="35"/>
  <c r="D75" i="35" s="1"/>
  <c r="E75" i="35" s="1"/>
  <c r="F101" i="35"/>
  <c r="C64" i="35"/>
  <c r="D64" i="35" s="1"/>
  <c r="E64" i="35" s="1"/>
  <c r="C111" i="35"/>
  <c r="D111" i="35" s="1"/>
  <c r="E111" i="35" s="1"/>
  <c r="C113" i="35"/>
  <c r="D113" i="35" s="1"/>
  <c r="E113" i="35" s="1"/>
  <c r="F69" i="35"/>
  <c r="C106" i="35"/>
  <c r="D106" i="35" s="1"/>
  <c r="E106" i="35" s="1"/>
  <c r="F106" i="35"/>
  <c r="C96" i="35"/>
  <c r="D96" i="35" s="1"/>
  <c r="C102" i="35"/>
  <c r="D102" i="35" s="1"/>
  <c r="E102" i="35" s="1"/>
  <c r="F74" i="35"/>
  <c r="C81" i="35"/>
  <c r="D81" i="35" s="1"/>
  <c r="F105" i="35"/>
  <c r="F111" i="35"/>
  <c r="C115" i="35"/>
  <c r="D115" i="35" s="1"/>
  <c r="E115" i="35" s="1"/>
  <c r="C112" i="35"/>
  <c r="D112" i="35" s="1"/>
  <c r="E112" i="35" s="1"/>
  <c r="C83" i="35"/>
  <c r="D83" i="35" s="1"/>
  <c r="C101" i="35"/>
  <c r="D101" i="35" s="1"/>
  <c r="E101" i="35" s="1"/>
  <c r="F112" i="35"/>
  <c r="C66" i="35"/>
  <c r="D66" i="35" s="1"/>
  <c r="E66" i="35" s="1"/>
  <c r="F107" i="35"/>
  <c r="G107" i="35" s="1"/>
  <c r="I107" i="35" s="1"/>
  <c r="F65" i="35"/>
  <c r="F113" i="35"/>
  <c r="C63" i="35"/>
  <c r="D63" i="35" s="1"/>
  <c r="E63" i="35" s="1"/>
  <c r="C90" i="35"/>
  <c r="D90" i="35" s="1"/>
  <c r="C94" i="35"/>
  <c r="D94" i="35" s="1"/>
  <c r="C103" i="35"/>
  <c r="D103" i="35" s="1"/>
  <c r="E103" i="35" s="1"/>
  <c r="C72" i="35"/>
  <c r="D72" i="35" s="1"/>
  <c r="E72" i="35" s="1"/>
  <c r="F102" i="35"/>
  <c r="C74" i="35"/>
  <c r="D74" i="35" s="1"/>
  <c r="E74" i="35" s="1"/>
  <c r="F73" i="35"/>
  <c r="C109" i="35"/>
  <c r="D109" i="35" s="1"/>
  <c r="E109" i="35" s="1"/>
  <c r="F71" i="35"/>
  <c r="C84" i="35"/>
  <c r="D84" i="35" s="1"/>
  <c r="C110" i="35"/>
  <c r="D110" i="35" s="1"/>
  <c r="E110" i="35" s="1"/>
  <c r="F68" i="35"/>
  <c r="F104" i="35"/>
  <c r="F103" i="35"/>
  <c r="C100" i="35"/>
  <c r="D100" i="35" s="1"/>
  <c r="E100" i="35" s="1"/>
  <c r="F72" i="35"/>
  <c r="F100" i="35"/>
  <c r="F109" i="35"/>
  <c r="F115" i="35"/>
  <c r="C82" i="35"/>
  <c r="D82" i="35" s="1"/>
  <c r="F75" i="35"/>
  <c r="C77" i="35"/>
  <c r="D77" i="35" s="1"/>
  <c r="E77" i="35" s="1"/>
  <c r="C108" i="35"/>
  <c r="D108" i="35" s="1"/>
  <c r="E108" i="35" s="1"/>
  <c r="F62" i="35"/>
  <c r="F108" i="35"/>
  <c r="C76" i="35"/>
  <c r="D76" i="35" s="1"/>
  <c r="E76" i="35" s="1"/>
  <c r="C105" i="35"/>
  <c r="D105" i="35" s="1"/>
  <c r="E105" i="35" s="1"/>
  <c r="F114" i="35"/>
  <c r="C89" i="35"/>
  <c r="D89" i="35" s="1"/>
  <c r="C104" i="35"/>
  <c r="D104" i="35" s="1"/>
  <c r="E104" i="35" s="1"/>
  <c r="C86" i="35"/>
  <c r="D86" i="35" s="1"/>
  <c r="C62" i="35"/>
  <c r="D62" i="35" s="1"/>
  <c r="E62" i="35" s="1"/>
  <c r="C73" i="35"/>
  <c r="D73" i="35" s="1"/>
  <c r="E73" i="35" s="1"/>
  <c r="F64" i="35"/>
  <c r="C93" i="35"/>
  <c r="D93" i="35" s="1"/>
  <c r="F67" i="35"/>
  <c r="C114" i="35"/>
  <c r="D114" i="35" s="1"/>
  <c r="E114" i="35" s="1"/>
  <c r="C85" i="35"/>
  <c r="D85" i="35" s="1"/>
  <c r="F110" i="35"/>
  <c r="C4" i="18"/>
  <c r="C5" i="18"/>
  <c r="C6" i="18"/>
  <c r="C7" i="18"/>
  <c r="C8" i="18"/>
  <c r="C9" i="18"/>
  <c r="C10" i="18"/>
  <c r="C11" i="18"/>
  <c r="C12" i="18"/>
  <c r="C13" i="18"/>
  <c r="E13" i="18" s="1"/>
  <c r="C14" i="18"/>
  <c r="E14" i="18" s="1"/>
  <c r="I14" i="18" s="1"/>
  <c r="J14" i="18" s="1"/>
  <c r="C15" i="18"/>
  <c r="E15" i="18" s="1"/>
  <c r="I15" i="18" s="1"/>
  <c r="J15" i="18" s="1"/>
  <c r="C16" i="18"/>
  <c r="E16" i="18" s="1"/>
  <c r="I16" i="18" s="1"/>
  <c r="J16" i="18" s="1"/>
  <c r="C17" i="18"/>
  <c r="E17" i="18" s="1"/>
  <c r="I17" i="18" s="1"/>
  <c r="J17" i="18" s="1"/>
  <c r="C18" i="18"/>
  <c r="E18" i="18" s="1"/>
  <c r="I18" i="18" s="1"/>
  <c r="J18" i="18" s="1"/>
  <c r="C19" i="18"/>
  <c r="E19" i="18" s="1"/>
  <c r="I19" i="18" s="1"/>
  <c r="J19" i="18" s="1"/>
  <c r="C20" i="18"/>
  <c r="E20" i="18" s="1"/>
  <c r="I20" i="18" s="1"/>
  <c r="J20" i="18" s="1"/>
  <c r="C21" i="18"/>
  <c r="E21" i="18" s="1"/>
  <c r="I21" i="18" s="1"/>
  <c r="J21" i="18" s="1"/>
  <c r="C22" i="18"/>
  <c r="C23" i="18"/>
  <c r="C24" i="18"/>
  <c r="E24" i="18" s="1"/>
  <c r="I24" i="18" s="1"/>
  <c r="J24" i="18" s="1"/>
  <c r="C25" i="18"/>
  <c r="E25" i="18" s="1"/>
  <c r="I25" i="18" s="1"/>
  <c r="J25" i="18" s="1"/>
  <c r="C26" i="18"/>
  <c r="E26" i="18" s="1"/>
  <c r="I26" i="18" s="1"/>
  <c r="J26" i="18" s="1"/>
  <c r="C27" i="18"/>
  <c r="E27" i="18" s="1"/>
  <c r="I27" i="18" s="1"/>
  <c r="J27" i="18" s="1"/>
  <c r="C28" i="18"/>
  <c r="E28" i="18" s="1"/>
  <c r="I28" i="18" s="1"/>
  <c r="J28" i="18" s="1"/>
  <c r="C29" i="18"/>
  <c r="E29" i="18" s="1"/>
  <c r="I29" i="18" s="1"/>
  <c r="J29" i="18" s="1"/>
  <c r="C30" i="18"/>
  <c r="E30" i="18" s="1"/>
  <c r="I30" i="18" s="1"/>
  <c r="J30" i="18" s="1"/>
  <c r="C31" i="18"/>
  <c r="E31" i="18" s="1"/>
  <c r="I31" i="18" s="1"/>
  <c r="J31" i="18" s="1"/>
  <c r="C32" i="18"/>
  <c r="E32" i="18" s="1"/>
  <c r="I32" i="18" s="1"/>
  <c r="J32" i="18" s="1"/>
  <c r="C33" i="18"/>
  <c r="E33" i="18" s="1"/>
  <c r="I33" i="18" s="1"/>
  <c r="J33" i="18" s="1"/>
  <c r="C34" i="18"/>
  <c r="E34" i="18" s="1"/>
  <c r="I34" i="18" s="1"/>
  <c r="J34" i="18" s="1"/>
  <c r="C35" i="18"/>
  <c r="C36" i="18"/>
  <c r="C37" i="18"/>
  <c r="E37" i="18" s="1"/>
  <c r="I37" i="18" s="1"/>
  <c r="J37" i="18" s="1"/>
  <c r="C38" i="18"/>
  <c r="E38" i="18" s="1"/>
  <c r="I38" i="18" s="1"/>
  <c r="J38" i="18" s="1"/>
  <c r="C39" i="18"/>
  <c r="C3" i="18"/>
  <c r="B9" i="18"/>
  <c r="B10" i="18"/>
  <c r="B11" i="18"/>
  <c r="B12" i="18"/>
  <c r="B14" i="18"/>
  <c r="B15" i="18"/>
  <c r="B18" i="18"/>
  <c r="B20" i="18"/>
  <c r="B23" i="18"/>
  <c r="B24" i="18"/>
  <c r="B25" i="18"/>
  <c r="B26" i="18"/>
  <c r="B27" i="18"/>
  <c r="B28" i="18"/>
  <c r="B29" i="18"/>
  <c r="B35" i="18"/>
  <c r="B36" i="18"/>
  <c r="B37" i="18"/>
  <c r="B39"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 i="18"/>
  <c r="K40" i="33"/>
  <c r="A1" i="33"/>
  <c r="F25" i="30"/>
  <c r="A1" i="30"/>
  <c r="F90" i="30"/>
  <c r="F87" i="30"/>
  <c r="G90" i="30"/>
  <c r="H90" i="30"/>
  <c r="I90" i="30"/>
  <c r="J90" i="30"/>
  <c r="K90" i="30"/>
  <c r="L90" i="30"/>
  <c r="M90" i="30"/>
  <c r="N90" i="30"/>
  <c r="O90" i="30"/>
  <c r="P90" i="30"/>
  <c r="Q90" i="30"/>
  <c r="R90" i="30"/>
  <c r="S90" i="30"/>
  <c r="T90" i="30"/>
  <c r="U90" i="30"/>
  <c r="V90" i="30"/>
  <c r="W90" i="30"/>
  <c r="X90" i="30"/>
  <c r="Y90" i="30"/>
  <c r="Z90" i="30"/>
  <c r="AA90" i="30"/>
  <c r="AB90" i="30"/>
  <c r="AC90" i="30"/>
  <c r="G91" i="30"/>
  <c r="H91" i="30"/>
  <c r="I91" i="30"/>
  <c r="J91" i="30"/>
  <c r="K91" i="30"/>
  <c r="L91" i="30"/>
  <c r="M91" i="30"/>
  <c r="N91" i="30"/>
  <c r="O91" i="30"/>
  <c r="P91" i="30"/>
  <c r="Q91" i="30"/>
  <c r="R91" i="30"/>
  <c r="S91" i="30"/>
  <c r="T91" i="30"/>
  <c r="U91" i="30"/>
  <c r="V91" i="30"/>
  <c r="W91" i="30"/>
  <c r="X91" i="30"/>
  <c r="Y91" i="30"/>
  <c r="Z91" i="30"/>
  <c r="AA91" i="30"/>
  <c r="AB91" i="30"/>
  <c r="AC91" i="30"/>
  <c r="G92" i="30"/>
  <c r="H92" i="30"/>
  <c r="I92" i="30"/>
  <c r="J92" i="30"/>
  <c r="K92" i="30"/>
  <c r="L92" i="30"/>
  <c r="M92" i="30"/>
  <c r="N92" i="30"/>
  <c r="O92" i="30"/>
  <c r="P92" i="30"/>
  <c r="Q92" i="30"/>
  <c r="R92" i="30"/>
  <c r="S92" i="30"/>
  <c r="T92" i="30"/>
  <c r="U92" i="30"/>
  <c r="V92" i="30"/>
  <c r="W92" i="30"/>
  <c r="X92" i="30"/>
  <c r="Y92" i="30"/>
  <c r="Z92" i="30"/>
  <c r="AA92" i="30"/>
  <c r="AB92" i="30"/>
  <c r="AC92" i="30"/>
  <c r="F91" i="30"/>
  <c r="F92" i="30"/>
  <c r="G87" i="30"/>
  <c r="H87" i="30"/>
  <c r="I87" i="30"/>
  <c r="J87" i="30"/>
  <c r="K87" i="30"/>
  <c r="L87" i="30"/>
  <c r="M87" i="30"/>
  <c r="N87" i="30"/>
  <c r="O87" i="30"/>
  <c r="P87" i="30"/>
  <c r="Q87" i="30"/>
  <c r="R87" i="30"/>
  <c r="S87" i="30"/>
  <c r="T87" i="30"/>
  <c r="U87" i="30"/>
  <c r="V87" i="30"/>
  <c r="W87" i="30"/>
  <c r="X87" i="30"/>
  <c r="Y87" i="30"/>
  <c r="Z87" i="30"/>
  <c r="AA87" i="30"/>
  <c r="AB87" i="30"/>
  <c r="AC87" i="30"/>
  <c r="G88" i="30"/>
  <c r="H88" i="30"/>
  <c r="I88" i="30"/>
  <c r="J88" i="30"/>
  <c r="K88" i="30"/>
  <c r="L88" i="30"/>
  <c r="M88" i="30"/>
  <c r="N88" i="30"/>
  <c r="O88" i="30"/>
  <c r="P88" i="30"/>
  <c r="Q88" i="30"/>
  <c r="R88" i="30"/>
  <c r="S88" i="30"/>
  <c r="T88" i="30"/>
  <c r="U88" i="30"/>
  <c r="V88" i="30"/>
  <c r="W88" i="30"/>
  <c r="X88" i="30"/>
  <c r="Y88" i="30"/>
  <c r="Z88" i="30"/>
  <c r="AA88" i="30"/>
  <c r="AB88" i="30"/>
  <c r="AC88" i="30"/>
  <c r="G89" i="30"/>
  <c r="H89" i="30"/>
  <c r="I89" i="30"/>
  <c r="J89" i="30"/>
  <c r="K89" i="30"/>
  <c r="L89" i="30"/>
  <c r="M89" i="30"/>
  <c r="N89" i="30"/>
  <c r="O89" i="30"/>
  <c r="P89" i="30"/>
  <c r="Q89" i="30"/>
  <c r="R89" i="30"/>
  <c r="S89" i="30"/>
  <c r="T89" i="30"/>
  <c r="U89" i="30"/>
  <c r="V89" i="30"/>
  <c r="W89" i="30"/>
  <c r="X89" i="30"/>
  <c r="Y89" i="30"/>
  <c r="Z89" i="30"/>
  <c r="AA89" i="30"/>
  <c r="AB89" i="30"/>
  <c r="AC89" i="30"/>
  <c r="F88" i="30"/>
  <c r="F89" i="30"/>
  <c r="A8" i="32"/>
  <c r="A69" i="30"/>
  <c r="A75" i="30" s="1"/>
  <c r="A81" i="30" s="1"/>
  <c r="A90" i="30" s="1"/>
  <c r="A72" i="30"/>
  <c r="A78" i="30" s="1"/>
  <c r="A84" i="30" s="1"/>
  <c r="B72" i="30"/>
  <c r="B78" i="30" s="1"/>
  <c r="B87" i="30" s="1"/>
  <c r="B69" i="30"/>
  <c r="B75" i="30" s="1"/>
  <c r="B81" i="30" s="1"/>
  <c r="B90" i="30" s="1"/>
  <c r="G104" i="35" l="1"/>
  <c r="I104" i="35" s="1"/>
  <c r="I73" i="35"/>
  <c r="G73" i="35" s="1"/>
  <c r="C67" i="35"/>
  <c r="D67" i="35" s="1"/>
  <c r="E67" i="35" s="1"/>
  <c r="I67" i="35" s="1"/>
  <c r="G67" i="35" s="1"/>
  <c r="C70" i="35"/>
  <c r="D70" i="35" s="1"/>
  <c r="E70" i="35" s="1"/>
  <c r="F77" i="35"/>
  <c r="F76" i="35"/>
  <c r="C65" i="35"/>
  <c r="D65" i="35" s="1"/>
  <c r="E65" i="35" s="1"/>
  <c r="I65" i="35" s="1"/>
  <c r="G65" i="35" s="1"/>
  <c r="G111" i="35"/>
  <c r="I111" i="35" s="1"/>
  <c r="F66" i="35"/>
  <c r="I66" i="35" s="1"/>
  <c r="G66" i="35" s="1"/>
  <c r="C87" i="35"/>
  <c r="D87" i="35" s="1"/>
  <c r="C88" i="35"/>
  <c r="D88" i="35" s="1"/>
  <c r="C68" i="35"/>
  <c r="D68" i="35" s="1"/>
  <c r="E68" i="35" s="1"/>
  <c r="C69" i="35"/>
  <c r="D69" i="35" s="1"/>
  <c r="E69" i="35" s="1"/>
  <c r="I69" i="35" s="1"/>
  <c r="G69" i="35" s="1"/>
  <c r="C95" i="35"/>
  <c r="D95" i="35" s="1"/>
  <c r="C71" i="35"/>
  <c r="D71" i="35" s="1"/>
  <c r="E71" i="35" s="1"/>
  <c r="I71" i="35" s="1"/>
  <c r="G71" i="35" s="1"/>
  <c r="F70" i="35"/>
  <c r="I70" i="35" s="1"/>
  <c r="G70" i="35" s="1"/>
  <c r="G112" i="35"/>
  <c r="I112" i="35" s="1"/>
  <c r="G109" i="35"/>
  <c r="I109" i="35" s="1"/>
  <c r="I64" i="35"/>
  <c r="G64" i="35" s="1"/>
  <c r="G113" i="35"/>
  <c r="I113" i="35" s="1"/>
  <c r="G115" i="35"/>
  <c r="I115" i="35" s="1"/>
  <c r="G106" i="35"/>
  <c r="I106" i="35" s="1"/>
  <c r="I75" i="35"/>
  <c r="G75" i="35" s="1"/>
  <c r="G103" i="35"/>
  <c r="I103" i="35" s="1"/>
  <c r="I74" i="35"/>
  <c r="G74" i="35" s="1"/>
  <c r="G102" i="35"/>
  <c r="I102" i="35" s="1"/>
  <c r="G114" i="35"/>
  <c r="I114" i="35" s="1"/>
  <c r="I72" i="35"/>
  <c r="G72" i="35" s="1"/>
  <c r="G105" i="35"/>
  <c r="I105" i="35" s="1"/>
  <c r="F3" i="35"/>
  <c r="I62" i="35"/>
  <c r="G62" i="35" s="1"/>
  <c r="G108" i="35"/>
  <c r="I108" i="35" s="1"/>
  <c r="G100" i="35"/>
  <c r="I100" i="35" s="1"/>
  <c r="I77" i="35"/>
  <c r="G77" i="35" s="1"/>
  <c r="I68" i="35"/>
  <c r="G68" i="35" s="1"/>
  <c r="G110" i="35"/>
  <c r="I110" i="35" s="1"/>
  <c r="G101" i="35"/>
  <c r="I101" i="35" s="1"/>
  <c r="I76" i="35"/>
  <c r="G76" i="35" s="1"/>
  <c r="I63" i="35"/>
  <c r="G63" i="35" s="1"/>
  <c r="I13" i="18"/>
  <c r="J13" i="18" s="1"/>
  <c r="B9" i="2"/>
  <c r="B23" i="9"/>
  <c r="B8" i="18"/>
  <c r="B22" i="18"/>
  <c r="B21" i="18"/>
  <c r="B19" i="18"/>
  <c r="B17" i="18"/>
  <c r="B16" i="18"/>
  <c r="B38" i="18"/>
  <c r="B34" i="18"/>
  <c r="B33" i="18"/>
  <c r="B32" i="18"/>
  <c r="B30" i="18"/>
  <c r="B31" i="18"/>
  <c r="B13" i="18"/>
  <c r="B7" i="18"/>
  <c r="B6" i="18"/>
  <c r="B5" i="18"/>
  <c r="B4" i="18"/>
  <c r="B3" i="18"/>
  <c r="M40" i="33"/>
  <c r="A87" i="30"/>
  <c r="B84" i="30"/>
  <c r="B50" i="30" l="1"/>
  <c r="G25" i="30"/>
  <c r="H25" i="30"/>
  <c r="I25" i="30"/>
  <c r="J25" i="30"/>
  <c r="K25" i="30"/>
  <c r="L25" i="30"/>
  <c r="M25" i="30"/>
  <c r="N25" i="30"/>
  <c r="O25" i="30"/>
  <c r="P25" i="30"/>
  <c r="Q25" i="30"/>
  <c r="R25" i="30"/>
  <c r="S25" i="30"/>
  <c r="T25" i="30"/>
  <c r="U25" i="30"/>
  <c r="V25" i="30"/>
  <c r="W25" i="30"/>
  <c r="X25" i="30"/>
  <c r="Y25" i="30"/>
  <c r="Z25" i="30"/>
  <c r="AA25" i="30"/>
  <c r="AB25" i="30"/>
  <c r="AC25" i="30"/>
  <c r="G26" i="30"/>
  <c r="H26" i="30"/>
  <c r="I26" i="30"/>
  <c r="J26" i="30"/>
  <c r="K26" i="30"/>
  <c r="L26" i="30"/>
  <c r="M26" i="30"/>
  <c r="N26" i="30"/>
  <c r="O26" i="30"/>
  <c r="P26" i="30"/>
  <c r="Q26" i="30"/>
  <c r="R26" i="30"/>
  <c r="S26" i="30"/>
  <c r="T26" i="30"/>
  <c r="U26" i="30"/>
  <c r="V26" i="30"/>
  <c r="W26" i="30"/>
  <c r="X26" i="30"/>
  <c r="Y26" i="30"/>
  <c r="Z26" i="30"/>
  <c r="AA26" i="30"/>
  <c r="AB26" i="30"/>
  <c r="AC26" i="30"/>
  <c r="G27" i="30"/>
  <c r="H27" i="30"/>
  <c r="I27" i="30"/>
  <c r="J27" i="30"/>
  <c r="K27" i="30"/>
  <c r="L27" i="30"/>
  <c r="M27" i="30"/>
  <c r="N27" i="30"/>
  <c r="O27" i="30"/>
  <c r="P27" i="30"/>
  <c r="Q27" i="30"/>
  <c r="R27" i="30"/>
  <c r="S27" i="30"/>
  <c r="T27" i="30"/>
  <c r="U27" i="30"/>
  <c r="V27" i="30"/>
  <c r="W27" i="30"/>
  <c r="X27" i="30"/>
  <c r="Y27" i="30"/>
  <c r="Z27" i="30"/>
  <c r="AA27" i="30"/>
  <c r="AB27" i="30"/>
  <c r="AC27" i="30"/>
  <c r="F26" i="30"/>
  <c r="F27" i="30"/>
  <c r="B22" i="30" l="1"/>
  <c r="B31" i="30" l="1"/>
  <c r="B25" i="30"/>
  <c r="B28" i="30"/>
  <c r="B7" i="30"/>
  <c r="B10" i="30"/>
  <c r="B13" i="30"/>
  <c r="B16" i="30"/>
  <c r="B19" i="30"/>
  <c r="B28" i="1" l="1"/>
  <c r="B18" i="1"/>
  <c r="B13" i="1"/>
  <c r="B8" i="1"/>
  <c r="B3" i="1"/>
  <c r="A1" i="21" l="1"/>
  <c r="A1" i="27"/>
  <c r="A1" i="22"/>
  <c r="A1" i="20"/>
  <c r="C14" i="9" l="1"/>
  <c r="A1" i="29" l="1"/>
  <c r="A8" i="9"/>
  <c r="A1" i="18"/>
  <c r="A1" i="14"/>
  <c r="A1" i="1"/>
  <c r="B25" i="2" l="1"/>
  <c r="B22" i="9" l="1"/>
  <c r="G14" i="9" s="1"/>
  <c r="G12" i="9"/>
  <c r="A1" i="9"/>
  <c r="G10" i="9"/>
  <c r="A4" i="21" l="1"/>
  <c r="A3" i="20"/>
  <c r="A1" i="25"/>
  <c r="I3" i="18" l="1"/>
  <c r="J39" i="18" l="1"/>
  <c r="I39" i="18"/>
  <c r="I36" i="18" l="1"/>
  <c r="I35" i="18"/>
  <c r="I23" i="18"/>
  <c r="I22" i="18"/>
  <c r="I12" i="18"/>
  <c r="I11" i="18"/>
  <c r="I10" i="18"/>
  <c r="I9" i="18"/>
  <c r="I8" i="18"/>
  <c r="I7" i="18"/>
  <c r="I6" i="18"/>
  <c r="I5" i="18"/>
  <c r="I4" i="18"/>
  <c r="B10" i="2" l="1"/>
  <c r="H9" i="18" l="1"/>
  <c r="K9" i="18" s="1"/>
  <c r="K14" i="18"/>
  <c r="H12" i="18"/>
  <c r="K12" i="18" s="1"/>
  <c r="H11" i="18"/>
  <c r="K11" i="18" s="1"/>
  <c r="H10" i="18"/>
  <c r="K10" i="18" s="1"/>
  <c r="H8" i="18"/>
  <c r="K8" i="18" s="1"/>
  <c r="H7" i="18"/>
  <c r="K7" i="18" s="1"/>
  <c r="H6" i="18"/>
  <c r="K6" i="18" s="1"/>
  <c r="H5" i="18"/>
  <c r="K5" i="18" s="1"/>
  <c r="H3" i="18"/>
  <c r="K3" i="18" s="1"/>
  <c r="C11" i="9"/>
  <c r="H4" i="18"/>
  <c r="K4" i="18" s="1"/>
  <c r="G11" i="9" l="1"/>
  <c r="C15" i="9"/>
  <c r="G15" i="9" s="1"/>
  <c r="C13" i="9"/>
  <c r="G13" i="9" s="1"/>
  <c r="G17" i="9" s="1"/>
  <c r="B3" i="9" s="1"/>
  <c r="G16" i="9" l="1"/>
  <c r="K21" i="18" l="1"/>
  <c r="K38" i="18"/>
  <c r="H39" i="18"/>
  <c r="K39" i="18" s="1"/>
  <c r="K28" i="18"/>
  <c r="K27" i="18"/>
  <c r="K26" i="18"/>
  <c r="K25" i="18"/>
  <c r="K24" i="18"/>
  <c r="H23" i="18"/>
  <c r="K23" i="18" s="1"/>
  <c r="H22" i="18"/>
  <c r="K22" i="18" s="1"/>
  <c r="K20" i="18"/>
  <c r="K19" i="18"/>
  <c r="K18" i="18"/>
  <c r="K17" i="18"/>
  <c r="K34" i="18"/>
  <c r="K16" i="18"/>
  <c r="H35" i="18"/>
  <c r="K35" i="18" s="1"/>
  <c r="K15" i="18"/>
  <c r="H36" i="18"/>
  <c r="K36" i="18" s="1"/>
  <c r="A3" i="9"/>
  <c r="C3" i="9" s="1"/>
  <c r="G18" i="9"/>
  <c r="K37" i="18"/>
  <c r="K29" i="18" l="1"/>
  <c r="K33" i="18"/>
  <c r="K32" i="18"/>
  <c r="K31" i="18"/>
  <c r="K30" i="18"/>
  <c r="H5" i="21"/>
  <c r="H6" i="21"/>
  <c r="H7" i="21"/>
  <c r="H8" i="21"/>
  <c r="H9" i="21"/>
  <c r="H10" i="21"/>
  <c r="H11" i="21"/>
  <c r="H12" i="21"/>
  <c r="H13" i="21"/>
  <c r="H14" i="21"/>
  <c r="H15" i="21"/>
  <c r="H16" i="21"/>
  <c r="H17" i="21"/>
  <c r="H18" i="21"/>
  <c r="H19" i="21"/>
  <c r="H4" i="21"/>
  <c r="K13" i="18" l="1"/>
</calcChain>
</file>

<file path=xl/sharedStrings.xml><?xml version="1.0" encoding="utf-8"?>
<sst xmlns="http://schemas.openxmlformats.org/spreadsheetml/2006/main" count="1635" uniqueCount="733">
  <si>
    <t>Data Sources</t>
  </si>
  <si>
    <t>Dataset</t>
  </si>
  <si>
    <t>Dodge 2023</t>
  </si>
  <si>
    <t>Prototype</t>
  </si>
  <si>
    <t>CEC prototype (CBECC 2022.3.1)</t>
  </si>
  <si>
    <t>https://bees.noresco.com/software2022.html</t>
  </si>
  <si>
    <t>TRC Multifamily Prototypes study (2019)</t>
  </si>
  <si>
    <t>https://title24stakeholders.com/wp-content/uploads/2019/06/SCE-MFModeling_MultifamilyPrototypesReport_2019-06-07_clean.pdf</t>
  </si>
  <si>
    <t xml:space="preserve"> </t>
  </si>
  <si>
    <t>Codes</t>
  </si>
  <si>
    <t>Title 24, part 6 (1986, 2001, 2007, 2013, 2022, 2025)</t>
  </si>
  <si>
    <t>ASHRAE 90.1 (2022)</t>
  </si>
  <si>
    <t>ASHRAE Handbook of Fundamentals (Ch. 15 Tables 4 and 10)</t>
  </si>
  <si>
    <t>CFR Title 10 (2010, 2024)</t>
  </si>
  <si>
    <t>Others</t>
  </si>
  <si>
    <t>2019 Outdoor Lighting CASE Report</t>
  </si>
  <si>
    <t>https://title24stakeholders.com/wp-content/uploads/2016/10/T24-2019-CASE-Study-Results-Report-Outdoor-Sources_Final_with-Attachments.pdf</t>
  </si>
  <si>
    <t>PNNL 20405, 2011</t>
  </si>
  <si>
    <t>https://www.pnnl.gov/main/publications/external/technical_reports/PNNL-20405.pdf</t>
  </si>
  <si>
    <t>2024 CASE Report: A Comprehensive, High Efficiency Solution for Water Heating in Multifamily Buildings</t>
  </si>
  <si>
    <t>https://www.energy.ca.gov/sites/default/files/2024-06/CEC-500-2024-054.pdf</t>
  </si>
  <si>
    <t>2022 CASE Report: Multifamily Domestic Hot Water Distribution</t>
  </si>
  <si>
    <t>https://title24stakeholders.com/wp-content/uploads/2020/09/2022_T24_Final-CASE-Report-MF-DHW-Dist.pdf</t>
  </si>
  <si>
    <t>Maguire &amp; Roberts 2020 (NREL/CP-5500-71633): Deriving Simulation Parameters for Storage-Type Water Heaters Using Ratings Data Produced from the Uniform Energy Factor Test Procedure</t>
  </si>
  <si>
    <t>https://docs.nrel.gov/docs/fy21osti/71633.pdf</t>
  </si>
  <si>
    <t>OpenStudio-HPXML waterheater.rb (tank UA / Maguire method)</t>
  </si>
  <si>
    <t>https://github.com/NREL/OpenStudio-HPXML/blob/master/HPXMLtoOpenStudio/resources/waterheater.rb</t>
  </si>
  <si>
    <t>Construction Rate</t>
  </si>
  <si>
    <t>Notes</t>
  </si>
  <si>
    <t>NORESCO, Updated September 2026</t>
  </si>
  <si>
    <t xml:space="preserve">ApartmentMidRise </t>
  </si>
  <si>
    <t>Characteristic</t>
  </si>
  <si>
    <t>Value</t>
  </si>
  <si>
    <t>Building Type</t>
  </si>
  <si>
    <t>Mid-Rise Apartment</t>
  </si>
  <si>
    <t>Building Category</t>
  </si>
  <si>
    <t>Nonresidential</t>
  </si>
  <si>
    <t>Version</t>
  </si>
  <si>
    <t>v2-0</t>
  </si>
  <si>
    <t>Vintages</t>
  </si>
  <si>
    <t>4 Vintages: Pre-1978 , 1978-1997 ,1998-2007 , 2008-2018
New Construction (2019+)</t>
  </si>
  <si>
    <r>
      <rPr>
        <sz val="10"/>
        <color rgb="FF000000"/>
        <rFont val="Arial"/>
        <family val="2"/>
      </rPr>
      <t>Following the vintage‑bin analysis</t>
    </r>
    <r>
      <rPr>
        <sz val="10"/>
        <color rgb="FF000000"/>
        <rFont val="Arial"/>
        <family val="2"/>
      </rPr>
      <t xml:space="preserve"> performed for the nonresidential prototypes.
A summary of the findings is presented in the following paper, with a link provided in the Notes tab:
Yousefi, F., Athalye, R. (2025). “Determining Vintage Bins for Prototype Development: An Analysis of California Commercial Buildings.” ASHRAE Annual Conference.</t>
    </r>
  </si>
  <si>
    <t>Shape</t>
  </si>
  <si>
    <t>CEC Prototype model
TRC Multifamily Prototypes study (2019)
https://title24stakeholders.com/wp-content/uploads/2019/06/SCE-MFModeling_MultifamilyPrototypesReport_2019-06-07_clean.pdf</t>
  </si>
  <si>
    <t>Total Floor Area (ft2)</t>
  </si>
  <si>
    <t>CEC Prototype model
TRC Multifamily Prototypes study (2019)</t>
  </si>
  <si>
    <t>Aspect Ratio</t>
  </si>
  <si>
    <t>Number of Floors</t>
  </si>
  <si>
    <t>5 above-ground floors including one underground parking garage (180 ft x 155 ft)</t>
  </si>
  <si>
    <t>Roof type</t>
  </si>
  <si>
    <t>Flat roof</t>
  </si>
  <si>
    <t>WWR (above grade)</t>
  </si>
  <si>
    <t>South: 22.0%, East: 22.0%, North: 22.0%, West: 22.0%
Total 22.0%</t>
  </si>
  <si>
    <t>Window dimensions</t>
  </si>
  <si>
    <t>5 * 3</t>
  </si>
  <si>
    <t>Shading Geometry</t>
  </si>
  <si>
    <t>-</t>
  </si>
  <si>
    <t>Floor to floor height (feet)</t>
  </si>
  <si>
    <t>Residential: 10
Non-residential: 10
Parking: 15</t>
  </si>
  <si>
    <t>Floor to ceiling height (feet)</t>
  </si>
  <si>
    <t>Residential: 9
Non-residential: 10
Parking: 14</t>
  </si>
  <si>
    <t>Glazing sill height (feet)</t>
  </si>
  <si>
    <t>3.1 ft (in first floor), 2.95 ft. (in upper floors)</t>
  </si>
  <si>
    <t>Number of dwelling units</t>
  </si>
  <si>
    <t>22 per residential floor × 4 floors. Mix per floor from TRC/plans: 2 studio, 10 one-bed, 8 two-bed, 2 three-bed.</t>
  </si>
  <si>
    <t>Above grade wall area (ft²)</t>
  </si>
  <si>
    <t>Gross wall area  (ft²)</t>
  </si>
  <si>
    <t>Roof area  (ft²)</t>
  </si>
  <si>
    <t>Underground Gross Wall Area  (ft²)</t>
  </si>
  <si>
    <r>
      <rPr>
        <b/>
        <sz val="10"/>
        <color rgb="FF000000"/>
        <rFont val="Arial"/>
        <family val="2"/>
      </rPr>
      <t xml:space="preserve">Space Type
</t>
    </r>
    <r>
      <rPr>
        <b/>
        <sz val="10"/>
        <color rgb="FF000000"/>
        <rFont val="Arial"/>
        <family val="2"/>
      </rPr>
      <t>[Primarily from: T24, 2022 Appendix 5.4A] - See Notes column</t>
    </r>
  </si>
  <si>
    <t>Space/Thermal Zone</t>
  </si>
  <si>
    <t>Res/NR</t>
  </si>
  <si>
    <t>Schedule Category</t>
  </si>
  <si>
    <t>No. of Dwelling Units</t>
  </si>
  <si>
    <t>Dwelling Unit Type</t>
  </si>
  <si>
    <t>Thermal Zone (HVAC Zone)</t>
  </si>
  <si>
    <t>Conditioned [Y/N]</t>
  </si>
  <si>
    <t>Area Fraction</t>
  </si>
  <si>
    <t>Area (ft²)</t>
  </si>
  <si>
    <t>Volume
(ft³)</t>
  </si>
  <si>
    <t>Multipliers</t>
  </si>
  <si>
    <t xml:space="preserve">People </t>
  </si>
  <si>
    <t>People (persons/1,000 ft²)</t>
  </si>
  <si>
    <t>Spaces and Zoning layout</t>
  </si>
  <si>
    <t>Convention, Conference, Multipurpose and Meeting Area</t>
  </si>
  <si>
    <t>F1 BUSINESS CENTER</t>
  </si>
  <si>
    <t>NR</t>
  </si>
  <si>
    <t>ResidentialCommon</t>
  </si>
  <si>
    <t>NA</t>
  </si>
  <si>
    <t>AHU1</t>
  </si>
  <si>
    <t>Y</t>
  </si>
  <si>
    <t>Dwellings: occupants/unit — ACM 2025 §6.5.4 Max(Nbr+1, 2)
Parking garage: 0 (unoccupied for internal loads; App 5.4A 5/1000 not used)
Other nonresidential: persons/1,000 ft² — App 5.4A / Table 120.1-A</t>
  </si>
  <si>
    <t>Corridor Area</t>
  </si>
  <si>
    <t>F1 CORRIDOR</t>
  </si>
  <si>
    <t>AHU2</t>
  </si>
  <si>
    <t>Exercise/Fitness Center and Gymnasium Areas</t>
  </si>
  <si>
    <t>F1 FITNESS CENTER</t>
  </si>
  <si>
    <t>AHU3</t>
  </si>
  <si>
    <t>Office Area (&gt;250 square feet)</t>
  </si>
  <si>
    <t>F1 LEASING OFFICE</t>
  </si>
  <si>
    <t>AHU4</t>
  </si>
  <si>
    <t>Lobby, Main Entry</t>
  </si>
  <si>
    <t>F1 LOUNGE</t>
  </si>
  <si>
    <t>AHU5</t>
  </si>
  <si>
    <t>Electrical, Mechanical, Telephone Rooms</t>
  </si>
  <si>
    <t>F1 MECHANICAL ROOM</t>
  </si>
  <si>
    <t>AHU6</t>
  </si>
  <si>
    <t>Retail Sales Area (Retail Merchandise Sales)</t>
  </si>
  <si>
    <t>F1 RETAIL N-NW</t>
  </si>
  <si>
    <t>Retail</t>
  </si>
  <si>
    <t>AHU7</t>
  </si>
  <si>
    <t>F1 RETAIL NE</t>
  </si>
  <si>
    <t>AHU8</t>
  </si>
  <si>
    <t>F1 RETAIL SE</t>
  </si>
  <si>
    <t>AHU9</t>
  </si>
  <si>
    <t>F1 RETAIL SW</t>
  </si>
  <si>
    <t>AHU10</t>
  </si>
  <si>
    <t>Residential Living Spaces</t>
  </si>
  <si>
    <t>F2-4 1-BED CORE EAST</t>
  </si>
  <si>
    <t>Res</t>
  </si>
  <si>
    <t>ResidentialLiving</t>
  </si>
  <si>
    <t xml:space="preserve"> 1-Bed Type</t>
  </si>
  <si>
    <t>AHU11</t>
  </si>
  <si>
    <t>F2-4 1-BED CORE N</t>
  </si>
  <si>
    <t>AHU12</t>
  </si>
  <si>
    <t>F2-4 1-BED CORE WEST</t>
  </si>
  <si>
    <t>AHU13</t>
  </si>
  <si>
    <t>F2-4 1-BED NORTH</t>
  </si>
  <si>
    <t>AHU14</t>
  </si>
  <si>
    <t>F2-4 2-BED CORE NE-NW</t>
  </si>
  <si>
    <t xml:space="preserve"> 2-Bed Type</t>
  </si>
  <si>
    <t>AHU15</t>
  </si>
  <si>
    <t>F2-4 2-BED EAST</t>
  </si>
  <si>
    <t>AHU16</t>
  </si>
  <si>
    <t>F2-4 2-BED WEST</t>
  </si>
  <si>
    <t>AHU17</t>
  </si>
  <si>
    <t>F2-4 3-BED NE</t>
  </si>
  <si>
    <t xml:space="preserve"> 3-Bed Type</t>
  </si>
  <si>
    <t>AHU18</t>
  </si>
  <si>
    <t>F2-4 3-BED NW</t>
  </si>
  <si>
    <t>AHU19</t>
  </si>
  <si>
    <t>F2-4 CORRIDOR</t>
  </si>
  <si>
    <t>AHU20</t>
  </si>
  <si>
    <t xml:space="preserve">Laundry Area </t>
  </si>
  <si>
    <t>F2-4 LAUNDRY</t>
  </si>
  <si>
    <t>AHU21</t>
  </si>
  <si>
    <t>F2-4 STUDIO SE</t>
  </si>
  <si>
    <t>Studio Type</t>
  </si>
  <si>
    <t>AHU22</t>
  </si>
  <si>
    <t>F2-4 STUDIO SW</t>
  </si>
  <si>
    <t>AHU23</t>
  </si>
  <si>
    <t>F5 1-BED CORE EAST</t>
  </si>
  <si>
    <t>AHU24</t>
  </si>
  <si>
    <t>F5 1-BED CORE N</t>
  </si>
  <si>
    <t>AHU25</t>
  </si>
  <si>
    <t>F5 1-BED CORE WEST</t>
  </si>
  <si>
    <t>AHU26</t>
  </si>
  <si>
    <t>F5 1-BED NORTH</t>
  </si>
  <si>
    <t>AHU27</t>
  </si>
  <si>
    <t>F5 2-BED CORE NE-NW</t>
  </si>
  <si>
    <t>AHU28</t>
  </si>
  <si>
    <t>F5 2-BED EAST</t>
  </si>
  <si>
    <t>AHU29</t>
  </si>
  <si>
    <t>F5 2-BED WEST</t>
  </si>
  <si>
    <t>AHU30</t>
  </si>
  <si>
    <t>F5 3-BED NE</t>
  </si>
  <si>
    <t>AHU31</t>
  </si>
  <si>
    <t>F5 3-BED NW</t>
  </si>
  <si>
    <t>AHU32</t>
  </si>
  <si>
    <t>F5 CORRIDOR</t>
  </si>
  <si>
    <t>AHU33</t>
  </si>
  <si>
    <t>F5 LAUNDRY</t>
  </si>
  <si>
    <t>AHU34</t>
  </si>
  <si>
    <t>F5 STUDIO SE</t>
  </si>
  <si>
    <t>AHU35</t>
  </si>
  <si>
    <t>F5 STUDIO SW</t>
  </si>
  <si>
    <t>AHU36</t>
  </si>
  <si>
    <t>Parking Garage Area (Parking Zone and Ramps)</t>
  </si>
  <si>
    <t>PARKING GARAGE</t>
  </si>
  <si>
    <t>none</t>
  </si>
  <si>
    <t>N</t>
  </si>
  <si>
    <t>Total (11 Space Types)</t>
  </si>
  <si>
    <t>Total (37 Spaces)</t>
  </si>
  <si>
    <t>Total (88 Dwelling Units)</t>
  </si>
  <si>
    <t>Total (4 Dwelling Unit Types)</t>
  </si>
  <si>
    <t>Total (37 Thermal Zones)</t>
  </si>
  <si>
    <t xml:space="preserve"> Total (36 Conditioned Zones, 1 Unconditioned Zones)</t>
  </si>
  <si>
    <t>Background Data [To be deleted prior to publication]</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</si>
  <si>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</si>
  <si>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</si>
  <si>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</si>
  <si>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</si>
  <si>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</si>
  <si>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</si>
  <si>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</si>
  <si>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</si>
  <si>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</si>
  <si>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</si>
  <si>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</si>
  <si>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</si>
  <si>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</si>
  <si>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</si>
  <si>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</si>
  <si>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</si>
  <si>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</si>
  <si>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</si>
  <si>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</si>
  <si>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</si>
  <si>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</si>
  <si>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</si>
  <si>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External Wall (Floor 1)</t>
  </si>
  <si>
    <t>ExtWall_MassHeavy_Nonres</t>
  </si>
  <si>
    <r>
      <t xml:space="preserve">8-in cast-in-place concrete wall + insulation + air/water barrier +  exterior cladding + gypsum board
</t>
    </r>
    <r>
      <rPr>
        <sz val="10"/>
        <color rgb="FF000000"/>
        <rFont val="Arial"/>
        <family val="2"/>
      </rPr>
      <t>Insulation only where the vintage U-factor requires it; Pre-1978 is uninsulated (Appendix A R-0).</t>
    </r>
  </si>
  <si>
    <t>U-factor IP</t>
  </si>
  <si>
    <t>Pre 1978</t>
  </si>
  <si>
    <t>N/A</t>
  </si>
  <si>
    <t>ASHRAE 90.1-2022 Appendix A Table A3.1-1 (above-grade concrete/masonry U-factors), 8 in. NWC 145 lb/ft³ solid, No Framing R-0: U-0.740.</t>
  </si>
  <si>
    <t>1978-1997</t>
  </si>
  <si>
    <t>Title 24 1986 Table 2-53W (Alternative Component Packages, high-rise office), Package A, opaque wall HC 10.0–14.99 Btu/°F·ft²</t>
  </si>
  <si>
    <t>1998-2007</t>
  </si>
  <si>
    <t>Table 1-H Mass HC≥15 (2001). CZ groups 1&amp;16 / 3-5 / 6-9 / 2&amp;10-13 / 14-15.</t>
  </si>
  <si>
    <t>2008-2018</t>
  </si>
  <si>
    <t>Table 140.3-B Walls — Mass, Heavy (2013)</t>
  </si>
  <si>
    <t>Existing</t>
  </si>
  <si>
    <t>2019+</t>
  </si>
  <si>
    <t>Table 140.3-B Walls - Mass, Heavy (2025)</t>
  </si>
  <si>
    <t>External Wall (Floors 2-5)</t>
  </si>
  <si>
    <t>ExtWall_WoodFramed_Res</t>
  </si>
  <si>
    <t>Wood-frame walls + insulation + Gypsum board</t>
  </si>
  <si>
    <t>ASHRAE 90.1 Table A3.4.3.1, 3.5", R-0</t>
  </si>
  <si>
    <t>Title 24 1986 Table 2-53 BB, wall density less than 25</t>
  </si>
  <si>
    <t>TABLE 1-I wood frame (2001 high-rise residential). CZ1 and CZ16 = 0.063.</t>
  </si>
  <si>
    <t>TABLE 140.3-C Wood-framed and Other (2013 high-rise residential). Not 140.3-B and not Mass, Heavy (F2-5 construction is wood).</t>
  </si>
  <si>
    <t>TABLE 170.2-A framed (wood, metal) and other — &gt;1-hr fire rating</t>
  </si>
  <si>
    <t>Roof</t>
  </si>
  <si>
    <t>FlatRoof_WoodFramedAndOther_Res</t>
  </si>
  <si>
    <t>Roof membrane or shingles + roof insulation + wood decking/sheathing + wood framing</t>
  </si>
  <si>
    <t>Considering 30 years for roof/ insulation replacement.</t>
  </si>
  <si>
    <t>TABLE 1-I</t>
  </si>
  <si>
    <t>TABLE 140.3-C</t>
  </si>
  <si>
    <t>TABLE 170.2-A ENVELOPE COMPONENT PACKAGE – Multifamily Standard Building Design</t>
  </si>
  <si>
    <t>Windows_Dwelling Units (Floors 2-5)</t>
  </si>
  <si>
    <t>FixedAndOperableWindow_Res</t>
  </si>
  <si>
    <t>100% single pane for Pre-1978 and 1978-1997 (as-built). Title 24 fenestration U/SHGC starts at 1998-2007 (2001 Tables 1-H / 1-I).</t>
  </si>
  <si>
    <t>U factor</t>
  </si>
  <si>
    <t>ASHRAE Handbook of Fundamentals Ch. 15 Table 4: U 1.12 (fixed metal) / 1.23 (operable). Weighted with Envelope $C$56 operable fraction. No 2013 double-pane blend.</t>
  </si>
  <si>
    <t>Double pane</t>
  </si>
  <si>
    <t xml:space="preserve"> Table 1-I</t>
  </si>
  <si>
    <t xml:space="preserve">Table 140.3-C  </t>
  </si>
  <si>
    <t>TABLE 170.2-A All Other Fenestration (not fixed/operable blend)</t>
  </si>
  <si>
    <t>SHGC</t>
  </si>
  <si>
    <t>ASHRAE Handbook of Fundamentals Ch. 15 Table 10: SHGC 0.79 (fixed) / 0.78 (operable). Weighted with Envelope $C$56. No 2013 double-pane blend.</t>
  </si>
  <si>
    <t>TABLE 1-I 21-30% WWR (prototype 22%). Non-north row 116; CZ1 uses north (row 117) per Table 1-I note.</t>
  </si>
  <si>
    <t xml:space="preserve">Table 140.3-C </t>
  </si>
  <si>
    <t>TABLE 170.2-A All Other Fenestration RSHGC (NR in CZ1, 3, 5, 16)</t>
  </si>
  <si>
    <t>Windows_Nonres (Floor 1)</t>
  </si>
  <si>
    <t>FixedWindow_NonRes</t>
  </si>
  <si>
    <t>ASHRAE Handbook of Fundamentals Ch. 15 Table 4: U-1.12 (100% fixed metal, Nonres). No 2013 double-pane blend.</t>
  </si>
  <si>
    <t>Table 1-H window U-factor (2001). CZ3-9 = 0.81; other CZs = 0.49. Values from Envelope row 85.</t>
  </si>
  <si>
    <t xml:space="preserve">Table 140.3-B </t>
  </si>
  <si>
    <t>Table 140.3-B</t>
  </si>
  <si>
    <t>ASHRAE Handbook of Fundamentals Ch. 15 Table 10: SHGC 0.79 (100% fixed, Nonres). No 2013 double-pane blend.</t>
  </si>
  <si>
    <t>Table 1-H 21-30% WWR (prototype 22%). Non-north row 120; CZ1 uses north (row 121) per Table 1-H note.</t>
  </si>
  <si>
    <t>Table 140.3-B  (100% fixed, 0% operable)</t>
  </si>
  <si>
    <t>* Based on PNNL scorecard assumption.</t>
  </si>
  <si>
    <t>Infiltration</t>
  </si>
  <si>
    <t>Building</t>
  </si>
  <si>
    <t>Zones</t>
  </si>
  <si>
    <t>Source</t>
  </si>
  <si>
    <t>ACH50</t>
  </si>
  <si>
    <t>ApartmentMidRise</t>
  </si>
  <si>
    <t>DOE reference buildings (pre/post 1980</t>
  </si>
  <si>
    <t>All</t>
  </si>
  <si>
    <t>2027 Nonresidential and Multifamily ACM, §6.6 / §6.6.1</t>
  </si>
  <si>
    <t>Multifamily infiltration is modeled differently compared to other nonresidential models. Specifically, according to 2025 Nonresidentail and Multifamily ACM, infilitration is modeled per ACH 50 metrics.</t>
  </si>
  <si>
    <t>Space Type</t>
  </si>
  <si>
    <t xml:space="preserve">Heating </t>
  </si>
  <si>
    <t>Cooling</t>
  </si>
  <si>
    <t>Air Distribution</t>
  </si>
  <si>
    <t xml:space="preserve">Existing  </t>
  </si>
  <si>
    <t>Residential Tenant and common</t>
  </si>
  <si>
    <t>SZAC (Furnace)</t>
  </si>
  <si>
    <t>SZAC (DX)</t>
  </si>
  <si>
    <t>CAV</t>
  </si>
  <si>
    <t>ResStock 2022 &amp; T24 (2008, 2013)</t>
  </si>
  <si>
    <t>Non-Residential Tenant (Retail)</t>
  </si>
  <si>
    <t>PVAV (Gas Boiler &amp; hot water reheat)</t>
  </si>
  <si>
    <t>PVAV (DX)</t>
  </si>
  <si>
    <t>VAV</t>
  </si>
  <si>
    <t>New Construction</t>
  </si>
  <si>
    <t>Residential Tenant  and common</t>
  </si>
  <si>
    <t>SZHP (DX)</t>
  </si>
  <si>
    <t>T24 2025</t>
  </si>
  <si>
    <t>ACM 2025 Table 26: dwelling units (&gt;3 habitable floors) SZHP CAV, no economizer; CZ2-15 electric-resistance supplemental heat; CZ1/16 gas furnace supplemental. Common areas are a separate Table 26 row (economizer language differs). Tenant vs common not split into two HVAC rows this pass.</t>
  </si>
  <si>
    <t>*Based on NR ACM 2025 - Table 26</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</si>
  <si>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</si>
  <si>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</si>
  <si>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Efficiency 80% (78% AFUE)</t>
  </si>
  <si>
    <t>EER=9 (&lt;65,000 Btu/h)
RES SEER: 13</t>
  </si>
  <si>
    <t>T24, 2008 / 10 CFR Part 430, §430.32(c)(2)</t>
  </si>
  <si>
    <t>EER=9 (&lt;65,000 Btu/h)
RES: SEER 13 (&lt;65k)</t>
  </si>
  <si>
    <t>CFR Energy 2010:Title 10- Table 9</t>
  </si>
  <si>
    <t>RES:
HSPF2:7.5
For SZHPDF: Furnace efficiency: 80%</t>
  </si>
  <si>
    <t>SEER2: 14.3</t>
  </si>
  <si>
    <t>Title 20, 2023 Table E-6</t>
  </si>
  <si>
    <t>Non-Res:
For ≥65k and &lt;135k Btu/h: 11.0 EER and 14.1 IEER
Heating (gas boiler) efficiency is not listed and was not invented. Retail NC system remains PVAV with gas boiler (row 6).</t>
  </si>
  <si>
    <t>11.0 EER, 14.1 IEER
Dual Fuel: 10.8 EER, 13.9 IEER</t>
  </si>
  <si>
    <t>Title 24, 2025 able 110.2 footnote a</t>
  </si>
  <si>
    <t>Fan power</t>
  </si>
  <si>
    <t>Approach</t>
  </si>
  <si>
    <t>System</t>
  </si>
  <si>
    <t>Total Static Pressure (TSP)
(in w.c.)</t>
  </si>
  <si>
    <t>Fan Efficiency
[ACM 2025]</t>
  </si>
  <si>
    <t xml:space="preserve">Motor Efficiency </t>
  </si>
  <si>
    <t xml:space="preserve"> Fan Power Index 
(W/cfm)</t>
  </si>
  <si>
    <t>Data Source</t>
  </si>
  <si>
    <t>PNNL 90.1-2011, TSP</t>
  </si>
  <si>
    <t>SZAC CAV, residential tenant and common</t>
  </si>
  <si>
    <t>ASHRAE 90.1, 2004, Table 10.8 *</t>
  </si>
  <si>
    <t>Fan power formula: PNNL 20405, 2010, section 5.2.2.5
TSP and fan efficiency: PNNL 20405, 2010, Table 5.11, 90.1-04ac values
Motor and drive efficiency: ASHRAE 90.1, 2004, Table 10.8</t>
  </si>
  <si>
    <t>PNNL 20405, 2010, Table 5.11</t>
  </si>
  <si>
    <t>VAV, retail, design airflow &gt; 4,648 cfm</t>
  </si>
  <si>
    <t>Brake horsepower (bhp) = (Supply cfm × TSP in w.c.) / (6356 × fan efficiency)</t>
  </si>
  <si>
    <t>Fan power (w/cfm) = (bhp ×  746) / ( supply cfm × motor efficiency )</t>
  </si>
  <si>
    <t>ACM 2025</t>
  </si>
  <si>
    <t>SZHP, residential tenant and common — indoor-unit fan</t>
  </si>
  <si>
    <t>TSP = fan power × motor efficiency × fan efficiency × 6356 / 746</t>
  </si>
  <si>
    <t>2025 ACM Table 12 **</t>
  </si>
  <si>
    <t>w/cfm: [T24, 2025, Section 140.4(a)3 D]
Motor efficiency: [ACM 2025, Table 12]</t>
  </si>
  <si>
    <t>PVAV, retail (System 5), &gt;10,000 cfm</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</si>
  <si>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</si>
  <si>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</si>
  <si>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0.35 W/cfm is the indoor-unit fan (T24 2025 §140.4(a)3 D), same allowance as OfficeMedium VRF and Hotel Large four-pipe fan coil. Not an ACM Table 13 system index.
     Note: HVAC system is PVAV, not System 6. ACM System 5 &gt;10,000 cfm = 0.964 (Hotel Small). &gt;5,000–10,000 cfm = 1.022.</t>
  </si>
  <si>
    <t>Setpoint</t>
  </si>
  <si>
    <t>Heating Setpoint (F)</t>
  </si>
  <si>
    <t>T24 2025 - Appendix 5.4B</t>
  </si>
  <si>
    <t>Heating Setback (F)</t>
  </si>
  <si>
    <t>Cooling Setpoint (F)</t>
  </si>
  <si>
    <t>Cooling Setback (F)</t>
  </si>
  <si>
    <t>T24 2022 - Appendix 5.4B</t>
  </si>
  <si>
    <t>T24 2025 Appendix 5.4B ResidentialCommon</t>
  </si>
  <si>
    <t>One App 5.4B ResidentialLiving profile (68°F occupied / 60°F hours 1–6 and 23–24). ACM 2025 does not publish a multi-unit thermostat diversity set for this prototype. Stochastic or deep-setback mixes were not added.</t>
  </si>
  <si>
    <t>Space Thermal Zone</t>
  </si>
  <si>
    <t>Number of People</t>
  </si>
  <si>
    <r>
      <t>Floor Area (ft</t>
    </r>
    <r>
      <rPr>
        <b/>
        <vertAlign val="superscript"/>
        <sz val="10"/>
        <color theme="1"/>
        <rFont val="Arial"/>
        <family val="2"/>
      </rPr>
      <t>2</t>
    </r>
    <r>
      <rPr>
        <b/>
        <sz val="10"/>
        <color theme="1"/>
        <rFont val="Arial"/>
        <family val="2"/>
      </rPr>
      <t>)</t>
    </r>
  </si>
  <si>
    <t>cfm/person
(T24, 2025, Equation 120.1-F and Table 120.1-A)</t>
  </si>
  <si>
    <t>cfm (whole-dwelling continuous mechanical ventilation rate)
Res: Equation 160.2-B</t>
  </si>
  <si>
    <t>cfm/ft²  
(T24, 2025, Equation 120.1-F and Table 120.1-A)</t>
  </si>
  <si>
    <t>Required Exhaust Rate-CFM/ft²-
 (T24,  2025, Table 120.1-B – Minimum Exhaust Rates)</t>
  </si>
  <si>
    <t>Total cfm 
Driven by People</t>
  </si>
  <si>
    <t>Total cfm 
Driven by Area</t>
  </si>
  <si>
    <t>Total cfm 
Driven by Exhaust</t>
  </si>
  <si>
    <t>Total cfm</t>
  </si>
  <si>
    <t>Note</t>
  </si>
  <si>
    <t>Retail merchandise: Table 120.1-A / App 5.4C Retail-Sales Ra = 0.20 cfm/ft².</t>
  </si>
  <si>
    <t>Eq 160.2-B: 0.03×CFA_total + 7.5×N_units×(N_br+1). Studio N_br=0. CFA_total = zone area × floor multiplier. Natural ventilation is not modeled (operable fraction Envelope C56 is fenestration weighting only).</t>
  </si>
  <si>
    <t>Balanced IAQ fan - only applies to new construction</t>
  </si>
  <si>
    <t>Parking garage: Table 120.1-B exhaust 0.75 cfm/ft² only. Person and area OA removed (App 5.4C Exhaust - Parking garages).</t>
  </si>
  <si>
    <t>WH Type</t>
  </si>
  <si>
    <t>Efficiency</t>
  </si>
  <si>
    <t>Number of WH</t>
  </si>
  <si>
    <t>Tank volume (gal)</t>
  </si>
  <si>
    <t>Tank loss</t>
  </si>
  <si>
    <t>Gas consumer storage (in-unit)</t>
  </si>
  <si>
    <t>C3 is recovery efficiency (capacity / RE). E3 is 10 CFR 430.32 high-draw UEF from the CZ tank (col F). CZ G/I/J follow the school HPWH layout: G = standby %/hr = I/(0.0834×F); I is Off/On-cycle UA (Btu/h·°F) from Maguire &amp; Roberts 2020; J is the unit. EnergyPlus {W/K} = I × $B$139 (0.527527); use I in both Off-Cycle and On-Cycle fields. Not Title 20 Table F-4 and not DEER commercial HPWH 4.37.</t>
  </si>
  <si>
    <t>One water heater per apartment (88), not a central plant. Not all identical: 48 studio/1-bed (2 people, 0.36 gal/h), 32 two-bed (3 people, 0.54 gal/h), 8 three-bed (4 people, 0.72 gal/h). The CZ table uses the 3-bed peak.</t>
  </si>
  <si>
    <t>Gas consumer instantaneous (in-unit)</t>
  </si>
  <si>
    <t>n/a</t>
  </si>
  <si>
    <t>* Individual dwelling-unit water heaters (not central §170.2(d)3 storage + recirculation + solar). 88 units. Existing = consumer storage catalog. NC = ACM §6.11.2 instantaneous. Retail/laundry/amenities = one commercial plant (NR catalog + 75 gal/h minimum).</t>
  </si>
  <si>
    <t>Peak Hot Water Consumption</t>
  </si>
  <si>
    <t>Space</t>
  </si>
  <si>
    <t>Plant
(In-unit dwelling vs Common commercial)</t>
  </si>
  <si>
    <t>Total Area (ft²)</t>
  </si>
  <si>
    <t>Hot Water Usage Specification
(gal/hr per person)  
[T24, 2022, Appendix 5.4A , sheet: "2022 SpaceFuncData-Input"]</t>
  </si>
  <si>
    <t>Peak Hot Water Usage
(gal/hr)</t>
  </si>
  <si>
    <t>Peak Hot Water Usage
(gal/min)</t>
  </si>
  <si>
    <t>Common</t>
  </si>
  <si>
    <t>In-unit = dwelling DHW (consumer heater in each apartment). 
Common = retail/laundry/amenity DHW on a separate commercial plant. Dwelling gal/h-person is 0.18 throughout. 
Corridor 0, lounge/office 0.09, laundry 0.578 per Jason APTM58 / school App 5.4A kitchen-locker rate.</t>
  </si>
  <si>
    <t>In-unit</t>
  </si>
  <si>
    <t>Total</t>
  </si>
  <si>
    <t>In-unit peak, one dwelling (gal/h)</t>
  </si>
  <si>
    <t>Largest apartment only (3-bed, 0.72 gal/h). Not the sum of all apartments. No 75 gal/h minimum on in-unit heaters.</t>
  </si>
  <si>
    <t>Common / retail (commercial plant gal/h)</t>
  </si>
  <si>
    <t>ACM 2025 §5.9.2 minimum peak 75 gal/h applied only if common DHW &gt; 0.</t>
  </si>
  <si>
    <t>Prototype A18 / Zones E</t>
  </si>
  <si>
    <t>Peak gal/h per dwelling unit</t>
  </si>
  <si>
    <t>NC input per dwelling (Btu/h)</t>
  </si>
  <si>
    <t>ACM §6.11.2 consumer instantaneous</t>
  </si>
  <si>
    <t>NC prototype total input (Btu/h)</t>
  </si>
  <si>
    <t>Design supply temperature (°F)</t>
  </si>
  <si>
    <t>T24 2022 Appendix 5.4B</t>
  </si>
  <si>
    <t>WH system factor</t>
  </si>
  <si>
    <t>2025 ACM §5.9.2 Rated Capacity</t>
  </si>
  <si>
    <t>Water mass conversion (lb/gal)</t>
  </si>
  <si>
    <t>Reheat multiplier</t>
  </si>
  <si>
    <t>2025 ACM §5.9.2 Storage Volume</t>
  </si>
  <si>
    <t>Climate Zone Water Heater Sizing — Existing in-unit consumer storage (per dwelling)</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</si>
  <si>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</si>
  <si>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</si>
  <si>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</si>
  <si>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</si>
  <si>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</si>
  <si>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</si>
  <si>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(%/hr)
[Maguire &amp; Roberts 2020 / OpenStudio-HPXML. Not Title 20 Table F-4]</t>
  </si>
  <si>
    <t>Off/On Cycle Loss Coefficient to Ambient Temp</t>
  </si>
  <si>
    <t>Source/Note</t>
  </si>
  <si>
    <t>CZ01</t>
  </si>
  <si>
    <t>%/hr</t>
  </si>
  <si>
    <t>Btu/h·°F</t>
  </si>
  <si>
    <t>Same CZ column layout as SchoolK8 HPWH / OfficeSmall. I is tank UA (Btu/h·°F) from Maguire &amp; Roberts 2020 / OpenStudio-HPXML (consumer UEF test). G = I/(0.0834×F) %/hr (same conversion as school HPWH). J is Btu/h·°F. EnergyPlus Off-Cycle and On-Cycle {W/K} = I×0.527527 (cell B139); same number in both fields. Not DEER commercial HPWH UA 4.37 and not Title 20 Table F-4.</t>
  </si>
  <si>
    <t>CZ02</t>
  </si>
  <si>
    <t>CZ03</t>
  </si>
  <si>
    <t>CZ04</t>
  </si>
  <si>
    <t>CZ05</t>
  </si>
  <si>
    <t>CZ06</t>
  </si>
  <si>
    <t>CZ07</t>
  </si>
  <si>
    <t>CZ08</t>
  </si>
  <si>
    <t>CZ09</t>
  </si>
  <si>
    <t>Climate Zone Water Heater Sizing — New Construction in-unit consumer instantaneous (per dwelling)</t>
  </si>
  <si>
    <t>Standby Loss (%/hr)
[No storage tank. Not Title 20 Table F-4]</t>
  </si>
  <si>
    <t>ACM §6.11.2 consumer instantaneous: no storage tank, so standby loss is 0 %/hr and tank UA is 0. Percent-per-hour is not calculated here (dividing by 0 gal is what showed #N/A). Put 0 in both EnergyPlus Off-Cycle and On-Cycle {W/K} fields. UEF 0.81 is in C4.</t>
  </si>
  <si>
    <t>Climate Zone Water Heater Sizing and Loss Coefficients — Common / retail commercial plant</t>
  </si>
  <si>
    <t>Standby Loss
[Title 20, §1605.1 Table F-4; Appendix B: Water Heating Calculation Method]</t>
  </si>
  <si>
    <t>Btu/hr</t>
  </si>
  <si>
    <t>Same as OfficeSmall gas: G is Title 20 Table F-4 SL (Btu/h); I = G/70 (Btu/h·°F); J is the unit. EnergyPlus {W/K} = I×0.527527.</t>
  </si>
  <si>
    <t>Market data</t>
  </si>
  <si>
    <t>Consumer gas input (Btu/h)</t>
  </si>
  <si>
    <t>Input source</t>
  </si>
  <si>
    <t>NC instantaneous (Btu/h)</t>
  </si>
  <si>
    <t>NC source</t>
  </si>
  <si>
    <t>Consumer gas tank (gal)</t>
  </si>
  <si>
    <t>Tank source</t>
  </si>
  <si>
    <t>NC tank (gal)</t>
  </si>
  <si>
    <t>NC tank source</t>
  </si>
  <si>
    <t>Commercial gas input (Btu/h)</t>
  </si>
  <si>
    <t>Comm. input source</t>
  </si>
  <si>
    <t>Commercial gas tank (gal)</t>
  </si>
  <si>
    <t>Comm. tank source</t>
  </si>
  <si>
    <t>Title 20 consumer (≤75 kBtu/h); ENERGY STAR/AHRI common ratings</t>
  </si>
  <si>
    <t>ACM §6.11.2 / 10 CFR 430.32 instantaneous high draw</t>
  </si>
  <si>
    <t>Title 20 consumer storage ≥20 and ≤75 gal typical certified sizes</t>
  </si>
  <si>
    <t>ACM §6.11.2 tank volume = 0</t>
  </si>
  <si>
    <t>Grainger / ENERGY STAR Commercial (NR revised-tab catalog)</t>
  </si>
  <si>
    <t>Grainger / ENERGY STAR Commercial</t>
  </si>
  <si>
    <t>Residential lists exclude commercial boilers (&gt;75 kBtu/h storage), 119 gal commercial HPWH, and the 75 gal/h plant floor. Commercial lists are only for the common/retail plant. E/F pick the next size at or above the ACM calculated value (XLOOKUP match_mode 1).</t>
  </si>
  <si>
    <t>UEF → UA inputs (Maguire &amp; Roberts 2020 / OpenStudio-HPXML)</t>
  </si>
  <si>
    <t>UEF high-draw daily volume (gal)</t>
  </si>
  <si>
    <t>10 CFR 430 App E high-usage bin</t>
  </si>
  <si>
    <t>UEF tank setpoint (°F)</t>
  </si>
  <si>
    <t>10 CFR 430 App E / Maguire 2020</t>
  </si>
  <si>
    <t>UEF inlet temp (°F)</t>
  </si>
  <si>
    <t>UEF ambient temp (°F)</t>
  </si>
  <si>
    <t>Water density (lb/gal)</t>
  </si>
  <si>
    <t>OpenStudio-HPXML waterheater.rb</t>
  </si>
  <si>
    <t>Water cp (Btu/lb·°F)</t>
  </si>
  <si>
    <t>Btu/h·°F to W/K</t>
  </si>
  <si>
    <t>1 Btu/h·°F = 0.527527 W/K</t>
  </si>
  <si>
    <t>50% central water heating</t>
  </si>
  <si>
    <t>100% central water heating</t>
  </si>
  <si>
    <t xml:space="preserve">New Construction </t>
  </si>
  <si>
    <t>LPD (W/ft²)</t>
  </si>
  <si>
    <t>Additional LPD for Portable Lighting (W/ft²)</t>
  </si>
  <si>
    <t xml:space="preserve">LPD (W/ft²) </t>
  </si>
  <si>
    <t>T24, 2025, Table 170.2-M (Area category method). Retail merchandise: Table 140.6-C. Additional LPD (C): Table 140.6-C decorative/portable — meeting 0.25, office 0.20, lobby 0.25, retail decorative 0.35. Wall-display W/ft not used (no perimeter takeoff).</t>
  </si>
  <si>
    <t>T24, 2016, Table 140.6 C   
(Area category method) Additional LPD (F): 2016 Table 140.6-C footnote 7 decorative 0.20 W/ft² on meeting, office, lobby, and retail.</t>
  </si>
  <si>
    <t xml:space="preserve">CEC 2025 Single-Family ACM
Appendix E - Table 2 and 8 </t>
  </si>
  <si>
    <t xml:space="preserve">CEC 2016 Single-Family ACM
Section 2.2.12 </t>
  </si>
  <si>
    <t>*Annual kWh=100+0.1775×CFA (ft²)(Eq. 1)</t>
  </si>
  <si>
    <t>Daylight-adaptation zone width (ft)</t>
  </si>
  <si>
    <t>Daylight-adaptation zone depth (ft) — Table 140.6-C / 170.2-M note 2 maximum</t>
  </si>
  <si>
    <t>Parking LPD is area-weighted with Zones J39: general parking + one two-way entry (24 ft) × 66 ft at daylight-adaptation LPD (NC 1.00 / 2016 0.60).</t>
  </si>
  <si>
    <t>Plug load Power Density (W/ft2)</t>
  </si>
  <si>
    <t>New Construction/Existing</t>
  </si>
  <si>
    <t>Plug load and schedules project with CEC, 2025
Retail Sales RecptPwrDens from T24 2025 Appendix 5.4A (1.0 W/ft²).</t>
  </si>
  <si>
    <t>Plug load and schedules project with CBECC-COM, 2019</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</si>
  <si>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</si>
  <si>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</si>
  <si>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</si>
  <si>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</si>
  <si>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</si>
  <si>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</si>
  <si>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</si>
  <si>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</si>
  <si>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</si>
  <si>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</si>
  <si>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</si>
  <si>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</si>
  <si>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</si>
  <si>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</si>
  <si>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</si>
  <si>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</si>
  <si>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Mid-Rise Apartment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</si>
  <si>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</si>
  <si>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</si>
  <si>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</si>
  <si>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</si>
  <si>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</si>
  <si>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</si>
  <si>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</si>
  <si>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</si>
  <si>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</si>
  <si>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</si>
  <si>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</si>
  <si>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</si>
  <si>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</si>
  <si>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</si>
  <si>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</si>
  <si>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</si>
  <si>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</si>
  <si>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</si>
  <si>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</si>
  <si>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</si>
  <si>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</si>
  <si>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</si>
  <si>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</si>
  <si>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</si>
  <si>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</si>
  <si>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</si>
  <si>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</si>
  <si>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</si>
  <si>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</si>
  <si>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</si>
  <si>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</si>
  <si>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</si>
  <si>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</si>
  <si>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</si>
  <si>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</si>
  <si>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</si>
  <si>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</si>
  <si>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</si>
  <si>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</si>
  <si>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</si>
  <si>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</si>
  <si>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</si>
  <si>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</si>
  <si>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</si>
  <si>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</si>
  <si>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</si>
  <si>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</si>
  <si>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</si>
  <si>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</si>
  <si>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</si>
  <si>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</si>
  <si>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</si>
  <si>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</si>
  <si>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</si>
  <si>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</si>
  <si>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</si>
  <si>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</si>
  <si>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</si>
  <si>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</si>
  <si>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</si>
  <si>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</si>
  <si>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</si>
  <si>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</si>
  <si>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</si>
  <si>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</si>
  <si>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</si>
  <si>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</si>
  <si>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</si>
  <si>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</si>
  <si>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</si>
  <si>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</si>
  <si>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</si>
  <si>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</si>
  <si>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</si>
  <si>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</si>
  <si>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</si>
  <si>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</si>
  <si>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</si>
  <si>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</si>
  <si>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</si>
  <si>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</si>
  <si>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</si>
  <si>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</si>
  <si>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</si>
  <si>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</si>
  <si>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</si>
  <si>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</si>
  <si>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</si>
  <si>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</si>
  <si>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Unit</t>
  </si>
  <si>
    <t>Lighting Power Allowance 
[T24, 2025, Table 140.7-A &amp; 140.7-B]</t>
  </si>
  <si>
    <t>Exterior Lighting Power (W)</t>
  </si>
  <si>
    <t>IWA (Initial Wage Allowance)</t>
  </si>
  <si>
    <t>(W)</t>
  </si>
  <si>
    <t>Parking area</t>
  </si>
  <si>
    <t xml:space="preserve"> 400 ft² for every parking space 
1.5 parking space per living unit for residential
1 parking space per 360 ft² of gross building area</t>
  </si>
  <si>
    <t>(ft²)</t>
  </si>
  <si>
    <t>(W/ft²)</t>
  </si>
  <si>
    <t>Building Entrance</t>
  </si>
  <si>
    <t>5 building entrances: 1 residential lobby + 4 first-floor retail storefronts (Zones). Was 3 from 1 per 10,000 ft² footprint.</t>
  </si>
  <si>
    <t>(count)</t>
  </si>
  <si>
    <t>(W/ea)</t>
  </si>
  <si>
    <t>Hardscape Ornamental Light</t>
  </si>
  <si>
    <t>0.1 ft² per ft² of gross building area for hardscape ornamental light</t>
  </si>
  <si>
    <t>Building façade</t>
  </si>
  <si>
    <t>0.1 W per ft² of facade area 
Façade Area = Perimeter × 0.5 × 30 ft (30 ft is the max height that is lit) * 
The 0.5 factor assumes that only half of the perimeter walls are lit.
-Formula ia developed based on the 2019 Outdoor Lighting CASE report</t>
  </si>
  <si>
    <t>Non-sales canopy</t>
  </si>
  <si>
    <t>0.1 ft² per ft² of one floor. LZ2 non-sales canopy 0.137 W/ft² (Table 140.7-B). Sales canopy would be 0.470 W/ft².</t>
  </si>
  <si>
    <t>Motion controlled Luminaires</t>
  </si>
  <si>
    <t>Non-motion-controlled Luminaires</t>
  </si>
  <si>
    <t>Perimeter (ft)</t>
  </si>
  <si>
    <t>Total floor area (ft²)</t>
  </si>
  <si>
    <t>Floors (above floor)</t>
  </si>
  <si>
    <t xml:space="preserve">Existing Prototypes: </t>
  </si>
  <si>
    <t>Exterior lighting load (W)</t>
  </si>
  <si>
    <t xml:space="preserve">PNNL 90.1 2022, San Diego </t>
  </si>
  <si>
    <t>CPUC 2024</t>
  </si>
  <si>
    <t xml:space="preserve">No </t>
  </si>
  <si>
    <t>T24, part6, 2025, 130.2(c)3</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</si>
  <si>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</si>
  <si>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</si>
  <si>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</si>
  <si>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</si>
  <si>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</si>
  <si>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</si>
  <si>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</si>
  <si>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</si>
  <si>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</si>
  <si>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</si>
  <si>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</si>
  <si>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</si>
  <si>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</si>
  <si>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</si>
  <si>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</si>
  <si>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</si>
  <si>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</si>
  <si>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</si>
  <si>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</si>
  <si>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</si>
  <si>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</si>
  <si>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</si>
  <si>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</si>
  <si>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</si>
  <si>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</si>
  <si>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</si>
  <si>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</si>
  <si>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</si>
  <si>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</si>
  <si>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</si>
  <si>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</si>
  <si>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</si>
  <si>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</si>
  <si>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</si>
  <si>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</si>
  <si>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</si>
  <si>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</si>
  <si>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Library (Reading Area)</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</si>
  <si>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</si>
  <si>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</si>
  <si>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</si>
  <si>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</si>
  <si>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</si>
  <si>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</si>
  <si>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</si>
  <si>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</si>
  <si>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</si>
  <si>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(Daylight Adaptation Zones)</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</si>
  <si>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</si>
  <si>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</si>
  <si>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</si>
  <si>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</si>
  <si>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</si>
  <si>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</si>
  <si>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</si>
  <si>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</si>
  <si>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</si>
  <si>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</si>
  <si>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</si>
  <si>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</si>
  <si>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</si>
  <si>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</si>
  <si>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</si>
  <si>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</si>
  <si>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</si>
  <si>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</si>
  <si>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</si>
  <si>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</si>
  <si>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</si>
  <si>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</si>
  <si>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</si>
  <si>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</si>
  <si>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Plenum</t>
  </si>
  <si>
    <t>IT Room (EPD 12)</t>
  </si>
  <si>
    <t>Computer Room (EPD 20)</t>
  </si>
  <si>
    <t>Server Room (EPD 45)</t>
  </si>
  <si>
    <t>Zone</t>
  </si>
  <si>
    <t>Schedule</t>
  </si>
  <si>
    <t>Day</t>
  </si>
  <si>
    <t>Hour</t>
  </si>
  <si>
    <t>Living Area</t>
  </si>
  <si>
    <t>Occupancy</t>
  </si>
  <si>
    <t>T24 2022 - Appendix 5.4B [ResidentialLiving]</t>
  </si>
  <si>
    <t>Weekday</t>
  </si>
  <si>
    <t>Saturday</t>
  </si>
  <si>
    <t>Sunday</t>
  </si>
  <si>
    <t>Lights</t>
  </si>
  <si>
    <t>ElecEquipment</t>
  </si>
  <si>
    <t>HVACAvail</t>
  </si>
  <si>
    <t>T24 2022 - Appendix 5.4B
 [ResidentialLiving]</t>
  </si>
  <si>
    <t>ServiceHotWater</t>
  </si>
  <si>
    <t>GasEquipment</t>
  </si>
  <si>
    <t>HtgSetpt</t>
  </si>
  <si>
    <t>ClgSetpt</t>
  </si>
  <si>
    <t>Refrigeration</t>
  </si>
  <si>
    <t xml:space="preserve"> Common Use Area</t>
  </si>
  <si>
    <t>Common Use Area</t>
  </si>
  <si>
    <t>T24 2022 - Appendix 5.4B
[ResidentialCommon]</t>
  </si>
  <si>
    <t>T24 2022 - Appendix 5.4B [Retail]</t>
  </si>
  <si>
    <t>Plug load and schedules project with CEC, 2025</t>
  </si>
  <si>
    <t>Other</t>
  </si>
  <si>
    <t>T24 2022 - Appendix 5.4B, [LivingResidential]</t>
  </si>
  <si>
    <t>ExtLightingNonMotionCtrl</t>
  </si>
  <si>
    <t>ExtLightingMotionCtrl</t>
  </si>
  <si>
    <t>Residential</t>
  </si>
  <si>
    <t>ResidentialSpcPeopleActivityLevel</t>
  </si>
  <si>
    <t xml:space="preserve">Based on Activity level schedules in  CEC Prototypes </t>
  </si>
  <si>
    <t>RetailSalePeopleActivityLevel</t>
  </si>
  <si>
    <t>MeetingRm</t>
  </si>
  <si>
    <t>MeetingAreaPeopleActivityLevel</t>
  </si>
  <si>
    <t>FunctionalAreaPeopleActivityLevel</t>
  </si>
  <si>
    <t>Corridor, ExcerciseArea, Lobby, MechanicalRM, Stair, Lounge</t>
  </si>
  <si>
    <t>CommonAreaPeopleActivityLevel</t>
  </si>
  <si>
    <t> </t>
  </si>
  <si>
    <t>CZ</t>
  </si>
  <si>
    <t>Total Floorspace (Thousand of ft2)</t>
  </si>
  <si>
    <t>Electric Energy Intensity (kWh/ft2)</t>
  </si>
  <si>
    <t>Annual Gas Intensity (kBTU/ft2)</t>
  </si>
  <si>
    <t>Vintage Bin</t>
  </si>
  <si>
    <t>Pre-1978</t>
  </si>
  <si>
    <t>Not available</t>
  </si>
  <si>
    <t>Statewide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</si>
</sst>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_);_(* \(#,##0\);_(* &quot;-&quot;??_);_(@_)"/>
    <numFmt numFmtId="169" formatCode="0.00000"/>
    <numFmt numFmtId="170" formatCode="#,##0;\-0;[Color15]0"/>
    <numFmt numFmtId="171" formatCode="0.0000"/>
    <numFmt numFmtId="172" formatCode="0.000000"/>
  </numFmts>
  <fonts count="55" x14ac:knownFonts="1">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2"/>
      <color rgb="FFFFFFFF"/>
      <name val="Arial"/>
      <family val="2"/>
    </font>
    <font>
      <sz val="8"/>
      <color theme="1"/>
      <name val="Arial"/>
      <family val="2"/>
    </font>
    <font>
      <sz val="10"/>
      <color rgb="FF0070C0"/>
      <name val="Arial"/>
      <family val="2"/>
    </font>
    <font>
      <sz val="11"/>
      <name val="Calibri"/>
      <family val="2"/>
      <scheme val="minor"/>
    </font>
    <font>
      <b/>
      <sz val="10"/>
      <color rgb="FF0000CC"/>
      <name val="Arial"/>
      <family val="2"/>
    </font>
    <font>
      <b/>
      <sz val="10"/>
      <color theme="0"/>
      <name val="Arial"/>
      <family val="2"/>
    </font>
    <font>
      <sz val="10"/>
      <color theme="0" tint="-0.34998626667073579"/>
      <name val="Arial"/>
      <family val="2"/>
    </font>
    <font>
      <b/>
      <vertAlign val="superscript"/>
      <sz val="10"/>
      <color theme="1"/>
      <name val="Arial"/>
      <family val="2"/>
    </font>
    <font>
      <sz val="9"/>
      <name val="Arial"/>
      <family val="2"/>
    </font>
    <font>
      <b/>
      <sz val="9"/>
      <color theme="1"/>
      <name val="Arial"/>
      <family val="2"/>
    </font>
    <font>
      <u/>
      <sz val="11"/>
      <color rgb="FF000000"/>
      <name val="Calibri"/>
      <family val="2"/>
      <scheme val="minor"/>
    </font>
    <font>
      <sz val="11"/>
      <color rgb="FF000000"/>
      <name val="Arial"/>
      <family val="2"/>
    </font>
    <font>
      <b/>
      <sz val="12"/>
      <color rgb="FF000000"/>
      <name val="Arial"/>
      <family val="2"/>
    </font>
    <font>
      <sz val="9"/>
      <color rgb="FF000000"/>
      <name val="Arial"/>
      <family val="2"/>
    </font>
    <font>
      <sz val="12"/>
      <color rgb="FF000000"/>
      <name val="Arial"/>
      <family val="2"/>
    </font>
    <font>
      <b/>
      <sz val="11"/>
      <color rgb="FF000000"/>
      <name val="Calibri"/>
      <family val="2"/>
    </font>
    <font>
      <sz val="11"/>
      <color rgb="FF0563C1"/>
      <name val="Calibri"/>
      <family val="2"/>
    </font>
    <font>
      <sz val="11"/>
      <color rgb="FF000000"/>
      <name val="Calibri"/>
      <family val="2"/>
    </font>
    <font>
      <sz val="11"/>
      <color rgb="FF0563C1"/>
      <name val="Calibri"/>
      <family val="2"/>
      <scheme val="minor"/>
    </font>
    <font>
      <sz val="10"/>
      <color theme="1"/>
      <name val="Arial"/>
    </font>
    <font>
      <sz val="10"/>
      <color rgb="FF000000"/>
      <name val="Arial"/>
      <charset val="1"/>
    </font>
    <font>
      <b/>
      <sz val="12"/>
      <color rgb="FFFFFFFF"/>
      <name val="Arial"/>
    </font>
    <font>
      <sz val="10"/>
      <color rgb="FFFFFFFF"/>
      <name val="Arial"/>
    </font>
    <font>
      <sz val="10"/>
      <color theme="0"/>
      <name val="Arial"/>
      <family val="2"/>
    </font>
    <font>
      <b/>
      <sz val="14"/>
      <color theme="0"/>
      <name val="Calibri"/>
      <family val="2"/>
    </font>
    <font>
      <sz val="11"/>
      <color theme="0"/>
      <name val="Calibri"/>
      <family val="2"/>
      <scheme val="minor"/>
    </font>
    <font>
      <b/>
      <sz val="11"/>
      <color theme="0"/>
      <name val="Calibri"/>
      <family val="2"/>
    </font>
    <font>
      <sz val="10"/>
      <color rgb="FF000000"/>
      <name val="Arial"/>
    </font>
    <font>
      <u/>
      <sz val="10"/>
      <color rgb="FF000000"/>
      <name val="Arial"/>
    </font>
    <font>
      <u/>
      <sz val="10"/>
      <color theme="10"/>
      <name val="Arial"/>
    </font>
  </fonts>
  <fills count="2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1" tint="0.34998626667073579"/>
        <bgColor indexed="64"/>
      </patternFill>
    </fill>
    <fill>
      <patternFill patternType="solid">
        <fgColor rgb="FFD9E1F2"/>
        <bgColor rgb="FF000000"/>
      </patternFill>
    </fill>
    <fill>
      <patternFill patternType="solid">
        <fgColor theme="0" tint="-0.249977111117893"/>
        <bgColor indexed="64"/>
      </patternFill>
    </fill>
    <fill>
      <patternFill patternType="solid">
        <fgColor rgb="FF92D050"/>
        <bgColor rgb="FF000000"/>
      </patternFill>
    </fill>
    <fill>
      <patternFill patternType="solid">
        <fgColor rgb="FF244062"/>
      </patternFill>
    </fill>
    <fill>
      <patternFill patternType="solid">
        <fgColor rgb="FFD9E1F2"/>
      </patternFill>
    </fill>
    <fill>
      <patternFill patternType="solid">
        <fgColor rgb="FFFFFF00"/>
        <bgColor indexed="64"/>
      </patternFill>
    </fill>
    <fill>
      <patternFill patternType="solid">
        <fgColor rgb="FF203864"/>
        <bgColor indexed="64"/>
      </patternFill>
    </fill>
    <fill>
      <patternFill patternType="solid">
        <fgColor rgb="FFD9E1F2"/>
        <bgColor indexed="64"/>
      </patternFill>
    </fill>
    <fill>
      <patternFill patternType="solid">
        <fgColor rgb="FFEAF1F8"/>
        <bgColor indexed="64"/>
      </patternFill>
    </fill>
    <fill>
      <patternFill patternType="solid">
        <fgColor rgb="FFF5F8FA"/>
        <bgColor indexed="64"/>
      </patternFill>
    </fill>
    <fill>
      <patternFill patternType="solid">
        <fgColor rgb="FFFFFFFF"/>
        <bgColor indexed="64"/>
      </patternFill>
    </fill>
    <fill>
      <patternFill patternType="solid">
        <fgColor rgb="FFFCE4D6"/>
        <bgColor indexed="64"/>
      </patternFill>
    </fill>
    <fill>
      <patternFill patternType="solid">
        <fgColor theme="9" tint="0.39997558519241921"/>
        <bgColor indexed="64"/>
      </patternFill>
    </fill>
    <fill>
      <patternFill patternType="solid">
        <fgColor rgb="FF203764"/>
        <bgColor indexed="64"/>
      </patternFill>
    </fill>
    <fill>
      <patternFill patternType="solid">
        <fgColor rgb="FFFFFFFF"/>
        <bgColor rgb="FF000000"/>
      </patternFill>
    </fill>
    <fill>
      <patternFill patternType="solid">
        <fgColor rgb="FFC2BCBC"/>
        <bgColor indexed="64"/>
      </patternFill>
    </fill>
    <fill>
      <patternFill patternType="solid">
        <fgColor rgb="FF8C8C8C"/>
        <bgColor indexed="64"/>
      </patternFill>
    </fill>
  </fills>
  <borders count="156">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indexed="64"/>
      </left>
      <right style="medium">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indexed="64"/>
      </left>
      <right style="thin">
        <color indexed="64"/>
      </right>
      <top style="medium">
        <color rgb="FF000000"/>
      </top>
      <bottom style="thin">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bottom style="thin">
        <color indexed="64"/>
      </bottom>
      <diagonal/>
    </border>
    <border>
      <left style="thin">
        <color indexed="64"/>
      </left>
      <right style="medium">
        <color indexed="64"/>
      </right>
      <top/>
      <bottom style="thin">
        <color indexed="64"/>
      </bottom>
      <diagonal/>
    </border>
    <border>
      <left style="medium">
        <color rgb="FF000000"/>
      </left>
      <right style="thin">
        <color theme="1" tint="0.34998626667073579"/>
      </right>
      <top style="medium">
        <color rgb="FF000000"/>
      </top>
      <bottom style="thin">
        <color theme="1" tint="0.34998626667073579"/>
      </bottom>
      <diagonal/>
    </border>
    <border>
      <left style="thin">
        <color indexed="64"/>
      </left>
      <right style="medium">
        <color indexed="64"/>
      </right>
      <top style="medium">
        <color rgb="FF000000"/>
      </top>
      <bottom style="thin">
        <color indexed="64"/>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indexed="64"/>
      </left>
      <right style="medium">
        <color indexed="64"/>
      </right>
      <top style="thin">
        <color indexed="64"/>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medium">
        <color indexed="64"/>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right style="thin">
        <color rgb="FF000000"/>
      </right>
      <top/>
      <bottom style="thin">
        <color rgb="FF000000"/>
      </bottom>
      <diagonal/>
    </border>
    <border>
      <left style="thin">
        <color rgb="FF000000"/>
      </left>
      <right style="medium">
        <color indexed="64"/>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medium">
        <color theme="1" tint="0.34998626667073579"/>
      </left>
      <right style="thin">
        <color rgb="FF000000"/>
      </right>
      <top style="thin">
        <color rgb="FF000000"/>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top style="thin">
        <color rgb="FF000000"/>
      </top>
      <bottom style="medium">
        <color theme="1" tint="0.34998626667073579"/>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s>
  <cellStyleXfs count="13">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3" fillId="0" borderId="0"/>
    <xf numFmtId="0" fontId="15" fillId="0" borderId="0" applyNumberFormat="0" applyFill="0" applyBorder="0" applyAlignment="0" applyProtection="0"/>
    <xf numFmtId="0" fontId="5" fillId="0" borderId="0"/>
    <xf numFmtId="0" fontId="5" fillId="0" borderId="0"/>
  </cellStyleXfs>
  <cellXfs count="707">
    <xf numFmtId="0" fontId="0" fillId="0" borderId="0" xfId="0"/>
    <xf numFmtId="0" fontId="11" fillId="0" borderId="0" xfId="0" applyFont="1"/>
    <xf numFmtId="0" fontId="11" fillId="0" borderId="0" xfId="0" applyFont="1" applyAlignment="1">
      <alignment horizontal="center" vertical="center"/>
    </xf>
    <xf numFmtId="0" fontId="5" fillId="0" borderId="0" xfId="0" applyFont="1"/>
    <xf numFmtId="0" fontId="5" fillId="0" borderId="0" xfId="0" applyFont="1" applyAlignment="1">
      <alignment horizontal="center"/>
    </xf>
    <xf numFmtId="0" fontId="6" fillId="0" borderId="0" xfId="0" applyFont="1"/>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center" vertical="center" wrapText="1"/>
    </xf>
    <xf numFmtId="0" fontId="15" fillId="0" borderId="0" xfId="5" applyFont="1"/>
    <xf numFmtId="0" fontId="14"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5" fillId="0" borderId="2" xfId="0" applyFont="1" applyBorder="1" applyAlignment="1">
      <alignment vertical="center"/>
    </xf>
    <xf numFmtId="0" fontId="5" fillId="0" borderId="2" xfId="0" applyFont="1" applyBorder="1" applyAlignment="1">
      <alignment vertical="center" wrapText="1"/>
    </xf>
    <xf numFmtId="0" fontId="18" fillId="5" borderId="2" xfId="0" applyFont="1" applyFill="1" applyBorder="1" applyAlignment="1">
      <alignment vertical="center"/>
    </xf>
    <xf numFmtId="0" fontId="18" fillId="5" borderId="2" xfId="0" applyFont="1" applyFill="1" applyBorder="1" applyAlignment="1">
      <alignment horizontal="left" vertical="center"/>
    </xf>
    <xf numFmtId="3" fontId="5" fillId="0" borderId="2" xfId="7" applyNumberFormat="1" applyFont="1" applyBorder="1" applyAlignment="1">
      <alignment horizontal="center" vertical="center"/>
    </xf>
    <xf numFmtId="3" fontId="10" fillId="0" borderId="2" xfId="3" applyNumberFormat="1" applyFont="1" applyBorder="1" applyAlignment="1">
      <alignment horizontal="center" vertical="center" wrapText="1"/>
    </xf>
    <xf numFmtId="3" fontId="10" fillId="0" borderId="2" xfId="3" applyNumberFormat="1" applyFont="1" applyFill="1" applyBorder="1" applyAlignment="1">
      <alignment horizontal="center" vertical="center" wrapText="1"/>
    </xf>
    <xf numFmtId="0" fontId="1" fillId="0" borderId="0" xfId="0" applyFont="1" applyAlignment="1">
      <alignment vertical="top"/>
    </xf>
    <xf numFmtId="0" fontId="5" fillId="0" borderId="0" xfId="0" applyFont="1" applyAlignment="1">
      <alignment horizontal="center" vertical="top" wrapText="1"/>
    </xf>
    <xf numFmtId="0" fontId="5" fillId="0" borderId="0" xfId="0" applyFont="1" applyAlignment="1">
      <alignment horizontal="left" vertical="top"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xf>
    <xf numFmtId="9" fontId="5" fillId="0" borderId="0" xfId="2" applyFont="1" applyFill="1" applyBorder="1" applyAlignment="1">
      <alignment horizontal="center" vertical="center"/>
    </xf>
    <xf numFmtId="0" fontId="6" fillId="0" borderId="0" xfId="0" applyFont="1" applyAlignment="1">
      <alignment horizontal="left" vertical="center" wrapText="1"/>
    </xf>
    <xf numFmtId="1" fontId="5" fillId="0" borderId="0" xfId="0" applyNumberFormat="1" applyFont="1"/>
    <xf numFmtId="9" fontId="5" fillId="0" borderId="0" xfId="2" applyFont="1" applyFill="1" applyBorder="1"/>
    <xf numFmtId="9" fontId="5" fillId="0" borderId="0" xfId="0" applyNumberFormat="1" applyFont="1"/>
    <xf numFmtId="9" fontId="6" fillId="0" borderId="0" xfId="2" applyFont="1" applyFill="1" applyBorder="1"/>
    <xf numFmtId="164" fontId="5" fillId="0" borderId="0" xfId="0" applyNumberFormat="1" applyFont="1"/>
    <xf numFmtId="0" fontId="20" fillId="0" borderId="0" xfId="0" applyFont="1" applyAlignment="1">
      <alignment wrapText="1"/>
    </xf>
    <xf numFmtId="0" fontId="5" fillId="0" borderId="22" xfId="4" applyBorder="1" applyAlignment="1">
      <alignment horizontal="center" vertical="center"/>
    </xf>
    <xf numFmtId="0" fontId="22" fillId="5" borderId="12" xfId="0" applyFont="1" applyFill="1" applyBorder="1" applyAlignment="1">
      <alignment horizontal="center" vertical="center" wrapText="1"/>
    </xf>
    <xf numFmtId="3" fontId="5" fillId="0" borderId="2" xfId="0" applyNumberFormat="1" applyFont="1" applyBorder="1" applyAlignment="1">
      <alignment horizontal="center" vertical="center"/>
    </xf>
    <xf numFmtId="2" fontId="5" fillId="0" borderId="22" xfId="0" applyNumberFormat="1" applyFont="1" applyBorder="1" applyAlignment="1">
      <alignment horizontal="center" vertical="center"/>
    </xf>
    <xf numFmtId="0" fontId="21" fillId="0" borderId="0" xfId="0" applyFont="1" applyAlignment="1">
      <alignment horizontal="center" vertical="center"/>
    </xf>
    <xf numFmtId="0" fontId="23" fillId="3" borderId="0" xfId="0" applyFont="1" applyFill="1" applyAlignment="1">
      <alignment vertical="center" wrapText="1"/>
    </xf>
    <xf numFmtId="0" fontId="21" fillId="3" borderId="0" xfId="0" applyFont="1" applyFill="1" applyAlignment="1">
      <alignment horizontal="center" vertical="center"/>
    </xf>
    <xf numFmtId="0" fontId="18" fillId="5" borderId="25" xfId="0" applyFont="1" applyFill="1" applyBorder="1" applyAlignment="1">
      <alignment horizontal="center" vertical="center" wrapText="1"/>
    </xf>
    <xf numFmtId="168" fontId="5" fillId="0" borderId="22" xfId="6" applyNumberFormat="1" applyFont="1" applyBorder="1" applyAlignment="1">
      <alignment horizontal="center" vertical="center"/>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5" fillId="0" borderId="0" xfId="8" applyNumberFormat="1" applyFont="1" applyFill="1" applyBorder="1" applyAlignment="1">
      <alignment horizontal="center"/>
    </xf>
    <xf numFmtId="0" fontId="6" fillId="0" borderId="0" xfId="4" applyFont="1" applyAlignment="1">
      <alignment horizontal="center"/>
    </xf>
    <xf numFmtId="3" fontId="5" fillId="0" borderId="0" xfId="0" applyNumberFormat="1" applyFont="1" applyAlignment="1">
      <alignment horizontal="center" vertical="center"/>
    </xf>
    <xf numFmtId="3" fontId="5" fillId="0" borderId="0" xfId="0" applyNumberFormat="1" applyFont="1"/>
    <xf numFmtId="0" fontId="12" fillId="0" borderId="0" xfId="0" applyFont="1" applyAlignment="1">
      <alignment vertical="center"/>
    </xf>
    <xf numFmtId="0" fontId="24" fillId="0" borderId="0" xfId="0" applyFont="1"/>
    <xf numFmtId="0" fontId="24" fillId="0" borderId="0" xfId="0" applyFont="1" applyAlignment="1">
      <alignment wrapText="1"/>
    </xf>
    <xf numFmtId="0" fontId="24" fillId="0" borderId="0" xfId="0" applyFont="1" applyAlignment="1">
      <alignment horizontal="center"/>
    </xf>
    <xf numFmtId="166" fontId="1" fillId="0" borderId="2" xfId="1" applyNumberFormat="1" applyBorder="1" applyAlignment="1">
      <alignment horizontal="center" vertical="center" wrapText="1"/>
    </xf>
    <xf numFmtId="0" fontId="7" fillId="0" borderId="0" xfId="5" applyAlignment="1">
      <alignment vertical="center"/>
    </xf>
    <xf numFmtId="0" fontId="5" fillId="0" borderId="0" xfId="4" applyAlignment="1">
      <alignment horizontal="center" vertical="center"/>
    </xf>
    <xf numFmtId="9" fontId="5" fillId="0" borderId="0" xfId="0" applyNumberFormat="1" applyFont="1" applyAlignment="1">
      <alignment horizontal="center"/>
    </xf>
    <xf numFmtId="9" fontId="5" fillId="0" borderId="0" xfId="0" applyNumberFormat="1" applyFont="1" applyAlignment="1">
      <alignment horizontal="left"/>
    </xf>
    <xf numFmtId="0" fontId="10" fillId="0" borderId="2" xfId="0" applyFont="1" applyBorder="1" applyAlignment="1">
      <alignment horizontal="center" vertical="center" wrapText="1"/>
    </xf>
    <xf numFmtId="10" fontId="5" fillId="0" borderId="2" xfId="0" applyNumberFormat="1" applyFont="1" applyBorder="1" applyAlignment="1">
      <alignment horizontal="center" vertical="center" wrapText="1"/>
    </xf>
    <xf numFmtId="0" fontId="1" fillId="0" borderId="2" xfId="0" applyFont="1" applyBorder="1" applyAlignment="1">
      <alignment horizontal="left" vertical="center"/>
    </xf>
    <xf numFmtId="2" fontId="1" fillId="0" borderId="2" xfId="0" applyNumberFormat="1" applyFont="1" applyBorder="1" applyAlignment="1">
      <alignment horizontal="center" vertical="center"/>
    </xf>
    <xf numFmtId="9" fontId="10" fillId="0" borderId="2" xfId="2" applyFont="1" applyBorder="1" applyAlignment="1">
      <alignment horizontal="center" vertical="center" wrapText="1"/>
    </xf>
    <xf numFmtId="3" fontId="10"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xf>
    <xf numFmtId="0" fontId="1" fillId="0" borderId="0" xfId="0" applyFont="1" applyAlignment="1">
      <alignment horizontal="center" vertical="center" wrapText="1"/>
    </xf>
    <xf numFmtId="0" fontId="26" fillId="0" borderId="0" xfId="0" applyFont="1"/>
    <xf numFmtId="169" fontId="26" fillId="0" borderId="0" xfId="0" applyNumberFormat="1" applyFont="1"/>
    <xf numFmtId="0" fontId="6" fillId="5" borderId="31" xfId="0" applyFont="1" applyFill="1" applyBorder="1" applyAlignment="1">
      <alignment horizontal="center" vertical="center"/>
    </xf>
    <xf numFmtId="0" fontId="6" fillId="5" borderId="32" xfId="0" applyFont="1" applyFill="1" applyBorder="1" applyAlignment="1">
      <alignment horizontal="center" vertical="center" wrapText="1"/>
    </xf>
    <xf numFmtId="0" fontId="6" fillId="5" borderId="32" xfId="0" applyFont="1" applyFill="1" applyBorder="1" applyAlignment="1">
      <alignment horizontal="center" vertical="center"/>
    </xf>
    <xf numFmtId="1" fontId="5" fillId="0" borderId="31" xfId="2" applyNumberFormat="1" applyFont="1" applyFill="1" applyBorder="1" applyAlignment="1">
      <alignment horizontal="center" vertical="center"/>
    </xf>
    <xf numFmtId="1" fontId="5" fillId="0" borderId="31" xfId="0" applyNumberFormat="1" applyFont="1" applyBorder="1" applyAlignment="1">
      <alignment horizontal="center" vertical="center"/>
    </xf>
    <xf numFmtId="0" fontId="5" fillId="0" borderId="31" xfId="0" applyFont="1" applyBorder="1" applyAlignment="1">
      <alignment vertical="center" wrapText="1"/>
    </xf>
    <xf numFmtId="0" fontId="18" fillId="5" borderId="31" xfId="0" applyFont="1" applyFill="1" applyBorder="1" applyAlignment="1">
      <alignment horizontal="center" vertical="center" wrapText="1"/>
    </xf>
    <xf numFmtId="2" fontId="5" fillId="0" borderId="0" xfId="0" applyNumberFormat="1" applyFont="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0" fontId="0" fillId="0" borderId="0" xfId="0" applyAlignment="1">
      <alignment vertical="center" wrapText="1"/>
    </xf>
    <xf numFmtId="0" fontId="8" fillId="0" borderId="0" xfId="0" applyFont="1"/>
    <xf numFmtId="2" fontId="1" fillId="0" borderId="2" xfId="0" applyNumberFormat="1" applyFont="1" applyBorder="1" applyAlignment="1">
      <alignment horizontal="center" vertical="center" wrapText="1"/>
    </xf>
    <xf numFmtId="3" fontId="6" fillId="0" borderId="0" xfId="0" applyNumberFormat="1" applyFont="1" applyAlignment="1">
      <alignment vertical="center"/>
    </xf>
    <xf numFmtId="3" fontId="5" fillId="0" borderId="0" xfId="0" applyNumberFormat="1" applyFont="1" applyAlignment="1">
      <alignment vertical="center"/>
    </xf>
    <xf numFmtId="3" fontId="5" fillId="0" borderId="0" xfId="0" applyNumberFormat="1" applyFont="1" applyAlignment="1">
      <alignment vertical="center" wrapText="1"/>
    </xf>
    <xf numFmtId="0" fontId="22" fillId="5" borderId="12" xfId="0" applyFont="1" applyFill="1" applyBorder="1" applyAlignment="1">
      <alignment horizontal="left" vertical="center" wrapText="1"/>
    </xf>
    <xf numFmtId="0" fontId="22" fillId="5" borderId="31" xfId="0" applyFont="1" applyFill="1" applyBorder="1" applyAlignment="1">
      <alignment horizontal="center" vertical="center" wrapText="1"/>
    </xf>
    <xf numFmtId="0" fontId="5" fillId="0" borderId="2" xfId="0" applyFont="1" applyBorder="1" applyAlignment="1">
      <alignment horizontal="right" vertical="center"/>
    </xf>
    <xf numFmtId="170" fontId="5" fillId="0" borderId="2" xfId="0" applyNumberFormat="1" applyFont="1" applyBorder="1" applyAlignment="1">
      <alignment vertical="center"/>
    </xf>
    <xf numFmtId="0" fontId="5" fillId="0" borderId="11" xfId="0" applyFont="1" applyBorder="1" applyAlignment="1">
      <alignment vertical="center" wrapText="1"/>
    </xf>
    <xf numFmtId="168" fontId="5" fillId="0" borderId="11" xfId="6" applyNumberFormat="1" applyFont="1" applyBorder="1" applyAlignment="1">
      <alignment horizontal="right" vertical="center"/>
    </xf>
    <xf numFmtId="170" fontId="1" fillId="0" borderId="2" xfId="0" applyNumberFormat="1" applyFont="1" applyBorder="1" applyAlignment="1">
      <alignment vertical="center"/>
    </xf>
    <xf numFmtId="168" fontId="5" fillId="0" borderId="14" xfId="6" applyNumberFormat="1" applyFont="1" applyBorder="1" applyAlignment="1">
      <alignment horizontal="right" vertical="center"/>
    </xf>
    <xf numFmtId="170" fontId="1" fillId="6" borderId="11" xfId="0" applyNumberFormat="1" applyFont="1" applyFill="1" applyBorder="1" applyAlignment="1">
      <alignment vertical="center"/>
    </xf>
    <xf numFmtId="0" fontId="0" fillId="0" borderId="0" xfId="0" applyAlignment="1">
      <alignment horizontal="left" vertical="center"/>
    </xf>
    <xf numFmtId="170" fontId="28" fillId="0" borderId="0" xfId="0" applyNumberFormat="1" applyFont="1" applyAlignment="1">
      <alignment vertical="center"/>
    </xf>
    <xf numFmtId="0" fontId="16" fillId="0" borderId="0" xfId="0" applyFont="1"/>
    <xf numFmtId="170" fontId="28" fillId="0" borderId="0" xfId="0" applyNumberFormat="1" applyFont="1"/>
    <xf numFmtId="3" fontId="5" fillId="0" borderId="0" xfId="0" applyNumberFormat="1" applyFont="1" applyAlignment="1">
      <alignment horizontal="left"/>
    </xf>
    <xf numFmtId="0" fontId="29" fillId="0" borderId="0" xfId="0" applyFont="1"/>
    <xf numFmtId="0" fontId="5" fillId="4" borderId="42" xfId="0" applyFont="1" applyFill="1" applyBorder="1"/>
    <xf numFmtId="0" fontId="5" fillId="4" borderId="42" xfId="0" applyFont="1" applyFill="1" applyBorder="1" applyAlignment="1">
      <alignment horizontal="center" vertical="center"/>
    </xf>
    <xf numFmtId="3" fontId="5" fillId="0" borderId="42" xfId="0" applyNumberFormat="1" applyFont="1" applyBorder="1" applyAlignment="1">
      <alignment horizontal="center"/>
    </xf>
    <xf numFmtId="168" fontId="1" fillId="0" borderId="2" xfId="6" applyNumberFormat="1" applyFont="1" applyBorder="1" applyAlignment="1">
      <alignment horizontal="right" vertical="center" wrapText="1"/>
    </xf>
    <xf numFmtId="0" fontId="1" fillId="0" borderId="31" xfId="1" quotePrefix="1" applyBorder="1" applyAlignment="1">
      <alignment horizontal="center" vertical="center" wrapText="1"/>
    </xf>
    <xf numFmtId="0" fontId="31" fillId="0" borderId="22" xfId="0" applyFont="1" applyBorder="1" applyAlignment="1">
      <alignment horizontal="left" vertical="top" wrapText="1"/>
    </xf>
    <xf numFmtId="168" fontId="31" fillId="0" borderId="22" xfId="6" applyNumberFormat="1" applyFont="1" applyBorder="1" applyAlignment="1">
      <alignment horizontal="center" vertical="center" wrapText="1"/>
    </xf>
    <xf numFmtId="0" fontId="6" fillId="5" borderId="25" xfId="0" applyFont="1" applyFill="1" applyBorder="1" applyAlignment="1">
      <alignment horizontal="center" vertical="center"/>
    </xf>
    <xf numFmtId="0" fontId="18" fillId="5" borderId="12" xfId="0" applyFont="1" applyFill="1" applyBorder="1" applyAlignment="1">
      <alignment horizontal="center" vertical="center" wrapText="1"/>
    </xf>
    <xf numFmtId="2" fontId="21" fillId="0" borderId="1" xfId="0" applyNumberFormat="1" applyFont="1" applyBorder="1" applyAlignment="1">
      <alignment horizontal="center" vertical="center"/>
    </xf>
    <xf numFmtId="2" fontId="21" fillId="0" borderId="5" xfId="0" applyNumberFormat="1" applyFont="1" applyBorder="1" applyAlignment="1">
      <alignment horizontal="center" vertical="center"/>
    </xf>
    <xf numFmtId="2" fontId="21" fillId="0" borderId="2" xfId="0" applyNumberFormat="1" applyFont="1" applyBorder="1" applyAlignment="1">
      <alignment horizontal="center" vertical="center"/>
    </xf>
    <xf numFmtId="2" fontId="21" fillId="0" borderId="7" xfId="0" applyNumberFormat="1" applyFont="1" applyBorder="1" applyAlignment="1">
      <alignment horizontal="center" vertical="center"/>
    </xf>
    <xf numFmtId="2" fontId="21" fillId="0" borderId="27" xfId="0" applyNumberFormat="1" applyFont="1" applyBorder="1" applyAlignment="1">
      <alignment horizontal="center" vertical="center"/>
    </xf>
    <xf numFmtId="2" fontId="21" fillId="0" borderId="9" xfId="0" applyNumberFormat="1" applyFont="1" applyBorder="1" applyAlignment="1">
      <alignment horizontal="center" vertical="center"/>
    </xf>
    <xf numFmtId="2" fontId="21" fillId="0" borderId="12" xfId="0" applyNumberFormat="1" applyFont="1" applyBorder="1" applyAlignment="1">
      <alignment horizontal="center" vertical="center"/>
    </xf>
    <xf numFmtId="2" fontId="21" fillId="0" borderId="43" xfId="0" applyNumberFormat="1" applyFont="1" applyBorder="1" applyAlignment="1">
      <alignment horizontal="center" vertical="center"/>
    </xf>
    <xf numFmtId="0" fontId="7" fillId="0" borderId="0" xfId="5" applyAlignment="1">
      <alignment horizontal="left"/>
    </xf>
    <xf numFmtId="0" fontId="1" fillId="0" borderId="2" xfId="0" applyFont="1" applyBorder="1" applyAlignment="1">
      <alignment horizontal="center" vertical="center" wrapText="1"/>
    </xf>
    <xf numFmtId="0" fontId="24" fillId="0" borderId="0" xfId="0" applyFont="1" applyAlignment="1">
      <alignment vertical="center"/>
    </xf>
    <xf numFmtId="3" fontId="5" fillId="0" borderId="31" xfId="2" applyNumberFormat="1" applyFont="1" applyFill="1" applyBorder="1" applyAlignment="1">
      <alignment horizontal="center" vertical="center"/>
    </xf>
    <xf numFmtId="10" fontId="5" fillId="0" borderId="31" xfId="2" applyNumberFormat="1" applyFont="1" applyFill="1" applyBorder="1" applyAlignment="1">
      <alignment horizontal="center" vertical="center"/>
    </xf>
    <xf numFmtId="0" fontId="5" fillId="0" borderId="31" xfId="0" applyFont="1" applyBorder="1" applyAlignment="1">
      <alignment vertical="center"/>
    </xf>
    <xf numFmtId="0" fontId="11" fillId="0" borderId="0" xfId="0" applyFont="1" applyAlignment="1">
      <alignment vertical="center"/>
    </xf>
    <xf numFmtId="3" fontId="5" fillId="0" borderId="31" xfId="6" applyNumberFormat="1" applyFont="1" applyFill="1" applyBorder="1" applyAlignment="1">
      <alignment horizontal="center" vertical="center"/>
    </xf>
    <xf numFmtId="1" fontId="10" fillId="0" borderId="39" xfId="3" applyNumberFormat="1" applyFont="1" applyBorder="1" applyAlignment="1">
      <alignment horizontal="center" vertical="center" wrapText="1"/>
    </xf>
    <xf numFmtId="0" fontId="5" fillId="0" borderId="2" xfId="0" applyFont="1" applyBorder="1" applyAlignment="1">
      <alignment horizontal="left" vertical="center"/>
    </xf>
    <xf numFmtId="0" fontId="7" fillId="0" borderId="0" xfId="5" applyBorder="1" applyAlignment="1">
      <alignment horizontal="left"/>
    </xf>
    <xf numFmtId="9" fontId="5" fillId="0" borderId="0" xfId="0" applyNumberFormat="1" applyFont="1" applyAlignment="1">
      <alignment horizontal="center" vertical="center"/>
    </xf>
    <xf numFmtId="0" fontId="7" fillId="0" borderId="0" xfId="5" applyBorder="1" applyAlignment="1">
      <alignment horizontal="left" vertical="top"/>
    </xf>
    <xf numFmtId="3" fontId="5" fillId="0" borderId="39" xfId="0" applyNumberFormat="1" applyFont="1" applyBorder="1" applyAlignment="1">
      <alignment horizontal="center"/>
    </xf>
    <xf numFmtId="0" fontId="1" fillId="0" borderId="0" xfId="0" applyFont="1" applyAlignment="1">
      <alignment horizontal="center" vertical="center"/>
    </xf>
    <xf numFmtId="0" fontId="11" fillId="0" borderId="0" xfId="0" applyFont="1" applyAlignment="1">
      <alignment wrapText="1"/>
    </xf>
    <xf numFmtId="0" fontId="11" fillId="0" borderId="0" xfId="0" applyFont="1" applyAlignment="1">
      <alignment horizontal="center"/>
    </xf>
    <xf numFmtId="0" fontId="10" fillId="0" borderId="2" xfId="3" applyFont="1" applyBorder="1" applyAlignment="1">
      <alignment horizontal="center" vertical="center" wrapText="1"/>
    </xf>
    <xf numFmtId="0" fontId="10" fillId="0" borderId="2" xfId="3" applyFont="1" applyFill="1" applyBorder="1" applyAlignment="1">
      <alignment horizontal="center" vertical="center" wrapText="1"/>
    </xf>
    <xf numFmtId="0" fontId="10" fillId="0" borderId="2" xfId="3" applyFont="1" applyFill="1" applyBorder="1" applyAlignment="1">
      <alignment horizontal="left" vertical="center" wrapText="1"/>
    </xf>
    <xf numFmtId="0" fontId="6" fillId="5" borderId="31" xfId="0" applyFont="1" applyFill="1" applyBorder="1" applyAlignment="1">
      <alignment horizontal="center" vertical="center" wrapText="1"/>
    </xf>
    <xf numFmtId="0" fontId="21" fillId="0" borderId="49" xfId="0" applyFont="1" applyBorder="1" applyAlignment="1">
      <alignment horizontal="center" vertical="center"/>
    </xf>
    <xf numFmtId="0" fontId="21" fillId="0" borderId="11" xfId="0" applyFont="1" applyBorder="1" applyAlignment="1">
      <alignment horizontal="center" vertical="center"/>
    </xf>
    <xf numFmtId="0" fontId="21" fillId="0" borderId="50" xfId="0" applyFont="1" applyBorder="1" applyAlignment="1">
      <alignment horizontal="center" vertical="center"/>
    </xf>
    <xf numFmtId="0" fontId="21" fillId="0" borderId="14" xfId="0" applyFont="1" applyBorder="1" applyAlignment="1">
      <alignment horizontal="center" vertical="center"/>
    </xf>
    <xf numFmtId="0" fontId="5" fillId="0" borderId="31" xfId="4" applyBorder="1" applyAlignment="1">
      <alignment horizontal="center" vertical="center"/>
    </xf>
    <xf numFmtId="9" fontId="5" fillId="0" borderId="31" xfId="0" applyNumberFormat="1" applyFont="1" applyBorder="1" applyAlignment="1">
      <alignment horizontal="center"/>
    </xf>
    <xf numFmtId="2" fontId="5" fillId="0" borderId="2" xfId="0" applyNumberFormat="1" applyFont="1" applyBorder="1" applyAlignment="1">
      <alignment horizontal="center" vertical="center" wrapText="1"/>
    </xf>
    <xf numFmtId="0" fontId="18" fillId="5" borderId="2" xfId="0" applyFont="1" applyFill="1" applyBorder="1" applyAlignment="1">
      <alignment horizontal="center" vertical="center" wrapText="1"/>
    </xf>
    <xf numFmtId="167" fontId="1" fillId="4" borderId="31" xfId="0" applyNumberFormat="1" applyFont="1" applyFill="1" applyBorder="1" applyAlignment="1">
      <alignment horizontal="center" vertical="center" wrapText="1"/>
    </xf>
    <xf numFmtId="0" fontId="6" fillId="5" borderId="12" xfId="0" applyFont="1" applyFill="1" applyBorder="1" applyAlignment="1">
      <alignment vertical="center"/>
    </xf>
    <xf numFmtId="0" fontId="21" fillId="0" borderId="20" xfId="0" applyFont="1" applyBorder="1" applyAlignment="1">
      <alignment horizontal="center" vertical="center"/>
    </xf>
    <xf numFmtId="2" fontId="21" fillId="0" borderId="18" xfId="0" applyNumberFormat="1" applyFont="1" applyBorder="1" applyAlignment="1">
      <alignment horizontal="center" vertical="center"/>
    </xf>
    <xf numFmtId="2" fontId="21" fillId="0" borderId="72" xfId="0" applyNumberFormat="1" applyFont="1" applyBorder="1" applyAlignment="1">
      <alignment horizontal="center" vertical="center"/>
    </xf>
    <xf numFmtId="0" fontId="21" fillId="0" borderId="75" xfId="0" applyFont="1" applyBorder="1" applyAlignment="1">
      <alignment horizontal="center" vertical="center"/>
    </xf>
    <xf numFmtId="165" fontId="33" fillId="0" borderId="62" xfId="0" applyNumberFormat="1" applyFont="1" applyBorder="1" applyAlignment="1">
      <alignment horizontal="center" vertical="center"/>
    </xf>
    <xf numFmtId="165" fontId="33" fillId="0" borderId="76" xfId="0" applyNumberFormat="1" applyFont="1" applyBorder="1" applyAlignment="1">
      <alignment horizontal="center" vertical="center"/>
    </xf>
    <xf numFmtId="0" fontId="21" fillId="0" borderId="38" xfId="0" applyFont="1" applyBorder="1" applyAlignment="1">
      <alignment horizontal="center" vertical="center"/>
    </xf>
    <xf numFmtId="165" fontId="33" fillId="0" borderId="31" xfId="0" applyNumberFormat="1" applyFont="1" applyBorder="1" applyAlignment="1">
      <alignment horizontal="center" vertical="center"/>
    </xf>
    <xf numFmtId="165" fontId="33" fillId="0" borderId="78" xfId="0" applyNumberFormat="1" applyFont="1" applyBorder="1" applyAlignment="1">
      <alignment horizontal="center" vertical="center"/>
    </xf>
    <xf numFmtId="0" fontId="21" fillId="0" borderId="82" xfId="0" applyFont="1" applyBorder="1" applyAlignment="1">
      <alignment horizontal="center" vertical="center"/>
    </xf>
    <xf numFmtId="165" fontId="33" fillId="0" borderId="63" xfId="0" applyNumberFormat="1" applyFont="1" applyBorder="1" applyAlignment="1">
      <alignment horizontal="center" vertical="center"/>
    </xf>
    <xf numFmtId="165" fontId="33" fillId="0" borderId="83" xfId="0" applyNumberFormat="1" applyFont="1" applyBorder="1" applyAlignment="1">
      <alignment horizontal="center" vertical="center"/>
    </xf>
    <xf numFmtId="0" fontId="21" fillId="0" borderId="86" xfId="0" applyFont="1" applyBorder="1" applyAlignment="1">
      <alignment horizontal="center" vertical="center"/>
    </xf>
    <xf numFmtId="1" fontId="33" fillId="0" borderId="34" xfId="0" applyNumberFormat="1" applyFont="1" applyBorder="1" applyAlignment="1">
      <alignment horizontal="center" vertical="center"/>
    </xf>
    <xf numFmtId="1" fontId="33" fillId="0" borderId="56" xfId="0" applyNumberFormat="1" applyFont="1" applyBorder="1" applyAlignment="1">
      <alignment horizontal="center" vertical="center"/>
    </xf>
    <xf numFmtId="1" fontId="33" fillId="0" borderId="31" xfId="0" applyNumberFormat="1" applyFont="1" applyBorder="1" applyAlignment="1">
      <alignment horizontal="center" vertical="center"/>
    </xf>
    <xf numFmtId="1" fontId="33" fillId="0" borderId="53" xfId="0" applyNumberFormat="1" applyFont="1" applyBorder="1" applyAlignment="1">
      <alignment horizontal="center" vertical="center"/>
    </xf>
    <xf numFmtId="0" fontId="21" fillId="0" borderId="60" xfId="0" applyFont="1" applyBorder="1" applyAlignment="1">
      <alignment horizontal="center" vertical="center"/>
    </xf>
    <xf numFmtId="1" fontId="33" fillId="0" borderId="54" xfId="0" applyNumberFormat="1" applyFont="1" applyBorder="1" applyAlignment="1">
      <alignment horizontal="center" vertical="center"/>
    </xf>
    <xf numFmtId="1" fontId="33" fillId="0" borderId="55" xfId="0" applyNumberFormat="1" applyFont="1" applyBorder="1" applyAlignment="1">
      <alignment horizontal="center" vertical="center"/>
    </xf>
    <xf numFmtId="0" fontId="21" fillId="0" borderId="59" xfId="0" applyFont="1" applyBorder="1" applyAlignment="1">
      <alignment horizontal="center" vertical="center"/>
    </xf>
    <xf numFmtId="1" fontId="33" fillId="0" borderId="51" xfId="0" applyNumberFormat="1" applyFont="1" applyBorder="1" applyAlignment="1">
      <alignment horizontal="center" vertical="center"/>
    </xf>
    <xf numFmtId="1" fontId="33" fillId="0" borderId="52" xfId="0" applyNumberFormat="1" applyFont="1" applyBorder="1" applyAlignment="1">
      <alignment horizontal="center" vertical="center"/>
    </xf>
    <xf numFmtId="0" fontId="5" fillId="0" borderId="0" xfId="0" quotePrefix="1" applyFont="1" applyAlignment="1">
      <alignment horizontal="center" vertical="center"/>
    </xf>
    <xf numFmtId="0" fontId="22" fillId="9" borderId="2" xfId="0" applyFont="1" applyFill="1" applyBorder="1" applyAlignment="1">
      <alignment horizontal="center" vertical="center"/>
    </xf>
    <xf numFmtId="0" fontId="21" fillId="0" borderId="17" xfId="0" applyFont="1" applyBorder="1" applyAlignment="1">
      <alignment horizontal="center" vertical="center"/>
    </xf>
    <xf numFmtId="2" fontId="21" fillId="0" borderId="15" xfId="0" applyNumberFormat="1" applyFont="1" applyBorder="1" applyAlignment="1">
      <alignment horizontal="center" vertical="center"/>
    </xf>
    <xf numFmtId="2" fontId="21" fillId="0" borderId="96" xfId="0" applyNumberFormat="1" applyFont="1" applyBorder="1" applyAlignment="1">
      <alignment horizontal="center" vertical="center"/>
    </xf>
    <xf numFmtId="165" fontId="21" fillId="3" borderId="0" xfId="0" applyNumberFormat="1" applyFont="1" applyFill="1" applyAlignment="1">
      <alignment horizontal="center" vertical="center"/>
    </xf>
    <xf numFmtId="2" fontId="21" fillId="0" borderId="48" xfId="0" applyNumberFormat="1" applyFont="1" applyBorder="1" applyAlignment="1">
      <alignment horizontal="center" vertical="center"/>
    </xf>
    <xf numFmtId="2" fontId="21" fillId="0" borderId="100" xfId="0" applyNumberFormat="1" applyFont="1" applyBorder="1" applyAlignment="1">
      <alignment horizontal="center" vertical="center"/>
    </xf>
    <xf numFmtId="167" fontId="21" fillId="0" borderId="0" xfId="0" applyNumberFormat="1" applyFont="1" applyAlignment="1">
      <alignment horizontal="center" vertical="center"/>
    </xf>
    <xf numFmtId="2" fontId="21" fillId="0" borderId="45" xfId="0" applyNumberFormat="1" applyFont="1" applyBorder="1" applyAlignment="1">
      <alignment horizontal="center" vertical="center"/>
    </xf>
    <xf numFmtId="2" fontId="21" fillId="0" borderId="102" xfId="0" applyNumberFormat="1" applyFont="1" applyBorder="1" applyAlignment="1">
      <alignment horizontal="center" vertical="center"/>
    </xf>
    <xf numFmtId="2" fontId="21" fillId="0" borderId="46" xfId="0" applyNumberFormat="1" applyFont="1" applyBorder="1" applyAlignment="1">
      <alignment horizontal="center" vertical="center"/>
    </xf>
    <xf numFmtId="2" fontId="21" fillId="0" borderId="104" xfId="0" applyNumberFormat="1" applyFont="1" applyBorder="1" applyAlignment="1">
      <alignment horizontal="center" vertical="center"/>
    </xf>
    <xf numFmtId="2" fontId="21" fillId="0" borderId="106" xfId="0" applyNumberFormat="1" applyFont="1" applyBorder="1" applyAlignment="1">
      <alignment horizontal="center" vertical="center"/>
    </xf>
    <xf numFmtId="2" fontId="21" fillId="0" borderId="107" xfId="0" applyNumberFormat="1" applyFont="1" applyBorder="1" applyAlignment="1">
      <alignment horizontal="center" vertical="center"/>
    </xf>
    <xf numFmtId="2" fontId="21" fillId="0" borderId="108" xfId="0" applyNumberFormat="1" applyFont="1" applyBorder="1" applyAlignment="1">
      <alignment horizontal="center" vertical="center"/>
    </xf>
    <xf numFmtId="2" fontId="21" fillId="0" borderId="109" xfId="0" applyNumberFormat="1" applyFont="1" applyBorder="1" applyAlignment="1">
      <alignment horizontal="center" vertical="center"/>
    </xf>
    <xf numFmtId="0" fontId="21" fillId="0" borderId="110" xfId="0" applyFont="1" applyBorder="1" applyAlignment="1">
      <alignment horizontal="center" vertical="center"/>
    </xf>
    <xf numFmtId="2" fontId="21" fillId="0" borderId="51" xfId="0" applyNumberFormat="1" applyFont="1" applyBorder="1" applyAlignment="1">
      <alignment horizontal="center" vertical="center"/>
    </xf>
    <xf numFmtId="2" fontId="21" fillId="0" borderId="52" xfId="0" applyNumberFormat="1" applyFont="1" applyBorder="1" applyAlignment="1">
      <alignment horizontal="center" vertical="center"/>
    </xf>
    <xf numFmtId="0" fontId="21" fillId="0" borderId="111" xfId="0" applyFont="1" applyBorder="1" applyAlignment="1">
      <alignment horizontal="center" vertical="center"/>
    </xf>
    <xf numFmtId="2" fontId="21" fillId="0" borderId="31" xfId="0" applyNumberFormat="1" applyFont="1" applyBorder="1" applyAlignment="1">
      <alignment horizontal="center" vertical="center"/>
    </xf>
    <xf numFmtId="2" fontId="21" fillId="0" borderId="53" xfId="0" applyNumberFormat="1" applyFont="1" applyBorder="1" applyAlignment="1">
      <alignment horizontal="center" vertical="center"/>
    </xf>
    <xf numFmtId="0" fontId="21" fillId="0" borderId="112" xfId="0" applyFont="1" applyBorder="1" applyAlignment="1">
      <alignment horizontal="center" vertical="center"/>
    </xf>
    <xf numFmtId="2" fontId="21" fillId="0" borderId="54" xfId="0" applyNumberFormat="1" applyFont="1" applyBorder="1" applyAlignment="1">
      <alignment horizontal="center" vertical="center"/>
    </xf>
    <xf numFmtId="2" fontId="21" fillId="0" borderId="55" xfId="0" applyNumberFormat="1" applyFont="1" applyBorder="1" applyAlignment="1">
      <alignment horizontal="center" vertical="center"/>
    </xf>
    <xf numFmtId="0" fontId="21" fillId="0" borderId="115" xfId="0" applyFont="1" applyBorder="1" applyAlignment="1">
      <alignment horizontal="center" vertical="center"/>
    </xf>
    <xf numFmtId="0" fontId="21" fillId="0" borderId="118" xfId="0" applyFont="1" applyBorder="1" applyAlignment="1">
      <alignment horizontal="center" vertical="center"/>
    </xf>
    <xf numFmtId="0" fontId="21" fillId="0" borderId="120" xfId="0" applyFont="1" applyBorder="1" applyAlignment="1">
      <alignment horizontal="center" vertical="center"/>
    </xf>
    <xf numFmtId="0" fontId="21" fillId="0" borderId="123" xfId="0" applyFont="1" applyBorder="1" applyAlignment="1">
      <alignment horizontal="center" vertical="center"/>
    </xf>
    <xf numFmtId="1" fontId="21" fillId="0" borderId="1" xfId="0" applyNumberFormat="1" applyFont="1" applyBorder="1" applyAlignment="1">
      <alignment horizontal="center" vertical="center"/>
    </xf>
    <xf numFmtId="1" fontId="21" fillId="0" borderId="51" xfId="0" applyNumberFormat="1" applyFont="1" applyBorder="1" applyAlignment="1">
      <alignment horizontal="center" vertical="center"/>
    </xf>
    <xf numFmtId="1" fontId="21" fillId="0" borderId="52" xfId="0" applyNumberFormat="1" applyFont="1" applyBorder="1" applyAlignment="1">
      <alignment horizontal="center" vertical="center"/>
    </xf>
    <xf numFmtId="1" fontId="21" fillId="0" borderId="31" xfId="0" applyNumberFormat="1" applyFont="1" applyBorder="1" applyAlignment="1">
      <alignment horizontal="center" vertical="center"/>
    </xf>
    <xf numFmtId="1" fontId="21" fillId="0" borderId="53" xfId="0" applyNumberFormat="1" applyFont="1" applyBorder="1" applyAlignment="1">
      <alignment horizontal="center" vertical="center"/>
    </xf>
    <xf numFmtId="1" fontId="21" fillId="0" borderId="54" xfId="0" applyNumberFormat="1" applyFont="1" applyBorder="1" applyAlignment="1">
      <alignment horizontal="center" vertical="center"/>
    </xf>
    <xf numFmtId="1" fontId="21" fillId="0" borderId="55" xfId="0" applyNumberFormat="1" applyFont="1" applyBorder="1" applyAlignment="1">
      <alignment horizontal="center" vertical="center"/>
    </xf>
    <xf numFmtId="1" fontId="21" fillId="0" borderId="2" xfId="0" applyNumberFormat="1" applyFont="1" applyBorder="1" applyAlignment="1">
      <alignment horizontal="center" vertical="center"/>
    </xf>
    <xf numFmtId="0" fontId="21" fillId="0" borderId="4" xfId="0" applyFont="1" applyBorder="1" applyAlignment="1">
      <alignment horizontal="center" vertical="center"/>
    </xf>
    <xf numFmtId="1" fontId="21" fillId="0" borderId="5" xfId="0" applyNumberFormat="1" applyFont="1" applyBorder="1" applyAlignment="1">
      <alignment horizontal="center" vertical="center"/>
    </xf>
    <xf numFmtId="0" fontId="21" fillId="0" borderId="6" xfId="0" applyFont="1" applyBorder="1" applyAlignment="1">
      <alignment horizontal="center" vertical="center"/>
    </xf>
    <xf numFmtId="1" fontId="21" fillId="0" borderId="7" xfId="0" applyNumberFormat="1" applyFont="1" applyBorder="1" applyAlignment="1">
      <alignment horizontal="center" vertical="center"/>
    </xf>
    <xf numFmtId="0" fontId="21" fillId="0" borderId="8" xfId="0" applyFont="1" applyBorder="1" applyAlignment="1">
      <alignment horizontal="center" vertical="center"/>
    </xf>
    <xf numFmtId="1" fontId="21" fillId="0" borderId="27" xfId="0" applyNumberFormat="1" applyFont="1" applyBorder="1" applyAlignment="1">
      <alignment horizontal="center" vertical="center"/>
    </xf>
    <xf numFmtId="1" fontId="21" fillId="0" borderId="9" xfId="0" applyNumberFormat="1" applyFont="1" applyBorder="1" applyAlignment="1">
      <alignment horizontal="center" vertical="center"/>
    </xf>
    <xf numFmtId="0" fontId="21" fillId="0" borderId="138" xfId="0" applyFont="1" applyBorder="1" applyAlignment="1">
      <alignment horizontal="center" vertical="center"/>
    </xf>
    <xf numFmtId="0" fontId="0" fillId="2" borderId="0" xfId="0" applyFill="1"/>
    <xf numFmtId="0" fontId="21" fillId="2" borderId="0" xfId="0" applyFont="1" applyFill="1" applyAlignment="1">
      <alignment horizontal="center" vertical="center"/>
    </xf>
    <xf numFmtId="0" fontId="5" fillId="0" borderId="2" xfId="0" applyFont="1" applyBorder="1" applyAlignment="1">
      <alignment horizontal="left" vertical="center" wrapText="1"/>
    </xf>
    <xf numFmtId="3" fontId="11" fillId="0" borderId="2" xfId="0" applyNumberFormat="1" applyFont="1" applyBorder="1" applyAlignment="1">
      <alignment horizontal="center" vertical="center"/>
    </xf>
    <xf numFmtId="0" fontId="22" fillId="11" borderId="0" xfId="0" applyFont="1" applyFill="1"/>
    <xf numFmtId="0" fontId="5" fillId="0" borderId="18" xfId="0" applyFont="1" applyBorder="1" applyAlignment="1">
      <alignment horizontal="center" vertical="center" wrapText="1"/>
    </xf>
    <xf numFmtId="0" fontId="5" fillId="0" borderId="12" xfId="0" applyFont="1" applyBorder="1" applyAlignment="1">
      <alignment horizontal="center" vertical="center"/>
    </xf>
    <xf numFmtId="0" fontId="33" fillId="0" borderId="99" xfId="0" applyFont="1" applyBorder="1" applyAlignment="1">
      <alignment horizontal="center" vertical="center"/>
    </xf>
    <xf numFmtId="2" fontId="33" fillId="0" borderId="48" xfId="0" applyNumberFormat="1" applyFont="1" applyBorder="1" applyAlignment="1">
      <alignment horizontal="center" vertical="center"/>
    </xf>
    <xf numFmtId="0" fontId="33" fillId="0" borderId="101" xfId="0" applyFont="1" applyBorder="1" applyAlignment="1">
      <alignment horizontal="center" vertical="center"/>
    </xf>
    <xf numFmtId="2" fontId="33" fillId="0" borderId="45" xfId="0" applyNumberFormat="1" applyFont="1" applyBorder="1" applyAlignment="1">
      <alignment horizontal="center" vertical="center"/>
    </xf>
    <xf numFmtId="0" fontId="33" fillId="0" borderId="103" xfId="0" applyFont="1" applyBorder="1" applyAlignment="1">
      <alignment horizontal="center" vertical="center"/>
    </xf>
    <xf numFmtId="2" fontId="33" fillId="0" borderId="46" xfId="0" applyNumberFormat="1" applyFont="1" applyBorder="1" applyAlignment="1">
      <alignment horizontal="center" vertical="center"/>
    </xf>
    <xf numFmtId="0" fontId="33" fillId="0" borderId="105" xfId="0" applyFont="1" applyBorder="1" applyAlignment="1">
      <alignment horizontal="center" vertical="center"/>
    </xf>
    <xf numFmtId="2" fontId="33" fillId="0" borderId="106" xfId="0" applyNumberFormat="1" applyFont="1" applyBorder="1" applyAlignment="1">
      <alignment horizontal="center" vertical="center"/>
    </xf>
    <xf numFmtId="2" fontId="33" fillId="0" borderId="2" xfId="0" applyNumberFormat="1" applyFont="1" applyBorder="1" applyAlignment="1">
      <alignment horizontal="center" vertical="center"/>
    </xf>
    <xf numFmtId="2" fontId="33" fillId="0" borderId="12" xfId="0" applyNumberFormat="1" applyFont="1" applyBorder="1" applyAlignment="1">
      <alignment horizontal="center" vertical="center"/>
    </xf>
    <xf numFmtId="0" fontId="33" fillId="0" borderId="110" xfId="0" applyFont="1" applyBorder="1" applyAlignment="1">
      <alignment horizontal="center" vertical="center"/>
    </xf>
    <xf numFmtId="2" fontId="33" fillId="0" borderId="51" xfId="0" applyNumberFormat="1" applyFont="1" applyBorder="1" applyAlignment="1">
      <alignment horizontal="center" vertical="center"/>
    </xf>
    <xf numFmtId="0" fontId="33" fillId="0" borderId="111" xfId="0" applyFont="1" applyBorder="1" applyAlignment="1">
      <alignment horizontal="center" vertical="center"/>
    </xf>
    <xf numFmtId="2" fontId="33" fillId="0" borderId="31" xfId="0" applyNumberFormat="1" applyFont="1" applyBorder="1" applyAlignment="1">
      <alignment horizontal="center" vertical="center"/>
    </xf>
    <xf numFmtId="0" fontId="33" fillId="0" borderId="112" xfId="0" applyFont="1" applyBorder="1" applyAlignment="1">
      <alignment horizontal="center" vertical="center"/>
    </xf>
    <xf numFmtId="2" fontId="33" fillId="0" borderId="54" xfId="0" applyNumberFormat="1" applyFont="1" applyBorder="1" applyAlignment="1">
      <alignment horizontal="center" vertical="center"/>
    </xf>
    <xf numFmtId="0" fontId="5" fillId="0" borderId="1" xfId="0" applyFont="1" applyBorder="1" applyAlignment="1">
      <alignment horizontal="center" vertical="center" wrapText="1"/>
    </xf>
    <xf numFmtId="0" fontId="1" fillId="0" borderId="141" xfId="0" applyFont="1" applyBorder="1" applyAlignment="1">
      <alignment horizontal="center" vertical="center" wrapText="1"/>
    </xf>
    <xf numFmtId="0" fontId="5" fillId="0" borderId="1" xfId="0" applyFont="1" applyBorder="1" applyAlignment="1">
      <alignment horizontal="center" vertical="center"/>
    </xf>
    <xf numFmtId="0" fontId="1" fillId="0" borderId="5" xfId="0" applyFont="1" applyBorder="1" applyAlignment="1">
      <alignment horizontal="center" vertical="center"/>
    </xf>
    <xf numFmtId="0" fontId="5" fillId="0" borderId="27" xfId="0" applyFont="1" applyBorder="1" applyAlignment="1">
      <alignment horizontal="center" vertical="center" wrapText="1"/>
    </xf>
    <xf numFmtId="0" fontId="1" fillId="0" borderId="27" xfId="0" applyFont="1" applyBorder="1" applyAlignment="1">
      <alignment horizontal="center" vertical="center" wrapText="1"/>
    </xf>
    <xf numFmtId="0" fontId="5" fillId="0" borderId="27" xfId="0" applyFont="1" applyBorder="1" applyAlignment="1">
      <alignment horizontal="center" vertical="center"/>
    </xf>
    <xf numFmtId="0" fontId="1" fillId="0" borderId="9" xfId="0" applyFont="1" applyBorder="1" applyAlignment="1">
      <alignment horizontal="center" vertical="center"/>
    </xf>
    <xf numFmtId="0" fontId="5" fillId="0" borderId="142" xfId="0" applyFont="1" applyBorder="1" applyAlignment="1">
      <alignment horizontal="center" vertical="center" wrapText="1"/>
    </xf>
    <xf numFmtId="0" fontId="34" fillId="3" borderId="0" xfId="0" applyFont="1" applyFill="1" applyAlignment="1">
      <alignment horizontal="center" vertical="center"/>
    </xf>
    <xf numFmtId="1" fontId="21" fillId="0" borderId="0" xfId="0" applyNumberFormat="1" applyFont="1" applyAlignment="1">
      <alignment horizontal="center" vertical="center"/>
    </xf>
    <xf numFmtId="0" fontId="5" fillId="0" borderId="0" xfId="0" applyFont="1" applyAlignment="1">
      <alignment horizontal="left" vertical="center"/>
    </xf>
    <xf numFmtId="1" fontId="38" fillId="0" borderId="1" xfId="0" applyNumberFormat="1" applyFont="1" applyBorder="1" applyAlignment="1">
      <alignment horizontal="center" vertical="center"/>
    </xf>
    <xf numFmtId="1" fontId="38" fillId="0" borderId="5" xfId="0" applyNumberFormat="1" applyFont="1" applyBorder="1" applyAlignment="1">
      <alignment horizontal="center" vertical="center"/>
    </xf>
    <xf numFmtId="1" fontId="38" fillId="0" borderId="2" xfId="0" applyNumberFormat="1" applyFont="1" applyBorder="1" applyAlignment="1">
      <alignment horizontal="center" vertical="center"/>
    </xf>
    <xf numFmtId="1" fontId="38" fillId="0" borderId="7" xfId="0" applyNumberFormat="1" applyFont="1" applyBorder="1" applyAlignment="1">
      <alignment horizontal="center" vertical="center"/>
    </xf>
    <xf numFmtId="1" fontId="38" fillId="0" borderId="27" xfId="0" applyNumberFormat="1" applyFont="1" applyBorder="1" applyAlignment="1">
      <alignment horizontal="center" vertical="center"/>
    </xf>
    <xf numFmtId="1" fontId="38" fillId="0" borderId="9" xfId="0" applyNumberFormat="1" applyFont="1" applyBorder="1" applyAlignment="1">
      <alignment horizontal="center" vertical="center"/>
    </xf>
    <xf numFmtId="1" fontId="38" fillId="0" borderId="12" xfId="0" applyNumberFormat="1" applyFont="1" applyBorder="1" applyAlignment="1">
      <alignment horizontal="center" vertical="center"/>
    </xf>
    <xf numFmtId="1" fontId="38" fillId="0" borderId="43" xfId="0" applyNumberFormat="1" applyFont="1" applyBorder="1" applyAlignment="1">
      <alignment horizontal="center" vertical="center"/>
    </xf>
    <xf numFmtId="0" fontId="10" fillId="0" borderId="2" xfId="3" applyFont="1" applyFill="1" applyBorder="1" applyAlignment="1">
      <alignment vertical="center" wrapText="1"/>
    </xf>
    <xf numFmtId="3" fontId="5" fillId="0" borderId="2" xfId="7" applyNumberFormat="1" applyFont="1" applyBorder="1" applyAlignment="1">
      <alignment vertical="center"/>
    </xf>
    <xf numFmtId="2" fontId="5" fillId="0" borderId="39" xfId="6" applyNumberFormat="1" applyFont="1" applyBorder="1" applyAlignment="1">
      <alignment horizontal="center" vertical="center"/>
    </xf>
    <xf numFmtId="3" fontId="5" fillId="0" borderId="0" xfId="0" applyNumberFormat="1" applyFont="1" applyAlignment="1">
      <alignment horizontal="center"/>
    </xf>
    <xf numFmtId="2" fontId="5" fillId="0" borderId="0" xfId="6" applyNumberFormat="1" applyFont="1" applyBorder="1" applyAlignment="1">
      <alignment horizontal="center" vertical="center"/>
    </xf>
    <xf numFmtId="2" fontId="5" fillId="0" borderId="0" xfId="0" applyNumberFormat="1" applyFont="1" applyAlignment="1">
      <alignment horizontal="center"/>
    </xf>
    <xf numFmtId="1" fontId="19" fillId="0" borderId="0" xfId="3" applyNumberFormat="1" applyFont="1" applyBorder="1" applyAlignment="1">
      <alignment horizontal="center" vertical="center" wrapText="1"/>
    </xf>
    <xf numFmtId="2" fontId="5" fillId="0" borderId="44" xfId="0" applyNumberFormat="1" applyFont="1" applyBorder="1" applyAlignment="1">
      <alignment horizontal="center"/>
    </xf>
    <xf numFmtId="0" fontId="18" fillId="5" borderId="32" xfId="0" applyFont="1" applyFill="1" applyBorder="1" applyAlignment="1">
      <alignment horizontal="center" vertical="center" wrapText="1"/>
    </xf>
    <xf numFmtId="2" fontId="5" fillId="0" borderId="2" xfId="0" applyNumberFormat="1" applyFont="1" applyBorder="1" applyAlignment="1">
      <alignment horizontal="center"/>
    </xf>
    <xf numFmtId="3" fontId="5" fillId="0" borderId="0" xfId="0" applyNumberFormat="1" applyFont="1" applyAlignment="1">
      <alignment horizontal="left" vertical="top"/>
    </xf>
    <xf numFmtId="0" fontId="5" fillId="21" borderId="0" xfId="0" applyFont="1" applyFill="1"/>
    <xf numFmtId="0" fontId="35" fillId="0" borderId="0" xfId="5" applyFont="1" applyAlignment="1">
      <alignment horizontal="left" vertical="top" wrapText="1"/>
    </xf>
    <xf numFmtId="0" fontId="36" fillId="0" borderId="2" xfId="0" applyFont="1" applyBorder="1" applyAlignment="1">
      <alignment horizontal="left" vertical="center"/>
    </xf>
    <xf numFmtId="0" fontId="36" fillId="0" borderId="2" xfId="0" applyFont="1" applyBorder="1" applyAlignment="1">
      <alignment horizontal="center" vertical="center"/>
    </xf>
    <xf numFmtId="0" fontId="36" fillId="0" borderId="2" xfId="0" applyFont="1" applyBorder="1" applyAlignment="1">
      <alignment horizontal="left" vertical="center" wrapText="1"/>
    </xf>
    <xf numFmtId="0" fontId="1" fillId="0" borderId="0" xfId="0" applyFont="1" applyAlignment="1">
      <alignment horizontal="left" vertical="center"/>
    </xf>
    <xf numFmtId="0" fontId="39" fillId="0" borderId="0" xfId="0" applyFont="1"/>
    <xf numFmtId="0" fontId="40" fillId="13" borderId="45" xfId="0" applyFont="1" applyFill="1" applyBorder="1" applyAlignment="1">
      <alignment horizontal="center" vertical="center" wrapText="1"/>
    </xf>
    <xf numFmtId="2" fontId="38" fillId="0" borderId="2" xfId="0" applyNumberFormat="1" applyFont="1" applyBorder="1" applyAlignment="1">
      <alignment horizontal="center" vertical="center"/>
    </xf>
    <xf numFmtId="0" fontId="43" fillId="0" borderId="0" xfId="0" applyFont="1" applyAlignment="1">
      <alignment horizontal="center" vertical="center"/>
    </xf>
    <xf numFmtId="0" fontId="6" fillId="9" borderId="32" xfId="0" applyFont="1" applyFill="1" applyBorder="1" applyAlignment="1">
      <alignment horizontal="center" vertical="center" wrapText="1"/>
    </xf>
    <xf numFmtId="0" fontId="27" fillId="23" borderId="145" xfId="0" applyFont="1" applyFill="1" applyBorder="1" applyAlignment="1">
      <alignment horizontal="left" vertical="center"/>
    </xf>
    <xf numFmtId="0" fontId="22" fillId="16" borderId="12" xfId="0" applyFont="1" applyFill="1" applyBorder="1" applyAlignment="1">
      <alignment horizontal="center" vertical="center"/>
    </xf>
    <xf numFmtId="1" fontId="10" fillId="0" borderId="0" xfId="3" applyNumberFormat="1" applyFont="1" applyBorder="1" applyAlignment="1">
      <alignment horizontal="center" vertical="center" wrapText="1"/>
    </xf>
    <xf numFmtId="0" fontId="6" fillId="3" borderId="146" xfId="0" applyFont="1" applyFill="1" applyBorder="1" applyAlignment="1">
      <alignment vertical="center"/>
    </xf>
    <xf numFmtId="0" fontId="6" fillId="3" borderId="147" xfId="0" applyFont="1" applyFill="1" applyBorder="1" applyAlignment="1">
      <alignment vertical="center"/>
    </xf>
    <xf numFmtId="0" fontId="5" fillId="3" borderId="148" xfId="0" applyFont="1" applyFill="1" applyBorder="1"/>
    <xf numFmtId="0" fontId="6" fillId="3" borderId="149" xfId="0" applyFont="1" applyFill="1" applyBorder="1" applyAlignment="1">
      <alignment vertical="center"/>
    </xf>
    <xf numFmtId="0" fontId="6" fillId="3" borderId="0" xfId="0" applyFont="1" applyFill="1" applyAlignment="1">
      <alignment vertical="center"/>
    </xf>
    <xf numFmtId="0" fontId="5" fillId="3" borderId="150" xfId="0" applyFont="1" applyFill="1" applyBorder="1"/>
    <xf numFmtId="0" fontId="5" fillId="3" borderId="153" xfId="0" applyFont="1" applyFill="1" applyBorder="1"/>
    <xf numFmtId="0" fontId="5" fillId="3" borderId="0" xfId="0" applyFont="1" applyFill="1"/>
    <xf numFmtId="0" fontId="5" fillId="3" borderId="149" xfId="0" applyFont="1" applyFill="1" applyBorder="1"/>
    <xf numFmtId="0" fontId="5" fillId="3" borderId="151" xfId="0" applyFont="1" applyFill="1" applyBorder="1"/>
    <xf numFmtId="0" fontId="5" fillId="3" borderId="152" xfId="0" applyFont="1" applyFill="1" applyBorder="1"/>
    <xf numFmtId="1" fontId="1" fillId="0" borderId="45" xfId="7" applyNumberFormat="1" applyFont="1" applyBorder="1" applyAlignment="1">
      <alignment vertical="center"/>
    </xf>
    <xf numFmtId="165" fontId="5" fillId="0" borderId="3" xfId="0" applyNumberFormat="1" applyFont="1" applyBorder="1" applyAlignment="1">
      <alignment horizontal="center" vertical="center" wrapText="1"/>
    </xf>
    <xf numFmtId="1" fontId="1" fillId="0" borderId="3" xfId="7" applyNumberFormat="1" applyFont="1" applyBorder="1" applyAlignment="1">
      <alignment vertical="center"/>
    </xf>
    <xf numFmtId="0" fontId="5" fillId="6" borderId="31" xfId="0" applyFont="1" applyFill="1" applyBorder="1" applyAlignment="1">
      <alignment horizontal="center" vertical="center"/>
    </xf>
    <xf numFmtId="0" fontId="5" fillId="4" borderId="31" xfId="0" applyFont="1" applyFill="1" applyBorder="1" applyAlignment="1">
      <alignment horizontal="center" vertical="center"/>
    </xf>
    <xf numFmtId="0" fontId="5" fillId="10" borderId="31" xfId="0" applyFont="1" applyFill="1" applyBorder="1" applyAlignment="1">
      <alignment horizontal="center" vertical="center"/>
    </xf>
    <xf numFmtId="0" fontId="5" fillId="25" borderId="31" xfId="0" applyFont="1" applyFill="1" applyBorder="1" applyAlignment="1">
      <alignment horizontal="center" vertical="center"/>
    </xf>
    <xf numFmtId="0" fontId="1" fillId="25" borderId="31" xfId="0" applyFont="1" applyFill="1" applyBorder="1" applyAlignment="1">
      <alignment horizontal="center" vertical="center"/>
    </xf>
    <xf numFmtId="167" fontId="5" fillId="0" borderId="31" xfId="0" applyNumberFormat="1" applyFont="1" applyBorder="1" applyAlignment="1">
      <alignment horizontal="center" vertical="center"/>
    </xf>
    <xf numFmtId="167" fontId="5" fillId="4" borderId="31" xfId="0" applyNumberFormat="1" applyFont="1" applyFill="1" applyBorder="1" applyAlignment="1">
      <alignment horizontal="center" vertical="center"/>
    </xf>
    <xf numFmtId="167" fontId="5" fillId="10" borderId="31" xfId="0" applyNumberFormat="1" applyFont="1" applyFill="1" applyBorder="1" applyAlignment="1">
      <alignment horizontal="center" vertical="center"/>
    </xf>
    <xf numFmtId="0" fontId="1" fillId="25" borderId="31" xfId="0" applyFont="1" applyFill="1" applyBorder="1" applyAlignment="1">
      <alignment horizontal="center" vertical="center" wrapText="1"/>
    </xf>
    <xf numFmtId="167" fontId="5" fillId="25" borderId="31" xfId="0" applyNumberFormat="1" applyFont="1" applyFill="1" applyBorder="1" applyAlignment="1">
      <alignment horizontal="center" vertical="center"/>
    </xf>
    <xf numFmtId="0" fontId="1" fillId="4" borderId="31" xfId="0" applyFont="1" applyFill="1" applyBorder="1" applyAlignment="1">
      <alignment horizontal="center" vertical="center" wrapText="1"/>
    </xf>
    <xf numFmtId="0" fontId="1" fillId="10" borderId="31" xfId="0" applyFont="1" applyFill="1" applyBorder="1" applyAlignment="1">
      <alignment horizontal="center" vertical="center" wrapText="1"/>
    </xf>
    <xf numFmtId="167" fontId="5" fillId="6" borderId="31" xfId="0" applyNumberFormat="1" applyFont="1" applyFill="1" applyBorder="1" applyAlignment="1">
      <alignment horizontal="center" vertical="center"/>
    </xf>
    <xf numFmtId="1" fontId="19" fillId="0" borderId="2" xfId="3" applyNumberFormat="1" applyFont="1" applyFill="1" applyBorder="1" applyAlignment="1">
      <alignment horizontal="center" vertical="center" wrapText="1"/>
    </xf>
    <xf numFmtId="3" fontId="5" fillId="0" borderId="2" xfId="0" applyNumberFormat="1" applyFont="1" applyBorder="1" applyAlignment="1">
      <alignment horizontal="center"/>
    </xf>
    <xf numFmtId="2" fontId="6" fillId="0" borderId="2" xfId="6" applyNumberFormat="1" applyFont="1" applyFill="1" applyBorder="1" applyAlignment="1">
      <alignment horizontal="center" vertical="center"/>
    </xf>
    <xf numFmtId="0" fontId="5" fillId="0" borderId="31" xfId="0" applyFont="1" applyBorder="1" applyAlignment="1">
      <alignment horizontal="center" vertical="center"/>
    </xf>
    <xf numFmtId="0" fontId="5" fillId="0" borderId="34" xfId="0" applyFont="1" applyBorder="1" applyAlignment="1">
      <alignment horizontal="center" vertical="center"/>
    </xf>
    <xf numFmtId="0" fontId="5" fillId="0" borderId="31" xfId="0" applyFont="1" applyBorder="1" applyAlignment="1">
      <alignment horizontal="center" vertical="center" wrapText="1"/>
    </xf>
    <xf numFmtId="0" fontId="5" fillId="6" borderId="31" xfId="0" applyFont="1" applyFill="1" applyBorder="1" applyAlignment="1">
      <alignment horizontal="center" vertical="center" wrapText="1"/>
    </xf>
    <xf numFmtId="0" fontId="5" fillId="0" borderId="34" xfId="0" applyFont="1" applyBorder="1" applyAlignment="1">
      <alignment horizontal="center" vertical="center" wrapText="1"/>
    </xf>
    <xf numFmtId="0" fontId="12" fillId="7" borderId="0" xfId="0" applyFont="1" applyFill="1" applyAlignment="1">
      <alignment horizontal="center" vertical="center"/>
    </xf>
    <xf numFmtId="0" fontId="5" fillId="0" borderId="32" xfId="0" applyFont="1" applyBorder="1" applyAlignment="1">
      <alignment horizontal="center" vertical="center"/>
    </xf>
    <xf numFmtId="0" fontId="5" fillId="0" borderId="0" xfId="0" applyFont="1" applyAlignment="1">
      <alignment horizontal="left"/>
    </xf>
    <xf numFmtId="0" fontId="5" fillId="0" borderId="0" xfId="0" applyFont="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20" fillId="0" borderId="0" xfId="0" applyFont="1" applyAlignment="1">
      <alignment horizontal="left" vertical="center" wrapText="1"/>
    </xf>
    <xf numFmtId="0" fontId="1" fillId="0" borderId="2" xfId="0" applyFont="1" applyBorder="1" applyAlignment="1">
      <alignment horizontal="center" vertical="center"/>
    </xf>
    <xf numFmtId="0" fontId="6" fillId="5"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5" fillId="0" borderId="12" xfId="0" applyFont="1" applyBorder="1" applyAlignment="1">
      <alignment horizontal="center" vertical="center" wrapText="1"/>
    </xf>
    <xf numFmtId="0" fontId="22" fillId="5" borderId="12" xfId="0" applyFont="1" applyFill="1" applyBorder="1" applyAlignment="1">
      <alignment horizontal="center" vertical="center"/>
    </xf>
    <xf numFmtId="0" fontId="6" fillId="5" borderId="0" xfId="0" applyFont="1" applyFill="1" applyAlignment="1">
      <alignment horizontal="center" vertical="center"/>
    </xf>
    <xf numFmtId="0" fontId="6" fillId="5" borderId="12" xfId="0" applyFont="1" applyFill="1" applyBorder="1" applyAlignment="1">
      <alignment horizontal="center" vertical="center"/>
    </xf>
    <xf numFmtId="0" fontId="6" fillId="0" borderId="0" xfId="0" applyFont="1" applyAlignment="1">
      <alignment wrapText="1"/>
    </xf>
    <xf numFmtId="0" fontId="6" fillId="0" borderId="0" xfId="0" applyFont="1" applyAlignment="1">
      <alignment horizontal="left"/>
    </xf>
    <xf numFmtId="9" fontId="5" fillId="0" borderId="31" xfId="2" applyFont="1" applyFill="1" applyBorder="1" applyAlignment="1">
      <alignment horizontal="center" vertical="center"/>
    </xf>
    <xf numFmtId="0" fontId="52" fillId="0" borderId="0" xfId="0" applyFont="1" applyAlignment="1">
      <alignment wrapText="1"/>
    </xf>
    <xf numFmtId="0" fontId="44" fillId="0" borderId="0" xfId="0" applyFont="1"/>
    <xf numFmtId="0" fontId="54" fillId="0" borderId="0" xfId="5" applyFont="1" applyAlignment="1"/>
    <xf numFmtId="0" fontId="53" fillId="0" borderId="0" xfId="5" applyFont="1" applyAlignment="1"/>
    <xf numFmtId="0" fontId="52" fillId="0" borderId="0" xfId="0" applyFont="1"/>
    <xf numFmtId="0" fontId="53" fillId="0" borderId="0" xfId="0" applyFont="1"/>
    <xf numFmtId="0" fontId="35" fillId="0" borderId="0" xfId="5" applyFont="1" applyAlignment="1">
      <alignment horizontal="left"/>
    </xf>
    <xf numFmtId="0" fontId="20" fillId="0" borderId="0" xfId="0" applyFont="1" applyAlignment="1">
      <alignment vertical="top" wrapText="1"/>
    </xf>
    <xf numFmtId="0" fontId="20" fillId="0" borderId="2" xfId="0" applyFont="1" applyBorder="1" applyAlignment="1">
      <alignment vertical="center"/>
    </xf>
    <xf numFmtId="0" fontId="20" fillId="0" borderId="2" xfId="0" applyFont="1" applyBorder="1" applyAlignment="1">
      <alignment horizontal="center" vertical="center"/>
    </xf>
    <xf numFmtId="0" fontId="20" fillId="0" borderId="2" xfId="0" applyFont="1" applyBorder="1" applyAlignment="1">
      <alignment vertical="center" wrapText="1"/>
    </xf>
    <xf numFmtId="0" fontId="22" fillId="5" borderId="3" xfId="0" applyFont="1" applyFill="1" applyBorder="1" applyAlignment="1">
      <alignment horizontal="center" vertical="center" wrapText="1"/>
    </xf>
    <xf numFmtId="0" fontId="22" fillId="5" borderId="45" xfId="0" applyFont="1" applyFill="1" applyBorder="1" applyAlignment="1">
      <alignment horizontal="center" vertical="center" wrapText="1"/>
    </xf>
    <xf numFmtId="3" fontId="20" fillId="0" borderId="2" xfId="7" applyNumberFormat="1" applyFont="1" applyBorder="1" applyAlignment="1">
      <alignment horizontal="center" vertical="center"/>
    </xf>
    <xf numFmtId="0" fontId="20" fillId="0" borderId="2" xfId="0" applyFont="1" applyBorder="1" applyAlignment="1">
      <alignment horizontal="left" vertical="center"/>
    </xf>
    <xf numFmtId="1" fontId="20" fillId="0" borderId="3" xfId="0" applyNumberFormat="1" applyFont="1" applyBorder="1" applyAlignment="1">
      <alignment horizontal="center" vertical="center" wrapText="1"/>
    </xf>
    <xf numFmtId="1" fontId="20" fillId="0" borderId="3" xfId="7" applyNumberFormat="1" applyFont="1" applyBorder="1" applyAlignment="1">
      <alignment horizontal="center" vertical="center"/>
    </xf>
    <xf numFmtId="0" fontId="20" fillId="0" borderId="2" xfId="3" applyFont="1" applyFill="1" applyBorder="1" applyAlignment="1">
      <alignment horizontal="center" vertical="center" wrapText="1"/>
    </xf>
    <xf numFmtId="0" fontId="20" fillId="0" borderId="34" xfId="0" applyFont="1" applyBorder="1" applyAlignment="1">
      <alignment horizontal="center" vertical="center" wrapText="1"/>
    </xf>
    <xf numFmtId="167" fontId="20" fillId="0" borderId="34" xfId="0" applyNumberFormat="1" applyFont="1" applyBorder="1" applyAlignment="1">
      <alignment horizontal="center" vertical="center"/>
    </xf>
    <xf numFmtId="0" fontId="20" fillId="4" borderId="31" xfId="0" applyFont="1" applyFill="1" applyBorder="1" applyAlignment="1">
      <alignment horizontal="center" vertical="center" wrapText="1"/>
    </xf>
    <xf numFmtId="167" fontId="20" fillId="4" borderId="31" xfId="0" applyNumberFormat="1" applyFont="1" applyFill="1" applyBorder="1" applyAlignment="1">
      <alignment horizontal="center" vertical="center"/>
    </xf>
    <xf numFmtId="0" fontId="20" fillId="10" borderId="31" xfId="0" applyFont="1" applyFill="1" applyBorder="1" applyAlignment="1">
      <alignment horizontal="center" vertical="center" wrapText="1"/>
    </xf>
    <xf numFmtId="167" fontId="20" fillId="10" borderId="31" xfId="0" applyNumberFormat="1" applyFont="1" applyFill="1" applyBorder="1" applyAlignment="1">
      <alignment horizontal="center" vertical="center"/>
    </xf>
    <xf numFmtId="0" fontId="20" fillId="25" borderId="31" xfId="0" applyFont="1" applyFill="1" applyBorder="1" applyAlignment="1">
      <alignment horizontal="center" vertical="center" wrapText="1"/>
    </xf>
    <xf numFmtId="167" fontId="20" fillId="25" borderId="31" xfId="0" applyNumberFormat="1" applyFont="1" applyFill="1" applyBorder="1" applyAlignment="1">
      <alignment horizontal="center" vertical="center"/>
    </xf>
    <xf numFmtId="167" fontId="20" fillId="0" borderId="31" xfId="0" applyNumberFormat="1" applyFont="1" applyBorder="1" applyAlignment="1">
      <alignment horizontal="center" vertical="center"/>
    </xf>
    <xf numFmtId="0" fontId="20" fillId="6" borderId="31" xfId="0" applyFont="1" applyFill="1" applyBorder="1" applyAlignment="1">
      <alignment horizontal="center" vertical="center" wrapText="1"/>
    </xf>
    <xf numFmtId="167" fontId="20" fillId="6" borderId="31" xfId="0" applyNumberFormat="1" applyFont="1" applyFill="1" applyBorder="1" applyAlignment="1">
      <alignment horizontal="center" vertical="center"/>
    </xf>
    <xf numFmtId="2" fontId="20" fillId="0" borderId="31" xfId="0" applyNumberFormat="1" applyFont="1" applyBorder="1" applyAlignment="1">
      <alignment horizontal="center" vertical="center"/>
    </xf>
    <xf numFmtId="2" fontId="20" fillId="6" borderId="31" xfId="0" applyNumberFormat="1" applyFont="1" applyFill="1" applyBorder="1" applyAlignment="1">
      <alignment horizontal="center" vertical="center"/>
    </xf>
    <xf numFmtId="0" fontId="22" fillId="5" borderId="25" xfId="0" applyFont="1" applyFill="1" applyBorder="1" applyAlignment="1">
      <alignment horizontal="center" vertical="center" wrapText="1"/>
    </xf>
    <xf numFmtId="0" fontId="20" fillId="0" borderId="45" xfId="0" applyFont="1" applyBorder="1" applyAlignment="1">
      <alignment horizontal="center" vertical="center" wrapText="1"/>
    </xf>
    <xf numFmtId="0" fontId="20" fillId="19" borderId="0" xfId="0" applyFont="1" applyFill="1" applyAlignment="1">
      <alignment vertical="center"/>
    </xf>
    <xf numFmtId="0" fontId="20" fillId="19" borderId="17" xfId="0" applyFont="1" applyFill="1" applyBorder="1" applyAlignment="1">
      <alignment vertical="center"/>
    </xf>
    <xf numFmtId="0" fontId="13" fillId="0" borderId="0" xfId="0" applyFont="1" applyAlignment="1">
      <alignment wrapText="1"/>
    </xf>
    <xf numFmtId="0" fontId="20" fillId="0" borderId="0" xfId="0" applyFont="1" applyAlignment="1">
      <alignment vertical="center"/>
    </xf>
    <xf numFmtId="0" fontId="20" fillId="0" borderId="0" xfId="0" applyFont="1" applyAlignment="1">
      <alignment vertical="center" wrapText="1"/>
    </xf>
    <xf numFmtId="0" fontId="13" fillId="0" borderId="2" xfId="0" applyFont="1" applyBorder="1" applyAlignment="1">
      <alignment vertical="center"/>
    </xf>
    <xf numFmtId="0" fontId="13" fillId="0" borderId="2" xfId="0" applyFont="1" applyBorder="1" applyAlignment="1">
      <alignment horizontal="center" vertical="center"/>
    </xf>
    <xf numFmtId="0" fontId="13" fillId="0" borderId="0" xfId="0" applyFont="1" applyAlignment="1">
      <alignment horizontal="center"/>
    </xf>
    <xf numFmtId="0" fontId="20" fillId="0" borderId="31" xfId="0" applyFont="1" applyBorder="1" applyAlignment="1">
      <alignment horizontal="center" vertical="center"/>
    </xf>
    <xf numFmtId="10" fontId="20" fillId="0" borderId="31" xfId="2" applyNumberFormat="1" applyFont="1" applyFill="1" applyBorder="1" applyAlignment="1">
      <alignment horizontal="center" vertical="center" wrapText="1"/>
    </xf>
    <xf numFmtId="165" fontId="20" fillId="0" borderId="31" xfId="0" applyNumberFormat="1" applyFont="1" applyBorder="1" applyAlignment="1">
      <alignment horizontal="center" vertical="center"/>
    </xf>
    <xf numFmtId="0" fontId="20" fillId="0" borderId="31" xfId="0" applyFont="1" applyBorder="1" applyAlignment="1">
      <alignment vertical="center" wrapText="1"/>
    </xf>
    <xf numFmtId="0" fontId="22" fillId="5" borderId="2" xfId="0" applyFont="1" applyFill="1" applyBorder="1" applyAlignment="1">
      <alignment horizontal="center" vertical="center" wrapText="1"/>
    </xf>
    <xf numFmtId="2" fontId="20" fillId="0" borderId="2" xfId="2" applyNumberFormat="1" applyFont="1" applyBorder="1" applyAlignment="1">
      <alignment horizontal="center" vertical="center" wrapText="1"/>
    </xf>
    <xf numFmtId="1" fontId="20" fillId="0" borderId="2" xfId="2" applyNumberFormat="1" applyFont="1" applyBorder="1" applyAlignment="1">
      <alignment horizontal="center" vertical="center" wrapText="1"/>
    </xf>
    <xf numFmtId="3" fontId="20" fillId="0" borderId="2" xfId="0" applyNumberFormat="1" applyFont="1" applyBorder="1" applyAlignment="1">
      <alignment horizontal="center" vertical="center" wrapText="1"/>
    </xf>
    <xf numFmtId="167" fontId="20" fillId="0" borderId="2" xfId="0" applyNumberFormat="1" applyFont="1" applyBorder="1" applyAlignment="1">
      <alignment horizontal="center" vertical="center" wrapText="1"/>
    </xf>
    <xf numFmtId="2" fontId="20" fillId="0" borderId="2" xfId="0" applyNumberFormat="1" applyFont="1" applyBorder="1" applyAlignment="1">
      <alignment horizontal="center" vertical="center" wrapText="1"/>
    </xf>
    <xf numFmtId="1" fontId="20" fillId="0" borderId="2" xfId="0" applyNumberFormat="1" applyFont="1" applyBorder="1" applyAlignment="1">
      <alignment horizontal="center" vertical="center" wrapText="1"/>
    </xf>
    <xf numFmtId="168" fontId="20" fillId="0" borderId="39" xfId="6" applyNumberFormat="1" applyFont="1" applyBorder="1" applyAlignment="1">
      <alignment horizontal="center" vertical="center" wrapText="1"/>
    </xf>
    <xf numFmtId="4" fontId="20" fillId="0" borderId="39" xfId="6" applyNumberFormat="1" applyFont="1" applyBorder="1" applyAlignment="1">
      <alignment horizontal="center" vertical="center" wrapText="1"/>
    </xf>
    <xf numFmtId="2" fontId="20" fillId="0" borderId="39" xfId="6" applyNumberFormat="1" applyFont="1" applyBorder="1" applyAlignment="1">
      <alignment horizontal="center" vertical="center" wrapText="1"/>
    </xf>
    <xf numFmtId="0" fontId="20" fillId="0" borderId="2" xfId="0" applyFont="1" applyBorder="1" applyAlignment="1">
      <alignment horizontal="center" vertical="center" wrapText="1"/>
    </xf>
    <xf numFmtId="168" fontId="20" fillId="0" borderId="0" xfId="6" applyNumberFormat="1" applyFont="1" applyBorder="1" applyAlignment="1">
      <alignment horizontal="center" vertical="center" wrapText="1"/>
    </xf>
    <xf numFmtId="4" fontId="20" fillId="0" borderId="0" xfId="6" applyNumberFormat="1" applyFont="1" applyBorder="1" applyAlignment="1">
      <alignment horizontal="center" vertical="center" wrapText="1"/>
    </xf>
    <xf numFmtId="2" fontId="20" fillId="0" borderId="0" xfId="6" applyNumberFormat="1" applyFont="1" applyBorder="1" applyAlignment="1">
      <alignment horizontal="center" vertical="center" wrapText="1"/>
    </xf>
    <xf numFmtId="0" fontId="20" fillId="0" borderId="0" xfId="0" applyFont="1" applyAlignment="1">
      <alignment horizontal="center" vertical="center" wrapText="1"/>
    </xf>
    <xf numFmtId="168" fontId="22" fillId="0" borderId="2" xfId="6" applyNumberFormat="1" applyFont="1" applyFill="1" applyBorder="1" applyAlignment="1">
      <alignment horizontal="center" vertical="center" wrapText="1"/>
    </xf>
    <xf numFmtId="4" fontId="20" fillId="0" borderId="2" xfId="6" applyNumberFormat="1" applyFont="1" applyFill="1" applyBorder="1" applyAlignment="1">
      <alignment horizontal="center" vertical="center" wrapText="1"/>
    </xf>
    <xf numFmtId="2" fontId="20" fillId="0" borderId="2" xfId="6" applyNumberFormat="1" applyFont="1" applyFill="1" applyBorder="1" applyAlignment="1">
      <alignment horizontal="center" vertical="center" wrapText="1"/>
    </xf>
    <xf numFmtId="2" fontId="22" fillId="0" borderId="2" xfId="6" applyNumberFormat="1" applyFont="1" applyFill="1" applyBorder="1" applyAlignment="1">
      <alignment horizontal="center" vertical="center"/>
    </xf>
    <xf numFmtId="168" fontId="22" fillId="0" borderId="0" xfId="6" applyNumberFormat="1" applyFont="1" applyBorder="1" applyAlignment="1">
      <alignment horizontal="center" vertical="center" wrapText="1"/>
    </xf>
    <xf numFmtId="1" fontId="20" fillId="0" borderId="0" xfId="6" applyNumberFormat="1" applyFont="1" applyBorder="1" applyAlignment="1">
      <alignment horizontal="center" vertical="center" wrapText="1"/>
    </xf>
    <xf numFmtId="2" fontId="20" fillId="0" borderId="0" xfId="6" applyNumberFormat="1" applyFont="1" applyFill="1" applyBorder="1" applyAlignment="1">
      <alignment horizontal="center" vertical="center" wrapText="1"/>
    </xf>
    <xf numFmtId="3" fontId="20" fillId="0" borderId="0" xfId="6" applyNumberFormat="1" applyFont="1" applyBorder="1" applyAlignment="1">
      <alignment horizontal="center" vertical="center" wrapText="1"/>
    </xf>
    <xf numFmtId="2" fontId="20" fillId="0" borderId="0" xfId="6" applyNumberFormat="1" applyFont="1" applyBorder="1" applyAlignment="1">
      <alignment horizontal="center" vertical="top"/>
    </xf>
    <xf numFmtId="3" fontId="20" fillId="0" borderId="0" xfId="6" applyNumberFormat="1" applyFont="1" applyBorder="1" applyAlignment="1">
      <alignment horizontal="center" vertical="center"/>
    </xf>
    <xf numFmtId="165" fontId="20" fillId="0" borderId="0" xfId="6" applyNumberFormat="1" applyFont="1" applyBorder="1" applyAlignment="1">
      <alignment horizontal="center" vertical="center" wrapText="1"/>
    </xf>
    <xf numFmtId="167" fontId="20" fillId="0" borderId="0" xfId="6" applyNumberFormat="1" applyFont="1" applyBorder="1" applyAlignment="1">
      <alignment horizontal="center" vertical="center" wrapText="1"/>
    </xf>
    <xf numFmtId="171" fontId="20" fillId="0" borderId="0" xfId="6" applyNumberFormat="1" applyFont="1" applyBorder="1" applyAlignment="1">
      <alignment horizontal="center" vertical="center" wrapText="1"/>
    </xf>
    <xf numFmtId="1" fontId="22" fillId="16" borderId="2" xfId="3" applyNumberFormat="1" applyFont="1" applyFill="1" applyBorder="1" applyAlignment="1">
      <alignment horizontal="center" vertical="center" wrapText="1"/>
    </xf>
    <xf numFmtId="168" fontId="22" fillId="16" borderId="2" xfId="6" applyNumberFormat="1" applyFont="1" applyFill="1" applyBorder="1" applyAlignment="1">
      <alignment horizontal="center" vertical="center" wrapText="1"/>
    </xf>
    <xf numFmtId="3" fontId="22" fillId="16" borderId="2" xfId="0" applyNumberFormat="1" applyFont="1" applyFill="1" applyBorder="1" applyAlignment="1">
      <alignment horizontal="center" wrapText="1"/>
    </xf>
    <xf numFmtId="4" fontId="22" fillId="16" borderId="2" xfId="6" applyNumberFormat="1" applyFont="1" applyFill="1" applyBorder="1" applyAlignment="1">
      <alignment horizontal="center" vertical="center" wrapText="1"/>
    </xf>
    <xf numFmtId="2" fontId="22" fillId="16" borderId="2" xfId="6" applyNumberFormat="1" applyFont="1" applyFill="1" applyBorder="1" applyAlignment="1">
      <alignment horizontal="center" vertical="center" wrapText="1"/>
    </xf>
    <xf numFmtId="0" fontId="22" fillId="16" borderId="2" xfId="0" applyFont="1" applyFill="1" applyBorder="1" applyAlignment="1">
      <alignment horizontal="center" vertical="center" wrapText="1"/>
    </xf>
    <xf numFmtId="1" fontId="20" fillId="0" borderId="2" xfId="3" applyNumberFormat="1" applyFont="1" applyBorder="1" applyAlignment="1">
      <alignment horizontal="center" vertical="center" wrapText="1"/>
    </xf>
    <xf numFmtId="165" fontId="20" fillId="17" borderId="2" xfId="6" applyNumberFormat="1" applyFont="1" applyFill="1" applyBorder="1" applyAlignment="1">
      <alignment horizontal="center" vertical="center" wrapText="1"/>
    </xf>
    <xf numFmtId="3" fontId="20" fillId="0" borderId="2" xfId="0" applyNumberFormat="1" applyFont="1" applyBorder="1" applyAlignment="1">
      <alignment horizontal="center"/>
    </xf>
    <xf numFmtId="3" fontId="20" fillId="0" borderId="2" xfId="6" applyNumberFormat="1" applyFont="1" applyBorder="1" applyAlignment="1">
      <alignment horizontal="center" vertical="center" wrapText="1"/>
    </xf>
    <xf numFmtId="3" fontId="20" fillId="0" borderId="2" xfId="6" applyNumberFormat="1" applyFont="1" applyFill="1" applyBorder="1" applyAlignment="1">
      <alignment horizontal="center" vertical="center" wrapText="1"/>
    </xf>
    <xf numFmtId="1" fontId="20" fillId="19" borderId="2" xfId="6" applyNumberFormat="1" applyFont="1" applyFill="1" applyBorder="1" applyAlignment="1">
      <alignment horizontal="center" vertical="center"/>
    </xf>
    <xf numFmtId="2" fontId="20" fillId="19" borderId="2" xfId="0" applyNumberFormat="1" applyFont="1" applyFill="1" applyBorder="1" applyAlignment="1">
      <alignment horizontal="center"/>
    </xf>
    <xf numFmtId="2" fontId="20" fillId="20" borderId="2" xfId="0" applyNumberFormat="1" applyFont="1" applyFill="1" applyBorder="1" applyAlignment="1">
      <alignment horizontal="center" vertical="center"/>
    </xf>
    <xf numFmtId="1" fontId="20" fillId="0" borderId="0" xfId="3" applyNumberFormat="1" applyFont="1" applyBorder="1" applyAlignment="1">
      <alignment horizontal="center" vertical="center" wrapText="1"/>
    </xf>
    <xf numFmtId="3" fontId="20" fillId="0" borderId="0" xfId="0" applyNumberFormat="1" applyFont="1" applyAlignment="1">
      <alignment horizontal="center"/>
    </xf>
    <xf numFmtId="2" fontId="20" fillId="0" borderId="0" xfId="6" applyNumberFormat="1" applyFont="1" applyBorder="1" applyAlignment="1">
      <alignment horizontal="center" vertical="center"/>
    </xf>
    <xf numFmtId="2" fontId="20" fillId="0" borderId="0" xfId="0" applyNumberFormat="1" applyFont="1" applyAlignment="1">
      <alignment horizontal="center"/>
    </xf>
    <xf numFmtId="0" fontId="20" fillId="0" borderId="0" xfId="0" applyFont="1" applyAlignment="1">
      <alignment horizontal="center" vertical="center"/>
    </xf>
    <xf numFmtId="1" fontId="20" fillId="0" borderId="2" xfId="6" applyNumberFormat="1" applyFont="1" applyFill="1" applyBorder="1" applyAlignment="1">
      <alignment horizontal="center" vertical="center"/>
    </xf>
    <xf numFmtId="2" fontId="20" fillId="0" borderId="2" xfId="0" applyNumberFormat="1" applyFont="1" applyBorder="1" applyAlignment="1">
      <alignment horizontal="center"/>
    </xf>
    <xf numFmtId="2" fontId="20" fillId="19" borderId="2" xfId="0" applyNumberFormat="1" applyFont="1" applyFill="1" applyBorder="1" applyAlignment="1">
      <alignment horizontal="center" vertical="center"/>
    </xf>
    <xf numFmtId="2" fontId="22" fillId="16" borderId="2" xfId="0" applyNumberFormat="1" applyFont="1" applyFill="1" applyBorder="1" applyAlignment="1">
      <alignment horizontal="center" vertical="center" wrapText="1"/>
    </xf>
    <xf numFmtId="3" fontId="20" fillId="18" borderId="2" xfId="3" applyNumberFormat="1" applyFont="1" applyFill="1" applyBorder="1" applyAlignment="1">
      <alignment horizontal="center" vertical="center" wrapText="1"/>
    </xf>
    <xf numFmtId="168" fontId="20" fillId="18" borderId="2" xfId="6" applyNumberFormat="1" applyFont="1" applyFill="1" applyBorder="1" applyAlignment="1">
      <alignment horizontal="center" vertical="center" wrapText="1"/>
    </xf>
    <xf numFmtId="3" fontId="20" fillId="0" borderId="2" xfId="0" applyNumberFormat="1" applyFont="1" applyBorder="1" applyAlignment="1">
      <alignment horizontal="center" vertical="center"/>
    </xf>
    <xf numFmtId="4" fontId="20" fillId="0" borderId="2" xfId="6" applyNumberFormat="1" applyFont="1" applyBorder="1" applyAlignment="1">
      <alignment horizontal="center" vertical="center" wrapText="1"/>
    </xf>
    <xf numFmtId="1" fontId="20" fillId="18" borderId="2" xfId="6" applyNumberFormat="1" applyFont="1" applyFill="1" applyBorder="1" applyAlignment="1">
      <alignment horizontal="center" vertical="center" wrapText="1"/>
    </xf>
    <xf numFmtId="2" fontId="20" fillId="18" borderId="2" xfId="6" applyNumberFormat="1" applyFont="1" applyFill="1" applyBorder="1" applyAlignment="1">
      <alignment horizontal="center" vertical="center" wrapText="1"/>
    </xf>
    <xf numFmtId="1" fontId="20" fillId="0" borderId="2" xfId="0" applyNumberFormat="1" applyFont="1" applyBorder="1" applyAlignment="1">
      <alignment horizontal="center" vertical="center"/>
    </xf>
    <xf numFmtId="3" fontId="20" fillId="18" borderId="2" xfId="0" applyNumberFormat="1" applyFont="1" applyFill="1" applyBorder="1" applyAlignment="1">
      <alignment horizontal="center" vertical="center"/>
    </xf>
    <xf numFmtId="0" fontId="20" fillId="18" borderId="2" xfId="0" applyFont="1" applyFill="1" applyBorder="1" applyAlignment="1">
      <alignment horizontal="center" vertical="center" wrapText="1"/>
    </xf>
    <xf numFmtId="1" fontId="20" fillId="18" borderId="2" xfId="0" applyNumberFormat="1" applyFont="1" applyFill="1" applyBorder="1" applyAlignment="1">
      <alignment horizontal="center" vertical="center"/>
    </xf>
    <xf numFmtId="3" fontId="20" fillId="19" borderId="2" xfId="3" applyNumberFormat="1" applyFont="1" applyFill="1" applyBorder="1" applyAlignment="1">
      <alignment horizontal="center" vertical="center" wrapText="1"/>
    </xf>
    <xf numFmtId="168" fontId="20" fillId="19" borderId="2" xfId="6" applyNumberFormat="1" applyFont="1" applyFill="1" applyBorder="1" applyAlignment="1">
      <alignment horizontal="center" vertical="center" wrapText="1"/>
    </xf>
    <xf numFmtId="1" fontId="20" fillId="19" borderId="2" xfId="6" applyNumberFormat="1" applyFont="1" applyFill="1" applyBorder="1" applyAlignment="1">
      <alignment horizontal="center" vertical="center" wrapText="1"/>
    </xf>
    <xf numFmtId="2" fontId="20" fillId="19" borderId="2" xfId="6" applyNumberFormat="1" applyFont="1" applyFill="1" applyBorder="1" applyAlignment="1">
      <alignment horizontal="center" vertical="center" wrapText="1"/>
    </xf>
    <xf numFmtId="3" fontId="20" fillId="19" borderId="2" xfId="0" applyNumberFormat="1" applyFont="1" applyFill="1" applyBorder="1" applyAlignment="1">
      <alignment horizontal="center" vertical="center"/>
    </xf>
    <xf numFmtId="0" fontId="20" fillId="19" borderId="2" xfId="0" applyFont="1" applyFill="1" applyBorder="1" applyAlignment="1">
      <alignment horizontal="center" vertical="center" wrapText="1"/>
    </xf>
    <xf numFmtId="1" fontId="20" fillId="19" borderId="2" xfId="0" applyNumberFormat="1" applyFont="1" applyFill="1" applyBorder="1" applyAlignment="1">
      <alignment horizontal="center" vertical="center"/>
    </xf>
    <xf numFmtId="2" fontId="20" fillId="0" borderId="2" xfId="6" applyNumberFormat="1" applyFont="1" applyBorder="1" applyAlignment="1">
      <alignment horizontal="center" vertical="center" wrapText="1"/>
    </xf>
    <xf numFmtId="2" fontId="20" fillId="0" borderId="2" xfId="6" applyNumberFormat="1" applyFont="1" applyBorder="1" applyAlignment="1">
      <alignment horizontal="center" vertical="center"/>
    </xf>
    <xf numFmtId="168" fontId="20" fillId="0" borderId="2" xfId="6" applyNumberFormat="1" applyFont="1" applyBorder="1" applyAlignment="1">
      <alignment horizontal="center" vertical="center" wrapText="1"/>
    </xf>
    <xf numFmtId="165" fontId="20" fillId="0" borderId="2" xfId="0" applyNumberFormat="1" applyFont="1" applyBorder="1" applyAlignment="1">
      <alignment horizontal="center" vertical="center"/>
    </xf>
    <xf numFmtId="171" fontId="20" fillId="0" borderId="2" xfId="0" applyNumberFormat="1" applyFont="1" applyBorder="1" applyAlignment="1">
      <alignment horizontal="center" vertical="center"/>
    </xf>
    <xf numFmtId="172" fontId="20" fillId="0" borderId="2" xfId="0" applyNumberFormat="1" applyFont="1" applyBorder="1" applyAlignment="1">
      <alignment horizontal="center" vertical="center"/>
    </xf>
    <xf numFmtId="2" fontId="20" fillId="0" borderId="2" xfId="0" applyNumberFormat="1" applyFont="1" applyBorder="1" applyAlignment="1">
      <alignment horizontal="center" vertical="center"/>
    </xf>
    <xf numFmtId="0" fontId="20" fillId="0" borderId="0" xfId="0" applyFont="1" applyAlignment="1">
      <alignment horizontal="center" vertical="top" wrapText="1"/>
    </xf>
    <xf numFmtId="0" fontId="22" fillId="0" borderId="0" xfId="0" applyFont="1" applyAlignment="1">
      <alignment wrapText="1"/>
    </xf>
    <xf numFmtId="0" fontId="22" fillId="0" borderId="0" xfId="0" applyFont="1" applyAlignment="1">
      <alignment horizontal="center"/>
    </xf>
    <xf numFmtId="2" fontId="13" fillId="0" borderId="45" xfId="0" applyNumberFormat="1" applyFont="1" applyBorder="1" applyAlignment="1">
      <alignment horizontal="center" vertical="center" wrapText="1"/>
    </xf>
    <xf numFmtId="0" fontId="13" fillId="0" borderId="45" xfId="0" applyFont="1" applyBorder="1" applyAlignment="1">
      <alignment horizontal="center" vertical="center" wrapText="1"/>
    </xf>
    <xf numFmtId="1" fontId="13" fillId="0" borderId="45" xfId="0" applyNumberFormat="1" applyFont="1" applyBorder="1" applyAlignment="1">
      <alignment horizontal="center" vertical="center" wrapText="1"/>
    </xf>
    <xf numFmtId="0" fontId="20" fillId="0" borderId="11" xfId="0" applyFont="1" applyBorder="1" applyAlignment="1">
      <alignment vertical="center" wrapText="1"/>
    </xf>
    <xf numFmtId="0" fontId="20" fillId="0" borderId="11" xfId="0" applyFont="1" applyBorder="1" applyAlignment="1">
      <alignment horizontal="right" vertical="center"/>
    </xf>
    <xf numFmtId="0" fontId="20" fillId="0" borderId="12" xfId="0" applyFont="1" applyBorder="1" applyAlignment="1">
      <alignment vertical="center"/>
    </xf>
    <xf numFmtId="0" fontId="20" fillId="0" borderId="14" xfId="0" applyFont="1" applyBorder="1" applyAlignment="1">
      <alignment vertical="center" wrapText="1"/>
    </xf>
    <xf numFmtId="0" fontId="20" fillId="0" borderId="0" xfId="0" applyFont="1" applyAlignment="1">
      <alignment horizontal="left" vertical="center"/>
    </xf>
    <xf numFmtId="0" fontId="20" fillId="0" borderId="0" xfId="0" applyFont="1" applyAlignment="1">
      <alignment horizontal="left"/>
    </xf>
    <xf numFmtId="0" fontId="17" fillId="0" borderId="19" xfId="0" applyFont="1" applyBorder="1" applyAlignment="1">
      <alignment horizontal="left" vertical="center"/>
    </xf>
    <xf numFmtId="0" fontId="12" fillId="7" borderId="3" xfId="1" applyFont="1" applyFill="1" applyBorder="1" applyAlignment="1">
      <alignment horizontal="center" vertical="center" wrapText="1"/>
    </xf>
    <xf numFmtId="0" fontId="12" fillId="7" borderId="10" xfId="1" applyFont="1" applyFill="1" applyBorder="1" applyAlignment="1">
      <alignment horizontal="center" vertical="center" wrapText="1"/>
    </xf>
    <xf numFmtId="0" fontId="5" fillId="0" borderId="12" xfId="0" applyFont="1" applyBorder="1" applyAlignment="1">
      <alignment horizontal="left" vertical="center" wrapText="1"/>
    </xf>
    <xf numFmtId="0" fontId="5" fillId="0" borderId="15" xfId="0" applyFont="1" applyBorder="1" applyAlignment="1">
      <alignment horizontal="left" vertical="center" wrapText="1"/>
    </xf>
    <xf numFmtId="0" fontId="5" fillId="0" borderId="18" xfId="0" applyFont="1" applyBorder="1" applyAlignment="1">
      <alignment horizontal="left" vertical="center" wrapText="1"/>
    </xf>
    <xf numFmtId="0" fontId="5" fillId="0" borderId="0" xfId="0" applyFont="1" applyAlignment="1">
      <alignment vertical="center" wrapText="1"/>
    </xf>
    <xf numFmtId="0" fontId="12" fillId="7" borderId="0" xfId="0" applyFont="1" applyFill="1" applyAlignment="1">
      <alignment horizontal="center" vertical="center"/>
    </xf>
    <xf numFmtId="0" fontId="5" fillId="0" borderId="0" xfId="0" applyFont="1" applyAlignment="1">
      <alignment horizontal="left"/>
    </xf>
    <xf numFmtId="0" fontId="1" fillId="0" borderId="0" xfId="0" applyFont="1" applyAlignment="1">
      <alignment horizontal="left" vertical="center" wrapText="1"/>
    </xf>
    <xf numFmtId="0" fontId="12" fillId="7" borderId="3" xfId="0" applyFont="1" applyFill="1" applyBorder="1" applyAlignment="1">
      <alignment horizontal="center" vertical="center"/>
    </xf>
    <xf numFmtId="0" fontId="12" fillId="7" borderId="10" xfId="0" applyFont="1" applyFill="1" applyBorder="1" applyAlignment="1">
      <alignment horizontal="center" vertical="center"/>
    </xf>
    <xf numFmtId="165" fontId="44" fillId="0" borderId="46" xfId="0" applyNumberFormat="1" applyFont="1" applyBorder="1" applyAlignment="1">
      <alignment horizontal="center" vertical="center" wrapText="1"/>
    </xf>
    <xf numFmtId="165" fontId="44" fillId="0" borderId="47" xfId="0" applyNumberFormat="1" applyFont="1" applyBorder="1" applyAlignment="1">
      <alignment horizontal="center" vertical="center" wrapText="1"/>
    </xf>
    <xf numFmtId="165" fontId="44" fillId="0" borderId="48" xfId="0" applyNumberFormat="1" applyFont="1" applyBorder="1" applyAlignment="1">
      <alignment horizontal="center" vertical="center" wrapText="1"/>
    </xf>
    <xf numFmtId="0" fontId="20" fillId="0" borderId="31" xfId="0" applyFont="1" applyBorder="1" applyAlignment="1">
      <alignment horizontal="center" vertical="center" wrapText="1"/>
    </xf>
    <xf numFmtId="0" fontId="20" fillId="6" borderId="31" xfId="0" applyFont="1" applyFill="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7" fillId="0" borderId="31" xfId="5" applyBorder="1" applyAlignment="1">
      <alignment horizontal="center" vertical="center" wrapText="1"/>
    </xf>
    <xf numFmtId="0" fontId="20" fillId="0" borderId="45" xfId="0" applyFont="1" applyBorder="1" applyAlignment="1">
      <alignment horizontal="center" vertical="center"/>
    </xf>
    <xf numFmtId="0" fontId="12" fillId="7" borderId="36" xfId="0" applyFont="1" applyFill="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7" fillId="0" borderId="32" xfId="5" applyBorder="1" applyAlignment="1">
      <alignment horizontal="center" vertical="center" wrapText="1"/>
    </xf>
    <xf numFmtId="0" fontId="7" fillId="0" borderId="33" xfId="5" applyBorder="1" applyAlignment="1">
      <alignment horizontal="center" vertical="center" wrapText="1"/>
    </xf>
    <xf numFmtId="0" fontId="45" fillId="0" borderId="45" xfId="0" applyFont="1" applyBorder="1" applyAlignment="1">
      <alignment horizontal="center" vertical="center"/>
    </xf>
    <xf numFmtId="0" fontId="5" fillId="0" borderId="31" xfId="0" applyFont="1" applyBorder="1" applyAlignment="1">
      <alignment horizontal="center" vertical="center"/>
    </xf>
    <xf numFmtId="0" fontId="20" fillId="0" borderId="31" xfId="0" applyFont="1" applyBorder="1" applyAlignment="1">
      <alignment horizontal="center" vertical="center"/>
    </xf>
    <xf numFmtId="0" fontId="20" fillId="0" borderId="34" xfId="0" applyFont="1" applyBorder="1" applyAlignment="1">
      <alignment horizontal="center" vertical="center"/>
    </xf>
    <xf numFmtId="0" fontId="5" fillId="0" borderId="34" xfId="0" applyFont="1" applyBorder="1" applyAlignment="1">
      <alignment horizontal="center" vertical="center" wrapText="1"/>
    </xf>
    <xf numFmtId="0" fontId="20" fillId="0" borderId="34" xfId="0" applyFont="1" applyBorder="1" applyAlignment="1">
      <alignment horizontal="center" vertical="center" wrapText="1"/>
    </xf>
    <xf numFmtId="0" fontId="12" fillId="7" borderId="28" xfId="0" applyFont="1" applyFill="1" applyBorder="1" applyAlignment="1">
      <alignment horizontal="center" vertical="center" wrapText="1"/>
    </xf>
    <xf numFmtId="0" fontId="12" fillId="7" borderId="29" xfId="0" applyFont="1" applyFill="1" applyBorder="1" applyAlignment="1">
      <alignment horizontal="center" vertical="center" wrapText="1"/>
    </xf>
    <xf numFmtId="0" fontId="5" fillId="6" borderId="31" xfId="0" applyFont="1" applyFill="1" applyBorder="1" applyAlignment="1">
      <alignment horizontal="center" vertical="center" wrapText="1"/>
    </xf>
    <xf numFmtId="0" fontId="1" fillId="0" borderId="31" xfId="0" applyFont="1" applyBorder="1" applyAlignment="1">
      <alignment horizontal="center" vertical="center" wrapText="1"/>
    </xf>
    <xf numFmtId="0" fontId="25" fillId="22" borderId="2" xfId="0" applyFont="1" applyFill="1" applyBorder="1" applyAlignment="1">
      <alignment horizontal="center" vertical="center"/>
    </xf>
    <xf numFmtId="0" fontId="25" fillId="22" borderId="0" xfId="0" applyFont="1" applyFill="1" applyAlignment="1">
      <alignment horizontal="center" vertical="center"/>
    </xf>
    <xf numFmtId="0" fontId="12" fillId="7" borderId="19"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46" fillId="7" borderId="154" xfId="0" applyFont="1" applyFill="1" applyBorder="1" applyAlignment="1">
      <alignment horizontal="center" vertical="center" wrapText="1"/>
    </xf>
    <xf numFmtId="0" fontId="46" fillId="7" borderId="155"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43" xfId="0" applyFont="1" applyBorder="1" applyAlignment="1">
      <alignment horizontal="center" vertical="center"/>
    </xf>
    <xf numFmtId="0" fontId="5" fillId="0" borderId="144" xfId="0" applyFont="1" applyBorder="1" applyAlignment="1">
      <alignment horizontal="center" vertical="center"/>
    </xf>
    <xf numFmtId="0" fontId="20" fillId="0" borderId="21" xfId="0" applyFont="1" applyBorder="1" applyAlignment="1">
      <alignment horizontal="left" vertical="center" wrapText="1"/>
    </xf>
    <xf numFmtId="0" fontId="20" fillId="0" borderId="0" xfId="0" applyFont="1" applyAlignment="1">
      <alignment horizontal="left" vertical="center" wrapText="1"/>
    </xf>
    <xf numFmtId="0" fontId="1" fillId="0" borderId="2" xfId="0" applyFont="1" applyBorder="1" applyAlignment="1">
      <alignment horizontal="center" vertical="center"/>
    </xf>
    <xf numFmtId="0" fontId="20" fillId="0" borderId="0" xfId="0" applyFont="1" applyAlignment="1">
      <alignment horizontal="left" vertical="top" wrapText="1"/>
    </xf>
    <xf numFmtId="0" fontId="0" fillId="0" borderId="0" xfId="0" applyAlignment="1">
      <alignment horizontal="left" vertical="top" wrapText="1"/>
    </xf>
    <xf numFmtId="0" fontId="13" fillId="0" borderId="0" xfId="0" applyFont="1" applyAlignment="1">
      <alignment horizontal="left" vertical="top" wrapText="1"/>
    </xf>
    <xf numFmtId="0" fontId="20" fillId="0" borderId="45" xfId="0" applyFont="1" applyBorder="1" applyAlignment="1">
      <alignment horizontal="center" vertical="center" wrapText="1"/>
    </xf>
    <xf numFmtId="0" fontId="42" fillId="0" borderId="45" xfId="0" applyFont="1" applyBorder="1" applyAlignment="1">
      <alignment horizontal="center" vertical="center" wrapText="1"/>
    </xf>
    <xf numFmtId="0" fontId="41" fillId="0" borderId="45" xfId="0" applyFont="1" applyBorder="1" applyAlignment="1">
      <alignment horizontal="center" vertical="center"/>
    </xf>
    <xf numFmtId="0" fontId="20" fillId="24" borderId="45" xfId="0" applyFont="1" applyFill="1" applyBorder="1" applyAlignment="1">
      <alignment horizontal="center" vertical="center" wrapText="1"/>
    </xf>
    <xf numFmtId="0" fontId="0" fillId="0" borderId="2" xfId="0" applyBorder="1" applyAlignment="1">
      <alignment horizontal="center" vertical="center" wrapText="1"/>
    </xf>
    <xf numFmtId="0" fontId="12" fillId="7" borderId="2"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12" fillId="7" borderId="16" xfId="0" applyFont="1" applyFill="1" applyBorder="1" applyAlignment="1">
      <alignment horizontal="center" vertical="center" wrapText="1"/>
    </xf>
    <xf numFmtId="0" fontId="12" fillId="7" borderId="0" xfId="0" applyFont="1" applyFill="1" applyAlignment="1">
      <alignment horizontal="center" vertical="center" wrapText="1"/>
    </xf>
    <xf numFmtId="0" fontId="20" fillId="0" borderId="12" xfId="0" applyFont="1" applyBorder="1" applyAlignment="1">
      <alignment horizontal="center" vertical="center" wrapText="1"/>
    </xf>
    <xf numFmtId="0" fontId="20" fillId="0" borderId="94" xfId="0" applyFont="1" applyBorder="1" applyAlignment="1">
      <alignment horizontal="center" vertical="center" wrapText="1"/>
    </xf>
    <xf numFmtId="0" fontId="5" fillId="14" borderId="18" xfId="0" applyFont="1" applyFill="1" applyBorder="1" applyAlignment="1">
      <alignment horizontal="center" vertical="center" wrapText="1"/>
    </xf>
    <xf numFmtId="1" fontId="12" fillId="15" borderId="2" xfId="3" applyNumberFormat="1" applyFont="1" applyFill="1" applyBorder="1" applyAlignment="1">
      <alignment horizontal="center" vertical="center" wrapText="1"/>
    </xf>
    <xf numFmtId="1" fontId="48" fillId="0" borderId="2" xfId="3" applyNumberFormat="1" applyFont="1" applyBorder="1" applyAlignment="1">
      <alignment horizontal="center" vertical="center" wrapText="1"/>
    </xf>
    <xf numFmtId="0" fontId="12" fillId="7" borderId="30" xfId="0" applyFont="1" applyFill="1" applyBorder="1" applyAlignment="1">
      <alignment horizontal="center" vertical="center"/>
    </xf>
    <xf numFmtId="0" fontId="20" fillId="0" borderId="2" xfId="0" applyFont="1" applyBorder="1" applyAlignment="1">
      <alignment horizontal="center" vertical="center" wrapText="1"/>
    </xf>
    <xf numFmtId="0" fontId="22" fillId="16" borderId="3" xfId="0" applyFont="1" applyFill="1" applyBorder="1" applyAlignment="1">
      <alignment horizontal="center" vertical="center" wrapText="1"/>
    </xf>
    <xf numFmtId="0" fontId="22" fillId="16" borderId="11" xfId="0" applyFont="1" applyFill="1" applyBorder="1" applyAlignment="1">
      <alignment horizontal="center" vertical="center" wrapText="1"/>
    </xf>
    <xf numFmtId="0" fontId="22" fillId="0" borderId="2" xfId="0" applyFont="1" applyBorder="1" applyAlignment="1">
      <alignment horizontal="center" vertical="center" wrapText="1"/>
    </xf>
    <xf numFmtId="2" fontId="22" fillId="0" borderId="3" xfId="0" applyNumberFormat="1" applyFont="1" applyBorder="1" applyAlignment="1">
      <alignment horizontal="center" vertical="center" wrapText="1"/>
    </xf>
    <xf numFmtId="2" fontId="22" fillId="16" borderId="11" xfId="0" applyNumberFormat="1" applyFont="1" applyFill="1" applyBorder="1" applyAlignment="1">
      <alignment horizontal="center" vertical="center" wrapText="1"/>
    </xf>
    <xf numFmtId="0" fontId="20" fillId="0" borderId="15" xfId="0" applyFont="1" applyBorder="1" applyAlignment="1">
      <alignment horizontal="center" vertical="center" wrapText="1"/>
    </xf>
    <xf numFmtId="0" fontId="20" fillId="0" borderId="18" xfId="0" applyFont="1" applyBorder="1" applyAlignment="1">
      <alignment horizontal="center" vertical="center" wrapText="1"/>
    </xf>
    <xf numFmtId="2" fontId="22" fillId="16" borderId="3" xfId="0" applyNumberFormat="1" applyFont="1" applyFill="1" applyBorder="1" applyAlignment="1">
      <alignment horizontal="center" vertical="center" wrapText="1"/>
    </xf>
    <xf numFmtId="1" fontId="20" fillId="0" borderId="0" xfId="3" applyNumberFormat="1" applyFont="1" applyBorder="1" applyAlignment="1">
      <alignment horizontal="left" vertical="center" wrapText="1"/>
    </xf>
    <xf numFmtId="0" fontId="6" fillId="5"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1" fillId="0" borderId="15" xfId="0" applyFont="1" applyBorder="1" applyAlignment="1">
      <alignment horizontal="center" vertical="center" wrapText="1"/>
    </xf>
    <xf numFmtId="0" fontId="1" fillId="0" borderId="18" xfId="0" applyFont="1" applyBorder="1" applyAlignment="1">
      <alignment horizontal="center" vertical="center" wrapText="1"/>
    </xf>
    <xf numFmtId="0" fontId="49" fillId="12" borderId="0" xfId="0" applyFont="1" applyFill="1" applyAlignment="1">
      <alignment horizontal="center" vertical="center"/>
    </xf>
    <xf numFmtId="0" fontId="50" fillId="0" borderId="0" xfId="0" applyFont="1"/>
    <xf numFmtId="0" fontId="51" fillId="12" borderId="0" xfId="0" applyFont="1" applyFill="1" applyAlignment="1">
      <alignment horizontal="center" vertical="center"/>
    </xf>
    <xf numFmtId="0" fontId="13" fillId="0" borderId="45" xfId="0" applyFont="1" applyBorder="1" applyAlignment="1">
      <alignment horizontal="center" vertical="center" wrapText="1"/>
    </xf>
    <xf numFmtId="0" fontId="12" fillId="7" borderId="2" xfId="0" applyFont="1" applyFill="1" applyBorder="1" applyAlignment="1">
      <alignment horizontal="center" vertical="center"/>
    </xf>
    <xf numFmtId="2" fontId="5" fillId="0" borderId="12" xfId="0" applyNumberFormat="1" applyFont="1" applyBorder="1" applyAlignment="1">
      <alignment horizontal="center" vertical="center" wrapText="1"/>
    </xf>
    <xf numFmtId="2" fontId="5" fillId="0" borderId="94"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94" xfId="0" applyFont="1" applyBorder="1" applyAlignment="1">
      <alignment horizontal="center" vertical="center" wrapText="1"/>
    </xf>
    <xf numFmtId="0" fontId="5" fillId="0" borderId="93" xfId="0" applyFont="1" applyBorder="1" applyAlignment="1">
      <alignment horizontal="center" vertical="center"/>
    </xf>
    <xf numFmtId="0" fontId="5" fillId="0" borderId="12" xfId="0" applyFont="1" applyBorder="1" applyAlignment="1">
      <alignment horizontal="center" vertical="center" wrapText="1"/>
    </xf>
    <xf numFmtId="0" fontId="5" fillId="0" borderId="94" xfId="0" applyFont="1" applyBorder="1" applyAlignment="1">
      <alignment horizontal="center" vertical="center" wrapText="1"/>
    </xf>
    <xf numFmtId="0" fontId="5" fillId="6" borderId="2" xfId="0" applyFont="1" applyFill="1" applyBorder="1" applyAlignment="1">
      <alignment horizontal="left" vertical="center"/>
    </xf>
    <xf numFmtId="0" fontId="30" fillId="8" borderId="40" xfId="0" applyFont="1" applyFill="1" applyBorder="1" applyAlignment="1">
      <alignment horizontal="center"/>
    </xf>
    <xf numFmtId="0" fontId="30" fillId="8" borderId="41" xfId="0" applyFont="1" applyFill="1" applyBorder="1" applyAlignment="1">
      <alignment horizontal="center"/>
    </xf>
    <xf numFmtId="0" fontId="12" fillId="7" borderId="19" xfId="0" applyFont="1" applyFill="1" applyBorder="1" applyAlignment="1">
      <alignment horizontal="center" vertical="center"/>
    </xf>
    <xf numFmtId="0" fontId="22" fillId="5" borderId="37" xfId="0" applyFont="1" applyFill="1" applyBorder="1" applyAlignment="1">
      <alignment horizontal="center" vertical="center" wrapText="1"/>
    </xf>
    <xf numFmtId="0" fontId="22" fillId="5" borderId="38" xfId="0" applyFont="1" applyFill="1" applyBorder="1" applyAlignment="1">
      <alignment horizontal="center" vertical="center" wrapText="1"/>
    </xf>
    <xf numFmtId="0" fontId="9" fillId="7" borderId="0" xfId="0" applyFont="1" applyFill="1" applyAlignment="1">
      <alignment horizontal="center" vertical="center" wrapText="1"/>
    </xf>
    <xf numFmtId="0" fontId="0" fillId="0" borderId="0" xfId="0" applyAlignment="1">
      <alignment horizontal="center"/>
    </xf>
    <xf numFmtId="0" fontId="21" fillId="0" borderId="125" xfId="0" applyFont="1" applyBorder="1" applyAlignment="1">
      <alignment horizontal="center" vertical="center"/>
    </xf>
    <xf numFmtId="0" fontId="21" fillId="0" borderId="45" xfId="0" applyFont="1" applyBorder="1" applyAlignment="1">
      <alignment horizontal="center" vertical="center"/>
    </xf>
    <xf numFmtId="0" fontId="21" fillId="0" borderId="129" xfId="0" applyFont="1" applyBorder="1" applyAlignment="1">
      <alignment horizontal="center" vertical="center"/>
    </xf>
    <xf numFmtId="0" fontId="21" fillId="0" borderId="48" xfId="0" applyFont="1" applyBorder="1" applyAlignment="1">
      <alignment horizontal="center" vertical="center"/>
    </xf>
    <xf numFmtId="0" fontId="21" fillId="0" borderId="46" xfId="0" applyFont="1" applyBorder="1" applyAlignment="1">
      <alignment horizontal="center" vertical="center"/>
    </xf>
    <xf numFmtId="0" fontId="21" fillId="0" borderId="132" xfId="0" applyFont="1" applyBorder="1" applyAlignment="1">
      <alignment horizontal="center" vertical="center"/>
    </xf>
    <xf numFmtId="0" fontId="21" fillId="0" borderId="47" xfId="0" applyFont="1" applyBorder="1" applyAlignment="1">
      <alignment horizontal="center" vertical="center"/>
    </xf>
    <xf numFmtId="0" fontId="21" fillId="0" borderId="135" xfId="0" applyFont="1" applyBorder="1" applyAlignment="1">
      <alignment horizontal="center" vertical="center"/>
    </xf>
    <xf numFmtId="0" fontId="21" fillId="0" borderId="124" xfId="0" applyFont="1" applyBorder="1" applyAlignment="1">
      <alignment horizontal="center" vertical="center" wrapText="1"/>
    </xf>
    <xf numFmtId="0" fontId="21" fillId="0" borderId="127" xfId="0" applyFont="1" applyBorder="1" applyAlignment="1">
      <alignment horizontal="center" vertical="center" wrapText="1"/>
    </xf>
    <xf numFmtId="0" fontId="21" fillId="0" borderId="128" xfId="0" applyFont="1" applyBorder="1" applyAlignment="1">
      <alignment horizontal="center" vertical="center" wrapText="1"/>
    </xf>
    <xf numFmtId="0" fontId="21" fillId="0" borderId="90" xfId="0" applyFont="1" applyBorder="1" applyAlignment="1">
      <alignment horizontal="center" vertical="center" wrapText="1"/>
    </xf>
    <xf numFmtId="0" fontId="21" fillId="0" borderId="91" xfId="0" applyFont="1" applyBorder="1" applyAlignment="1">
      <alignment horizontal="center" vertical="center" wrapText="1"/>
    </xf>
    <xf numFmtId="0" fontId="21" fillId="0" borderId="92" xfId="0" applyFont="1" applyBorder="1" applyAlignment="1">
      <alignment horizontal="center" vertical="center" wrapText="1"/>
    </xf>
    <xf numFmtId="0" fontId="33" fillId="0" borderId="51" xfId="0" applyFont="1" applyBorder="1" applyAlignment="1">
      <alignment horizontal="center" vertical="center"/>
    </xf>
    <xf numFmtId="0" fontId="33" fillId="0" borderId="31" xfId="0" applyFont="1" applyBorder="1" applyAlignment="1">
      <alignment horizontal="center" vertical="center"/>
    </xf>
    <xf numFmtId="0" fontId="33" fillId="0" borderId="54" xfId="0" applyFont="1" applyBorder="1" applyAlignment="1">
      <alignment horizontal="center" vertical="center"/>
    </xf>
    <xf numFmtId="0" fontId="21" fillId="0" borderId="113" xfId="0" applyFont="1" applyBorder="1" applyAlignment="1">
      <alignment horizontal="center" vertical="center"/>
    </xf>
    <xf numFmtId="0" fontId="21" fillId="0" borderId="16" xfId="0" applyFont="1" applyBorder="1" applyAlignment="1">
      <alignment horizontal="center" vertical="center"/>
    </xf>
    <xf numFmtId="0" fontId="21" fillId="0" borderId="114" xfId="0" applyFont="1" applyBorder="1" applyAlignment="1">
      <alignment horizontal="center" vertical="center"/>
    </xf>
    <xf numFmtId="0" fontId="21" fillId="0" borderId="52" xfId="0" applyFont="1" applyBorder="1" applyAlignment="1">
      <alignment horizontal="center" vertical="center" wrapText="1"/>
    </xf>
    <xf numFmtId="0" fontId="21" fillId="0" borderId="53" xfId="0" applyFont="1" applyBorder="1" applyAlignment="1">
      <alignment horizontal="center" vertical="center" wrapText="1"/>
    </xf>
    <xf numFmtId="0" fontId="21" fillId="0" borderId="98" xfId="0" applyFont="1" applyBorder="1" applyAlignment="1">
      <alignment horizontal="center" vertical="center" wrapText="1"/>
    </xf>
    <xf numFmtId="0" fontId="21" fillId="0" borderId="67" xfId="0" applyFont="1" applyBorder="1" applyAlignment="1">
      <alignment horizontal="center" vertical="center" wrapText="1"/>
    </xf>
    <xf numFmtId="0" fontId="21" fillId="0" borderId="69" xfId="0" applyFont="1" applyBorder="1" applyAlignment="1">
      <alignment horizontal="center" vertical="center" wrapText="1"/>
    </xf>
    <xf numFmtId="0" fontId="21" fillId="0" borderId="140"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61" xfId="0" applyFont="1" applyBorder="1" applyAlignment="1">
      <alignment horizontal="center" vertical="center"/>
    </xf>
    <xf numFmtId="0" fontId="21" fillId="0" borderId="2" xfId="0" applyFont="1" applyBorder="1" applyAlignment="1">
      <alignment horizontal="center" vertical="center"/>
    </xf>
    <xf numFmtId="0" fontId="21" fillId="0" borderId="12" xfId="0" applyFont="1" applyBorder="1" applyAlignment="1">
      <alignment horizontal="center" vertical="center"/>
    </xf>
    <xf numFmtId="0" fontId="21" fillId="0" borderId="1" xfId="0" applyFont="1" applyBorder="1" applyAlignment="1">
      <alignment horizontal="center" vertical="center"/>
    </xf>
    <xf numFmtId="0" fontId="21" fillId="0" borderId="15" xfId="0" applyFont="1" applyBorder="1" applyAlignment="1">
      <alignment horizontal="center" vertical="center"/>
    </xf>
    <xf numFmtId="0" fontId="21" fillId="0" borderId="27" xfId="0" applyFont="1" applyBorder="1" applyAlignment="1">
      <alignment horizontal="center" vertical="center"/>
    </xf>
    <xf numFmtId="0" fontId="21" fillId="0" borderId="18" xfId="0" applyFont="1" applyBorder="1" applyAlignment="1">
      <alignment horizontal="center" vertical="center"/>
    </xf>
    <xf numFmtId="0" fontId="21" fillId="0" borderId="137" xfId="0" applyFont="1" applyBorder="1" applyAlignment="1">
      <alignment horizontal="center" vertical="center" wrapText="1"/>
    </xf>
    <xf numFmtId="0" fontId="21" fillId="0" borderId="136" xfId="0" applyFont="1" applyBorder="1" applyAlignment="1">
      <alignment horizontal="center" vertical="center" wrapText="1"/>
    </xf>
    <xf numFmtId="0" fontId="21" fillId="0" borderId="126" xfId="0" applyFont="1" applyBorder="1" applyAlignment="1">
      <alignment horizontal="center" vertical="center" wrapText="1"/>
    </xf>
    <xf numFmtId="0" fontId="21" fillId="0" borderId="102" xfId="0" applyFont="1" applyBorder="1" applyAlignment="1">
      <alignment horizontal="center" vertical="center"/>
    </xf>
    <xf numFmtId="0" fontId="21" fillId="0" borderId="130" xfId="0" applyFont="1" applyBorder="1" applyAlignment="1">
      <alignment horizontal="center" vertical="center"/>
    </xf>
    <xf numFmtId="0" fontId="21" fillId="0" borderId="100" xfId="0" applyFont="1" applyBorder="1" applyAlignment="1">
      <alignment horizontal="center" vertical="center" wrapText="1"/>
    </xf>
    <xf numFmtId="0" fontId="21" fillId="0" borderId="104" xfId="0" applyFont="1" applyBorder="1" applyAlignment="1">
      <alignment horizontal="center" vertical="center"/>
    </xf>
    <xf numFmtId="0" fontId="21" fillId="0" borderId="18"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57" xfId="0" applyFont="1" applyBorder="1" applyAlignment="1">
      <alignment horizontal="center" vertical="center" wrapText="1"/>
    </xf>
    <xf numFmtId="0" fontId="21" fillId="0" borderId="87" xfId="0" applyFont="1" applyBorder="1" applyAlignment="1">
      <alignment horizontal="center" vertical="center" wrapText="1"/>
    </xf>
    <xf numFmtId="0" fontId="21" fillId="0" borderId="97" xfId="0" applyFont="1" applyBorder="1" applyAlignment="1">
      <alignment horizontal="center" vertical="center" wrapText="1"/>
    </xf>
    <xf numFmtId="3" fontId="21" fillId="0" borderId="51" xfId="0" applyNumberFormat="1" applyFont="1" applyBorder="1" applyAlignment="1">
      <alignment horizontal="center" vertical="center"/>
    </xf>
    <xf numFmtId="0" fontId="21" fillId="0" borderId="31" xfId="0" applyFont="1" applyBorder="1" applyAlignment="1">
      <alignment horizontal="center" vertical="center"/>
    </xf>
    <xf numFmtId="0" fontId="21" fillId="0" borderId="32" xfId="0" applyFont="1" applyBorder="1" applyAlignment="1">
      <alignment horizontal="center" vertical="center"/>
    </xf>
    <xf numFmtId="0" fontId="21" fillId="0" borderId="51" xfId="0" applyFont="1" applyBorder="1" applyAlignment="1">
      <alignment horizontal="center" vertical="center"/>
    </xf>
    <xf numFmtId="0" fontId="21" fillId="0" borderId="72" xfId="0" applyFont="1" applyBorder="1" applyAlignment="1">
      <alignment horizontal="center" vertical="center" wrapText="1"/>
    </xf>
    <xf numFmtId="0" fontId="21" fillId="0" borderId="7" xfId="0" applyFont="1" applyBorder="1" applyAlignment="1">
      <alignment horizontal="center" vertical="center"/>
    </xf>
    <xf numFmtId="0" fontId="21" fillId="0" borderId="43" xfId="0" applyFont="1" applyBorder="1" applyAlignment="1">
      <alignment horizontal="center" vertical="center"/>
    </xf>
    <xf numFmtId="0" fontId="6" fillId="5" borderId="35" xfId="0" applyFont="1" applyFill="1" applyBorder="1" applyAlignment="1">
      <alignment horizontal="center" vertical="center"/>
    </xf>
    <xf numFmtId="0" fontId="6" fillId="5" borderId="0" xfId="0" applyFont="1" applyFill="1" applyAlignment="1">
      <alignment horizontal="center" vertical="center"/>
    </xf>
    <xf numFmtId="0" fontId="6" fillId="5" borderId="36" xfId="0" applyFont="1" applyFill="1" applyBorder="1" applyAlignment="1">
      <alignment horizontal="center" vertical="center"/>
    </xf>
    <xf numFmtId="0" fontId="33" fillId="0" borderId="113" xfId="0" applyFont="1" applyBorder="1" applyAlignment="1">
      <alignment horizontal="center" vertical="center"/>
    </xf>
    <xf numFmtId="0" fontId="33" fillId="0" borderId="16" xfId="0" applyFont="1" applyBorder="1" applyAlignment="1">
      <alignment horizontal="center" vertical="center"/>
    </xf>
    <xf numFmtId="0" fontId="33" fillId="0" borderId="114" xfId="0" applyFont="1" applyBorder="1" applyAlignment="1">
      <alignment horizontal="center" vertical="center"/>
    </xf>
    <xf numFmtId="0" fontId="33" fillId="0" borderId="52" xfId="0" applyFont="1" applyBorder="1" applyAlignment="1">
      <alignment horizontal="center" vertical="center" wrapText="1"/>
    </xf>
    <xf numFmtId="0" fontId="33" fillId="0" borderId="53" xfId="0" applyFont="1" applyBorder="1" applyAlignment="1">
      <alignment horizontal="center" vertical="center" wrapText="1"/>
    </xf>
    <xf numFmtId="0" fontId="33" fillId="0" borderId="98" xfId="0" applyFont="1" applyBorder="1" applyAlignment="1">
      <alignment horizontal="center" vertical="center" wrapText="1"/>
    </xf>
    <xf numFmtId="0" fontId="12" fillId="7" borderId="20" xfId="0" applyFont="1" applyFill="1" applyBorder="1" applyAlignment="1">
      <alignment horizontal="center" vertical="center" wrapText="1"/>
    </xf>
    <xf numFmtId="0" fontId="6" fillId="5" borderId="3" xfId="0" applyFont="1" applyFill="1" applyBorder="1" applyAlignment="1">
      <alignment horizontal="center" vertical="center"/>
    </xf>
    <xf numFmtId="0" fontId="6" fillId="5" borderId="10" xfId="0" applyFont="1" applyFill="1" applyBorder="1" applyAlignment="1">
      <alignment horizontal="center" vertical="center"/>
    </xf>
    <xf numFmtId="3" fontId="21" fillId="0" borderId="125" xfId="0" applyNumberFormat="1" applyFont="1" applyBorder="1" applyAlignment="1">
      <alignment horizontal="center" vertical="center" wrapText="1"/>
    </xf>
    <xf numFmtId="0" fontId="21" fillId="0" borderId="45" xfId="0" applyFont="1" applyBorder="1" applyAlignment="1">
      <alignment horizontal="center" vertical="center" wrapText="1"/>
    </xf>
    <xf numFmtId="0" fontId="21" fillId="0" borderId="129" xfId="0" applyFont="1" applyBorder="1" applyAlignment="1">
      <alignment horizontal="center" vertical="center" wrapText="1"/>
    </xf>
    <xf numFmtId="0" fontId="6" fillId="5" borderId="12" xfId="0" applyFont="1" applyFill="1" applyBorder="1" applyAlignment="1">
      <alignment horizontal="center" vertical="center"/>
    </xf>
    <xf numFmtId="0" fontId="21" fillId="0" borderId="66" xfId="0" applyFont="1" applyBorder="1" applyAlignment="1">
      <alignment horizontal="center" vertical="center" wrapText="1"/>
    </xf>
    <xf numFmtId="0" fontId="21" fillId="0" borderId="68" xfId="0" applyFont="1" applyBorder="1" applyAlignment="1">
      <alignment horizontal="center" vertical="center" wrapText="1"/>
    </xf>
    <xf numFmtId="0" fontId="21" fillId="0" borderId="70"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95"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71"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4"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39"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96" xfId="0" applyFont="1" applyBorder="1" applyAlignment="1">
      <alignment horizontal="center" vertical="center" wrapText="1"/>
    </xf>
    <xf numFmtId="0" fontId="21" fillId="0" borderId="9" xfId="0" applyFont="1" applyBorder="1" applyAlignment="1">
      <alignment horizontal="center" vertical="center"/>
    </xf>
    <xf numFmtId="0" fontId="21" fillId="0" borderId="54" xfId="0" applyFont="1" applyBorder="1" applyAlignment="1">
      <alignment horizontal="center" vertical="center"/>
    </xf>
    <xf numFmtId="0" fontId="33" fillId="0" borderId="51"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65"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85" xfId="0" applyFont="1" applyBorder="1" applyAlignment="1">
      <alignment horizontal="center" vertical="center" wrapText="1"/>
    </xf>
    <xf numFmtId="0" fontId="21" fillId="0" borderId="88" xfId="0" applyFont="1" applyBorder="1" applyAlignment="1">
      <alignment horizontal="center" vertical="center" wrapText="1"/>
    </xf>
    <xf numFmtId="0" fontId="21" fillId="0" borderId="131" xfId="0" applyFont="1" applyBorder="1" applyAlignment="1">
      <alignment horizontal="center" vertical="center" wrapText="1"/>
    </xf>
    <xf numFmtId="0" fontId="21" fillId="0" borderId="133" xfId="0" applyFont="1" applyBorder="1" applyAlignment="1">
      <alignment horizontal="center" vertical="center" wrapText="1"/>
    </xf>
    <xf numFmtId="0" fontId="21" fillId="0" borderId="134" xfId="0" applyFont="1" applyBorder="1" applyAlignment="1">
      <alignment horizontal="center" vertical="center" wrapText="1"/>
    </xf>
    <xf numFmtId="0" fontId="21" fillId="0" borderId="34" xfId="0" applyFont="1" applyBorder="1" applyAlignment="1">
      <alignment horizontal="center" vertical="center"/>
    </xf>
    <xf numFmtId="0" fontId="21" fillId="0" borderId="73" xfId="0" applyFont="1" applyBorder="1" applyAlignment="1">
      <alignment horizontal="center" vertical="center" wrapText="1"/>
    </xf>
    <xf numFmtId="0" fontId="21" fillId="0" borderId="77" xfId="0" applyFont="1" applyBorder="1" applyAlignment="1">
      <alignment horizontal="center" vertical="center" wrapText="1"/>
    </xf>
    <xf numFmtId="0" fontId="21" fillId="0" borderId="79" xfId="0" applyFont="1" applyBorder="1" applyAlignment="1">
      <alignment horizontal="center" vertical="center" wrapText="1"/>
    </xf>
    <xf numFmtId="0" fontId="21" fillId="0" borderId="62" xfId="0" applyFont="1" applyBorder="1" applyAlignment="1">
      <alignment horizontal="center" vertical="center"/>
    </xf>
    <xf numFmtId="0" fontId="21" fillId="0" borderId="63" xfId="0" applyFont="1" applyBorder="1" applyAlignment="1">
      <alignment horizontal="center" vertical="center"/>
    </xf>
    <xf numFmtId="0" fontId="33" fillId="0" borderId="62" xfId="0" applyFont="1" applyBorder="1" applyAlignment="1">
      <alignment horizontal="center" vertical="center" wrapText="1"/>
    </xf>
    <xf numFmtId="0" fontId="33" fillId="0" borderId="80" xfId="0" applyFont="1" applyBorder="1" applyAlignment="1">
      <alignment horizontal="center" vertical="center" wrapText="1"/>
    </xf>
    <xf numFmtId="0" fontId="21" fillId="0" borderId="81" xfId="0" applyFont="1" applyBorder="1" applyAlignment="1">
      <alignment horizontal="center" vertical="center" wrapText="1"/>
    </xf>
    <xf numFmtId="0" fontId="21" fillId="0" borderId="84" xfId="0" applyFont="1" applyBorder="1" applyAlignment="1">
      <alignment horizontal="center" vertical="center" wrapText="1"/>
    </xf>
    <xf numFmtId="0" fontId="21" fillId="0" borderId="58" xfId="0" applyFont="1" applyBorder="1" applyAlignment="1">
      <alignment horizontal="center" vertical="center" wrapText="1"/>
    </xf>
    <xf numFmtId="0" fontId="33" fillId="0" borderId="34" xfId="0" applyFont="1" applyBorder="1" applyAlignment="1">
      <alignment horizontal="center" vertical="center" wrapText="1"/>
    </xf>
    <xf numFmtId="0" fontId="21" fillId="0" borderId="64" xfId="0" applyFont="1" applyBorder="1" applyAlignment="1">
      <alignment horizontal="center" vertical="center"/>
    </xf>
    <xf numFmtId="0" fontId="21" fillId="0" borderId="33" xfId="0" applyFont="1" applyBorder="1" applyAlignment="1">
      <alignment horizontal="center" vertical="center"/>
    </xf>
    <xf numFmtId="0" fontId="21" fillId="0" borderId="65" xfId="0" applyFont="1" applyBorder="1" applyAlignment="1">
      <alignment horizontal="center" vertical="center"/>
    </xf>
    <xf numFmtId="0" fontId="33" fillId="0" borderId="64" xfId="0" applyFont="1" applyBorder="1" applyAlignment="1">
      <alignment horizontal="center" vertical="center" wrapText="1"/>
    </xf>
    <xf numFmtId="0" fontId="33" fillId="0" borderId="32" xfId="0" applyFont="1" applyBorder="1" applyAlignment="1">
      <alignment horizontal="center" vertical="center"/>
    </xf>
    <xf numFmtId="0" fontId="33" fillId="0" borderId="31"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55" xfId="0" applyFont="1" applyBorder="1" applyAlignment="1">
      <alignment horizontal="center" vertical="center" wrapText="1"/>
    </xf>
    <xf numFmtId="0" fontId="33" fillId="0" borderId="54" xfId="0" applyFont="1" applyBorder="1" applyAlignment="1">
      <alignment horizontal="center" vertical="center" wrapText="1"/>
    </xf>
    <xf numFmtId="0" fontId="21" fillId="0" borderId="34"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116" xfId="0" applyFont="1" applyBorder="1" applyAlignment="1">
      <alignment horizontal="center" vertical="center" wrapText="1"/>
    </xf>
    <xf numFmtId="0" fontId="21" fillId="0" borderId="121" xfId="0" applyFont="1" applyBorder="1" applyAlignment="1">
      <alignment horizontal="center" vertical="center" wrapText="1"/>
    </xf>
    <xf numFmtId="0" fontId="21" fillId="0" borderId="117" xfId="0" applyFont="1" applyBorder="1" applyAlignment="1">
      <alignment horizontal="center" vertical="center" wrapText="1"/>
    </xf>
    <xf numFmtId="0" fontId="21" fillId="0" borderId="119" xfId="0" applyFont="1" applyBorder="1" applyAlignment="1">
      <alignment horizontal="center" vertical="center" wrapText="1"/>
    </xf>
    <xf numFmtId="0" fontId="21" fillId="0" borderId="122" xfId="0" applyFont="1" applyBorder="1" applyAlignment="1">
      <alignment horizontal="center" vertical="center" wrapText="1"/>
    </xf>
    <xf numFmtId="0" fontId="5" fillId="0" borderId="26"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22" fillId="5" borderId="2" xfId="0" applyFont="1" applyFill="1" applyBorder="1" applyAlignment="1">
      <alignment horizontal="center" vertical="center"/>
    </xf>
    <xf numFmtId="0" fontId="22" fillId="5" borderId="12" xfId="0" applyFont="1" applyFill="1" applyBorder="1" applyAlignment="1">
      <alignment horizontal="center" vertical="center"/>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C8C8C"/>
      <color rgb="FFA6A6A6"/>
      <color rgb="FFFF9900"/>
      <color rgb="FFCCCCFF"/>
      <color rgb="FF8238BA"/>
      <color rgb="FFFFEBCD"/>
      <color rgb="FF002F8E"/>
      <color rgb="FF0000CC"/>
      <color rgb="FF2E9F17"/>
      <color rgb="FFFFFA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0-35CE-4624-B9A9-6B1BB2CB425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1-35CE-4624-B9A9-6B1BB2CB425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2-35CE-4624-B9A9-6B1BB2CB42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D720-48B4-A768-12220D08ABB2}"/>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D720-48B4-A768-12220D08ABB2}"/>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D720-48B4-A768-12220D08ABB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CC0F-487F-8F48-A509A6006EE5}"/>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CC0F-487F-8F48-A509A6006EE5}"/>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CC0F-487F-8F48-A509A6006EE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(Living Area) </a:t>
            </a:r>
          </a:p>
        </c:rich>
      </c:tx>
      <c:layout>
        <c:manualLayout>
          <c:xMode val="edge"/>
          <c:yMode val="edge"/>
          <c:x val="6.5630326543619541E-2"/>
          <c:y val="4.6774493537201374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1CF-4EFB-9CAD-7A35548D2F16}"/>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1CF-4EFB-9CAD-7A35548D2F16}"/>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C3C8-4DC9-9C20-B69064837B9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238276965537467"/>
          <c:y val="3.6261079321075841E-2"/>
          <c:w val="0.37617230344625335"/>
          <c:h val="0.210091750440275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32A6-4561-915A-799ACC6B30A7}"/>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32A6-4561-915A-799ACC6B30A7}"/>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32A6-4561-915A-799ACC6B30A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0-4744-440A-89C4-312D4CC7F10C}"/>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1-4744-440A-89C4-312D4CC7F10C}"/>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2-4744-440A-89C4-312D4CC7F10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0-C264-4C05-B8D9-3DAA8E0FE88B}"/>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1-C264-4C05-B8D9-3DAA8E0FE88B}"/>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2-C264-4C05-B8D9-3DAA8E0FE88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valAx>
      <c:spPr>
        <a:noFill/>
        <a:ln>
          <a:noFill/>
        </a:ln>
        <a:effectLst/>
      </c:spPr>
    </c:plotArea>
    <c:legend>
      <c:legendPos val="b"/>
      <c:layout>
        <c:manualLayout>
          <c:xMode val="edge"/>
          <c:yMode val="edge"/>
          <c:x val="0.69237621385546944"/>
          <c:y val="3.6261079321075841E-2"/>
          <c:w val="0.3076237510776069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1C97-42C3-84D7-66A9294A5C8F}"/>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1C97-42C3-84D7-66A9294A5C8F}"/>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1C97-42C3-84D7-66A9294A5C8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7DE4-4FE9-8BAD-218E0FB6FE12}"/>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7DE4-4FE9-8BAD-218E0FB6FE12}"/>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7DE4-4FE9-8BAD-218E0FB6FE1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350F-4592-8E02-EC4A0F4B5006}"/>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350F-4592-8E02-EC4A0F4B5006}"/>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350F-4592-8E02-EC4A0F4B500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32C7-42B5-9CE7-4880AE620BC6}"/>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32C7-42B5-9CE7-4880AE620BC6}"/>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32C7-42B5-9CE7-4880AE620BC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A82-4DBB-9A8A-435382D0828C}"/>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A82-4DBB-9A8A-435382D0828C}"/>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A82-4DBB-9A8A-435382D0828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6866-49E7-B3BF-1C615A834F79}"/>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6866-49E7-B3BF-1C615A834F79}"/>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6866-49E7-B3BF-1C615A834F7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(Common Use Area)</a:t>
            </a:r>
          </a:p>
        </c:rich>
      </c:tx>
      <c:layout>
        <c:manualLayout>
          <c:xMode val="edge"/>
          <c:yMode val="edge"/>
          <c:x val="0.15287702683311813"/>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0-8F66-414C-8C73-2505538CF4D2}"/>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1-8F66-414C-8C73-2505538CF4D2}"/>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2-8F66-414C-8C73-2505538CF4D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0-4827-4A9D-AF3A-BF483E00E64A}"/>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1-4827-4A9D-AF3A-BF483E00E64A}"/>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2-4827-4A9D-AF3A-BF483E00E6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(Common Use Area)</a:t>
            </a:r>
          </a:p>
        </c:rich>
      </c:tx>
      <c:layout>
        <c:manualLayout>
          <c:xMode val="edge"/>
          <c:yMode val="edge"/>
          <c:x val="0.20964270340077487"/>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3467-480F-86E6-CBB8FF907A4A}"/>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3467-480F-86E6-CBB8FF907A4A}"/>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3467-480F-86E6-CBB8FF907A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20"/>
      </c:valAx>
      <c:spPr>
        <a:noFill/>
        <a:ln>
          <a:noFill/>
        </a:ln>
        <a:effectLst/>
      </c:spPr>
    </c:plotArea>
    <c:legend>
      <c:legendPos val="b"/>
      <c:layout>
        <c:manualLayout>
          <c:xMode val="edge"/>
          <c:yMode val="edge"/>
          <c:x val="0.69237621385546944"/>
          <c:y val="3.6261079321075841E-2"/>
          <c:w val="0.3076237510776069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(Common Use Area)</a:t>
            </a:r>
          </a:p>
        </c:rich>
      </c:tx>
      <c:layout>
        <c:manualLayout>
          <c:xMode val="edge"/>
          <c:yMode val="edge"/>
          <c:x val="0.19163426784308008"/>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Schedules!$E$56</c:f>
              <c:strCache>
                <c:ptCount val="1"/>
                <c:pt idx="0">
                  <c:v>Weekday</c:v>
                </c:pt>
              </c:strCache>
            </c:strRef>
          </c:tx>
          <c:spPr>
            <a:ln w="28575" cap="rnd">
              <a:solidFill>
                <a:schemeClr val="accent1"/>
              </a:solidFill>
              <a:round/>
            </a:ln>
            <a:effectLst/>
          </c:spPr>
          <c:marker>
            <c:symbol val="none"/>
          </c:marker>
          <c:val>
            <c:numRef>
              <c:f>Schedules!$F$56:$AC$56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2770-4DD0-BF38-77646011A652}"/>
            </c:ext>
          </c:extLst>
        </c:ser>
        <c:ser>
          <c:idx val="1"/>
          <c:order val="1"/>
          <c:tx>
            <c:strRef>
              <c:f>Schedules!$E$57</c:f>
              <c:strCache>
                <c:ptCount val="1"/>
                <c:pt idx="0">
                  <c:v>Saturday</c:v>
                </c:pt>
              </c:strCache>
            </c:strRef>
          </c:tx>
          <c:spPr>
            <a:ln w="28575" cap="rnd">
              <a:solidFill>
                <a:schemeClr val="accent2"/>
              </a:solidFill>
              <a:round/>
            </a:ln>
            <a:effectLst/>
          </c:spPr>
          <c:marker>
            <c:symbol val="none"/>
          </c:marker>
          <c:val>
            <c:numRef>
              <c:f>Schedules!$F$57:$AC$57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2770-4DD0-BF38-77646011A652}"/>
            </c:ext>
          </c:extLst>
        </c:ser>
        <c:ser>
          <c:idx val="2"/>
          <c:order val="2"/>
          <c:tx>
            <c:strRef>
              <c:f>Schedules!$E$58</c:f>
              <c:strCache>
                <c:ptCount val="1"/>
                <c:pt idx="0">
                  <c:v>Sunday</c:v>
                </c:pt>
              </c:strCache>
            </c:strRef>
          </c:tx>
          <c:spPr>
            <a:ln w="28575" cap="rnd">
              <a:solidFill>
                <a:schemeClr val="accent3"/>
              </a:solidFill>
              <a:round/>
            </a:ln>
            <a:effectLst/>
          </c:spPr>
          <c:marker>
            <c:symbol val="none"/>
          </c:marker>
          <c:val>
            <c:numRef>
              <c:f>Schedules!$F$58:$AC$58</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2770-4DD0-BF38-77646011A6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Schedules!$E$59</c:f>
              <c:strCache>
                <c:ptCount val="1"/>
                <c:pt idx="0">
                  <c:v>Weekday</c:v>
                </c:pt>
              </c:strCache>
            </c:strRef>
          </c:tx>
          <c:spPr>
            <a:ln w="28575" cap="rnd">
              <a:solidFill>
                <a:schemeClr val="accent1"/>
              </a:solidFill>
              <a:round/>
            </a:ln>
            <a:effectLst/>
          </c:spPr>
          <c:marker>
            <c:symbol val="none"/>
          </c:marker>
          <c:val>
            <c:numRef>
              <c:f>Schedules!$F$59:$AC$59</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F647-45F3-8E03-DF5CBA6E730C}"/>
            </c:ext>
          </c:extLst>
        </c:ser>
        <c:ser>
          <c:idx val="1"/>
          <c:order val="1"/>
          <c:tx>
            <c:strRef>
              <c:f>Schedules!$E$60</c:f>
              <c:strCache>
                <c:ptCount val="1"/>
                <c:pt idx="0">
                  <c:v>Saturday</c:v>
                </c:pt>
              </c:strCache>
            </c:strRef>
          </c:tx>
          <c:spPr>
            <a:ln w="28575" cap="rnd">
              <a:solidFill>
                <a:schemeClr val="accent2"/>
              </a:solidFill>
              <a:round/>
            </a:ln>
            <a:effectLst/>
          </c:spPr>
          <c:marker>
            <c:symbol val="none"/>
          </c:marker>
          <c:val>
            <c:numRef>
              <c:f>Schedules!$F$60:$AC$60</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F647-45F3-8E03-DF5CBA6E730C}"/>
            </c:ext>
          </c:extLst>
        </c:ser>
        <c:ser>
          <c:idx val="2"/>
          <c:order val="2"/>
          <c:tx>
            <c:strRef>
              <c:f>Schedules!$E$61</c:f>
              <c:strCache>
                <c:ptCount val="1"/>
                <c:pt idx="0">
                  <c:v>Sunday</c:v>
                </c:pt>
              </c:strCache>
            </c:strRef>
          </c:tx>
          <c:spPr>
            <a:ln w="28575" cap="rnd">
              <a:solidFill>
                <a:schemeClr val="accent3"/>
              </a:solidFill>
              <a:round/>
            </a:ln>
            <a:effectLst/>
          </c:spPr>
          <c:marker>
            <c:symbol val="none"/>
          </c:marker>
          <c:val>
            <c:numRef>
              <c:f>Schedules!$F$61:$AC$61</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F647-45F3-8E03-DF5CBA6E730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000000000000001E-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2DDD-4968-9FD4-4256393A051B}"/>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2DDD-4968-9FD4-4256393A051B}"/>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DDD-4968-9FD4-4256393A051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"Elevator"</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Schedules!$E$94</c:f>
              <c:strCache>
                <c:ptCount val="1"/>
                <c:pt idx="0">
                  <c:v>Weekday</c:v>
                </c:pt>
              </c:strCache>
            </c:strRef>
          </c:tx>
          <c:spPr>
            <a:ln w="28575" cap="rnd">
              <a:solidFill>
                <a:schemeClr val="accent1"/>
              </a:solidFill>
              <a:round/>
            </a:ln>
            <a:effectLst/>
          </c:spPr>
          <c:marker>
            <c:symbol val="none"/>
          </c:marker>
          <c:val>
            <c:numRef>
              <c:f>Schedules!$F$94:$AC$94</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F0D4-4051-97B4-30D05BB3FF0D}"/>
            </c:ext>
          </c:extLst>
        </c:ser>
        <c:ser>
          <c:idx val="1"/>
          <c:order val="1"/>
          <c:tx>
            <c:strRef>
              <c:f>Schedules!$E$95</c:f>
              <c:strCache>
                <c:ptCount val="1"/>
                <c:pt idx="0">
                  <c:v>Saturday</c:v>
                </c:pt>
              </c:strCache>
            </c:strRef>
          </c:tx>
          <c:spPr>
            <a:ln w="28575" cap="rnd">
              <a:solidFill>
                <a:schemeClr val="accent2"/>
              </a:solidFill>
              <a:round/>
            </a:ln>
            <a:effectLst/>
          </c:spPr>
          <c:marker>
            <c:symbol val="none"/>
          </c:marker>
          <c:val>
            <c:numRef>
              <c:f>Schedules!$F$95:$AC$95</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1-F0D4-4051-97B4-30D05BB3FF0D}"/>
            </c:ext>
          </c:extLst>
        </c:ser>
        <c:ser>
          <c:idx val="2"/>
          <c:order val="2"/>
          <c:tx>
            <c:strRef>
              <c:f>Schedules!$E$96</c:f>
              <c:strCache>
                <c:ptCount val="1"/>
                <c:pt idx="0">
                  <c:v>Sunday</c:v>
                </c:pt>
              </c:strCache>
            </c:strRef>
          </c:tx>
          <c:spPr>
            <a:ln w="28575" cap="rnd">
              <a:solidFill>
                <a:schemeClr val="accent3"/>
              </a:solidFill>
              <a:round/>
            </a:ln>
            <a:effectLst/>
          </c:spPr>
          <c:marker>
            <c:symbol val="none"/>
          </c:marker>
          <c:val>
            <c:numRef>
              <c:f>Schedules!$F$96:$AC$96</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2-F0D4-4051-97B4-30D05BB3FF0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5"/>
      </c:valAx>
      <c:spPr>
        <a:noFill/>
        <a:ln>
          <a:noFill/>
        </a:ln>
        <a:effectLst/>
      </c:spPr>
    </c:plotArea>
    <c:legend>
      <c:legendPos val="b"/>
      <c:layout>
        <c:manualLayout>
          <c:xMode val="edge"/>
          <c:yMode val="edge"/>
          <c:x val="0.69237621385546944"/>
          <c:y val="3.6261079321075841E-2"/>
          <c:w val="0.28941482691935089"/>
          <c:h val="0.41225542009028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(Common Living </a:t>
            </a:r>
          </a:p>
        </c:rich>
      </c:tx>
      <c:layout>
        <c:manualLayout>
          <c:xMode val="edge"/>
          <c:yMode val="edge"/>
          <c:x val="0.14378764951200443"/>
          <c:y val="4.720747934982538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A639-4E4D-9CAB-72DA500401B3}"/>
            </c:ext>
          </c:extLst>
        </c:ser>
        <c:ser>
          <c:idx val="1"/>
          <c:order val="1"/>
          <c:tx>
            <c:v>Sunday</c:v>
          </c:tx>
          <c:spPr>
            <a:ln w="28575" cap="rnd">
              <a:solidFill>
                <a:schemeClr val="accent2"/>
              </a:solidFill>
              <a:round/>
            </a:ln>
            <a:effectLst/>
          </c:spPr>
          <c:marker>
            <c:symbol val="none"/>
          </c:marker>
          <c:val>
            <c:numLit>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1-A639-4E4D-9CAB-72DA500401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xdr:col>
      <xdr:colOff>9526</xdr:colOff>
      <xdr:row>18</xdr:row>
      <xdr:rowOff>1</xdr:rowOff>
    </xdr:from>
    <xdr:to>
      <xdr:col>2</xdr:col>
      <xdr:colOff>1725931</xdr:colOff>
      <xdr:row>28</xdr:row>
      <xdr:rowOff>65697</xdr:rowOff>
    </xdr:to>
    <xdr:pic>
      <xdr:nvPicPr>
        <xdr:cNvPr id="2" name="Picture 1">
          <a:extLst>
            <a:ext uri="{FF2B5EF4-FFF2-40B4-BE49-F238E27FC236}">
              <a16:creationId xmlns:a16="http://schemas.microsoft.com/office/drawing/2014/main" id="{7290D6DB-8D82-BEB1-2190-56592FACB1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1" y="3190876"/>
          <a:ext cx="7467600" cy="1713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1133475</xdr:colOff>
      <xdr:row>7</xdr:row>
      <xdr:rowOff>9526</xdr:rowOff>
    </xdr:from>
    <xdr:to>
      <xdr:col>1</xdr:col>
      <xdr:colOff>3200400</xdr:colOff>
      <xdr:row>7</xdr:row>
      <xdr:rowOff>1191310</xdr:rowOff>
    </xdr:to>
    <xdr:pic>
      <xdr:nvPicPr>
        <xdr:cNvPr id="2" name="Picture 1">
          <a:extLst>
            <a:ext uri="{FF2B5EF4-FFF2-40B4-BE49-F238E27FC236}">
              <a16:creationId xmlns:a16="http://schemas.microsoft.com/office/drawing/2014/main" id="{43F0D6AD-D735-55CF-B151-B173A16DEF94}"/>
            </a:ext>
          </a:extLst>
        </xdr:cNvPr>
        <xdr:cNvPicPr>
          <a:picLocks noChangeAspect="1"/>
        </xdr:cNvPicPr>
      </xdr:nvPicPr>
      <xdr:blipFill>
        <a:blip xmlns:r="http://schemas.openxmlformats.org/officeDocument/2006/relationships" r:embed="rId1"/>
        <a:stretch>
          <a:fillRect/>
        </a:stretch>
      </xdr:blipFill>
      <xdr:spPr>
        <a:xfrm>
          <a:off x="2800350" y="1571626"/>
          <a:ext cx="2066925" cy="11817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1282561</xdr:colOff>
      <xdr:row>0</xdr:row>
      <xdr:rowOff>35035</xdr:rowOff>
    </xdr:from>
    <xdr:to>
      <xdr:col>17</xdr:col>
      <xdr:colOff>1282561</xdr:colOff>
      <xdr:row>0</xdr:row>
      <xdr:rowOff>321779</xdr:rowOff>
    </xdr:to>
    <xdr:cxnSp macro="">
      <xdr:nvCxnSpPr>
        <xdr:cNvPr id="2" name="Straight Arrow Connector 1">
          <a:extLst>
            <a:ext uri="{FF2B5EF4-FFF2-40B4-BE49-F238E27FC236}">
              <a16:creationId xmlns:a16="http://schemas.microsoft.com/office/drawing/2014/main" id="{57A09474-B727-4412-883A-CCC09F77E525}"/>
            </a:ext>
          </a:extLst>
        </xdr:cNvPr>
        <xdr:cNvCxnSpPr/>
      </xdr:nvCxnSpPr>
      <xdr:spPr>
        <a:xfrm flipV="1">
          <a:off x="2451403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1325218</xdr:colOff>
      <xdr:row>0</xdr:row>
      <xdr:rowOff>67505</xdr:rowOff>
    </xdr:from>
    <xdr:to>
      <xdr:col>17</xdr:col>
      <xdr:colOff>1565412</xdr:colOff>
      <xdr:row>1</xdr:row>
      <xdr:rowOff>103203</xdr:rowOff>
    </xdr:to>
    <xdr:sp macro="" textlink="">
      <xdr:nvSpPr>
        <xdr:cNvPr id="3" name="TextBox 2">
          <a:extLst>
            <a:ext uri="{FF2B5EF4-FFF2-40B4-BE49-F238E27FC236}">
              <a16:creationId xmlns:a16="http://schemas.microsoft.com/office/drawing/2014/main" id="{72BED0B5-9B9A-420A-8B77-7C2E22A3B296}"/>
            </a:ext>
          </a:extLst>
        </xdr:cNvPr>
        <xdr:cNvSpPr txBox="1"/>
      </xdr:nvSpPr>
      <xdr:spPr>
        <a:xfrm>
          <a:off x="24556693"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16</xdr:col>
      <xdr:colOff>28575</xdr:colOff>
      <xdr:row>1</xdr:row>
      <xdr:rowOff>876300</xdr:rowOff>
    </xdr:from>
    <xdr:to>
      <xdr:col>19</xdr:col>
      <xdr:colOff>758353</xdr:colOff>
      <xdr:row>17</xdr:row>
      <xdr:rowOff>27686</xdr:rowOff>
    </xdr:to>
    <xdr:pic>
      <xdr:nvPicPr>
        <xdr:cNvPr id="4" name="Picture 3">
          <a:extLst>
            <a:ext uri="{FF2B5EF4-FFF2-40B4-BE49-F238E27FC236}">
              <a16:creationId xmlns:a16="http://schemas.microsoft.com/office/drawing/2014/main" id="{2EA8EFE1-C12D-4A75-8FCE-88C641481902}"/>
            </a:ext>
            <a:ext uri="{147F2762-F138-4A5C-976F-8EAC2B608ADB}">
              <a16:predDERef xmlns:a16="http://schemas.microsoft.com/office/drawing/2014/main" pred="{72BED0B5-9B9A-420A-8B77-7C2E22A3B296}"/>
            </a:ext>
          </a:extLst>
        </xdr:cNvPr>
        <xdr:cNvPicPr>
          <a:picLocks noChangeAspect="1"/>
        </xdr:cNvPicPr>
      </xdr:nvPicPr>
      <xdr:blipFill>
        <a:blip xmlns:r="http://schemas.openxmlformats.org/officeDocument/2006/relationships" r:embed="rId1"/>
        <a:stretch>
          <a:fillRect/>
        </a:stretch>
      </xdr:blipFill>
      <xdr:spPr>
        <a:xfrm>
          <a:off x="22212300" y="1200150"/>
          <a:ext cx="4749328" cy="3704336"/>
        </a:xfrm>
        <a:prstGeom prst="rect">
          <a:avLst/>
        </a:prstGeom>
      </xdr:spPr>
    </xdr:pic>
    <xdr:clientData/>
  </xdr:twoCellAnchor>
  <xdr:twoCellAnchor>
    <xdr:from>
      <xdr:col>21</xdr:col>
      <xdr:colOff>1325218</xdr:colOff>
      <xdr:row>0</xdr:row>
      <xdr:rowOff>67505</xdr:rowOff>
    </xdr:from>
    <xdr:to>
      <xdr:col>21</xdr:col>
      <xdr:colOff>1565412</xdr:colOff>
      <xdr:row>1</xdr:row>
      <xdr:rowOff>103203</xdr:rowOff>
    </xdr:to>
    <xdr:sp macro="" textlink="">
      <xdr:nvSpPr>
        <xdr:cNvPr id="5" name="TextBox 4">
          <a:extLst>
            <a:ext uri="{FF2B5EF4-FFF2-40B4-BE49-F238E27FC236}">
              <a16:creationId xmlns:a16="http://schemas.microsoft.com/office/drawing/2014/main" id="{3FB75409-64E2-4051-B208-580A3374A284}"/>
            </a:ext>
          </a:extLst>
        </xdr:cNvPr>
        <xdr:cNvSpPr txBox="1"/>
      </xdr:nvSpPr>
      <xdr:spPr>
        <a:xfrm>
          <a:off x="30662218" y="67505"/>
          <a:ext cx="192569"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19</xdr:col>
      <xdr:colOff>1143000</xdr:colOff>
      <xdr:row>1</xdr:row>
      <xdr:rowOff>838201</xdr:rowOff>
    </xdr:from>
    <xdr:to>
      <xdr:col>23</xdr:col>
      <xdr:colOff>443865</xdr:colOff>
      <xdr:row>17</xdr:row>
      <xdr:rowOff>41802</xdr:rowOff>
    </xdr:to>
    <xdr:pic>
      <xdr:nvPicPr>
        <xdr:cNvPr id="6" name="Picture 5">
          <a:extLst>
            <a:ext uri="{FF2B5EF4-FFF2-40B4-BE49-F238E27FC236}">
              <a16:creationId xmlns:a16="http://schemas.microsoft.com/office/drawing/2014/main" id="{EDF4D46D-690A-4EB2-ADE4-301AAC4A29C7}"/>
            </a:ext>
            <a:ext uri="{147F2762-F138-4A5C-976F-8EAC2B608ADB}">
              <a16:predDERef xmlns:a16="http://schemas.microsoft.com/office/drawing/2014/main" pred="{3FB75409-64E2-4051-B208-580A3374A284}"/>
            </a:ext>
          </a:extLst>
        </xdr:cNvPr>
        <xdr:cNvPicPr>
          <a:picLocks noChangeAspect="1"/>
        </xdr:cNvPicPr>
      </xdr:nvPicPr>
      <xdr:blipFill>
        <a:blip xmlns:r="http://schemas.openxmlformats.org/officeDocument/2006/relationships" r:embed="rId2"/>
        <a:stretch>
          <a:fillRect/>
        </a:stretch>
      </xdr:blipFill>
      <xdr:spPr>
        <a:xfrm>
          <a:off x="27346275" y="1162051"/>
          <a:ext cx="4834890" cy="37565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39</xdr:row>
      <xdr:rowOff>129540</xdr:rowOff>
    </xdr:from>
    <xdr:to>
      <xdr:col>2</xdr:col>
      <xdr:colOff>335487</xdr:colOff>
      <xdr:row>58</xdr:row>
      <xdr:rowOff>45719</xdr:rowOff>
    </xdr:to>
    <xdr:pic>
      <xdr:nvPicPr>
        <xdr:cNvPr id="2" name="Picture 1">
          <a:extLst>
            <a:ext uri="{FF2B5EF4-FFF2-40B4-BE49-F238E27FC236}">
              <a16:creationId xmlns:a16="http://schemas.microsoft.com/office/drawing/2014/main" id="{B1A3928C-5FF9-41A7-A9DE-D6280AE8FDF9}"/>
            </a:ext>
          </a:extLst>
        </xdr:cNvPr>
        <xdr:cNvPicPr>
          <a:picLocks noChangeAspect="1"/>
        </xdr:cNvPicPr>
      </xdr:nvPicPr>
      <xdr:blipFill>
        <a:blip xmlns:r="http://schemas.openxmlformats.org/officeDocument/2006/relationships" r:embed="rId1"/>
        <a:stretch>
          <a:fillRect/>
        </a:stretch>
      </xdr:blipFill>
      <xdr:spPr>
        <a:xfrm>
          <a:off x="1" y="7410450"/>
          <a:ext cx="5498036"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110966</xdr:colOff>
      <xdr:row>3</xdr:row>
      <xdr:rowOff>25572</xdr:rowOff>
    </xdr:from>
    <xdr:to>
      <xdr:col>35</xdr:col>
      <xdr:colOff>440531</xdr:colOff>
      <xdr:row>5</xdr:row>
      <xdr:rowOff>397047</xdr:rowOff>
    </xdr:to>
    <xdr:graphicFrame macro="">
      <xdr:nvGraphicFramePr>
        <xdr:cNvPr id="2" name="Chart 5">
          <a:extLst>
            <a:ext uri="{FF2B5EF4-FFF2-40B4-BE49-F238E27FC236}">
              <a16:creationId xmlns:a16="http://schemas.microsoft.com/office/drawing/2014/main" id="{F4FDF5B2-7907-4F50-9F15-6D054924949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122872</xdr:colOff>
      <xdr:row>5</xdr:row>
      <xdr:rowOff>464342</xdr:rowOff>
    </xdr:from>
    <xdr:to>
      <xdr:col>35</xdr:col>
      <xdr:colOff>452437</xdr:colOff>
      <xdr:row>8</xdr:row>
      <xdr:rowOff>335755</xdr:rowOff>
    </xdr:to>
    <xdr:graphicFrame macro="">
      <xdr:nvGraphicFramePr>
        <xdr:cNvPr id="3" name="Chart 5">
          <a:extLst>
            <a:ext uri="{FF2B5EF4-FFF2-40B4-BE49-F238E27FC236}">
              <a16:creationId xmlns:a16="http://schemas.microsoft.com/office/drawing/2014/main" id="{54DF0B20-C772-4D21-BA0A-4367186CBF1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125185</xdr:colOff>
      <xdr:row>8</xdr:row>
      <xdr:rowOff>464343</xdr:rowOff>
    </xdr:from>
    <xdr:to>
      <xdr:col>35</xdr:col>
      <xdr:colOff>454750</xdr:colOff>
      <xdr:row>11</xdr:row>
      <xdr:rowOff>335755</xdr:rowOff>
    </xdr:to>
    <xdr:graphicFrame macro="">
      <xdr:nvGraphicFramePr>
        <xdr:cNvPr id="4" name="Chart 5">
          <a:extLst>
            <a:ext uri="{FF2B5EF4-FFF2-40B4-BE49-F238E27FC236}">
              <a16:creationId xmlns:a16="http://schemas.microsoft.com/office/drawing/2014/main" id="{05C35631-C217-430B-846E-6508F920CE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136070</xdr:colOff>
      <xdr:row>11</xdr:row>
      <xdr:rowOff>411618</xdr:rowOff>
    </xdr:from>
    <xdr:to>
      <xdr:col>35</xdr:col>
      <xdr:colOff>465635</xdr:colOff>
      <xdr:row>15</xdr:row>
      <xdr:rowOff>8711</xdr:rowOff>
    </xdr:to>
    <xdr:graphicFrame macro="">
      <xdr:nvGraphicFramePr>
        <xdr:cNvPr id="5" name="Chart 5">
          <a:extLst>
            <a:ext uri="{FF2B5EF4-FFF2-40B4-BE49-F238E27FC236}">
              <a16:creationId xmlns:a16="http://schemas.microsoft.com/office/drawing/2014/main" id="{C1F85458-EF6D-445D-8AEA-9DF421882C7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130969</xdr:colOff>
      <xdr:row>15</xdr:row>
      <xdr:rowOff>119062</xdr:rowOff>
    </xdr:from>
    <xdr:to>
      <xdr:col>35</xdr:col>
      <xdr:colOff>460534</xdr:colOff>
      <xdr:row>17</xdr:row>
      <xdr:rowOff>490537</xdr:rowOff>
    </xdr:to>
    <xdr:graphicFrame macro="">
      <xdr:nvGraphicFramePr>
        <xdr:cNvPr id="6" name="Chart 5">
          <a:extLst>
            <a:ext uri="{FF2B5EF4-FFF2-40B4-BE49-F238E27FC236}">
              <a16:creationId xmlns:a16="http://schemas.microsoft.com/office/drawing/2014/main" id="{8F080AF2-3EBF-4EBF-9486-C0F5D77BC8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130969</xdr:colOff>
      <xdr:row>18</xdr:row>
      <xdr:rowOff>95250</xdr:rowOff>
    </xdr:from>
    <xdr:to>
      <xdr:col>35</xdr:col>
      <xdr:colOff>460534</xdr:colOff>
      <xdr:row>20</xdr:row>
      <xdr:rowOff>466725</xdr:rowOff>
    </xdr:to>
    <xdr:graphicFrame macro="">
      <xdr:nvGraphicFramePr>
        <xdr:cNvPr id="7" name="Chart 5">
          <a:extLst>
            <a:ext uri="{FF2B5EF4-FFF2-40B4-BE49-F238E27FC236}">
              <a16:creationId xmlns:a16="http://schemas.microsoft.com/office/drawing/2014/main" id="{0622B128-D1C1-4A10-A798-366B31CE648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142876</xdr:colOff>
      <xdr:row>21</xdr:row>
      <xdr:rowOff>71439</xdr:rowOff>
    </xdr:from>
    <xdr:to>
      <xdr:col>35</xdr:col>
      <xdr:colOff>472441</xdr:colOff>
      <xdr:row>23</xdr:row>
      <xdr:rowOff>442914</xdr:rowOff>
    </xdr:to>
    <xdr:graphicFrame macro="">
      <xdr:nvGraphicFramePr>
        <xdr:cNvPr id="8" name="Chart 5">
          <a:extLst>
            <a:ext uri="{FF2B5EF4-FFF2-40B4-BE49-F238E27FC236}">
              <a16:creationId xmlns:a16="http://schemas.microsoft.com/office/drawing/2014/main" id="{5B15D24D-5A96-472C-B38C-D2D52296370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142876</xdr:colOff>
      <xdr:row>24</xdr:row>
      <xdr:rowOff>35718</xdr:rowOff>
    </xdr:from>
    <xdr:to>
      <xdr:col>35</xdr:col>
      <xdr:colOff>472441</xdr:colOff>
      <xdr:row>26</xdr:row>
      <xdr:rowOff>407193</xdr:rowOff>
    </xdr:to>
    <xdr:graphicFrame macro="">
      <xdr:nvGraphicFramePr>
        <xdr:cNvPr id="9" name="Chart 5">
          <a:extLst>
            <a:ext uri="{FF2B5EF4-FFF2-40B4-BE49-F238E27FC236}">
              <a16:creationId xmlns:a16="http://schemas.microsoft.com/office/drawing/2014/main" id="{5F2A9EA0-F32F-43B9-B230-00B8CA63516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142875</xdr:colOff>
      <xdr:row>27</xdr:row>
      <xdr:rowOff>11907</xdr:rowOff>
    </xdr:from>
    <xdr:to>
      <xdr:col>35</xdr:col>
      <xdr:colOff>472440</xdr:colOff>
      <xdr:row>29</xdr:row>
      <xdr:rowOff>383382</xdr:rowOff>
    </xdr:to>
    <xdr:graphicFrame macro="">
      <xdr:nvGraphicFramePr>
        <xdr:cNvPr id="10" name="Chart 5">
          <a:extLst>
            <a:ext uri="{FF2B5EF4-FFF2-40B4-BE49-F238E27FC236}">
              <a16:creationId xmlns:a16="http://schemas.microsoft.com/office/drawing/2014/main" id="{79927674-C2DC-4235-9420-778BC6DB656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130969</xdr:colOff>
      <xdr:row>30</xdr:row>
      <xdr:rowOff>23812</xdr:rowOff>
    </xdr:from>
    <xdr:to>
      <xdr:col>35</xdr:col>
      <xdr:colOff>460534</xdr:colOff>
      <xdr:row>32</xdr:row>
      <xdr:rowOff>395287</xdr:rowOff>
    </xdr:to>
    <xdr:graphicFrame macro="">
      <xdr:nvGraphicFramePr>
        <xdr:cNvPr id="13" name="Chart 5">
          <a:extLst>
            <a:ext uri="{FF2B5EF4-FFF2-40B4-BE49-F238E27FC236}">
              <a16:creationId xmlns:a16="http://schemas.microsoft.com/office/drawing/2014/main" id="{1980748D-5DD0-4A8A-81C0-2256A850E88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122873</xdr:colOff>
      <xdr:row>34</xdr:row>
      <xdr:rowOff>0</xdr:rowOff>
    </xdr:from>
    <xdr:to>
      <xdr:col>35</xdr:col>
      <xdr:colOff>452438</xdr:colOff>
      <xdr:row>36</xdr:row>
      <xdr:rowOff>347663</xdr:rowOff>
    </xdr:to>
    <xdr:graphicFrame macro="">
      <xdr:nvGraphicFramePr>
        <xdr:cNvPr id="14" name="Chart 5">
          <a:extLst>
            <a:ext uri="{FF2B5EF4-FFF2-40B4-BE49-F238E27FC236}">
              <a16:creationId xmlns:a16="http://schemas.microsoft.com/office/drawing/2014/main" id="{EA190C8D-50E8-48B2-8686-6CD4FAC6C96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122873</xdr:colOff>
      <xdr:row>36</xdr:row>
      <xdr:rowOff>486396</xdr:rowOff>
    </xdr:from>
    <xdr:to>
      <xdr:col>35</xdr:col>
      <xdr:colOff>452438</xdr:colOff>
      <xdr:row>39</xdr:row>
      <xdr:rowOff>357809</xdr:rowOff>
    </xdr:to>
    <xdr:graphicFrame macro="">
      <xdr:nvGraphicFramePr>
        <xdr:cNvPr id="15" name="Chart 5">
          <a:extLst>
            <a:ext uri="{FF2B5EF4-FFF2-40B4-BE49-F238E27FC236}">
              <a16:creationId xmlns:a16="http://schemas.microsoft.com/office/drawing/2014/main" id="{1232B6B2-09BB-463D-9F68-7B0A4F05FD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113280</xdr:colOff>
      <xdr:row>39</xdr:row>
      <xdr:rowOff>450678</xdr:rowOff>
    </xdr:from>
    <xdr:to>
      <xdr:col>35</xdr:col>
      <xdr:colOff>442845</xdr:colOff>
      <xdr:row>42</xdr:row>
      <xdr:rowOff>322090</xdr:rowOff>
    </xdr:to>
    <xdr:graphicFrame macro="">
      <xdr:nvGraphicFramePr>
        <xdr:cNvPr id="16" name="Chart 5">
          <a:extLst>
            <a:ext uri="{FF2B5EF4-FFF2-40B4-BE49-F238E27FC236}">
              <a16:creationId xmlns:a16="http://schemas.microsoft.com/office/drawing/2014/main" id="{4256543C-163D-4CAD-94E5-89BB3E5B07C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107157</xdr:colOff>
      <xdr:row>43</xdr:row>
      <xdr:rowOff>81584</xdr:rowOff>
    </xdr:from>
    <xdr:to>
      <xdr:col>35</xdr:col>
      <xdr:colOff>436722</xdr:colOff>
      <xdr:row>45</xdr:row>
      <xdr:rowOff>453059</xdr:rowOff>
    </xdr:to>
    <xdr:graphicFrame macro="">
      <xdr:nvGraphicFramePr>
        <xdr:cNvPr id="18" name="Chart 5">
          <a:extLst>
            <a:ext uri="{FF2B5EF4-FFF2-40B4-BE49-F238E27FC236}">
              <a16:creationId xmlns:a16="http://schemas.microsoft.com/office/drawing/2014/main" id="{274E7DD8-8C55-46EB-A664-100EC33AB4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107157</xdr:colOff>
      <xdr:row>46</xdr:row>
      <xdr:rowOff>45866</xdr:rowOff>
    </xdr:from>
    <xdr:to>
      <xdr:col>35</xdr:col>
      <xdr:colOff>436722</xdr:colOff>
      <xdr:row>48</xdr:row>
      <xdr:rowOff>417341</xdr:rowOff>
    </xdr:to>
    <xdr:graphicFrame macro="">
      <xdr:nvGraphicFramePr>
        <xdr:cNvPr id="19" name="Chart 5">
          <a:extLst>
            <a:ext uri="{FF2B5EF4-FFF2-40B4-BE49-F238E27FC236}">
              <a16:creationId xmlns:a16="http://schemas.microsoft.com/office/drawing/2014/main" id="{05F43322-84E0-46C7-BD11-DC7B9E0B95D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107157</xdr:colOff>
      <xdr:row>52</xdr:row>
      <xdr:rowOff>22055</xdr:rowOff>
    </xdr:from>
    <xdr:to>
      <xdr:col>35</xdr:col>
      <xdr:colOff>436722</xdr:colOff>
      <xdr:row>54</xdr:row>
      <xdr:rowOff>393530</xdr:rowOff>
    </xdr:to>
    <xdr:graphicFrame macro="">
      <xdr:nvGraphicFramePr>
        <xdr:cNvPr id="20" name="Chart 5">
          <a:extLst>
            <a:ext uri="{FF2B5EF4-FFF2-40B4-BE49-F238E27FC236}">
              <a16:creationId xmlns:a16="http://schemas.microsoft.com/office/drawing/2014/main" id="{3B5A78B3-DE2D-410D-8550-407E057DD3C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83345</xdr:colOff>
      <xdr:row>55</xdr:row>
      <xdr:rowOff>33959</xdr:rowOff>
    </xdr:from>
    <xdr:to>
      <xdr:col>35</xdr:col>
      <xdr:colOff>412910</xdr:colOff>
      <xdr:row>57</xdr:row>
      <xdr:rowOff>405434</xdr:rowOff>
    </xdr:to>
    <xdr:graphicFrame macro="">
      <xdr:nvGraphicFramePr>
        <xdr:cNvPr id="21" name="Chart 5">
          <a:extLst>
            <a:ext uri="{FF2B5EF4-FFF2-40B4-BE49-F238E27FC236}">
              <a16:creationId xmlns:a16="http://schemas.microsoft.com/office/drawing/2014/main" id="{9A2D8071-CB02-4AF4-9C38-C97FB370AE8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83343</xdr:colOff>
      <xdr:row>58</xdr:row>
      <xdr:rowOff>33959</xdr:rowOff>
    </xdr:from>
    <xdr:to>
      <xdr:col>35</xdr:col>
      <xdr:colOff>412908</xdr:colOff>
      <xdr:row>60</xdr:row>
      <xdr:rowOff>405434</xdr:rowOff>
    </xdr:to>
    <xdr:graphicFrame macro="">
      <xdr:nvGraphicFramePr>
        <xdr:cNvPr id="22" name="Chart 5">
          <a:extLst>
            <a:ext uri="{FF2B5EF4-FFF2-40B4-BE49-F238E27FC236}">
              <a16:creationId xmlns:a16="http://schemas.microsoft.com/office/drawing/2014/main" id="{FDEA3D6F-BC2A-4751-A000-54018981EE1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83344</xdr:colOff>
      <xdr:row>61</xdr:row>
      <xdr:rowOff>33959</xdr:rowOff>
    </xdr:from>
    <xdr:to>
      <xdr:col>35</xdr:col>
      <xdr:colOff>412909</xdr:colOff>
      <xdr:row>63</xdr:row>
      <xdr:rowOff>405434</xdr:rowOff>
    </xdr:to>
    <xdr:graphicFrame macro="">
      <xdr:nvGraphicFramePr>
        <xdr:cNvPr id="25" name="Chart 5">
          <a:extLst>
            <a:ext uri="{FF2B5EF4-FFF2-40B4-BE49-F238E27FC236}">
              <a16:creationId xmlns:a16="http://schemas.microsoft.com/office/drawing/2014/main" id="{543C7151-1BFB-4B91-AFCC-A9CB4E38FF4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30</xdr:col>
      <xdr:colOff>192512</xdr:colOff>
      <xdr:row>93</xdr:row>
      <xdr:rowOff>10583</xdr:rowOff>
    </xdr:from>
    <xdr:to>
      <xdr:col>37</xdr:col>
      <xdr:colOff>92077</xdr:colOff>
      <xdr:row>96</xdr:row>
      <xdr:rowOff>78210</xdr:rowOff>
    </xdr:to>
    <xdr:graphicFrame macro="">
      <xdr:nvGraphicFramePr>
        <xdr:cNvPr id="26" name="Chart 5">
          <a:extLst>
            <a:ext uri="{FF2B5EF4-FFF2-40B4-BE49-F238E27FC236}">
              <a16:creationId xmlns:a16="http://schemas.microsoft.com/office/drawing/2014/main" id="{92DEBCA2-EC2E-40CE-B89F-8A5B1EBFB670}"/>
            </a:ext>
            <a:ext uri="{147F2762-F138-4A5C-976F-8EAC2B608ADB}">
              <a16:predDERef xmlns:a16="http://schemas.microsoft.com/office/drawing/2014/main" pred="{543C7151-1BFB-4B91-AFCC-A9CB4E38F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113658</xdr:colOff>
      <xdr:row>48</xdr:row>
      <xdr:rowOff>456441</xdr:rowOff>
    </xdr:from>
    <xdr:to>
      <xdr:col>35</xdr:col>
      <xdr:colOff>443223</xdr:colOff>
      <xdr:row>52</xdr:row>
      <xdr:rowOff>53534</xdr:rowOff>
    </xdr:to>
    <xdr:graphicFrame macro="">
      <xdr:nvGraphicFramePr>
        <xdr:cNvPr id="27" name="Chart 26">
          <a:extLst>
            <a:ext uri="{FF2B5EF4-FFF2-40B4-BE49-F238E27FC236}">
              <a16:creationId xmlns:a16="http://schemas.microsoft.com/office/drawing/2014/main" id="{BF0E9577-5D03-456E-880C-06D05BF21E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ound-data/DEER-Prototypes-EnergyPlus" TargetMode="External"/><Relationship Id="rId7" Type="http://schemas.openxmlformats.org/officeDocument/2006/relationships/drawing" Target="../drawings/drawing1.xm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title24stakeholders.com/wp-content/uploads/2016/10/T24-2019-CASE-Study-Results-Report-Outdoor-Sources_Final_with-Attachments.pdf" TargetMode="External"/><Relationship Id="rId5" Type="http://schemas.openxmlformats.org/officeDocument/2006/relationships/hyperlink" Target="https://www.pnnl.gov/main/publications/external/technical_reports/PNNL-20405.pdf" TargetMode="External"/><Relationship Id="rId4" Type="http://schemas.openxmlformats.org/officeDocument/2006/relationships/hyperlink" Target="https://title24stakeholders.com/wp-content/uploads/2020/10/2022-T24-Final-CASE-Report_Reduce-Infiltration.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title24stakeholders.com/wp-content/uploads/2020/09/2022_T24_Final-CASE-Report-MF-DHW-Dist.pdf" TargetMode="External"/><Relationship Id="rId1" Type="http://schemas.openxmlformats.org/officeDocument/2006/relationships/hyperlink" Target="https://www.energy.ca.gov/sites/default/files/2024-06/CEC-500-2024-054.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G34"/>
  <sheetViews>
    <sheetView zoomScaleNormal="100" workbookViewId="0">
      <selection sqref="A1:C1"/>
    </sheetView>
  </sheetViews>
  <sheetFormatPr defaultColWidth="9.33203125" defaultRowHeight="13.2" x14ac:dyDescent="0.25"/>
  <cols>
    <col min="1" max="1" width="14.6640625" style="3" customWidth="1"/>
    <col min="2" max="2" width="86.33203125" style="3" customWidth="1"/>
    <col min="3" max="3" width="41.33203125" style="3" customWidth="1"/>
    <col min="4" max="4" width="21.6640625" style="3" customWidth="1"/>
    <col min="5" max="5" width="10.6640625" style="3" customWidth="1"/>
    <col min="6" max="6" width="9.6640625" style="3" customWidth="1"/>
    <col min="7" max="7" width="9.6640625" style="3" bestFit="1" customWidth="1"/>
    <col min="8" max="16384" width="9.33203125" style="3"/>
  </cols>
  <sheetData>
    <row r="1" spans="1:4" ht="20.399999999999999" customHeight="1" x14ac:dyDescent="0.25">
      <c r="A1" s="480" t="s">
        <v>0</v>
      </c>
      <c r="B1" s="480"/>
      <c r="C1" s="480"/>
    </row>
    <row r="2" spans="1:4" x14ac:dyDescent="0.25">
      <c r="A2" s="280" t="s">
        <v>1</v>
      </c>
      <c r="B2" s="37" t="s">
        <v>2</v>
      </c>
      <c r="C2" s="4"/>
    </row>
    <row r="3" spans="1:4" x14ac:dyDescent="0.25">
      <c r="A3" s="482" t="s">
        <v>3</v>
      </c>
      <c r="B3" s="37" t="s">
        <v>4</v>
      </c>
      <c r="C3" s="341" t="s">
        <v>5</v>
      </c>
    </row>
    <row r="4" spans="1:4" x14ac:dyDescent="0.25">
      <c r="A4" s="482"/>
      <c r="B4" s="37" t="s">
        <v>6</v>
      </c>
      <c r="C4" s="345" t="s">
        <v>7</v>
      </c>
      <c r="D4" s="3" t="s">
        <v>8</v>
      </c>
    </row>
    <row r="5" spans="1:4" x14ac:dyDescent="0.25">
      <c r="A5" s="482" t="s">
        <v>9</v>
      </c>
      <c r="B5" s="37" t="s">
        <v>10</v>
      </c>
      <c r="C5" s="342"/>
    </row>
    <row r="6" spans="1:4" x14ac:dyDescent="0.25">
      <c r="A6" s="482"/>
      <c r="B6" s="37" t="s">
        <v>11</v>
      </c>
      <c r="C6" s="343"/>
    </row>
    <row r="7" spans="1:4" x14ac:dyDescent="0.25">
      <c r="A7" s="482"/>
      <c r="B7" s="37" t="s">
        <v>12</v>
      </c>
      <c r="C7" s="343"/>
      <c r="D7" s="3" t="s">
        <v>8</v>
      </c>
    </row>
    <row r="8" spans="1:4" x14ac:dyDescent="0.25">
      <c r="A8" s="482"/>
      <c r="B8" s="37" t="s">
        <v>13</v>
      </c>
      <c r="C8" s="343"/>
      <c r="D8" s="3" t="s">
        <v>8</v>
      </c>
    </row>
    <row r="9" spans="1:4" x14ac:dyDescent="0.25">
      <c r="A9" s="482" t="s">
        <v>14</v>
      </c>
      <c r="B9" s="37" t="s">
        <v>15</v>
      </c>
      <c r="C9" s="344" t="s">
        <v>16</v>
      </c>
      <c r="D9" s="3" t="s">
        <v>8</v>
      </c>
    </row>
    <row r="10" spans="1:4" x14ac:dyDescent="0.25">
      <c r="A10" s="482"/>
      <c r="B10" s="37" t="s">
        <v>17</v>
      </c>
      <c r="C10" s="346" t="s">
        <v>18</v>
      </c>
      <c r="D10" s="3" t="s">
        <v>8</v>
      </c>
    </row>
    <row r="11" spans="1:4" ht="26.4" x14ac:dyDescent="0.25">
      <c r="A11" s="482"/>
      <c r="B11" s="37" t="s">
        <v>19</v>
      </c>
      <c r="C11" s="346" t="s">
        <v>20</v>
      </c>
      <c r="D11" s="3" t="s">
        <v>8</v>
      </c>
    </row>
    <row r="12" spans="1:4" x14ac:dyDescent="0.25">
      <c r="A12" s="482"/>
      <c r="B12" s="37" t="s">
        <v>21</v>
      </c>
      <c r="C12" s="346" t="s">
        <v>22</v>
      </c>
      <c r="D12" s="3" t="s">
        <v>8</v>
      </c>
    </row>
    <row r="13" spans="1:4" ht="12.75" customHeight="1" x14ac:dyDescent="0.25">
      <c r="A13" s="482"/>
      <c r="B13" s="37" t="s">
        <v>23</v>
      </c>
      <c r="C13" s="344" t="s">
        <v>24</v>
      </c>
      <c r="D13" s="3" t="s">
        <v>8</v>
      </c>
    </row>
    <row r="14" spans="1:4" ht="12.75" customHeight="1" x14ac:dyDescent="0.3">
      <c r="A14" s="482"/>
      <c r="B14" s="37" t="s">
        <v>25</v>
      </c>
      <c r="C14" s="347" t="s">
        <v>26</v>
      </c>
      <c r="D14" s="3" t="s">
        <v>8</v>
      </c>
    </row>
    <row r="15" spans="1:4" ht="12.75" customHeight="1" x14ac:dyDescent="0.3">
      <c r="A15" s="255"/>
      <c r="C15" s="121"/>
      <c r="D15" s="3" t="s">
        <v>8</v>
      </c>
    </row>
    <row r="16" spans="1:4" ht="14.4" x14ac:dyDescent="0.25">
      <c r="A16" s="255"/>
      <c r="B16" s="348"/>
      <c r="C16" s="276"/>
    </row>
    <row r="17" spans="1:7" ht="18.600000000000001" customHeight="1" x14ac:dyDescent="0.25">
      <c r="A17" s="480" t="s">
        <v>27</v>
      </c>
      <c r="B17" s="480"/>
      <c r="C17" s="480"/>
    </row>
    <row r="18" spans="1:7" x14ac:dyDescent="0.25">
      <c r="C18" s="4"/>
    </row>
    <row r="19" spans="1:7" x14ac:dyDescent="0.25">
      <c r="C19" s="4"/>
    </row>
    <row r="20" spans="1:7" x14ac:dyDescent="0.25">
      <c r="C20" s="4"/>
    </row>
    <row r="21" spans="1:7" ht="14.4" x14ac:dyDescent="0.3">
      <c r="B21"/>
      <c r="C21" s="4"/>
    </row>
    <row r="22" spans="1:7" x14ac:dyDescent="0.25">
      <c r="C22" s="4"/>
    </row>
    <row r="23" spans="1:7" x14ac:dyDescent="0.25">
      <c r="C23" s="4"/>
    </row>
    <row r="24" spans="1:7" x14ac:dyDescent="0.25">
      <c r="C24" s="4"/>
    </row>
    <row r="25" spans="1:7" x14ac:dyDescent="0.25">
      <c r="C25" s="4"/>
    </row>
    <row r="26" spans="1:7" x14ac:dyDescent="0.25">
      <c r="C26" s="4"/>
    </row>
    <row r="27" spans="1:7" x14ac:dyDescent="0.25">
      <c r="C27" s="4"/>
    </row>
    <row r="28" spans="1:7" x14ac:dyDescent="0.25">
      <c r="C28" s="4"/>
    </row>
    <row r="29" spans="1:7" x14ac:dyDescent="0.25">
      <c r="C29" s="4"/>
    </row>
    <row r="30" spans="1:7" ht="19.2" customHeight="1" x14ac:dyDescent="0.25">
      <c r="A30" s="480" t="s">
        <v>28</v>
      </c>
      <c r="B30" s="480"/>
      <c r="C30" s="480"/>
    </row>
    <row r="31" spans="1:7" ht="14.7" customHeight="1" x14ac:dyDescent="0.25">
      <c r="B31" s="481"/>
      <c r="C31" s="481"/>
      <c r="D31" s="327"/>
      <c r="E31" s="6"/>
      <c r="F31" s="6"/>
      <c r="G31" s="6"/>
    </row>
    <row r="32" spans="1:7" x14ac:dyDescent="0.25">
      <c r="A32" s="8"/>
      <c r="B32" s="479"/>
      <c r="C32" s="479"/>
      <c r="D32" s="327"/>
      <c r="E32" s="30"/>
      <c r="F32" s="30"/>
      <c r="G32" s="30"/>
    </row>
    <row r="33" spans="1:3" x14ac:dyDescent="0.25">
      <c r="A33" s="8"/>
      <c r="B33" s="479"/>
      <c r="C33" s="479"/>
    </row>
    <row r="34" spans="1:3" x14ac:dyDescent="0.25">
      <c r="A34" s="8"/>
      <c r="B34" s="479"/>
      <c r="C34" s="479"/>
    </row>
  </sheetData>
  <mergeCells count="10">
    <mergeCell ref="A1:C1"/>
    <mergeCell ref="B31:C31"/>
    <mergeCell ref="A3:A4"/>
    <mergeCell ref="A5:A8"/>
    <mergeCell ref="A9:A14"/>
    <mergeCell ref="B32:C32"/>
    <mergeCell ref="B33:C33"/>
    <mergeCell ref="B34:C34"/>
    <mergeCell ref="A30:C30"/>
    <mergeCell ref="A17:C17"/>
  </mergeCells>
  <hyperlinks>
    <hyperlink ref="C6" r:id="rId1" display="https://bees.noresco.com/software2022.html" xr:uid="{BE11EEF8-3AF7-48F0-A38B-7309CE5A9491}"/>
    <hyperlink ref="C7" r:id="rId2" location="Commercial" display="https://www.energycodes.gov/prototype-building-models#Commercial" xr:uid="{626A4776-C2FA-489E-88C0-BC9C7C8EA36F}"/>
    <hyperlink ref="C8" r:id="rId3" display="https://github.com/sound-data/DEER-Prototypes-EnergyPlus" xr:uid="{0DEB00BB-3A26-4527-9ED4-40D17F93A579}"/>
    <hyperlink ref="C13" r:id="rId4" display="https://title24stakeholders.com/wp-content/uploads/2020/10/2022-T24-Final-CASE-Report_Reduce-Infiltration.pdf" xr:uid="{5814AF80-D2B1-423C-9148-8871BBDE5F13}"/>
    <hyperlink ref="C15" r:id="rId5" display="https://www.pnnl.gov/main/publications/external/technical_reports/PNNL-20405.pdf" xr:uid="{87573880-884C-4373-BE74-6BDCB4E6ECFE}"/>
    <hyperlink ref="C14" r:id="rId6" display="https://title24stakeholders.com/wp-content/uploads/2016/10/T24-2019-CASE-Study-Results-Report-Outdoor-Sources_Final_with-Attachments.pdf" xr:uid="{80103BCF-A0A0-4443-9C93-CCC3DE7FE740}"/>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0"/>
  <sheetViews>
    <sheetView tabSelected="1" zoomScaleNormal="100" workbookViewId="0">
      <selection sqref="A1:C1"/>
    </sheetView>
  </sheetViews>
  <sheetFormatPr defaultColWidth="9.33203125" defaultRowHeight="13.8" x14ac:dyDescent="0.25"/>
  <cols>
    <col min="1" max="1" width="25" style="1" customWidth="1"/>
    <col min="2" max="2" width="67.88671875" style="1" customWidth="1"/>
    <col min="3" max="3" width="49.6640625" style="1" customWidth="1"/>
    <col min="4" max="9" width="8.6640625" style="1" customWidth="1"/>
    <col min="10" max="16384" width="9.33203125" style="1"/>
  </cols>
  <sheetData>
    <row r="1" spans="1:9" ht="17.399999999999999" x14ac:dyDescent="0.25">
      <c r="A1" s="473" t="s">
        <v>29</v>
      </c>
      <c r="B1" s="473"/>
      <c r="C1" s="473"/>
      <c r="D1" s="10"/>
      <c r="E1" s="10"/>
      <c r="F1" s="10"/>
    </row>
    <row r="2" spans="1:9" ht="25.2" customHeight="1" x14ac:dyDescent="0.25">
      <c r="A2" s="474" t="s">
        <v>30</v>
      </c>
      <c r="B2" s="475"/>
      <c r="C2" s="475"/>
      <c r="D2" s="10"/>
      <c r="E2" s="10"/>
      <c r="F2" s="10"/>
    </row>
    <row r="3" spans="1:9" ht="20.399999999999999" customHeight="1" x14ac:dyDescent="0.25">
      <c r="A3" s="16" t="s">
        <v>31</v>
      </c>
      <c r="B3" s="336" t="s">
        <v>32</v>
      </c>
      <c r="C3" s="17" t="s">
        <v>0</v>
      </c>
    </row>
    <row r="4" spans="1:9" ht="16.2" customHeight="1" x14ac:dyDescent="0.25">
      <c r="A4" s="14" t="s">
        <v>33</v>
      </c>
      <c r="B4" s="329" t="s">
        <v>34</v>
      </c>
      <c r="C4" s="14"/>
    </row>
    <row r="5" spans="1:9" ht="16.2" customHeight="1" x14ac:dyDescent="0.25">
      <c r="A5" s="14" t="s">
        <v>35</v>
      </c>
      <c r="B5" s="329" t="s">
        <v>36</v>
      </c>
      <c r="C5" s="14"/>
    </row>
    <row r="6" spans="1:9" ht="16.2" customHeight="1" x14ac:dyDescent="0.25">
      <c r="A6" s="349" t="s">
        <v>37</v>
      </c>
      <c r="B6" s="350" t="s">
        <v>38</v>
      </c>
      <c r="C6" s="14"/>
    </row>
    <row r="7" spans="1:9" ht="94.5" customHeight="1" x14ac:dyDescent="0.25">
      <c r="A7" s="14" t="s">
        <v>39</v>
      </c>
      <c r="B7" s="328" t="s">
        <v>40</v>
      </c>
      <c r="C7" s="15" t="s">
        <v>41</v>
      </c>
      <c r="D7" s="59"/>
    </row>
    <row r="8" spans="1:9" ht="97.2" customHeight="1" x14ac:dyDescent="0.25">
      <c r="A8" s="14" t="s">
        <v>42</v>
      </c>
      <c r="B8" s="329"/>
      <c r="C8" s="351" t="s">
        <v>43</v>
      </c>
      <c r="I8" s="2"/>
    </row>
    <row r="9" spans="1:9" ht="38.25" customHeight="1" x14ac:dyDescent="0.25">
      <c r="A9" s="11" t="s">
        <v>44</v>
      </c>
      <c r="B9" s="12">
        <f>Zones!J40</f>
        <v>141013.76000000001</v>
      </c>
      <c r="C9" s="476" t="s">
        <v>45</v>
      </c>
    </row>
    <row r="10" spans="1:9" ht="16.2" customHeight="1" x14ac:dyDescent="0.25">
      <c r="A10" s="11" t="s">
        <v>46</v>
      </c>
      <c r="B10" s="58">
        <f>180/155</f>
        <v>1.1612903225806452</v>
      </c>
      <c r="C10" s="477"/>
    </row>
    <row r="11" spans="1:9" x14ac:dyDescent="0.25">
      <c r="A11" s="13" t="s">
        <v>47</v>
      </c>
      <c r="B11" s="329" t="s">
        <v>48</v>
      </c>
      <c r="C11" s="477"/>
    </row>
    <row r="12" spans="1:9" x14ac:dyDescent="0.25">
      <c r="A12" s="13" t="s">
        <v>49</v>
      </c>
      <c r="B12" s="329" t="s">
        <v>50</v>
      </c>
      <c r="C12" s="477"/>
    </row>
    <row r="13" spans="1:9" ht="26.4" x14ac:dyDescent="0.25">
      <c r="A13" s="13" t="s">
        <v>51</v>
      </c>
      <c r="B13" s="64" t="s">
        <v>52</v>
      </c>
      <c r="C13" s="477"/>
    </row>
    <row r="14" spans="1:9" x14ac:dyDescent="0.25">
      <c r="A14" s="11" t="s">
        <v>53</v>
      </c>
      <c r="B14" s="329" t="s">
        <v>54</v>
      </c>
      <c r="C14" s="477"/>
    </row>
    <row r="15" spans="1:9" ht="21.6" customHeight="1" x14ac:dyDescent="0.25">
      <c r="A15" s="11" t="s">
        <v>55</v>
      </c>
      <c r="B15" s="108" t="s">
        <v>56</v>
      </c>
      <c r="C15" s="477"/>
    </row>
    <row r="16" spans="1:9" ht="48" customHeight="1" x14ac:dyDescent="0.25">
      <c r="A16" s="11" t="s">
        <v>57</v>
      </c>
      <c r="B16" s="328" t="s">
        <v>58</v>
      </c>
      <c r="C16" s="477"/>
    </row>
    <row r="17" spans="1:3" ht="39.6" customHeight="1" x14ac:dyDescent="0.25">
      <c r="A17" s="11" t="s">
        <v>59</v>
      </c>
      <c r="B17" s="328" t="s">
        <v>60</v>
      </c>
      <c r="C17" s="477"/>
    </row>
    <row r="18" spans="1:3" ht="20.399999999999999" customHeight="1" x14ac:dyDescent="0.25">
      <c r="A18" s="11" t="s">
        <v>61</v>
      </c>
      <c r="B18" s="328" t="s">
        <v>62</v>
      </c>
      <c r="C18" s="478"/>
    </row>
    <row r="19" spans="1:3" ht="41.4" x14ac:dyDescent="0.25">
      <c r="A19" s="277" t="s">
        <v>63</v>
      </c>
      <c r="B19" s="278">
        <v>88</v>
      </c>
      <c r="C19" s="279" t="s">
        <v>64</v>
      </c>
    </row>
    <row r="21" spans="1:3" ht="14.7" customHeight="1" x14ac:dyDescent="0.25"/>
    <row r="22" spans="1:3" ht="14.7" customHeight="1" x14ac:dyDescent="0.25">
      <c r="A22" s="109" t="s">
        <v>65</v>
      </c>
      <c r="B22" s="110">
        <v>42304.13</v>
      </c>
    </row>
    <row r="23" spans="1:3" x14ac:dyDescent="0.25">
      <c r="A23" s="109" t="s">
        <v>66</v>
      </c>
      <c r="B23" s="110">
        <v>51685.04</v>
      </c>
    </row>
    <row r="24" spans="1:3" ht="14.7" customHeight="1" x14ac:dyDescent="0.25">
      <c r="A24" s="109" t="s">
        <v>67</v>
      </c>
      <c r="B24" s="110">
        <v>27902.720000000001</v>
      </c>
    </row>
    <row r="25" spans="1:3" ht="14.7" customHeight="1" x14ac:dyDescent="0.25">
      <c r="A25" s="109" t="s">
        <v>68</v>
      </c>
      <c r="B25" s="110">
        <f>B23-B22</f>
        <v>9380.9100000000035</v>
      </c>
    </row>
    <row r="26" spans="1:3" ht="14.7" customHeight="1" x14ac:dyDescent="0.25"/>
    <row r="29" spans="1:3" ht="14.7" customHeight="1" x14ac:dyDescent="0.25"/>
    <row r="30" spans="1:3" ht="14.7" customHeight="1" x14ac:dyDescent="0.25"/>
  </sheetData>
  <mergeCells count="3">
    <mergeCell ref="A1:C1"/>
    <mergeCell ref="A2:C2"/>
    <mergeCell ref="C9:C1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FA7E-5301-47EF-897F-A5F351FF4E73}">
  <sheetPr codeName="Sheet12"/>
  <dimension ref="A1:ATH171"/>
  <sheetViews>
    <sheetView zoomScaleNormal="100" workbookViewId="0">
      <selection sqref="A1:N1"/>
    </sheetView>
  </sheetViews>
  <sheetFormatPr defaultColWidth="8.6640625" defaultRowHeight="13.2" x14ac:dyDescent="0.25"/>
  <cols>
    <col min="1" max="1" width="50" style="3" bestFit="1" customWidth="1"/>
    <col min="2" max="2" width="22.33203125" style="3" bestFit="1" customWidth="1"/>
    <col min="3" max="3" width="12.44140625" style="3" customWidth="1"/>
    <col min="4" max="4" width="22.33203125" style="3" customWidth="1"/>
    <col min="5" max="7" width="31.6640625" style="3" customWidth="1"/>
    <col min="8" max="8" width="19" style="3" customWidth="1"/>
    <col min="9" max="9" width="14.6640625" style="3" customWidth="1"/>
    <col min="10" max="10" width="12.6640625" style="3" customWidth="1"/>
    <col min="11" max="11" width="12" style="3" customWidth="1"/>
    <col min="12" max="12" width="11.33203125" style="3" customWidth="1"/>
    <col min="13" max="13" width="13" style="3" customWidth="1"/>
    <col min="14" max="15" width="39.44140625" style="3" customWidth="1"/>
    <col min="16" max="16" width="10.109375" style="3" customWidth="1"/>
    <col min="17" max="17" width="12.6640625" style="3" customWidth="1"/>
    <col min="18" max="18" width="25.33203125" style="3" customWidth="1"/>
    <col min="19" max="19" width="22.33203125" style="3" bestFit="1" customWidth="1"/>
    <col min="20" max="20" width="18.33203125" style="3" customWidth="1"/>
    <col min="21" max="21" width="25.6640625" style="3" customWidth="1"/>
    <col min="22" max="22" width="22.6640625" style="3" customWidth="1"/>
    <col min="23" max="23" width="16.33203125" style="3" customWidth="1"/>
    <col min="24" max="24" width="6.6640625" style="3" bestFit="1" customWidth="1"/>
    <col min="25" max="29" width="17.33203125" style="3" customWidth="1"/>
    <col min="30" max="16384" width="8.6640625" style="3"/>
  </cols>
  <sheetData>
    <row r="1" spans="1:25" ht="25.95" customHeight="1" x14ac:dyDescent="0.25">
      <c r="A1" s="483" t="str">
        <f>"Proposed Layout - "&amp;Prototype!A2</f>
        <v xml:space="preserve">Proposed Layout - ApartmentMidRise </v>
      </c>
      <c r="B1" s="484"/>
      <c r="C1" s="484"/>
      <c r="D1" s="484"/>
      <c r="E1" s="484"/>
      <c r="F1" s="484"/>
      <c r="G1" s="484"/>
      <c r="H1" s="484"/>
      <c r="I1" s="484"/>
      <c r="J1" s="484"/>
      <c r="K1" s="484"/>
      <c r="L1" s="484"/>
      <c r="M1" s="484"/>
      <c r="N1" s="484"/>
      <c r="O1" s="324"/>
    </row>
    <row r="2" spans="1:25" ht="99.75" customHeight="1" x14ac:dyDescent="0.25">
      <c r="A2" s="149" t="s">
        <v>69</v>
      </c>
      <c r="B2" s="29" t="s">
        <v>70</v>
      </c>
      <c r="C2" s="29" t="s">
        <v>71</v>
      </c>
      <c r="D2" s="29" t="s">
        <v>72</v>
      </c>
      <c r="E2" s="29" t="s">
        <v>73</v>
      </c>
      <c r="F2" s="29" t="s">
        <v>74</v>
      </c>
      <c r="G2" s="29" t="s">
        <v>75</v>
      </c>
      <c r="H2" s="28" t="s">
        <v>76</v>
      </c>
      <c r="I2" s="29" t="s">
        <v>77</v>
      </c>
      <c r="J2" s="29" t="s">
        <v>78</v>
      </c>
      <c r="K2" s="28" t="s">
        <v>79</v>
      </c>
      <c r="L2" s="28" t="s">
        <v>80</v>
      </c>
      <c r="M2" s="28" t="s">
        <v>81</v>
      </c>
      <c r="N2" s="352" t="s">
        <v>82</v>
      </c>
      <c r="O2" s="353" t="s">
        <v>28</v>
      </c>
      <c r="Q2" s="289"/>
      <c r="R2" s="290" t="s">
        <v>83</v>
      </c>
      <c r="S2" s="290"/>
      <c r="T2" s="290"/>
      <c r="U2" s="290"/>
      <c r="V2" s="290"/>
      <c r="W2" s="290"/>
      <c r="X2" s="290"/>
      <c r="Y2" s="291"/>
    </row>
    <row r="3" spans="1:25" ht="17.850000000000001" customHeight="1" x14ac:dyDescent="0.25">
      <c r="A3" s="65" t="s">
        <v>84</v>
      </c>
      <c r="B3" s="65" t="s">
        <v>85</v>
      </c>
      <c r="C3" s="331" t="s">
        <v>86</v>
      </c>
      <c r="D3" s="331" t="s">
        <v>87</v>
      </c>
      <c r="E3" s="331" t="s">
        <v>88</v>
      </c>
      <c r="F3" s="331" t="s">
        <v>88</v>
      </c>
      <c r="G3" s="331" t="s">
        <v>89</v>
      </c>
      <c r="H3" s="63" t="s">
        <v>90</v>
      </c>
      <c r="I3" s="66">
        <f t="shared" ref="I3:I39" si="0">J3*L3/$J$40</f>
        <v>2.5532260114190276E-3</v>
      </c>
      <c r="J3" s="69">
        <v>360.04</v>
      </c>
      <c r="K3" s="68">
        <v>3600.53</v>
      </c>
      <c r="L3" s="63">
        <v>1</v>
      </c>
      <c r="M3" s="354">
        <f t="shared" ref="M3:M12" si="1">N3*J3*L3/1000</f>
        <v>24.003866800000004</v>
      </c>
      <c r="N3" s="301">
        <v>66.67</v>
      </c>
      <c r="O3" s="485" t="s">
        <v>91</v>
      </c>
      <c r="Q3" s="292"/>
      <c r="R3" s="293"/>
      <c r="S3" s="293"/>
      <c r="T3" s="293"/>
      <c r="U3" s="293"/>
      <c r="V3" s="293"/>
      <c r="W3" s="293"/>
      <c r="X3" s="293"/>
      <c r="Y3" s="294"/>
    </row>
    <row r="4" spans="1:25" ht="17.850000000000001" customHeight="1" x14ac:dyDescent="0.25">
      <c r="A4" s="65" t="s">
        <v>92</v>
      </c>
      <c r="B4" s="65" t="s">
        <v>93</v>
      </c>
      <c r="C4" s="331" t="s">
        <v>86</v>
      </c>
      <c r="D4" s="331" t="s">
        <v>87</v>
      </c>
      <c r="E4" s="331" t="s">
        <v>88</v>
      </c>
      <c r="F4" s="331" t="s">
        <v>88</v>
      </c>
      <c r="G4" s="331" t="s">
        <v>94</v>
      </c>
      <c r="H4" s="63" t="s">
        <v>90</v>
      </c>
      <c r="I4" s="66">
        <f t="shared" si="0"/>
        <v>1.3617039925749089E-2</v>
      </c>
      <c r="J4" s="69">
        <v>1920.19</v>
      </c>
      <c r="K4" s="68">
        <v>19202.810000000001</v>
      </c>
      <c r="L4" s="63">
        <v>1</v>
      </c>
      <c r="M4" s="354">
        <f t="shared" si="1"/>
        <v>19.201900000000002</v>
      </c>
      <c r="N4" s="301">
        <v>10</v>
      </c>
      <c r="O4" s="486"/>
      <c r="Q4" s="292"/>
      <c r="R4" s="293"/>
      <c r="S4" s="293"/>
      <c r="T4" s="293"/>
      <c r="U4" s="293"/>
      <c r="V4" s="293"/>
      <c r="W4" s="293"/>
      <c r="X4" s="293"/>
      <c r="Y4" s="294"/>
    </row>
    <row r="5" spans="1:25" ht="17.850000000000001" customHeight="1" x14ac:dyDescent="0.25">
      <c r="A5" s="65" t="s">
        <v>95</v>
      </c>
      <c r="B5" s="65" t="s">
        <v>96</v>
      </c>
      <c r="C5" s="331" t="s">
        <v>86</v>
      </c>
      <c r="D5" s="331" t="s">
        <v>87</v>
      </c>
      <c r="E5" s="331" t="s">
        <v>88</v>
      </c>
      <c r="F5" s="331" t="s">
        <v>88</v>
      </c>
      <c r="G5" s="331" t="s">
        <v>97</v>
      </c>
      <c r="H5" s="63" t="s">
        <v>90</v>
      </c>
      <c r="I5" s="66">
        <f t="shared" si="0"/>
        <v>6.3829941134822587E-3</v>
      </c>
      <c r="J5" s="69">
        <v>900.09</v>
      </c>
      <c r="K5" s="68">
        <v>9001.32</v>
      </c>
      <c r="L5" s="63">
        <v>1</v>
      </c>
      <c r="M5" s="354">
        <f t="shared" si="1"/>
        <v>18.001799999999999</v>
      </c>
      <c r="N5" s="301">
        <v>20</v>
      </c>
      <c r="O5" s="486"/>
      <c r="P5" s="53"/>
      <c r="Q5" s="292"/>
      <c r="R5" s="293"/>
      <c r="S5" s="293"/>
      <c r="T5" s="293"/>
      <c r="U5" s="293"/>
      <c r="V5" s="293"/>
      <c r="W5" s="293"/>
      <c r="X5" s="293"/>
      <c r="Y5" s="294"/>
    </row>
    <row r="6" spans="1:25" ht="17.850000000000001" customHeight="1" x14ac:dyDescent="0.25">
      <c r="A6" s="65" t="s">
        <v>98</v>
      </c>
      <c r="B6" s="65" t="s">
        <v>99</v>
      </c>
      <c r="C6" s="331" t="s">
        <v>86</v>
      </c>
      <c r="D6" s="331" t="s">
        <v>87</v>
      </c>
      <c r="E6" s="331" t="s">
        <v>88</v>
      </c>
      <c r="F6" s="331" t="s">
        <v>88</v>
      </c>
      <c r="G6" s="331" t="s">
        <v>100</v>
      </c>
      <c r="H6" s="63" t="s">
        <v>90</v>
      </c>
      <c r="I6" s="66">
        <f t="shared" si="0"/>
        <v>2.4467824983888092E-3</v>
      </c>
      <c r="J6" s="69">
        <v>345.03</v>
      </c>
      <c r="K6" s="68">
        <v>3450.51</v>
      </c>
      <c r="L6" s="63">
        <v>1</v>
      </c>
      <c r="M6" s="354">
        <f t="shared" si="1"/>
        <v>3.4502999999999999</v>
      </c>
      <c r="N6" s="301">
        <v>10</v>
      </c>
      <c r="O6" s="486"/>
      <c r="Q6" s="292"/>
      <c r="R6" s="293"/>
      <c r="S6" s="293"/>
      <c r="T6" s="293"/>
      <c r="U6" s="293"/>
      <c r="V6" s="293"/>
      <c r="W6" s="293"/>
      <c r="X6" s="293"/>
      <c r="Y6" s="294"/>
    </row>
    <row r="7" spans="1:25" ht="17.850000000000001" customHeight="1" x14ac:dyDescent="0.25">
      <c r="A7" s="65" t="s">
        <v>101</v>
      </c>
      <c r="B7" s="65" t="s">
        <v>102</v>
      </c>
      <c r="C7" s="331" t="s">
        <v>86</v>
      </c>
      <c r="D7" s="331" t="s">
        <v>87</v>
      </c>
      <c r="E7" s="331" t="s">
        <v>88</v>
      </c>
      <c r="F7" s="331" t="s">
        <v>88</v>
      </c>
      <c r="G7" s="331" t="s">
        <v>103</v>
      </c>
      <c r="H7" s="63" t="s">
        <v>90</v>
      </c>
      <c r="I7" s="66">
        <f t="shared" si="0"/>
        <v>7.446791008196646E-3</v>
      </c>
      <c r="J7" s="69">
        <v>1050.0999999999999</v>
      </c>
      <c r="K7" s="68">
        <v>10501.54</v>
      </c>
      <c r="L7" s="63">
        <v>1</v>
      </c>
      <c r="M7" s="354">
        <f t="shared" si="1"/>
        <v>70.041669999999996</v>
      </c>
      <c r="N7" s="301">
        <v>66.7</v>
      </c>
      <c r="O7" s="486"/>
      <c r="Q7" s="292"/>
      <c r="R7" s="293"/>
      <c r="S7" s="293"/>
      <c r="T7" s="293"/>
      <c r="U7" s="293"/>
      <c r="V7" s="293"/>
      <c r="W7" s="293"/>
      <c r="X7" s="293"/>
      <c r="Y7" s="294"/>
    </row>
    <row r="8" spans="1:25" ht="17.850000000000001" customHeight="1" x14ac:dyDescent="0.25">
      <c r="A8" s="65" t="s">
        <v>104</v>
      </c>
      <c r="B8" s="65" t="s">
        <v>105</v>
      </c>
      <c r="C8" s="331" t="s">
        <v>86</v>
      </c>
      <c r="D8" s="331" t="s">
        <v>87</v>
      </c>
      <c r="E8" s="331" t="s">
        <v>88</v>
      </c>
      <c r="F8" s="331" t="s">
        <v>88</v>
      </c>
      <c r="G8" s="331" t="s">
        <v>106</v>
      </c>
      <c r="H8" s="63" t="s">
        <v>90</v>
      </c>
      <c r="I8" s="66">
        <f t="shared" si="0"/>
        <v>3.0638144816505851E-3</v>
      </c>
      <c r="J8" s="69">
        <v>432.04</v>
      </c>
      <c r="K8" s="68">
        <v>4320.63</v>
      </c>
      <c r="L8" s="63">
        <v>1</v>
      </c>
      <c r="M8" s="354">
        <f t="shared" si="1"/>
        <v>1.2961200000000002</v>
      </c>
      <c r="N8" s="301">
        <v>3</v>
      </c>
      <c r="O8" s="486"/>
      <c r="Q8" s="292"/>
      <c r="R8" s="293"/>
      <c r="S8" s="293"/>
      <c r="T8" s="293"/>
      <c r="U8" s="293"/>
      <c r="V8" s="293"/>
      <c r="W8" s="293"/>
      <c r="X8" s="293"/>
      <c r="Y8" s="294"/>
    </row>
    <row r="9" spans="1:25" ht="17.850000000000001" customHeight="1" x14ac:dyDescent="0.25">
      <c r="A9" s="65" t="s">
        <v>107</v>
      </c>
      <c r="B9" s="65" t="s">
        <v>108</v>
      </c>
      <c r="C9" s="331" t="s">
        <v>86</v>
      </c>
      <c r="D9" s="331" t="s">
        <v>109</v>
      </c>
      <c r="E9" s="331" t="s">
        <v>88</v>
      </c>
      <c r="F9" s="331" t="s">
        <v>88</v>
      </c>
      <c r="G9" s="331" t="s">
        <v>110</v>
      </c>
      <c r="H9" s="63" t="s">
        <v>90</v>
      </c>
      <c r="I9" s="66">
        <f t="shared" si="0"/>
        <v>4.2446779661786192E-2</v>
      </c>
      <c r="J9" s="69">
        <v>5985.58</v>
      </c>
      <c r="K9" s="68">
        <v>59858.76</v>
      </c>
      <c r="L9" s="63">
        <v>1</v>
      </c>
      <c r="M9" s="354">
        <f t="shared" si="1"/>
        <v>99.75966666666686</v>
      </c>
      <c r="N9" s="301">
        <v>16.6666666666667</v>
      </c>
      <c r="O9" s="486"/>
      <c r="Q9" s="292"/>
      <c r="R9" s="293"/>
      <c r="S9" s="293"/>
      <c r="T9" s="293"/>
      <c r="U9" s="293"/>
      <c r="V9" s="293"/>
      <c r="W9" s="293"/>
      <c r="X9" s="293"/>
      <c r="Y9" s="294"/>
    </row>
    <row r="10" spans="1:25" ht="17.850000000000001" customHeight="1" x14ac:dyDescent="0.25">
      <c r="A10" s="65" t="s">
        <v>107</v>
      </c>
      <c r="B10" s="65" t="s">
        <v>111</v>
      </c>
      <c r="C10" s="331" t="s">
        <v>86</v>
      </c>
      <c r="D10" s="331" t="s">
        <v>109</v>
      </c>
      <c r="E10" s="331" t="s">
        <v>88</v>
      </c>
      <c r="F10" s="331" t="s">
        <v>88</v>
      </c>
      <c r="G10" s="331" t="s">
        <v>112</v>
      </c>
      <c r="H10" s="63" t="s">
        <v>90</v>
      </c>
      <c r="I10" s="66">
        <f t="shared" si="0"/>
        <v>3.0638286646636467E-2</v>
      </c>
      <c r="J10" s="69">
        <v>4320.42</v>
      </c>
      <c r="K10" s="68">
        <v>43206.32</v>
      </c>
      <c r="L10" s="63">
        <v>1</v>
      </c>
      <c r="M10" s="354">
        <f t="shared" si="1"/>
        <v>72.007000000000147</v>
      </c>
      <c r="N10" s="301">
        <v>16.6666666666667</v>
      </c>
      <c r="O10" s="486"/>
      <c r="Q10" s="292"/>
      <c r="R10" s="293"/>
      <c r="S10" s="293"/>
      <c r="T10" s="293"/>
      <c r="U10" s="293"/>
      <c r="V10" s="293"/>
      <c r="W10" s="293"/>
      <c r="X10" s="293"/>
      <c r="Y10" s="294"/>
    </row>
    <row r="11" spans="1:25" ht="17.850000000000001" customHeight="1" x14ac:dyDescent="0.25">
      <c r="A11" s="65" t="s">
        <v>107</v>
      </c>
      <c r="B11" s="65" t="s">
        <v>113</v>
      </c>
      <c r="C11" s="331" t="s">
        <v>86</v>
      </c>
      <c r="D11" s="331" t="s">
        <v>109</v>
      </c>
      <c r="E11" s="331" t="s">
        <v>88</v>
      </c>
      <c r="F11" s="331" t="s">
        <v>88</v>
      </c>
      <c r="G11" s="331" t="s">
        <v>114</v>
      </c>
      <c r="H11" s="63" t="s">
        <v>90</v>
      </c>
      <c r="I11" s="66">
        <f t="shared" si="0"/>
        <v>2.0425524431090979E-2</v>
      </c>
      <c r="J11" s="69">
        <v>2880.28</v>
      </c>
      <c r="K11" s="68">
        <v>28804.22</v>
      </c>
      <c r="L11" s="63">
        <v>1</v>
      </c>
      <c r="M11" s="354">
        <f t="shared" si="1"/>
        <v>48.004666666666765</v>
      </c>
      <c r="N11" s="301">
        <v>16.6666666666667</v>
      </c>
      <c r="O11" s="486"/>
      <c r="Q11" s="292"/>
      <c r="R11" s="293"/>
      <c r="S11" s="293"/>
      <c r="T11" s="293"/>
      <c r="U11" s="293"/>
      <c r="V11" s="293"/>
      <c r="W11" s="293"/>
      <c r="X11" s="293"/>
      <c r="Y11" s="294"/>
    </row>
    <row r="12" spans="1:25" ht="17.850000000000001" customHeight="1" x14ac:dyDescent="0.25">
      <c r="A12" s="65" t="s">
        <v>107</v>
      </c>
      <c r="B12" s="65" t="s">
        <v>115</v>
      </c>
      <c r="C12" s="331" t="s">
        <v>86</v>
      </c>
      <c r="D12" s="331" t="s">
        <v>109</v>
      </c>
      <c r="E12" s="331" t="s">
        <v>88</v>
      </c>
      <c r="F12" s="331" t="s">
        <v>88</v>
      </c>
      <c r="G12" s="331" t="s">
        <v>116</v>
      </c>
      <c r="H12" s="63" t="s">
        <v>90</v>
      </c>
      <c r="I12" s="66">
        <f t="shared" si="0"/>
        <v>3.1404240267049119E-2</v>
      </c>
      <c r="J12" s="69">
        <v>4428.43</v>
      </c>
      <c r="K12" s="68">
        <v>44286.48</v>
      </c>
      <c r="L12" s="63">
        <v>1</v>
      </c>
      <c r="M12" s="354">
        <f t="shared" si="1"/>
        <v>73.807166666666816</v>
      </c>
      <c r="N12" s="301">
        <v>16.6666666666667</v>
      </c>
      <c r="O12" s="486"/>
      <c r="Q12" s="292"/>
      <c r="R12" s="293"/>
      <c r="S12" s="293"/>
      <c r="T12" s="293"/>
      <c r="U12" s="293"/>
      <c r="V12" s="293"/>
      <c r="W12" s="293"/>
      <c r="X12" s="293"/>
      <c r="Y12" s="294"/>
    </row>
    <row r="13" spans="1:25" ht="17.850000000000001" customHeight="1" x14ac:dyDescent="0.25">
      <c r="A13" s="355" t="s">
        <v>117</v>
      </c>
      <c r="B13" s="65" t="s">
        <v>118</v>
      </c>
      <c r="C13" s="331" t="s">
        <v>119</v>
      </c>
      <c r="D13" s="331" t="s">
        <v>120</v>
      </c>
      <c r="E13" s="350">
        <v>6</v>
      </c>
      <c r="F13" s="331" t="s">
        <v>121</v>
      </c>
      <c r="G13" s="331" t="s">
        <v>122</v>
      </c>
      <c r="H13" s="63" t="s">
        <v>90</v>
      </c>
      <c r="I13" s="66">
        <f t="shared" si="0"/>
        <v>3.0638286646636467E-2</v>
      </c>
      <c r="J13" s="69">
        <v>1440.14</v>
      </c>
      <c r="K13" s="68">
        <v>14402.11</v>
      </c>
      <c r="L13" s="63">
        <v>3</v>
      </c>
      <c r="M13" s="354">
        <f t="shared" ref="M13:M21" si="2">E13*N13</f>
        <v>12</v>
      </c>
      <c r="N13" s="356">
        <f t="shared" ref="N13:N21" si="3">MAX(2,1+IF(ISNUMBER(SEARCH("Studio",F13)),0,IF(ISNUMBER(SEARCH("3-Bed",F13)),3,IF(ISNUMBER(SEARCH("2-Bed",F13)),2,1))))</f>
        <v>2</v>
      </c>
      <c r="O13" s="486"/>
      <c r="Q13" s="292"/>
      <c r="R13" s="293"/>
      <c r="S13" s="293"/>
      <c r="T13" s="293"/>
      <c r="U13" s="293"/>
      <c r="V13" s="293"/>
      <c r="W13" s="293"/>
      <c r="X13" s="293"/>
      <c r="Y13" s="294"/>
    </row>
    <row r="14" spans="1:25" ht="17.850000000000001" customHeight="1" x14ac:dyDescent="0.25">
      <c r="A14" s="355" t="s">
        <v>117</v>
      </c>
      <c r="B14" s="65" t="s">
        <v>123</v>
      </c>
      <c r="C14" s="331" t="s">
        <v>119</v>
      </c>
      <c r="D14" s="331" t="s">
        <v>120</v>
      </c>
      <c r="E14" s="350">
        <v>3</v>
      </c>
      <c r="F14" s="331" t="s">
        <v>121</v>
      </c>
      <c r="G14" s="331" t="s">
        <v>124</v>
      </c>
      <c r="H14" s="63" t="s">
        <v>90</v>
      </c>
      <c r="I14" s="66">
        <f t="shared" si="0"/>
        <v>1.5319143323318234E-2</v>
      </c>
      <c r="J14" s="69">
        <v>720.07</v>
      </c>
      <c r="K14" s="68">
        <v>7201.05</v>
      </c>
      <c r="L14" s="63">
        <v>3</v>
      </c>
      <c r="M14" s="354">
        <f t="shared" si="2"/>
        <v>6</v>
      </c>
      <c r="N14" s="356">
        <f t="shared" si="3"/>
        <v>2</v>
      </c>
      <c r="O14" s="486"/>
      <c r="Q14" s="292"/>
      <c r="R14" s="293"/>
      <c r="S14" s="293"/>
      <c r="T14" s="293"/>
      <c r="U14" s="293"/>
      <c r="V14" s="293"/>
      <c r="W14" s="293"/>
      <c r="X14" s="293"/>
      <c r="Y14" s="294"/>
    </row>
    <row r="15" spans="1:25" ht="17.850000000000001" customHeight="1" x14ac:dyDescent="0.25">
      <c r="A15" s="355" t="s">
        <v>117</v>
      </c>
      <c r="B15" s="65" t="s">
        <v>125</v>
      </c>
      <c r="C15" s="331" t="s">
        <v>119</v>
      </c>
      <c r="D15" s="331" t="s">
        <v>120</v>
      </c>
      <c r="E15" s="350">
        <v>6</v>
      </c>
      <c r="F15" s="331" t="s">
        <v>121</v>
      </c>
      <c r="G15" s="331" t="s">
        <v>126</v>
      </c>
      <c r="H15" s="63" t="s">
        <v>90</v>
      </c>
      <c r="I15" s="66">
        <f t="shared" si="0"/>
        <v>3.0638286646636467E-2</v>
      </c>
      <c r="J15" s="69">
        <v>1440.14</v>
      </c>
      <c r="K15" s="68">
        <v>14402.11</v>
      </c>
      <c r="L15" s="63">
        <v>3</v>
      </c>
      <c r="M15" s="354">
        <f t="shared" si="2"/>
        <v>12</v>
      </c>
      <c r="N15" s="356">
        <f t="shared" si="3"/>
        <v>2</v>
      </c>
      <c r="O15" s="486"/>
      <c r="Q15" s="292"/>
      <c r="R15" s="293"/>
      <c r="S15" s="293"/>
      <c r="T15" s="293"/>
      <c r="U15" s="293"/>
      <c r="V15" s="293"/>
      <c r="W15" s="293"/>
      <c r="X15" s="293"/>
      <c r="Y15" s="294"/>
    </row>
    <row r="16" spans="1:25" ht="17.850000000000001" customHeight="1" x14ac:dyDescent="0.25">
      <c r="A16" s="355" t="s">
        <v>117</v>
      </c>
      <c r="B16" s="65" t="s">
        <v>127</v>
      </c>
      <c r="C16" s="331" t="s">
        <v>119</v>
      </c>
      <c r="D16" s="331" t="s">
        <v>120</v>
      </c>
      <c r="E16" s="350">
        <v>15</v>
      </c>
      <c r="F16" s="331" t="s">
        <v>121</v>
      </c>
      <c r="G16" s="331" t="s">
        <v>128</v>
      </c>
      <c r="H16" s="63" t="s">
        <v>90</v>
      </c>
      <c r="I16" s="66">
        <f t="shared" si="0"/>
        <v>7.9148871712944893E-2</v>
      </c>
      <c r="J16" s="69">
        <v>3720.36</v>
      </c>
      <c r="K16" s="68">
        <v>37205.449999999997</v>
      </c>
      <c r="L16" s="63">
        <v>3</v>
      </c>
      <c r="M16" s="354">
        <f t="shared" si="2"/>
        <v>30</v>
      </c>
      <c r="N16" s="356">
        <f t="shared" si="3"/>
        <v>2</v>
      </c>
      <c r="O16" s="486"/>
      <c r="Q16" s="292"/>
      <c r="R16" s="293"/>
      <c r="S16" s="293"/>
      <c r="T16" s="293"/>
      <c r="U16" s="293"/>
      <c r="V16" s="293"/>
      <c r="W16" s="293"/>
      <c r="X16" s="293"/>
      <c r="Y16" s="294"/>
    </row>
    <row r="17" spans="1:25" ht="17.850000000000001" customHeight="1" x14ac:dyDescent="0.25">
      <c r="A17" s="355" t="s">
        <v>117</v>
      </c>
      <c r="B17" s="65" t="s">
        <v>129</v>
      </c>
      <c r="C17" s="331" t="s">
        <v>119</v>
      </c>
      <c r="D17" s="331" t="s">
        <v>120</v>
      </c>
      <c r="E17" s="350">
        <v>6</v>
      </c>
      <c r="F17" s="331" t="s">
        <v>130</v>
      </c>
      <c r="G17" s="331" t="s">
        <v>131</v>
      </c>
      <c r="H17" s="63" t="s">
        <v>90</v>
      </c>
      <c r="I17" s="66">
        <f t="shared" si="0"/>
        <v>4.5957429969954701E-2</v>
      </c>
      <c r="J17" s="69">
        <v>2160.21</v>
      </c>
      <c r="K17" s="68">
        <v>21603.16</v>
      </c>
      <c r="L17" s="63">
        <v>3</v>
      </c>
      <c r="M17" s="354">
        <f t="shared" si="2"/>
        <v>18</v>
      </c>
      <c r="N17" s="356">
        <f t="shared" si="3"/>
        <v>3</v>
      </c>
      <c r="O17" s="486"/>
      <c r="Q17" s="292"/>
      <c r="R17" s="293"/>
      <c r="S17" s="293"/>
      <c r="T17" s="293"/>
      <c r="U17" s="293"/>
      <c r="V17" s="293"/>
      <c r="W17" s="293"/>
      <c r="X17" s="293"/>
      <c r="Y17" s="294"/>
    </row>
    <row r="18" spans="1:25" ht="17.850000000000001" customHeight="1" x14ac:dyDescent="0.25">
      <c r="A18" s="355" t="s">
        <v>117</v>
      </c>
      <c r="B18" s="65" t="s">
        <v>132</v>
      </c>
      <c r="C18" s="331" t="s">
        <v>119</v>
      </c>
      <c r="D18" s="331" t="s">
        <v>120</v>
      </c>
      <c r="E18" s="350">
        <v>9</v>
      </c>
      <c r="F18" s="331" t="s">
        <v>130</v>
      </c>
      <c r="G18" s="331" t="s">
        <v>133</v>
      </c>
      <c r="H18" s="63" t="s">
        <v>90</v>
      </c>
      <c r="I18" s="66">
        <f t="shared" si="0"/>
        <v>6.8936251327530021E-2</v>
      </c>
      <c r="J18" s="69">
        <v>3240.32</v>
      </c>
      <c r="K18" s="68">
        <v>32404.74</v>
      </c>
      <c r="L18" s="63">
        <v>3</v>
      </c>
      <c r="M18" s="354">
        <f t="shared" si="2"/>
        <v>27</v>
      </c>
      <c r="N18" s="356">
        <f t="shared" si="3"/>
        <v>3</v>
      </c>
      <c r="O18" s="486"/>
      <c r="Q18" s="297"/>
      <c r="R18" s="296"/>
      <c r="S18" s="296"/>
      <c r="T18" s="296"/>
      <c r="U18" s="296"/>
      <c r="V18" s="296"/>
      <c r="W18" s="296"/>
      <c r="X18" s="296"/>
      <c r="Y18" s="294"/>
    </row>
    <row r="19" spans="1:25" ht="17.850000000000001" customHeight="1" x14ac:dyDescent="0.25">
      <c r="A19" s="355" t="s">
        <v>117</v>
      </c>
      <c r="B19" s="65" t="s">
        <v>134</v>
      </c>
      <c r="C19" s="331" t="s">
        <v>119</v>
      </c>
      <c r="D19" s="331" t="s">
        <v>120</v>
      </c>
      <c r="E19" s="350">
        <v>9</v>
      </c>
      <c r="F19" s="331" t="s">
        <v>130</v>
      </c>
      <c r="G19" s="331" t="s">
        <v>135</v>
      </c>
      <c r="H19" s="63" t="s">
        <v>90</v>
      </c>
      <c r="I19" s="66">
        <f t="shared" si="0"/>
        <v>6.8936251327530021E-2</v>
      </c>
      <c r="J19" s="69">
        <v>3240.32</v>
      </c>
      <c r="K19" s="68">
        <v>32404.74</v>
      </c>
      <c r="L19" s="63">
        <v>3</v>
      </c>
      <c r="M19" s="354">
        <f t="shared" si="2"/>
        <v>27</v>
      </c>
      <c r="N19" s="356">
        <f t="shared" si="3"/>
        <v>3</v>
      </c>
      <c r="O19" s="486"/>
      <c r="Q19" s="297"/>
      <c r="R19" s="296"/>
      <c r="S19" s="296"/>
      <c r="T19" s="296"/>
      <c r="U19" s="296"/>
      <c r="V19" s="296"/>
      <c r="W19" s="296"/>
      <c r="X19" s="296"/>
      <c r="Y19" s="294"/>
    </row>
    <row r="20" spans="1:25" ht="17.850000000000001" customHeight="1" x14ac:dyDescent="0.25">
      <c r="A20" s="355" t="s">
        <v>117</v>
      </c>
      <c r="B20" s="65" t="s">
        <v>136</v>
      </c>
      <c r="C20" s="331" t="s">
        <v>119</v>
      </c>
      <c r="D20" s="331" t="s">
        <v>120</v>
      </c>
      <c r="E20" s="350">
        <v>3</v>
      </c>
      <c r="F20" s="331" t="s">
        <v>137</v>
      </c>
      <c r="G20" s="331" t="s">
        <v>138</v>
      </c>
      <c r="H20" s="63" t="s">
        <v>90</v>
      </c>
      <c r="I20" s="66">
        <f t="shared" si="0"/>
        <v>3.0000051058847021E-2</v>
      </c>
      <c r="J20" s="69">
        <v>1410.14</v>
      </c>
      <c r="K20" s="68">
        <v>14102.06</v>
      </c>
      <c r="L20" s="63">
        <v>3</v>
      </c>
      <c r="M20" s="354">
        <f t="shared" si="2"/>
        <v>12</v>
      </c>
      <c r="N20" s="356">
        <f t="shared" si="3"/>
        <v>4</v>
      </c>
      <c r="O20" s="486"/>
      <c r="Q20" s="297"/>
      <c r="R20" s="296"/>
      <c r="S20" s="296"/>
      <c r="T20" s="296"/>
      <c r="U20" s="296"/>
      <c r="V20" s="296"/>
      <c r="W20" s="296"/>
      <c r="X20" s="296"/>
      <c r="Y20" s="294"/>
    </row>
    <row r="21" spans="1:25" ht="17.850000000000001" customHeight="1" x14ac:dyDescent="0.25">
      <c r="A21" s="355" t="s">
        <v>117</v>
      </c>
      <c r="B21" s="65" t="s">
        <v>139</v>
      </c>
      <c r="C21" s="331" t="s">
        <v>119</v>
      </c>
      <c r="D21" s="331" t="s">
        <v>120</v>
      </c>
      <c r="E21" s="350">
        <v>3</v>
      </c>
      <c r="F21" s="331" t="s">
        <v>137</v>
      </c>
      <c r="G21" s="331" t="s">
        <v>140</v>
      </c>
      <c r="H21" s="63" t="s">
        <v>90</v>
      </c>
      <c r="I21" s="66">
        <f t="shared" si="0"/>
        <v>3.0000051058847021E-2</v>
      </c>
      <c r="J21" s="69">
        <v>1410.14</v>
      </c>
      <c r="K21" s="68">
        <v>14102.06</v>
      </c>
      <c r="L21" s="63">
        <v>3</v>
      </c>
      <c r="M21" s="354">
        <f t="shared" si="2"/>
        <v>12</v>
      </c>
      <c r="N21" s="356">
        <f t="shared" si="3"/>
        <v>4</v>
      </c>
      <c r="O21" s="486"/>
      <c r="Q21" s="297"/>
      <c r="R21" s="296"/>
      <c r="S21" s="296"/>
      <c r="T21" s="296"/>
      <c r="U21" s="296"/>
      <c r="V21" s="296"/>
      <c r="W21" s="296"/>
      <c r="X21" s="296"/>
      <c r="Y21" s="294"/>
    </row>
    <row r="22" spans="1:25" ht="17.850000000000001" customHeight="1" x14ac:dyDescent="0.25">
      <c r="A22" s="65" t="s">
        <v>92</v>
      </c>
      <c r="B22" s="65" t="s">
        <v>141</v>
      </c>
      <c r="C22" s="331" t="s">
        <v>86</v>
      </c>
      <c r="D22" s="331" t="s">
        <v>87</v>
      </c>
      <c r="E22" s="331" t="s">
        <v>88</v>
      </c>
      <c r="F22" s="331" t="s">
        <v>88</v>
      </c>
      <c r="G22" s="331" t="s">
        <v>142</v>
      </c>
      <c r="H22" s="63" t="s">
        <v>90</v>
      </c>
      <c r="I22" s="66">
        <f t="shared" si="0"/>
        <v>5.489357917979068E-2</v>
      </c>
      <c r="J22" s="69">
        <v>2580.25</v>
      </c>
      <c r="K22" s="68">
        <v>25803.78</v>
      </c>
      <c r="L22" s="63">
        <v>3</v>
      </c>
      <c r="M22" s="354">
        <f>N22*J22*L22/1000</f>
        <v>77.407499999999999</v>
      </c>
      <c r="N22" s="301">
        <v>10</v>
      </c>
      <c r="O22" s="486"/>
      <c r="Q22" s="298"/>
      <c r="R22" s="299"/>
      <c r="S22" s="299"/>
      <c r="T22" s="299"/>
      <c r="U22" s="299"/>
      <c r="V22" s="299"/>
      <c r="W22" s="299"/>
      <c r="X22" s="299"/>
      <c r="Y22" s="295"/>
    </row>
    <row r="23" spans="1:25" ht="17.850000000000001" customHeight="1" x14ac:dyDescent="0.25">
      <c r="A23" s="65" t="s">
        <v>143</v>
      </c>
      <c r="B23" s="65" t="s">
        <v>144</v>
      </c>
      <c r="C23" s="331" t="s">
        <v>86</v>
      </c>
      <c r="D23" s="331" t="s">
        <v>87</v>
      </c>
      <c r="E23" s="331" t="s">
        <v>88</v>
      </c>
      <c r="F23" s="331" t="s">
        <v>88</v>
      </c>
      <c r="G23" s="331" t="s">
        <v>145</v>
      </c>
      <c r="H23" s="63" t="s">
        <v>90</v>
      </c>
      <c r="I23" s="66">
        <f t="shared" si="0"/>
        <v>3.8298390171285415E-3</v>
      </c>
      <c r="J23" s="69">
        <v>180.02</v>
      </c>
      <c r="K23" s="68">
        <v>1800.26</v>
      </c>
      <c r="L23" s="63">
        <v>3</v>
      </c>
      <c r="M23" s="354">
        <f>N23*J23*L23/1000</f>
        <v>5.4006000000000007</v>
      </c>
      <c r="N23" s="301">
        <v>10</v>
      </c>
      <c r="O23" s="486"/>
    </row>
    <row r="24" spans="1:25" ht="17.850000000000001" customHeight="1" x14ac:dyDescent="0.25">
      <c r="A24" s="355" t="s">
        <v>117</v>
      </c>
      <c r="B24" s="65" t="s">
        <v>146</v>
      </c>
      <c r="C24" s="331" t="s">
        <v>119</v>
      </c>
      <c r="D24" s="331" t="s">
        <v>120</v>
      </c>
      <c r="E24" s="350">
        <v>3</v>
      </c>
      <c r="F24" s="350" t="s">
        <v>147</v>
      </c>
      <c r="G24" s="331" t="s">
        <v>148</v>
      </c>
      <c r="H24" s="63" t="s">
        <v>90</v>
      </c>
      <c r="I24" s="66">
        <f t="shared" si="0"/>
        <v>1.1489304306189692E-2</v>
      </c>
      <c r="J24" s="69">
        <v>540.04999999999995</v>
      </c>
      <c r="K24" s="68">
        <v>5400.79</v>
      </c>
      <c r="L24" s="63">
        <v>3</v>
      </c>
      <c r="M24" s="354">
        <f t="shared" ref="M24:M34" si="4">E24*N24</f>
        <v>6</v>
      </c>
      <c r="N24" s="356">
        <f t="shared" ref="N24:N34" si="5">MAX(2,1+IF(ISNUMBER(SEARCH("Studio",F24)),0,IF(ISNUMBER(SEARCH("3-Bed",F24)),3,IF(ISNUMBER(SEARCH("2-Bed",F24)),2,1))))</f>
        <v>2</v>
      </c>
      <c r="O24" s="486"/>
    </row>
    <row r="25" spans="1:25" ht="17.850000000000001" customHeight="1" x14ac:dyDescent="0.25">
      <c r="A25" s="355" t="s">
        <v>117</v>
      </c>
      <c r="B25" s="65" t="s">
        <v>149</v>
      </c>
      <c r="C25" s="331" t="s">
        <v>119</v>
      </c>
      <c r="D25" s="331" t="s">
        <v>120</v>
      </c>
      <c r="E25" s="350">
        <v>3</v>
      </c>
      <c r="F25" s="331" t="s">
        <v>147</v>
      </c>
      <c r="G25" s="331" t="s">
        <v>150</v>
      </c>
      <c r="H25" s="63" t="s">
        <v>90</v>
      </c>
      <c r="I25" s="66">
        <f t="shared" si="0"/>
        <v>1.1489304306189692E-2</v>
      </c>
      <c r="J25" s="69">
        <v>540.04999999999995</v>
      </c>
      <c r="K25" s="68">
        <v>5400.79</v>
      </c>
      <c r="L25" s="63">
        <v>3</v>
      </c>
      <c r="M25" s="354">
        <f t="shared" si="4"/>
        <v>6</v>
      </c>
      <c r="N25" s="356">
        <f t="shared" si="5"/>
        <v>2</v>
      </c>
      <c r="O25" s="486"/>
    </row>
    <row r="26" spans="1:25" ht="17.850000000000001" customHeight="1" x14ac:dyDescent="0.25">
      <c r="A26" s="355" t="s">
        <v>117</v>
      </c>
      <c r="B26" s="65" t="s">
        <v>151</v>
      </c>
      <c r="C26" s="331" t="s">
        <v>119</v>
      </c>
      <c r="D26" s="331" t="s">
        <v>120</v>
      </c>
      <c r="E26" s="350">
        <v>2</v>
      </c>
      <c r="F26" s="331" t="s">
        <v>121</v>
      </c>
      <c r="G26" s="331" t="s">
        <v>152</v>
      </c>
      <c r="H26" s="63" t="s">
        <v>90</v>
      </c>
      <c r="I26" s="66">
        <f t="shared" si="0"/>
        <v>1.021276221554549E-2</v>
      </c>
      <c r="J26" s="69">
        <v>1440.14</v>
      </c>
      <c r="K26" s="68">
        <v>14402.11</v>
      </c>
      <c r="L26" s="63">
        <v>1</v>
      </c>
      <c r="M26" s="354">
        <f t="shared" si="4"/>
        <v>4</v>
      </c>
      <c r="N26" s="356">
        <f t="shared" si="5"/>
        <v>2</v>
      </c>
      <c r="O26" s="486"/>
    </row>
    <row r="27" spans="1:25" ht="17.850000000000001" customHeight="1" x14ac:dyDescent="0.25">
      <c r="A27" s="355" t="s">
        <v>117</v>
      </c>
      <c r="B27" s="65" t="s">
        <v>153</v>
      </c>
      <c r="C27" s="331" t="s">
        <v>119</v>
      </c>
      <c r="D27" s="331" t="s">
        <v>120</v>
      </c>
      <c r="E27" s="350">
        <v>1</v>
      </c>
      <c r="F27" s="331" t="s">
        <v>121</v>
      </c>
      <c r="G27" s="331" t="s">
        <v>154</v>
      </c>
      <c r="H27" s="63" t="s">
        <v>90</v>
      </c>
      <c r="I27" s="66">
        <f t="shared" si="0"/>
        <v>5.1063811077727448E-3</v>
      </c>
      <c r="J27" s="69">
        <v>720.07</v>
      </c>
      <c r="K27" s="68">
        <v>7201.05</v>
      </c>
      <c r="L27" s="63">
        <v>1</v>
      </c>
      <c r="M27" s="354">
        <f t="shared" si="4"/>
        <v>2</v>
      </c>
      <c r="N27" s="356">
        <f t="shared" si="5"/>
        <v>2</v>
      </c>
      <c r="O27" s="486"/>
    </row>
    <row r="28" spans="1:25" ht="17.850000000000001" customHeight="1" x14ac:dyDescent="0.25">
      <c r="A28" s="355" t="s">
        <v>117</v>
      </c>
      <c r="B28" s="65" t="s">
        <v>155</v>
      </c>
      <c r="C28" s="331" t="s">
        <v>119</v>
      </c>
      <c r="D28" s="331" t="s">
        <v>120</v>
      </c>
      <c r="E28" s="350">
        <v>2</v>
      </c>
      <c r="F28" s="331" t="s">
        <v>121</v>
      </c>
      <c r="G28" s="331" t="s">
        <v>156</v>
      </c>
      <c r="H28" s="63" t="s">
        <v>90</v>
      </c>
      <c r="I28" s="66">
        <f t="shared" si="0"/>
        <v>1.021276221554549E-2</v>
      </c>
      <c r="J28" s="69">
        <v>1440.14</v>
      </c>
      <c r="K28" s="68">
        <v>14402.11</v>
      </c>
      <c r="L28" s="63">
        <v>1</v>
      </c>
      <c r="M28" s="354">
        <f t="shared" si="4"/>
        <v>4</v>
      </c>
      <c r="N28" s="356">
        <f t="shared" si="5"/>
        <v>2</v>
      </c>
      <c r="O28" s="486"/>
    </row>
    <row r="29" spans="1:25" customFormat="1" ht="17.850000000000001" customHeight="1" x14ac:dyDescent="0.3">
      <c r="A29" s="355" t="s">
        <v>117</v>
      </c>
      <c r="B29" s="140" t="s">
        <v>157</v>
      </c>
      <c r="C29" s="331" t="s">
        <v>119</v>
      </c>
      <c r="D29" s="331" t="s">
        <v>120</v>
      </c>
      <c r="E29" s="350">
        <v>5</v>
      </c>
      <c r="F29" s="331" t="s">
        <v>121</v>
      </c>
      <c r="G29" s="331" t="s">
        <v>158</v>
      </c>
      <c r="H29" s="63" t="s">
        <v>90</v>
      </c>
      <c r="I29" s="66">
        <f t="shared" si="0"/>
        <v>2.6382957237648295E-2</v>
      </c>
      <c r="J29" s="18">
        <v>3720.36</v>
      </c>
      <c r="K29" s="68">
        <v>37205.449999999997</v>
      </c>
      <c r="L29" s="63">
        <v>1</v>
      </c>
      <c r="M29" s="354">
        <f t="shared" si="4"/>
        <v>10</v>
      </c>
      <c r="N29" s="356">
        <f t="shared" si="5"/>
        <v>2</v>
      </c>
      <c r="O29" s="486"/>
    </row>
    <row r="30" spans="1:25" ht="17.850000000000001" customHeight="1" x14ac:dyDescent="0.25">
      <c r="A30" s="355" t="s">
        <v>117</v>
      </c>
      <c r="B30" s="140" t="s">
        <v>159</v>
      </c>
      <c r="C30" s="331" t="s">
        <v>119</v>
      </c>
      <c r="D30" s="331" t="s">
        <v>120</v>
      </c>
      <c r="E30" s="350">
        <v>2</v>
      </c>
      <c r="F30" s="331" t="s">
        <v>130</v>
      </c>
      <c r="G30" s="331" t="s">
        <v>160</v>
      </c>
      <c r="H30" s="63" t="s">
        <v>90</v>
      </c>
      <c r="I30" s="66">
        <f t="shared" si="0"/>
        <v>1.5319143323318234E-2</v>
      </c>
      <c r="J30" s="18">
        <v>2160.21</v>
      </c>
      <c r="K30" s="68">
        <v>21603.16</v>
      </c>
      <c r="L30" s="63">
        <v>1</v>
      </c>
      <c r="M30" s="354">
        <f t="shared" si="4"/>
        <v>6</v>
      </c>
      <c r="N30" s="356">
        <f t="shared" si="5"/>
        <v>3</v>
      </c>
      <c r="O30" s="486"/>
    </row>
    <row r="31" spans="1:25" ht="17.850000000000001" customHeight="1" x14ac:dyDescent="0.25">
      <c r="A31" s="355" t="s">
        <v>117</v>
      </c>
      <c r="B31" s="140" t="s">
        <v>161</v>
      </c>
      <c r="C31" s="331" t="s">
        <v>119</v>
      </c>
      <c r="D31" s="331" t="s">
        <v>120</v>
      </c>
      <c r="E31" s="350">
        <v>3</v>
      </c>
      <c r="F31" s="331" t="s">
        <v>130</v>
      </c>
      <c r="G31" s="331" t="s">
        <v>162</v>
      </c>
      <c r="H31" s="63" t="s">
        <v>90</v>
      </c>
      <c r="I31" s="66">
        <f t="shared" si="0"/>
        <v>2.2978750442510007E-2</v>
      </c>
      <c r="J31" s="18">
        <v>3240.32</v>
      </c>
      <c r="K31" s="68">
        <v>32404.74</v>
      </c>
      <c r="L31" s="63">
        <v>1</v>
      </c>
      <c r="M31" s="354">
        <f t="shared" si="4"/>
        <v>9</v>
      </c>
      <c r="N31" s="356">
        <f t="shared" si="5"/>
        <v>3</v>
      </c>
      <c r="O31" s="486"/>
    </row>
    <row r="32" spans="1:25" ht="17.850000000000001" customHeight="1" x14ac:dyDescent="0.25">
      <c r="A32" s="355" t="s">
        <v>117</v>
      </c>
      <c r="B32" s="140" t="s">
        <v>163</v>
      </c>
      <c r="C32" s="331" t="s">
        <v>119</v>
      </c>
      <c r="D32" s="331" t="s">
        <v>120</v>
      </c>
      <c r="E32" s="350">
        <v>3</v>
      </c>
      <c r="F32" s="331" t="s">
        <v>130</v>
      </c>
      <c r="G32" s="331" t="s">
        <v>164</v>
      </c>
      <c r="H32" s="63" t="s">
        <v>90</v>
      </c>
      <c r="I32" s="66">
        <f t="shared" si="0"/>
        <v>2.2978750442510007E-2</v>
      </c>
      <c r="J32" s="18">
        <v>3240.32</v>
      </c>
      <c r="K32" s="68">
        <v>32404.74</v>
      </c>
      <c r="L32" s="63">
        <v>1</v>
      </c>
      <c r="M32" s="354">
        <f t="shared" si="4"/>
        <v>9</v>
      </c>
      <c r="N32" s="356">
        <f t="shared" si="5"/>
        <v>3</v>
      </c>
      <c r="O32" s="486"/>
    </row>
    <row r="33" spans="1:15" ht="17.850000000000001" customHeight="1" x14ac:dyDescent="0.25">
      <c r="A33" s="355" t="s">
        <v>117</v>
      </c>
      <c r="B33" s="140" t="s">
        <v>165</v>
      </c>
      <c r="C33" s="331" t="s">
        <v>119</v>
      </c>
      <c r="D33" s="331" t="s">
        <v>120</v>
      </c>
      <c r="E33" s="350">
        <v>1</v>
      </c>
      <c r="F33" s="331" t="s">
        <v>137</v>
      </c>
      <c r="G33" s="331" t="s">
        <v>166</v>
      </c>
      <c r="H33" s="63" t="s">
        <v>90</v>
      </c>
      <c r="I33" s="66">
        <f t="shared" si="0"/>
        <v>1.0000017019615674E-2</v>
      </c>
      <c r="J33" s="18">
        <v>1410.14</v>
      </c>
      <c r="K33" s="68">
        <v>14102.06</v>
      </c>
      <c r="L33" s="63">
        <v>1</v>
      </c>
      <c r="M33" s="354">
        <f t="shared" si="4"/>
        <v>4</v>
      </c>
      <c r="N33" s="356">
        <f t="shared" si="5"/>
        <v>4</v>
      </c>
      <c r="O33" s="486"/>
    </row>
    <row r="34" spans="1:15" ht="17.850000000000001" customHeight="1" x14ac:dyDescent="0.25">
      <c r="A34" s="355" t="s">
        <v>117</v>
      </c>
      <c r="B34" s="140" t="s">
        <v>167</v>
      </c>
      <c r="C34" s="331" t="s">
        <v>119</v>
      </c>
      <c r="D34" s="331" t="s">
        <v>120</v>
      </c>
      <c r="E34" s="350">
        <v>1</v>
      </c>
      <c r="F34" s="331" t="s">
        <v>137</v>
      </c>
      <c r="G34" s="331" t="s">
        <v>168</v>
      </c>
      <c r="H34" s="63" t="s">
        <v>90</v>
      </c>
      <c r="I34" s="66">
        <f t="shared" si="0"/>
        <v>1.0000017019615674E-2</v>
      </c>
      <c r="J34" s="18">
        <v>1410.14</v>
      </c>
      <c r="K34" s="68">
        <v>14102.06</v>
      </c>
      <c r="L34" s="63">
        <v>1</v>
      </c>
      <c r="M34" s="354">
        <f t="shared" si="4"/>
        <v>4</v>
      </c>
      <c r="N34" s="356">
        <f t="shared" si="5"/>
        <v>4</v>
      </c>
      <c r="O34" s="486"/>
    </row>
    <row r="35" spans="1:15" ht="17.850000000000001" customHeight="1" x14ac:dyDescent="0.25">
      <c r="A35" s="65" t="s">
        <v>92</v>
      </c>
      <c r="B35" s="140" t="s">
        <v>169</v>
      </c>
      <c r="C35" s="331" t="s">
        <v>86</v>
      </c>
      <c r="D35" s="331" t="s">
        <v>87</v>
      </c>
      <c r="E35" s="331" t="s">
        <v>88</v>
      </c>
      <c r="F35" s="331" t="s">
        <v>88</v>
      </c>
      <c r="G35" s="331" t="s">
        <v>170</v>
      </c>
      <c r="H35" s="63" t="s">
        <v>90</v>
      </c>
      <c r="I35" s="66">
        <f t="shared" si="0"/>
        <v>1.8297859726596893E-2</v>
      </c>
      <c r="J35" s="18">
        <v>2580.25</v>
      </c>
      <c r="K35" s="68">
        <v>25803.78</v>
      </c>
      <c r="L35" s="63">
        <v>1</v>
      </c>
      <c r="M35" s="354">
        <f>N35*J35*L35/1000</f>
        <v>25.802499999999998</v>
      </c>
      <c r="N35" s="301">
        <v>10</v>
      </c>
      <c r="O35" s="486"/>
    </row>
    <row r="36" spans="1:15" ht="17.850000000000001" customHeight="1" x14ac:dyDescent="0.25">
      <c r="A36" s="140" t="s">
        <v>143</v>
      </c>
      <c r="B36" s="140" t="s">
        <v>171</v>
      </c>
      <c r="C36" s="331" t="s">
        <v>86</v>
      </c>
      <c r="D36" s="331" t="s">
        <v>87</v>
      </c>
      <c r="E36" s="331" t="s">
        <v>88</v>
      </c>
      <c r="F36" s="331" t="s">
        <v>88</v>
      </c>
      <c r="G36" s="331" t="s">
        <v>172</v>
      </c>
      <c r="H36" s="63" t="s">
        <v>90</v>
      </c>
      <c r="I36" s="66">
        <f t="shared" si="0"/>
        <v>1.2766130057095138E-3</v>
      </c>
      <c r="J36" s="18">
        <v>180.02</v>
      </c>
      <c r="K36" s="68">
        <v>1800.26</v>
      </c>
      <c r="L36" s="63">
        <v>1</v>
      </c>
      <c r="M36" s="354">
        <f>N36*J36*L36/1000</f>
        <v>1.8002</v>
      </c>
      <c r="N36" s="301">
        <v>10</v>
      </c>
      <c r="O36" s="486"/>
    </row>
    <row r="37" spans="1:15" ht="17.850000000000001" customHeight="1" x14ac:dyDescent="0.25">
      <c r="A37" s="355" t="s">
        <v>117</v>
      </c>
      <c r="B37" s="140" t="s">
        <v>173</v>
      </c>
      <c r="C37" s="331" t="s">
        <v>119</v>
      </c>
      <c r="D37" s="331" t="s">
        <v>120</v>
      </c>
      <c r="E37" s="350">
        <v>1</v>
      </c>
      <c r="F37" s="331" t="s">
        <v>147</v>
      </c>
      <c r="G37" s="331" t="s">
        <v>174</v>
      </c>
      <c r="H37" s="63" t="s">
        <v>90</v>
      </c>
      <c r="I37" s="66">
        <f t="shared" si="0"/>
        <v>3.8297681020632306E-3</v>
      </c>
      <c r="J37" s="18">
        <v>540.04999999999995</v>
      </c>
      <c r="K37" s="68">
        <v>5400.79</v>
      </c>
      <c r="L37" s="63">
        <v>1</v>
      </c>
      <c r="M37" s="354">
        <f>E37*N37</f>
        <v>2</v>
      </c>
      <c r="N37" s="356">
        <f>MAX(2,1+IF(ISNUMBER(SEARCH("Studio",F37)),0,IF(ISNUMBER(SEARCH("3-Bed",F37)),3,IF(ISNUMBER(SEARCH("2-Bed",F37)),2,1))))</f>
        <v>2</v>
      </c>
      <c r="O37" s="486"/>
    </row>
    <row r="38" spans="1:15" ht="17.850000000000001" customHeight="1" x14ac:dyDescent="0.25">
      <c r="A38" s="355" t="s">
        <v>117</v>
      </c>
      <c r="B38" s="140" t="s">
        <v>175</v>
      </c>
      <c r="C38" s="331" t="s">
        <v>119</v>
      </c>
      <c r="D38" s="331" t="s">
        <v>120</v>
      </c>
      <c r="E38" s="350">
        <v>1</v>
      </c>
      <c r="F38" s="331" t="s">
        <v>147</v>
      </c>
      <c r="G38" s="331" t="s">
        <v>176</v>
      </c>
      <c r="H38" s="63" t="s">
        <v>90</v>
      </c>
      <c r="I38" s="66">
        <f t="shared" si="0"/>
        <v>3.8297681020632306E-3</v>
      </c>
      <c r="J38" s="18">
        <v>540.04999999999995</v>
      </c>
      <c r="K38" s="68">
        <v>5400.79</v>
      </c>
      <c r="L38" s="63">
        <v>1</v>
      </c>
      <c r="M38" s="354">
        <f>E38*N38</f>
        <v>2</v>
      </c>
      <c r="N38" s="356">
        <f>MAX(2,1+IF(ISNUMBER(SEARCH("Studio",F38)),0,IF(ISNUMBER(SEARCH("3-Bed",F38)),3,IF(ISNUMBER(SEARCH("2-Bed",F38)),2,1))))</f>
        <v>2</v>
      </c>
      <c r="O38" s="486"/>
    </row>
    <row r="39" spans="1:15" ht="17.850000000000001" customHeight="1" x14ac:dyDescent="0.25">
      <c r="A39" s="140" t="s">
        <v>177</v>
      </c>
      <c r="B39" s="140" t="s">
        <v>178</v>
      </c>
      <c r="C39" s="331" t="s">
        <v>86</v>
      </c>
      <c r="D39" s="331" t="s">
        <v>87</v>
      </c>
      <c r="E39" s="331" t="s">
        <v>88</v>
      </c>
      <c r="F39" s="331" t="s">
        <v>88</v>
      </c>
      <c r="G39" s="139" t="s">
        <v>179</v>
      </c>
      <c r="H39" s="18" t="s">
        <v>180</v>
      </c>
      <c r="I39" s="66">
        <f t="shared" si="0"/>
        <v>0.19787232111249284</v>
      </c>
      <c r="J39" s="18">
        <v>27902.720000000001</v>
      </c>
      <c r="K39" s="68">
        <v>390657.19</v>
      </c>
      <c r="L39" s="63">
        <v>1</v>
      </c>
      <c r="M39" s="354">
        <f>N39*J39*L39/1000</f>
        <v>0</v>
      </c>
      <c r="N39" s="357">
        <v>0</v>
      </c>
      <c r="O39" s="487"/>
    </row>
    <row r="40" spans="1:15" ht="50.25" customHeight="1" x14ac:dyDescent="0.25">
      <c r="A40" s="264" t="s">
        <v>181</v>
      </c>
      <c r="B40" s="140" t="s">
        <v>182</v>
      </c>
      <c r="C40" s="264"/>
      <c r="D40" s="264"/>
      <c r="E40" s="358" t="s">
        <v>183</v>
      </c>
      <c r="F40" s="139" t="s">
        <v>184</v>
      </c>
      <c r="G40" s="264" t="s">
        <v>185</v>
      </c>
      <c r="H40" s="20" t="s">
        <v>186</v>
      </c>
      <c r="I40" s="67">
        <f>SUM(I3:I39)</f>
        <v>0.99999999999999989</v>
      </c>
      <c r="J40" s="19">
        <f>SUMPRODUCT(J3:J39,L3:L39)</f>
        <v>141013.76000000001</v>
      </c>
      <c r="K40" s="18">
        <f>SUM(K3:K39)</f>
        <v>1069356.5100000002</v>
      </c>
      <c r="L40" s="265"/>
      <c r="M40" s="19">
        <f>SUM(M3:M39)</f>
        <v>763.98495680000065</v>
      </c>
      <c r="N40" s="302"/>
      <c r="O40" s="300"/>
    </row>
    <row r="41" spans="1:15" x14ac:dyDescent="0.25">
      <c r="J41" s="22"/>
      <c r="K41" s="22"/>
      <c r="L41" s="22"/>
      <c r="M41" s="22"/>
      <c r="N41" s="23"/>
      <c r="O41" s="23"/>
    </row>
    <row r="42" spans="1:15" x14ac:dyDescent="0.25">
      <c r="J42" s="22"/>
      <c r="K42" s="22"/>
      <c r="L42" s="22"/>
      <c r="M42" s="22"/>
      <c r="N42" s="23"/>
      <c r="O42" s="23"/>
    </row>
    <row r="43" spans="1:15" x14ac:dyDescent="0.25">
      <c r="J43" s="22"/>
      <c r="K43" s="22"/>
      <c r="L43" s="22"/>
      <c r="M43" s="22"/>
      <c r="N43" s="23"/>
      <c r="O43" s="23"/>
    </row>
    <row r="44" spans="1:15" x14ac:dyDescent="0.25">
      <c r="J44" s="22"/>
      <c r="K44" s="22"/>
      <c r="L44" s="22"/>
      <c r="M44" s="22"/>
      <c r="N44" s="23"/>
      <c r="O44" s="23"/>
    </row>
    <row r="45" spans="1:15" x14ac:dyDescent="0.25">
      <c r="J45" s="22"/>
      <c r="K45" s="22"/>
      <c r="L45" s="22"/>
      <c r="M45" s="22"/>
      <c r="N45" s="23"/>
      <c r="O45" s="23"/>
    </row>
    <row r="46" spans="1:15" x14ac:dyDescent="0.25">
      <c r="J46" s="22"/>
      <c r="K46" s="22"/>
      <c r="L46" s="22"/>
      <c r="M46" s="22"/>
      <c r="N46" s="23"/>
      <c r="O46" s="23"/>
    </row>
    <row r="47" spans="1:15" x14ac:dyDescent="0.25">
      <c r="J47" s="22"/>
      <c r="K47" s="22"/>
      <c r="L47" s="22"/>
      <c r="M47" s="22"/>
      <c r="N47" s="23"/>
      <c r="O47" s="23"/>
    </row>
    <row r="48" spans="1:15" x14ac:dyDescent="0.25">
      <c r="J48" s="22"/>
      <c r="K48" s="22"/>
      <c r="L48" s="22"/>
      <c r="M48" s="22"/>
      <c r="N48" s="23"/>
      <c r="O48" s="23"/>
    </row>
    <row r="49" spans="1:1204" s="275" customFormat="1" hidden="1" x14ac:dyDescent="0.25">
      <c r="A49" s="24" t="s">
        <v>187</v>
      </c>
      <c r="B49" s="24"/>
      <c r="C49" s="24"/>
      <c r="D49" s="24"/>
      <c r="E49" s="24"/>
      <c r="F49" s="24"/>
      <c r="G49" s="24"/>
      <c r="H49" s="24"/>
      <c r="I49" s="24"/>
      <c r="J49" s="25"/>
      <c r="K49" s="27"/>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c r="JI49" s="24"/>
      <c r="JJ49" s="24"/>
      <c r="JK49" s="24"/>
      <c r="JL49" s="24"/>
      <c r="JM49" s="24"/>
      <c r="JN49" s="24"/>
      <c r="JO49" s="24"/>
      <c r="JP49" s="24"/>
      <c r="JQ49" s="24"/>
      <c r="JR49" s="24"/>
      <c r="JS49" s="24"/>
      <c r="JT49" s="24"/>
      <c r="JU49" s="24"/>
      <c r="JV49" s="24"/>
      <c r="JW49" s="24"/>
      <c r="JX49" s="24"/>
      <c r="JY49" s="24"/>
      <c r="JZ49" s="24"/>
      <c r="KA49" s="24"/>
      <c r="KB49" s="24"/>
      <c r="KC49" s="24"/>
      <c r="KD49" s="24"/>
      <c r="KE49" s="24"/>
      <c r="KF49" s="24"/>
      <c r="KG49" s="24"/>
      <c r="KH49" s="24"/>
      <c r="KI49" s="24"/>
      <c r="KJ49" s="24"/>
      <c r="KK49" s="24"/>
      <c r="KL49" s="24"/>
      <c r="KM49" s="24"/>
      <c r="KN49" s="24"/>
      <c r="KO49" s="24"/>
      <c r="KP49" s="24"/>
      <c r="KQ49" s="24"/>
      <c r="KR49" s="24"/>
      <c r="KS49" s="24"/>
      <c r="KT49" s="24"/>
      <c r="KU49" s="24"/>
      <c r="KV49" s="24"/>
      <c r="KW49" s="24"/>
      <c r="KX49" s="24"/>
      <c r="KY49" s="24"/>
      <c r="KZ49" s="24"/>
      <c r="LA49" s="24"/>
      <c r="LB49" s="24"/>
      <c r="LC49" s="24"/>
      <c r="LD49" s="24"/>
      <c r="LE49" s="24"/>
      <c r="LF49" s="24"/>
      <c r="LG49" s="24"/>
      <c r="LH49" s="24"/>
      <c r="LI49" s="24"/>
      <c r="LJ49" s="24"/>
      <c r="LK49" s="24"/>
      <c r="LL49" s="24"/>
      <c r="LM49" s="24"/>
      <c r="LN49" s="24"/>
      <c r="LO49" s="24"/>
      <c r="LP49" s="24"/>
      <c r="LQ49" s="24"/>
      <c r="LR49" s="24"/>
      <c r="LS49" s="24"/>
      <c r="LT49" s="24"/>
      <c r="LU49" s="24"/>
      <c r="LV49" s="24"/>
      <c r="LW49" s="24"/>
      <c r="LX49" s="24"/>
      <c r="LY49" s="24"/>
      <c r="LZ49" s="24"/>
      <c r="MA49" s="24"/>
      <c r="MB49" s="24"/>
      <c r="MC49" s="24"/>
      <c r="MD49" s="24"/>
      <c r="ME49" s="24"/>
      <c r="MF49" s="24"/>
      <c r="MG49" s="24"/>
      <c r="MH49" s="24"/>
      <c r="MI49" s="24"/>
      <c r="MJ49" s="24"/>
      <c r="MK49" s="24"/>
      <c r="ML49" s="24"/>
      <c r="MM49" s="24"/>
      <c r="MN49" s="24"/>
      <c r="MO49" s="24"/>
      <c r="MP49" s="24"/>
      <c r="MQ49" s="24"/>
      <c r="MR49" s="24"/>
      <c r="MS49" s="24"/>
      <c r="MT49" s="24"/>
      <c r="MU49" s="24"/>
      <c r="MV49" s="24"/>
      <c r="MW49" s="24"/>
      <c r="MX49" s="24"/>
      <c r="MY49" s="24"/>
      <c r="MZ49" s="24"/>
      <c r="NA49" s="24"/>
      <c r="NB49" s="24"/>
      <c r="NC49" s="24"/>
      <c r="ND49" s="24"/>
      <c r="NE49" s="24"/>
      <c r="NF49" s="24"/>
      <c r="NG49" s="24"/>
      <c r="NH49" s="24"/>
      <c r="NI49" s="24"/>
      <c r="NJ49" s="24"/>
      <c r="NK49" s="24"/>
      <c r="NL49" s="24"/>
      <c r="NM49" s="24"/>
      <c r="NN49" s="24"/>
      <c r="NO49" s="24"/>
      <c r="NP49" s="24"/>
      <c r="NQ49" s="24"/>
      <c r="NR49" s="24"/>
      <c r="NS49" s="24"/>
      <c r="NT49" s="24"/>
      <c r="NU49" s="24"/>
      <c r="NV49" s="24"/>
      <c r="NW49" s="24"/>
      <c r="NX49" s="24"/>
      <c r="NY49" s="24"/>
      <c r="NZ49" s="24"/>
      <c r="OA49" s="24"/>
      <c r="OB49" s="24"/>
      <c r="OC49" s="24"/>
      <c r="OD49" s="24"/>
      <c r="OE49" s="24"/>
      <c r="OF49" s="24"/>
      <c r="OG49" s="24"/>
      <c r="OH49" s="24"/>
      <c r="OI49" s="24"/>
      <c r="OJ49" s="24"/>
      <c r="OK49" s="24"/>
      <c r="OL49" s="24"/>
      <c r="OM49" s="24"/>
      <c r="ON49" s="24"/>
      <c r="OO49" s="24"/>
      <c r="OP49" s="24"/>
      <c r="OQ49" s="24"/>
      <c r="OR49" s="24"/>
      <c r="OS49" s="24"/>
      <c r="OT49" s="24"/>
      <c r="OU49" s="24"/>
      <c r="OV49" s="24"/>
      <c r="OW49" s="24"/>
      <c r="OX49" s="24"/>
      <c r="OY49" s="24"/>
      <c r="OZ49" s="24"/>
      <c r="PA49" s="24"/>
      <c r="PB49" s="24"/>
      <c r="PC49" s="24"/>
      <c r="PD49" s="24"/>
      <c r="PE49" s="24"/>
      <c r="PF49" s="24"/>
      <c r="PG49" s="24"/>
      <c r="PH49" s="24"/>
      <c r="PI49" s="24"/>
      <c r="PJ49" s="24"/>
      <c r="PK49" s="24"/>
      <c r="PL49" s="24"/>
      <c r="PM49" s="24"/>
      <c r="PN49" s="24"/>
      <c r="PO49" s="24"/>
      <c r="PP49" s="24"/>
      <c r="PQ49" s="24"/>
      <c r="PR49" s="24"/>
      <c r="PS49" s="24"/>
      <c r="PT49" s="24"/>
      <c r="PU49" s="24"/>
      <c r="PV49" s="24"/>
      <c r="PW49" s="24"/>
      <c r="PX49" s="24"/>
      <c r="PY49" s="24"/>
      <c r="PZ49" s="24"/>
      <c r="QA49" s="24"/>
      <c r="QB49" s="24"/>
      <c r="QC49" s="24"/>
      <c r="QD49" s="24"/>
      <c r="QE49" s="24"/>
      <c r="QF49" s="24"/>
      <c r="QG49" s="24"/>
      <c r="QH49" s="24"/>
      <c r="QI49" s="24"/>
      <c r="QJ49" s="24"/>
      <c r="QK49" s="24"/>
      <c r="QL49" s="24"/>
      <c r="QM49" s="24"/>
      <c r="QN49" s="24"/>
      <c r="QO49" s="24"/>
      <c r="QP49" s="24"/>
      <c r="QQ49" s="24"/>
      <c r="QR49" s="24"/>
      <c r="QS49" s="24"/>
      <c r="QT49" s="24"/>
      <c r="QU49" s="24"/>
      <c r="QV49" s="24"/>
      <c r="QW49" s="24"/>
      <c r="QX49" s="24"/>
      <c r="QY49" s="24"/>
      <c r="QZ49" s="24"/>
      <c r="RA49" s="24"/>
      <c r="RB49" s="24"/>
      <c r="RC49" s="24"/>
      <c r="RD49" s="24"/>
      <c r="RE49" s="24"/>
      <c r="RF49" s="24"/>
      <c r="RG49" s="24"/>
      <c r="RH49" s="24"/>
      <c r="RI49" s="24"/>
      <c r="RJ49" s="24"/>
      <c r="RK49" s="24"/>
      <c r="RL49" s="24"/>
      <c r="RM49" s="24"/>
      <c r="RN49" s="24"/>
      <c r="RO49" s="24"/>
      <c r="RP49" s="24"/>
      <c r="RQ49" s="24"/>
      <c r="RR49" s="24"/>
      <c r="RS49" s="24"/>
      <c r="RT49" s="24"/>
      <c r="RU49" s="24"/>
      <c r="RV49" s="24"/>
      <c r="RW49" s="24"/>
      <c r="RX49" s="24"/>
      <c r="RY49" s="24"/>
      <c r="RZ49" s="24"/>
      <c r="SA49" s="24"/>
      <c r="SB49" s="24"/>
      <c r="SC49" s="24"/>
      <c r="SD49" s="24"/>
      <c r="SE49" s="24"/>
      <c r="SF49" s="24"/>
      <c r="SG49" s="24"/>
      <c r="SH49" s="24"/>
      <c r="SI49" s="24"/>
      <c r="SJ49" s="24"/>
      <c r="SK49" s="24"/>
      <c r="SL49" s="24"/>
      <c r="SM49" s="24"/>
      <c r="SN49" s="24"/>
      <c r="SO49" s="24"/>
      <c r="SP49" s="24"/>
      <c r="SQ49" s="24"/>
      <c r="SR49" s="24"/>
      <c r="SS49" s="24"/>
      <c r="ST49" s="24"/>
      <c r="SU49" s="24"/>
      <c r="SV49" s="24"/>
      <c r="SW49" s="24"/>
      <c r="SX49" s="24"/>
      <c r="SY49" s="24"/>
      <c r="SZ49" s="24"/>
      <c r="TA49" s="24"/>
      <c r="TB49" s="24"/>
      <c r="TC49" s="24"/>
      <c r="TD49" s="24"/>
      <c r="TE49" s="24"/>
      <c r="TF49" s="24"/>
      <c r="TG49" s="24"/>
      <c r="TH49" s="24"/>
      <c r="TI49" s="24"/>
      <c r="TJ49" s="24"/>
      <c r="TK49" s="24"/>
      <c r="TL49" s="24"/>
      <c r="TM49" s="24"/>
      <c r="TN49" s="24"/>
      <c r="TO49" s="24"/>
      <c r="TP49" s="24"/>
      <c r="TQ49" s="24"/>
      <c r="TR49" s="24"/>
      <c r="TS49" s="24"/>
      <c r="TT49" s="24"/>
      <c r="TU49" s="24"/>
      <c r="TV49" s="24"/>
      <c r="TW49" s="24"/>
      <c r="TX49" s="24"/>
      <c r="TY49" s="24"/>
      <c r="TZ49" s="24"/>
      <c r="UA49" s="24"/>
      <c r="UB49" s="24"/>
      <c r="UC49" s="24"/>
      <c r="UD49" s="24"/>
      <c r="UE49" s="24"/>
      <c r="UF49" s="24"/>
      <c r="UG49" s="24"/>
      <c r="UH49" s="24"/>
      <c r="UI49" s="24"/>
      <c r="UJ49" s="24"/>
      <c r="UK49" s="24"/>
      <c r="UL49" s="24"/>
      <c r="UM49" s="24"/>
      <c r="UN49" s="24"/>
      <c r="UO49" s="24"/>
      <c r="UP49" s="24"/>
      <c r="UQ49" s="24"/>
      <c r="UR49" s="24"/>
      <c r="US49" s="24"/>
      <c r="UT49" s="24"/>
      <c r="UU49" s="24"/>
      <c r="UV49" s="24"/>
      <c r="UW49" s="24"/>
      <c r="UX49" s="24"/>
      <c r="UY49" s="24"/>
      <c r="UZ49" s="24"/>
      <c r="VA49" s="24"/>
      <c r="VB49" s="24"/>
      <c r="VC49" s="24"/>
      <c r="VD49" s="24"/>
      <c r="VE49" s="24"/>
      <c r="VF49" s="24"/>
      <c r="VG49" s="24"/>
      <c r="VH49" s="24"/>
      <c r="VI49" s="24"/>
      <c r="VJ49" s="24"/>
      <c r="VK49" s="24"/>
      <c r="VL49" s="24"/>
      <c r="VM49" s="24"/>
      <c r="VN49" s="24"/>
      <c r="VO49" s="24"/>
      <c r="VP49" s="24"/>
      <c r="VQ49" s="24"/>
      <c r="VR49" s="24"/>
      <c r="VS49" s="24"/>
      <c r="VT49" s="24"/>
      <c r="VU49" s="24"/>
      <c r="VV49" s="24"/>
      <c r="VW49" s="24"/>
      <c r="VX49" s="24"/>
      <c r="VY49" s="24"/>
      <c r="VZ49" s="24"/>
      <c r="WA49" s="24"/>
      <c r="WB49" s="24"/>
      <c r="WC49" s="24"/>
      <c r="WD49" s="24"/>
      <c r="WE49" s="24"/>
      <c r="WF49" s="24"/>
      <c r="WG49" s="24"/>
      <c r="WH49" s="24"/>
      <c r="WI49" s="24"/>
      <c r="WJ49" s="24"/>
      <c r="WK49" s="24"/>
      <c r="WL49" s="24"/>
      <c r="WM49" s="24"/>
      <c r="WN49" s="24"/>
      <c r="WO49" s="24"/>
      <c r="WP49" s="24"/>
      <c r="WQ49" s="24"/>
      <c r="WR49" s="24"/>
      <c r="WS49" s="24"/>
      <c r="WT49" s="24"/>
      <c r="WU49" s="24"/>
      <c r="WV49" s="24"/>
      <c r="WW49" s="24"/>
      <c r="WX49" s="24"/>
      <c r="WY49" s="24"/>
      <c r="WZ49" s="24"/>
      <c r="XA49" s="24"/>
      <c r="XB49" s="24"/>
      <c r="XC49" s="24"/>
      <c r="XD49" s="24"/>
      <c r="XE49" s="24"/>
      <c r="XF49" s="24"/>
      <c r="XG49" s="24"/>
      <c r="XH49" s="24"/>
      <c r="XI49" s="24"/>
      <c r="XJ49" s="24"/>
      <c r="XK49" s="24"/>
      <c r="XL49" s="24"/>
      <c r="XM49" s="24"/>
      <c r="XN49" s="24"/>
      <c r="XO49" s="24"/>
      <c r="XP49" s="24"/>
      <c r="XQ49" s="24"/>
      <c r="XR49" s="24"/>
      <c r="XS49" s="24"/>
      <c r="XT49" s="24"/>
      <c r="XU49" s="24"/>
      <c r="XV49" s="24"/>
      <c r="XW49" s="24"/>
      <c r="XX49" s="24"/>
      <c r="XY49" s="24"/>
      <c r="XZ49" s="24"/>
      <c r="YA49" s="24"/>
      <c r="YB49" s="24"/>
      <c r="YC49" s="24"/>
      <c r="YD49" s="24"/>
      <c r="YE49" s="24"/>
      <c r="YF49" s="24"/>
      <c r="YG49" s="24"/>
      <c r="YH49" s="24"/>
      <c r="YI49" s="24"/>
      <c r="YJ49" s="24"/>
      <c r="YK49" s="24"/>
      <c r="YL49" s="24"/>
      <c r="YM49" s="24"/>
      <c r="YN49" s="24"/>
      <c r="YO49" s="24"/>
      <c r="YP49" s="24"/>
      <c r="YQ49" s="24"/>
      <c r="YR49" s="24"/>
      <c r="YS49" s="24"/>
      <c r="YT49" s="24"/>
      <c r="YU49" s="24"/>
      <c r="YV49" s="24"/>
      <c r="YW49" s="24"/>
      <c r="YX49" s="24"/>
      <c r="YY49" s="24"/>
      <c r="YZ49" s="24"/>
      <c r="ZA49" s="24"/>
      <c r="ZB49" s="24"/>
      <c r="ZC49" s="24"/>
      <c r="ZD49" s="24"/>
      <c r="ZE49" s="24"/>
      <c r="ZF49" s="24"/>
      <c r="ZG49" s="24"/>
      <c r="ZH49" s="24"/>
      <c r="ZI49" s="24"/>
      <c r="ZJ49" s="24"/>
      <c r="ZK49" s="24"/>
      <c r="ZL49" s="24"/>
      <c r="ZM49" s="24"/>
      <c r="ZN49" s="24"/>
      <c r="ZO49" s="24"/>
      <c r="ZP49" s="24"/>
      <c r="ZQ49" s="24"/>
      <c r="ZR49" s="24"/>
      <c r="ZS49" s="24"/>
      <c r="ZT49" s="24"/>
      <c r="ZU49" s="24"/>
      <c r="ZV49" s="24"/>
      <c r="ZW49" s="24"/>
      <c r="ZX49" s="24"/>
      <c r="ZY49" s="24"/>
      <c r="ZZ49" s="24"/>
      <c r="AAA49" s="24"/>
      <c r="AAB49" s="24"/>
      <c r="AAC49" s="24"/>
      <c r="AAD49" s="24"/>
      <c r="AAE49" s="24"/>
      <c r="AAF49" s="24"/>
      <c r="AAG49" s="24"/>
      <c r="AAH49" s="24"/>
      <c r="AAI49" s="24"/>
      <c r="AAJ49" s="24"/>
      <c r="AAK49" s="24"/>
      <c r="AAL49" s="24"/>
      <c r="AAM49" s="24"/>
      <c r="AAN49" s="24"/>
      <c r="AAO49" s="24"/>
      <c r="AAP49" s="24"/>
      <c r="AAQ49" s="24"/>
      <c r="AAR49" s="24"/>
      <c r="AAS49" s="24"/>
      <c r="AAT49" s="24"/>
      <c r="AAU49" s="24"/>
      <c r="AAV49" s="24"/>
      <c r="AAW49" s="24"/>
      <c r="AAX49" s="24"/>
      <c r="AAY49" s="24"/>
      <c r="AAZ49" s="24"/>
      <c r="ABA49" s="24"/>
      <c r="ABB49" s="24"/>
      <c r="ABC49" s="24"/>
      <c r="ABD49" s="24"/>
      <c r="ABE49" s="24"/>
      <c r="ABF49" s="24"/>
      <c r="ABG49" s="24"/>
      <c r="ABH49" s="24"/>
      <c r="ABI49" s="24"/>
      <c r="ABJ49" s="24"/>
      <c r="ABK49" s="24"/>
      <c r="ABL49" s="24"/>
      <c r="ABM49" s="24"/>
      <c r="ABN49" s="24"/>
      <c r="ABO49" s="24"/>
      <c r="ABP49" s="24"/>
      <c r="ABQ49" s="24"/>
      <c r="ABR49" s="24"/>
      <c r="ABS49" s="24"/>
      <c r="ABT49" s="24"/>
      <c r="ABU49" s="24"/>
      <c r="ABV49" s="24"/>
      <c r="ABW49" s="24"/>
      <c r="ABX49" s="24"/>
      <c r="ABY49" s="24"/>
      <c r="ABZ49" s="24"/>
      <c r="ACA49" s="24"/>
      <c r="ACB49" s="24"/>
      <c r="ACC49" s="24"/>
      <c r="ACD49" s="24"/>
      <c r="ACE49" s="24"/>
      <c r="ACF49" s="24"/>
      <c r="ACG49" s="24"/>
      <c r="ACH49" s="24"/>
      <c r="ACI49" s="24"/>
      <c r="ACJ49" s="24"/>
      <c r="ACK49" s="24"/>
      <c r="ACL49" s="24"/>
      <c r="ACM49" s="24"/>
      <c r="ACN49" s="24"/>
      <c r="ACO49" s="24"/>
      <c r="ACP49" s="24"/>
      <c r="ACQ49" s="24"/>
      <c r="ACR49" s="24"/>
      <c r="ACS49" s="24"/>
      <c r="ACT49" s="24"/>
      <c r="ACU49" s="24"/>
      <c r="ACV49" s="24"/>
      <c r="ACW49" s="24"/>
      <c r="ACX49" s="24"/>
      <c r="ACY49" s="24"/>
      <c r="ACZ49" s="24"/>
      <c r="ADA49" s="24"/>
      <c r="ADB49" s="24"/>
      <c r="ADC49" s="24"/>
      <c r="ADD49" s="24"/>
      <c r="ADE49" s="24"/>
      <c r="ADF49" s="24"/>
      <c r="ADG49" s="24"/>
      <c r="ADH49" s="24"/>
      <c r="ADI49" s="24"/>
      <c r="ADJ49" s="24"/>
      <c r="ADK49" s="24"/>
      <c r="ADL49" s="24"/>
      <c r="ADM49" s="24"/>
      <c r="ADN49" s="24"/>
      <c r="ADO49" s="24"/>
      <c r="ADP49" s="24"/>
      <c r="ADQ49" s="24"/>
      <c r="ADR49" s="24"/>
      <c r="ADS49" s="24"/>
      <c r="ADT49" s="24"/>
      <c r="ADU49" s="24"/>
      <c r="ADV49" s="24"/>
      <c r="ADW49" s="24"/>
      <c r="ADX49" s="24"/>
      <c r="ADY49" s="24"/>
      <c r="ADZ49" s="24"/>
      <c r="AEA49" s="24"/>
      <c r="AEB49" s="24"/>
      <c r="AEC49" s="24"/>
      <c r="AED49" s="24"/>
      <c r="AEE49" s="24"/>
      <c r="AEF49" s="24"/>
      <c r="AEG49" s="24"/>
      <c r="AEH49" s="24"/>
      <c r="AEI49" s="24"/>
      <c r="AEJ49" s="24"/>
      <c r="AEK49" s="24"/>
      <c r="AEL49" s="24"/>
      <c r="AEM49" s="24"/>
      <c r="AEN49" s="24"/>
      <c r="AEO49" s="24"/>
      <c r="AEP49" s="24"/>
      <c r="AEQ49" s="24"/>
      <c r="AER49" s="24"/>
      <c r="AES49" s="24"/>
      <c r="AET49" s="24"/>
      <c r="AEU49" s="24"/>
      <c r="AEV49" s="24"/>
      <c r="AEW49" s="24"/>
      <c r="AEX49" s="24"/>
      <c r="AEY49" s="24"/>
      <c r="AEZ49" s="24"/>
      <c r="AFA49" s="24"/>
      <c r="AFB49" s="24"/>
      <c r="AFC49" s="24"/>
      <c r="AFD49" s="24"/>
      <c r="AFE49" s="24"/>
      <c r="AFF49" s="24"/>
      <c r="AFG49" s="24"/>
      <c r="AFH49" s="24"/>
      <c r="AFI49" s="24"/>
      <c r="AFJ49" s="24"/>
      <c r="AFK49" s="24"/>
      <c r="AFL49" s="24"/>
      <c r="AFM49" s="24"/>
      <c r="AFN49" s="24"/>
      <c r="AFO49" s="24"/>
      <c r="AFP49" s="24"/>
      <c r="AFQ49" s="24"/>
      <c r="AFR49" s="24"/>
      <c r="AFS49" s="24"/>
      <c r="AFT49" s="24"/>
      <c r="AFU49" s="24"/>
      <c r="AFV49" s="24"/>
      <c r="AFW49" s="24"/>
      <c r="AFX49" s="24"/>
      <c r="AFY49" s="24"/>
      <c r="AFZ49" s="24"/>
      <c r="AGA49" s="24"/>
      <c r="AGB49" s="24"/>
      <c r="AGC49" s="24"/>
      <c r="AGD49" s="24"/>
      <c r="AGE49" s="24"/>
      <c r="AGF49" s="24"/>
      <c r="AGG49" s="24"/>
      <c r="AGH49" s="24"/>
      <c r="AGI49" s="24"/>
      <c r="AGJ49" s="24"/>
      <c r="AGK49" s="24"/>
      <c r="AGL49" s="24"/>
      <c r="AGM49" s="24"/>
      <c r="AGN49" s="24"/>
      <c r="AGO49" s="24"/>
      <c r="AGP49" s="24"/>
      <c r="AGQ49" s="24"/>
      <c r="AGR49" s="24"/>
      <c r="AGS49" s="24"/>
      <c r="AGT49" s="24"/>
      <c r="AGU49" s="24"/>
      <c r="AGV49" s="24"/>
      <c r="AGW49" s="24"/>
      <c r="AGX49" s="24"/>
      <c r="AGY49" s="24"/>
      <c r="AGZ49" s="24"/>
      <c r="AHA49" s="24"/>
      <c r="AHB49" s="24"/>
      <c r="AHC49" s="24"/>
      <c r="AHD49" s="24"/>
      <c r="AHE49" s="24"/>
      <c r="AHF49" s="24"/>
      <c r="AHG49" s="24"/>
      <c r="AHH49" s="24"/>
      <c r="AHI49" s="24"/>
      <c r="AHJ49" s="24"/>
      <c r="AHK49" s="24"/>
      <c r="AHL49" s="24"/>
      <c r="AHM49" s="24"/>
      <c r="AHN49" s="24"/>
      <c r="AHO49" s="24"/>
      <c r="AHP49" s="24"/>
      <c r="AHQ49" s="24"/>
      <c r="AHR49" s="24"/>
      <c r="AHS49" s="24"/>
      <c r="AHT49" s="24"/>
      <c r="AHU49" s="24"/>
      <c r="AHV49" s="24"/>
      <c r="AHW49" s="24"/>
      <c r="AHX49" s="24"/>
      <c r="AHY49" s="24"/>
      <c r="AHZ49" s="24"/>
      <c r="AIA49" s="24"/>
      <c r="AIB49" s="24"/>
      <c r="AIC49" s="24"/>
      <c r="AID49" s="24"/>
      <c r="AIE49" s="24"/>
      <c r="AIF49" s="24"/>
      <c r="AIG49" s="24"/>
      <c r="AIH49" s="24"/>
      <c r="AII49" s="24"/>
      <c r="AIJ49" s="24"/>
      <c r="AIK49" s="24"/>
      <c r="AIL49" s="24"/>
      <c r="AIM49" s="24"/>
      <c r="AIN49" s="24"/>
      <c r="AIO49" s="24"/>
      <c r="AIP49" s="24"/>
      <c r="AIQ49" s="24"/>
      <c r="AIR49" s="24"/>
      <c r="AIS49" s="24"/>
      <c r="AIT49" s="24"/>
      <c r="AIU49" s="24"/>
      <c r="AIV49" s="24"/>
      <c r="AIW49" s="24"/>
      <c r="AIX49" s="24"/>
      <c r="AIY49" s="24"/>
      <c r="AIZ49" s="24"/>
      <c r="AJA49" s="24"/>
      <c r="AJB49" s="24"/>
      <c r="AJC49" s="24"/>
      <c r="AJD49" s="24"/>
      <c r="AJE49" s="24"/>
      <c r="AJF49" s="24"/>
      <c r="AJG49" s="24"/>
      <c r="AJH49" s="24"/>
      <c r="AJI49" s="24"/>
      <c r="AJJ49" s="24"/>
      <c r="AJK49" s="24"/>
      <c r="AJL49" s="24"/>
      <c r="AJM49" s="24"/>
      <c r="AJN49" s="24"/>
      <c r="AJO49" s="24"/>
      <c r="AJP49" s="24"/>
      <c r="AJQ49" s="24"/>
      <c r="AJR49" s="24"/>
      <c r="AJS49" s="24"/>
      <c r="AJT49" s="24"/>
      <c r="AJU49" s="24"/>
      <c r="AJV49" s="24"/>
      <c r="AJW49" s="24"/>
      <c r="AJX49" s="24"/>
      <c r="AJY49" s="24"/>
      <c r="AJZ49" s="24"/>
      <c r="AKA49" s="24"/>
      <c r="AKB49" s="24"/>
      <c r="AKC49" s="24"/>
      <c r="AKD49" s="24"/>
      <c r="AKE49" s="24"/>
      <c r="AKF49" s="24"/>
      <c r="AKG49" s="24"/>
      <c r="AKH49" s="24"/>
      <c r="AKI49" s="24"/>
      <c r="AKJ49" s="24"/>
      <c r="AKK49" s="24"/>
      <c r="AKL49" s="24"/>
      <c r="AKM49" s="24"/>
      <c r="AKN49" s="24"/>
      <c r="AKO49" s="24"/>
      <c r="AKP49" s="24"/>
      <c r="AKQ49" s="24"/>
      <c r="AKR49" s="24"/>
      <c r="AKS49" s="24"/>
      <c r="AKT49" s="24"/>
      <c r="AKU49" s="24"/>
      <c r="AKV49" s="24"/>
      <c r="AKW49" s="24"/>
      <c r="AKX49" s="24"/>
      <c r="AKY49" s="24"/>
      <c r="AKZ49" s="24"/>
      <c r="ALA49" s="24"/>
      <c r="ALB49" s="24"/>
      <c r="ALC49" s="24"/>
      <c r="ALD49" s="24"/>
      <c r="ALE49" s="24"/>
      <c r="ALF49" s="24"/>
      <c r="ALG49" s="24"/>
      <c r="ALH49" s="24"/>
      <c r="ALI49" s="24"/>
      <c r="ALJ49" s="24"/>
      <c r="ALK49" s="24"/>
      <c r="ALL49" s="24"/>
      <c r="ALM49" s="24"/>
      <c r="ALN49" s="24"/>
      <c r="ALO49" s="24"/>
      <c r="ALP49" s="24"/>
      <c r="ALQ49" s="24"/>
      <c r="ALR49" s="24"/>
      <c r="ALS49" s="24"/>
      <c r="ALT49" s="24"/>
      <c r="ALU49" s="24"/>
      <c r="ALV49" s="24"/>
      <c r="ALW49" s="24"/>
      <c r="ALX49" s="24"/>
      <c r="ALY49" s="24"/>
      <c r="ALZ49" s="24"/>
      <c r="AMA49" s="24"/>
      <c r="AMB49" s="24"/>
      <c r="AMC49" s="24"/>
      <c r="AMD49" s="24"/>
      <c r="AME49" s="24"/>
      <c r="AMF49" s="24"/>
      <c r="AMG49" s="24"/>
      <c r="AMH49" s="24"/>
      <c r="AMI49" s="24"/>
      <c r="AMJ49" s="24"/>
      <c r="AMK49" s="24"/>
      <c r="AML49" s="24"/>
      <c r="AMM49" s="24"/>
      <c r="AMN49" s="24"/>
      <c r="AMO49" s="24"/>
      <c r="AMP49" s="24"/>
      <c r="AMQ49" s="24"/>
      <c r="AMR49" s="24"/>
      <c r="AMS49" s="24"/>
      <c r="AMT49" s="24"/>
      <c r="AMU49" s="24"/>
      <c r="AMV49" s="24"/>
      <c r="AMW49" s="24"/>
      <c r="AMX49" s="24"/>
      <c r="AMY49" s="24"/>
      <c r="AMZ49" s="24"/>
      <c r="ANA49" s="24"/>
      <c r="ANB49" s="24"/>
      <c r="ANC49" s="24"/>
      <c r="AND49" s="24"/>
      <c r="ANE49" s="24"/>
      <c r="ANF49" s="24"/>
      <c r="ANG49" s="24"/>
      <c r="ANH49" s="24"/>
      <c r="ANI49" s="24"/>
      <c r="ANJ49" s="24"/>
      <c r="ANK49" s="24"/>
      <c r="ANL49" s="24"/>
      <c r="ANM49" s="24"/>
      <c r="ANN49" s="24"/>
      <c r="ANO49" s="24"/>
      <c r="ANP49" s="24"/>
      <c r="ANQ49" s="24"/>
      <c r="ANR49" s="24"/>
      <c r="ANS49" s="24"/>
      <c r="ANT49" s="24"/>
      <c r="ANU49" s="24"/>
      <c r="ANV49" s="24"/>
      <c r="ANW49" s="24"/>
      <c r="ANX49" s="24"/>
      <c r="ANY49" s="24"/>
      <c r="ANZ49" s="24"/>
      <c r="AOA49" s="24"/>
      <c r="AOB49" s="24"/>
      <c r="AOC49" s="24"/>
      <c r="AOD49" s="24"/>
      <c r="AOE49" s="24"/>
      <c r="AOF49" s="24"/>
      <c r="AOG49" s="24"/>
      <c r="AOH49" s="24"/>
      <c r="AOI49" s="24"/>
      <c r="AOJ49" s="24"/>
      <c r="AOK49" s="24"/>
      <c r="AOL49" s="24"/>
      <c r="AOM49" s="24"/>
      <c r="AON49" s="24"/>
      <c r="AOO49" s="24"/>
      <c r="AOP49" s="24"/>
      <c r="AOQ49" s="24"/>
      <c r="AOR49" s="24"/>
      <c r="AOS49" s="24"/>
      <c r="AOT49" s="24"/>
      <c r="AOU49" s="24"/>
      <c r="AOV49" s="24"/>
      <c r="AOW49" s="24"/>
      <c r="AOX49" s="24"/>
      <c r="AOY49" s="24"/>
      <c r="AOZ49" s="24"/>
      <c r="APA49" s="24"/>
      <c r="APB49" s="24"/>
      <c r="APC49" s="24"/>
      <c r="APD49" s="24"/>
      <c r="APE49" s="24"/>
      <c r="APF49" s="24"/>
      <c r="APG49" s="24"/>
      <c r="APH49" s="24"/>
      <c r="API49" s="24"/>
      <c r="APJ49" s="24"/>
      <c r="APK49" s="24"/>
      <c r="APL49" s="24"/>
      <c r="APM49" s="24"/>
      <c r="APN49" s="24"/>
      <c r="APO49" s="24"/>
      <c r="APP49" s="24"/>
      <c r="APQ49" s="24"/>
      <c r="APR49" s="24"/>
      <c r="APS49" s="24"/>
      <c r="APT49" s="24"/>
      <c r="APU49" s="24"/>
      <c r="APV49" s="24"/>
      <c r="APW49" s="24"/>
      <c r="APX49" s="24"/>
      <c r="APY49" s="24"/>
      <c r="APZ49" s="24"/>
      <c r="AQA49" s="24"/>
      <c r="AQB49" s="24"/>
      <c r="AQC49" s="24"/>
      <c r="AQD49" s="24"/>
      <c r="AQE49" s="24"/>
      <c r="AQF49" s="24"/>
      <c r="AQG49" s="24"/>
      <c r="AQH49" s="24"/>
      <c r="AQI49" s="24"/>
      <c r="AQJ49" s="24"/>
      <c r="AQK49" s="24"/>
      <c r="AQL49" s="24"/>
      <c r="AQM49" s="24"/>
      <c r="AQN49" s="24"/>
      <c r="AQO49" s="24"/>
      <c r="AQP49" s="24"/>
      <c r="AQQ49" s="24"/>
      <c r="AQR49" s="24"/>
      <c r="AQS49" s="24"/>
      <c r="AQT49" s="24"/>
      <c r="AQU49" s="24"/>
      <c r="AQV49" s="24"/>
      <c r="AQW49" s="24"/>
      <c r="AQX49" s="24"/>
      <c r="AQY49" s="24"/>
      <c r="AQZ49" s="24"/>
      <c r="ARA49" s="24"/>
      <c r="ARB49" s="24"/>
      <c r="ARC49" s="24"/>
      <c r="ARD49" s="24"/>
      <c r="ARE49" s="24"/>
      <c r="ARF49" s="24"/>
      <c r="ARG49" s="24"/>
      <c r="ARH49" s="24"/>
      <c r="ARI49" s="24"/>
      <c r="ARJ49" s="24"/>
      <c r="ARK49" s="24"/>
      <c r="ARL49" s="24"/>
      <c r="ARM49" s="24"/>
      <c r="ARN49" s="24"/>
      <c r="ARO49" s="24"/>
      <c r="ARP49" s="24"/>
      <c r="ARQ49" s="24"/>
      <c r="ARR49" s="24"/>
      <c r="ARS49" s="24"/>
      <c r="ART49" s="24"/>
      <c r="ARU49" s="24"/>
      <c r="ARV49" s="24"/>
      <c r="ARW49" s="24"/>
      <c r="ARX49" s="24"/>
      <c r="ARY49" s="24"/>
      <c r="ARZ49" s="24"/>
      <c r="ASA49" s="24"/>
      <c r="ASB49" s="24"/>
      <c r="ASC49" s="24"/>
      <c r="ASD49" s="24"/>
      <c r="ASE49" s="24"/>
      <c r="ASF49" s="24"/>
      <c r="ASG49" s="24"/>
      <c r="ASH49" s="24"/>
      <c r="ASI49" s="24"/>
      <c r="ASJ49" s="24"/>
      <c r="ASK49" s="24"/>
      <c r="ASL49" s="24"/>
      <c r="ASM49" s="24"/>
      <c r="ASN49" s="24"/>
      <c r="ASO49" s="24"/>
      <c r="ASP49" s="24"/>
      <c r="ASQ49" s="24"/>
      <c r="ASR49" s="24"/>
      <c r="ASS49" s="24"/>
      <c r="AST49" s="24"/>
      <c r="ASU49" s="24"/>
      <c r="ASV49" s="24"/>
      <c r="ASW49" s="24"/>
      <c r="ASX49" s="24"/>
      <c r="ASY49" s="24"/>
      <c r="ASZ49" s="24"/>
      <c r="ATA49" s="24"/>
      <c r="ATB49" s="24"/>
      <c r="ATC49" s="24"/>
      <c r="ATD49" s="24"/>
      <c r="ATE49" s="24"/>
      <c r="ATF49" s="24"/>
      <c r="ATG49" s="24"/>
      <c r="ATH49" s="24"/>
    </row>
    <row r="50" spans="1:1204" x14ac:dyDescent="0.25">
      <c r="A50" s="21"/>
      <c r="B50" s="21"/>
      <c r="C50" s="21"/>
      <c r="D50" s="21"/>
      <c r="E50" s="21"/>
      <c r="F50" s="21"/>
      <c r="G50" s="21"/>
      <c r="H50" s="21"/>
      <c r="I50" s="21"/>
    </row>
    <row r="56" spans="1:1204" ht="14.4" x14ac:dyDescent="0.3">
      <c r="B56"/>
      <c r="C56"/>
      <c r="D56"/>
      <c r="E56"/>
      <c r="F56"/>
      <c r="G56"/>
      <c r="H56"/>
      <c r="I56"/>
      <c r="J56"/>
    </row>
    <row r="57" spans="1:1204" ht="14.4" x14ac:dyDescent="0.3">
      <c r="B57"/>
      <c r="C57"/>
      <c r="D57"/>
      <c r="E57"/>
      <c r="F57"/>
      <c r="G57"/>
      <c r="H57"/>
      <c r="I57"/>
      <c r="J57"/>
    </row>
    <row r="58" spans="1:1204" ht="14.4" x14ac:dyDescent="0.3">
      <c r="B58"/>
      <c r="C58"/>
      <c r="D58"/>
      <c r="E58"/>
      <c r="F58"/>
      <c r="G58"/>
      <c r="H58"/>
      <c r="I58"/>
      <c r="J58"/>
    </row>
    <row r="59" spans="1:1204" ht="14.4" x14ac:dyDescent="0.3">
      <c r="B59"/>
      <c r="C59"/>
      <c r="D59"/>
      <c r="E59"/>
      <c r="F59"/>
      <c r="G59"/>
      <c r="H59"/>
      <c r="I59"/>
      <c r="J59"/>
    </row>
    <row r="60" spans="1:1204" customFormat="1" ht="14.4" x14ac:dyDescent="0.3"/>
    <row r="61" spans="1:1204" customFormat="1" ht="14.4" x14ac:dyDescent="0.3"/>
    <row r="62" spans="1:1204" customFormat="1" ht="14.4" x14ac:dyDescent="0.3"/>
    <row r="63" spans="1:1204" customFormat="1" ht="14.4" x14ac:dyDescent="0.3"/>
    <row r="64" spans="1:1204" customFormat="1" ht="14.4" x14ac:dyDescent="0.3"/>
    <row r="65" customFormat="1" ht="14.4" x14ac:dyDescent="0.3"/>
    <row r="66" customFormat="1" ht="14.4" x14ac:dyDescent="0.3"/>
    <row r="67" customFormat="1" ht="14.4" x14ac:dyDescent="0.3"/>
    <row r="68" customFormat="1" ht="14.4" x14ac:dyDescent="0.3"/>
    <row r="69" customFormat="1" ht="14.4" x14ac:dyDescent="0.3"/>
    <row r="70" customFormat="1" ht="14.4" x14ac:dyDescent="0.3"/>
    <row r="71" customFormat="1" ht="14.4" x14ac:dyDescent="0.3"/>
    <row r="72" customFormat="1" ht="14.4" x14ac:dyDescent="0.3"/>
    <row r="73" customFormat="1" ht="14.4" x14ac:dyDescent="0.3"/>
    <row r="74" customFormat="1" ht="14.4" x14ac:dyDescent="0.3"/>
    <row r="75" customFormat="1" ht="14.4" x14ac:dyDescent="0.3"/>
    <row r="76" customFormat="1" ht="14.4" x14ac:dyDescent="0.3"/>
    <row r="77" customFormat="1" ht="14.4" x14ac:dyDescent="0.3"/>
    <row r="78" customFormat="1" ht="14.4"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row r="133" customFormat="1" ht="14.4" x14ac:dyDescent="0.3"/>
    <row r="134" customFormat="1" ht="14.4" x14ac:dyDescent="0.3"/>
    <row r="135" customFormat="1" ht="14.4" x14ac:dyDescent="0.3"/>
    <row r="136" customFormat="1" ht="14.4" x14ac:dyDescent="0.3"/>
    <row r="137" customFormat="1" ht="14.4" x14ac:dyDescent="0.3"/>
    <row r="138" customFormat="1" ht="14.4" x14ac:dyDescent="0.3"/>
    <row r="139" customFormat="1" ht="14.4" x14ac:dyDescent="0.3"/>
    <row r="140" customFormat="1" ht="14.4" x14ac:dyDescent="0.3"/>
    <row r="141" customFormat="1" ht="14.4" x14ac:dyDescent="0.3"/>
    <row r="142" customFormat="1" ht="14.4" x14ac:dyDescent="0.3"/>
    <row r="143" customFormat="1" ht="14.4" x14ac:dyDescent="0.3"/>
    <row r="144"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row r="151" customFormat="1" ht="14.4" x14ac:dyDescent="0.3"/>
    <row r="152" customFormat="1" ht="14.4" x14ac:dyDescent="0.3"/>
    <row r="153" customFormat="1" ht="14.4" x14ac:dyDescent="0.3"/>
    <row r="154" customFormat="1" ht="14.4" x14ac:dyDescent="0.3"/>
    <row r="155" customFormat="1" ht="14.4" x14ac:dyDescent="0.3"/>
    <row r="156" customFormat="1" ht="14.4" x14ac:dyDescent="0.3"/>
    <row r="157" customFormat="1" ht="14.4" x14ac:dyDescent="0.3"/>
    <row r="158" customFormat="1" ht="14.4" x14ac:dyDescent="0.3"/>
    <row r="159" customFormat="1" ht="14.4" x14ac:dyDescent="0.3"/>
    <row r="160" customFormat="1" ht="14.4" x14ac:dyDescent="0.3"/>
    <row r="161" customFormat="1" ht="14.4" x14ac:dyDescent="0.3"/>
    <row r="162" customFormat="1" ht="14.4" x14ac:dyDescent="0.3"/>
    <row r="163" customFormat="1" ht="14.4" x14ac:dyDescent="0.3"/>
    <row r="164" customFormat="1" ht="14.4" x14ac:dyDescent="0.3"/>
    <row r="165" customFormat="1" ht="14.4" x14ac:dyDescent="0.3"/>
    <row r="166" customFormat="1" ht="14.4" x14ac:dyDescent="0.3"/>
    <row r="167" customFormat="1" ht="14.4" x14ac:dyDescent="0.3"/>
    <row r="168" customFormat="1" ht="14.4" x14ac:dyDescent="0.3"/>
    <row r="169" customFormat="1" ht="14.4" x14ac:dyDescent="0.3"/>
    <row r="170" customFormat="1" ht="14.4" x14ac:dyDescent="0.3"/>
    <row r="171" customFormat="1" ht="14.4" x14ac:dyDescent="0.3"/>
  </sheetData>
  <autoFilter ref="C2:N40" xr:uid="{CAAEFA7E-5301-47EF-897F-A5F351FF4E73}"/>
  <mergeCells count="2">
    <mergeCell ref="A1:N1"/>
    <mergeCell ref="O3:O39"/>
  </mergeCells>
  <phoneticPr fontId="4"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7793A55-DBAB-44CE-A6FE-B4281E53FAF8}">
          <x14:formula1>
            <xm:f>Data!$A$2:$A$200</xm:f>
          </x14:formula1>
          <xm:sqref>A3:A39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U178"/>
  <sheetViews>
    <sheetView zoomScale="90" zoomScaleNormal="90" workbookViewId="0">
      <selection sqref="A1:X1"/>
    </sheetView>
  </sheetViews>
  <sheetFormatPr defaultColWidth="9.33203125" defaultRowHeight="13.8" x14ac:dyDescent="0.25"/>
  <cols>
    <col min="1" max="1" width="25.5546875" style="55" customWidth="1"/>
    <col min="2" max="2" width="17.6640625" style="56" bestFit="1" customWidth="1"/>
    <col min="3" max="3" width="36.44140625" style="55" customWidth="1"/>
    <col min="4" max="4" width="73.88671875" style="55" customWidth="1"/>
    <col min="5" max="5" width="23.33203125" style="55" customWidth="1"/>
    <col min="6" max="6" width="21.6640625" style="55" customWidth="1"/>
    <col min="7" max="7" width="32.5546875" style="57" customWidth="1"/>
    <col min="8" max="8" width="82.109375" style="57" customWidth="1"/>
    <col min="9" max="9" width="21" style="55" customWidth="1"/>
    <col min="10" max="10" width="12.109375" style="55" customWidth="1"/>
    <col min="11" max="11" width="14.109375" style="55" customWidth="1"/>
    <col min="12" max="12" width="7" style="55" customWidth="1"/>
    <col min="13" max="13" width="7.88671875" style="55" customWidth="1"/>
    <col min="14" max="14" width="8.6640625" style="55" customWidth="1"/>
    <col min="15" max="15" width="7" style="55" customWidth="1"/>
    <col min="16" max="16" width="10.6640625" style="55" customWidth="1"/>
    <col min="17" max="17" width="7.5546875" style="55" customWidth="1"/>
    <col min="18" max="21" width="7" style="55" customWidth="1"/>
    <col min="22" max="22" width="7.6640625" style="55" customWidth="1"/>
    <col min="23" max="24" width="7" style="55" customWidth="1"/>
    <col min="25" max="26" width="9.33203125" style="55"/>
    <col min="27" max="30" width="7.6640625" style="55" customWidth="1"/>
    <col min="31" max="31" width="9.6640625" style="55" customWidth="1"/>
    <col min="32" max="32" width="7.5546875" style="55" customWidth="1"/>
    <col min="33" max="33" width="11.44140625" style="55" customWidth="1"/>
    <col min="34" max="36" width="7.6640625" style="55" customWidth="1"/>
    <col min="37" max="37" width="13.6640625" style="55" customWidth="1"/>
    <col min="38" max="41" width="7.44140625" style="55" customWidth="1"/>
    <col min="42" max="43" width="9.6640625" style="55" bestFit="1" customWidth="1"/>
    <col min="44" max="16384" width="9.33203125" style="55"/>
  </cols>
  <sheetData>
    <row r="1" spans="1:47" ht="26.25" customHeight="1" x14ac:dyDescent="0.3">
      <c r="A1" s="506" t="str">
        <f>"Envelope - "&amp;Prototype!A2</f>
        <v xml:space="preserve">Envelope - ApartmentMidRise </v>
      </c>
      <c r="B1" s="507"/>
      <c r="C1" s="507"/>
      <c r="D1" s="507"/>
      <c r="E1" s="507"/>
      <c r="F1" s="507"/>
      <c r="G1" s="507"/>
      <c r="H1" s="507"/>
      <c r="I1" s="507"/>
      <c r="J1" s="507"/>
      <c r="K1" s="507"/>
      <c r="L1" s="507"/>
      <c r="M1" s="507"/>
      <c r="N1" s="507"/>
      <c r="O1" s="507"/>
      <c r="P1" s="507"/>
      <c r="Q1" s="507"/>
      <c r="R1" s="507"/>
      <c r="S1" s="507"/>
      <c r="T1" s="507"/>
      <c r="U1" s="507"/>
      <c r="V1" s="507"/>
      <c r="W1" s="507"/>
      <c r="X1" s="507"/>
      <c r="Y1"/>
      <c r="Z1" s="1"/>
      <c r="AA1" s="1"/>
      <c r="AB1" s="1"/>
      <c r="AC1" s="1"/>
      <c r="AD1" s="1"/>
      <c r="AE1" s="1"/>
      <c r="AF1" s="1"/>
      <c r="AG1" s="1"/>
      <c r="AH1" s="1"/>
      <c r="AI1" s="1"/>
      <c r="AJ1" s="1"/>
      <c r="AK1" s="1"/>
      <c r="AL1" s="1"/>
      <c r="AM1" s="1"/>
      <c r="AN1" s="1"/>
      <c r="AO1" s="1"/>
      <c r="AP1" s="1"/>
      <c r="AQ1" s="1"/>
      <c r="AR1" s="1"/>
      <c r="AS1" s="1"/>
      <c r="AT1" s="1"/>
      <c r="AU1" s="1"/>
    </row>
    <row r="2" spans="1:47" ht="30" customHeight="1" x14ac:dyDescent="0.25">
      <c r="A2" s="73" t="s">
        <v>188</v>
      </c>
      <c r="B2" s="73" t="s">
        <v>3</v>
      </c>
      <c r="C2" s="73" t="s">
        <v>189</v>
      </c>
      <c r="D2" s="73" t="s">
        <v>190</v>
      </c>
      <c r="E2" s="141" t="s">
        <v>191</v>
      </c>
      <c r="F2" s="73" t="s">
        <v>192</v>
      </c>
      <c r="G2" s="141" t="s">
        <v>193</v>
      </c>
      <c r="H2" s="73" t="s">
        <v>28</v>
      </c>
      <c r="I2" s="73" t="s">
        <v>194</v>
      </c>
      <c r="J2" s="73" t="s">
        <v>195</v>
      </c>
      <c r="K2" s="73" t="s">
        <v>196</v>
      </c>
      <c r="L2" s="73" t="s">
        <v>197</v>
      </c>
      <c r="M2" s="73" t="s">
        <v>198</v>
      </c>
      <c r="N2" s="73" t="s">
        <v>199</v>
      </c>
      <c r="O2" s="73" t="s">
        <v>200</v>
      </c>
      <c r="P2" s="73" t="s">
        <v>201</v>
      </c>
      <c r="Q2" s="73" t="s">
        <v>202</v>
      </c>
      <c r="R2" s="73" t="s">
        <v>203</v>
      </c>
      <c r="S2" s="73" t="s">
        <v>204</v>
      </c>
      <c r="T2" s="73" t="s">
        <v>205</v>
      </c>
      <c r="U2" s="73" t="s">
        <v>206</v>
      </c>
      <c r="V2" s="73" t="s">
        <v>207</v>
      </c>
      <c r="W2" s="73" t="s">
        <v>208</v>
      </c>
      <c r="X2" s="73" t="s">
        <v>209</v>
      </c>
      <c r="Y2" s="1"/>
      <c r="Z2" s="1"/>
      <c r="AA2" s="1"/>
      <c r="AB2" s="1"/>
      <c r="AC2" s="1"/>
      <c r="AD2" s="1"/>
      <c r="AE2" s="1"/>
      <c r="AF2" s="1"/>
      <c r="AG2" s="1"/>
      <c r="AH2" s="1"/>
      <c r="AI2" s="1"/>
      <c r="AJ2" s="1"/>
      <c r="AK2" s="1"/>
      <c r="AL2" s="1"/>
      <c r="AM2" s="1"/>
      <c r="AN2" s="1"/>
      <c r="AO2" s="1"/>
      <c r="AP2" s="1"/>
      <c r="AQ2" s="1"/>
      <c r="AR2" s="1"/>
      <c r="AS2" s="1"/>
      <c r="AT2" s="1"/>
      <c r="AU2" s="1"/>
    </row>
    <row r="3" spans="1:47" ht="26.4" x14ac:dyDescent="0.25">
      <c r="A3" s="503" t="s">
        <v>210</v>
      </c>
      <c r="B3" s="497" t="str">
        <f>Prototype!$A$2</f>
        <v xml:space="preserve">ApartmentMidRise </v>
      </c>
      <c r="C3" s="505" t="s">
        <v>211</v>
      </c>
      <c r="D3" s="504" t="s">
        <v>212</v>
      </c>
      <c r="E3" s="497" t="s">
        <v>213</v>
      </c>
      <c r="F3" s="320" t="s">
        <v>214</v>
      </c>
      <c r="G3" s="320" t="s">
        <v>215</v>
      </c>
      <c r="H3" s="359" t="s">
        <v>216</v>
      </c>
      <c r="I3" s="360">
        <v>0.74</v>
      </c>
      <c r="J3" s="360">
        <v>0.74</v>
      </c>
      <c r="K3" s="360">
        <v>0.74</v>
      </c>
      <c r="L3" s="360">
        <v>0.74</v>
      </c>
      <c r="M3" s="360">
        <v>0.74</v>
      </c>
      <c r="N3" s="360">
        <v>0.74</v>
      </c>
      <c r="O3" s="360">
        <v>0.74</v>
      </c>
      <c r="P3" s="360">
        <v>0.74</v>
      </c>
      <c r="Q3" s="360">
        <v>0.74</v>
      </c>
      <c r="R3" s="360">
        <v>0.74</v>
      </c>
      <c r="S3" s="360">
        <v>0.74</v>
      </c>
      <c r="T3" s="360">
        <v>0.74</v>
      </c>
      <c r="U3" s="360">
        <v>0.74</v>
      </c>
      <c r="V3" s="360">
        <v>0.74</v>
      </c>
      <c r="W3" s="360">
        <v>0.74</v>
      </c>
      <c r="X3" s="360">
        <v>0.74</v>
      </c>
      <c r="Y3" s="1"/>
      <c r="Z3" s="1"/>
      <c r="AA3" s="1"/>
      <c r="AB3" s="1"/>
      <c r="AC3" s="1"/>
      <c r="AD3" s="1"/>
      <c r="AE3" s="1"/>
      <c r="AF3" s="1"/>
      <c r="AG3" s="1"/>
      <c r="AH3" s="1"/>
      <c r="AI3" s="1"/>
      <c r="AJ3" s="1"/>
      <c r="AK3" s="1"/>
      <c r="AL3" s="1"/>
      <c r="AM3" s="1"/>
      <c r="AN3" s="1"/>
      <c r="AO3" s="1"/>
      <c r="AP3" s="1"/>
      <c r="AQ3" s="1"/>
      <c r="AR3" s="1"/>
      <c r="AS3" s="1"/>
      <c r="AT3" s="1"/>
      <c r="AU3" s="1"/>
    </row>
    <row r="4" spans="1:47" ht="26.4" x14ac:dyDescent="0.25">
      <c r="A4" s="501"/>
      <c r="B4" s="501"/>
      <c r="C4" s="490"/>
      <c r="D4" s="490"/>
      <c r="E4" s="501"/>
      <c r="F4" s="303" t="s">
        <v>217</v>
      </c>
      <c r="G4" s="303">
        <v>1986</v>
      </c>
      <c r="H4" s="322" t="s">
        <v>218</v>
      </c>
      <c r="I4" s="303">
        <v>0.21299999999999999</v>
      </c>
      <c r="J4" s="303">
        <v>0.22700000000000001</v>
      </c>
      <c r="K4" s="303">
        <v>0.22700000000000001</v>
      </c>
      <c r="L4" s="303">
        <v>0.217</v>
      </c>
      <c r="M4" s="303">
        <v>0.217</v>
      </c>
      <c r="N4" s="303">
        <v>0.25600000000000001</v>
      </c>
      <c r="O4" s="303">
        <v>0.25600000000000001</v>
      </c>
      <c r="P4" s="303">
        <v>0.25600000000000001</v>
      </c>
      <c r="Q4" s="303">
        <v>0.25600000000000001</v>
      </c>
      <c r="R4" s="303">
        <v>0.25600000000000001</v>
      </c>
      <c r="S4" s="303">
        <v>0.23799999999999999</v>
      </c>
      <c r="T4" s="303">
        <v>0.23799999999999999</v>
      </c>
      <c r="U4" s="303">
        <v>0.23799999999999999</v>
      </c>
      <c r="V4" s="303">
        <v>0.20799999999999999</v>
      </c>
      <c r="W4" s="303">
        <v>0.20799999999999999</v>
      </c>
      <c r="X4" s="303">
        <v>0.21299999999999999</v>
      </c>
      <c r="Y4" s="1"/>
      <c r="Z4" s="1"/>
      <c r="AA4" s="1"/>
      <c r="AB4" s="1"/>
      <c r="AC4" s="1"/>
      <c r="AD4" s="1"/>
      <c r="AE4" s="1"/>
      <c r="AF4" s="1"/>
      <c r="AG4" s="1"/>
      <c r="AH4" s="1"/>
      <c r="AI4" s="1"/>
      <c r="AJ4" s="1"/>
      <c r="AK4" s="1"/>
      <c r="AL4" s="1"/>
      <c r="AM4" s="1"/>
      <c r="AN4" s="1"/>
      <c r="AO4" s="1"/>
      <c r="AP4" s="1"/>
      <c r="AQ4" s="1"/>
      <c r="AR4" s="1"/>
      <c r="AS4" s="1"/>
      <c r="AT4" s="1"/>
      <c r="AU4" s="1"/>
    </row>
    <row r="5" spans="1:47" x14ac:dyDescent="0.25">
      <c r="A5" s="501"/>
      <c r="B5" s="501"/>
      <c r="C5" s="490"/>
      <c r="D5" s="490"/>
      <c r="E5" s="501"/>
      <c r="F5" s="304" t="s">
        <v>219</v>
      </c>
      <c r="G5" s="304">
        <v>2001</v>
      </c>
      <c r="H5" s="361" t="s">
        <v>220</v>
      </c>
      <c r="I5" s="362">
        <v>0.36</v>
      </c>
      <c r="J5" s="362">
        <v>0.65</v>
      </c>
      <c r="K5" s="362">
        <v>0.65</v>
      </c>
      <c r="L5" s="362">
        <v>0.65</v>
      </c>
      <c r="M5" s="362">
        <v>0.65</v>
      </c>
      <c r="N5" s="362">
        <v>0.69</v>
      </c>
      <c r="O5" s="362">
        <v>0.69</v>
      </c>
      <c r="P5" s="362">
        <v>0.69</v>
      </c>
      <c r="Q5" s="362">
        <v>0.69</v>
      </c>
      <c r="R5" s="362">
        <v>0.65</v>
      </c>
      <c r="S5" s="362">
        <v>0.65</v>
      </c>
      <c r="T5" s="362">
        <v>0.65</v>
      </c>
      <c r="U5" s="362">
        <v>0.65</v>
      </c>
      <c r="V5" s="362">
        <v>0.4</v>
      </c>
      <c r="W5" s="362">
        <v>0.4</v>
      </c>
      <c r="X5" s="362">
        <v>0.36</v>
      </c>
      <c r="Y5" s="1"/>
      <c r="Z5" s="1"/>
      <c r="AA5" s="1"/>
      <c r="AB5" s="1"/>
      <c r="AC5" s="1"/>
      <c r="AD5" s="1"/>
      <c r="AE5" s="1"/>
      <c r="AF5" s="1"/>
      <c r="AG5" s="1"/>
      <c r="AH5" s="1"/>
      <c r="AI5" s="1"/>
      <c r="AJ5" s="1"/>
      <c r="AK5" s="1"/>
      <c r="AL5" s="1"/>
      <c r="AM5" s="1"/>
      <c r="AN5" s="1"/>
      <c r="AO5" s="1"/>
      <c r="AP5" s="1"/>
      <c r="AQ5" s="1"/>
      <c r="AR5" s="1"/>
      <c r="AS5" s="1"/>
      <c r="AT5" s="1"/>
      <c r="AU5" s="1"/>
    </row>
    <row r="6" spans="1:47" ht="14.4" x14ac:dyDescent="0.3">
      <c r="A6" s="501"/>
      <c r="B6" s="501"/>
      <c r="C6" s="490"/>
      <c r="D6" s="490"/>
      <c r="E6" s="501"/>
      <c r="F6" s="305" t="s">
        <v>221</v>
      </c>
      <c r="G6" s="305">
        <v>2013</v>
      </c>
      <c r="H6" s="363" t="s">
        <v>222</v>
      </c>
      <c r="I6" s="364">
        <v>0.253</v>
      </c>
      <c r="J6" s="364">
        <v>0.65</v>
      </c>
      <c r="K6" s="364">
        <v>0.65</v>
      </c>
      <c r="L6" s="364">
        <v>0.65</v>
      </c>
      <c r="M6" s="364">
        <v>0.65</v>
      </c>
      <c r="N6" s="364">
        <v>0.69</v>
      </c>
      <c r="O6" s="364">
        <v>0.69</v>
      </c>
      <c r="P6" s="364">
        <v>0.69</v>
      </c>
      <c r="Q6" s="364">
        <v>0.69</v>
      </c>
      <c r="R6" s="364">
        <v>0.65</v>
      </c>
      <c r="S6" s="364">
        <v>0.184</v>
      </c>
      <c r="T6" s="364">
        <v>0.253</v>
      </c>
      <c r="U6" s="364">
        <v>0.21099999999999999</v>
      </c>
      <c r="V6" s="364">
        <v>0.184</v>
      </c>
      <c r="W6" s="364">
        <v>0.184</v>
      </c>
      <c r="X6" s="364">
        <v>0.16</v>
      </c>
      <c r="Y6" s="1"/>
      <c r="Z6" s="1"/>
      <c r="AA6" s="1"/>
      <c r="AB6" s="1"/>
      <c r="AC6" s="1"/>
      <c r="AD6" s="1"/>
      <c r="AE6" s="1"/>
      <c r="AF6" s="1"/>
      <c r="AG6" s="1"/>
      <c r="AH6" s="1"/>
      <c r="AI6" s="1"/>
      <c r="AJ6"/>
      <c r="AK6"/>
      <c r="AL6"/>
      <c r="AM6"/>
      <c r="AN6"/>
      <c r="AO6"/>
      <c r="AP6"/>
      <c r="AQ6"/>
      <c r="AR6"/>
      <c r="AS6"/>
      <c r="AT6"/>
      <c r="AU6" s="1"/>
    </row>
    <row r="7" spans="1:47" ht="14.4" x14ac:dyDescent="0.3">
      <c r="A7" s="501"/>
      <c r="B7" s="501"/>
      <c r="C7" s="490"/>
      <c r="D7" s="490"/>
      <c r="E7" s="501"/>
      <c r="F7" s="306" t="s">
        <v>224</v>
      </c>
      <c r="G7" s="307">
        <v>2025</v>
      </c>
      <c r="H7" s="365" t="s">
        <v>225</v>
      </c>
      <c r="I7" s="366">
        <v>0.21099999999999999</v>
      </c>
      <c r="J7" s="366">
        <v>0.65</v>
      </c>
      <c r="K7" s="366">
        <v>0.65</v>
      </c>
      <c r="L7" s="366">
        <v>0.65</v>
      </c>
      <c r="M7" s="366">
        <v>0.65</v>
      </c>
      <c r="N7" s="366">
        <v>0.69</v>
      </c>
      <c r="O7" s="366">
        <v>0.69</v>
      </c>
      <c r="P7" s="366">
        <v>0.69</v>
      </c>
      <c r="Q7" s="366">
        <v>0.69</v>
      </c>
      <c r="R7" s="366">
        <v>0.65</v>
      </c>
      <c r="S7" s="366">
        <v>0.16</v>
      </c>
      <c r="T7" s="366">
        <v>0.21099999999999999</v>
      </c>
      <c r="U7" s="366">
        <v>0.184</v>
      </c>
      <c r="V7" s="366">
        <v>0.16</v>
      </c>
      <c r="W7" s="366">
        <v>0.16</v>
      </c>
      <c r="X7" s="366">
        <v>0.153</v>
      </c>
      <c r="Y7" s="1"/>
      <c r="Z7" s="1"/>
      <c r="AA7" s="1"/>
      <c r="AB7" s="1"/>
      <c r="AC7" s="1"/>
      <c r="AD7" s="1"/>
      <c r="AE7" s="1"/>
      <c r="AF7" s="1"/>
      <c r="AG7" s="1"/>
      <c r="AH7" s="1"/>
      <c r="AI7" s="1"/>
      <c r="AJ7"/>
      <c r="AK7"/>
      <c r="AL7"/>
      <c r="AM7"/>
      <c r="AN7"/>
      <c r="AO7"/>
      <c r="AP7"/>
      <c r="AQ7"/>
      <c r="AR7"/>
      <c r="AS7"/>
      <c r="AT7"/>
      <c r="AU7" s="1"/>
    </row>
    <row r="8" spans="1:47" ht="14.4" x14ac:dyDescent="0.3">
      <c r="A8" s="502" t="s">
        <v>226</v>
      </c>
      <c r="B8" s="501" t="str">
        <f>Prototype!$A$2</f>
        <v xml:space="preserve">ApartmentMidRise </v>
      </c>
      <c r="C8" s="490" t="s">
        <v>227</v>
      </c>
      <c r="D8" s="490" t="s">
        <v>228</v>
      </c>
      <c r="E8" s="501" t="s">
        <v>213</v>
      </c>
      <c r="F8" s="319" t="s">
        <v>214</v>
      </c>
      <c r="G8" s="319" t="s">
        <v>215</v>
      </c>
      <c r="H8" s="321" t="s">
        <v>229</v>
      </c>
      <c r="I8" s="308">
        <v>0.29199999999999998</v>
      </c>
      <c r="J8" s="308">
        <v>0.29199999999999998</v>
      </c>
      <c r="K8" s="308">
        <v>0.29199999999999998</v>
      </c>
      <c r="L8" s="308">
        <v>0.29199999999999998</v>
      </c>
      <c r="M8" s="308">
        <v>0.29199999999999998</v>
      </c>
      <c r="N8" s="308">
        <v>0.29199999999999998</v>
      </c>
      <c r="O8" s="308">
        <v>0.29199999999999998</v>
      </c>
      <c r="P8" s="308">
        <v>0.29199999999999998</v>
      </c>
      <c r="Q8" s="308">
        <v>0.29199999999999998</v>
      </c>
      <c r="R8" s="308">
        <v>0.29199999999999998</v>
      </c>
      <c r="S8" s="308">
        <v>0.29199999999999998</v>
      </c>
      <c r="T8" s="308">
        <v>0.29199999999999998</v>
      </c>
      <c r="U8" s="308">
        <v>0.29199999999999998</v>
      </c>
      <c r="V8" s="308">
        <v>0.29199999999999998</v>
      </c>
      <c r="W8" s="308">
        <v>0.29199999999999998</v>
      </c>
      <c r="X8" s="308">
        <v>0.29199999999999998</v>
      </c>
      <c r="Y8" s="1"/>
      <c r="Z8" s="1"/>
      <c r="AA8"/>
      <c r="AB8"/>
      <c r="AC8"/>
      <c r="AD8"/>
      <c r="AE8"/>
      <c r="AF8"/>
      <c r="AG8"/>
      <c r="AH8"/>
      <c r="AI8"/>
      <c r="AJ8"/>
      <c r="AK8"/>
      <c r="AL8"/>
      <c r="AM8"/>
      <c r="AN8"/>
      <c r="AO8"/>
      <c r="AP8"/>
      <c r="AQ8"/>
      <c r="AR8"/>
      <c r="AS8"/>
      <c r="AT8"/>
      <c r="AU8" s="1"/>
    </row>
    <row r="9" spans="1:47" ht="14.4" x14ac:dyDescent="0.3">
      <c r="A9" s="501"/>
      <c r="B9" s="501"/>
      <c r="C9" s="490"/>
      <c r="D9" s="490"/>
      <c r="E9" s="501"/>
      <c r="F9" s="303" t="s">
        <v>217</v>
      </c>
      <c r="G9" s="303">
        <v>1986</v>
      </c>
      <c r="H9" s="368" t="s">
        <v>230</v>
      </c>
      <c r="I9" s="303">
        <v>9.5000000000000001E-2</v>
      </c>
      <c r="J9" s="303">
        <v>9.5000000000000001E-2</v>
      </c>
      <c r="K9" s="303">
        <v>9.5000000000000001E-2</v>
      </c>
      <c r="L9" s="303">
        <v>9.5000000000000001E-2</v>
      </c>
      <c r="M9" s="303">
        <v>9.5000000000000001E-2</v>
      </c>
      <c r="N9" s="303">
        <v>9.5000000000000001E-2</v>
      </c>
      <c r="O9" s="303">
        <v>9.5000000000000001E-2</v>
      </c>
      <c r="P9" s="303">
        <v>9.5000000000000001E-2</v>
      </c>
      <c r="Q9" s="303">
        <v>9.5000000000000001E-2</v>
      </c>
      <c r="R9" s="303">
        <v>9.5000000000000001E-2</v>
      </c>
      <c r="S9" s="303">
        <v>9.5000000000000001E-2</v>
      </c>
      <c r="T9" s="303">
        <v>9.5000000000000001E-2</v>
      </c>
      <c r="U9" s="303">
        <v>9.5000000000000001E-2</v>
      </c>
      <c r="V9" s="303">
        <v>9.5000000000000001E-2</v>
      </c>
      <c r="W9" s="303">
        <v>9.5000000000000001E-2</v>
      </c>
      <c r="X9" s="303">
        <v>9.5000000000000001E-2</v>
      </c>
      <c r="Y9" s="1"/>
      <c r="Z9" s="1"/>
      <c r="AA9"/>
      <c r="AB9"/>
      <c r="AC9"/>
      <c r="AD9"/>
      <c r="AE9"/>
      <c r="AF9"/>
      <c r="AG9"/>
      <c r="AH9"/>
      <c r="AI9"/>
      <c r="AJ9"/>
      <c r="AK9"/>
      <c r="AL9"/>
      <c r="AM9"/>
      <c r="AN9"/>
      <c r="AO9"/>
      <c r="AP9"/>
      <c r="AQ9"/>
      <c r="AR9"/>
      <c r="AS9"/>
      <c r="AT9"/>
      <c r="AU9" s="1"/>
    </row>
    <row r="10" spans="1:47" ht="14.4" x14ac:dyDescent="0.3">
      <c r="A10" s="501"/>
      <c r="B10" s="501"/>
      <c r="C10" s="490"/>
      <c r="D10" s="490"/>
      <c r="E10" s="501"/>
      <c r="F10" s="304" t="s">
        <v>219</v>
      </c>
      <c r="G10" s="304">
        <v>2001</v>
      </c>
      <c r="H10" s="361" t="s">
        <v>231</v>
      </c>
      <c r="I10" s="362">
        <v>6.3E-2</v>
      </c>
      <c r="J10" s="362">
        <v>8.4000000000000005E-2</v>
      </c>
      <c r="K10" s="362">
        <v>9.1999999999999998E-2</v>
      </c>
      <c r="L10" s="362">
        <v>9.1999999999999998E-2</v>
      </c>
      <c r="M10" s="362">
        <v>9.1999999999999998E-2</v>
      </c>
      <c r="N10" s="362">
        <v>9.1999999999999998E-2</v>
      </c>
      <c r="O10" s="362">
        <v>9.1999999999999998E-2</v>
      </c>
      <c r="P10" s="362">
        <v>9.1999999999999998E-2</v>
      </c>
      <c r="Q10" s="362">
        <v>9.1999999999999998E-2</v>
      </c>
      <c r="R10" s="362">
        <v>8.4000000000000005E-2</v>
      </c>
      <c r="S10" s="362">
        <v>8.4000000000000005E-2</v>
      </c>
      <c r="T10" s="362">
        <v>8.4000000000000005E-2</v>
      </c>
      <c r="U10" s="362">
        <v>8.4000000000000005E-2</v>
      </c>
      <c r="V10" s="362">
        <v>8.4000000000000005E-2</v>
      </c>
      <c r="W10" s="362">
        <v>8.4000000000000005E-2</v>
      </c>
      <c r="X10" s="362">
        <v>6.3E-2</v>
      </c>
      <c r="Y10" s="1"/>
      <c r="Z10" s="1"/>
      <c r="AA10"/>
      <c r="AB10"/>
      <c r="AC10"/>
      <c r="AD10"/>
      <c r="AE10"/>
      <c r="AF10"/>
      <c r="AG10"/>
      <c r="AH10"/>
      <c r="AI10"/>
      <c r="AJ10"/>
      <c r="AK10"/>
      <c r="AL10"/>
      <c r="AM10"/>
      <c r="AN10"/>
      <c r="AO10"/>
      <c r="AP10"/>
      <c r="AQ10"/>
      <c r="AR10"/>
      <c r="AS10"/>
      <c r="AT10"/>
      <c r="AU10" s="1"/>
    </row>
    <row r="11" spans="1:47" ht="26.4" x14ac:dyDescent="0.3">
      <c r="A11" s="501"/>
      <c r="B11" s="501"/>
      <c r="C11" s="490"/>
      <c r="D11" s="490"/>
      <c r="E11" s="501"/>
      <c r="F11" s="305" t="s">
        <v>221</v>
      </c>
      <c r="G11" s="305">
        <v>2013</v>
      </c>
      <c r="H11" s="363" t="s">
        <v>232</v>
      </c>
      <c r="I11" s="364">
        <v>5.8999999999999997E-2</v>
      </c>
      <c r="J11" s="364">
        <v>5.8999999999999997E-2</v>
      </c>
      <c r="K11" s="364">
        <v>5.8999999999999997E-2</v>
      </c>
      <c r="L11" s="364">
        <v>5.8999999999999997E-2</v>
      </c>
      <c r="M11" s="364">
        <v>5.8999999999999997E-2</v>
      </c>
      <c r="N11" s="364">
        <v>5.8999999999999997E-2</v>
      </c>
      <c r="O11" s="364">
        <v>5.8999999999999997E-2</v>
      </c>
      <c r="P11" s="364">
        <v>5.8999999999999997E-2</v>
      </c>
      <c r="Q11" s="364">
        <v>5.8999999999999997E-2</v>
      </c>
      <c r="R11" s="364">
        <v>5.8999999999999997E-2</v>
      </c>
      <c r="S11" s="364">
        <v>4.2000000000000003E-2</v>
      </c>
      <c r="T11" s="364">
        <v>5.8999999999999997E-2</v>
      </c>
      <c r="U11" s="364">
        <v>5.8999999999999997E-2</v>
      </c>
      <c r="V11" s="364">
        <v>4.2000000000000003E-2</v>
      </c>
      <c r="W11" s="364">
        <v>4.2000000000000003E-2</v>
      </c>
      <c r="X11" s="364">
        <v>4.2000000000000003E-2</v>
      </c>
      <c r="Y11" s="1"/>
      <c r="Z11" s="1"/>
      <c r="AA11"/>
      <c r="AB11"/>
      <c r="AC11"/>
      <c r="AD11"/>
      <c r="AE11"/>
      <c r="AF11"/>
      <c r="AG11"/>
      <c r="AH11"/>
      <c r="AI11"/>
      <c r="AJ11"/>
      <c r="AK11"/>
      <c r="AL11"/>
      <c r="AM11"/>
      <c r="AN11"/>
      <c r="AO11"/>
      <c r="AP11"/>
      <c r="AQ11"/>
      <c r="AR11"/>
      <c r="AS11"/>
      <c r="AT11"/>
      <c r="AU11" s="1"/>
    </row>
    <row r="12" spans="1:47" ht="14.4" x14ac:dyDescent="0.3">
      <c r="A12" s="501"/>
      <c r="B12" s="501"/>
      <c r="C12" s="490"/>
      <c r="D12" s="490"/>
      <c r="E12" s="501"/>
      <c r="F12" s="306" t="s">
        <v>224</v>
      </c>
      <c r="G12" s="307">
        <v>2025</v>
      </c>
      <c r="H12" s="365" t="s">
        <v>233</v>
      </c>
      <c r="I12" s="366">
        <v>5.8999999999999997E-2</v>
      </c>
      <c r="J12" s="366">
        <v>5.8999999999999997E-2</v>
      </c>
      <c r="K12" s="366">
        <v>5.8999999999999997E-2</v>
      </c>
      <c r="L12" s="366">
        <v>5.8999999999999997E-2</v>
      </c>
      <c r="M12" s="366">
        <v>5.8999999999999997E-2</v>
      </c>
      <c r="N12" s="366">
        <v>6.5000000000000002E-2</v>
      </c>
      <c r="O12" s="366">
        <v>6.5000000000000002E-2</v>
      </c>
      <c r="P12" s="366">
        <v>5.8999999999999997E-2</v>
      </c>
      <c r="Q12" s="366">
        <v>5.8999999999999997E-2</v>
      </c>
      <c r="R12" s="366">
        <v>5.8999999999999997E-2</v>
      </c>
      <c r="S12" s="366">
        <v>5.0999999999999997E-2</v>
      </c>
      <c r="T12" s="366">
        <v>5.8999999999999997E-2</v>
      </c>
      <c r="U12" s="366">
        <v>5.8999999999999997E-2</v>
      </c>
      <c r="V12" s="366">
        <v>5.0999999999999997E-2</v>
      </c>
      <c r="W12" s="366">
        <v>5.0999999999999997E-2</v>
      </c>
      <c r="X12" s="366">
        <v>5.0999999999999997E-2</v>
      </c>
      <c r="Y12" s="1"/>
      <c r="Z12" s="1"/>
      <c r="AA12"/>
      <c r="AB12"/>
      <c r="AC12"/>
      <c r="AD12"/>
      <c r="AE12"/>
      <c r="AF12"/>
      <c r="AG12"/>
      <c r="AH12"/>
      <c r="AI12"/>
      <c r="AJ12"/>
      <c r="AK12"/>
      <c r="AL12"/>
      <c r="AM12"/>
      <c r="AN12"/>
      <c r="AO12"/>
      <c r="AP12"/>
      <c r="AQ12"/>
      <c r="AR12"/>
      <c r="AS12"/>
      <c r="AT12"/>
      <c r="AU12" s="1"/>
    </row>
    <row r="13" spans="1:47" ht="14.4" x14ac:dyDescent="0.3">
      <c r="A13" s="501" t="s">
        <v>234</v>
      </c>
      <c r="B13" s="501" t="str">
        <f>Prototype!$A$2</f>
        <v xml:space="preserve">ApartmentMidRise </v>
      </c>
      <c r="C13" s="490" t="s">
        <v>235</v>
      </c>
      <c r="D13" s="509" t="s">
        <v>236</v>
      </c>
      <c r="E13" s="501" t="s">
        <v>213</v>
      </c>
      <c r="F13" s="319" t="s">
        <v>214</v>
      </c>
      <c r="G13" s="319" t="s">
        <v>215</v>
      </c>
      <c r="H13" s="490" t="s">
        <v>237</v>
      </c>
      <c r="I13" s="308">
        <v>3.6999999999999998E-2</v>
      </c>
      <c r="J13" s="308">
        <v>5.0999999999999997E-2</v>
      </c>
      <c r="K13" s="308">
        <v>5.0999999999999997E-2</v>
      </c>
      <c r="L13" s="308">
        <v>5.0999999999999997E-2</v>
      </c>
      <c r="M13" s="308">
        <v>5.0999999999999997E-2</v>
      </c>
      <c r="N13" s="308">
        <v>5.0999999999999997E-2</v>
      </c>
      <c r="O13" s="308">
        <v>5.0999999999999997E-2</v>
      </c>
      <c r="P13" s="308">
        <v>5.0999999999999997E-2</v>
      </c>
      <c r="Q13" s="308">
        <v>5.0999999999999997E-2</v>
      </c>
      <c r="R13" s="308">
        <v>5.0999999999999997E-2</v>
      </c>
      <c r="S13" s="308">
        <v>3.6999999999999998E-2</v>
      </c>
      <c r="T13" s="308">
        <v>3.6999999999999998E-2</v>
      </c>
      <c r="U13" s="308">
        <v>3.6999999999999998E-2</v>
      </c>
      <c r="V13" s="308">
        <v>3.6999999999999998E-2</v>
      </c>
      <c r="W13" s="308">
        <v>3.6999999999999998E-2</v>
      </c>
      <c r="X13" s="308">
        <v>3.6999999999999998E-2</v>
      </c>
      <c r="Y13" s="1"/>
      <c r="Z13" s="1"/>
      <c r="AA13" s="1"/>
      <c r="AB13" s="1"/>
      <c r="AC13" s="1"/>
      <c r="AD13" s="1"/>
      <c r="AE13" s="1"/>
      <c r="AF13" s="1"/>
      <c r="AG13" s="1"/>
      <c r="AH13" s="1"/>
      <c r="AI13" s="1"/>
      <c r="AJ13"/>
      <c r="AK13"/>
      <c r="AL13"/>
      <c r="AM13"/>
      <c r="AN13"/>
      <c r="AO13"/>
      <c r="AP13"/>
      <c r="AQ13"/>
      <c r="AR13"/>
      <c r="AS13"/>
      <c r="AT13"/>
      <c r="AU13" s="1"/>
    </row>
    <row r="14" spans="1:47" ht="14.4" x14ac:dyDescent="0.3">
      <c r="A14" s="501"/>
      <c r="B14" s="501"/>
      <c r="C14" s="490"/>
      <c r="D14" s="509"/>
      <c r="E14" s="501"/>
      <c r="F14" s="303" t="s">
        <v>217</v>
      </c>
      <c r="G14" s="303" t="s">
        <v>215</v>
      </c>
      <c r="H14" s="508"/>
      <c r="I14" s="315">
        <v>3.6999999999999998E-2</v>
      </c>
      <c r="J14" s="315">
        <v>5.0999999999999997E-2</v>
      </c>
      <c r="K14" s="315">
        <v>5.0999999999999997E-2</v>
      </c>
      <c r="L14" s="315">
        <v>5.0999999999999997E-2</v>
      </c>
      <c r="M14" s="315">
        <v>5.0999999999999997E-2</v>
      </c>
      <c r="N14" s="315">
        <v>5.0999999999999997E-2</v>
      </c>
      <c r="O14" s="315">
        <v>5.0999999999999997E-2</v>
      </c>
      <c r="P14" s="315">
        <v>5.0999999999999997E-2</v>
      </c>
      <c r="Q14" s="315">
        <v>5.0999999999999997E-2</v>
      </c>
      <c r="R14" s="315">
        <v>5.0999999999999997E-2</v>
      </c>
      <c r="S14" s="315">
        <v>3.6999999999999998E-2</v>
      </c>
      <c r="T14" s="315">
        <v>3.6999999999999998E-2</v>
      </c>
      <c r="U14" s="315">
        <v>3.6999999999999998E-2</v>
      </c>
      <c r="V14" s="315">
        <v>3.6999999999999998E-2</v>
      </c>
      <c r="W14" s="315">
        <v>3.6999999999999998E-2</v>
      </c>
      <c r="X14" s="315">
        <v>3.6999999999999998E-2</v>
      </c>
      <c r="Y14" s="1"/>
      <c r="Z14" s="1"/>
      <c r="AA14" s="1"/>
      <c r="AB14" s="1"/>
      <c r="AC14" s="1"/>
      <c r="AD14" s="1"/>
      <c r="AE14" s="1"/>
      <c r="AF14" s="1"/>
      <c r="AG14" s="1"/>
      <c r="AH14" s="1"/>
      <c r="AI14" s="1"/>
      <c r="AJ14"/>
      <c r="AK14"/>
      <c r="AL14"/>
      <c r="AM14"/>
      <c r="AN14"/>
      <c r="AO14"/>
      <c r="AP14"/>
      <c r="AQ14"/>
      <c r="AR14"/>
      <c r="AS14"/>
      <c r="AT14"/>
      <c r="AU14" s="1"/>
    </row>
    <row r="15" spans="1:47" ht="14.4" x14ac:dyDescent="0.3">
      <c r="A15" s="501"/>
      <c r="B15" s="501"/>
      <c r="C15" s="490"/>
      <c r="D15" s="509"/>
      <c r="E15" s="501"/>
      <c r="F15" s="304" t="s">
        <v>219</v>
      </c>
      <c r="G15" s="304">
        <v>2001</v>
      </c>
      <c r="H15" s="304" t="s">
        <v>238</v>
      </c>
      <c r="I15" s="309">
        <v>3.6999999999999998E-2</v>
      </c>
      <c r="J15" s="309">
        <v>3.6999999999999998E-2</v>
      </c>
      <c r="K15" s="309">
        <v>5.0999999999999997E-2</v>
      </c>
      <c r="L15" s="309">
        <v>5.0999999999999997E-2</v>
      </c>
      <c r="M15" s="309">
        <v>5.0999999999999997E-2</v>
      </c>
      <c r="N15" s="309">
        <v>5.0999999999999997E-2</v>
      </c>
      <c r="O15" s="309">
        <v>5.0999999999999997E-2</v>
      </c>
      <c r="P15" s="309">
        <v>5.0999999999999997E-2</v>
      </c>
      <c r="Q15" s="309">
        <v>5.0999999999999997E-2</v>
      </c>
      <c r="R15" s="309">
        <v>3.6999999999999998E-2</v>
      </c>
      <c r="S15" s="309">
        <v>3.6999999999999998E-2</v>
      </c>
      <c r="T15" s="309">
        <v>3.6999999999999998E-2</v>
      </c>
      <c r="U15" s="309">
        <v>3.6999999999999998E-2</v>
      </c>
      <c r="V15" s="309">
        <v>3.6999999999999998E-2</v>
      </c>
      <c r="W15" s="309">
        <v>3.6999999999999998E-2</v>
      </c>
      <c r="X15" s="309">
        <v>3.6999999999999998E-2</v>
      </c>
      <c r="Y15" s="1"/>
      <c r="Z15" s="1"/>
      <c r="AA15" s="1"/>
      <c r="AB15" s="1"/>
      <c r="AC15" s="1"/>
      <c r="AD15" s="1"/>
      <c r="AE15" s="1"/>
      <c r="AF15" s="1"/>
      <c r="AG15" s="1"/>
      <c r="AH15" s="1"/>
      <c r="AI15" s="1"/>
      <c r="AJ15"/>
      <c r="AK15"/>
      <c r="AL15"/>
      <c r="AM15"/>
      <c r="AN15"/>
      <c r="AO15"/>
      <c r="AP15"/>
      <c r="AQ15"/>
      <c r="AR15"/>
      <c r="AS15"/>
      <c r="AT15"/>
      <c r="AU15" s="1"/>
    </row>
    <row r="16" spans="1:47" ht="14.4" x14ac:dyDescent="0.3">
      <c r="A16" s="501"/>
      <c r="B16" s="501"/>
      <c r="C16" s="490"/>
      <c r="D16" s="509"/>
      <c r="E16" s="501"/>
      <c r="F16" s="305" t="s">
        <v>221</v>
      </c>
      <c r="G16" s="305">
        <v>2013</v>
      </c>
      <c r="H16" s="305" t="s">
        <v>239</v>
      </c>
      <c r="I16" s="310">
        <v>3.4000000000000002E-2</v>
      </c>
      <c r="J16" s="310">
        <v>2.8000000000000001E-2</v>
      </c>
      <c r="K16" s="310">
        <v>3.9E-2</v>
      </c>
      <c r="L16" s="310">
        <v>2.8000000000000001E-2</v>
      </c>
      <c r="M16" s="310">
        <v>3.9E-2</v>
      </c>
      <c r="N16" s="310">
        <v>3.9E-2</v>
      </c>
      <c r="O16" s="310">
        <v>3.9E-2</v>
      </c>
      <c r="P16" s="310">
        <v>2.8000000000000001E-2</v>
      </c>
      <c r="Q16" s="310">
        <v>2.8000000000000001E-2</v>
      </c>
      <c r="R16" s="310">
        <v>2.8000000000000001E-2</v>
      </c>
      <c r="S16" s="310">
        <v>2.8000000000000001E-2</v>
      </c>
      <c r="T16" s="310">
        <v>2.8000000000000001E-2</v>
      </c>
      <c r="U16" s="310">
        <v>2.8000000000000001E-2</v>
      </c>
      <c r="V16" s="310">
        <v>2.8000000000000001E-2</v>
      </c>
      <c r="W16" s="310">
        <v>2.8000000000000001E-2</v>
      </c>
      <c r="X16" s="310">
        <v>2.8000000000000001E-2</v>
      </c>
      <c r="Y16" s="1"/>
      <c r="Z16" s="1"/>
      <c r="AA16" s="1"/>
      <c r="AB16" s="1"/>
      <c r="AC16" s="1"/>
      <c r="AD16" s="1"/>
      <c r="AE16" s="1"/>
      <c r="AF16" s="1"/>
      <c r="AG16" s="1"/>
      <c r="AH16" s="1"/>
      <c r="AI16" s="1"/>
      <c r="AJ16"/>
      <c r="AK16"/>
      <c r="AL16"/>
      <c r="AM16"/>
      <c r="AN16"/>
      <c r="AO16"/>
      <c r="AP16"/>
      <c r="AQ16"/>
      <c r="AR16"/>
      <c r="AS16"/>
      <c r="AT16"/>
      <c r="AU16" s="1"/>
    </row>
    <row r="17" spans="1:47" ht="14.4" x14ac:dyDescent="0.3">
      <c r="A17" s="501"/>
      <c r="B17" s="501"/>
      <c r="C17" s="490"/>
      <c r="D17" s="509"/>
      <c r="E17" s="501"/>
      <c r="F17" s="306" t="s">
        <v>224</v>
      </c>
      <c r="G17" s="307">
        <v>2025</v>
      </c>
      <c r="H17" s="311" t="s">
        <v>240</v>
      </c>
      <c r="I17" s="312">
        <v>2.8000000000000001E-2</v>
      </c>
      <c r="J17" s="312">
        <v>2.8000000000000001E-2</v>
      </c>
      <c r="K17" s="312">
        <v>3.4000000000000002E-2</v>
      </c>
      <c r="L17" s="312">
        <v>2.8000000000000001E-2</v>
      </c>
      <c r="M17" s="312">
        <v>3.4000000000000002E-2</v>
      </c>
      <c r="N17" s="312">
        <v>3.4000000000000002E-2</v>
      </c>
      <c r="O17" s="312">
        <v>3.9E-2</v>
      </c>
      <c r="P17" s="312">
        <v>2.8000000000000001E-2</v>
      </c>
      <c r="Q17" s="312">
        <v>2.8000000000000001E-2</v>
      </c>
      <c r="R17" s="312">
        <v>2.8000000000000001E-2</v>
      </c>
      <c r="S17" s="312">
        <v>2.8000000000000001E-2</v>
      </c>
      <c r="T17" s="312">
        <v>2.8000000000000001E-2</v>
      </c>
      <c r="U17" s="312">
        <v>2.8000000000000001E-2</v>
      </c>
      <c r="V17" s="312">
        <v>2.8000000000000001E-2</v>
      </c>
      <c r="W17" s="312">
        <v>2.8000000000000001E-2</v>
      </c>
      <c r="X17" s="312">
        <v>2.8000000000000001E-2</v>
      </c>
      <c r="Y17" s="1"/>
      <c r="Z17" s="1"/>
      <c r="AA17" s="1"/>
      <c r="AB17" s="1"/>
      <c r="AC17" s="1"/>
      <c r="AD17" s="1"/>
      <c r="AE17" s="1"/>
      <c r="AF17" s="1"/>
      <c r="AG17" s="1"/>
      <c r="AH17" s="1"/>
      <c r="AI17" s="1"/>
      <c r="AJ17"/>
      <c r="AK17"/>
      <c r="AL17"/>
      <c r="AM17"/>
      <c r="AN17"/>
      <c r="AO17"/>
      <c r="AP17"/>
      <c r="AQ17"/>
      <c r="AR17"/>
      <c r="AS17"/>
      <c r="AT17"/>
      <c r="AU17" s="1"/>
    </row>
    <row r="18" spans="1:47" s="1" customFormat="1" x14ac:dyDescent="0.25">
      <c r="A18" s="488" t="s">
        <v>241</v>
      </c>
      <c r="B18" s="501" t="str">
        <f>Prototype!$A$2</f>
        <v xml:space="preserve">ApartmentMidRise </v>
      </c>
      <c r="C18" s="490" t="s">
        <v>242</v>
      </c>
      <c r="D18" s="488" t="s">
        <v>243</v>
      </c>
      <c r="E18" s="501" t="s">
        <v>244</v>
      </c>
      <c r="F18" s="319" t="s">
        <v>214</v>
      </c>
      <c r="G18" s="319" t="s">
        <v>215</v>
      </c>
      <c r="H18" s="488" t="s">
        <v>245</v>
      </c>
      <c r="I18" s="367">
        <v>1.1475</v>
      </c>
      <c r="J18" s="367">
        <v>1.1475</v>
      </c>
      <c r="K18" s="367">
        <v>1.1475</v>
      </c>
      <c r="L18" s="367">
        <v>1.1475</v>
      </c>
      <c r="M18" s="367">
        <v>1.1475</v>
      </c>
      <c r="N18" s="367">
        <v>1.1475</v>
      </c>
      <c r="O18" s="367">
        <v>1.1475</v>
      </c>
      <c r="P18" s="367">
        <v>1.1475</v>
      </c>
      <c r="Q18" s="367">
        <v>1.1475</v>
      </c>
      <c r="R18" s="367">
        <v>1.1475</v>
      </c>
      <c r="S18" s="367">
        <v>1.1475</v>
      </c>
      <c r="T18" s="367">
        <v>1.1475</v>
      </c>
      <c r="U18" s="367">
        <v>1.1475</v>
      </c>
      <c r="V18" s="367">
        <v>1.1475</v>
      </c>
      <c r="W18" s="367">
        <v>1.1475</v>
      </c>
      <c r="X18" s="367">
        <v>1.1475</v>
      </c>
    </row>
    <row r="19" spans="1:47" s="1" customFormat="1" x14ac:dyDescent="0.25">
      <c r="A19" s="490"/>
      <c r="B19" s="501"/>
      <c r="C19" s="490"/>
      <c r="D19" s="490"/>
      <c r="E19" s="501"/>
      <c r="F19" s="319" t="s">
        <v>217</v>
      </c>
      <c r="G19" s="319" t="s">
        <v>215</v>
      </c>
      <c r="H19" s="489"/>
      <c r="I19" s="367">
        <v>1.1475</v>
      </c>
      <c r="J19" s="367">
        <v>1.1475</v>
      </c>
      <c r="K19" s="367">
        <v>1.1475</v>
      </c>
      <c r="L19" s="367">
        <v>1.1475</v>
      </c>
      <c r="M19" s="367">
        <v>1.1475</v>
      </c>
      <c r="N19" s="367">
        <v>1.1475</v>
      </c>
      <c r="O19" s="367">
        <v>1.1475</v>
      </c>
      <c r="P19" s="367">
        <v>1.1475</v>
      </c>
      <c r="Q19" s="367">
        <v>1.1475</v>
      </c>
      <c r="R19" s="367">
        <v>1.1475</v>
      </c>
      <c r="S19" s="367">
        <v>1.1475</v>
      </c>
      <c r="T19" s="367">
        <v>1.1475</v>
      </c>
      <c r="U19" s="367">
        <v>1.1475</v>
      </c>
      <c r="V19" s="367">
        <v>1.1475</v>
      </c>
      <c r="W19" s="367">
        <v>1.1475</v>
      </c>
      <c r="X19" s="367">
        <v>1.1475</v>
      </c>
    </row>
    <row r="20" spans="1:47" s="1" customFormat="1" x14ac:dyDescent="0.25">
      <c r="A20" s="490"/>
      <c r="B20" s="501"/>
      <c r="C20" s="490"/>
      <c r="D20" s="501" t="s">
        <v>246</v>
      </c>
      <c r="E20" s="501"/>
      <c r="F20" s="304" t="s">
        <v>219</v>
      </c>
      <c r="G20" s="304">
        <v>2001</v>
      </c>
      <c r="H20" s="313" t="s">
        <v>247</v>
      </c>
      <c r="I20" s="150">
        <v>0.49</v>
      </c>
      <c r="J20" s="150">
        <v>0.49</v>
      </c>
      <c r="K20" s="150">
        <v>0.49</v>
      </c>
      <c r="L20" s="150">
        <v>0.49</v>
      </c>
      <c r="M20" s="150">
        <v>0.49</v>
      </c>
      <c r="N20" s="150">
        <v>0.49</v>
      </c>
      <c r="O20" s="150">
        <v>0.49</v>
      </c>
      <c r="P20" s="150">
        <v>0.49</v>
      </c>
      <c r="Q20" s="150">
        <v>0.49</v>
      </c>
      <c r="R20" s="150">
        <v>0.49</v>
      </c>
      <c r="S20" s="150">
        <v>0.49</v>
      </c>
      <c r="T20" s="150">
        <v>0.49</v>
      </c>
      <c r="U20" s="150">
        <v>0.49</v>
      </c>
      <c r="V20" s="150">
        <v>0.49</v>
      </c>
      <c r="W20" s="150">
        <v>0.49</v>
      </c>
      <c r="X20" s="150">
        <v>0.49</v>
      </c>
    </row>
    <row r="21" spans="1:47" s="1" customFormat="1" x14ac:dyDescent="0.25">
      <c r="A21" s="490"/>
      <c r="B21" s="501"/>
      <c r="C21" s="490"/>
      <c r="D21" s="501"/>
      <c r="E21" s="501"/>
      <c r="F21" s="305" t="s">
        <v>221</v>
      </c>
      <c r="G21" s="305">
        <v>2013</v>
      </c>
      <c r="H21" s="314" t="s">
        <v>248</v>
      </c>
      <c r="I21" s="310">
        <v>0.38500000000000001</v>
      </c>
      <c r="J21" s="310">
        <v>0.38500000000000001</v>
      </c>
      <c r="K21" s="310">
        <v>0.38500000000000001</v>
      </c>
      <c r="L21" s="310">
        <v>0.38500000000000001</v>
      </c>
      <c r="M21" s="310">
        <v>0.38500000000000001</v>
      </c>
      <c r="N21" s="310">
        <v>0.38500000000000001</v>
      </c>
      <c r="O21" s="310">
        <v>0.38500000000000001</v>
      </c>
      <c r="P21" s="310">
        <v>0.38500000000000001</v>
      </c>
      <c r="Q21" s="310">
        <v>0.38500000000000001</v>
      </c>
      <c r="R21" s="310">
        <v>0.38500000000000001</v>
      </c>
      <c r="S21" s="310">
        <v>0.38500000000000001</v>
      </c>
      <c r="T21" s="310">
        <v>0.38500000000000001</v>
      </c>
      <c r="U21" s="310">
        <v>0.38500000000000001</v>
      </c>
      <c r="V21" s="310">
        <v>0.38500000000000001</v>
      </c>
      <c r="W21" s="310">
        <v>0.38500000000000001</v>
      </c>
      <c r="X21" s="310">
        <v>0.38500000000000001</v>
      </c>
      <c r="Y21" s="71"/>
      <c r="Z21" s="71"/>
      <c r="AA21" s="71"/>
      <c r="AB21" s="71"/>
      <c r="AC21" s="71"/>
      <c r="AD21" s="71"/>
      <c r="AE21" s="71"/>
      <c r="AF21" s="71"/>
      <c r="AG21" s="71"/>
      <c r="AH21" s="71"/>
      <c r="AI21" s="71"/>
    </row>
    <row r="22" spans="1:47" s="1" customFormat="1" x14ac:dyDescent="0.25">
      <c r="A22" s="490"/>
      <c r="B22" s="501"/>
      <c r="C22" s="490"/>
      <c r="D22" s="501"/>
      <c r="E22" s="501"/>
      <c r="F22" s="306" t="s">
        <v>224</v>
      </c>
      <c r="G22" s="307">
        <v>2025</v>
      </c>
      <c r="H22" s="365" t="s">
        <v>249</v>
      </c>
      <c r="I22" s="366">
        <v>0.28000000000000003</v>
      </c>
      <c r="J22" s="366">
        <v>0.3</v>
      </c>
      <c r="K22" s="366">
        <v>0.28000000000000003</v>
      </c>
      <c r="L22" s="366">
        <v>0.28000000000000003</v>
      </c>
      <c r="M22" s="366">
        <v>0.28000000000000003</v>
      </c>
      <c r="N22" s="366">
        <v>0.34</v>
      </c>
      <c r="O22" s="366">
        <v>0.34</v>
      </c>
      <c r="P22" s="366">
        <v>0.3</v>
      </c>
      <c r="Q22" s="366">
        <v>0.3</v>
      </c>
      <c r="R22" s="366">
        <v>0.3</v>
      </c>
      <c r="S22" s="366">
        <v>0.28000000000000003</v>
      </c>
      <c r="T22" s="366">
        <v>0.3</v>
      </c>
      <c r="U22" s="366">
        <v>0.28000000000000003</v>
      </c>
      <c r="V22" s="366">
        <v>0.28000000000000003</v>
      </c>
      <c r="W22" s="366">
        <v>0.28000000000000003</v>
      </c>
      <c r="X22" s="366">
        <v>0.28000000000000003</v>
      </c>
      <c r="Y22" s="72"/>
      <c r="Z22" s="72"/>
      <c r="AA22" s="72"/>
      <c r="AB22" s="72"/>
      <c r="AC22" s="72"/>
      <c r="AD22" s="72"/>
      <c r="AE22" s="72"/>
      <c r="AF22" s="72"/>
      <c r="AG22" s="72"/>
      <c r="AH22" s="72"/>
      <c r="AI22" s="72"/>
    </row>
    <row r="23" spans="1:47" s="1" customFormat="1" x14ac:dyDescent="0.25">
      <c r="A23" s="490"/>
      <c r="B23" s="501"/>
      <c r="C23" s="490"/>
      <c r="D23" s="488" t="s">
        <v>243</v>
      </c>
      <c r="E23" s="501" t="s">
        <v>250</v>
      </c>
      <c r="F23" s="319" t="s">
        <v>214</v>
      </c>
      <c r="G23" s="319" t="s">
        <v>215</v>
      </c>
      <c r="H23" s="488" t="s">
        <v>251</v>
      </c>
      <c r="I23" s="367">
        <v>0.78750000000000009</v>
      </c>
      <c r="J23" s="367">
        <v>0.78750000000000009</v>
      </c>
      <c r="K23" s="367">
        <v>0.78750000000000009</v>
      </c>
      <c r="L23" s="367">
        <v>0.78750000000000009</v>
      </c>
      <c r="M23" s="367">
        <v>0.78750000000000009</v>
      </c>
      <c r="N23" s="367">
        <v>0.78750000000000009</v>
      </c>
      <c r="O23" s="367">
        <v>0.78750000000000009</v>
      </c>
      <c r="P23" s="367">
        <v>0.78750000000000009</v>
      </c>
      <c r="Q23" s="367">
        <v>0.78750000000000009</v>
      </c>
      <c r="R23" s="367">
        <v>0.78750000000000009</v>
      </c>
      <c r="S23" s="367">
        <v>0.78750000000000009</v>
      </c>
      <c r="T23" s="367">
        <v>0.78750000000000009</v>
      </c>
      <c r="U23" s="367">
        <v>0.78750000000000009</v>
      </c>
      <c r="V23" s="367">
        <v>0.78750000000000009</v>
      </c>
      <c r="W23" s="367">
        <v>0.78750000000000009</v>
      </c>
      <c r="X23" s="367">
        <v>0.78750000000000009</v>
      </c>
      <c r="Y23" s="71"/>
      <c r="Z23" s="71"/>
      <c r="AA23" s="71"/>
      <c r="AB23" s="71"/>
      <c r="AC23" s="71"/>
      <c r="AD23" s="71"/>
      <c r="AE23" s="71"/>
      <c r="AF23" s="71"/>
      <c r="AG23" s="71"/>
      <c r="AH23" s="71"/>
      <c r="AI23" s="71"/>
    </row>
    <row r="24" spans="1:47" s="1" customFormat="1" x14ac:dyDescent="0.25">
      <c r="A24" s="490"/>
      <c r="B24" s="501"/>
      <c r="C24" s="490"/>
      <c r="D24" s="490"/>
      <c r="E24" s="501"/>
      <c r="F24" s="303" t="s">
        <v>217</v>
      </c>
      <c r="G24" s="303" t="s">
        <v>215</v>
      </c>
      <c r="H24" s="489"/>
      <c r="I24" s="369">
        <v>0.78750000000000009</v>
      </c>
      <c r="J24" s="369">
        <v>0.78750000000000009</v>
      </c>
      <c r="K24" s="369">
        <v>0.78750000000000009</v>
      </c>
      <c r="L24" s="369">
        <v>0.78750000000000009</v>
      </c>
      <c r="M24" s="369">
        <v>0.78750000000000009</v>
      </c>
      <c r="N24" s="369">
        <v>0.78750000000000009</v>
      </c>
      <c r="O24" s="369">
        <v>0.78750000000000009</v>
      </c>
      <c r="P24" s="369">
        <v>0.78750000000000009</v>
      </c>
      <c r="Q24" s="369">
        <v>0.78750000000000009</v>
      </c>
      <c r="R24" s="369">
        <v>0.78750000000000009</v>
      </c>
      <c r="S24" s="369">
        <v>0.78750000000000009</v>
      </c>
      <c r="T24" s="369">
        <v>0.78750000000000009</v>
      </c>
      <c r="U24" s="369">
        <v>0.78750000000000009</v>
      </c>
      <c r="V24" s="369">
        <v>0.78750000000000009</v>
      </c>
      <c r="W24" s="369">
        <v>0.78750000000000009</v>
      </c>
      <c r="X24" s="369">
        <v>0.78750000000000009</v>
      </c>
      <c r="Y24" s="71"/>
      <c r="Z24" s="71"/>
      <c r="AA24" s="71"/>
      <c r="AB24" s="71"/>
      <c r="AC24" s="71"/>
      <c r="AD24" s="71"/>
      <c r="AE24" s="71"/>
      <c r="AF24" s="71"/>
      <c r="AG24" s="71"/>
      <c r="AH24" s="71"/>
      <c r="AI24" s="71"/>
    </row>
    <row r="25" spans="1:47" s="1" customFormat="1" ht="26.4" x14ac:dyDescent="0.25">
      <c r="A25" s="490"/>
      <c r="B25" s="501"/>
      <c r="C25" s="490"/>
      <c r="D25" s="501" t="s">
        <v>246</v>
      </c>
      <c r="E25" s="501"/>
      <c r="F25" s="304" t="s">
        <v>219</v>
      </c>
      <c r="G25" s="304">
        <v>2001</v>
      </c>
      <c r="H25" s="361" t="s">
        <v>252</v>
      </c>
      <c r="I25" s="362">
        <v>0.36</v>
      </c>
      <c r="J25" s="362">
        <v>0.4</v>
      </c>
      <c r="K25" s="362">
        <v>0.61</v>
      </c>
      <c r="L25" s="362">
        <v>0.61</v>
      </c>
      <c r="M25" s="362">
        <v>0.61</v>
      </c>
      <c r="N25" s="362">
        <v>0.61</v>
      </c>
      <c r="O25" s="362">
        <v>0.61</v>
      </c>
      <c r="P25" s="362">
        <v>0.61</v>
      </c>
      <c r="Q25" s="362">
        <v>0.61</v>
      </c>
      <c r="R25" s="362">
        <v>0.4</v>
      </c>
      <c r="S25" s="362">
        <v>0.4</v>
      </c>
      <c r="T25" s="362">
        <v>0.4</v>
      </c>
      <c r="U25" s="362">
        <v>0.4</v>
      </c>
      <c r="V25" s="362">
        <v>0.43</v>
      </c>
      <c r="W25" s="362">
        <v>0.43</v>
      </c>
      <c r="X25" s="362">
        <v>0.47</v>
      </c>
      <c r="Y25" s="71"/>
      <c r="Z25" s="71"/>
      <c r="AA25" s="71"/>
      <c r="AB25" s="71"/>
      <c r="AC25" s="71"/>
      <c r="AD25" s="71"/>
      <c r="AE25" s="71"/>
      <c r="AF25" s="71"/>
      <c r="AG25" s="71"/>
      <c r="AH25" s="71"/>
      <c r="AI25" s="71"/>
    </row>
    <row r="26" spans="1:47" s="1" customFormat="1" x14ac:dyDescent="0.25">
      <c r="A26" s="490"/>
      <c r="B26" s="501"/>
      <c r="C26" s="490"/>
      <c r="D26" s="501"/>
      <c r="E26" s="501"/>
      <c r="F26" s="305" t="s">
        <v>221</v>
      </c>
      <c r="G26" s="305">
        <v>2013</v>
      </c>
      <c r="H26" s="314" t="s">
        <v>253</v>
      </c>
      <c r="I26" s="310">
        <v>0.24249999999999999</v>
      </c>
      <c r="J26" s="310">
        <v>0.24249999999999999</v>
      </c>
      <c r="K26" s="310">
        <v>0.24249999999999999</v>
      </c>
      <c r="L26" s="310">
        <v>0.24249999999999999</v>
      </c>
      <c r="M26" s="310">
        <v>0.24249999999999999</v>
      </c>
      <c r="N26" s="310">
        <v>0.24249999999999999</v>
      </c>
      <c r="O26" s="310">
        <v>0.24249999999999999</v>
      </c>
      <c r="P26" s="310">
        <v>0.24249999999999999</v>
      </c>
      <c r="Q26" s="310">
        <v>0.24249999999999999</v>
      </c>
      <c r="R26" s="310">
        <v>0.24249999999999999</v>
      </c>
      <c r="S26" s="310">
        <v>0.24249999999999999</v>
      </c>
      <c r="T26" s="310">
        <v>0.24249999999999999</v>
      </c>
      <c r="U26" s="310">
        <v>0.24249999999999999</v>
      </c>
      <c r="V26" s="310">
        <v>0.24249999999999999</v>
      </c>
      <c r="W26" s="310">
        <v>0.24249999999999999</v>
      </c>
      <c r="X26" s="310">
        <v>0.24249999999999999</v>
      </c>
      <c r="Y26" s="71"/>
      <c r="Z26" s="71"/>
      <c r="AA26" s="71"/>
      <c r="AB26" s="71"/>
      <c r="AC26" s="71"/>
      <c r="AD26" s="71"/>
      <c r="AE26" s="71"/>
      <c r="AF26" s="71"/>
      <c r="AG26" s="71"/>
      <c r="AH26" s="71"/>
      <c r="AI26" s="71"/>
    </row>
    <row r="27" spans="1:47" s="1" customFormat="1" x14ac:dyDescent="0.25">
      <c r="A27" s="490"/>
      <c r="B27" s="501"/>
      <c r="C27" s="490"/>
      <c r="D27" s="501"/>
      <c r="E27" s="501"/>
      <c r="F27" s="306" t="s">
        <v>224</v>
      </c>
      <c r="G27" s="307">
        <v>2025</v>
      </c>
      <c r="H27" s="365" t="s">
        <v>254</v>
      </c>
      <c r="I27" s="366" t="s">
        <v>86</v>
      </c>
      <c r="J27" s="366">
        <v>0.23</v>
      </c>
      <c r="K27" s="366" t="s">
        <v>86</v>
      </c>
      <c r="L27" s="366">
        <v>0.23</v>
      </c>
      <c r="M27" s="366" t="s">
        <v>86</v>
      </c>
      <c r="N27" s="366">
        <v>0.23</v>
      </c>
      <c r="O27" s="366">
        <v>0.23</v>
      </c>
      <c r="P27" s="366">
        <v>0.23</v>
      </c>
      <c r="Q27" s="366">
        <v>0.23</v>
      </c>
      <c r="R27" s="366">
        <v>0.23</v>
      </c>
      <c r="S27" s="366">
        <v>0.23</v>
      </c>
      <c r="T27" s="366">
        <v>0.23</v>
      </c>
      <c r="U27" s="366">
        <v>0.23</v>
      </c>
      <c r="V27" s="366">
        <v>0.23</v>
      </c>
      <c r="W27" s="366">
        <v>0.23</v>
      </c>
      <c r="X27" s="366" t="s">
        <v>86</v>
      </c>
      <c r="Y27" s="72"/>
      <c r="Z27" s="72"/>
      <c r="AA27" s="72"/>
      <c r="AB27" s="72"/>
      <c r="AC27" s="72"/>
      <c r="AD27" s="72"/>
      <c r="AE27" s="72"/>
      <c r="AF27" s="72"/>
      <c r="AG27" s="72"/>
      <c r="AH27" s="72"/>
      <c r="AI27" s="72"/>
    </row>
    <row r="28" spans="1:47" s="1" customFormat="1" x14ac:dyDescent="0.25">
      <c r="A28" s="488" t="s">
        <v>255</v>
      </c>
      <c r="B28" s="501" t="str">
        <f>Prototype!$A$2</f>
        <v xml:space="preserve">ApartmentMidRise </v>
      </c>
      <c r="C28" s="490" t="s">
        <v>256</v>
      </c>
      <c r="D28" s="488" t="s">
        <v>243</v>
      </c>
      <c r="E28" s="501" t="s">
        <v>244</v>
      </c>
      <c r="F28" s="319" t="s">
        <v>214</v>
      </c>
      <c r="G28" s="319" t="s">
        <v>215</v>
      </c>
      <c r="H28" s="488" t="s">
        <v>257</v>
      </c>
      <c r="I28" s="370">
        <v>1.1200000000000001</v>
      </c>
      <c r="J28" s="370">
        <v>1.1200000000000001</v>
      </c>
      <c r="K28" s="370">
        <v>1.1200000000000001</v>
      </c>
      <c r="L28" s="370">
        <v>1.1200000000000001</v>
      </c>
      <c r="M28" s="370">
        <v>1.1200000000000001</v>
      </c>
      <c r="N28" s="370">
        <v>1.1200000000000001</v>
      </c>
      <c r="O28" s="370">
        <v>1.1200000000000001</v>
      </c>
      <c r="P28" s="370">
        <v>1.1200000000000001</v>
      </c>
      <c r="Q28" s="370">
        <v>1.1200000000000001</v>
      </c>
      <c r="R28" s="370">
        <v>1.1200000000000001</v>
      </c>
      <c r="S28" s="370">
        <v>1.1200000000000001</v>
      </c>
      <c r="T28" s="370">
        <v>1.1200000000000001</v>
      </c>
      <c r="U28" s="370">
        <v>1.1200000000000001</v>
      </c>
      <c r="V28" s="370">
        <v>1.1200000000000001</v>
      </c>
      <c r="W28" s="370">
        <v>1.1200000000000001</v>
      </c>
      <c r="X28" s="370">
        <v>1.1200000000000001</v>
      </c>
      <c r="Y28" s="71"/>
      <c r="Z28" s="71"/>
      <c r="AA28" s="71"/>
      <c r="AB28" s="71"/>
      <c r="AC28" s="71"/>
      <c r="AD28" s="71"/>
      <c r="AE28" s="71"/>
      <c r="AF28" s="71"/>
      <c r="AG28" s="71"/>
      <c r="AH28" s="71"/>
      <c r="AI28" s="71"/>
    </row>
    <row r="29" spans="1:47" s="1" customFormat="1" x14ac:dyDescent="0.25">
      <c r="A29" s="490"/>
      <c r="B29" s="501"/>
      <c r="C29" s="490"/>
      <c r="D29" s="490"/>
      <c r="E29" s="501"/>
      <c r="F29" s="303" t="s">
        <v>217</v>
      </c>
      <c r="G29" s="303" t="s">
        <v>215</v>
      </c>
      <c r="H29" s="489"/>
      <c r="I29" s="371">
        <v>1.1200000000000001</v>
      </c>
      <c r="J29" s="371">
        <v>1.1200000000000001</v>
      </c>
      <c r="K29" s="371">
        <v>1.1200000000000001</v>
      </c>
      <c r="L29" s="371">
        <v>1.1200000000000001</v>
      </c>
      <c r="M29" s="371">
        <v>1.1200000000000001</v>
      </c>
      <c r="N29" s="371">
        <v>1.1200000000000001</v>
      </c>
      <c r="O29" s="371">
        <v>1.1200000000000001</v>
      </c>
      <c r="P29" s="371">
        <v>1.1200000000000001</v>
      </c>
      <c r="Q29" s="371">
        <v>1.1200000000000001</v>
      </c>
      <c r="R29" s="371">
        <v>1.1200000000000001</v>
      </c>
      <c r="S29" s="371">
        <v>1.1200000000000001</v>
      </c>
      <c r="T29" s="371">
        <v>1.1200000000000001</v>
      </c>
      <c r="U29" s="371">
        <v>1.1200000000000001</v>
      </c>
      <c r="V29" s="371">
        <v>1.1200000000000001</v>
      </c>
      <c r="W29" s="371">
        <v>1.1200000000000001</v>
      </c>
      <c r="X29" s="371">
        <v>1.1200000000000001</v>
      </c>
      <c r="Y29" s="71"/>
      <c r="Z29" s="71"/>
      <c r="AA29" s="71"/>
      <c r="AB29" s="71"/>
      <c r="AC29" s="71"/>
      <c r="AD29" s="71"/>
      <c r="AE29" s="71"/>
      <c r="AF29" s="71"/>
      <c r="AG29" s="71"/>
      <c r="AH29" s="71"/>
      <c r="AI29" s="71"/>
    </row>
    <row r="30" spans="1:47" s="1" customFormat="1" ht="33" customHeight="1" x14ac:dyDescent="0.25">
      <c r="A30" s="490"/>
      <c r="B30" s="501"/>
      <c r="C30" s="490"/>
      <c r="D30" s="501" t="s">
        <v>246</v>
      </c>
      <c r="E30" s="501"/>
      <c r="F30" s="304" t="s">
        <v>219</v>
      </c>
      <c r="G30" s="304">
        <v>2001</v>
      </c>
      <c r="H30" s="361" t="s">
        <v>258</v>
      </c>
      <c r="I30" s="362">
        <v>0.49</v>
      </c>
      <c r="J30" s="362">
        <v>0.49</v>
      </c>
      <c r="K30" s="362">
        <v>0.81</v>
      </c>
      <c r="L30" s="362">
        <v>0.81</v>
      </c>
      <c r="M30" s="362">
        <v>0.81</v>
      </c>
      <c r="N30" s="362">
        <v>0.81</v>
      </c>
      <c r="O30" s="362">
        <v>0.81</v>
      </c>
      <c r="P30" s="362">
        <v>0.81</v>
      </c>
      <c r="Q30" s="362">
        <v>0.81</v>
      </c>
      <c r="R30" s="362">
        <v>0.49</v>
      </c>
      <c r="S30" s="362">
        <v>0.49</v>
      </c>
      <c r="T30" s="362">
        <v>0.49</v>
      </c>
      <c r="U30" s="362">
        <v>0.49</v>
      </c>
      <c r="V30" s="362">
        <v>0.49</v>
      </c>
      <c r="W30" s="362">
        <v>0.49</v>
      </c>
      <c r="X30" s="362">
        <v>0.49</v>
      </c>
      <c r="Y30" s="71"/>
      <c r="Z30" s="71"/>
      <c r="AA30" s="71"/>
      <c r="AB30" s="71"/>
      <c r="AC30" s="71"/>
      <c r="AD30" s="71"/>
      <c r="AE30" s="71"/>
      <c r="AF30" s="71"/>
      <c r="AG30" s="71"/>
      <c r="AH30" s="71"/>
      <c r="AI30" s="71"/>
    </row>
    <row r="31" spans="1:47" s="1" customFormat="1" x14ac:dyDescent="0.25">
      <c r="A31" s="490"/>
      <c r="B31" s="501"/>
      <c r="C31" s="490"/>
      <c r="D31" s="501"/>
      <c r="E31" s="501"/>
      <c r="F31" s="305" t="s">
        <v>221</v>
      </c>
      <c r="G31" s="305">
        <v>2013</v>
      </c>
      <c r="H31" s="314" t="s">
        <v>259</v>
      </c>
      <c r="I31" s="310">
        <v>0.36</v>
      </c>
      <c r="J31" s="310">
        <v>0.36</v>
      </c>
      <c r="K31" s="310">
        <v>0.36</v>
      </c>
      <c r="L31" s="310">
        <v>0.36</v>
      </c>
      <c r="M31" s="310">
        <v>0.36</v>
      </c>
      <c r="N31" s="310">
        <v>0.36</v>
      </c>
      <c r="O31" s="310">
        <v>0.36</v>
      </c>
      <c r="P31" s="310">
        <v>0.36</v>
      </c>
      <c r="Q31" s="310">
        <v>0.36</v>
      </c>
      <c r="R31" s="310">
        <v>0.36</v>
      </c>
      <c r="S31" s="310">
        <v>0.36</v>
      </c>
      <c r="T31" s="310">
        <v>0.36</v>
      </c>
      <c r="U31" s="310">
        <v>0.36</v>
      </c>
      <c r="V31" s="310">
        <v>0.36</v>
      </c>
      <c r="W31" s="310">
        <v>0.36</v>
      </c>
      <c r="X31" s="310">
        <v>0.36</v>
      </c>
      <c r="Y31" s="71"/>
      <c r="Z31" s="71"/>
      <c r="AA31" s="71"/>
      <c r="AB31" s="71"/>
      <c r="AC31" s="71"/>
      <c r="AD31" s="71"/>
      <c r="AE31" s="71"/>
      <c r="AF31" s="71"/>
      <c r="AG31" s="71"/>
      <c r="AH31" s="71"/>
      <c r="AI31" s="71"/>
    </row>
    <row r="32" spans="1:47" s="1" customFormat="1" x14ac:dyDescent="0.25">
      <c r="A32" s="490"/>
      <c r="B32" s="501"/>
      <c r="C32" s="490"/>
      <c r="D32" s="501"/>
      <c r="E32" s="501"/>
      <c r="F32" s="306" t="s">
        <v>224</v>
      </c>
      <c r="G32" s="307">
        <v>2025</v>
      </c>
      <c r="H32" s="311" t="s">
        <v>260</v>
      </c>
      <c r="I32" s="312">
        <v>0.36</v>
      </c>
      <c r="J32" s="312">
        <v>0.36</v>
      </c>
      <c r="K32" s="312">
        <v>0.36</v>
      </c>
      <c r="L32" s="312">
        <v>0.36</v>
      </c>
      <c r="M32" s="312">
        <v>0.36</v>
      </c>
      <c r="N32" s="312">
        <v>0.36</v>
      </c>
      <c r="O32" s="312">
        <v>0.36</v>
      </c>
      <c r="P32" s="312">
        <v>0.36</v>
      </c>
      <c r="Q32" s="312">
        <v>0.34</v>
      </c>
      <c r="R32" s="312">
        <v>0.36</v>
      </c>
      <c r="S32" s="312">
        <v>0.34</v>
      </c>
      <c r="T32" s="312">
        <v>0.34</v>
      </c>
      <c r="U32" s="312">
        <v>0.34</v>
      </c>
      <c r="V32" s="312">
        <v>0.34</v>
      </c>
      <c r="W32" s="312">
        <v>0.34</v>
      </c>
      <c r="X32" s="312">
        <v>0.36</v>
      </c>
      <c r="Y32" s="71"/>
      <c r="Z32" s="71"/>
      <c r="AA32" s="71"/>
      <c r="AB32" s="71"/>
      <c r="AC32" s="71"/>
      <c r="AD32" s="71"/>
      <c r="AE32" s="71"/>
      <c r="AF32" s="71"/>
      <c r="AG32" s="71"/>
      <c r="AH32" s="71"/>
      <c r="AI32" s="71"/>
    </row>
    <row r="33" spans="1:47" s="1" customFormat="1" x14ac:dyDescent="0.25">
      <c r="A33" s="490"/>
      <c r="B33" s="501"/>
      <c r="C33" s="490"/>
      <c r="D33" s="488" t="s">
        <v>243</v>
      </c>
      <c r="E33" s="501" t="s">
        <v>250</v>
      </c>
      <c r="F33" s="319" t="s">
        <v>214</v>
      </c>
      <c r="G33" s="319" t="s">
        <v>215</v>
      </c>
      <c r="H33" s="488" t="s">
        <v>261</v>
      </c>
      <c r="I33" s="370">
        <v>0.79</v>
      </c>
      <c r="J33" s="370">
        <v>0.79</v>
      </c>
      <c r="K33" s="370">
        <v>0.79</v>
      </c>
      <c r="L33" s="370">
        <v>0.79</v>
      </c>
      <c r="M33" s="370">
        <v>0.79</v>
      </c>
      <c r="N33" s="370">
        <v>0.79</v>
      </c>
      <c r="O33" s="370">
        <v>0.79</v>
      </c>
      <c r="P33" s="370">
        <v>0.79</v>
      </c>
      <c r="Q33" s="370">
        <v>0.79</v>
      </c>
      <c r="R33" s="370">
        <v>0.79</v>
      </c>
      <c r="S33" s="370">
        <v>0.79</v>
      </c>
      <c r="T33" s="370">
        <v>0.79</v>
      </c>
      <c r="U33" s="370">
        <v>0.79</v>
      </c>
      <c r="V33" s="370">
        <v>0.79</v>
      </c>
      <c r="W33" s="370">
        <v>0.79</v>
      </c>
      <c r="X33" s="370">
        <v>0.79</v>
      </c>
    </row>
    <row r="34" spans="1:47" s="1" customFormat="1" x14ac:dyDescent="0.25">
      <c r="A34" s="490"/>
      <c r="B34" s="501"/>
      <c r="C34" s="490"/>
      <c r="D34" s="490"/>
      <c r="E34" s="501"/>
      <c r="F34" s="303" t="s">
        <v>217</v>
      </c>
      <c r="G34" s="303" t="s">
        <v>215</v>
      </c>
      <c r="H34" s="489"/>
      <c r="I34" s="371">
        <v>0.79</v>
      </c>
      <c r="J34" s="371">
        <v>0.79</v>
      </c>
      <c r="K34" s="371">
        <v>0.79</v>
      </c>
      <c r="L34" s="371">
        <v>0.79</v>
      </c>
      <c r="M34" s="371">
        <v>0.79</v>
      </c>
      <c r="N34" s="371">
        <v>0.79</v>
      </c>
      <c r="O34" s="371">
        <v>0.79</v>
      </c>
      <c r="P34" s="371">
        <v>0.79</v>
      </c>
      <c r="Q34" s="371">
        <v>0.79</v>
      </c>
      <c r="R34" s="371">
        <v>0.79</v>
      </c>
      <c r="S34" s="371">
        <v>0.79</v>
      </c>
      <c r="T34" s="371">
        <v>0.79</v>
      </c>
      <c r="U34" s="371">
        <v>0.79</v>
      </c>
      <c r="V34" s="371">
        <v>0.79</v>
      </c>
      <c r="W34" s="371">
        <v>0.79</v>
      </c>
      <c r="X34" s="371">
        <v>0.79</v>
      </c>
    </row>
    <row r="35" spans="1:47" s="1" customFormat="1" ht="26.4" x14ac:dyDescent="0.25">
      <c r="A35" s="490"/>
      <c r="B35" s="501"/>
      <c r="C35" s="490"/>
      <c r="D35" s="501" t="s">
        <v>246</v>
      </c>
      <c r="E35" s="501"/>
      <c r="F35" s="304" t="s">
        <v>219</v>
      </c>
      <c r="G35" s="304">
        <v>2001</v>
      </c>
      <c r="H35" s="361" t="s">
        <v>262</v>
      </c>
      <c r="I35" s="362">
        <v>0.43</v>
      </c>
      <c r="J35" s="362">
        <v>0.47</v>
      </c>
      <c r="K35" s="362">
        <v>0.61</v>
      </c>
      <c r="L35" s="362">
        <v>0.61</v>
      </c>
      <c r="M35" s="362">
        <v>0.61</v>
      </c>
      <c r="N35" s="362">
        <v>0.61</v>
      </c>
      <c r="O35" s="362">
        <v>0.61</v>
      </c>
      <c r="P35" s="362">
        <v>0.61</v>
      </c>
      <c r="Q35" s="362">
        <v>0.61</v>
      </c>
      <c r="R35" s="362">
        <v>0.47</v>
      </c>
      <c r="S35" s="362">
        <v>0.47</v>
      </c>
      <c r="T35" s="362">
        <v>0.47</v>
      </c>
      <c r="U35" s="362">
        <v>0.47</v>
      </c>
      <c r="V35" s="362">
        <v>0.47</v>
      </c>
      <c r="W35" s="362">
        <v>0.47</v>
      </c>
      <c r="X35" s="362">
        <v>0.47</v>
      </c>
    </row>
    <row r="36" spans="1:47" s="1" customFormat="1" x14ac:dyDescent="0.25">
      <c r="A36" s="490"/>
      <c r="B36" s="501"/>
      <c r="C36" s="490"/>
      <c r="D36" s="501"/>
      <c r="E36" s="501"/>
      <c r="F36" s="305" t="s">
        <v>221</v>
      </c>
      <c r="G36" s="305">
        <v>2013</v>
      </c>
      <c r="H36" s="314" t="s">
        <v>263</v>
      </c>
      <c r="I36" s="310">
        <v>0.25</v>
      </c>
      <c r="J36" s="310">
        <v>0.25</v>
      </c>
      <c r="K36" s="310">
        <v>0.25</v>
      </c>
      <c r="L36" s="310">
        <v>0.25</v>
      </c>
      <c r="M36" s="310">
        <v>0.25</v>
      </c>
      <c r="N36" s="310">
        <v>0.25</v>
      </c>
      <c r="O36" s="310">
        <v>0.25</v>
      </c>
      <c r="P36" s="310">
        <v>0.25</v>
      </c>
      <c r="Q36" s="310">
        <v>0.25</v>
      </c>
      <c r="R36" s="310">
        <v>0.25</v>
      </c>
      <c r="S36" s="310">
        <v>0.25</v>
      </c>
      <c r="T36" s="310">
        <v>0.25</v>
      </c>
      <c r="U36" s="310">
        <v>0.25</v>
      </c>
      <c r="V36" s="310">
        <v>0.25</v>
      </c>
      <c r="W36" s="310">
        <v>0.25</v>
      </c>
      <c r="X36" s="310">
        <v>0.25</v>
      </c>
    </row>
    <row r="37" spans="1:47" s="1" customFormat="1" x14ac:dyDescent="0.25">
      <c r="A37" s="490"/>
      <c r="B37" s="501"/>
      <c r="C37" s="490"/>
      <c r="D37" s="501"/>
      <c r="E37" s="501"/>
      <c r="F37" s="306" t="s">
        <v>224</v>
      </c>
      <c r="G37" s="307">
        <v>2025</v>
      </c>
      <c r="H37" s="311" t="s">
        <v>263</v>
      </c>
      <c r="I37" s="312">
        <v>0.25</v>
      </c>
      <c r="J37" s="312">
        <v>0.25</v>
      </c>
      <c r="K37" s="312">
        <v>0.25</v>
      </c>
      <c r="L37" s="312">
        <v>0.25</v>
      </c>
      <c r="M37" s="312">
        <v>0.25</v>
      </c>
      <c r="N37" s="312">
        <v>0.25</v>
      </c>
      <c r="O37" s="312">
        <v>0.25</v>
      </c>
      <c r="P37" s="312">
        <v>0.25</v>
      </c>
      <c r="Q37" s="312">
        <v>0.22</v>
      </c>
      <c r="R37" s="312">
        <v>0.25</v>
      </c>
      <c r="S37" s="312">
        <v>0.22</v>
      </c>
      <c r="T37" s="312">
        <v>0.22</v>
      </c>
      <c r="U37" s="312">
        <v>0.22</v>
      </c>
      <c r="V37" s="312">
        <v>0.22</v>
      </c>
      <c r="W37" s="312">
        <v>0.22</v>
      </c>
      <c r="X37" s="312">
        <v>0.25</v>
      </c>
    </row>
    <row r="38" spans="1:47" customFormat="1" ht="14.4" x14ac:dyDescent="0.3">
      <c r="A38" t="s">
        <v>264</v>
      </c>
      <c r="C38" s="1"/>
    </row>
    <row r="39" spans="1:47" customFormat="1" ht="14.4" x14ac:dyDescent="0.3">
      <c r="C39" s="1"/>
    </row>
    <row r="40" spans="1:47" customFormat="1" ht="15.6" x14ac:dyDescent="0.3">
      <c r="C40" s="480" t="s">
        <v>265</v>
      </c>
      <c r="D40" s="480"/>
      <c r="E40" s="480"/>
      <c r="F40" s="480"/>
      <c r="G40" s="480"/>
      <c r="H40" s="480"/>
      <c r="I40" s="494"/>
    </row>
    <row r="41" spans="1:47" customFormat="1" ht="14.4" x14ac:dyDescent="0.3">
      <c r="C41" s="372"/>
      <c r="D41" s="372" t="s">
        <v>266</v>
      </c>
      <c r="E41" s="372" t="s">
        <v>267</v>
      </c>
      <c r="F41" s="73" t="s">
        <v>192</v>
      </c>
      <c r="G41" s="141" t="s">
        <v>268</v>
      </c>
      <c r="H41" s="141" t="s">
        <v>71</v>
      </c>
      <c r="I41" s="141" t="s">
        <v>269</v>
      </c>
    </row>
    <row r="42" spans="1:47" customFormat="1" ht="14.4" x14ac:dyDescent="0.3">
      <c r="C42" s="493" t="s">
        <v>265</v>
      </c>
      <c r="D42" s="500" t="s">
        <v>270</v>
      </c>
      <c r="E42" s="493"/>
      <c r="F42" s="319" t="s">
        <v>214</v>
      </c>
      <c r="G42" s="492" t="s">
        <v>271</v>
      </c>
      <c r="H42" s="495" t="s">
        <v>272</v>
      </c>
      <c r="I42" s="490">
        <v>3.97</v>
      </c>
    </row>
    <row r="43" spans="1:47" customFormat="1" ht="14.4" x14ac:dyDescent="0.3">
      <c r="C43" s="493"/>
      <c r="D43" s="493"/>
      <c r="E43" s="493"/>
      <c r="F43" s="319" t="s">
        <v>217</v>
      </c>
      <c r="G43" s="492"/>
      <c r="H43" s="496"/>
      <c r="I43" s="490"/>
    </row>
    <row r="44" spans="1:47" customFormat="1" ht="14.4" x14ac:dyDescent="0.3">
      <c r="C44" s="493"/>
      <c r="D44" s="493"/>
      <c r="E44" s="493"/>
      <c r="F44" s="319" t="s">
        <v>219</v>
      </c>
      <c r="G44" s="492"/>
      <c r="H44" s="496"/>
      <c r="I44" s="490"/>
    </row>
    <row r="45" spans="1:47" customFormat="1" ht="14.4" x14ac:dyDescent="0.3">
      <c r="C45" s="493"/>
      <c r="D45" s="493"/>
      <c r="E45" s="493"/>
      <c r="F45" s="319" t="s">
        <v>221</v>
      </c>
      <c r="G45" s="492"/>
      <c r="H45" s="497"/>
      <c r="I45" s="491"/>
    </row>
    <row r="46" spans="1:47" customFormat="1" ht="14.4" x14ac:dyDescent="0.3">
      <c r="C46" s="493"/>
      <c r="D46" s="493"/>
      <c r="E46" s="493"/>
      <c r="F46" s="325" t="s">
        <v>224</v>
      </c>
      <c r="G46" s="498" t="s">
        <v>273</v>
      </c>
      <c r="H46" s="319" t="s">
        <v>119</v>
      </c>
      <c r="I46" s="323">
        <v>2.2999999999999998</v>
      </c>
    </row>
    <row r="47" spans="1:47" ht="14.4" x14ac:dyDescent="0.3">
      <c r="A47" s="6"/>
      <c r="B47" s="6"/>
      <c r="C47" s="493"/>
      <c r="D47" s="493"/>
      <c r="E47" s="493"/>
      <c r="F47" s="319" t="s">
        <v>224</v>
      </c>
      <c r="G47" s="499"/>
      <c r="H47" s="319" t="s">
        <v>86</v>
      </c>
      <c r="I47" s="321">
        <v>7</v>
      </c>
      <c r="J47"/>
      <c r="K47"/>
      <c r="L47"/>
      <c r="M47"/>
      <c r="N47"/>
      <c r="O47"/>
      <c r="P47"/>
      <c r="Q47"/>
      <c r="R47"/>
      <c r="S47"/>
      <c r="T47"/>
      <c r="U47"/>
      <c r="V47"/>
      <c r="W47"/>
      <c r="X47"/>
      <c r="Y47"/>
      <c r="Z47"/>
      <c r="AA47"/>
      <c r="AB47"/>
      <c r="AC47" s="1"/>
      <c r="AD47" s="1"/>
      <c r="AE47" s="1"/>
      <c r="AF47" s="1"/>
      <c r="AG47" s="1"/>
      <c r="AH47" s="1"/>
      <c r="AI47" s="1"/>
      <c r="AJ47" s="1"/>
      <c r="AK47" s="1"/>
      <c r="AL47" s="1"/>
      <c r="AM47" s="1"/>
      <c r="AN47" s="1"/>
      <c r="AO47" s="1"/>
      <c r="AP47" s="1"/>
      <c r="AQ47" s="1"/>
      <c r="AR47" s="1"/>
      <c r="AS47" s="1"/>
      <c r="AT47" s="1"/>
      <c r="AU47" s="1"/>
    </row>
    <row r="48" spans="1:47" ht="14.4" x14ac:dyDescent="0.3">
      <c r="A48" s="6"/>
      <c r="B48" s="6"/>
      <c r="C48" s="6"/>
      <c r="D48" s="70"/>
      <c r="E48" s="255" t="s">
        <v>274</v>
      </c>
      <c r="F48" s="6"/>
      <c r="G48" s="135"/>
      <c r="H48" s="135"/>
      <c r="I48" s="70"/>
      <c r="J48"/>
      <c r="K48"/>
      <c r="L48"/>
      <c r="M48"/>
      <c r="N48"/>
      <c r="O48"/>
      <c r="P48"/>
      <c r="Q48"/>
      <c r="R48"/>
      <c r="S48"/>
      <c r="T48"/>
      <c r="U48"/>
      <c r="V48"/>
      <c r="W48"/>
      <c r="X48"/>
      <c r="Y48"/>
      <c r="Z48"/>
      <c r="AA48"/>
      <c r="AB48"/>
      <c r="AC48" s="1"/>
      <c r="AD48" s="1"/>
      <c r="AE48" s="1"/>
      <c r="AF48" s="1"/>
      <c r="AG48" s="1"/>
      <c r="AH48" s="1"/>
      <c r="AI48" s="1"/>
      <c r="AJ48" s="1"/>
      <c r="AK48" s="1"/>
      <c r="AL48" s="1"/>
      <c r="AM48" s="1"/>
      <c r="AN48" s="1"/>
      <c r="AO48" s="1"/>
      <c r="AP48" s="1"/>
      <c r="AQ48" s="1"/>
      <c r="AR48" s="1"/>
      <c r="AS48" s="1"/>
      <c r="AT48" s="1"/>
      <c r="AU48" s="1"/>
    </row>
    <row r="49" spans="1:47" ht="14.4" x14ac:dyDescent="0.3">
      <c r="A49" s="6"/>
      <c r="B49" s="6"/>
      <c r="C49" s="6"/>
      <c r="D49" s="70"/>
      <c r="E49" s="175" t="s">
        <v>56</v>
      </c>
      <c r="F49" s="6"/>
      <c r="G49" s="135"/>
      <c r="H49" s="135"/>
      <c r="I49" s="70"/>
      <c r="J49"/>
      <c r="K49"/>
      <c r="L49"/>
      <c r="M49"/>
      <c r="N49"/>
      <c r="O49"/>
      <c r="P49"/>
      <c r="Q49"/>
      <c r="R49"/>
      <c r="S49"/>
      <c r="T49"/>
      <c r="U49"/>
      <c r="V49"/>
      <c r="W49"/>
      <c r="X49"/>
      <c r="Y49"/>
      <c r="Z49"/>
      <c r="AA49"/>
      <c r="AB49"/>
      <c r="AC49" s="1"/>
      <c r="AD49" s="1"/>
      <c r="AE49" s="1"/>
      <c r="AF49" s="1"/>
      <c r="AG49" s="1"/>
      <c r="AH49" s="1"/>
      <c r="AI49" s="1"/>
      <c r="AJ49" s="1"/>
      <c r="AK49" s="1"/>
      <c r="AL49" s="1"/>
      <c r="AM49" s="1"/>
      <c r="AN49" s="1"/>
      <c r="AO49" s="1"/>
      <c r="AP49" s="1"/>
      <c r="AQ49" s="1"/>
      <c r="AR49" s="1"/>
      <c r="AS49" s="1"/>
      <c r="AT49" s="1"/>
      <c r="AU49" s="1"/>
    </row>
    <row r="50" spans="1:47" ht="14.4" x14ac:dyDescent="0.3">
      <c r="A50" s="6"/>
      <c r="B50" s="6"/>
      <c r="C50" s="6"/>
      <c r="D50" s="70"/>
      <c r="E50" s="6"/>
      <c r="F50" s="6"/>
      <c r="G50" s="135"/>
      <c r="H50" s="135"/>
      <c r="I50" s="70"/>
      <c r="J50"/>
      <c r="K50"/>
      <c r="L50"/>
      <c r="M50"/>
      <c r="N50"/>
      <c r="O50"/>
      <c r="P50"/>
      <c r="Q50"/>
      <c r="R50"/>
      <c r="S50"/>
      <c r="T50"/>
      <c r="U50"/>
      <c r="V50"/>
      <c r="W50"/>
      <c r="X50"/>
      <c r="Y50"/>
      <c r="Z50"/>
      <c r="AA50"/>
      <c r="AB50"/>
      <c r="AC50" s="1"/>
      <c r="AD50" s="1"/>
      <c r="AE50" s="1"/>
      <c r="AF50" s="1"/>
      <c r="AG50" s="1"/>
      <c r="AH50" s="1"/>
      <c r="AI50" s="1"/>
      <c r="AJ50" s="1"/>
      <c r="AK50" s="1"/>
      <c r="AL50" s="1"/>
      <c r="AM50" s="1"/>
      <c r="AN50" s="1"/>
      <c r="AO50" s="1"/>
      <c r="AP50" s="1"/>
      <c r="AQ50" s="1"/>
      <c r="AR50" s="1"/>
      <c r="AS50" s="1"/>
      <c r="AT50" s="1"/>
      <c r="AU50" s="1"/>
    </row>
    <row r="51" spans="1:47" x14ac:dyDescent="0.25">
      <c r="A51" s="1"/>
      <c r="B51" s="136"/>
      <c r="C51" s="1"/>
      <c r="D51" s="1"/>
      <c r="E51" s="1"/>
      <c r="F51" s="1"/>
      <c r="G51" s="137"/>
      <c r="H51" s="137"/>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row>
    <row r="52" spans="1:47" x14ac:dyDescent="0.25">
      <c r="A52" s="1"/>
      <c r="B52" s="1"/>
      <c r="C52" s="1"/>
      <c r="D52" s="1"/>
      <c r="E52" s="137"/>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row>
    <row r="53" spans="1:47" x14ac:dyDescent="0.25">
      <c r="A53" s="1"/>
      <c r="B53" s="1"/>
      <c r="C53" s="1"/>
      <c r="D53" s="1"/>
      <c r="E53" s="137"/>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row>
    <row r="54" spans="1:47" x14ac:dyDescent="0.25">
      <c r="A54" s="1"/>
      <c r="B54" s="1"/>
      <c r="C54" s="1"/>
      <c r="D54" s="1"/>
      <c r="E54" s="137"/>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row>
    <row r="55" spans="1:47" x14ac:dyDescent="0.25">
      <c r="A55" s="1"/>
      <c r="B55" s="1"/>
      <c r="C55" s="1"/>
      <c r="D55" s="1"/>
      <c r="E55" s="137"/>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row>
    <row r="56" spans="1:47" x14ac:dyDescent="0.25">
      <c r="A56" s="1"/>
      <c r="B56" s="1"/>
      <c r="C56" s="1"/>
      <c r="D56" s="1"/>
      <c r="E56" s="137"/>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row>
    <row r="57" spans="1:47" x14ac:dyDescent="0.25">
      <c r="A57" s="1"/>
      <c r="B57" s="1"/>
      <c r="C57" s="1"/>
      <c r="D57" s="1"/>
      <c r="E57" s="137"/>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row>
    <row r="58" spans="1:47" x14ac:dyDescent="0.25">
      <c r="A58" s="1"/>
      <c r="B58" s="1"/>
      <c r="C58" s="1"/>
      <c r="D58" s="1"/>
      <c r="E58" s="137"/>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row>
    <row r="59" spans="1:47" x14ac:dyDescent="0.25">
      <c r="A59" s="1"/>
      <c r="B59" s="1"/>
      <c r="C59" s="1"/>
      <c r="D59" s="1"/>
      <c r="E59" s="137"/>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row>
    <row r="60" spans="1:47" x14ac:dyDescent="0.25">
      <c r="A60" s="1"/>
      <c r="B60" s="1"/>
      <c r="C60" s="1"/>
      <c r="D60" s="1"/>
      <c r="E60" s="137"/>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row>
    <row r="61" spans="1:47" x14ac:dyDescent="0.25">
      <c r="A61" s="1"/>
      <c r="B61" s="1"/>
      <c r="C61" s="1"/>
      <c r="D61" s="1"/>
      <c r="E61" s="137"/>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row>
    <row r="62" spans="1:47" x14ac:dyDescent="0.25">
      <c r="A62" s="1"/>
      <c r="B62" s="1"/>
      <c r="C62" s="1"/>
      <c r="D62" s="1"/>
      <c r="E62" s="137"/>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row>
    <row r="63" spans="1:47" x14ac:dyDescent="0.25">
      <c r="A63" s="1"/>
      <c r="B63" s="1"/>
      <c r="C63" s="1"/>
      <c r="D63" s="1"/>
      <c r="E63" s="137"/>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row>
    <row r="64" spans="1:47" x14ac:dyDescent="0.25">
      <c r="A64" s="1"/>
      <c r="B64" s="1"/>
      <c r="C64" s="1"/>
      <c r="D64" s="1"/>
      <c r="E64" s="137"/>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row>
    <row r="65" spans="1:47" x14ac:dyDescent="0.25">
      <c r="A65" s="1"/>
      <c r="B65" s="1"/>
      <c r="C65" s="1"/>
      <c r="D65" s="1"/>
      <c r="E65" s="137"/>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row>
    <row r="66" spans="1:47" x14ac:dyDescent="0.25">
      <c r="A66" s="1"/>
      <c r="B66" s="1"/>
      <c r="C66" s="1"/>
      <c r="D66" s="1"/>
      <c r="E66" s="137"/>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row>
    <row r="67" spans="1:47" x14ac:dyDescent="0.25">
      <c r="A67" s="1"/>
      <c r="B67" s="1"/>
      <c r="C67" s="1"/>
      <c r="D67" s="1"/>
      <c r="E67" s="137"/>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row>
    <row r="68" spans="1:47" x14ac:dyDescent="0.25">
      <c r="A68" s="1"/>
      <c r="B68" s="1"/>
      <c r="C68" s="1"/>
      <c r="D68" s="1"/>
      <c r="E68" s="137"/>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row>
    <row r="69" spans="1:47" x14ac:dyDescent="0.25">
      <c r="A69" s="1"/>
      <c r="B69" s="1"/>
      <c r="C69" s="1"/>
      <c r="D69" s="1"/>
      <c r="E69" s="137"/>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row>
    <row r="70" spans="1:47" x14ac:dyDescent="0.25">
      <c r="A70" s="1"/>
      <c r="B70" s="1"/>
      <c r="C70" s="1"/>
      <c r="D70" s="1"/>
      <c r="E70" s="137"/>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row>
    <row r="71" spans="1:47" x14ac:dyDescent="0.25">
      <c r="A71" s="1"/>
      <c r="B71" s="1"/>
      <c r="C71" s="1"/>
      <c r="D71" s="1"/>
      <c r="E71" s="137"/>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row>
    <row r="72" spans="1:47" x14ac:dyDescent="0.25">
      <c r="A72" s="1"/>
      <c r="B72" s="1"/>
      <c r="C72" s="1"/>
      <c r="D72" s="1"/>
      <c r="E72" s="137"/>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row>
    <row r="73" spans="1:47" x14ac:dyDescent="0.25">
      <c r="A73" s="1"/>
      <c r="B73" s="1"/>
      <c r="C73" s="1"/>
      <c r="D73" s="1"/>
      <c r="E73" s="137"/>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row>
    <row r="74" spans="1:47" x14ac:dyDescent="0.25">
      <c r="A74" s="1"/>
      <c r="B74" s="1"/>
      <c r="C74" s="1"/>
      <c r="D74" s="1"/>
      <c r="E74" s="137"/>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row>
    <row r="75" spans="1:47" x14ac:dyDescent="0.25">
      <c r="A75" s="1"/>
      <c r="B75" s="1"/>
      <c r="C75" s="1"/>
      <c r="D75" s="1"/>
      <c r="E75" s="137"/>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row>
    <row r="76" spans="1:47" x14ac:dyDescent="0.25">
      <c r="A76" s="1"/>
      <c r="B76" s="1"/>
      <c r="C76" s="1"/>
      <c r="D76" s="1"/>
      <c r="E76" s="137"/>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row>
    <row r="77" spans="1:47" x14ac:dyDescent="0.25">
      <c r="A77" s="1"/>
      <c r="B77" s="1"/>
      <c r="C77" s="1"/>
      <c r="D77" s="1"/>
      <c r="E77" s="137"/>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row>
    <row r="78" spans="1:47" x14ac:dyDescent="0.25">
      <c r="A78" s="1"/>
      <c r="B78" s="1"/>
      <c r="C78" s="1"/>
      <c r="D78" s="1"/>
      <c r="E78" s="137"/>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row>
    <row r="79" spans="1:47" x14ac:dyDescent="0.25">
      <c r="A79" s="1"/>
      <c r="B79" s="1"/>
      <c r="C79" s="1"/>
      <c r="D79" s="1"/>
      <c r="E79" s="137"/>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spans="1:47" x14ac:dyDescent="0.25">
      <c r="A80" s="1"/>
      <c r="B80" s="1"/>
      <c r="C80" s="1"/>
      <c r="D80" s="1"/>
      <c r="E80" s="137"/>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row>
    <row r="81" spans="1:47" x14ac:dyDescent="0.25">
      <c r="A81" s="1"/>
      <c r="B81" s="1"/>
      <c r="C81" s="1"/>
      <c r="D81" s="1"/>
      <c r="E81" s="137"/>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spans="1:47" x14ac:dyDescent="0.25">
      <c r="A82" s="1"/>
      <c r="B82" s="1"/>
      <c r="C82" s="1"/>
      <c r="D82" s="1"/>
      <c r="E82" s="137"/>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1:47" x14ac:dyDescent="0.25">
      <c r="A83" s="1"/>
      <c r="B83" s="1"/>
      <c r="C83" s="1"/>
      <c r="D83" s="1"/>
      <c r="E83" s="137"/>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spans="1:47" x14ac:dyDescent="0.25">
      <c r="A84" s="1"/>
      <c r="B84" s="1"/>
      <c r="C84" s="1"/>
      <c r="D84" s="1"/>
      <c r="E84" s="137"/>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spans="1:47" x14ac:dyDescent="0.25">
      <c r="A85" s="1"/>
      <c r="B85" s="1"/>
      <c r="C85" s="1"/>
      <c r="D85" s="1"/>
      <c r="E85" s="137"/>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spans="1:47" x14ac:dyDescent="0.25">
      <c r="A86" s="1"/>
      <c r="B86" s="1"/>
      <c r="C86" s="1"/>
      <c r="D86" s="1"/>
      <c r="E86" s="137"/>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spans="1:47" x14ac:dyDescent="0.25">
      <c r="A87" s="1"/>
      <c r="B87" s="1"/>
      <c r="C87" s="1"/>
      <c r="D87" s="1"/>
      <c r="E87" s="137"/>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spans="1:47" x14ac:dyDescent="0.25">
      <c r="A88" s="1"/>
      <c r="B88" s="1"/>
      <c r="C88" s="1"/>
      <c r="D88" s="1"/>
      <c r="E88" s="137"/>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spans="1:47" x14ac:dyDescent="0.25">
      <c r="A89" s="1"/>
      <c r="B89" s="1"/>
      <c r="C89" s="1"/>
      <c r="D89" s="1"/>
      <c r="E89" s="137"/>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spans="1:47" x14ac:dyDescent="0.25">
      <c r="A90" s="1"/>
      <c r="B90" s="1"/>
      <c r="C90" s="1"/>
      <c r="D90" s="1"/>
      <c r="E90" s="137"/>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1:47" x14ac:dyDescent="0.25">
      <c r="A91" s="1"/>
      <c r="B91" s="1"/>
      <c r="C91" s="1"/>
      <c r="D91" s="1"/>
      <c r="E91" s="137"/>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row>
    <row r="92" spans="1:47" x14ac:dyDescent="0.25">
      <c r="A92" s="1"/>
      <c r="B92" s="136"/>
      <c r="C92" s="1"/>
      <c r="D92" s="1"/>
      <c r="E92" s="1"/>
      <c r="F92" s="1"/>
      <c r="G92" s="137"/>
      <c r="H92" s="137"/>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row>
    <row r="93" spans="1:47" x14ac:dyDescent="0.25">
      <c r="A93" s="1"/>
      <c r="B93" s="136"/>
      <c r="C93" s="1"/>
      <c r="D93" s="1"/>
      <c r="E93" s="1"/>
      <c r="F93" s="1"/>
      <c r="G93" s="137"/>
      <c r="H93" s="137"/>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row>
    <row r="94" spans="1:47" x14ac:dyDescent="0.25">
      <c r="A94" s="1"/>
      <c r="B94" s="136"/>
      <c r="C94" s="1"/>
      <c r="D94" s="1"/>
      <c r="E94" s="1"/>
      <c r="F94" s="1"/>
      <c r="G94" s="137"/>
      <c r="H94" s="137"/>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row>
    <row r="95" spans="1:47" x14ac:dyDescent="0.25">
      <c r="A95" s="1"/>
      <c r="B95" s="136"/>
      <c r="C95" s="1"/>
      <c r="D95" s="1"/>
      <c r="E95" s="1"/>
      <c r="F95" s="1"/>
      <c r="G95" s="137"/>
      <c r="H95" s="137"/>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row>
    <row r="96" spans="1:47" x14ac:dyDescent="0.25">
      <c r="A96" s="1"/>
      <c r="B96" s="136"/>
      <c r="C96" s="1"/>
      <c r="D96" s="1"/>
      <c r="E96" s="1"/>
      <c r="F96" s="1"/>
      <c r="G96" s="137"/>
      <c r="H96" s="137"/>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row>
    <row r="97" spans="1:47" x14ac:dyDescent="0.25">
      <c r="A97" s="1"/>
      <c r="B97" s="136"/>
      <c r="C97" s="1"/>
      <c r="D97" s="1"/>
      <c r="E97" s="1"/>
      <c r="F97" s="1"/>
      <c r="G97" s="137"/>
      <c r="H97" s="137"/>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row>
    <row r="98" spans="1:47" x14ac:dyDescent="0.25">
      <c r="A98" s="1"/>
      <c r="B98" s="136"/>
      <c r="C98" s="1"/>
      <c r="D98" s="1"/>
      <c r="E98" s="1"/>
      <c r="F98" s="1"/>
      <c r="G98" s="137"/>
      <c r="H98" s="137"/>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row>
    <row r="99" spans="1:47" x14ac:dyDescent="0.25">
      <c r="A99" s="1"/>
      <c r="B99" s="136"/>
      <c r="C99" s="1"/>
      <c r="D99" s="1"/>
      <c r="E99" s="1"/>
      <c r="F99" s="1"/>
      <c r="G99" s="137"/>
      <c r="H99" s="137"/>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row>
    <row r="100" spans="1:47" x14ac:dyDescent="0.25">
      <c r="A100" s="1"/>
      <c r="B100" s="136"/>
      <c r="C100" s="1"/>
      <c r="D100" s="1"/>
      <c r="E100" s="1"/>
      <c r="F100" s="1"/>
      <c r="G100" s="137"/>
      <c r="H100" s="137"/>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row>
    <row r="101" spans="1:47" x14ac:dyDescent="0.25">
      <c r="A101" s="1"/>
      <c r="B101" s="136"/>
      <c r="C101" s="1"/>
      <c r="D101" s="1"/>
      <c r="E101" s="1"/>
      <c r="F101" s="1"/>
      <c r="G101" s="137"/>
      <c r="H101" s="137"/>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row>
    <row r="102" spans="1:47" x14ac:dyDescent="0.25">
      <c r="A102" s="1"/>
      <c r="B102" s="136"/>
      <c r="C102" s="1"/>
      <c r="D102" s="1"/>
      <c r="E102" s="1"/>
      <c r="F102" s="1"/>
      <c r="G102" s="137"/>
      <c r="H102" s="137"/>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row>
    <row r="103" spans="1:47" x14ac:dyDescent="0.25">
      <c r="A103" s="1"/>
      <c r="B103" s="136"/>
      <c r="C103" s="1"/>
      <c r="D103" s="1"/>
      <c r="E103" s="1"/>
      <c r="F103" s="1"/>
      <c r="G103" s="137"/>
      <c r="H103" s="137"/>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row>
    <row r="104" spans="1:47" x14ac:dyDescent="0.25">
      <c r="A104" s="1"/>
      <c r="B104" s="136"/>
      <c r="C104" s="1"/>
      <c r="D104" s="1"/>
      <c r="E104" s="1"/>
      <c r="F104" s="1"/>
      <c r="G104" s="137"/>
      <c r="H104" s="137"/>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row>
    <row r="105" spans="1:47" x14ac:dyDescent="0.25">
      <c r="A105" s="1"/>
      <c r="B105" s="136"/>
      <c r="C105" s="1"/>
      <c r="D105" s="1"/>
      <c r="E105" s="1"/>
      <c r="F105" s="1"/>
      <c r="G105" s="137"/>
      <c r="H105" s="137"/>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x14ac:dyDescent="0.25">
      <c r="A106" s="1"/>
      <c r="B106" s="136"/>
      <c r="C106" s="1"/>
      <c r="D106" s="1"/>
      <c r="E106" s="1"/>
      <c r="F106" s="1"/>
      <c r="G106" s="137"/>
      <c r="H106" s="137"/>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row>
    <row r="107" spans="1:47" x14ac:dyDescent="0.25">
      <c r="A107" s="1"/>
      <c r="B107" s="136"/>
      <c r="C107" s="1"/>
      <c r="D107" s="1"/>
      <c r="E107" s="1"/>
      <c r="F107" s="1"/>
      <c r="G107" s="137"/>
      <c r="H107" s="137"/>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row>
    <row r="108" spans="1:47" x14ac:dyDescent="0.25">
      <c r="A108" s="1"/>
      <c r="B108" s="136"/>
      <c r="C108" s="1"/>
      <c r="D108" s="1"/>
      <c r="E108" s="1"/>
      <c r="F108" s="1"/>
      <c r="G108" s="137"/>
      <c r="H108" s="137"/>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row>
    <row r="109" spans="1:47" x14ac:dyDescent="0.25">
      <c r="A109" s="1"/>
      <c r="B109" s="136"/>
      <c r="C109" s="1"/>
      <c r="D109" s="1"/>
      <c r="E109" s="1"/>
      <c r="F109" s="1"/>
      <c r="G109" s="137"/>
      <c r="H109" s="137"/>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row>
    <row r="110" spans="1:47" x14ac:dyDescent="0.25">
      <c r="A110" s="1"/>
      <c r="B110" s="136"/>
      <c r="C110" s="1"/>
      <c r="D110" s="1"/>
      <c r="E110" s="1"/>
      <c r="F110" s="1"/>
      <c r="G110" s="137"/>
      <c r="H110" s="137"/>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row>
    <row r="111" spans="1:47" x14ac:dyDescent="0.25">
      <c r="A111" s="1"/>
      <c r="B111" s="136"/>
      <c r="C111" s="1"/>
      <c r="D111" s="1"/>
      <c r="E111" s="1"/>
      <c r="F111" s="1"/>
      <c r="G111" s="137"/>
      <c r="H111" s="137"/>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row>
    <row r="112" spans="1:47" x14ac:dyDescent="0.25">
      <c r="A112" s="1"/>
      <c r="B112" s="136"/>
      <c r="C112" s="1"/>
      <c r="D112" s="1"/>
      <c r="E112" s="1"/>
      <c r="F112" s="1"/>
      <c r="G112" s="137"/>
      <c r="H112" s="137"/>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row>
    <row r="113" spans="1:47" x14ac:dyDescent="0.25">
      <c r="A113" s="1"/>
      <c r="B113" s="136"/>
      <c r="C113" s="1"/>
      <c r="D113" s="1"/>
      <c r="E113" s="1"/>
      <c r="F113" s="1"/>
      <c r="G113" s="137"/>
      <c r="H113" s="137"/>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row>
    <row r="114" spans="1:47" x14ac:dyDescent="0.25">
      <c r="A114" s="1"/>
      <c r="B114" s="136"/>
      <c r="C114" s="1"/>
      <c r="D114" s="1"/>
      <c r="E114" s="1"/>
      <c r="F114" s="1"/>
      <c r="G114" s="137"/>
      <c r="H114" s="137"/>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row>
    <row r="115" spans="1:47" x14ac:dyDescent="0.25">
      <c r="A115" s="1"/>
      <c r="B115" s="136"/>
      <c r="C115" s="1"/>
      <c r="D115" s="1"/>
      <c r="E115" s="1"/>
      <c r="F115" s="1"/>
      <c r="G115" s="137"/>
      <c r="H115" s="137"/>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row>
    <row r="116" spans="1:47" x14ac:dyDescent="0.25">
      <c r="A116" s="1"/>
      <c r="B116" s="136"/>
      <c r="C116" s="1"/>
      <c r="D116" s="1"/>
      <c r="E116" s="1"/>
      <c r="F116" s="1"/>
      <c r="G116" s="137"/>
      <c r="H116" s="137"/>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row>
    <row r="117" spans="1:47" x14ac:dyDescent="0.25">
      <c r="A117" s="1"/>
      <c r="B117" s="136"/>
      <c r="C117" s="1"/>
      <c r="D117" s="1"/>
      <c r="E117" s="1"/>
      <c r="F117" s="1"/>
      <c r="G117" s="137"/>
      <c r="H117" s="137"/>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row>
    <row r="118" spans="1:47" x14ac:dyDescent="0.25">
      <c r="A118" s="1"/>
      <c r="B118" s="136"/>
      <c r="C118" s="1"/>
      <c r="D118" s="1"/>
      <c r="E118" s="1"/>
      <c r="F118" s="1"/>
      <c r="G118" s="137"/>
      <c r="H118" s="137"/>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row>
    <row r="119" spans="1:47" x14ac:dyDescent="0.25">
      <c r="A119" s="1"/>
      <c r="B119" s="136"/>
      <c r="C119" s="1"/>
      <c r="D119" s="1"/>
      <c r="E119" s="1"/>
      <c r="F119" s="1"/>
      <c r="G119" s="137"/>
      <c r="H119" s="137"/>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row>
    <row r="120" spans="1:47" x14ac:dyDescent="0.25">
      <c r="A120" s="1"/>
      <c r="B120" s="136"/>
      <c r="C120" s="1"/>
      <c r="D120" s="1"/>
      <c r="E120" s="1"/>
      <c r="F120" s="1"/>
      <c r="G120" s="137"/>
      <c r="H120" s="137"/>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row>
    <row r="121" spans="1:47" x14ac:dyDescent="0.25">
      <c r="A121" s="1"/>
      <c r="B121" s="136"/>
      <c r="C121" s="1"/>
      <c r="D121" s="1"/>
      <c r="E121" s="1"/>
      <c r="F121" s="1"/>
      <c r="G121" s="137"/>
      <c r="H121" s="137"/>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row>
    <row r="122" spans="1:47" x14ac:dyDescent="0.25">
      <c r="A122" s="1"/>
      <c r="B122" s="136"/>
      <c r="C122" s="1"/>
      <c r="D122" s="1"/>
      <c r="E122" s="1"/>
      <c r="F122" s="1"/>
      <c r="G122" s="137"/>
      <c r="H122" s="137"/>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row>
    <row r="123" spans="1:47" x14ac:dyDescent="0.25">
      <c r="A123" s="1"/>
      <c r="B123" s="136"/>
      <c r="C123" s="1"/>
      <c r="D123" s="1"/>
      <c r="E123" s="1"/>
      <c r="F123" s="1"/>
      <c r="G123" s="137"/>
      <c r="H123" s="137"/>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row>
    <row r="124" spans="1:47" x14ac:dyDescent="0.25">
      <c r="A124" s="1"/>
      <c r="B124" s="136"/>
      <c r="C124" s="1"/>
      <c r="D124" s="1"/>
      <c r="E124" s="1"/>
      <c r="F124" s="1"/>
      <c r="G124" s="137"/>
      <c r="H124" s="137"/>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row>
    <row r="125" spans="1:47" x14ac:dyDescent="0.25">
      <c r="A125" s="1"/>
      <c r="B125" s="136"/>
      <c r="C125" s="1"/>
      <c r="D125" s="1"/>
      <c r="E125" s="1"/>
      <c r="F125" s="1"/>
      <c r="G125" s="137"/>
      <c r="H125" s="137"/>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row>
    <row r="126" spans="1:47" x14ac:dyDescent="0.25">
      <c r="A126" s="1"/>
      <c r="B126" s="136"/>
      <c r="C126" s="1"/>
      <c r="D126" s="1"/>
      <c r="E126" s="1"/>
      <c r="F126" s="1"/>
      <c r="G126" s="137"/>
      <c r="H126" s="137"/>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row>
    <row r="127" spans="1:47" x14ac:dyDescent="0.25">
      <c r="A127" s="1"/>
      <c r="B127" s="136"/>
      <c r="C127" s="1"/>
      <c r="D127" s="1"/>
      <c r="E127" s="1"/>
      <c r="F127" s="1"/>
      <c r="G127" s="137"/>
      <c r="H127" s="137"/>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row>
    <row r="128" spans="1:47" x14ac:dyDescent="0.25">
      <c r="A128" s="1"/>
      <c r="B128" s="136"/>
      <c r="C128" s="1"/>
      <c r="D128" s="1"/>
      <c r="E128" s="1"/>
      <c r="F128" s="1"/>
      <c r="G128" s="137"/>
      <c r="H128" s="137"/>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row>
    <row r="129" spans="1:47" x14ac:dyDescent="0.25">
      <c r="A129" s="1"/>
      <c r="B129" s="136"/>
      <c r="C129" s="1"/>
      <c r="D129" s="1"/>
      <c r="E129" s="1"/>
      <c r="F129" s="1"/>
      <c r="G129" s="137"/>
      <c r="H129" s="137"/>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row>
    <row r="130" spans="1:47" x14ac:dyDescent="0.25">
      <c r="A130" s="1"/>
      <c r="B130" s="136"/>
      <c r="C130" s="1"/>
      <c r="D130" s="1"/>
      <c r="E130" s="1"/>
      <c r="F130" s="1"/>
      <c r="G130" s="137"/>
      <c r="H130" s="137"/>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row>
    <row r="131" spans="1:47" x14ac:dyDescent="0.25">
      <c r="A131" s="1"/>
      <c r="B131" s="136"/>
      <c r="C131" s="1"/>
      <c r="D131" s="1"/>
      <c r="E131" s="1"/>
      <c r="F131" s="1"/>
      <c r="G131" s="137"/>
      <c r="H131" s="137"/>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row>
    <row r="132" spans="1:47" x14ac:dyDescent="0.25">
      <c r="A132" s="1"/>
      <c r="B132" s="136"/>
      <c r="C132" s="1"/>
      <c r="D132" s="1"/>
      <c r="E132" s="1"/>
      <c r="F132" s="1"/>
      <c r="G132" s="137"/>
      <c r="H132" s="137"/>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row>
    <row r="133" spans="1:47" x14ac:dyDescent="0.25">
      <c r="A133" s="1"/>
      <c r="B133" s="136"/>
      <c r="C133" s="1"/>
      <c r="D133" s="1"/>
      <c r="E133" s="1"/>
      <c r="F133" s="1"/>
      <c r="G133" s="137"/>
      <c r="H133" s="137"/>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row>
    <row r="134" spans="1:47" x14ac:dyDescent="0.25">
      <c r="A134" s="1"/>
      <c r="B134" s="136"/>
      <c r="C134" s="1"/>
      <c r="D134" s="1"/>
      <c r="E134" s="1"/>
      <c r="F134" s="1"/>
      <c r="G134" s="137"/>
      <c r="H134" s="137"/>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row>
    <row r="135" spans="1:47" x14ac:dyDescent="0.25">
      <c r="A135" s="1"/>
      <c r="B135" s="136"/>
      <c r="C135" s="1"/>
      <c r="D135" s="1"/>
      <c r="E135" s="1"/>
      <c r="F135" s="1"/>
      <c r="G135" s="137"/>
      <c r="H135" s="137"/>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row>
    <row r="136" spans="1:47" x14ac:dyDescent="0.25">
      <c r="A136" s="1"/>
      <c r="B136" s="136"/>
      <c r="C136" s="1"/>
      <c r="D136" s="1"/>
      <c r="E136" s="1"/>
      <c r="F136" s="1"/>
      <c r="G136" s="137"/>
      <c r="H136" s="137"/>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row>
    <row r="137" spans="1:47" x14ac:dyDescent="0.25">
      <c r="A137" s="1"/>
      <c r="B137" s="136"/>
      <c r="C137" s="1"/>
      <c r="D137" s="1"/>
      <c r="E137" s="1"/>
      <c r="F137" s="1"/>
      <c r="G137" s="137"/>
      <c r="H137" s="137"/>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row>
    <row r="138" spans="1:47" x14ac:dyDescent="0.25">
      <c r="A138" s="1"/>
      <c r="B138" s="136"/>
      <c r="C138" s="1"/>
      <c r="D138" s="1"/>
      <c r="E138" s="1"/>
      <c r="F138" s="1"/>
      <c r="G138" s="137"/>
      <c r="H138" s="137"/>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row>
    <row r="139" spans="1:47" x14ac:dyDescent="0.25">
      <c r="A139" s="1"/>
      <c r="B139" s="136"/>
      <c r="C139" s="1"/>
      <c r="D139" s="1"/>
      <c r="E139" s="1"/>
      <c r="F139" s="1"/>
      <c r="G139" s="137"/>
      <c r="H139" s="137"/>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row>
    <row r="140" spans="1:47" x14ac:dyDescent="0.25">
      <c r="A140" s="1"/>
      <c r="B140" s="136"/>
      <c r="C140" s="1"/>
      <c r="D140" s="1"/>
      <c r="E140" s="1"/>
      <c r="F140" s="1"/>
      <c r="G140" s="137"/>
      <c r="H140" s="137"/>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row>
    <row r="141" spans="1:47" x14ac:dyDescent="0.25">
      <c r="A141" s="1"/>
      <c r="B141" s="136"/>
      <c r="C141" s="1"/>
      <c r="D141" s="1"/>
      <c r="E141" s="1"/>
      <c r="F141" s="1"/>
      <c r="G141" s="137"/>
      <c r="H141" s="137"/>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row>
    <row r="142" spans="1:47" x14ac:dyDescent="0.25">
      <c r="A142" s="1"/>
      <c r="B142" s="136"/>
      <c r="C142" s="1"/>
      <c r="D142" s="1"/>
      <c r="E142" s="1"/>
      <c r="F142" s="1"/>
      <c r="G142" s="137"/>
      <c r="H142" s="137"/>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row>
    <row r="143" spans="1:47" x14ac:dyDescent="0.25">
      <c r="A143" s="1"/>
      <c r="B143" s="136"/>
      <c r="C143" s="1"/>
      <c r="D143" s="1"/>
      <c r="E143" s="1"/>
      <c r="F143" s="1"/>
      <c r="G143" s="137"/>
      <c r="H143" s="137"/>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row>
    <row r="144" spans="1:47" x14ac:dyDescent="0.25">
      <c r="A144" s="1"/>
      <c r="B144" s="136"/>
      <c r="C144" s="1"/>
      <c r="D144" s="1"/>
      <c r="E144" s="1"/>
      <c r="F144" s="1"/>
      <c r="G144" s="137"/>
      <c r="H144" s="137"/>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row>
    <row r="145" spans="1:47" x14ac:dyDescent="0.25">
      <c r="A145" s="1"/>
      <c r="B145" s="136"/>
      <c r="C145" s="1"/>
      <c r="D145" s="1"/>
      <c r="E145" s="1"/>
      <c r="F145" s="1"/>
      <c r="G145" s="137"/>
      <c r="H145" s="137"/>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row>
    <row r="146" spans="1:47" x14ac:dyDescent="0.25">
      <c r="A146" s="1"/>
      <c r="B146" s="136"/>
      <c r="C146" s="1"/>
      <c r="D146" s="1"/>
      <c r="E146" s="1"/>
      <c r="F146" s="1"/>
      <c r="G146" s="137"/>
      <c r="H146" s="137"/>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row>
    <row r="147" spans="1:47" x14ac:dyDescent="0.25">
      <c r="A147" s="1"/>
      <c r="B147" s="136"/>
      <c r="C147" s="1"/>
      <c r="D147" s="1"/>
      <c r="E147" s="1"/>
      <c r="F147" s="1"/>
      <c r="G147" s="137"/>
      <c r="H147" s="137"/>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row>
    <row r="148" spans="1:47" x14ac:dyDescent="0.25">
      <c r="A148" s="1"/>
      <c r="B148" s="136"/>
      <c r="C148" s="1"/>
      <c r="D148" s="1"/>
      <c r="E148" s="1"/>
      <c r="F148" s="1"/>
      <c r="G148" s="137"/>
      <c r="H148" s="137"/>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row>
    <row r="149" spans="1:47" x14ac:dyDescent="0.25">
      <c r="A149" s="1"/>
      <c r="B149" s="136"/>
      <c r="C149" s="1"/>
      <c r="D149" s="1"/>
      <c r="E149" s="1"/>
      <c r="F149" s="1"/>
      <c r="G149" s="137"/>
      <c r="H149" s="137"/>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row>
    <row r="150" spans="1:47" x14ac:dyDescent="0.25">
      <c r="A150" s="1"/>
      <c r="B150" s="136"/>
      <c r="C150" s="1"/>
      <c r="D150" s="1"/>
      <c r="E150" s="1"/>
      <c r="F150" s="1"/>
      <c r="G150" s="137"/>
      <c r="H150" s="137"/>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row>
    <row r="151" spans="1:47" x14ac:dyDescent="0.25">
      <c r="A151" s="1"/>
      <c r="B151" s="136"/>
      <c r="C151" s="1"/>
      <c r="D151" s="1"/>
      <c r="E151" s="1"/>
      <c r="F151" s="1"/>
      <c r="G151" s="137"/>
      <c r="H151" s="137"/>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row>
    <row r="152" spans="1:47" x14ac:dyDescent="0.25">
      <c r="A152" s="1"/>
      <c r="B152" s="136"/>
      <c r="C152" s="1"/>
      <c r="D152" s="1"/>
      <c r="E152" s="1"/>
      <c r="F152" s="1"/>
      <c r="G152" s="137"/>
      <c r="H152" s="137"/>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row>
    <row r="153" spans="1:47" x14ac:dyDescent="0.25">
      <c r="A153" s="1"/>
      <c r="B153" s="136"/>
      <c r="C153" s="1"/>
      <c r="D153" s="1"/>
      <c r="E153" s="1"/>
      <c r="F153" s="1"/>
      <c r="G153" s="137"/>
      <c r="H153" s="137"/>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row>
    <row r="154" spans="1:47" x14ac:dyDescent="0.25">
      <c r="A154" s="1"/>
      <c r="B154" s="136"/>
      <c r="C154" s="1"/>
      <c r="D154" s="1"/>
      <c r="E154" s="1"/>
      <c r="F154" s="1"/>
      <c r="G154" s="137"/>
      <c r="H154" s="137"/>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row>
    <row r="155" spans="1:47" x14ac:dyDescent="0.25">
      <c r="A155" s="1"/>
      <c r="B155" s="136"/>
      <c r="C155" s="1"/>
      <c r="D155" s="1"/>
      <c r="E155" s="1"/>
      <c r="F155" s="1"/>
      <c r="G155" s="137"/>
      <c r="H155" s="137"/>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row>
    <row r="156" spans="1:47" x14ac:dyDescent="0.25">
      <c r="A156" s="1"/>
      <c r="B156" s="136"/>
      <c r="C156" s="1"/>
      <c r="D156" s="1"/>
      <c r="E156" s="1"/>
      <c r="F156" s="1"/>
      <c r="G156" s="137"/>
      <c r="H156" s="137"/>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row>
    <row r="157" spans="1:47" x14ac:dyDescent="0.25">
      <c r="A157" s="1"/>
      <c r="B157" s="136"/>
      <c r="C157" s="1"/>
      <c r="D157" s="1"/>
      <c r="E157" s="1"/>
      <c r="F157" s="1"/>
      <c r="G157" s="137"/>
      <c r="H157" s="137"/>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row>
    <row r="158" spans="1:47" x14ac:dyDescent="0.25">
      <c r="A158" s="1"/>
      <c r="B158" s="136"/>
      <c r="C158" s="1"/>
      <c r="D158" s="1"/>
      <c r="E158" s="1"/>
      <c r="F158" s="1"/>
      <c r="G158" s="137"/>
      <c r="H158" s="137"/>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row>
    <row r="159" spans="1:47" x14ac:dyDescent="0.25">
      <c r="A159" s="1"/>
      <c r="B159" s="136"/>
      <c r="C159" s="1"/>
      <c r="D159" s="1"/>
      <c r="E159" s="1"/>
      <c r="F159" s="1"/>
      <c r="G159" s="137"/>
      <c r="H159" s="137"/>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row>
    <row r="160" spans="1:47" x14ac:dyDescent="0.25">
      <c r="A160" s="1"/>
      <c r="B160" s="136"/>
      <c r="C160" s="1"/>
      <c r="D160" s="1"/>
      <c r="E160" s="1"/>
      <c r="F160" s="1"/>
      <c r="G160" s="137"/>
      <c r="H160" s="137"/>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row>
    <row r="161" spans="1:47" x14ac:dyDescent="0.25">
      <c r="A161" s="1"/>
      <c r="B161" s="136"/>
      <c r="C161" s="1"/>
      <c r="D161" s="1"/>
      <c r="E161" s="1"/>
      <c r="F161" s="1"/>
      <c r="G161" s="137"/>
      <c r="H161" s="137"/>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row>
    <row r="162" spans="1:47" x14ac:dyDescent="0.25">
      <c r="A162" s="1"/>
      <c r="B162" s="136"/>
      <c r="C162" s="1"/>
      <c r="D162" s="1"/>
      <c r="E162" s="1"/>
      <c r="F162" s="1"/>
      <c r="G162" s="137"/>
      <c r="H162" s="137"/>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row>
    <row r="163" spans="1:47" x14ac:dyDescent="0.25">
      <c r="A163" s="1"/>
      <c r="B163" s="136"/>
      <c r="C163" s="1"/>
      <c r="D163" s="1"/>
      <c r="E163" s="1"/>
      <c r="F163" s="1"/>
      <c r="G163" s="137"/>
      <c r="H163" s="137"/>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row>
    <row r="164" spans="1:47" x14ac:dyDescent="0.25">
      <c r="A164" s="1"/>
      <c r="B164" s="136"/>
      <c r="C164" s="1"/>
      <c r="D164" s="1"/>
      <c r="E164" s="1"/>
      <c r="F164" s="1"/>
      <c r="G164" s="137"/>
      <c r="H164" s="137"/>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row>
    <row r="165" spans="1:47" x14ac:dyDescent="0.25">
      <c r="A165" s="1"/>
      <c r="B165" s="136"/>
      <c r="C165" s="1"/>
      <c r="D165" s="1"/>
      <c r="E165" s="1"/>
      <c r="F165" s="1"/>
      <c r="G165" s="137"/>
      <c r="H165" s="137"/>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row>
    <row r="166" spans="1:47" x14ac:dyDescent="0.25">
      <c r="A166" s="1"/>
      <c r="B166" s="136"/>
      <c r="C166" s="1"/>
      <c r="D166" s="1"/>
      <c r="E166" s="1"/>
      <c r="F166" s="1"/>
      <c r="G166" s="137"/>
      <c r="H166" s="137"/>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row>
    <row r="167" spans="1:47" x14ac:dyDescent="0.25">
      <c r="A167" s="1"/>
      <c r="B167" s="136"/>
      <c r="C167" s="1"/>
      <c r="D167" s="1"/>
      <c r="E167" s="1"/>
      <c r="F167" s="1"/>
      <c r="G167" s="137"/>
      <c r="H167" s="137"/>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row>
    <row r="168" spans="1:47" x14ac:dyDescent="0.25">
      <c r="A168" s="1"/>
      <c r="B168" s="136"/>
      <c r="C168" s="1"/>
      <c r="D168" s="1"/>
      <c r="E168" s="1"/>
      <c r="F168" s="1"/>
      <c r="G168" s="137"/>
      <c r="H168" s="137"/>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row>
    <row r="169" spans="1:47" x14ac:dyDescent="0.25">
      <c r="A169" s="1"/>
      <c r="B169" s="136"/>
      <c r="C169" s="1"/>
      <c r="D169" s="1"/>
      <c r="E169" s="1"/>
      <c r="F169" s="1"/>
      <c r="G169" s="137"/>
      <c r="H169" s="137"/>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row>
    <row r="170" spans="1:47" x14ac:dyDescent="0.25">
      <c r="A170" s="1"/>
      <c r="B170" s="136"/>
      <c r="C170" s="1"/>
      <c r="D170" s="1"/>
      <c r="E170" s="1"/>
      <c r="F170" s="1"/>
      <c r="G170" s="137"/>
      <c r="H170" s="137"/>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row>
    <row r="171" spans="1:47" x14ac:dyDescent="0.25">
      <c r="A171" s="1"/>
      <c r="B171" s="136"/>
      <c r="C171" s="1"/>
      <c r="D171" s="1"/>
      <c r="E171" s="1"/>
      <c r="F171" s="1"/>
      <c r="G171" s="137"/>
      <c r="H171" s="137"/>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row>
    <row r="172" spans="1:47" x14ac:dyDescent="0.25">
      <c r="A172" s="1"/>
      <c r="B172" s="136"/>
      <c r="C172" s="1"/>
      <c r="D172" s="1"/>
      <c r="E172" s="1"/>
      <c r="F172" s="1"/>
      <c r="G172" s="137"/>
      <c r="H172" s="137"/>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row>
    <row r="173" spans="1:47" x14ac:dyDescent="0.25">
      <c r="A173" s="1"/>
      <c r="B173" s="136"/>
      <c r="C173" s="1"/>
      <c r="D173" s="1"/>
      <c r="E173" s="1"/>
      <c r="F173" s="1"/>
      <c r="G173" s="137"/>
      <c r="H173" s="137"/>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row>
    <row r="174" spans="1:47" x14ac:dyDescent="0.25">
      <c r="A174" s="1"/>
      <c r="B174" s="136"/>
      <c r="C174" s="1"/>
      <c r="D174" s="1"/>
      <c r="E174" s="1"/>
      <c r="F174" s="1"/>
      <c r="G174" s="137"/>
      <c r="H174" s="137"/>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row>
    <row r="175" spans="1:47" x14ac:dyDescent="0.25">
      <c r="A175" s="1"/>
      <c r="B175" s="136"/>
      <c r="C175" s="1"/>
      <c r="D175" s="1"/>
      <c r="E175" s="1"/>
      <c r="F175" s="1"/>
      <c r="G175" s="137"/>
      <c r="H175" s="137"/>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row>
    <row r="176" spans="1:47" x14ac:dyDescent="0.25">
      <c r="A176" s="1"/>
      <c r="B176" s="136"/>
      <c r="C176" s="1"/>
      <c r="D176" s="1"/>
      <c r="E176" s="1"/>
      <c r="F176" s="1"/>
      <c r="G176" s="137"/>
      <c r="H176" s="137"/>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row>
    <row r="177" spans="1:47" x14ac:dyDescent="0.25">
      <c r="A177" s="1"/>
      <c r="B177" s="136"/>
      <c r="C177" s="1"/>
      <c r="D177" s="1"/>
      <c r="E177" s="1"/>
      <c r="F177" s="1"/>
      <c r="G177" s="137"/>
      <c r="H177" s="137"/>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row>
    <row r="178" spans="1:47" x14ac:dyDescent="0.25">
      <c r="A178" s="1"/>
      <c r="B178" s="136"/>
      <c r="C178" s="1"/>
      <c r="D178" s="1"/>
      <c r="E178" s="1"/>
      <c r="F178" s="1"/>
      <c r="G178" s="137"/>
      <c r="H178" s="137"/>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row>
  </sheetData>
  <mergeCells count="47">
    <mergeCell ref="A1:X1"/>
    <mergeCell ref="B18:B27"/>
    <mergeCell ref="B3:B7"/>
    <mergeCell ref="B8:B12"/>
    <mergeCell ref="B13:B17"/>
    <mergeCell ref="H13:H14"/>
    <mergeCell ref="C8:C12"/>
    <mergeCell ref="D8:D12"/>
    <mergeCell ref="E8:E12"/>
    <mergeCell ref="H23:H24"/>
    <mergeCell ref="D23:D24"/>
    <mergeCell ref="E23:E27"/>
    <mergeCell ref="D25:D27"/>
    <mergeCell ref="D13:D17"/>
    <mergeCell ref="D18:D19"/>
    <mergeCell ref="C13:C17"/>
    <mergeCell ref="H18:H19"/>
    <mergeCell ref="A8:A12"/>
    <mergeCell ref="A13:A17"/>
    <mergeCell ref="E13:E17"/>
    <mergeCell ref="E3:E7"/>
    <mergeCell ref="A3:A7"/>
    <mergeCell ref="D3:D7"/>
    <mergeCell ref="C3:C7"/>
    <mergeCell ref="C18:C27"/>
    <mergeCell ref="A18:A27"/>
    <mergeCell ref="E18:E22"/>
    <mergeCell ref="D20:D22"/>
    <mergeCell ref="A28:A37"/>
    <mergeCell ref="D33:D34"/>
    <mergeCell ref="E33:E37"/>
    <mergeCell ref="D35:D37"/>
    <mergeCell ref="D28:D29"/>
    <mergeCell ref="E28:E32"/>
    <mergeCell ref="D30:D32"/>
    <mergeCell ref="B28:B37"/>
    <mergeCell ref="H28:H29"/>
    <mergeCell ref="H33:H34"/>
    <mergeCell ref="I42:I45"/>
    <mergeCell ref="G42:G45"/>
    <mergeCell ref="E42:E47"/>
    <mergeCell ref="C40:I40"/>
    <mergeCell ref="H42:H45"/>
    <mergeCell ref="G46:G47"/>
    <mergeCell ref="C42:C47"/>
    <mergeCell ref="D42:D47"/>
    <mergeCell ref="C28:C37"/>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5"/>
  <sheetViews>
    <sheetView zoomScaleNormal="100" workbookViewId="0">
      <selection sqref="A1:F1"/>
    </sheetView>
  </sheetViews>
  <sheetFormatPr defaultColWidth="8.6640625" defaultRowHeight="13.2" x14ac:dyDescent="0.25"/>
  <cols>
    <col min="1" max="1" width="32.109375" style="3" customWidth="1"/>
    <col min="2" max="2" width="29.5546875" style="3" customWidth="1"/>
    <col min="3" max="3" width="30.44140625" style="3" customWidth="1"/>
    <col min="4" max="4" width="32.6640625" style="3" customWidth="1"/>
    <col min="5" max="5" width="35.44140625" style="3" customWidth="1"/>
    <col min="6" max="6" width="32.88671875" style="3" bestFit="1" customWidth="1"/>
    <col min="7" max="7" width="20.5546875" style="3" customWidth="1"/>
    <col min="8" max="8" width="28.33203125" style="3" customWidth="1"/>
    <col min="9" max="9" width="22.5546875" style="3" customWidth="1"/>
    <col min="10"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10" ht="27" customHeight="1" x14ac:dyDescent="0.25">
      <c r="A1" s="512" t="str">
        <f>"HVAC system - "&amp;Prototype!A2</f>
        <v xml:space="preserve">HVAC system - ApartmentMidRise </v>
      </c>
      <c r="B1" s="512"/>
      <c r="C1" s="512"/>
      <c r="D1" s="512"/>
      <c r="E1" s="512"/>
      <c r="F1" s="512"/>
    </row>
    <row r="2" spans="1:10" ht="19.2" customHeight="1" thickBot="1" x14ac:dyDescent="0.3">
      <c r="A2" s="112" t="s">
        <v>192</v>
      </c>
      <c r="B2" s="112" t="s">
        <v>275</v>
      </c>
      <c r="C2" s="112" t="s">
        <v>276</v>
      </c>
      <c r="D2" s="112" t="s">
        <v>277</v>
      </c>
      <c r="E2" s="112" t="s">
        <v>278</v>
      </c>
      <c r="F2" s="112" t="s">
        <v>268</v>
      </c>
    </row>
    <row r="3" spans="1:10" ht="27.6" customHeight="1" x14ac:dyDescent="0.25">
      <c r="A3" s="517" t="s">
        <v>279</v>
      </c>
      <c r="B3" s="244" t="s">
        <v>280</v>
      </c>
      <c r="C3" s="245" t="s">
        <v>281</v>
      </c>
      <c r="D3" s="245" t="s">
        <v>282</v>
      </c>
      <c r="E3" s="246" t="s">
        <v>283</v>
      </c>
      <c r="F3" s="247" t="s">
        <v>284</v>
      </c>
      <c r="G3" s="255"/>
      <c r="H3" s="255"/>
      <c r="I3" s="255"/>
      <c r="J3" s="255"/>
    </row>
    <row r="4" spans="1:10" ht="27.6" customHeight="1" thickBot="1" x14ac:dyDescent="0.3">
      <c r="A4" s="518"/>
      <c r="B4" s="248" t="s">
        <v>285</v>
      </c>
      <c r="C4" s="249" t="s">
        <v>286</v>
      </c>
      <c r="D4" s="248" t="s">
        <v>287</v>
      </c>
      <c r="E4" s="250" t="s">
        <v>288</v>
      </c>
      <c r="F4" s="251" t="s">
        <v>284</v>
      </c>
      <c r="G4" s="255"/>
      <c r="H4" s="255"/>
      <c r="I4" s="255"/>
      <c r="J4" s="255"/>
    </row>
    <row r="5" spans="1:10" ht="25.95" customHeight="1" x14ac:dyDescent="0.25">
      <c r="A5" s="517" t="s">
        <v>289</v>
      </c>
      <c r="B5" s="244" t="s">
        <v>290</v>
      </c>
      <c r="C5" s="252" t="s">
        <v>291</v>
      </c>
      <c r="D5" s="252" t="s">
        <v>291</v>
      </c>
      <c r="E5" s="246" t="s">
        <v>283</v>
      </c>
      <c r="F5" s="519" t="s">
        <v>292</v>
      </c>
      <c r="G5" s="521" t="s">
        <v>293</v>
      </c>
      <c r="H5" s="522"/>
      <c r="I5" s="522"/>
      <c r="J5" s="522"/>
    </row>
    <row r="6" spans="1:10" ht="27" customHeight="1" thickBot="1" x14ac:dyDescent="0.3">
      <c r="A6" s="518"/>
      <c r="B6" s="248" t="s">
        <v>285</v>
      </c>
      <c r="C6" s="249" t="s">
        <v>286</v>
      </c>
      <c r="D6" s="248" t="s">
        <v>287</v>
      </c>
      <c r="E6" s="250" t="s">
        <v>288</v>
      </c>
      <c r="F6" s="520"/>
      <c r="G6" s="330"/>
      <c r="H6" s="330"/>
      <c r="I6" s="330"/>
      <c r="J6" s="330"/>
    </row>
    <row r="7" spans="1:10" ht="15.6" customHeight="1" x14ac:dyDescent="0.25">
      <c r="A7" s="255" t="s">
        <v>294</v>
      </c>
      <c r="B7" s="6"/>
      <c r="C7" s="6"/>
      <c r="D7" s="6"/>
      <c r="E7" s="6"/>
    </row>
    <row r="8" spans="1:10" ht="15.6" customHeight="1" x14ac:dyDescent="0.25">
      <c r="A8" s="6"/>
      <c r="B8" s="6"/>
      <c r="C8" s="6"/>
      <c r="D8" s="6"/>
      <c r="E8" s="6"/>
    </row>
    <row r="9" spans="1:10" x14ac:dyDescent="0.25">
      <c r="A9" s="6"/>
      <c r="B9" s="6"/>
      <c r="C9" s="6"/>
      <c r="D9" s="6"/>
      <c r="E9" s="6"/>
    </row>
    <row r="10" spans="1:10" ht="38.25" customHeight="1" x14ac:dyDescent="0.25">
      <c r="A10" s="515" t="s">
        <v>295</v>
      </c>
      <c r="B10" s="516"/>
      <c r="C10" s="516"/>
      <c r="D10" s="516"/>
      <c r="E10" s="516"/>
    </row>
    <row r="11" spans="1:10" ht="17.7" customHeight="1" x14ac:dyDescent="0.25">
      <c r="A11" s="111" t="s">
        <v>192</v>
      </c>
      <c r="B11" s="111" t="s">
        <v>296</v>
      </c>
      <c r="C11" s="45" t="s">
        <v>276</v>
      </c>
      <c r="D11" s="45" t="s">
        <v>277</v>
      </c>
      <c r="E11" s="112" t="s">
        <v>268</v>
      </c>
    </row>
    <row r="12" spans="1:10" ht="17.7" customHeight="1" x14ac:dyDescent="0.25">
      <c r="A12" s="329" t="s">
        <v>214</v>
      </c>
      <c r="B12" s="514">
        <v>2008</v>
      </c>
      <c r="C12" s="514" t="s">
        <v>297</v>
      </c>
      <c r="D12" s="513" t="s">
        <v>298</v>
      </c>
      <c r="E12" s="514" t="s">
        <v>299</v>
      </c>
    </row>
    <row r="13" spans="1:10" ht="17.7" customHeight="1" x14ac:dyDescent="0.25">
      <c r="A13" s="329" t="s">
        <v>217</v>
      </c>
      <c r="B13" s="514"/>
      <c r="C13" s="514"/>
      <c r="D13" s="514"/>
      <c r="E13" s="514"/>
    </row>
    <row r="14" spans="1:10" ht="17.7" customHeight="1" x14ac:dyDescent="0.25">
      <c r="A14" s="329" t="s">
        <v>219</v>
      </c>
      <c r="B14" s="514"/>
      <c r="C14" s="514"/>
      <c r="D14" s="514"/>
      <c r="E14" s="514"/>
    </row>
    <row r="15" spans="1:10" ht="38.25" customHeight="1" x14ac:dyDescent="0.25">
      <c r="A15" s="329" t="s">
        <v>221</v>
      </c>
      <c r="B15" s="331">
        <v>2013</v>
      </c>
      <c r="C15" s="329" t="s">
        <v>297</v>
      </c>
      <c r="D15" s="328" t="s">
        <v>300</v>
      </c>
      <c r="E15" s="329" t="s">
        <v>301</v>
      </c>
    </row>
    <row r="16" spans="1:10" ht="73.5" customHeight="1" x14ac:dyDescent="0.25">
      <c r="A16" s="514" t="s">
        <v>289</v>
      </c>
      <c r="B16" s="523">
        <v>2025</v>
      </c>
      <c r="C16" s="328" t="s">
        <v>302</v>
      </c>
      <c r="D16" s="329" t="s">
        <v>303</v>
      </c>
      <c r="E16" s="328" t="s">
        <v>304</v>
      </c>
    </row>
    <row r="17" spans="1:38" ht="108" customHeight="1" x14ac:dyDescent="0.25">
      <c r="A17" s="514"/>
      <c r="B17" s="523"/>
      <c r="C17" s="396" t="s">
        <v>305</v>
      </c>
      <c r="D17" s="328" t="s">
        <v>306</v>
      </c>
      <c r="E17" s="329" t="s">
        <v>307</v>
      </c>
      <c r="F17" s="8"/>
    </row>
    <row r="18" spans="1:38" ht="13.95" customHeight="1" x14ac:dyDescent="0.25">
      <c r="A18" s="9"/>
      <c r="D18" s="34"/>
    </row>
    <row r="20" spans="1:38" ht="22.35" customHeight="1" x14ac:dyDescent="0.3">
      <c r="A20" s="510" t="s">
        <v>308</v>
      </c>
      <c r="B20" s="511"/>
      <c r="C20" s="511"/>
      <c r="D20" s="511"/>
      <c r="E20" s="511"/>
      <c r="F20" s="511"/>
      <c r="G20" s="511"/>
      <c r="H20" s="511"/>
      <c r="I20"/>
    </row>
    <row r="21" spans="1:38" ht="27.6" customHeight="1" x14ac:dyDescent="0.3">
      <c r="A21" s="287" t="s">
        <v>192</v>
      </c>
      <c r="B21" s="75" t="s">
        <v>309</v>
      </c>
      <c r="C21" s="75" t="s">
        <v>310</v>
      </c>
      <c r="D21" s="285" t="s">
        <v>311</v>
      </c>
      <c r="E21" s="285" t="s">
        <v>312</v>
      </c>
      <c r="F21" s="285" t="s">
        <v>313</v>
      </c>
      <c r="G21" s="285" t="s">
        <v>314</v>
      </c>
      <c r="H21" s="287" t="s">
        <v>315</v>
      </c>
      <c r="I21"/>
    </row>
    <row r="22" spans="1:38" ht="60.45" customHeight="1" x14ac:dyDescent="0.25">
      <c r="A22" s="493" t="s">
        <v>223</v>
      </c>
      <c r="B22" s="529" t="s">
        <v>316</v>
      </c>
      <c r="C22" s="373" t="s">
        <v>317</v>
      </c>
      <c r="D22" s="373">
        <v>1.33</v>
      </c>
      <c r="E22" s="527">
        <v>0.65</v>
      </c>
      <c r="F22" s="527" t="s">
        <v>318</v>
      </c>
      <c r="G22" s="530"/>
      <c r="H22" s="527" t="s">
        <v>319</v>
      </c>
      <c r="I22" s="284" t="s">
        <v>320</v>
      </c>
    </row>
    <row r="23" spans="1:38" ht="60.45" customHeight="1" x14ac:dyDescent="0.3">
      <c r="A23" s="493"/>
      <c r="B23" s="529"/>
      <c r="C23" s="373" t="s">
        <v>321</v>
      </c>
      <c r="D23" s="373">
        <v>5.58</v>
      </c>
      <c r="E23" s="527"/>
      <c r="F23" s="527"/>
      <c r="G23" s="530"/>
      <c r="H23" s="528"/>
      <c r="I23"/>
    </row>
    <row r="24" spans="1:38" ht="21.6" customHeight="1" x14ac:dyDescent="0.3">
      <c r="A24" s="286" t="s">
        <v>322</v>
      </c>
      <c r="B24" s="374"/>
      <c r="C24" s="374"/>
      <c r="D24" s="374"/>
      <c r="E24" s="374"/>
      <c r="F24" s="374"/>
      <c r="G24" s="374"/>
      <c r="H24" s="375"/>
      <c r="I24"/>
    </row>
    <row r="25" spans="1:38" ht="19.350000000000001" customHeight="1" x14ac:dyDescent="0.3">
      <c r="A25" s="286" t="s">
        <v>323</v>
      </c>
      <c r="B25" s="374"/>
      <c r="C25" s="374"/>
      <c r="D25" s="374"/>
      <c r="E25" s="374"/>
      <c r="F25" s="374"/>
      <c r="G25" s="374"/>
      <c r="H25" s="375"/>
      <c r="I25"/>
    </row>
    <row r="26" spans="1:38" ht="69.75" customHeight="1" x14ac:dyDescent="0.3">
      <c r="A26" s="493" t="s">
        <v>289</v>
      </c>
      <c r="B26" s="527" t="s">
        <v>324</v>
      </c>
      <c r="C26" s="373" t="s">
        <v>325</v>
      </c>
      <c r="D26" s="373" t="s">
        <v>326</v>
      </c>
      <c r="E26" s="527">
        <v>0.65</v>
      </c>
      <c r="F26" s="527" t="s">
        <v>327</v>
      </c>
      <c r="G26" s="373">
        <v>0.35</v>
      </c>
      <c r="H26" s="373" t="s">
        <v>328</v>
      </c>
      <c r="I26" s="376"/>
    </row>
    <row r="27" spans="1:38" ht="69.75" customHeight="1" x14ac:dyDescent="0.3">
      <c r="A27" s="493"/>
      <c r="B27" s="528"/>
      <c r="C27" s="373" t="s">
        <v>329</v>
      </c>
      <c r="D27" s="373" t="s">
        <v>326</v>
      </c>
      <c r="E27" s="527"/>
      <c r="F27" s="527"/>
      <c r="G27" s="373">
        <v>0.96399999999999997</v>
      </c>
      <c r="H27" s="373" t="s">
        <v>330</v>
      </c>
      <c r="I27" s="376"/>
    </row>
    <row r="28" spans="1:38" ht="12.75" customHeight="1" x14ac:dyDescent="0.3">
      <c r="A28" s="377"/>
      <c r="B28" s="377"/>
      <c r="C28" s="377"/>
      <c r="D28" s="378"/>
      <c r="E28" s="377"/>
      <c r="F28" s="378"/>
      <c r="G28" s="377"/>
      <c r="H28" s="377"/>
      <c r="I28"/>
    </row>
    <row r="29" spans="1:38" ht="31.5" customHeight="1" x14ac:dyDescent="0.3">
      <c r="A29" s="524" t="s">
        <v>331</v>
      </c>
      <c r="B29" s="525"/>
      <c r="C29" s="525"/>
      <c r="D29" s="525"/>
      <c r="E29" s="525"/>
      <c r="F29" s="525"/>
      <c r="G29" s="525"/>
      <c r="H29" s="525"/>
      <c r="I29"/>
    </row>
    <row r="30" spans="1:38" ht="57" customHeight="1" x14ac:dyDescent="0.3">
      <c r="A30" s="524" t="s">
        <v>332</v>
      </c>
      <c r="B30" s="526"/>
      <c r="C30" s="526"/>
      <c r="D30" s="526"/>
      <c r="E30" s="526"/>
      <c r="F30" s="526"/>
      <c r="G30" s="526"/>
      <c r="H30" s="526"/>
      <c r="I30"/>
    </row>
    <row r="31" spans="1:38" s="24" customFormat="1" hidden="1" x14ac:dyDescent="0.25">
      <c r="A31" s="24" t="s">
        <v>187</v>
      </c>
    </row>
    <row r="32" spans="1:38" x14ac:dyDescent="0.25">
      <c r="U32" s="31"/>
      <c r="V32" s="31"/>
      <c r="W32" s="51"/>
      <c r="X32" s="51"/>
      <c r="Y32" s="51"/>
      <c r="Z32" s="51"/>
      <c r="AA32" s="51"/>
      <c r="AB32" s="51"/>
      <c r="AC32" s="51"/>
      <c r="AD32" s="51"/>
      <c r="AE32" s="51"/>
      <c r="AF32" s="51"/>
      <c r="AG32" s="51"/>
      <c r="AH32" s="51"/>
      <c r="AI32" s="51"/>
      <c r="AJ32" s="51"/>
      <c r="AK32" s="51"/>
      <c r="AL32" s="51"/>
    </row>
    <row r="33" spans="21:22" x14ac:dyDescent="0.25">
      <c r="V33" s="36"/>
    </row>
    <row r="34" spans="21:22" x14ac:dyDescent="0.25">
      <c r="U34" s="33"/>
      <c r="V34" s="36"/>
    </row>
    <row r="35" spans="21:22" x14ac:dyDescent="0.25">
      <c r="U35" s="33"/>
      <c r="V35" s="36"/>
    </row>
    <row r="36" spans="21:22" x14ac:dyDescent="0.25">
      <c r="U36" s="33"/>
      <c r="V36" s="36"/>
    </row>
    <row r="37" spans="21:22" x14ac:dyDescent="0.25">
      <c r="U37" s="33"/>
      <c r="V37" s="36"/>
    </row>
    <row r="38" spans="21:22" x14ac:dyDescent="0.25">
      <c r="U38" s="33"/>
      <c r="V38" s="36"/>
    </row>
    <row r="39" spans="21:22" x14ac:dyDescent="0.25">
      <c r="U39" s="33"/>
      <c r="V39" s="36"/>
    </row>
    <row r="40" spans="21:22" x14ac:dyDescent="0.25">
      <c r="U40" s="33"/>
      <c r="V40" s="36"/>
    </row>
    <row r="41" spans="21:22" x14ac:dyDescent="0.25">
      <c r="U41" s="33"/>
      <c r="V41" s="36"/>
    </row>
    <row r="42" spans="21:22" x14ac:dyDescent="0.25">
      <c r="U42" s="33"/>
      <c r="V42" s="36"/>
    </row>
    <row r="43" spans="21:22" x14ac:dyDescent="0.25">
      <c r="U43" s="33"/>
      <c r="V43" s="36"/>
    </row>
    <row r="44" spans="21:22" x14ac:dyDescent="0.25">
      <c r="U44" s="33"/>
      <c r="V44" s="36"/>
    </row>
    <row r="45" spans="21:22" x14ac:dyDescent="0.25">
      <c r="U45" s="33"/>
      <c r="V45" s="36"/>
    </row>
    <row r="46" spans="21:22" x14ac:dyDescent="0.25">
      <c r="U46" s="33"/>
      <c r="V46" s="36"/>
    </row>
    <row r="47" spans="21:22" x14ac:dyDescent="0.25">
      <c r="U47" s="33"/>
      <c r="V47" s="36"/>
    </row>
    <row r="48" spans="21:22" x14ac:dyDescent="0.25">
      <c r="U48" s="33"/>
      <c r="V48" s="36"/>
    </row>
    <row r="49" spans="21:38" x14ac:dyDescent="0.25">
      <c r="U49" s="33"/>
      <c r="V49" s="36"/>
    </row>
    <row r="50" spans="21:38" x14ac:dyDescent="0.25">
      <c r="U50" s="33"/>
      <c r="V50" s="36"/>
    </row>
    <row r="51" spans="21:38" x14ac:dyDescent="0.25">
      <c r="U51" s="33"/>
      <c r="V51" s="36"/>
    </row>
    <row r="52" spans="21:38" x14ac:dyDescent="0.25">
      <c r="U52" s="33"/>
      <c r="V52" s="36"/>
    </row>
    <row r="53" spans="21:38" x14ac:dyDescent="0.25">
      <c r="U53" s="33"/>
      <c r="V53" s="36"/>
    </row>
    <row r="54" spans="21:38" x14ac:dyDescent="0.25">
      <c r="U54" s="33"/>
      <c r="W54" s="32"/>
      <c r="X54" s="32"/>
      <c r="Y54" s="32"/>
      <c r="Z54" s="32"/>
      <c r="AA54" s="32"/>
      <c r="AB54" s="32"/>
      <c r="AC54" s="32"/>
      <c r="AD54" s="32"/>
      <c r="AE54" s="32"/>
      <c r="AF54" s="32"/>
      <c r="AG54" s="32"/>
      <c r="AH54" s="32"/>
      <c r="AI54" s="32"/>
      <c r="AJ54" s="32"/>
      <c r="AK54" s="32"/>
      <c r="AL54" s="32"/>
    </row>
    <row r="55" spans="21:38" x14ac:dyDescent="0.25">
      <c r="U55" s="35"/>
      <c r="W55" s="33"/>
      <c r="X55" s="33"/>
      <c r="Y55" s="33"/>
      <c r="Z55" s="33"/>
      <c r="AA55" s="33"/>
      <c r="AB55" s="33"/>
      <c r="AC55" s="33"/>
      <c r="AD55" s="33"/>
      <c r="AE55" s="33"/>
      <c r="AF55" s="33"/>
      <c r="AG55" s="33"/>
      <c r="AH55" s="33"/>
      <c r="AI55" s="33"/>
      <c r="AJ55" s="33"/>
      <c r="AK55" s="33"/>
      <c r="AL55" s="33"/>
    </row>
  </sheetData>
  <mergeCells count="25">
    <mergeCell ref="A29:H29"/>
    <mergeCell ref="A30:H30"/>
    <mergeCell ref="H22:H23"/>
    <mergeCell ref="A26:A27"/>
    <mergeCell ref="B26:B27"/>
    <mergeCell ref="E26:E27"/>
    <mergeCell ref="F26:F27"/>
    <mergeCell ref="A22:A23"/>
    <mergeCell ref="B22:B23"/>
    <mergeCell ref="E22:E23"/>
    <mergeCell ref="F22:F23"/>
    <mergeCell ref="G22:G23"/>
    <mergeCell ref="A20:H20"/>
    <mergeCell ref="A1:F1"/>
    <mergeCell ref="D12:D14"/>
    <mergeCell ref="C12:C14"/>
    <mergeCell ref="A10:E10"/>
    <mergeCell ref="A3:A4"/>
    <mergeCell ref="A5:A6"/>
    <mergeCell ref="F5:F6"/>
    <mergeCell ref="G5:J5"/>
    <mergeCell ref="A16:A17"/>
    <mergeCell ref="B16:B17"/>
    <mergeCell ref="E12:E14"/>
    <mergeCell ref="B12:B14"/>
  </mergeCells>
  <phoneticPr fontId="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39FB-0FF3-4EE1-BBDF-BEA1AF34949F}">
  <sheetPr codeName="Sheet9"/>
  <dimension ref="A1:XFD20"/>
  <sheetViews>
    <sheetView workbookViewId="0">
      <selection sqref="A1:R1"/>
    </sheetView>
  </sheetViews>
  <sheetFormatPr defaultRowHeight="14.4" x14ac:dyDescent="0.3"/>
  <cols>
    <col min="1" max="1" width="24.33203125" bestFit="1" customWidth="1"/>
    <col min="18" max="18" width="23.5546875" customWidth="1"/>
  </cols>
  <sheetData>
    <row r="1" spans="1:16384" ht="24" customHeight="1" x14ac:dyDescent="0.3">
      <c r="A1" s="532" t="str">
        <f>"Thermostat Setpoints - "&amp;Prototype!A2&amp;": ResidentialLiving"</f>
        <v>Thermostat Setpoints - ApartmentMidRise : ResidentialLiving</v>
      </c>
      <c r="B1" s="532"/>
      <c r="C1" s="532"/>
      <c r="D1" s="532"/>
      <c r="E1" s="532"/>
      <c r="F1" s="532"/>
      <c r="G1" s="532"/>
      <c r="H1" s="532"/>
      <c r="I1" s="532"/>
      <c r="J1" s="532"/>
      <c r="K1" s="532"/>
      <c r="L1" s="532"/>
      <c r="M1" s="532"/>
      <c r="N1" s="532"/>
      <c r="O1" s="532"/>
      <c r="P1" s="532"/>
      <c r="Q1" s="532"/>
      <c r="R1" s="532"/>
    </row>
    <row r="2" spans="1:16384" ht="21.6" customHeight="1" x14ac:dyDescent="0.3">
      <c r="A2" s="149" t="s">
        <v>333</v>
      </c>
      <c r="B2" s="333" t="s">
        <v>194</v>
      </c>
      <c r="C2" s="333" t="s">
        <v>195</v>
      </c>
      <c r="D2" s="333" t="s">
        <v>196</v>
      </c>
      <c r="E2" s="333" t="s">
        <v>197</v>
      </c>
      <c r="F2" s="333" t="s">
        <v>198</v>
      </c>
      <c r="G2" s="333" t="s">
        <v>199</v>
      </c>
      <c r="H2" s="333" t="s">
        <v>200</v>
      </c>
      <c r="I2" s="333" t="s">
        <v>201</v>
      </c>
      <c r="J2" s="333" t="s">
        <v>202</v>
      </c>
      <c r="K2" s="333" t="s">
        <v>203</v>
      </c>
      <c r="L2" s="333" t="s">
        <v>204</v>
      </c>
      <c r="M2" s="333" t="s">
        <v>205</v>
      </c>
      <c r="N2" s="333" t="s">
        <v>206</v>
      </c>
      <c r="O2" s="333" t="s">
        <v>207</v>
      </c>
      <c r="P2" s="333" t="s">
        <v>208</v>
      </c>
      <c r="Q2" s="333" t="s">
        <v>209</v>
      </c>
      <c r="R2" s="176" t="s">
        <v>268</v>
      </c>
    </row>
    <row r="3" spans="1:16384" ht="26.4" customHeight="1" x14ac:dyDescent="0.3">
      <c r="A3" s="355" t="s">
        <v>334</v>
      </c>
      <c r="B3" s="329">
        <v>68</v>
      </c>
      <c r="C3" s="329">
        <v>68</v>
      </c>
      <c r="D3" s="329">
        <v>68</v>
      </c>
      <c r="E3" s="329">
        <v>68</v>
      </c>
      <c r="F3" s="329">
        <v>68</v>
      </c>
      <c r="G3" s="329">
        <v>68</v>
      </c>
      <c r="H3" s="329">
        <v>68</v>
      </c>
      <c r="I3" s="329">
        <v>68</v>
      </c>
      <c r="J3" s="329">
        <v>68</v>
      </c>
      <c r="K3" s="329">
        <v>68</v>
      </c>
      <c r="L3" s="329">
        <v>68</v>
      </c>
      <c r="M3" s="329">
        <v>68</v>
      </c>
      <c r="N3" s="329">
        <v>68</v>
      </c>
      <c r="O3" s="329">
        <v>68</v>
      </c>
      <c r="P3" s="329">
        <v>68</v>
      </c>
      <c r="Q3" s="329">
        <v>68</v>
      </c>
      <c r="R3" s="531" t="s">
        <v>335</v>
      </c>
    </row>
    <row r="4" spans="1:16384" ht="26.4" customHeight="1" x14ac:dyDescent="0.3">
      <c r="A4" s="355" t="s">
        <v>336</v>
      </c>
      <c r="B4" s="329">
        <v>60</v>
      </c>
      <c r="C4" s="329">
        <v>60</v>
      </c>
      <c r="D4" s="329">
        <v>60</v>
      </c>
      <c r="E4" s="329">
        <v>60</v>
      </c>
      <c r="F4" s="329">
        <v>60</v>
      </c>
      <c r="G4" s="329">
        <v>60</v>
      </c>
      <c r="H4" s="329">
        <v>60</v>
      </c>
      <c r="I4" s="329">
        <v>60</v>
      </c>
      <c r="J4" s="329">
        <v>60</v>
      </c>
      <c r="K4" s="329">
        <v>60</v>
      </c>
      <c r="L4" s="329">
        <v>60</v>
      </c>
      <c r="M4" s="329">
        <v>60</v>
      </c>
      <c r="N4" s="329">
        <v>60</v>
      </c>
      <c r="O4" s="329">
        <v>60</v>
      </c>
      <c r="P4" s="329">
        <v>60</v>
      </c>
      <c r="Q4" s="329">
        <v>60</v>
      </c>
      <c r="R4" s="531"/>
    </row>
    <row r="5" spans="1:16384" ht="22.95" customHeight="1" x14ac:dyDescent="0.3">
      <c r="A5" s="355" t="s">
        <v>337</v>
      </c>
      <c r="B5" s="329">
        <v>78</v>
      </c>
      <c r="C5" s="329">
        <v>78</v>
      </c>
      <c r="D5" s="329">
        <v>78</v>
      </c>
      <c r="E5" s="329">
        <v>78</v>
      </c>
      <c r="F5" s="329">
        <v>78</v>
      </c>
      <c r="G5" s="329">
        <v>78</v>
      </c>
      <c r="H5" s="329">
        <v>78</v>
      </c>
      <c r="I5" s="329">
        <v>78</v>
      </c>
      <c r="J5" s="329">
        <v>78</v>
      </c>
      <c r="K5" s="329">
        <v>78</v>
      </c>
      <c r="L5" s="329">
        <v>78</v>
      </c>
      <c r="M5" s="329">
        <v>78</v>
      </c>
      <c r="N5" s="329">
        <v>78</v>
      </c>
      <c r="O5" s="329">
        <v>78</v>
      </c>
      <c r="P5" s="329">
        <v>78</v>
      </c>
      <c r="Q5" s="329">
        <v>78</v>
      </c>
      <c r="R5" s="531" t="s">
        <v>335</v>
      </c>
    </row>
    <row r="6" spans="1:16384" ht="22.95" customHeight="1" x14ac:dyDescent="0.3">
      <c r="A6" s="355" t="s">
        <v>338</v>
      </c>
      <c r="B6" s="329">
        <v>78</v>
      </c>
      <c r="C6" s="329">
        <v>78</v>
      </c>
      <c r="D6" s="329">
        <v>78</v>
      </c>
      <c r="E6" s="329">
        <v>78</v>
      </c>
      <c r="F6" s="329">
        <v>78</v>
      </c>
      <c r="G6" s="329">
        <v>78</v>
      </c>
      <c r="H6" s="329">
        <v>78</v>
      </c>
      <c r="I6" s="329">
        <v>78</v>
      </c>
      <c r="J6" s="329">
        <v>78</v>
      </c>
      <c r="K6" s="329">
        <v>78</v>
      </c>
      <c r="L6" s="329">
        <v>78</v>
      </c>
      <c r="M6" s="329">
        <v>78</v>
      </c>
      <c r="N6" s="329">
        <v>78</v>
      </c>
      <c r="O6" s="329">
        <v>78</v>
      </c>
      <c r="P6" s="329">
        <v>78</v>
      </c>
      <c r="Q6" s="329">
        <v>78</v>
      </c>
      <c r="R6" s="531"/>
    </row>
    <row r="8" spans="1:16384" ht="24" customHeight="1" x14ac:dyDescent="0.3">
      <c r="A8" s="532" t="str">
        <f>"Thermostat Setpoints - "&amp;Prototype!A2  &amp; ":Retail"</f>
        <v>Thermostat Setpoints - ApartmentMidRise :Retail</v>
      </c>
      <c r="B8" s="532"/>
      <c r="C8" s="532"/>
      <c r="D8" s="532"/>
      <c r="E8" s="532"/>
      <c r="F8" s="532"/>
      <c r="G8" s="532"/>
      <c r="H8" s="532"/>
      <c r="I8" s="532"/>
      <c r="J8" s="532"/>
      <c r="K8" s="532"/>
      <c r="L8" s="532"/>
      <c r="M8" s="532"/>
      <c r="N8" s="532"/>
      <c r="O8" s="532"/>
      <c r="P8" s="532"/>
      <c r="Q8" s="532"/>
      <c r="R8" s="532"/>
    </row>
    <row r="9" spans="1:16384" ht="21.6" customHeight="1" x14ac:dyDescent="0.3">
      <c r="A9" s="149" t="s">
        <v>333</v>
      </c>
      <c r="B9" s="333" t="s">
        <v>194</v>
      </c>
      <c r="C9" s="333" t="s">
        <v>195</v>
      </c>
      <c r="D9" s="333" t="s">
        <v>196</v>
      </c>
      <c r="E9" s="333" t="s">
        <v>197</v>
      </c>
      <c r="F9" s="333" t="s">
        <v>198</v>
      </c>
      <c r="G9" s="333" t="s">
        <v>199</v>
      </c>
      <c r="H9" s="333" t="s">
        <v>200</v>
      </c>
      <c r="I9" s="333" t="s">
        <v>201</v>
      </c>
      <c r="J9" s="333" t="s">
        <v>202</v>
      </c>
      <c r="K9" s="333" t="s">
        <v>203</v>
      </c>
      <c r="L9" s="333" t="s">
        <v>204</v>
      </c>
      <c r="M9" s="333" t="s">
        <v>205</v>
      </c>
      <c r="N9" s="333" t="s">
        <v>206</v>
      </c>
      <c r="O9" s="333" t="s">
        <v>207</v>
      </c>
      <c r="P9" s="333" t="s">
        <v>208</v>
      </c>
      <c r="Q9" s="333" t="s">
        <v>209</v>
      </c>
      <c r="R9" s="176" t="s">
        <v>268</v>
      </c>
    </row>
    <row r="10" spans="1:16384" ht="26.4" customHeight="1" x14ac:dyDescent="0.3">
      <c r="A10" s="130" t="s">
        <v>334</v>
      </c>
      <c r="B10" s="329">
        <v>70</v>
      </c>
      <c r="C10" s="329">
        <v>70</v>
      </c>
      <c r="D10" s="329">
        <v>70</v>
      </c>
      <c r="E10" s="329">
        <v>70</v>
      </c>
      <c r="F10" s="329">
        <v>70</v>
      </c>
      <c r="G10" s="329">
        <v>70</v>
      </c>
      <c r="H10" s="329">
        <v>70</v>
      </c>
      <c r="I10" s="329">
        <v>70</v>
      </c>
      <c r="J10" s="329">
        <v>70</v>
      </c>
      <c r="K10" s="329">
        <v>70</v>
      </c>
      <c r="L10" s="329">
        <v>70</v>
      </c>
      <c r="M10" s="329">
        <v>70</v>
      </c>
      <c r="N10" s="329">
        <v>70</v>
      </c>
      <c r="O10" s="329">
        <v>70</v>
      </c>
      <c r="P10" s="329">
        <v>70</v>
      </c>
      <c r="Q10" s="329">
        <v>70</v>
      </c>
      <c r="R10" s="531" t="s">
        <v>339</v>
      </c>
    </row>
    <row r="11" spans="1:16384" ht="26.4" customHeight="1" x14ac:dyDescent="0.3">
      <c r="A11" s="130" t="s">
        <v>336</v>
      </c>
      <c r="B11" s="329">
        <v>60</v>
      </c>
      <c r="C11" s="329">
        <v>60</v>
      </c>
      <c r="D11" s="329">
        <v>60</v>
      </c>
      <c r="E11" s="329">
        <v>60</v>
      </c>
      <c r="F11" s="329">
        <v>60</v>
      </c>
      <c r="G11" s="329">
        <v>60</v>
      </c>
      <c r="H11" s="329">
        <v>60</v>
      </c>
      <c r="I11" s="329">
        <v>60</v>
      </c>
      <c r="J11" s="329">
        <v>60</v>
      </c>
      <c r="K11" s="329">
        <v>60</v>
      </c>
      <c r="L11" s="329">
        <v>60</v>
      </c>
      <c r="M11" s="329">
        <v>60</v>
      </c>
      <c r="N11" s="329">
        <v>60</v>
      </c>
      <c r="O11" s="329">
        <v>60</v>
      </c>
      <c r="P11" s="329">
        <v>60</v>
      </c>
      <c r="Q11" s="329">
        <v>60</v>
      </c>
      <c r="R11" s="531"/>
    </row>
    <row r="12" spans="1:16384" ht="22.95" customHeight="1" x14ac:dyDescent="0.3">
      <c r="A12" s="130" t="s">
        <v>337</v>
      </c>
      <c r="B12" s="329">
        <v>75</v>
      </c>
      <c r="C12" s="329">
        <v>75</v>
      </c>
      <c r="D12" s="329">
        <v>75</v>
      </c>
      <c r="E12" s="329">
        <v>75</v>
      </c>
      <c r="F12" s="329">
        <v>75</v>
      </c>
      <c r="G12" s="329">
        <v>75</v>
      </c>
      <c r="H12" s="329">
        <v>75</v>
      </c>
      <c r="I12" s="329">
        <v>75</v>
      </c>
      <c r="J12" s="329">
        <v>75</v>
      </c>
      <c r="K12" s="329">
        <v>75</v>
      </c>
      <c r="L12" s="329">
        <v>75</v>
      </c>
      <c r="M12" s="329">
        <v>75</v>
      </c>
      <c r="N12" s="329">
        <v>75</v>
      </c>
      <c r="O12" s="329">
        <v>75</v>
      </c>
      <c r="P12" s="329">
        <v>75</v>
      </c>
      <c r="Q12" s="329">
        <v>75</v>
      </c>
      <c r="R12" s="531"/>
    </row>
    <row r="13" spans="1:16384" ht="22.95" customHeight="1" x14ac:dyDescent="0.3">
      <c r="A13" s="130" t="s">
        <v>338</v>
      </c>
      <c r="B13" s="329">
        <v>85</v>
      </c>
      <c r="C13" s="329">
        <v>85</v>
      </c>
      <c r="D13" s="329">
        <v>85</v>
      </c>
      <c r="E13" s="329">
        <v>85</v>
      </c>
      <c r="F13" s="329">
        <v>85</v>
      </c>
      <c r="G13" s="329">
        <v>85</v>
      </c>
      <c r="H13" s="329">
        <v>85</v>
      </c>
      <c r="I13" s="329">
        <v>85</v>
      </c>
      <c r="J13" s="329">
        <v>85</v>
      </c>
      <c r="K13" s="329">
        <v>85</v>
      </c>
      <c r="L13" s="329">
        <v>85</v>
      </c>
      <c r="M13" s="329">
        <v>85</v>
      </c>
      <c r="N13" s="329">
        <v>85</v>
      </c>
      <c r="O13" s="329">
        <v>85</v>
      </c>
      <c r="P13" s="329">
        <v>85</v>
      </c>
      <c r="Q13" s="329">
        <v>85</v>
      </c>
      <c r="R13" s="531"/>
    </row>
    <row r="14" spans="1:16384" s="281" customFormat="1" ht="22.5" customHeight="1" x14ac:dyDescent="0.25">
      <c r="A14" s="532" t="str">
        <f>"Thermostat Setpoints - "&amp;Prototype!A2&amp;": ResidentialCommon"</f>
        <v>Thermostat Setpoints - ApartmentMidRise : ResidentialCommon</v>
      </c>
      <c r="B14" s="532"/>
      <c r="C14" s="532"/>
      <c r="D14" s="532"/>
      <c r="E14" s="532"/>
      <c r="F14" s="532"/>
      <c r="G14" s="532"/>
      <c r="H14" s="532"/>
      <c r="I14" s="532"/>
      <c r="J14" s="532"/>
      <c r="K14" s="532"/>
      <c r="L14" s="532"/>
      <c r="M14" s="532"/>
      <c r="N14" s="532"/>
      <c r="O14" s="532"/>
      <c r="P14" s="532"/>
      <c r="Q14" s="532"/>
      <c r="R14" s="532"/>
      <c r="S14" s="533"/>
      <c r="T14" s="533"/>
      <c r="U14" s="533"/>
      <c r="V14" s="533"/>
      <c r="W14" s="533"/>
      <c r="X14" s="533"/>
      <c r="Y14" s="533"/>
      <c r="Z14" s="533"/>
      <c r="AA14" s="533"/>
      <c r="AB14" s="533"/>
      <c r="AC14" s="533"/>
      <c r="AD14" s="533"/>
      <c r="AE14" s="533"/>
      <c r="AF14" s="533"/>
      <c r="AG14" s="533"/>
      <c r="AH14" s="533"/>
      <c r="AI14" s="533"/>
      <c r="AJ14" s="533"/>
      <c r="AK14" s="533"/>
      <c r="AL14" s="533"/>
      <c r="AM14" s="533"/>
      <c r="AN14" s="533"/>
      <c r="AO14" s="533"/>
      <c r="AP14" s="533"/>
      <c r="AQ14" s="533"/>
      <c r="AR14" s="533"/>
      <c r="AS14" s="533"/>
      <c r="AT14" s="533"/>
      <c r="AU14" s="533"/>
      <c r="AV14" s="533"/>
      <c r="AW14" s="533"/>
      <c r="AX14" s="533"/>
      <c r="AY14" s="533"/>
      <c r="AZ14" s="533"/>
      <c r="BA14" s="533"/>
      <c r="BB14" s="533"/>
      <c r="BC14" s="533"/>
      <c r="BD14" s="533"/>
      <c r="BE14" s="533"/>
      <c r="BF14" s="533"/>
      <c r="BG14" s="533"/>
      <c r="BH14" s="533"/>
      <c r="BI14" s="533"/>
      <c r="BJ14" s="533"/>
      <c r="BK14" s="533"/>
      <c r="BL14" s="533"/>
      <c r="BM14" s="533"/>
      <c r="BN14" s="533"/>
      <c r="BO14" s="533"/>
      <c r="BP14" s="533"/>
      <c r="BQ14" s="533"/>
      <c r="BR14" s="533"/>
      <c r="BS14" s="533"/>
      <c r="BT14" s="533"/>
      <c r="BU14" s="533"/>
      <c r="BV14" s="533"/>
      <c r="BW14" s="533"/>
      <c r="BX14" s="533"/>
      <c r="BY14" s="533"/>
      <c r="BZ14" s="533"/>
      <c r="CA14" s="533"/>
      <c r="CB14" s="533"/>
      <c r="CC14" s="533"/>
      <c r="CD14" s="533"/>
      <c r="CE14" s="533"/>
      <c r="CF14" s="533"/>
      <c r="CG14" s="533"/>
      <c r="CH14" s="533"/>
      <c r="CI14" s="533"/>
      <c r="CJ14" s="533"/>
      <c r="CK14" s="533"/>
      <c r="CL14" s="533"/>
      <c r="CM14" s="533"/>
      <c r="CN14" s="533"/>
      <c r="CO14" s="533"/>
      <c r="CP14" s="533"/>
      <c r="CQ14" s="533"/>
      <c r="CR14" s="533"/>
      <c r="CS14" s="533"/>
      <c r="CT14" s="533"/>
      <c r="CU14" s="533"/>
      <c r="CV14" s="533"/>
      <c r="CW14" s="533"/>
      <c r="CX14" s="533"/>
      <c r="CY14" s="533"/>
      <c r="CZ14" s="533"/>
      <c r="DA14" s="533"/>
      <c r="DB14" s="533"/>
      <c r="DC14" s="533"/>
      <c r="DD14" s="533"/>
      <c r="DE14" s="533"/>
      <c r="DF14" s="533"/>
      <c r="DG14" s="533"/>
      <c r="DH14" s="533"/>
      <c r="DI14" s="533"/>
      <c r="DJ14" s="533"/>
      <c r="DK14" s="533"/>
      <c r="DL14" s="533"/>
      <c r="DM14" s="533"/>
      <c r="DN14" s="533"/>
      <c r="DO14" s="533"/>
      <c r="DP14" s="533"/>
      <c r="DQ14" s="533"/>
      <c r="DR14" s="533"/>
      <c r="DS14" s="533"/>
      <c r="DT14" s="533"/>
      <c r="DU14" s="533"/>
      <c r="DV14" s="533"/>
      <c r="DW14" s="533"/>
      <c r="DX14" s="533"/>
      <c r="DY14" s="533"/>
      <c r="DZ14" s="533"/>
      <c r="EA14" s="533"/>
      <c r="EB14" s="533"/>
      <c r="EC14" s="533"/>
      <c r="ED14" s="533"/>
      <c r="EE14" s="533"/>
      <c r="EF14" s="533"/>
      <c r="EG14" s="533"/>
      <c r="EH14" s="533"/>
      <c r="EI14" s="533"/>
      <c r="EJ14" s="533"/>
      <c r="EK14" s="533"/>
      <c r="EL14" s="533"/>
      <c r="EM14" s="533"/>
      <c r="EN14" s="533"/>
      <c r="EO14" s="533"/>
      <c r="EP14" s="533"/>
      <c r="EQ14" s="533"/>
      <c r="ER14" s="533"/>
      <c r="ES14" s="533"/>
      <c r="ET14" s="533"/>
      <c r="EU14" s="533"/>
      <c r="EV14" s="533"/>
      <c r="EW14" s="533"/>
      <c r="EX14" s="533"/>
      <c r="EY14" s="533"/>
      <c r="EZ14" s="533"/>
      <c r="FA14" s="533"/>
      <c r="FB14" s="533"/>
      <c r="FC14" s="533"/>
      <c r="FD14" s="533"/>
      <c r="FE14" s="533"/>
      <c r="FF14" s="533"/>
      <c r="FG14" s="533"/>
      <c r="FH14" s="533"/>
      <c r="FI14" s="533"/>
      <c r="FJ14" s="533"/>
      <c r="FK14" s="533"/>
      <c r="FL14" s="533"/>
      <c r="FM14" s="533"/>
      <c r="FN14" s="533"/>
      <c r="FO14" s="533"/>
      <c r="FP14" s="533"/>
      <c r="FQ14" s="533"/>
      <c r="FR14" s="533"/>
      <c r="FS14" s="533"/>
      <c r="FT14" s="533"/>
      <c r="FU14" s="533"/>
      <c r="FV14" s="533"/>
      <c r="FW14" s="533"/>
      <c r="FX14" s="533"/>
      <c r="FY14" s="533"/>
      <c r="FZ14" s="533"/>
      <c r="GA14" s="533"/>
      <c r="GB14" s="533"/>
      <c r="GC14" s="533"/>
      <c r="GD14" s="533"/>
      <c r="GE14" s="533"/>
      <c r="GF14" s="533"/>
      <c r="GG14" s="533"/>
      <c r="GH14" s="533"/>
      <c r="GI14" s="533"/>
      <c r="GJ14" s="533"/>
      <c r="GK14" s="533"/>
      <c r="GL14" s="533"/>
      <c r="GM14" s="533"/>
      <c r="GN14" s="533"/>
      <c r="GO14" s="533"/>
      <c r="GP14" s="533"/>
      <c r="GQ14" s="533"/>
      <c r="GR14" s="533"/>
      <c r="GS14" s="533"/>
      <c r="GT14" s="533"/>
      <c r="GU14" s="533"/>
      <c r="GV14" s="533"/>
      <c r="GW14" s="533"/>
      <c r="GX14" s="533"/>
      <c r="GY14" s="533"/>
      <c r="GZ14" s="533"/>
      <c r="HA14" s="533"/>
      <c r="HB14" s="533"/>
      <c r="HC14" s="533"/>
      <c r="HD14" s="533"/>
      <c r="HE14" s="533"/>
      <c r="HF14" s="533"/>
      <c r="HG14" s="533"/>
      <c r="HH14" s="533"/>
      <c r="HI14" s="533"/>
      <c r="HJ14" s="533"/>
      <c r="HK14" s="533"/>
      <c r="HL14" s="533"/>
      <c r="HM14" s="533"/>
      <c r="HN14" s="533"/>
      <c r="HO14" s="533"/>
      <c r="HP14" s="533"/>
      <c r="HQ14" s="533"/>
      <c r="HR14" s="533"/>
      <c r="HS14" s="533"/>
      <c r="HT14" s="533"/>
      <c r="HU14" s="533"/>
      <c r="HV14" s="533"/>
      <c r="HW14" s="533"/>
      <c r="HX14" s="533"/>
      <c r="HY14" s="533"/>
      <c r="HZ14" s="533"/>
      <c r="IA14" s="533"/>
      <c r="IB14" s="533"/>
      <c r="IC14" s="533"/>
      <c r="ID14" s="533"/>
      <c r="IE14" s="533"/>
      <c r="IF14" s="533"/>
      <c r="IG14" s="533"/>
      <c r="IH14" s="533"/>
      <c r="II14" s="533"/>
      <c r="IJ14" s="533"/>
      <c r="IK14" s="533"/>
      <c r="IL14" s="533"/>
      <c r="IM14" s="533"/>
      <c r="IN14" s="533"/>
      <c r="IO14" s="533"/>
      <c r="IP14" s="533"/>
      <c r="IQ14" s="533"/>
      <c r="IR14" s="533"/>
      <c r="IS14" s="533"/>
      <c r="IT14" s="533"/>
      <c r="IU14" s="533"/>
      <c r="IV14" s="533"/>
      <c r="IW14" s="533"/>
      <c r="IX14" s="533"/>
      <c r="IY14" s="533"/>
      <c r="IZ14" s="533"/>
      <c r="JA14" s="533"/>
      <c r="JB14" s="533"/>
      <c r="JC14" s="533"/>
      <c r="JD14" s="533"/>
      <c r="JE14" s="533"/>
      <c r="JF14" s="533"/>
      <c r="JG14" s="533"/>
      <c r="JH14" s="533"/>
      <c r="JI14" s="533"/>
      <c r="JJ14" s="533"/>
      <c r="JK14" s="533"/>
      <c r="JL14" s="533"/>
      <c r="JM14" s="533"/>
      <c r="JN14" s="533"/>
      <c r="JO14" s="533"/>
      <c r="JP14" s="533"/>
      <c r="JQ14" s="533"/>
      <c r="JR14" s="533"/>
      <c r="JS14" s="533"/>
      <c r="JT14" s="533"/>
      <c r="JU14" s="533"/>
      <c r="JV14" s="533"/>
      <c r="JW14" s="533"/>
      <c r="JX14" s="533"/>
      <c r="JY14" s="533"/>
      <c r="JZ14" s="533"/>
      <c r="KA14" s="533"/>
      <c r="KB14" s="533"/>
      <c r="KC14" s="533"/>
      <c r="KD14" s="533"/>
      <c r="KE14" s="533"/>
      <c r="KF14" s="533"/>
      <c r="KG14" s="533"/>
      <c r="KH14" s="533"/>
      <c r="KI14" s="533"/>
      <c r="KJ14" s="533"/>
      <c r="KK14" s="533"/>
      <c r="KL14" s="533"/>
      <c r="KM14" s="533"/>
      <c r="KN14" s="533"/>
      <c r="KO14" s="533"/>
      <c r="KP14" s="533"/>
      <c r="KQ14" s="533"/>
      <c r="KR14" s="533"/>
      <c r="KS14" s="533"/>
      <c r="KT14" s="533"/>
      <c r="KU14" s="533"/>
      <c r="KV14" s="533"/>
      <c r="KW14" s="533"/>
      <c r="KX14" s="533"/>
      <c r="KY14" s="533"/>
      <c r="KZ14" s="533"/>
      <c r="LA14" s="533"/>
      <c r="LB14" s="533"/>
      <c r="LC14" s="533"/>
      <c r="LD14" s="533"/>
      <c r="LE14" s="533"/>
      <c r="LF14" s="533"/>
      <c r="LG14" s="533"/>
      <c r="LH14" s="533"/>
      <c r="LI14" s="533"/>
      <c r="LJ14" s="533"/>
      <c r="LK14" s="533"/>
      <c r="LL14" s="533"/>
      <c r="LM14" s="533"/>
      <c r="LN14" s="533"/>
      <c r="LO14" s="533"/>
      <c r="LP14" s="533"/>
      <c r="LQ14" s="533"/>
      <c r="LR14" s="533"/>
      <c r="LS14" s="533"/>
      <c r="LT14" s="533"/>
      <c r="LU14" s="533"/>
      <c r="LV14" s="533"/>
      <c r="LW14" s="533"/>
      <c r="LX14" s="533"/>
      <c r="LY14" s="533"/>
      <c r="LZ14" s="533"/>
      <c r="MA14" s="533"/>
      <c r="MB14" s="533"/>
      <c r="MC14" s="533"/>
      <c r="MD14" s="533"/>
      <c r="ME14" s="533"/>
      <c r="MF14" s="533"/>
      <c r="MG14" s="533"/>
      <c r="MH14" s="533"/>
      <c r="MI14" s="533"/>
      <c r="MJ14" s="533"/>
      <c r="MK14" s="533"/>
      <c r="ML14" s="533"/>
      <c r="MM14" s="533"/>
      <c r="MN14" s="533"/>
      <c r="MO14" s="533"/>
      <c r="MP14" s="533"/>
      <c r="MQ14" s="533"/>
      <c r="MR14" s="533"/>
      <c r="MS14" s="533"/>
      <c r="MT14" s="533"/>
      <c r="MU14" s="533"/>
      <c r="MV14" s="533"/>
      <c r="MW14" s="533"/>
      <c r="MX14" s="533"/>
      <c r="MY14" s="533"/>
      <c r="MZ14" s="533"/>
      <c r="NA14" s="533"/>
      <c r="NB14" s="533"/>
      <c r="NC14" s="533"/>
      <c r="ND14" s="533"/>
      <c r="NE14" s="533"/>
      <c r="NF14" s="533"/>
      <c r="NG14" s="533"/>
      <c r="NH14" s="533"/>
      <c r="NI14" s="533"/>
      <c r="NJ14" s="533"/>
      <c r="NK14" s="533"/>
      <c r="NL14" s="533"/>
      <c r="NM14" s="533"/>
      <c r="NN14" s="533"/>
      <c r="NO14" s="533"/>
      <c r="NP14" s="533"/>
      <c r="NQ14" s="533"/>
      <c r="NR14" s="533"/>
      <c r="NS14" s="533"/>
      <c r="NT14" s="533"/>
      <c r="NU14" s="533"/>
      <c r="NV14" s="533"/>
      <c r="NW14" s="533"/>
      <c r="NX14" s="533"/>
      <c r="NY14" s="533"/>
      <c r="NZ14" s="533"/>
      <c r="OA14" s="533"/>
      <c r="OB14" s="533"/>
      <c r="OC14" s="533"/>
      <c r="OD14" s="533"/>
      <c r="OE14" s="533"/>
      <c r="OF14" s="533"/>
      <c r="OG14" s="533"/>
      <c r="OH14" s="533"/>
      <c r="OI14" s="533"/>
      <c r="OJ14" s="533"/>
      <c r="OK14" s="533"/>
      <c r="OL14" s="533"/>
      <c r="OM14" s="533"/>
      <c r="ON14" s="533"/>
      <c r="OO14" s="533"/>
      <c r="OP14" s="533"/>
      <c r="OQ14" s="533"/>
      <c r="OR14" s="533"/>
      <c r="OS14" s="533"/>
      <c r="OT14" s="533"/>
      <c r="OU14" s="533"/>
      <c r="OV14" s="533"/>
      <c r="OW14" s="533"/>
      <c r="OX14" s="533"/>
      <c r="OY14" s="533"/>
      <c r="OZ14" s="533"/>
      <c r="PA14" s="533"/>
      <c r="PB14" s="533"/>
      <c r="PC14" s="533"/>
      <c r="PD14" s="533"/>
      <c r="PE14" s="533"/>
      <c r="PF14" s="533"/>
      <c r="PG14" s="533"/>
      <c r="PH14" s="533"/>
      <c r="PI14" s="533"/>
      <c r="PJ14" s="533"/>
      <c r="PK14" s="533"/>
      <c r="PL14" s="533"/>
      <c r="PM14" s="533"/>
      <c r="PN14" s="533"/>
      <c r="PO14" s="533"/>
      <c r="PP14" s="533"/>
      <c r="PQ14" s="533"/>
      <c r="PR14" s="533"/>
      <c r="PS14" s="533"/>
      <c r="PT14" s="533"/>
      <c r="PU14" s="533"/>
      <c r="PV14" s="533"/>
      <c r="PW14" s="533"/>
      <c r="PX14" s="533"/>
      <c r="PY14" s="533"/>
      <c r="PZ14" s="533"/>
      <c r="QA14" s="533"/>
      <c r="QB14" s="533"/>
      <c r="QC14" s="533"/>
      <c r="QD14" s="533"/>
      <c r="QE14" s="533"/>
      <c r="QF14" s="533"/>
      <c r="QG14" s="533"/>
      <c r="QH14" s="533"/>
      <c r="QI14" s="533"/>
      <c r="QJ14" s="533"/>
      <c r="QK14" s="533"/>
      <c r="QL14" s="533"/>
      <c r="QM14" s="533"/>
      <c r="QN14" s="533"/>
      <c r="QO14" s="533"/>
      <c r="QP14" s="533"/>
      <c r="QQ14" s="533"/>
      <c r="QR14" s="533"/>
      <c r="QS14" s="533"/>
      <c r="QT14" s="533"/>
      <c r="QU14" s="533"/>
      <c r="QV14" s="533"/>
      <c r="QW14" s="533"/>
      <c r="QX14" s="533"/>
      <c r="QY14" s="533"/>
      <c r="QZ14" s="533"/>
      <c r="RA14" s="533"/>
      <c r="RB14" s="533"/>
      <c r="RC14" s="533"/>
      <c r="RD14" s="533"/>
      <c r="RE14" s="533"/>
      <c r="RF14" s="533"/>
      <c r="RG14" s="533"/>
      <c r="RH14" s="533"/>
      <c r="RI14" s="533"/>
      <c r="RJ14" s="533"/>
      <c r="RK14" s="533"/>
      <c r="RL14" s="533"/>
      <c r="RM14" s="533"/>
      <c r="RN14" s="533"/>
      <c r="RO14" s="533"/>
      <c r="RP14" s="533"/>
      <c r="RQ14" s="533"/>
      <c r="RR14" s="533"/>
      <c r="RS14" s="533"/>
      <c r="RT14" s="533"/>
      <c r="RU14" s="533"/>
      <c r="RV14" s="533"/>
      <c r="RW14" s="533"/>
      <c r="RX14" s="533"/>
      <c r="RY14" s="533"/>
      <c r="RZ14" s="533"/>
      <c r="SA14" s="533"/>
      <c r="SB14" s="533"/>
      <c r="SC14" s="533"/>
      <c r="SD14" s="533"/>
      <c r="SE14" s="533"/>
      <c r="SF14" s="533"/>
      <c r="SG14" s="533"/>
      <c r="SH14" s="533"/>
      <c r="SI14" s="533"/>
      <c r="SJ14" s="533"/>
      <c r="SK14" s="533"/>
      <c r="SL14" s="533"/>
      <c r="SM14" s="533"/>
      <c r="SN14" s="533"/>
      <c r="SO14" s="533"/>
      <c r="SP14" s="533"/>
      <c r="SQ14" s="533"/>
      <c r="SR14" s="533"/>
      <c r="SS14" s="533"/>
      <c r="ST14" s="533"/>
      <c r="SU14" s="533"/>
      <c r="SV14" s="533"/>
      <c r="SW14" s="533"/>
      <c r="SX14" s="533"/>
      <c r="SY14" s="533"/>
      <c r="SZ14" s="533"/>
      <c r="TA14" s="533"/>
      <c r="TB14" s="533"/>
      <c r="TC14" s="533"/>
      <c r="TD14" s="533"/>
      <c r="TE14" s="533"/>
      <c r="TF14" s="533"/>
      <c r="TG14" s="533"/>
      <c r="TH14" s="533"/>
      <c r="TI14" s="533"/>
      <c r="TJ14" s="533"/>
      <c r="TK14" s="533"/>
      <c r="TL14" s="533"/>
      <c r="TM14" s="533"/>
      <c r="TN14" s="533"/>
      <c r="TO14" s="533"/>
      <c r="TP14" s="533"/>
      <c r="TQ14" s="533"/>
      <c r="TR14" s="533"/>
      <c r="TS14" s="533"/>
      <c r="TT14" s="533"/>
      <c r="TU14" s="533"/>
      <c r="TV14" s="533"/>
      <c r="TW14" s="533"/>
      <c r="TX14" s="533"/>
      <c r="TY14" s="533"/>
      <c r="TZ14" s="533"/>
      <c r="UA14" s="533"/>
      <c r="UB14" s="533"/>
      <c r="UC14" s="533"/>
      <c r="UD14" s="533"/>
      <c r="UE14" s="533"/>
      <c r="UF14" s="533"/>
      <c r="UG14" s="533"/>
      <c r="UH14" s="533"/>
      <c r="UI14" s="533"/>
      <c r="UJ14" s="533"/>
      <c r="UK14" s="533"/>
      <c r="UL14" s="533"/>
      <c r="UM14" s="533"/>
      <c r="UN14" s="533"/>
      <c r="UO14" s="533"/>
      <c r="UP14" s="533"/>
      <c r="UQ14" s="533"/>
      <c r="UR14" s="533"/>
      <c r="US14" s="533"/>
      <c r="UT14" s="533"/>
      <c r="UU14" s="533"/>
      <c r="UV14" s="533"/>
      <c r="UW14" s="533"/>
      <c r="UX14" s="533"/>
      <c r="UY14" s="533"/>
      <c r="UZ14" s="533"/>
      <c r="VA14" s="533"/>
      <c r="VB14" s="533"/>
      <c r="VC14" s="533"/>
      <c r="VD14" s="533"/>
      <c r="VE14" s="533"/>
      <c r="VF14" s="533"/>
      <c r="VG14" s="533"/>
      <c r="VH14" s="533"/>
      <c r="VI14" s="533"/>
      <c r="VJ14" s="533"/>
      <c r="VK14" s="533"/>
      <c r="VL14" s="533"/>
      <c r="VM14" s="533"/>
      <c r="VN14" s="533"/>
      <c r="VO14" s="533"/>
      <c r="VP14" s="533"/>
      <c r="VQ14" s="533"/>
      <c r="VR14" s="533"/>
      <c r="VS14" s="533"/>
      <c r="VT14" s="533"/>
      <c r="VU14" s="533"/>
      <c r="VV14" s="533"/>
      <c r="VW14" s="533"/>
      <c r="VX14" s="533"/>
      <c r="VY14" s="533"/>
      <c r="VZ14" s="533"/>
      <c r="WA14" s="533"/>
      <c r="WB14" s="533"/>
      <c r="WC14" s="533"/>
      <c r="WD14" s="533"/>
      <c r="WE14" s="533"/>
      <c r="WF14" s="533"/>
      <c r="WG14" s="533"/>
      <c r="WH14" s="533"/>
      <c r="WI14" s="533"/>
      <c r="WJ14" s="533"/>
      <c r="WK14" s="533"/>
      <c r="WL14" s="533"/>
      <c r="WM14" s="533"/>
      <c r="WN14" s="533"/>
      <c r="WO14" s="533"/>
      <c r="WP14" s="533"/>
      <c r="WQ14" s="533"/>
      <c r="WR14" s="533"/>
      <c r="WS14" s="533"/>
      <c r="WT14" s="533"/>
      <c r="WU14" s="533"/>
      <c r="WV14" s="533"/>
      <c r="WW14" s="533"/>
      <c r="WX14" s="533"/>
      <c r="WY14" s="533"/>
      <c r="WZ14" s="533"/>
      <c r="XA14" s="533"/>
      <c r="XB14" s="533"/>
      <c r="XC14" s="533"/>
      <c r="XD14" s="533"/>
      <c r="XE14" s="533"/>
      <c r="XF14" s="533"/>
      <c r="XG14" s="533"/>
      <c r="XH14" s="533"/>
      <c r="XI14" s="533"/>
      <c r="XJ14" s="533"/>
      <c r="XK14" s="533"/>
      <c r="XL14" s="533"/>
      <c r="XM14" s="533"/>
      <c r="XN14" s="533"/>
      <c r="XO14" s="533"/>
      <c r="XP14" s="533"/>
      <c r="XQ14" s="533"/>
      <c r="XR14" s="533"/>
      <c r="XS14" s="533"/>
      <c r="XT14" s="533"/>
      <c r="XU14" s="533"/>
      <c r="XV14" s="533"/>
      <c r="XW14" s="533"/>
      <c r="XX14" s="533"/>
      <c r="XY14" s="533"/>
      <c r="XZ14" s="533"/>
      <c r="YA14" s="533"/>
      <c r="YB14" s="533"/>
      <c r="YC14" s="533"/>
      <c r="YD14" s="533"/>
      <c r="YE14" s="533"/>
      <c r="YF14" s="533"/>
      <c r="YG14" s="533"/>
      <c r="YH14" s="533"/>
      <c r="YI14" s="533"/>
      <c r="YJ14" s="533"/>
      <c r="YK14" s="533"/>
      <c r="YL14" s="533"/>
      <c r="YM14" s="533"/>
      <c r="YN14" s="533"/>
      <c r="YO14" s="533"/>
      <c r="YP14" s="533"/>
      <c r="YQ14" s="533"/>
      <c r="YR14" s="533"/>
      <c r="YS14" s="533"/>
      <c r="YT14" s="533"/>
      <c r="YU14" s="533"/>
      <c r="YV14" s="533"/>
      <c r="YW14" s="533"/>
      <c r="YX14" s="533"/>
      <c r="YY14" s="533"/>
      <c r="YZ14" s="533"/>
      <c r="ZA14" s="533"/>
      <c r="ZB14" s="533"/>
      <c r="ZC14" s="533"/>
      <c r="ZD14" s="533"/>
      <c r="ZE14" s="533"/>
      <c r="ZF14" s="533"/>
      <c r="ZG14" s="533"/>
      <c r="ZH14" s="533"/>
      <c r="ZI14" s="533"/>
      <c r="ZJ14" s="533"/>
      <c r="ZK14" s="533"/>
      <c r="ZL14" s="533"/>
      <c r="ZM14" s="533"/>
      <c r="ZN14" s="533"/>
      <c r="ZO14" s="533"/>
      <c r="ZP14" s="533"/>
      <c r="ZQ14" s="533"/>
      <c r="ZR14" s="533"/>
      <c r="ZS14" s="533"/>
      <c r="ZT14" s="533"/>
      <c r="ZU14" s="533"/>
      <c r="ZV14" s="533"/>
      <c r="ZW14" s="533"/>
      <c r="ZX14" s="533"/>
      <c r="ZY14" s="533"/>
      <c r="ZZ14" s="533"/>
      <c r="AAA14" s="533"/>
      <c r="AAB14" s="533"/>
      <c r="AAC14" s="533"/>
      <c r="AAD14" s="533"/>
      <c r="AAE14" s="533"/>
      <c r="AAF14" s="533"/>
      <c r="AAG14" s="533"/>
      <c r="AAH14" s="533"/>
      <c r="AAI14" s="533"/>
      <c r="AAJ14" s="533"/>
      <c r="AAK14" s="533"/>
      <c r="AAL14" s="533"/>
      <c r="AAM14" s="533"/>
      <c r="AAN14" s="533"/>
      <c r="AAO14" s="533"/>
      <c r="AAP14" s="533"/>
      <c r="AAQ14" s="533"/>
      <c r="AAR14" s="533"/>
      <c r="AAS14" s="533"/>
      <c r="AAT14" s="533"/>
      <c r="AAU14" s="533"/>
      <c r="AAV14" s="533"/>
      <c r="AAW14" s="533"/>
      <c r="AAX14" s="533"/>
      <c r="AAY14" s="533"/>
      <c r="AAZ14" s="533"/>
      <c r="ABA14" s="533"/>
      <c r="ABB14" s="533"/>
      <c r="ABC14" s="533"/>
      <c r="ABD14" s="533"/>
      <c r="ABE14" s="533"/>
      <c r="ABF14" s="533"/>
      <c r="ABG14" s="533"/>
      <c r="ABH14" s="533"/>
      <c r="ABI14" s="533"/>
      <c r="ABJ14" s="533"/>
      <c r="ABK14" s="533"/>
      <c r="ABL14" s="533"/>
      <c r="ABM14" s="533"/>
      <c r="ABN14" s="533"/>
      <c r="ABO14" s="533"/>
      <c r="ABP14" s="533"/>
      <c r="ABQ14" s="533"/>
      <c r="ABR14" s="533"/>
      <c r="ABS14" s="533"/>
      <c r="ABT14" s="533"/>
      <c r="ABU14" s="533"/>
      <c r="ABV14" s="533"/>
      <c r="ABW14" s="533"/>
      <c r="ABX14" s="533"/>
      <c r="ABY14" s="533"/>
      <c r="ABZ14" s="533"/>
      <c r="ACA14" s="533"/>
      <c r="ACB14" s="533"/>
      <c r="ACC14" s="533"/>
      <c r="ACD14" s="533"/>
      <c r="ACE14" s="533"/>
      <c r="ACF14" s="533"/>
      <c r="ACG14" s="533"/>
      <c r="ACH14" s="533"/>
      <c r="ACI14" s="533"/>
      <c r="ACJ14" s="533"/>
      <c r="ACK14" s="533"/>
      <c r="ACL14" s="533"/>
      <c r="ACM14" s="533"/>
      <c r="ACN14" s="533"/>
      <c r="ACO14" s="533"/>
      <c r="ACP14" s="533"/>
      <c r="ACQ14" s="533"/>
      <c r="ACR14" s="533"/>
      <c r="ACS14" s="533"/>
      <c r="ACT14" s="533"/>
      <c r="ACU14" s="533"/>
      <c r="ACV14" s="533"/>
      <c r="ACW14" s="533"/>
      <c r="ACX14" s="533"/>
      <c r="ACY14" s="533"/>
      <c r="ACZ14" s="533"/>
      <c r="ADA14" s="533"/>
      <c r="ADB14" s="533"/>
      <c r="ADC14" s="533"/>
      <c r="ADD14" s="533"/>
      <c r="ADE14" s="533"/>
      <c r="ADF14" s="533"/>
      <c r="ADG14" s="533"/>
      <c r="ADH14" s="533"/>
      <c r="ADI14" s="533"/>
      <c r="ADJ14" s="533"/>
      <c r="ADK14" s="533"/>
      <c r="ADL14" s="533"/>
      <c r="ADM14" s="533"/>
      <c r="ADN14" s="533"/>
      <c r="ADO14" s="533"/>
      <c r="ADP14" s="533"/>
      <c r="ADQ14" s="533"/>
      <c r="ADR14" s="533"/>
      <c r="ADS14" s="533"/>
      <c r="ADT14" s="533"/>
      <c r="ADU14" s="533"/>
      <c r="ADV14" s="533"/>
      <c r="ADW14" s="533"/>
      <c r="ADX14" s="533"/>
      <c r="ADY14" s="533"/>
      <c r="ADZ14" s="533"/>
      <c r="AEA14" s="533"/>
      <c r="AEB14" s="533"/>
      <c r="AEC14" s="533"/>
      <c r="AED14" s="533"/>
      <c r="AEE14" s="533"/>
      <c r="AEF14" s="533"/>
      <c r="AEG14" s="533"/>
      <c r="AEH14" s="533"/>
      <c r="AEI14" s="533"/>
      <c r="AEJ14" s="533"/>
      <c r="AEK14" s="533"/>
      <c r="AEL14" s="533"/>
      <c r="AEM14" s="533"/>
      <c r="AEN14" s="533"/>
      <c r="AEO14" s="533"/>
      <c r="AEP14" s="533"/>
      <c r="AEQ14" s="533"/>
      <c r="AER14" s="533"/>
      <c r="AES14" s="533"/>
      <c r="AET14" s="533"/>
      <c r="AEU14" s="533"/>
      <c r="AEV14" s="533"/>
      <c r="AEW14" s="533"/>
      <c r="AEX14" s="533"/>
      <c r="AEY14" s="533"/>
      <c r="AEZ14" s="533"/>
      <c r="AFA14" s="533"/>
      <c r="AFB14" s="533"/>
      <c r="AFC14" s="533"/>
      <c r="AFD14" s="533"/>
      <c r="AFE14" s="533"/>
      <c r="AFF14" s="533"/>
      <c r="AFG14" s="533"/>
      <c r="AFH14" s="533"/>
      <c r="AFI14" s="533"/>
      <c r="AFJ14" s="533"/>
      <c r="AFK14" s="533"/>
      <c r="AFL14" s="533"/>
      <c r="AFM14" s="533"/>
      <c r="AFN14" s="533"/>
      <c r="AFO14" s="533"/>
      <c r="AFP14" s="533"/>
      <c r="AFQ14" s="533"/>
      <c r="AFR14" s="533"/>
      <c r="AFS14" s="533"/>
      <c r="AFT14" s="533"/>
      <c r="AFU14" s="533"/>
      <c r="AFV14" s="533"/>
      <c r="AFW14" s="533"/>
      <c r="AFX14" s="533"/>
      <c r="AFY14" s="533"/>
      <c r="AFZ14" s="533"/>
      <c r="AGA14" s="533"/>
      <c r="AGB14" s="533"/>
      <c r="AGC14" s="533"/>
      <c r="AGD14" s="533"/>
      <c r="AGE14" s="533"/>
      <c r="AGF14" s="533"/>
      <c r="AGG14" s="533"/>
      <c r="AGH14" s="533"/>
      <c r="AGI14" s="533"/>
      <c r="AGJ14" s="533"/>
      <c r="AGK14" s="533"/>
      <c r="AGL14" s="533"/>
      <c r="AGM14" s="533"/>
      <c r="AGN14" s="533"/>
      <c r="AGO14" s="533"/>
      <c r="AGP14" s="533"/>
      <c r="AGQ14" s="533"/>
      <c r="AGR14" s="533"/>
      <c r="AGS14" s="533"/>
      <c r="AGT14" s="533"/>
      <c r="AGU14" s="533"/>
      <c r="AGV14" s="533"/>
      <c r="AGW14" s="533"/>
      <c r="AGX14" s="533"/>
      <c r="AGY14" s="533"/>
      <c r="AGZ14" s="533"/>
      <c r="AHA14" s="533"/>
      <c r="AHB14" s="533"/>
      <c r="AHC14" s="533"/>
      <c r="AHD14" s="533"/>
      <c r="AHE14" s="533"/>
      <c r="AHF14" s="533"/>
      <c r="AHG14" s="533"/>
      <c r="AHH14" s="533"/>
      <c r="AHI14" s="533"/>
      <c r="AHJ14" s="533"/>
      <c r="AHK14" s="533"/>
      <c r="AHL14" s="533"/>
      <c r="AHM14" s="533"/>
      <c r="AHN14" s="533"/>
      <c r="AHO14" s="533"/>
      <c r="AHP14" s="533"/>
      <c r="AHQ14" s="533"/>
      <c r="AHR14" s="533"/>
      <c r="AHS14" s="533"/>
      <c r="AHT14" s="533"/>
      <c r="AHU14" s="533"/>
      <c r="AHV14" s="533"/>
      <c r="AHW14" s="533"/>
      <c r="AHX14" s="533"/>
      <c r="AHY14" s="533"/>
      <c r="AHZ14" s="533"/>
      <c r="AIA14" s="533"/>
      <c r="AIB14" s="533"/>
      <c r="AIC14" s="533"/>
      <c r="AID14" s="533"/>
      <c r="AIE14" s="533"/>
      <c r="AIF14" s="533"/>
      <c r="AIG14" s="533"/>
      <c r="AIH14" s="533"/>
      <c r="AII14" s="533"/>
      <c r="AIJ14" s="533"/>
      <c r="AIK14" s="533"/>
      <c r="AIL14" s="533"/>
      <c r="AIM14" s="533"/>
      <c r="AIN14" s="533"/>
      <c r="AIO14" s="533"/>
      <c r="AIP14" s="533"/>
      <c r="AIQ14" s="533"/>
      <c r="AIR14" s="533"/>
      <c r="AIS14" s="533"/>
      <c r="AIT14" s="533"/>
      <c r="AIU14" s="533"/>
      <c r="AIV14" s="533"/>
      <c r="AIW14" s="533"/>
      <c r="AIX14" s="533"/>
      <c r="AIY14" s="533"/>
      <c r="AIZ14" s="533"/>
      <c r="AJA14" s="533"/>
      <c r="AJB14" s="533"/>
      <c r="AJC14" s="533"/>
      <c r="AJD14" s="533"/>
      <c r="AJE14" s="533"/>
      <c r="AJF14" s="533"/>
      <c r="AJG14" s="533"/>
      <c r="AJH14" s="533"/>
      <c r="AJI14" s="533"/>
      <c r="AJJ14" s="533"/>
      <c r="AJK14" s="533"/>
      <c r="AJL14" s="533"/>
      <c r="AJM14" s="533"/>
      <c r="AJN14" s="533"/>
      <c r="AJO14" s="533"/>
      <c r="AJP14" s="533"/>
      <c r="AJQ14" s="533"/>
      <c r="AJR14" s="533"/>
      <c r="AJS14" s="533"/>
      <c r="AJT14" s="533"/>
      <c r="AJU14" s="533"/>
      <c r="AJV14" s="533"/>
      <c r="AJW14" s="533"/>
      <c r="AJX14" s="533"/>
      <c r="AJY14" s="533"/>
      <c r="AJZ14" s="533"/>
      <c r="AKA14" s="533"/>
      <c r="AKB14" s="533"/>
      <c r="AKC14" s="533"/>
      <c r="AKD14" s="533"/>
      <c r="AKE14" s="533"/>
      <c r="AKF14" s="533"/>
      <c r="AKG14" s="533"/>
      <c r="AKH14" s="533"/>
      <c r="AKI14" s="533"/>
      <c r="AKJ14" s="533"/>
      <c r="AKK14" s="533"/>
      <c r="AKL14" s="533"/>
      <c r="AKM14" s="533"/>
      <c r="AKN14" s="533"/>
      <c r="AKO14" s="533"/>
      <c r="AKP14" s="533"/>
      <c r="AKQ14" s="533"/>
      <c r="AKR14" s="533"/>
      <c r="AKS14" s="533"/>
      <c r="AKT14" s="533"/>
      <c r="AKU14" s="533"/>
      <c r="AKV14" s="533"/>
      <c r="AKW14" s="533"/>
      <c r="AKX14" s="533"/>
      <c r="AKY14" s="533"/>
      <c r="AKZ14" s="533"/>
      <c r="ALA14" s="533"/>
      <c r="ALB14" s="533"/>
      <c r="ALC14" s="533"/>
      <c r="ALD14" s="533"/>
      <c r="ALE14" s="533"/>
      <c r="ALF14" s="533"/>
      <c r="ALG14" s="533"/>
      <c r="ALH14" s="533"/>
      <c r="ALI14" s="533"/>
      <c r="ALJ14" s="533"/>
      <c r="ALK14" s="533"/>
      <c r="ALL14" s="533"/>
      <c r="ALM14" s="533"/>
      <c r="ALN14" s="533"/>
      <c r="ALO14" s="533"/>
      <c r="ALP14" s="533"/>
      <c r="ALQ14" s="533"/>
      <c r="ALR14" s="533"/>
      <c r="ALS14" s="533"/>
      <c r="ALT14" s="533"/>
      <c r="ALU14" s="533"/>
      <c r="ALV14" s="533"/>
      <c r="ALW14" s="533"/>
      <c r="ALX14" s="533"/>
      <c r="ALY14" s="533"/>
      <c r="ALZ14" s="533"/>
      <c r="AMA14" s="533"/>
      <c r="AMB14" s="533"/>
      <c r="AMC14" s="533"/>
      <c r="AMD14" s="533"/>
      <c r="AME14" s="533"/>
      <c r="AMF14" s="533"/>
      <c r="AMG14" s="533"/>
      <c r="AMH14" s="533"/>
      <c r="AMI14" s="533"/>
      <c r="AMJ14" s="533"/>
      <c r="AMK14" s="533"/>
      <c r="AML14" s="533"/>
      <c r="AMM14" s="533"/>
      <c r="AMN14" s="533"/>
      <c r="AMO14" s="533"/>
      <c r="AMP14" s="533"/>
      <c r="AMQ14" s="533"/>
      <c r="AMR14" s="533"/>
      <c r="AMS14" s="533"/>
      <c r="AMT14" s="533"/>
      <c r="AMU14" s="533"/>
      <c r="AMV14" s="533"/>
      <c r="AMW14" s="533"/>
      <c r="AMX14" s="533"/>
      <c r="AMY14" s="533"/>
      <c r="AMZ14" s="533"/>
      <c r="ANA14" s="533"/>
      <c r="ANB14" s="533"/>
      <c r="ANC14" s="533"/>
      <c r="AND14" s="533"/>
      <c r="ANE14" s="533"/>
      <c r="ANF14" s="533"/>
      <c r="ANG14" s="533"/>
      <c r="ANH14" s="533"/>
      <c r="ANI14" s="533"/>
      <c r="ANJ14" s="533"/>
      <c r="ANK14" s="533"/>
      <c r="ANL14" s="533"/>
      <c r="ANM14" s="533"/>
      <c r="ANN14" s="533"/>
      <c r="ANO14" s="533"/>
      <c r="ANP14" s="533"/>
      <c r="ANQ14" s="533"/>
      <c r="ANR14" s="533"/>
      <c r="ANS14" s="533"/>
      <c r="ANT14" s="533"/>
      <c r="ANU14" s="533"/>
      <c r="ANV14" s="533"/>
      <c r="ANW14" s="533"/>
      <c r="ANX14" s="533"/>
      <c r="ANY14" s="533"/>
      <c r="ANZ14" s="533"/>
      <c r="AOA14" s="533"/>
      <c r="AOB14" s="533"/>
      <c r="AOC14" s="533"/>
      <c r="AOD14" s="533"/>
      <c r="AOE14" s="533"/>
      <c r="AOF14" s="533"/>
      <c r="AOG14" s="533"/>
      <c r="AOH14" s="533"/>
      <c r="AOI14" s="533"/>
      <c r="AOJ14" s="533"/>
      <c r="AOK14" s="533"/>
      <c r="AOL14" s="533"/>
      <c r="AOM14" s="533"/>
      <c r="AON14" s="533"/>
      <c r="AOO14" s="533"/>
      <c r="AOP14" s="533"/>
      <c r="AOQ14" s="533"/>
      <c r="AOR14" s="533"/>
      <c r="AOS14" s="533"/>
      <c r="AOT14" s="533"/>
      <c r="AOU14" s="533"/>
      <c r="AOV14" s="533"/>
      <c r="AOW14" s="533"/>
      <c r="AOX14" s="533"/>
      <c r="AOY14" s="533"/>
      <c r="AOZ14" s="533"/>
      <c r="APA14" s="533"/>
      <c r="APB14" s="533"/>
      <c r="APC14" s="533"/>
      <c r="APD14" s="533"/>
      <c r="APE14" s="533"/>
      <c r="APF14" s="533"/>
      <c r="APG14" s="533"/>
      <c r="APH14" s="533"/>
      <c r="API14" s="533"/>
      <c r="APJ14" s="533"/>
      <c r="APK14" s="533"/>
      <c r="APL14" s="533"/>
      <c r="APM14" s="533"/>
      <c r="APN14" s="533"/>
      <c r="APO14" s="533"/>
      <c r="APP14" s="533"/>
      <c r="APQ14" s="533"/>
      <c r="APR14" s="533"/>
      <c r="APS14" s="533"/>
      <c r="APT14" s="533"/>
      <c r="APU14" s="533"/>
      <c r="APV14" s="533"/>
      <c r="APW14" s="533"/>
      <c r="APX14" s="533"/>
      <c r="APY14" s="533"/>
      <c r="APZ14" s="533"/>
      <c r="AQA14" s="533"/>
      <c r="AQB14" s="533"/>
      <c r="AQC14" s="533"/>
      <c r="AQD14" s="533"/>
      <c r="AQE14" s="533"/>
      <c r="AQF14" s="533"/>
      <c r="AQG14" s="533"/>
      <c r="AQH14" s="533"/>
      <c r="AQI14" s="533"/>
      <c r="AQJ14" s="533"/>
      <c r="AQK14" s="533"/>
      <c r="AQL14" s="533"/>
      <c r="AQM14" s="533"/>
      <c r="AQN14" s="533"/>
      <c r="AQO14" s="533"/>
      <c r="AQP14" s="533"/>
      <c r="AQQ14" s="533"/>
      <c r="AQR14" s="533"/>
      <c r="AQS14" s="533"/>
      <c r="AQT14" s="533"/>
      <c r="AQU14" s="533"/>
      <c r="AQV14" s="533"/>
      <c r="AQW14" s="533"/>
      <c r="AQX14" s="533"/>
      <c r="AQY14" s="533"/>
      <c r="AQZ14" s="533"/>
      <c r="ARA14" s="533"/>
      <c r="ARB14" s="533"/>
      <c r="ARC14" s="533"/>
      <c r="ARD14" s="533"/>
      <c r="ARE14" s="533"/>
      <c r="ARF14" s="533"/>
      <c r="ARG14" s="533"/>
      <c r="ARH14" s="533"/>
      <c r="ARI14" s="533"/>
      <c r="ARJ14" s="533"/>
      <c r="ARK14" s="533"/>
      <c r="ARL14" s="533"/>
      <c r="ARM14" s="533"/>
      <c r="ARN14" s="533"/>
      <c r="ARO14" s="533"/>
      <c r="ARP14" s="533"/>
      <c r="ARQ14" s="533"/>
      <c r="ARR14" s="533"/>
      <c r="ARS14" s="533"/>
      <c r="ART14" s="533"/>
      <c r="ARU14" s="533"/>
      <c r="ARV14" s="533"/>
      <c r="ARW14" s="533"/>
      <c r="ARX14" s="533"/>
      <c r="ARY14" s="533"/>
      <c r="ARZ14" s="533"/>
      <c r="ASA14" s="533"/>
      <c r="ASB14" s="533"/>
      <c r="ASC14" s="533"/>
      <c r="ASD14" s="533"/>
      <c r="ASE14" s="533"/>
      <c r="ASF14" s="533"/>
      <c r="ASG14" s="533"/>
      <c r="ASH14" s="533"/>
      <c r="ASI14" s="533"/>
      <c r="ASJ14" s="533"/>
      <c r="ASK14" s="533"/>
      <c r="ASL14" s="533"/>
      <c r="ASM14" s="533"/>
      <c r="ASN14" s="533"/>
      <c r="ASO14" s="533"/>
      <c r="ASP14" s="533"/>
      <c r="ASQ14" s="533"/>
      <c r="ASR14" s="533"/>
      <c r="ASS14" s="533"/>
      <c r="AST14" s="533"/>
      <c r="ASU14" s="533"/>
      <c r="ASV14" s="533"/>
      <c r="ASW14" s="533"/>
      <c r="ASX14" s="533"/>
      <c r="ASY14" s="533"/>
      <c r="ASZ14" s="533"/>
      <c r="ATA14" s="533"/>
      <c r="ATB14" s="533"/>
      <c r="ATC14" s="533"/>
      <c r="ATD14" s="533"/>
      <c r="ATE14" s="533"/>
      <c r="ATF14" s="533"/>
      <c r="ATG14" s="533"/>
      <c r="ATH14" s="533"/>
      <c r="ATI14" s="533"/>
      <c r="ATJ14" s="533"/>
      <c r="ATK14" s="533"/>
      <c r="ATL14" s="533"/>
      <c r="ATM14" s="533"/>
      <c r="ATN14" s="533"/>
      <c r="ATO14" s="533"/>
      <c r="ATP14" s="533"/>
      <c r="ATQ14" s="533"/>
      <c r="ATR14" s="533"/>
      <c r="ATS14" s="533"/>
      <c r="ATT14" s="533"/>
      <c r="ATU14" s="533"/>
      <c r="ATV14" s="533"/>
      <c r="ATW14" s="533"/>
      <c r="ATX14" s="533"/>
      <c r="ATY14" s="533"/>
      <c r="ATZ14" s="533"/>
      <c r="AUA14" s="533"/>
      <c r="AUB14" s="533"/>
      <c r="AUC14" s="533"/>
      <c r="AUD14" s="533"/>
      <c r="AUE14" s="533"/>
      <c r="AUF14" s="533"/>
      <c r="AUG14" s="533"/>
      <c r="AUH14" s="533"/>
      <c r="AUI14" s="533"/>
      <c r="AUJ14" s="533"/>
      <c r="AUK14" s="533"/>
      <c r="AUL14" s="533"/>
      <c r="AUM14" s="533"/>
      <c r="AUN14" s="533"/>
      <c r="AUO14" s="533"/>
      <c r="AUP14" s="533"/>
      <c r="AUQ14" s="533"/>
      <c r="AUR14" s="533"/>
      <c r="AUS14" s="533"/>
      <c r="AUT14" s="533"/>
      <c r="AUU14" s="533"/>
      <c r="AUV14" s="533"/>
      <c r="AUW14" s="533"/>
      <c r="AUX14" s="533"/>
      <c r="AUY14" s="533"/>
      <c r="AUZ14" s="533"/>
      <c r="AVA14" s="533"/>
      <c r="AVB14" s="533"/>
      <c r="AVC14" s="533"/>
      <c r="AVD14" s="533"/>
      <c r="AVE14" s="533"/>
      <c r="AVF14" s="533"/>
      <c r="AVG14" s="533"/>
      <c r="AVH14" s="533"/>
      <c r="AVI14" s="533"/>
      <c r="AVJ14" s="533"/>
      <c r="AVK14" s="533"/>
      <c r="AVL14" s="533"/>
      <c r="AVM14" s="533"/>
      <c r="AVN14" s="533"/>
      <c r="AVO14" s="533"/>
      <c r="AVP14" s="533"/>
      <c r="AVQ14" s="533"/>
      <c r="AVR14" s="533"/>
      <c r="AVS14" s="533"/>
      <c r="AVT14" s="533"/>
      <c r="AVU14" s="533"/>
      <c r="AVV14" s="533"/>
      <c r="AVW14" s="533"/>
      <c r="AVX14" s="533"/>
      <c r="AVY14" s="533"/>
      <c r="AVZ14" s="533"/>
      <c r="AWA14" s="533"/>
      <c r="AWB14" s="533"/>
      <c r="AWC14" s="533"/>
      <c r="AWD14" s="533"/>
      <c r="AWE14" s="533"/>
      <c r="AWF14" s="533"/>
      <c r="AWG14" s="533"/>
      <c r="AWH14" s="533"/>
      <c r="AWI14" s="533"/>
      <c r="AWJ14" s="533"/>
      <c r="AWK14" s="533"/>
      <c r="AWL14" s="533"/>
      <c r="AWM14" s="533"/>
      <c r="AWN14" s="533"/>
      <c r="AWO14" s="533"/>
      <c r="AWP14" s="533"/>
      <c r="AWQ14" s="533"/>
      <c r="AWR14" s="533"/>
      <c r="AWS14" s="533"/>
      <c r="AWT14" s="533"/>
      <c r="AWU14" s="533"/>
      <c r="AWV14" s="533"/>
      <c r="AWW14" s="533"/>
      <c r="AWX14" s="533"/>
      <c r="AWY14" s="533"/>
      <c r="AWZ14" s="533"/>
      <c r="AXA14" s="533"/>
      <c r="AXB14" s="533"/>
      <c r="AXC14" s="533"/>
      <c r="AXD14" s="533"/>
      <c r="AXE14" s="533"/>
      <c r="AXF14" s="533"/>
      <c r="AXG14" s="533"/>
      <c r="AXH14" s="533"/>
      <c r="AXI14" s="533"/>
      <c r="AXJ14" s="533"/>
      <c r="AXK14" s="533"/>
      <c r="AXL14" s="533"/>
      <c r="AXM14" s="533"/>
      <c r="AXN14" s="533"/>
      <c r="AXO14" s="533"/>
      <c r="AXP14" s="533"/>
      <c r="AXQ14" s="533"/>
      <c r="AXR14" s="533"/>
      <c r="AXS14" s="533"/>
      <c r="AXT14" s="533"/>
      <c r="AXU14" s="533"/>
      <c r="AXV14" s="533"/>
      <c r="AXW14" s="533"/>
      <c r="AXX14" s="533"/>
      <c r="AXY14" s="533"/>
      <c r="AXZ14" s="533"/>
      <c r="AYA14" s="533"/>
      <c r="AYB14" s="533"/>
      <c r="AYC14" s="533"/>
      <c r="AYD14" s="533"/>
      <c r="AYE14" s="533"/>
      <c r="AYF14" s="533"/>
      <c r="AYG14" s="533"/>
      <c r="AYH14" s="533"/>
      <c r="AYI14" s="533"/>
      <c r="AYJ14" s="533"/>
      <c r="AYK14" s="533"/>
      <c r="AYL14" s="533"/>
      <c r="AYM14" s="533"/>
      <c r="AYN14" s="533"/>
      <c r="AYO14" s="533"/>
      <c r="AYP14" s="533"/>
      <c r="AYQ14" s="533"/>
      <c r="AYR14" s="533"/>
      <c r="AYS14" s="533"/>
      <c r="AYT14" s="533"/>
      <c r="AYU14" s="533"/>
      <c r="AYV14" s="533"/>
      <c r="AYW14" s="533"/>
      <c r="AYX14" s="533"/>
      <c r="AYY14" s="533"/>
      <c r="AYZ14" s="533"/>
      <c r="AZA14" s="533"/>
      <c r="AZB14" s="533"/>
      <c r="AZC14" s="533"/>
      <c r="AZD14" s="533"/>
      <c r="AZE14" s="533"/>
      <c r="AZF14" s="533"/>
      <c r="AZG14" s="533"/>
      <c r="AZH14" s="533"/>
      <c r="AZI14" s="533"/>
      <c r="AZJ14" s="533"/>
      <c r="AZK14" s="533"/>
      <c r="AZL14" s="533"/>
      <c r="AZM14" s="533"/>
      <c r="AZN14" s="533"/>
      <c r="AZO14" s="533"/>
      <c r="AZP14" s="533"/>
      <c r="AZQ14" s="533"/>
      <c r="AZR14" s="533"/>
      <c r="AZS14" s="533"/>
      <c r="AZT14" s="533"/>
      <c r="AZU14" s="533"/>
      <c r="AZV14" s="533"/>
      <c r="AZW14" s="533"/>
      <c r="AZX14" s="533"/>
      <c r="AZY14" s="533"/>
      <c r="AZZ14" s="533"/>
      <c r="BAA14" s="533"/>
      <c r="BAB14" s="533"/>
      <c r="BAC14" s="533"/>
      <c r="BAD14" s="533"/>
      <c r="BAE14" s="533"/>
      <c r="BAF14" s="533"/>
      <c r="BAG14" s="533"/>
      <c r="BAH14" s="533"/>
      <c r="BAI14" s="533"/>
      <c r="BAJ14" s="533"/>
      <c r="BAK14" s="533"/>
      <c r="BAL14" s="533"/>
      <c r="BAM14" s="533"/>
      <c r="BAN14" s="533"/>
      <c r="BAO14" s="533"/>
      <c r="BAP14" s="533"/>
      <c r="BAQ14" s="533"/>
      <c r="BAR14" s="533"/>
      <c r="BAS14" s="533"/>
      <c r="BAT14" s="533"/>
      <c r="BAU14" s="533"/>
      <c r="BAV14" s="533"/>
      <c r="BAW14" s="533"/>
      <c r="BAX14" s="533"/>
      <c r="BAY14" s="533"/>
      <c r="BAZ14" s="533"/>
      <c r="BBA14" s="533"/>
      <c r="BBB14" s="533"/>
      <c r="BBC14" s="533"/>
      <c r="BBD14" s="533"/>
      <c r="BBE14" s="533"/>
      <c r="BBF14" s="533"/>
      <c r="BBG14" s="533"/>
      <c r="BBH14" s="533"/>
      <c r="BBI14" s="533"/>
      <c r="BBJ14" s="533"/>
      <c r="BBK14" s="533"/>
      <c r="BBL14" s="533"/>
      <c r="BBM14" s="533"/>
      <c r="BBN14" s="533"/>
      <c r="BBO14" s="533"/>
      <c r="BBP14" s="533"/>
      <c r="BBQ14" s="533"/>
      <c r="BBR14" s="533"/>
      <c r="BBS14" s="533"/>
      <c r="BBT14" s="533"/>
      <c r="BBU14" s="533"/>
      <c r="BBV14" s="533"/>
      <c r="BBW14" s="533"/>
      <c r="BBX14" s="533"/>
      <c r="BBY14" s="533"/>
      <c r="BBZ14" s="533"/>
      <c r="BCA14" s="533"/>
      <c r="BCB14" s="533"/>
      <c r="BCC14" s="533"/>
      <c r="BCD14" s="533"/>
      <c r="BCE14" s="533"/>
      <c r="BCF14" s="533"/>
      <c r="BCG14" s="533"/>
      <c r="BCH14" s="533"/>
      <c r="BCI14" s="533"/>
      <c r="BCJ14" s="533"/>
      <c r="BCK14" s="533"/>
      <c r="BCL14" s="533"/>
      <c r="BCM14" s="533"/>
      <c r="BCN14" s="533"/>
      <c r="BCO14" s="533"/>
      <c r="BCP14" s="533"/>
      <c r="BCQ14" s="533"/>
      <c r="BCR14" s="533"/>
      <c r="BCS14" s="533"/>
      <c r="BCT14" s="533"/>
      <c r="BCU14" s="533"/>
      <c r="BCV14" s="533"/>
      <c r="BCW14" s="533"/>
      <c r="BCX14" s="533"/>
      <c r="BCY14" s="533"/>
      <c r="BCZ14" s="533"/>
      <c r="BDA14" s="533"/>
      <c r="BDB14" s="533"/>
      <c r="BDC14" s="533"/>
      <c r="BDD14" s="533"/>
      <c r="BDE14" s="533"/>
      <c r="BDF14" s="533"/>
      <c r="BDG14" s="533"/>
      <c r="BDH14" s="533"/>
      <c r="BDI14" s="533"/>
      <c r="BDJ14" s="533"/>
      <c r="BDK14" s="533"/>
      <c r="BDL14" s="533"/>
      <c r="BDM14" s="533"/>
      <c r="BDN14" s="533"/>
      <c r="BDO14" s="533"/>
      <c r="BDP14" s="533"/>
      <c r="BDQ14" s="533"/>
      <c r="BDR14" s="533"/>
      <c r="BDS14" s="533"/>
      <c r="BDT14" s="533"/>
      <c r="BDU14" s="533"/>
      <c r="BDV14" s="533"/>
      <c r="BDW14" s="533"/>
      <c r="BDX14" s="533"/>
      <c r="BDY14" s="533"/>
      <c r="BDZ14" s="533"/>
      <c r="BEA14" s="533"/>
      <c r="BEB14" s="533"/>
      <c r="BEC14" s="533"/>
      <c r="BED14" s="533"/>
      <c r="BEE14" s="533"/>
      <c r="BEF14" s="533"/>
      <c r="BEG14" s="533"/>
      <c r="BEH14" s="533"/>
      <c r="BEI14" s="533"/>
      <c r="BEJ14" s="533"/>
      <c r="BEK14" s="533"/>
      <c r="BEL14" s="533"/>
      <c r="BEM14" s="533"/>
      <c r="BEN14" s="533"/>
      <c r="BEO14" s="533"/>
      <c r="BEP14" s="533"/>
      <c r="BEQ14" s="533"/>
      <c r="BER14" s="533"/>
      <c r="BES14" s="533"/>
      <c r="BET14" s="533"/>
      <c r="BEU14" s="533"/>
      <c r="BEV14" s="533"/>
      <c r="BEW14" s="533"/>
      <c r="BEX14" s="533"/>
      <c r="BEY14" s="533"/>
      <c r="BEZ14" s="533"/>
      <c r="BFA14" s="533"/>
      <c r="BFB14" s="533"/>
      <c r="BFC14" s="533"/>
      <c r="BFD14" s="533"/>
      <c r="BFE14" s="533"/>
      <c r="BFF14" s="533"/>
      <c r="BFG14" s="533"/>
      <c r="BFH14" s="533"/>
      <c r="BFI14" s="533"/>
      <c r="BFJ14" s="533"/>
      <c r="BFK14" s="533"/>
      <c r="BFL14" s="533"/>
      <c r="BFM14" s="533"/>
      <c r="BFN14" s="533"/>
      <c r="BFO14" s="533"/>
      <c r="BFP14" s="533"/>
      <c r="BFQ14" s="533"/>
      <c r="BFR14" s="533"/>
      <c r="BFS14" s="533"/>
      <c r="BFT14" s="533"/>
      <c r="BFU14" s="533"/>
      <c r="BFV14" s="533"/>
      <c r="BFW14" s="533"/>
      <c r="BFX14" s="533"/>
      <c r="BFY14" s="533"/>
      <c r="BFZ14" s="533"/>
      <c r="BGA14" s="533"/>
      <c r="BGB14" s="533"/>
      <c r="BGC14" s="533"/>
      <c r="BGD14" s="533"/>
      <c r="BGE14" s="533"/>
      <c r="BGF14" s="533"/>
      <c r="BGG14" s="533"/>
      <c r="BGH14" s="533"/>
      <c r="BGI14" s="533"/>
      <c r="BGJ14" s="533"/>
      <c r="BGK14" s="533"/>
      <c r="BGL14" s="533"/>
      <c r="BGM14" s="533"/>
      <c r="BGN14" s="533"/>
      <c r="BGO14" s="533"/>
      <c r="BGP14" s="533"/>
      <c r="BGQ14" s="533"/>
      <c r="BGR14" s="533"/>
      <c r="BGS14" s="533"/>
      <c r="BGT14" s="533"/>
      <c r="BGU14" s="533"/>
      <c r="BGV14" s="533"/>
      <c r="BGW14" s="533"/>
      <c r="BGX14" s="533"/>
      <c r="BGY14" s="533"/>
      <c r="BGZ14" s="533"/>
      <c r="BHA14" s="533"/>
      <c r="BHB14" s="533"/>
      <c r="BHC14" s="533"/>
      <c r="BHD14" s="533"/>
      <c r="BHE14" s="533"/>
      <c r="BHF14" s="533"/>
      <c r="BHG14" s="533"/>
      <c r="BHH14" s="533"/>
      <c r="BHI14" s="533"/>
      <c r="BHJ14" s="533"/>
      <c r="BHK14" s="533"/>
      <c r="BHL14" s="533"/>
      <c r="BHM14" s="533"/>
      <c r="BHN14" s="533"/>
      <c r="BHO14" s="533"/>
      <c r="BHP14" s="533"/>
      <c r="BHQ14" s="533"/>
      <c r="BHR14" s="533"/>
      <c r="BHS14" s="533"/>
      <c r="BHT14" s="533"/>
      <c r="BHU14" s="533"/>
      <c r="BHV14" s="533"/>
      <c r="BHW14" s="533"/>
      <c r="BHX14" s="533"/>
      <c r="BHY14" s="533"/>
      <c r="BHZ14" s="533"/>
      <c r="BIA14" s="533"/>
      <c r="BIB14" s="533"/>
      <c r="BIC14" s="533"/>
      <c r="BID14" s="533"/>
      <c r="BIE14" s="533"/>
      <c r="BIF14" s="533"/>
      <c r="BIG14" s="533"/>
      <c r="BIH14" s="533"/>
      <c r="BII14" s="533"/>
      <c r="BIJ14" s="533"/>
      <c r="BIK14" s="533"/>
      <c r="BIL14" s="533"/>
      <c r="BIM14" s="533"/>
      <c r="BIN14" s="533"/>
      <c r="BIO14" s="533"/>
      <c r="BIP14" s="533"/>
      <c r="BIQ14" s="533"/>
      <c r="BIR14" s="533"/>
      <c r="BIS14" s="533"/>
      <c r="BIT14" s="533"/>
      <c r="BIU14" s="533"/>
      <c r="BIV14" s="533"/>
      <c r="BIW14" s="533"/>
      <c r="BIX14" s="533"/>
      <c r="BIY14" s="533"/>
      <c r="BIZ14" s="533"/>
      <c r="BJA14" s="533"/>
      <c r="BJB14" s="533"/>
      <c r="BJC14" s="533"/>
      <c r="BJD14" s="533"/>
      <c r="BJE14" s="533"/>
      <c r="BJF14" s="533"/>
      <c r="BJG14" s="533"/>
      <c r="BJH14" s="533"/>
      <c r="BJI14" s="533"/>
      <c r="BJJ14" s="533"/>
      <c r="BJK14" s="533"/>
      <c r="BJL14" s="533"/>
      <c r="BJM14" s="533"/>
      <c r="BJN14" s="533"/>
      <c r="BJO14" s="533"/>
      <c r="BJP14" s="533"/>
      <c r="BJQ14" s="533"/>
      <c r="BJR14" s="533"/>
      <c r="BJS14" s="533"/>
      <c r="BJT14" s="533"/>
      <c r="BJU14" s="533"/>
      <c r="BJV14" s="533"/>
      <c r="BJW14" s="533"/>
      <c r="BJX14" s="533"/>
      <c r="BJY14" s="533"/>
      <c r="BJZ14" s="533"/>
      <c r="BKA14" s="533"/>
      <c r="BKB14" s="533"/>
      <c r="BKC14" s="533"/>
      <c r="BKD14" s="533"/>
      <c r="BKE14" s="533"/>
      <c r="BKF14" s="533"/>
      <c r="BKG14" s="533"/>
      <c r="BKH14" s="533"/>
      <c r="BKI14" s="533"/>
      <c r="BKJ14" s="533"/>
      <c r="BKK14" s="533"/>
      <c r="BKL14" s="533"/>
      <c r="BKM14" s="533"/>
      <c r="BKN14" s="533"/>
      <c r="BKO14" s="533"/>
      <c r="BKP14" s="533"/>
      <c r="BKQ14" s="533"/>
      <c r="BKR14" s="533"/>
      <c r="BKS14" s="533"/>
      <c r="BKT14" s="533"/>
      <c r="BKU14" s="533"/>
      <c r="BKV14" s="533"/>
      <c r="BKW14" s="533"/>
      <c r="BKX14" s="533"/>
      <c r="BKY14" s="533"/>
      <c r="BKZ14" s="533"/>
      <c r="BLA14" s="533"/>
      <c r="BLB14" s="533"/>
      <c r="BLC14" s="533"/>
      <c r="BLD14" s="533"/>
      <c r="BLE14" s="533"/>
      <c r="BLF14" s="533"/>
      <c r="BLG14" s="533"/>
      <c r="BLH14" s="533"/>
      <c r="BLI14" s="533"/>
      <c r="BLJ14" s="533"/>
      <c r="BLK14" s="533"/>
      <c r="BLL14" s="533"/>
      <c r="BLM14" s="533"/>
      <c r="BLN14" s="533"/>
      <c r="BLO14" s="533"/>
      <c r="BLP14" s="533"/>
      <c r="BLQ14" s="533"/>
      <c r="BLR14" s="533"/>
      <c r="BLS14" s="533"/>
      <c r="BLT14" s="533"/>
      <c r="BLU14" s="533"/>
      <c r="BLV14" s="533"/>
      <c r="BLW14" s="533"/>
      <c r="BLX14" s="533"/>
      <c r="BLY14" s="533"/>
      <c r="BLZ14" s="533"/>
      <c r="BMA14" s="533"/>
      <c r="BMB14" s="533"/>
      <c r="BMC14" s="533"/>
      <c r="BMD14" s="533"/>
      <c r="BME14" s="533"/>
      <c r="BMF14" s="533"/>
      <c r="BMG14" s="533"/>
      <c r="BMH14" s="533"/>
      <c r="BMI14" s="533"/>
      <c r="BMJ14" s="533"/>
      <c r="BMK14" s="533"/>
      <c r="BML14" s="533"/>
      <c r="BMM14" s="533"/>
      <c r="BMN14" s="533"/>
      <c r="BMO14" s="533"/>
      <c r="BMP14" s="533"/>
      <c r="BMQ14" s="533"/>
      <c r="BMR14" s="533"/>
      <c r="BMS14" s="533"/>
      <c r="BMT14" s="533"/>
      <c r="BMU14" s="533"/>
      <c r="BMV14" s="533"/>
      <c r="BMW14" s="533"/>
      <c r="BMX14" s="533"/>
      <c r="BMY14" s="533"/>
      <c r="BMZ14" s="533"/>
      <c r="BNA14" s="533"/>
      <c r="BNB14" s="533"/>
      <c r="BNC14" s="533"/>
      <c r="BND14" s="533"/>
      <c r="BNE14" s="533"/>
      <c r="BNF14" s="533"/>
      <c r="BNG14" s="533"/>
      <c r="BNH14" s="533"/>
      <c r="BNI14" s="533"/>
      <c r="BNJ14" s="533"/>
      <c r="BNK14" s="533"/>
      <c r="BNL14" s="533"/>
      <c r="BNM14" s="533"/>
      <c r="BNN14" s="533"/>
      <c r="BNO14" s="533"/>
      <c r="BNP14" s="533"/>
      <c r="BNQ14" s="533"/>
      <c r="BNR14" s="533"/>
      <c r="BNS14" s="533"/>
      <c r="BNT14" s="533"/>
      <c r="BNU14" s="533"/>
      <c r="BNV14" s="533"/>
      <c r="BNW14" s="533"/>
      <c r="BNX14" s="533"/>
      <c r="BNY14" s="533"/>
      <c r="BNZ14" s="533"/>
      <c r="BOA14" s="533"/>
      <c r="BOB14" s="533"/>
      <c r="BOC14" s="533"/>
      <c r="BOD14" s="533"/>
      <c r="BOE14" s="533"/>
      <c r="BOF14" s="533"/>
      <c r="BOG14" s="533"/>
      <c r="BOH14" s="533"/>
      <c r="BOI14" s="533"/>
      <c r="BOJ14" s="533"/>
      <c r="BOK14" s="533"/>
      <c r="BOL14" s="533"/>
      <c r="BOM14" s="533"/>
      <c r="BON14" s="533"/>
      <c r="BOO14" s="533"/>
      <c r="BOP14" s="533"/>
      <c r="BOQ14" s="533"/>
      <c r="BOR14" s="533"/>
      <c r="BOS14" s="533"/>
      <c r="BOT14" s="533"/>
      <c r="BOU14" s="533"/>
      <c r="BOV14" s="533"/>
      <c r="BOW14" s="533"/>
      <c r="BOX14" s="533"/>
      <c r="BOY14" s="533"/>
      <c r="BOZ14" s="533"/>
      <c r="BPA14" s="533"/>
      <c r="BPB14" s="533"/>
      <c r="BPC14" s="533"/>
      <c r="BPD14" s="533"/>
      <c r="BPE14" s="533"/>
      <c r="BPF14" s="533"/>
      <c r="BPG14" s="533"/>
      <c r="BPH14" s="533"/>
      <c r="BPI14" s="533"/>
      <c r="BPJ14" s="533"/>
      <c r="BPK14" s="533"/>
      <c r="BPL14" s="533"/>
      <c r="BPM14" s="533"/>
      <c r="BPN14" s="533"/>
      <c r="BPO14" s="533"/>
      <c r="BPP14" s="533"/>
      <c r="BPQ14" s="533"/>
      <c r="BPR14" s="533"/>
      <c r="BPS14" s="533"/>
      <c r="BPT14" s="533"/>
      <c r="BPU14" s="533"/>
      <c r="BPV14" s="533"/>
      <c r="BPW14" s="533"/>
      <c r="BPX14" s="533"/>
      <c r="BPY14" s="533"/>
      <c r="BPZ14" s="533"/>
      <c r="BQA14" s="533"/>
      <c r="BQB14" s="533"/>
      <c r="BQC14" s="533"/>
      <c r="BQD14" s="533"/>
      <c r="BQE14" s="533"/>
      <c r="BQF14" s="533"/>
      <c r="BQG14" s="533"/>
      <c r="BQH14" s="533"/>
      <c r="BQI14" s="533"/>
      <c r="BQJ14" s="533"/>
      <c r="BQK14" s="533"/>
      <c r="BQL14" s="533"/>
      <c r="BQM14" s="533"/>
      <c r="BQN14" s="533"/>
      <c r="BQO14" s="533"/>
      <c r="BQP14" s="533"/>
      <c r="BQQ14" s="533"/>
      <c r="BQR14" s="533"/>
      <c r="BQS14" s="533"/>
      <c r="BQT14" s="533"/>
      <c r="BQU14" s="533"/>
      <c r="BQV14" s="533"/>
      <c r="BQW14" s="533"/>
      <c r="BQX14" s="533"/>
      <c r="BQY14" s="533"/>
      <c r="BQZ14" s="533"/>
      <c r="BRA14" s="533"/>
      <c r="BRB14" s="533"/>
      <c r="BRC14" s="533"/>
      <c r="BRD14" s="533"/>
      <c r="BRE14" s="533"/>
      <c r="BRF14" s="533"/>
      <c r="BRG14" s="533"/>
      <c r="BRH14" s="533"/>
      <c r="BRI14" s="533"/>
      <c r="BRJ14" s="533"/>
      <c r="BRK14" s="533"/>
      <c r="BRL14" s="533"/>
      <c r="BRM14" s="533"/>
      <c r="BRN14" s="533"/>
      <c r="BRO14" s="533"/>
      <c r="BRP14" s="533"/>
      <c r="BRQ14" s="533"/>
      <c r="BRR14" s="533"/>
      <c r="BRS14" s="533"/>
      <c r="BRT14" s="533"/>
      <c r="BRU14" s="533"/>
      <c r="BRV14" s="533"/>
      <c r="BRW14" s="533"/>
      <c r="BRX14" s="533"/>
      <c r="BRY14" s="533"/>
      <c r="BRZ14" s="533"/>
      <c r="BSA14" s="533"/>
      <c r="BSB14" s="533"/>
      <c r="BSC14" s="533"/>
      <c r="BSD14" s="533"/>
      <c r="BSE14" s="533"/>
      <c r="BSF14" s="533"/>
      <c r="BSG14" s="533"/>
      <c r="BSH14" s="533"/>
      <c r="BSI14" s="533"/>
      <c r="BSJ14" s="533"/>
      <c r="BSK14" s="533"/>
      <c r="BSL14" s="533"/>
      <c r="BSM14" s="533"/>
      <c r="BSN14" s="533"/>
      <c r="BSO14" s="533"/>
      <c r="BSP14" s="533"/>
      <c r="BSQ14" s="533"/>
      <c r="BSR14" s="533"/>
      <c r="BSS14" s="533"/>
      <c r="BST14" s="533"/>
      <c r="BSU14" s="533"/>
      <c r="BSV14" s="533"/>
      <c r="BSW14" s="533"/>
      <c r="BSX14" s="533"/>
      <c r="BSY14" s="533"/>
      <c r="BSZ14" s="533"/>
      <c r="BTA14" s="533"/>
      <c r="BTB14" s="533"/>
      <c r="BTC14" s="533"/>
      <c r="BTD14" s="533"/>
      <c r="BTE14" s="533"/>
      <c r="BTF14" s="533"/>
      <c r="BTG14" s="533"/>
      <c r="BTH14" s="533"/>
      <c r="BTI14" s="533"/>
      <c r="BTJ14" s="533"/>
      <c r="BTK14" s="533"/>
      <c r="BTL14" s="533"/>
      <c r="BTM14" s="533"/>
      <c r="BTN14" s="533"/>
      <c r="BTO14" s="533"/>
      <c r="BTP14" s="533"/>
      <c r="BTQ14" s="533"/>
      <c r="BTR14" s="533"/>
      <c r="BTS14" s="533"/>
      <c r="BTT14" s="533"/>
      <c r="BTU14" s="533"/>
      <c r="BTV14" s="533"/>
      <c r="BTW14" s="533"/>
      <c r="BTX14" s="533"/>
      <c r="BTY14" s="533"/>
      <c r="BTZ14" s="533"/>
      <c r="BUA14" s="533"/>
      <c r="BUB14" s="533"/>
      <c r="BUC14" s="533"/>
      <c r="BUD14" s="533"/>
      <c r="BUE14" s="533"/>
      <c r="BUF14" s="533"/>
      <c r="BUG14" s="533"/>
      <c r="BUH14" s="533"/>
      <c r="BUI14" s="533"/>
      <c r="BUJ14" s="533"/>
      <c r="BUK14" s="533"/>
      <c r="BUL14" s="533"/>
      <c r="BUM14" s="533"/>
      <c r="BUN14" s="533"/>
      <c r="BUO14" s="533"/>
      <c r="BUP14" s="533"/>
      <c r="BUQ14" s="533"/>
      <c r="BUR14" s="533"/>
      <c r="BUS14" s="533"/>
      <c r="BUT14" s="533"/>
      <c r="BUU14" s="533"/>
      <c r="BUV14" s="533"/>
      <c r="BUW14" s="533"/>
      <c r="BUX14" s="533"/>
      <c r="BUY14" s="533"/>
      <c r="BUZ14" s="533"/>
      <c r="BVA14" s="533"/>
      <c r="BVB14" s="533"/>
      <c r="BVC14" s="533"/>
      <c r="BVD14" s="533"/>
      <c r="BVE14" s="533"/>
      <c r="BVF14" s="533"/>
      <c r="BVG14" s="533"/>
      <c r="BVH14" s="533"/>
      <c r="BVI14" s="533"/>
      <c r="BVJ14" s="533"/>
      <c r="BVK14" s="533"/>
      <c r="BVL14" s="533"/>
      <c r="BVM14" s="533"/>
      <c r="BVN14" s="533"/>
      <c r="BVO14" s="533"/>
      <c r="BVP14" s="533"/>
      <c r="BVQ14" s="533"/>
      <c r="BVR14" s="533"/>
      <c r="BVS14" s="533"/>
      <c r="BVT14" s="533"/>
      <c r="BVU14" s="533"/>
      <c r="BVV14" s="533"/>
      <c r="BVW14" s="533"/>
      <c r="BVX14" s="533"/>
      <c r="BVY14" s="533"/>
      <c r="BVZ14" s="533"/>
      <c r="BWA14" s="533"/>
      <c r="BWB14" s="533"/>
      <c r="BWC14" s="533"/>
      <c r="BWD14" s="533"/>
      <c r="BWE14" s="533"/>
      <c r="BWF14" s="533"/>
      <c r="BWG14" s="533"/>
      <c r="BWH14" s="533"/>
      <c r="BWI14" s="533"/>
      <c r="BWJ14" s="533"/>
      <c r="BWK14" s="533"/>
      <c r="BWL14" s="533"/>
      <c r="BWM14" s="533"/>
      <c r="BWN14" s="533"/>
      <c r="BWO14" s="533"/>
      <c r="BWP14" s="533"/>
      <c r="BWQ14" s="533"/>
      <c r="BWR14" s="533"/>
      <c r="BWS14" s="533"/>
      <c r="BWT14" s="533"/>
      <c r="BWU14" s="533"/>
      <c r="BWV14" s="533"/>
      <c r="BWW14" s="533"/>
      <c r="BWX14" s="533"/>
      <c r="BWY14" s="533"/>
      <c r="BWZ14" s="533"/>
      <c r="BXA14" s="533"/>
      <c r="BXB14" s="533"/>
      <c r="BXC14" s="533"/>
      <c r="BXD14" s="533"/>
      <c r="BXE14" s="533"/>
      <c r="BXF14" s="533"/>
      <c r="BXG14" s="533"/>
      <c r="BXH14" s="533"/>
      <c r="BXI14" s="533"/>
      <c r="BXJ14" s="533"/>
      <c r="BXK14" s="533"/>
      <c r="BXL14" s="533"/>
      <c r="BXM14" s="533"/>
      <c r="BXN14" s="533"/>
      <c r="BXO14" s="533"/>
      <c r="BXP14" s="533"/>
      <c r="BXQ14" s="533"/>
      <c r="BXR14" s="533"/>
      <c r="BXS14" s="533"/>
      <c r="BXT14" s="533"/>
      <c r="BXU14" s="533"/>
      <c r="BXV14" s="533"/>
      <c r="BXW14" s="533"/>
      <c r="BXX14" s="533"/>
      <c r="BXY14" s="533"/>
      <c r="BXZ14" s="533"/>
      <c r="BYA14" s="533"/>
      <c r="BYB14" s="533"/>
      <c r="BYC14" s="533"/>
      <c r="BYD14" s="533"/>
      <c r="BYE14" s="533"/>
      <c r="BYF14" s="533"/>
      <c r="BYG14" s="533"/>
      <c r="BYH14" s="533"/>
      <c r="BYI14" s="533"/>
      <c r="BYJ14" s="533"/>
      <c r="BYK14" s="533"/>
      <c r="BYL14" s="533"/>
      <c r="BYM14" s="533"/>
      <c r="BYN14" s="533"/>
      <c r="BYO14" s="533"/>
      <c r="BYP14" s="533"/>
      <c r="BYQ14" s="533"/>
      <c r="BYR14" s="533"/>
      <c r="BYS14" s="533"/>
      <c r="BYT14" s="533"/>
      <c r="BYU14" s="533"/>
      <c r="BYV14" s="533"/>
      <c r="BYW14" s="533"/>
      <c r="BYX14" s="533"/>
      <c r="BYY14" s="533"/>
      <c r="BYZ14" s="533"/>
      <c r="BZA14" s="533"/>
      <c r="BZB14" s="533"/>
      <c r="BZC14" s="533"/>
      <c r="BZD14" s="533"/>
      <c r="BZE14" s="533"/>
      <c r="BZF14" s="533"/>
      <c r="BZG14" s="533"/>
      <c r="BZH14" s="533"/>
      <c r="BZI14" s="533"/>
      <c r="BZJ14" s="533"/>
      <c r="BZK14" s="533"/>
      <c r="BZL14" s="533"/>
      <c r="BZM14" s="533"/>
      <c r="BZN14" s="533"/>
      <c r="BZO14" s="533"/>
      <c r="BZP14" s="533"/>
      <c r="BZQ14" s="533"/>
      <c r="BZR14" s="533"/>
      <c r="BZS14" s="533"/>
      <c r="BZT14" s="533"/>
      <c r="BZU14" s="533"/>
      <c r="BZV14" s="533"/>
      <c r="BZW14" s="533"/>
      <c r="BZX14" s="533"/>
      <c r="BZY14" s="533"/>
      <c r="BZZ14" s="533"/>
      <c r="CAA14" s="533"/>
      <c r="CAB14" s="533"/>
      <c r="CAC14" s="533"/>
      <c r="CAD14" s="533"/>
      <c r="CAE14" s="533"/>
      <c r="CAF14" s="533"/>
      <c r="CAG14" s="533"/>
      <c r="CAH14" s="533"/>
      <c r="CAI14" s="533"/>
      <c r="CAJ14" s="533"/>
      <c r="CAK14" s="533"/>
      <c r="CAL14" s="533"/>
      <c r="CAM14" s="533"/>
      <c r="CAN14" s="533"/>
      <c r="CAO14" s="533"/>
      <c r="CAP14" s="533"/>
      <c r="CAQ14" s="533"/>
      <c r="CAR14" s="533"/>
      <c r="CAS14" s="533"/>
      <c r="CAT14" s="533"/>
      <c r="CAU14" s="533"/>
      <c r="CAV14" s="533"/>
      <c r="CAW14" s="533"/>
      <c r="CAX14" s="533"/>
      <c r="CAY14" s="533"/>
      <c r="CAZ14" s="533"/>
      <c r="CBA14" s="533"/>
      <c r="CBB14" s="533"/>
      <c r="CBC14" s="533"/>
      <c r="CBD14" s="533"/>
      <c r="CBE14" s="533"/>
      <c r="CBF14" s="533"/>
      <c r="CBG14" s="533"/>
      <c r="CBH14" s="533"/>
      <c r="CBI14" s="533"/>
      <c r="CBJ14" s="533"/>
      <c r="CBK14" s="533"/>
      <c r="CBL14" s="533"/>
      <c r="CBM14" s="533"/>
      <c r="CBN14" s="533"/>
      <c r="CBO14" s="533"/>
      <c r="CBP14" s="533"/>
      <c r="CBQ14" s="533"/>
      <c r="CBR14" s="533"/>
      <c r="CBS14" s="533"/>
      <c r="CBT14" s="533"/>
      <c r="CBU14" s="533"/>
      <c r="CBV14" s="533"/>
      <c r="CBW14" s="533"/>
      <c r="CBX14" s="533"/>
      <c r="CBY14" s="533"/>
      <c r="CBZ14" s="533"/>
      <c r="CCA14" s="533"/>
      <c r="CCB14" s="533"/>
      <c r="CCC14" s="533"/>
      <c r="CCD14" s="533"/>
      <c r="CCE14" s="533"/>
      <c r="CCF14" s="533"/>
      <c r="CCG14" s="533"/>
      <c r="CCH14" s="533"/>
      <c r="CCI14" s="533"/>
      <c r="CCJ14" s="533"/>
      <c r="CCK14" s="533"/>
      <c r="CCL14" s="533"/>
      <c r="CCM14" s="533"/>
      <c r="CCN14" s="533"/>
      <c r="CCO14" s="533"/>
      <c r="CCP14" s="533"/>
      <c r="CCQ14" s="533"/>
      <c r="CCR14" s="533"/>
      <c r="CCS14" s="533"/>
      <c r="CCT14" s="533"/>
      <c r="CCU14" s="533"/>
      <c r="CCV14" s="533"/>
      <c r="CCW14" s="533"/>
      <c r="CCX14" s="533"/>
      <c r="CCY14" s="533"/>
      <c r="CCZ14" s="533"/>
      <c r="CDA14" s="533"/>
      <c r="CDB14" s="533"/>
      <c r="CDC14" s="533"/>
      <c r="CDD14" s="533"/>
      <c r="CDE14" s="533"/>
      <c r="CDF14" s="533"/>
      <c r="CDG14" s="533"/>
      <c r="CDH14" s="533"/>
      <c r="CDI14" s="533"/>
      <c r="CDJ14" s="533"/>
      <c r="CDK14" s="533"/>
      <c r="CDL14" s="533"/>
      <c r="CDM14" s="533"/>
      <c r="CDN14" s="533"/>
      <c r="CDO14" s="533"/>
      <c r="CDP14" s="533"/>
      <c r="CDQ14" s="533"/>
      <c r="CDR14" s="533"/>
      <c r="CDS14" s="533"/>
      <c r="CDT14" s="533"/>
      <c r="CDU14" s="533"/>
      <c r="CDV14" s="533"/>
      <c r="CDW14" s="533"/>
      <c r="CDX14" s="533"/>
      <c r="CDY14" s="533"/>
      <c r="CDZ14" s="533"/>
      <c r="CEA14" s="533"/>
      <c r="CEB14" s="533"/>
      <c r="CEC14" s="533"/>
      <c r="CED14" s="533"/>
      <c r="CEE14" s="533"/>
      <c r="CEF14" s="533"/>
      <c r="CEG14" s="533"/>
      <c r="CEH14" s="533"/>
      <c r="CEI14" s="533"/>
      <c r="CEJ14" s="533"/>
      <c r="CEK14" s="533"/>
      <c r="CEL14" s="533"/>
      <c r="CEM14" s="533"/>
      <c r="CEN14" s="533"/>
      <c r="CEO14" s="533"/>
      <c r="CEP14" s="533"/>
      <c r="CEQ14" s="533"/>
      <c r="CER14" s="533"/>
      <c r="CES14" s="533"/>
      <c r="CET14" s="533"/>
      <c r="CEU14" s="533"/>
      <c r="CEV14" s="533"/>
      <c r="CEW14" s="533"/>
      <c r="CEX14" s="533"/>
      <c r="CEY14" s="533"/>
      <c r="CEZ14" s="533"/>
      <c r="CFA14" s="533"/>
      <c r="CFB14" s="533"/>
      <c r="CFC14" s="533"/>
      <c r="CFD14" s="533"/>
      <c r="CFE14" s="533"/>
      <c r="CFF14" s="533"/>
      <c r="CFG14" s="533"/>
      <c r="CFH14" s="533"/>
      <c r="CFI14" s="533"/>
      <c r="CFJ14" s="533"/>
      <c r="CFK14" s="533"/>
      <c r="CFL14" s="533"/>
      <c r="CFM14" s="533"/>
      <c r="CFN14" s="533"/>
      <c r="CFO14" s="533"/>
      <c r="CFP14" s="533"/>
      <c r="CFQ14" s="533"/>
      <c r="CFR14" s="533"/>
      <c r="CFS14" s="533"/>
      <c r="CFT14" s="533"/>
      <c r="CFU14" s="533"/>
      <c r="CFV14" s="533"/>
      <c r="CFW14" s="533"/>
      <c r="CFX14" s="533"/>
      <c r="CFY14" s="533"/>
      <c r="CFZ14" s="533"/>
      <c r="CGA14" s="533"/>
      <c r="CGB14" s="533"/>
      <c r="CGC14" s="533"/>
      <c r="CGD14" s="533"/>
      <c r="CGE14" s="533"/>
      <c r="CGF14" s="533"/>
      <c r="CGG14" s="533"/>
      <c r="CGH14" s="533"/>
      <c r="CGI14" s="533"/>
      <c r="CGJ14" s="533"/>
      <c r="CGK14" s="533"/>
      <c r="CGL14" s="533"/>
      <c r="CGM14" s="533"/>
      <c r="CGN14" s="533"/>
      <c r="CGO14" s="533"/>
      <c r="CGP14" s="533"/>
      <c r="CGQ14" s="533"/>
      <c r="CGR14" s="533"/>
      <c r="CGS14" s="533"/>
      <c r="CGT14" s="533"/>
      <c r="CGU14" s="533"/>
      <c r="CGV14" s="533"/>
      <c r="CGW14" s="533"/>
      <c r="CGX14" s="533"/>
      <c r="CGY14" s="533"/>
      <c r="CGZ14" s="533"/>
      <c r="CHA14" s="533"/>
      <c r="CHB14" s="533"/>
      <c r="CHC14" s="533"/>
      <c r="CHD14" s="533"/>
      <c r="CHE14" s="533"/>
      <c r="CHF14" s="533"/>
      <c r="CHG14" s="533"/>
      <c r="CHH14" s="533"/>
      <c r="CHI14" s="533"/>
      <c r="CHJ14" s="533"/>
      <c r="CHK14" s="533"/>
      <c r="CHL14" s="533"/>
      <c r="CHM14" s="533"/>
      <c r="CHN14" s="533"/>
      <c r="CHO14" s="533"/>
      <c r="CHP14" s="533"/>
      <c r="CHQ14" s="533"/>
      <c r="CHR14" s="533"/>
      <c r="CHS14" s="533"/>
      <c r="CHT14" s="533"/>
      <c r="CHU14" s="533"/>
      <c r="CHV14" s="533"/>
      <c r="CHW14" s="533"/>
      <c r="CHX14" s="533"/>
      <c r="CHY14" s="533"/>
      <c r="CHZ14" s="533"/>
      <c r="CIA14" s="533"/>
      <c r="CIB14" s="533"/>
      <c r="CIC14" s="533"/>
      <c r="CID14" s="533"/>
      <c r="CIE14" s="533"/>
      <c r="CIF14" s="533"/>
      <c r="CIG14" s="533"/>
      <c r="CIH14" s="533"/>
      <c r="CII14" s="533"/>
      <c r="CIJ14" s="533"/>
      <c r="CIK14" s="533"/>
      <c r="CIL14" s="533"/>
      <c r="CIM14" s="533"/>
      <c r="CIN14" s="533"/>
      <c r="CIO14" s="533"/>
      <c r="CIP14" s="533"/>
      <c r="CIQ14" s="533"/>
      <c r="CIR14" s="533"/>
      <c r="CIS14" s="533"/>
      <c r="CIT14" s="533"/>
      <c r="CIU14" s="533"/>
      <c r="CIV14" s="533"/>
      <c r="CIW14" s="533"/>
      <c r="CIX14" s="533"/>
      <c r="CIY14" s="533"/>
      <c r="CIZ14" s="533"/>
      <c r="CJA14" s="533"/>
      <c r="CJB14" s="533"/>
      <c r="CJC14" s="533"/>
      <c r="CJD14" s="533"/>
      <c r="CJE14" s="533"/>
      <c r="CJF14" s="533"/>
      <c r="CJG14" s="533"/>
      <c r="CJH14" s="533"/>
      <c r="CJI14" s="533"/>
      <c r="CJJ14" s="533"/>
      <c r="CJK14" s="533"/>
      <c r="CJL14" s="533"/>
      <c r="CJM14" s="533"/>
      <c r="CJN14" s="533"/>
      <c r="CJO14" s="533"/>
      <c r="CJP14" s="533"/>
      <c r="CJQ14" s="533"/>
      <c r="CJR14" s="533"/>
      <c r="CJS14" s="533"/>
      <c r="CJT14" s="533"/>
      <c r="CJU14" s="533"/>
      <c r="CJV14" s="533"/>
      <c r="CJW14" s="533"/>
      <c r="CJX14" s="533"/>
      <c r="CJY14" s="533"/>
      <c r="CJZ14" s="533"/>
      <c r="CKA14" s="533"/>
      <c r="CKB14" s="533"/>
      <c r="CKC14" s="533"/>
      <c r="CKD14" s="533"/>
      <c r="CKE14" s="533"/>
      <c r="CKF14" s="533"/>
      <c r="CKG14" s="533"/>
      <c r="CKH14" s="533"/>
      <c r="CKI14" s="533"/>
      <c r="CKJ14" s="533"/>
      <c r="CKK14" s="533"/>
      <c r="CKL14" s="533"/>
      <c r="CKM14" s="533"/>
      <c r="CKN14" s="533"/>
      <c r="CKO14" s="533"/>
      <c r="CKP14" s="533"/>
      <c r="CKQ14" s="533"/>
      <c r="CKR14" s="533"/>
      <c r="CKS14" s="533"/>
      <c r="CKT14" s="533"/>
      <c r="CKU14" s="533"/>
      <c r="CKV14" s="533"/>
      <c r="CKW14" s="533"/>
      <c r="CKX14" s="533"/>
      <c r="CKY14" s="533"/>
      <c r="CKZ14" s="533"/>
      <c r="CLA14" s="533"/>
      <c r="CLB14" s="533"/>
      <c r="CLC14" s="533"/>
      <c r="CLD14" s="533"/>
      <c r="CLE14" s="533"/>
      <c r="CLF14" s="533"/>
      <c r="CLG14" s="533"/>
      <c r="CLH14" s="533"/>
      <c r="CLI14" s="533"/>
      <c r="CLJ14" s="533"/>
      <c r="CLK14" s="533"/>
      <c r="CLL14" s="533"/>
      <c r="CLM14" s="533"/>
      <c r="CLN14" s="533"/>
      <c r="CLO14" s="533"/>
      <c r="CLP14" s="533"/>
      <c r="CLQ14" s="533"/>
      <c r="CLR14" s="533"/>
      <c r="CLS14" s="533"/>
      <c r="CLT14" s="533"/>
      <c r="CLU14" s="533"/>
      <c r="CLV14" s="533"/>
      <c r="CLW14" s="533"/>
      <c r="CLX14" s="533"/>
      <c r="CLY14" s="533"/>
      <c r="CLZ14" s="533"/>
      <c r="CMA14" s="533"/>
      <c r="CMB14" s="533"/>
      <c r="CMC14" s="533"/>
      <c r="CMD14" s="533"/>
      <c r="CME14" s="533"/>
      <c r="CMF14" s="533"/>
      <c r="CMG14" s="533"/>
      <c r="CMH14" s="533"/>
      <c r="CMI14" s="533"/>
      <c r="CMJ14" s="533"/>
      <c r="CMK14" s="533"/>
      <c r="CML14" s="533"/>
      <c r="CMM14" s="533"/>
      <c r="CMN14" s="533"/>
      <c r="CMO14" s="533"/>
      <c r="CMP14" s="533"/>
      <c r="CMQ14" s="533"/>
      <c r="CMR14" s="533"/>
      <c r="CMS14" s="533"/>
      <c r="CMT14" s="533"/>
      <c r="CMU14" s="533"/>
      <c r="CMV14" s="533"/>
      <c r="CMW14" s="533"/>
      <c r="CMX14" s="533"/>
      <c r="CMY14" s="533"/>
      <c r="CMZ14" s="533"/>
      <c r="CNA14" s="533"/>
      <c r="CNB14" s="533"/>
      <c r="CNC14" s="533"/>
      <c r="CND14" s="533"/>
      <c r="CNE14" s="533"/>
      <c r="CNF14" s="533"/>
      <c r="CNG14" s="533"/>
      <c r="CNH14" s="533"/>
      <c r="CNI14" s="533"/>
      <c r="CNJ14" s="533"/>
      <c r="CNK14" s="533"/>
      <c r="CNL14" s="533"/>
      <c r="CNM14" s="533"/>
      <c r="CNN14" s="533"/>
      <c r="CNO14" s="533"/>
      <c r="CNP14" s="533"/>
      <c r="CNQ14" s="533"/>
      <c r="CNR14" s="533"/>
      <c r="CNS14" s="533"/>
      <c r="CNT14" s="533"/>
      <c r="CNU14" s="533"/>
      <c r="CNV14" s="533"/>
      <c r="CNW14" s="533"/>
      <c r="CNX14" s="533"/>
      <c r="CNY14" s="533"/>
      <c r="CNZ14" s="533"/>
      <c r="COA14" s="533"/>
      <c r="COB14" s="533"/>
      <c r="COC14" s="533"/>
      <c r="COD14" s="533"/>
      <c r="COE14" s="533"/>
      <c r="COF14" s="533"/>
      <c r="COG14" s="533"/>
      <c r="COH14" s="533"/>
      <c r="COI14" s="533"/>
      <c r="COJ14" s="533"/>
      <c r="COK14" s="533"/>
      <c r="COL14" s="533"/>
      <c r="COM14" s="533"/>
      <c r="CON14" s="533"/>
      <c r="COO14" s="533"/>
      <c r="COP14" s="533"/>
      <c r="COQ14" s="533"/>
      <c r="COR14" s="533"/>
      <c r="COS14" s="533"/>
      <c r="COT14" s="533"/>
      <c r="COU14" s="533"/>
      <c r="COV14" s="533"/>
      <c r="COW14" s="533"/>
      <c r="COX14" s="533"/>
      <c r="COY14" s="533"/>
      <c r="COZ14" s="533"/>
      <c r="CPA14" s="533"/>
      <c r="CPB14" s="533"/>
      <c r="CPC14" s="533"/>
      <c r="CPD14" s="533"/>
      <c r="CPE14" s="533"/>
      <c r="CPF14" s="533"/>
      <c r="CPG14" s="533"/>
      <c r="CPH14" s="533"/>
      <c r="CPI14" s="533"/>
      <c r="CPJ14" s="533"/>
      <c r="CPK14" s="533"/>
      <c r="CPL14" s="533"/>
      <c r="CPM14" s="533"/>
      <c r="CPN14" s="533"/>
      <c r="CPO14" s="533"/>
      <c r="CPP14" s="533"/>
      <c r="CPQ14" s="533"/>
      <c r="CPR14" s="533"/>
      <c r="CPS14" s="533"/>
      <c r="CPT14" s="533"/>
      <c r="CPU14" s="533"/>
      <c r="CPV14" s="533"/>
      <c r="CPW14" s="533"/>
      <c r="CPX14" s="533"/>
      <c r="CPY14" s="533"/>
      <c r="CPZ14" s="533"/>
      <c r="CQA14" s="533"/>
      <c r="CQB14" s="533"/>
      <c r="CQC14" s="533"/>
      <c r="CQD14" s="533"/>
      <c r="CQE14" s="533"/>
      <c r="CQF14" s="533"/>
      <c r="CQG14" s="533"/>
      <c r="CQH14" s="533"/>
      <c r="CQI14" s="533"/>
      <c r="CQJ14" s="533"/>
      <c r="CQK14" s="533"/>
      <c r="CQL14" s="533"/>
      <c r="CQM14" s="533"/>
      <c r="CQN14" s="533"/>
      <c r="CQO14" s="533"/>
      <c r="CQP14" s="533"/>
      <c r="CQQ14" s="533"/>
      <c r="CQR14" s="533"/>
      <c r="CQS14" s="533"/>
      <c r="CQT14" s="533"/>
      <c r="CQU14" s="533"/>
      <c r="CQV14" s="533"/>
      <c r="CQW14" s="533"/>
      <c r="CQX14" s="533"/>
      <c r="CQY14" s="533"/>
      <c r="CQZ14" s="533"/>
      <c r="CRA14" s="533"/>
      <c r="CRB14" s="533"/>
      <c r="CRC14" s="533"/>
      <c r="CRD14" s="533"/>
      <c r="CRE14" s="533"/>
      <c r="CRF14" s="533"/>
      <c r="CRG14" s="533"/>
      <c r="CRH14" s="533"/>
      <c r="CRI14" s="533"/>
      <c r="CRJ14" s="533"/>
      <c r="CRK14" s="533"/>
      <c r="CRL14" s="533"/>
      <c r="CRM14" s="533"/>
      <c r="CRN14" s="533"/>
      <c r="CRO14" s="533"/>
      <c r="CRP14" s="533"/>
      <c r="CRQ14" s="533"/>
      <c r="CRR14" s="533"/>
      <c r="CRS14" s="533"/>
      <c r="CRT14" s="533"/>
      <c r="CRU14" s="533"/>
      <c r="CRV14" s="533"/>
      <c r="CRW14" s="533"/>
      <c r="CRX14" s="533"/>
      <c r="CRY14" s="533"/>
      <c r="CRZ14" s="533"/>
      <c r="CSA14" s="533"/>
      <c r="CSB14" s="533"/>
      <c r="CSC14" s="533"/>
      <c r="CSD14" s="533"/>
      <c r="CSE14" s="533"/>
      <c r="CSF14" s="533"/>
      <c r="CSG14" s="533"/>
      <c r="CSH14" s="533"/>
      <c r="CSI14" s="533"/>
      <c r="CSJ14" s="533"/>
      <c r="CSK14" s="533"/>
      <c r="CSL14" s="533"/>
      <c r="CSM14" s="533"/>
      <c r="CSN14" s="533"/>
      <c r="CSO14" s="533"/>
      <c r="CSP14" s="533"/>
      <c r="CSQ14" s="533"/>
      <c r="CSR14" s="533"/>
      <c r="CSS14" s="533"/>
      <c r="CST14" s="533"/>
      <c r="CSU14" s="533"/>
      <c r="CSV14" s="533"/>
      <c r="CSW14" s="533"/>
      <c r="CSX14" s="533"/>
      <c r="CSY14" s="533"/>
      <c r="CSZ14" s="533"/>
      <c r="CTA14" s="533"/>
      <c r="CTB14" s="533"/>
      <c r="CTC14" s="533"/>
      <c r="CTD14" s="533"/>
      <c r="CTE14" s="533"/>
      <c r="CTF14" s="533"/>
      <c r="CTG14" s="533"/>
      <c r="CTH14" s="533"/>
      <c r="CTI14" s="533"/>
      <c r="CTJ14" s="533"/>
      <c r="CTK14" s="533"/>
      <c r="CTL14" s="533"/>
      <c r="CTM14" s="533"/>
      <c r="CTN14" s="533"/>
      <c r="CTO14" s="533"/>
      <c r="CTP14" s="533"/>
      <c r="CTQ14" s="533"/>
      <c r="CTR14" s="533"/>
      <c r="CTS14" s="533"/>
      <c r="CTT14" s="533"/>
      <c r="CTU14" s="533"/>
      <c r="CTV14" s="533"/>
      <c r="CTW14" s="533"/>
      <c r="CTX14" s="533"/>
      <c r="CTY14" s="533"/>
      <c r="CTZ14" s="533"/>
      <c r="CUA14" s="533"/>
      <c r="CUB14" s="533"/>
      <c r="CUC14" s="533"/>
      <c r="CUD14" s="533"/>
      <c r="CUE14" s="533"/>
      <c r="CUF14" s="533"/>
      <c r="CUG14" s="533"/>
      <c r="CUH14" s="533"/>
      <c r="CUI14" s="533"/>
      <c r="CUJ14" s="533"/>
      <c r="CUK14" s="533"/>
      <c r="CUL14" s="533"/>
      <c r="CUM14" s="533"/>
      <c r="CUN14" s="533"/>
      <c r="CUO14" s="533"/>
      <c r="CUP14" s="533"/>
      <c r="CUQ14" s="533"/>
      <c r="CUR14" s="533"/>
      <c r="CUS14" s="533"/>
      <c r="CUT14" s="533"/>
      <c r="CUU14" s="533"/>
      <c r="CUV14" s="533"/>
      <c r="CUW14" s="533"/>
      <c r="CUX14" s="533"/>
      <c r="CUY14" s="533"/>
      <c r="CUZ14" s="533"/>
      <c r="CVA14" s="533"/>
      <c r="CVB14" s="533"/>
      <c r="CVC14" s="533"/>
      <c r="CVD14" s="533"/>
      <c r="CVE14" s="533"/>
      <c r="CVF14" s="533"/>
      <c r="CVG14" s="533"/>
      <c r="CVH14" s="533"/>
      <c r="CVI14" s="533"/>
      <c r="CVJ14" s="533"/>
      <c r="CVK14" s="533"/>
      <c r="CVL14" s="533"/>
      <c r="CVM14" s="533"/>
      <c r="CVN14" s="533"/>
      <c r="CVO14" s="533"/>
      <c r="CVP14" s="533"/>
      <c r="CVQ14" s="533"/>
      <c r="CVR14" s="533"/>
      <c r="CVS14" s="533"/>
      <c r="CVT14" s="533"/>
      <c r="CVU14" s="533"/>
      <c r="CVV14" s="533"/>
      <c r="CVW14" s="533"/>
      <c r="CVX14" s="533"/>
      <c r="CVY14" s="533"/>
      <c r="CVZ14" s="533"/>
      <c r="CWA14" s="533"/>
      <c r="CWB14" s="533"/>
      <c r="CWC14" s="533"/>
      <c r="CWD14" s="533"/>
      <c r="CWE14" s="533"/>
      <c r="CWF14" s="533"/>
      <c r="CWG14" s="533"/>
      <c r="CWH14" s="533"/>
      <c r="CWI14" s="533"/>
      <c r="CWJ14" s="533"/>
      <c r="CWK14" s="533"/>
      <c r="CWL14" s="533"/>
      <c r="CWM14" s="533"/>
      <c r="CWN14" s="533"/>
      <c r="CWO14" s="533"/>
      <c r="CWP14" s="533"/>
      <c r="CWQ14" s="533"/>
      <c r="CWR14" s="533"/>
      <c r="CWS14" s="533"/>
      <c r="CWT14" s="533"/>
      <c r="CWU14" s="533"/>
      <c r="CWV14" s="533"/>
      <c r="CWW14" s="533"/>
      <c r="CWX14" s="533"/>
      <c r="CWY14" s="533"/>
      <c r="CWZ14" s="533"/>
      <c r="CXA14" s="533"/>
      <c r="CXB14" s="533"/>
      <c r="CXC14" s="533"/>
      <c r="CXD14" s="533"/>
      <c r="CXE14" s="533"/>
      <c r="CXF14" s="533"/>
      <c r="CXG14" s="533"/>
      <c r="CXH14" s="533"/>
      <c r="CXI14" s="533"/>
      <c r="CXJ14" s="533"/>
      <c r="CXK14" s="533"/>
      <c r="CXL14" s="533"/>
      <c r="CXM14" s="533"/>
      <c r="CXN14" s="533"/>
      <c r="CXO14" s="533"/>
      <c r="CXP14" s="533"/>
      <c r="CXQ14" s="533"/>
      <c r="CXR14" s="533"/>
      <c r="CXS14" s="533"/>
      <c r="CXT14" s="533"/>
      <c r="CXU14" s="533"/>
      <c r="CXV14" s="533"/>
      <c r="CXW14" s="533"/>
      <c r="CXX14" s="533"/>
      <c r="CXY14" s="533"/>
      <c r="CXZ14" s="533"/>
      <c r="CYA14" s="533"/>
      <c r="CYB14" s="533"/>
      <c r="CYC14" s="533"/>
      <c r="CYD14" s="533"/>
      <c r="CYE14" s="533"/>
      <c r="CYF14" s="533"/>
      <c r="CYG14" s="533"/>
      <c r="CYH14" s="533"/>
      <c r="CYI14" s="533"/>
      <c r="CYJ14" s="533"/>
      <c r="CYK14" s="533"/>
      <c r="CYL14" s="533"/>
      <c r="CYM14" s="533"/>
      <c r="CYN14" s="533"/>
      <c r="CYO14" s="533"/>
      <c r="CYP14" s="533"/>
      <c r="CYQ14" s="533"/>
      <c r="CYR14" s="533"/>
      <c r="CYS14" s="533"/>
      <c r="CYT14" s="533"/>
      <c r="CYU14" s="533"/>
      <c r="CYV14" s="533"/>
      <c r="CYW14" s="533"/>
      <c r="CYX14" s="533"/>
      <c r="CYY14" s="533"/>
      <c r="CYZ14" s="533"/>
      <c r="CZA14" s="533"/>
      <c r="CZB14" s="533"/>
      <c r="CZC14" s="533"/>
      <c r="CZD14" s="533"/>
      <c r="CZE14" s="533"/>
      <c r="CZF14" s="533"/>
      <c r="CZG14" s="533"/>
      <c r="CZH14" s="533"/>
      <c r="CZI14" s="533"/>
      <c r="CZJ14" s="533"/>
      <c r="CZK14" s="533"/>
      <c r="CZL14" s="533"/>
      <c r="CZM14" s="533"/>
      <c r="CZN14" s="533"/>
      <c r="CZO14" s="533"/>
      <c r="CZP14" s="533"/>
      <c r="CZQ14" s="533"/>
      <c r="CZR14" s="533"/>
      <c r="CZS14" s="533"/>
      <c r="CZT14" s="533"/>
      <c r="CZU14" s="533"/>
      <c r="CZV14" s="533"/>
      <c r="CZW14" s="533"/>
      <c r="CZX14" s="533"/>
      <c r="CZY14" s="533"/>
      <c r="CZZ14" s="533"/>
      <c r="DAA14" s="533"/>
      <c r="DAB14" s="533"/>
      <c r="DAC14" s="533"/>
      <c r="DAD14" s="533"/>
      <c r="DAE14" s="533"/>
      <c r="DAF14" s="533"/>
      <c r="DAG14" s="533"/>
      <c r="DAH14" s="533"/>
      <c r="DAI14" s="533"/>
      <c r="DAJ14" s="533"/>
      <c r="DAK14" s="533"/>
      <c r="DAL14" s="533"/>
      <c r="DAM14" s="533"/>
      <c r="DAN14" s="533"/>
      <c r="DAO14" s="533"/>
      <c r="DAP14" s="533"/>
      <c r="DAQ14" s="533"/>
      <c r="DAR14" s="533"/>
      <c r="DAS14" s="533"/>
      <c r="DAT14" s="533"/>
      <c r="DAU14" s="533"/>
      <c r="DAV14" s="533"/>
      <c r="DAW14" s="533"/>
      <c r="DAX14" s="533"/>
      <c r="DAY14" s="533"/>
      <c r="DAZ14" s="533"/>
      <c r="DBA14" s="533"/>
      <c r="DBB14" s="533"/>
      <c r="DBC14" s="533"/>
      <c r="DBD14" s="533"/>
      <c r="DBE14" s="533"/>
      <c r="DBF14" s="533"/>
      <c r="DBG14" s="533"/>
      <c r="DBH14" s="533"/>
      <c r="DBI14" s="533"/>
      <c r="DBJ14" s="533"/>
      <c r="DBK14" s="533"/>
      <c r="DBL14" s="533"/>
      <c r="DBM14" s="533"/>
      <c r="DBN14" s="533"/>
      <c r="DBO14" s="533"/>
      <c r="DBP14" s="533"/>
      <c r="DBQ14" s="533"/>
      <c r="DBR14" s="533"/>
      <c r="DBS14" s="533"/>
      <c r="DBT14" s="533"/>
      <c r="DBU14" s="533"/>
      <c r="DBV14" s="533"/>
      <c r="DBW14" s="533"/>
      <c r="DBX14" s="533"/>
      <c r="DBY14" s="533"/>
      <c r="DBZ14" s="533"/>
      <c r="DCA14" s="533"/>
      <c r="DCB14" s="533"/>
      <c r="DCC14" s="533"/>
      <c r="DCD14" s="533"/>
      <c r="DCE14" s="533"/>
      <c r="DCF14" s="533"/>
      <c r="DCG14" s="533"/>
      <c r="DCH14" s="533"/>
      <c r="DCI14" s="533"/>
      <c r="DCJ14" s="533"/>
      <c r="DCK14" s="533"/>
      <c r="DCL14" s="533"/>
      <c r="DCM14" s="533"/>
      <c r="DCN14" s="533"/>
      <c r="DCO14" s="533"/>
      <c r="DCP14" s="533"/>
      <c r="DCQ14" s="533"/>
      <c r="DCR14" s="533"/>
      <c r="DCS14" s="533"/>
      <c r="DCT14" s="533"/>
      <c r="DCU14" s="533"/>
      <c r="DCV14" s="533"/>
      <c r="DCW14" s="533"/>
      <c r="DCX14" s="533"/>
      <c r="DCY14" s="533"/>
      <c r="DCZ14" s="533"/>
      <c r="DDA14" s="533"/>
      <c r="DDB14" s="533"/>
      <c r="DDC14" s="533"/>
      <c r="DDD14" s="533"/>
      <c r="DDE14" s="533"/>
      <c r="DDF14" s="533"/>
      <c r="DDG14" s="533"/>
      <c r="DDH14" s="533"/>
      <c r="DDI14" s="533"/>
      <c r="DDJ14" s="533"/>
      <c r="DDK14" s="533"/>
      <c r="DDL14" s="533"/>
      <c r="DDM14" s="533"/>
      <c r="DDN14" s="533"/>
      <c r="DDO14" s="533"/>
      <c r="DDP14" s="533"/>
      <c r="DDQ14" s="533"/>
      <c r="DDR14" s="533"/>
      <c r="DDS14" s="533"/>
      <c r="DDT14" s="533"/>
      <c r="DDU14" s="533"/>
      <c r="DDV14" s="533"/>
      <c r="DDW14" s="533"/>
      <c r="DDX14" s="533"/>
      <c r="DDY14" s="533"/>
      <c r="DDZ14" s="533"/>
      <c r="DEA14" s="533"/>
      <c r="DEB14" s="533"/>
      <c r="DEC14" s="533"/>
      <c r="DED14" s="533"/>
      <c r="DEE14" s="533"/>
      <c r="DEF14" s="533"/>
      <c r="DEG14" s="533"/>
      <c r="DEH14" s="533"/>
      <c r="DEI14" s="533"/>
      <c r="DEJ14" s="533"/>
      <c r="DEK14" s="533"/>
      <c r="DEL14" s="533"/>
      <c r="DEM14" s="533"/>
      <c r="DEN14" s="533"/>
      <c r="DEO14" s="533"/>
      <c r="DEP14" s="533"/>
      <c r="DEQ14" s="533"/>
      <c r="DER14" s="533"/>
      <c r="DES14" s="533"/>
      <c r="DET14" s="533"/>
      <c r="DEU14" s="533"/>
      <c r="DEV14" s="533"/>
      <c r="DEW14" s="533"/>
      <c r="DEX14" s="533"/>
      <c r="DEY14" s="533"/>
      <c r="DEZ14" s="533"/>
      <c r="DFA14" s="533"/>
      <c r="DFB14" s="533"/>
      <c r="DFC14" s="533"/>
      <c r="DFD14" s="533"/>
      <c r="DFE14" s="533"/>
      <c r="DFF14" s="533"/>
      <c r="DFG14" s="533"/>
      <c r="DFH14" s="533"/>
      <c r="DFI14" s="533"/>
      <c r="DFJ14" s="533"/>
      <c r="DFK14" s="533"/>
      <c r="DFL14" s="533"/>
      <c r="DFM14" s="533"/>
      <c r="DFN14" s="533"/>
      <c r="DFO14" s="533"/>
      <c r="DFP14" s="533"/>
      <c r="DFQ14" s="533"/>
      <c r="DFR14" s="533"/>
      <c r="DFS14" s="533"/>
      <c r="DFT14" s="533"/>
      <c r="DFU14" s="533"/>
      <c r="DFV14" s="533"/>
      <c r="DFW14" s="533"/>
      <c r="DFX14" s="533"/>
      <c r="DFY14" s="533"/>
      <c r="DFZ14" s="533"/>
      <c r="DGA14" s="533"/>
      <c r="DGB14" s="533"/>
      <c r="DGC14" s="533"/>
      <c r="DGD14" s="533"/>
      <c r="DGE14" s="533"/>
      <c r="DGF14" s="533"/>
      <c r="DGG14" s="533"/>
      <c r="DGH14" s="533"/>
      <c r="DGI14" s="533"/>
      <c r="DGJ14" s="533"/>
      <c r="DGK14" s="533"/>
      <c r="DGL14" s="533"/>
      <c r="DGM14" s="533"/>
      <c r="DGN14" s="533"/>
      <c r="DGO14" s="533"/>
      <c r="DGP14" s="533"/>
      <c r="DGQ14" s="533"/>
      <c r="DGR14" s="533"/>
      <c r="DGS14" s="533"/>
      <c r="DGT14" s="533"/>
      <c r="DGU14" s="533"/>
      <c r="DGV14" s="533"/>
      <c r="DGW14" s="533"/>
      <c r="DGX14" s="533"/>
      <c r="DGY14" s="533"/>
      <c r="DGZ14" s="533"/>
      <c r="DHA14" s="533"/>
      <c r="DHB14" s="533"/>
      <c r="DHC14" s="533"/>
      <c r="DHD14" s="533"/>
      <c r="DHE14" s="533"/>
      <c r="DHF14" s="533"/>
      <c r="DHG14" s="533"/>
      <c r="DHH14" s="533"/>
      <c r="DHI14" s="533"/>
      <c r="DHJ14" s="533"/>
      <c r="DHK14" s="533"/>
      <c r="DHL14" s="533"/>
      <c r="DHM14" s="533"/>
      <c r="DHN14" s="533"/>
      <c r="DHO14" s="533"/>
      <c r="DHP14" s="533"/>
      <c r="DHQ14" s="533"/>
      <c r="DHR14" s="533"/>
      <c r="DHS14" s="533"/>
      <c r="DHT14" s="533"/>
      <c r="DHU14" s="533"/>
      <c r="DHV14" s="533"/>
      <c r="DHW14" s="533"/>
      <c r="DHX14" s="533"/>
      <c r="DHY14" s="533"/>
      <c r="DHZ14" s="533"/>
      <c r="DIA14" s="533"/>
      <c r="DIB14" s="533"/>
      <c r="DIC14" s="533"/>
      <c r="DID14" s="533"/>
      <c r="DIE14" s="533"/>
      <c r="DIF14" s="533"/>
      <c r="DIG14" s="533"/>
      <c r="DIH14" s="533"/>
      <c r="DII14" s="533"/>
      <c r="DIJ14" s="533"/>
      <c r="DIK14" s="533"/>
      <c r="DIL14" s="533"/>
      <c r="DIM14" s="533"/>
      <c r="DIN14" s="533"/>
      <c r="DIO14" s="533"/>
      <c r="DIP14" s="533"/>
      <c r="DIQ14" s="533"/>
      <c r="DIR14" s="533"/>
      <c r="DIS14" s="533"/>
      <c r="DIT14" s="533"/>
      <c r="DIU14" s="533"/>
      <c r="DIV14" s="533"/>
      <c r="DIW14" s="533"/>
      <c r="DIX14" s="533"/>
      <c r="DIY14" s="533"/>
      <c r="DIZ14" s="533"/>
      <c r="DJA14" s="533"/>
      <c r="DJB14" s="533"/>
      <c r="DJC14" s="533"/>
      <c r="DJD14" s="533"/>
      <c r="DJE14" s="533"/>
      <c r="DJF14" s="533"/>
      <c r="DJG14" s="533"/>
      <c r="DJH14" s="533"/>
      <c r="DJI14" s="533"/>
      <c r="DJJ14" s="533"/>
      <c r="DJK14" s="533"/>
      <c r="DJL14" s="533"/>
      <c r="DJM14" s="533"/>
      <c r="DJN14" s="533"/>
      <c r="DJO14" s="533"/>
      <c r="DJP14" s="533"/>
      <c r="DJQ14" s="533"/>
      <c r="DJR14" s="533"/>
      <c r="DJS14" s="533"/>
      <c r="DJT14" s="533"/>
      <c r="DJU14" s="533"/>
      <c r="DJV14" s="533"/>
      <c r="DJW14" s="533"/>
      <c r="DJX14" s="533"/>
      <c r="DJY14" s="533"/>
      <c r="DJZ14" s="533"/>
      <c r="DKA14" s="533"/>
      <c r="DKB14" s="533"/>
      <c r="DKC14" s="533"/>
      <c r="DKD14" s="533"/>
      <c r="DKE14" s="533"/>
      <c r="DKF14" s="533"/>
      <c r="DKG14" s="533"/>
      <c r="DKH14" s="533"/>
      <c r="DKI14" s="533"/>
      <c r="DKJ14" s="533"/>
      <c r="DKK14" s="533"/>
      <c r="DKL14" s="533"/>
      <c r="DKM14" s="533"/>
      <c r="DKN14" s="533"/>
      <c r="DKO14" s="533"/>
      <c r="DKP14" s="533"/>
      <c r="DKQ14" s="533"/>
      <c r="DKR14" s="533"/>
      <c r="DKS14" s="533"/>
      <c r="DKT14" s="533"/>
      <c r="DKU14" s="533"/>
      <c r="DKV14" s="533"/>
      <c r="DKW14" s="533"/>
      <c r="DKX14" s="533"/>
      <c r="DKY14" s="533"/>
      <c r="DKZ14" s="533"/>
      <c r="DLA14" s="533"/>
      <c r="DLB14" s="533"/>
      <c r="DLC14" s="533"/>
      <c r="DLD14" s="533"/>
      <c r="DLE14" s="533"/>
      <c r="DLF14" s="533"/>
      <c r="DLG14" s="533"/>
      <c r="DLH14" s="533"/>
      <c r="DLI14" s="533"/>
      <c r="DLJ14" s="533"/>
      <c r="DLK14" s="533"/>
      <c r="DLL14" s="533"/>
      <c r="DLM14" s="533"/>
      <c r="DLN14" s="533"/>
      <c r="DLO14" s="533"/>
      <c r="DLP14" s="533"/>
      <c r="DLQ14" s="533"/>
      <c r="DLR14" s="533"/>
      <c r="DLS14" s="533"/>
      <c r="DLT14" s="533"/>
      <c r="DLU14" s="533"/>
      <c r="DLV14" s="533"/>
      <c r="DLW14" s="533"/>
      <c r="DLX14" s="533"/>
      <c r="DLY14" s="533"/>
      <c r="DLZ14" s="533"/>
      <c r="DMA14" s="533"/>
      <c r="DMB14" s="533"/>
      <c r="DMC14" s="533"/>
      <c r="DMD14" s="533"/>
      <c r="DME14" s="533"/>
      <c r="DMF14" s="533"/>
      <c r="DMG14" s="533"/>
      <c r="DMH14" s="533"/>
      <c r="DMI14" s="533"/>
      <c r="DMJ14" s="533"/>
      <c r="DMK14" s="533"/>
      <c r="DML14" s="533"/>
      <c r="DMM14" s="533"/>
      <c r="DMN14" s="533"/>
      <c r="DMO14" s="533"/>
      <c r="DMP14" s="533"/>
      <c r="DMQ14" s="533"/>
      <c r="DMR14" s="533"/>
      <c r="DMS14" s="533"/>
      <c r="DMT14" s="533"/>
      <c r="DMU14" s="533"/>
      <c r="DMV14" s="533"/>
      <c r="DMW14" s="533"/>
      <c r="DMX14" s="533"/>
      <c r="DMY14" s="533"/>
      <c r="DMZ14" s="533"/>
      <c r="DNA14" s="533"/>
      <c r="DNB14" s="533"/>
      <c r="DNC14" s="533"/>
      <c r="DND14" s="533"/>
      <c r="DNE14" s="533"/>
      <c r="DNF14" s="533"/>
      <c r="DNG14" s="533"/>
      <c r="DNH14" s="533"/>
      <c r="DNI14" s="533"/>
      <c r="DNJ14" s="533"/>
      <c r="DNK14" s="533"/>
      <c r="DNL14" s="533"/>
      <c r="DNM14" s="533"/>
      <c r="DNN14" s="533"/>
      <c r="DNO14" s="533"/>
      <c r="DNP14" s="533"/>
      <c r="DNQ14" s="533"/>
      <c r="DNR14" s="533"/>
      <c r="DNS14" s="533"/>
      <c r="DNT14" s="533"/>
      <c r="DNU14" s="533"/>
      <c r="DNV14" s="533"/>
      <c r="DNW14" s="533"/>
      <c r="DNX14" s="533"/>
      <c r="DNY14" s="533"/>
      <c r="DNZ14" s="533"/>
      <c r="DOA14" s="533"/>
      <c r="DOB14" s="533"/>
      <c r="DOC14" s="533"/>
      <c r="DOD14" s="533"/>
      <c r="DOE14" s="533"/>
      <c r="DOF14" s="533"/>
      <c r="DOG14" s="533"/>
      <c r="DOH14" s="533"/>
      <c r="DOI14" s="533"/>
      <c r="DOJ14" s="533"/>
      <c r="DOK14" s="533"/>
      <c r="DOL14" s="533"/>
      <c r="DOM14" s="533"/>
      <c r="DON14" s="533"/>
      <c r="DOO14" s="533"/>
      <c r="DOP14" s="533"/>
      <c r="DOQ14" s="533"/>
      <c r="DOR14" s="533"/>
      <c r="DOS14" s="533"/>
      <c r="DOT14" s="533"/>
      <c r="DOU14" s="533"/>
      <c r="DOV14" s="533"/>
      <c r="DOW14" s="533"/>
      <c r="DOX14" s="533"/>
      <c r="DOY14" s="533"/>
      <c r="DOZ14" s="533"/>
      <c r="DPA14" s="533"/>
      <c r="DPB14" s="533"/>
      <c r="DPC14" s="533"/>
      <c r="DPD14" s="533"/>
      <c r="DPE14" s="533"/>
      <c r="DPF14" s="533"/>
      <c r="DPG14" s="533"/>
      <c r="DPH14" s="533"/>
      <c r="DPI14" s="533"/>
      <c r="DPJ14" s="533"/>
      <c r="DPK14" s="533"/>
      <c r="DPL14" s="533"/>
      <c r="DPM14" s="533"/>
      <c r="DPN14" s="533"/>
      <c r="DPO14" s="533"/>
      <c r="DPP14" s="533"/>
      <c r="DPQ14" s="533"/>
      <c r="DPR14" s="533"/>
      <c r="DPS14" s="533"/>
      <c r="DPT14" s="533"/>
      <c r="DPU14" s="533"/>
      <c r="DPV14" s="533"/>
      <c r="DPW14" s="533"/>
      <c r="DPX14" s="533"/>
      <c r="DPY14" s="533"/>
      <c r="DPZ14" s="533"/>
      <c r="DQA14" s="533"/>
      <c r="DQB14" s="533"/>
      <c r="DQC14" s="533"/>
      <c r="DQD14" s="533"/>
      <c r="DQE14" s="533"/>
      <c r="DQF14" s="533"/>
      <c r="DQG14" s="533"/>
      <c r="DQH14" s="533"/>
      <c r="DQI14" s="533"/>
      <c r="DQJ14" s="533"/>
      <c r="DQK14" s="533"/>
      <c r="DQL14" s="533"/>
      <c r="DQM14" s="533"/>
      <c r="DQN14" s="533"/>
      <c r="DQO14" s="533"/>
      <c r="DQP14" s="533"/>
      <c r="DQQ14" s="533"/>
      <c r="DQR14" s="533"/>
      <c r="DQS14" s="533"/>
      <c r="DQT14" s="533"/>
      <c r="DQU14" s="533"/>
      <c r="DQV14" s="533"/>
      <c r="DQW14" s="533"/>
      <c r="DQX14" s="533"/>
      <c r="DQY14" s="533"/>
      <c r="DQZ14" s="533"/>
      <c r="DRA14" s="533"/>
      <c r="DRB14" s="533"/>
      <c r="DRC14" s="533"/>
      <c r="DRD14" s="533"/>
      <c r="DRE14" s="533"/>
      <c r="DRF14" s="533"/>
      <c r="DRG14" s="533"/>
      <c r="DRH14" s="533"/>
      <c r="DRI14" s="533"/>
      <c r="DRJ14" s="533"/>
      <c r="DRK14" s="533"/>
      <c r="DRL14" s="533"/>
      <c r="DRM14" s="533"/>
      <c r="DRN14" s="533"/>
      <c r="DRO14" s="533"/>
      <c r="DRP14" s="533"/>
      <c r="DRQ14" s="533"/>
      <c r="DRR14" s="533"/>
      <c r="DRS14" s="533"/>
      <c r="DRT14" s="533"/>
      <c r="DRU14" s="533"/>
      <c r="DRV14" s="533"/>
      <c r="DRW14" s="533"/>
      <c r="DRX14" s="533"/>
      <c r="DRY14" s="533"/>
      <c r="DRZ14" s="533"/>
      <c r="DSA14" s="533"/>
      <c r="DSB14" s="533"/>
      <c r="DSC14" s="533"/>
      <c r="DSD14" s="533"/>
      <c r="DSE14" s="533"/>
      <c r="DSF14" s="533"/>
      <c r="DSG14" s="533"/>
      <c r="DSH14" s="533"/>
      <c r="DSI14" s="533"/>
      <c r="DSJ14" s="533"/>
      <c r="DSK14" s="533"/>
      <c r="DSL14" s="533"/>
      <c r="DSM14" s="533"/>
      <c r="DSN14" s="533"/>
      <c r="DSO14" s="533"/>
      <c r="DSP14" s="533"/>
      <c r="DSQ14" s="533"/>
      <c r="DSR14" s="533"/>
      <c r="DSS14" s="533"/>
      <c r="DST14" s="533"/>
      <c r="DSU14" s="533"/>
      <c r="DSV14" s="533"/>
      <c r="DSW14" s="533"/>
      <c r="DSX14" s="533"/>
      <c r="DSY14" s="533"/>
      <c r="DSZ14" s="533"/>
      <c r="DTA14" s="533"/>
      <c r="DTB14" s="533"/>
      <c r="DTC14" s="533"/>
      <c r="DTD14" s="533"/>
      <c r="DTE14" s="533"/>
      <c r="DTF14" s="533"/>
      <c r="DTG14" s="533"/>
      <c r="DTH14" s="533"/>
      <c r="DTI14" s="533"/>
      <c r="DTJ14" s="533"/>
      <c r="DTK14" s="533"/>
      <c r="DTL14" s="533"/>
      <c r="DTM14" s="533"/>
      <c r="DTN14" s="533"/>
      <c r="DTO14" s="533"/>
      <c r="DTP14" s="533"/>
      <c r="DTQ14" s="533"/>
      <c r="DTR14" s="533"/>
      <c r="DTS14" s="533"/>
      <c r="DTT14" s="533"/>
      <c r="DTU14" s="533"/>
      <c r="DTV14" s="533"/>
      <c r="DTW14" s="533"/>
      <c r="DTX14" s="533"/>
      <c r="DTY14" s="533"/>
      <c r="DTZ14" s="533"/>
      <c r="DUA14" s="533"/>
      <c r="DUB14" s="533"/>
      <c r="DUC14" s="533"/>
      <c r="DUD14" s="533"/>
      <c r="DUE14" s="533"/>
      <c r="DUF14" s="533"/>
      <c r="DUG14" s="533"/>
      <c r="DUH14" s="533"/>
      <c r="DUI14" s="533"/>
      <c r="DUJ14" s="533"/>
      <c r="DUK14" s="533"/>
      <c r="DUL14" s="533"/>
      <c r="DUM14" s="533"/>
      <c r="DUN14" s="533"/>
      <c r="DUO14" s="533"/>
      <c r="DUP14" s="533"/>
      <c r="DUQ14" s="533"/>
      <c r="DUR14" s="533"/>
      <c r="DUS14" s="533"/>
      <c r="DUT14" s="533"/>
      <c r="DUU14" s="533"/>
      <c r="DUV14" s="533"/>
      <c r="DUW14" s="533"/>
      <c r="DUX14" s="533"/>
      <c r="DUY14" s="533"/>
      <c r="DUZ14" s="533"/>
      <c r="DVA14" s="533"/>
      <c r="DVB14" s="533"/>
      <c r="DVC14" s="533"/>
      <c r="DVD14" s="533"/>
      <c r="DVE14" s="533"/>
      <c r="DVF14" s="533"/>
      <c r="DVG14" s="533"/>
      <c r="DVH14" s="533"/>
      <c r="DVI14" s="533"/>
      <c r="DVJ14" s="533"/>
      <c r="DVK14" s="533"/>
      <c r="DVL14" s="533"/>
      <c r="DVM14" s="533"/>
      <c r="DVN14" s="533"/>
      <c r="DVO14" s="533"/>
      <c r="DVP14" s="533"/>
      <c r="DVQ14" s="533"/>
      <c r="DVR14" s="533"/>
      <c r="DVS14" s="533"/>
      <c r="DVT14" s="533"/>
      <c r="DVU14" s="533"/>
      <c r="DVV14" s="533"/>
      <c r="DVW14" s="533"/>
      <c r="DVX14" s="533"/>
      <c r="DVY14" s="533"/>
      <c r="DVZ14" s="533"/>
      <c r="DWA14" s="533"/>
      <c r="DWB14" s="533"/>
      <c r="DWC14" s="533"/>
      <c r="DWD14" s="533"/>
      <c r="DWE14" s="533"/>
      <c r="DWF14" s="533"/>
      <c r="DWG14" s="533"/>
      <c r="DWH14" s="533"/>
      <c r="DWI14" s="533"/>
      <c r="DWJ14" s="533"/>
      <c r="DWK14" s="533"/>
      <c r="DWL14" s="533"/>
      <c r="DWM14" s="533"/>
      <c r="DWN14" s="533"/>
      <c r="DWO14" s="533"/>
      <c r="DWP14" s="533"/>
      <c r="DWQ14" s="533"/>
      <c r="DWR14" s="533"/>
      <c r="DWS14" s="533"/>
      <c r="DWT14" s="533"/>
      <c r="DWU14" s="533"/>
      <c r="DWV14" s="533"/>
      <c r="DWW14" s="533"/>
      <c r="DWX14" s="533"/>
      <c r="DWY14" s="533"/>
      <c r="DWZ14" s="533"/>
      <c r="DXA14" s="533"/>
      <c r="DXB14" s="533"/>
      <c r="DXC14" s="533"/>
      <c r="DXD14" s="533"/>
      <c r="DXE14" s="533"/>
      <c r="DXF14" s="533"/>
      <c r="DXG14" s="533"/>
      <c r="DXH14" s="533"/>
      <c r="DXI14" s="533"/>
      <c r="DXJ14" s="533"/>
      <c r="DXK14" s="533"/>
      <c r="DXL14" s="533"/>
      <c r="DXM14" s="533"/>
      <c r="DXN14" s="533"/>
      <c r="DXO14" s="533"/>
      <c r="DXP14" s="533"/>
      <c r="DXQ14" s="533"/>
      <c r="DXR14" s="533"/>
      <c r="DXS14" s="533"/>
      <c r="DXT14" s="533"/>
      <c r="DXU14" s="533"/>
      <c r="DXV14" s="533"/>
      <c r="DXW14" s="533"/>
      <c r="DXX14" s="533"/>
      <c r="DXY14" s="533"/>
      <c r="DXZ14" s="533"/>
      <c r="DYA14" s="533"/>
      <c r="DYB14" s="533"/>
      <c r="DYC14" s="533"/>
      <c r="DYD14" s="533"/>
      <c r="DYE14" s="533"/>
      <c r="DYF14" s="533"/>
      <c r="DYG14" s="533"/>
      <c r="DYH14" s="533"/>
      <c r="DYI14" s="533"/>
      <c r="DYJ14" s="533"/>
      <c r="DYK14" s="533"/>
      <c r="DYL14" s="533"/>
      <c r="DYM14" s="533"/>
      <c r="DYN14" s="533"/>
      <c r="DYO14" s="533"/>
      <c r="DYP14" s="533"/>
      <c r="DYQ14" s="533"/>
      <c r="DYR14" s="533"/>
      <c r="DYS14" s="533"/>
      <c r="DYT14" s="533"/>
      <c r="DYU14" s="533"/>
      <c r="DYV14" s="533"/>
      <c r="DYW14" s="533"/>
      <c r="DYX14" s="533"/>
      <c r="DYY14" s="533"/>
      <c r="DYZ14" s="533"/>
      <c r="DZA14" s="533"/>
      <c r="DZB14" s="533"/>
      <c r="DZC14" s="533"/>
      <c r="DZD14" s="533"/>
      <c r="DZE14" s="533"/>
      <c r="DZF14" s="533"/>
      <c r="DZG14" s="533"/>
      <c r="DZH14" s="533"/>
      <c r="DZI14" s="533"/>
      <c r="DZJ14" s="533"/>
      <c r="DZK14" s="533"/>
      <c r="DZL14" s="533"/>
      <c r="DZM14" s="533"/>
      <c r="DZN14" s="533"/>
      <c r="DZO14" s="533"/>
      <c r="DZP14" s="533"/>
      <c r="DZQ14" s="533"/>
      <c r="DZR14" s="533"/>
      <c r="DZS14" s="533"/>
      <c r="DZT14" s="533"/>
      <c r="DZU14" s="533"/>
      <c r="DZV14" s="533"/>
      <c r="DZW14" s="533"/>
      <c r="DZX14" s="533"/>
      <c r="DZY14" s="533"/>
      <c r="DZZ14" s="533"/>
      <c r="EAA14" s="533"/>
      <c r="EAB14" s="533"/>
      <c r="EAC14" s="533"/>
      <c r="EAD14" s="533"/>
      <c r="EAE14" s="533"/>
      <c r="EAF14" s="533"/>
      <c r="EAG14" s="533"/>
      <c r="EAH14" s="533"/>
      <c r="EAI14" s="533"/>
      <c r="EAJ14" s="533"/>
      <c r="EAK14" s="533"/>
      <c r="EAL14" s="533"/>
      <c r="EAM14" s="533"/>
      <c r="EAN14" s="533"/>
      <c r="EAO14" s="533"/>
      <c r="EAP14" s="533"/>
      <c r="EAQ14" s="533"/>
      <c r="EAR14" s="533"/>
      <c r="EAS14" s="533"/>
      <c r="EAT14" s="533"/>
      <c r="EAU14" s="533"/>
      <c r="EAV14" s="533"/>
      <c r="EAW14" s="533"/>
      <c r="EAX14" s="533"/>
      <c r="EAY14" s="533"/>
      <c r="EAZ14" s="533"/>
      <c r="EBA14" s="533"/>
      <c r="EBB14" s="533"/>
      <c r="EBC14" s="533"/>
      <c r="EBD14" s="533"/>
      <c r="EBE14" s="533"/>
      <c r="EBF14" s="533"/>
      <c r="EBG14" s="533"/>
      <c r="EBH14" s="533"/>
      <c r="EBI14" s="533"/>
      <c r="EBJ14" s="533"/>
      <c r="EBK14" s="533"/>
      <c r="EBL14" s="533"/>
      <c r="EBM14" s="533"/>
      <c r="EBN14" s="533"/>
      <c r="EBO14" s="533"/>
      <c r="EBP14" s="533"/>
      <c r="EBQ14" s="533"/>
      <c r="EBR14" s="533"/>
      <c r="EBS14" s="533"/>
      <c r="EBT14" s="533"/>
      <c r="EBU14" s="533"/>
      <c r="EBV14" s="533"/>
      <c r="EBW14" s="533"/>
      <c r="EBX14" s="533"/>
      <c r="EBY14" s="533"/>
      <c r="EBZ14" s="533"/>
      <c r="ECA14" s="533"/>
      <c r="ECB14" s="533"/>
      <c r="ECC14" s="533"/>
      <c r="ECD14" s="533"/>
      <c r="ECE14" s="533"/>
      <c r="ECF14" s="533"/>
      <c r="ECG14" s="533"/>
      <c r="ECH14" s="533"/>
      <c r="ECI14" s="533"/>
      <c r="ECJ14" s="533"/>
      <c r="ECK14" s="533"/>
      <c r="ECL14" s="533"/>
      <c r="ECM14" s="533"/>
      <c r="ECN14" s="533"/>
      <c r="ECO14" s="533"/>
      <c r="ECP14" s="533"/>
      <c r="ECQ14" s="533"/>
      <c r="ECR14" s="533"/>
      <c r="ECS14" s="533"/>
      <c r="ECT14" s="533"/>
      <c r="ECU14" s="533"/>
      <c r="ECV14" s="533"/>
      <c r="ECW14" s="533"/>
      <c r="ECX14" s="533"/>
      <c r="ECY14" s="533"/>
      <c r="ECZ14" s="533"/>
      <c r="EDA14" s="533"/>
      <c r="EDB14" s="533"/>
      <c r="EDC14" s="533"/>
      <c r="EDD14" s="533"/>
      <c r="EDE14" s="533"/>
      <c r="EDF14" s="533"/>
      <c r="EDG14" s="533"/>
      <c r="EDH14" s="533"/>
      <c r="EDI14" s="533"/>
      <c r="EDJ14" s="533"/>
      <c r="EDK14" s="533"/>
      <c r="EDL14" s="533"/>
      <c r="EDM14" s="533"/>
      <c r="EDN14" s="533"/>
      <c r="EDO14" s="533"/>
      <c r="EDP14" s="533"/>
      <c r="EDQ14" s="533"/>
      <c r="EDR14" s="533"/>
      <c r="EDS14" s="533"/>
      <c r="EDT14" s="533"/>
      <c r="EDU14" s="533"/>
      <c r="EDV14" s="533"/>
      <c r="EDW14" s="533"/>
      <c r="EDX14" s="533"/>
      <c r="EDY14" s="533"/>
      <c r="EDZ14" s="533"/>
      <c r="EEA14" s="533"/>
      <c r="EEB14" s="533"/>
      <c r="EEC14" s="533"/>
      <c r="EED14" s="533"/>
      <c r="EEE14" s="533"/>
      <c r="EEF14" s="533"/>
      <c r="EEG14" s="533"/>
      <c r="EEH14" s="533"/>
      <c r="EEI14" s="533"/>
      <c r="EEJ14" s="533"/>
      <c r="EEK14" s="533"/>
      <c r="EEL14" s="533"/>
      <c r="EEM14" s="533"/>
      <c r="EEN14" s="533"/>
      <c r="EEO14" s="533"/>
      <c r="EEP14" s="533"/>
      <c r="EEQ14" s="533"/>
      <c r="EER14" s="533"/>
      <c r="EES14" s="533"/>
      <c r="EET14" s="533"/>
      <c r="EEU14" s="533"/>
      <c r="EEV14" s="533"/>
      <c r="EEW14" s="533"/>
      <c r="EEX14" s="533"/>
      <c r="EEY14" s="533"/>
      <c r="EEZ14" s="533"/>
      <c r="EFA14" s="533"/>
      <c r="EFB14" s="533"/>
      <c r="EFC14" s="533"/>
      <c r="EFD14" s="533"/>
      <c r="EFE14" s="533"/>
      <c r="EFF14" s="533"/>
      <c r="EFG14" s="533"/>
      <c r="EFH14" s="533"/>
      <c r="EFI14" s="533"/>
      <c r="EFJ14" s="533"/>
      <c r="EFK14" s="533"/>
      <c r="EFL14" s="533"/>
      <c r="EFM14" s="533"/>
      <c r="EFN14" s="533"/>
      <c r="EFO14" s="533"/>
      <c r="EFP14" s="533"/>
      <c r="EFQ14" s="533"/>
      <c r="EFR14" s="533"/>
      <c r="EFS14" s="533"/>
      <c r="EFT14" s="533"/>
      <c r="EFU14" s="533"/>
      <c r="EFV14" s="533"/>
      <c r="EFW14" s="533"/>
      <c r="EFX14" s="533"/>
      <c r="EFY14" s="533"/>
      <c r="EFZ14" s="533"/>
      <c r="EGA14" s="533"/>
      <c r="EGB14" s="533"/>
      <c r="EGC14" s="533"/>
      <c r="EGD14" s="533"/>
      <c r="EGE14" s="533"/>
      <c r="EGF14" s="533"/>
      <c r="EGG14" s="533"/>
      <c r="EGH14" s="533"/>
      <c r="EGI14" s="533"/>
      <c r="EGJ14" s="533"/>
      <c r="EGK14" s="533"/>
      <c r="EGL14" s="533"/>
      <c r="EGM14" s="533"/>
      <c r="EGN14" s="533"/>
      <c r="EGO14" s="533"/>
      <c r="EGP14" s="533"/>
      <c r="EGQ14" s="533"/>
      <c r="EGR14" s="533"/>
      <c r="EGS14" s="533"/>
      <c r="EGT14" s="533"/>
      <c r="EGU14" s="533"/>
      <c r="EGV14" s="533"/>
      <c r="EGW14" s="533"/>
      <c r="EGX14" s="533"/>
      <c r="EGY14" s="533"/>
      <c r="EGZ14" s="533"/>
      <c r="EHA14" s="533"/>
      <c r="EHB14" s="533"/>
      <c r="EHC14" s="533"/>
      <c r="EHD14" s="533"/>
      <c r="EHE14" s="533"/>
      <c r="EHF14" s="533"/>
      <c r="EHG14" s="533"/>
      <c r="EHH14" s="533"/>
      <c r="EHI14" s="533"/>
      <c r="EHJ14" s="533"/>
      <c r="EHK14" s="533"/>
      <c r="EHL14" s="533"/>
      <c r="EHM14" s="533"/>
      <c r="EHN14" s="533"/>
      <c r="EHO14" s="533"/>
      <c r="EHP14" s="533"/>
      <c r="EHQ14" s="533"/>
      <c r="EHR14" s="533"/>
      <c r="EHS14" s="533"/>
      <c r="EHT14" s="533"/>
      <c r="EHU14" s="533"/>
      <c r="EHV14" s="533"/>
      <c r="EHW14" s="533"/>
      <c r="EHX14" s="533"/>
      <c r="EHY14" s="533"/>
      <c r="EHZ14" s="533"/>
      <c r="EIA14" s="533"/>
      <c r="EIB14" s="533"/>
      <c r="EIC14" s="533"/>
      <c r="EID14" s="533"/>
      <c r="EIE14" s="533"/>
      <c r="EIF14" s="533"/>
      <c r="EIG14" s="533"/>
      <c r="EIH14" s="533"/>
      <c r="EII14" s="533"/>
      <c r="EIJ14" s="533"/>
      <c r="EIK14" s="533"/>
      <c r="EIL14" s="533"/>
      <c r="EIM14" s="533"/>
      <c r="EIN14" s="533"/>
      <c r="EIO14" s="533"/>
      <c r="EIP14" s="533"/>
      <c r="EIQ14" s="533"/>
      <c r="EIR14" s="533"/>
      <c r="EIS14" s="533"/>
      <c r="EIT14" s="533"/>
      <c r="EIU14" s="533"/>
      <c r="EIV14" s="533"/>
      <c r="EIW14" s="533"/>
      <c r="EIX14" s="533"/>
      <c r="EIY14" s="533"/>
      <c r="EIZ14" s="533"/>
      <c r="EJA14" s="533"/>
      <c r="EJB14" s="533"/>
      <c r="EJC14" s="533"/>
      <c r="EJD14" s="533"/>
      <c r="EJE14" s="533"/>
      <c r="EJF14" s="533"/>
      <c r="EJG14" s="533"/>
      <c r="EJH14" s="533"/>
      <c r="EJI14" s="533"/>
      <c r="EJJ14" s="533"/>
      <c r="EJK14" s="533"/>
      <c r="EJL14" s="533"/>
      <c r="EJM14" s="533"/>
      <c r="EJN14" s="533"/>
      <c r="EJO14" s="533"/>
      <c r="EJP14" s="533"/>
      <c r="EJQ14" s="533"/>
      <c r="EJR14" s="533"/>
      <c r="EJS14" s="533"/>
      <c r="EJT14" s="533"/>
      <c r="EJU14" s="533"/>
      <c r="EJV14" s="533"/>
      <c r="EJW14" s="533"/>
      <c r="EJX14" s="533"/>
      <c r="EJY14" s="533"/>
      <c r="EJZ14" s="533"/>
      <c r="EKA14" s="533"/>
      <c r="EKB14" s="533"/>
      <c r="EKC14" s="533"/>
      <c r="EKD14" s="533"/>
      <c r="EKE14" s="533"/>
      <c r="EKF14" s="533"/>
      <c r="EKG14" s="533"/>
      <c r="EKH14" s="533"/>
      <c r="EKI14" s="533"/>
      <c r="EKJ14" s="533"/>
      <c r="EKK14" s="533"/>
      <c r="EKL14" s="533"/>
      <c r="EKM14" s="533"/>
      <c r="EKN14" s="533"/>
      <c r="EKO14" s="533"/>
      <c r="EKP14" s="533"/>
      <c r="EKQ14" s="533"/>
      <c r="EKR14" s="533"/>
      <c r="EKS14" s="533"/>
      <c r="EKT14" s="533"/>
      <c r="EKU14" s="533"/>
      <c r="EKV14" s="533"/>
      <c r="EKW14" s="533"/>
      <c r="EKX14" s="533"/>
      <c r="EKY14" s="533"/>
      <c r="EKZ14" s="533"/>
      <c r="ELA14" s="533"/>
      <c r="ELB14" s="533"/>
      <c r="ELC14" s="533"/>
      <c r="ELD14" s="533"/>
      <c r="ELE14" s="533"/>
      <c r="ELF14" s="533"/>
      <c r="ELG14" s="533"/>
      <c r="ELH14" s="533"/>
      <c r="ELI14" s="533"/>
      <c r="ELJ14" s="533"/>
      <c r="ELK14" s="533"/>
      <c r="ELL14" s="533"/>
      <c r="ELM14" s="533"/>
      <c r="ELN14" s="533"/>
      <c r="ELO14" s="533"/>
      <c r="ELP14" s="533"/>
      <c r="ELQ14" s="533"/>
      <c r="ELR14" s="533"/>
      <c r="ELS14" s="533"/>
      <c r="ELT14" s="533"/>
      <c r="ELU14" s="533"/>
      <c r="ELV14" s="533"/>
      <c r="ELW14" s="533"/>
      <c r="ELX14" s="533"/>
      <c r="ELY14" s="533"/>
      <c r="ELZ14" s="533"/>
      <c r="EMA14" s="533"/>
      <c r="EMB14" s="533"/>
      <c r="EMC14" s="533"/>
      <c r="EMD14" s="533"/>
      <c r="EME14" s="533"/>
      <c r="EMF14" s="533"/>
      <c r="EMG14" s="533"/>
      <c r="EMH14" s="533"/>
      <c r="EMI14" s="533"/>
      <c r="EMJ14" s="533"/>
      <c r="EMK14" s="533"/>
      <c r="EML14" s="533"/>
      <c r="EMM14" s="533"/>
      <c r="EMN14" s="533"/>
      <c r="EMO14" s="533"/>
      <c r="EMP14" s="533"/>
      <c r="EMQ14" s="533"/>
      <c r="EMR14" s="533"/>
      <c r="EMS14" s="533"/>
      <c r="EMT14" s="533"/>
      <c r="EMU14" s="533"/>
      <c r="EMV14" s="533"/>
      <c r="EMW14" s="533"/>
      <c r="EMX14" s="533"/>
      <c r="EMY14" s="533"/>
      <c r="EMZ14" s="533"/>
      <c r="ENA14" s="533"/>
      <c r="ENB14" s="533"/>
      <c r="ENC14" s="533"/>
      <c r="END14" s="533"/>
      <c r="ENE14" s="533"/>
      <c r="ENF14" s="533"/>
      <c r="ENG14" s="533"/>
      <c r="ENH14" s="533"/>
      <c r="ENI14" s="533"/>
      <c r="ENJ14" s="533"/>
      <c r="ENK14" s="533"/>
      <c r="ENL14" s="533"/>
      <c r="ENM14" s="533"/>
      <c r="ENN14" s="533"/>
      <c r="ENO14" s="533"/>
      <c r="ENP14" s="533"/>
      <c r="ENQ14" s="533"/>
      <c r="ENR14" s="533"/>
      <c r="ENS14" s="533"/>
      <c r="ENT14" s="533"/>
      <c r="ENU14" s="533"/>
      <c r="ENV14" s="533"/>
      <c r="ENW14" s="533"/>
      <c r="ENX14" s="533"/>
      <c r="ENY14" s="533"/>
      <c r="ENZ14" s="533"/>
      <c r="EOA14" s="533"/>
      <c r="EOB14" s="533"/>
      <c r="EOC14" s="533"/>
      <c r="EOD14" s="533"/>
      <c r="EOE14" s="533"/>
      <c r="EOF14" s="533"/>
      <c r="EOG14" s="533"/>
      <c r="EOH14" s="533"/>
      <c r="EOI14" s="533"/>
      <c r="EOJ14" s="533"/>
      <c r="EOK14" s="533"/>
      <c r="EOL14" s="533"/>
      <c r="EOM14" s="533"/>
      <c r="EON14" s="533"/>
      <c r="EOO14" s="533"/>
      <c r="EOP14" s="533"/>
      <c r="EOQ14" s="533"/>
      <c r="EOR14" s="533"/>
      <c r="EOS14" s="533"/>
      <c r="EOT14" s="533"/>
      <c r="EOU14" s="533"/>
      <c r="EOV14" s="533"/>
      <c r="EOW14" s="533"/>
      <c r="EOX14" s="533"/>
      <c r="EOY14" s="533"/>
      <c r="EOZ14" s="533"/>
      <c r="EPA14" s="533"/>
      <c r="EPB14" s="533"/>
      <c r="EPC14" s="533"/>
      <c r="EPD14" s="533"/>
      <c r="EPE14" s="533"/>
      <c r="EPF14" s="533"/>
      <c r="EPG14" s="533"/>
      <c r="EPH14" s="533"/>
      <c r="EPI14" s="533"/>
      <c r="EPJ14" s="533"/>
      <c r="EPK14" s="533"/>
      <c r="EPL14" s="533"/>
      <c r="EPM14" s="533"/>
      <c r="EPN14" s="533"/>
      <c r="EPO14" s="533"/>
      <c r="EPP14" s="533"/>
      <c r="EPQ14" s="533"/>
      <c r="EPR14" s="533"/>
      <c r="EPS14" s="533"/>
      <c r="EPT14" s="533"/>
      <c r="EPU14" s="533"/>
      <c r="EPV14" s="533"/>
      <c r="EPW14" s="533"/>
      <c r="EPX14" s="533"/>
      <c r="EPY14" s="533"/>
      <c r="EPZ14" s="533"/>
      <c r="EQA14" s="533"/>
      <c r="EQB14" s="533"/>
      <c r="EQC14" s="533"/>
      <c r="EQD14" s="533"/>
      <c r="EQE14" s="533"/>
      <c r="EQF14" s="533"/>
      <c r="EQG14" s="533"/>
      <c r="EQH14" s="533"/>
      <c r="EQI14" s="533"/>
      <c r="EQJ14" s="533"/>
      <c r="EQK14" s="533"/>
      <c r="EQL14" s="533"/>
      <c r="EQM14" s="533"/>
      <c r="EQN14" s="533"/>
      <c r="EQO14" s="533"/>
      <c r="EQP14" s="533"/>
      <c r="EQQ14" s="533"/>
      <c r="EQR14" s="533"/>
      <c r="EQS14" s="533"/>
      <c r="EQT14" s="533"/>
      <c r="EQU14" s="533"/>
      <c r="EQV14" s="533"/>
      <c r="EQW14" s="533"/>
      <c r="EQX14" s="533"/>
      <c r="EQY14" s="533"/>
      <c r="EQZ14" s="533"/>
      <c r="ERA14" s="533"/>
      <c r="ERB14" s="533"/>
      <c r="ERC14" s="533"/>
      <c r="ERD14" s="533"/>
      <c r="ERE14" s="533"/>
      <c r="ERF14" s="533"/>
      <c r="ERG14" s="533"/>
      <c r="ERH14" s="533"/>
      <c r="ERI14" s="533"/>
      <c r="ERJ14" s="533"/>
      <c r="ERK14" s="533"/>
      <c r="ERL14" s="533"/>
      <c r="ERM14" s="533"/>
      <c r="ERN14" s="533"/>
      <c r="ERO14" s="533"/>
      <c r="ERP14" s="533"/>
      <c r="ERQ14" s="533"/>
      <c r="ERR14" s="533"/>
      <c r="ERS14" s="533"/>
      <c r="ERT14" s="533"/>
      <c r="ERU14" s="533"/>
      <c r="ERV14" s="533"/>
      <c r="ERW14" s="533"/>
      <c r="ERX14" s="533"/>
      <c r="ERY14" s="533"/>
      <c r="ERZ14" s="533"/>
      <c r="ESA14" s="533"/>
      <c r="ESB14" s="533"/>
      <c r="ESC14" s="533"/>
      <c r="ESD14" s="533"/>
      <c r="ESE14" s="533"/>
      <c r="ESF14" s="533"/>
      <c r="ESG14" s="533"/>
      <c r="ESH14" s="533"/>
      <c r="ESI14" s="533"/>
      <c r="ESJ14" s="533"/>
      <c r="ESK14" s="533"/>
      <c r="ESL14" s="533"/>
      <c r="ESM14" s="533"/>
      <c r="ESN14" s="533"/>
      <c r="ESO14" s="533"/>
      <c r="ESP14" s="533"/>
      <c r="ESQ14" s="533"/>
      <c r="ESR14" s="533"/>
      <c r="ESS14" s="533"/>
      <c r="EST14" s="533"/>
      <c r="ESU14" s="533"/>
      <c r="ESV14" s="533"/>
      <c r="ESW14" s="533"/>
      <c r="ESX14" s="533"/>
      <c r="ESY14" s="533"/>
      <c r="ESZ14" s="533"/>
      <c r="ETA14" s="533"/>
      <c r="ETB14" s="533"/>
      <c r="ETC14" s="533"/>
      <c r="ETD14" s="533"/>
      <c r="ETE14" s="533"/>
      <c r="ETF14" s="533"/>
      <c r="ETG14" s="533"/>
      <c r="ETH14" s="533"/>
      <c r="ETI14" s="533"/>
      <c r="ETJ14" s="533"/>
      <c r="ETK14" s="533"/>
      <c r="ETL14" s="533"/>
      <c r="ETM14" s="533"/>
      <c r="ETN14" s="533"/>
      <c r="ETO14" s="533"/>
      <c r="ETP14" s="533"/>
      <c r="ETQ14" s="533"/>
      <c r="ETR14" s="533"/>
      <c r="ETS14" s="533"/>
      <c r="ETT14" s="533"/>
      <c r="ETU14" s="533"/>
      <c r="ETV14" s="533"/>
      <c r="ETW14" s="533"/>
      <c r="ETX14" s="533"/>
      <c r="ETY14" s="533"/>
      <c r="ETZ14" s="533"/>
      <c r="EUA14" s="533"/>
      <c r="EUB14" s="533"/>
      <c r="EUC14" s="533"/>
      <c r="EUD14" s="533"/>
      <c r="EUE14" s="533"/>
      <c r="EUF14" s="533"/>
      <c r="EUG14" s="533"/>
      <c r="EUH14" s="533"/>
      <c r="EUI14" s="533"/>
      <c r="EUJ14" s="533"/>
      <c r="EUK14" s="533"/>
      <c r="EUL14" s="533"/>
      <c r="EUM14" s="533"/>
      <c r="EUN14" s="533"/>
      <c r="EUO14" s="533"/>
      <c r="EUP14" s="533"/>
      <c r="EUQ14" s="533"/>
      <c r="EUR14" s="533"/>
      <c r="EUS14" s="533"/>
      <c r="EUT14" s="533"/>
      <c r="EUU14" s="533"/>
      <c r="EUV14" s="533"/>
      <c r="EUW14" s="533"/>
      <c r="EUX14" s="533"/>
      <c r="EUY14" s="533"/>
      <c r="EUZ14" s="533"/>
      <c r="EVA14" s="533"/>
      <c r="EVB14" s="533"/>
      <c r="EVC14" s="533"/>
      <c r="EVD14" s="533"/>
      <c r="EVE14" s="533"/>
      <c r="EVF14" s="533"/>
      <c r="EVG14" s="533"/>
      <c r="EVH14" s="533"/>
      <c r="EVI14" s="533"/>
      <c r="EVJ14" s="533"/>
      <c r="EVK14" s="533"/>
      <c r="EVL14" s="533"/>
      <c r="EVM14" s="533"/>
      <c r="EVN14" s="533"/>
      <c r="EVO14" s="533"/>
      <c r="EVP14" s="533"/>
      <c r="EVQ14" s="533"/>
      <c r="EVR14" s="533"/>
      <c r="EVS14" s="533"/>
      <c r="EVT14" s="533"/>
      <c r="EVU14" s="533"/>
      <c r="EVV14" s="533"/>
      <c r="EVW14" s="533"/>
      <c r="EVX14" s="533"/>
      <c r="EVY14" s="533"/>
      <c r="EVZ14" s="533"/>
      <c r="EWA14" s="533"/>
      <c r="EWB14" s="533"/>
      <c r="EWC14" s="533"/>
      <c r="EWD14" s="533"/>
      <c r="EWE14" s="533"/>
      <c r="EWF14" s="533"/>
      <c r="EWG14" s="533"/>
      <c r="EWH14" s="533"/>
      <c r="EWI14" s="533"/>
      <c r="EWJ14" s="533"/>
      <c r="EWK14" s="533"/>
      <c r="EWL14" s="533"/>
      <c r="EWM14" s="533"/>
      <c r="EWN14" s="533"/>
      <c r="EWO14" s="533"/>
      <c r="EWP14" s="533"/>
      <c r="EWQ14" s="533"/>
      <c r="EWR14" s="533"/>
      <c r="EWS14" s="533"/>
      <c r="EWT14" s="533"/>
      <c r="EWU14" s="533"/>
      <c r="EWV14" s="533"/>
      <c r="EWW14" s="533"/>
      <c r="EWX14" s="533"/>
      <c r="EWY14" s="533"/>
      <c r="EWZ14" s="533"/>
      <c r="EXA14" s="533"/>
      <c r="EXB14" s="533"/>
      <c r="EXC14" s="533"/>
      <c r="EXD14" s="533"/>
      <c r="EXE14" s="533"/>
      <c r="EXF14" s="533"/>
      <c r="EXG14" s="533"/>
      <c r="EXH14" s="533"/>
      <c r="EXI14" s="533"/>
      <c r="EXJ14" s="533"/>
      <c r="EXK14" s="533"/>
      <c r="EXL14" s="533"/>
      <c r="EXM14" s="533"/>
      <c r="EXN14" s="533"/>
      <c r="EXO14" s="533"/>
      <c r="EXP14" s="533"/>
      <c r="EXQ14" s="533"/>
      <c r="EXR14" s="533"/>
      <c r="EXS14" s="533"/>
      <c r="EXT14" s="533"/>
      <c r="EXU14" s="533"/>
      <c r="EXV14" s="533"/>
      <c r="EXW14" s="533"/>
      <c r="EXX14" s="533"/>
      <c r="EXY14" s="533"/>
      <c r="EXZ14" s="533"/>
      <c r="EYA14" s="533"/>
      <c r="EYB14" s="533"/>
      <c r="EYC14" s="533"/>
      <c r="EYD14" s="533"/>
      <c r="EYE14" s="533"/>
      <c r="EYF14" s="533"/>
      <c r="EYG14" s="533"/>
      <c r="EYH14" s="533"/>
      <c r="EYI14" s="533"/>
      <c r="EYJ14" s="533"/>
      <c r="EYK14" s="533"/>
      <c r="EYL14" s="533"/>
      <c r="EYM14" s="533"/>
      <c r="EYN14" s="533"/>
      <c r="EYO14" s="533"/>
      <c r="EYP14" s="533"/>
      <c r="EYQ14" s="533"/>
      <c r="EYR14" s="533"/>
      <c r="EYS14" s="533"/>
      <c r="EYT14" s="533"/>
      <c r="EYU14" s="533"/>
      <c r="EYV14" s="533"/>
      <c r="EYW14" s="533"/>
      <c r="EYX14" s="533"/>
      <c r="EYY14" s="533"/>
      <c r="EYZ14" s="533"/>
      <c r="EZA14" s="533"/>
      <c r="EZB14" s="533"/>
      <c r="EZC14" s="533"/>
      <c r="EZD14" s="533"/>
      <c r="EZE14" s="533"/>
      <c r="EZF14" s="533"/>
      <c r="EZG14" s="533"/>
      <c r="EZH14" s="533"/>
      <c r="EZI14" s="533"/>
      <c r="EZJ14" s="533"/>
      <c r="EZK14" s="533"/>
      <c r="EZL14" s="533"/>
      <c r="EZM14" s="533"/>
      <c r="EZN14" s="533"/>
      <c r="EZO14" s="533"/>
      <c r="EZP14" s="533"/>
      <c r="EZQ14" s="533"/>
      <c r="EZR14" s="533"/>
      <c r="EZS14" s="533"/>
      <c r="EZT14" s="533"/>
      <c r="EZU14" s="533"/>
      <c r="EZV14" s="533"/>
      <c r="EZW14" s="533"/>
      <c r="EZX14" s="533"/>
      <c r="EZY14" s="533"/>
      <c r="EZZ14" s="533"/>
      <c r="FAA14" s="533"/>
      <c r="FAB14" s="533"/>
      <c r="FAC14" s="533"/>
      <c r="FAD14" s="533"/>
      <c r="FAE14" s="533"/>
      <c r="FAF14" s="533"/>
      <c r="FAG14" s="533"/>
      <c r="FAH14" s="533"/>
      <c r="FAI14" s="533"/>
      <c r="FAJ14" s="533"/>
      <c r="FAK14" s="533"/>
      <c r="FAL14" s="533"/>
      <c r="FAM14" s="533"/>
      <c r="FAN14" s="533"/>
      <c r="FAO14" s="533"/>
      <c r="FAP14" s="533"/>
      <c r="FAQ14" s="533"/>
      <c r="FAR14" s="533"/>
      <c r="FAS14" s="533"/>
      <c r="FAT14" s="533"/>
      <c r="FAU14" s="533"/>
      <c r="FAV14" s="533"/>
      <c r="FAW14" s="533"/>
      <c r="FAX14" s="533"/>
      <c r="FAY14" s="533"/>
      <c r="FAZ14" s="533"/>
      <c r="FBA14" s="533"/>
      <c r="FBB14" s="533"/>
      <c r="FBC14" s="533"/>
      <c r="FBD14" s="533"/>
      <c r="FBE14" s="533"/>
      <c r="FBF14" s="533"/>
      <c r="FBG14" s="533"/>
      <c r="FBH14" s="533"/>
      <c r="FBI14" s="533"/>
      <c r="FBJ14" s="533"/>
      <c r="FBK14" s="533"/>
      <c r="FBL14" s="533"/>
      <c r="FBM14" s="533"/>
      <c r="FBN14" s="533"/>
      <c r="FBO14" s="533"/>
      <c r="FBP14" s="533"/>
      <c r="FBQ14" s="533"/>
      <c r="FBR14" s="533"/>
      <c r="FBS14" s="533"/>
      <c r="FBT14" s="533"/>
      <c r="FBU14" s="533"/>
      <c r="FBV14" s="533"/>
      <c r="FBW14" s="533"/>
      <c r="FBX14" s="533"/>
      <c r="FBY14" s="533"/>
      <c r="FBZ14" s="533"/>
      <c r="FCA14" s="533"/>
      <c r="FCB14" s="533"/>
      <c r="FCC14" s="533"/>
      <c r="FCD14" s="533"/>
      <c r="FCE14" s="533"/>
      <c r="FCF14" s="533"/>
      <c r="FCG14" s="533"/>
      <c r="FCH14" s="533"/>
      <c r="FCI14" s="533"/>
      <c r="FCJ14" s="533"/>
      <c r="FCK14" s="533"/>
      <c r="FCL14" s="533"/>
      <c r="FCM14" s="533"/>
      <c r="FCN14" s="533"/>
      <c r="FCO14" s="533"/>
      <c r="FCP14" s="533"/>
      <c r="FCQ14" s="533"/>
      <c r="FCR14" s="533"/>
      <c r="FCS14" s="533"/>
      <c r="FCT14" s="533"/>
      <c r="FCU14" s="533"/>
      <c r="FCV14" s="533"/>
      <c r="FCW14" s="533"/>
      <c r="FCX14" s="533"/>
      <c r="FCY14" s="533"/>
      <c r="FCZ14" s="533"/>
      <c r="FDA14" s="533"/>
      <c r="FDB14" s="533"/>
      <c r="FDC14" s="533"/>
      <c r="FDD14" s="533"/>
      <c r="FDE14" s="533"/>
      <c r="FDF14" s="533"/>
      <c r="FDG14" s="533"/>
      <c r="FDH14" s="533"/>
      <c r="FDI14" s="533"/>
      <c r="FDJ14" s="533"/>
      <c r="FDK14" s="533"/>
      <c r="FDL14" s="533"/>
      <c r="FDM14" s="533"/>
      <c r="FDN14" s="533"/>
      <c r="FDO14" s="533"/>
      <c r="FDP14" s="533"/>
      <c r="FDQ14" s="533"/>
      <c r="FDR14" s="533"/>
      <c r="FDS14" s="533"/>
      <c r="FDT14" s="533"/>
      <c r="FDU14" s="533"/>
      <c r="FDV14" s="533"/>
      <c r="FDW14" s="533"/>
      <c r="FDX14" s="533"/>
      <c r="FDY14" s="533"/>
      <c r="FDZ14" s="533"/>
      <c r="FEA14" s="533"/>
      <c r="FEB14" s="533"/>
      <c r="FEC14" s="533"/>
      <c r="FED14" s="533"/>
      <c r="FEE14" s="533"/>
      <c r="FEF14" s="533"/>
      <c r="FEG14" s="533"/>
      <c r="FEH14" s="533"/>
      <c r="FEI14" s="533"/>
      <c r="FEJ14" s="533"/>
      <c r="FEK14" s="533"/>
      <c r="FEL14" s="533"/>
      <c r="FEM14" s="533"/>
      <c r="FEN14" s="533"/>
      <c r="FEO14" s="533"/>
      <c r="FEP14" s="533"/>
      <c r="FEQ14" s="533"/>
      <c r="FER14" s="533"/>
      <c r="FES14" s="533"/>
      <c r="FET14" s="533"/>
      <c r="FEU14" s="533"/>
      <c r="FEV14" s="533"/>
      <c r="FEW14" s="533"/>
      <c r="FEX14" s="533"/>
      <c r="FEY14" s="533"/>
      <c r="FEZ14" s="533"/>
      <c r="FFA14" s="533"/>
      <c r="FFB14" s="533"/>
      <c r="FFC14" s="533"/>
      <c r="FFD14" s="533"/>
      <c r="FFE14" s="533"/>
      <c r="FFF14" s="533"/>
      <c r="FFG14" s="533"/>
      <c r="FFH14" s="533"/>
      <c r="FFI14" s="533"/>
      <c r="FFJ14" s="533"/>
      <c r="FFK14" s="533"/>
      <c r="FFL14" s="533"/>
      <c r="FFM14" s="533"/>
      <c r="FFN14" s="533"/>
      <c r="FFO14" s="533"/>
      <c r="FFP14" s="533"/>
      <c r="FFQ14" s="533"/>
      <c r="FFR14" s="533"/>
      <c r="FFS14" s="533"/>
      <c r="FFT14" s="533"/>
      <c r="FFU14" s="533"/>
      <c r="FFV14" s="533"/>
      <c r="FFW14" s="533"/>
      <c r="FFX14" s="533"/>
      <c r="FFY14" s="533"/>
      <c r="FFZ14" s="533"/>
      <c r="FGA14" s="533"/>
      <c r="FGB14" s="533"/>
      <c r="FGC14" s="533"/>
      <c r="FGD14" s="533"/>
      <c r="FGE14" s="533"/>
      <c r="FGF14" s="533"/>
      <c r="FGG14" s="533"/>
      <c r="FGH14" s="533"/>
      <c r="FGI14" s="533"/>
      <c r="FGJ14" s="533"/>
      <c r="FGK14" s="533"/>
      <c r="FGL14" s="533"/>
      <c r="FGM14" s="533"/>
      <c r="FGN14" s="533"/>
      <c r="FGO14" s="533"/>
      <c r="FGP14" s="533"/>
      <c r="FGQ14" s="533"/>
      <c r="FGR14" s="533"/>
      <c r="FGS14" s="533"/>
      <c r="FGT14" s="533"/>
      <c r="FGU14" s="533"/>
      <c r="FGV14" s="533"/>
      <c r="FGW14" s="533"/>
      <c r="FGX14" s="533"/>
      <c r="FGY14" s="533"/>
      <c r="FGZ14" s="533"/>
      <c r="FHA14" s="533"/>
      <c r="FHB14" s="533"/>
      <c r="FHC14" s="533"/>
      <c r="FHD14" s="533"/>
      <c r="FHE14" s="533"/>
      <c r="FHF14" s="533"/>
      <c r="FHG14" s="533"/>
      <c r="FHH14" s="533"/>
      <c r="FHI14" s="533"/>
      <c r="FHJ14" s="533"/>
      <c r="FHK14" s="533"/>
      <c r="FHL14" s="533"/>
      <c r="FHM14" s="533"/>
      <c r="FHN14" s="533"/>
      <c r="FHO14" s="533"/>
      <c r="FHP14" s="533"/>
      <c r="FHQ14" s="533"/>
      <c r="FHR14" s="533"/>
      <c r="FHS14" s="533"/>
      <c r="FHT14" s="533"/>
      <c r="FHU14" s="533"/>
      <c r="FHV14" s="533"/>
      <c r="FHW14" s="533"/>
      <c r="FHX14" s="533"/>
      <c r="FHY14" s="533"/>
      <c r="FHZ14" s="533"/>
      <c r="FIA14" s="533"/>
      <c r="FIB14" s="533"/>
      <c r="FIC14" s="533"/>
      <c r="FID14" s="533"/>
      <c r="FIE14" s="533"/>
      <c r="FIF14" s="533"/>
      <c r="FIG14" s="533"/>
      <c r="FIH14" s="533"/>
      <c r="FII14" s="533"/>
      <c r="FIJ14" s="533"/>
      <c r="FIK14" s="533"/>
      <c r="FIL14" s="533"/>
      <c r="FIM14" s="533"/>
      <c r="FIN14" s="533"/>
      <c r="FIO14" s="533"/>
      <c r="FIP14" s="533"/>
      <c r="FIQ14" s="533"/>
      <c r="FIR14" s="533"/>
      <c r="FIS14" s="533"/>
      <c r="FIT14" s="533"/>
      <c r="FIU14" s="533"/>
      <c r="FIV14" s="533"/>
      <c r="FIW14" s="533"/>
      <c r="FIX14" s="533"/>
      <c r="FIY14" s="533"/>
      <c r="FIZ14" s="533"/>
      <c r="FJA14" s="533"/>
      <c r="FJB14" s="533"/>
      <c r="FJC14" s="533"/>
      <c r="FJD14" s="533"/>
      <c r="FJE14" s="533"/>
      <c r="FJF14" s="533"/>
      <c r="FJG14" s="533"/>
      <c r="FJH14" s="533"/>
      <c r="FJI14" s="533"/>
      <c r="FJJ14" s="533"/>
      <c r="FJK14" s="533"/>
      <c r="FJL14" s="533"/>
      <c r="FJM14" s="533"/>
      <c r="FJN14" s="533"/>
      <c r="FJO14" s="533"/>
      <c r="FJP14" s="533"/>
      <c r="FJQ14" s="533"/>
      <c r="FJR14" s="533"/>
      <c r="FJS14" s="533"/>
      <c r="FJT14" s="533"/>
      <c r="FJU14" s="533"/>
      <c r="FJV14" s="533"/>
      <c r="FJW14" s="533"/>
      <c r="FJX14" s="533"/>
      <c r="FJY14" s="533"/>
      <c r="FJZ14" s="533"/>
      <c r="FKA14" s="533"/>
      <c r="FKB14" s="533"/>
      <c r="FKC14" s="533"/>
      <c r="FKD14" s="533"/>
      <c r="FKE14" s="533"/>
      <c r="FKF14" s="533"/>
      <c r="FKG14" s="533"/>
      <c r="FKH14" s="533"/>
      <c r="FKI14" s="533"/>
      <c r="FKJ14" s="533"/>
      <c r="FKK14" s="533"/>
      <c r="FKL14" s="533"/>
      <c r="FKM14" s="533"/>
      <c r="FKN14" s="533"/>
      <c r="FKO14" s="533"/>
      <c r="FKP14" s="533"/>
      <c r="FKQ14" s="533"/>
      <c r="FKR14" s="533"/>
      <c r="FKS14" s="533"/>
      <c r="FKT14" s="533"/>
      <c r="FKU14" s="533"/>
      <c r="FKV14" s="533"/>
      <c r="FKW14" s="533"/>
      <c r="FKX14" s="533"/>
      <c r="FKY14" s="533"/>
      <c r="FKZ14" s="533"/>
      <c r="FLA14" s="533"/>
      <c r="FLB14" s="533"/>
      <c r="FLC14" s="533"/>
      <c r="FLD14" s="533"/>
      <c r="FLE14" s="533"/>
      <c r="FLF14" s="533"/>
      <c r="FLG14" s="533"/>
      <c r="FLH14" s="533"/>
      <c r="FLI14" s="533"/>
      <c r="FLJ14" s="533"/>
      <c r="FLK14" s="533"/>
      <c r="FLL14" s="533"/>
      <c r="FLM14" s="533"/>
      <c r="FLN14" s="533"/>
      <c r="FLO14" s="533"/>
      <c r="FLP14" s="533"/>
      <c r="FLQ14" s="533"/>
      <c r="FLR14" s="533"/>
      <c r="FLS14" s="533"/>
      <c r="FLT14" s="533"/>
      <c r="FLU14" s="533"/>
      <c r="FLV14" s="533"/>
      <c r="FLW14" s="533"/>
      <c r="FLX14" s="533"/>
      <c r="FLY14" s="533"/>
      <c r="FLZ14" s="533"/>
      <c r="FMA14" s="533"/>
      <c r="FMB14" s="533"/>
      <c r="FMC14" s="533"/>
      <c r="FMD14" s="533"/>
      <c r="FME14" s="533"/>
      <c r="FMF14" s="533"/>
      <c r="FMG14" s="533"/>
      <c r="FMH14" s="533"/>
      <c r="FMI14" s="533"/>
      <c r="FMJ14" s="533"/>
      <c r="FMK14" s="533"/>
      <c r="FML14" s="533"/>
      <c r="FMM14" s="533"/>
      <c r="FMN14" s="533"/>
      <c r="FMO14" s="533"/>
      <c r="FMP14" s="533"/>
      <c r="FMQ14" s="533"/>
      <c r="FMR14" s="533"/>
      <c r="FMS14" s="533"/>
      <c r="FMT14" s="533"/>
      <c r="FMU14" s="533"/>
      <c r="FMV14" s="533"/>
      <c r="FMW14" s="533"/>
      <c r="FMX14" s="533"/>
      <c r="FMY14" s="533"/>
      <c r="FMZ14" s="533"/>
      <c r="FNA14" s="533"/>
      <c r="FNB14" s="533"/>
      <c r="FNC14" s="533"/>
      <c r="FND14" s="533"/>
      <c r="FNE14" s="533"/>
      <c r="FNF14" s="533"/>
      <c r="FNG14" s="533"/>
      <c r="FNH14" s="533"/>
      <c r="FNI14" s="533"/>
      <c r="FNJ14" s="533"/>
      <c r="FNK14" s="533"/>
      <c r="FNL14" s="533"/>
      <c r="FNM14" s="533"/>
      <c r="FNN14" s="533"/>
      <c r="FNO14" s="533"/>
      <c r="FNP14" s="533"/>
      <c r="FNQ14" s="533"/>
      <c r="FNR14" s="533"/>
      <c r="FNS14" s="533"/>
      <c r="FNT14" s="533"/>
      <c r="FNU14" s="533"/>
      <c r="FNV14" s="533"/>
      <c r="FNW14" s="533"/>
      <c r="FNX14" s="533"/>
      <c r="FNY14" s="533"/>
      <c r="FNZ14" s="533"/>
      <c r="FOA14" s="533"/>
      <c r="FOB14" s="533"/>
      <c r="FOC14" s="533"/>
      <c r="FOD14" s="533"/>
      <c r="FOE14" s="533"/>
      <c r="FOF14" s="533"/>
      <c r="FOG14" s="533"/>
      <c r="FOH14" s="533"/>
      <c r="FOI14" s="533"/>
      <c r="FOJ14" s="533"/>
      <c r="FOK14" s="533"/>
      <c r="FOL14" s="533"/>
      <c r="FOM14" s="533"/>
      <c r="FON14" s="533"/>
      <c r="FOO14" s="533"/>
      <c r="FOP14" s="533"/>
      <c r="FOQ14" s="533"/>
      <c r="FOR14" s="533"/>
      <c r="FOS14" s="533"/>
      <c r="FOT14" s="533"/>
      <c r="FOU14" s="533"/>
      <c r="FOV14" s="533"/>
      <c r="FOW14" s="533"/>
      <c r="FOX14" s="533"/>
      <c r="FOY14" s="533"/>
      <c r="FOZ14" s="533"/>
      <c r="FPA14" s="533"/>
      <c r="FPB14" s="533"/>
      <c r="FPC14" s="533"/>
      <c r="FPD14" s="533"/>
      <c r="FPE14" s="533"/>
      <c r="FPF14" s="533"/>
      <c r="FPG14" s="533"/>
      <c r="FPH14" s="533"/>
      <c r="FPI14" s="533"/>
      <c r="FPJ14" s="533"/>
      <c r="FPK14" s="533"/>
      <c r="FPL14" s="533"/>
      <c r="FPM14" s="533"/>
      <c r="FPN14" s="533"/>
      <c r="FPO14" s="533"/>
      <c r="FPP14" s="533"/>
      <c r="FPQ14" s="533"/>
      <c r="FPR14" s="533"/>
      <c r="FPS14" s="533"/>
      <c r="FPT14" s="533"/>
      <c r="FPU14" s="533"/>
      <c r="FPV14" s="533"/>
      <c r="FPW14" s="533"/>
      <c r="FPX14" s="533"/>
      <c r="FPY14" s="533"/>
      <c r="FPZ14" s="533"/>
      <c r="FQA14" s="533"/>
      <c r="FQB14" s="533"/>
      <c r="FQC14" s="533"/>
      <c r="FQD14" s="533"/>
      <c r="FQE14" s="533"/>
      <c r="FQF14" s="533"/>
      <c r="FQG14" s="533"/>
      <c r="FQH14" s="533"/>
      <c r="FQI14" s="533"/>
      <c r="FQJ14" s="533"/>
      <c r="FQK14" s="533"/>
      <c r="FQL14" s="533"/>
      <c r="FQM14" s="533"/>
      <c r="FQN14" s="533"/>
      <c r="FQO14" s="533"/>
      <c r="FQP14" s="533"/>
      <c r="FQQ14" s="533"/>
      <c r="FQR14" s="533"/>
      <c r="FQS14" s="533"/>
      <c r="FQT14" s="533"/>
      <c r="FQU14" s="533"/>
      <c r="FQV14" s="533"/>
      <c r="FQW14" s="533"/>
      <c r="FQX14" s="533"/>
      <c r="FQY14" s="533"/>
      <c r="FQZ14" s="533"/>
      <c r="FRA14" s="533"/>
      <c r="FRB14" s="533"/>
      <c r="FRC14" s="533"/>
      <c r="FRD14" s="533"/>
      <c r="FRE14" s="533"/>
      <c r="FRF14" s="533"/>
      <c r="FRG14" s="533"/>
      <c r="FRH14" s="533"/>
      <c r="FRI14" s="533"/>
      <c r="FRJ14" s="533"/>
      <c r="FRK14" s="533"/>
      <c r="FRL14" s="533"/>
      <c r="FRM14" s="533"/>
      <c r="FRN14" s="533"/>
      <c r="FRO14" s="533"/>
      <c r="FRP14" s="533"/>
      <c r="FRQ14" s="533"/>
      <c r="FRR14" s="533"/>
      <c r="FRS14" s="533"/>
      <c r="FRT14" s="533"/>
      <c r="FRU14" s="533"/>
      <c r="FRV14" s="533"/>
      <c r="FRW14" s="533"/>
      <c r="FRX14" s="533"/>
      <c r="FRY14" s="533"/>
      <c r="FRZ14" s="533"/>
      <c r="FSA14" s="533"/>
      <c r="FSB14" s="533"/>
      <c r="FSC14" s="533"/>
      <c r="FSD14" s="533"/>
      <c r="FSE14" s="533"/>
      <c r="FSF14" s="533"/>
      <c r="FSG14" s="533"/>
      <c r="FSH14" s="533"/>
      <c r="FSI14" s="533"/>
      <c r="FSJ14" s="533"/>
      <c r="FSK14" s="533"/>
      <c r="FSL14" s="533"/>
      <c r="FSM14" s="533"/>
      <c r="FSN14" s="533"/>
      <c r="FSO14" s="533"/>
      <c r="FSP14" s="533"/>
      <c r="FSQ14" s="533"/>
      <c r="FSR14" s="533"/>
      <c r="FSS14" s="533"/>
      <c r="FST14" s="533"/>
      <c r="FSU14" s="533"/>
      <c r="FSV14" s="533"/>
      <c r="FSW14" s="533"/>
      <c r="FSX14" s="533"/>
      <c r="FSY14" s="533"/>
      <c r="FSZ14" s="533"/>
      <c r="FTA14" s="533"/>
      <c r="FTB14" s="533"/>
      <c r="FTC14" s="533"/>
      <c r="FTD14" s="533"/>
      <c r="FTE14" s="533"/>
      <c r="FTF14" s="533"/>
      <c r="FTG14" s="533"/>
      <c r="FTH14" s="533"/>
      <c r="FTI14" s="533"/>
      <c r="FTJ14" s="533"/>
      <c r="FTK14" s="533"/>
      <c r="FTL14" s="533"/>
      <c r="FTM14" s="533"/>
      <c r="FTN14" s="533"/>
      <c r="FTO14" s="533"/>
      <c r="FTP14" s="533"/>
      <c r="FTQ14" s="533"/>
      <c r="FTR14" s="533"/>
      <c r="FTS14" s="533"/>
      <c r="FTT14" s="533"/>
      <c r="FTU14" s="533"/>
      <c r="FTV14" s="533"/>
      <c r="FTW14" s="533"/>
      <c r="FTX14" s="533"/>
      <c r="FTY14" s="533"/>
      <c r="FTZ14" s="533"/>
      <c r="FUA14" s="533"/>
      <c r="FUB14" s="533"/>
      <c r="FUC14" s="533"/>
      <c r="FUD14" s="533"/>
      <c r="FUE14" s="533"/>
      <c r="FUF14" s="533"/>
      <c r="FUG14" s="533"/>
      <c r="FUH14" s="533"/>
      <c r="FUI14" s="533"/>
      <c r="FUJ14" s="533"/>
      <c r="FUK14" s="533"/>
      <c r="FUL14" s="533"/>
      <c r="FUM14" s="533"/>
      <c r="FUN14" s="533"/>
      <c r="FUO14" s="533"/>
      <c r="FUP14" s="533"/>
      <c r="FUQ14" s="533"/>
      <c r="FUR14" s="533"/>
      <c r="FUS14" s="533"/>
      <c r="FUT14" s="533"/>
      <c r="FUU14" s="533"/>
      <c r="FUV14" s="533"/>
      <c r="FUW14" s="533"/>
      <c r="FUX14" s="533"/>
      <c r="FUY14" s="533"/>
      <c r="FUZ14" s="533"/>
      <c r="FVA14" s="533"/>
      <c r="FVB14" s="533"/>
      <c r="FVC14" s="533"/>
      <c r="FVD14" s="533"/>
      <c r="FVE14" s="533"/>
      <c r="FVF14" s="533"/>
      <c r="FVG14" s="533"/>
      <c r="FVH14" s="533"/>
      <c r="FVI14" s="533"/>
      <c r="FVJ14" s="533"/>
      <c r="FVK14" s="533"/>
      <c r="FVL14" s="533"/>
      <c r="FVM14" s="533"/>
      <c r="FVN14" s="533"/>
      <c r="FVO14" s="533"/>
      <c r="FVP14" s="533"/>
      <c r="FVQ14" s="533"/>
      <c r="FVR14" s="533"/>
      <c r="FVS14" s="533"/>
      <c r="FVT14" s="533"/>
      <c r="FVU14" s="533"/>
      <c r="FVV14" s="533"/>
      <c r="FVW14" s="533"/>
      <c r="FVX14" s="533"/>
      <c r="FVY14" s="533"/>
      <c r="FVZ14" s="533"/>
      <c r="FWA14" s="533"/>
      <c r="FWB14" s="533"/>
      <c r="FWC14" s="533"/>
      <c r="FWD14" s="533"/>
      <c r="FWE14" s="533"/>
      <c r="FWF14" s="533"/>
      <c r="FWG14" s="533"/>
      <c r="FWH14" s="533"/>
      <c r="FWI14" s="533"/>
      <c r="FWJ14" s="533"/>
      <c r="FWK14" s="533"/>
      <c r="FWL14" s="533"/>
      <c r="FWM14" s="533"/>
      <c r="FWN14" s="533"/>
      <c r="FWO14" s="533"/>
      <c r="FWP14" s="533"/>
      <c r="FWQ14" s="533"/>
      <c r="FWR14" s="533"/>
      <c r="FWS14" s="533"/>
      <c r="FWT14" s="533"/>
      <c r="FWU14" s="533"/>
      <c r="FWV14" s="533"/>
      <c r="FWW14" s="533"/>
      <c r="FWX14" s="533"/>
      <c r="FWY14" s="533"/>
      <c r="FWZ14" s="533"/>
      <c r="FXA14" s="533"/>
      <c r="FXB14" s="533"/>
      <c r="FXC14" s="533"/>
      <c r="FXD14" s="533"/>
      <c r="FXE14" s="533"/>
      <c r="FXF14" s="533"/>
      <c r="FXG14" s="533"/>
      <c r="FXH14" s="533"/>
      <c r="FXI14" s="533"/>
      <c r="FXJ14" s="533"/>
      <c r="FXK14" s="533"/>
      <c r="FXL14" s="533"/>
      <c r="FXM14" s="533"/>
      <c r="FXN14" s="533"/>
      <c r="FXO14" s="533"/>
      <c r="FXP14" s="533"/>
      <c r="FXQ14" s="533"/>
      <c r="FXR14" s="533"/>
      <c r="FXS14" s="533"/>
      <c r="FXT14" s="533"/>
      <c r="FXU14" s="533"/>
      <c r="FXV14" s="533"/>
      <c r="FXW14" s="533"/>
      <c r="FXX14" s="533"/>
      <c r="FXY14" s="533"/>
      <c r="FXZ14" s="533"/>
      <c r="FYA14" s="533"/>
      <c r="FYB14" s="533"/>
      <c r="FYC14" s="533"/>
      <c r="FYD14" s="533"/>
      <c r="FYE14" s="533"/>
      <c r="FYF14" s="533"/>
      <c r="FYG14" s="533"/>
      <c r="FYH14" s="533"/>
      <c r="FYI14" s="533"/>
      <c r="FYJ14" s="533"/>
      <c r="FYK14" s="533"/>
      <c r="FYL14" s="533"/>
      <c r="FYM14" s="533"/>
      <c r="FYN14" s="533"/>
      <c r="FYO14" s="533"/>
      <c r="FYP14" s="533"/>
      <c r="FYQ14" s="533"/>
      <c r="FYR14" s="533"/>
      <c r="FYS14" s="533"/>
      <c r="FYT14" s="533"/>
      <c r="FYU14" s="533"/>
      <c r="FYV14" s="533"/>
      <c r="FYW14" s="533"/>
      <c r="FYX14" s="533"/>
      <c r="FYY14" s="533"/>
      <c r="FYZ14" s="533"/>
      <c r="FZA14" s="533"/>
      <c r="FZB14" s="533"/>
      <c r="FZC14" s="533"/>
      <c r="FZD14" s="533"/>
      <c r="FZE14" s="533"/>
      <c r="FZF14" s="533"/>
      <c r="FZG14" s="533"/>
      <c r="FZH14" s="533"/>
      <c r="FZI14" s="533"/>
      <c r="FZJ14" s="533"/>
      <c r="FZK14" s="533"/>
      <c r="FZL14" s="533"/>
      <c r="FZM14" s="533"/>
      <c r="FZN14" s="533"/>
      <c r="FZO14" s="533"/>
      <c r="FZP14" s="533"/>
      <c r="FZQ14" s="533"/>
      <c r="FZR14" s="533"/>
      <c r="FZS14" s="533"/>
      <c r="FZT14" s="533"/>
      <c r="FZU14" s="533"/>
      <c r="FZV14" s="533"/>
      <c r="FZW14" s="533"/>
      <c r="FZX14" s="533"/>
      <c r="FZY14" s="533"/>
      <c r="FZZ14" s="533"/>
      <c r="GAA14" s="533"/>
      <c r="GAB14" s="533"/>
      <c r="GAC14" s="533"/>
      <c r="GAD14" s="533"/>
      <c r="GAE14" s="533"/>
      <c r="GAF14" s="533"/>
      <c r="GAG14" s="533"/>
      <c r="GAH14" s="533"/>
      <c r="GAI14" s="533"/>
      <c r="GAJ14" s="533"/>
      <c r="GAK14" s="533"/>
      <c r="GAL14" s="533"/>
      <c r="GAM14" s="533"/>
      <c r="GAN14" s="533"/>
      <c r="GAO14" s="533"/>
      <c r="GAP14" s="533"/>
      <c r="GAQ14" s="533"/>
      <c r="GAR14" s="533"/>
      <c r="GAS14" s="533"/>
      <c r="GAT14" s="533"/>
      <c r="GAU14" s="533"/>
      <c r="GAV14" s="533"/>
      <c r="GAW14" s="533"/>
      <c r="GAX14" s="533"/>
      <c r="GAY14" s="533"/>
      <c r="GAZ14" s="533"/>
      <c r="GBA14" s="533"/>
      <c r="GBB14" s="533"/>
      <c r="GBC14" s="533"/>
      <c r="GBD14" s="533"/>
      <c r="GBE14" s="533"/>
      <c r="GBF14" s="533"/>
      <c r="GBG14" s="533"/>
      <c r="GBH14" s="533"/>
      <c r="GBI14" s="533"/>
      <c r="GBJ14" s="533"/>
      <c r="GBK14" s="533"/>
      <c r="GBL14" s="533"/>
      <c r="GBM14" s="533"/>
      <c r="GBN14" s="533"/>
      <c r="GBO14" s="533"/>
      <c r="GBP14" s="533"/>
      <c r="GBQ14" s="533"/>
      <c r="GBR14" s="533"/>
      <c r="GBS14" s="533"/>
      <c r="GBT14" s="533"/>
      <c r="GBU14" s="533"/>
      <c r="GBV14" s="533"/>
      <c r="GBW14" s="533"/>
      <c r="GBX14" s="533"/>
      <c r="GBY14" s="533"/>
      <c r="GBZ14" s="533"/>
      <c r="GCA14" s="533"/>
      <c r="GCB14" s="533"/>
      <c r="GCC14" s="533"/>
      <c r="GCD14" s="533"/>
      <c r="GCE14" s="533"/>
      <c r="GCF14" s="533"/>
      <c r="GCG14" s="533"/>
      <c r="GCH14" s="533"/>
      <c r="GCI14" s="533"/>
      <c r="GCJ14" s="533"/>
      <c r="GCK14" s="533"/>
      <c r="GCL14" s="533"/>
      <c r="GCM14" s="533"/>
      <c r="GCN14" s="533"/>
      <c r="GCO14" s="533"/>
      <c r="GCP14" s="533"/>
      <c r="GCQ14" s="533"/>
      <c r="GCR14" s="533"/>
      <c r="GCS14" s="533"/>
      <c r="GCT14" s="533"/>
      <c r="GCU14" s="533"/>
      <c r="GCV14" s="533"/>
      <c r="GCW14" s="533"/>
      <c r="GCX14" s="533"/>
      <c r="GCY14" s="533"/>
      <c r="GCZ14" s="533"/>
      <c r="GDA14" s="533"/>
      <c r="GDB14" s="533"/>
      <c r="GDC14" s="533"/>
      <c r="GDD14" s="533"/>
      <c r="GDE14" s="533"/>
      <c r="GDF14" s="533"/>
      <c r="GDG14" s="533"/>
      <c r="GDH14" s="533"/>
      <c r="GDI14" s="533"/>
      <c r="GDJ14" s="533"/>
      <c r="GDK14" s="533"/>
      <c r="GDL14" s="533"/>
      <c r="GDM14" s="533"/>
      <c r="GDN14" s="533"/>
      <c r="GDO14" s="533"/>
      <c r="GDP14" s="533"/>
      <c r="GDQ14" s="533"/>
      <c r="GDR14" s="533"/>
      <c r="GDS14" s="533"/>
      <c r="GDT14" s="533"/>
      <c r="GDU14" s="533"/>
      <c r="GDV14" s="533"/>
      <c r="GDW14" s="533"/>
      <c r="GDX14" s="533"/>
      <c r="GDY14" s="533"/>
      <c r="GDZ14" s="533"/>
      <c r="GEA14" s="533"/>
      <c r="GEB14" s="533"/>
      <c r="GEC14" s="533"/>
      <c r="GED14" s="533"/>
      <c r="GEE14" s="533"/>
      <c r="GEF14" s="533"/>
      <c r="GEG14" s="533"/>
      <c r="GEH14" s="533"/>
      <c r="GEI14" s="533"/>
      <c r="GEJ14" s="533"/>
      <c r="GEK14" s="533"/>
      <c r="GEL14" s="533"/>
      <c r="GEM14" s="533"/>
      <c r="GEN14" s="533"/>
      <c r="GEO14" s="533"/>
      <c r="GEP14" s="533"/>
      <c r="GEQ14" s="533"/>
      <c r="GER14" s="533"/>
      <c r="GES14" s="533"/>
      <c r="GET14" s="533"/>
      <c r="GEU14" s="533"/>
      <c r="GEV14" s="533"/>
      <c r="GEW14" s="533"/>
      <c r="GEX14" s="533"/>
      <c r="GEY14" s="533"/>
      <c r="GEZ14" s="533"/>
      <c r="GFA14" s="533"/>
      <c r="GFB14" s="533"/>
      <c r="GFC14" s="533"/>
      <c r="GFD14" s="533"/>
      <c r="GFE14" s="533"/>
      <c r="GFF14" s="533"/>
      <c r="GFG14" s="533"/>
      <c r="GFH14" s="533"/>
      <c r="GFI14" s="533"/>
      <c r="GFJ14" s="533"/>
      <c r="GFK14" s="533"/>
      <c r="GFL14" s="533"/>
      <c r="GFM14" s="533"/>
      <c r="GFN14" s="533"/>
      <c r="GFO14" s="533"/>
      <c r="GFP14" s="533"/>
      <c r="GFQ14" s="533"/>
      <c r="GFR14" s="533"/>
      <c r="GFS14" s="533"/>
      <c r="GFT14" s="533"/>
      <c r="GFU14" s="533"/>
      <c r="GFV14" s="533"/>
      <c r="GFW14" s="533"/>
      <c r="GFX14" s="533"/>
      <c r="GFY14" s="533"/>
      <c r="GFZ14" s="533"/>
      <c r="GGA14" s="533"/>
      <c r="GGB14" s="533"/>
      <c r="GGC14" s="533"/>
      <c r="GGD14" s="533"/>
      <c r="GGE14" s="533"/>
      <c r="GGF14" s="533"/>
      <c r="GGG14" s="533"/>
      <c r="GGH14" s="533"/>
      <c r="GGI14" s="533"/>
      <c r="GGJ14" s="533"/>
      <c r="GGK14" s="533"/>
      <c r="GGL14" s="533"/>
      <c r="GGM14" s="533"/>
      <c r="GGN14" s="533"/>
      <c r="GGO14" s="533"/>
      <c r="GGP14" s="533"/>
      <c r="GGQ14" s="533"/>
      <c r="GGR14" s="533"/>
      <c r="GGS14" s="533"/>
      <c r="GGT14" s="533"/>
      <c r="GGU14" s="533"/>
      <c r="GGV14" s="533"/>
      <c r="GGW14" s="533"/>
      <c r="GGX14" s="533"/>
      <c r="GGY14" s="533"/>
      <c r="GGZ14" s="533"/>
      <c r="GHA14" s="533"/>
      <c r="GHB14" s="533"/>
      <c r="GHC14" s="533"/>
      <c r="GHD14" s="533"/>
      <c r="GHE14" s="533"/>
      <c r="GHF14" s="533"/>
      <c r="GHG14" s="533"/>
      <c r="GHH14" s="533"/>
      <c r="GHI14" s="533"/>
      <c r="GHJ14" s="533"/>
      <c r="GHK14" s="533"/>
      <c r="GHL14" s="533"/>
      <c r="GHM14" s="533"/>
      <c r="GHN14" s="533"/>
      <c r="GHO14" s="533"/>
      <c r="GHP14" s="533"/>
      <c r="GHQ14" s="533"/>
      <c r="GHR14" s="533"/>
      <c r="GHS14" s="533"/>
      <c r="GHT14" s="533"/>
      <c r="GHU14" s="533"/>
      <c r="GHV14" s="533"/>
      <c r="GHW14" s="533"/>
      <c r="GHX14" s="533"/>
      <c r="GHY14" s="533"/>
      <c r="GHZ14" s="533"/>
      <c r="GIA14" s="533"/>
      <c r="GIB14" s="533"/>
      <c r="GIC14" s="533"/>
      <c r="GID14" s="533"/>
      <c r="GIE14" s="533"/>
      <c r="GIF14" s="533"/>
      <c r="GIG14" s="533"/>
      <c r="GIH14" s="533"/>
      <c r="GII14" s="533"/>
      <c r="GIJ14" s="533"/>
      <c r="GIK14" s="533"/>
      <c r="GIL14" s="533"/>
      <c r="GIM14" s="533"/>
      <c r="GIN14" s="533"/>
      <c r="GIO14" s="533"/>
      <c r="GIP14" s="533"/>
      <c r="GIQ14" s="533"/>
      <c r="GIR14" s="533"/>
      <c r="GIS14" s="533"/>
      <c r="GIT14" s="533"/>
      <c r="GIU14" s="533"/>
      <c r="GIV14" s="533"/>
      <c r="GIW14" s="533"/>
      <c r="GIX14" s="533"/>
      <c r="GIY14" s="533"/>
      <c r="GIZ14" s="533"/>
      <c r="GJA14" s="533"/>
      <c r="GJB14" s="533"/>
      <c r="GJC14" s="533"/>
      <c r="GJD14" s="533"/>
      <c r="GJE14" s="533"/>
      <c r="GJF14" s="533"/>
      <c r="GJG14" s="533"/>
      <c r="GJH14" s="533"/>
      <c r="GJI14" s="533"/>
      <c r="GJJ14" s="533"/>
      <c r="GJK14" s="533"/>
      <c r="GJL14" s="533"/>
      <c r="GJM14" s="533"/>
      <c r="GJN14" s="533"/>
      <c r="GJO14" s="533"/>
      <c r="GJP14" s="533"/>
      <c r="GJQ14" s="533"/>
      <c r="GJR14" s="533"/>
      <c r="GJS14" s="533"/>
      <c r="GJT14" s="533"/>
      <c r="GJU14" s="533"/>
      <c r="GJV14" s="533"/>
      <c r="GJW14" s="533"/>
      <c r="GJX14" s="533"/>
      <c r="GJY14" s="533"/>
      <c r="GJZ14" s="533"/>
      <c r="GKA14" s="533"/>
      <c r="GKB14" s="533"/>
      <c r="GKC14" s="533"/>
      <c r="GKD14" s="533"/>
      <c r="GKE14" s="533"/>
      <c r="GKF14" s="533"/>
      <c r="GKG14" s="533"/>
      <c r="GKH14" s="533"/>
      <c r="GKI14" s="533"/>
      <c r="GKJ14" s="533"/>
      <c r="GKK14" s="533"/>
      <c r="GKL14" s="533"/>
      <c r="GKM14" s="533"/>
      <c r="GKN14" s="533"/>
      <c r="GKO14" s="533"/>
      <c r="GKP14" s="533"/>
      <c r="GKQ14" s="533"/>
      <c r="GKR14" s="533"/>
      <c r="GKS14" s="533"/>
      <c r="GKT14" s="533"/>
      <c r="GKU14" s="533"/>
      <c r="GKV14" s="533"/>
      <c r="GKW14" s="533"/>
      <c r="GKX14" s="533"/>
      <c r="GKY14" s="533"/>
      <c r="GKZ14" s="533"/>
      <c r="GLA14" s="533"/>
      <c r="GLB14" s="533"/>
      <c r="GLC14" s="533"/>
      <c r="GLD14" s="533"/>
      <c r="GLE14" s="533"/>
      <c r="GLF14" s="533"/>
      <c r="GLG14" s="533"/>
      <c r="GLH14" s="533"/>
      <c r="GLI14" s="533"/>
      <c r="GLJ14" s="533"/>
      <c r="GLK14" s="533"/>
      <c r="GLL14" s="533"/>
      <c r="GLM14" s="533"/>
      <c r="GLN14" s="533"/>
      <c r="GLO14" s="533"/>
      <c r="GLP14" s="533"/>
      <c r="GLQ14" s="533"/>
      <c r="GLR14" s="533"/>
      <c r="GLS14" s="533"/>
      <c r="GLT14" s="533"/>
      <c r="GLU14" s="533"/>
      <c r="GLV14" s="533"/>
      <c r="GLW14" s="533"/>
      <c r="GLX14" s="533"/>
      <c r="GLY14" s="533"/>
      <c r="GLZ14" s="533"/>
      <c r="GMA14" s="533"/>
      <c r="GMB14" s="533"/>
      <c r="GMC14" s="533"/>
      <c r="GMD14" s="533"/>
      <c r="GME14" s="533"/>
      <c r="GMF14" s="533"/>
      <c r="GMG14" s="533"/>
      <c r="GMH14" s="533"/>
      <c r="GMI14" s="533"/>
      <c r="GMJ14" s="533"/>
      <c r="GMK14" s="533"/>
      <c r="GML14" s="533"/>
      <c r="GMM14" s="533"/>
      <c r="GMN14" s="533"/>
      <c r="GMO14" s="533"/>
      <c r="GMP14" s="533"/>
      <c r="GMQ14" s="533"/>
      <c r="GMR14" s="533"/>
      <c r="GMS14" s="533"/>
      <c r="GMT14" s="533"/>
      <c r="GMU14" s="533"/>
      <c r="GMV14" s="533"/>
      <c r="GMW14" s="533"/>
      <c r="GMX14" s="533"/>
      <c r="GMY14" s="533"/>
      <c r="GMZ14" s="533"/>
      <c r="GNA14" s="533"/>
      <c r="GNB14" s="533"/>
      <c r="GNC14" s="533"/>
      <c r="GND14" s="533"/>
      <c r="GNE14" s="533"/>
      <c r="GNF14" s="533"/>
      <c r="GNG14" s="533"/>
      <c r="GNH14" s="533"/>
      <c r="GNI14" s="533"/>
      <c r="GNJ14" s="533"/>
      <c r="GNK14" s="533"/>
      <c r="GNL14" s="533"/>
      <c r="GNM14" s="533"/>
      <c r="GNN14" s="533"/>
      <c r="GNO14" s="533"/>
      <c r="GNP14" s="533"/>
      <c r="GNQ14" s="533"/>
      <c r="GNR14" s="533"/>
      <c r="GNS14" s="533"/>
      <c r="GNT14" s="533"/>
      <c r="GNU14" s="533"/>
      <c r="GNV14" s="533"/>
      <c r="GNW14" s="533"/>
      <c r="GNX14" s="533"/>
      <c r="GNY14" s="533"/>
      <c r="GNZ14" s="533"/>
      <c r="GOA14" s="533"/>
      <c r="GOB14" s="533"/>
      <c r="GOC14" s="533"/>
      <c r="GOD14" s="533"/>
      <c r="GOE14" s="533"/>
      <c r="GOF14" s="533"/>
      <c r="GOG14" s="533"/>
      <c r="GOH14" s="533"/>
      <c r="GOI14" s="533"/>
      <c r="GOJ14" s="533"/>
      <c r="GOK14" s="533"/>
      <c r="GOL14" s="533"/>
      <c r="GOM14" s="533"/>
      <c r="GON14" s="533"/>
      <c r="GOO14" s="533"/>
      <c r="GOP14" s="533"/>
      <c r="GOQ14" s="533"/>
      <c r="GOR14" s="533"/>
      <c r="GOS14" s="533"/>
      <c r="GOT14" s="533"/>
      <c r="GOU14" s="533"/>
      <c r="GOV14" s="533"/>
      <c r="GOW14" s="533"/>
      <c r="GOX14" s="533"/>
      <c r="GOY14" s="533"/>
      <c r="GOZ14" s="533"/>
      <c r="GPA14" s="533"/>
      <c r="GPB14" s="533"/>
      <c r="GPC14" s="533"/>
      <c r="GPD14" s="533"/>
      <c r="GPE14" s="533"/>
      <c r="GPF14" s="533"/>
      <c r="GPG14" s="533"/>
      <c r="GPH14" s="533"/>
      <c r="GPI14" s="533"/>
      <c r="GPJ14" s="533"/>
      <c r="GPK14" s="533"/>
      <c r="GPL14" s="533"/>
      <c r="GPM14" s="533"/>
      <c r="GPN14" s="533"/>
      <c r="GPO14" s="533"/>
      <c r="GPP14" s="533"/>
      <c r="GPQ14" s="533"/>
      <c r="GPR14" s="533"/>
      <c r="GPS14" s="533"/>
      <c r="GPT14" s="533"/>
      <c r="GPU14" s="533"/>
      <c r="GPV14" s="533"/>
      <c r="GPW14" s="533"/>
      <c r="GPX14" s="533"/>
      <c r="GPY14" s="533"/>
      <c r="GPZ14" s="533"/>
      <c r="GQA14" s="533"/>
      <c r="GQB14" s="533"/>
      <c r="GQC14" s="533"/>
      <c r="GQD14" s="533"/>
      <c r="GQE14" s="533"/>
      <c r="GQF14" s="533"/>
      <c r="GQG14" s="533"/>
      <c r="GQH14" s="533"/>
      <c r="GQI14" s="533"/>
      <c r="GQJ14" s="533"/>
      <c r="GQK14" s="533"/>
      <c r="GQL14" s="533"/>
      <c r="GQM14" s="533"/>
      <c r="GQN14" s="533"/>
      <c r="GQO14" s="533"/>
      <c r="GQP14" s="533"/>
      <c r="GQQ14" s="533"/>
      <c r="GQR14" s="533"/>
      <c r="GQS14" s="533"/>
      <c r="GQT14" s="533"/>
      <c r="GQU14" s="533"/>
      <c r="GQV14" s="533"/>
      <c r="GQW14" s="533"/>
      <c r="GQX14" s="533"/>
      <c r="GQY14" s="533"/>
      <c r="GQZ14" s="533"/>
      <c r="GRA14" s="533"/>
      <c r="GRB14" s="533"/>
      <c r="GRC14" s="533"/>
      <c r="GRD14" s="533"/>
      <c r="GRE14" s="533"/>
      <c r="GRF14" s="533"/>
      <c r="GRG14" s="533"/>
      <c r="GRH14" s="533"/>
      <c r="GRI14" s="533"/>
      <c r="GRJ14" s="533"/>
      <c r="GRK14" s="533"/>
      <c r="GRL14" s="533"/>
      <c r="GRM14" s="533"/>
      <c r="GRN14" s="533"/>
      <c r="GRO14" s="533"/>
      <c r="GRP14" s="533"/>
      <c r="GRQ14" s="533"/>
      <c r="GRR14" s="533"/>
      <c r="GRS14" s="533"/>
      <c r="GRT14" s="533"/>
      <c r="GRU14" s="533"/>
      <c r="GRV14" s="533"/>
      <c r="GRW14" s="533"/>
      <c r="GRX14" s="533"/>
      <c r="GRY14" s="533"/>
      <c r="GRZ14" s="533"/>
      <c r="GSA14" s="533"/>
      <c r="GSB14" s="533"/>
      <c r="GSC14" s="533"/>
      <c r="GSD14" s="533"/>
      <c r="GSE14" s="533"/>
      <c r="GSF14" s="533"/>
      <c r="GSG14" s="533"/>
      <c r="GSH14" s="533"/>
      <c r="GSI14" s="533"/>
      <c r="GSJ14" s="533"/>
      <c r="GSK14" s="533"/>
      <c r="GSL14" s="533"/>
      <c r="GSM14" s="533"/>
      <c r="GSN14" s="533"/>
      <c r="GSO14" s="533"/>
      <c r="GSP14" s="533"/>
      <c r="GSQ14" s="533"/>
      <c r="GSR14" s="533"/>
      <c r="GSS14" s="533"/>
      <c r="GST14" s="533"/>
      <c r="GSU14" s="533"/>
      <c r="GSV14" s="533"/>
      <c r="GSW14" s="533"/>
      <c r="GSX14" s="533"/>
      <c r="GSY14" s="533"/>
      <c r="GSZ14" s="533"/>
      <c r="GTA14" s="533"/>
      <c r="GTB14" s="533"/>
      <c r="GTC14" s="533"/>
      <c r="GTD14" s="533"/>
      <c r="GTE14" s="533"/>
      <c r="GTF14" s="533"/>
      <c r="GTG14" s="533"/>
      <c r="GTH14" s="533"/>
      <c r="GTI14" s="533"/>
      <c r="GTJ14" s="533"/>
      <c r="GTK14" s="533"/>
      <c r="GTL14" s="533"/>
      <c r="GTM14" s="533"/>
      <c r="GTN14" s="533"/>
      <c r="GTO14" s="533"/>
      <c r="GTP14" s="533"/>
      <c r="GTQ14" s="533"/>
      <c r="GTR14" s="533"/>
      <c r="GTS14" s="533"/>
      <c r="GTT14" s="533"/>
      <c r="GTU14" s="533"/>
      <c r="GTV14" s="533"/>
      <c r="GTW14" s="533"/>
      <c r="GTX14" s="533"/>
      <c r="GTY14" s="533"/>
      <c r="GTZ14" s="533"/>
      <c r="GUA14" s="533"/>
      <c r="GUB14" s="533"/>
      <c r="GUC14" s="533"/>
      <c r="GUD14" s="533"/>
      <c r="GUE14" s="533"/>
      <c r="GUF14" s="533"/>
      <c r="GUG14" s="533"/>
      <c r="GUH14" s="533"/>
      <c r="GUI14" s="533"/>
      <c r="GUJ14" s="533"/>
      <c r="GUK14" s="533"/>
      <c r="GUL14" s="533"/>
      <c r="GUM14" s="533"/>
      <c r="GUN14" s="533"/>
      <c r="GUO14" s="533"/>
      <c r="GUP14" s="533"/>
      <c r="GUQ14" s="533"/>
      <c r="GUR14" s="533"/>
      <c r="GUS14" s="533"/>
      <c r="GUT14" s="533"/>
      <c r="GUU14" s="533"/>
      <c r="GUV14" s="533"/>
      <c r="GUW14" s="533"/>
      <c r="GUX14" s="533"/>
      <c r="GUY14" s="533"/>
      <c r="GUZ14" s="533"/>
      <c r="GVA14" s="533"/>
      <c r="GVB14" s="533"/>
      <c r="GVC14" s="533"/>
      <c r="GVD14" s="533"/>
      <c r="GVE14" s="533"/>
      <c r="GVF14" s="533"/>
      <c r="GVG14" s="533"/>
      <c r="GVH14" s="533"/>
      <c r="GVI14" s="533"/>
      <c r="GVJ14" s="533"/>
      <c r="GVK14" s="533"/>
      <c r="GVL14" s="533"/>
      <c r="GVM14" s="533"/>
      <c r="GVN14" s="533"/>
      <c r="GVO14" s="533"/>
      <c r="GVP14" s="533"/>
      <c r="GVQ14" s="533"/>
      <c r="GVR14" s="533"/>
      <c r="GVS14" s="533"/>
      <c r="GVT14" s="533"/>
      <c r="GVU14" s="533"/>
      <c r="GVV14" s="533"/>
      <c r="GVW14" s="533"/>
      <c r="GVX14" s="533"/>
      <c r="GVY14" s="533"/>
      <c r="GVZ14" s="533"/>
      <c r="GWA14" s="533"/>
      <c r="GWB14" s="533"/>
      <c r="GWC14" s="533"/>
      <c r="GWD14" s="533"/>
      <c r="GWE14" s="533"/>
      <c r="GWF14" s="533"/>
      <c r="GWG14" s="533"/>
      <c r="GWH14" s="533"/>
      <c r="GWI14" s="533"/>
      <c r="GWJ14" s="533"/>
      <c r="GWK14" s="533"/>
      <c r="GWL14" s="533"/>
      <c r="GWM14" s="533"/>
      <c r="GWN14" s="533"/>
      <c r="GWO14" s="533"/>
      <c r="GWP14" s="533"/>
      <c r="GWQ14" s="533"/>
      <c r="GWR14" s="533"/>
      <c r="GWS14" s="533"/>
      <c r="GWT14" s="533"/>
      <c r="GWU14" s="533"/>
      <c r="GWV14" s="533"/>
      <c r="GWW14" s="533"/>
      <c r="GWX14" s="533"/>
      <c r="GWY14" s="533"/>
      <c r="GWZ14" s="533"/>
      <c r="GXA14" s="533"/>
      <c r="GXB14" s="533"/>
      <c r="GXC14" s="533"/>
      <c r="GXD14" s="533"/>
      <c r="GXE14" s="533"/>
      <c r="GXF14" s="533"/>
      <c r="GXG14" s="533"/>
      <c r="GXH14" s="533"/>
      <c r="GXI14" s="533"/>
      <c r="GXJ14" s="533"/>
      <c r="GXK14" s="533"/>
      <c r="GXL14" s="533"/>
      <c r="GXM14" s="533"/>
      <c r="GXN14" s="533"/>
      <c r="GXO14" s="533"/>
      <c r="GXP14" s="533"/>
      <c r="GXQ14" s="533"/>
      <c r="GXR14" s="533"/>
      <c r="GXS14" s="533"/>
      <c r="GXT14" s="533"/>
      <c r="GXU14" s="533"/>
      <c r="GXV14" s="533"/>
      <c r="GXW14" s="533"/>
      <c r="GXX14" s="533"/>
      <c r="GXY14" s="533"/>
      <c r="GXZ14" s="533"/>
      <c r="GYA14" s="533"/>
      <c r="GYB14" s="533"/>
      <c r="GYC14" s="533"/>
      <c r="GYD14" s="533"/>
      <c r="GYE14" s="533"/>
      <c r="GYF14" s="533"/>
      <c r="GYG14" s="533"/>
      <c r="GYH14" s="533"/>
      <c r="GYI14" s="533"/>
      <c r="GYJ14" s="533"/>
      <c r="GYK14" s="533"/>
      <c r="GYL14" s="533"/>
      <c r="GYM14" s="533"/>
      <c r="GYN14" s="533"/>
      <c r="GYO14" s="533"/>
      <c r="GYP14" s="533"/>
      <c r="GYQ14" s="533"/>
      <c r="GYR14" s="533"/>
      <c r="GYS14" s="533"/>
      <c r="GYT14" s="533"/>
      <c r="GYU14" s="533"/>
      <c r="GYV14" s="533"/>
      <c r="GYW14" s="533"/>
      <c r="GYX14" s="533"/>
      <c r="GYY14" s="533"/>
      <c r="GYZ14" s="533"/>
      <c r="GZA14" s="533"/>
      <c r="GZB14" s="533"/>
      <c r="GZC14" s="533"/>
      <c r="GZD14" s="533"/>
      <c r="GZE14" s="533"/>
      <c r="GZF14" s="533"/>
      <c r="GZG14" s="533"/>
      <c r="GZH14" s="533"/>
      <c r="GZI14" s="533"/>
      <c r="GZJ14" s="533"/>
      <c r="GZK14" s="533"/>
      <c r="GZL14" s="533"/>
      <c r="GZM14" s="533"/>
      <c r="GZN14" s="533"/>
      <c r="GZO14" s="533"/>
      <c r="GZP14" s="533"/>
      <c r="GZQ14" s="533"/>
      <c r="GZR14" s="533"/>
      <c r="GZS14" s="533"/>
      <c r="GZT14" s="533"/>
      <c r="GZU14" s="533"/>
      <c r="GZV14" s="533"/>
      <c r="GZW14" s="533"/>
      <c r="GZX14" s="533"/>
      <c r="GZY14" s="533"/>
      <c r="GZZ14" s="533"/>
      <c r="HAA14" s="533"/>
      <c r="HAB14" s="533"/>
      <c r="HAC14" s="533"/>
      <c r="HAD14" s="533"/>
      <c r="HAE14" s="533"/>
      <c r="HAF14" s="533"/>
      <c r="HAG14" s="533"/>
      <c r="HAH14" s="533"/>
      <c r="HAI14" s="533"/>
      <c r="HAJ14" s="533"/>
      <c r="HAK14" s="533"/>
      <c r="HAL14" s="533"/>
      <c r="HAM14" s="533"/>
      <c r="HAN14" s="533"/>
      <c r="HAO14" s="533"/>
      <c r="HAP14" s="533"/>
      <c r="HAQ14" s="533"/>
      <c r="HAR14" s="533"/>
      <c r="HAS14" s="533"/>
      <c r="HAT14" s="533"/>
      <c r="HAU14" s="533"/>
      <c r="HAV14" s="533"/>
      <c r="HAW14" s="533"/>
      <c r="HAX14" s="533"/>
      <c r="HAY14" s="533"/>
      <c r="HAZ14" s="533"/>
      <c r="HBA14" s="533"/>
      <c r="HBB14" s="533"/>
      <c r="HBC14" s="533"/>
      <c r="HBD14" s="533"/>
      <c r="HBE14" s="533"/>
      <c r="HBF14" s="533"/>
      <c r="HBG14" s="533"/>
      <c r="HBH14" s="533"/>
      <c r="HBI14" s="533"/>
      <c r="HBJ14" s="533"/>
      <c r="HBK14" s="533"/>
      <c r="HBL14" s="533"/>
      <c r="HBM14" s="533"/>
      <c r="HBN14" s="533"/>
      <c r="HBO14" s="533"/>
      <c r="HBP14" s="533"/>
      <c r="HBQ14" s="533"/>
      <c r="HBR14" s="533"/>
      <c r="HBS14" s="533"/>
      <c r="HBT14" s="533"/>
      <c r="HBU14" s="533"/>
      <c r="HBV14" s="533"/>
      <c r="HBW14" s="533"/>
      <c r="HBX14" s="533"/>
      <c r="HBY14" s="533"/>
      <c r="HBZ14" s="533"/>
      <c r="HCA14" s="533"/>
      <c r="HCB14" s="533"/>
      <c r="HCC14" s="533"/>
      <c r="HCD14" s="533"/>
      <c r="HCE14" s="533"/>
      <c r="HCF14" s="533"/>
      <c r="HCG14" s="533"/>
      <c r="HCH14" s="533"/>
      <c r="HCI14" s="533"/>
      <c r="HCJ14" s="533"/>
      <c r="HCK14" s="533"/>
      <c r="HCL14" s="533"/>
      <c r="HCM14" s="533"/>
      <c r="HCN14" s="533"/>
      <c r="HCO14" s="533"/>
      <c r="HCP14" s="533"/>
      <c r="HCQ14" s="533"/>
      <c r="HCR14" s="533"/>
      <c r="HCS14" s="533"/>
      <c r="HCT14" s="533"/>
      <c r="HCU14" s="533"/>
      <c r="HCV14" s="533"/>
      <c r="HCW14" s="533"/>
      <c r="HCX14" s="533"/>
      <c r="HCY14" s="533"/>
      <c r="HCZ14" s="533"/>
      <c r="HDA14" s="533"/>
      <c r="HDB14" s="533"/>
      <c r="HDC14" s="533"/>
      <c r="HDD14" s="533"/>
      <c r="HDE14" s="533"/>
      <c r="HDF14" s="533"/>
      <c r="HDG14" s="533"/>
      <c r="HDH14" s="533"/>
      <c r="HDI14" s="533"/>
      <c r="HDJ14" s="533"/>
      <c r="HDK14" s="533"/>
      <c r="HDL14" s="533"/>
      <c r="HDM14" s="533"/>
      <c r="HDN14" s="533"/>
      <c r="HDO14" s="533"/>
      <c r="HDP14" s="533"/>
      <c r="HDQ14" s="533"/>
      <c r="HDR14" s="533"/>
      <c r="HDS14" s="533"/>
      <c r="HDT14" s="533"/>
      <c r="HDU14" s="533"/>
      <c r="HDV14" s="533"/>
      <c r="HDW14" s="533"/>
      <c r="HDX14" s="533"/>
      <c r="HDY14" s="533"/>
      <c r="HDZ14" s="533"/>
      <c r="HEA14" s="533"/>
      <c r="HEB14" s="533"/>
      <c r="HEC14" s="533"/>
      <c r="HED14" s="533"/>
      <c r="HEE14" s="533"/>
      <c r="HEF14" s="533"/>
      <c r="HEG14" s="533"/>
      <c r="HEH14" s="533"/>
      <c r="HEI14" s="533"/>
      <c r="HEJ14" s="533"/>
      <c r="HEK14" s="533"/>
      <c r="HEL14" s="533"/>
      <c r="HEM14" s="533"/>
      <c r="HEN14" s="533"/>
      <c r="HEO14" s="533"/>
      <c r="HEP14" s="533"/>
      <c r="HEQ14" s="533"/>
      <c r="HER14" s="533"/>
      <c r="HES14" s="533"/>
      <c r="HET14" s="533"/>
      <c r="HEU14" s="533"/>
      <c r="HEV14" s="533"/>
      <c r="HEW14" s="533"/>
      <c r="HEX14" s="533"/>
      <c r="HEY14" s="533"/>
      <c r="HEZ14" s="533"/>
      <c r="HFA14" s="533"/>
      <c r="HFB14" s="533"/>
      <c r="HFC14" s="533"/>
      <c r="HFD14" s="533"/>
      <c r="HFE14" s="533"/>
      <c r="HFF14" s="533"/>
      <c r="HFG14" s="533"/>
      <c r="HFH14" s="533"/>
      <c r="HFI14" s="533"/>
      <c r="HFJ14" s="533"/>
      <c r="HFK14" s="533"/>
      <c r="HFL14" s="533"/>
      <c r="HFM14" s="533"/>
      <c r="HFN14" s="533"/>
      <c r="HFO14" s="533"/>
      <c r="HFP14" s="533"/>
      <c r="HFQ14" s="533"/>
      <c r="HFR14" s="533"/>
      <c r="HFS14" s="533"/>
      <c r="HFT14" s="533"/>
      <c r="HFU14" s="533"/>
      <c r="HFV14" s="533"/>
      <c r="HFW14" s="533"/>
      <c r="HFX14" s="533"/>
      <c r="HFY14" s="533"/>
      <c r="HFZ14" s="533"/>
      <c r="HGA14" s="533"/>
      <c r="HGB14" s="533"/>
      <c r="HGC14" s="533"/>
      <c r="HGD14" s="533"/>
      <c r="HGE14" s="533"/>
      <c r="HGF14" s="533"/>
      <c r="HGG14" s="533"/>
      <c r="HGH14" s="533"/>
      <c r="HGI14" s="533"/>
      <c r="HGJ14" s="533"/>
      <c r="HGK14" s="533"/>
      <c r="HGL14" s="533"/>
      <c r="HGM14" s="533"/>
      <c r="HGN14" s="533"/>
      <c r="HGO14" s="533"/>
      <c r="HGP14" s="533"/>
      <c r="HGQ14" s="533"/>
      <c r="HGR14" s="533"/>
      <c r="HGS14" s="533"/>
      <c r="HGT14" s="533"/>
      <c r="HGU14" s="533"/>
      <c r="HGV14" s="533"/>
      <c r="HGW14" s="533"/>
      <c r="HGX14" s="533"/>
      <c r="HGY14" s="533"/>
      <c r="HGZ14" s="533"/>
      <c r="HHA14" s="533"/>
      <c r="HHB14" s="533"/>
      <c r="HHC14" s="533"/>
      <c r="HHD14" s="533"/>
      <c r="HHE14" s="533"/>
      <c r="HHF14" s="533"/>
      <c r="HHG14" s="533"/>
      <c r="HHH14" s="533"/>
      <c r="HHI14" s="533"/>
      <c r="HHJ14" s="533"/>
      <c r="HHK14" s="533"/>
      <c r="HHL14" s="533"/>
      <c r="HHM14" s="533"/>
      <c r="HHN14" s="533"/>
      <c r="HHO14" s="533"/>
      <c r="HHP14" s="533"/>
      <c r="HHQ14" s="533"/>
      <c r="HHR14" s="533"/>
      <c r="HHS14" s="533"/>
      <c r="HHT14" s="533"/>
      <c r="HHU14" s="533"/>
      <c r="HHV14" s="533"/>
      <c r="HHW14" s="533"/>
      <c r="HHX14" s="533"/>
      <c r="HHY14" s="533"/>
      <c r="HHZ14" s="533"/>
      <c r="HIA14" s="533"/>
      <c r="HIB14" s="533"/>
      <c r="HIC14" s="533"/>
      <c r="HID14" s="533"/>
      <c r="HIE14" s="533"/>
      <c r="HIF14" s="533"/>
      <c r="HIG14" s="533"/>
      <c r="HIH14" s="533"/>
      <c r="HII14" s="533"/>
      <c r="HIJ14" s="533"/>
      <c r="HIK14" s="533"/>
      <c r="HIL14" s="533"/>
      <c r="HIM14" s="533"/>
      <c r="HIN14" s="533"/>
      <c r="HIO14" s="533"/>
      <c r="HIP14" s="533"/>
      <c r="HIQ14" s="533"/>
      <c r="HIR14" s="533"/>
      <c r="HIS14" s="533"/>
      <c r="HIT14" s="533"/>
      <c r="HIU14" s="533"/>
      <c r="HIV14" s="533"/>
      <c r="HIW14" s="533"/>
      <c r="HIX14" s="533"/>
      <c r="HIY14" s="533"/>
      <c r="HIZ14" s="533"/>
      <c r="HJA14" s="533"/>
      <c r="HJB14" s="533"/>
      <c r="HJC14" s="533"/>
      <c r="HJD14" s="533"/>
      <c r="HJE14" s="533"/>
      <c r="HJF14" s="533"/>
      <c r="HJG14" s="533"/>
      <c r="HJH14" s="533"/>
      <c r="HJI14" s="533"/>
      <c r="HJJ14" s="533"/>
      <c r="HJK14" s="533"/>
      <c r="HJL14" s="533"/>
      <c r="HJM14" s="533"/>
      <c r="HJN14" s="533"/>
      <c r="HJO14" s="533"/>
      <c r="HJP14" s="533"/>
      <c r="HJQ14" s="533"/>
      <c r="HJR14" s="533"/>
      <c r="HJS14" s="533"/>
      <c r="HJT14" s="533"/>
      <c r="HJU14" s="533"/>
      <c r="HJV14" s="533"/>
      <c r="HJW14" s="533"/>
      <c r="HJX14" s="533"/>
      <c r="HJY14" s="533"/>
      <c r="HJZ14" s="533"/>
      <c r="HKA14" s="533"/>
      <c r="HKB14" s="533"/>
      <c r="HKC14" s="533"/>
      <c r="HKD14" s="533"/>
      <c r="HKE14" s="533"/>
      <c r="HKF14" s="533"/>
      <c r="HKG14" s="533"/>
      <c r="HKH14" s="533"/>
      <c r="HKI14" s="533"/>
      <c r="HKJ14" s="533"/>
      <c r="HKK14" s="533"/>
      <c r="HKL14" s="533"/>
      <c r="HKM14" s="533"/>
      <c r="HKN14" s="533"/>
      <c r="HKO14" s="533"/>
      <c r="HKP14" s="533"/>
      <c r="HKQ14" s="533"/>
      <c r="HKR14" s="533"/>
      <c r="HKS14" s="533"/>
      <c r="HKT14" s="533"/>
      <c r="HKU14" s="533"/>
      <c r="HKV14" s="533"/>
      <c r="HKW14" s="533"/>
      <c r="HKX14" s="533"/>
      <c r="HKY14" s="533"/>
      <c r="HKZ14" s="533"/>
      <c r="HLA14" s="533"/>
      <c r="HLB14" s="533"/>
      <c r="HLC14" s="533"/>
      <c r="HLD14" s="533"/>
      <c r="HLE14" s="533"/>
      <c r="HLF14" s="533"/>
      <c r="HLG14" s="533"/>
      <c r="HLH14" s="533"/>
      <c r="HLI14" s="533"/>
      <c r="HLJ14" s="533"/>
      <c r="HLK14" s="533"/>
      <c r="HLL14" s="533"/>
      <c r="HLM14" s="533"/>
      <c r="HLN14" s="533"/>
      <c r="HLO14" s="533"/>
      <c r="HLP14" s="533"/>
      <c r="HLQ14" s="533"/>
      <c r="HLR14" s="533"/>
      <c r="HLS14" s="533"/>
      <c r="HLT14" s="533"/>
      <c r="HLU14" s="533"/>
      <c r="HLV14" s="533"/>
      <c r="HLW14" s="533"/>
      <c r="HLX14" s="533"/>
      <c r="HLY14" s="533"/>
      <c r="HLZ14" s="533"/>
      <c r="HMA14" s="533"/>
      <c r="HMB14" s="533"/>
      <c r="HMC14" s="533"/>
      <c r="HMD14" s="533"/>
      <c r="HME14" s="533"/>
      <c r="HMF14" s="533"/>
      <c r="HMG14" s="533"/>
      <c r="HMH14" s="533"/>
      <c r="HMI14" s="533"/>
      <c r="HMJ14" s="533"/>
      <c r="HMK14" s="533"/>
      <c r="HML14" s="533"/>
      <c r="HMM14" s="533"/>
      <c r="HMN14" s="533"/>
      <c r="HMO14" s="533"/>
      <c r="HMP14" s="533"/>
      <c r="HMQ14" s="533"/>
      <c r="HMR14" s="533"/>
      <c r="HMS14" s="533"/>
      <c r="HMT14" s="533"/>
      <c r="HMU14" s="533"/>
      <c r="HMV14" s="533"/>
      <c r="HMW14" s="533"/>
      <c r="HMX14" s="533"/>
      <c r="HMY14" s="533"/>
      <c r="HMZ14" s="533"/>
      <c r="HNA14" s="533"/>
      <c r="HNB14" s="533"/>
      <c r="HNC14" s="533"/>
      <c r="HND14" s="533"/>
      <c r="HNE14" s="533"/>
      <c r="HNF14" s="533"/>
      <c r="HNG14" s="533"/>
      <c r="HNH14" s="533"/>
      <c r="HNI14" s="533"/>
      <c r="HNJ14" s="533"/>
      <c r="HNK14" s="533"/>
      <c r="HNL14" s="533"/>
      <c r="HNM14" s="533"/>
      <c r="HNN14" s="533"/>
      <c r="HNO14" s="533"/>
      <c r="HNP14" s="533"/>
      <c r="HNQ14" s="533"/>
      <c r="HNR14" s="533"/>
      <c r="HNS14" s="533"/>
      <c r="HNT14" s="533"/>
      <c r="HNU14" s="533"/>
      <c r="HNV14" s="533"/>
      <c r="HNW14" s="533"/>
      <c r="HNX14" s="533"/>
      <c r="HNY14" s="533"/>
      <c r="HNZ14" s="533"/>
      <c r="HOA14" s="533"/>
      <c r="HOB14" s="533"/>
      <c r="HOC14" s="533"/>
      <c r="HOD14" s="533"/>
      <c r="HOE14" s="533"/>
      <c r="HOF14" s="533"/>
      <c r="HOG14" s="533"/>
      <c r="HOH14" s="533"/>
      <c r="HOI14" s="533"/>
      <c r="HOJ14" s="533"/>
      <c r="HOK14" s="533"/>
      <c r="HOL14" s="533"/>
      <c r="HOM14" s="533"/>
      <c r="HON14" s="533"/>
      <c r="HOO14" s="533"/>
      <c r="HOP14" s="533"/>
      <c r="HOQ14" s="533"/>
      <c r="HOR14" s="533"/>
      <c r="HOS14" s="533"/>
      <c r="HOT14" s="533"/>
      <c r="HOU14" s="533"/>
      <c r="HOV14" s="533"/>
      <c r="HOW14" s="533"/>
      <c r="HOX14" s="533"/>
      <c r="HOY14" s="533"/>
      <c r="HOZ14" s="533"/>
      <c r="HPA14" s="533"/>
      <c r="HPB14" s="533"/>
      <c r="HPC14" s="533"/>
      <c r="HPD14" s="533"/>
      <c r="HPE14" s="533"/>
      <c r="HPF14" s="533"/>
      <c r="HPG14" s="533"/>
      <c r="HPH14" s="533"/>
      <c r="HPI14" s="533"/>
      <c r="HPJ14" s="533"/>
      <c r="HPK14" s="533"/>
      <c r="HPL14" s="533"/>
      <c r="HPM14" s="533"/>
      <c r="HPN14" s="533"/>
      <c r="HPO14" s="533"/>
      <c r="HPP14" s="533"/>
      <c r="HPQ14" s="533"/>
      <c r="HPR14" s="533"/>
      <c r="HPS14" s="533"/>
      <c r="HPT14" s="533"/>
      <c r="HPU14" s="533"/>
      <c r="HPV14" s="533"/>
      <c r="HPW14" s="533"/>
      <c r="HPX14" s="533"/>
      <c r="HPY14" s="533"/>
      <c r="HPZ14" s="533"/>
      <c r="HQA14" s="533"/>
      <c r="HQB14" s="533"/>
      <c r="HQC14" s="533"/>
      <c r="HQD14" s="533"/>
      <c r="HQE14" s="533"/>
      <c r="HQF14" s="533"/>
      <c r="HQG14" s="533"/>
      <c r="HQH14" s="533"/>
      <c r="HQI14" s="533"/>
      <c r="HQJ14" s="533"/>
      <c r="HQK14" s="533"/>
      <c r="HQL14" s="533"/>
      <c r="HQM14" s="533"/>
      <c r="HQN14" s="533"/>
      <c r="HQO14" s="533"/>
      <c r="HQP14" s="533"/>
      <c r="HQQ14" s="533"/>
      <c r="HQR14" s="533"/>
      <c r="HQS14" s="533"/>
      <c r="HQT14" s="533"/>
      <c r="HQU14" s="533"/>
      <c r="HQV14" s="533"/>
      <c r="HQW14" s="533"/>
      <c r="HQX14" s="533"/>
      <c r="HQY14" s="533"/>
      <c r="HQZ14" s="533"/>
      <c r="HRA14" s="533"/>
      <c r="HRB14" s="533"/>
      <c r="HRC14" s="533"/>
      <c r="HRD14" s="533"/>
      <c r="HRE14" s="533"/>
      <c r="HRF14" s="533"/>
      <c r="HRG14" s="533"/>
      <c r="HRH14" s="533"/>
      <c r="HRI14" s="533"/>
      <c r="HRJ14" s="533"/>
      <c r="HRK14" s="533"/>
      <c r="HRL14" s="533"/>
      <c r="HRM14" s="533"/>
      <c r="HRN14" s="533"/>
      <c r="HRO14" s="533"/>
      <c r="HRP14" s="533"/>
      <c r="HRQ14" s="533"/>
      <c r="HRR14" s="533"/>
      <c r="HRS14" s="533"/>
      <c r="HRT14" s="533"/>
      <c r="HRU14" s="533"/>
      <c r="HRV14" s="533"/>
      <c r="HRW14" s="533"/>
      <c r="HRX14" s="533"/>
      <c r="HRY14" s="533"/>
      <c r="HRZ14" s="533"/>
      <c r="HSA14" s="533"/>
      <c r="HSB14" s="533"/>
      <c r="HSC14" s="533"/>
      <c r="HSD14" s="533"/>
      <c r="HSE14" s="533"/>
      <c r="HSF14" s="533"/>
      <c r="HSG14" s="533"/>
      <c r="HSH14" s="533"/>
      <c r="HSI14" s="533"/>
      <c r="HSJ14" s="533"/>
      <c r="HSK14" s="533"/>
      <c r="HSL14" s="533"/>
      <c r="HSM14" s="533"/>
      <c r="HSN14" s="533"/>
      <c r="HSO14" s="533"/>
      <c r="HSP14" s="533"/>
      <c r="HSQ14" s="533"/>
      <c r="HSR14" s="533"/>
      <c r="HSS14" s="533"/>
      <c r="HST14" s="533"/>
      <c r="HSU14" s="533"/>
      <c r="HSV14" s="533"/>
      <c r="HSW14" s="533"/>
      <c r="HSX14" s="533"/>
      <c r="HSY14" s="533"/>
      <c r="HSZ14" s="533"/>
      <c r="HTA14" s="533"/>
      <c r="HTB14" s="533"/>
      <c r="HTC14" s="533"/>
      <c r="HTD14" s="533"/>
      <c r="HTE14" s="533"/>
      <c r="HTF14" s="533"/>
      <c r="HTG14" s="533"/>
      <c r="HTH14" s="533"/>
      <c r="HTI14" s="533"/>
      <c r="HTJ14" s="533"/>
      <c r="HTK14" s="533"/>
      <c r="HTL14" s="533"/>
      <c r="HTM14" s="533"/>
      <c r="HTN14" s="533"/>
      <c r="HTO14" s="533"/>
      <c r="HTP14" s="533"/>
      <c r="HTQ14" s="533"/>
      <c r="HTR14" s="533"/>
      <c r="HTS14" s="533"/>
      <c r="HTT14" s="533"/>
      <c r="HTU14" s="533"/>
      <c r="HTV14" s="533"/>
      <c r="HTW14" s="533"/>
      <c r="HTX14" s="533"/>
      <c r="HTY14" s="533"/>
      <c r="HTZ14" s="533"/>
      <c r="HUA14" s="533"/>
      <c r="HUB14" s="533"/>
      <c r="HUC14" s="533"/>
      <c r="HUD14" s="533"/>
      <c r="HUE14" s="533"/>
      <c r="HUF14" s="533"/>
      <c r="HUG14" s="533"/>
      <c r="HUH14" s="533"/>
      <c r="HUI14" s="533"/>
      <c r="HUJ14" s="533"/>
      <c r="HUK14" s="533"/>
      <c r="HUL14" s="533"/>
      <c r="HUM14" s="533"/>
      <c r="HUN14" s="533"/>
      <c r="HUO14" s="533"/>
      <c r="HUP14" s="533"/>
      <c r="HUQ14" s="533"/>
      <c r="HUR14" s="533"/>
      <c r="HUS14" s="533"/>
      <c r="HUT14" s="533"/>
      <c r="HUU14" s="533"/>
      <c r="HUV14" s="533"/>
      <c r="HUW14" s="533"/>
      <c r="HUX14" s="533"/>
      <c r="HUY14" s="533"/>
      <c r="HUZ14" s="533"/>
      <c r="HVA14" s="533"/>
      <c r="HVB14" s="533"/>
      <c r="HVC14" s="533"/>
      <c r="HVD14" s="533"/>
      <c r="HVE14" s="533"/>
      <c r="HVF14" s="533"/>
      <c r="HVG14" s="533"/>
      <c r="HVH14" s="533"/>
      <c r="HVI14" s="533"/>
      <c r="HVJ14" s="533"/>
      <c r="HVK14" s="533"/>
      <c r="HVL14" s="533"/>
      <c r="HVM14" s="533"/>
      <c r="HVN14" s="533"/>
      <c r="HVO14" s="533"/>
      <c r="HVP14" s="533"/>
      <c r="HVQ14" s="533"/>
      <c r="HVR14" s="533"/>
      <c r="HVS14" s="533"/>
      <c r="HVT14" s="533"/>
      <c r="HVU14" s="533"/>
      <c r="HVV14" s="533"/>
      <c r="HVW14" s="533"/>
      <c r="HVX14" s="533"/>
      <c r="HVY14" s="533"/>
      <c r="HVZ14" s="533"/>
      <c r="HWA14" s="533"/>
      <c r="HWB14" s="533"/>
      <c r="HWC14" s="533"/>
      <c r="HWD14" s="533"/>
      <c r="HWE14" s="533"/>
      <c r="HWF14" s="533"/>
      <c r="HWG14" s="533"/>
      <c r="HWH14" s="533"/>
      <c r="HWI14" s="533"/>
      <c r="HWJ14" s="533"/>
      <c r="HWK14" s="533"/>
      <c r="HWL14" s="533"/>
      <c r="HWM14" s="533"/>
      <c r="HWN14" s="533"/>
      <c r="HWO14" s="533"/>
      <c r="HWP14" s="533"/>
      <c r="HWQ14" s="533"/>
      <c r="HWR14" s="533"/>
      <c r="HWS14" s="533"/>
      <c r="HWT14" s="533"/>
      <c r="HWU14" s="533"/>
      <c r="HWV14" s="533"/>
      <c r="HWW14" s="533"/>
      <c r="HWX14" s="533"/>
      <c r="HWY14" s="533"/>
      <c r="HWZ14" s="533"/>
      <c r="HXA14" s="533"/>
      <c r="HXB14" s="533"/>
      <c r="HXC14" s="533"/>
      <c r="HXD14" s="533"/>
      <c r="HXE14" s="533"/>
      <c r="HXF14" s="533"/>
      <c r="HXG14" s="533"/>
      <c r="HXH14" s="533"/>
      <c r="HXI14" s="533"/>
      <c r="HXJ14" s="533"/>
      <c r="HXK14" s="533"/>
      <c r="HXL14" s="533"/>
      <c r="HXM14" s="533"/>
      <c r="HXN14" s="533"/>
      <c r="HXO14" s="533"/>
      <c r="HXP14" s="533"/>
      <c r="HXQ14" s="533"/>
      <c r="HXR14" s="533"/>
      <c r="HXS14" s="533"/>
      <c r="HXT14" s="533"/>
      <c r="HXU14" s="533"/>
      <c r="HXV14" s="533"/>
      <c r="HXW14" s="533"/>
      <c r="HXX14" s="533"/>
      <c r="HXY14" s="533"/>
      <c r="HXZ14" s="533"/>
      <c r="HYA14" s="533"/>
      <c r="HYB14" s="533"/>
      <c r="HYC14" s="533"/>
      <c r="HYD14" s="533"/>
      <c r="HYE14" s="533"/>
      <c r="HYF14" s="533"/>
      <c r="HYG14" s="533"/>
      <c r="HYH14" s="533"/>
      <c r="HYI14" s="533"/>
      <c r="HYJ14" s="533"/>
      <c r="HYK14" s="533"/>
      <c r="HYL14" s="533"/>
      <c r="HYM14" s="533"/>
      <c r="HYN14" s="533"/>
      <c r="HYO14" s="533"/>
      <c r="HYP14" s="533"/>
      <c r="HYQ14" s="533"/>
      <c r="HYR14" s="533"/>
      <c r="HYS14" s="533"/>
      <c r="HYT14" s="533"/>
      <c r="HYU14" s="533"/>
      <c r="HYV14" s="533"/>
      <c r="HYW14" s="533"/>
      <c r="HYX14" s="533"/>
      <c r="HYY14" s="533"/>
      <c r="HYZ14" s="533"/>
      <c r="HZA14" s="533"/>
      <c r="HZB14" s="533"/>
      <c r="HZC14" s="533"/>
      <c r="HZD14" s="533"/>
      <c r="HZE14" s="533"/>
      <c r="HZF14" s="533"/>
      <c r="HZG14" s="533"/>
      <c r="HZH14" s="533"/>
      <c r="HZI14" s="533"/>
      <c r="HZJ14" s="533"/>
      <c r="HZK14" s="533"/>
      <c r="HZL14" s="533"/>
      <c r="HZM14" s="533"/>
      <c r="HZN14" s="533"/>
      <c r="HZO14" s="533"/>
      <c r="HZP14" s="533"/>
      <c r="HZQ14" s="533"/>
      <c r="HZR14" s="533"/>
      <c r="HZS14" s="533"/>
      <c r="HZT14" s="533"/>
      <c r="HZU14" s="533"/>
      <c r="HZV14" s="533"/>
      <c r="HZW14" s="533"/>
      <c r="HZX14" s="533"/>
      <c r="HZY14" s="533"/>
      <c r="HZZ14" s="533"/>
      <c r="IAA14" s="533"/>
      <c r="IAB14" s="533"/>
      <c r="IAC14" s="533"/>
      <c r="IAD14" s="533"/>
      <c r="IAE14" s="533"/>
      <c r="IAF14" s="533"/>
      <c r="IAG14" s="533"/>
      <c r="IAH14" s="533"/>
      <c r="IAI14" s="533"/>
      <c r="IAJ14" s="533"/>
      <c r="IAK14" s="533"/>
      <c r="IAL14" s="533"/>
      <c r="IAM14" s="533"/>
      <c r="IAN14" s="533"/>
      <c r="IAO14" s="533"/>
      <c r="IAP14" s="533"/>
      <c r="IAQ14" s="533"/>
      <c r="IAR14" s="533"/>
      <c r="IAS14" s="533"/>
      <c r="IAT14" s="533"/>
      <c r="IAU14" s="533"/>
      <c r="IAV14" s="533"/>
      <c r="IAW14" s="533"/>
      <c r="IAX14" s="533"/>
      <c r="IAY14" s="533"/>
      <c r="IAZ14" s="533"/>
      <c r="IBA14" s="533"/>
      <c r="IBB14" s="533"/>
      <c r="IBC14" s="533"/>
      <c r="IBD14" s="533"/>
      <c r="IBE14" s="533"/>
      <c r="IBF14" s="533"/>
      <c r="IBG14" s="533"/>
      <c r="IBH14" s="533"/>
      <c r="IBI14" s="533"/>
      <c r="IBJ14" s="533"/>
      <c r="IBK14" s="533"/>
      <c r="IBL14" s="533"/>
      <c r="IBM14" s="533"/>
      <c r="IBN14" s="533"/>
      <c r="IBO14" s="533"/>
      <c r="IBP14" s="533"/>
      <c r="IBQ14" s="533"/>
      <c r="IBR14" s="533"/>
      <c r="IBS14" s="533"/>
      <c r="IBT14" s="533"/>
      <c r="IBU14" s="533"/>
      <c r="IBV14" s="533"/>
      <c r="IBW14" s="533"/>
      <c r="IBX14" s="533"/>
      <c r="IBY14" s="533"/>
      <c r="IBZ14" s="533"/>
      <c r="ICA14" s="533"/>
      <c r="ICB14" s="533"/>
      <c r="ICC14" s="533"/>
      <c r="ICD14" s="533"/>
      <c r="ICE14" s="533"/>
      <c r="ICF14" s="533"/>
      <c r="ICG14" s="533"/>
      <c r="ICH14" s="533"/>
      <c r="ICI14" s="533"/>
      <c r="ICJ14" s="533"/>
      <c r="ICK14" s="533"/>
      <c r="ICL14" s="533"/>
      <c r="ICM14" s="533"/>
      <c r="ICN14" s="533"/>
      <c r="ICO14" s="533"/>
      <c r="ICP14" s="533"/>
      <c r="ICQ14" s="533"/>
      <c r="ICR14" s="533"/>
      <c r="ICS14" s="533"/>
      <c r="ICT14" s="533"/>
      <c r="ICU14" s="533"/>
      <c r="ICV14" s="533"/>
      <c r="ICW14" s="533"/>
      <c r="ICX14" s="533"/>
      <c r="ICY14" s="533"/>
      <c r="ICZ14" s="533"/>
      <c r="IDA14" s="533"/>
      <c r="IDB14" s="533"/>
      <c r="IDC14" s="533"/>
      <c r="IDD14" s="533"/>
      <c r="IDE14" s="533"/>
      <c r="IDF14" s="533"/>
      <c r="IDG14" s="533"/>
      <c r="IDH14" s="533"/>
      <c r="IDI14" s="533"/>
      <c r="IDJ14" s="533"/>
      <c r="IDK14" s="533"/>
      <c r="IDL14" s="533"/>
      <c r="IDM14" s="533"/>
      <c r="IDN14" s="533"/>
      <c r="IDO14" s="533"/>
      <c r="IDP14" s="533"/>
      <c r="IDQ14" s="533"/>
      <c r="IDR14" s="533"/>
      <c r="IDS14" s="533"/>
      <c r="IDT14" s="533"/>
      <c r="IDU14" s="533"/>
      <c r="IDV14" s="533"/>
      <c r="IDW14" s="533"/>
      <c r="IDX14" s="533"/>
      <c r="IDY14" s="533"/>
      <c r="IDZ14" s="533"/>
      <c r="IEA14" s="533"/>
      <c r="IEB14" s="533"/>
      <c r="IEC14" s="533"/>
      <c r="IED14" s="533"/>
      <c r="IEE14" s="533"/>
      <c r="IEF14" s="533"/>
      <c r="IEG14" s="533"/>
      <c r="IEH14" s="533"/>
      <c r="IEI14" s="533"/>
      <c r="IEJ14" s="533"/>
      <c r="IEK14" s="533"/>
      <c r="IEL14" s="533"/>
      <c r="IEM14" s="533"/>
      <c r="IEN14" s="533"/>
      <c r="IEO14" s="533"/>
      <c r="IEP14" s="533"/>
      <c r="IEQ14" s="533"/>
      <c r="IER14" s="533"/>
      <c r="IES14" s="533"/>
      <c r="IET14" s="533"/>
      <c r="IEU14" s="533"/>
      <c r="IEV14" s="533"/>
      <c r="IEW14" s="533"/>
      <c r="IEX14" s="533"/>
      <c r="IEY14" s="533"/>
      <c r="IEZ14" s="533"/>
      <c r="IFA14" s="533"/>
      <c r="IFB14" s="533"/>
      <c r="IFC14" s="533"/>
      <c r="IFD14" s="533"/>
      <c r="IFE14" s="533"/>
      <c r="IFF14" s="533"/>
      <c r="IFG14" s="533"/>
      <c r="IFH14" s="533"/>
      <c r="IFI14" s="533"/>
      <c r="IFJ14" s="533"/>
      <c r="IFK14" s="533"/>
      <c r="IFL14" s="533"/>
      <c r="IFM14" s="533"/>
      <c r="IFN14" s="533"/>
      <c r="IFO14" s="533"/>
      <c r="IFP14" s="533"/>
      <c r="IFQ14" s="533"/>
      <c r="IFR14" s="533"/>
      <c r="IFS14" s="533"/>
      <c r="IFT14" s="533"/>
      <c r="IFU14" s="533"/>
      <c r="IFV14" s="533"/>
      <c r="IFW14" s="533"/>
      <c r="IFX14" s="533"/>
      <c r="IFY14" s="533"/>
      <c r="IFZ14" s="533"/>
      <c r="IGA14" s="533"/>
      <c r="IGB14" s="533"/>
      <c r="IGC14" s="533"/>
      <c r="IGD14" s="533"/>
      <c r="IGE14" s="533"/>
      <c r="IGF14" s="533"/>
      <c r="IGG14" s="533"/>
      <c r="IGH14" s="533"/>
      <c r="IGI14" s="533"/>
      <c r="IGJ14" s="533"/>
      <c r="IGK14" s="533"/>
      <c r="IGL14" s="533"/>
      <c r="IGM14" s="533"/>
      <c r="IGN14" s="533"/>
      <c r="IGO14" s="533"/>
      <c r="IGP14" s="533"/>
      <c r="IGQ14" s="533"/>
      <c r="IGR14" s="533"/>
      <c r="IGS14" s="533"/>
      <c r="IGT14" s="533"/>
      <c r="IGU14" s="533"/>
      <c r="IGV14" s="533"/>
      <c r="IGW14" s="533"/>
      <c r="IGX14" s="533"/>
      <c r="IGY14" s="533"/>
      <c r="IGZ14" s="533"/>
      <c r="IHA14" s="533"/>
      <c r="IHB14" s="533"/>
      <c r="IHC14" s="533"/>
      <c r="IHD14" s="533"/>
      <c r="IHE14" s="533"/>
      <c r="IHF14" s="533"/>
      <c r="IHG14" s="533"/>
      <c r="IHH14" s="533"/>
      <c r="IHI14" s="533"/>
      <c r="IHJ14" s="533"/>
      <c r="IHK14" s="533"/>
      <c r="IHL14" s="533"/>
      <c r="IHM14" s="533"/>
      <c r="IHN14" s="533"/>
      <c r="IHO14" s="533"/>
      <c r="IHP14" s="533"/>
      <c r="IHQ14" s="533"/>
      <c r="IHR14" s="533"/>
      <c r="IHS14" s="533"/>
      <c r="IHT14" s="533"/>
      <c r="IHU14" s="533"/>
      <c r="IHV14" s="533"/>
      <c r="IHW14" s="533"/>
      <c r="IHX14" s="533"/>
      <c r="IHY14" s="533"/>
      <c r="IHZ14" s="533"/>
      <c r="IIA14" s="533"/>
      <c r="IIB14" s="533"/>
      <c r="IIC14" s="533"/>
      <c r="IID14" s="533"/>
      <c r="IIE14" s="533"/>
      <c r="IIF14" s="533"/>
      <c r="IIG14" s="533"/>
      <c r="IIH14" s="533"/>
      <c r="III14" s="533"/>
      <c r="IIJ14" s="533"/>
      <c r="IIK14" s="533"/>
      <c r="IIL14" s="533"/>
      <c r="IIM14" s="533"/>
      <c r="IIN14" s="533"/>
      <c r="IIO14" s="533"/>
      <c r="IIP14" s="533"/>
      <c r="IIQ14" s="533"/>
      <c r="IIR14" s="533"/>
      <c r="IIS14" s="533"/>
      <c r="IIT14" s="533"/>
      <c r="IIU14" s="533"/>
      <c r="IIV14" s="533"/>
      <c r="IIW14" s="533"/>
      <c r="IIX14" s="533"/>
      <c r="IIY14" s="533"/>
      <c r="IIZ14" s="533"/>
      <c r="IJA14" s="533"/>
      <c r="IJB14" s="533"/>
      <c r="IJC14" s="533"/>
      <c r="IJD14" s="533"/>
      <c r="IJE14" s="533"/>
      <c r="IJF14" s="533"/>
      <c r="IJG14" s="533"/>
      <c r="IJH14" s="533"/>
      <c r="IJI14" s="533"/>
      <c r="IJJ14" s="533"/>
      <c r="IJK14" s="533"/>
      <c r="IJL14" s="533"/>
      <c r="IJM14" s="533"/>
      <c r="IJN14" s="533"/>
      <c r="IJO14" s="533"/>
      <c r="IJP14" s="533"/>
      <c r="IJQ14" s="533"/>
      <c r="IJR14" s="533"/>
      <c r="IJS14" s="533"/>
      <c r="IJT14" s="533"/>
      <c r="IJU14" s="533"/>
      <c r="IJV14" s="533"/>
      <c r="IJW14" s="533"/>
      <c r="IJX14" s="533"/>
      <c r="IJY14" s="533"/>
      <c r="IJZ14" s="533"/>
      <c r="IKA14" s="533"/>
      <c r="IKB14" s="533"/>
      <c r="IKC14" s="533"/>
      <c r="IKD14" s="533"/>
      <c r="IKE14" s="533"/>
      <c r="IKF14" s="533"/>
      <c r="IKG14" s="533"/>
      <c r="IKH14" s="533"/>
      <c r="IKI14" s="533"/>
      <c r="IKJ14" s="533"/>
      <c r="IKK14" s="533"/>
      <c r="IKL14" s="533"/>
      <c r="IKM14" s="533"/>
      <c r="IKN14" s="533"/>
      <c r="IKO14" s="533"/>
      <c r="IKP14" s="533"/>
      <c r="IKQ14" s="533"/>
      <c r="IKR14" s="533"/>
      <c r="IKS14" s="533"/>
      <c r="IKT14" s="533"/>
      <c r="IKU14" s="533"/>
      <c r="IKV14" s="533"/>
      <c r="IKW14" s="533"/>
      <c r="IKX14" s="533"/>
      <c r="IKY14" s="533"/>
      <c r="IKZ14" s="533"/>
      <c r="ILA14" s="533"/>
      <c r="ILB14" s="533"/>
      <c r="ILC14" s="533"/>
      <c r="ILD14" s="533"/>
      <c r="ILE14" s="533"/>
      <c r="ILF14" s="533"/>
      <c r="ILG14" s="533"/>
      <c r="ILH14" s="533"/>
      <c r="ILI14" s="533"/>
      <c r="ILJ14" s="533"/>
      <c r="ILK14" s="533"/>
      <c r="ILL14" s="533"/>
      <c r="ILM14" s="533"/>
      <c r="ILN14" s="533"/>
      <c r="ILO14" s="533"/>
      <c r="ILP14" s="533"/>
      <c r="ILQ14" s="533"/>
      <c r="ILR14" s="533"/>
      <c r="ILS14" s="533"/>
      <c r="ILT14" s="533"/>
      <c r="ILU14" s="533"/>
      <c r="ILV14" s="533"/>
      <c r="ILW14" s="533"/>
      <c r="ILX14" s="533"/>
      <c r="ILY14" s="533"/>
      <c r="ILZ14" s="533"/>
      <c r="IMA14" s="533"/>
      <c r="IMB14" s="533"/>
      <c r="IMC14" s="533"/>
      <c r="IMD14" s="533"/>
      <c r="IME14" s="533"/>
      <c r="IMF14" s="533"/>
      <c r="IMG14" s="533"/>
      <c r="IMH14" s="533"/>
      <c r="IMI14" s="533"/>
      <c r="IMJ14" s="533"/>
      <c r="IMK14" s="533"/>
      <c r="IML14" s="533"/>
      <c r="IMM14" s="533"/>
      <c r="IMN14" s="533"/>
      <c r="IMO14" s="533"/>
      <c r="IMP14" s="533"/>
      <c r="IMQ14" s="533"/>
      <c r="IMR14" s="533"/>
      <c r="IMS14" s="533"/>
      <c r="IMT14" s="533"/>
      <c r="IMU14" s="533"/>
      <c r="IMV14" s="533"/>
      <c r="IMW14" s="533"/>
      <c r="IMX14" s="533"/>
      <c r="IMY14" s="533"/>
      <c r="IMZ14" s="533"/>
      <c r="INA14" s="533"/>
      <c r="INB14" s="533"/>
      <c r="INC14" s="533"/>
      <c r="IND14" s="533"/>
      <c r="INE14" s="533"/>
      <c r="INF14" s="533"/>
      <c r="ING14" s="533"/>
      <c r="INH14" s="533"/>
      <c r="INI14" s="533"/>
      <c r="INJ14" s="533"/>
      <c r="INK14" s="533"/>
      <c r="INL14" s="533"/>
      <c r="INM14" s="533"/>
      <c r="INN14" s="533"/>
      <c r="INO14" s="533"/>
      <c r="INP14" s="533"/>
      <c r="INQ14" s="533"/>
      <c r="INR14" s="533"/>
      <c r="INS14" s="533"/>
      <c r="INT14" s="533"/>
      <c r="INU14" s="533"/>
      <c r="INV14" s="533"/>
      <c r="INW14" s="533"/>
      <c r="INX14" s="533"/>
      <c r="INY14" s="533"/>
      <c r="INZ14" s="533"/>
      <c r="IOA14" s="533"/>
      <c r="IOB14" s="533"/>
      <c r="IOC14" s="533"/>
      <c r="IOD14" s="533"/>
      <c r="IOE14" s="533"/>
      <c r="IOF14" s="533"/>
      <c r="IOG14" s="533"/>
      <c r="IOH14" s="533"/>
      <c r="IOI14" s="533"/>
      <c r="IOJ14" s="533"/>
      <c r="IOK14" s="533"/>
      <c r="IOL14" s="533"/>
      <c r="IOM14" s="533"/>
      <c r="ION14" s="533"/>
      <c r="IOO14" s="533"/>
      <c r="IOP14" s="533"/>
      <c r="IOQ14" s="533"/>
      <c r="IOR14" s="533"/>
      <c r="IOS14" s="533"/>
      <c r="IOT14" s="533"/>
      <c r="IOU14" s="533"/>
      <c r="IOV14" s="533"/>
      <c r="IOW14" s="533"/>
      <c r="IOX14" s="533"/>
      <c r="IOY14" s="533"/>
      <c r="IOZ14" s="533"/>
      <c r="IPA14" s="533"/>
      <c r="IPB14" s="533"/>
      <c r="IPC14" s="533"/>
      <c r="IPD14" s="533"/>
      <c r="IPE14" s="533"/>
      <c r="IPF14" s="533"/>
      <c r="IPG14" s="533"/>
      <c r="IPH14" s="533"/>
      <c r="IPI14" s="533"/>
      <c r="IPJ14" s="533"/>
      <c r="IPK14" s="533"/>
      <c r="IPL14" s="533"/>
      <c r="IPM14" s="533"/>
      <c r="IPN14" s="533"/>
      <c r="IPO14" s="533"/>
      <c r="IPP14" s="533"/>
      <c r="IPQ14" s="533"/>
      <c r="IPR14" s="533"/>
      <c r="IPS14" s="533"/>
      <c r="IPT14" s="533"/>
      <c r="IPU14" s="533"/>
      <c r="IPV14" s="533"/>
      <c r="IPW14" s="533"/>
      <c r="IPX14" s="533"/>
      <c r="IPY14" s="533"/>
      <c r="IPZ14" s="533"/>
      <c r="IQA14" s="533"/>
      <c r="IQB14" s="533"/>
      <c r="IQC14" s="533"/>
      <c r="IQD14" s="533"/>
      <c r="IQE14" s="533"/>
      <c r="IQF14" s="533"/>
      <c r="IQG14" s="533"/>
      <c r="IQH14" s="533"/>
      <c r="IQI14" s="533"/>
      <c r="IQJ14" s="533"/>
      <c r="IQK14" s="533"/>
      <c r="IQL14" s="533"/>
      <c r="IQM14" s="533"/>
      <c r="IQN14" s="533"/>
      <c r="IQO14" s="533"/>
      <c r="IQP14" s="533"/>
      <c r="IQQ14" s="533"/>
      <c r="IQR14" s="533"/>
      <c r="IQS14" s="533"/>
      <c r="IQT14" s="533"/>
      <c r="IQU14" s="533"/>
      <c r="IQV14" s="533"/>
      <c r="IQW14" s="533"/>
      <c r="IQX14" s="533"/>
      <c r="IQY14" s="533"/>
      <c r="IQZ14" s="533"/>
      <c r="IRA14" s="533"/>
      <c r="IRB14" s="533"/>
      <c r="IRC14" s="533"/>
      <c r="IRD14" s="533"/>
      <c r="IRE14" s="533"/>
      <c r="IRF14" s="533"/>
      <c r="IRG14" s="533"/>
      <c r="IRH14" s="533"/>
      <c r="IRI14" s="533"/>
      <c r="IRJ14" s="533"/>
      <c r="IRK14" s="533"/>
      <c r="IRL14" s="533"/>
      <c r="IRM14" s="533"/>
      <c r="IRN14" s="533"/>
      <c r="IRO14" s="533"/>
      <c r="IRP14" s="533"/>
      <c r="IRQ14" s="533"/>
      <c r="IRR14" s="533"/>
      <c r="IRS14" s="533"/>
      <c r="IRT14" s="533"/>
      <c r="IRU14" s="533"/>
      <c r="IRV14" s="533"/>
      <c r="IRW14" s="533"/>
      <c r="IRX14" s="533"/>
      <c r="IRY14" s="533"/>
      <c r="IRZ14" s="533"/>
      <c r="ISA14" s="533"/>
      <c r="ISB14" s="533"/>
      <c r="ISC14" s="533"/>
      <c r="ISD14" s="533"/>
      <c r="ISE14" s="533"/>
      <c r="ISF14" s="533"/>
      <c r="ISG14" s="533"/>
      <c r="ISH14" s="533"/>
      <c r="ISI14" s="533"/>
      <c r="ISJ14" s="533"/>
      <c r="ISK14" s="533"/>
      <c r="ISL14" s="533"/>
      <c r="ISM14" s="533"/>
      <c r="ISN14" s="533"/>
      <c r="ISO14" s="533"/>
      <c r="ISP14" s="533"/>
      <c r="ISQ14" s="533"/>
      <c r="ISR14" s="533"/>
      <c r="ISS14" s="533"/>
      <c r="IST14" s="533"/>
      <c r="ISU14" s="533"/>
      <c r="ISV14" s="533"/>
      <c r="ISW14" s="533"/>
      <c r="ISX14" s="533"/>
      <c r="ISY14" s="533"/>
      <c r="ISZ14" s="533"/>
      <c r="ITA14" s="533"/>
      <c r="ITB14" s="533"/>
      <c r="ITC14" s="533"/>
      <c r="ITD14" s="533"/>
      <c r="ITE14" s="533"/>
      <c r="ITF14" s="533"/>
      <c r="ITG14" s="533"/>
      <c r="ITH14" s="533"/>
      <c r="ITI14" s="533"/>
      <c r="ITJ14" s="533"/>
      <c r="ITK14" s="533"/>
      <c r="ITL14" s="533"/>
      <c r="ITM14" s="533"/>
      <c r="ITN14" s="533"/>
      <c r="ITO14" s="533"/>
      <c r="ITP14" s="533"/>
      <c r="ITQ14" s="533"/>
      <c r="ITR14" s="533"/>
      <c r="ITS14" s="533"/>
      <c r="ITT14" s="533"/>
      <c r="ITU14" s="533"/>
      <c r="ITV14" s="533"/>
      <c r="ITW14" s="533"/>
      <c r="ITX14" s="533"/>
      <c r="ITY14" s="533"/>
      <c r="ITZ14" s="533"/>
      <c r="IUA14" s="533"/>
      <c r="IUB14" s="533"/>
      <c r="IUC14" s="533"/>
      <c r="IUD14" s="533"/>
      <c r="IUE14" s="533"/>
      <c r="IUF14" s="533"/>
      <c r="IUG14" s="533"/>
      <c r="IUH14" s="533"/>
      <c r="IUI14" s="533"/>
      <c r="IUJ14" s="533"/>
      <c r="IUK14" s="533"/>
      <c r="IUL14" s="533"/>
      <c r="IUM14" s="533"/>
      <c r="IUN14" s="533"/>
      <c r="IUO14" s="533"/>
      <c r="IUP14" s="533"/>
      <c r="IUQ14" s="533"/>
      <c r="IUR14" s="533"/>
      <c r="IUS14" s="533"/>
      <c r="IUT14" s="533"/>
      <c r="IUU14" s="533"/>
      <c r="IUV14" s="533"/>
      <c r="IUW14" s="533"/>
      <c r="IUX14" s="533"/>
      <c r="IUY14" s="533"/>
      <c r="IUZ14" s="533"/>
      <c r="IVA14" s="533"/>
      <c r="IVB14" s="533"/>
      <c r="IVC14" s="533"/>
      <c r="IVD14" s="533"/>
      <c r="IVE14" s="533"/>
      <c r="IVF14" s="533"/>
      <c r="IVG14" s="533"/>
      <c r="IVH14" s="533"/>
      <c r="IVI14" s="533"/>
      <c r="IVJ14" s="533"/>
      <c r="IVK14" s="533"/>
      <c r="IVL14" s="533"/>
      <c r="IVM14" s="533"/>
      <c r="IVN14" s="533"/>
      <c r="IVO14" s="533"/>
      <c r="IVP14" s="533"/>
      <c r="IVQ14" s="533"/>
      <c r="IVR14" s="533"/>
      <c r="IVS14" s="533"/>
      <c r="IVT14" s="533"/>
      <c r="IVU14" s="533"/>
      <c r="IVV14" s="533"/>
      <c r="IVW14" s="533"/>
      <c r="IVX14" s="533"/>
      <c r="IVY14" s="533"/>
      <c r="IVZ14" s="533"/>
      <c r="IWA14" s="533"/>
      <c r="IWB14" s="533"/>
      <c r="IWC14" s="533"/>
      <c r="IWD14" s="533"/>
      <c r="IWE14" s="533"/>
      <c r="IWF14" s="533"/>
      <c r="IWG14" s="533"/>
      <c r="IWH14" s="533"/>
      <c r="IWI14" s="533"/>
      <c r="IWJ14" s="533"/>
      <c r="IWK14" s="533"/>
      <c r="IWL14" s="533"/>
      <c r="IWM14" s="533"/>
      <c r="IWN14" s="533"/>
      <c r="IWO14" s="533"/>
      <c r="IWP14" s="533"/>
      <c r="IWQ14" s="533"/>
      <c r="IWR14" s="533"/>
      <c r="IWS14" s="533"/>
      <c r="IWT14" s="533"/>
      <c r="IWU14" s="533"/>
      <c r="IWV14" s="533"/>
      <c r="IWW14" s="533"/>
      <c r="IWX14" s="533"/>
      <c r="IWY14" s="533"/>
      <c r="IWZ14" s="533"/>
      <c r="IXA14" s="533"/>
      <c r="IXB14" s="533"/>
      <c r="IXC14" s="533"/>
      <c r="IXD14" s="533"/>
      <c r="IXE14" s="533"/>
      <c r="IXF14" s="533"/>
      <c r="IXG14" s="533"/>
      <c r="IXH14" s="533"/>
      <c r="IXI14" s="533"/>
      <c r="IXJ14" s="533"/>
      <c r="IXK14" s="533"/>
      <c r="IXL14" s="533"/>
      <c r="IXM14" s="533"/>
      <c r="IXN14" s="533"/>
      <c r="IXO14" s="533"/>
      <c r="IXP14" s="533"/>
      <c r="IXQ14" s="533"/>
      <c r="IXR14" s="533"/>
      <c r="IXS14" s="533"/>
      <c r="IXT14" s="533"/>
      <c r="IXU14" s="533"/>
      <c r="IXV14" s="533"/>
      <c r="IXW14" s="533"/>
      <c r="IXX14" s="533"/>
      <c r="IXY14" s="533"/>
      <c r="IXZ14" s="533"/>
      <c r="IYA14" s="533"/>
      <c r="IYB14" s="533"/>
      <c r="IYC14" s="533"/>
      <c r="IYD14" s="533"/>
      <c r="IYE14" s="533"/>
      <c r="IYF14" s="533"/>
      <c r="IYG14" s="533"/>
      <c r="IYH14" s="533"/>
      <c r="IYI14" s="533"/>
      <c r="IYJ14" s="533"/>
      <c r="IYK14" s="533"/>
      <c r="IYL14" s="533"/>
      <c r="IYM14" s="533"/>
      <c r="IYN14" s="533"/>
      <c r="IYO14" s="533"/>
      <c r="IYP14" s="533"/>
      <c r="IYQ14" s="533"/>
      <c r="IYR14" s="533"/>
      <c r="IYS14" s="533"/>
      <c r="IYT14" s="533"/>
      <c r="IYU14" s="533"/>
      <c r="IYV14" s="533"/>
      <c r="IYW14" s="533"/>
      <c r="IYX14" s="533"/>
      <c r="IYY14" s="533"/>
      <c r="IYZ14" s="533"/>
      <c r="IZA14" s="533"/>
      <c r="IZB14" s="533"/>
      <c r="IZC14" s="533"/>
      <c r="IZD14" s="533"/>
      <c r="IZE14" s="533"/>
      <c r="IZF14" s="533"/>
      <c r="IZG14" s="533"/>
      <c r="IZH14" s="533"/>
      <c r="IZI14" s="533"/>
      <c r="IZJ14" s="533"/>
      <c r="IZK14" s="533"/>
      <c r="IZL14" s="533"/>
      <c r="IZM14" s="533"/>
      <c r="IZN14" s="533"/>
      <c r="IZO14" s="533"/>
      <c r="IZP14" s="533"/>
      <c r="IZQ14" s="533"/>
      <c r="IZR14" s="533"/>
      <c r="IZS14" s="533"/>
      <c r="IZT14" s="533"/>
      <c r="IZU14" s="533"/>
      <c r="IZV14" s="533"/>
      <c r="IZW14" s="533"/>
      <c r="IZX14" s="533"/>
      <c r="IZY14" s="533"/>
      <c r="IZZ14" s="533"/>
      <c r="JAA14" s="533"/>
      <c r="JAB14" s="533"/>
      <c r="JAC14" s="533"/>
      <c r="JAD14" s="533"/>
      <c r="JAE14" s="533"/>
      <c r="JAF14" s="533"/>
      <c r="JAG14" s="533"/>
      <c r="JAH14" s="533"/>
      <c r="JAI14" s="533"/>
      <c r="JAJ14" s="533"/>
      <c r="JAK14" s="533"/>
      <c r="JAL14" s="533"/>
      <c r="JAM14" s="533"/>
      <c r="JAN14" s="533"/>
      <c r="JAO14" s="533"/>
      <c r="JAP14" s="533"/>
      <c r="JAQ14" s="533"/>
      <c r="JAR14" s="533"/>
      <c r="JAS14" s="533"/>
      <c r="JAT14" s="533"/>
      <c r="JAU14" s="533"/>
      <c r="JAV14" s="533"/>
      <c r="JAW14" s="533"/>
      <c r="JAX14" s="533"/>
      <c r="JAY14" s="533"/>
      <c r="JAZ14" s="533"/>
      <c r="JBA14" s="533"/>
      <c r="JBB14" s="533"/>
      <c r="JBC14" s="533"/>
      <c r="JBD14" s="533"/>
      <c r="JBE14" s="533"/>
      <c r="JBF14" s="533"/>
      <c r="JBG14" s="533"/>
      <c r="JBH14" s="533"/>
      <c r="JBI14" s="533"/>
      <c r="JBJ14" s="533"/>
      <c r="JBK14" s="533"/>
      <c r="JBL14" s="533"/>
      <c r="JBM14" s="533"/>
      <c r="JBN14" s="533"/>
      <c r="JBO14" s="533"/>
      <c r="JBP14" s="533"/>
      <c r="JBQ14" s="533"/>
      <c r="JBR14" s="533"/>
      <c r="JBS14" s="533"/>
      <c r="JBT14" s="533"/>
      <c r="JBU14" s="533"/>
      <c r="JBV14" s="533"/>
      <c r="JBW14" s="533"/>
      <c r="JBX14" s="533"/>
      <c r="JBY14" s="533"/>
      <c r="JBZ14" s="533"/>
      <c r="JCA14" s="533"/>
      <c r="JCB14" s="533"/>
      <c r="JCC14" s="533"/>
      <c r="JCD14" s="533"/>
      <c r="JCE14" s="533"/>
      <c r="JCF14" s="533"/>
      <c r="JCG14" s="533"/>
      <c r="JCH14" s="533"/>
      <c r="JCI14" s="533"/>
      <c r="JCJ14" s="533"/>
      <c r="JCK14" s="533"/>
      <c r="JCL14" s="533"/>
      <c r="JCM14" s="533"/>
      <c r="JCN14" s="533"/>
      <c r="JCO14" s="533"/>
      <c r="JCP14" s="533"/>
      <c r="JCQ14" s="533"/>
      <c r="JCR14" s="533"/>
      <c r="JCS14" s="533"/>
      <c r="JCT14" s="533"/>
      <c r="JCU14" s="533"/>
      <c r="JCV14" s="533"/>
      <c r="JCW14" s="533"/>
      <c r="JCX14" s="533"/>
      <c r="JCY14" s="533"/>
      <c r="JCZ14" s="533"/>
      <c r="JDA14" s="533"/>
      <c r="JDB14" s="533"/>
      <c r="JDC14" s="533"/>
      <c r="JDD14" s="533"/>
      <c r="JDE14" s="533"/>
      <c r="JDF14" s="533"/>
      <c r="JDG14" s="533"/>
      <c r="JDH14" s="533"/>
      <c r="JDI14" s="533"/>
      <c r="JDJ14" s="533"/>
      <c r="JDK14" s="533"/>
      <c r="JDL14" s="533"/>
      <c r="JDM14" s="533"/>
      <c r="JDN14" s="533"/>
      <c r="JDO14" s="533"/>
      <c r="JDP14" s="533"/>
      <c r="JDQ14" s="533"/>
      <c r="JDR14" s="533"/>
      <c r="JDS14" s="533"/>
      <c r="JDT14" s="533"/>
      <c r="JDU14" s="533"/>
      <c r="JDV14" s="533"/>
      <c r="JDW14" s="533"/>
      <c r="JDX14" s="533"/>
      <c r="JDY14" s="533"/>
      <c r="JDZ14" s="533"/>
      <c r="JEA14" s="533"/>
      <c r="JEB14" s="533"/>
      <c r="JEC14" s="533"/>
      <c r="JED14" s="533"/>
      <c r="JEE14" s="533"/>
      <c r="JEF14" s="533"/>
      <c r="JEG14" s="533"/>
      <c r="JEH14" s="533"/>
      <c r="JEI14" s="533"/>
      <c r="JEJ14" s="533"/>
      <c r="JEK14" s="533"/>
      <c r="JEL14" s="533"/>
      <c r="JEM14" s="533"/>
      <c r="JEN14" s="533"/>
      <c r="JEO14" s="533"/>
      <c r="JEP14" s="533"/>
      <c r="JEQ14" s="533"/>
      <c r="JER14" s="533"/>
      <c r="JES14" s="533"/>
      <c r="JET14" s="533"/>
      <c r="JEU14" s="533"/>
      <c r="JEV14" s="533"/>
      <c r="JEW14" s="533"/>
      <c r="JEX14" s="533"/>
      <c r="JEY14" s="533"/>
      <c r="JEZ14" s="533"/>
      <c r="JFA14" s="533"/>
      <c r="JFB14" s="533"/>
      <c r="JFC14" s="533"/>
      <c r="JFD14" s="533"/>
      <c r="JFE14" s="533"/>
      <c r="JFF14" s="533"/>
      <c r="JFG14" s="533"/>
      <c r="JFH14" s="533"/>
      <c r="JFI14" s="533"/>
      <c r="JFJ14" s="533"/>
      <c r="JFK14" s="533"/>
      <c r="JFL14" s="533"/>
      <c r="JFM14" s="533"/>
      <c r="JFN14" s="533"/>
      <c r="JFO14" s="533"/>
      <c r="JFP14" s="533"/>
      <c r="JFQ14" s="533"/>
      <c r="JFR14" s="533"/>
      <c r="JFS14" s="533"/>
      <c r="JFT14" s="533"/>
      <c r="JFU14" s="533"/>
      <c r="JFV14" s="533"/>
      <c r="JFW14" s="533"/>
      <c r="JFX14" s="533"/>
      <c r="JFY14" s="533"/>
      <c r="JFZ14" s="533"/>
      <c r="JGA14" s="533"/>
      <c r="JGB14" s="533"/>
      <c r="JGC14" s="533"/>
      <c r="JGD14" s="533"/>
      <c r="JGE14" s="533"/>
      <c r="JGF14" s="533"/>
      <c r="JGG14" s="533"/>
      <c r="JGH14" s="533"/>
      <c r="JGI14" s="533"/>
      <c r="JGJ14" s="533"/>
      <c r="JGK14" s="533"/>
      <c r="JGL14" s="533"/>
      <c r="JGM14" s="533"/>
      <c r="JGN14" s="533"/>
      <c r="JGO14" s="533"/>
      <c r="JGP14" s="533"/>
      <c r="JGQ14" s="533"/>
      <c r="JGR14" s="533"/>
      <c r="JGS14" s="533"/>
      <c r="JGT14" s="533"/>
      <c r="JGU14" s="533"/>
      <c r="JGV14" s="533"/>
      <c r="JGW14" s="533"/>
      <c r="JGX14" s="533"/>
      <c r="JGY14" s="533"/>
      <c r="JGZ14" s="533"/>
      <c r="JHA14" s="533"/>
      <c r="JHB14" s="533"/>
      <c r="JHC14" s="533"/>
      <c r="JHD14" s="533"/>
      <c r="JHE14" s="533"/>
      <c r="JHF14" s="533"/>
      <c r="JHG14" s="533"/>
      <c r="JHH14" s="533"/>
      <c r="JHI14" s="533"/>
      <c r="JHJ14" s="533"/>
      <c r="JHK14" s="533"/>
      <c r="JHL14" s="533"/>
      <c r="JHM14" s="533"/>
      <c r="JHN14" s="533"/>
      <c r="JHO14" s="533"/>
      <c r="JHP14" s="533"/>
      <c r="JHQ14" s="533"/>
      <c r="JHR14" s="533"/>
      <c r="JHS14" s="533"/>
      <c r="JHT14" s="533"/>
      <c r="JHU14" s="533"/>
      <c r="JHV14" s="533"/>
      <c r="JHW14" s="533"/>
      <c r="JHX14" s="533"/>
      <c r="JHY14" s="533"/>
      <c r="JHZ14" s="533"/>
      <c r="JIA14" s="533"/>
      <c r="JIB14" s="533"/>
      <c r="JIC14" s="533"/>
      <c r="JID14" s="533"/>
      <c r="JIE14" s="533"/>
      <c r="JIF14" s="533"/>
      <c r="JIG14" s="533"/>
      <c r="JIH14" s="533"/>
      <c r="JII14" s="533"/>
      <c r="JIJ14" s="533"/>
      <c r="JIK14" s="533"/>
      <c r="JIL14" s="533"/>
      <c r="JIM14" s="533"/>
      <c r="JIN14" s="533"/>
      <c r="JIO14" s="533"/>
      <c r="JIP14" s="533"/>
      <c r="JIQ14" s="533"/>
      <c r="JIR14" s="533"/>
      <c r="JIS14" s="533"/>
      <c r="JIT14" s="533"/>
      <c r="JIU14" s="533"/>
      <c r="JIV14" s="533"/>
      <c r="JIW14" s="533"/>
      <c r="JIX14" s="533"/>
      <c r="JIY14" s="533"/>
      <c r="JIZ14" s="533"/>
      <c r="JJA14" s="533"/>
      <c r="JJB14" s="533"/>
      <c r="JJC14" s="533"/>
      <c r="JJD14" s="533"/>
      <c r="JJE14" s="533"/>
      <c r="JJF14" s="533"/>
      <c r="JJG14" s="533"/>
      <c r="JJH14" s="533"/>
      <c r="JJI14" s="533"/>
      <c r="JJJ14" s="533"/>
      <c r="JJK14" s="533"/>
      <c r="JJL14" s="533"/>
      <c r="JJM14" s="533"/>
      <c r="JJN14" s="533"/>
      <c r="JJO14" s="533"/>
      <c r="JJP14" s="533"/>
      <c r="JJQ14" s="533"/>
      <c r="JJR14" s="533"/>
      <c r="JJS14" s="533"/>
      <c r="JJT14" s="533"/>
      <c r="JJU14" s="533"/>
      <c r="JJV14" s="533"/>
      <c r="JJW14" s="533"/>
      <c r="JJX14" s="533"/>
      <c r="JJY14" s="533"/>
      <c r="JJZ14" s="533"/>
      <c r="JKA14" s="533"/>
      <c r="JKB14" s="533"/>
      <c r="JKC14" s="533"/>
      <c r="JKD14" s="533"/>
      <c r="JKE14" s="533"/>
      <c r="JKF14" s="533"/>
      <c r="JKG14" s="533"/>
      <c r="JKH14" s="533"/>
      <c r="JKI14" s="533"/>
      <c r="JKJ14" s="533"/>
      <c r="JKK14" s="533"/>
      <c r="JKL14" s="533"/>
      <c r="JKM14" s="533"/>
      <c r="JKN14" s="533"/>
      <c r="JKO14" s="533"/>
      <c r="JKP14" s="533"/>
      <c r="JKQ14" s="533"/>
      <c r="JKR14" s="533"/>
      <c r="JKS14" s="533"/>
      <c r="JKT14" s="533"/>
      <c r="JKU14" s="533"/>
      <c r="JKV14" s="533"/>
      <c r="JKW14" s="533"/>
      <c r="JKX14" s="533"/>
      <c r="JKY14" s="533"/>
      <c r="JKZ14" s="533"/>
      <c r="JLA14" s="533"/>
      <c r="JLB14" s="533"/>
      <c r="JLC14" s="533"/>
      <c r="JLD14" s="533"/>
      <c r="JLE14" s="533"/>
      <c r="JLF14" s="533"/>
      <c r="JLG14" s="533"/>
      <c r="JLH14" s="533"/>
      <c r="JLI14" s="533"/>
      <c r="JLJ14" s="533"/>
      <c r="JLK14" s="533"/>
      <c r="JLL14" s="533"/>
      <c r="JLM14" s="533"/>
      <c r="JLN14" s="533"/>
      <c r="JLO14" s="533"/>
      <c r="JLP14" s="533"/>
      <c r="JLQ14" s="533"/>
      <c r="JLR14" s="533"/>
      <c r="JLS14" s="533"/>
      <c r="JLT14" s="533"/>
      <c r="JLU14" s="533"/>
      <c r="JLV14" s="533"/>
      <c r="JLW14" s="533"/>
      <c r="JLX14" s="533"/>
      <c r="JLY14" s="533"/>
      <c r="JLZ14" s="533"/>
      <c r="JMA14" s="533"/>
      <c r="JMB14" s="533"/>
      <c r="JMC14" s="533"/>
      <c r="JMD14" s="533"/>
      <c r="JME14" s="533"/>
      <c r="JMF14" s="533"/>
      <c r="JMG14" s="533"/>
      <c r="JMH14" s="533"/>
      <c r="JMI14" s="533"/>
      <c r="JMJ14" s="533"/>
      <c r="JMK14" s="533"/>
      <c r="JML14" s="533"/>
      <c r="JMM14" s="533"/>
      <c r="JMN14" s="533"/>
      <c r="JMO14" s="533"/>
      <c r="JMP14" s="533"/>
      <c r="JMQ14" s="533"/>
      <c r="JMR14" s="533"/>
      <c r="JMS14" s="533"/>
      <c r="JMT14" s="533"/>
      <c r="JMU14" s="533"/>
      <c r="JMV14" s="533"/>
      <c r="JMW14" s="533"/>
      <c r="JMX14" s="533"/>
      <c r="JMY14" s="533"/>
      <c r="JMZ14" s="533"/>
      <c r="JNA14" s="533"/>
      <c r="JNB14" s="533"/>
      <c r="JNC14" s="533"/>
      <c r="JND14" s="533"/>
      <c r="JNE14" s="533"/>
      <c r="JNF14" s="533"/>
      <c r="JNG14" s="533"/>
      <c r="JNH14" s="533"/>
      <c r="JNI14" s="533"/>
      <c r="JNJ14" s="533"/>
      <c r="JNK14" s="533"/>
      <c r="JNL14" s="533"/>
      <c r="JNM14" s="533"/>
      <c r="JNN14" s="533"/>
      <c r="JNO14" s="533"/>
      <c r="JNP14" s="533"/>
      <c r="JNQ14" s="533"/>
      <c r="JNR14" s="533"/>
      <c r="JNS14" s="533"/>
      <c r="JNT14" s="533"/>
      <c r="JNU14" s="533"/>
      <c r="JNV14" s="533"/>
      <c r="JNW14" s="533"/>
      <c r="JNX14" s="533"/>
      <c r="JNY14" s="533"/>
      <c r="JNZ14" s="533"/>
      <c r="JOA14" s="533"/>
      <c r="JOB14" s="533"/>
      <c r="JOC14" s="533"/>
      <c r="JOD14" s="533"/>
      <c r="JOE14" s="533"/>
      <c r="JOF14" s="533"/>
      <c r="JOG14" s="533"/>
      <c r="JOH14" s="533"/>
      <c r="JOI14" s="533"/>
      <c r="JOJ14" s="533"/>
      <c r="JOK14" s="533"/>
      <c r="JOL14" s="533"/>
      <c r="JOM14" s="533"/>
      <c r="JON14" s="533"/>
      <c r="JOO14" s="533"/>
      <c r="JOP14" s="533"/>
      <c r="JOQ14" s="533"/>
      <c r="JOR14" s="533"/>
      <c r="JOS14" s="533"/>
      <c r="JOT14" s="533"/>
      <c r="JOU14" s="533"/>
      <c r="JOV14" s="533"/>
      <c r="JOW14" s="533"/>
      <c r="JOX14" s="533"/>
      <c r="JOY14" s="533"/>
      <c r="JOZ14" s="533"/>
      <c r="JPA14" s="533"/>
      <c r="JPB14" s="533"/>
      <c r="JPC14" s="533"/>
      <c r="JPD14" s="533"/>
      <c r="JPE14" s="533"/>
      <c r="JPF14" s="533"/>
      <c r="JPG14" s="533"/>
      <c r="JPH14" s="533"/>
      <c r="JPI14" s="533"/>
      <c r="JPJ14" s="533"/>
      <c r="JPK14" s="533"/>
      <c r="JPL14" s="533"/>
      <c r="JPM14" s="533"/>
      <c r="JPN14" s="533"/>
      <c r="JPO14" s="533"/>
      <c r="JPP14" s="533"/>
      <c r="JPQ14" s="533"/>
      <c r="JPR14" s="533"/>
      <c r="JPS14" s="533"/>
      <c r="JPT14" s="533"/>
      <c r="JPU14" s="533"/>
      <c r="JPV14" s="533"/>
      <c r="JPW14" s="533"/>
      <c r="JPX14" s="533"/>
      <c r="JPY14" s="533"/>
      <c r="JPZ14" s="533"/>
      <c r="JQA14" s="533"/>
      <c r="JQB14" s="533"/>
      <c r="JQC14" s="533"/>
      <c r="JQD14" s="533"/>
      <c r="JQE14" s="533"/>
      <c r="JQF14" s="533"/>
      <c r="JQG14" s="533"/>
      <c r="JQH14" s="533"/>
      <c r="JQI14" s="533"/>
      <c r="JQJ14" s="533"/>
      <c r="JQK14" s="533"/>
      <c r="JQL14" s="533"/>
      <c r="JQM14" s="533"/>
      <c r="JQN14" s="533"/>
      <c r="JQO14" s="533"/>
      <c r="JQP14" s="533"/>
      <c r="JQQ14" s="533"/>
      <c r="JQR14" s="533"/>
      <c r="JQS14" s="533"/>
      <c r="JQT14" s="533"/>
      <c r="JQU14" s="533"/>
      <c r="JQV14" s="533"/>
      <c r="JQW14" s="533"/>
      <c r="JQX14" s="533"/>
      <c r="JQY14" s="533"/>
      <c r="JQZ14" s="533"/>
      <c r="JRA14" s="533"/>
      <c r="JRB14" s="533"/>
      <c r="JRC14" s="533"/>
      <c r="JRD14" s="533"/>
      <c r="JRE14" s="533"/>
      <c r="JRF14" s="533"/>
      <c r="JRG14" s="533"/>
      <c r="JRH14" s="533"/>
      <c r="JRI14" s="533"/>
      <c r="JRJ14" s="533"/>
      <c r="JRK14" s="533"/>
      <c r="JRL14" s="533"/>
      <c r="JRM14" s="533"/>
      <c r="JRN14" s="533"/>
      <c r="JRO14" s="533"/>
      <c r="JRP14" s="533"/>
      <c r="JRQ14" s="533"/>
      <c r="JRR14" s="533"/>
      <c r="JRS14" s="533"/>
      <c r="JRT14" s="533"/>
      <c r="JRU14" s="533"/>
      <c r="JRV14" s="533"/>
      <c r="JRW14" s="533"/>
      <c r="JRX14" s="533"/>
      <c r="JRY14" s="533"/>
      <c r="JRZ14" s="533"/>
      <c r="JSA14" s="533"/>
      <c r="JSB14" s="533"/>
      <c r="JSC14" s="533"/>
      <c r="JSD14" s="533"/>
      <c r="JSE14" s="533"/>
      <c r="JSF14" s="533"/>
      <c r="JSG14" s="533"/>
      <c r="JSH14" s="533"/>
      <c r="JSI14" s="533"/>
      <c r="JSJ14" s="533"/>
      <c r="JSK14" s="533"/>
      <c r="JSL14" s="533"/>
      <c r="JSM14" s="533"/>
      <c r="JSN14" s="533"/>
      <c r="JSO14" s="533"/>
      <c r="JSP14" s="533"/>
      <c r="JSQ14" s="533"/>
      <c r="JSR14" s="533"/>
      <c r="JSS14" s="533"/>
      <c r="JST14" s="533"/>
      <c r="JSU14" s="533"/>
      <c r="JSV14" s="533"/>
      <c r="JSW14" s="533"/>
      <c r="JSX14" s="533"/>
      <c r="JSY14" s="533"/>
      <c r="JSZ14" s="533"/>
      <c r="JTA14" s="533"/>
      <c r="JTB14" s="533"/>
      <c r="JTC14" s="533"/>
      <c r="JTD14" s="533"/>
      <c r="JTE14" s="533"/>
      <c r="JTF14" s="533"/>
      <c r="JTG14" s="533"/>
      <c r="JTH14" s="533"/>
      <c r="JTI14" s="533"/>
      <c r="JTJ14" s="533"/>
      <c r="JTK14" s="533"/>
      <c r="JTL14" s="533"/>
      <c r="JTM14" s="533"/>
      <c r="JTN14" s="533"/>
      <c r="JTO14" s="533"/>
      <c r="JTP14" s="533"/>
      <c r="JTQ14" s="533"/>
      <c r="JTR14" s="533"/>
      <c r="JTS14" s="533"/>
      <c r="JTT14" s="533"/>
      <c r="JTU14" s="533"/>
      <c r="JTV14" s="533"/>
      <c r="JTW14" s="533"/>
      <c r="JTX14" s="533"/>
      <c r="JTY14" s="533"/>
      <c r="JTZ14" s="533"/>
      <c r="JUA14" s="533"/>
      <c r="JUB14" s="533"/>
      <c r="JUC14" s="533"/>
      <c r="JUD14" s="533"/>
      <c r="JUE14" s="533"/>
      <c r="JUF14" s="533"/>
      <c r="JUG14" s="533"/>
      <c r="JUH14" s="533"/>
      <c r="JUI14" s="533"/>
      <c r="JUJ14" s="533"/>
      <c r="JUK14" s="533"/>
      <c r="JUL14" s="533"/>
      <c r="JUM14" s="533"/>
      <c r="JUN14" s="533"/>
      <c r="JUO14" s="533"/>
      <c r="JUP14" s="533"/>
      <c r="JUQ14" s="533"/>
      <c r="JUR14" s="533"/>
      <c r="JUS14" s="533"/>
      <c r="JUT14" s="533"/>
      <c r="JUU14" s="533"/>
      <c r="JUV14" s="533"/>
      <c r="JUW14" s="533"/>
      <c r="JUX14" s="533"/>
      <c r="JUY14" s="533"/>
      <c r="JUZ14" s="533"/>
      <c r="JVA14" s="533"/>
      <c r="JVB14" s="533"/>
      <c r="JVC14" s="533"/>
      <c r="JVD14" s="533"/>
      <c r="JVE14" s="533"/>
      <c r="JVF14" s="533"/>
      <c r="JVG14" s="533"/>
      <c r="JVH14" s="533"/>
      <c r="JVI14" s="533"/>
      <c r="JVJ14" s="533"/>
      <c r="JVK14" s="533"/>
      <c r="JVL14" s="533"/>
      <c r="JVM14" s="533"/>
      <c r="JVN14" s="533"/>
      <c r="JVO14" s="533"/>
      <c r="JVP14" s="533"/>
      <c r="JVQ14" s="533"/>
      <c r="JVR14" s="533"/>
      <c r="JVS14" s="533"/>
      <c r="JVT14" s="533"/>
      <c r="JVU14" s="533"/>
      <c r="JVV14" s="533"/>
      <c r="JVW14" s="533"/>
      <c r="JVX14" s="533"/>
      <c r="JVY14" s="533"/>
      <c r="JVZ14" s="533"/>
      <c r="JWA14" s="533"/>
      <c r="JWB14" s="533"/>
      <c r="JWC14" s="533"/>
      <c r="JWD14" s="533"/>
      <c r="JWE14" s="533"/>
      <c r="JWF14" s="533"/>
      <c r="JWG14" s="533"/>
      <c r="JWH14" s="533"/>
      <c r="JWI14" s="533"/>
      <c r="JWJ14" s="533"/>
      <c r="JWK14" s="533"/>
      <c r="JWL14" s="533"/>
      <c r="JWM14" s="533"/>
      <c r="JWN14" s="533"/>
      <c r="JWO14" s="533"/>
      <c r="JWP14" s="533"/>
      <c r="JWQ14" s="533"/>
      <c r="JWR14" s="533"/>
      <c r="JWS14" s="533"/>
      <c r="JWT14" s="533"/>
      <c r="JWU14" s="533"/>
      <c r="JWV14" s="533"/>
      <c r="JWW14" s="533"/>
      <c r="JWX14" s="533"/>
      <c r="JWY14" s="533"/>
      <c r="JWZ14" s="533"/>
      <c r="JXA14" s="533"/>
      <c r="JXB14" s="533"/>
      <c r="JXC14" s="533"/>
      <c r="JXD14" s="533"/>
      <c r="JXE14" s="533"/>
      <c r="JXF14" s="533"/>
      <c r="JXG14" s="533"/>
      <c r="JXH14" s="533"/>
      <c r="JXI14" s="533"/>
      <c r="JXJ14" s="533"/>
      <c r="JXK14" s="533"/>
      <c r="JXL14" s="533"/>
      <c r="JXM14" s="533"/>
      <c r="JXN14" s="533"/>
      <c r="JXO14" s="533"/>
      <c r="JXP14" s="533"/>
      <c r="JXQ14" s="533"/>
      <c r="JXR14" s="533"/>
      <c r="JXS14" s="533"/>
      <c r="JXT14" s="533"/>
      <c r="JXU14" s="533"/>
      <c r="JXV14" s="533"/>
      <c r="JXW14" s="533"/>
      <c r="JXX14" s="533"/>
      <c r="JXY14" s="533"/>
      <c r="JXZ14" s="533"/>
      <c r="JYA14" s="533"/>
      <c r="JYB14" s="533"/>
      <c r="JYC14" s="533"/>
      <c r="JYD14" s="533"/>
      <c r="JYE14" s="533"/>
      <c r="JYF14" s="533"/>
      <c r="JYG14" s="533"/>
      <c r="JYH14" s="533"/>
      <c r="JYI14" s="533"/>
      <c r="JYJ14" s="533"/>
      <c r="JYK14" s="533"/>
      <c r="JYL14" s="533"/>
      <c r="JYM14" s="533"/>
      <c r="JYN14" s="533"/>
      <c r="JYO14" s="533"/>
      <c r="JYP14" s="533"/>
      <c r="JYQ14" s="533"/>
      <c r="JYR14" s="533"/>
      <c r="JYS14" s="533"/>
      <c r="JYT14" s="533"/>
      <c r="JYU14" s="533"/>
      <c r="JYV14" s="533"/>
      <c r="JYW14" s="533"/>
      <c r="JYX14" s="533"/>
      <c r="JYY14" s="533"/>
      <c r="JYZ14" s="533"/>
      <c r="JZA14" s="533"/>
      <c r="JZB14" s="533"/>
      <c r="JZC14" s="533"/>
      <c r="JZD14" s="533"/>
      <c r="JZE14" s="533"/>
      <c r="JZF14" s="533"/>
      <c r="JZG14" s="533"/>
      <c r="JZH14" s="533"/>
      <c r="JZI14" s="533"/>
      <c r="JZJ14" s="533"/>
      <c r="JZK14" s="533"/>
      <c r="JZL14" s="533"/>
      <c r="JZM14" s="533"/>
      <c r="JZN14" s="533"/>
      <c r="JZO14" s="533"/>
      <c r="JZP14" s="533"/>
      <c r="JZQ14" s="533"/>
      <c r="JZR14" s="533"/>
      <c r="JZS14" s="533"/>
      <c r="JZT14" s="533"/>
      <c r="JZU14" s="533"/>
      <c r="JZV14" s="533"/>
      <c r="JZW14" s="533"/>
      <c r="JZX14" s="533"/>
      <c r="JZY14" s="533"/>
      <c r="JZZ14" s="533"/>
      <c r="KAA14" s="533"/>
      <c r="KAB14" s="533"/>
      <c r="KAC14" s="533"/>
      <c r="KAD14" s="533"/>
      <c r="KAE14" s="533"/>
      <c r="KAF14" s="533"/>
      <c r="KAG14" s="533"/>
      <c r="KAH14" s="533"/>
      <c r="KAI14" s="533"/>
      <c r="KAJ14" s="533"/>
      <c r="KAK14" s="533"/>
      <c r="KAL14" s="533"/>
      <c r="KAM14" s="533"/>
      <c r="KAN14" s="533"/>
      <c r="KAO14" s="533"/>
      <c r="KAP14" s="533"/>
      <c r="KAQ14" s="533"/>
      <c r="KAR14" s="533"/>
      <c r="KAS14" s="533"/>
      <c r="KAT14" s="533"/>
      <c r="KAU14" s="533"/>
      <c r="KAV14" s="533"/>
      <c r="KAW14" s="533"/>
      <c r="KAX14" s="533"/>
      <c r="KAY14" s="533"/>
      <c r="KAZ14" s="533"/>
      <c r="KBA14" s="533"/>
      <c r="KBB14" s="533"/>
      <c r="KBC14" s="533"/>
      <c r="KBD14" s="533"/>
      <c r="KBE14" s="533"/>
      <c r="KBF14" s="533"/>
      <c r="KBG14" s="533"/>
      <c r="KBH14" s="533"/>
      <c r="KBI14" s="533"/>
      <c r="KBJ14" s="533"/>
      <c r="KBK14" s="533"/>
      <c r="KBL14" s="533"/>
      <c r="KBM14" s="533"/>
      <c r="KBN14" s="533"/>
      <c r="KBO14" s="533"/>
      <c r="KBP14" s="533"/>
      <c r="KBQ14" s="533"/>
      <c r="KBR14" s="533"/>
      <c r="KBS14" s="533"/>
      <c r="KBT14" s="533"/>
      <c r="KBU14" s="533"/>
      <c r="KBV14" s="533"/>
      <c r="KBW14" s="533"/>
      <c r="KBX14" s="533"/>
      <c r="KBY14" s="533"/>
      <c r="KBZ14" s="533"/>
      <c r="KCA14" s="533"/>
      <c r="KCB14" s="533"/>
      <c r="KCC14" s="533"/>
      <c r="KCD14" s="533"/>
      <c r="KCE14" s="533"/>
      <c r="KCF14" s="533"/>
      <c r="KCG14" s="533"/>
      <c r="KCH14" s="533"/>
      <c r="KCI14" s="533"/>
      <c r="KCJ14" s="533"/>
      <c r="KCK14" s="533"/>
      <c r="KCL14" s="533"/>
      <c r="KCM14" s="533"/>
      <c r="KCN14" s="533"/>
      <c r="KCO14" s="533"/>
      <c r="KCP14" s="533"/>
      <c r="KCQ14" s="533"/>
      <c r="KCR14" s="533"/>
      <c r="KCS14" s="533"/>
      <c r="KCT14" s="533"/>
      <c r="KCU14" s="533"/>
      <c r="KCV14" s="533"/>
      <c r="KCW14" s="533"/>
      <c r="KCX14" s="533"/>
      <c r="KCY14" s="533"/>
      <c r="KCZ14" s="533"/>
      <c r="KDA14" s="533"/>
      <c r="KDB14" s="533"/>
      <c r="KDC14" s="533"/>
      <c r="KDD14" s="533"/>
      <c r="KDE14" s="533"/>
      <c r="KDF14" s="533"/>
      <c r="KDG14" s="533"/>
      <c r="KDH14" s="533"/>
      <c r="KDI14" s="533"/>
      <c r="KDJ14" s="533"/>
      <c r="KDK14" s="533"/>
      <c r="KDL14" s="533"/>
      <c r="KDM14" s="533"/>
      <c r="KDN14" s="533"/>
      <c r="KDO14" s="533"/>
      <c r="KDP14" s="533"/>
      <c r="KDQ14" s="533"/>
      <c r="KDR14" s="533"/>
      <c r="KDS14" s="533"/>
      <c r="KDT14" s="533"/>
      <c r="KDU14" s="533"/>
      <c r="KDV14" s="533"/>
      <c r="KDW14" s="533"/>
      <c r="KDX14" s="533"/>
      <c r="KDY14" s="533"/>
      <c r="KDZ14" s="533"/>
      <c r="KEA14" s="533"/>
      <c r="KEB14" s="533"/>
      <c r="KEC14" s="533"/>
      <c r="KED14" s="533"/>
      <c r="KEE14" s="533"/>
      <c r="KEF14" s="533"/>
      <c r="KEG14" s="533"/>
      <c r="KEH14" s="533"/>
      <c r="KEI14" s="533"/>
      <c r="KEJ14" s="533"/>
      <c r="KEK14" s="533"/>
      <c r="KEL14" s="533"/>
      <c r="KEM14" s="533"/>
      <c r="KEN14" s="533"/>
      <c r="KEO14" s="533"/>
      <c r="KEP14" s="533"/>
      <c r="KEQ14" s="533"/>
      <c r="KER14" s="533"/>
      <c r="KES14" s="533"/>
      <c r="KET14" s="533"/>
      <c r="KEU14" s="533"/>
      <c r="KEV14" s="533"/>
      <c r="KEW14" s="533"/>
      <c r="KEX14" s="533"/>
      <c r="KEY14" s="533"/>
      <c r="KEZ14" s="533"/>
      <c r="KFA14" s="533"/>
      <c r="KFB14" s="533"/>
      <c r="KFC14" s="533"/>
      <c r="KFD14" s="533"/>
      <c r="KFE14" s="533"/>
      <c r="KFF14" s="533"/>
      <c r="KFG14" s="533"/>
      <c r="KFH14" s="533"/>
      <c r="KFI14" s="533"/>
      <c r="KFJ14" s="533"/>
      <c r="KFK14" s="533"/>
      <c r="KFL14" s="533"/>
      <c r="KFM14" s="533"/>
      <c r="KFN14" s="533"/>
      <c r="KFO14" s="533"/>
      <c r="KFP14" s="533"/>
      <c r="KFQ14" s="533"/>
      <c r="KFR14" s="533"/>
      <c r="KFS14" s="533"/>
      <c r="KFT14" s="533"/>
      <c r="KFU14" s="533"/>
      <c r="KFV14" s="533"/>
      <c r="KFW14" s="533"/>
      <c r="KFX14" s="533"/>
      <c r="KFY14" s="533"/>
      <c r="KFZ14" s="533"/>
      <c r="KGA14" s="533"/>
      <c r="KGB14" s="533"/>
      <c r="KGC14" s="533"/>
      <c r="KGD14" s="533"/>
      <c r="KGE14" s="533"/>
      <c r="KGF14" s="533"/>
      <c r="KGG14" s="533"/>
      <c r="KGH14" s="533"/>
      <c r="KGI14" s="533"/>
      <c r="KGJ14" s="533"/>
      <c r="KGK14" s="533"/>
      <c r="KGL14" s="533"/>
      <c r="KGM14" s="533"/>
      <c r="KGN14" s="533"/>
      <c r="KGO14" s="533"/>
      <c r="KGP14" s="533"/>
      <c r="KGQ14" s="533"/>
      <c r="KGR14" s="533"/>
      <c r="KGS14" s="533"/>
      <c r="KGT14" s="533"/>
      <c r="KGU14" s="533"/>
      <c r="KGV14" s="533"/>
      <c r="KGW14" s="533"/>
      <c r="KGX14" s="533"/>
      <c r="KGY14" s="533"/>
      <c r="KGZ14" s="533"/>
      <c r="KHA14" s="533"/>
      <c r="KHB14" s="533"/>
      <c r="KHC14" s="533"/>
      <c r="KHD14" s="533"/>
      <c r="KHE14" s="533"/>
      <c r="KHF14" s="533"/>
      <c r="KHG14" s="533"/>
      <c r="KHH14" s="533"/>
      <c r="KHI14" s="533"/>
      <c r="KHJ14" s="533"/>
      <c r="KHK14" s="533"/>
      <c r="KHL14" s="533"/>
      <c r="KHM14" s="533"/>
      <c r="KHN14" s="533"/>
      <c r="KHO14" s="533"/>
      <c r="KHP14" s="533"/>
      <c r="KHQ14" s="533"/>
      <c r="KHR14" s="533"/>
      <c r="KHS14" s="533"/>
      <c r="KHT14" s="533"/>
      <c r="KHU14" s="533"/>
      <c r="KHV14" s="533"/>
      <c r="KHW14" s="533"/>
      <c r="KHX14" s="533"/>
      <c r="KHY14" s="533"/>
      <c r="KHZ14" s="533"/>
      <c r="KIA14" s="533"/>
      <c r="KIB14" s="533"/>
      <c r="KIC14" s="533"/>
      <c r="KID14" s="533"/>
      <c r="KIE14" s="533"/>
      <c r="KIF14" s="533"/>
      <c r="KIG14" s="533"/>
      <c r="KIH14" s="533"/>
      <c r="KII14" s="533"/>
      <c r="KIJ14" s="533"/>
      <c r="KIK14" s="533"/>
      <c r="KIL14" s="533"/>
      <c r="KIM14" s="533"/>
      <c r="KIN14" s="533"/>
      <c r="KIO14" s="533"/>
      <c r="KIP14" s="533"/>
      <c r="KIQ14" s="533"/>
      <c r="KIR14" s="533"/>
      <c r="KIS14" s="533"/>
      <c r="KIT14" s="533"/>
      <c r="KIU14" s="533"/>
      <c r="KIV14" s="533"/>
      <c r="KIW14" s="533"/>
      <c r="KIX14" s="533"/>
      <c r="KIY14" s="533"/>
      <c r="KIZ14" s="533"/>
      <c r="KJA14" s="533"/>
      <c r="KJB14" s="533"/>
      <c r="KJC14" s="533"/>
      <c r="KJD14" s="533"/>
      <c r="KJE14" s="533"/>
      <c r="KJF14" s="533"/>
      <c r="KJG14" s="533"/>
      <c r="KJH14" s="533"/>
      <c r="KJI14" s="533"/>
      <c r="KJJ14" s="533"/>
      <c r="KJK14" s="533"/>
      <c r="KJL14" s="533"/>
      <c r="KJM14" s="533"/>
      <c r="KJN14" s="533"/>
      <c r="KJO14" s="533"/>
      <c r="KJP14" s="533"/>
      <c r="KJQ14" s="533"/>
      <c r="KJR14" s="533"/>
      <c r="KJS14" s="533"/>
      <c r="KJT14" s="533"/>
      <c r="KJU14" s="533"/>
      <c r="KJV14" s="533"/>
      <c r="KJW14" s="533"/>
      <c r="KJX14" s="533"/>
      <c r="KJY14" s="533"/>
      <c r="KJZ14" s="533"/>
      <c r="KKA14" s="533"/>
      <c r="KKB14" s="533"/>
      <c r="KKC14" s="533"/>
      <c r="KKD14" s="533"/>
      <c r="KKE14" s="533"/>
      <c r="KKF14" s="533"/>
      <c r="KKG14" s="533"/>
      <c r="KKH14" s="533"/>
      <c r="KKI14" s="533"/>
      <c r="KKJ14" s="533"/>
      <c r="KKK14" s="533"/>
      <c r="KKL14" s="533"/>
      <c r="KKM14" s="533"/>
      <c r="KKN14" s="533"/>
      <c r="KKO14" s="533"/>
      <c r="KKP14" s="533"/>
      <c r="KKQ14" s="533"/>
      <c r="KKR14" s="533"/>
      <c r="KKS14" s="533"/>
      <c r="KKT14" s="533"/>
      <c r="KKU14" s="533"/>
      <c r="KKV14" s="533"/>
      <c r="KKW14" s="533"/>
      <c r="KKX14" s="533"/>
      <c r="KKY14" s="533"/>
      <c r="KKZ14" s="533"/>
      <c r="KLA14" s="533"/>
      <c r="KLB14" s="533"/>
      <c r="KLC14" s="533"/>
      <c r="KLD14" s="533"/>
      <c r="KLE14" s="533"/>
      <c r="KLF14" s="533"/>
      <c r="KLG14" s="533"/>
      <c r="KLH14" s="533"/>
      <c r="KLI14" s="533"/>
      <c r="KLJ14" s="533"/>
      <c r="KLK14" s="533"/>
      <c r="KLL14" s="533"/>
      <c r="KLM14" s="533"/>
      <c r="KLN14" s="533"/>
      <c r="KLO14" s="533"/>
      <c r="KLP14" s="533"/>
      <c r="KLQ14" s="533"/>
      <c r="KLR14" s="533"/>
      <c r="KLS14" s="533"/>
      <c r="KLT14" s="533"/>
      <c r="KLU14" s="533"/>
      <c r="KLV14" s="533"/>
      <c r="KLW14" s="533"/>
      <c r="KLX14" s="533"/>
      <c r="KLY14" s="533"/>
      <c r="KLZ14" s="533"/>
      <c r="KMA14" s="533"/>
      <c r="KMB14" s="533"/>
      <c r="KMC14" s="533"/>
      <c r="KMD14" s="533"/>
      <c r="KME14" s="533"/>
      <c r="KMF14" s="533"/>
      <c r="KMG14" s="533"/>
      <c r="KMH14" s="533"/>
      <c r="KMI14" s="533"/>
      <c r="KMJ14" s="533"/>
      <c r="KMK14" s="533"/>
      <c r="KML14" s="533"/>
      <c r="KMM14" s="533"/>
      <c r="KMN14" s="533"/>
      <c r="KMO14" s="533"/>
      <c r="KMP14" s="533"/>
      <c r="KMQ14" s="533"/>
      <c r="KMR14" s="533"/>
      <c r="KMS14" s="533"/>
      <c r="KMT14" s="533"/>
      <c r="KMU14" s="533"/>
      <c r="KMV14" s="533"/>
      <c r="KMW14" s="533"/>
      <c r="KMX14" s="533"/>
      <c r="KMY14" s="533"/>
      <c r="KMZ14" s="533"/>
      <c r="KNA14" s="533"/>
      <c r="KNB14" s="533"/>
      <c r="KNC14" s="533"/>
      <c r="KND14" s="533"/>
      <c r="KNE14" s="533"/>
      <c r="KNF14" s="533"/>
      <c r="KNG14" s="533"/>
      <c r="KNH14" s="533"/>
      <c r="KNI14" s="533"/>
      <c r="KNJ14" s="533"/>
      <c r="KNK14" s="533"/>
      <c r="KNL14" s="533"/>
      <c r="KNM14" s="533"/>
      <c r="KNN14" s="533"/>
      <c r="KNO14" s="533"/>
      <c r="KNP14" s="533"/>
      <c r="KNQ14" s="533"/>
      <c r="KNR14" s="533"/>
      <c r="KNS14" s="533"/>
      <c r="KNT14" s="533"/>
      <c r="KNU14" s="533"/>
      <c r="KNV14" s="533"/>
      <c r="KNW14" s="533"/>
      <c r="KNX14" s="533"/>
      <c r="KNY14" s="533"/>
      <c r="KNZ14" s="533"/>
      <c r="KOA14" s="533"/>
      <c r="KOB14" s="533"/>
      <c r="KOC14" s="533"/>
      <c r="KOD14" s="533"/>
      <c r="KOE14" s="533"/>
      <c r="KOF14" s="533"/>
      <c r="KOG14" s="533"/>
      <c r="KOH14" s="533"/>
      <c r="KOI14" s="533"/>
      <c r="KOJ14" s="533"/>
      <c r="KOK14" s="533"/>
      <c r="KOL14" s="533"/>
      <c r="KOM14" s="533"/>
      <c r="KON14" s="533"/>
      <c r="KOO14" s="533"/>
      <c r="KOP14" s="533"/>
      <c r="KOQ14" s="533"/>
      <c r="KOR14" s="533"/>
      <c r="KOS14" s="533"/>
      <c r="KOT14" s="533"/>
      <c r="KOU14" s="533"/>
      <c r="KOV14" s="533"/>
      <c r="KOW14" s="533"/>
      <c r="KOX14" s="533"/>
      <c r="KOY14" s="533"/>
      <c r="KOZ14" s="533"/>
      <c r="KPA14" s="533"/>
      <c r="KPB14" s="533"/>
      <c r="KPC14" s="533"/>
      <c r="KPD14" s="533"/>
      <c r="KPE14" s="533"/>
      <c r="KPF14" s="533"/>
      <c r="KPG14" s="533"/>
      <c r="KPH14" s="533"/>
      <c r="KPI14" s="533"/>
      <c r="KPJ14" s="533"/>
      <c r="KPK14" s="533"/>
      <c r="KPL14" s="533"/>
      <c r="KPM14" s="533"/>
      <c r="KPN14" s="533"/>
      <c r="KPO14" s="533"/>
      <c r="KPP14" s="533"/>
      <c r="KPQ14" s="533"/>
      <c r="KPR14" s="533"/>
      <c r="KPS14" s="533"/>
      <c r="KPT14" s="533"/>
      <c r="KPU14" s="533"/>
      <c r="KPV14" s="533"/>
      <c r="KPW14" s="533"/>
      <c r="KPX14" s="533"/>
      <c r="KPY14" s="533"/>
      <c r="KPZ14" s="533"/>
      <c r="KQA14" s="533"/>
      <c r="KQB14" s="533"/>
      <c r="KQC14" s="533"/>
      <c r="KQD14" s="533"/>
      <c r="KQE14" s="533"/>
      <c r="KQF14" s="533"/>
      <c r="KQG14" s="533"/>
      <c r="KQH14" s="533"/>
      <c r="KQI14" s="533"/>
      <c r="KQJ14" s="533"/>
      <c r="KQK14" s="533"/>
      <c r="KQL14" s="533"/>
      <c r="KQM14" s="533"/>
      <c r="KQN14" s="533"/>
      <c r="KQO14" s="533"/>
      <c r="KQP14" s="533"/>
      <c r="KQQ14" s="533"/>
      <c r="KQR14" s="533"/>
      <c r="KQS14" s="533"/>
      <c r="KQT14" s="533"/>
      <c r="KQU14" s="533"/>
      <c r="KQV14" s="533"/>
      <c r="KQW14" s="533"/>
      <c r="KQX14" s="533"/>
      <c r="KQY14" s="533"/>
      <c r="KQZ14" s="533"/>
      <c r="KRA14" s="533"/>
      <c r="KRB14" s="533"/>
      <c r="KRC14" s="533"/>
      <c r="KRD14" s="533"/>
      <c r="KRE14" s="533"/>
      <c r="KRF14" s="533"/>
      <c r="KRG14" s="533"/>
      <c r="KRH14" s="533"/>
      <c r="KRI14" s="533"/>
      <c r="KRJ14" s="533"/>
      <c r="KRK14" s="533"/>
      <c r="KRL14" s="533"/>
      <c r="KRM14" s="533"/>
      <c r="KRN14" s="533"/>
      <c r="KRO14" s="533"/>
      <c r="KRP14" s="533"/>
      <c r="KRQ14" s="533"/>
      <c r="KRR14" s="533"/>
      <c r="KRS14" s="533"/>
      <c r="KRT14" s="533"/>
      <c r="KRU14" s="533"/>
      <c r="KRV14" s="533"/>
      <c r="KRW14" s="533"/>
      <c r="KRX14" s="533"/>
      <c r="KRY14" s="533"/>
      <c r="KRZ14" s="533"/>
      <c r="KSA14" s="533"/>
      <c r="KSB14" s="533"/>
      <c r="KSC14" s="533"/>
      <c r="KSD14" s="533"/>
      <c r="KSE14" s="533"/>
      <c r="KSF14" s="533"/>
      <c r="KSG14" s="533"/>
      <c r="KSH14" s="533"/>
      <c r="KSI14" s="533"/>
      <c r="KSJ14" s="533"/>
      <c r="KSK14" s="533"/>
      <c r="KSL14" s="533"/>
      <c r="KSM14" s="533"/>
      <c r="KSN14" s="533"/>
      <c r="KSO14" s="533"/>
      <c r="KSP14" s="533"/>
      <c r="KSQ14" s="533"/>
      <c r="KSR14" s="533"/>
      <c r="KSS14" s="533"/>
      <c r="KST14" s="533"/>
      <c r="KSU14" s="533"/>
      <c r="KSV14" s="533"/>
      <c r="KSW14" s="533"/>
      <c r="KSX14" s="533"/>
      <c r="KSY14" s="533"/>
      <c r="KSZ14" s="533"/>
      <c r="KTA14" s="533"/>
      <c r="KTB14" s="533"/>
      <c r="KTC14" s="533"/>
      <c r="KTD14" s="533"/>
      <c r="KTE14" s="533"/>
      <c r="KTF14" s="533"/>
      <c r="KTG14" s="533"/>
      <c r="KTH14" s="533"/>
      <c r="KTI14" s="533"/>
      <c r="KTJ14" s="533"/>
      <c r="KTK14" s="533"/>
      <c r="KTL14" s="533"/>
      <c r="KTM14" s="533"/>
      <c r="KTN14" s="533"/>
      <c r="KTO14" s="533"/>
      <c r="KTP14" s="533"/>
      <c r="KTQ14" s="533"/>
      <c r="KTR14" s="533"/>
      <c r="KTS14" s="533"/>
      <c r="KTT14" s="533"/>
      <c r="KTU14" s="533"/>
      <c r="KTV14" s="533"/>
      <c r="KTW14" s="533"/>
      <c r="KTX14" s="533"/>
      <c r="KTY14" s="533"/>
      <c r="KTZ14" s="533"/>
      <c r="KUA14" s="533"/>
      <c r="KUB14" s="533"/>
      <c r="KUC14" s="533"/>
      <c r="KUD14" s="533"/>
      <c r="KUE14" s="533"/>
      <c r="KUF14" s="533"/>
      <c r="KUG14" s="533"/>
      <c r="KUH14" s="533"/>
      <c r="KUI14" s="533"/>
      <c r="KUJ14" s="533"/>
      <c r="KUK14" s="533"/>
      <c r="KUL14" s="533"/>
      <c r="KUM14" s="533"/>
      <c r="KUN14" s="533"/>
      <c r="KUO14" s="533"/>
      <c r="KUP14" s="533"/>
      <c r="KUQ14" s="533"/>
      <c r="KUR14" s="533"/>
      <c r="KUS14" s="533"/>
      <c r="KUT14" s="533"/>
      <c r="KUU14" s="533"/>
      <c r="KUV14" s="533"/>
      <c r="KUW14" s="533"/>
      <c r="KUX14" s="533"/>
      <c r="KUY14" s="533"/>
      <c r="KUZ14" s="533"/>
      <c r="KVA14" s="533"/>
      <c r="KVB14" s="533"/>
      <c r="KVC14" s="533"/>
      <c r="KVD14" s="533"/>
      <c r="KVE14" s="533"/>
      <c r="KVF14" s="533"/>
      <c r="KVG14" s="533"/>
      <c r="KVH14" s="533"/>
      <c r="KVI14" s="533"/>
      <c r="KVJ14" s="533"/>
      <c r="KVK14" s="533"/>
      <c r="KVL14" s="533"/>
      <c r="KVM14" s="533"/>
      <c r="KVN14" s="533"/>
      <c r="KVO14" s="533"/>
      <c r="KVP14" s="533"/>
      <c r="KVQ14" s="533"/>
      <c r="KVR14" s="533"/>
      <c r="KVS14" s="533"/>
      <c r="KVT14" s="533"/>
      <c r="KVU14" s="533"/>
      <c r="KVV14" s="533"/>
      <c r="KVW14" s="533"/>
      <c r="KVX14" s="533"/>
      <c r="KVY14" s="533"/>
      <c r="KVZ14" s="533"/>
      <c r="KWA14" s="533"/>
      <c r="KWB14" s="533"/>
      <c r="KWC14" s="533"/>
      <c r="KWD14" s="533"/>
      <c r="KWE14" s="533"/>
      <c r="KWF14" s="533"/>
      <c r="KWG14" s="533"/>
      <c r="KWH14" s="533"/>
      <c r="KWI14" s="533"/>
      <c r="KWJ14" s="533"/>
      <c r="KWK14" s="533"/>
      <c r="KWL14" s="533"/>
      <c r="KWM14" s="533"/>
      <c r="KWN14" s="533"/>
      <c r="KWO14" s="533"/>
      <c r="KWP14" s="533"/>
      <c r="KWQ14" s="533"/>
      <c r="KWR14" s="533"/>
      <c r="KWS14" s="533"/>
      <c r="KWT14" s="533"/>
      <c r="KWU14" s="533"/>
      <c r="KWV14" s="533"/>
      <c r="KWW14" s="533"/>
      <c r="KWX14" s="533"/>
      <c r="KWY14" s="533"/>
      <c r="KWZ14" s="533"/>
      <c r="KXA14" s="533"/>
      <c r="KXB14" s="533"/>
      <c r="KXC14" s="533"/>
      <c r="KXD14" s="533"/>
      <c r="KXE14" s="533"/>
      <c r="KXF14" s="533"/>
      <c r="KXG14" s="533"/>
      <c r="KXH14" s="533"/>
      <c r="KXI14" s="533"/>
      <c r="KXJ14" s="533"/>
      <c r="KXK14" s="533"/>
      <c r="KXL14" s="533"/>
      <c r="KXM14" s="533"/>
      <c r="KXN14" s="533"/>
      <c r="KXO14" s="533"/>
      <c r="KXP14" s="533"/>
      <c r="KXQ14" s="533"/>
      <c r="KXR14" s="533"/>
      <c r="KXS14" s="533"/>
      <c r="KXT14" s="533"/>
      <c r="KXU14" s="533"/>
      <c r="KXV14" s="533"/>
      <c r="KXW14" s="533"/>
      <c r="KXX14" s="533"/>
      <c r="KXY14" s="533"/>
      <c r="KXZ14" s="533"/>
      <c r="KYA14" s="533"/>
      <c r="KYB14" s="533"/>
      <c r="KYC14" s="533"/>
      <c r="KYD14" s="533"/>
      <c r="KYE14" s="533"/>
      <c r="KYF14" s="533"/>
      <c r="KYG14" s="533"/>
      <c r="KYH14" s="533"/>
      <c r="KYI14" s="533"/>
      <c r="KYJ14" s="533"/>
      <c r="KYK14" s="533"/>
      <c r="KYL14" s="533"/>
      <c r="KYM14" s="533"/>
      <c r="KYN14" s="533"/>
      <c r="KYO14" s="533"/>
      <c r="KYP14" s="533"/>
      <c r="KYQ14" s="533"/>
      <c r="KYR14" s="533"/>
      <c r="KYS14" s="533"/>
      <c r="KYT14" s="533"/>
      <c r="KYU14" s="533"/>
      <c r="KYV14" s="533"/>
      <c r="KYW14" s="533"/>
      <c r="KYX14" s="533"/>
      <c r="KYY14" s="533"/>
      <c r="KYZ14" s="533"/>
      <c r="KZA14" s="533"/>
      <c r="KZB14" s="533"/>
      <c r="KZC14" s="533"/>
      <c r="KZD14" s="533"/>
      <c r="KZE14" s="533"/>
      <c r="KZF14" s="533"/>
      <c r="KZG14" s="533"/>
      <c r="KZH14" s="533"/>
      <c r="KZI14" s="533"/>
      <c r="KZJ14" s="533"/>
      <c r="KZK14" s="533"/>
      <c r="KZL14" s="533"/>
      <c r="KZM14" s="533"/>
      <c r="KZN14" s="533"/>
      <c r="KZO14" s="533"/>
      <c r="KZP14" s="533"/>
      <c r="KZQ14" s="533"/>
      <c r="KZR14" s="533"/>
      <c r="KZS14" s="533"/>
      <c r="KZT14" s="533"/>
      <c r="KZU14" s="533"/>
      <c r="KZV14" s="533"/>
      <c r="KZW14" s="533"/>
      <c r="KZX14" s="533"/>
      <c r="KZY14" s="533"/>
      <c r="KZZ14" s="533"/>
      <c r="LAA14" s="533"/>
      <c r="LAB14" s="533"/>
      <c r="LAC14" s="533"/>
      <c r="LAD14" s="533"/>
      <c r="LAE14" s="533"/>
      <c r="LAF14" s="533"/>
      <c r="LAG14" s="533"/>
      <c r="LAH14" s="533"/>
      <c r="LAI14" s="533"/>
      <c r="LAJ14" s="533"/>
      <c r="LAK14" s="533"/>
      <c r="LAL14" s="533"/>
      <c r="LAM14" s="533"/>
      <c r="LAN14" s="533"/>
      <c r="LAO14" s="533"/>
      <c r="LAP14" s="533"/>
      <c r="LAQ14" s="533"/>
      <c r="LAR14" s="533"/>
      <c r="LAS14" s="533"/>
      <c r="LAT14" s="533"/>
      <c r="LAU14" s="533"/>
      <c r="LAV14" s="533"/>
      <c r="LAW14" s="533"/>
      <c r="LAX14" s="533"/>
      <c r="LAY14" s="533"/>
      <c r="LAZ14" s="533"/>
      <c r="LBA14" s="533"/>
      <c r="LBB14" s="533"/>
      <c r="LBC14" s="533"/>
      <c r="LBD14" s="533"/>
      <c r="LBE14" s="533"/>
      <c r="LBF14" s="533"/>
      <c r="LBG14" s="533"/>
      <c r="LBH14" s="533"/>
      <c r="LBI14" s="533"/>
      <c r="LBJ14" s="533"/>
      <c r="LBK14" s="533"/>
      <c r="LBL14" s="533"/>
      <c r="LBM14" s="533"/>
      <c r="LBN14" s="533"/>
      <c r="LBO14" s="533"/>
      <c r="LBP14" s="533"/>
      <c r="LBQ14" s="533"/>
      <c r="LBR14" s="533"/>
      <c r="LBS14" s="533"/>
      <c r="LBT14" s="533"/>
      <c r="LBU14" s="533"/>
      <c r="LBV14" s="533"/>
      <c r="LBW14" s="533"/>
      <c r="LBX14" s="533"/>
      <c r="LBY14" s="533"/>
      <c r="LBZ14" s="533"/>
      <c r="LCA14" s="533"/>
      <c r="LCB14" s="533"/>
      <c r="LCC14" s="533"/>
      <c r="LCD14" s="533"/>
      <c r="LCE14" s="533"/>
      <c r="LCF14" s="533"/>
      <c r="LCG14" s="533"/>
      <c r="LCH14" s="533"/>
      <c r="LCI14" s="533"/>
      <c r="LCJ14" s="533"/>
      <c r="LCK14" s="533"/>
      <c r="LCL14" s="533"/>
      <c r="LCM14" s="533"/>
      <c r="LCN14" s="533"/>
      <c r="LCO14" s="533"/>
      <c r="LCP14" s="533"/>
      <c r="LCQ14" s="533"/>
      <c r="LCR14" s="533"/>
      <c r="LCS14" s="533"/>
      <c r="LCT14" s="533"/>
      <c r="LCU14" s="533"/>
      <c r="LCV14" s="533"/>
      <c r="LCW14" s="533"/>
      <c r="LCX14" s="533"/>
      <c r="LCY14" s="533"/>
      <c r="LCZ14" s="533"/>
      <c r="LDA14" s="533"/>
      <c r="LDB14" s="533"/>
      <c r="LDC14" s="533"/>
      <c r="LDD14" s="533"/>
      <c r="LDE14" s="533"/>
      <c r="LDF14" s="533"/>
      <c r="LDG14" s="533"/>
      <c r="LDH14" s="533"/>
      <c r="LDI14" s="533"/>
      <c r="LDJ14" s="533"/>
      <c r="LDK14" s="533"/>
      <c r="LDL14" s="533"/>
      <c r="LDM14" s="533"/>
      <c r="LDN14" s="533"/>
      <c r="LDO14" s="533"/>
      <c r="LDP14" s="533"/>
      <c r="LDQ14" s="533"/>
      <c r="LDR14" s="533"/>
      <c r="LDS14" s="533"/>
      <c r="LDT14" s="533"/>
      <c r="LDU14" s="533"/>
      <c r="LDV14" s="533"/>
      <c r="LDW14" s="533"/>
      <c r="LDX14" s="533"/>
      <c r="LDY14" s="533"/>
      <c r="LDZ14" s="533"/>
      <c r="LEA14" s="533"/>
      <c r="LEB14" s="533"/>
      <c r="LEC14" s="533"/>
      <c r="LED14" s="533"/>
      <c r="LEE14" s="533"/>
      <c r="LEF14" s="533"/>
      <c r="LEG14" s="533"/>
      <c r="LEH14" s="533"/>
      <c r="LEI14" s="533"/>
      <c r="LEJ14" s="533"/>
      <c r="LEK14" s="533"/>
      <c r="LEL14" s="533"/>
      <c r="LEM14" s="533"/>
      <c r="LEN14" s="533"/>
      <c r="LEO14" s="533"/>
      <c r="LEP14" s="533"/>
      <c r="LEQ14" s="533"/>
      <c r="LER14" s="533"/>
      <c r="LES14" s="533"/>
      <c r="LET14" s="533"/>
      <c r="LEU14" s="533"/>
      <c r="LEV14" s="533"/>
      <c r="LEW14" s="533"/>
      <c r="LEX14" s="533"/>
      <c r="LEY14" s="533"/>
      <c r="LEZ14" s="533"/>
      <c r="LFA14" s="533"/>
      <c r="LFB14" s="533"/>
      <c r="LFC14" s="533"/>
      <c r="LFD14" s="533"/>
      <c r="LFE14" s="533"/>
      <c r="LFF14" s="533"/>
      <c r="LFG14" s="533"/>
      <c r="LFH14" s="533"/>
      <c r="LFI14" s="533"/>
      <c r="LFJ14" s="533"/>
      <c r="LFK14" s="533"/>
      <c r="LFL14" s="533"/>
      <c r="LFM14" s="533"/>
      <c r="LFN14" s="533"/>
      <c r="LFO14" s="533"/>
      <c r="LFP14" s="533"/>
      <c r="LFQ14" s="533"/>
      <c r="LFR14" s="533"/>
      <c r="LFS14" s="533"/>
      <c r="LFT14" s="533"/>
      <c r="LFU14" s="533"/>
      <c r="LFV14" s="533"/>
      <c r="LFW14" s="533"/>
      <c r="LFX14" s="533"/>
      <c r="LFY14" s="533"/>
      <c r="LFZ14" s="533"/>
      <c r="LGA14" s="533"/>
      <c r="LGB14" s="533"/>
      <c r="LGC14" s="533"/>
      <c r="LGD14" s="533"/>
      <c r="LGE14" s="533"/>
      <c r="LGF14" s="533"/>
      <c r="LGG14" s="533"/>
      <c r="LGH14" s="533"/>
      <c r="LGI14" s="533"/>
      <c r="LGJ14" s="533"/>
      <c r="LGK14" s="533"/>
      <c r="LGL14" s="533"/>
      <c r="LGM14" s="533"/>
      <c r="LGN14" s="533"/>
      <c r="LGO14" s="533"/>
      <c r="LGP14" s="533"/>
      <c r="LGQ14" s="533"/>
      <c r="LGR14" s="533"/>
      <c r="LGS14" s="533"/>
      <c r="LGT14" s="533"/>
      <c r="LGU14" s="533"/>
      <c r="LGV14" s="533"/>
      <c r="LGW14" s="533"/>
      <c r="LGX14" s="533"/>
      <c r="LGY14" s="533"/>
      <c r="LGZ14" s="533"/>
      <c r="LHA14" s="533"/>
      <c r="LHB14" s="533"/>
      <c r="LHC14" s="533"/>
      <c r="LHD14" s="533"/>
      <c r="LHE14" s="533"/>
      <c r="LHF14" s="533"/>
      <c r="LHG14" s="533"/>
      <c r="LHH14" s="533"/>
      <c r="LHI14" s="533"/>
      <c r="LHJ14" s="533"/>
      <c r="LHK14" s="533"/>
      <c r="LHL14" s="533"/>
      <c r="LHM14" s="533"/>
      <c r="LHN14" s="533"/>
      <c r="LHO14" s="533"/>
      <c r="LHP14" s="533"/>
      <c r="LHQ14" s="533"/>
      <c r="LHR14" s="533"/>
      <c r="LHS14" s="533"/>
      <c r="LHT14" s="533"/>
      <c r="LHU14" s="533"/>
      <c r="LHV14" s="533"/>
      <c r="LHW14" s="533"/>
      <c r="LHX14" s="533"/>
      <c r="LHY14" s="533"/>
      <c r="LHZ14" s="533"/>
      <c r="LIA14" s="533"/>
      <c r="LIB14" s="533"/>
      <c r="LIC14" s="533"/>
      <c r="LID14" s="533"/>
      <c r="LIE14" s="533"/>
      <c r="LIF14" s="533"/>
      <c r="LIG14" s="533"/>
      <c r="LIH14" s="533"/>
      <c r="LII14" s="533"/>
      <c r="LIJ14" s="533"/>
      <c r="LIK14" s="533"/>
      <c r="LIL14" s="533"/>
      <c r="LIM14" s="533"/>
      <c r="LIN14" s="533"/>
      <c r="LIO14" s="533"/>
      <c r="LIP14" s="533"/>
      <c r="LIQ14" s="533"/>
      <c r="LIR14" s="533"/>
      <c r="LIS14" s="533"/>
      <c r="LIT14" s="533"/>
      <c r="LIU14" s="533"/>
      <c r="LIV14" s="533"/>
      <c r="LIW14" s="533"/>
      <c r="LIX14" s="533"/>
      <c r="LIY14" s="533"/>
      <c r="LIZ14" s="533"/>
      <c r="LJA14" s="533"/>
      <c r="LJB14" s="533"/>
      <c r="LJC14" s="533"/>
      <c r="LJD14" s="533"/>
      <c r="LJE14" s="533"/>
      <c r="LJF14" s="533"/>
      <c r="LJG14" s="533"/>
      <c r="LJH14" s="533"/>
      <c r="LJI14" s="533"/>
      <c r="LJJ14" s="533"/>
      <c r="LJK14" s="533"/>
      <c r="LJL14" s="533"/>
      <c r="LJM14" s="533"/>
      <c r="LJN14" s="533"/>
      <c r="LJO14" s="533"/>
      <c r="LJP14" s="533"/>
      <c r="LJQ14" s="533"/>
      <c r="LJR14" s="533"/>
      <c r="LJS14" s="533"/>
      <c r="LJT14" s="533"/>
      <c r="LJU14" s="533"/>
      <c r="LJV14" s="533"/>
      <c r="LJW14" s="533"/>
      <c r="LJX14" s="533"/>
      <c r="LJY14" s="533"/>
      <c r="LJZ14" s="533"/>
      <c r="LKA14" s="533"/>
      <c r="LKB14" s="533"/>
      <c r="LKC14" s="533"/>
      <c r="LKD14" s="533"/>
      <c r="LKE14" s="533"/>
      <c r="LKF14" s="533"/>
      <c r="LKG14" s="533"/>
      <c r="LKH14" s="533"/>
      <c r="LKI14" s="533"/>
      <c r="LKJ14" s="533"/>
      <c r="LKK14" s="533"/>
      <c r="LKL14" s="533"/>
      <c r="LKM14" s="533"/>
      <c r="LKN14" s="533"/>
      <c r="LKO14" s="533"/>
      <c r="LKP14" s="533"/>
      <c r="LKQ14" s="533"/>
      <c r="LKR14" s="533"/>
      <c r="LKS14" s="533"/>
      <c r="LKT14" s="533"/>
      <c r="LKU14" s="533"/>
      <c r="LKV14" s="533"/>
      <c r="LKW14" s="533"/>
      <c r="LKX14" s="533"/>
      <c r="LKY14" s="533"/>
      <c r="LKZ14" s="533"/>
      <c r="LLA14" s="533"/>
      <c r="LLB14" s="533"/>
      <c r="LLC14" s="533"/>
      <c r="LLD14" s="533"/>
      <c r="LLE14" s="533"/>
      <c r="LLF14" s="533"/>
      <c r="LLG14" s="533"/>
      <c r="LLH14" s="533"/>
      <c r="LLI14" s="533"/>
      <c r="LLJ14" s="533"/>
      <c r="LLK14" s="533"/>
      <c r="LLL14" s="533"/>
      <c r="LLM14" s="533"/>
      <c r="LLN14" s="533"/>
      <c r="LLO14" s="533"/>
      <c r="LLP14" s="533"/>
      <c r="LLQ14" s="533"/>
      <c r="LLR14" s="533"/>
      <c r="LLS14" s="533"/>
      <c r="LLT14" s="533"/>
      <c r="LLU14" s="533"/>
      <c r="LLV14" s="533"/>
      <c r="LLW14" s="533"/>
      <c r="LLX14" s="533"/>
      <c r="LLY14" s="533"/>
      <c r="LLZ14" s="533"/>
      <c r="LMA14" s="533"/>
      <c r="LMB14" s="533"/>
      <c r="LMC14" s="533"/>
      <c r="LMD14" s="533"/>
      <c r="LME14" s="533"/>
      <c r="LMF14" s="533"/>
      <c r="LMG14" s="533"/>
      <c r="LMH14" s="533"/>
      <c r="LMI14" s="533"/>
      <c r="LMJ14" s="533"/>
      <c r="LMK14" s="533"/>
      <c r="LML14" s="533"/>
      <c r="LMM14" s="533"/>
      <c r="LMN14" s="533"/>
      <c r="LMO14" s="533"/>
      <c r="LMP14" s="533"/>
      <c r="LMQ14" s="533"/>
      <c r="LMR14" s="533"/>
      <c r="LMS14" s="533"/>
      <c r="LMT14" s="533"/>
      <c r="LMU14" s="533"/>
      <c r="LMV14" s="533"/>
      <c r="LMW14" s="533"/>
      <c r="LMX14" s="533"/>
      <c r="LMY14" s="533"/>
      <c r="LMZ14" s="533"/>
      <c r="LNA14" s="533"/>
      <c r="LNB14" s="533"/>
      <c r="LNC14" s="533"/>
      <c r="LND14" s="533"/>
      <c r="LNE14" s="533"/>
      <c r="LNF14" s="533"/>
      <c r="LNG14" s="533"/>
      <c r="LNH14" s="533"/>
      <c r="LNI14" s="533"/>
      <c r="LNJ14" s="533"/>
      <c r="LNK14" s="533"/>
      <c r="LNL14" s="533"/>
      <c r="LNM14" s="533"/>
      <c r="LNN14" s="533"/>
      <c r="LNO14" s="533"/>
      <c r="LNP14" s="533"/>
      <c r="LNQ14" s="533"/>
      <c r="LNR14" s="533"/>
      <c r="LNS14" s="533"/>
      <c r="LNT14" s="533"/>
      <c r="LNU14" s="533"/>
      <c r="LNV14" s="533"/>
      <c r="LNW14" s="533"/>
      <c r="LNX14" s="533"/>
      <c r="LNY14" s="533"/>
      <c r="LNZ14" s="533"/>
      <c r="LOA14" s="533"/>
      <c r="LOB14" s="533"/>
      <c r="LOC14" s="533"/>
      <c r="LOD14" s="533"/>
      <c r="LOE14" s="533"/>
      <c r="LOF14" s="533"/>
      <c r="LOG14" s="533"/>
      <c r="LOH14" s="533"/>
      <c r="LOI14" s="533"/>
      <c r="LOJ14" s="533"/>
      <c r="LOK14" s="533"/>
      <c r="LOL14" s="533"/>
      <c r="LOM14" s="533"/>
      <c r="LON14" s="533"/>
      <c r="LOO14" s="533"/>
      <c r="LOP14" s="533"/>
      <c r="LOQ14" s="533"/>
      <c r="LOR14" s="533"/>
      <c r="LOS14" s="533"/>
      <c r="LOT14" s="533"/>
      <c r="LOU14" s="533"/>
      <c r="LOV14" s="533"/>
      <c r="LOW14" s="533"/>
      <c r="LOX14" s="533"/>
      <c r="LOY14" s="533"/>
      <c r="LOZ14" s="533"/>
      <c r="LPA14" s="533"/>
      <c r="LPB14" s="533"/>
      <c r="LPC14" s="533"/>
      <c r="LPD14" s="533"/>
      <c r="LPE14" s="533"/>
      <c r="LPF14" s="533"/>
      <c r="LPG14" s="533"/>
      <c r="LPH14" s="533"/>
      <c r="LPI14" s="533"/>
      <c r="LPJ14" s="533"/>
      <c r="LPK14" s="533"/>
      <c r="LPL14" s="533"/>
      <c r="LPM14" s="533"/>
      <c r="LPN14" s="533"/>
      <c r="LPO14" s="533"/>
      <c r="LPP14" s="533"/>
      <c r="LPQ14" s="533"/>
      <c r="LPR14" s="533"/>
      <c r="LPS14" s="533"/>
      <c r="LPT14" s="533"/>
      <c r="LPU14" s="533"/>
      <c r="LPV14" s="533"/>
      <c r="LPW14" s="533"/>
      <c r="LPX14" s="533"/>
      <c r="LPY14" s="533"/>
      <c r="LPZ14" s="533"/>
      <c r="LQA14" s="533"/>
      <c r="LQB14" s="533"/>
      <c r="LQC14" s="533"/>
      <c r="LQD14" s="533"/>
      <c r="LQE14" s="533"/>
      <c r="LQF14" s="533"/>
      <c r="LQG14" s="533"/>
      <c r="LQH14" s="533"/>
      <c r="LQI14" s="533"/>
      <c r="LQJ14" s="533"/>
      <c r="LQK14" s="533"/>
      <c r="LQL14" s="533"/>
      <c r="LQM14" s="533"/>
      <c r="LQN14" s="533"/>
      <c r="LQO14" s="533"/>
      <c r="LQP14" s="533"/>
      <c r="LQQ14" s="533"/>
      <c r="LQR14" s="533"/>
      <c r="LQS14" s="533"/>
      <c r="LQT14" s="533"/>
      <c r="LQU14" s="533"/>
      <c r="LQV14" s="533"/>
      <c r="LQW14" s="533"/>
      <c r="LQX14" s="533"/>
      <c r="LQY14" s="533"/>
      <c r="LQZ14" s="533"/>
      <c r="LRA14" s="533"/>
      <c r="LRB14" s="533"/>
      <c r="LRC14" s="533"/>
      <c r="LRD14" s="533"/>
      <c r="LRE14" s="533"/>
      <c r="LRF14" s="533"/>
      <c r="LRG14" s="533"/>
      <c r="LRH14" s="533"/>
      <c r="LRI14" s="533"/>
      <c r="LRJ14" s="533"/>
      <c r="LRK14" s="533"/>
      <c r="LRL14" s="533"/>
      <c r="LRM14" s="533"/>
      <c r="LRN14" s="533"/>
      <c r="LRO14" s="533"/>
      <c r="LRP14" s="533"/>
      <c r="LRQ14" s="533"/>
      <c r="LRR14" s="533"/>
      <c r="LRS14" s="533"/>
      <c r="LRT14" s="533"/>
      <c r="LRU14" s="533"/>
      <c r="LRV14" s="533"/>
      <c r="LRW14" s="533"/>
      <c r="LRX14" s="533"/>
      <c r="LRY14" s="533"/>
      <c r="LRZ14" s="533"/>
      <c r="LSA14" s="533"/>
      <c r="LSB14" s="533"/>
      <c r="LSC14" s="533"/>
      <c r="LSD14" s="533"/>
      <c r="LSE14" s="533"/>
      <c r="LSF14" s="533"/>
      <c r="LSG14" s="533"/>
      <c r="LSH14" s="533"/>
      <c r="LSI14" s="533"/>
      <c r="LSJ14" s="533"/>
      <c r="LSK14" s="533"/>
      <c r="LSL14" s="533"/>
      <c r="LSM14" s="533"/>
      <c r="LSN14" s="533"/>
      <c r="LSO14" s="533"/>
      <c r="LSP14" s="533"/>
      <c r="LSQ14" s="533"/>
      <c r="LSR14" s="533"/>
      <c r="LSS14" s="533"/>
      <c r="LST14" s="533"/>
      <c r="LSU14" s="533"/>
      <c r="LSV14" s="533"/>
      <c r="LSW14" s="533"/>
      <c r="LSX14" s="533"/>
      <c r="LSY14" s="533"/>
      <c r="LSZ14" s="533"/>
      <c r="LTA14" s="533"/>
      <c r="LTB14" s="533"/>
      <c r="LTC14" s="533"/>
      <c r="LTD14" s="533"/>
      <c r="LTE14" s="533"/>
      <c r="LTF14" s="533"/>
      <c r="LTG14" s="533"/>
      <c r="LTH14" s="533"/>
      <c r="LTI14" s="533"/>
      <c r="LTJ14" s="533"/>
      <c r="LTK14" s="533"/>
      <c r="LTL14" s="533"/>
      <c r="LTM14" s="533"/>
      <c r="LTN14" s="533"/>
      <c r="LTO14" s="533"/>
      <c r="LTP14" s="533"/>
      <c r="LTQ14" s="533"/>
      <c r="LTR14" s="533"/>
      <c r="LTS14" s="533"/>
      <c r="LTT14" s="533"/>
      <c r="LTU14" s="533"/>
      <c r="LTV14" s="533"/>
      <c r="LTW14" s="533"/>
      <c r="LTX14" s="533"/>
      <c r="LTY14" s="533"/>
      <c r="LTZ14" s="533"/>
      <c r="LUA14" s="533"/>
      <c r="LUB14" s="533"/>
      <c r="LUC14" s="533"/>
      <c r="LUD14" s="533"/>
      <c r="LUE14" s="533"/>
      <c r="LUF14" s="533"/>
      <c r="LUG14" s="533"/>
      <c r="LUH14" s="533"/>
      <c r="LUI14" s="533"/>
      <c r="LUJ14" s="533"/>
      <c r="LUK14" s="533"/>
      <c r="LUL14" s="533"/>
      <c r="LUM14" s="533"/>
      <c r="LUN14" s="533"/>
      <c r="LUO14" s="533"/>
      <c r="LUP14" s="533"/>
      <c r="LUQ14" s="533"/>
      <c r="LUR14" s="533"/>
      <c r="LUS14" s="533"/>
      <c r="LUT14" s="533"/>
      <c r="LUU14" s="533"/>
      <c r="LUV14" s="533"/>
      <c r="LUW14" s="533"/>
      <c r="LUX14" s="533"/>
      <c r="LUY14" s="533"/>
      <c r="LUZ14" s="533"/>
      <c r="LVA14" s="533"/>
      <c r="LVB14" s="533"/>
      <c r="LVC14" s="533"/>
      <c r="LVD14" s="533"/>
      <c r="LVE14" s="533"/>
      <c r="LVF14" s="533"/>
      <c r="LVG14" s="533"/>
      <c r="LVH14" s="533"/>
      <c r="LVI14" s="533"/>
      <c r="LVJ14" s="533"/>
      <c r="LVK14" s="533"/>
      <c r="LVL14" s="533"/>
      <c r="LVM14" s="533"/>
      <c r="LVN14" s="533"/>
      <c r="LVO14" s="533"/>
      <c r="LVP14" s="533"/>
      <c r="LVQ14" s="533"/>
      <c r="LVR14" s="533"/>
      <c r="LVS14" s="533"/>
      <c r="LVT14" s="533"/>
      <c r="LVU14" s="533"/>
      <c r="LVV14" s="533"/>
      <c r="LVW14" s="533"/>
      <c r="LVX14" s="533"/>
      <c r="LVY14" s="533"/>
      <c r="LVZ14" s="533"/>
      <c r="LWA14" s="533"/>
      <c r="LWB14" s="533"/>
      <c r="LWC14" s="533"/>
      <c r="LWD14" s="533"/>
      <c r="LWE14" s="533"/>
      <c r="LWF14" s="533"/>
      <c r="LWG14" s="533"/>
      <c r="LWH14" s="533"/>
      <c r="LWI14" s="533"/>
      <c r="LWJ14" s="533"/>
      <c r="LWK14" s="533"/>
      <c r="LWL14" s="533"/>
      <c r="LWM14" s="533"/>
      <c r="LWN14" s="533"/>
      <c r="LWO14" s="533"/>
      <c r="LWP14" s="533"/>
      <c r="LWQ14" s="533"/>
      <c r="LWR14" s="533"/>
      <c r="LWS14" s="533"/>
      <c r="LWT14" s="533"/>
      <c r="LWU14" s="533"/>
      <c r="LWV14" s="533"/>
      <c r="LWW14" s="533"/>
      <c r="LWX14" s="533"/>
      <c r="LWY14" s="533"/>
      <c r="LWZ14" s="533"/>
      <c r="LXA14" s="533"/>
      <c r="LXB14" s="533"/>
      <c r="LXC14" s="533"/>
      <c r="LXD14" s="533"/>
      <c r="LXE14" s="533"/>
      <c r="LXF14" s="533"/>
      <c r="LXG14" s="533"/>
      <c r="LXH14" s="533"/>
      <c r="LXI14" s="533"/>
      <c r="LXJ14" s="533"/>
      <c r="LXK14" s="533"/>
      <c r="LXL14" s="533"/>
      <c r="LXM14" s="533"/>
      <c r="LXN14" s="533"/>
      <c r="LXO14" s="533"/>
      <c r="LXP14" s="533"/>
      <c r="LXQ14" s="533"/>
      <c r="LXR14" s="533"/>
      <c r="LXS14" s="533"/>
      <c r="LXT14" s="533"/>
      <c r="LXU14" s="533"/>
      <c r="LXV14" s="533"/>
      <c r="LXW14" s="533"/>
      <c r="LXX14" s="533"/>
      <c r="LXY14" s="533"/>
      <c r="LXZ14" s="533"/>
      <c r="LYA14" s="533"/>
      <c r="LYB14" s="533"/>
      <c r="LYC14" s="533"/>
      <c r="LYD14" s="533"/>
      <c r="LYE14" s="533"/>
      <c r="LYF14" s="533"/>
      <c r="LYG14" s="533"/>
      <c r="LYH14" s="533"/>
      <c r="LYI14" s="533"/>
      <c r="LYJ14" s="533"/>
      <c r="LYK14" s="533"/>
      <c r="LYL14" s="533"/>
      <c r="LYM14" s="533"/>
      <c r="LYN14" s="533"/>
      <c r="LYO14" s="533"/>
      <c r="LYP14" s="533"/>
      <c r="LYQ14" s="533"/>
      <c r="LYR14" s="533"/>
      <c r="LYS14" s="533"/>
      <c r="LYT14" s="533"/>
      <c r="LYU14" s="533"/>
      <c r="LYV14" s="533"/>
      <c r="LYW14" s="533"/>
      <c r="LYX14" s="533"/>
      <c r="LYY14" s="533"/>
      <c r="LYZ14" s="533"/>
      <c r="LZA14" s="533"/>
      <c r="LZB14" s="533"/>
      <c r="LZC14" s="533"/>
      <c r="LZD14" s="533"/>
      <c r="LZE14" s="533"/>
      <c r="LZF14" s="533"/>
      <c r="LZG14" s="533"/>
      <c r="LZH14" s="533"/>
      <c r="LZI14" s="533"/>
      <c r="LZJ14" s="533"/>
      <c r="LZK14" s="533"/>
      <c r="LZL14" s="533"/>
      <c r="LZM14" s="533"/>
      <c r="LZN14" s="533"/>
      <c r="LZO14" s="533"/>
      <c r="LZP14" s="533"/>
      <c r="LZQ14" s="533"/>
      <c r="LZR14" s="533"/>
      <c r="LZS14" s="533"/>
      <c r="LZT14" s="533"/>
      <c r="LZU14" s="533"/>
      <c r="LZV14" s="533"/>
      <c r="LZW14" s="533"/>
      <c r="LZX14" s="533"/>
      <c r="LZY14" s="533"/>
      <c r="LZZ14" s="533"/>
      <c r="MAA14" s="533"/>
      <c r="MAB14" s="533"/>
      <c r="MAC14" s="533"/>
      <c r="MAD14" s="533"/>
      <c r="MAE14" s="533"/>
      <c r="MAF14" s="533"/>
      <c r="MAG14" s="533"/>
      <c r="MAH14" s="533"/>
      <c r="MAI14" s="533"/>
      <c r="MAJ14" s="533"/>
      <c r="MAK14" s="533"/>
      <c r="MAL14" s="533"/>
      <c r="MAM14" s="533"/>
      <c r="MAN14" s="533"/>
      <c r="MAO14" s="533"/>
      <c r="MAP14" s="533"/>
      <c r="MAQ14" s="533"/>
      <c r="MAR14" s="533"/>
      <c r="MAS14" s="533"/>
      <c r="MAT14" s="533"/>
      <c r="MAU14" s="533"/>
      <c r="MAV14" s="533"/>
      <c r="MAW14" s="533"/>
      <c r="MAX14" s="533"/>
      <c r="MAY14" s="533"/>
      <c r="MAZ14" s="533"/>
      <c r="MBA14" s="533"/>
      <c r="MBB14" s="533"/>
      <c r="MBC14" s="533"/>
      <c r="MBD14" s="533"/>
      <c r="MBE14" s="533"/>
      <c r="MBF14" s="533"/>
      <c r="MBG14" s="533"/>
      <c r="MBH14" s="533"/>
      <c r="MBI14" s="533"/>
      <c r="MBJ14" s="533"/>
      <c r="MBK14" s="533"/>
      <c r="MBL14" s="533"/>
      <c r="MBM14" s="533"/>
      <c r="MBN14" s="533"/>
      <c r="MBO14" s="533"/>
      <c r="MBP14" s="533"/>
      <c r="MBQ14" s="533"/>
      <c r="MBR14" s="533"/>
      <c r="MBS14" s="533"/>
      <c r="MBT14" s="533"/>
      <c r="MBU14" s="533"/>
      <c r="MBV14" s="533"/>
      <c r="MBW14" s="533"/>
      <c r="MBX14" s="533"/>
      <c r="MBY14" s="533"/>
      <c r="MBZ14" s="533"/>
      <c r="MCA14" s="533"/>
      <c r="MCB14" s="533"/>
      <c r="MCC14" s="533"/>
      <c r="MCD14" s="533"/>
      <c r="MCE14" s="533"/>
      <c r="MCF14" s="533"/>
      <c r="MCG14" s="533"/>
      <c r="MCH14" s="533"/>
      <c r="MCI14" s="533"/>
      <c r="MCJ14" s="533"/>
      <c r="MCK14" s="533"/>
      <c r="MCL14" s="533"/>
      <c r="MCM14" s="533"/>
      <c r="MCN14" s="533"/>
      <c r="MCO14" s="533"/>
      <c r="MCP14" s="533"/>
      <c r="MCQ14" s="533"/>
      <c r="MCR14" s="533"/>
      <c r="MCS14" s="533"/>
      <c r="MCT14" s="533"/>
      <c r="MCU14" s="533"/>
      <c r="MCV14" s="533"/>
      <c r="MCW14" s="533"/>
      <c r="MCX14" s="533"/>
      <c r="MCY14" s="533"/>
      <c r="MCZ14" s="533"/>
      <c r="MDA14" s="533"/>
      <c r="MDB14" s="533"/>
      <c r="MDC14" s="533"/>
      <c r="MDD14" s="533"/>
      <c r="MDE14" s="533"/>
      <c r="MDF14" s="533"/>
      <c r="MDG14" s="533"/>
      <c r="MDH14" s="533"/>
      <c r="MDI14" s="533"/>
      <c r="MDJ14" s="533"/>
      <c r="MDK14" s="533"/>
      <c r="MDL14" s="533"/>
      <c r="MDM14" s="533"/>
      <c r="MDN14" s="533"/>
      <c r="MDO14" s="533"/>
      <c r="MDP14" s="533"/>
      <c r="MDQ14" s="533"/>
      <c r="MDR14" s="533"/>
      <c r="MDS14" s="533"/>
      <c r="MDT14" s="533"/>
      <c r="MDU14" s="533"/>
      <c r="MDV14" s="533"/>
      <c r="MDW14" s="533"/>
      <c r="MDX14" s="533"/>
      <c r="MDY14" s="533"/>
      <c r="MDZ14" s="533"/>
      <c r="MEA14" s="533"/>
      <c r="MEB14" s="533"/>
      <c r="MEC14" s="533"/>
      <c r="MED14" s="533"/>
      <c r="MEE14" s="533"/>
      <c r="MEF14" s="533"/>
      <c r="MEG14" s="533"/>
      <c r="MEH14" s="533"/>
      <c r="MEI14" s="533"/>
      <c r="MEJ14" s="533"/>
      <c r="MEK14" s="533"/>
      <c r="MEL14" s="533"/>
      <c r="MEM14" s="533"/>
      <c r="MEN14" s="533"/>
      <c r="MEO14" s="533"/>
      <c r="MEP14" s="533"/>
      <c r="MEQ14" s="533"/>
      <c r="MER14" s="533"/>
      <c r="MES14" s="533"/>
      <c r="MET14" s="533"/>
      <c r="MEU14" s="533"/>
      <c r="MEV14" s="533"/>
      <c r="MEW14" s="533"/>
      <c r="MEX14" s="533"/>
      <c r="MEY14" s="533"/>
      <c r="MEZ14" s="533"/>
      <c r="MFA14" s="533"/>
      <c r="MFB14" s="533"/>
      <c r="MFC14" s="533"/>
      <c r="MFD14" s="533"/>
      <c r="MFE14" s="533"/>
      <c r="MFF14" s="533"/>
      <c r="MFG14" s="533"/>
      <c r="MFH14" s="533"/>
      <c r="MFI14" s="533"/>
      <c r="MFJ14" s="533"/>
      <c r="MFK14" s="533"/>
      <c r="MFL14" s="533"/>
      <c r="MFM14" s="533"/>
      <c r="MFN14" s="533"/>
      <c r="MFO14" s="533"/>
      <c r="MFP14" s="533"/>
      <c r="MFQ14" s="533"/>
      <c r="MFR14" s="533"/>
      <c r="MFS14" s="533"/>
      <c r="MFT14" s="533"/>
      <c r="MFU14" s="533"/>
      <c r="MFV14" s="533"/>
      <c r="MFW14" s="533"/>
      <c r="MFX14" s="533"/>
      <c r="MFY14" s="533"/>
      <c r="MFZ14" s="533"/>
      <c r="MGA14" s="533"/>
      <c r="MGB14" s="533"/>
      <c r="MGC14" s="533"/>
      <c r="MGD14" s="533"/>
      <c r="MGE14" s="533"/>
      <c r="MGF14" s="533"/>
      <c r="MGG14" s="533"/>
      <c r="MGH14" s="533"/>
      <c r="MGI14" s="533"/>
      <c r="MGJ14" s="533"/>
      <c r="MGK14" s="533"/>
      <c r="MGL14" s="533"/>
      <c r="MGM14" s="533"/>
      <c r="MGN14" s="533"/>
      <c r="MGO14" s="533"/>
      <c r="MGP14" s="533"/>
      <c r="MGQ14" s="533"/>
      <c r="MGR14" s="533"/>
      <c r="MGS14" s="533"/>
      <c r="MGT14" s="533"/>
      <c r="MGU14" s="533"/>
      <c r="MGV14" s="533"/>
      <c r="MGW14" s="533"/>
      <c r="MGX14" s="533"/>
      <c r="MGY14" s="533"/>
      <c r="MGZ14" s="533"/>
      <c r="MHA14" s="533"/>
      <c r="MHB14" s="533"/>
      <c r="MHC14" s="533"/>
      <c r="MHD14" s="533"/>
      <c r="MHE14" s="533"/>
      <c r="MHF14" s="533"/>
      <c r="MHG14" s="533"/>
      <c r="MHH14" s="533"/>
      <c r="MHI14" s="533"/>
      <c r="MHJ14" s="533"/>
      <c r="MHK14" s="533"/>
      <c r="MHL14" s="533"/>
      <c r="MHM14" s="533"/>
      <c r="MHN14" s="533"/>
      <c r="MHO14" s="533"/>
      <c r="MHP14" s="533"/>
      <c r="MHQ14" s="533"/>
      <c r="MHR14" s="533"/>
      <c r="MHS14" s="533"/>
      <c r="MHT14" s="533"/>
      <c r="MHU14" s="533"/>
      <c r="MHV14" s="533"/>
      <c r="MHW14" s="533"/>
      <c r="MHX14" s="533"/>
      <c r="MHY14" s="533"/>
      <c r="MHZ14" s="533"/>
      <c r="MIA14" s="533"/>
      <c r="MIB14" s="533"/>
      <c r="MIC14" s="533"/>
      <c r="MID14" s="533"/>
      <c r="MIE14" s="533"/>
      <c r="MIF14" s="533"/>
      <c r="MIG14" s="533"/>
      <c r="MIH14" s="533"/>
      <c r="MII14" s="533"/>
      <c r="MIJ14" s="533"/>
      <c r="MIK14" s="533"/>
      <c r="MIL14" s="533"/>
      <c r="MIM14" s="533"/>
      <c r="MIN14" s="533"/>
      <c r="MIO14" s="533"/>
      <c r="MIP14" s="533"/>
      <c r="MIQ14" s="533"/>
      <c r="MIR14" s="533"/>
      <c r="MIS14" s="533"/>
      <c r="MIT14" s="533"/>
      <c r="MIU14" s="533"/>
      <c r="MIV14" s="533"/>
      <c r="MIW14" s="533"/>
      <c r="MIX14" s="533"/>
      <c r="MIY14" s="533"/>
      <c r="MIZ14" s="533"/>
      <c r="MJA14" s="533"/>
      <c r="MJB14" s="533"/>
      <c r="MJC14" s="533"/>
      <c r="MJD14" s="533"/>
      <c r="MJE14" s="533"/>
      <c r="MJF14" s="533"/>
      <c r="MJG14" s="533"/>
      <c r="MJH14" s="533"/>
      <c r="MJI14" s="533"/>
      <c r="MJJ14" s="533"/>
      <c r="MJK14" s="533"/>
      <c r="MJL14" s="533"/>
      <c r="MJM14" s="533"/>
      <c r="MJN14" s="533"/>
      <c r="MJO14" s="533"/>
      <c r="MJP14" s="533"/>
      <c r="MJQ14" s="533"/>
      <c r="MJR14" s="533"/>
      <c r="MJS14" s="533"/>
      <c r="MJT14" s="533"/>
      <c r="MJU14" s="533"/>
      <c r="MJV14" s="533"/>
      <c r="MJW14" s="533"/>
      <c r="MJX14" s="533"/>
      <c r="MJY14" s="533"/>
      <c r="MJZ14" s="533"/>
      <c r="MKA14" s="533"/>
      <c r="MKB14" s="533"/>
      <c r="MKC14" s="533"/>
      <c r="MKD14" s="533"/>
      <c r="MKE14" s="533"/>
      <c r="MKF14" s="533"/>
      <c r="MKG14" s="533"/>
      <c r="MKH14" s="533"/>
      <c r="MKI14" s="533"/>
      <c r="MKJ14" s="533"/>
      <c r="MKK14" s="533"/>
      <c r="MKL14" s="533"/>
      <c r="MKM14" s="533"/>
      <c r="MKN14" s="533"/>
      <c r="MKO14" s="533"/>
      <c r="MKP14" s="533"/>
      <c r="MKQ14" s="533"/>
      <c r="MKR14" s="533"/>
      <c r="MKS14" s="533"/>
      <c r="MKT14" s="533"/>
      <c r="MKU14" s="533"/>
      <c r="MKV14" s="533"/>
      <c r="MKW14" s="533"/>
      <c r="MKX14" s="533"/>
      <c r="MKY14" s="533"/>
      <c r="MKZ14" s="533"/>
      <c r="MLA14" s="533"/>
      <c r="MLB14" s="533"/>
      <c r="MLC14" s="533"/>
      <c r="MLD14" s="533"/>
      <c r="MLE14" s="533"/>
      <c r="MLF14" s="533"/>
      <c r="MLG14" s="533"/>
      <c r="MLH14" s="533"/>
      <c r="MLI14" s="533"/>
      <c r="MLJ14" s="533"/>
      <c r="MLK14" s="533"/>
      <c r="MLL14" s="533"/>
      <c r="MLM14" s="533"/>
      <c r="MLN14" s="533"/>
      <c r="MLO14" s="533"/>
      <c r="MLP14" s="533"/>
      <c r="MLQ14" s="533"/>
      <c r="MLR14" s="533"/>
      <c r="MLS14" s="533"/>
      <c r="MLT14" s="533"/>
      <c r="MLU14" s="533"/>
      <c r="MLV14" s="533"/>
      <c r="MLW14" s="533"/>
      <c r="MLX14" s="533"/>
      <c r="MLY14" s="533"/>
      <c r="MLZ14" s="533"/>
      <c r="MMA14" s="533"/>
      <c r="MMB14" s="533"/>
      <c r="MMC14" s="533"/>
      <c r="MMD14" s="533"/>
      <c r="MME14" s="533"/>
      <c r="MMF14" s="533"/>
      <c r="MMG14" s="533"/>
      <c r="MMH14" s="533"/>
      <c r="MMI14" s="533"/>
      <c r="MMJ14" s="533"/>
      <c r="MMK14" s="533"/>
      <c r="MML14" s="533"/>
      <c r="MMM14" s="533"/>
      <c r="MMN14" s="533"/>
      <c r="MMO14" s="533"/>
      <c r="MMP14" s="533"/>
      <c r="MMQ14" s="533"/>
      <c r="MMR14" s="533"/>
      <c r="MMS14" s="533"/>
      <c r="MMT14" s="533"/>
      <c r="MMU14" s="533"/>
      <c r="MMV14" s="533"/>
      <c r="MMW14" s="533"/>
      <c r="MMX14" s="533"/>
      <c r="MMY14" s="533"/>
      <c r="MMZ14" s="533"/>
      <c r="MNA14" s="533"/>
      <c r="MNB14" s="533"/>
      <c r="MNC14" s="533"/>
      <c r="MND14" s="533"/>
      <c r="MNE14" s="533"/>
      <c r="MNF14" s="533"/>
      <c r="MNG14" s="533"/>
      <c r="MNH14" s="533"/>
      <c r="MNI14" s="533"/>
      <c r="MNJ14" s="533"/>
      <c r="MNK14" s="533"/>
      <c r="MNL14" s="533"/>
      <c r="MNM14" s="533"/>
      <c r="MNN14" s="533"/>
      <c r="MNO14" s="533"/>
      <c r="MNP14" s="533"/>
      <c r="MNQ14" s="533"/>
      <c r="MNR14" s="533"/>
      <c r="MNS14" s="533"/>
      <c r="MNT14" s="533"/>
      <c r="MNU14" s="533"/>
      <c r="MNV14" s="533"/>
      <c r="MNW14" s="533"/>
      <c r="MNX14" s="533"/>
      <c r="MNY14" s="533"/>
      <c r="MNZ14" s="533"/>
      <c r="MOA14" s="533"/>
      <c r="MOB14" s="533"/>
      <c r="MOC14" s="533"/>
      <c r="MOD14" s="533"/>
      <c r="MOE14" s="533"/>
      <c r="MOF14" s="533"/>
      <c r="MOG14" s="533"/>
      <c r="MOH14" s="533"/>
      <c r="MOI14" s="533"/>
      <c r="MOJ14" s="533"/>
      <c r="MOK14" s="533"/>
      <c r="MOL14" s="533"/>
      <c r="MOM14" s="533"/>
      <c r="MON14" s="533"/>
      <c r="MOO14" s="533"/>
      <c r="MOP14" s="533"/>
      <c r="MOQ14" s="533"/>
      <c r="MOR14" s="533"/>
      <c r="MOS14" s="533"/>
      <c r="MOT14" s="533"/>
      <c r="MOU14" s="533"/>
      <c r="MOV14" s="533"/>
      <c r="MOW14" s="533"/>
      <c r="MOX14" s="533"/>
      <c r="MOY14" s="533"/>
      <c r="MOZ14" s="533"/>
      <c r="MPA14" s="533"/>
      <c r="MPB14" s="533"/>
      <c r="MPC14" s="533"/>
      <c r="MPD14" s="533"/>
      <c r="MPE14" s="533"/>
      <c r="MPF14" s="533"/>
      <c r="MPG14" s="533"/>
      <c r="MPH14" s="533"/>
      <c r="MPI14" s="533"/>
      <c r="MPJ14" s="533"/>
      <c r="MPK14" s="533"/>
      <c r="MPL14" s="533"/>
      <c r="MPM14" s="533"/>
      <c r="MPN14" s="533"/>
      <c r="MPO14" s="533"/>
      <c r="MPP14" s="533"/>
      <c r="MPQ14" s="533"/>
      <c r="MPR14" s="533"/>
      <c r="MPS14" s="533"/>
      <c r="MPT14" s="533"/>
      <c r="MPU14" s="533"/>
      <c r="MPV14" s="533"/>
      <c r="MPW14" s="533"/>
      <c r="MPX14" s="533"/>
      <c r="MPY14" s="533"/>
      <c r="MPZ14" s="533"/>
      <c r="MQA14" s="533"/>
      <c r="MQB14" s="533"/>
      <c r="MQC14" s="533"/>
      <c r="MQD14" s="533"/>
      <c r="MQE14" s="533"/>
      <c r="MQF14" s="533"/>
      <c r="MQG14" s="533"/>
      <c r="MQH14" s="533"/>
      <c r="MQI14" s="533"/>
      <c r="MQJ14" s="533"/>
      <c r="MQK14" s="533"/>
      <c r="MQL14" s="533"/>
      <c r="MQM14" s="533"/>
      <c r="MQN14" s="533"/>
      <c r="MQO14" s="533"/>
      <c r="MQP14" s="533"/>
      <c r="MQQ14" s="533"/>
      <c r="MQR14" s="533"/>
      <c r="MQS14" s="533"/>
      <c r="MQT14" s="533"/>
      <c r="MQU14" s="533"/>
      <c r="MQV14" s="533"/>
      <c r="MQW14" s="533"/>
      <c r="MQX14" s="533"/>
      <c r="MQY14" s="533"/>
      <c r="MQZ14" s="533"/>
      <c r="MRA14" s="533"/>
      <c r="MRB14" s="533"/>
      <c r="MRC14" s="533"/>
      <c r="MRD14" s="533"/>
      <c r="MRE14" s="533"/>
      <c r="MRF14" s="533"/>
      <c r="MRG14" s="533"/>
      <c r="MRH14" s="533"/>
      <c r="MRI14" s="533"/>
      <c r="MRJ14" s="533"/>
      <c r="MRK14" s="533"/>
      <c r="MRL14" s="533"/>
      <c r="MRM14" s="533"/>
      <c r="MRN14" s="533"/>
      <c r="MRO14" s="533"/>
      <c r="MRP14" s="533"/>
      <c r="MRQ14" s="533"/>
      <c r="MRR14" s="533"/>
      <c r="MRS14" s="533"/>
      <c r="MRT14" s="533"/>
      <c r="MRU14" s="533"/>
      <c r="MRV14" s="533"/>
      <c r="MRW14" s="533"/>
      <c r="MRX14" s="533"/>
      <c r="MRY14" s="533"/>
      <c r="MRZ14" s="533"/>
      <c r="MSA14" s="533"/>
      <c r="MSB14" s="533"/>
      <c r="MSC14" s="533"/>
      <c r="MSD14" s="533"/>
      <c r="MSE14" s="533"/>
      <c r="MSF14" s="533"/>
      <c r="MSG14" s="533"/>
      <c r="MSH14" s="533"/>
      <c r="MSI14" s="533"/>
      <c r="MSJ14" s="533"/>
      <c r="MSK14" s="533"/>
      <c r="MSL14" s="533"/>
      <c r="MSM14" s="533"/>
      <c r="MSN14" s="533"/>
      <c r="MSO14" s="533"/>
      <c r="MSP14" s="533"/>
      <c r="MSQ14" s="533"/>
      <c r="MSR14" s="533"/>
      <c r="MSS14" s="533"/>
      <c r="MST14" s="533"/>
      <c r="MSU14" s="533"/>
      <c r="MSV14" s="533"/>
      <c r="MSW14" s="533"/>
      <c r="MSX14" s="533"/>
      <c r="MSY14" s="533"/>
      <c r="MSZ14" s="533"/>
      <c r="MTA14" s="533"/>
      <c r="MTB14" s="533"/>
      <c r="MTC14" s="533"/>
      <c r="MTD14" s="533"/>
      <c r="MTE14" s="533"/>
      <c r="MTF14" s="533"/>
      <c r="MTG14" s="533"/>
      <c r="MTH14" s="533"/>
      <c r="MTI14" s="533"/>
      <c r="MTJ14" s="533"/>
      <c r="MTK14" s="533"/>
      <c r="MTL14" s="533"/>
      <c r="MTM14" s="533"/>
      <c r="MTN14" s="533"/>
      <c r="MTO14" s="533"/>
      <c r="MTP14" s="533"/>
      <c r="MTQ14" s="533"/>
      <c r="MTR14" s="533"/>
      <c r="MTS14" s="533"/>
      <c r="MTT14" s="533"/>
      <c r="MTU14" s="533"/>
      <c r="MTV14" s="533"/>
      <c r="MTW14" s="533"/>
      <c r="MTX14" s="533"/>
      <c r="MTY14" s="533"/>
      <c r="MTZ14" s="533"/>
      <c r="MUA14" s="533"/>
      <c r="MUB14" s="533"/>
      <c r="MUC14" s="533"/>
      <c r="MUD14" s="533"/>
      <c r="MUE14" s="533"/>
      <c r="MUF14" s="533"/>
      <c r="MUG14" s="533"/>
      <c r="MUH14" s="533"/>
      <c r="MUI14" s="533"/>
      <c r="MUJ14" s="533"/>
      <c r="MUK14" s="533"/>
      <c r="MUL14" s="533"/>
      <c r="MUM14" s="533"/>
      <c r="MUN14" s="533"/>
      <c r="MUO14" s="533"/>
      <c r="MUP14" s="533"/>
      <c r="MUQ14" s="533"/>
      <c r="MUR14" s="533"/>
      <c r="MUS14" s="533"/>
      <c r="MUT14" s="533"/>
      <c r="MUU14" s="533"/>
      <c r="MUV14" s="533"/>
      <c r="MUW14" s="533"/>
      <c r="MUX14" s="533"/>
      <c r="MUY14" s="533"/>
      <c r="MUZ14" s="533"/>
      <c r="MVA14" s="533"/>
      <c r="MVB14" s="533"/>
      <c r="MVC14" s="533"/>
      <c r="MVD14" s="533"/>
      <c r="MVE14" s="533"/>
      <c r="MVF14" s="533"/>
      <c r="MVG14" s="533"/>
      <c r="MVH14" s="533"/>
      <c r="MVI14" s="533"/>
      <c r="MVJ14" s="533"/>
      <c r="MVK14" s="533"/>
      <c r="MVL14" s="533"/>
      <c r="MVM14" s="533"/>
      <c r="MVN14" s="533"/>
      <c r="MVO14" s="533"/>
      <c r="MVP14" s="533"/>
      <c r="MVQ14" s="533"/>
      <c r="MVR14" s="533"/>
      <c r="MVS14" s="533"/>
      <c r="MVT14" s="533"/>
      <c r="MVU14" s="533"/>
      <c r="MVV14" s="533"/>
      <c r="MVW14" s="533"/>
      <c r="MVX14" s="533"/>
      <c r="MVY14" s="533"/>
      <c r="MVZ14" s="533"/>
      <c r="MWA14" s="533"/>
      <c r="MWB14" s="533"/>
      <c r="MWC14" s="533"/>
      <c r="MWD14" s="533"/>
      <c r="MWE14" s="533"/>
      <c r="MWF14" s="533"/>
      <c r="MWG14" s="533"/>
      <c r="MWH14" s="533"/>
      <c r="MWI14" s="533"/>
      <c r="MWJ14" s="533"/>
      <c r="MWK14" s="533"/>
      <c r="MWL14" s="533"/>
      <c r="MWM14" s="533"/>
      <c r="MWN14" s="533"/>
      <c r="MWO14" s="533"/>
      <c r="MWP14" s="533"/>
      <c r="MWQ14" s="533"/>
      <c r="MWR14" s="533"/>
      <c r="MWS14" s="533"/>
      <c r="MWT14" s="533"/>
      <c r="MWU14" s="533"/>
      <c r="MWV14" s="533"/>
      <c r="MWW14" s="533"/>
      <c r="MWX14" s="533"/>
      <c r="MWY14" s="533"/>
      <c r="MWZ14" s="533"/>
      <c r="MXA14" s="533"/>
      <c r="MXB14" s="533"/>
      <c r="MXC14" s="533"/>
      <c r="MXD14" s="533"/>
      <c r="MXE14" s="533"/>
      <c r="MXF14" s="533"/>
      <c r="MXG14" s="533"/>
      <c r="MXH14" s="533"/>
      <c r="MXI14" s="533"/>
      <c r="MXJ14" s="533"/>
      <c r="MXK14" s="533"/>
      <c r="MXL14" s="533"/>
      <c r="MXM14" s="533"/>
      <c r="MXN14" s="533"/>
      <c r="MXO14" s="533"/>
      <c r="MXP14" s="533"/>
      <c r="MXQ14" s="533"/>
      <c r="MXR14" s="533"/>
      <c r="MXS14" s="533"/>
      <c r="MXT14" s="533"/>
      <c r="MXU14" s="533"/>
      <c r="MXV14" s="533"/>
      <c r="MXW14" s="533"/>
      <c r="MXX14" s="533"/>
      <c r="MXY14" s="533"/>
      <c r="MXZ14" s="533"/>
      <c r="MYA14" s="533"/>
      <c r="MYB14" s="533"/>
      <c r="MYC14" s="533"/>
      <c r="MYD14" s="533"/>
      <c r="MYE14" s="533"/>
      <c r="MYF14" s="533"/>
      <c r="MYG14" s="533"/>
      <c r="MYH14" s="533"/>
      <c r="MYI14" s="533"/>
      <c r="MYJ14" s="533"/>
      <c r="MYK14" s="533"/>
      <c r="MYL14" s="533"/>
      <c r="MYM14" s="533"/>
      <c r="MYN14" s="533"/>
      <c r="MYO14" s="533"/>
      <c r="MYP14" s="533"/>
      <c r="MYQ14" s="533"/>
      <c r="MYR14" s="533"/>
      <c r="MYS14" s="533"/>
      <c r="MYT14" s="533"/>
      <c r="MYU14" s="533"/>
      <c r="MYV14" s="533"/>
      <c r="MYW14" s="533"/>
      <c r="MYX14" s="533"/>
      <c r="MYY14" s="533"/>
      <c r="MYZ14" s="533"/>
      <c r="MZA14" s="533"/>
      <c r="MZB14" s="533"/>
      <c r="MZC14" s="533"/>
      <c r="MZD14" s="533"/>
      <c r="MZE14" s="533"/>
      <c r="MZF14" s="533"/>
      <c r="MZG14" s="533"/>
      <c r="MZH14" s="533"/>
      <c r="MZI14" s="533"/>
      <c r="MZJ14" s="533"/>
      <c r="MZK14" s="533"/>
      <c r="MZL14" s="533"/>
      <c r="MZM14" s="533"/>
      <c r="MZN14" s="533"/>
      <c r="MZO14" s="533"/>
      <c r="MZP14" s="533"/>
      <c r="MZQ14" s="533"/>
      <c r="MZR14" s="533"/>
      <c r="MZS14" s="533"/>
      <c r="MZT14" s="533"/>
      <c r="MZU14" s="533"/>
      <c r="MZV14" s="533"/>
      <c r="MZW14" s="533"/>
      <c r="MZX14" s="533"/>
      <c r="MZY14" s="533"/>
      <c r="MZZ14" s="533"/>
      <c r="NAA14" s="533"/>
      <c r="NAB14" s="533"/>
      <c r="NAC14" s="533"/>
      <c r="NAD14" s="533"/>
      <c r="NAE14" s="533"/>
      <c r="NAF14" s="533"/>
      <c r="NAG14" s="533"/>
      <c r="NAH14" s="533"/>
      <c r="NAI14" s="533"/>
      <c r="NAJ14" s="533"/>
      <c r="NAK14" s="533"/>
      <c r="NAL14" s="533"/>
      <c r="NAM14" s="533"/>
      <c r="NAN14" s="533"/>
      <c r="NAO14" s="533"/>
      <c r="NAP14" s="533"/>
      <c r="NAQ14" s="533"/>
      <c r="NAR14" s="533"/>
      <c r="NAS14" s="533"/>
      <c r="NAT14" s="533"/>
      <c r="NAU14" s="533"/>
      <c r="NAV14" s="533"/>
      <c r="NAW14" s="533"/>
      <c r="NAX14" s="533"/>
      <c r="NAY14" s="533"/>
      <c r="NAZ14" s="533"/>
      <c r="NBA14" s="533"/>
      <c r="NBB14" s="533"/>
      <c r="NBC14" s="533"/>
      <c r="NBD14" s="533"/>
      <c r="NBE14" s="533"/>
      <c r="NBF14" s="533"/>
      <c r="NBG14" s="533"/>
      <c r="NBH14" s="533"/>
      <c r="NBI14" s="533"/>
      <c r="NBJ14" s="533"/>
      <c r="NBK14" s="533"/>
      <c r="NBL14" s="533"/>
      <c r="NBM14" s="533"/>
      <c r="NBN14" s="533"/>
      <c r="NBO14" s="533"/>
      <c r="NBP14" s="533"/>
      <c r="NBQ14" s="533"/>
      <c r="NBR14" s="533"/>
      <c r="NBS14" s="533"/>
      <c r="NBT14" s="533"/>
      <c r="NBU14" s="533"/>
      <c r="NBV14" s="533"/>
      <c r="NBW14" s="533"/>
      <c r="NBX14" s="533"/>
      <c r="NBY14" s="533"/>
      <c r="NBZ14" s="533"/>
      <c r="NCA14" s="533"/>
      <c r="NCB14" s="533"/>
      <c r="NCC14" s="533"/>
      <c r="NCD14" s="533"/>
      <c r="NCE14" s="533"/>
      <c r="NCF14" s="533"/>
      <c r="NCG14" s="533"/>
      <c r="NCH14" s="533"/>
      <c r="NCI14" s="533"/>
      <c r="NCJ14" s="533"/>
      <c r="NCK14" s="533"/>
      <c r="NCL14" s="533"/>
      <c r="NCM14" s="533"/>
      <c r="NCN14" s="533"/>
      <c r="NCO14" s="533"/>
      <c r="NCP14" s="533"/>
      <c r="NCQ14" s="533"/>
      <c r="NCR14" s="533"/>
      <c r="NCS14" s="533"/>
      <c r="NCT14" s="533"/>
      <c r="NCU14" s="533"/>
      <c r="NCV14" s="533"/>
      <c r="NCW14" s="533"/>
      <c r="NCX14" s="533"/>
      <c r="NCY14" s="533"/>
      <c r="NCZ14" s="533"/>
      <c r="NDA14" s="533"/>
      <c r="NDB14" s="533"/>
      <c r="NDC14" s="533"/>
      <c r="NDD14" s="533"/>
      <c r="NDE14" s="533"/>
      <c r="NDF14" s="533"/>
      <c r="NDG14" s="533"/>
      <c r="NDH14" s="533"/>
      <c r="NDI14" s="533"/>
      <c r="NDJ14" s="533"/>
      <c r="NDK14" s="533"/>
      <c r="NDL14" s="533"/>
      <c r="NDM14" s="533"/>
      <c r="NDN14" s="533"/>
      <c r="NDO14" s="533"/>
      <c r="NDP14" s="533"/>
      <c r="NDQ14" s="533"/>
      <c r="NDR14" s="533"/>
      <c r="NDS14" s="533"/>
      <c r="NDT14" s="533"/>
      <c r="NDU14" s="533"/>
      <c r="NDV14" s="533"/>
      <c r="NDW14" s="533"/>
      <c r="NDX14" s="533"/>
      <c r="NDY14" s="533"/>
      <c r="NDZ14" s="533"/>
      <c r="NEA14" s="533"/>
      <c r="NEB14" s="533"/>
      <c r="NEC14" s="533"/>
      <c r="NED14" s="533"/>
      <c r="NEE14" s="533"/>
      <c r="NEF14" s="533"/>
      <c r="NEG14" s="533"/>
      <c r="NEH14" s="533"/>
      <c r="NEI14" s="533"/>
      <c r="NEJ14" s="533"/>
      <c r="NEK14" s="533"/>
      <c r="NEL14" s="533"/>
      <c r="NEM14" s="533"/>
      <c r="NEN14" s="533"/>
      <c r="NEO14" s="533"/>
      <c r="NEP14" s="533"/>
      <c r="NEQ14" s="533"/>
      <c r="NER14" s="533"/>
      <c r="NES14" s="533"/>
      <c r="NET14" s="533"/>
      <c r="NEU14" s="533"/>
      <c r="NEV14" s="533"/>
      <c r="NEW14" s="533"/>
      <c r="NEX14" s="533"/>
      <c r="NEY14" s="533"/>
      <c r="NEZ14" s="533"/>
      <c r="NFA14" s="533"/>
      <c r="NFB14" s="533"/>
      <c r="NFC14" s="533"/>
      <c r="NFD14" s="533"/>
      <c r="NFE14" s="533"/>
      <c r="NFF14" s="533"/>
      <c r="NFG14" s="533"/>
      <c r="NFH14" s="533"/>
      <c r="NFI14" s="533"/>
      <c r="NFJ14" s="533"/>
      <c r="NFK14" s="533"/>
      <c r="NFL14" s="533"/>
      <c r="NFM14" s="533"/>
      <c r="NFN14" s="533"/>
      <c r="NFO14" s="533"/>
      <c r="NFP14" s="533"/>
      <c r="NFQ14" s="533"/>
      <c r="NFR14" s="533"/>
      <c r="NFS14" s="533"/>
      <c r="NFT14" s="533"/>
      <c r="NFU14" s="533"/>
      <c r="NFV14" s="533"/>
      <c r="NFW14" s="533"/>
      <c r="NFX14" s="533"/>
      <c r="NFY14" s="533"/>
      <c r="NFZ14" s="533"/>
      <c r="NGA14" s="533"/>
      <c r="NGB14" s="533"/>
      <c r="NGC14" s="533"/>
      <c r="NGD14" s="533"/>
      <c r="NGE14" s="533"/>
      <c r="NGF14" s="533"/>
      <c r="NGG14" s="533"/>
      <c r="NGH14" s="533"/>
      <c r="NGI14" s="533"/>
      <c r="NGJ14" s="533"/>
      <c r="NGK14" s="533"/>
      <c r="NGL14" s="533"/>
      <c r="NGM14" s="533"/>
      <c r="NGN14" s="533"/>
      <c r="NGO14" s="533"/>
      <c r="NGP14" s="533"/>
      <c r="NGQ14" s="533"/>
      <c r="NGR14" s="533"/>
      <c r="NGS14" s="533"/>
      <c r="NGT14" s="533"/>
      <c r="NGU14" s="533"/>
      <c r="NGV14" s="533"/>
      <c r="NGW14" s="533"/>
      <c r="NGX14" s="533"/>
      <c r="NGY14" s="533"/>
      <c r="NGZ14" s="533"/>
      <c r="NHA14" s="533"/>
      <c r="NHB14" s="533"/>
      <c r="NHC14" s="533"/>
      <c r="NHD14" s="533"/>
      <c r="NHE14" s="533"/>
      <c r="NHF14" s="533"/>
      <c r="NHG14" s="533"/>
      <c r="NHH14" s="533"/>
      <c r="NHI14" s="533"/>
      <c r="NHJ14" s="533"/>
      <c r="NHK14" s="533"/>
      <c r="NHL14" s="533"/>
      <c r="NHM14" s="533"/>
      <c r="NHN14" s="533"/>
      <c r="NHO14" s="533"/>
      <c r="NHP14" s="533"/>
      <c r="NHQ14" s="533"/>
      <c r="NHR14" s="533"/>
      <c r="NHS14" s="533"/>
      <c r="NHT14" s="533"/>
      <c r="NHU14" s="533"/>
      <c r="NHV14" s="533"/>
      <c r="NHW14" s="533"/>
      <c r="NHX14" s="533"/>
      <c r="NHY14" s="533"/>
      <c r="NHZ14" s="533"/>
      <c r="NIA14" s="533"/>
      <c r="NIB14" s="533"/>
      <c r="NIC14" s="533"/>
      <c r="NID14" s="533"/>
      <c r="NIE14" s="533"/>
      <c r="NIF14" s="533"/>
      <c r="NIG14" s="533"/>
      <c r="NIH14" s="533"/>
      <c r="NII14" s="533"/>
      <c r="NIJ14" s="533"/>
      <c r="NIK14" s="533"/>
      <c r="NIL14" s="533"/>
      <c r="NIM14" s="533"/>
      <c r="NIN14" s="533"/>
      <c r="NIO14" s="533"/>
      <c r="NIP14" s="533"/>
      <c r="NIQ14" s="533"/>
      <c r="NIR14" s="533"/>
      <c r="NIS14" s="533"/>
      <c r="NIT14" s="533"/>
      <c r="NIU14" s="533"/>
      <c r="NIV14" s="533"/>
      <c r="NIW14" s="533"/>
      <c r="NIX14" s="533"/>
      <c r="NIY14" s="533"/>
      <c r="NIZ14" s="533"/>
      <c r="NJA14" s="533"/>
      <c r="NJB14" s="533"/>
      <c r="NJC14" s="533"/>
      <c r="NJD14" s="533"/>
      <c r="NJE14" s="533"/>
      <c r="NJF14" s="533"/>
      <c r="NJG14" s="533"/>
      <c r="NJH14" s="533"/>
      <c r="NJI14" s="533"/>
      <c r="NJJ14" s="533"/>
      <c r="NJK14" s="533"/>
      <c r="NJL14" s="533"/>
      <c r="NJM14" s="533"/>
      <c r="NJN14" s="533"/>
      <c r="NJO14" s="533"/>
      <c r="NJP14" s="533"/>
      <c r="NJQ14" s="533"/>
      <c r="NJR14" s="533"/>
      <c r="NJS14" s="533"/>
      <c r="NJT14" s="533"/>
      <c r="NJU14" s="533"/>
      <c r="NJV14" s="533"/>
      <c r="NJW14" s="533"/>
      <c r="NJX14" s="533"/>
      <c r="NJY14" s="533"/>
      <c r="NJZ14" s="533"/>
      <c r="NKA14" s="533"/>
      <c r="NKB14" s="533"/>
      <c r="NKC14" s="533"/>
      <c r="NKD14" s="533"/>
      <c r="NKE14" s="533"/>
      <c r="NKF14" s="533"/>
      <c r="NKG14" s="533"/>
      <c r="NKH14" s="533"/>
      <c r="NKI14" s="533"/>
      <c r="NKJ14" s="533"/>
      <c r="NKK14" s="533"/>
      <c r="NKL14" s="533"/>
      <c r="NKM14" s="533"/>
      <c r="NKN14" s="533"/>
      <c r="NKO14" s="533"/>
      <c r="NKP14" s="533"/>
      <c r="NKQ14" s="533"/>
      <c r="NKR14" s="533"/>
      <c r="NKS14" s="533"/>
      <c r="NKT14" s="533"/>
      <c r="NKU14" s="533"/>
      <c r="NKV14" s="533"/>
      <c r="NKW14" s="533"/>
      <c r="NKX14" s="533"/>
      <c r="NKY14" s="533"/>
      <c r="NKZ14" s="533"/>
      <c r="NLA14" s="533"/>
      <c r="NLB14" s="533"/>
      <c r="NLC14" s="533"/>
      <c r="NLD14" s="533"/>
      <c r="NLE14" s="533"/>
      <c r="NLF14" s="533"/>
      <c r="NLG14" s="533"/>
      <c r="NLH14" s="533"/>
      <c r="NLI14" s="533"/>
      <c r="NLJ14" s="533"/>
      <c r="NLK14" s="533"/>
      <c r="NLL14" s="533"/>
      <c r="NLM14" s="533"/>
      <c r="NLN14" s="533"/>
      <c r="NLO14" s="533"/>
      <c r="NLP14" s="533"/>
      <c r="NLQ14" s="533"/>
      <c r="NLR14" s="533"/>
      <c r="NLS14" s="533"/>
      <c r="NLT14" s="533"/>
      <c r="NLU14" s="533"/>
      <c r="NLV14" s="533"/>
      <c r="NLW14" s="533"/>
      <c r="NLX14" s="533"/>
      <c r="NLY14" s="533"/>
      <c r="NLZ14" s="533"/>
      <c r="NMA14" s="533"/>
      <c r="NMB14" s="533"/>
      <c r="NMC14" s="533"/>
      <c r="NMD14" s="533"/>
      <c r="NME14" s="533"/>
      <c r="NMF14" s="533"/>
      <c r="NMG14" s="533"/>
      <c r="NMH14" s="533"/>
      <c r="NMI14" s="533"/>
      <c r="NMJ14" s="533"/>
      <c r="NMK14" s="533"/>
      <c r="NML14" s="533"/>
      <c r="NMM14" s="533"/>
      <c r="NMN14" s="533"/>
      <c r="NMO14" s="533"/>
      <c r="NMP14" s="533"/>
      <c r="NMQ14" s="533"/>
      <c r="NMR14" s="533"/>
      <c r="NMS14" s="533"/>
      <c r="NMT14" s="533"/>
      <c r="NMU14" s="533"/>
      <c r="NMV14" s="533"/>
      <c r="NMW14" s="533"/>
      <c r="NMX14" s="533"/>
      <c r="NMY14" s="533"/>
      <c r="NMZ14" s="533"/>
      <c r="NNA14" s="533"/>
      <c r="NNB14" s="533"/>
      <c r="NNC14" s="533"/>
      <c r="NND14" s="533"/>
      <c r="NNE14" s="533"/>
      <c r="NNF14" s="533"/>
      <c r="NNG14" s="533"/>
      <c r="NNH14" s="533"/>
      <c r="NNI14" s="533"/>
      <c r="NNJ14" s="533"/>
      <c r="NNK14" s="533"/>
      <c r="NNL14" s="533"/>
      <c r="NNM14" s="533"/>
      <c r="NNN14" s="533"/>
      <c r="NNO14" s="533"/>
      <c r="NNP14" s="533"/>
      <c r="NNQ14" s="533"/>
      <c r="NNR14" s="533"/>
      <c r="NNS14" s="533"/>
      <c r="NNT14" s="533"/>
      <c r="NNU14" s="533"/>
      <c r="NNV14" s="533"/>
      <c r="NNW14" s="533"/>
      <c r="NNX14" s="533"/>
      <c r="NNY14" s="533"/>
      <c r="NNZ14" s="533"/>
      <c r="NOA14" s="533"/>
      <c r="NOB14" s="533"/>
      <c r="NOC14" s="533"/>
      <c r="NOD14" s="533"/>
      <c r="NOE14" s="533"/>
      <c r="NOF14" s="533"/>
      <c r="NOG14" s="533"/>
      <c r="NOH14" s="533"/>
      <c r="NOI14" s="533"/>
      <c r="NOJ14" s="533"/>
      <c r="NOK14" s="533"/>
      <c r="NOL14" s="533"/>
      <c r="NOM14" s="533"/>
      <c r="NON14" s="533"/>
      <c r="NOO14" s="533"/>
      <c r="NOP14" s="533"/>
      <c r="NOQ14" s="533"/>
      <c r="NOR14" s="533"/>
      <c r="NOS14" s="533"/>
      <c r="NOT14" s="533"/>
      <c r="NOU14" s="533"/>
      <c r="NOV14" s="533"/>
      <c r="NOW14" s="533"/>
      <c r="NOX14" s="533"/>
      <c r="NOY14" s="533"/>
      <c r="NOZ14" s="533"/>
      <c r="NPA14" s="533"/>
      <c r="NPB14" s="533"/>
      <c r="NPC14" s="533"/>
      <c r="NPD14" s="533"/>
      <c r="NPE14" s="533"/>
      <c r="NPF14" s="533"/>
      <c r="NPG14" s="533"/>
      <c r="NPH14" s="533"/>
      <c r="NPI14" s="533"/>
      <c r="NPJ14" s="533"/>
      <c r="NPK14" s="533"/>
      <c r="NPL14" s="533"/>
      <c r="NPM14" s="533"/>
      <c r="NPN14" s="533"/>
      <c r="NPO14" s="533"/>
      <c r="NPP14" s="533"/>
      <c r="NPQ14" s="533"/>
      <c r="NPR14" s="533"/>
      <c r="NPS14" s="533"/>
      <c r="NPT14" s="533"/>
      <c r="NPU14" s="533"/>
      <c r="NPV14" s="533"/>
      <c r="NPW14" s="533"/>
      <c r="NPX14" s="533"/>
      <c r="NPY14" s="533"/>
      <c r="NPZ14" s="533"/>
      <c r="NQA14" s="533"/>
      <c r="NQB14" s="533"/>
      <c r="NQC14" s="533"/>
      <c r="NQD14" s="533"/>
      <c r="NQE14" s="533"/>
      <c r="NQF14" s="533"/>
      <c r="NQG14" s="533"/>
      <c r="NQH14" s="533"/>
      <c r="NQI14" s="533"/>
      <c r="NQJ14" s="533"/>
      <c r="NQK14" s="533"/>
      <c r="NQL14" s="533"/>
      <c r="NQM14" s="533"/>
      <c r="NQN14" s="533"/>
      <c r="NQO14" s="533"/>
      <c r="NQP14" s="533"/>
      <c r="NQQ14" s="533"/>
      <c r="NQR14" s="533"/>
      <c r="NQS14" s="533"/>
      <c r="NQT14" s="533"/>
      <c r="NQU14" s="533"/>
      <c r="NQV14" s="533"/>
      <c r="NQW14" s="533"/>
      <c r="NQX14" s="533"/>
      <c r="NQY14" s="533"/>
      <c r="NQZ14" s="533"/>
      <c r="NRA14" s="533"/>
      <c r="NRB14" s="533"/>
      <c r="NRC14" s="533"/>
      <c r="NRD14" s="533"/>
      <c r="NRE14" s="533"/>
      <c r="NRF14" s="533"/>
      <c r="NRG14" s="533"/>
      <c r="NRH14" s="533"/>
      <c r="NRI14" s="533"/>
      <c r="NRJ14" s="533"/>
      <c r="NRK14" s="533"/>
      <c r="NRL14" s="533"/>
      <c r="NRM14" s="533"/>
      <c r="NRN14" s="533"/>
      <c r="NRO14" s="533"/>
      <c r="NRP14" s="533"/>
      <c r="NRQ14" s="533"/>
      <c r="NRR14" s="533"/>
      <c r="NRS14" s="533"/>
      <c r="NRT14" s="533"/>
      <c r="NRU14" s="533"/>
      <c r="NRV14" s="533"/>
      <c r="NRW14" s="533"/>
      <c r="NRX14" s="533"/>
      <c r="NRY14" s="533"/>
      <c r="NRZ14" s="533"/>
      <c r="NSA14" s="533"/>
      <c r="NSB14" s="533"/>
      <c r="NSC14" s="533"/>
      <c r="NSD14" s="533"/>
      <c r="NSE14" s="533"/>
      <c r="NSF14" s="533"/>
      <c r="NSG14" s="533"/>
      <c r="NSH14" s="533"/>
      <c r="NSI14" s="533"/>
      <c r="NSJ14" s="533"/>
      <c r="NSK14" s="533"/>
      <c r="NSL14" s="533"/>
      <c r="NSM14" s="533"/>
      <c r="NSN14" s="533"/>
      <c r="NSO14" s="533"/>
      <c r="NSP14" s="533"/>
      <c r="NSQ14" s="533"/>
      <c r="NSR14" s="533"/>
      <c r="NSS14" s="533"/>
      <c r="NST14" s="533"/>
      <c r="NSU14" s="533"/>
      <c r="NSV14" s="533"/>
      <c r="NSW14" s="533"/>
      <c r="NSX14" s="533"/>
      <c r="NSY14" s="533"/>
      <c r="NSZ14" s="533"/>
      <c r="NTA14" s="533"/>
      <c r="NTB14" s="533"/>
      <c r="NTC14" s="533"/>
      <c r="NTD14" s="533"/>
      <c r="NTE14" s="533"/>
      <c r="NTF14" s="533"/>
      <c r="NTG14" s="533"/>
      <c r="NTH14" s="533"/>
      <c r="NTI14" s="533"/>
      <c r="NTJ14" s="533"/>
      <c r="NTK14" s="533"/>
      <c r="NTL14" s="533"/>
      <c r="NTM14" s="533"/>
      <c r="NTN14" s="533"/>
      <c r="NTO14" s="533"/>
      <c r="NTP14" s="533"/>
      <c r="NTQ14" s="533"/>
      <c r="NTR14" s="533"/>
      <c r="NTS14" s="533"/>
      <c r="NTT14" s="533"/>
      <c r="NTU14" s="533"/>
      <c r="NTV14" s="533"/>
      <c r="NTW14" s="533"/>
      <c r="NTX14" s="533"/>
      <c r="NTY14" s="533"/>
      <c r="NTZ14" s="533"/>
      <c r="NUA14" s="533"/>
      <c r="NUB14" s="533"/>
      <c r="NUC14" s="533"/>
      <c r="NUD14" s="533"/>
      <c r="NUE14" s="533"/>
      <c r="NUF14" s="533"/>
      <c r="NUG14" s="533"/>
      <c r="NUH14" s="533"/>
      <c r="NUI14" s="533"/>
      <c r="NUJ14" s="533"/>
      <c r="NUK14" s="533"/>
      <c r="NUL14" s="533"/>
      <c r="NUM14" s="533"/>
      <c r="NUN14" s="533"/>
      <c r="NUO14" s="533"/>
      <c r="NUP14" s="533"/>
      <c r="NUQ14" s="533"/>
      <c r="NUR14" s="533"/>
      <c r="NUS14" s="533"/>
      <c r="NUT14" s="533"/>
      <c r="NUU14" s="533"/>
      <c r="NUV14" s="533"/>
      <c r="NUW14" s="533"/>
      <c r="NUX14" s="533"/>
      <c r="NUY14" s="533"/>
      <c r="NUZ14" s="533"/>
      <c r="NVA14" s="533"/>
      <c r="NVB14" s="533"/>
      <c r="NVC14" s="533"/>
      <c r="NVD14" s="533"/>
      <c r="NVE14" s="533"/>
      <c r="NVF14" s="533"/>
      <c r="NVG14" s="533"/>
      <c r="NVH14" s="533"/>
      <c r="NVI14" s="533"/>
      <c r="NVJ14" s="533"/>
      <c r="NVK14" s="533"/>
      <c r="NVL14" s="533"/>
      <c r="NVM14" s="533"/>
      <c r="NVN14" s="533"/>
      <c r="NVO14" s="533"/>
      <c r="NVP14" s="533"/>
      <c r="NVQ14" s="533"/>
      <c r="NVR14" s="533"/>
      <c r="NVS14" s="533"/>
      <c r="NVT14" s="533"/>
      <c r="NVU14" s="533"/>
      <c r="NVV14" s="533"/>
      <c r="NVW14" s="533"/>
      <c r="NVX14" s="533"/>
      <c r="NVY14" s="533"/>
      <c r="NVZ14" s="533"/>
      <c r="NWA14" s="533"/>
      <c r="NWB14" s="533"/>
      <c r="NWC14" s="533"/>
      <c r="NWD14" s="533"/>
      <c r="NWE14" s="533"/>
      <c r="NWF14" s="533"/>
      <c r="NWG14" s="533"/>
      <c r="NWH14" s="533"/>
      <c r="NWI14" s="533"/>
      <c r="NWJ14" s="533"/>
      <c r="NWK14" s="533"/>
      <c r="NWL14" s="533"/>
      <c r="NWM14" s="533"/>
      <c r="NWN14" s="533"/>
      <c r="NWO14" s="533"/>
      <c r="NWP14" s="533"/>
      <c r="NWQ14" s="533"/>
      <c r="NWR14" s="533"/>
      <c r="NWS14" s="533"/>
      <c r="NWT14" s="533"/>
      <c r="NWU14" s="533"/>
      <c r="NWV14" s="533"/>
      <c r="NWW14" s="533"/>
      <c r="NWX14" s="533"/>
      <c r="NWY14" s="533"/>
      <c r="NWZ14" s="533"/>
      <c r="NXA14" s="533"/>
      <c r="NXB14" s="533"/>
      <c r="NXC14" s="533"/>
      <c r="NXD14" s="533"/>
      <c r="NXE14" s="533"/>
      <c r="NXF14" s="533"/>
      <c r="NXG14" s="533"/>
      <c r="NXH14" s="533"/>
      <c r="NXI14" s="533"/>
      <c r="NXJ14" s="533"/>
      <c r="NXK14" s="533"/>
      <c r="NXL14" s="533"/>
      <c r="NXM14" s="533"/>
      <c r="NXN14" s="533"/>
      <c r="NXO14" s="533"/>
      <c r="NXP14" s="533"/>
      <c r="NXQ14" s="533"/>
      <c r="NXR14" s="533"/>
      <c r="NXS14" s="533"/>
      <c r="NXT14" s="533"/>
      <c r="NXU14" s="533"/>
      <c r="NXV14" s="533"/>
      <c r="NXW14" s="533"/>
      <c r="NXX14" s="533"/>
      <c r="NXY14" s="533"/>
      <c r="NXZ14" s="533"/>
      <c r="NYA14" s="533"/>
      <c r="NYB14" s="533"/>
      <c r="NYC14" s="533"/>
      <c r="NYD14" s="533"/>
      <c r="NYE14" s="533"/>
      <c r="NYF14" s="533"/>
      <c r="NYG14" s="533"/>
      <c r="NYH14" s="533"/>
      <c r="NYI14" s="533"/>
      <c r="NYJ14" s="533"/>
      <c r="NYK14" s="533"/>
      <c r="NYL14" s="533"/>
      <c r="NYM14" s="533"/>
      <c r="NYN14" s="533"/>
      <c r="NYO14" s="533"/>
      <c r="NYP14" s="533"/>
      <c r="NYQ14" s="533"/>
      <c r="NYR14" s="533"/>
      <c r="NYS14" s="533"/>
      <c r="NYT14" s="533"/>
      <c r="NYU14" s="533"/>
      <c r="NYV14" s="533"/>
      <c r="NYW14" s="533"/>
      <c r="NYX14" s="533"/>
      <c r="NYY14" s="533"/>
      <c r="NYZ14" s="533"/>
      <c r="NZA14" s="533"/>
      <c r="NZB14" s="533"/>
      <c r="NZC14" s="533"/>
      <c r="NZD14" s="533"/>
      <c r="NZE14" s="533"/>
      <c r="NZF14" s="533"/>
      <c r="NZG14" s="533"/>
      <c r="NZH14" s="533"/>
      <c r="NZI14" s="533"/>
      <c r="NZJ14" s="533"/>
      <c r="NZK14" s="533"/>
      <c r="NZL14" s="533"/>
      <c r="NZM14" s="533"/>
      <c r="NZN14" s="533"/>
      <c r="NZO14" s="533"/>
      <c r="NZP14" s="533"/>
      <c r="NZQ14" s="533"/>
      <c r="NZR14" s="533"/>
      <c r="NZS14" s="533"/>
      <c r="NZT14" s="533"/>
      <c r="NZU14" s="533"/>
      <c r="NZV14" s="533"/>
      <c r="NZW14" s="533"/>
      <c r="NZX14" s="533"/>
      <c r="NZY14" s="533"/>
      <c r="NZZ14" s="533"/>
      <c r="OAA14" s="533"/>
      <c r="OAB14" s="533"/>
      <c r="OAC14" s="533"/>
      <c r="OAD14" s="533"/>
      <c r="OAE14" s="533"/>
      <c r="OAF14" s="533"/>
      <c r="OAG14" s="533"/>
      <c r="OAH14" s="533"/>
      <c r="OAI14" s="533"/>
      <c r="OAJ14" s="533"/>
      <c r="OAK14" s="533"/>
      <c r="OAL14" s="533"/>
      <c r="OAM14" s="533"/>
      <c r="OAN14" s="533"/>
      <c r="OAO14" s="533"/>
      <c r="OAP14" s="533"/>
      <c r="OAQ14" s="533"/>
      <c r="OAR14" s="533"/>
      <c r="OAS14" s="533"/>
      <c r="OAT14" s="533"/>
      <c r="OAU14" s="533"/>
      <c r="OAV14" s="533"/>
      <c r="OAW14" s="533"/>
      <c r="OAX14" s="533"/>
      <c r="OAY14" s="533"/>
      <c r="OAZ14" s="533"/>
      <c r="OBA14" s="533"/>
      <c r="OBB14" s="533"/>
      <c r="OBC14" s="533"/>
      <c r="OBD14" s="533"/>
      <c r="OBE14" s="533"/>
      <c r="OBF14" s="533"/>
      <c r="OBG14" s="533"/>
      <c r="OBH14" s="533"/>
      <c r="OBI14" s="533"/>
      <c r="OBJ14" s="533"/>
      <c r="OBK14" s="533"/>
      <c r="OBL14" s="533"/>
      <c r="OBM14" s="533"/>
      <c r="OBN14" s="533"/>
      <c r="OBO14" s="533"/>
      <c r="OBP14" s="533"/>
      <c r="OBQ14" s="533"/>
      <c r="OBR14" s="533"/>
      <c r="OBS14" s="533"/>
      <c r="OBT14" s="533"/>
      <c r="OBU14" s="533"/>
      <c r="OBV14" s="533"/>
      <c r="OBW14" s="533"/>
      <c r="OBX14" s="533"/>
      <c r="OBY14" s="533"/>
      <c r="OBZ14" s="533"/>
      <c r="OCA14" s="533"/>
      <c r="OCB14" s="533"/>
      <c r="OCC14" s="533"/>
      <c r="OCD14" s="533"/>
      <c r="OCE14" s="533"/>
      <c r="OCF14" s="533"/>
      <c r="OCG14" s="533"/>
      <c r="OCH14" s="533"/>
      <c r="OCI14" s="533"/>
      <c r="OCJ14" s="533"/>
      <c r="OCK14" s="533"/>
      <c r="OCL14" s="533"/>
      <c r="OCM14" s="533"/>
      <c r="OCN14" s="533"/>
      <c r="OCO14" s="533"/>
      <c r="OCP14" s="533"/>
      <c r="OCQ14" s="533"/>
      <c r="OCR14" s="533"/>
      <c r="OCS14" s="533"/>
      <c r="OCT14" s="533"/>
      <c r="OCU14" s="533"/>
      <c r="OCV14" s="533"/>
      <c r="OCW14" s="533"/>
      <c r="OCX14" s="533"/>
      <c r="OCY14" s="533"/>
      <c r="OCZ14" s="533"/>
      <c r="ODA14" s="533"/>
      <c r="ODB14" s="533"/>
      <c r="ODC14" s="533"/>
      <c r="ODD14" s="533"/>
      <c r="ODE14" s="533"/>
      <c r="ODF14" s="533"/>
      <c r="ODG14" s="533"/>
      <c r="ODH14" s="533"/>
      <c r="ODI14" s="533"/>
      <c r="ODJ14" s="533"/>
      <c r="ODK14" s="533"/>
      <c r="ODL14" s="533"/>
      <c r="ODM14" s="533"/>
      <c r="ODN14" s="533"/>
      <c r="ODO14" s="533"/>
      <c r="ODP14" s="533"/>
      <c r="ODQ14" s="533"/>
      <c r="ODR14" s="533"/>
      <c r="ODS14" s="533"/>
      <c r="ODT14" s="533"/>
      <c r="ODU14" s="533"/>
      <c r="ODV14" s="533"/>
      <c r="ODW14" s="533"/>
      <c r="ODX14" s="533"/>
      <c r="ODY14" s="533"/>
      <c r="ODZ14" s="533"/>
      <c r="OEA14" s="533"/>
      <c r="OEB14" s="533"/>
      <c r="OEC14" s="533"/>
      <c r="OED14" s="533"/>
      <c r="OEE14" s="533"/>
      <c r="OEF14" s="533"/>
      <c r="OEG14" s="533"/>
      <c r="OEH14" s="533"/>
      <c r="OEI14" s="533"/>
      <c r="OEJ14" s="533"/>
      <c r="OEK14" s="533"/>
      <c r="OEL14" s="533"/>
      <c r="OEM14" s="533"/>
      <c r="OEN14" s="533"/>
      <c r="OEO14" s="533"/>
      <c r="OEP14" s="533"/>
      <c r="OEQ14" s="533"/>
      <c r="OER14" s="533"/>
      <c r="OES14" s="533"/>
      <c r="OET14" s="533"/>
      <c r="OEU14" s="533"/>
      <c r="OEV14" s="533"/>
      <c r="OEW14" s="533"/>
      <c r="OEX14" s="533"/>
      <c r="OEY14" s="533"/>
      <c r="OEZ14" s="533"/>
      <c r="OFA14" s="533"/>
      <c r="OFB14" s="533"/>
      <c r="OFC14" s="533"/>
      <c r="OFD14" s="533"/>
      <c r="OFE14" s="533"/>
      <c r="OFF14" s="533"/>
      <c r="OFG14" s="533"/>
      <c r="OFH14" s="533"/>
      <c r="OFI14" s="533"/>
      <c r="OFJ14" s="533"/>
      <c r="OFK14" s="533"/>
      <c r="OFL14" s="533"/>
      <c r="OFM14" s="533"/>
      <c r="OFN14" s="533"/>
      <c r="OFO14" s="533"/>
      <c r="OFP14" s="533"/>
      <c r="OFQ14" s="533"/>
      <c r="OFR14" s="533"/>
      <c r="OFS14" s="533"/>
      <c r="OFT14" s="533"/>
      <c r="OFU14" s="533"/>
      <c r="OFV14" s="533"/>
      <c r="OFW14" s="533"/>
      <c r="OFX14" s="533"/>
      <c r="OFY14" s="533"/>
      <c r="OFZ14" s="533"/>
      <c r="OGA14" s="533"/>
      <c r="OGB14" s="533"/>
      <c r="OGC14" s="533"/>
      <c r="OGD14" s="533"/>
      <c r="OGE14" s="533"/>
      <c r="OGF14" s="533"/>
      <c r="OGG14" s="533"/>
      <c r="OGH14" s="533"/>
      <c r="OGI14" s="533"/>
      <c r="OGJ14" s="533"/>
      <c r="OGK14" s="533"/>
      <c r="OGL14" s="533"/>
      <c r="OGM14" s="533"/>
      <c r="OGN14" s="533"/>
      <c r="OGO14" s="533"/>
      <c r="OGP14" s="533"/>
      <c r="OGQ14" s="533"/>
      <c r="OGR14" s="533"/>
      <c r="OGS14" s="533"/>
      <c r="OGT14" s="533"/>
      <c r="OGU14" s="533"/>
      <c r="OGV14" s="533"/>
      <c r="OGW14" s="533"/>
      <c r="OGX14" s="533"/>
      <c r="OGY14" s="533"/>
      <c r="OGZ14" s="533"/>
      <c r="OHA14" s="533"/>
      <c r="OHB14" s="533"/>
      <c r="OHC14" s="533"/>
      <c r="OHD14" s="533"/>
      <c r="OHE14" s="533"/>
      <c r="OHF14" s="533"/>
      <c r="OHG14" s="533"/>
      <c r="OHH14" s="533"/>
      <c r="OHI14" s="533"/>
      <c r="OHJ14" s="533"/>
      <c r="OHK14" s="533"/>
      <c r="OHL14" s="533"/>
      <c r="OHM14" s="533"/>
      <c r="OHN14" s="533"/>
      <c r="OHO14" s="533"/>
      <c r="OHP14" s="533"/>
      <c r="OHQ14" s="533"/>
      <c r="OHR14" s="533"/>
      <c r="OHS14" s="533"/>
      <c r="OHT14" s="533"/>
      <c r="OHU14" s="533"/>
      <c r="OHV14" s="533"/>
      <c r="OHW14" s="533"/>
      <c r="OHX14" s="533"/>
      <c r="OHY14" s="533"/>
      <c r="OHZ14" s="533"/>
      <c r="OIA14" s="533"/>
      <c r="OIB14" s="533"/>
      <c r="OIC14" s="533"/>
      <c r="OID14" s="533"/>
      <c r="OIE14" s="533"/>
      <c r="OIF14" s="533"/>
      <c r="OIG14" s="533"/>
      <c r="OIH14" s="533"/>
      <c r="OII14" s="533"/>
      <c r="OIJ14" s="533"/>
      <c r="OIK14" s="533"/>
      <c r="OIL14" s="533"/>
      <c r="OIM14" s="533"/>
      <c r="OIN14" s="533"/>
      <c r="OIO14" s="533"/>
      <c r="OIP14" s="533"/>
      <c r="OIQ14" s="533"/>
      <c r="OIR14" s="533"/>
      <c r="OIS14" s="533"/>
      <c r="OIT14" s="533"/>
      <c r="OIU14" s="533"/>
      <c r="OIV14" s="533"/>
      <c r="OIW14" s="533"/>
      <c r="OIX14" s="533"/>
      <c r="OIY14" s="533"/>
      <c r="OIZ14" s="533"/>
      <c r="OJA14" s="533"/>
      <c r="OJB14" s="533"/>
      <c r="OJC14" s="533"/>
      <c r="OJD14" s="533"/>
      <c r="OJE14" s="533"/>
      <c r="OJF14" s="533"/>
      <c r="OJG14" s="533"/>
      <c r="OJH14" s="533"/>
      <c r="OJI14" s="533"/>
      <c r="OJJ14" s="533"/>
      <c r="OJK14" s="533"/>
      <c r="OJL14" s="533"/>
      <c r="OJM14" s="533"/>
      <c r="OJN14" s="533"/>
      <c r="OJO14" s="533"/>
      <c r="OJP14" s="533"/>
      <c r="OJQ14" s="533"/>
      <c r="OJR14" s="533"/>
      <c r="OJS14" s="533"/>
      <c r="OJT14" s="533"/>
      <c r="OJU14" s="533"/>
      <c r="OJV14" s="533"/>
      <c r="OJW14" s="533"/>
      <c r="OJX14" s="533"/>
      <c r="OJY14" s="533"/>
      <c r="OJZ14" s="533"/>
      <c r="OKA14" s="533"/>
      <c r="OKB14" s="533"/>
      <c r="OKC14" s="533"/>
      <c r="OKD14" s="533"/>
      <c r="OKE14" s="533"/>
      <c r="OKF14" s="533"/>
      <c r="OKG14" s="533"/>
      <c r="OKH14" s="533"/>
      <c r="OKI14" s="533"/>
      <c r="OKJ14" s="533"/>
      <c r="OKK14" s="533"/>
      <c r="OKL14" s="533"/>
      <c r="OKM14" s="533"/>
      <c r="OKN14" s="533"/>
      <c r="OKO14" s="533"/>
      <c r="OKP14" s="533"/>
      <c r="OKQ14" s="533"/>
      <c r="OKR14" s="533"/>
      <c r="OKS14" s="533"/>
      <c r="OKT14" s="533"/>
      <c r="OKU14" s="533"/>
      <c r="OKV14" s="533"/>
      <c r="OKW14" s="533"/>
      <c r="OKX14" s="533"/>
      <c r="OKY14" s="533"/>
      <c r="OKZ14" s="533"/>
      <c r="OLA14" s="533"/>
      <c r="OLB14" s="533"/>
      <c r="OLC14" s="533"/>
      <c r="OLD14" s="533"/>
      <c r="OLE14" s="533"/>
      <c r="OLF14" s="533"/>
      <c r="OLG14" s="533"/>
      <c r="OLH14" s="533"/>
      <c r="OLI14" s="533"/>
      <c r="OLJ14" s="533"/>
      <c r="OLK14" s="533"/>
      <c r="OLL14" s="533"/>
      <c r="OLM14" s="533"/>
      <c r="OLN14" s="533"/>
      <c r="OLO14" s="533"/>
      <c r="OLP14" s="533"/>
      <c r="OLQ14" s="533"/>
      <c r="OLR14" s="533"/>
      <c r="OLS14" s="533"/>
      <c r="OLT14" s="533"/>
      <c r="OLU14" s="533"/>
      <c r="OLV14" s="533"/>
      <c r="OLW14" s="533"/>
      <c r="OLX14" s="533"/>
      <c r="OLY14" s="533"/>
      <c r="OLZ14" s="533"/>
      <c r="OMA14" s="533"/>
      <c r="OMB14" s="533"/>
      <c r="OMC14" s="533"/>
      <c r="OMD14" s="533"/>
      <c r="OME14" s="533"/>
      <c r="OMF14" s="533"/>
      <c r="OMG14" s="533"/>
      <c r="OMH14" s="533"/>
      <c r="OMI14" s="533"/>
      <c r="OMJ14" s="533"/>
      <c r="OMK14" s="533"/>
      <c r="OML14" s="533"/>
      <c r="OMM14" s="533"/>
      <c r="OMN14" s="533"/>
      <c r="OMO14" s="533"/>
      <c r="OMP14" s="533"/>
      <c r="OMQ14" s="533"/>
      <c r="OMR14" s="533"/>
      <c r="OMS14" s="533"/>
      <c r="OMT14" s="533"/>
      <c r="OMU14" s="533"/>
      <c r="OMV14" s="533"/>
      <c r="OMW14" s="533"/>
      <c r="OMX14" s="533"/>
      <c r="OMY14" s="533"/>
      <c r="OMZ14" s="533"/>
      <c r="ONA14" s="533"/>
      <c r="ONB14" s="533"/>
      <c r="ONC14" s="533"/>
      <c r="OND14" s="533"/>
      <c r="ONE14" s="533"/>
      <c r="ONF14" s="533"/>
      <c r="ONG14" s="533"/>
      <c r="ONH14" s="533"/>
      <c r="ONI14" s="533"/>
      <c r="ONJ14" s="533"/>
      <c r="ONK14" s="533"/>
      <c r="ONL14" s="533"/>
      <c r="ONM14" s="533"/>
      <c r="ONN14" s="533"/>
      <c r="ONO14" s="533"/>
      <c r="ONP14" s="533"/>
      <c r="ONQ14" s="533"/>
      <c r="ONR14" s="533"/>
      <c r="ONS14" s="533"/>
      <c r="ONT14" s="533"/>
      <c r="ONU14" s="533"/>
      <c r="ONV14" s="533"/>
      <c r="ONW14" s="533"/>
      <c r="ONX14" s="533"/>
      <c r="ONY14" s="533"/>
      <c r="ONZ14" s="533"/>
      <c r="OOA14" s="533"/>
      <c r="OOB14" s="533"/>
      <c r="OOC14" s="533"/>
      <c r="OOD14" s="533"/>
      <c r="OOE14" s="533"/>
      <c r="OOF14" s="533"/>
      <c r="OOG14" s="533"/>
      <c r="OOH14" s="533"/>
      <c r="OOI14" s="533"/>
      <c r="OOJ14" s="533"/>
      <c r="OOK14" s="533"/>
      <c r="OOL14" s="533"/>
      <c r="OOM14" s="533"/>
      <c r="OON14" s="533"/>
      <c r="OOO14" s="533"/>
      <c r="OOP14" s="533"/>
      <c r="OOQ14" s="533"/>
      <c r="OOR14" s="533"/>
      <c r="OOS14" s="533"/>
      <c r="OOT14" s="533"/>
      <c r="OOU14" s="533"/>
      <c r="OOV14" s="533"/>
      <c r="OOW14" s="533"/>
      <c r="OOX14" s="533"/>
      <c r="OOY14" s="533"/>
      <c r="OOZ14" s="533"/>
      <c r="OPA14" s="533"/>
      <c r="OPB14" s="533"/>
      <c r="OPC14" s="533"/>
      <c r="OPD14" s="533"/>
      <c r="OPE14" s="533"/>
      <c r="OPF14" s="533"/>
      <c r="OPG14" s="533"/>
      <c r="OPH14" s="533"/>
      <c r="OPI14" s="533"/>
      <c r="OPJ14" s="533"/>
      <c r="OPK14" s="533"/>
      <c r="OPL14" s="533"/>
      <c r="OPM14" s="533"/>
      <c r="OPN14" s="533"/>
      <c r="OPO14" s="533"/>
      <c r="OPP14" s="533"/>
      <c r="OPQ14" s="533"/>
      <c r="OPR14" s="533"/>
      <c r="OPS14" s="533"/>
      <c r="OPT14" s="533"/>
      <c r="OPU14" s="533"/>
      <c r="OPV14" s="533"/>
      <c r="OPW14" s="533"/>
      <c r="OPX14" s="533"/>
      <c r="OPY14" s="533"/>
      <c r="OPZ14" s="533"/>
      <c r="OQA14" s="533"/>
      <c r="OQB14" s="533"/>
      <c r="OQC14" s="533"/>
      <c r="OQD14" s="533"/>
      <c r="OQE14" s="533"/>
      <c r="OQF14" s="533"/>
      <c r="OQG14" s="533"/>
      <c r="OQH14" s="533"/>
      <c r="OQI14" s="533"/>
      <c r="OQJ14" s="533"/>
      <c r="OQK14" s="533"/>
      <c r="OQL14" s="533"/>
      <c r="OQM14" s="533"/>
      <c r="OQN14" s="533"/>
      <c r="OQO14" s="533"/>
      <c r="OQP14" s="533"/>
      <c r="OQQ14" s="533"/>
      <c r="OQR14" s="533"/>
      <c r="OQS14" s="533"/>
      <c r="OQT14" s="533"/>
      <c r="OQU14" s="533"/>
      <c r="OQV14" s="533"/>
      <c r="OQW14" s="533"/>
      <c r="OQX14" s="533"/>
      <c r="OQY14" s="533"/>
      <c r="OQZ14" s="533"/>
      <c r="ORA14" s="533"/>
      <c r="ORB14" s="533"/>
      <c r="ORC14" s="533"/>
      <c r="ORD14" s="533"/>
      <c r="ORE14" s="533"/>
      <c r="ORF14" s="533"/>
      <c r="ORG14" s="533"/>
      <c r="ORH14" s="533"/>
      <c r="ORI14" s="533"/>
      <c r="ORJ14" s="533"/>
      <c r="ORK14" s="533"/>
      <c r="ORL14" s="533"/>
      <c r="ORM14" s="533"/>
      <c r="ORN14" s="533"/>
      <c r="ORO14" s="533"/>
      <c r="ORP14" s="533"/>
      <c r="ORQ14" s="533"/>
      <c r="ORR14" s="533"/>
      <c r="ORS14" s="533"/>
      <c r="ORT14" s="533"/>
      <c r="ORU14" s="533"/>
      <c r="ORV14" s="533"/>
      <c r="ORW14" s="533"/>
      <c r="ORX14" s="533"/>
      <c r="ORY14" s="533"/>
      <c r="ORZ14" s="533"/>
      <c r="OSA14" s="533"/>
      <c r="OSB14" s="533"/>
      <c r="OSC14" s="533"/>
      <c r="OSD14" s="533"/>
      <c r="OSE14" s="533"/>
      <c r="OSF14" s="533"/>
      <c r="OSG14" s="533"/>
      <c r="OSH14" s="533"/>
      <c r="OSI14" s="533"/>
      <c r="OSJ14" s="533"/>
      <c r="OSK14" s="533"/>
      <c r="OSL14" s="533"/>
      <c r="OSM14" s="533"/>
      <c r="OSN14" s="533"/>
      <c r="OSO14" s="533"/>
      <c r="OSP14" s="533"/>
      <c r="OSQ14" s="533"/>
      <c r="OSR14" s="533"/>
      <c r="OSS14" s="533"/>
      <c r="OST14" s="533"/>
      <c r="OSU14" s="533"/>
      <c r="OSV14" s="533"/>
      <c r="OSW14" s="533"/>
      <c r="OSX14" s="533"/>
      <c r="OSY14" s="533"/>
      <c r="OSZ14" s="533"/>
      <c r="OTA14" s="533"/>
      <c r="OTB14" s="533"/>
      <c r="OTC14" s="533"/>
      <c r="OTD14" s="533"/>
      <c r="OTE14" s="533"/>
      <c r="OTF14" s="533"/>
      <c r="OTG14" s="533"/>
      <c r="OTH14" s="533"/>
      <c r="OTI14" s="533"/>
      <c r="OTJ14" s="533"/>
      <c r="OTK14" s="533"/>
      <c r="OTL14" s="533"/>
      <c r="OTM14" s="533"/>
      <c r="OTN14" s="533"/>
      <c r="OTO14" s="533"/>
      <c r="OTP14" s="533"/>
      <c r="OTQ14" s="533"/>
      <c r="OTR14" s="533"/>
      <c r="OTS14" s="533"/>
      <c r="OTT14" s="533"/>
      <c r="OTU14" s="533"/>
      <c r="OTV14" s="533"/>
      <c r="OTW14" s="533"/>
      <c r="OTX14" s="533"/>
      <c r="OTY14" s="533"/>
      <c r="OTZ14" s="533"/>
      <c r="OUA14" s="533"/>
      <c r="OUB14" s="533"/>
      <c r="OUC14" s="533"/>
      <c r="OUD14" s="533"/>
      <c r="OUE14" s="533"/>
      <c r="OUF14" s="533"/>
      <c r="OUG14" s="533"/>
      <c r="OUH14" s="533"/>
      <c r="OUI14" s="533"/>
      <c r="OUJ14" s="533"/>
      <c r="OUK14" s="533"/>
      <c r="OUL14" s="533"/>
      <c r="OUM14" s="533"/>
      <c r="OUN14" s="533"/>
      <c r="OUO14" s="533"/>
      <c r="OUP14" s="533"/>
      <c r="OUQ14" s="533"/>
      <c r="OUR14" s="533"/>
      <c r="OUS14" s="533"/>
      <c r="OUT14" s="533"/>
      <c r="OUU14" s="533"/>
      <c r="OUV14" s="533"/>
      <c r="OUW14" s="533"/>
      <c r="OUX14" s="533"/>
      <c r="OUY14" s="533"/>
      <c r="OUZ14" s="533"/>
      <c r="OVA14" s="533"/>
      <c r="OVB14" s="533"/>
      <c r="OVC14" s="533"/>
      <c r="OVD14" s="533"/>
      <c r="OVE14" s="533"/>
      <c r="OVF14" s="533"/>
      <c r="OVG14" s="533"/>
      <c r="OVH14" s="533"/>
      <c r="OVI14" s="533"/>
      <c r="OVJ14" s="533"/>
      <c r="OVK14" s="533"/>
      <c r="OVL14" s="533"/>
      <c r="OVM14" s="533"/>
      <c r="OVN14" s="533"/>
      <c r="OVO14" s="533"/>
      <c r="OVP14" s="533"/>
      <c r="OVQ14" s="533"/>
      <c r="OVR14" s="533"/>
      <c r="OVS14" s="533"/>
      <c r="OVT14" s="533"/>
      <c r="OVU14" s="533"/>
      <c r="OVV14" s="533"/>
      <c r="OVW14" s="533"/>
      <c r="OVX14" s="533"/>
      <c r="OVY14" s="533"/>
      <c r="OVZ14" s="533"/>
      <c r="OWA14" s="533"/>
      <c r="OWB14" s="533"/>
      <c r="OWC14" s="533"/>
      <c r="OWD14" s="533"/>
      <c r="OWE14" s="533"/>
      <c r="OWF14" s="533"/>
      <c r="OWG14" s="533"/>
      <c r="OWH14" s="533"/>
      <c r="OWI14" s="533"/>
      <c r="OWJ14" s="533"/>
      <c r="OWK14" s="533"/>
      <c r="OWL14" s="533"/>
      <c r="OWM14" s="533"/>
      <c r="OWN14" s="533"/>
      <c r="OWO14" s="533"/>
      <c r="OWP14" s="533"/>
      <c r="OWQ14" s="533"/>
      <c r="OWR14" s="533"/>
      <c r="OWS14" s="533"/>
      <c r="OWT14" s="533"/>
      <c r="OWU14" s="533"/>
      <c r="OWV14" s="533"/>
      <c r="OWW14" s="533"/>
      <c r="OWX14" s="533"/>
      <c r="OWY14" s="533"/>
      <c r="OWZ14" s="533"/>
      <c r="OXA14" s="533"/>
      <c r="OXB14" s="533"/>
      <c r="OXC14" s="533"/>
      <c r="OXD14" s="533"/>
      <c r="OXE14" s="533"/>
      <c r="OXF14" s="533"/>
      <c r="OXG14" s="533"/>
      <c r="OXH14" s="533"/>
      <c r="OXI14" s="533"/>
      <c r="OXJ14" s="533"/>
      <c r="OXK14" s="533"/>
      <c r="OXL14" s="533"/>
      <c r="OXM14" s="533"/>
      <c r="OXN14" s="533"/>
      <c r="OXO14" s="533"/>
      <c r="OXP14" s="533"/>
      <c r="OXQ14" s="533"/>
      <c r="OXR14" s="533"/>
      <c r="OXS14" s="533"/>
      <c r="OXT14" s="533"/>
      <c r="OXU14" s="533"/>
      <c r="OXV14" s="533"/>
      <c r="OXW14" s="533"/>
      <c r="OXX14" s="533"/>
      <c r="OXY14" s="533"/>
      <c r="OXZ14" s="533"/>
      <c r="OYA14" s="533"/>
      <c r="OYB14" s="533"/>
      <c r="OYC14" s="533"/>
      <c r="OYD14" s="533"/>
      <c r="OYE14" s="533"/>
      <c r="OYF14" s="533"/>
      <c r="OYG14" s="533"/>
      <c r="OYH14" s="533"/>
      <c r="OYI14" s="533"/>
      <c r="OYJ14" s="533"/>
      <c r="OYK14" s="533"/>
      <c r="OYL14" s="533"/>
      <c r="OYM14" s="533"/>
      <c r="OYN14" s="533"/>
      <c r="OYO14" s="533"/>
      <c r="OYP14" s="533"/>
      <c r="OYQ14" s="533"/>
      <c r="OYR14" s="533"/>
      <c r="OYS14" s="533"/>
      <c r="OYT14" s="533"/>
      <c r="OYU14" s="533"/>
      <c r="OYV14" s="533"/>
      <c r="OYW14" s="533"/>
      <c r="OYX14" s="533"/>
      <c r="OYY14" s="533"/>
      <c r="OYZ14" s="533"/>
      <c r="OZA14" s="533"/>
      <c r="OZB14" s="533"/>
      <c r="OZC14" s="533"/>
      <c r="OZD14" s="533"/>
      <c r="OZE14" s="533"/>
      <c r="OZF14" s="533"/>
      <c r="OZG14" s="533"/>
      <c r="OZH14" s="533"/>
      <c r="OZI14" s="533"/>
      <c r="OZJ14" s="533"/>
      <c r="OZK14" s="533"/>
      <c r="OZL14" s="533"/>
      <c r="OZM14" s="533"/>
      <c r="OZN14" s="533"/>
      <c r="OZO14" s="533"/>
      <c r="OZP14" s="533"/>
      <c r="OZQ14" s="533"/>
      <c r="OZR14" s="533"/>
      <c r="OZS14" s="533"/>
      <c r="OZT14" s="533"/>
      <c r="OZU14" s="533"/>
      <c r="OZV14" s="533"/>
      <c r="OZW14" s="533"/>
      <c r="OZX14" s="533"/>
      <c r="OZY14" s="533"/>
      <c r="OZZ14" s="533"/>
      <c r="PAA14" s="533"/>
      <c r="PAB14" s="533"/>
      <c r="PAC14" s="533"/>
      <c r="PAD14" s="533"/>
      <c r="PAE14" s="533"/>
      <c r="PAF14" s="533"/>
      <c r="PAG14" s="533"/>
      <c r="PAH14" s="533"/>
      <c r="PAI14" s="533"/>
      <c r="PAJ14" s="533"/>
      <c r="PAK14" s="533"/>
      <c r="PAL14" s="533"/>
      <c r="PAM14" s="533"/>
      <c r="PAN14" s="533"/>
      <c r="PAO14" s="533"/>
      <c r="PAP14" s="533"/>
      <c r="PAQ14" s="533"/>
      <c r="PAR14" s="533"/>
      <c r="PAS14" s="533"/>
      <c r="PAT14" s="533"/>
      <c r="PAU14" s="533"/>
      <c r="PAV14" s="533"/>
      <c r="PAW14" s="533"/>
      <c r="PAX14" s="533"/>
      <c r="PAY14" s="533"/>
      <c r="PAZ14" s="533"/>
      <c r="PBA14" s="533"/>
      <c r="PBB14" s="533"/>
      <c r="PBC14" s="533"/>
      <c r="PBD14" s="533"/>
      <c r="PBE14" s="533"/>
      <c r="PBF14" s="533"/>
      <c r="PBG14" s="533"/>
      <c r="PBH14" s="533"/>
      <c r="PBI14" s="533"/>
      <c r="PBJ14" s="533"/>
      <c r="PBK14" s="533"/>
      <c r="PBL14" s="533"/>
      <c r="PBM14" s="533"/>
      <c r="PBN14" s="533"/>
      <c r="PBO14" s="533"/>
      <c r="PBP14" s="533"/>
      <c r="PBQ14" s="533"/>
      <c r="PBR14" s="533"/>
      <c r="PBS14" s="533"/>
      <c r="PBT14" s="533"/>
      <c r="PBU14" s="533"/>
      <c r="PBV14" s="533"/>
      <c r="PBW14" s="533"/>
      <c r="PBX14" s="533"/>
      <c r="PBY14" s="533"/>
      <c r="PBZ14" s="533"/>
      <c r="PCA14" s="533"/>
      <c r="PCB14" s="533"/>
      <c r="PCC14" s="533"/>
      <c r="PCD14" s="533"/>
      <c r="PCE14" s="533"/>
      <c r="PCF14" s="533"/>
      <c r="PCG14" s="533"/>
      <c r="PCH14" s="533"/>
      <c r="PCI14" s="533"/>
      <c r="PCJ14" s="533"/>
      <c r="PCK14" s="533"/>
      <c r="PCL14" s="533"/>
      <c r="PCM14" s="533"/>
      <c r="PCN14" s="533"/>
      <c r="PCO14" s="533"/>
      <c r="PCP14" s="533"/>
      <c r="PCQ14" s="533"/>
      <c r="PCR14" s="533"/>
      <c r="PCS14" s="533"/>
      <c r="PCT14" s="533"/>
      <c r="PCU14" s="533"/>
      <c r="PCV14" s="533"/>
      <c r="PCW14" s="533"/>
      <c r="PCX14" s="533"/>
      <c r="PCY14" s="533"/>
      <c r="PCZ14" s="533"/>
      <c r="PDA14" s="533"/>
      <c r="PDB14" s="533"/>
      <c r="PDC14" s="533"/>
      <c r="PDD14" s="533"/>
      <c r="PDE14" s="533"/>
      <c r="PDF14" s="533"/>
      <c r="PDG14" s="533"/>
      <c r="PDH14" s="533"/>
      <c r="PDI14" s="533"/>
      <c r="PDJ14" s="533"/>
      <c r="PDK14" s="533"/>
      <c r="PDL14" s="533"/>
      <c r="PDM14" s="533"/>
      <c r="PDN14" s="533"/>
      <c r="PDO14" s="533"/>
      <c r="PDP14" s="533"/>
      <c r="PDQ14" s="533"/>
      <c r="PDR14" s="533"/>
      <c r="PDS14" s="533"/>
      <c r="PDT14" s="533"/>
      <c r="PDU14" s="533"/>
      <c r="PDV14" s="533"/>
      <c r="PDW14" s="533"/>
      <c r="PDX14" s="533"/>
      <c r="PDY14" s="533"/>
      <c r="PDZ14" s="533"/>
      <c r="PEA14" s="533"/>
      <c r="PEB14" s="533"/>
      <c r="PEC14" s="533"/>
      <c r="PED14" s="533"/>
      <c r="PEE14" s="533"/>
      <c r="PEF14" s="533"/>
      <c r="PEG14" s="533"/>
      <c r="PEH14" s="533"/>
      <c r="PEI14" s="533"/>
      <c r="PEJ14" s="533"/>
      <c r="PEK14" s="533"/>
      <c r="PEL14" s="533"/>
      <c r="PEM14" s="533"/>
      <c r="PEN14" s="533"/>
      <c r="PEO14" s="533"/>
      <c r="PEP14" s="533"/>
      <c r="PEQ14" s="533"/>
      <c r="PER14" s="533"/>
      <c r="PES14" s="533"/>
      <c r="PET14" s="533"/>
      <c r="PEU14" s="533"/>
      <c r="PEV14" s="533"/>
      <c r="PEW14" s="533"/>
      <c r="PEX14" s="533"/>
      <c r="PEY14" s="533"/>
      <c r="PEZ14" s="533"/>
      <c r="PFA14" s="533"/>
      <c r="PFB14" s="533"/>
      <c r="PFC14" s="533"/>
      <c r="PFD14" s="533"/>
      <c r="PFE14" s="533"/>
      <c r="PFF14" s="533"/>
      <c r="PFG14" s="533"/>
      <c r="PFH14" s="533"/>
      <c r="PFI14" s="533"/>
      <c r="PFJ14" s="533"/>
      <c r="PFK14" s="533"/>
      <c r="PFL14" s="533"/>
      <c r="PFM14" s="533"/>
      <c r="PFN14" s="533"/>
      <c r="PFO14" s="533"/>
      <c r="PFP14" s="533"/>
      <c r="PFQ14" s="533"/>
      <c r="PFR14" s="533"/>
      <c r="PFS14" s="533"/>
      <c r="PFT14" s="533"/>
      <c r="PFU14" s="533"/>
      <c r="PFV14" s="533"/>
      <c r="PFW14" s="533"/>
      <c r="PFX14" s="533"/>
      <c r="PFY14" s="533"/>
      <c r="PFZ14" s="533"/>
      <c r="PGA14" s="533"/>
      <c r="PGB14" s="533"/>
      <c r="PGC14" s="533"/>
      <c r="PGD14" s="533"/>
      <c r="PGE14" s="533"/>
      <c r="PGF14" s="533"/>
      <c r="PGG14" s="533"/>
      <c r="PGH14" s="533"/>
      <c r="PGI14" s="533"/>
      <c r="PGJ14" s="533"/>
      <c r="PGK14" s="533"/>
      <c r="PGL14" s="533"/>
      <c r="PGM14" s="533"/>
      <c r="PGN14" s="533"/>
      <c r="PGO14" s="533"/>
      <c r="PGP14" s="533"/>
      <c r="PGQ14" s="533"/>
      <c r="PGR14" s="533"/>
      <c r="PGS14" s="533"/>
      <c r="PGT14" s="533"/>
      <c r="PGU14" s="533"/>
      <c r="PGV14" s="533"/>
      <c r="PGW14" s="533"/>
      <c r="PGX14" s="533"/>
      <c r="PGY14" s="533"/>
      <c r="PGZ14" s="533"/>
      <c r="PHA14" s="533"/>
      <c r="PHB14" s="533"/>
      <c r="PHC14" s="533"/>
      <c r="PHD14" s="533"/>
      <c r="PHE14" s="533"/>
      <c r="PHF14" s="533"/>
      <c r="PHG14" s="533"/>
      <c r="PHH14" s="533"/>
      <c r="PHI14" s="533"/>
      <c r="PHJ14" s="533"/>
      <c r="PHK14" s="533"/>
      <c r="PHL14" s="533"/>
      <c r="PHM14" s="533"/>
      <c r="PHN14" s="533"/>
      <c r="PHO14" s="533"/>
      <c r="PHP14" s="533"/>
      <c r="PHQ14" s="533"/>
      <c r="PHR14" s="533"/>
      <c r="PHS14" s="533"/>
      <c r="PHT14" s="533"/>
      <c r="PHU14" s="533"/>
      <c r="PHV14" s="533"/>
      <c r="PHW14" s="533"/>
      <c r="PHX14" s="533"/>
      <c r="PHY14" s="533"/>
      <c r="PHZ14" s="533"/>
      <c r="PIA14" s="533"/>
      <c r="PIB14" s="533"/>
      <c r="PIC14" s="533"/>
      <c r="PID14" s="533"/>
      <c r="PIE14" s="533"/>
      <c r="PIF14" s="533"/>
      <c r="PIG14" s="533"/>
      <c r="PIH14" s="533"/>
      <c r="PII14" s="533"/>
      <c r="PIJ14" s="533"/>
      <c r="PIK14" s="533"/>
      <c r="PIL14" s="533"/>
      <c r="PIM14" s="533"/>
      <c r="PIN14" s="533"/>
      <c r="PIO14" s="533"/>
      <c r="PIP14" s="533"/>
      <c r="PIQ14" s="533"/>
      <c r="PIR14" s="533"/>
      <c r="PIS14" s="533"/>
      <c r="PIT14" s="533"/>
      <c r="PIU14" s="533"/>
      <c r="PIV14" s="533"/>
      <c r="PIW14" s="533"/>
      <c r="PIX14" s="533"/>
      <c r="PIY14" s="533"/>
      <c r="PIZ14" s="533"/>
      <c r="PJA14" s="533"/>
      <c r="PJB14" s="533"/>
      <c r="PJC14" s="533"/>
      <c r="PJD14" s="533"/>
      <c r="PJE14" s="533"/>
      <c r="PJF14" s="533"/>
      <c r="PJG14" s="533"/>
      <c r="PJH14" s="533"/>
      <c r="PJI14" s="533"/>
      <c r="PJJ14" s="533"/>
      <c r="PJK14" s="533"/>
      <c r="PJL14" s="533"/>
      <c r="PJM14" s="533"/>
      <c r="PJN14" s="533"/>
      <c r="PJO14" s="533"/>
      <c r="PJP14" s="533"/>
      <c r="PJQ14" s="533"/>
      <c r="PJR14" s="533"/>
      <c r="PJS14" s="533"/>
      <c r="PJT14" s="533"/>
      <c r="PJU14" s="533"/>
      <c r="PJV14" s="533"/>
      <c r="PJW14" s="533"/>
      <c r="PJX14" s="533"/>
      <c r="PJY14" s="533"/>
      <c r="PJZ14" s="533"/>
      <c r="PKA14" s="533"/>
      <c r="PKB14" s="533"/>
      <c r="PKC14" s="533"/>
      <c r="PKD14" s="533"/>
      <c r="PKE14" s="533"/>
      <c r="PKF14" s="533"/>
      <c r="PKG14" s="533"/>
      <c r="PKH14" s="533"/>
      <c r="PKI14" s="533"/>
      <c r="PKJ14" s="533"/>
      <c r="PKK14" s="533"/>
      <c r="PKL14" s="533"/>
      <c r="PKM14" s="533"/>
      <c r="PKN14" s="533"/>
      <c r="PKO14" s="533"/>
      <c r="PKP14" s="533"/>
      <c r="PKQ14" s="533"/>
      <c r="PKR14" s="533"/>
      <c r="PKS14" s="533"/>
      <c r="PKT14" s="533"/>
      <c r="PKU14" s="533"/>
      <c r="PKV14" s="533"/>
      <c r="PKW14" s="533"/>
      <c r="PKX14" s="533"/>
      <c r="PKY14" s="533"/>
      <c r="PKZ14" s="533"/>
      <c r="PLA14" s="533"/>
      <c r="PLB14" s="533"/>
      <c r="PLC14" s="533"/>
      <c r="PLD14" s="533"/>
      <c r="PLE14" s="533"/>
      <c r="PLF14" s="533"/>
      <c r="PLG14" s="533"/>
      <c r="PLH14" s="533"/>
      <c r="PLI14" s="533"/>
      <c r="PLJ14" s="533"/>
      <c r="PLK14" s="533"/>
      <c r="PLL14" s="533"/>
      <c r="PLM14" s="533"/>
      <c r="PLN14" s="533"/>
      <c r="PLO14" s="533"/>
      <c r="PLP14" s="533"/>
      <c r="PLQ14" s="533"/>
      <c r="PLR14" s="533"/>
      <c r="PLS14" s="533"/>
      <c r="PLT14" s="533"/>
      <c r="PLU14" s="533"/>
      <c r="PLV14" s="533"/>
      <c r="PLW14" s="533"/>
      <c r="PLX14" s="533"/>
      <c r="PLY14" s="533"/>
      <c r="PLZ14" s="533"/>
      <c r="PMA14" s="533"/>
      <c r="PMB14" s="533"/>
      <c r="PMC14" s="533"/>
      <c r="PMD14" s="533"/>
      <c r="PME14" s="533"/>
      <c r="PMF14" s="533"/>
      <c r="PMG14" s="533"/>
      <c r="PMH14" s="533"/>
      <c r="PMI14" s="533"/>
      <c r="PMJ14" s="533"/>
      <c r="PMK14" s="533"/>
      <c r="PML14" s="533"/>
      <c r="PMM14" s="533"/>
      <c r="PMN14" s="533"/>
      <c r="PMO14" s="533"/>
      <c r="PMP14" s="533"/>
      <c r="PMQ14" s="533"/>
      <c r="PMR14" s="533"/>
      <c r="PMS14" s="533"/>
      <c r="PMT14" s="533"/>
      <c r="PMU14" s="533"/>
      <c r="PMV14" s="533"/>
      <c r="PMW14" s="533"/>
      <c r="PMX14" s="533"/>
      <c r="PMY14" s="533"/>
      <c r="PMZ14" s="533"/>
      <c r="PNA14" s="533"/>
      <c r="PNB14" s="533"/>
      <c r="PNC14" s="533"/>
      <c r="PND14" s="533"/>
      <c r="PNE14" s="533"/>
      <c r="PNF14" s="533"/>
      <c r="PNG14" s="533"/>
      <c r="PNH14" s="533"/>
      <c r="PNI14" s="533"/>
      <c r="PNJ14" s="533"/>
      <c r="PNK14" s="533"/>
      <c r="PNL14" s="533"/>
      <c r="PNM14" s="533"/>
      <c r="PNN14" s="533"/>
      <c r="PNO14" s="533"/>
      <c r="PNP14" s="533"/>
      <c r="PNQ14" s="533"/>
      <c r="PNR14" s="533"/>
      <c r="PNS14" s="533"/>
      <c r="PNT14" s="533"/>
      <c r="PNU14" s="533"/>
      <c r="PNV14" s="533"/>
      <c r="PNW14" s="533"/>
      <c r="PNX14" s="533"/>
      <c r="PNY14" s="533"/>
      <c r="PNZ14" s="533"/>
      <c r="POA14" s="533"/>
      <c r="POB14" s="533"/>
      <c r="POC14" s="533"/>
      <c r="POD14" s="533"/>
      <c r="POE14" s="533"/>
      <c r="POF14" s="533"/>
      <c r="POG14" s="533"/>
      <c r="POH14" s="533"/>
      <c r="POI14" s="533"/>
      <c r="POJ14" s="533"/>
      <c r="POK14" s="533"/>
      <c r="POL14" s="533"/>
      <c r="POM14" s="533"/>
      <c r="PON14" s="533"/>
      <c r="POO14" s="533"/>
      <c r="POP14" s="533"/>
      <c r="POQ14" s="533"/>
      <c r="POR14" s="533"/>
      <c r="POS14" s="533"/>
      <c r="POT14" s="533"/>
      <c r="POU14" s="533"/>
      <c r="POV14" s="533"/>
      <c r="POW14" s="533"/>
      <c r="POX14" s="533"/>
      <c r="POY14" s="533"/>
      <c r="POZ14" s="533"/>
      <c r="PPA14" s="533"/>
      <c r="PPB14" s="533"/>
      <c r="PPC14" s="533"/>
      <c r="PPD14" s="533"/>
      <c r="PPE14" s="533"/>
      <c r="PPF14" s="533"/>
      <c r="PPG14" s="533"/>
      <c r="PPH14" s="533"/>
      <c r="PPI14" s="533"/>
      <c r="PPJ14" s="533"/>
      <c r="PPK14" s="533"/>
      <c r="PPL14" s="533"/>
      <c r="PPM14" s="533"/>
      <c r="PPN14" s="533"/>
      <c r="PPO14" s="533"/>
      <c r="PPP14" s="533"/>
      <c r="PPQ14" s="533"/>
      <c r="PPR14" s="533"/>
      <c r="PPS14" s="533"/>
      <c r="PPT14" s="533"/>
      <c r="PPU14" s="533"/>
      <c r="PPV14" s="533"/>
      <c r="PPW14" s="533"/>
      <c r="PPX14" s="533"/>
      <c r="PPY14" s="533"/>
      <c r="PPZ14" s="533"/>
      <c r="PQA14" s="533"/>
      <c r="PQB14" s="533"/>
      <c r="PQC14" s="533"/>
      <c r="PQD14" s="533"/>
      <c r="PQE14" s="533"/>
      <c r="PQF14" s="533"/>
      <c r="PQG14" s="533"/>
      <c r="PQH14" s="533"/>
      <c r="PQI14" s="533"/>
      <c r="PQJ14" s="533"/>
      <c r="PQK14" s="533"/>
      <c r="PQL14" s="533"/>
      <c r="PQM14" s="533"/>
      <c r="PQN14" s="533"/>
      <c r="PQO14" s="533"/>
      <c r="PQP14" s="533"/>
      <c r="PQQ14" s="533"/>
      <c r="PQR14" s="533"/>
      <c r="PQS14" s="533"/>
      <c r="PQT14" s="533"/>
      <c r="PQU14" s="533"/>
      <c r="PQV14" s="533"/>
      <c r="PQW14" s="533"/>
      <c r="PQX14" s="533"/>
      <c r="PQY14" s="533"/>
      <c r="PQZ14" s="533"/>
      <c r="PRA14" s="533"/>
      <c r="PRB14" s="533"/>
      <c r="PRC14" s="533"/>
      <c r="PRD14" s="533"/>
      <c r="PRE14" s="533"/>
      <c r="PRF14" s="533"/>
      <c r="PRG14" s="533"/>
      <c r="PRH14" s="533"/>
      <c r="PRI14" s="533"/>
      <c r="PRJ14" s="533"/>
      <c r="PRK14" s="533"/>
      <c r="PRL14" s="533"/>
      <c r="PRM14" s="533"/>
      <c r="PRN14" s="533"/>
      <c r="PRO14" s="533"/>
      <c r="PRP14" s="533"/>
      <c r="PRQ14" s="533"/>
      <c r="PRR14" s="533"/>
      <c r="PRS14" s="533"/>
      <c r="PRT14" s="533"/>
      <c r="PRU14" s="533"/>
      <c r="PRV14" s="533"/>
      <c r="PRW14" s="533"/>
      <c r="PRX14" s="533"/>
      <c r="PRY14" s="533"/>
      <c r="PRZ14" s="533"/>
      <c r="PSA14" s="533"/>
      <c r="PSB14" s="533"/>
      <c r="PSC14" s="533"/>
      <c r="PSD14" s="533"/>
      <c r="PSE14" s="533"/>
      <c r="PSF14" s="533"/>
      <c r="PSG14" s="533"/>
      <c r="PSH14" s="533"/>
      <c r="PSI14" s="533"/>
      <c r="PSJ14" s="533"/>
      <c r="PSK14" s="533"/>
      <c r="PSL14" s="533"/>
      <c r="PSM14" s="533"/>
      <c r="PSN14" s="533"/>
      <c r="PSO14" s="533"/>
      <c r="PSP14" s="533"/>
      <c r="PSQ14" s="533"/>
      <c r="PSR14" s="533"/>
      <c r="PSS14" s="533"/>
      <c r="PST14" s="533"/>
      <c r="PSU14" s="533"/>
      <c r="PSV14" s="533"/>
      <c r="PSW14" s="533"/>
      <c r="PSX14" s="533"/>
      <c r="PSY14" s="533"/>
      <c r="PSZ14" s="533"/>
      <c r="PTA14" s="533"/>
      <c r="PTB14" s="533"/>
      <c r="PTC14" s="533"/>
      <c r="PTD14" s="533"/>
      <c r="PTE14" s="533"/>
      <c r="PTF14" s="533"/>
      <c r="PTG14" s="533"/>
      <c r="PTH14" s="533"/>
      <c r="PTI14" s="533"/>
      <c r="PTJ14" s="533"/>
      <c r="PTK14" s="533"/>
      <c r="PTL14" s="533"/>
      <c r="PTM14" s="533"/>
      <c r="PTN14" s="533"/>
      <c r="PTO14" s="533"/>
      <c r="PTP14" s="533"/>
      <c r="PTQ14" s="533"/>
      <c r="PTR14" s="533"/>
      <c r="PTS14" s="533"/>
      <c r="PTT14" s="533"/>
      <c r="PTU14" s="533"/>
      <c r="PTV14" s="533"/>
      <c r="PTW14" s="533"/>
      <c r="PTX14" s="533"/>
      <c r="PTY14" s="533"/>
      <c r="PTZ14" s="533"/>
      <c r="PUA14" s="533"/>
      <c r="PUB14" s="533"/>
      <c r="PUC14" s="533"/>
      <c r="PUD14" s="533"/>
      <c r="PUE14" s="533"/>
      <c r="PUF14" s="533"/>
      <c r="PUG14" s="533"/>
      <c r="PUH14" s="533"/>
      <c r="PUI14" s="533"/>
      <c r="PUJ14" s="533"/>
      <c r="PUK14" s="533"/>
      <c r="PUL14" s="533"/>
      <c r="PUM14" s="533"/>
      <c r="PUN14" s="533"/>
      <c r="PUO14" s="533"/>
      <c r="PUP14" s="533"/>
      <c r="PUQ14" s="533"/>
      <c r="PUR14" s="533"/>
      <c r="PUS14" s="533"/>
      <c r="PUT14" s="533"/>
      <c r="PUU14" s="533"/>
      <c r="PUV14" s="533"/>
      <c r="PUW14" s="533"/>
      <c r="PUX14" s="533"/>
      <c r="PUY14" s="533"/>
      <c r="PUZ14" s="533"/>
      <c r="PVA14" s="533"/>
      <c r="PVB14" s="533"/>
      <c r="PVC14" s="533"/>
      <c r="PVD14" s="533"/>
      <c r="PVE14" s="533"/>
      <c r="PVF14" s="533"/>
      <c r="PVG14" s="533"/>
      <c r="PVH14" s="533"/>
      <c r="PVI14" s="533"/>
      <c r="PVJ14" s="533"/>
      <c r="PVK14" s="533"/>
      <c r="PVL14" s="533"/>
      <c r="PVM14" s="533"/>
      <c r="PVN14" s="533"/>
      <c r="PVO14" s="533"/>
      <c r="PVP14" s="533"/>
      <c r="PVQ14" s="533"/>
      <c r="PVR14" s="533"/>
      <c r="PVS14" s="533"/>
      <c r="PVT14" s="533"/>
      <c r="PVU14" s="533"/>
      <c r="PVV14" s="533"/>
      <c r="PVW14" s="533"/>
      <c r="PVX14" s="533"/>
      <c r="PVY14" s="533"/>
      <c r="PVZ14" s="533"/>
      <c r="PWA14" s="533"/>
      <c r="PWB14" s="533"/>
      <c r="PWC14" s="533"/>
      <c r="PWD14" s="533"/>
      <c r="PWE14" s="533"/>
      <c r="PWF14" s="533"/>
      <c r="PWG14" s="533"/>
      <c r="PWH14" s="533"/>
      <c r="PWI14" s="533"/>
      <c r="PWJ14" s="533"/>
      <c r="PWK14" s="533"/>
      <c r="PWL14" s="533"/>
      <c r="PWM14" s="533"/>
      <c r="PWN14" s="533"/>
      <c r="PWO14" s="533"/>
      <c r="PWP14" s="533"/>
      <c r="PWQ14" s="533"/>
      <c r="PWR14" s="533"/>
      <c r="PWS14" s="533"/>
      <c r="PWT14" s="533"/>
      <c r="PWU14" s="533"/>
      <c r="PWV14" s="533"/>
      <c r="PWW14" s="533"/>
      <c r="PWX14" s="533"/>
      <c r="PWY14" s="533"/>
      <c r="PWZ14" s="533"/>
      <c r="PXA14" s="533"/>
      <c r="PXB14" s="533"/>
      <c r="PXC14" s="533"/>
      <c r="PXD14" s="533"/>
      <c r="PXE14" s="533"/>
      <c r="PXF14" s="533"/>
      <c r="PXG14" s="533"/>
      <c r="PXH14" s="533"/>
      <c r="PXI14" s="533"/>
      <c r="PXJ14" s="533"/>
      <c r="PXK14" s="533"/>
      <c r="PXL14" s="533"/>
      <c r="PXM14" s="533"/>
      <c r="PXN14" s="533"/>
      <c r="PXO14" s="533"/>
      <c r="PXP14" s="533"/>
      <c r="PXQ14" s="533"/>
      <c r="PXR14" s="533"/>
      <c r="PXS14" s="533"/>
      <c r="PXT14" s="533"/>
      <c r="PXU14" s="533"/>
      <c r="PXV14" s="533"/>
      <c r="PXW14" s="533"/>
      <c r="PXX14" s="533"/>
      <c r="PXY14" s="533"/>
      <c r="PXZ14" s="533"/>
      <c r="PYA14" s="533"/>
      <c r="PYB14" s="533"/>
      <c r="PYC14" s="533"/>
      <c r="PYD14" s="533"/>
      <c r="PYE14" s="533"/>
      <c r="PYF14" s="533"/>
      <c r="PYG14" s="533"/>
      <c r="PYH14" s="533"/>
      <c r="PYI14" s="533"/>
      <c r="PYJ14" s="533"/>
      <c r="PYK14" s="533"/>
      <c r="PYL14" s="533"/>
      <c r="PYM14" s="533"/>
      <c r="PYN14" s="533"/>
      <c r="PYO14" s="533"/>
      <c r="PYP14" s="533"/>
      <c r="PYQ14" s="533"/>
      <c r="PYR14" s="533"/>
      <c r="PYS14" s="533"/>
      <c r="PYT14" s="533"/>
      <c r="PYU14" s="533"/>
      <c r="PYV14" s="533"/>
      <c r="PYW14" s="533"/>
      <c r="PYX14" s="533"/>
      <c r="PYY14" s="533"/>
      <c r="PYZ14" s="533"/>
      <c r="PZA14" s="533"/>
      <c r="PZB14" s="533"/>
      <c r="PZC14" s="533"/>
      <c r="PZD14" s="533"/>
      <c r="PZE14" s="533"/>
      <c r="PZF14" s="533"/>
      <c r="PZG14" s="533"/>
      <c r="PZH14" s="533"/>
      <c r="PZI14" s="533"/>
      <c r="PZJ14" s="533"/>
      <c r="PZK14" s="533"/>
      <c r="PZL14" s="533"/>
      <c r="PZM14" s="533"/>
      <c r="PZN14" s="533"/>
      <c r="PZO14" s="533"/>
      <c r="PZP14" s="533"/>
      <c r="PZQ14" s="533"/>
      <c r="PZR14" s="533"/>
      <c r="PZS14" s="533"/>
      <c r="PZT14" s="533"/>
      <c r="PZU14" s="533"/>
      <c r="PZV14" s="533"/>
      <c r="PZW14" s="533"/>
      <c r="PZX14" s="533"/>
      <c r="PZY14" s="533"/>
      <c r="PZZ14" s="533"/>
      <c r="QAA14" s="533"/>
      <c r="QAB14" s="533"/>
      <c r="QAC14" s="533"/>
      <c r="QAD14" s="533"/>
      <c r="QAE14" s="533"/>
      <c r="QAF14" s="533"/>
      <c r="QAG14" s="533"/>
      <c r="QAH14" s="533"/>
      <c r="QAI14" s="533"/>
      <c r="QAJ14" s="533"/>
      <c r="QAK14" s="533"/>
      <c r="QAL14" s="533"/>
      <c r="QAM14" s="533"/>
      <c r="QAN14" s="533"/>
      <c r="QAO14" s="533"/>
      <c r="QAP14" s="533"/>
      <c r="QAQ14" s="533"/>
      <c r="QAR14" s="533"/>
      <c r="QAS14" s="533"/>
      <c r="QAT14" s="533"/>
      <c r="QAU14" s="533"/>
      <c r="QAV14" s="533"/>
      <c r="QAW14" s="533"/>
      <c r="QAX14" s="533"/>
      <c r="QAY14" s="533"/>
      <c r="QAZ14" s="533"/>
      <c r="QBA14" s="533"/>
      <c r="QBB14" s="533"/>
      <c r="QBC14" s="533"/>
      <c r="QBD14" s="533"/>
      <c r="QBE14" s="533"/>
      <c r="QBF14" s="533"/>
      <c r="QBG14" s="533"/>
      <c r="QBH14" s="533"/>
      <c r="QBI14" s="533"/>
      <c r="QBJ14" s="533"/>
      <c r="QBK14" s="533"/>
      <c r="QBL14" s="533"/>
      <c r="QBM14" s="533"/>
      <c r="QBN14" s="533"/>
      <c r="QBO14" s="533"/>
      <c r="QBP14" s="533"/>
      <c r="QBQ14" s="533"/>
      <c r="QBR14" s="533"/>
      <c r="QBS14" s="533"/>
      <c r="QBT14" s="533"/>
      <c r="QBU14" s="533"/>
      <c r="QBV14" s="533"/>
      <c r="QBW14" s="533"/>
      <c r="QBX14" s="533"/>
      <c r="QBY14" s="533"/>
      <c r="QBZ14" s="533"/>
      <c r="QCA14" s="533"/>
      <c r="QCB14" s="533"/>
      <c r="QCC14" s="533"/>
      <c r="QCD14" s="533"/>
      <c r="QCE14" s="533"/>
      <c r="QCF14" s="533"/>
      <c r="QCG14" s="533"/>
      <c r="QCH14" s="533"/>
      <c r="QCI14" s="533"/>
      <c r="QCJ14" s="533"/>
      <c r="QCK14" s="533"/>
      <c r="QCL14" s="533"/>
      <c r="QCM14" s="533"/>
      <c r="QCN14" s="533"/>
      <c r="QCO14" s="533"/>
      <c r="QCP14" s="533"/>
      <c r="QCQ14" s="533"/>
      <c r="QCR14" s="533"/>
      <c r="QCS14" s="533"/>
      <c r="QCT14" s="533"/>
      <c r="QCU14" s="533"/>
      <c r="QCV14" s="533"/>
      <c r="QCW14" s="533"/>
      <c r="QCX14" s="533"/>
      <c r="QCY14" s="533"/>
      <c r="QCZ14" s="533"/>
      <c r="QDA14" s="533"/>
      <c r="QDB14" s="533"/>
      <c r="QDC14" s="533"/>
      <c r="QDD14" s="533"/>
      <c r="QDE14" s="533"/>
      <c r="QDF14" s="533"/>
      <c r="QDG14" s="533"/>
      <c r="QDH14" s="533"/>
      <c r="QDI14" s="533"/>
      <c r="QDJ14" s="533"/>
      <c r="QDK14" s="533"/>
      <c r="QDL14" s="533"/>
      <c r="QDM14" s="533"/>
      <c r="QDN14" s="533"/>
      <c r="QDO14" s="533"/>
      <c r="QDP14" s="533"/>
      <c r="QDQ14" s="533"/>
      <c r="QDR14" s="533"/>
      <c r="QDS14" s="533"/>
      <c r="QDT14" s="533"/>
      <c r="QDU14" s="533"/>
      <c r="QDV14" s="533"/>
      <c r="QDW14" s="533"/>
      <c r="QDX14" s="533"/>
      <c r="QDY14" s="533"/>
      <c r="QDZ14" s="533"/>
      <c r="QEA14" s="533"/>
      <c r="QEB14" s="533"/>
      <c r="QEC14" s="533"/>
      <c r="QED14" s="533"/>
      <c r="QEE14" s="533"/>
      <c r="QEF14" s="533"/>
      <c r="QEG14" s="533"/>
      <c r="QEH14" s="533"/>
      <c r="QEI14" s="533"/>
      <c r="QEJ14" s="533"/>
      <c r="QEK14" s="533"/>
      <c r="QEL14" s="533"/>
      <c r="QEM14" s="533"/>
      <c r="QEN14" s="533"/>
      <c r="QEO14" s="533"/>
      <c r="QEP14" s="533"/>
      <c r="QEQ14" s="533"/>
      <c r="QER14" s="533"/>
      <c r="QES14" s="533"/>
      <c r="QET14" s="533"/>
      <c r="QEU14" s="533"/>
      <c r="QEV14" s="533"/>
      <c r="QEW14" s="533"/>
      <c r="QEX14" s="533"/>
      <c r="QEY14" s="533"/>
      <c r="QEZ14" s="533"/>
      <c r="QFA14" s="533"/>
      <c r="QFB14" s="533"/>
      <c r="QFC14" s="533"/>
      <c r="QFD14" s="533"/>
      <c r="QFE14" s="533"/>
      <c r="QFF14" s="533"/>
      <c r="QFG14" s="533"/>
      <c r="QFH14" s="533"/>
      <c r="QFI14" s="533"/>
      <c r="QFJ14" s="533"/>
      <c r="QFK14" s="533"/>
      <c r="QFL14" s="533"/>
      <c r="QFM14" s="533"/>
      <c r="QFN14" s="533"/>
      <c r="QFO14" s="533"/>
      <c r="QFP14" s="533"/>
      <c r="QFQ14" s="533"/>
      <c r="QFR14" s="533"/>
      <c r="QFS14" s="533"/>
      <c r="QFT14" s="533"/>
      <c r="QFU14" s="533"/>
      <c r="QFV14" s="533"/>
      <c r="QFW14" s="533"/>
      <c r="QFX14" s="533"/>
      <c r="QFY14" s="533"/>
      <c r="QFZ14" s="533"/>
      <c r="QGA14" s="533"/>
      <c r="QGB14" s="533"/>
      <c r="QGC14" s="533"/>
      <c r="QGD14" s="533"/>
      <c r="QGE14" s="533"/>
      <c r="QGF14" s="533"/>
      <c r="QGG14" s="533"/>
      <c r="QGH14" s="533"/>
      <c r="QGI14" s="533"/>
      <c r="QGJ14" s="533"/>
      <c r="QGK14" s="533"/>
      <c r="QGL14" s="533"/>
      <c r="QGM14" s="533"/>
      <c r="QGN14" s="533"/>
      <c r="QGO14" s="533"/>
      <c r="QGP14" s="533"/>
      <c r="QGQ14" s="533"/>
      <c r="QGR14" s="533"/>
      <c r="QGS14" s="533"/>
      <c r="QGT14" s="533"/>
      <c r="QGU14" s="533"/>
      <c r="QGV14" s="533"/>
      <c r="QGW14" s="533"/>
      <c r="QGX14" s="533"/>
      <c r="QGY14" s="533"/>
      <c r="QGZ14" s="533"/>
      <c r="QHA14" s="533"/>
      <c r="QHB14" s="533"/>
      <c r="QHC14" s="533"/>
      <c r="QHD14" s="533"/>
      <c r="QHE14" s="533"/>
      <c r="QHF14" s="533"/>
      <c r="QHG14" s="533"/>
      <c r="QHH14" s="533"/>
      <c r="QHI14" s="533"/>
      <c r="QHJ14" s="533"/>
      <c r="QHK14" s="533"/>
      <c r="QHL14" s="533"/>
      <c r="QHM14" s="533"/>
      <c r="QHN14" s="533"/>
      <c r="QHO14" s="533"/>
      <c r="QHP14" s="533"/>
      <c r="QHQ14" s="533"/>
      <c r="QHR14" s="533"/>
      <c r="QHS14" s="533"/>
      <c r="QHT14" s="533"/>
      <c r="QHU14" s="533"/>
      <c r="QHV14" s="533"/>
      <c r="QHW14" s="533"/>
      <c r="QHX14" s="533"/>
      <c r="QHY14" s="533"/>
      <c r="QHZ14" s="533"/>
      <c r="QIA14" s="533"/>
      <c r="QIB14" s="533"/>
      <c r="QIC14" s="533"/>
      <c r="QID14" s="533"/>
      <c r="QIE14" s="533"/>
      <c r="QIF14" s="533"/>
      <c r="QIG14" s="533"/>
      <c r="QIH14" s="533"/>
      <c r="QII14" s="533"/>
      <c r="QIJ14" s="533"/>
      <c r="QIK14" s="533"/>
      <c r="QIL14" s="533"/>
      <c r="QIM14" s="533"/>
      <c r="QIN14" s="533"/>
      <c r="QIO14" s="533"/>
      <c r="QIP14" s="533"/>
      <c r="QIQ14" s="533"/>
      <c r="QIR14" s="533"/>
      <c r="QIS14" s="533"/>
      <c r="QIT14" s="533"/>
      <c r="QIU14" s="533"/>
      <c r="QIV14" s="533"/>
      <c r="QIW14" s="533"/>
      <c r="QIX14" s="533"/>
      <c r="QIY14" s="533"/>
      <c r="QIZ14" s="533"/>
      <c r="QJA14" s="533"/>
      <c r="QJB14" s="533"/>
      <c r="QJC14" s="533"/>
      <c r="QJD14" s="533"/>
      <c r="QJE14" s="533"/>
      <c r="QJF14" s="533"/>
      <c r="QJG14" s="533"/>
      <c r="QJH14" s="533"/>
      <c r="QJI14" s="533"/>
      <c r="QJJ14" s="533"/>
      <c r="QJK14" s="533"/>
      <c r="QJL14" s="533"/>
      <c r="QJM14" s="533"/>
      <c r="QJN14" s="533"/>
      <c r="QJO14" s="533"/>
      <c r="QJP14" s="533"/>
      <c r="QJQ14" s="533"/>
      <c r="QJR14" s="533"/>
      <c r="QJS14" s="533"/>
      <c r="QJT14" s="533"/>
      <c r="QJU14" s="533"/>
      <c r="QJV14" s="533"/>
      <c r="QJW14" s="533"/>
      <c r="QJX14" s="533"/>
      <c r="QJY14" s="533"/>
      <c r="QJZ14" s="533"/>
      <c r="QKA14" s="533"/>
      <c r="QKB14" s="533"/>
      <c r="QKC14" s="533"/>
      <c r="QKD14" s="533"/>
      <c r="QKE14" s="533"/>
      <c r="QKF14" s="533"/>
      <c r="QKG14" s="533"/>
      <c r="QKH14" s="533"/>
      <c r="QKI14" s="533"/>
      <c r="QKJ14" s="533"/>
      <c r="QKK14" s="533"/>
      <c r="QKL14" s="533"/>
      <c r="QKM14" s="533"/>
      <c r="QKN14" s="533"/>
      <c r="QKO14" s="533"/>
      <c r="QKP14" s="533"/>
      <c r="QKQ14" s="533"/>
      <c r="QKR14" s="533"/>
      <c r="QKS14" s="533"/>
      <c r="QKT14" s="533"/>
      <c r="QKU14" s="533"/>
      <c r="QKV14" s="533"/>
      <c r="QKW14" s="533"/>
      <c r="QKX14" s="533"/>
      <c r="QKY14" s="533"/>
      <c r="QKZ14" s="533"/>
      <c r="QLA14" s="533"/>
      <c r="QLB14" s="533"/>
      <c r="QLC14" s="533"/>
      <c r="QLD14" s="533"/>
      <c r="QLE14" s="533"/>
      <c r="QLF14" s="533"/>
      <c r="QLG14" s="533"/>
      <c r="QLH14" s="533"/>
      <c r="QLI14" s="533"/>
      <c r="QLJ14" s="533"/>
      <c r="QLK14" s="533"/>
      <c r="QLL14" s="533"/>
      <c r="QLM14" s="533"/>
      <c r="QLN14" s="533"/>
      <c r="QLO14" s="533"/>
      <c r="QLP14" s="533"/>
      <c r="QLQ14" s="533"/>
      <c r="QLR14" s="533"/>
      <c r="QLS14" s="533"/>
      <c r="QLT14" s="533"/>
      <c r="QLU14" s="533"/>
      <c r="QLV14" s="533"/>
      <c r="QLW14" s="533"/>
      <c r="QLX14" s="533"/>
      <c r="QLY14" s="533"/>
      <c r="QLZ14" s="533"/>
      <c r="QMA14" s="533"/>
      <c r="QMB14" s="533"/>
      <c r="QMC14" s="533"/>
      <c r="QMD14" s="533"/>
      <c r="QME14" s="533"/>
      <c r="QMF14" s="533"/>
      <c r="QMG14" s="533"/>
      <c r="QMH14" s="533"/>
      <c r="QMI14" s="533"/>
      <c r="QMJ14" s="533"/>
      <c r="QMK14" s="533"/>
      <c r="QML14" s="533"/>
      <c r="QMM14" s="533"/>
      <c r="QMN14" s="533"/>
      <c r="QMO14" s="533"/>
      <c r="QMP14" s="533"/>
      <c r="QMQ14" s="533"/>
      <c r="QMR14" s="533"/>
      <c r="QMS14" s="533"/>
      <c r="QMT14" s="533"/>
      <c r="QMU14" s="533"/>
      <c r="QMV14" s="533"/>
      <c r="QMW14" s="533"/>
      <c r="QMX14" s="533"/>
      <c r="QMY14" s="533"/>
      <c r="QMZ14" s="533"/>
      <c r="QNA14" s="533"/>
      <c r="QNB14" s="533"/>
      <c r="QNC14" s="533"/>
      <c r="QND14" s="533"/>
      <c r="QNE14" s="533"/>
      <c r="QNF14" s="533"/>
      <c r="QNG14" s="533"/>
      <c r="QNH14" s="533"/>
      <c r="QNI14" s="533"/>
      <c r="QNJ14" s="533"/>
      <c r="QNK14" s="533"/>
      <c r="QNL14" s="533"/>
      <c r="QNM14" s="533"/>
      <c r="QNN14" s="533"/>
      <c r="QNO14" s="533"/>
      <c r="QNP14" s="533"/>
      <c r="QNQ14" s="533"/>
      <c r="QNR14" s="533"/>
      <c r="QNS14" s="533"/>
      <c r="QNT14" s="533"/>
      <c r="QNU14" s="533"/>
      <c r="QNV14" s="533"/>
      <c r="QNW14" s="533"/>
      <c r="QNX14" s="533"/>
      <c r="QNY14" s="533"/>
      <c r="QNZ14" s="533"/>
      <c r="QOA14" s="533"/>
      <c r="QOB14" s="533"/>
      <c r="QOC14" s="533"/>
      <c r="QOD14" s="533"/>
      <c r="QOE14" s="533"/>
      <c r="QOF14" s="533"/>
      <c r="QOG14" s="533"/>
      <c r="QOH14" s="533"/>
      <c r="QOI14" s="533"/>
      <c r="QOJ14" s="533"/>
      <c r="QOK14" s="533"/>
      <c r="QOL14" s="533"/>
      <c r="QOM14" s="533"/>
      <c r="QON14" s="533"/>
      <c r="QOO14" s="533"/>
      <c r="QOP14" s="533"/>
      <c r="QOQ14" s="533"/>
      <c r="QOR14" s="533"/>
      <c r="QOS14" s="533"/>
      <c r="QOT14" s="533"/>
      <c r="QOU14" s="533"/>
      <c r="QOV14" s="533"/>
      <c r="QOW14" s="533"/>
      <c r="QOX14" s="533"/>
      <c r="QOY14" s="533"/>
      <c r="QOZ14" s="533"/>
      <c r="QPA14" s="533"/>
      <c r="QPB14" s="533"/>
      <c r="QPC14" s="533"/>
      <c r="QPD14" s="533"/>
      <c r="QPE14" s="533"/>
      <c r="QPF14" s="533"/>
      <c r="QPG14" s="533"/>
      <c r="QPH14" s="533"/>
      <c r="QPI14" s="533"/>
      <c r="QPJ14" s="533"/>
      <c r="QPK14" s="533"/>
      <c r="QPL14" s="533"/>
      <c r="QPM14" s="533"/>
      <c r="QPN14" s="533"/>
      <c r="QPO14" s="533"/>
      <c r="QPP14" s="533"/>
      <c r="QPQ14" s="533"/>
      <c r="QPR14" s="533"/>
      <c r="QPS14" s="533"/>
      <c r="QPT14" s="533"/>
      <c r="QPU14" s="533"/>
      <c r="QPV14" s="533"/>
      <c r="QPW14" s="533"/>
      <c r="QPX14" s="533"/>
      <c r="QPY14" s="533"/>
      <c r="QPZ14" s="533"/>
      <c r="QQA14" s="533"/>
      <c r="QQB14" s="533"/>
      <c r="QQC14" s="533"/>
      <c r="QQD14" s="533"/>
      <c r="QQE14" s="533"/>
      <c r="QQF14" s="533"/>
      <c r="QQG14" s="533"/>
      <c r="QQH14" s="533"/>
      <c r="QQI14" s="533"/>
      <c r="QQJ14" s="533"/>
      <c r="QQK14" s="533"/>
      <c r="QQL14" s="533"/>
      <c r="QQM14" s="533"/>
      <c r="QQN14" s="533"/>
      <c r="QQO14" s="533"/>
      <c r="QQP14" s="533"/>
      <c r="QQQ14" s="533"/>
      <c r="QQR14" s="533"/>
      <c r="QQS14" s="533"/>
      <c r="QQT14" s="533"/>
      <c r="QQU14" s="533"/>
      <c r="QQV14" s="533"/>
      <c r="QQW14" s="533"/>
      <c r="QQX14" s="533"/>
      <c r="QQY14" s="533"/>
      <c r="QQZ14" s="533"/>
      <c r="QRA14" s="533"/>
      <c r="QRB14" s="533"/>
      <c r="QRC14" s="533"/>
      <c r="QRD14" s="533"/>
      <c r="QRE14" s="533"/>
      <c r="QRF14" s="533"/>
      <c r="QRG14" s="533"/>
      <c r="QRH14" s="533"/>
      <c r="QRI14" s="533"/>
      <c r="QRJ14" s="533"/>
      <c r="QRK14" s="533"/>
      <c r="QRL14" s="533"/>
      <c r="QRM14" s="533"/>
      <c r="QRN14" s="533"/>
      <c r="QRO14" s="533"/>
      <c r="QRP14" s="533"/>
      <c r="QRQ14" s="533"/>
      <c r="QRR14" s="533"/>
      <c r="QRS14" s="533"/>
      <c r="QRT14" s="533"/>
      <c r="QRU14" s="533"/>
      <c r="QRV14" s="533"/>
      <c r="QRW14" s="533"/>
      <c r="QRX14" s="533"/>
      <c r="QRY14" s="533"/>
      <c r="QRZ14" s="533"/>
      <c r="QSA14" s="533"/>
      <c r="QSB14" s="533"/>
      <c r="QSC14" s="533"/>
      <c r="QSD14" s="533"/>
      <c r="QSE14" s="533"/>
      <c r="QSF14" s="533"/>
      <c r="QSG14" s="533"/>
      <c r="QSH14" s="533"/>
      <c r="QSI14" s="533"/>
      <c r="QSJ14" s="533"/>
      <c r="QSK14" s="533"/>
      <c r="QSL14" s="533"/>
      <c r="QSM14" s="533"/>
      <c r="QSN14" s="533"/>
      <c r="QSO14" s="533"/>
      <c r="QSP14" s="533"/>
      <c r="QSQ14" s="533"/>
      <c r="QSR14" s="533"/>
      <c r="QSS14" s="533"/>
      <c r="QST14" s="533"/>
      <c r="QSU14" s="533"/>
      <c r="QSV14" s="533"/>
      <c r="QSW14" s="533"/>
      <c r="QSX14" s="533"/>
      <c r="QSY14" s="533"/>
      <c r="QSZ14" s="533"/>
      <c r="QTA14" s="533"/>
      <c r="QTB14" s="533"/>
      <c r="QTC14" s="533"/>
      <c r="QTD14" s="533"/>
      <c r="QTE14" s="533"/>
      <c r="QTF14" s="533"/>
      <c r="QTG14" s="533"/>
      <c r="QTH14" s="533"/>
      <c r="QTI14" s="533"/>
      <c r="QTJ14" s="533"/>
      <c r="QTK14" s="533"/>
      <c r="QTL14" s="533"/>
      <c r="QTM14" s="533"/>
      <c r="QTN14" s="533"/>
      <c r="QTO14" s="533"/>
      <c r="QTP14" s="533"/>
      <c r="QTQ14" s="533"/>
      <c r="QTR14" s="533"/>
      <c r="QTS14" s="533"/>
      <c r="QTT14" s="533"/>
      <c r="QTU14" s="533"/>
      <c r="QTV14" s="533"/>
      <c r="QTW14" s="533"/>
      <c r="QTX14" s="533"/>
      <c r="QTY14" s="533"/>
      <c r="QTZ14" s="533"/>
      <c r="QUA14" s="533"/>
      <c r="QUB14" s="533"/>
      <c r="QUC14" s="533"/>
      <c r="QUD14" s="533"/>
      <c r="QUE14" s="533"/>
      <c r="QUF14" s="533"/>
      <c r="QUG14" s="533"/>
      <c r="QUH14" s="533"/>
      <c r="QUI14" s="533"/>
      <c r="QUJ14" s="533"/>
      <c r="QUK14" s="533"/>
      <c r="QUL14" s="533"/>
      <c r="QUM14" s="533"/>
      <c r="QUN14" s="533"/>
      <c r="QUO14" s="533"/>
      <c r="QUP14" s="533"/>
      <c r="QUQ14" s="533"/>
      <c r="QUR14" s="533"/>
      <c r="QUS14" s="533"/>
      <c r="QUT14" s="533"/>
      <c r="QUU14" s="533"/>
      <c r="QUV14" s="533"/>
      <c r="QUW14" s="533"/>
      <c r="QUX14" s="533"/>
      <c r="QUY14" s="533"/>
      <c r="QUZ14" s="533"/>
      <c r="QVA14" s="533"/>
      <c r="QVB14" s="533"/>
      <c r="QVC14" s="533"/>
      <c r="QVD14" s="533"/>
      <c r="QVE14" s="533"/>
      <c r="QVF14" s="533"/>
      <c r="QVG14" s="533"/>
      <c r="QVH14" s="533"/>
      <c r="QVI14" s="533"/>
      <c r="QVJ14" s="533"/>
      <c r="QVK14" s="533"/>
      <c r="QVL14" s="533"/>
      <c r="QVM14" s="533"/>
      <c r="QVN14" s="533"/>
      <c r="QVO14" s="533"/>
      <c r="QVP14" s="533"/>
      <c r="QVQ14" s="533"/>
      <c r="QVR14" s="533"/>
      <c r="QVS14" s="533"/>
      <c r="QVT14" s="533"/>
      <c r="QVU14" s="533"/>
      <c r="QVV14" s="533"/>
      <c r="QVW14" s="533"/>
      <c r="QVX14" s="533"/>
      <c r="QVY14" s="533"/>
      <c r="QVZ14" s="533"/>
      <c r="QWA14" s="533"/>
      <c r="QWB14" s="533"/>
      <c r="QWC14" s="533"/>
      <c r="QWD14" s="533"/>
      <c r="QWE14" s="533"/>
      <c r="QWF14" s="533"/>
      <c r="QWG14" s="533"/>
      <c r="QWH14" s="533"/>
      <c r="QWI14" s="533"/>
      <c r="QWJ14" s="533"/>
      <c r="QWK14" s="533"/>
      <c r="QWL14" s="533"/>
      <c r="QWM14" s="533"/>
      <c r="QWN14" s="533"/>
      <c r="QWO14" s="533"/>
      <c r="QWP14" s="533"/>
      <c r="QWQ14" s="533"/>
      <c r="QWR14" s="533"/>
      <c r="QWS14" s="533"/>
      <c r="QWT14" s="533"/>
      <c r="QWU14" s="533"/>
      <c r="QWV14" s="533"/>
      <c r="QWW14" s="533"/>
      <c r="QWX14" s="533"/>
      <c r="QWY14" s="533"/>
      <c r="QWZ14" s="533"/>
      <c r="QXA14" s="533"/>
      <c r="QXB14" s="533"/>
      <c r="QXC14" s="533"/>
      <c r="QXD14" s="533"/>
      <c r="QXE14" s="533"/>
      <c r="QXF14" s="533"/>
      <c r="QXG14" s="533"/>
      <c r="QXH14" s="533"/>
      <c r="QXI14" s="533"/>
      <c r="QXJ14" s="533"/>
      <c r="QXK14" s="533"/>
      <c r="QXL14" s="533"/>
      <c r="QXM14" s="533"/>
      <c r="QXN14" s="533"/>
      <c r="QXO14" s="533"/>
      <c r="QXP14" s="533"/>
      <c r="QXQ14" s="533"/>
      <c r="QXR14" s="533"/>
      <c r="QXS14" s="533"/>
      <c r="QXT14" s="533"/>
      <c r="QXU14" s="533"/>
      <c r="QXV14" s="533"/>
      <c r="QXW14" s="533"/>
      <c r="QXX14" s="533"/>
      <c r="QXY14" s="533"/>
      <c r="QXZ14" s="533"/>
      <c r="QYA14" s="533"/>
      <c r="QYB14" s="533"/>
      <c r="QYC14" s="533"/>
      <c r="QYD14" s="533"/>
      <c r="QYE14" s="533"/>
      <c r="QYF14" s="533"/>
      <c r="QYG14" s="533"/>
      <c r="QYH14" s="533"/>
      <c r="QYI14" s="533"/>
      <c r="QYJ14" s="533"/>
      <c r="QYK14" s="533"/>
      <c r="QYL14" s="533"/>
      <c r="QYM14" s="533"/>
      <c r="QYN14" s="533"/>
      <c r="QYO14" s="533"/>
      <c r="QYP14" s="533"/>
      <c r="QYQ14" s="533"/>
      <c r="QYR14" s="533"/>
      <c r="QYS14" s="533"/>
      <c r="QYT14" s="533"/>
      <c r="QYU14" s="533"/>
      <c r="QYV14" s="533"/>
      <c r="QYW14" s="533"/>
      <c r="QYX14" s="533"/>
      <c r="QYY14" s="533"/>
      <c r="QYZ14" s="533"/>
      <c r="QZA14" s="533"/>
      <c r="QZB14" s="533"/>
      <c r="QZC14" s="533"/>
      <c r="QZD14" s="533"/>
      <c r="QZE14" s="533"/>
      <c r="QZF14" s="533"/>
      <c r="QZG14" s="533"/>
      <c r="QZH14" s="533"/>
      <c r="QZI14" s="533"/>
      <c r="QZJ14" s="533"/>
      <c r="QZK14" s="533"/>
      <c r="QZL14" s="533"/>
      <c r="QZM14" s="533"/>
      <c r="QZN14" s="533"/>
      <c r="QZO14" s="533"/>
      <c r="QZP14" s="533"/>
      <c r="QZQ14" s="533"/>
      <c r="QZR14" s="533"/>
      <c r="QZS14" s="533"/>
      <c r="QZT14" s="533"/>
      <c r="QZU14" s="533"/>
      <c r="QZV14" s="533"/>
      <c r="QZW14" s="533"/>
      <c r="QZX14" s="533"/>
      <c r="QZY14" s="533"/>
      <c r="QZZ14" s="533"/>
      <c r="RAA14" s="533"/>
      <c r="RAB14" s="533"/>
      <c r="RAC14" s="533"/>
      <c r="RAD14" s="533"/>
      <c r="RAE14" s="533"/>
      <c r="RAF14" s="533"/>
      <c r="RAG14" s="533"/>
      <c r="RAH14" s="533"/>
      <c r="RAI14" s="533"/>
      <c r="RAJ14" s="533"/>
      <c r="RAK14" s="533"/>
      <c r="RAL14" s="533"/>
      <c r="RAM14" s="533"/>
      <c r="RAN14" s="533"/>
      <c r="RAO14" s="533"/>
      <c r="RAP14" s="533"/>
      <c r="RAQ14" s="533"/>
      <c r="RAR14" s="533"/>
      <c r="RAS14" s="533"/>
      <c r="RAT14" s="533"/>
      <c r="RAU14" s="533"/>
      <c r="RAV14" s="533"/>
      <c r="RAW14" s="533"/>
      <c r="RAX14" s="533"/>
      <c r="RAY14" s="533"/>
      <c r="RAZ14" s="533"/>
      <c r="RBA14" s="533"/>
      <c r="RBB14" s="533"/>
      <c r="RBC14" s="533"/>
      <c r="RBD14" s="533"/>
      <c r="RBE14" s="533"/>
      <c r="RBF14" s="533"/>
      <c r="RBG14" s="533"/>
      <c r="RBH14" s="533"/>
      <c r="RBI14" s="533"/>
      <c r="RBJ14" s="533"/>
      <c r="RBK14" s="533"/>
      <c r="RBL14" s="533"/>
      <c r="RBM14" s="533"/>
      <c r="RBN14" s="533"/>
      <c r="RBO14" s="533"/>
      <c r="RBP14" s="533"/>
      <c r="RBQ14" s="533"/>
      <c r="RBR14" s="533"/>
      <c r="RBS14" s="533"/>
      <c r="RBT14" s="533"/>
      <c r="RBU14" s="533"/>
      <c r="RBV14" s="533"/>
      <c r="RBW14" s="533"/>
      <c r="RBX14" s="533"/>
      <c r="RBY14" s="533"/>
      <c r="RBZ14" s="533"/>
      <c r="RCA14" s="533"/>
      <c r="RCB14" s="533"/>
      <c r="RCC14" s="533"/>
      <c r="RCD14" s="533"/>
      <c r="RCE14" s="533"/>
      <c r="RCF14" s="533"/>
      <c r="RCG14" s="533"/>
      <c r="RCH14" s="533"/>
      <c r="RCI14" s="533"/>
      <c r="RCJ14" s="533"/>
      <c r="RCK14" s="533"/>
      <c r="RCL14" s="533"/>
      <c r="RCM14" s="533"/>
      <c r="RCN14" s="533"/>
      <c r="RCO14" s="533"/>
      <c r="RCP14" s="533"/>
      <c r="RCQ14" s="533"/>
      <c r="RCR14" s="533"/>
      <c r="RCS14" s="533"/>
      <c r="RCT14" s="533"/>
      <c r="RCU14" s="533"/>
      <c r="RCV14" s="533"/>
      <c r="RCW14" s="533"/>
      <c r="RCX14" s="533"/>
      <c r="RCY14" s="533"/>
      <c r="RCZ14" s="533"/>
      <c r="RDA14" s="533"/>
      <c r="RDB14" s="533"/>
      <c r="RDC14" s="533"/>
      <c r="RDD14" s="533"/>
      <c r="RDE14" s="533"/>
      <c r="RDF14" s="533"/>
      <c r="RDG14" s="533"/>
      <c r="RDH14" s="533"/>
      <c r="RDI14" s="533"/>
      <c r="RDJ14" s="533"/>
      <c r="RDK14" s="533"/>
      <c r="RDL14" s="533"/>
      <c r="RDM14" s="533"/>
      <c r="RDN14" s="533"/>
      <c r="RDO14" s="533"/>
      <c r="RDP14" s="533"/>
      <c r="RDQ14" s="533"/>
      <c r="RDR14" s="533"/>
      <c r="RDS14" s="533"/>
      <c r="RDT14" s="533"/>
      <c r="RDU14" s="533"/>
      <c r="RDV14" s="533"/>
      <c r="RDW14" s="533"/>
      <c r="RDX14" s="533"/>
      <c r="RDY14" s="533"/>
      <c r="RDZ14" s="533"/>
      <c r="REA14" s="533"/>
      <c r="REB14" s="533"/>
      <c r="REC14" s="533"/>
      <c r="RED14" s="533"/>
      <c r="REE14" s="533"/>
      <c r="REF14" s="533"/>
      <c r="REG14" s="533"/>
      <c r="REH14" s="533"/>
      <c r="REI14" s="533"/>
      <c r="REJ14" s="533"/>
      <c r="REK14" s="533"/>
      <c r="REL14" s="533"/>
      <c r="REM14" s="533"/>
      <c r="REN14" s="533"/>
      <c r="REO14" s="533"/>
      <c r="REP14" s="533"/>
      <c r="REQ14" s="533"/>
      <c r="RER14" s="533"/>
      <c r="RES14" s="533"/>
      <c r="RET14" s="533"/>
      <c r="REU14" s="533"/>
      <c r="REV14" s="533"/>
      <c r="REW14" s="533"/>
      <c r="REX14" s="533"/>
      <c r="REY14" s="533"/>
      <c r="REZ14" s="533"/>
      <c r="RFA14" s="533"/>
      <c r="RFB14" s="533"/>
      <c r="RFC14" s="533"/>
      <c r="RFD14" s="533"/>
      <c r="RFE14" s="533"/>
      <c r="RFF14" s="533"/>
      <c r="RFG14" s="533"/>
      <c r="RFH14" s="533"/>
      <c r="RFI14" s="533"/>
      <c r="RFJ14" s="533"/>
      <c r="RFK14" s="533"/>
      <c r="RFL14" s="533"/>
      <c r="RFM14" s="533"/>
      <c r="RFN14" s="533"/>
      <c r="RFO14" s="533"/>
      <c r="RFP14" s="533"/>
      <c r="RFQ14" s="533"/>
      <c r="RFR14" s="533"/>
      <c r="RFS14" s="533"/>
      <c r="RFT14" s="533"/>
      <c r="RFU14" s="533"/>
      <c r="RFV14" s="533"/>
      <c r="RFW14" s="533"/>
      <c r="RFX14" s="533"/>
      <c r="RFY14" s="533"/>
      <c r="RFZ14" s="533"/>
      <c r="RGA14" s="533"/>
      <c r="RGB14" s="533"/>
      <c r="RGC14" s="533"/>
      <c r="RGD14" s="533"/>
      <c r="RGE14" s="533"/>
      <c r="RGF14" s="533"/>
      <c r="RGG14" s="533"/>
      <c r="RGH14" s="533"/>
      <c r="RGI14" s="533"/>
      <c r="RGJ14" s="533"/>
      <c r="RGK14" s="533"/>
      <c r="RGL14" s="533"/>
      <c r="RGM14" s="533"/>
      <c r="RGN14" s="533"/>
      <c r="RGO14" s="533"/>
      <c r="RGP14" s="533"/>
      <c r="RGQ14" s="533"/>
      <c r="RGR14" s="533"/>
      <c r="RGS14" s="533"/>
      <c r="RGT14" s="533"/>
      <c r="RGU14" s="533"/>
      <c r="RGV14" s="533"/>
      <c r="RGW14" s="533"/>
      <c r="RGX14" s="533"/>
      <c r="RGY14" s="533"/>
      <c r="RGZ14" s="533"/>
      <c r="RHA14" s="533"/>
      <c r="RHB14" s="533"/>
      <c r="RHC14" s="533"/>
      <c r="RHD14" s="533"/>
      <c r="RHE14" s="533"/>
      <c r="RHF14" s="533"/>
      <c r="RHG14" s="533"/>
      <c r="RHH14" s="533"/>
      <c r="RHI14" s="533"/>
      <c r="RHJ14" s="533"/>
      <c r="RHK14" s="533"/>
      <c r="RHL14" s="533"/>
      <c r="RHM14" s="533"/>
      <c r="RHN14" s="533"/>
      <c r="RHO14" s="533"/>
      <c r="RHP14" s="533"/>
      <c r="RHQ14" s="533"/>
      <c r="RHR14" s="533"/>
      <c r="RHS14" s="533"/>
      <c r="RHT14" s="533"/>
      <c r="RHU14" s="533"/>
      <c r="RHV14" s="533"/>
      <c r="RHW14" s="533"/>
      <c r="RHX14" s="533"/>
      <c r="RHY14" s="533"/>
      <c r="RHZ14" s="533"/>
      <c r="RIA14" s="533"/>
      <c r="RIB14" s="533"/>
      <c r="RIC14" s="533"/>
      <c r="RID14" s="533"/>
      <c r="RIE14" s="533"/>
      <c r="RIF14" s="533"/>
      <c r="RIG14" s="533"/>
      <c r="RIH14" s="533"/>
      <c r="RII14" s="533"/>
      <c r="RIJ14" s="533"/>
      <c r="RIK14" s="533"/>
      <c r="RIL14" s="533"/>
      <c r="RIM14" s="533"/>
      <c r="RIN14" s="533"/>
      <c r="RIO14" s="533"/>
      <c r="RIP14" s="533"/>
      <c r="RIQ14" s="533"/>
      <c r="RIR14" s="533"/>
      <c r="RIS14" s="533"/>
      <c r="RIT14" s="533"/>
      <c r="RIU14" s="533"/>
      <c r="RIV14" s="533"/>
      <c r="RIW14" s="533"/>
      <c r="RIX14" s="533"/>
      <c r="RIY14" s="533"/>
      <c r="RIZ14" s="533"/>
      <c r="RJA14" s="533"/>
      <c r="RJB14" s="533"/>
      <c r="RJC14" s="533"/>
      <c r="RJD14" s="533"/>
      <c r="RJE14" s="533"/>
      <c r="RJF14" s="533"/>
      <c r="RJG14" s="533"/>
      <c r="RJH14" s="533"/>
      <c r="RJI14" s="533"/>
      <c r="RJJ14" s="533"/>
      <c r="RJK14" s="533"/>
      <c r="RJL14" s="533"/>
      <c r="RJM14" s="533"/>
      <c r="RJN14" s="533"/>
      <c r="RJO14" s="533"/>
      <c r="RJP14" s="533"/>
      <c r="RJQ14" s="533"/>
      <c r="RJR14" s="533"/>
      <c r="RJS14" s="533"/>
      <c r="RJT14" s="533"/>
      <c r="RJU14" s="533"/>
      <c r="RJV14" s="533"/>
      <c r="RJW14" s="533"/>
      <c r="RJX14" s="533"/>
      <c r="RJY14" s="533"/>
      <c r="RJZ14" s="533"/>
      <c r="RKA14" s="533"/>
      <c r="RKB14" s="533"/>
      <c r="RKC14" s="533"/>
      <c r="RKD14" s="533"/>
      <c r="RKE14" s="533"/>
      <c r="RKF14" s="533"/>
      <c r="RKG14" s="533"/>
      <c r="RKH14" s="533"/>
      <c r="RKI14" s="533"/>
      <c r="RKJ14" s="533"/>
      <c r="RKK14" s="533"/>
      <c r="RKL14" s="533"/>
      <c r="RKM14" s="533"/>
      <c r="RKN14" s="533"/>
      <c r="RKO14" s="533"/>
      <c r="RKP14" s="533"/>
      <c r="RKQ14" s="533"/>
      <c r="RKR14" s="533"/>
      <c r="RKS14" s="533"/>
      <c r="RKT14" s="533"/>
      <c r="RKU14" s="533"/>
      <c r="RKV14" s="533"/>
      <c r="RKW14" s="533"/>
      <c r="RKX14" s="533"/>
      <c r="RKY14" s="533"/>
      <c r="RKZ14" s="533"/>
      <c r="RLA14" s="533"/>
      <c r="RLB14" s="533"/>
      <c r="RLC14" s="533"/>
      <c r="RLD14" s="533"/>
      <c r="RLE14" s="533"/>
      <c r="RLF14" s="533"/>
      <c r="RLG14" s="533"/>
      <c r="RLH14" s="533"/>
      <c r="RLI14" s="533"/>
      <c r="RLJ14" s="533"/>
      <c r="RLK14" s="533"/>
      <c r="RLL14" s="533"/>
      <c r="RLM14" s="533"/>
      <c r="RLN14" s="533"/>
      <c r="RLO14" s="533"/>
      <c r="RLP14" s="533"/>
      <c r="RLQ14" s="533"/>
      <c r="RLR14" s="533"/>
      <c r="RLS14" s="533"/>
      <c r="RLT14" s="533"/>
      <c r="RLU14" s="533"/>
      <c r="RLV14" s="533"/>
      <c r="RLW14" s="533"/>
      <c r="RLX14" s="533"/>
      <c r="RLY14" s="533"/>
      <c r="RLZ14" s="533"/>
      <c r="RMA14" s="533"/>
      <c r="RMB14" s="533"/>
      <c r="RMC14" s="533"/>
      <c r="RMD14" s="533"/>
      <c r="RME14" s="533"/>
      <c r="RMF14" s="533"/>
      <c r="RMG14" s="533"/>
      <c r="RMH14" s="533"/>
      <c r="RMI14" s="533"/>
      <c r="RMJ14" s="533"/>
      <c r="RMK14" s="533"/>
      <c r="RML14" s="533"/>
      <c r="RMM14" s="533"/>
      <c r="RMN14" s="533"/>
      <c r="RMO14" s="533"/>
      <c r="RMP14" s="533"/>
      <c r="RMQ14" s="533"/>
      <c r="RMR14" s="533"/>
      <c r="RMS14" s="533"/>
      <c r="RMT14" s="533"/>
      <c r="RMU14" s="533"/>
      <c r="RMV14" s="533"/>
      <c r="RMW14" s="533"/>
      <c r="RMX14" s="533"/>
      <c r="RMY14" s="533"/>
      <c r="RMZ14" s="533"/>
      <c r="RNA14" s="533"/>
      <c r="RNB14" s="533"/>
      <c r="RNC14" s="533"/>
      <c r="RND14" s="533"/>
      <c r="RNE14" s="533"/>
      <c r="RNF14" s="533"/>
      <c r="RNG14" s="533"/>
      <c r="RNH14" s="533"/>
      <c r="RNI14" s="533"/>
      <c r="RNJ14" s="533"/>
      <c r="RNK14" s="533"/>
      <c r="RNL14" s="533"/>
      <c r="RNM14" s="533"/>
      <c r="RNN14" s="533"/>
      <c r="RNO14" s="533"/>
      <c r="RNP14" s="533"/>
      <c r="RNQ14" s="533"/>
      <c r="RNR14" s="533"/>
      <c r="RNS14" s="533"/>
      <c r="RNT14" s="533"/>
      <c r="RNU14" s="533"/>
      <c r="RNV14" s="533"/>
      <c r="RNW14" s="533"/>
      <c r="RNX14" s="533"/>
      <c r="RNY14" s="533"/>
      <c r="RNZ14" s="533"/>
      <c r="ROA14" s="533"/>
      <c r="ROB14" s="533"/>
      <c r="ROC14" s="533"/>
      <c r="ROD14" s="533"/>
      <c r="ROE14" s="533"/>
      <c r="ROF14" s="533"/>
      <c r="ROG14" s="533"/>
      <c r="ROH14" s="533"/>
      <c r="ROI14" s="533"/>
      <c r="ROJ14" s="533"/>
      <c r="ROK14" s="533"/>
      <c r="ROL14" s="533"/>
      <c r="ROM14" s="533"/>
      <c r="RON14" s="533"/>
      <c r="ROO14" s="533"/>
      <c r="ROP14" s="533"/>
      <c r="ROQ14" s="533"/>
      <c r="ROR14" s="533"/>
      <c r="ROS14" s="533"/>
      <c r="ROT14" s="533"/>
      <c r="ROU14" s="533"/>
      <c r="ROV14" s="533"/>
      <c r="ROW14" s="533"/>
      <c r="ROX14" s="533"/>
      <c r="ROY14" s="533"/>
      <c r="ROZ14" s="533"/>
      <c r="RPA14" s="533"/>
      <c r="RPB14" s="533"/>
      <c r="RPC14" s="533"/>
      <c r="RPD14" s="533"/>
      <c r="RPE14" s="533"/>
      <c r="RPF14" s="533"/>
      <c r="RPG14" s="533"/>
      <c r="RPH14" s="533"/>
      <c r="RPI14" s="533"/>
      <c r="RPJ14" s="533"/>
      <c r="RPK14" s="533"/>
      <c r="RPL14" s="533"/>
      <c r="RPM14" s="533"/>
      <c r="RPN14" s="533"/>
      <c r="RPO14" s="533"/>
      <c r="RPP14" s="533"/>
      <c r="RPQ14" s="533"/>
      <c r="RPR14" s="533"/>
      <c r="RPS14" s="533"/>
      <c r="RPT14" s="533"/>
      <c r="RPU14" s="533"/>
      <c r="RPV14" s="533"/>
      <c r="RPW14" s="533"/>
      <c r="RPX14" s="533"/>
      <c r="RPY14" s="533"/>
      <c r="RPZ14" s="533"/>
      <c r="RQA14" s="533"/>
      <c r="RQB14" s="533"/>
      <c r="RQC14" s="533"/>
      <c r="RQD14" s="533"/>
      <c r="RQE14" s="533"/>
      <c r="RQF14" s="533"/>
      <c r="RQG14" s="533"/>
      <c r="RQH14" s="533"/>
      <c r="RQI14" s="533"/>
      <c r="RQJ14" s="533"/>
      <c r="RQK14" s="533"/>
      <c r="RQL14" s="533"/>
      <c r="RQM14" s="533"/>
      <c r="RQN14" s="533"/>
      <c r="RQO14" s="533"/>
      <c r="RQP14" s="533"/>
      <c r="RQQ14" s="533"/>
      <c r="RQR14" s="533"/>
      <c r="RQS14" s="533"/>
      <c r="RQT14" s="533"/>
      <c r="RQU14" s="533"/>
      <c r="RQV14" s="533"/>
      <c r="RQW14" s="533"/>
      <c r="RQX14" s="533"/>
      <c r="RQY14" s="533"/>
      <c r="RQZ14" s="533"/>
      <c r="RRA14" s="533"/>
      <c r="RRB14" s="533"/>
      <c r="RRC14" s="533"/>
      <c r="RRD14" s="533"/>
      <c r="RRE14" s="533"/>
      <c r="RRF14" s="533"/>
      <c r="RRG14" s="533"/>
      <c r="RRH14" s="533"/>
      <c r="RRI14" s="533"/>
      <c r="RRJ14" s="533"/>
      <c r="RRK14" s="533"/>
      <c r="RRL14" s="533"/>
      <c r="RRM14" s="533"/>
      <c r="RRN14" s="533"/>
      <c r="RRO14" s="533"/>
      <c r="RRP14" s="533"/>
      <c r="RRQ14" s="533"/>
      <c r="RRR14" s="533"/>
      <c r="RRS14" s="533"/>
      <c r="RRT14" s="533"/>
      <c r="RRU14" s="533"/>
      <c r="RRV14" s="533"/>
      <c r="RRW14" s="533"/>
      <c r="RRX14" s="533"/>
      <c r="RRY14" s="533"/>
      <c r="RRZ14" s="533"/>
      <c r="RSA14" s="533"/>
      <c r="RSB14" s="533"/>
      <c r="RSC14" s="533"/>
      <c r="RSD14" s="533"/>
      <c r="RSE14" s="533"/>
      <c r="RSF14" s="533"/>
      <c r="RSG14" s="533"/>
      <c r="RSH14" s="533"/>
      <c r="RSI14" s="533"/>
      <c r="RSJ14" s="533"/>
      <c r="RSK14" s="533"/>
      <c r="RSL14" s="533"/>
      <c r="RSM14" s="533"/>
      <c r="RSN14" s="533"/>
      <c r="RSO14" s="533"/>
      <c r="RSP14" s="533"/>
      <c r="RSQ14" s="533"/>
      <c r="RSR14" s="533"/>
      <c r="RSS14" s="533"/>
      <c r="RST14" s="533"/>
      <c r="RSU14" s="533"/>
      <c r="RSV14" s="533"/>
      <c r="RSW14" s="533"/>
      <c r="RSX14" s="533"/>
      <c r="RSY14" s="533"/>
      <c r="RSZ14" s="533"/>
      <c r="RTA14" s="533"/>
      <c r="RTB14" s="533"/>
      <c r="RTC14" s="533"/>
      <c r="RTD14" s="533"/>
      <c r="RTE14" s="533"/>
      <c r="RTF14" s="533"/>
      <c r="RTG14" s="533"/>
      <c r="RTH14" s="533"/>
      <c r="RTI14" s="533"/>
      <c r="RTJ14" s="533"/>
      <c r="RTK14" s="533"/>
      <c r="RTL14" s="533"/>
      <c r="RTM14" s="533"/>
      <c r="RTN14" s="533"/>
      <c r="RTO14" s="533"/>
      <c r="RTP14" s="533"/>
      <c r="RTQ14" s="533"/>
      <c r="RTR14" s="533"/>
      <c r="RTS14" s="533"/>
      <c r="RTT14" s="533"/>
      <c r="RTU14" s="533"/>
      <c r="RTV14" s="533"/>
      <c r="RTW14" s="533"/>
      <c r="RTX14" s="533"/>
      <c r="RTY14" s="533"/>
      <c r="RTZ14" s="533"/>
      <c r="RUA14" s="533"/>
      <c r="RUB14" s="533"/>
      <c r="RUC14" s="533"/>
      <c r="RUD14" s="533"/>
      <c r="RUE14" s="533"/>
      <c r="RUF14" s="533"/>
      <c r="RUG14" s="533"/>
      <c r="RUH14" s="533"/>
      <c r="RUI14" s="533"/>
      <c r="RUJ14" s="533"/>
      <c r="RUK14" s="533"/>
      <c r="RUL14" s="533"/>
      <c r="RUM14" s="533"/>
      <c r="RUN14" s="533"/>
      <c r="RUO14" s="533"/>
      <c r="RUP14" s="533"/>
      <c r="RUQ14" s="533"/>
      <c r="RUR14" s="533"/>
      <c r="RUS14" s="533"/>
      <c r="RUT14" s="533"/>
      <c r="RUU14" s="533"/>
      <c r="RUV14" s="533"/>
      <c r="RUW14" s="533"/>
      <c r="RUX14" s="533"/>
      <c r="RUY14" s="533"/>
      <c r="RUZ14" s="533"/>
      <c r="RVA14" s="533"/>
      <c r="RVB14" s="533"/>
      <c r="RVC14" s="533"/>
      <c r="RVD14" s="533"/>
      <c r="RVE14" s="533"/>
      <c r="RVF14" s="533"/>
      <c r="RVG14" s="533"/>
      <c r="RVH14" s="533"/>
      <c r="RVI14" s="533"/>
      <c r="RVJ14" s="533"/>
      <c r="RVK14" s="533"/>
      <c r="RVL14" s="533"/>
      <c r="RVM14" s="533"/>
      <c r="RVN14" s="533"/>
      <c r="RVO14" s="533"/>
      <c r="RVP14" s="533"/>
      <c r="RVQ14" s="533"/>
      <c r="RVR14" s="533"/>
      <c r="RVS14" s="533"/>
      <c r="RVT14" s="533"/>
      <c r="RVU14" s="533"/>
      <c r="RVV14" s="533"/>
      <c r="RVW14" s="533"/>
      <c r="RVX14" s="533"/>
      <c r="RVY14" s="533"/>
      <c r="RVZ14" s="533"/>
      <c r="RWA14" s="533"/>
      <c r="RWB14" s="533"/>
      <c r="RWC14" s="533"/>
      <c r="RWD14" s="533"/>
      <c r="RWE14" s="533"/>
      <c r="RWF14" s="533"/>
      <c r="RWG14" s="533"/>
      <c r="RWH14" s="533"/>
      <c r="RWI14" s="533"/>
      <c r="RWJ14" s="533"/>
      <c r="RWK14" s="533"/>
      <c r="RWL14" s="533"/>
      <c r="RWM14" s="533"/>
      <c r="RWN14" s="533"/>
      <c r="RWO14" s="533"/>
      <c r="RWP14" s="533"/>
      <c r="RWQ14" s="533"/>
      <c r="RWR14" s="533"/>
      <c r="RWS14" s="533"/>
      <c r="RWT14" s="533"/>
      <c r="RWU14" s="533"/>
      <c r="RWV14" s="533"/>
      <c r="RWW14" s="533"/>
      <c r="RWX14" s="533"/>
      <c r="RWY14" s="533"/>
      <c r="RWZ14" s="533"/>
      <c r="RXA14" s="533"/>
      <c r="RXB14" s="533"/>
      <c r="RXC14" s="533"/>
      <c r="RXD14" s="533"/>
      <c r="RXE14" s="533"/>
      <c r="RXF14" s="533"/>
      <c r="RXG14" s="533"/>
      <c r="RXH14" s="533"/>
      <c r="RXI14" s="533"/>
      <c r="RXJ14" s="533"/>
      <c r="RXK14" s="533"/>
      <c r="RXL14" s="533"/>
      <c r="RXM14" s="533"/>
      <c r="RXN14" s="533"/>
      <c r="RXO14" s="533"/>
      <c r="RXP14" s="533"/>
      <c r="RXQ14" s="533"/>
      <c r="RXR14" s="533"/>
      <c r="RXS14" s="533"/>
      <c r="RXT14" s="533"/>
      <c r="RXU14" s="533"/>
      <c r="RXV14" s="533"/>
      <c r="RXW14" s="533"/>
      <c r="RXX14" s="533"/>
      <c r="RXY14" s="533"/>
      <c r="RXZ14" s="533"/>
      <c r="RYA14" s="533"/>
      <c r="RYB14" s="533"/>
      <c r="RYC14" s="533"/>
      <c r="RYD14" s="533"/>
      <c r="RYE14" s="533"/>
      <c r="RYF14" s="533"/>
      <c r="RYG14" s="533"/>
      <c r="RYH14" s="533"/>
      <c r="RYI14" s="533"/>
      <c r="RYJ14" s="533"/>
      <c r="RYK14" s="533"/>
      <c r="RYL14" s="533"/>
      <c r="RYM14" s="533"/>
      <c r="RYN14" s="533"/>
      <c r="RYO14" s="533"/>
      <c r="RYP14" s="533"/>
      <c r="RYQ14" s="533"/>
      <c r="RYR14" s="533"/>
      <c r="RYS14" s="533"/>
      <c r="RYT14" s="533"/>
      <c r="RYU14" s="533"/>
      <c r="RYV14" s="533"/>
      <c r="RYW14" s="533"/>
      <c r="RYX14" s="533"/>
      <c r="RYY14" s="533"/>
      <c r="RYZ14" s="533"/>
      <c r="RZA14" s="533"/>
      <c r="RZB14" s="533"/>
      <c r="RZC14" s="533"/>
      <c r="RZD14" s="533"/>
      <c r="RZE14" s="533"/>
      <c r="RZF14" s="533"/>
      <c r="RZG14" s="533"/>
      <c r="RZH14" s="533"/>
      <c r="RZI14" s="533"/>
      <c r="RZJ14" s="533"/>
      <c r="RZK14" s="533"/>
      <c r="RZL14" s="533"/>
      <c r="RZM14" s="533"/>
      <c r="RZN14" s="533"/>
      <c r="RZO14" s="533"/>
      <c r="RZP14" s="533"/>
      <c r="RZQ14" s="533"/>
      <c r="RZR14" s="533"/>
      <c r="RZS14" s="533"/>
      <c r="RZT14" s="533"/>
      <c r="RZU14" s="533"/>
      <c r="RZV14" s="533"/>
      <c r="RZW14" s="533"/>
      <c r="RZX14" s="533"/>
      <c r="RZY14" s="533"/>
      <c r="RZZ14" s="533"/>
      <c r="SAA14" s="533"/>
      <c r="SAB14" s="533"/>
      <c r="SAC14" s="533"/>
      <c r="SAD14" s="533"/>
      <c r="SAE14" s="533"/>
      <c r="SAF14" s="533"/>
      <c r="SAG14" s="533"/>
      <c r="SAH14" s="533"/>
      <c r="SAI14" s="533"/>
      <c r="SAJ14" s="533"/>
      <c r="SAK14" s="533"/>
      <c r="SAL14" s="533"/>
      <c r="SAM14" s="533"/>
      <c r="SAN14" s="533"/>
      <c r="SAO14" s="533"/>
      <c r="SAP14" s="533"/>
      <c r="SAQ14" s="533"/>
      <c r="SAR14" s="533"/>
      <c r="SAS14" s="533"/>
      <c r="SAT14" s="533"/>
      <c r="SAU14" s="533"/>
      <c r="SAV14" s="533"/>
      <c r="SAW14" s="533"/>
      <c r="SAX14" s="533"/>
      <c r="SAY14" s="533"/>
      <c r="SAZ14" s="533"/>
      <c r="SBA14" s="533"/>
      <c r="SBB14" s="533"/>
      <c r="SBC14" s="533"/>
      <c r="SBD14" s="533"/>
      <c r="SBE14" s="533"/>
      <c r="SBF14" s="533"/>
      <c r="SBG14" s="533"/>
      <c r="SBH14" s="533"/>
      <c r="SBI14" s="533"/>
      <c r="SBJ14" s="533"/>
      <c r="SBK14" s="533"/>
      <c r="SBL14" s="533"/>
      <c r="SBM14" s="533"/>
      <c r="SBN14" s="533"/>
      <c r="SBO14" s="533"/>
      <c r="SBP14" s="533"/>
      <c r="SBQ14" s="533"/>
      <c r="SBR14" s="533"/>
      <c r="SBS14" s="533"/>
      <c r="SBT14" s="533"/>
      <c r="SBU14" s="533"/>
      <c r="SBV14" s="533"/>
      <c r="SBW14" s="533"/>
      <c r="SBX14" s="533"/>
      <c r="SBY14" s="533"/>
      <c r="SBZ14" s="533"/>
      <c r="SCA14" s="533"/>
      <c r="SCB14" s="533"/>
      <c r="SCC14" s="533"/>
      <c r="SCD14" s="533"/>
      <c r="SCE14" s="533"/>
      <c r="SCF14" s="533"/>
      <c r="SCG14" s="533"/>
      <c r="SCH14" s="533"/>
      <c r="SCI14" s="533"/>
      <c r="SCJ14" s="533"/>
      <c r="SCK14" s="533"/>
      <c r="SCL14" s="533"/>
      <c r="SCM14" s="533"/>
      <c r="SCN14" s="533"/>
      <c r="SCO14" s="533"/>
      <c r="SCP14" s="533"/>
      <c r="SCQ14" s="533"/>
      <c r="SCR14" s="533"/>
      <c r="SCS14" s="533"/>
      <c r="SCT14" s="533"/>
      <c r="SCU14" s="533"/>
      <c r="SCV14" s="533"/>
      <c r="SCW14" s="533"/>
      <c r="SCX14" s="533"/>
      <c r="SCY14" s="533"/>
      <c r="SCZ14" s="533"/>
      <c r="SDA14" s="533"/>
      <c r="SDB14" s="533"/>
      <c r="SDC14" s="533"/>
      <c r="SDD14" s="533"/>
      <c r="SDE14" s="533"/>
      <c r="SDF14" s="533"/>
      <c r="SDG14" s="533"/>
      <c r="SDH14" s="533"/>
      <c r="SDI14" s="533"/>
      <c r="SDJ14" s="533"/>
      <c r="SDK14" s="533"/>
      <c r="SDL14" s="533"/>
      <c r="SDM14" s="533"/>
      <c r="SDN14" s="533"/>
      <c r="SDO14" s="533"/>
      <c r="SDP14" s="533"/>
      <c r="SDQ14" s="533"/>
      <c r="SDR14" s="533"/>
      <c r="SDS14" s="533"/>
      <c r="SDT14" s="533"/>
      <c r="SDU14" s="533"/>
      <c r="SDV14" s="533"/>
      <c r="SDW14" s="533"/>
      <c r="SDX14" s="533"/>
      <c r="SDY14" s="533"/>
      <c r="SDZ14" s="533"/>
      <c r="SEA14" s="533"/>
      <c r="SEB14" s="533"/>
      <c r="SEC14" s="533"/>
      <c r="SED14" s="533"/>
      <c r="SEE14" s="533"/>
      <c r="SEF14" s="533"/>
      <c r="SEG14" s="533"/>
      <c r="SEH14" s="533"/>
      <c r="SEI14" s="533"/>
      <c r="SEJ14" s="533"/>
      <c r="SEK14" s="533"/>
      <c r="SEL14" s="533"/>
      <c r="SEM14" s="533"/>
      <c r="SEN14" s="533"/>
      <c r="SEO14" s="533"/>
      <c r="SEP14" s="533"/>
      <c r="SEQ14" s="533"/>
      <c r="SER14" s="533"/>
      <c r="SES14" s="533"/>
      <c r="SET14" s="533"/>
      <c r="SEU14" s="533"/>
      <c r="SEV14" s="533"/>
      <c r="SEW14" s="533"/>
      <c r="SEX14" s="533"/>
      <c r="SEY14" s="533"/>
      <c r="SEZ14" s="533"/>
      <c r="SFA14" s="533"/>
      <c r="SFB14" s="533"/>
      <c r="SFC14" s="533"/>
      <c r="SFD14" s="533"/>
      <c r="SFE14" s="533"/>
      <c r="SFF14" s="533"/>
      <c r="SFG14" s="533"/>
      <c r="SFH14" s="533"/>
      <c r="SFI14" s="533"/>
      <c r="SFJ14" s="533"/>
      <c r="SFK14" s="533"/>
      <c r="SFL14" s="533"/>
      <c r="SFM14" s="533"/>
      <c r="SFN14" s="533"/>
      <c r="SFO14" s="533"/>
      <c r="SFP14" s="533"/>
      <c r="SFQ14" s="533"/>
      <c r="SFR14" s="533"/>
      <c r="SFS14" s="533"/>
      <c r="SFT14" s="533"/>
      <c r="SFU14" s="533"/>
      <c r="SFV14" s="533"/>
      <c r="SFW14" s="533"/>
      <c r="SFX14" s="533"/>
      <c r="SFY14" s="533"/>
      <c r="SFZ14" s="533"/>
      <c r="SGA14" s="533"/>
      <c r="SGB14" s="533"/>
      <c r="SGC14" s="533"/>
      <c r="SGD14" s="533"/>
      <c r="SGE14" s="533"/>
      <c r="SGF14" s="533"/>
      <c r="SGG14" s="533"/>
      <c r="SGH14" s="533"/>
      <c r="SGI14" s="533"/>
      <c r="SGJ14" s="533"/>
      <c r="SGK14" s="533"/>
      <c r="SGL14" s="533"/>
      <c r="SGM14" s="533"/>
      <c r="SGN14" s="533"/>
      <c r="SGO14" s="533"/>
      <c r="SGP14" s="533"/>
      <c r="SGQ14" s="533"/>
      <c r="SGR14" s="533"/>
      <c r="SGS14" s="533"/>
      <c r="SGT14" s="533"/>
      <c r="SGU14" s="533"/>
      <c r="SGV14" s="533"/>
      <c r="SGW14" s="533"/>
      <c r="SGX14" s="533"/>
      <c r="SGY14" s="533"/>
      <c r="SGZ14" s="533"/>
      <c r="SHA14" s="533"/>
      <c r="SHB14" s="533"/>
      <c r="SHC14" s="533"/>
      <c r="SHD14" s="533"/>
      <c r="SHE14" s="533"/>
      <c r="SHF14" s="533"/>
      <c r="SHG14" s="533"/>
      <c r="SHH14" s="533"/>
      <c r="SHI14" s="533"/>
      <c r="SHJ14" s="533"/>
      <c r="SHK14" s="533"/>
      <c r="SHL14" s="533"/>
      <c r="SHM14" s="533"/>
      <c r="SHN14" s="533"/>
      <c r="SHO14" s="533"/>
      <c r="SHP14" s="533"/>
      <c r="SHQ14" s="533"/>
      <c r="SHR14" s="533"/>
      <c r="SHS14" s="533"/>
      <c r="SHT14" s="533"/>
      <c r="SHU14" s="533"/>
      <c r="SHV14" s="533"/>
      <c r="SHW14" s="533"/>
      <c r="SHX14" s="533"/>
      <c r="SHY14" s="533"/>
      <c r="SHZ14" s="533"/>
      <c r="SIA14" s="533"/>
      <c r="SIB14" s="533"/>
      <c r="SIC14" s="533"/>
      <c r="SID14" s="533"/>
      <c r="SIE14" s="533"/>
      <c r="SIF14" s="533"/>
      <c r="SIG14" s="533"/>
      <c r="SIH14" s="533"/>
      <c r="SII14" s="533"/>
      <c r="SIJ14" s="533"/>
      <c r="SIK14" s="533"/>
      <c r="SIL14" s="533"/>
      <c r="SIM14" s="533"/>
      <c r="SIN14" s="533"/>
      <c r="SIO14" s="533"/>
      <c r="SIP14" s="533"/>
      <c r="SIQ14" s="533"/>
      <c r="SIR14" s="533"/>
      <c r="SIS14" s="533"/>
      <c r="SIT14" s="533"/>
      <c r="SIU14" s="533"/>
      <c r="SIV14" s="533"/>
      <c r="SIW14" s="533"/>
      <c r="SIX14" s="533"/>
      <c r="SIY14" s="533"/>
      <c r="SIZ14" s="533"/>
      <c r="SJA14" s="533"/>
      <c r="SJB14" s="533"/>
      <c r="SJC14" s="533"/>
      <c r="SJD14" s="533"/>
      <c r="SJE14" s="533"/>
      <c r="SJF14" s="533"/>
      <c r="SJG14" s="533"/>
      <c r="SJH14" s="533"/>
      <c r="SJI14" s="533"/>
      <c r="SJJ14" s="533"/>
      <c r="SJK14" s="533"/>
      <c r="SJL14" s="533"/>
      <c r="SJM14" s="533"/>
      <c r="SJN14" s="533"/>
      <c r="SJO14" s="533"/>
      <c r="SJP14" s="533"/>
      <c r="SJQ14" s="533"/>
      <c r="SJR14" s="533"/>
      <c r="SJS14" s="533"/>
      <c r="SJT14" s="533"/>
      <c r="SJU14" s="533"/>
      <c r="SJV14" s="533"/>
      <c r="SJW14" s="533"/>
      <c r="SJX14" s="533"/>
      <c r="SJY14" s="533"/>
      <c r="SJZ14" s="533"/>
      <c r="SKA14" s="533"/>
      <c r="SKB14" s="533"/>
      <c r="SKC14" s="533"/>
      <c r="SKD14" s="533"/>
      <c r="SKE14" s="533"/>
      <c r="SKF14" s="533"/>
      <c r="SKG14" s="533"/>
      <c r="SKH14" s="533"/>
      <c r="SKI14" s="533"/>
      <c r="SKJ14" s="533"/>
      <c r="SKK14" s="533"/>
      <c r="SKL14" s="533"/>
      <c r="SKM14" s="533"/>
      <c r="SKN14" s="533"/>
      <c r="SKO14" s="533"/>
      <c r="SKP14" s="533"/>
      <c r="SKQ14" s="533"/>
      <c r="SKR14" s="533"/>
      <c r="SKS14" s="533"/>
      <c r="SKT14" s="533"/>
      <c r="SKU14" s="533"/>
      <c r="SKV14" s="533"/>
      <c r="SKW14" s="533"/>
      <c r="SKX14" s="533"/>
      <c r="SKY14" s="533"/>
      <c r="SKZ14" s="533"/>
      <c r="SLA14" s="533"/>
      <c r="SLB14" s="533"/>
      <c r="SLC14" s="533"/>
      <c r="SLD14" s="533"/>
      <c r="SLE14" s="533"/>
      <c r="SLF14" s="533"/>
      <c r="SLG14" s="533"/>
      <c r="SLH14" s="533"/>
      <c r="SLI14" s="533"/>
      <c r="SLJ14" s="533"/>
      <c r="SLK14" s="533"/>
      <c r="SLL14" s="533"/>
      <c r="SLM14" s="533"/>
      <c r="SLN14" s="533"/>
      <c r="SLO14" s="533"/>
      <c r="SLP14" s="533"/>
      <c r="SLQ14" s="533"/>
      <c r="SLR14" s="533"/>
      <c r="SLS14" s="533"/>
      <c r="SLT14" s="533"/>
      <c r="SLU14" s="533"/>
      <c r="SLV14" s="533"/>
      <c r="SLW14" s="533"/>
      <c r="SLX14" s="533"/>
      <c r="SLY14" s="533"/>
      <c r="SLZ14" s="533"/>
      <c r="SMA14" s="533"/>
      <c r="SMB14" s="533"/>
      <c r="SMC14" s="533"/>
      <c r="SMD14" s="533"/>
      <c r="SME14" s="533"/>
      <c r="SMF14" s="533"/>
      <c r="SMG14" s="533"/>
      <c r="SMH14" s="533"/>
      <c r="SMI14" s="533"/>
      <c r="SMJ14" s="533"/>
      <c r="SMK14" s="533"/>
      <c r="SML14" s="533"/>
      <c r="SMM14" s="533"/>
      <c r="SMN14" s="533"/>
      <c r="SMO14" s="533"/>
      <c r="SMP14" s="533"/>
      <c r="SMQ14" s="533"/>
      <c r="SMR14" s="533"/>
      <c r="SMS14" s="533"/>
      <c r="SMT14" s="533"/>
      <c r="SMU14" s="533"/>
      <c r="SMV14" s="533"/>
      <c r="SMW14" s="533"/>
      <c r="SMX14" s="533"/>
      <c r="SMY14" s="533"/>
      <c r="SMZ14" s="533"/>
      <c r="SNA14" s="533"/>
      <c r="SNB14" s="533"/>
      <c r="SNC14" s="533"/>
      <c r="SND14" s="533"/>
      <c r="SNE14" s="533"/>
      <c r="SNF14" s="533"/>
      <c r="SNG14" s="533"/>
      <c r="SNH14" s="533"/>
      <c r="SNI14" s="533"/>
      <c r="SNJ14" s="533"/>
      <c r="SNK14" s="533"/>
      <c r="SNL14" s="533"/>
      <c r="SNM14" s="533"/>
      <c r="SNN14" s="533"/>
      <c r="SNO14" s="533"/>
      <c r="SNP14" s="533"/>
      <c r="SNQ14" s="533"/>
      <c r="SNR14" s="533"/>
      <c r="SNS14" s="533"/>
      <c r="SNT14" s="533"/>
      <c r="SNU14" s="533"/>
      <c r="SNV14" s="533"/>
      <c r="SNW14" s="533"/>
      <c r="SNX14" s="533"/>
      <c r="SNY14" s="533"/>
      <c r="SNZ14" s="533"/>
      <c r="SOA14" s="533"/>
      <c r="SOB14" s="533"/>
      <c r="SOC14" s="533"/>
      <c r="SOD14" s="533"/>
      <c r="SOE14" s="533"/>
      <c r="SOF14" s="533"/>
      <c r="SOG14" s="533"/>
      <c r="SOH14" s="533"/>
      <c r="SOI14" s="533"/>
      <c r="SOJ14" s="533"/>
      <c r="SOK14" s="533"/>
      <c r="SOL14" s="533"/>
      <c r="SOM14" s="533"/>
      <c r="SON14" s="533"/>
      <c r="SOO14" s="533"/>
      <c r="SOP14" s="533"/>
      <c r="SOQ14" s="533"/>
      <c r="SOR14" s="533"/>
      <c r="SOS14" s="533"/>
      <c r="SOT14" s="533"/>
      <c r="SOU14" s="533"/>
      <c r="SOV14" s="533"/>
      <c r="SOW14" s="533"/>
      <c r="SOX14" s="533"/>
      <c r="SOY14" s="533"/>
      <c r="SOZ14" s="533"/>
      <c r="SPA14" s="533"/>
      <c r="SPB14" s="533"/>
      <c r="SPC14" s="533"/>
      <c r="SPD14" s="533"/>
      <c r="SPE14" s="533"/>
      <c r="SPF14" s="533"/>
      <c r="SPG14" s="533"/>
      <c r="SPH14" s="533"/>
      <c r="SPI14" s="533"/>
      <c r="SPJ14" s="533"/>
      <c r="SPK14" s="533"/>
      <c r="SPL14" s="533"/>
      <c r="SPM14" s="533"/>
      <c r="SPN14" s="533"/>
      <c r="SPO14" s="533"/>
      <c r="SPP14" s="533"/>
      <c r="SPQ14" s="533"/>
      <c r="SPR14" s="533"/>
      <c r="SPS14" s="533"/>
      <c r="SPT14" s="533"/>
      <c r="SPU14" s="533"/>
      <c r="SPV14" s="533"/>
      <c r="SPW14" s="533"/>
      <c r="SPX14" s="533"/>
      <c r="SPY14" s="533"/>
      <c r="SPZ14" s="533"/>
      <c r="SQA14" s="533"/>
      <c r="SQB14" s="533"/>
      <c r="SQC14" s="533"/>
      <c r="SQD14" s="533"/>
      <c r="SQE14" s="533"/>
      <c r="SQF14" s="533"/>
      <c r="SQG14" s="533"/>
      <c r="SQH14" s="533"/>
      <c r="SQI14" s="533"/>
      <c r="SQJ14" s="533"/>
      <c r="SQK14" s="533"/>
      <c r="SQL14" s="533"/>
      <c r="SQM14" s="533"/>
      <c r="SQN14" s="533"/>
      <c r="SQO14" s="533"/>
      <c r="SQP14" s="533"/>
      <c r="SQQ14" s="533"/>
      <c r="SQR14" s="533"/>
      <c r="SQS14" s="533"/>
      <c r="SQT14" s="533"/>
      <c r="SQU14" s="533"/>
      <c r="SQV14" s="533"/>
      <c r="SQW14" s="533"/>
      <c r="SQX14" s="533"/>
      <c r="SQY14" s="533"/>
      <c r="SQZ14" s="533"/>
      <c r="SRA14" s="533"/>
      <c r="SRB14" s="533"/>
      <c r="SRC14" s="533"/>
      <c r="SRD14" s="533"/>
      <c r="SRE14" s="533"/>
      <c r="SRF14" s="533"/>
      <c r="SRG14" s="533"/>
      <c r="SRH14" s="533"/>
      <c r="SRI14" s="533"/>
      <c r="SRJ14" s="533"/>
      <c r="SRK14" s="533"/>
      <c r="SRL14" s="533"/>
      <c r="SRM14" s="533"/>
      <c r="SRN14" s="533"/>
      <c r="SRO14" s="533"/>
      <c r="SRP14" s="533"/>
      <c r="SRQ14" s="533"/>
      <c r="SRR14" s="533"/>
      <c r="SRS14" s="533"/>
      <c r="SRT14" s="533"/>
      <c r="SRU14" s="533"/>
      <c r="SRV14" s="533"/>
      <c r="SRW14" s="533"/>
      <c r="SRX14" s="533"/>
      <c r="SRY14" s="533"/>
      <c r="SRZ14" s="533"/>
      <c r="SSA14" s="533"/>
      <c r="SSB14" s="533"/>
      <c r="SSC14" s="533"/>
      <c r="SSD14" s="533"/>
      <c r="SSE14" s="533"/>
      <c r="SSF14" s="533"/>
      <c r="SSG14" s="533"/>
      <c r="SSH14" s="533"/>
      <c r="SSI14" s="533"/>
      <c r="SSJ14" s="533"/>
      <c r="SSK14" s="533"/>
      <c r="SSL14" s="533"/>
      <c r="SSM14" s="533"/>
      <c r="SSN14" s="533"/>
      <c r="SSO14" s="533"/>
      <c r="SSP14" s="533"/>
      <c r="SSQ14" s="533"/>
      <c r="SSR14" s="533"/>
      <c r="SSS14" s="533"/>
      <c r="SST14" s="533"/>
      <c r="SSU14" s="533"/>
      <c r="SSV14" s="533"/>
      <c r="SSW14" s="533"/>
      <c r="SSX14" s="533"/>
      <c r="SSY14" s="533"/>
      <c r="SSZ14" s="533"/>
      <c r="STA14" s="533"/>
      <c r="STB14" s="533"/>
      <c r="STC14" s="533"/>
      <c r="STD14" s="533"/>
      <c r="STE14" s="533"/>
      <c r="STF14" s="533"/>
      <c r="STG14" s="533"/>
      <c r="STH14" s="533"/>
      <c r="STI14" s="533"/>
      <c r="STJ14" s="533"/>
      <c r="STK14" s="533"/>
      <c r="STL14" s="533"/>
      <c r="STM14" s="533"/>
      <c r="STN14" s="533"/>
      <c r="STO14" s="533"/>
      <c r="STP14" s="533"/>
      <c r="STQ14" s="533"/>
      <c r="STR14" s="533"/>
      <c r="STS14" s="533"/>
      <c r="STT14" s="533"/>
      <c r="STU14" s="533"/>
      <c r="STV14" s="533"/>
      <c r="STW14" s="533"/>
      <c r="STX14" s="533"/>
      <c r="STY14" s="533"/>
      <c r="STZ14" s="533"/>
      <c r="SUA14" s="533"/>
      <c r="SUB14" s="533"/>
      <c r="SUC14" s="533"/>
      <c r="SUD14" s="533"/>
      <c r="SUE14" s="533"/>
      <c r="SUF14" s="533"/>
      <c r="SUG14" s="533"/>
      <c r="SUH14" s="533"/>
      <c r="SUI14" s="533"/>
      <c r="SUJ14" s="533"/>
      <c r="SUK14" s="533"/>
      <c r="SUL14" s="533"/>
      <c r="SUM14" s="533"/>
      <c r="SUN14" s="533"/>
      <c r="SUO14" s="533"/>
      <c r="SUP14" s="533"/>
      <c r="SUQ14" s="533"/>
      <c r="SUR14" s="533"/>
      <c r="SUS14" s="533"/>
      <c r="SUT14" s="533"/>
      <c r="SUU14" s="533"/>
      <c r="SUV14" s="533"/>
      <c r="SUW14" s="533"/>
      <c r="SUX14" s="533"/>
      <c r="SUY14" s="533"/>
      <c r="SUZ14" s="533"/>
      <c r="SVA14" s="533"/>
      <c r="SVB14" s="533"/>
      <c r="SVC14" s="533"/>
      <c r="SVD14" s="533"/>
      <c r="SVE14" s="533"/>
      <c r="SVF14" s="533"/>
      <c r="SVG14" s="533"/>
      <c r="SVH14" s="533"/>
      <c r="SVI14" s="533"/>
      <c r="SVJ14" s="533"/>
      <c r="SVK14" s="533"/>
      <c r="SVL14" s="533"/>
      <c r="SVM14" s="533"/>
      <c r="SVN14" s="533"/>
      <c r="SVO14" s="533"/>
      <c r="SVP14" s="533"/>
      <c r="SVQ14" s="533"/>
      <c r="SVR14" s="533"/>
      <c r="SVS14" s="533"/>
      <c r="SVT14" s="533"/>
      <c r="SVU14" s="533"/>
      <c r="SVV14" s="533"/>
      <c r="SVW14" s="533"/>
      <c r="SVX14" s="533"/>
      <c r="SVY14" s="533"/>
      <c r="SVZ14" s="533"/>
      <c r="SWA14" s="533"/>
      <c r="SWB14" s="533"/>
      <c r="SWC14" s="533"/>
      <c r="SWD14" s="533"/>
      <c r="SWE14" s="533"/>
      <c r="SWF14" s="533"/>
      <c r="SWG14" s="533"/>
      <c r="SWH14" s="533"/>
      <c r="SWI14" s="533"/>
      <c r="SWJ14" s="533"/>
      <c r="SWK14" s="533"/>
      <c r="SWL14" s="533"/>
      <c r="SWM14" s="533"/>
      <c r="SWN14" s="533"/>
      <c r="SWO14" s="533"/>
      <c r="SWP14" s="533"/>
      <c r="SWQ14" s="533"/>
      <c r="SWR14" s="533"/>
      <c r="SWS14" s="533"/>
      <c r="SWT14" s="533"/>
      <c r="SWU14" s="533"/>
      <c r="SWV14" s="533"/>
      <c r="SWW14" s="533"/>
      <c r="SWX14" s="533"/>
      <c r="SWY14" s="533"/>
      <c r="SWZ14" s="533"/>
      <c r="SXA14" s="533"/>
      <c r="SXB14" s="533"/>
      <c r="SXC14" s="533"/>
      <c r="SXD14" s="533"/>
      <c r="SXE14" s="533"/>
      <c r="SXF14" s="533"/>
      <c r="SXG14" s="533"/>
      <c r="SXH14" s="533"/>
      <c r="SXI14" s="533"/>
      <c r="SXJ14" s="533"/>
      <c r="SXK14" s="533"/>
      <c r="SXL14" s="533"/>
      <c r="SXM14" s="533"/>
      <c r="SXN14" s="533"/>
      <c r="SXO14" s="533"/>
      <c r="SXP14" s="533"/>
      <c r="SXQ14" s="533"/>
      <c r="SXR14" s="533"/>
      <c r="SXS14" s="533"/>
      <c r="SXT14" s="533"/>
      <c r="SXU14" s="533"/>
      <c r="SXV14" s="533"/>
      <c r="SXW14" s="533"/>
      <c r="SXX14" s="533"/>
      <c r="SXY14" s="533"/>
      <c r="SXZ14" s="533"/>
      <c r="SYA14" s="533"/>
      <c r="SYB14" s="533"/>
      <c r="SYC14" s="533"/>
      <c r="SYD14" s="533"/>
      <c r="SYE14" s="533"/>
      <c r="SYF14" s="533"/>
      <c r="SYG14" s="533"/>
      <c r="SYH14" s="533"/>
      <c r="SYI14" s="533"/>
      <c r="SYJ14" s="533"/>
      <c r="SYK14" s="533"/>
      <c r="SYL14" s="533"/>
      <c r="SYM14" s="533"/>
      <c r="SYN14" s="533"/>
      <c r="SYO14" s="533"/>
      <c r="SYP14" s="533"/>
      <c r="SYQ14" s="533"/>
      <c r="SYR14" s="533"/>
      <c r="SYS14" s="533"/>
      <c r="SYT14" s="533"/>
      <c r="SYU14" s="533"/>
      <c r="SYV14" s="533"/>
      <c r="SYW14" s="533"/>
      <c r="SYX14" s="533"/>
      <c r="SYY14" s="533"/>
      <c r="SYZ14" s="533"/>
      <c r="SZA14" s="533"/>
      <c r="SZB14" s="533"/>
      <c r="SZC14" s="533"/>
      <c r="SZD14" s="533"/>
      <c r="SZE14" s="533"/>
      <c r="SZF14" s="533"/>
      <c r="SZG14" s="533"/>
      <c r="SZH14" s="533"/>
      <c r="SZI14" s="533"/>
      <c r="SZJ14" s="533"/>
      <c r="SZK14" s="533"/>
      <c r="SZL14" s="533"/>
      <c r="SZM14" s="533"/>
      <c r="SZN14" s="533"/>
      <c r="SZO14" s="533"/>
      <c r="SZP14" s="533"/>
      <c r="SZQ14" s="533"/>
      <c r="SZR14" s="533"/>
      <c r="SZS14" s="533"/>
      <c r="SZT14" s="533"/>
      <c r="SZU14" s="533"/>
      <c r="SZV14" s="533"/>
      <c r="SZW14" s="533"/>
      <c r="SZX14" s="533"/>
      <c r="SZY14" s="533"/>
      <c r="SZZ14" s="533"/>
      <c r="TAA14" s="533"/>
      <c r="TAB14" s="533"/>
      <c r="TAC14" s="533"/>
      <c r="TAD14" s="533"/>
      <c r="TAE14" s="533"/>
      <c r="TAF14" s="533"/>
      <c r="TAG14" s="533"/>
      <c r="TAH14" s="533"/>
      <c r="TAI14" s="533"/>
      <c r="TAJ14" s="533"/>
      <c r="TAK14" s="533"/>
      <c r="TAL14" s="533"/>
      <c r="TAM14" s="533"/>
      <c r="TAN14" s="533"/>
      <c r="TAO14" s="533"/>
      <c r="TAP14" s="533"/>
      <c r="TAQ14" s="533"/>
      <c r="TAR14" s="533"/>
      <c r="TAS14" s="533"/>
      <c r="TAT14" s="533"/>
      <c r="TAU14" s="533"/>
      <c r="TAV14" s="533"/>
      <c r="TAW14" s="533"/>
      <c r="TAX14" s="533"/>
      <c r="TAY14" s="533"/>
      <c r="TAZ14" s="533"/>
      <c r="TBA14" s="533"/>
      <c r="TBB14" s="533"/>
      <c r="TBC14" s="533"/>
      <c r="TBD14" s="533"/>
      <c r="TBE14" s="533"/>
      <c r="TBF14" s="533"/>
      <c r="TBG14" s="533"/>
      <c r="TBH14" s="533"/>
      <c r="TBI14" s="533"/>
      <c r="TBJ14" s="533"/>
      <c r="TBK14" s="533"/>
      <c r="TBL14" s="533"/>
      <c r="TBM14" s="533"/>
      <c r="TBN14" s="533"/>
      <c r="TBO14" s="533"/>
      <c r="TBP14" s="533"/>
      <c r="TBQ14" s="533"/>
      <c r="TBR14" s="533"/>
      <c r="TBS14" s="533"/>
      <c r="TBT14" s="533"/>
      <c r="TBU14" s="533"/>
      <c r="TBV14" s="533"/>
      <c r="TBW14" s="533"/>
      <c r="TBX14" s="533"/>
      <c r="TBY14" s="533"/>
      <c r="TBZ14" s="533"/>
      <c r="TCA14" s="533"/>
      <c r="TCB14" s="533"/>
      <c r="TCC14" s="533"/>
      <c r="TCD14" s="533"/>
      <c r="TCE14" s="533"/>
      <c r="TCF14" s="533"/>
      <c r="TCG14" s="533"/>
      <c r="TCH14" s="533"/>
      <c r="TCI14" s="533"/>
      <c r="TCJ14" s="533"/>
      <c r="TCK14" s="533"/>
      <c r="TCL14" s="533"/>
      <c r="TCM14" s="533"/>
      <c r="TCN14" s="533"/>
      <c r="TCO14" s="533"/>
      <c r="TCP14" s="533"/>
      <c r="TCQ14" s="533"/>
      <c r="TCR14" s="533"/>
      <c r="TCS14" s="533"/>
      <c r="TCT14" s="533"/>
      <c r="TCU14" s="533"/>
      <c r="TCV14" s="533"/>
      <c r="TCW14" s="533"/>
      <c r="TCX14" s="533"/>
      <c r="TCY14" s="533"/>
      <c r="TCZ14" s="533"/>
      <c r="TDA14" s="533"/>
      <c r="TDB14" s="533"/>
      <c r="TDC14" s="533"/>
      <c r="TDD14" s="533"/>
      <c r="TDE14" s="533"/>
      <c r="TDF14" s="533"/>
      <c r="TDG14" s="533"/>
      <c r="TDH14" s="533"/>
      <c r="TDI14" s="533"/>
      <c r="TDJ14" s="533"/>
      <c r="TDK14" s="533"/>
      <c r="TDL14" s="533"/>
      <c r="TDM14" s="533"/>
      <c r="TDN14" s="533"/>
      <c r="TDO14" s="533"/>
      <c r="TDP14" s="533"/>
      <c r="TDQ14" s="533"/>
      <c r="TDR14" s="533"/>
      <c r="TDS14" s="533"/>
      <c r="TDT14" s="533"/>
      <c r="TDU14" s="533"/>
      <c r="TDV14" s="533"/>
      <c r="TDW14" s="533"/>
      <c r="TDX14" s="533"/>
      <c r="TDY14" s="533"/>
      <c r="TDZ14" s="533"/>
      <c r="TEA14" s="533"/>
      <c r="TEB14" s="533"/>
      <c r="TEC14" s="533"/>
      <c r="TED14" s="533"/>
      <c r="TEE14" s="533"/>
      <c r="TEF14" s="533"/>
      <c r="TEG14" s="533"/>
      <c r="TEH14" s="533"/>
      <c r="TEI14" s="533"/>
      <c r="TEJ14" s="533"/>
      <c r="TEK14" s="533"/>
      <c r="TEL14" s="533"/>
      <c r="TEM14" s="533"/>
      <c r="TEN14" s="533"/>
      <c r="TEO14" s="533"/>
      <c r="TEP14" s="533"/>
      <c r="TEQ14" s="533"/>
      <c r="TER14" s="533"/>
      <c r="TES14" s="533"/>
      <c r="TET14" s="533"/>
      <c r="TEU14" s="533"/>
      <c r="TEV14" s="533"/>
      <c r="TEW14" s="533"/>
      <c r="TEX14" s="533"/>
      <c r="TEY14" s="533"/>
      <c r="TEZ14" s="533"/>
      <c r="TFA14" s="533"/>
      <c r="TFB14" s="533"/>
      <c r="TFC14" s="533"/>
      <c r="TFD14" s="533"/>
      <c r="TFE14" s="533"/>
      <c r="TFF14" s="533"/>
      <c r="TFG14" s="533"/>
      <c r="TFH14" s="533"/>
      <c r="TFI14" s="533"/>
      <c r="TFJ14" s="533"/>
      <c r="TFK14" s="533"/>
      <c r="TFL14" s="533"/>
      <c r="TFM14" s="533"/>
      <c r="TFN14" s="533"/>
      <c r="TFO14" s="533"/>
      <c r="TFP14" s="533"/>
      <c r="TFQ14" s="533"/>
      <c r="TFR14" s="533"/>
      <c r="TFS14" s="533"/>
      <c r="TFT14" s="533"/>
      <c r="TFU14" s="533"/>
      <c r="TFV14" s="533"/>
      <c r="TFW14" s="533"/>
      <c r="TFX14" s="533"/>
      <c r="TFY14" s="533"/>
      <c r="TFZ14" s="533"/>
      <c r="TGA14" s="533"/>
      <c r="TGB14" s="533"/>
      <c r="TGC14" s="533"/>
      <c r="TGD14" s="533"/>
      <c r="TGE14" s="533"/>
      <c r="TGF14" s="533"/>
      <c r="TGG14" s="533"/>
      <c r="TGH14" s="533"/>
      <c r="TGI14" s="533"/>
      <c r="TGJ14" s="533"/>
      <c r="TGK14" s="533"/>
      <c r="TGL14" s="533"/>
      <c r="TGM14" s="533"/>
      <c r="TGN14" s="533"/>
      <c r="TGO14" s="533"/>
      <c r="TGP14" s="533"/>
      <c r="TGQ14" s="533"/>
      <c r="TGR14" s="533"/>
      <c r="TGS14" s="533"/>
      <c r="TGT14" s="533"/>
      <c r="TGU14" s="533"/>
      <c r="TGV14" s="533"/>
      <c r="TGW14" s="533"/>
      <c r="TGX14" s="533"/>
      <c r="TGY14" s="533"/>
      <c r="TGZ14" s="533"/>
      <c r="THA14" s="533"/>
      <c r="THB14" s="533"/>
      <c r="THC14" s="533"/>
      <c r="THD14" s="533"/>
      <c r="THE14" s="533"/>
      <c r="THF14" s="533"/>
      <c r="THG14" s="533"/>
      <c r="THH14" s="533"/>
      <c r="THI14" s="533"/>
      <c r="THJ14" s="533"/>
      <c r="THK14" s="533"/>
      <c r="THL14" s="533"/>
      <c r="THM14" s="533"/>
      <c r="THN14" s="533"/>
      <c r="THO14" s="533"/>
      <c r="THP14" s="533"/>
      <c r="THQ14" s="533"/>
      <c r="THR14" s="533"/>
      <c r="THS14" s="533"/>
      <c r="THT14" s="533"/>
      <c r="THU14" s="533"/>
      <c r="THV14" s="533"/>
      <c r="THW14" s="533"/>
      <c r="THX14" s="533"/>
      <c r="THY14" s="533"/>
      <c r="THZ14" s="533"/>
      <c r="TIA14" s="533"/>
      <c r="TIB14" s="533"/>
      <c r="TIC14" s="533"/>
      <c r="TID14" s="533"/>
      <c r="TIE14" s="533"/>
      <c r="TIF14" s="533"/>
      <c r="TIG14" s="533"/>
      <c r="TIH14" s="533"/>
      <c r="TII14" s="533"/>
      <c r="TIJ14" s="533"/>
      <c r="TIK14" s="533"/>
      <c r="TIL14" s="533"/>
      <c r="TIM14" s="533"/>
      <c r="TIN14" s="533"/>
      <c r="TIO14" s="533"/>
      <c r="TIP14" s="533"/>
      <c r="TIQ14" s="533"/>
      <c r="TIR14" s="533"/>
      <c r="TIS14" s="533"/>
      <c r="TIT14" s="533"/>
      <c r="TIU14" s="533"/>
      <c r="TIV14" s="533"/>
      <c r="TIW14" s="533"/>
      <c r="TIX14" s="533"/>
      <c r="TIY14" s="533"/>
      <c r="TIZ14" s="533"/>
      <c r="TJA14" s="533"/>
      <c r="TJB14" s="533"/>
      <c r="TJC14" s="533"/>
      <c r="TJD14" s="533"/>
      <c r="TJE14" s="533"/>
      <c r="TJF14" s="533"/>
      <c r="TJG14" s="533"/>
      <c r="TJH14" s="533"/>
      <c r="TJI14" s="533"/>
      <c r="TJJ14" s="533"/>
      <c r="TJK14" s="533"/>
      <c r="TJL14" s="533"/>
      <c r="TJM14" s="533"/>
      <c r="TJN14" s="533"/>
      <c r="TJO14" s="533"/>
      <c r="TJP14" s="533"/>
      <c r="TJQ14" s="533"/>
      <c r="TJR14" s="533"/>
      <c r="TJS14" s="533"/>
      <c r="TJT14" s="533"/>
      <c r="TJU14" s="533"/>
      <c r="TJV14" s="533"/>
      <c r="TJW14" s="533"/>
      <c r="TJX14" s="533"/>
      <c r="TJY14" s="533"/>
      <c r="TJZ14" s="533"/>
      <c r="TKA14" s="533"/>
      <c r="TKB14" s="533"/>
      <c r="TKC14" s="533"/>
      <c r="TKD14" s="533"/>
      <c r="TKE14" s="533"/>
      <c r="TKF14" s="533"/>
      <c r="TKG14" s="533"/>
      <c r="TKH14" s="533"/>
      <c r="TKI14" s="533"/>
      <c r="TKJ14" s="533"/>
      <c r="TKK14" s="533"/>
      <c r="TKL14" s="533"/>
      <c r="TKM14" s="533"/>
      <c r="TKN14" s="533"/>
      <c r="TKO14" s="533"/>
      <c r="TKP14" s="533"/>
      <c r="TKQ14" s="533"/>
      <c r="TKR14" s="533"/>
      <c r="TKS14" s="533"/>
      <c r="TKT14" s="533"/>
      <c r="TKU14" s="533"/>
      <c r="TKV14" s="533"/>
      <c r="TKW14" s="533"/>
      <c r="TKX14" s="533"/>
      <c r="TKY14" s="533"/>
      <c r="TKZ14" s="533"/>
      <c r="TLA14" s="533"/>
      <c r="TLB14" s="533"/>
      <c r="TLC14" s="533"/>
      <c r="TLD14" s="533"/>
      <c r="TLE14" s="533"/>
      <c r="TLF14" s="533"/>
      <c r="TLG14" s="533"/>
      <c r="TLH14" s="533"/>
      <c r="TLI14" s="533"/>
      <c r="TLJ14" s="533"/>
      <c r="TLK14" s="533"/>
      <c r="TLL14" s="533"/>
      <c r="TLM14" s="533"/>
      <c r="TLN14" s="533"/>
      <c r="TLO14" s="533"/>
      <c r="TLP14" s="533"/>
      <c r="TLQ14" s="533"/>
      <c r="TLR14" s="533"/>
      <c r="TLS14" s="533"/>
      <c r="TLT14" s="533"/>
      <c r="TLU14" s="533"/>
      <c r="TLV14" s="533"/>
      <c r="TLW14" s="533"/>
      <c r="TLX14" s="533"/>
      <c r="TLY14" s="533"/>
      <c r="TLZ14" s="533"/>
      <c r="TMA14" s="533"/>
      <c r="TMB14" s="533"/>
      <c r="TMC14" s="533"/>
      <c r="TMD14" s="533"/>
      <c r="TME14" s="533"/>
      <c r="TMF14" s="533"/>
      <c r="TMG14" s="533"/>
      <c r="TMH14" s="533"/>
      <c r="TMI14" s="533"/>
      <c r="TMJ14" s="533"/>
      <c r="TMK14" s="533"/>
      <c r="TML14" s="533"/>
      <c r="TMM14" s="533"/>
      <c r="TMN14" s="533"/>
      <c r="TMO14" s="533"/>
      <c r="TMP14" s="533"/>
      <c r="TMQ14" s="533"/>
      <c r="TMR14" s="533"/>
      <c r="TMS14" s="533"/>
      <c r="TMT14" s="533"/>
      <c r="TMU14" s="533"/>
      <c r="TMV14" s="533"/>
      <c r="TMW14" s="533"/>
      <c r="TMX14" s="533"/>
      <c r="TMY14" s="533"/>
      <c r="TMZ14" s="533"/>
      <c r="TNA14" s="533"/>
      <c r="TNB14" s="533"/>
      <c r="TNC14" s="533"/>
      <c r="TND14" s="533"/>
      <c r="TNE14" s="533"/>
      <c r="TNF14" s="533"/>
      <c r="TNG14" s="533"/>
      <c r="TNH14" s="533"/>
      <c r="TNI14" s="533"/>
      <c r="TNJ14" s="533"/>
      <c r="TNK14" s="533"/>
      <c r="TNL14" s="533"/>
      <c r="TNM14" s="533"/>
      <c r="TNN14" s="533"/>
      <c r="TNO14" s="533"/>
      <c r="TNP14" s="533"/>
      <c r="TNQ14" s="533"/>
      <c r="TNR14" s="533"/>
      <c r="TNS14" s="533"/>
      <c r="TNT14" s="533"/>
      <c r="TNU14" s="533"/>
      <c r="TNV14" s="533"/>
      <c r="TNW14" s="533"/>
      <c r="TNX14" s="533"/>
      <c r="TNY14" s="533"/>
      <c r="TNZ14" s="533"/>
      <c r="TOA14" s="533"/>
      <c r="TOB14" s="533"/>
      <c r="TOC14" s="533"/>
      <c r="TOD14" s="533"/>
      <c r="TOE14" s="533"/>
      <c r="TOF14" s="533"/>
      <c r="TOG14" s="533"/>
      <c r="TOH14" s="533"/>
      <c r="TOI14" s="533"/>
      <c r="TOJ14" s="533"/>
      <c r="TOK14" s="533"/>
      <c r="TOL14" s="533"/>
      <c r="TOM14" s="533"/>
      <c r="TON14" s="533"/>
      <c r="TOO14" s="533"/>
      <c r="TOP14" s="533"/>
      <c r="TOQ14" s="533"/>
      <c r="TOR14" s="533"/>
      <c r="TOS14" s="533"/>
      <c r="TOT14" s="533"/>
      <c r="TOU14" s="533"/>
      <c r="TOV14" s="533"/>
      <c r="TOW14" s="533"/>
      <c r="TOX14" s="533"/>
      <c r="TOY14" s="533"/>
      <c r="TOZ14" s="533"/>
      <c r="TPA14" s="533"/>
      <c r="TPB14" s="533"/>
      <c r="TPC14" s="533"/>
      <c r="TPD14" s="533"/>
      <c r="TPE14" s="533"/>
      <c r="TPF14" s="533"/>
      <c r="TPG14" s="533"/>
      <c r="TPH14" s="533"/>
      <c r="TPI14" s="533"/>
      <c r="TPJ14" s="533"/>
      <c r="TPK14" s="533"/>
      <c r="TPL14" s="533"/>
      <c r="TPM14" s="533"/>
      <c r="TPN14" s="533"/>
      <c r="TPO14" s="533"/>
      <c r="TPP14" s="533"/>
      <c r="TPQ14" s="533"/>
      <c r="TPR14" s="533"/>
      <c r="TPS14" s="533"/>
      <c r="TPT14" s="533"/>
      <c r="TPU14" s="533"/>
      <c r="TPV14" s="533"/>
      <c r="TPW14" s="533"/>
      <c r="TPX14" s="533"/>
      <c r="TPY14" s="533"/>
      <c r="TPZ14" s="533"/>
      <c r="TQA14" s="533"/>
      <c r="TQB14" s="533"/>
      <c r="TQC14" s="533"/>
      <c r="TQD14" s="533"/>
      <c r="TQE14" s="533"/>
      <c r="TQF14" s="533"/>
      <c r="TQG14" s="533"/>
      <c r="TQH14" s="533"/>
      <c r="TQI14" s="533"/>
      <c r="TQJ14" s="533"/>
      <c r="TQK14" s="533"/>
      <c r="TQL14" s="533"/>
      <c r="TQM14" s="533"/>
      <c r="TQN14" s="533"/>
      <c r="TQO14" s="533"/>
      <c r="TQP14" s="533"/>
      <c r="TQQ14" s="533"/>
      <c r="TQR14" s="533"/>
      <c r="TQS14" s="533"/>
      <c r="TQT14" s="533"/>
      <c r="TQU14" s="533"/>
      <c r="TQV14" s="533"/>
      <c r="TQW14" s="533"/>
      <c r="TQX14" s="533"/>
      <c r="TQY14" s="533"/>
      <c r="TQZ14" s="533"/>
      <c r="TRA14" s="533"/>
      <c r="TRB14" s="533"/>
      <c r="TRC14" s="533"/>
      <c r="TRD14" s="533"/>
      <c r="TRE14" s="533"/>
      <c r="TRF14" s="533"/>
      <c r="TRG14" s="533"/>
      <c r="TRH14" s="533"/>
      <c r="TRI14" s="533"/>
      <c r="TRJ14" s="533"/>
      <c r="TRK14" s="533"/>
      <c r="TRL14" s="533"/>
      <c r="TRM14" s="533"/>
      <c r="TRN14" s="533"/>
      <c r="TRO14" s="533"/>
      <c r="TRP14" s="533"/>
      <c r="TRQ14" s="533"/>
      <c r="TRR14" s="533"/>
      <c r="TRS14" s="533"/>
      <c r="TRT14" s="533"/>
      <c r="TRU14" s="533"/>
      <c r="TRV14" s="533"/>
      <c r="TRW14" s="533"/>
      <c r="TRX14" s="533"/>
      <c r="TRY14" s="533"/>
      <c r="TRZ14" s="533"/>
      <c r="TSA14" s="533"/>
      <c r="TSB14" s="533"/>
      <c r="TSC14" s="533"/>
      <c r="TSD14" s="533"/>
      <c r="TSE14" s="533"/>
      <c r="TSF14" s="533"/>
      <c r="TSG14" s="533"/>
      <c r="TSH14" s="533"/>
      <c r="TSI14" s="533"/>
      <c r="TSJ14" s="533"/>
      <c r="TSK14" s="533"/>
      <c r="TSL14" s="533"/>
      <c r="TSM14" s="533"/>
      <c r="TSN14" s="533"/>
      <c r="TSO14" s="533"/>
      <c r="TSP14" s="533"/>
      <c r="TSQ14" s="533"/>
      <c r="TSR14" s="533"/>
      <c r="TSS14" s="533"/>
      <c r="TST14" s="533"/>
      <c r="TSU14" s="533"/>
      <c r="TSV14" s="533"/>
      <c r="TSW14" s="533"/>
      <c r="TSX14" s="533"/>
      <c r="TSY14" s="533"/>
      <c r="TSZ14" s="533"/>
      <c r="TTA14" s="533"/>
      <c r="TTB14" s="533"/>
      <c r="TTC14" s="533"/>
      <c r="TTD14" s="533"/>
      <c r="TTE14" s="533"/>
      <c r="TTF14" s="533"/>
      <c r="TTG14" s="533"/>
      <c r="TTH14" s="533"/>
      <c r="TTI14" s="533"/>
      <c r="TTJ14" s="533"/>
      <c r="TTK14" s="533"/>
      <c r="TTL14" s="533"/>
      <c r="TTM14" s="533"/>
      <c r="TTN14" s="533"/>
      <c r="TTO14" s="533"/>
      <c r="TTP14" s="533"/>
      <c r="TTQ14" s="533"/>
      <c r="TTR14" s="533"/>
      <c r="TTS14" s="533"/>
      <c r="TTT14" s="533"/>
      <c r="TTU14" s="533"/>
      <c r="TTV14" s="533"/>
      <c r="TTW14" s="533"/>
      <c r="TTX14" s="533"/>
      <c r="TTY14" s="533"/>
      <c r="TTZ14" s="533"/>
      <c r="TUA14" s="533"/>
      <c r="TUB14" s="533"/>
      <c r="TUC14" s="533"/>
      <c r="TUD14" s="533"/>
      <c r="TUE14" s="533"/>
      <c r="TUF14" s="533"/>
      <c r="TUG14" s="533"/>
      <c r="TUH14" s="533"/>
      <c r="TUI14" s="533"/>
      <c r="TUJ14" s="533"/>
      <c r="TUK14" s="533"/>
      <c r="TUL14" s="533"/>
      <c r="TUM14" s="533"/>
      <c r="TUN14" s="533"/>
      <c r="TUO14" s="533"/>
      <c r="TUP14" s="533"/>
      <c r="TUQ14" s="533"/>
      <c r="TUR14" s="533"/>
      <c r="TUS14" s="533"/>
      <c r="TUT14" s="533"/>
      <c r="TUU14" s="533"/>
      <c r="TUV14" s="533"/>
      <c r="TUW14" s="533"/>
      <c r="TUX14" s="533"/>
      <c r="TUY14" s="533"/>
      <c r="TUZ14" s="533"/>
      <c r="TVA14" s="533"/>
      <c r="TVB14" s="533"/>
      <c r="TVC14" s="533"/>
      <c r="TVD14" s="533"/>
      <c r="TVE14" s="533"/>
      <c r="TVF14" s="533"/>
      <c r="TVG14" s="533"/>
      <c r="TVH14" s="533"/>
      <c r="TVI14" s="533"/>
      <c r="TVJ14" s="533"/>
      <c r="TVK14" s="533"/>
      <c r="TVL14" s="533"/>
      <c r="TVM14" s="533"/>
      <c r="TVN14" s="533"/>
      <c r="TVO14" s="533"/>
      <c r="TVP14" s="533"/>
      <c r="TVQ14" s="533"/>
      <c r="TVR14" s="533"/>
      <c r="TVS14" s="533"/>
      <c r="TVT14" s="533"/>
      <c r="TVU14" s="533"/>
      <c r="TVV14" s="533"/>
      <c r="TVW14" s="533"/>
      <c r="TVX14" s="533"/>
      <c r="TVY14" s="533"/>
      <c r="TVZ14" s="533"/>
      <c r="TWA14" s="533"/>
      <c r="TWB14" s="533"/>
      <c r="TWC14" s="533"/>
      <c r="TWD14" s="533"/>
      <c r="TWE14" s="533"/>
      <c r="TWF14" s="533"/>
      <c r="TWG14" s="533"/>
      <c r="TWH14" s="533"/>
      <c r="TWI14" s="533"/>
      <c r="TWJ14" s="533"/>
      <c r="TWK14" s="533"/>
      <c r="TWL14" s="533"/>
      <c r="TWM14" s="533"/>
      <c r="TWN14" s="533"/>
      <c r="TWO14" s="533"/>
      <c r="TWP14" s="533"/>
      <c r="TWQ14" s="533"/>
      <c r="TWR14" s="533"/>
      <c r="TWS14" s="533"/>
      <c r="TWT14" s="533"/>
      <c r="TWU14" s="533"/>
      <c r="TWV14" s="533"/>
      <c r="TWW14" s="533"/>
      <c r="TWX14" s="533"/>
      <c r="TWY14" s="533"/>
      <c r="TWZ14" s="533"/>
      <c r="TXA14" s="533"/>
      <c r="TXB14" s="533"/>
      <c r="TXC14" s="533"/>
      <c r="TXD14" s="533"/>
      <c r="TXE14" s="533"/>
      <c r="TXF14" s="533"/>
      <c r="TXG14" s="533"/>
      <c r="TXH14" s="533"/>
      <c r="TXI14" s="533"/>
      <c r="TXJ14" s="533"/>
      <c r="TXK14" s="533"/>
      <c r="TXL14" s="533"/>
      <c r="TXM14" s="533"/>
      <c r="TXN14" s="533"/>
      <c r="TXO14" s="533"/>
      <c r="TXP14" s="533"/>
      <c r="TXQ14" s="533"/>
      <c r="TXR14" s="533"/>
      <c r="TXS14" s="533"/>
      <c r="TXT14" s="533"/>
      <c r="TXU14" s="533"/>
      <c r="TXV14" s="533"/>
      <c r="TXW14" s="533"/>
      <c r="TXX14" s="533"/>
      <c r="TXY14" s="533"/>
      <c r="TXZ14" s="533"/>
      <c r="TYA14" s="533"/>
      <c r="TYB14" s="533"/>
      <c r="TYC14" s="533"/>
      <c r="TYD14" s="533"/>
      <c r="TYE14" s="533"/>
      <c r="TYF14" s="533"/>
      <c r="TYG14" s="533"/>
      <c r="TYH14" s="533"/>
      <c r="TYI14" s="533"/>
      <c r="TYJ14" s="533"/>
      <c r="TYK14" s="533"/>
      <c r="TYL14" s="533"/>
      <c r="TYM14" s="533"/>
      <c r="TYN14" s="533"/>
      <c r="TYO14" s="533"/>
      <c r="TYP14" s="533"/>
      <c r="TYQ14" s="533"/>
      <c r="TYR14" s="533"/>
      <c r="TYS14" s="533"/>
      <c r="TYT14" s="533"/>
      <c r="TYU14" s="533"/>
      <c r="TYV14" s="533"/>
      <c r="TYW14" s="533"/>
      <c r="TYX14" s="533"/>
      <c r="TYY14" s="533"/>
      <c r="TYZ14" s="533"/>
      <c r="TZA14" s="533"/>
      <c r="TZB14" s="533"/>
      <c r="TZC14" s="533"/>
      <c r="TZD14" s="533"/>
      <c r="TZE14" s="533"/>
      <c r="TZF14" s="533"/>
      <c r="TZG14" s="533"/>
      <c r="TZH14" s="533"/>
      <c r="TZI14" s="533"/>
      <c r="TZJ14" s="533"/>
      <c r="TZK14" s="533"/>
      <c r="TZL14" s="533"/>
      <c r="TZM14" s="533"/>
      <c r="TZN14" s="533"/>
      <c r="TZO14" s="533"/>
      <c r="TZP14" s="533"/>
      <c r="TZQ14" s="533"/>
      <c r="TZR14" s="533"/>
      <c r="TZS14" s="533"/>
      <c r="TZT14" s="533"/>
      <c r="TZU14" s="533"/>
      <c r="TZV14" s="533"/>
      <c r="TZW14" s="533"/>
      <c r="TZX14" s="533"/>
      <c r="TZY14" s="533"/>
      <c r="TZZ14" s="533"/>
      <c r="UAA14" s="533"/>
      <c r="UAB14" s="533"/>
      <c r="UAC14" s="533"/>
      <c r="UAD14" s="533"/>
      <c r="UAE14" s="533"/>
      <c r="UAF14" s="533"/>
      <c r="UAG14" s="533"/>
      <c r="UAH14" s="533"/>
      <c r="UAI14" s="533"/>
      <c r="UAJ14" s="533"/>
      <c r="UAK14" s="533"/>
      <c r="UAL14" s="533"/>
      <c r="UAM14" s="533"/>
      <c r="UAN14" s="533"/>
      <c r="UAO14" s="533"/>
      <c r="UAP14" s="533"/>
      <c r="UAQ14" s="533"/>
      <c r="UAR14" s="533"/>
      <c r="UAS14" s="533"/>
      <c r="UAT14" s="533"/>
      <c r="UAU14" s="533"/>
      <c r="UAV14" s="533"/>
      <c r="UAW14" s="533"/>
      <c r="UAX14" s="533"/>
      <c r="UAY14" s="533"/>
      <c r="UAZ14" s="533"/>
      <c r="UBA14" s="533"/>
      <c r="UBB14" s="533"/>
      <c r="UBC14" s="533"/>
      <c r="UBD14" s="533"/>
      <c r="UBE14" s="533"/>
      <c r="UBF14" s="533"/>
      <c r="UBG14" s="533"/>
      <c r="UBH14" s="533"/>
      <c r="UBI14" s="533"/>
      <c r="UBJ14" s="533"/>
      <c r="UBK14" s="533"/>
      <c r="UBL14" s="533"/>
      <c r="UBM14" s="533"/>
      <c r="UBN14" s="533"/>
      <c r="UBO14" s="533"/>
      <c r="UBP14" s="533"/>
      <c r="UBQ14" s="533"/>
      <c r="UBR14" s="533"/>
      <c r="UBS14" s="533"/>
      <c r="UBT14" s="533"/>
      <c r="UBU14" s="533"/>
      <c r="UBV14" s="533"/>
      <c r="UBW14" s="533"/>
      <c r="UBX14" s="533"/>
      <c r="UBY14" s="533"/>
      <c r="UBZ14" s="533"/>
      <c r="UCA14" s="533"/>
      <c r="UCB14" s="533"/>
      <c r="UCC14" s="533"/>
      <c r="UCD14" s="533"/>
      <c r="UCE14" s="533"/>
      <c r="UCF14" s="533"/>
      <c r="UCG14" s="533"/>
      <c r="UCH14" s="533"/>
      <c r="UCI14" s="533"/>
      <c r="UCJ14" s="533"/>
      <c r="UCK14" s="533"/>
      <c r="UCL14" s="533"/>
      <c r="UCM14" s="533"/>
      <c r="UCN14" s="533"/>
      <c r="UCO14" s="533"/>
      <c r="UCP14" s="533"/>
      <c r="UCQ14" s="533"/>
      <c r="UCR14" s="533"/>
      <c r="UCS14" s="533"/>
      <c r="UCT14" s="533"/>
      <c r="UCU14" s="533"/>
      <c r="UCV14" s="533"/>
      <c r="UCW14" s="533"/>
      <c r="UCX14" s="533"/>
      <c r="UCY14" s="533"/>
      <c r="UCZ14" s="533"/>
      <c r="UDA14" s="533"/>
      <c r="UDB14" s="533"/>
      <c r="UDC14" s="533"/>
      <c r="UDD14" s="533"/>
      <c r="UDE14" s="533"/>
      <c r="UDF14" s="533"/>
      <c r="UDG14" s="533"/>
      <c r="UDH14" s="533"/>
      <c r="UDI14" s="533"/>
      <c r="UDJ14" s="533"/>
      <c r="UDK14" s="533"/>
      <c r="UDL14" s="533"/>
      <c r="UDM14" s="533"/>
      <c r="UDN14" s="533"/>
      <c r="UDO14" s="533"/>
      <c r="UDP14" s="533"/>
      <c r="UDQ14" s="533"/>
      <c r="UDR14" s="533"/>
      <c r="UDS14" s="533"/>
      <c r="UDT14" s="533"/>
      <c r="UDU14" s="533"/>
      <c r="UDV14" s="533"/>
      <c r="UDW14" s="533"/>
      <c r="UDX14" s="533"/>
      <c r="UDY14" s="533"/>
      <c r="UDZ14" s="533"/>
      <c r="UEA14" s="533"/>
      <c r="UEB14" s="533"/>
      <c r="UEC14" s="533"/>
      <c r="UED14" s="533"/>
      <c r="UEE14" s="533"/>
      <c r="UEF14" s="533"/>
      <c r="UEG14" s="533"/>
      <c r="UEH14" s="533"/>
      <c r="UEI14" s="533"/>
      <c r="UEJ14" s="533"/>
      <c r="UEK14" s="533"/>
      <c r="UEL14" s="533"/>
      <c r="UEM14" s="533"/>
      <c r="UEN14" s="533"/>
      <c r="UEO14" s="533"/>
      <c r="UEP14" s="533"/>
      <c r="UEQ14" s="533"/>
      <c r="UER14" s="533"/>
      <c r="UES14" s="533"/>
      <c r="UET14" s="533"/>
      <c r="UEU14" s="533"/>
      <c r="UEV14" s="533"/>
      <c r="UEW14" s="533"/>
      <c r="UEX14" s="533"/>
      <c r="UEY14" s="533"/>
      <c r="UEZ14" s="533"/>
      <c r="UFA14" s="533"/>
      <c r="UFB14" s="533"/>
      <c r="UFC14" s="533"/>
      <c r="UFD14" s="533"/>
      <c r="UFE14" s="533"/>
      <c r="UFF14" s="533"/>
      <c r="UFG14" s="533"/>
      <c r="UFH14" s="533"/>
      <c r="UFI14" s="533"/>
      <c r="UFJ14" s="533"/>
      <c r="UFK14" s="533"/>
      <c r="UFL14" s="533"/>
      <c r="UFM14" s="533"/>
      <c r="UFN14" s="533"/>
      <c r="UFO14" s="533"/>
      <c r="UFP14" s="533"/>
      <c r="UFQ14" s="533"/>
      <c r="UFR14" s="533"/>
      <c r="UFS14" s="533"/>
      <c r="UFT14" s="533"/>
      <c r="UFU14" s="533"/>
      <c r="UFV14" s="533"/>
      <c r="UFW14" s="533"/>
      <c r="UFX14" s="533"/>
      <c r="UFY14" s="533"/>
      <c r="UFZ14" s="533"/>
      <c r="UGA14" s="533"/>
      <c r="UGB14" s="533"/>
      <c r="UGC14" s="533"/>
      <c r="UGD14" s="533"/>
      <c r="UGE14" s="533"/>
      <c r="UGF14" s="533"/>
      <c r="UGG14" s="533"/>
      <c r="UGH14" s="533"/>
      <c r="UGI14" s="533"/>
      <c r="UGJ14" s="533"/>
      <c r="UGK14" s="533"/>
      <c r="UGL14" s="533"/>
      <c r="UGM14" s="533"/>
      <c r="UGN14" s="533"/>
      <c r="UGO14" s="533"/>
      <c r="UGP14" s="533"/>
      <c r="UGQ14" s="533"/>
      <c r="UGR14" s="533"/>
      <c r="UGS14" s="533"/>
      <c r="UGT14" s="533"/>
      <c r="UGU14" s="533"/>
      <c r="UGV14" s="533"/>
      <c r="UGW14" s="533"/>
      <c r="UGX14" s="533"/>
      <c r="UGY14" s="533"/>
      <c r="UGZ14" s="533"/>
      <c r="UHA14" s="533"/>
      <c r="UHB14" s="533"/>
      <c r="UHC14" s="533"/>
      <c r="UHD14" s="533"/>
      <c r="UHE14" s="533"/>
      <c r="UHF14" s="533"/>
      <c r="UHG14" s="533"/>
      <c r="UHH14" s="533"/>
      <c r="UHI14" s="533"/>
      <c r="UHJ14" s="533"/>
      <c r="UHK14" s="533"/>
      <c r="UHL14" s="533"/>
      <c r="UHM14" s="533"/>
      <c r="UHN14" s="533"/>
      <c r="UHO14" s="533"/>
      <c r="UHP14" s="533"/>
      <c r="UHQ14" s="533"/>
      <c r="UHR14" s="533"/>
      <c r="UHS14" s="533"/>
      <c r="UHT14" s="533"/>
      <c r="UHU14" s="533"/>
      <c r="UHV14" s="533"/>
      <c r="UHW14" s="533"/>
      <c r="UHX14" s="533"/>
      <c r="UHY14" s="533"/>
      <c r="UHZ14" s="533"/>
      <c r="UIA14" s="533"/>
      <c r="UIB14" s="533"/>
      <c r="UIC14" s="533"/>
      <c r="UID14" s="533"/>
      <c r="UIE14" s="533"/>
      <c r="UIF14" s="533"/>
      <c r="UIG14" s="533"/>
      <c r="UIH14" s="533"/>
      <c r="UII14" s="533"/>
      <c r="UIJ14" s="533"/>
      <c r="UIK14" s="533"/>
      <c r="UIL14" s="533"/>
      <c r="UIM14" s="533"/>
      <c r="UIN14" s="533"/>
      <c r="UIO14" s="533"/>
      <c r="UIP14" s="533"/>
      <c r="UIQ14" s="533"/>
      <c r="UIR14" s="533"/>
      <c r="UIS14" s="533"/>
      <c r="UIT14" s="533"/>
      <c r="UIU14" s="533"/>
      <c r="UIV14" s="533"/>
      <c r="UIW14" s="533"/>
      <c r="UIX14" s="533"/>
      <c r="UIY14" s="533"/>
      <c r="UIZ14" s="533"/>
      <c r="UJA14" s="533"/>
      <c r="UJB14" s="533"/>
      <c r="UJC14" s="533"/>
      <c r="UJD14" s="533"/>
      <c r="UJE14" s="533"/>
      <c r="UJF14" s="533"/>
      <c r="UJG14" s="533"/>
      <c r="UJH14" s="533"/>
      <c r="UJI14" s="533"/>
      <c r="UJJ14" s="533"/>
      <c r="UJK14" s="533"/>
      <c r="UJL14" s="533"/>
      <c r="UJM14" s="533"/>
      <c r="UJN14" s="533"/>
      <c r="UJO14" s="533"/>
      <c r="UJP14" s="533"/>
      <c r="UJQ14" s="533"/>
      <c r="UJR14" s="533"/>
      <c r="UJS14" s="533"/>
      <c r="UJT14" s="533"/>
      <c r="UJU14" s="533"/>
      <c r="UJV14" s="533"/>
      <c r="UJW14" s="533"/>
      <c r="UJX14" s="533"/>
      <c r="UJY14" s="533"/>
      <c r="UJZ14" s="533"/>
      <c r="UKA14" s="533"/>
      <c r="UKB14" s="533"/>
      <c r="UKC14" s="533"/>
      <c r="UKD14" s="533"/>
      <c r="UKE14" s="533"/>
      <c r="UKF14" s="533"/>
      <c r="UKG14" s="533"/>
      <c r="UKH14" s="533"/>
      <c r="UKI14" s="533"/>
      <c r="UKJ14" s="533"/>
      <c r="UKK14" s="533"/>
      <c r="UKL14" s="533"/>
      <c r="UKM14" s="533"/>
      <c r="UKN14" s="533"/>
      <c r="UKO14" s="533"/>
      <c r="UKP14" s="533"/>
      <c r="UKQ14" s="533"/>
      <c r="UKR14" s="533"/>
      <c r="UKS14" s="533"/>
      <c r="UKT14" s="533"/>
      <c r="UKU14" s="533"/>
      <c r="UKV14" s="533"/>
      <c r="UKW14" s="533"/>
      <c r="UKX14" s="533"/>
      <c r="UKY14" s="533"/>
      <c r="UKZ14" s="533"/>
      <c r="ULA14" s="533"/>
      <c r="ULB14" s="533"/>
      <c r="ULC14" s="533"/>
      <c r="ULD14" s="533"/>
      <c r="ULE14" s="533"/>
      <c r="ULF14" s="533"/>
      <c r="ULG14" s="533"/>
      <c r="ULH14" s="533"/>
      <c r="ULI14" s="533"/>
      <c r="ULJ14" s="533"/>
      <c r="ULK14" s="533"/>
      <c r="ULL14" s="533"/>
      <c r="ULM14" s="533"/>
      <c r="ULN14" s="533"/>
      <c r="ULO14" s="533"/>
      <c r="ULP14" s="533"/>
      <c r="ULQ14" s="533"/>
      <c r="ULR14" s="533"/>
      <c r="ULS14" s="533"/>
      <c r="ULT14" s="533"/>
      <c r="ULU14" s="533"/>
      <c r="ULV14" s="533"/>
      <c r="ULW14" s="533"/>
      <c r="ULX14" s="533"/>
      <c r="ULY14" s="533"/>
      <c r="ULZ14" s="533"/>
      <c r="UMA14" s="533"/>
      <c r="UMB14" s="533"/>
      <c r="UMC14" s="533"/>
      <c r="UMD14" s="533"/>
      <c r="UME14" s="533"/>
      <c r="UMF14" s="533"/>
      <c r="UMG14" s="533"/>
      <c r="UMH14" s="533"/>
      <c r="UMI14" s="533"/>
      <c r="UMJ14" s="533"/>
      <c r="UMK14" s="533"/>
      <c r="UML14" s="533"/>
      <c r="UMM14" s="533"/>
      <c r="UMN14" s="533"/>
      <c r="UMO14" s="533"/>
      <c r="UMP14" s="533"/>
      <c r="UMQ14" s="533"/>
      <c r="UMR14" s="533"/>
      <c r="UMS14" s="533"/>
      <c r="UMT14" s="533"/>
      <c r="UMU14" s="533"/>
      <c r="UMV14" s="533"/>
      <c r="UMW14" s="533"/>
      <c r="UMX14" s="533"/>
      <c r="UMY14" s="533"/>
      <c r="UMZ14" s="533"/>
      <c r="UNA14" s="533"/>
      <c r="UNB14" s="533"/>
      <c r="UNC14" s="533"/>
      <c r="UND14" s="533"/>
      <c r="UNE14" s="533"/>
      <c r="UNF14" s="533"/>
      <c r="UNG14" s="533"/>
      <c r="UNH14" s="533"/>
      <c r="UNI14" s="533"/>
      <c r="UNJ14" s="533"/>
      <c r="UNK14" s="533"/>
      <c r="UNL14" s="533"/>
      <c r="UNM14" s="533"/>
      <c r="UNN14" s="533"/>
      <c r="UNO14" s="533"/>
      <c r="UNP14" s="533"/>
      <c r="UNQ14" s="533"/>
      <c r="UNR14" s="533"/>
      <c r="UNS14" s="533"/>
      <c r="UNT14" s="533"/>
      <c r="UNU14" s="533"/>
      <c r="UNV14" s="533"/>
      <c r="UNW14" s="533"/>
      <c r="UNX14" s="533"/>
      <c r="UNY14" s="533"/>
      <c r="UNZ14" s="533"/>
      <c r="UOA14" s="533"/>
      <c r="UOB14" s="533"/>
      <c r="UOC14" s="533"/>
      <c r="UOD14" s="533"/>
      <c r="UOE14" s="533"/>
      <c r="UOF14" s="533"/>
      <c r="UOG14" s="533"/>
      <c r="UOH14" s="533"/>
      <c r="UOI14" s="533"/>
      <c r="UOJ14" s="533"/>
      <c r="UOK14" s="533"/>
      <c r="UOL14" s="533"/>
      <c r="UOM14" s="533"/>
      <c r="UON14" s="533"/>
      <c r="UOO14" s="533"/>
      <c r="UOP14" s="533"/>
      <c r="UOQ14" s="533"/>
      <c r="UOR14" s="533"/>
      <c r="UOS14" s="533"/>
      <c r="UOT14" s="533"/>
      <c r="UOU14" s="533"/>
      <c r="UOV14" s="533"/>
      <c r="UOW14" s="533"/>
      <c r="UOX14" s="533"/>
      <c r="UOY14" s="533"/>
      <c r="UOZ14" s="533"/>
      <c r="UPA14" s="533"/>
      <c r="UPB14" s="533"/>
      <c r="UPC14" s="533"/>
      <c r="UPD14" s="533"/>
      <c r="UPE14" s="533"/>
      <c r="UPF14" s="533"/>
      <c r="UPG14" s="533"/>
      <c r="UPH14" s="533"/>
      <c r="UPI14" s="533"/>
      <c r="UPJ14" s="533"/>
      <c r="UPK14" s="533"/>
      <c r="UPL14" s="533"/>
      <c r="UPM14" s="533"/>
      <c r="UPN14" s="533"/>
      <c r="UPO14" s="533"/>
      <c r="UPP14" s="533"/>
      <c r="UPQ14" s="533"/>
      <c r="UPR14" s="533"/>
      <c r="UPS14" s="533"/>
      <c r="UPT14" s="533"/>
      <c r="UPU14" s="533"/>
      <c r="UPV14" s="533"/>
      <c r="UPW14" s="533"/>
      <c r="UPX14" s="533"/>
      <c r="UPY14" s="533"/>
      <c r="UPZ14" s="533"/>
      <c r="UQA14" s="533"/>
      <c r="UQB14" s="533"/>
      <c r="UQC14" s="533"/>
      <c r="UQD14" s="533"/>
      <c r="UQE14" s="533"/>
      <c r="UQF14" s="533"/>
      <c r="UQG14" s="533"/>
      <c r="UQH14" s="533"/>
      <c r="UQI14" s="533"/>
      <c r="UQJ14" s="533"/>
      <c r="UQK14" s="533"/>
      <c r="UQL14" s="533"/>
      <c r="UQM14" s="533"/>
      <c r="UQN14" s="533"/>
      <c r="UQO14" s="533"/>
      <c r="UQP14" s="533"/>
      <c r="UQQ14" s="533"/>
      <c r="UQR14" s="533"/>
      <c r="UQS14" s="533"/>
      <c r="UQT14" s="533"/>
      <c r="UQU14" s="533"/>
      <c r="UQV14" s="533"/>
      <c r="UQW14" s="533"/>
      <c r="UQX14" s="533"/>
      <c r="UQY14" s="533"/>
      <c r="UQZ14" s="533"/>
      <c r="URA14" s="533"/>
      <c r="URB14" s="533"/>
      <c r="URC14" s="533"/>
      <c r="URD14" s="533"/>
      <c r="URE14" s="533"/>
      <c r="URF14" s="533"/>
      <c r="URG14" s="533"/>
      <c r="URH14" s="533"/>
      <c r="URI14" s="533"/>
      <c r="URJ14" s="533"/>
      <c r="URK14" s="533"/>
      <c r="URL14" s="533"/>
      <c r="URM14" s="533"/>
      <c r="URN14" s="533"/>
      <c r="URO14" s="533"/>
      <c r="URP14" s="533"/>
      <c r="URQ14" s="533"/>
      <c r="URR14" s="533"/>
      <c r="URS14" s="533"/>
      <c r="URT14" s="533"/>
      <c r="URU14" s="533"/>
      <c r="URV14" s="533"/>
      <c r="URW14" s="533"/>
      <c r="URX14" s="533"/>
      <c r="URY14" s="533"/>
      <c r="URZ14" s="533"/>
      <c r="USA14" s="533"/>
      <c r="USB14" s="533"/>
      <c r="USC14" s="533"/>
      <c r="USD14" s="533"/>
      <c r="USE14" s="533"/>
      <c r="USF14" s="533"/>
      <c r="USG14" s="533"/>
      <c r="USH14" s="533"/>
      <c r="USI14" s="533"/>
      <c r="USJ14" s="533"/>
      <c r="USK14" s="533"/>
      <c r="USL14" s="533"/>
      <c r="USM14" s="533"/>
      <c r="USN14" s="533"/>
      <c r="USO14" s="533"/>
      <c r="USP14" s="533"/>
      <c r="USQ14" s="533"/>
      <c r="USR14" s="533"/>
      <c r="USS14" s="533"/>
      <c r="UST14" s="533"/>
      <c r="USU14" s="533"/>
      <c r="USV14" s="533"/>
      <c r="USW14" s="533"/>
      <c r="USX14" s="533"/>
      <c r="USY14" s="533"/>
      <c r="USZ14" s="533"/>
      <c r="UTA14" s="533"/>
      <c r="UTB14" s="533"/>
      <c r="UTC14" s="533"/>
      <c r="UTD14" s="533"/>
      <c r="UTE14" s="533"/>
      <c r="UTF14" s="533"/>
      <c r="UTG14" s="533"/>
      <c r="UTH14" s="533"/>
      <c r="UTI14" s="533"/>
      <c r="UTJ14" s="533"/>
      <c r="UTK14" s="533"/>
      <c r="UTL14" s="533"/>
      <c r="UTM14" s="533"/>
      <c r="UTN14" s="533"/>
      <c r="UTO14" s="533"/>
      <c r="UTP14" s="533"/>
      <c r="UTQ14" s="533"/>
      <c r="UTR14" s="533"/>
      <c r="UTS14" s="533"/>
      <c r="UTT14" s="533"/>
      <c r="UTU14" s="533"/>
      <c r="UTV14" s="533"/>
      <c r="UTW14" s="533"/>
      <c r="UTX14" s="533"/>
      <c r="UTY14" s="533"/>
      <c r="UTZ14" s="533"/>
      <c r="UUA14" s="533"/>
      <c r="UUB14" s="533"/>
      <c r="UUC14" s="533"/>
      <c r="UUD14" s="533"/>
      <c r="UUE14" s="533"/>
      <c r="UUF14" s="533"/>
      <c r="UUG14" s="533"/>
      <c r="UUH14" s="533"/>
      <c r="UUI14" s="533"/>
      <c r="UUJ14" s="533"/>
      <c r="UUK14" s="533"/>
      <c r="UUL14" s="533"/>
      <c r="UUM14" s="533"/>
      <c r="UUN14" s="533"/>
      <c r="UUO14" s="533"/>
      <c r="UUP14" s="533"/>
      <c r="UUQ14" s="533"/>
      <c r="UUR14" s="533"/>
      <c r="UUS14" s="533"/>
      <c r="UUT14" s="533"/>
      <c r="UUU14" s="533"/>
      <c r="UUV14" s="533"/>
      <c r="UUW14" s="533"/>
      <c r="UUX14" s="533"/>
      <c r="UUY14" s="533"/>
      <c r="UUZ14" s="533"/>
      <c r="UVA14" s="533"/>
      <c r="UVB14" s="533"/>
      <c r="UVC14" s="533"/>
      <c r="UVD14" s="533"/>
      <c r="UVE14" s="533"/>
      <c r="UVF14" s="533"/>
      <c r="UVG14" s="533"/>
      <c r="UVH14" s="533"/>
      <c r="UVI14" s="533"/>
      <c r="UVJ14" s="533"/>
      <c r="UVK14" s="533"/>
      <c r="UVL14" s="533"/>
      <c r="UVM14" s="533"/>
      <c r="UVN14" s="533"/>
      <c r="UVO14" s="533"/>
      <c r="UVP14" s="533"/>
      <c r="UVQ14" s="533"/>
      <c r="UVR14" s="533"/>
      <c r="UVS14" s="533"/>
      <c r="UVT14" s="533"/>
      <c r="UVU14" s="533"/>
      <c r="UVV14" s="533"/>
      <c r="UVW14" s="533"/>
      <c r="UVX14" s="533"/>
      <c r="UVY14" s="533"/>
      <c r="UVZ14" s="533"/>
      <c r="UWA14" s="533"/>
      <c r="UWB14" s="533"/>
      <c r="UWC14" s="533"/>
      <c r="UWD14" s="533"/>
      <c r="UWE14" s="533"/>
      <c r="UWF14" s="533"/>
      <c r="UWG14" s="533"/>
      <c r="UWH14" s="533"/>
      <c r="UWI14" s="533"/>
      <c r="UWJ14" s="533"/>
      <c r="UWK14" s="533"/>
      <c r="UWL14" s="533"/>
      <c r="UWM14" s="533"/>
      <c r="UWN14" s="533"/>
      <c r="UWO14" s="533"/>
      <c r="UWP14" s="533"/>
      <c r="UWQ14" s="533"/>
      <c r="UWR14" s="533"/>
      <c r="UWS14" s="533"/>
      <c r="UWT14" s="533"/>
      <c r="UWU14" s="533"/>
      <c r="UWV14" s="533"/>
      <c r="UWW14" s="533"/>
      <c r="UWX14" s="533"/>
      <c r="UWY14" s="533"/>
      <c r="UWZ14" s="533"/>
      <c r="UXA14" s="533"/>
      <c r="UXB14" s="533"/>
      <c r="UXC14" s="533"/>
      <c r="UXD14" s="533"/>
      <c r="UXE14" s="533"/>
      <c r="UXF14" s="533"/>
      <c r="UXG14" s="533"/>
      <c r="UXH14" s="533"/>
      <c r="UXI14" s="533"/>
      <c r="UXJ14" s="533"/>
      <c r="UXK14" s="533"/>
      <c r="UXL14" s="533"/>
      <c r="UXM14" s="533"/>
      <c r="UXN14" s="533"/>
      <c r="UXO14" s="533"/>
      <c r="UXP14" s="533"/>
      <c r="UXQ14" s="533"/>
      <c r="UXR14" s="533"/>
      <c r="UXS14" s="533"/>
      <c r="UXT14" s="533"/>
      <c r="UXU14" s="533"/>
      <c r="UXV14" s="533"/>
      <c r="UXW14" s="533"/>
      <c r="UXX14" s="533"/>
      <c r="UXY14" s="533"/>
      <c r="UXZ14" s="533"/>
      <c r="UYA14" s="533"/>
      <c r="UYB14" s="533"/>
      <c r="UYC14" s="533"/>
      <c r="UYD14" s="533"/>
      <c r="UYE14" s="533"/>
      <c r="UYF14" s="533"/>
      <c r="UYG14" s="533"/>
      <c r="UYH14" s="533"/>
      <c r="UYI14" s="533"/>
      <c r="UYJ14" s="533"/>
      <c r="UYK14" s="533"/>
      <c r="UYL14" s="533"/>
      <c r="UYM14" s="533"/>
      <c r="UYN14" s="533"/>
      <c r="UYO14" s="533"/>
      <c r="UYP14" s="533"/>
      <c r="UYQ14" s="533"/>
      <c r="UYR14" s="533"/>
      <c r="UYS14" s="533"/>
      <c r="UYT14" s="533"/>
      <c r="UYU14" s="533"/>
      <c r="UYV14" s="533"/>
      <c r="UYW14" s="533"/>
      <c r="UYX14" s="533"/>
      <c r="UYY14" s="533"/>
      <c r="UYZ14" s="533"/>
      <c r="UZA14" s="533"/>
      <c r="UZB14" s="533"/>
      <c r="UZC14" s="533"/>
      <c r="UZD14" s="533"/>
      <c r="UZE14" s="533"/>
      <c r="UZF14" s="533"/>
      <c r="UZG14" s="533"/>
      <c r="UZH14" s="533"/>
      <c r="UZI14" s="533"/>
      <c r="UZJ14" s="533"/>
      <c r="UZK14" s="533"/>
      <c r="UZL14" s="533"/>
      <c r="UZM14" s="533"/>
      <c r="UZN14" s="533"/>
      <c r="UZO14" s="533"/>
      <c r="UZP14" s="533"/>
      <c r="UZQ14" s="533"/>
      <c r="UZR14" s="533"/>
      <c r="UZS14" s="533"/>
      <c r="UZT14" s="533"/>
      <c r="UZU14" s="533"/>
      <c r="UZV14" s="533"/>
      <c r="UZW14" s="533"/>
      <c r="UZX14" s="533"/>
      <c r="UZY14" s="533"/>
      <c r="UZZ14" s="533"/>
      <c r="VAA14" s="533"/>
      <c r="VAB14" s="533"/>
      <c r="VAC14" s="533"/>
      <c r="VAD14" s="533"/>
      <c r="VAE14" s="533"/>
      <c r="VAF14" s="533"/>
      <c r="VAG14" s="533"/>
      <c r="VAH14" s="533"/>
      <c r="VAI14" s="533"/>
      <c r="VAJ14" s="533"/>
      <c r="VAK14" s="533"/>
      <c r="VAL14" s="533"/>
      <c r="VAM14" s="533"/>
      <c r="VAN14" s="533"/>
      <c r="VAO14" s="533"/>
      <c r="VAP14" s="533"/>
      <c r="VAQ14" s="533"/>
      <c r="VAR14" s="533"/>
      <c r="VAS14" s="533"/>
      <c r="VAT14" s="533"/>
      <c r="VAU14" s="533"/>
      <c r="VAV14" s="533"/>
      <c r="VAW14" s="533"/>
      <c r="VAX14" s="533"/>
      <c r="VAY14" s="533"/>
      <c r="VAZ14" s="533"/>
      <c r="VBA14" s="533"/>
      <c r="VBB14" s="533"/>
      <c r="VBC14" s="533"/>
      <c r="VBD14" s="533"/>
      <c r="VBE14" s="533"/>
      <c r="VBF14" s="533"/>
      <c r="VBG14" s="533"/>
      <c r="VBH14" s="533"/>
      <c r="VBI14" s="533"/>
      <c r="VBJ14" s="533"/>
      <c r="VBK14" s="533"/>
      <c r="VBL14" s="533"/>
      <c r="VBM14" s="533"/>
      <c r="VBN14" s="533"/>
      <c r="VBO14" s="533"/>
      <c r="VBP14" s="533"/>
      <c r="VBQ14" s="533"/>
      <c r="VBR14" s="533"/>
      <c r="VBS14" s="533"/>
      <c r="VBT14" s="533"/>
      <c r="VBU14" s="533"/>
      <c r="VBV14" s="533"/>
      <c r="VBW14" s="533"/>
      <c r="VBX14" s="533"/>
      <c r="VBY14" s="533"/>
      <c r="VBZ14" s="533"/>
      <c r="VCA14" s="533"/>
      <c r="VCB14" s="533"/>
      <c r="VCC14" s="533"/>
      <c r="VCD14" s="533"/>
      <c r="VCE14" s="533"/>
      <c r="VCF14" s="533"/>
      <c r="VCG14" s="533"/>
      <c r="VCH14" s="533"/>
      <c r="VCI14" s="533"/>
      <c r="VCJ14" s="533"/>
      <c r="VCK14" s="533"/>
      <c r="VCL14" s="533"/>
      <c r="VCM14" s="533"/>
      <c r="VCN14" s="533"/>
      <c r="VCO14" s="533"/>
      <c r="VCP14" s="533"/>
      <c r="VCQ14" s="533"/>
      <c r="VCR14" s="533"/>
      <c r="VCS14" s="533"/>
      <c r="VCT14" s="533"/>
      <c r="VCU14" s="533"/>
      <c r="VCV14" s="533"/>
      <c r="VCW14" s="533"/>
      <c r="VCX14" s="533"/>
      <c r="VCY14" s="533"/>
      <c r="VCZ14" s="533"/>
      <c r="VDA14" s="533"/>
      <c r="VDB14" s="533"/>
      <c r="VDC14" s="533"/>
      <c r="VDD14" s="533"/>
      <c r="VDE14" s="533"/>
      <c r="VDF14" s="533"/>
      <c r="VDG14" s="533"/>
      <c r="VDH14" s="533"/>
      <c r="VDI14" s="533"/>
      <c r="VDJ14" s="533"/>
      <c r="VDK14" s="533"/>
      <c r="VDL14" s="533"/>
      <c r="VDM14" s="533"/>
      <c r="VDN14" s="533"/>
      <c r="VDO14" s="533"/>
      <c r="VDP14" s="533"/>
      <c r="VDQ14" s="533"/>
      <c r="VDR14" s="533"/>
      <c r="VDS14" s="533"/>
      <c r="VDT14" s="533"/>
      <c r="VDU14" s="533"/>
      <c r="VDV14" s="533"/>
      <c r="VDW14" s="533"/>
      <c r="VDX14" s="533"/>
      <c r="VDY14" s="533"/>
      <c r="VDZ14" s="533"/>
      <c r="VEA14" s="533"/>
      <c r="VEB14" s="533"/>
      <c r="VEC14" s="533"/>
      <c r="VED14" s="533"/>
      <c r="VEE14" s="533"/>
      <c r="VEF14" s="533"/>
      <c r="VEG14" s="533"/>
      <c r="VEH14" s="533"/>
      <c r="VEI14" s="533"/>
      <c r="VEJ14" s="533"/>
      <c r="VEK14" s="533"/>
      <c r="VEL14" s="533"/>
      <c r="VEM14" s="533"/>
      <c r="VEN14" s="533"/>
      <c r="VEO14" s="533"/>
      <c r="VEP14" s="533"/>
      <c r="VEQ14" s="533"/>
      <c r="VER14" s="533"/>
      <c r="VES14" s="533"/>
      <c r="VET14" s="533"/>
      <c r="VEU14" s="533"/>
      <c r="VEV14" s="533"/>
      <c r="VEW14" s="533"/>
      <c r="VEX14" s="533"/>
      <c r="VEY14" s="533"/>
      <c r="VEZ14" s="533"/>
      <c r="VFA14" s="533"/>
      <c r="VFB14" s="533"/>
      <c r="VFC14" s="533"/>
      <c r="VFD14" s="533"/>
      <c r="VFE14" s="533"/>
      <c r="VFF14" s="533"/>
      <c r="VFG14" s="533"/>
      <c r="VFH14" s="533"/>
      <c r="VFI14" s="533"/>
      <c r="VFJ14" s="533"/>
      <c r="VFK14" s="533"/>
      <c r="VFL14" s="533"/>
      <c r="VFM14" s="533"/>
      <c r="VFN14" s="533"/>
      <c r="VFO14" s="533"/>
      <c r="VFP14" s="533"/>
      <c r="VFQ14" s="533"/>
      <c r="VFR14" s="533"/>
      <c r="VFS14" s="533"/>
      <c r="VFT14" s="533"/>
      <c r="VFU14" s="533"/>
      <c r="VFV14" s="533"/>
      <c r="VFW14" s="533"/>
      <c r="VFX14" s="533"/>
      <c r="VFY14" s="533"/>
      <c r="VFZ14" s="533"/>
      <c r="VGA14" s="533"/>
      <c r="VGB14" s="533"/>
      <c r="VGC14" s="533"/>
      <c r="VGD14" s="533"/>
      <c r="VGE14" s="533"/>
      <c r="VGF14" s="533"/>
      <c r="VGG14" s="533"/>
      <c r="VGH14" s="533"/>
      <c r="VGI14" s="533"/>
      <c r="VGJ14" s="533"/>
      <c r="VGK14" s="533"/>
      <c r="VGL14" s="533"/>
      <c r="VGM14" s="533"/>
      <c r="VGN14" s="533"/>
      <c r="VGO14" s="533"/>
      <c r="VGP14" s="533"/>
      <c r="VGQ14" s="533"/>
      <c r="VGR14" s="533"/>
      <c r="VGS14" s="533"/>
      <c r="VGT14" s="533"/>
      <c r="VGU14" s="533"/>
      <c r="VGV14" s="533"/>
      <c r="VGW14" s="533"/>
      <c r="VGX14" s="533"/>
      <c r="VGY14" s="533"/>
      <c r="VGZ14" s="533"/>
      <c r="VHA14" s="533"/>
      <c r="VHB14" s="533"/>
      <c r="VHC14" s="533"/>
      <c r="VHD14" s="533"/>
      <c r="VHE14" s="533"/>
      <c r="VHF14" s="533"/>
      <c r="VHG14" s="533"/>
      <c r="VHH14" s="533"/>
      <c r="VHI14" s="533"/>
      <c r="VHJ14" s="533"/>
      <c r="VHK14" s="533"/>
      <c r="VHL14" s="533"/>
      <c r="VHM14" s="533"/>
      <c r="VHN14" s="533"/>
      <c r="VHO14" s="533"/>
      <c r="VHP14" s="533"/>
      <c r="VHQ14" s="533"/>
      <c r="VHR14" s="533"/>
      <c r="VHS14" s="533"/>
      <c r="VHT14" s="533"/>
      <c r="VHU14" s="533"/>
      <c r="VHV14" s="533"/>
      <c r="VHW14" s="533"/>
      <c r="VHX14" s="533"/>
      <c r="VHY14" s="533"/>
      <c r="VHZ14" s="533"/>
      <c r="VIA14" s="533"/>
      <c r="VIB14" s="533"/>
      <c r="VIC14" s="533"/>
      <c r="VID14" s="533"/>
      <c r="VIE14" s="533"/>
      <c r="VIF14" s="533"/>
      <c r="VIG14" s="533"/>
      <c r="VIH14" s="533"/>
      <c r="VII14" s="533"/>
      <c r="VIJ14" s="533"/>
      <c r="VIK14" s="533"/>
      <c r="VIL14" s="533"/>
      <c r="VIM14" s="533"/>
      <c r="VIN14" s="533"/>
      <c r="VIO14" s="533"/>
      <c r="VIP14" s="533"/>
      <c r="VIQ14" s="533"/>
      <c r="VIR14" s="533"/>
      <c r="VIS14" s="533"/>
      <c r="VIT14" s="533"/>
      <c r="VIU14" s="533"/>
      <c r="VIV14" s="533"/>
      <c r="VIW14" s="533"/>
      <c r="VIX14" s="533"/>
      <c r="VIY14" s="533"/>
      <c r="VIZ14" s="533"/>
      <c r="VJA14" s="533"/>
      <c r="VJB14" s="533"/>
      <c r="VJC14" s="533"/>
      <c r="VJD14" s="533"/>
      <c r="VJE14" s="533"/>
      <c r="VJF14" s="533"/>
      <c r="VJG14" s="533"/>
      <c r="VJH14" s="533"/>
      <c r="VJI14" s="533"/>
      <c r="VJJ14" s="533"/>
      <c r="VJK14" s="533"/>
      <c r="VJL14" s="533"/>
      <c r="VJM14" s="533"/>
      <c r="VJN14" s="533"/>
      <c r="VJO14" s="533"/>
      <c r="VJP14" s="533"/>
      <c r="VJQ14" s="533"/>
      <c r="VJR14" s="533"/>
      <c r="VJS14" s="533"/>
      <c r="VJT14" s="533"/>
      <c r="VJU14" s="533"/>
      <c r="VJV14" s="533"/>
      <c r="VJW14" s="533"/>
      <c r="VJX14" s="533"/>
      <c r="VJY14" s="533"/>
      <c r="VJZ14" s="533"/>
      <c r="VKA14" s="533"/>
      <c r="VKB14" s="533"/>
      <c r="VKC14" s="533"/>
      <c r="VKD14" s="533"/>
      <c r="VKE14" s="533"/>
      <c r="VKF14" s="533"/>
      <c r="VKG14" s="533"/>
      <c r="VKH14" s="533"/>
      <c r="VKI14" s="533"/>
      <c r="VKJ14" s="533"/>
      <c r="VKK14" s="533"/>
      <c r="VKL14" s="533"/>
      <c r="VKM14" s="533"/>
      <c r="VKN14" s="533"/>
      <c r="VKO14" s="533"/>
      <c r="VKP14" s="533"/>
      <c r="VKQ14" s="533"/>
      <c r="VKR14" s="533"/>
      <c r="VKS14" s="533"/>
      <c r="VKT14" s="533"/>
      <c r="VKU14" s="533"/>
      <c r="VKV14" s="533"/>
      <c r="VKW14" s="533"/>
      <c r="VKX14" s="533"/>
      <c r="VKY14" s="533"/>
      <c r="VKZ14" s="533"/>
      <c r="VLA14" s="533"/>
      <c r="VLB14" s="533"/>
      <c r="VLC14" s="533"/>
      <c r="VLD14" s="533"/>
      <c r="VLE14" s="533"/>
      <c r="VLF14" s="533"/>
      <c r="VLG14" s="533"/>
      <c r="VLH14" s="533"/>
      <c r="VLI14" s="533"/>
      <c r="VLJ14" s="533"/>
      <c r="VLK14" s="533"/>
      <c r="VLL14" s="533"/>
      <c r="VLM14" s="533"/>
      <c r="VLN14" s="533"/>
      <c r="VLO14" s="533"/>
      <c r="VLP14" s="533"/>
      <c r="VLQ14" s="533"/>
      <c r="VLR14" s="533"/>
      <c r="VLS14" s="533"/>
      <c r="VLT14" s="533"/>
      <c r="VLU14" s="533"/>
      <c r="VLV14" s="533"/>
      <c r="VLW14" s="533"/>
      <c r="VLX14" s="533"/>
      <c r="VLY14" s="533"/>
      <c r="VLZ14" s="533"/>
      <c r="VMA14" s="533"/>
      <c r="VMB14" s="533"/>
      <c r="VMC14" s="533"/>
      <c r="VMD14" s="533"/>
      <c r="VME14" s="533"/>
      <c r="VMF14" s="533"/>
      <c r="VMG14" s="533"/>
      <c r="VMH14" s="533"/>
      <c r="VMI14" s="533"/>
      <c r="VMJ14" s="533"/>
      <c r="VMK14" s="533"/>
      <c r="VML14" s="533"/>
      <c r="VMM14" s="533"/>
      <c r="VMN14" s="533"/>
      <c r="VMO14" s="533"/>
      <c r="VMP14" s="533"/>
      <c r="VMQ14" s="533"/>
      <c r="VMR14" s="533"/>
      <c r="VMS14" s="533"/>
      <c r="VMT14" s="533"/>
      <c r="VMU14" s="533"/>
      <c r="VMV14" s="533"/>
      <c r="VMW14" s="533"/>
      <c r="VMX14" s="533"/>
      <c r="VMY14" s="533"/>
      <c r="VMZ14" s="533"/>
      <c r="VNA14" s="533"/>
      <c r="VNB14" s="533"/>
      <c r="VNC14" s="533"/>
      <c r="VND14" s="533"/>
      <c r="VNE14" s="533"/>
      <c r="VNF14" s="533"/>
      <c r="VNG14" s="533"/>
      <c r="VNH14" s="533"/>
      <c r="VNI14" s="533"/>
      <c r="VNJ14" s="533"/>
      <c r="VNK14" s="533"/>
      <c r="VNL14" s="533"/>
      <c r="VNM14" s="533"/>
      <c r="VNN14" s="533"/>
      <c r="VNO14" s="533"/>
      <c r="VNP14" s="533"/>
      <c r="VNQ14" s="533"/>
      <c r="VNR14" s="533"/>
      <c r="VNS14" s="533"/>
      <c r="VNT14" s="533"/>
      <c r="VNU14" s="533"/>
      <c r="VNV14" s="533"/>
      <c r="VNW14" s="533"/>
      <c r="VNX14" s="533"/>
      <c r="VNY14" s="533"/>
      <c r="VNZ14" s="533"/>
      <c r="VOA14" s="533"/>
      <c r="VOB14" s="533"/>
      <c r="VOC14" s="533"/>
      <c r="VOD14" s="533"/>
      <c r="VOE14" s="533"/>
      <c r="VOF14" s="533"/>
      <c r="VOG14" s="533"/>
      <c r="VOH14" s="533"/>
      <c r="VOI14" s="533"/>
      <c r="VOJ14" s="533"/>
      <c r="VOK14" s="533"/>
      <c r="VOL14" s="533"/>
      <c r="VOM14" s="533"/>
      <c r="VON14" s="533"/>
      <c r="VOO14" s="533"/>
      <c r="VOP14" s="533"/>
      <c r="VOQ14" s="533"/>
      <c r="VOR14" s="533"/>
      <c r="VOS14" s="533"/>
      <c r="VOT14" s="533"/>
      <c r="VOU14" s="533"/>
      <c r="VOV14" s="533"/>
      <c r="VOW14" s="533"/>
      <c r="VOX14" s="533"/>
      <c r="VOY14" s="533"/>
      <c r="VOZ14" s="533"/>
      <c r="VPA14" s="533"/>
      <c r="VPB14" s="533"/>
      <c r="VPC14" s="533"/>
      <c r="VPD14" s="533"/>
      <c r="VPE14" s="533"/>
      <c r="VPF14" s="533"/>
      <c r="VPG14" s="533"/>
      <c r="VPH14" s="533"/>
      <c r="VPI14" s="533"/>
      <c r="VPJ14" s="533"/>
      <c r="VPK14" s="533"/>
      <c r="VPL14" s="533"/>
      <c r="VPM14" s="533"/>
      <c r="VPN14" s="533"/>
      <c r="VPO14" s="533"/>
      <c r="VPP14" s="533"/>
      <c r="VPQ14" s="533"/>
      <c r="VPR14" s="533"/>
      <c r="VPS14" s="533"/>
      <c r="VPT14" s="533"/>
      <c r="VPU14" s="533"/>
      <c r="VPV14" s="533"/>
      <c r="VPW14" s="533"/>
      <c r="VPX14" s="533"/>
      <c r="VPY14" s="533"/>
      <c r="VPZ14" s="533"/>
      <c r="VQA14" s="533"/>
      <c r="VQB14" s="533"/>
      <c r="VQC14" s="533"/>
      <c r="VQD14" s="533"/>
      <c r="VQE14" s="533"/>
      <c r="VQF14" s="533"/>
      <c r="VQG14" s="533"/>
      <c r="VQH14" s="533"/>
      <c r="VQI14" s="533"/>
      <c r="VQJ14" s="533"/>
      <c r="VQK14" s="533"/>
      <c r="VQL14" s="533"/>
      <c r="VQM14" s="533"/>
      <c r="VQN14" s="533"/>
      <c r="VQO14" s="533"/>
      <c r="VQP14" s="533"/>
      <c r="VQQ14" s="533"/>
      <c r="VQR14" s="533"/>
      <c r="VQS14" s="533"/>
      <c r="VQT14" s="533"/>
      <c r="VQU14" s="533"/>
      <c r="VQV14" s="533"/>
      <c r="VQW14" s="533"/>
      <c r="VQX14" s="533"/>
      <c r="VQY14" s="533"/>
      <c r="VQZ14" s="533"/>
      <c r="VRA14" s="533"/>
      <c r="VRB14" s="533"/>
      <c r="VRC14" s="533"/>
      <c r="VRD14" s="533"/>
      <c r="VRE14" s="533"/>
      <c r="VRF14" s="533"/>
      <c r="VRG14" s="533"/>
      <c r="VRH14" s="533"/>
      <c r="VRI14" s="533"/>
      <c r="VRJ14" s="533"/>
      <c r="VRK14" s="533"/>
      <c r="VRL14" s="533"/>
      <c r="VRM14" s="533"/>
      <c r="VRN14" s="533"/>
      <c r="VRO14" s="533"/>
      <c r="VRP14" s="533"/>
      <c r="VRQ14" s="533"/>
      <c r="VRR14" s="533"/>
      <c r="VRS14" s="533"/>
      <c r="VRT14" s="533"/>
      <c r="VRU14" s="533"/>
      <c r="VRV14" s="533"/>
      <c r="VRW14" s="533"/>
      <c r="VRX14" s="533"/>
      <c r="VRY14" s="533"/>
      <c r="VRZ14" s="533"/>
      <c r="VSA14" s="533"/>
      <c r="VSB14" s="533"/>
      <c r="VSC14" s="533"/>
      <c r="VSD14" s="533"/>
      <c r="VSE14" s="533"/>
      <c r="VSF14" s="533"/>
      <c r="VSG14" s="533"/>
      <c r="VSH14" s="533"/>
      <c r="VSI14" s="533"/>
      <c r="VSJ14" s="533"/>
      <c r="VSK14" s="533"/>
      <c r="VSL14" s="533"/>
      <c r="VSM14" s="533"/>
      <c r="VSN14" s="533"/>
      <c r="VSO14" s="533"/>
      <c r="VSP14" s="533"/>
      <c r="VSQ14" s="533"/>
      <c r="VSR14" s="533"/>
      <c r="VSS14" s="533"/>
      <c r="VST14" s="533"/>
      <c r="VSU14" s="533"/>
      <c r="VSV14" s="533"/>
      <c r="VSW14" s="533"/>
      <c r="VSX14" s="533"/>
      <c r="VSY14" s="533"/>
      <c r="VSZ14" s="533"/>
      <c r="VTA14" s="533"/>
      <c r="VTB14" s="533"/>
      <c r="VTC14" s="533"/>
      <c r="VTD14" s="533"/>
      <c r="VTE14" s="533"/>
      <c r="VTF14" s="533"/>
      <c r="VTG14" s="533"/>
      <c r="VTH14" s="533"/>
      <c r="VTI14" s="533"/>
      <c r="VTJ14" s="533"/>
      <c r="VTK14" s="533"/>
      <c r="VTL14" s="533"/>
      <c r="VTM14" s="533"/>
      <c r="VTN14" s="533"/>
      <c r="VTO14" s="533"/>
      <c r="VTP14" s="533"/>
      <c r="VTQ14" s="533"/>
      <c r="VTR14" s="533"/>
      <c r="VTS14" s="533"/>
      <c r="VTT14" s="533"/>
      <c r="VTU14" s="533"/>
      <c r="VTV14" s="533"/>
      <c r="VTW14" s="533"/>
      <c r="VTX14" s="533"/>
      <c r="VTY14" s="533"/>
      <c r="VTZ14" s="533"/>
      <c r="VUA14" s="533"/>
      <c r="VUB14" s="533"/>
      <c r="VUC14" s="533"/>
      <c r="VUD14" s="533"/>
      <c r="VUE14" s="533"/>
      <c r="VUF14" s="533"/>
      <c r="VUG14" s="533"/>
      <c r="VUH14" s="533"/>
      <c r="VUI14" s="533"/>
      <c r="VUJ14" s="533"/>
      <c r="VUK14" s="533"/>
      <c r="VUL14" s="533"/>
      <c r="VUM14" s="533"/>
      <c r="VUN14" s="533"/>
      <c r="VUO14" s="533"/>
      <c r="VUP14" s="533"/>
      <c r="VUQ14" s="533"/>
      <c r="VUR14" s="533"/>
      <c r="VUS14" s="533"/>
      <c r="VUT14" s="533"/>
      <c r="VUU14" s="533"/>
      <c r="VUV14" s="533"/>
      <c r="VUW14" s="533"/>
      <c r="VUX14" s="533"/>
      <c r="VUY14" s="533"/>
      <c r="VUZ14" s="533"/>
      <c r="VVA14" s="533"/>
      <c r="VVB14" s="533"/>
      <c r="VVC14" s="533"/>
      <c r="VVD14" s="533"/>
      <c r="VVE14" s="533"/>
      <c r="VVF14" s="533"/>
      <c r="VVG14" s="533"/>
      <c r="VVH14" s="533"/>
      <c r="VVI14" s="533"/>
      <c r="VVJ14" s="533"/>
      <c r="VVK14" s="533"/>
      <c r="VVL14" s="533"/>
      <c r="VVM14" s="533"/>
      <c r="VVN14" s="533"/>
      <c r="VVO14" s="533"/>
      <c r="VVP14" s="533"/>
      <c r="VVQ14" s="533"/>
      <c r="VVR14" s="533"/>
      <c r="VVS14" s="533"/>
      <c r="VVT14" s="533"/>
      <c r="VVU14" s="533"/>
      <c r="VVV14" s="533"/>
      <c r="VVW14" s="533"/>
      <c r="VVX14" s="533"/>
      <c r="VVY14" s="533"/>
      <c r="VVZ14" s="533"/>
      <c r="VWA14" s="533"/>
      <c r="VWB14" s="533"/>
      <c r="VWC14" s="533"/>
      <c r="VWD14" s="533"/>
      <c r="VWE14" s="533"/>
      <c r="VWF14" s="533"/>
      <c r="VWG14" s="533"/>
      <c r="VWH14" s="533"/>
      <c r="VWI14" s="533"/>
      <c r="VWJ14" s="533"/>
      <c r="VWK14" s="533"/>
      <c r="VWL14" s="533"/>
      <c r="VWM14" s="533"/>
      <c r="VWN14" s="533"/>
      <c r="VWO14" s="533"/>
      <c r="VWP14" s="533"/>
      <c r="VWQ14" s="533"/>
      <c r="VWR14" s="533"/>
      <c r="VWS14" s="533"/>
      <c r="VWT14" s="533"/>
      <c r="VWU14" s="533"/>
      <c r="VWV14" s="533"/>
      <c r="VWW14" s="533"/>
      <c r="VWX14" s="533"/>
      <c r="VWY14" s="533"/>
      <c r="VWZ14" s="533"/>
      <c r="VXA14" s="533"/>
      <c r="VXB14" s="533"/>
      <c r="VXC14" s="533"/>
      <c r="VXD14" s="533"/>
      <c r="VXE14" s="533"/>
      <c r="VXF14" s="533"/>
      <c r="VXG14" s="533"/>
      <c r="VXH14" s="533"/>
      <c r="VXI14" s="533"/>
      <c r="VXJ14" s="533"/>
      <c r="VXK14" s="533"/>
      <c r="VXL14" s="533"/>
      <c r="VXM14" s="533"/>
      <c r="VXN14" s="533"/>
      <c r="VXO14" s="533"/>
      <c r="VXP14" s="533"/>
      <c r="VXQ14" s="533"/>
      <c r="VXR14" s="533"/>
      <c r="VXS14" s="533"/>
      <c r="VXT14" s="533"/>
      <c r="VXU14" s="533"/>
      <c r="VXV14" s="533"/>
      <c r="VXW14" s="533"/>
      <c r="VXX14" s="533"/>
      <c r="VXY14" s="533"/>
      <c r="VXZ14" s="533"/>
      <c r="VYA14" s="533"/>
      <c r="VYB14" s="533"/>
      <c r="VYC14" s="533"/>
      <c r="VYD14" s="533"/>
      <c r="VYE14" s="533"/>
      <c r="VYF14" s="533"/>
      <c r="VYG14" s="533"/>
      <c r="VYH14" s="533"/>
      <c r="VYI14" s="533"/>
      <c r="VYJ14" s="533"/>
      <c r="VYK14" s="533"/>
      <c r="VYL14" s="533"/>
      <c r="VYM14" s="533"/>
      <c r="VYN14" s="533"/>
      <c r="VYO14" s="533"/>
      <c r="VYP14" s="533"/>
      <c r="VYQ14" s="533"/>
      <c r="VYR14" s="533"/>
      <c r="VYS14" s="533"/>
      <c r="VYT14" s="533"/>
      <c r="VYU14" s="533"/>
      <c r="VYV14" s="533"/>
      <c r="VYW14" s="533"/>
      <c r="VYX14" s="533"/>
      <c r="VYY14" s="533"/>
      <c r="VYZ14" s="533"/>
      <c r="VZA14" s="533"/>
      <c r="VZB14" s="533"/>
      <c r="VZC14" s="533"/>
      <c r="VZD14" s="533"/>
      <c r="VZE14" s="533"/>
      <c r="VZF14" s="533"/>
      <c r="VZG14" s="533"/>
      <c r="VZH14" s="533"/>
      <c r="VZI14" s="533"/>
      <c r="VZJ14" s="533"/>
      <c r="VZK14" s="533"/>
      <c r="VZL14" s="533"/>
      <c r="VZM14" s="533"/>
      <c r="VZN14" s="533"/>
      <c r="VZO14" s="533"/>
      <c r="VZP14" s="533"/>
      <c r="VZQ14" s="533"/>
      <c r="VZR14" s="533"/>
      <c r="VZS14" s="533"/>
      <c r="VZT14" s="533"/>
      <c r="VZU14" s="533"/>
      <c r="VZV14" s="533"/>
      <c r="VZW14" s="533"/>
      <c r="VZX14" s="533"/>
      <c r="VZY14" s="533"/>
      <c r="VZZ14" s="533"/>
      <c r="WAA14" s="533"/>
      <c r="WAB14" s="533"/>
      <c r="WAC14" s="533"/>
      <c r="WAD14" s="533"/>
      <c r="WAE14" s="533"/>
      <c r="WAF14" s="533"/>
      <c r="WAG14" s="533"/>
      <c r="WAH14" s="533"/>
      <c r="WAI14" s="533"/>
      <c r="WAJ14" s="533"/>
      <c r="WAK14" s="533"/>
      <c r="WAL14" s="533"/>
      <c r="WAM14" s="533"/>
      <c r="WAN14" s="533"/>
      <c r="WAO14" s="533"/>
      <c r="WAP14" s="533"/>
      <c r="WAQ14" s="533"/>
      <c r="WAR14" s="533"/>
      <c r="WAS14" s="533"/>
      <c r="WAT14" s="533"/>
      <c r="WAU14" s="533"/>
      <c r="WAV14" s="533"/>
      <c r="WAW14" s="533"/>
      <c r="WAX14" s="533"/>
      <c r="WAY14" s="533"/>
      <c r="WAZ14" s="533"/>
      <c r="WBA14" s="533"/>
      <c r="WBB14" s="533"/>
      <c r="WBC14" s="533"/>
      <c r="WBD14" s="533"/>
      <c r="WBE14" s="533"/>
      <c r="WBF14" s="533"/>
      <c r="WBG14" s="533"/>
      <c r="WBH14" s="533"/>
      <c r="WBI14" s="533"/>
      <c r="WBJ14" s="533"/>
      <c r="WBK14" s="533"/>
      <c r="WBL14" s="533"/>
      <c r="WBM14" s="533"/>
      <c r="WBN14" s="533"/>
      <c r="WBO14" s="533"/>
      <c r="WBP14" s="533"/>
      <c r="WBQ14" s="533"/>
      <c r="WBR14" s="533"/>
      <c r="WBS14" s="533"/>
      <c r="WBT14" s="533"/>
      <c r="WBU14" s="533"/>
      <c r="WBV14" s="533"/>
      <c r="WBW14" s="533"/>
      <c r="WBX14" s="533"/>
      <c r="WBY14" s="533"/>
      <c r="WBZ14" s="533"/>
      <c r="WCA14" s="533"/>
      <c r="WCB14" s="533"/>
      <c r="WCC14" s="533"/>
      <c r="WCD14" s="533"/>
      <c r="WCE14" s="533"/>
      <c r="WCF14" s="533"/>
      <c r="WCG14" s="533"/>
      <c r="WCH14" s="533"/>
      <c r="WCI14" s="533"/>
      <c r="WCJ14" s="533"/>
      <c r="WCK14" s="533"/>
      <c r="WCL14" s="533"/>
      <c r="WCM14" s="533"/>
      <c r="WCN14" s="533"/>
      <c r="WCO14" s="533"/>
      <c r="WCP14" s="533"/>
      <c r="WCQ14" s="533"/>
      <c r="WCR14" s="533"/>
      <c r="WCS14" s="533"/>
      <c r="WCT14" s="533"/>
      <c r="WCU14" s="533"/>
      <c r="WCV14" s="533"/>
      <c r="WCW14" s="533"/>
      <c r="WCX14" s="533"/>
      <c r="WCY14" s="533"/>
      <c r="WCZ14" s="533"/>
      <c r="WDA14" s="533"/>
      <c r="WDB14" s="533"/>
      <c r="WDC14" s="533"/>
      <c r="WDD14" s="533"/>
      <c r="WDE14" s="533"/>
      <c r="WDF14" s="533"/>
      <c r="WDG14" s="533"/>
      <c r="WDH14" s="533"/>
      <c r="WDI14" s="533"/>
      <c r="WDJ14" s="533"/>
      <c r="WDK14" s="533"/>
      <c r="WDL14" s="533"/>
      <c r="WDM14" s="533"/>
      <c r="WDN14" s="533"/>
      <c r="WDO14" s="533"/>
      <c r="WDP14" s="533"/>
      <c r="WDQ14" s="533"/>
      <c r="WDR14" s="533"/>
      <c r="WDS14" s="533"/>
      <c r="WDT14" s="533"/>
      <c r="WDU14" s="533"/>
      <c r="WDV14" s="533"/>
      <c r="WDW14" s="533"/>
      <c r="WDX14" s="533"/>
      <c r="WDY14" s="533"/>
      <c r="WDZ14" s="533"/>
      <c r="WEA14" s="533"/>
      <c r="WEB14" s="533"/>
      <c r="WEC14" s="533"/>
      <c r="WED14" s="533"/>
      <c r="WEE14" s="533"/>
      <c r="WEF14" s="533"/>
      <c r="WEG14" s="533"/>
      <c r="WEH14" s="533"/>
      <c r="WEI14" s="533"/>
      <c r="WEJ14" s="533"/>
      <c r="WEK14" s="533"/>
      <c r="WEL14" s="533"/>
      <c r="WEM14" s="533"/>
      <c r="WEN14" s="533"/>
      <c r="WEO14" s="533"/>
      <c r="WEP14" s="533"/>
      <c r="WEQ14" s="533"/>
      <c r="WER14" s="533"/>
      <c r="WES14" s="533"/>
      <c r="WET14" s="533"/>
      <c r="WEU14" s="533"/>
      <c r="WEV14" s="533"/>
      <c r="WEW14" s="533"/>
      <c r="WEX14" s="533"/>
      <c r="WEY14" s="533"/>
      <c r="WEZ14" s="533"/>
      <c r="WFA14" s="533"/>
      <c r="WFB14" s="533"/>
      <c r="WFC14" s="533"/>
      <c r="WFD14" s="533"/>
      <c r="WFE14" s="533"/>
      <c r="WFF14" s="533"/>
      <c r="WFG14" s="533"/>
      <c r="WFH14" s="533"/>
      <c r="WFI14" s="533"/>
      <c r="WFJ14" s="533"/>
      <c r="WFK14" s="533"/>
      <c r="WFL14" s="533"/>
      <c r="WFM14" s="533"/>
      <c r="WFN14" s="533"/>
      <c r="WFO14" s="533"/>
      <c r="WFP14" s="533"/>
      <c r="WFQ14" s="533"/>
      <c r="WFR14" s="533"/>
      <c r="WFS14" s="533"/>
      <c r="WFT14" s="533"/>
      <c r="WFU14" s="533"/>
      <c r="WFV14" s="533"/>
      <c r="WFW14" s="533"/>
      <c r="WFX14" s="533"/>
      <c r="WFY14" s="533"/>
      <c r="WFZ14" s="533"/>
      <c r="WGA14" s="533"/>
      <c r="WGB14" s="533"/>
      <c r="WGC14" s="533"/>
      <c r="WGD14" s="533"/>
      <c r="WGE14" s="533"/>
      <c r="WGF14" s="533"/>
      <c r="WGG14" s="533"/>
      <c r="WGH14" s="533"/>
      <c r="WGI14" s="533"/>
      <c r="WGJ14" s="533"/>
      <c r="WGK14" s="533"/>
      <c r="WGL14" s="533"/>
      <c r="WGM14" s="533"/>
      <c r="WGN14" s="533"/>
      <c r="WGO14" s="533"/>
      <c r="WGP14" s="533"/>
      <c r="WGQ14" s="533"/>
      <c r="WGR14" s="533"/>
      <c r="WGS14" s="533"/>
      <c r="WGT14" s="533"/>
      <c r="WGU14" s="533"/>
      <c r="WGV14" s="533"/>
      <c r="WGW14" s="533"/>
      <c r="WGX14" s="533"/>
      <c r="WGY14" s="533"/>
      <c r="WGZ14" s="533"/>
      <c r="WHA14" s="533"/>
      <c r="WHB14" s="533"/>
      <c r="WHC14" s="533"/>
      <c r="WHD14" s="533"/>
      <c r="WHE14" s="533"/>
      <c r="WHF14" s="533"/>
      <c r="WHG14" s="533"/>
      <c r="WHH14" s="533"/>
      <c r="WHI14" s="533"/>
      <c r="WHJ14" s="533"/>
      <c r="WHK14" s="533"/>
      <c r="WHL14" s="533"/>
      <c r="WHM14" s="533"/>
      <c r="WHN14" s="533"/>
      <c r="WHO14" s="533"/>
      <c r="WHP14" s="533"/>
      <c r="WHQ14" s="533"/>
      <c r="WHR14" s="533"/>
      <c r="WHS14" s="533"/>
      <c r="WHT14" s="533"/>
      <c r="WHU14" s="533"/>
      <c r="WHV14" s="533"/>
      <c r="WHW14" s="533"/>
      <c r="WHX14" s="533"/>
      <c r="WHY14" s="533"/>
      <c r="WHZ14" s="533"/>
      <c r="WIA14" s="533"/>
      <c r="WIB14" s="533"/>
      <c r="WIC14" s="533"/>
      <c r="WID14" s="533"/>
      <c r="WIE14" s="533"/>
      <c r="WIF14" s="533"/>
      <c r="WIG14" s="533"/>
      <c r="WIH14" s="533"/>
      <c r="WII14" s="533"/>
      <c r="WIJ14" s="533"/>
      <c r="WIK14" s="533"/>
      <c r="WIL14" s="533"/>
      <c r="WIM14" s="533"/>
      <c r="WIN14" s="533"/>
      <c r="WIO14" s="533"/>
      <c r="WIP14" s="533"/>
      <c r="WIQ14" s="533"/>
      <c r="WIR14" s="533"/>
      <c r="WIS14" s="533"/>
      <c r="WIT14" s="533"/>
      <c r="WIU14" s="533"/>
      <c r="WIV14" s="533"/>
      <c r="WIW14" s="533"/>
      <c r="WIX14" s="533"/>
      <c r="WIY14" s="533"/>
      <c r="WIZ14" s="533"/>
      <c r="WJA14" s="533"/>
      <c r="WJB14" s="533"/>
      <c r="WJC14" s="533"/>
      <c r="WJD14" s="533"/>
      <c r="WJE14" s="533"/>
      <c r="WJF14" s="533"/>
      <c r="WJG14" s="533"/>
      <c r="WJH14" s="533"/>
      <c r="WJI14" s="533"/>
      <c r="WJJ14" s="533"/>
      <c r="WJK14" s="533"/>
      <c r="WJL14" s="533"/>
      <c r="WJM14" s="533"/>
      <c r="WJN14" s="533"/>
      <c r="WJO14" s="533"/>
      <c r="WJP14" s="533"/>
      <c r="WJQ14" s="533"/>
      <c r="WJR14" s="533"/>
      <c r="WJS14" s="533"/>
      <c r="WJT14" s="533"/>
      <c r="WJU14" s="533"/>
      <c r="WJV14" s="533"/>
      <c r="WJW14" s="533"/>
      <c r="WJX14" s="533"/>
      <c r="WJY14" s="533"/>
      <c r="WJZ14" s="533"/>
      <c r="WKA14" s="533"/>
      <c r="WKB14" s="533"/>
      <c r="WKC14" s="533"/>
      <c r="WKD14" s="533"/>
      <c r="WKE14" s="533"/>
      <c r="WKF14" s="533"/>
      <c r="WKG14" s="533"/>
      <c r="WKH14" s="533"/>
      <c r="WKI14" s="533"/>
      <c r="WKJ14" s="533"/>
      <c r="WKK14" s="533"/>
      <c r="WKL14" s="533"/>
      <c r="WKM14" s="533"/>
      <c r="WKN14" s="533"/>
      <c r="WKO14" s="533"/>
      <c r="WKP14" s="533"/>
      <c r="WKQ14" s="533"/>
      <c r="WKR14" s="533"/>
      <c r="WKS14" s="533"/>
      <c r="WKT14" s="533"/>
      <c r="WKU14" s="533"/>
      <c r="WKV14" s="533"/>
      <c r="WKW14" s="533"/>
      <c r="WKX14" s="533"/>
      <c r="WKY14" s="533"/>
      <c r="WKZ14" s="533"/>
      <c r="WLA14" s="533"/>
      <c r="WLB14" s="533"/>
      <c r="WLC14" s="533"/>
      <c r="WLD14" s="533"/>
      <c r="WLE14" s="533"/>
      <c r="WLF14" s="533"/>
      <c r="WLG14" s="533"/>
      <c r="WLH14" s="533"/>
      <c r="WLI14" s="533"/>
      <c r="WLJ14" s="533"/>
      <c r="WLK14" s="533"/>
      <c r="WLL14" s="533"/>
      <c r="WLM14" s="533"/>
      <c r="WLN14" s="533"/>
      <c r="WLO14" s="533"/>
      <c r="WLP14" s="533"/>
      <c r="WLQ14" s="533"/>
      <c r="WLR14" s="533"/>
      <c r="WLS14" s="533"/>
      <c r="WLT14" s="533"/>
      <c r="WLU14" s="533"/>
      <c r="WLV14" s="533"/>
      <c r="WLW14" s="533"/>
      <c r="WLX14" s="533"/>
      <c r="WLY14" s="533"/>
      <c r="WLZ14" s="533"/>
      <c r="WMA14" s="533"/>
      <c r="WMB14" s="533"/>
      <c r="WMC14" s="533"/>
      <c r="WMD14" s="533"/>
      <c r="WME14" s="533"/>
      <c r="WMF14" s="533"/>
      <c r="WMG14" s="533"/>
      <c r="WMH14" s="533"/>
      <c r="WMI14" s="533"/>
      <c r="WMJ14" s="533"/>
      <c r="WMK14" s="533"/>
      <c r="WML14" s="533"/>
      <c r="WMM14" s="533"/>
      <c r="WMN14" s="533"/>
      <c r="WMO14" s="533"/>
      <c r="WMP14" s="533"/>
      <c r="WMQ14" s="533"/>
      <c r="WMR14" s="533"/>
      <c r="WMS14" s="533"/>
      <c r="WMT14" s="533"/>
      <c r="WMU14" s="533"/>
      <c r="WMV14" s="533"/>
      <c r="WMW14" s="533"/>
      <c r="WMX14" s="533"/>
      <c r="WMY14" s="533"/>
      <c r="WMZ14" s="533"/>
      <c r="WNA14" s="533"/>
      <c r="WNB14" s="533"/>
      <c r="WNC14" s="533"/>
      <c r="WND14" s="533"/>
      <c r="WNE14" s="533"/>
      <c r="WNF14" s="533"/>
      <c r="WNG14" s="533"/>
      <c r="WNH14" s="533"/>
      <c r="WNI14" s="533"/>
      <c r="WNJ14" s="533"/>
      <c r="WNK14" s="533"/>
      <c r="WNL14" s="533"/>
      <c r="WNM14" s="533"/>
      <c r="WNN14" s="533"/>
      <c r="WNO14" s="533"/>
      <c r="WNP14" s="533"/>
      <c r="WNQ14" s="533"/>
      <c r="WNR14" s="533"/>
      <c r="WNS14" s="533"/>
      <c r="WNT14" s="533"/>
      <c r="WNU14" s="533"/>
      <c r="WNV14" s="533"/>
      <c r="WNW14" s="533"/>
      <c r="WNX14" s="533"/>
      <c r="WNY14" s="533"/>
      <c r="WNZ14" s="533"/>
      <c r="WOA14" s="533"/>
      <c r="WOB14" s="533"/>
      <c r="WOC14" s="533"/>
      <c r="WOD14" s="533"/>
      <c r="WOE14" s="533"/>
      <c r="WOF14" s="533"/>
      <c r="WOG14" s="533"/>
      <c r="WOH14" s="533"/>
      <c r="WOI14" s="533"/>
      <c r="WOJ14" s="533"/>
      <c r="WOK14" s="533"/>
      <c r="WOL14" s="533"/>
      <c r="WOM14" s="533"/>
      <c r="WON14" s="533"/>
      <c r="WOO14" s="533"/>
      <c r="WOP14" s="533"/>
      <c r="WOQ14" s="533"/>
      <c r="WOR14" s="533"/>
      <c r="WOS14" s="533"/>
      <c r="WOT14" s="533"/>
      <c r="WOU14" s="533"/>
      <c r="WOV14" s="533"/>
      <c r="WOW14" s="533"/>
      <c r="WOX14" s="533"/>
      <c r="WOY14" s="533"/>
      <c r="WOZ14" s="533"/>
      <c r="WPA14" s="533"/>
      <c r="WPB14" s="533"/>
      <c r="WPC14" s="533"/>
      <c r="WPD14" s="533"/>
      <c r="WPE14" s="533"/>
      <c r="WPF14" s="533"/>
      <c r="WPG14" s="533"/>
      <c r="WPH14" s="533"/>
      <c r="WPI14" s="533"/>
      <c r="WPJ14" s="533"/>
      <c r="WPK14" s="533"/>
      <c r="WPL14" s="533"/>
      <c r="WPM14" s="533"/>
      <c r="WPN14" s="533"/>
      <c r="WPO14" s="533"/>
      <c r="WPP14" s="533"/>
      <c r="WPQ14" s="533"/>
      <c r="WPR14" s="533"/>
      <c r="WPS14" s="533"/>
      <c r="WPT14" s="533"/>
      <c r="WPU14" s="533"/>
      <c r="WPV14" s="533"/>
      <c r="WPW14" s="533"/>
      <c r="WPX14" s="533"/>
      <c r="WPY14" s="533"/>
      <c r="WPZ14" s="533"/>
      <c r="WQA14" s="533"/>
      <c r="WQB14" s="533"/>
      <c r="WQC14" s="533"/>
      <c r="WQD14" s="533"/>
      <c r="WQE14" s="533"/>
      <c r="WQF14" s="533"/>
      <c r="WQG14" s="533"/>
      <c r="WQH14" s="533"/>
      <c r="WQI14" s="533"/>
      <c r="WQJ14" s="533"/>
      <c r="WQK14" s="533"/>
      <c r="WQL14" s="533"/>
      <c r="WQM14" s="533"/>
      <c r="WQN14" s="533"/>
      <c r="WQO14" s="533"/>
      <c r="WQP14" s="533"/>
      <c r="WQQ14" s="533"/>
      <c r="WQR14" s="533"/>
      <c r="WQS14" s="533"/>
      <c r="WQT14" s="533"/>
      <c r="WQU14" s="533"/>
      <c r="WQV14" s="533"/>
      <c r="WQW14" s="533"/>
      <c r="WQX14" s="533"/>
      <c r="WQY14" s="533"/>
      <c r="WQZ14" s="533"/>
      <c r="WRA14" s="533"/>
      <c r="WRB14" s="533"/>
      <c r="WRC14" s="533"/>
      <c r="WRD14" s="533"/>
      <c r="WRE14" s="533"/>
      <c r="WRF14" s="533"/>
      <c r="WRG14" s="533"/>
      <c r="WRH14" s="533"/>
      <c r="WRI14" s="533"/>
      <c r="WRJ14" s="533"/>
      <c r="WRK14" s="533"/>
      <c r="WRL14" s="533"/>
      <c r="WRM14" s="533"/>
      <c r="WRN14" s="533"/>
      <c r="WRO14" s="533"/>
      <c r="WRP14" s="533"/>
      <c r="WRQ14" s="533"/>
      <c r="WRR14" s="533"/>
      <c r="WRS14" s="533"/>
      <c r="WRT14" s="533"/>
      <c r="WRU14" s="533"/>
      <c r="WRV14" s="533"/>
      <c r="WRW14" s="533"/>
      <c r="WRX14" s="533"/>
      <c r="WRY14" s="533"/>
      <c r="WRZ14" s="533"/>
      <c r="WSA14" s="533"/>
      <c r="WSB14" s="533"/>
      <c r="WSC14" s="533"/>
      <c r="WSD14" s="533"/>
      <c r="WSE14" s="533"/>
      <c r="WSF14" s="533"/>
      <c r="WSG14" s="533"/>
      <c r="WSH14" s="533"/>
      <c r="WSI14" s="533"/>
      <c r="WSJ14" s="533"/>
      <c r="WSK14" s="533"/>
      <c r="WSL14" s="533"/>
      <c r="WSM14" s="533"/>
      <c r="WSN14" s="533"/>
      <c r="WSO14" s="533"/>
      <c r="WSP14" s="533"/>
      <c r="WSQ14" s="533"/>
      <c r="WSR14" s="533"/>
      <c r="WSS14" s="533"/>
      <c r="WST14" s="533"/>
      <c r="WSU14" s="533"/>
      <c r="WSV14" s="533"/>
      <c r="WSW14" s="533"/>
      <c r="WSX14" s="533"/>
      <c r="WSY14" s="533"/>
      <c r="WSZ14" s="533"/>
      <c r="WTA14" s="533"/>
      <c r="WTB14" s="533"/>
      <c r="WTC14" s="533"/>
      <c r="WTD14" s="533"/>
      <c r="WTE14" s="533"/>
      <c r="WTF14" s="533"/>
      <c r="WTG14" s="533"/>
      <c r="WTH14" s="533"/>
      <c r="WTI14" s="533"/>
      <c r="WTJ14" s="533"/>
      <c r="WTK14" s="533"/>
      <c r="WTL14" s="533"/>
      <c r="WTM14" s="533"/>
      <c r="WTN14" s="533"/>
      <c r="WTO14" s="533"/>
      <c r="WTP14" s="533"/>
      <c r="WTQ14" s="533"/>
      <c r="WTR14" s="533"/>
      <c r="WTS14" s="533"/>
      <c r="WTT14" s="533"/>
      <c r="WTU14" s="533"/>
      <c r="WTV14" s="533"/>
      <c r="WTW14" s="533"/>
      <c r="WTX14" s="533"/>
      <c r="WTY14" s="533"/>
      <c r="WTZ14" s="533"/>
      <c r="WUA14" s="533"/>
      <c r="WUB14" s="533"/>
      <c r="WUC14" s="533"/>
      <c r="WUD14" s="533"/>
      <c r="WUE14" s="533"/>
      <c r="WUF14" s="533"/>
      <c r="WUG14" s="533"/>
      <c r="WUH14" s="533"/>
      <c r="WUI14" s="533"/>
      <c r="WUJ14" s="533"/>
      <c r="WUK14" s="533"/>
      <c r="WUL14" s="533"/>
      <c r="WUM14" s="533"/>
      <c r="WUN14" s="533"/>
      <c r="WUO14" s="533"/>
      <c r="WUP14" s="533"/>
      <c r="WUQ14" s="533"/>
      <c r="WUR14" s="533"/>
      <c r="WUS14" s="533"/>
      <c r="WUT14" s="533"/>
      <c r="WUU14" s="533"/>
      <c r="WUV14" s="533"/>
      <c r="WUW14" s="533"/>
      <c r="WUX14" s="533"/>
      <c r="WUY14" s="533"/>
      <c r="WUZ14" s="533"/>
      <c r="WVA14" s="533"/>
      <c r="WVB14" s="533"/>
      <c r="WVC14" s="533"/>
      <c r="WVD14" s="533"/>
      <c r="WVE14" s="533"/>
      <c r="WVF14" s="533"/>
      <c r="WVG14" s="533"/>
      <c r="WVH14" s="533"/>
      <c r="WVI14" s="533"/>
      <c r="WVJ14" s="533"/>
      <c r="WVK14" s="533"/>
      <c r="WVL14" s="533"/>
      <c r="WVM14" s="533"/>
      <c r="WVN14" s="533"/>
      <c r="WVO14" s="533"/>
      <c r="WVP14" s="533"/>
      <c r="WVQ14" s="533"/>
      <c r="WVR14" s="533"/>
      <c r="WVS14" s="533"/>
      <c r="WVT14" s="533"/>
      <c r="WVU14" s="533"/>
      <c r="WVV14" s="533"/>
      <c r="WVW14" s="533"/>
      <c r="WVX14" s="533"/>
      <c r="WVY14" s="533"/>
      <c r="WVZ14" s="533"/>
      <c r="WWA14" s="533"/>
      <c r="WWB14" s="533"/>
      <c r="WWC14" s="533"/>
      <c r="WWD14" s="533"/>
      <c r="WWE14" s="533"/>
      <c r="WWF14" s="533"/>
      <c r="WWG14" s="533"/>
      <c r="WWH14" s="533"/>
      <c r="WWI14" s="533"/>
      <c r="WWJ14" s="533"/>
      <c r="WWK14" s="533"/>
      <c r="WWL14" s="533"/>
      <c r="WWM14" s="533"/>
      <c r="WWN14" s="533"/>
      <c r="WWO14" s="533"/>
      <c r="WWP14" s="533"/>
      <c r="WWQ14" s="533"/>
      <c r="WWR14" s="533"/>
      <c r="WWS14" s="533"/>
      <c r="WWT14" s="533"/>
      <c r="WWU14" s="533"/>
      <c r="WWV14" s="533"/>
      <c r="WWW14" s="533"/>
      <c r="WWX14" s="533"/>
      <c r="WWY14" s="533"/>
      <c r="WWZ14" s="533"/>
      <c r="WXA14" s="533"/>
      <c r="WXB14" s="533"/>
      <c r="WXC14" s="533"/>
      <c r="WXD14" s="533"/>
      <c r="WXE14" s="533"/>
      <c r="WXF14" s="533"/>
      <c r="WXG14" s="533"/>
      <c r="WXH14" s="533"/>
      <c r="WXI14" s="533"/>
      <c r="WXJ14" s="533"/>
      <c r="WXK14" s="533"/>
      <c r="WXL14" s="533"/>
      <c r="WXM14" s="533"/>
      <c r="WXN14" s="533"/>
      <c r="WXO14" s="533"/>
      <c r="WXP14" s="533"/>
      <c r="WXQ14" s="533"/>
      <c r="WXR14" s="533"/>
      <c r="WXS14" s="533"/>
      <c r="WXT14" s="533"/>
      <c r="WXU14" s="533"/>
      <c r="WXV14" s="533"/>
      <c r="WXW14" s="533"/>
      <c r="WXX14" s="533"/>
      <c r="WXY14" s="533"/>
      <c r="WXZ14" s="533"/>
      <c r="WYA14" s="533"/>
      <c r="WYB14" s="533"/>
      <c r="WYC14" s="533"/>
      <c r="WYD14" s="533"/>
      <c r="WYE14" s="533"/>
      <c r="WYF14" s="533"/>
      <c r="WYG14" s="533"/>
      <c r="WYH14" s="533"/>
      <c r="WYI14" s="533"/>
      <c r="WYJ14" s="533"/>
      <c r="WYK14" s="533"/>
      <c r="WYL14" s="533"/>
      <c r="WYM14" s="533"/>
      <c r="WYN14" s="533"/>
      <c r="WYO14" s="533"/>
      <c r="WYP14" s="533"/>
      <c r="WYQ14" s="533"/>
      <c r="WYR14" s="533"/>
      <c r="WYS14" s="533"/>
      <c r="WYT14" s="533"/>
      <c r="WYU14" s="533"/>
      <c r="WYV14" s="533"/>
      <c r="WYW14" s="533"/>
      <c r="WYX14" s="533"/>
      <c r="WYY14" s="533"/>
      <c r="WYZ14" s="533"/>
      <c r="WZA14" s="533"/>
      <c r="WZB14" s="533"/>
      <c r="WZC14" s="533"/>
      <c r="WZD14" s="533"/>
      <c r="WZE14" s="533"/>
      <c r="WZF14" s="533"/>
      <c r="WZG14" s="533"/>
      <c r="WZH14" s="533"/>
      <c r="WZI14" s="533"/>
      <c r="WZJ14" s="533"/>
      <c r="WZK14" s="533"/>
      <c r="WZL14" s="533"/>
      <c r="WZM14" s="533"/>
      <c r="WZN14" s="533"/>
      <c r="WZO14" s="533"/>
      <c r="WZP14" s="533"/>
      <c r="WZQ14" s="533"/>
      <c r="WZR14" s="533"/>
      <c r="WZS14" s="533"/>
      <c r="WZT14" s="533"/>
      <c r="WZU14" s="533"/>
      <c r="WZV14" s="533"/>
      <c r="WZW14" s="533"/>
      <c r="WZX14" s="533"/>
      <c r="WZY14" s="533"/>
      <c r="WZZ14" s="533"/>
      <c r="XAA14" s="533"/>
      <c r="XAB14" s="533"/>
      <c r="XAC14" s="533"/>
      <c r="XAD14" s="533"/>
      <c r="XAE14" s="533"/>
      <c r="XAF14" s="533"/>
      <c r="XAG14" s="533"/>
      <c r="XAH14" s="533"/>
      <c r="XAI14" s="533"/>
      <c r="XAJ14" s="533"/>
      <c r="XAK14" s="533"/>
      <c r="XAL14" s="533"/>
      <c r="XAM14" s="533"/>
      <c r="XAN14" s="533"/>
      <c r="XAO14" s="533"/>
      <c r="XAP14" s="533"/>
      <c r="XAQ14" s="533"/>
      <c r="XAR14" s="533"/>
      <c r="XAS14" s="533"/>
      <c r="XAT14" s="533"/>
      <c r="XAU14" s="533"/>
      <c r="XAV14" s="533"/>
      <c r="XAW14" s="533"/>
      <c r="XAX14" s="533"/>
      <c r="XAY14" s="533"/>
      <c r="XAZ14" s="533"/>
      <c r="XBA14" s="533"/>
      <c r="XBB14" s="533"/>
      <c r="XBC14" s="533"/>
      <c r="XBD14" s="533"/>
      <c r="XBE14" s="533"/>
      <c r="XBF14" s="533"/>
      <c r="XBG14" s="533"/>
      <c r="XBH14" s="533"/>
      <c r="XBI14" s="533"/>
      <c r="XBJ14" s="533"/>
      <c r="XBK14" s="533"/>
      <c r="XBL14" s="533"/>
      <c r="XBM14" s="533"/>
      <c r="XBN14" s="533"/>
      <c r="XBO14" s="533"/>
      <c r="XBP14" s="533"/>
      <c r="XBQ14" s="533"/>
      <c r="XBR14" s="533"/>
      <c r="XBS14" s="533"/>
      <c r="XBT14" s="533"/>
      <c r="XBU14" s="533"/>
      <c r="XBV14" s="533"/>
      <c r="XBW14" s="533"/>
      <c r="XBX14" s="533"/>
      <c r="XBY14" s="533"/>
      <c r="XBZ14" s="533"/>
      <c r="XCA14" s="533"/>
      <c r="XCB14" s="533"/>
      <c r="XCC14" s="533"/>
      <c r="XCD14" s="533"/>
      <c r="XCE14" s="533"/>
      <c r="XCF14" s="533"/>
      <c r="XCG14" s="533"/>
      <c r="XCH14" s="533"/>
      <c r="XCI14" s="533"/>
      <c r="XCJ14" s="533"/>
      <c r="XCK14" s="533"/>
      <c r="XCL14" s="533"/>
      <c r="XCM14" s="533"/>
      <c r="XCN14" s="533"/>
      <c r="XCO14" s="533"/>
      <c r="XCP14" s="533"/>
      <c r="XCQ14" s="533"/>
      <c r="XCR14" s="533"/>
      <c r="XCS14" s="533"/>
      <c r="XCT14" s="533"/>
      <c r="XCU14" s="533"/>
      <c r="XCV14" s="533"/>
      <c r="XCW14" s="533"/>
      <c r="XCX14" s="533"/>
      <c r="XCY14" s="533"/>
      <c r="XCZ14" s="533"/>
      <c r="XDA14" s="533"/>
      <c r="XDB14" s="533"/>
      <c r="XDC14" s="533"/>
      <c r="XDD14" s="533"/>
      <c r="XDE14" s="533"/>
      <c r="XDF14" s="533"/>
      <c r="XDG14" s="533"/>
      <c r="XDH14" s="533"/>
      <c r="XDI14" s="533"/>
      <c r="XDJ14" s="533"/>
      <c r="XDK14" s="533"/>
      <c r="XDL14" s="533"/>
      <c r="XDM14" s="533"/>
      <c r="XDN14" s="533"/>
      <c r="XDO14" s="533"/>
      <c r="XDP14" s="533"/>
      <c r="XDQ14" s="533"/>
      <c r="XDR14" s="533"/>
      <c r="XDS14" s="533"/>
      <c r="XDT14" s="533"/>
      <c r="XDU14" s="533"/>
      <c r="XDV14" s="533"/>
      <c r="XDW14" s="533"/>
      <c r="XDX14" s="533"/>
      <c r="XDY14" s="533"/>
      <c r="XDZ14" s="533"/>
      <c r="XEA14" s="533"/>
      <c r="XEB14" s="533"/>
      <c r="XEC14" s="533"/>
      <c r="XED14" s="533"/>
      <c r="XEE14" s="533"/>
      <c r="XEF14" s="533"/>
      <c r="XEG14" s="533"/>
      <c r="XEH14" s="533"/>
      <c r="XEI14" s="533"/>
      <c r="XEJ14" s="533"/>
      <c r="XEK14" s="533"/>
      <c r="XEL14" s="533"/>
      <c r="XEM14" s="533"/>
      <c r="XEN14" s="533"/>
      <c r="XEO14" s="533"/>
      <c r="XEP14" s="533"/>
      <c r="XEQ14" s="533"/>
      <c r="XER14" s="533"/>
      <c r="XES14" s="533"/>
      <c r="XET14" s="533"/>
      <c r="XEU14" s="533"/>
      <c r="XEV14" s="533"/>
      <c r="XEW14" s="533"/>
      <c r="XEX14" s="533"/>
      <c r="XEY14" s="533"/>
      <c r="XEZ14" s="533"/>
      <c r="XFA14" s="533"/>
      <c r="XFB14" s="533"/>
      <c r="XFC14" s="533"/>
      <c r="XFD14" s="533"/>
    </row>
    <row r="15" spans="1:16384" ht="21" customHeight="1" x14ac:dyDescent="0.3">
      <c r="A15" s="379" t="s">
        <v>334</v>
      </c>
      <c r="B15" s="380">
        <v>68</v>
      </c>
      <c r="C15" s="380">
        <v>68</v>
      </c>
      <c r="D15" s="380">
        <v>68</v>
      </c>
      <c r="E15" s="380">
        <v>68</v>
      </c>
      <c r="F15" s="380">
        <v>68</v>
      </c>
      <c r="G15" s="380">
        <v>68</v>
      </c>
      <c r="H15" s="380">
        <v>68</v>
      </c>
      <c r="I15" s="380">
        <v>68</v>
      </c>
      <c r="J15" s="380">
        <v>68</v>
      </c>
      <c r="K15" s="380">
        <v>68</v>
      </c>
      <c r="L15" s="380">
        <v>68</v>
      </c>
      <c r="M15" s="380">
        <v>68</v>
      </c>
      <c r="N15" s="380">
        <v>68</v>
      </c>
      <c r="O15" s="380">
        <v>68</v>
      </c>
      <c r="P15" s="380">
        <v>68</v>
      </c>
      <c r="Q15" s="380">
        <v>68</v>
      </c>
      <c r="R15" s="534" t="s">
        <v>340</v>
      </c>
    </row>
    <row r="16" spans="1:16384" ht="21" customHeight="1" x14ac:dyDescent="0.3">
      <c r="A16" s="379" t="s">
        <v>336</v>
      </c>
      <c r="B16" s="380">
        <v>68</v>
      </c>
      <c r="C16" s="380">
        <v>68</v>
      </c>
      <c r="D16" s="380">
        <v>68</v>
      </c>
      <c r="E16" s="380">
        <v>68</v>
      </c>
      <c r="F16" s="380">
        <v>68</v>
      </c>
      <c r="G16" s="380">
        <v>68</v>
      </c>
      <c r="H16" s="380">
        <v>68</v>
      </c>
      <c r="I16" s="380">
        <v>68</v>
      </c>
      <c r="J16" s="380">
        <v>68</v>
      </c>
      <c r="K16" s="380">
        <v>68</v>
      </c>
      <c r="L16" s="380">
        <v>68</v>
      </c>
      <c r="M16" s="380">
        <v>68</v>
      </c>
      <c r="N16" s="380">
        <v>68</v>
      </c>
      <c r="O16" s="380">
        <v>68</v>
      </c>
      <c r="P16" s="380">
        <v>68</v>
      </c>
      <c r="Q16" s="380">
        <v>68</v>
      </c>
      <c r="R16" s="534"/>
    </row>
    <row r="17" spans="1:18" ht="21" customHeight="1" x14ac:dyDescent="0.3">
      <c r="A17" s="379" t="s">
        <v>337</v>
      </c>
      <c r="B17" s="380">
        <v>78</v>
      </c>
      <c r="C17" s="380">
        <v>78</v>
      </c>
      <c r="D17" s="380">
        <v>78</v>
      </c>
      <c r="E17" s="380">
        <v>78</v>
      </c>
      <c r="F17" s="380">
        <v>78</v>
      </c>
      <c r="G17" s="380">
        <v>78</v>
      </c>
      <c r="H17" s="380">
        <v>78</v>
      </c>
      <c r="I17" s="380">
        <v>78</v>
      </c>
      <c r="J17" s="380">
        <v>78</v>
      </c>
      <c r="K17" s="380">
        <v>78</v>
      </c>
      <c r="L17" s="380">
        <v>78</v>
      </c>
      <c r="M17" s="380">
        <v>78</v>
      </c>
      <c r="N17" s="380">
        <v>78</v>
      </c>
      <c r="O17" s="380">
        <v>78</v>
      </c>
      <c r="P17" s="380">
        <v>78</v>
      </c>
      <c r="Q17" s="380">
        <v>78</v>
      </c>
      <c r="R17" s="534"/>
    </row>
    <row r="18" spans="1:18" ht="21" customHeight="1" x14ac:dyDescent="0.3">
      <c r="A18" s="379" t="s">
        <v>338</v>
      </c>
      <c r="B18" s="380">
        <v>78</v>
      </c>
      <c r="C18" s="380">
        <v>78</v>
      </c>
      <c r="D18" s="380">
        <v>78</v>
      </c>
      <c r="E18" s="380">
        <v>78</v>
      </c>
      <c r="F18" s="380">
        <v>78</v>
      </c>
      <c r="G18" s="380">
        <v>78</v>
      </c>
      <c r="H18" s="380">
        <v>78</v>
      </c>
      <c r="I18" s="380">
        <v>78</v>
      </c>
      <c r="J18" s="380">
        <v>78</v>
      </c>
      <c r="K18" s="380">
        <v>78</v>
      </c>
      <c r="L18" s="380">
        <v>78</v>
      </c>
      <c r="M18" s="380">
        <v>78</v>
      </c>
      <c r="N18" s="380">
        <v>78</v>
      </c>
      <c r="O18" s="380">
        <v>78</v>
      </c>
      <c r="P18" s="380">
        <v>78</v>
      </c>
      <c r="Q18" s="380">
        <v>78</v>
      </c>
      <c r="R18" s="534"/>
    </row>
    <row r="20" spans="1:18" x14ac:dyDescent="0.3">
      <c r="A20" s="381" t="s">
        <v>341</v>
      </c>
    </row>
  </sheetData>
  <mergeCells count="918">
    <mergeCell ref="XEI14:XEZ14"/>
    <mergeCell ref="XFA14:XFD14"/>
    <mergeCell ref="XAW14:XBN14"/>
    <mergeCell ref="XBO14:XCF14"/>
    <mergeCell ref="XCG14:XCX14"/>
    <mergeCell ref="XCY14:XDP14"/>
    <mergeCell ref="XDQ14:XEH14"/>
    <mergeCell ref="WXK14:WYB14"/>
    <mergeCell ref="WYC14:WYT14"/>
    <mergeCell ref="WYU14:WZL14"/>
    <mergeCell ref="WZM14:XAD14"/>
    <mergeCell ref="XAE14:XAV14"/>
    <mergeCell ref="WTY14:WUP14"/>
    <mergeCell ref="WUQ14:WVH14"/>
    <mergeCell ref="WVI14:WVZ14"/>
    <mergeCell ref="WWA14:WWR14"/>
    <mergeCell ref="WWS14:WXJ14"/>
    <mergeCell ref="WQM14:WRD14"/>
    <mergeCell ref="WRE14:WRV14"/>
    <mergeCell ref="WRW14:WSN14"/>
    <mergeCell ref="WSO14:WTF14"/>
    <mergeCell ref="WTG14:WTX14"/>
    <mergeCell ref="WNA14:WNR14"/>
    <mergeCell ref="WNS14:WOJ14"/>
    <mergeCell ref="WOK14:WPB14"/>
    <mergeCell ref="WPC14:WPT14"/>
    <mergeCell ref="WPU14:WQL14"/>
    <mergeCell ref="WJO14:WKF14"/>
    <mergeCell ref="WKG14:WKX14"/>
    <mergeCell ref="WKY14:WLP14"/>
    <mergeCell ref="WLQ14:WMH14"/>
    <mergeCell ref="WMI14:WMZ14"/>
    <mergeCell ref="WGC14:WGT14"/>
    <mergeCell ref="WGU14:WHL14"/>
    <mergeCell ref="WHM14:WID14"/>
    <mergeCell ref="WIE14:WIV14"/>
    <mergeCell ref="WIW14:WJN14"/>
    <mergeCell ref="WCQ14:WDH14"/>
    <mergeCell ref="WDI14:WDZ14"/>
    <mergeCell ref="WEA14:WER14"/>
    <mergeCell ref="WES14:WFJ14"/>
    <mergeCell ref="WFK14:WGB14"/>
    <mergeCell ref="VZE14:VZV14"/>
    <mergeCell ref="VZW14:WAN14"/>
    <mergeCell ref="WAO14:WBF14"/>
    <mergeCell ref="WBG14:WBX14"/>
    <mergeCell ref="WBY14:WCP14"/>
    <mergeCell ref="VVS14:VWJ14"/>
    <mergeCell ref="VWK14:VXB14"/>
    <mergeCell ref="VXC14:VXT14"/>
    <mergeCell ref="VXU14:VYL14"/>
    <mergeCell ref="VYM14:VZD14"/>
    <mergeCell ref="VSG14:VSX14"/>
    <mergeCell ref="VSY14:VTP14"/>
    <mergeCell ref="VTQ14:VUH14"/>
    <mergeCell ref="VUI14:VUZ14"/>
    <mergeCell ref="VVA14:VVR14"/>
    <mergeCell ref="VOU14:VPL14"/>
    <mergeCell ref="VPM14:VQD14"/>
    <mergeCell ref="VQE14:VQV14"/>
    <mergeCell ref="VQW14:VRN14"/>
    <mergeCell ref="VRO14:VSF14"/>
    <mergeCell ref="VLI14:VLZ14"/>
    <mergeCell ref="VMA14:VMR14"/>
    <mergeCell ref="VMS14:VNJ14"/>
    <mergeCell ref="VNK14:VOB14"/>
    <mergeCell ref="VOC14:VOT14"/>
    <mergeCell ref="VHW14:VIN14"/>
    <mergeCell ref="VIO14:VJF14"/>
    <mergeCell ref="VJG14:VJX14"/>
    <mergeCell ref="VJY14:VKP14"/>
    <mergeCell ref="VKQ14:VLH14"/>
    <mergeCell ref="VEK14:VFB14"/>
    <mergeCell ref="VFC14:VFT14"/>
    <mergeCell ref="VFU14:VGL14"/>
    <mergeCell ref="VGM14:VHD14"/>
    <mergeCell ref="VHE14:VHV14"/>
    <mergeCell ref="VAY14:VBP14"/>
    <mergeCell ref="VBQ14:VCH14"/>
    <mergeCell ref="VCI14:VCZ14"/>
    <mergeCell ref="VDA14:VDR14"/>
    <mergeCell ref="VDS14:VEJ14"/>
    <mergeCell ref="UXM14:UYD14"/>
    <mergeCell ref="UYE14:UYV14"/>
    <mergeCell ref="UYW14:UZN14"/>
    <mergeCell ref="UZO14:VAF14"/>
    <mergeCell ref="VAG14:VAX14"/>
    <mergeCell ref="UUA14:UUR14"/>
    <mergeCell ref="UUS14:UVJ14"/>
    <mergeCell ref="UVK14:UWB14"/>
    <mergeCell ref="UWC14:UWT14"/>
    <mergeCell ref="UWU14:UXL14"/>
    <mergeCell ref="UQO14:URF14"/>
    <mergeCell ref="URG14:URX14"/>
    <mergeCell ref="URY14:USP14"/>
    <mergeCell ref="USQ14:UTH14"/>
    <mergeCell ref="UTI14:UTZ14"/>
    <mergeCell ref="UNC14:UNT14"/>
    <mergeCell ref="UNU14:UOL14"/>
    <mergeCell ref="UOM14:UPD14"/>
    <mergeCell ref="UPE14:UPV14"/>
    <mergeCell ref="UPW14:UQN14"/>
    <mergeCell ref="UJQ14:UKH14"/>
    <mergeCell ref="UKI14:UKZ14"/>
    <mergeCell ref="ULA14:ULR14"/>
    <mergeCell ref="ULS14:UMJ14"/>
    <mergeCell ref="UMK14:UNB14"/>
    <mergeCell ref="UGE14:UGV14"/>
    <mergeCell ref="UGW14:UHN14"/>
    <mergeCell ref="UHO14:UIF14"/>
    <mergeCell ref="UIG14:UIX14"/>
    <mergeCell ref="UIY14:UJP14"/>
    <mergeCell ref="UCS14:UDJ14"/>
    <mergeCell ref="UDK14:UEB14"/>
    <mergeCell ref="UEC14:UET14"/>
    <mergeCell ref="UEU14:UFL14"/>
    <mergeCell ref="UFM14:UGD14"/>
    <mergeCell ref="TZG14:TZX14"/>
    <mergeCell ref="TZY14:UAP14"/>
    <mergeCell ref="UAQ14:UBH14"/>
    <mergeCell ref="UBI14:UBZ14"/>
    <mergeCell ref="UCA14:UCR14"/>
    <mergeCell ref="TVU14:TWL14"/>
    <mergeCell ref="TWM14:TXD14"/>
    <mergeCell ref="TXE14:TXV14"/>
    <mergeCell ref="TXW14:TYN14"/>
    <mergeCell ref="TYO14:TZF14"/>
    <mergeCell ref="TSI14:TSZ14"/>
    <mergeCell ref="TTA14:TTR14"/>
    <mergeCell ref="TTS14:TUJ14"/>
    <mergeCell ref="TUK14:TVB14"/>
    <mergeCell ref="TVC14:TVT14"/>
    <mergeCell ref="TOW14:TPN14"/>
    <mergeCell ref="TPO14:TQF14"/>
    <mergeCell ref="TQG14:TQX14"/>
    <mergeCell ref="TQY14:TRP14"/>
    <mergeCell ref="TRQ14:TSH14"/>
    <mergeCell ref="TLK14:TMB14"/>
    <mergeCell ref="TMC14:TMT14"/>
    <mergeCell ref="TMU14:TNL14"/>
    <mergeCell ref="TNM14:TOD14"/>
    <mergeCell ref="TOE14:TOV14"/>
    <mergeCell ref="THY14:TIP14"/>
    <mergeCell ref="TIQ14:TJH14"/>
    <mergeCell ref="TJI14:TJZ14"/>
    <mergeCell ref="TKA14:TKR14"/>
    <mergeCell ref="TKS14:TLJ14"/>
    <mergeCell ref="TEM14:TFD14"/>
    <mergeCell ref="TFE14:TFV14"/>
    <mergeCell ref="TFW14:TGN14"/>
    <mergeCell ref="TGO14:THF14"/>
    <mergeCell ref="THG14:THX14"/>
    <mergeCell ref="TBA14:TBR14"/>
    <mergeCell ref="TBS14:TCJ14"/>
    <mergeCell ref="TCK14:TDB14"/>
    <mergeCell ref="TDC14:TDT14"/>
    <mergeCell ref="TDU14:TEL14"/>
    <mergeCell ref="SXO14:SYF14"/>
    <mergeCell ref="SYG14:SYX14"/>
    <mergeCell ref="SYY14:SZP14"/>
    <mergeCell ref="SZQ14:TAH14"/>
    <mergeCell ref="TAI14:TAZ14"/>
    <mergeCell ref="SUC14:SUT14"/>
    <mergeCell ref="SUU14:SVL14"/>
    <mergeCell ref="SVM14:SWD14"/>
    <mergeCell ref="SWE14:SWV14"/>
    <mergeCell ref="SWW14:SXN14"/>
    <mergeCell ref="SQQ14:SRH14"/>
    <mergeCell ref="SRI14:SRZ14"/>
    <mergeCell ref="SSA14:SSR14"/>
    <mergeCell ref="SSS14:STJ14"/>
    <mergeCell ref="STK14:SUB14"/>
    <mergeCell ref="SNE14:SNV14"/>
    <mergeCell ref="SNW14:SON14"/>
    <mergeCell ref="SOO14:SPF14"/>
    <mergeCell ref="SPG14:SPX14"/>
    <mergeCell ref="SPY14:SQP14"/>
    <mergeCell ref="SJS14:SKJ14"/>
    <mergeCell ref="SKK14:SLB14"/>
    <mergeCell ref="SLC14:SLT14"/>
    <mergeCell ref="SLU14:SML14"/>
    <mergeCell ref="SMM14:SND14"/>
    <mergeCell ref="SGG14:SGX14"/>
    <mergeCell ref="SGY14:SHP14"/>
    <mergeCell ref="SHQ14:SIH14"/>
    <mergeCell ref="SII14:SIZ14"/>
    <mergeCell ref="SJA14:SJR14"/>
    <mergeCell ref="SCU14:SDL14"/>
    <mergeCell ref="SDM14:SED14"/>
    <mergeCell ref="SEE14:SEV14"/>
    <mergeCell ref="SEW14:SFN14"/>
    <mergeCell ref="SFO14:SGF14"/>
    <mergeCell ref="RZI14:RZZ14"/>
    <mergeCell ref="SAA14:SAR14"/>
    <mergeCell ref="SAS14:SBJ14"/>
    <mergeCell ref="SBK14:SCB14"/>
    <mergeCell ref="SCC14:SCT14"/>
    <mergeCell ref="RVW14:RWN14"/>
    <mergeCell ref="RWO14:RXF14"/>
    <mergeCell ref="RXG14:RXX14"/>
    <mergeCell ref="RXY14:RYP14"/>
    <mergeCell ref="RYQ14:RZH14"/>
    <mergeCell ref="RSK14:RTB14"/>
    <mergeCell ref="RTC14:RTT14"/>
    <mergeCell ref="RTU14:RUL14"/>
    <mergeCell ref="RUM14:RVD14"/>
    <mergeCell ref="RVE14:RVV14"/>
    <mergeCell ref="ROY14:RPP14"/>
    <mergeCell ref="RPQ14:RQH14"/>
    <mergeCell ref="RQI14:RQZ14"/>
    <mergeCell ref="RRA14:RRR14"/>
    <mergeCell ref="RRS14:RSJ14"/>
    <mergeCell ref="RLM14:RMD14"/>
    <mergeCell ref="RME14:RMV14"/>
    <mergeCell ref="RMW14:RNN14"/>
    <mergeCell ref="RNO14:ROF14"/>
    <mergeCell ref="ROG14:ROX14"/>
    <mergeCell ref="RIA14:RIR14"/>
    <mergeCell ref="RIS14:RJJ14"/>
    <mergeCell ref="RJK14:RKB14"/>
    <mergeCell ref="RKC14:RKT14"/>
    <mergeCell ref="RKU14:RLL14"/>
    <mergeCell ref="REO14:RFF14"/>
    <mergeCell ref="RFG14:RFX14"/>
    <mergeCell ref="RFY14:RGP14"/>
    <mergeCell ref="RGQ14:RHH14"/>
    <mergeCell ref="RHI14:RHZ14"/>
    <mergeCell ref="RBC14:RBT14"/>
    <mergeCell ref="RBU14:RCL14"/>
    <mergeCell ref="RCM14:RDD14"/>
    <mergeCell ref="RDE14:RDV14"/>
    <mergeCell ref="RDW14:REN14"/>
    <mergeCell ref="QXQ14:QYH14"/>
    <mergeCell ref="QYI14:QYZ14"/>
    <mergeCell ref="QZA14:QZR14"/>
    <mergeCell ref="QZS14:RAJ14"/>
    <mergeCell ref="RAK14:RBB14"/>
    <mergeCell ref="QUE14:QUV14"/>
    <mergeCell ref="QUW14:QVN14"/>
    <mergeCell ref="QVO14:QWF14"/>
    <mergeCell ref="QWG14:QWX14"/>
    <mergeCell ref="QWY14:QXP14"/>
    <mergeCell ref="QQS14:QRJ14"/>
    <mergeCell ref="QRK14:QSB14"/>
    <mergeCell ref="QSC14:QST14"/>
    <mergeCell ref="QSU14:QTL14"/>
    <mergeCell ref="QTM14:QUD14"/>
    <mergeCell ref="QNG14:QNX14"/>
    <mergeCell ref="QNY14:QOP14"/>
    <mergeCell ref="QOQ14:QPH14"/>
    <mergeCell ref="QPI14:QPZ14"/>
    <mergeCell ref="QQA14:QQR14"/>
    <mergeCell ref="QJU14:QKL14"/>
    <mergeCell ref="QKM14:QLD14"/>
    <mergeCell ref="QLE14:QLV14"/>
    <mergeCell ref="QLW14:QMN14"/>
    <mergeCell ref="QMO14:QNF14"/>
    <mergeCell ref="QGI14:QGZ14"/>
    <mergeCell ref="QHA14:QHR14"/>
    <mergeCell ref="QHS14:QIJ14"/>
    <mergeCell ref="QIK14:QJB14"/>
    <mergeCell ref="QJC14:QJT14"/>
    <mergeCell ref="QCW14:QDN14"/>
    <mergeCell ref="QDO14:QEF14"/>
    <mergeCell ref="QEG14:QEX14"/>
    <mergeCell ref="QEY14:QFP14"/>
    <mergeCell ref="QFQ14:QGH14"/>
    <mergeCell ref="PZK14:QAB14"/>
    <mergeCell ref="QAC14:QAT14"/>
    <mergeCell ref="QAU14:QBL14"/>
    <mergeCell ref="QBM14:QCD14"/>
    <mergeCell ref="QCE14:QCV14"/>
    <mergeCell ref="PVY14:PWP14"/>
    <mergeCell ref="PWQ14:PXH14"/>
    <mergeCell ref="PXI14:PXZ14"/>
    <mergeCell ref="PYA14:PYR14"/>
    <mergeCell ref="PYS14:PZJ14"/>
    <mergeCell ref="PSM14:PTD14"/>
    <mergeCell ref="PTE14:PTV14"/>
    <mergeCell ref="PTW14:PUN14"/>
    <mergeCell ref="PUO14:PVF14"/>
    <mergeCell ref="PVG14:PVX14"/>
    <mergeCell ref="PPA14:PPR14"/>
    <mergeCell ref="PPS14:PQJ14"/>
    <mergeCell ref="PQK14:PRB14"/>
    <mergeCell ref="PRC14:PRT14"/>
    <mergeCell ref="PRU14:PSL14"/>
    <mergeCell ref="PLO14:PMF14"/>
    <mergeCell ref="PMG14:PMX14"/>
    <mergeCell ref="PMY14:PNP14"/>
    <mergeCell ref="PNQ14:POH14"/>
    <mergeCell ref="POI14:POZ14"/>
    <mergeCell ref="PIC14:PIT14"/>
    <mergeCell ref="PIU14:PJL14"/>
    <mergeCell ref="PJM14:PKD14"/>
    <mergeCell ref="PKE14:PKV14"/>
    <mergeCell ref="PKW14:PLN14"/>
    <mergeCell ref="PEQ14:PFH14"/>
    <mergeCell ref="PFI14:PFZ14"/>
    <mergeCell ref="PGA14:PGR14"/>
    <mergeCell ref="PGS14:PHJ14"/>
    <mergeCell ref="PHK14:PIB14"/>
    <mergeCell ref="PBE14:PBV14"/>
    <mergeCell ref="PBW14:PCN14"/>
    <mergeCell ref="PCO14:PDF14"/>
    <mergeCell ref="PDG14:PDX14"/>
    <mergeCell ref="PDY14:PEP14"/>
    <mergeCell ref="OXS14:OYJ14"/>
    <mergeCell ref="OYK14:OZB14"/>
    <mergeCell ref="OZC14:OZT14"/>
    <mergeCell ref="OZU14:PAL14"/>
    <mergeCell ref="PAM14:PBD14"/>
    <mergeCell ref="OUG14:OUX14"/>
    <mergeCell ref="OUY14:OVP14"/>
    <mergeCell ref="OVQ14:OWH14"/>
    <mergeCell ref="OWI14:OWZ14"/>
    <mergeCell ref="OXA14:OXR14"/>
    <mergeCell ref="OQU14:ORL14"/>
    <mergeCell ref="ORM14:OSD14"/>
    <mergeCell ref="OSE14:OSV14"/>
    <mergeCell ref="OSW14:OTN14"/>
    <mergeCell ref="OTO14:OUF14"/>
    <mergeCell ref="ONI14:ONZ14"/>
    <mergeCell ref="OOA14:OOR14"/>
    <mergeCell ref="OOS14:OPJ14"/>
    <mergeCell ref="OPK14:OQB14"/>
    <mergeCell ref="OQC14:OQT14"/>
    <mergeCell ref="OJW14:OKN14"/>
    <mergeCell ref="OKO14:OLF14"/>
    <mergeCell ref="OLG14:OLX14"/>
    <mergeCell ref="OLY14:OMP14"/>
    <mergeCell ref="OMQ14:ONH14"/>
    <mergeCell ref="OGK14:OHB14"/>
    <mergeCell ref="OHC14:OHT14"/>
    <mergeCell ref="OHU14:OIL14"/>
    <mergeCell ref="OIM14:OJD14"/>
    <mergeCell ref="OJE14:OJV14"/>
    <mergeCell ref="OCY14:ODP14"/>
    <mergeCell ref="ODQ14:OEH14"/>
    <mergeCell ref="OEI14:OEZ14"/>
    <mergeCell ref="OFA14:OFR14"/>
    <mergeCell ref="OFS14:OGJ14"/>
    <mergeCell ref="NZM14:OAD14"/>
    <mergeCell ref="OAE14:OAV14"/>
    <mergeCell ref="OAW14:OBN14"/>
    <mergeCell ref="OBO14:OCF14"/>
    <mergeCell ref="OCG14:OCX14"/>
    <mergeCell ref="NWA14:NWR14"/>
    <mergeCell ref="NWS14:NXJ14"/>
    <mergeCell ref="NXK14:NYB14"/>
    <mergeCell ref="NYC14:NYT14"/>
    <mergeCell ref="NYU14:NZL14"/>
    <mergeCell ref="NSO14:NTF14"/>
    <mergeCell ref="NTG14:NTX14"/>
    <mergeCell ref="NTY14:NUP14"/>
    <mergeCell ref="NUQ14:NVH14"/>
    <mergeCell ref="NVI14:NVZ14"/>
    <mergeCell ref="NPC14:NPT14"/>
    <mergeCell ref="NPU14:NQL14"/>
    <mergeCell ref="NQM14:NRD14"/>
    <mergeCell ref="NRE14:NRV14"/>
    <mergeCell ref="NRW14:NSN14"/>
    <mergeCell ref="NLQ14:NMH14"/>
    <mergeCell ref="NMI14:NMZ14"/>
    <mergeCell ref="NNA14:NNR14"/>
    <mergeCell ref="NNS14:NOJ14"/>
    <mergeCell ref="NOK14:NPB14"/>
    <mergeCell ref="NIE14:NIV14"/>
    <mergeCell ref="NIW14:NJN14"/>
    <mergeCell ref="NJO14:NKF14"/>
    <mergeCell ref="NKG14:NKX14"/>
    <mergeCell ref="NKY14:NLP14"/>
    <mergeCell ref="NES14:NFJ14"/>
    <mergeCell ref="NFK14:NGB14"/>
    <mergeCell ref="NGC14:NGT14"/>
    <mergeCell ref="NGU14:NHL14"/>
    <mergeCell ref="NHM14:NID14"/>
    <mergeCell ref="NBG14:NBX14"/>
    <mergeCell ref="NBY14:NCP14"/>
    <mergeCell ref="NCQ14:NDH14"/>
    <mergeCell ref="NDI14:NDZ14"/>
    <mergeCell ref="NEA14:NER14"/>
    <mergeCell ref="MXU14:MYL14"/>
    <mergeCell ref="MYM14:MZD14"/>
    <mergeCell ref="MZE14:MZV14"/>
    <mergeCell ref="MZW14:NAN14"/>
    <mergeCell ref="NAO14:NBF14"/>
    <mergeCell ref="MUI14:MUZ14"/>
    <mergeCell ref="MVA14:MVR14"/>
    <mergeCell ref="MVS14:MWJ14"/>
    <mergeCell ref="MWK14:MXB14"/>
    <mergeCell ref="MXC14:MXT14"/>
    <mergeCell ref="MQW14:MRN14"/>
    <mergeCell ref="MRO14:MSF14"/>
    <mergeCell ref="MSG14:MSX14"/>
    <mergeCell ref="MSY14:MTP14"/>
    <mergeCell ref="MTQ14:MUH14"/>
    <mergeCell ref="MNK14:MOB14"/>
    <mergeCell ref="MOC14:MOT14"/>
    <mergeCell ref="MOU14:MPL14"/>
    <mergeCell ref="MPM14:MQD14"/>
    <mergeCell ref="MQE14:MQV14"/>
    <mergeCell ref="MJY14:MKP14"/>
    <mergeCell ref="MKQ14:MLH14"/>
    <mergeCell ref="MLI14:MLZ14"/>
    <mergeCell ref="MMA14:MMR14"/>
    <mergeCell ref="MMS14:MNJ14"/>
    <mergeCell ref="MGM14:MHD14"/>
    <mergeCell ref="MHE14:MHV14"/>
    <mergeCell ref="MHW14:MIN14"/>
    <mergeCell ref="MIO14:MJF14"/>
    <mergeCell ref="MJG14:MJX14"/>
    <mergeCell ref="MDA14:MDR14"/>
    <mergeCell ref="MDS14:MEJ14"/>
    <mergeCell ref="MEK14:MFB14"/>
    <mergeCell ref="MFC14:MFT14"/>
    <mergeCell ref="MFU14:MGL14"/>
    <mergeCell ref="LZO14:MAF14"/>
    <mergeCell ref="MAG14:MAX14"/>
    <mergeCell ref="MAY14:MBP14"/>
    <mergeCell ref="MBQ14:MCH14"/>
    <mergeCell ref="MCI14:MCZ14"/>
    <mergeCell ref="LWC14:LWT14"/>
    <mergeCell ref="LWU14:LXL14"/>
    <mergeCell ref="LXM14:LYD14"/>
    <mergeCell ref="LYE14:LYV14"/>
    <mergeCell ref="LYW14:LZN14"/>
    <mergeCell ref="LSQ14:LTH14"/>
    <mergeCell ref="LTI14:LTZ14"/>
    <mergeCell ref="LUA14:LUR14"/>
    <mergeCell ref="LUS14:LVJ14"/>
    <mergeCell ref="LVK14:LWB14"/>
    <mergeCell ref="LPE14:LPV14"/>
    <mergeCell ref="LPW14:LQN14"/>
    <mergeCell ref="LQO14:LRF14"/>
    <mergeCell ref="LRG14:LRX14"/>
    <mergeCell ref="LRY14:LSP14"/>
    <mergeCell ref="LLS14:LMJ14"/>
    <mergeCell ref="LMK14:LNB14"/>
    <mergeCell ref="LNC14:LNT14"/>
    <mergeCell ref="LNU14:LOL14"/>
    <mergeCell ref="LOM14:LPD14"/>
    <mergeCell ref="LIG14:LIX14"/>
    <mergeCell ref="LIY14:LJP14"/>
    <mergeCell ref="LJQ14:LKH14"/>
    <mergeCell ref="LKI14:LKZ14"/>
    <mergeCell ref="LLA14:LLR14"/>
    <mergeCell ref="LEU14:LFL14"/>
    <mergeCell ref="LFM14:LGD14"/>
    <mergeCell ref="LGE14:LGV14"/>
    <mergeCell ref="LGW14:LHN14"/>
    <mergeCell ref="LHO14:LIF14"/>
    <mergeCell ref="LBI14:LBZ14"/>
    <mergeCell ref="LCA14:LCR14"/>
    <mergeCell ref="LCS14:LDJ14"/>
    <mergeCell ref="LDK14:LEB14"/>
    <mergeCell ref="LEC14:LET14"/>
    <mergeCell ref="KXW14:KYN14"/>
    <mergeCell ref="KYO14:KZF14"/>
    <mergeCell ref="KZG14:KZX14"/>
    <mergeCell ref="KZY14:LAP14"/>
    <mergeCell ref="LAQ14:LBH14"/>
    <mergeCell ref="KUK14:KVB14"/>
    <mergeCell ref="KVC14:KVT14"/>
    <mergeCell ref="KVU14:KWL14"/>
    <mergeCell ref="KWM14:KXD14"/>
    <mergeCell ref="KXE14:KXV14"/>
    <mergeCell ref="KQY14:KRP14"/>
    <mergeCell ref="KRQ14:KSH14"/>
    <mergeCell ref="KSI14:KSZ14"/>
    <mergeCell ref="KTA14:KTR14"/>
    <mergeCell ref="KTS14:KUJ14"/>
    <mergeCell ref="KNM14:KOD14"/>
    <mergeCell ref="KOE14:KOV14"/>
    <mergeCell ref="KOW14:KPN14"/>
    <mergeCell ref="KPO14:KQF14"/>
    <mergeCell ref="KQG14:KQX14"/>
    <mergeCell ref="KKA14:KKR14"/>
    <mergeCell ref="KKS14:KLJ14"/>
    <mergeCell ref="KLK14:KMB14"/>
    <mergeCell ref="KMC14:KMT14"/>
    <mergeCell ref="KMU14:KNL14"/>
    <mergeCell ref="KGO14:KHF14"/>
    <mergeCell ref="KHG14:KHX14"/>
    <mergeCell ref="KHY14:KIP14"/>
    <mergeCell ref="KIQ14:KJH14"/>
    <mergeCell ref="KJI14:KJZ14"/>
    <mergeCell ref="KDC14:KDT14"/>
    <mergeCell ref="KDU14:KEL14"/>
    <mergeCell ref="KEM14:KFD14"/>
    <mergeCell ref="KFE14:KFV14"/>
    <mergeCell ref="KFW14:KGN14"/>
    <mergeCell ref="JZQ14:KAH14"/>
    <mergeCell ref="KAI14:KAZ14"/>
    <mergeCell ref="KBA14:KBR14"/>
    <mergeCell ref="KBS14:KCJ14"/>
    <mergeCell ref="KCK14:KDB14"/>
    <mergeCell ref="JWE14:JWV14"/>
    <mergeCell ref="JWW14:JXN14"/>
    <mergeCell ref="JXO14:JYF14"/>
    <mergeCell ref="JYG14:JYX14"/>
    <mergeCell ref="JYY14:JZP14"/>
    <mergeCell ref="JSS14:JTJ14"/>
    <mergeCell ref="JTK14:JUB14"/>
    <mergeCell ref="JUC14:JUT14"/>
    <mergeCell ref="JUU14:JVL14"/>
    <mergeCell ref="JVM14:JWD14"/>
    <mergeCell ref="JPG14:JPX14"/>
    <mergeCell ref="JPY14:JQP14"/>
    <mergeCell ref="JQQ14:JRH14"/>
    <mergeCell ref="JRI14:JRZ14"/>
    <mergeCell ref="JSA14:JSR14"/>
    <mergeCell ref="JLU14:JML14"/>
    <mergeCell ref="JMM14:JND14"/>
    <mergeCell ref="JNE14:JNV14"/>
    <mergeCell ref="JNW14:JON14"/>
    <mergeCell ref="JOO14:JPF14"/>
    <mergeCell ref="JII14:JIZ14"/>
    <mergeCell ref="JJA14:JJR14"/>
    <mergeCell ref="JJS14:JKJ14"/>
    <mergeCell ref="JKK14:JLB14"/>
    <mergeCell ref="JLC14:JLT14"/>
    <mergeCell ref="JEW14:JFN14"/>
    <mergeCell ref="JFO14:JGF14"/>
    <mergeCell ref="JGG14:JGX14"/>
    <mergeCell ref="JGY14:JHP14"/>
    <mergeCell ref="JHQ14:JIH14"/>
    <mergeCell ref="JBK14:JCB14"/>
    <mergeCell ref="JCC14:JCT14"/>
    <mergeCell ref="JCU14:JDL14"/>
    <mergeCell ref="JDM14:JED14"/>
    <mergeCell ref="JEE14:JEV14"/>
    <mergeCell ref="IXY14:IYP14"/>
    <mergeCell ref="IYQ14:IZH14"/>
    <mergeCell ref="IZI14:IZZ14"/>
    <mergeCell ref="JAA14:JAR14"/>
    <mergeCell ref="JAS14:JBJ14"/>
    <mergeCell ref="IUM14:IVD14"/>
    <mergeCell ref="IVE14:IVV14"/>
    <mergeCell ref="IVW14:IWN14"/>
    <mergeCell ref="IWO14:IXF14"/>
    <mergeCell ref="IXG14:IXX14"/>
    <mergeCell ref="IRA14:IRR14"/>
    <mergeCell ref="IRS14:ISJ14"/>
    <mergeCell ref="ISK14:ITB14"/>
    <mergeCell ref="ITC14:ITT14"/>
    <mergeCell ref="ITU14:IUL14"/>
    <mergeCell ref="INO14:IOF14"/>
    <mergeCell ref="IOG14:IOX14"/>
    <mergeCell ref="IOY14:IPP14"/>
    <mergeCell ref="IPQ14:IQH14"/>
    <mergeCell ref="IQI14:IQZ14"/>
    <mergeCell ref="IKC14:IKT14"/>
    <mergeCell ref="IKU14:ILL14"/>
    <mergeCell ref="ILM14:IMD14"/>
    <mergeCell ref="IME14:IMV14"/>
    <mergeCell ref="IMW14:INN14"/>
    <mergeCell ref="IGQ14:IHH14"/>
    <mergeCell ref="IHI14:IHZ14"/>
    <mergeCell ref="IIA14:IIR14"/>
    <mergeCell ref="IIS14:IJJ14"/>
    <mergeCell ref="IJK14:IKB14"/>
    <mergeCell ref="IDE14:IDV14"/>
    <mergeCell ref="IDW14:IEN14"/>
    <mergeCell ref="IEO14:IFF14"/>
    <mergeCell ref="IFG14:IFX14"/>
    <mergeCell ref="IFY14:IGP14"/>
    <mergeCell ref="HZS14:IAJ14"/>
    <mergeCell ref="IAK14:IBB14"/>
    <mergeCell ref="IBC14:IBT14"/>
    <mergeCell ref="IBU14:ICL14"/>
    <mergeCell ref="ICM14:IDD14"/>
    <mergeCell ref="HWG14:HWX14"/>
    <mergeCell ref="HWY14:HXP14"/>
    <mergeCell ref="HXQ14:HYH14"/>
    <mergeCell ref="HYI14:HYZ14"/>
    <mergeCell ref="HZA14:HZR14"/>
    <mergeCell ref="HSU14:HTL14"/>
    <mergeCell ref="HTM14:HUD14"/>
    <mergeCell ref="HUE14:HUV14"/>
    <mergeCell ref="HUW14:HVN14"/>
    <mergeCell ref="HVO14:HWF14"/>
    <mergeCell ref="HPI14:HPZ14"/>
    <mergeCell ref="HQA14:HQR14"/>
    <mergeCell ref="HQS14:HRJ14"/>
    <mergeCell ref="HRK14:HSB14"/>
    <mergeCell ref="HSC14:HST14"/>
    <mergeCell ref="HLW14:HMN14"/>
    <mergeCell ref="HMO14:HNF14"/>
    <mergeCell ref="HNG14:HNX14"/>
    <mergeCell ref="HNY14:HOP14"/>
    <mergeCell ref="HOQ14:HPH14"/>
    <mergeCell ref="HIK14:HJB14"/>
    <mergeCell ref="HJC14:HJT14"/>
    <mergeCell ref="HJU14:HKL14"/>
    <mergeCell ref="HKM14:HLD14"/>
    <mergeCell ref="HLE14:HLV14"/>
    <mergeCell ref="HEY14:HFP14"/>
    <mergeCell ref="HFQ14:HGH14"/>
    <mergeCell ref="HGI14:HGZ14"/>
    <mergeCell ref="HHA14:HHR14"/>
    <mergeCell ref="HHS14:HIJ14"/>
    <mergeCell ref="HBM14:HCD14"/>
    <mergeCell ref="HCE14:HCV14"/>
    <mergeCell ref="HCW14:HDN14"/>
    <mergeCell ref="HDO14:HEF14"/>
    <mergeCell ref="HEG14:HEX14"/>
    <mergeCell ref="GYA14:GYR14"/>
    <mergeCell ref="GYS14:GZJ14"/>
    <mergeCell ref="GZK14:HAB14"/>
    <mergeCell ref="HAC14:HAT14"/>
    <mergeCell ref="HAU14:HBL14"/>
    <mergeCell ref="GUO14:GVF14"/>
    <mergeCell ref="GVG14:GVX14"/>
    <mergeCell ref="GVY14:GWP14"/>
    <mergeCell ref="GWQ14:GXH14"/>
    <mergeCell ref="GXI14:GXZ14"/>
    <mergeCell ref="GRC14:GRT14"/>
    <mergeCell ref="GRU14:GSL14"/>
    <mergeCell ref="GSM14:GTD14"/>
    <mergeCell ref="GTE14:GTV14"/>
    <mergeCell ref="GTW14:GUN14"/>
    <mergeCell ref="GNQ14:GOH14"/>
    <mergeCell ref="GOI14:GOZ14"/>
    <mergeCell ref="GPA14:GPR14"/>
    <mergeCell ref="GPS14:GQJ14"/>
    <mergeCell ref="GQK14:GRB14"/>
    <mergeCell ref="GKE14:GKV14"/>
    <mergeCell ref="GKW14:GLN14"/>
    <mergeCell ref="GLO14:GMF14"/>
    <mergeCell ref="GMG14:GMX14"/>
    <mergeCell ref="GMY14:GNP14"/>
    <mergeCell ref="GGS14:GHJ14"/>
    <mergeCell ref="GHK14:GIB14"/>
    <mergeCell ref="GIC14:GIT14"/>
    <mergeCell ref="GIU14:GJL14"/>
    <mergeCell ref="GJM14:GKD14"/>
    <mergeCell ref="GDG14:GDX14"/>
    <mergeCell ref="GDY14:GEP14"/>
    <mergeCell ref="GEQ14:GFH14"/>
    <mergeCell ref="GFI14:GFZ14"/>
    <mergeCell ref="GGA14:GGR14"/>
    <mergeCell ref="FZU14:GAL14"/>
    <mergeCell ref="GAM14:GBD14"/>
    <mergeCell ref="GBE14:GBV14"/>
    <mergeCell ref="GBW14:GCN14"/>
    <mergeCell ref="GCO14:GDF14"/>
    <mergeCell ref="FWI14:FWZ14"/>
    <mergeCell ref="FXA14:FXR14"/>
    <mergeCell ref="FXS14:FYJ14"/>
    <mergeCell ref="FYK14:FZB14"/>
    <mergeCell ref="FZC14:FZT14"/>
    <mergeCell ref="FSW14:FTN14"/>
    <mergeCell ref="FTO14:FUF14"/>
    <mergeCell ref="FUG14:FUX14"/>
    <mergeCell ref="FUY14:FVP14"/>
    <mergeCell ref="FVQ14:FWH14"/>
    <mergeCell ref="FPK14:FQB14"/>
    <mergeCell ref="FQC14:FQT14"/>
    <mergeCell ref="FQU14:FRL14"/>
    <mergeCell ref="FRM14:FSD14"/>
    <mergeCell ref="FSE14:FSV14"/>
    <mergeCell ref="FLY14:FMP14"/>
    <mergeCell ref="FMQ14:FNH14"/>
    <mergeCell ref="FNI14:FNZ14"/>
    <mergeCell ref="FOA14:FOR14"/>
    <mergeCell ref="FOS14:FPJ14"/>
    <mergeCell ref="FIM14:FJD14"/>
    <mergeCell ref="FJE14:FJV14"/>
    <mergeCell ref="FJW14:FKN14"/>
    <mergeCell ref="FKO14:FLF14"/>
    <mergeCell ref="FLG14:FLX14"/>
    <mergeCell ref="FFA14:FFR14"/>
    <mergeCell ref="FFS14:FGJ14"/>
    <mergeCell ref="FGK14:FHB14"/>
    <mergeCell ref="FHC14:FHT14"/>
    <mergeCell ref="FHU14:FIL14"/>
    <mergeCell ref="FBO14:FCF14"/>
    <mergeCell ref="FCG14:FCX14"/>
    <mergeCell ref="FCY14:FDP14"/>
    <mergeCell ref="FDQ14:FEH14"/>
    <mergeCell ref="FEI14:FEZ14"/>
    <mergeCell ref="EYC14:EYT14"/>
    <mergeCell ref="EYU14:EZL14"/>
    <mergeCell ref="EZM14:FAD14"/>
    <mergeCell ref="FAE14:FAV14"/>
    <mergeCell ref="FAW14:FBN14"/>
    <mergeCell ref="EUQ14:EVH14"/>
    <mergeCell ref="EVI14:EVZ14"/>
    <mergeCell ref="EWA14:EWR14"/>
    <mergeCell ref="EWS14:EXJ14"/>
    <mergeCell ref="EXK14:EYB14"/>
    <mergeCell ref="ERE14:ERV14"/>
    <mergeCell ref="ERW14:ESN14"/>
    <mergeCell ref="ESO14:ETF14"/>
    <mergeCell ref="ETG14:ETX14"/>
    <mergeCell ref="ETY14:EUP14"/>
    <mergeCell ref="ENS14:EOJ14"/>
    <mergeCell ref="EOK14:EPB14"/>
    <mergeCell ref="EPC14:EPT14"/>
    <mergeCell ref="EPU14:EQL14"/>
    <mergeCell ref="EQM14:ERD14"/>
    <mergeCell ref="EKG14:EKX14"/>
    <mergeCell ref="EKY14:ELP14"/>
    <mergeCell ref="ELQ14:EMH14"/>
    <mergeCell ref="EMI14:EMZ14"/>
    <mergeCell ref="ENA14:ENR14"/>
    <mergeCell ref="EGU14:EHL14"/>
    <mergeCell ref="EHM14:EID14"/>
    <mergeCell ref="EIE14:EIV14"/>
    <mergeCell ref="EIW14:EJN14"/>
    <mergeCell ref="EJO14:EKF14"/>
    <mergeCell ref="EDI14:EDZ14"/>
    <mergeCell ref="EEA14:EER14"/>
    <mergeCell ref="EES14:EFJ14"/>
    <mergeCell ref="EFK14:EGB14"/>
    <mergeCell ref="EGC14:EGT14"/>
    <mergeCell ref="DZW14:EAN14"/>
    <mergeCell ref="EAO14:EBF14"/>
    <mergeCell ref="EBG14:EBX14"/>
    <mergeCell ref="EBY14:ECP14"/>
    <mergeCell ref="ECQ14:EDH14"/>
    <mergeCell ref="DWK14:DXB14"/>
    <mergeCell ref="DXC14:DXT14"/>
    <mergeCell ref="DXU14:DYL14"/>
    <mergeCell ref="DYM14:DZD14"/>
    <mergeCell ref="DZE14:DZV14"/>
    <mergeCell ref="DSY14:DTP14"/>
    <mergeCell ref="DTQ14:DUH14"/>
    <mergeCell ref="DUI14:DUZ14"/>
    <mergeCell ref="DVA14:DVR14"/>
    <mergeCell ref="DVS14:DWJ14"/>
    <mergeCell ref="DPM14:DQD14"/>
    <mergeCell ref="DQE14:DQV14"/>
    <mergeCell ref="DQW14:DRN14"/>
    <mergeCell ref="DRO14:DSF14"/>
    <mergeCell ref="DSG14:DSX14"/>
    <mergeCell ref="DMA14:DMR14"/>
    <mergeCell ref="DMS14:DNJ14"/>
    <mergeCell ref="DNK14:DOB14"/>
    <mergeCell ref="DOC14:DOT14"/>
    <mergeCell ref="DOU14:DPL14"/>
    <mergeCell ref="DIO14:DJF14"/>
    <mergeCell ref="DJG14:DJX14"/>
    <mergeCell ref="DJY14:DKP14"/>
    <mergeCell ref="DKQ14:DLH14"/>
    <mergeCell ref="DLI14:DLZ14"/>
    <mergeCell ref="DFC14:DFT14"/>
    <mergeCell ref="DFU14:DGL14"/>
    <mergeCell ref="DGM14:DHD14"/>
    <mergeCell ref="DHE14:DHV14"/>
    <mergeCell ref="DHW14:DIN14"/>
    <mergeCell ref="DBQ14:DCH14"/>
    <mergeCell ref="DCI14:DCZ14"/>
    <mergeCell ref="DDA14:DDR14"/>
    <mergeCell ref="DDS14:DEJ14"/>
    <mergeCell ref="DEK14:DFB14"/>
    <mergeCell ref="CYE14:CYV14"/>
    <mergeCell ref="CYW14:CZN14"/>
    <mergeCell ref="CZO14:DAF14"/>
    <mergeCell ref="DAG14:DAX14"/>
    <mergeCell ref="DAY14:DBP14"/>
    <mergeCell ref="CUS14:CVJ14"/>
    <mergeCell ref="CVK14:CWB14"/>
    <mergeCell ref="CWC14:CWT14"/>
    <mergeCell ref="CWU14:CXL14"/>
    <mergeCell ref="CXM14:CYD14"/>
    <mergeCell ref="CRG14:CRX14"/>
    <mergeCell ref="CRY14:CSP14"/>
    <mergeCell ref="CSQ14:CTH14"/>
    <mergeCell ref="CTI14:CTZ14"/>
    <mergeCell ref="CUA14:CUR14"/>
    <mergeCell ref="CNU14:COL14"/>
    <mergeCell ref="COM14:CPD14"/>
    <mergeCell ref="CPE14:CPV14"/>
    <mergeCell ref="CPW14:CQN14"/>
    <mergeCell ref="CQO14:CRF14"/>
    <mergeCell ref="CKI14:CKZ14"/>
    <mergeCell ref="CLA14:CLR14"/>
    <mergeCell ref="CLS14:CMJ14"/>
    <mergeCell ref="CMK14:CNB14"/>
    <mergeCell ref="CNC14:CNT14"/>
    <mergeCell ref="CGW14:CHN14"/>
    <mergeCell ref="CHO14:CIF14"/>
    <mergeCell ref="CIG14:CIX14"/>
    <mergeCell ref="CIY14:CJP14"/>
    <mergeCell ref="CJQ14:CKH14"/>
    <mergeCell ref="CDK14:CEB14"/>
    <mergeCell ref="CEC14:CET14"/>
    <mergeCell ref="CEU14:CFL14"/>
    <mergeCell ref="CFM14:CGD14"/>
    <mergeCell ref="CGE14:CGV14"/>
    <mergeCell ref="BZY14:CAP14"/>
    <mergeCell ref="CAQ14:CBH14"/>
    <mergeCell ref="CBI14:CBZ14"/>
    <mergeCell ref="CCA14:CCR14"/>
    <mergeCell ref="CCS14:CDJ14"/>
    <mergeCell ref="BWM14:BXD14"/>
    <mergeCell ref="BXE14:BXV14"/>
    <mergeCell ref="BXW14:BYN14"/>
    <mergeCell ref="BYO14:BZF14"/>
    <mergeCell ref="BZG14:BZX14"/>
    <mergeCell ref="BTA14:BTR14"/>
    <mergeCell ref="BTS14:BUJ14"/>
    <mergeCell ref="BUK14:BVB14"/>
    <mergeCell ref="BVC14:BVT14"/>
    <mergeCell ref="BVU14:BWL14"/>
    <mergeCell ref="BPO14:BQF14"/>
    <mergeCell ref="BQG14:BQX14"/>
    <mergeCell ref="BQY14:BRP14"/>
    <mergeCell ref="BRQ14:BSH14"/>
    <mergeCell ref="BSI14:BSZ14"/>
    <mergeCell ref="BMC14:BMT14"/>
    <mergeCell ref="BMU14:BNL14"/>
    <mergeCell ref="BNM14:BOD14"/>
    <mergeCell ref="BOE14:BOV14"/>
    <mergeCell ref="BOW14:BPN14"/>
    <mergeCell ref="BIQ14:BJH14"/>
    <mergeCell ref="BJI14:BJZ14"/>
    <mergeCell ref="BKA14:BKR14"/>
    <mergeCell ref="BKS14:BLJ14"/>
    <mergeCell ref="BLK14:BMB14"/>
    <mergeCell ref="BFE14:BFV14"/>
    <mergeCell ref="BFW14:BGN14"/>
    <mergeCell ref="BGO14:BHF14"/>
    <mergeCell ref="BHG14:BHX14"/>
    <mergeCell ref="BHY14:BIP14"/>
    <mergeCell ref="BBS14:BCJ14"/>
    <mergeCell ref="BCK14:BDB14"/>
    <mergeCell ref="BDC14:BDT14"/>
    <mergeCell ref="BDU14:BEL14"/>
    <mergeCell ref="BEM14:BFD14"/>
    <mergeCell ref="AYG14:AYX14"/>
    <mergeCell ref="AYY14:AZP14"/>
    <mergeCell ref="AZQ14:BAH14"/>
    <mergeCell ref="BAI14:BAZ14"/>
    <mergeCell ref="BBA14:BBR14"/>
    <mergeCell ref="AUU14:AVL14"/>
    <mergeCell ref="AVM14:AWD14"/>
    <mergeCell ref="AWE14:AWV14"/>
    <mergeCell ref="AWW14:AXN14"/>
    <mergeCell ref="AXO14:AYF14"/>
    <mergeCell ref="ARI14:ARZ14"/>
    <mergeCell ref="ASA14:ASR14"/>
    <mergeCell ref="ASS14:ATJ14"/>
    <mergeCell ref="ATK14:AUB14"/>
    <mergeCell ref="AUC14:AUT14"/>
    <mergeCell ref="ANW14:AON14"/>
    <mergeCell ref="AOO14:APF14"/>
    <mergeCell ref="APG14:APX14"/>
    <mergeCell ref="APY14:AQP14"/>
    <mergeCell ref="AQQ14:ARH14"/>
    <mergeCell ref="AKK14:ALB14"/>
    <mergeCell ref="ALC14:ALT14"/>
    <mergeCell ref="ALU14:AML14"/>
    <mergeCell ref="AMM14:AND14"/>
    <mergeCell ref="ANE14:ANV14"/>
    <mergeCell ref="AGY14:AHP14"/>
    <mergeCell ref="AHQ14:AIH14"/>
    <mergeCell ref="AII14:AIZ14"/>
    <mergeCell ref="AJA14:AJR14"/>
    <mergeCell ref="AJS14:AKJ14"/>
    <mergeCell ref="ADM14:AED14"/>
    <mergeCell ref="AEE14:AEV14"/>
    <mergeCell ref="AEW14:AFN14"/>
    <mergeCell ref="AFO14:AGF14"/>
    <mergeCell ref="AGG14:AGX14"/>
    <mergeCell ref="AAA14:AAR14"/>
    <mergeCell ref="AAS14:ABJ14"/>
    <mergeCell ref="ABK14:ACB14"/>
    <mergeCell ref="ACC14:ACT14"/>
    <mergeCell ref="ACU14:ADL14"/>
    <mergeCell ref="WO14:XF14"/>
    <mergeCell ref="XG14:XX14"/>
    <mergeCell ref="XY14:YP14"/>
    <mergeCell ref="YQ14:ZH14"/>
    <mergeCell ref="ZI14:ZZ14"/>
    <mergeCell ref="TC14:TT14"/>
    <mergeCell ref="TU14:UL14"/>
    <mergeCell ref="UM14:VD14"/>
    <mergeCell ref="VE14:VV14"/>
    <mergeCell ref="VW14:WN14"/>
    <mergeCell ref="QI14:QZ14"/>
    <mergeCell ref="RA14:RR14"/>
    <mergeCell ref="RS14:SJ14"/>
    <mergeCell ref="SK14:TB14"/>
    <mergeCell ref="ME14:MV14"/>
    <mergeCell ref="MW14:NN14"/>
    <mergeCell ref="NO14:OF14"/>
    <mergeCell ref="OG14:OX14"/>
    <mergeCell ref="OY14:PP14"/>
    <mergeCell ref="KC14:KT14"/>
    <mergeCell ref="KU14:LL14"/>
    <mergeCell ref="LM14:MD14"/>
    <mergeCell ref="FG14:FX14"/>
    <mergeCell ref="FY14:GP14"/>
    <mergeCell ref="GQ14:HH14"/>
    <mergeCell ref="HI14:HZ14"/>
    <mergeCell ref="IA14:IR14"/>
    <mergeCell ref="PQ14:QH14"/>
    <mergeCell ref="DW14:EN14"/>
    <mergeCell ref="EO14:FF14"/>
    <mergeCell ref="R15:R18"/>
    <mergeCell ref="A14:R14"/>
    <mergeCell ref="S14:AJ14"/>
    <mergeCell ref="AK14:BB14"/>
    <mergeCell ref="BC14:BT14"/>
    <mergeCell ref="IS14:JJ14"/>
    <mergeCell ref="JK14:KB14"/>
    <mergeCell ref="R12:R13"/>
    <mergeCell ref="A1:R1"/>
    <mergeCell ref="R3:R4"/>
    <mergeCell ref="R5:R6"/>
    <mergeCell ref="A8:R8"/>
    <mergeCell ref="R10:R11"/>
    <mergeCell ref="BU14:CL14"/>
    <mergeCell ref="CM14:DD14"/>
    <mergeCell ref="DE14:DV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98"/>
  <sheetViews>
    <sheetView zoomScale="80" zoomScaleNormal="80" workbookViewId="0">
      <selection sqref="A1:L1"/>
    </sheetView>
  </sheetViews>
  <sheetFormatPr defaultColWidth="9.33203125" defaultRowHeight="13.8" x14ac:dyDescent="0.3"/>
  <cols>
    <col min="1" max="1" width="26.88671875" style="123" customWidth="1"/>
    <col min="2" max="2" width="20.33203125" style="123" customWidth="1"/>
    <col min="3" max="3" width="23.44140625" style="123" customWidth="1"/>
    <col min="4" max="5" width="25.6640625" style="127" customWidth="1"/>
    <col min="6" max="6" width="27.88671875" style="127" customWidth="1"/>
    <col min="7" max="7" width="26.44140625" style="127" bestFit="1" customWidth="1"/>
    <col min="8" max="8" width="17.88671875" style="127" customWidth="1"/>
    <col min="9" max="9" width="17.44140625" style="127" customWidth="1"/>
    <col min="10" max="10" width="15.33203125" style="127" customWidth="1"/>
    <col min="11" max="11" width="12.109375" style="127" customWidth="1"/>
    <col min="12" max="12" width="47.6640625" style="127" bestFit="1" customWidth="1"/>
    <col min="13" max="13" width="13.6640625" style="123" customWidth="1"/>
    <col min="14" max="14" width="11.6640625" style="123" customWidth="1"/>
    <col min="15" max="15" width="13.6640625" style="123" customWidth="1"/>
    <col min="16" max="16" width="12.33203125" style="123" customWidth="1"/>
    <col min="17" max="17" width="13.6640625" style="123" customWidth="1"/>
    <col min="18" max="18" width="12.33203125" style="123" customWidth="1"/>
    <col min="19" max="19" width="13.6640625" style="123" customWidth="1"/>
    <col min="20" max="20" width="11.6640625" style="123" customWidth="1"/>
    <col min="21" max="22" width="10.6640625" style="123" customWidth="1"/>
    <col min="23" max="23" width="9.33203125" style="123"/>
    <col min="24" max="28" width="11.33203125" style="123" customWidth="1"/>
    <col min="29" max="16384" width="9.33203125" style="123"/>
  </cols>
  <sheetData>
    <row r="1" spans="1:12" ht="24.6" customHeight="1" x14ac:dyDescent="0.3">
      <c r="A1" s="535" t="str">
        <f>"Outdoor Airflow Rate - "&amp;Prototype!A2</f>
        <v xml:space="preserve">Outdoor Airflow Rate - ApartmentMidRise </v>
      </c>
      <c r="B1" s="536"/>
      <c r="C1" s="536"/>
      <c r="D1" s="536"/>
      <c r="E1" s="536"/>
      <c r="F1" s="536"/>
      <c r="G1" s="536"/>
      <c r="H1" s="536"/>
      <c r="I1" s="536"/>
      <c r="J1" s="536"/>
      <c r="K1" s="536"/>
      <c r="L1" s="536"/>
    </row>
    <row r="2" spans="1:12" ht="65.25" customHeight="1" x14ac:dyDescent="0.3">
      <c r="A2" s="333" t="s">
        <v>342</v>
      </c>
      <c r="B2" s="333" t="s">
        <v>343</v>
      </c>
      <c r="C2" s="332" t="s">
        <v>344</v>
      </c>
      <c r="D2" s="74" t="s">
        <v>345</v>
      </c>
      <c r="E2" s="74" t="s">
        <v>346</v>
      </c>
      <c r="F2" s="74" t="s">
        <v>347</v>
      </c>
      <c r="G2" s="74" t="s">
        <v>348</v>
      </c>
      <c r="H2" s="74" t="s">
        <v>349</v>
      </c>
      <c r="I2" s="74" t="s">
        <v>350</v>
      </c>
      <c r="J2" s="74" t="s">
        <v>351</v>
      </c>
      <c r="K2" s="75" t="s">
        <v>352</v>
      </c>
      <c r="L2" s="75" t="s">
        <v>353</v>
      </c>
    </row>
    <row r="3" spans="1:12" ht="20.85" customHeight="1" x14ac:dyDescent="0.3">
      <c r="A3" s="138" t="str">
        <f>Zones!B3</f>
        <v>F1 BUSINESS CENTER</v>
      </c>
      <c r="B3" s="19">
        <f>Zones!M3</f>
        <v>24.003866800000004</v>
      </c>
      <c r="C3" s="224">
        <f>Zones!J3</f>
        <v>360.04</v>
      </c>
      <c r="D3" s="319">
        <v>15</v>
      </c>
      <c r="E3" s="319"/>
      <c r="F3" s="319">
        <v>0.15</v>
      </c>
      <c r="G3" s="124"/>
      <c r="H3" s="76">
        <f t="shared" ref="H3:H39" si="0">B3*D3</f>
        <v>360.05800200000004</v>
      </c>
      <c r="I3" s="76">
        <f t="shared" ref="I3:I36" si="1">C3*F3</f>
        <v>54.006</v>
      </c>
      <c r="J3" s="77"/>
      <c r="K3" s="128">
        <f>MAX(H3:J3)</f>
        <v>360.05800200000004</v>
      </c>
      <c r="L3" s="125"/>
    </row>
    <row r="4" spans="1:12" ht="20.85" customHeight="1" x14ac:dyDescent="0.3">
      <c r="A4" s="138" t="str">
        <f>Zones!B4</f>
        <v>F1 CORRIDOR</v>
      </c>
      <c r="B4" s="19">
        <f>Zones!M4</f>
        <v>19.201900000000002</v>
      </c>
      <c r="C4" s="224">
        <f>Zones!J4</f>
        <v>1920.19</v>
      </c>
      <c r="D4" s="319">
        <v>15</v>
      </c>
      <c r="E4" s="319"/>
      <c r="F4" s="319">
        <v>0.15</v>
      </c>
      <c r="G4" s="124"/>
      <c r="H4" s="76">
        <f t="shared" si="0"/>
        <v>288.02850000000001</v>
      </c>
      <c r="I4" s="76">
        <f t="shared" si="1"/>
        <v>288.02850000000001</v>
      </c>
      <c r="J4" s="77"/>
      <c r="K4" s="128">
        <f t="shared" ref="K4:K38" si="2">MAX(H4:J4)</f>
        <v>288.02850000000001</v>
      </c>
      <c r="L4" s="125"/>
    </row>
    <row r="5" spans="1:12" ht="20.85" customHeight="1" x14ac:dyDescent="0.3">
      <c r="A5" s="138" t="str">
        <f>Zones!B5</f>
        <v>F1 FITNESS CENTER</v>
      </c>
      <c r="B5" s="19">
        <f>Zones!M5</f>
        <v>18.001799999999999</v>
      </c>
      <c r="C5" s="224">
        <f>Zones!J5</f>
        <v>900.09</v>
      </c>
      <c r="D5" s="319">
        <v>15</v>
      </c>
      <c r="E5" s="319"/>
      <c r="F5" s="319">
        <v>0.15</v>
      </c>
      <c r="G5" s="124"/>
      <c r="H5" s="76">
        <f t="shared" si="0"/>
        <v>270.02699999999999</v>
      </c>
      <c r="I5" s="76">
        <f t="shared" si="1"/>
        <v>135.01349999999999</v>
      </c>
      <c r="J5" s="77"/>
      <c r="K5" s="128">
        <f t="shared" si="2"/>
        <v>270.02699999999999</v>
      </c>
      <c r="L5" s="125"/>
    </row>
    <row r="6" spans="1:12" ht="20.85" customHeight="1" x14ac:dyDescent="0.3">
      <c r="A6" s="138" t="str">
        <f>Zones!B6</f>
        <v>F1 LEASING OFFICE</v>
      </c>
      <c r="B6" s="19">
        <f>Zones!M6</f>
        <v>3.4502999999999999</v>
      </c>
      <c r="C6" s="224">
        <f>Zones!J6</f>
        <v>345.03</v>
      </c>
      <c r="D6" s="319">
        <v>15</v>
      </c>
      <c r="E6" s="319"/>
      <c r="F6" s="319">
        <v>0.15</v>
      </c>
      <c r="G6" s="124"/>
      <c r="H6" s="76">
        <f t="shared" si="0"/>
        <v>51.7545</v>
      </c>
      <c r="I6" s="76">
        <f t="shared" si="1"/>
        <v>51.754499999999993</v>
      </c>
      <c r="J6" s="77"/>
      <c r="K6" s="128">
        <f t="shared" si="2"/>
        <v>51.7545</v>
      </c>
      <c r="L6" s="125"/>
    </row>
    <row r="7" spans="1:12" ht="20.85" customHeight="1" x14ac:dyDescent="0.3">
      <c r="A7" s="138" t="str">
        <f>Zones!B7</f>
        <v>F1 LOUNGE</v>
      </c>
      <c r="B7" s="19">
        <f>Zones!M7</f>
        <v>70.041669999999996</v>
      </c>
      <c r="C7" s="224">
        <f>Zones!J7</f>
        <v>1050.0999999999999</v>
      </c>
      <c r="D7" s="319">
        <v>15</v>
      </c>
      <c r="E7" s="319"/>
      <c r="F7" s="319">
        <v>0.15</v>
      </c>
      <c r="G7" s="124"/>
      <c r="H7" s="76">
        <f t="shared" si="0"/>
        <v>1050.6250499999999</v>
      </c>
      <c r="I7" s="76">
        <f t="shared" si="1"/>
        <v>157.51499999999999</v>
      </c>
      <c r="J7" s="77"/>
      <c r="K7" s="128">
        <f t="shared" si="2"/>
        <v>1050.6250499999999</v>
      </c>
      <c r="L7" s="125"/>
    </row>
    <row r="8" spans="1:12" ht="20.25" customHeight="1" x14ac:dyDescent="0.3">
      <c r="A8" s="138" t="str">
        <f>Zones!B8</f>
        <v>F1 MECHANICAL ROOM</v>
      </c>
      <c r="B8" s="19">
        <f>Zones!M8</f>
        <v>1.2961200000000002</v>
      </c>
      <c r="C8" s="224">
        <f>Zones!J8</f>
        <v>432.04</v>
      </c>
      <c r="D8" s="319">
        <v>15</v>
      </c>
      <c r="E8" s="319"/>
      <c r="F8" s="319">
        <v>0.15</v>
      </c>
      <c r="G8" s="124"/>
      <c r="H8" s="76">
        <f t="shared" si="0"/>
        <v>19.441800000000001</v>
      </c>
      <c r="I8" s="76">
        <f t="shared" si="1"/>
        <v>64.805999999999997</v>
      </c>
      <c r="J8" s="77"/>
      <c r="K8" s="128">
        <f t="shared" si="2"/>
        <v>64.805999999999997</v>
      </c>
      <c r="L8" s="125"/>
    </row>
    <row r="9" spans="1:12" ht="40.5" customHeight="1" x14ac:dyDescent="0.3">
      <c r="A9" s="138" t="str">
        <f>Zones!B9</f>
        <v>F1 RETAIL N-NW</v>
      </c>
      <c r="B9" s="19">
        <f>Zones!M9</f>
        <v>99.75966666666686</v>
      </c>
      <c r="C9" s="224">
        <f>Zones!J9</f>
        <v>5985.58</v>
      </c>
      <c r="D9" s="319">
        <v>15</v>
      </c>
      <c r="E9" s="319"/>
      <c r="F9" s="382">
        <v>0.2</v>
      </c>
      <c r="G9" s="124"/>
      <c r="H9" s="76">
        <f t="shared" si="0"/>
        <v>1496.3950000000029</v>
      </c>
      <c r="I9" s="76">
        <f t="shared" si="1"/>
        <v>1197.116</v>
      </c>
      <c r="J9" s="77"/>
      <c r="K9" s="128">
        <f t="shared" si="2"/>
        <v>1496.3950000000029</v>
      </c>
      <c r="L9" s="383" t="s">
        <v>354</v>
      </c>
    </row>
    <row r="10" spans="1:12" ht="20.85" customHeight="1" x14ac:dyDescent="0.3">
      <c r="A10" s="138" t="str">
        <f>Zones!B10</f>
        <v>F1 RETAIL NE</v>
      </c>
      <c r="B10" s="19">
        <f>Zones!M10</f>
        <v>72.007000000000147</v>
      </c>
      <c r="C10" s="224">
        <f>Zones!J10</f>
        <v>4320.42</v>
      </c>
      <c r="D10" s="319">
        <v>15</v>
      </c>
      <c r="E10" s="319"/>
      <c r="F10" s="382">
        <v>0.2</v>
      </c>
      <c r="G10" s="124"/>
      <c r="H10" s="76">
        <f t="shared" si="0"/>
        <v>1080.1050000000023</v>
      </c>
      <c r="I10" s="76">
        <f t="shared" si="1"/>
        <v>864.08400000000006</v>
      </c>
      <c r="J10" s="77"/>
      <c r="K10" s="128">
        <f t="shared" si="2"/>
        <v>1080.1050000000023</v>
      </c>
      <c r="L10" s="125"/>
    </row>
    <row r="11" spans="1:12" ht="20.85" customHeight="1" x14ac:dyDescent="0.3">
      <c r="A11" s="138" t="str">
        <f>Zones!B11</f>
        <v>F1 RETAIL SE</v>
      </c>
      <c r="B11" s="19">
        <f>Zones!M11</f>
        <v>48.004666666666765</v>
      </c>
      <c r="C11" s="224">
        <f>Zones!J11</f>
        <v>2880.28</v>
      </c>
      <c r="D11" s="319">
        <v>15</v>
      </c>
      <c r="E11" s="319"/>
      <c r="F11" s="382">
        <v>0.2</v>
      </c>
      <c r="G11" s="124"/>
      <c r="H11" s="76">
        <f t="shared" si="0"/>
        <v>720.07000000000153</v>
      </c>
      <c r="I11" s="76">
        <f t="shared" si="1"/>
        <v>576.05600000000004</v>
      </c>
      <c r="J11" s="77"/>
      <c r="K11" s="128">
        <f t="shared" si="2"/>
        <v>720.07000000000153</v>
      </c>
      <c r="L11" s="125"/>
    </row>
    <row r="12" spans="1:12" ht="20.85" customHeight="1" x14ac:dyDescent="0.3">
      <c r="A12" s="138" t="str">
        <f>Zones!B12</f>
        <v>F1 RETAIL SW</v>
      </c>
      <c r="B12" s="19">
        <f>Zones!M12</f>
        <v>73.807166666666816</v>
      </c>
      <c r="C12" s="224">
        <f>Zones!J12</f>
        <v>4428.43</v>
      </c>
      <c r="D12" s="319">
        <v>15</v>
      </c>
      <c r="E12" s="319"/>
      <c r="F12" s="382">
        <v>0.2</v>
      </c>
      <c r="G12" s="124"/>
      <c r="H12" s="76">
        <f t="shared" si="0"/>
        <v>1107.1075000000023</v>
      </c>
      <c r="I12" s="76">
        <f t="shared" si="1"/>
        <v>885.68600000000015</v>
      </c>
      <c r="J12" s="77"/>
      <c r="K12" s="128">
        <f t="shared" si="2"/>
        <v>1107.1075000000023</v>
      </c>
      <c r="L12" s="125"/>
    </row>
    <row r="13" spans="1:12" ht="47.25" customHeight="1" x14ac:dyDescent="0.3">
      <c r="A13" s="138" t="str">
        <f>Zones!B13</f>
        <v>F2-4 1-BED CORE EAST</v>
      </c>
      <c r="B13" s="19">
        <f>Zones!M13</f>
        <v>12</v>
      </c>
      <c r="C13" s="224">
        <f>Zones!J13</f>
        <v>1440.14</v>
      </c>
      <c r="D13" s="319" t="s">
        <v>88</v>
      </c>
      <c r="E13" s="384">
        <f>0.03*C13*Zones!L13+7.5*Zones!E13*(1+IF(ISNUMBER(SEARCH("Studio",Zones!F13)),0,IF(ISNUMBER(SEARCH("3-Bed",Zones!F13)),3,IF(ISNUMBER(SEARCH("2-Bed",Zones!F13)),2,1))))</f>
        <v>219.61259999999999</v>
      </c>
      <c r="G13" s="124"/>
      <c r="H13" s="76"/>
      <c r="I13" s="76">
        <f>E13</f>
        <v>219.61259999999999</v>
      </c>
      <c r="J13" s="77">
        <f>I13</f>
        <v>219.61259999999999</v>
      </c>
      <c r="K13" s="128">
        <f t="shared" si="2"/>
        <v>219.61259999999999</v>
      </c>
      <c r="L13" s="385" t="s">
        <v>355</v>
      </c>
    </row>
    <row r="14" spans="1:12" ht="20.85" customHeight="1" x14ac:dyDescent="0.3">
      <c r="A14" s="138" t="str">
        <f>Zones!B14</f>
        <v>F2-4 1-BED CORE N</v>
      </c>
      <c r="B14" s="19">
        <f>Zones!M14</f>
        <v>6</v>
      </c>
      <c r="C14" s="224">
        <f>Zones!J14</f>
        <v>720.07</v>
      </c>
      <c r="D14" s="319" t="s">
        <v>88</v>
      </c>
      <c r="E14" s="384">
        <f>0.03*C14*Zones!L14+7.5*Zones!E14*(1+IF(ISNUMBER(SEARCH("Studio",Zones!F14)),0,IF(ISNUMBER(SEARCH("3-Bed",Zones!F14)),3,IF(ISNUMBER(SEARCH("2-Bed",Zones!F14)),2,1))))</f>
        <v>109.80629999999999</v>
      </c>
      <c r="F14" s="319"/>
      <c r="G14" s="126"/>
      <c r="H14" s="76"/>
      <c r="I14" s="76">
        <f>E14</f>
        <v>109.80629999999999</v>
      </c>
      <c r="J14" s="77">
        <f t="shared" ref="J14:J21" si="3">I14</f>
        <v>109.80629999999999</v>
      </c>
      <c r="K14" s="128">
        <f t="shared" si="2"/>
        <v>109.80629999999999</v>
      </c>
      <c r="L14" s="78" t="s">
        <v>356</v>
      </c>
    </row>
    <row r="15" spans="1:12" ht="20.85" customHeight="1" x14ac:dyDescent="0.3">
      <c r="A15" s="138" t="str">
        <f>Zones!B15</f>
        <v>F2-4 1-BED CORE WEST</v>
      </c>
      <c r="B15" s="19">
        <f>Zones!M15</f>
        <v>12</v>
      </c>
      <c r="C15" s="224">
        <f>Zones!J15</f>
        <v>1440.14</v>
      </c>
      <c r="D15" s="319" t="s">
        <v>88</v>
      </c>
      <c r="E15" s="384">
        <f>0.03*C15*Zones!L15+7.5*Zones!E15*(1+IF(ISNUMBER(SEARCH("Studio",Zones!F15)),0,IF(ISNUMBER(SEARCH("3-Bed",Zones!F15)),3,IF(ISNUMBER(SEARCH("2-Bed",Zones!F15)),2,1))))</f>
        <v>219.61259999999999</v>
      </c>
      <c r="F15" s="319"/>
      <c r="G15" s="126"/>
      <c r="H15" s="76"/>
      <c r="I15" s="76">
        <f t="shared" ref="I15:I21" si="4">E15</f>
        <v>219.61259999999999</v>
      </c>
      <c r="J15" s="77">
        <f t="shared" si="3"/>
        <v>219.61259999999999</v>
      </c>
      <c r="K15" s="128">
        <f t="shared" si="2"/>
        <v>219.61259999999999</v>
      </c>
      <c r="L15" s="78" t="s">
        <v>356</v>
      </c>
    </row>
    <row r="16" spans="1:12" ht="20.85" customHeight="1" x14ac:dyDescent="0.3">
      <c r="A16" s="138" t="str">
        <f>Zones!B16</f>
        <v>F2-4 1-BED NORTH</v>
      </c>
      <c r="B16" s="19">
        <f>Zones!M16</f>
        <v>30</v>
      </c>
      <c r="C16" s="224">
        <f>Zones!J16</f>
        <v>3720.36</v>
      </c>
      <c r="D16" s="319" t="s">
        <v>88</v>
      </c>
      <c r="E16" s="384">
        <f>0.03*C16*Zones!L16+7.5*Zones!E16*(1+IF(ISNUMBER(SEARCH("Studio",Zones!F16)),0,IF(ISNUMBER(SEARCH("3-Bed",Zones!F16)),3,IF(ISNUMBER(SEARCH("2-Bed",Zones!F16)),2,1))))</f>
        <v>559.83240000000001</v>
      </c>
      <c r="F16" s="319"/>
      <c r="G16" s="78"/>
      <c r="H16" s="76"/>
      <c r="I16" s="76">
        <f t="shared" si="4"/>
        <v>559.83240000000001</v>
      </c>
      <c r="J16" s="77">
        <f t="shared" si="3"/>
        <v>559.83240000000001</v>
      </c>
      <c r="K16" s="128">
        <f t="shared" si="2"/>
        <v>559.83240000000001</v>
      </c>
      <c r="L16" s="78" t="s">
        <v>356</v>
      </c>
    </row>
    <row r="17" spans="1:12" ht="20.85" customHeight="1" x14ac:dyDescent="0.3">
      <c r="A17" s="138" t="str">
        <f>Zones!B17</f>
        <v>F2-4 2-BED CORE NE-NW</v>
      </c>
      <c r="B17" s="19">
        <f>Zones!M17</f>
        <v>18</v>
      </c>
      <c r="C17" s="224">
        <f>Zones!J17</f>
        <v>2160.21</v>
      </c>
      <c r="D17" s="319" t="s">
        <v>88</v>
      </c>
      <c r="E17" s="384">
        <f>0.03*C17*Zones!L17+7.5*Zones!E17*(1+IF(ISNUMBER(SEARCH("Studio",Zones!F17)),0,IF(ISNUMBER(SEARCH("3-Bed",Zones!F17)),3,IF(ISNUMBER(SEARCH("2-Bed",Zones!F17)),2,1))))</f>
        <v>329.41890000000001</v>
      </c>
      <c r="F17" s="319"/>
      <c r="G17" s="78"/>
      <c r="H17" s="76"/>
      <c r="I17" s="76">
        <f t="shared" si="4"/>
        <v>329.41890000000001</v>
      </c>
      <c r="J17" s="77">
        <f t="shared" si="3"/>
        <v>329.41890000000001</v>
      </c>
      <c r="K17" s="128">
        <f t="shared" si="2"/>
        <v>329.41890000000001</v>
      </c>
      <c r="L17" s="78" t="s">
        <v>356</v>
      </c>
    </row>
    <row r="18" spans="1:12" ht="20.85" customHeight="1" x14ac:dyDescent="0.3">
      <c r="A18" s="138" t="str">
        <f>Zones!B18</f>
        <v>F2-4 2-BED EAST</v>
      </c>
      <c r="B18" s="19">
        <f>Zones!M18</f>
        <v>27</v>
      </c>
      <c r="C18" s="224">
        <f>Zones!J18</f>
        <v>3240.32</v>
      </c>
      <c r="D18" s="319" t="s">
        <v>88</v>
      </c>
      <c r="E18" s="384">
        <f>0.03*C18*Zones!L18+7.5*Zones!E18*(1+IF(ISNUMBER(SEARCH("Studio",Zones!F18)),0,IF(ISNUMBER(SEARCH("3-Bed",Zones!F18)),3,IF(ISNUMBER(SEARCH("2-Bed",Zones!F18)),2,1))))</f>
        <v>494.12879999999996</v>
      </c>
      <c r="F18" s="319"/>
      <c r="G18" s="78"/>
      <c r="H18" s="76"/>
      <c r="I18" s="76">
        <f t="shared" si="4"/>
        <v>494.12879999999996</v>
      </c>
      <c r="J18" s="77">
        <f t="shared" si="3"/>
        <v>494.12879999999996</v>
      </c>
      <c r="K18" s="128">
        <f t="shared" si="2"/>
        <v>494.12879999999996</v>
      </c>
      <c r="L18" s="78" t="s">
        <v>356</v>
      </c>
    </row>
    <row r="19" spans="1:12" ht="20.85" customHeight="1" x14ac:dyDescent="0.3">
      <c r="A19" s="138" t="str">
        <f>Zones!B19</f>
        <v>F2-4 2-BED WEST</v>
      </c>
      <c r="B19" s="19">
        <f>Zones!M19</f>
        <v>27</v>
      </c>
      <c r="C19" s="224">
        <f>Zones!J19</f>
        <v>3240.32</v>
      </c>
      <c r="D19" s="319" t="s">
        <v>88</v>
      </c>
      <c r="E19" s="384">
        <f>0.03*C19*Zones!L19+7.5*Zones!E19*(1+IF(ISNUMBER(SEARCH("Studio",Zones!F19)),0,IF(ISNUMBER(SEARCH("3-Bed",Zones!F19)),3,IF(ISNUMBER(SEARCH("2-Bed",Zones!F19)),2,1))))</f>
        <v>494.12879999999996</v>
      </c>
      <c r="F19" s="319"/>
      <c r="G19" s="78"/>
      <c r="H19" s="76"/>
      <c r="I19" s="76">
        <f t="shared" si="4"/>
        <v>494.12879999999996</v>
      </c>
      <c r="J19" s="77">
        <f t="shared" si="3"/>
        <v>494.12879999999996</v>
      </c>
      <c r="K19" s="128">
        <f t="shared" si="2"/>
        <v>494.12879999999996</v>
      </c>
      <c r="L19" s="78" t="s">
        <v>356</v>
      </c>
    </row>
    <row r="20" spans="1:12" ht="20.85" customHeight="1" x14ac:dyDescent="0.3">
      <c r="A20" s="138" t="str">
        <f>Zones!B20</f>
        <v>F2-4 3-BED NE</v>
      </c>
      <c r="B20" s="19">
        <f>Zones!M20</f>
        <v>12</v>
      </c>
      <c r="C20" s="224">
        <f>Zones!J20</f>
        <v>1410.14</v>
      </c>
      <c r="D20" s="319" t="s">
        <v>88</v>
      </c>
      <c r="E20" s="384">
        <f>0.03*C20*Zones!L20+7.5*Zones!E20*(1+IF(ISNUMBER(SEARCH("Studio",Zones!F20)),0,IF(ISNUMBER(SEARCH("3-Bed",Zones!F20)),3,IF(ISNUMBER(SEARCH("2-Bed",Zones!F20)),2,1))))</f>
        <v>216.9126</v>
      </c>
      <c r="F20" s="319"/>
      <c r="G20" s="78"/>
      <c r="H20" s="76"/>
      <c r="I20" s="76">
        <f t="shared" si="4"/>
        <v>216.9126</v>
      </c>
      <c r="J20" s="77">
        <f t="shared" si="3"/>
        <v>216.9126</v>
      </c>
      <c r="K20" s="128">
        <f t="shared" si="2"/>
        <v>216.9126</v>
      </c>
      <c r="L20" s="78" t="s">
        <v>356</v>
      </c>
    </row>
    <row r="21" spans="1:12" ht="20.85" customHeight="1" x14ac:dyDescent="0.3">
      <c r="A21" s="138" t="str">
        <f>Zones!B21</f>
        <v>F2-4 3-BED NW</v>
      </c>
      <c r="B21" s="19">
        <f>Zones!M21</f>
        <v>12</v>
      </c>
      <c r="C21" s="224">
        <f>Zones!J21</f>
        <v>1410.14</v>
      </c>
      <c r="D21" s="319" t="s">
        <v>88</v>
      </c>
      <c r="E21" s="384">
        <f>0.03*C21*Zones!L21+7.5*Zones!E21*(1+IF(ISNUMBER(SEARCH("Studio",Zones!F21)),0,IF(ISNUMBER(SEARCH("3-Bed",Zones!F21)),3,IF(ISNUMBER(SEARCH("2-Bed",Zones!F21)),2,1))))</f>
        <v>216.9126</v>
      </c>
      <c r="F21" s="319"/>
      <c r="G21" s="78"/>
      <c r="H21" s="76"/>
      <c r="I21" s="76">
        <f t="shared" si="4"/>
        <v>216.9126</v>
      </c>
      <c r="J21" s="77">
        <f t="shared" si="3"/>
        <v>216.9126</v>
      </c>
      <c r="K21" s="128">
        <f t="shared" si="2"/>
        <v>216.9126</v>
      </c>
      <c r="L21" s="78" t="s">
        <v>356</v>
      </c>
    </row>
    <row r="22" spans="1:12" ht="20.85" customHeight="1" x14ac:dyDescent="0.3">
      <c r="A22" s="138" t="str">
        <f>Zones!B22</f>
        <v>F2-4 CORRIDOR</v>
      </c>
      <c r="B22" s="19">
        <f>Zones!M22</f>
        <v>77.407499999999999</v>
      </c>
      <c r="C22" s="224">
        <f>Zones!J22</f>
        <v>2580.25</v>
      </c>
      <c r="D22" s="319">
        <v>15</v>
      </c>
      <c r="E22" s="319"/>
      <c r="F22" s="319">
        <v>0.15</v>
      </c>
      <c r="G22" s="78"/>
      <c r="H22" s="76">
        <f t="shared" si="0"/>
        <v>1161.1125</v>
      </c>
      <c r="I22" s="76">
        <f t="shared" si="1"/>
        <v>387.03749999999997</v>
      </c>
      <c r="J22" s="77"/>
      <c r="K22" s="128">
        <f t="shared" si="2"/>
        <v>1161.1125</v>
      </c>
      <c r="L22" s="78"/>
    </row>
    <row r="23" spans="1:12" ht="20.85" customHeight="1" x14ac:dyDescent="0.3">
      <c r="A23" s="138" t="str">
        <f>Zones!B23</f>
        <v>F2-4 LAUNDRY</v>
      </c>
      <c r="B23" s="19">
        <f>Zones!M23</f>
        <v>5.4006000000000007</v>
      </c>
      <c r="C23" s="224">
        <f>Zones!J23</f>
        <v>180.02</v>
      </c>
      <c r="D23" s="319">
        <v>15</v>
      </c>
      <c r="E23" s="319"/>
      <c r="F23" s="319">
        <v>0.15</v>
      </c>
      <c r="G23" s="78"/>
      <c r="H23" s="76">
        <f t="shared" si="0"/>
        <v>81.009000000000015</v>
      </c>
      <c r="I23" s="76">
        <f t="shared" si="1"/>
        <v>27.003</v>
      </c>
      <c r="J23" s="77"/>
      <c r="K23" s="128">
        <f t="shared" si="2"/>
        <v>81.009000000000015</v>
      </c>
      <c r="L23" s="78"/>
    </row>
    <row r="24" spans="1:12" ht="20.85" customHeight="1" x14ac:dyDescent="0.3">
      <c r="A24" s="138" t="str">
        <f>Zones!B24</f>
        <v>F2-4 STUDIO SE</v>
      </c>
      <c r="B24" s="19">
        <f>Zones!M24</f>
        <v>6</v>
      </c>
      <c r="C24" s="224">
        <f>Zones!J24</f>
        <v>540.04999999999995</v>
      </c>
      <c r="D24" s="319" t="s">
        <v>88</v>
      </c>
      <c r="E24" s="384">
        <f>0.03*C24*Zones!L24+7.5*Zones!E24*(1+IF(ISNUMBER(SEARCH("Studio",Zones!F24)),0,IF(ISNUMBER(SEARCH("3-Bed",Zones!F24)),3,IF(ISNUMBER(SEARCH("2-Bed",Zones!F24)),2,1))))</f>
        <v>71.104500000000002</v>
      </c>
      <c r="F24" s="319"/>
      <c r="G24" s="78"/>
      <c r="H24" s="76"/>
      <c r="I24" s="76">
        <f t="shared" ref="I24:I34" si="5">E24</f>
        <v>71.104500000000002</v>
      </c>
      <c r="J24" s="77">
        <f t="shared" ref="J24:J34" si="6">I24</f>
        <v>71.104500000000002</v>
      </c>
      <c r="K24" s="128">
        <f t="shared" si="2"/>
        <v>71.104500000000002</v>
      </c>
      <c r="L24" s="78" t="s">
        <v>356</v>
      </c>
    </row>
    <row r="25" spans="1:12" ht="20.85" customHeight="1" x14ac:dyDescent="0.3">
      <c r="A25" s="138" t="str">
        <f>Zones!B25</f>
        <v>F2-4 STUDIO SW</v>
      </c>
      <c r="B25" s="19">
        <f>Zones!M25</f>
        <v>6</v>
      </c>
      <c r="C25" s="224">
        <f>Zones!J25</f>
        <v>540.04999999999995</v>
      </c>
      <c r="D25" s="319" t="s">
        <v>88</v>
      </c>
      <c r="E25" s="384">
        <f>0.03*C25*Zones!L25+7.5*Zones!E25*(1+IF(ISNUMBER(SEARCH("Studio",Zones!F25)),0,IF(ISNUMBER(SEARCH("3-Bed",Zones!F25)),3,IF(ISNUMBER(SEARCH("2-Bed",Zones!F25)),2,1))))</f>
        <v>71.104500000000002</v>
      </c>
      <c r="F25" s="319"/>
      <c r="G25" s="78"/>
      <c r="H25" s="76"/>
      <c r="I25" s="76">
        <f t="shared" si="5"/>
        <v>71.104500000000002</v>
      </c>
      <c r="J25" s="77">
        <f t="shared" si="6"/>
        <v>71.104500000000002</v>
      </c>
      <c r="K25" s="128">
        <f t="shared" si="2"/>
        <v>71.104500000000002</v>
      </c>
      <c r="L25" s="78" t="s">
        <v>356</v>
      </c>
    </row>
    <row r="26" spans="1:12" ht="20.85" customHeight="1" x14ac:dyDescent="0.3">
      <c r="A26" s="138" t="str">
        <f>Zones!B26</f>
        <v>F5 1-BED CORE EAST</v>
      </c>
      <c r="B26" s="19">
        <f>Zones!M26</f>
        <v>4</v>
      </c>
      <c r="C26" s="224">
        <f>Zones!J26</f>
        <v>1440.14</v>
      </c>
      <c r="D26" s="319" t="s">
        <v>88</v>
      </c>
      <c r="E26" s="384">
        <f>0.03*C26*Zones!L26+7.5*Zones!E26*(1+IF(ISNUMBER(SEARCH("Studio",Zones!F26)),0,IF(ISNUMBER(SEARCH("3-Bed",Zones!F26)),3,IF(ISNUMBER(SEARCH("2-Bed",Zones!F26)),2,1))))</f>
        <v>73.2042</v>
      </c>
      <c r="F26" s="319"/>
      <c r="G26" s="78"/>
      <c r="H26" s="76"/>
      <c r="I26" s="76">
        <f t="shared" si="5"/>
        <v>73.2042</v>
      </c>
      <c r="J26" s="77">
        <f t="shared" si="6"/>
        <v>73.2042</v>
      </c>
      <c r="K26" s="128">
        <f t="shared" si="2"/>
        <v>73.2042</v>
      </c>
      <c r="L26" s="78" t="s">
        <v>356</v>
      </c>
    </row>
    <row r="27" spans="1:12" ht="20.85" customHeight="1" x14ac:dyDescent="0.3">
      <c r="A27" s="138" t="str">
        <f>Zones!B27</f>
        <v>F5 1-BED CORE N</v>
      </c>
      <c r="B27" s="19">
        <f>Zones!M27</f>
        <v>2</v>
      </c>
      <c r="C27" s="224">
        <f>Zones!J27</f>
        <v>720.07</v>
      </c>
      <c r="D27" s="319" t="s">
        <v>88</v>
      </c>
      <c r="E27" s="384">
        <f>0.03*C27*Zones!L27+7.5*Zones!E27*(1+IF(ISNUMBER(SEARCH("Studio",Zones!F27)),0,IF(ISNUMBER(SEARCH("3-Bed",Zones!F27)),3,IF(ISNUMBER(SEARCH("2-Bed",Zones!F27)),2,1))))</f>
        <v>36.6021</v>
      </c>
      <c r="F27" s="319"/>
      <c r="G27" s="78"/>
      <c r="H27" s="76"/>
      <c r="I27" s="76">
        <f t="shared" si="5"/>
        <v>36.6021</v>
      </c>
      <c r="J27" s="77">
        <f t="shared" si="6"/>
        <v>36.6021</v>
      </c>
      <c r="K27" s="128">
        <f t="shared" si="2"/>
        <v>36.6021</v>
      </c>
      <c r="L27" s="78" t="s">
        <v>356</v>
      </c>
    </row>
    <row r="28" spans="1:12" ht="20.85" customHeight="1" x14ac:dyDescent="0.3">
      <c r="A28" s="138" t="str">
        <f>Zones!B28</f>
        <v>F5 1-BED CORE WEST</v>
      </c>
      <c r="B28" s="19">
        <f>Zones!M28</f>
        <v>4</v>
      </c>
      <c r="C28" s="224">
        <f>Zones!J28</f>
        <v>1440.14</v>
      </c>
      <c r="D28" s="319" t="s">
        <v>88</v>
      </c>
      <c r="E28" s="384">
        <f>0.03*C28*Zones!L28+7.5*Zones!E28*(1+IF(ISNUMBER(SEARCH("Studio",Zones!F28)),0,IF(ISNUMBER(SEARCH("3-Bed",Zones!F28)),3,IF(ISNUMBER(SEARCH("2-Bed",Zones!F28)),2,1))))</f>
        <v>73.2042</v>
      </c>
      <c r="F28" s="319"/>
      <c r="G28" s="78"/>
      <c r="H28" s="76"/>
      <c r="I28" s="76">
        <f t="shared" si="5"/>
        <v>73.2042</v>
      </c>
      <c r="J28" s="77">
        <f t="shared" si="6"/>
        <v>73.2042</v>
      </c>
      <c r="K28" s="128">
        <f t="shared" si="2"/>
        <v>73.2042</v>
      </c>
      <c r="L28" s="78" t="s">
        <v>356</v>
      </c>
    </row>
    <row r="29" spans="1:12" ht="20.85" customHeight="1" x14ac:dyDescent="0.3">
      <c r="A29" s="138" t="str">
        <f>Zones!B29</f>
        <v>F5 1-BED NORTH</v>
      </c>
      <c r="B29" s="19">
        <f>Zones!M29</f>
        <v>10</v>
      </c>
      <c r="C29" s="224">
        <f>Zones!J29</f>
        <v>3720.36</v>
      </c>
      <c r="D29" s="319" t="s">
        <v>88</v>
      </c>
      <c r="E29" s="384">
        <f>0.03*C29*Zones!L29+7.5*Zones!E29*(1+IF(ISNUMBER(SEARCH("Studio",Zones!F29)),0,IF(ISNUMBER(SEARCH("3-Bed",Zones!F29)),3,IF(ISNUMBER(SEARCH("2-Bed",Zones!F29)),2,1))))</f>
        <v>186.61079999999998</v>
      </c>
      <c r="F29" s="319"/>
      <c r="G29" s="78"/>
      <c r="H29" s="76"/>
      <c r="I29" s="76">
        <f t="shared" si="5"/>
        <v>186.61079999999998</v>
      </c>
      <c r="J29" s="77">
        <f t="shared" si="6"/>
        <v>186.61079999999998</v>
      </c>
      <c r="K29" s="128">
        <f t="shared" si="2"/>
        <v>186.61079999999998</v>
      </c>
      <c r="L29" s="78" t="s">
        <v>356</v>
      </c>
    </row>
    <row r="30" spans="1:12" ht="20.85" customHeight="1" x14ac:dyDescent="0.3">
      <c r="A30" s="138" t="str">
        <f>Zones!B30</f>
        <v>F5 2-BED CORE NE-NW</v>
      </c>
      <c r="B30" s="19">
        <f>Zones!M30</f>
        <v>6</v>
      </c>
      <c r="C30" s="224">
        <f>Zones!J30</f>
        <v>2160.21</v>
      </c>
      <c r="D30" s="319" t="s">
        <v>88</v>
      </c>
      <c r="E30" s="384">
        <f>0.03*C30*Zones!L30+7.5*Zones!E30*(1+IF(ISNUMBER(SEARCH("Studio",Zones!F30)),0,IF(ISNUMBER(SEARCH("3-Bed",Zones!F30)),3,IF(ISNUMBER(SEARCH("2-Bed",Zones!F30)),2,1))))</f>
        <v>109.80629999999999</v>
      </c>
      <c r="F30" s="319"/>
      <c r="G30" s="78"/>
      <c r="H30" s="76"/>
      <c r="I30" s="76">
        <f t="shared" si="5"/>
        <v>109.80629999999999</v>
      </c>
      <c r="J30" s="77">
        <f t="shared" si="6"/>
        <v>109.80629999999999</v>
      </c>
      <c r="K30" s="128">
        <f t="shared" si="2"/>
        <v>109.80629999999999</v>
      </c>
      <c r="L30" s="78" t="s">
        <v>356</v>
      </c>
    </row>
    <row r="31" spans="1:12" ht="20.85" customHeight="1" x14ac:dyDescent="0.3">
      <c r="A31" s="138" t="str">
        <f>Zones!B31</f>
        <v>F5 2-BED EAST</v>
      </c>
      <c r="B31" s="19">
        <f>Zones!M31</f>
        <v>9</v>
      </c>
      <c r="C31" s="224">
        <f>Zones!J31</f>
        <v>3240.32</v>
      </c>
      <c r="D31" s="319" t="s">
        <v>88</v>
      </c>
      <c r="E31" s="384">
        <f>0.03*C31*Zones!L31+7.5*Zones!E31*(1+IF(ISNUMBER(SEARCH("Studio",Zones!F31)),0,IF(ISNUMBER(SEARCH("3-Bed",Zones!F31)),3,IF(ISNUMBER(SEARCH("2-Bed",Zones!F31)),2,1))))</f>
        <v>164.70959999999999</v>
      </c>
      <c r="F31" s="319"/>
      <c r="G31" s="78"/>
      <c r="H31" s="76"/>
      <c r="I31" s="76">
        <f t="shared" si="5"/>
        <v>164.70959999999999</v>
      </c>
      <c r="J31" s="77">
        <f t="shared" si="6"/>
        <v>164.70959999999999</v>
      </c>
      <c r="K31" s="128">
        <f t="shared" si="2"/>
        <v>164.70959999999999</v>
      </c>
      <c r="L31" s="78" t="s">
        <v>356</v>
      </c>
    </row>
    <row r="32" spans="1:12" ht="20.85" customHeight="1" x14ac:dyDescent="0.3">
      <c r="A32" s="138" t="str">
        <f>Zones!B32</f>
        <v>F5 2-BED WEST</v>
      </c>
      <c r="B32" s="19">
        <f>Zones!M32</f>
        <v>9</v>
      </c>
      <c r="C32" s="224">
        <f>Zones!J32</f>
        <v>3240.32</v>
      </c>
      <c r="D32" s="319" t="s">
        <v>88</v>
      </c>
      <c r="E32" s="384">
        <f>0.03*C32*Zones!L32+7.5*Zones!E32*(1+IF(ISNUMBER(SEARCH("Studio",Zones!F32)),0,IF(ISNUMBER(SEARCH("3-Bed",Zones!F32)),3,IF(ISNUMBER(SEARCH("2-Bed",Zones!F32)),2,1))))</f>
        <v>164.70959999999999</v>
      </c>
      <c r="F32" s="319"/>
      <c r="G32" s="78"/>
      <c r="H32" s="76"/>
      <c r="I32" s="76">
        <f t="shared" si="5"/>
        <v>164.70959999999999</v>
      </c>
      <c r="J32" s="77">
        <f t="shared" si="6"/>
        <v>164.70959999999999</v>
      </c>
      <c r="K32" s="128">
        <f t="shared" si="2"/>
        <v>164.70959999999999</v>
      </c>
      <c r="L32" s="78" t="s">
        <v>356</v>
      </c>
    </row>
    <row r="33" spans="1:12" ht="20.85" customHeight="1" x14ac:dyDescent="0.3">
      <c r="A33" s="138" t="str">
        <f>Zones!B33</f>
        <v>F5 3-BED NE</v>
      </c>
      <c r="B33" s="19">
        <f>Zones!M33</f>
        <v>4</v>
      </c>
      <c r="C33" s="224">
        <f>Zones!J33</f>
        <v>1410.14</v>
      </c>
      <c r="D33" s="319" t="s">
        <v>88</v>
      </c>
      <c r="E33" s="384">
        <f>0.03*C33*Zones!L33+7.5*Zones!E33*(1+IF(ISNUMBER(SEARCH("Studio",Zones!F33)),0,IF(ISNUMBER(SEARCH("3-Bed",Zones!F33)),3,IF(ISNUMBER(SEARCH("2-Bed",Zones!F33)),2,1))))</f>
        <v>72.304200000000009</v>
      </c>
      <c r="F33" s="319"/>
      <c r="G33" s="78"/>
      <c r="H33" s="76"/>
      <c r="I33" s="76">
        <f t="shared" si="5"/>
        <v>72.304200000000009</v>
      </c>
      <c r="J33" s="77">
        <f t="shared" si="6"/>
        <v>72.304200000000009</v>
      </c>
      <c r="K33" s="128">
        <f t="shared" si="2"/>
        <v>72.304200000000009</v>
      </c>
      <c r="L33" s="78" t="s">
        <v>356</v>
      </c>
    </row>
    <row r="34" spans="1:12" ht="20.85" customHeight="1" x14ac:dyDescent="0.3">
      <c r="A34" s="138" t="str">
        <f>Zones!B34</f>
        <v>F5 3-BED NW</v>
      </c>
      <c r="B34" s="19">
        <f>Zones!M34</f>
        <v>4</v>
      </c>
      <c r="C34" s="224">
        <f>Zones!J34</f>
        <v>1410.14</v>
      </c>
      <c r="D34" s="319" t="s">
        <v>88</v>
      </c>
      <c r="E34" s="384">
        <f>0.03*C34*Zones!L34+7.5*Zones!E34*(1+IF(ISNUMBER(SEARCH("Studio",Zones!F34)),0,IF(ISNUMBER(SEARCH("3-Bed",Zones!F34)),3,IF(ISNUMBER(SEARCH("2-Bed",Zones!F34)),2,1))))</f>
        <v>72.304200000000009</v>
      </c>
      <c r="F34" s="319"/>
      <c r="G34" s="78"/>
      <c r="H34" s="76"/>
      <c r="I34" s="76">
        <f t="shared" si="5"/>
        <v>72.304200000000009</v>
      </c>
      <c r="J34" s="77">
        <f t="shared" si="6"/>
        <v>72.304200000000009</v>
      </c>
      <c r="K34" s="128">
        <f t="shared" si="2"/>
        <v>72.304200000000009</v>
      </c>
      <c r="L34" s="78" t="s">
        <v>356</v>
      </c>
    </row>
    <row r="35" spans="1:12" ht="20.85" customHeight="1" x14ac:dyDescent="0.3">
      <c r="A35" s="138" t="str">
        <f>Zones!B35</f>
        <v>F5 CORRIDOR</v>
      </c>
      <c r="B35" s="19">
        <f>Zones!M35</f>
        <v>25.802499999999998</v>
      </c>
      <c r="C35" s="224">
        <f>Zones!J35</f>
        <v>2580.25</v>
      </c>
      <c r="D35" s="319">
        <v>15</v>
      </c>
      <c r="E35" s="319"/>
      <c r="F35" s="319">
        <v>0.15</v>
      </c>
      <c r="G35" s="78"/>
      <c r="H35" s="76">
        <f t="shared" si="0"/>
        <v>387.03749999999997</v>
      </c>
      <c r="I35" s="76">
        <f t="shared" si="1"/>
        <v>387.03749999999997</v>
      </c>
      <c r="J35" s="77"/>
      <c r="K35" s="128">
        <f t="shared" si="2"/>
        <v>387.03749999999997</v>
      </c>
      <c r="L35" s="78"/>
    </row>
    <row r="36" spans="1:12" ht="20.85" customHeight="1" x14ac:dyDescent="0.3">
      <c r="A36" s="138" t="str">
        <f>Zones!B36</f>
        <v>F5 LAUNDRY</v>
      </c>
      <c r="B36" s="19">
        <f>Zones!M36</f>
        <v>1.8002</v>
      </c>
      <c r="C36" s="224">
        <f>Zones!J36</f>
        <v>180.02</v>
      </c>
      <c r="D36" s="319">
        <v>15</v>
      </c>
      <c r="E36" s="319"/>
      <c r="F36" s="319">
        <v>0.15</v>
      </c>
      <c r="G36" s="78"/>
      <c r="H36" s="76">
        <f t="shared" si="0"/>
        <v>27.003</v>
      </c>
      <c r="I36" s="76">
        <f t="shared" si="1"/>
        <v>27.003</v>
      </c>
      <c r="J36" s="77"/>
      <c r="K36" s="128">
        <f t="shared" si="2"/>
        <v>27.003</v>
      </c>
      <c r="L36" s="78"/>
    </row>
    <row r="37" spans="1:12" ht="20.85" customHeight="1" x14ac:dyDescent="0.3">
      <c r="A37" s="138" t="str">
        <f>Zones!B37</f>
        <v>F5 STUDIO SE</v>
      </c>
      <c r="B37" s="19">
        <f>Zones!M37</f>
        <v>2</v>
      </c>
      <c r="C37" s="224">
        <f>Zones!J37</f>
        <v>540.04999999999995</v>
      </c>
      <c r="D37" s="319" t="s">
        <v>88</v>
      </c>
      <c r="E37" s="384">
        <f>0.03*C37*Zones!L37+7.5*Zones!E37*(1+IF(ISNUMBER(SEARCH("Studio",Zones!F37)),0,IF(ISNUMBER(SEARCH("3-Bed",Zones!F37)),3,IF(ISNUMBER(SEARCH("2-Bed",Zones!F37)),2,1))))</f>
        <v>23.701499999999999</v>
      </c>
      <c r="F37" s="319"/>
      <c r="G37" s="78"/>
      <c r="H37" s="76"/>
      <c r="I37" s="76">
        <f t="shared" ref="I37:I38" si="7">E37</f>
        <v>23.701499999999999</v>
      </c>
      <c r="J37" s="77">
        <f t="shared" ref="J37:J38" si="8">I37</f>
        <v>23.701499999999999</v>
      </c>
      <c r="K37" s="128">
        <f t="shared" si="2"/>
        <v>23.701499999999999</v>
      </c>
      <c r="L37" s="78" t="s">
        <v>356</v>
      </c>
    </row>
    <row r="38" spans="1:12" ht="20.85" customHeight="1" x14ac:dyDescent="0.3">
      <c r="A38" s="138" t="str">
        <f>Zones!B38</f>
        <v>F5 STUDIO SW</v>
      </c>
      <c r="B38" s="19">
        <f>Zones!M38</f>
        <v>2</v>
      </c>
      <c r="C38" s="224">
        <f>Zones!J38</f>
        <v>540.04999999999995</v>
      </c>
      <c r="D38" s="319" t="s">
        <v>88</v>
      </c>
      <c r="E38" s="384">
        <f>0.03*C38*Zones!L38+7.5*Zones!E38*(1+IF(ISNUMBER(SEARCH("Studio",Zones!F38)),0,IF(ISNUMBER(SEARCH("3-Bed",Zones!F38)),3,IF(ISNUMBER(SEARCH("2-Bed",Zones!F38)),2,1))))</f>
        <v>23.701499999999999</v>
      </c>
      <c r="F38" s="319"/>
      <c r="G38" s="78"/>
      <c r="H38" s="76"/>
      <c r="I38" s="76">
        <f t="shared" si="7"/>
        <v>23.701499999999999</v>
      </c>
      <c r="J38" s="77">
        <f t="shared" si="8"/>
        <v>23.701499999999999</v>
      </c>
      <c r="K38" s="128">
        <f t="shared" si="2"/>
        <v>23.701499999999999</v>
      </c>
      <c r="L38" s="78" t="s">
        <v>356</v>
      </c>
    </row>
    <row r="39" spans="1:12" ht="43.5" customHeight="1" x14ac:dyDescent="0.3">
      <c r="A39" s="138" t="str">
        <f>Zones!B39</f>
        <v>PARKING GARAGE</v>
      </c>
      <c r="B39" s="19">
        <f>Zones!M39</f>
        <v>0</v>
      </c>
      <c r="C39" s="224">
        <f>Zones!J39</f>
        <v>27902.720000000001</v>
      </c>
      <c r="D39" s="382">
        <v>0</v>
      </c>
      <c r="E39" s="319"/>
      <c r="F39" s="382">
        <v>0</v>
      </c>
      <c r="G39" s="321">
        <v>0.75</v>
      </c>
      <c r="H39" s="76">
        <f t="shared" si="0"/>
        <v>0</v>
      </c>
      <c r="I39" s="76">
        <f>C39*F39</f>
        <v>0</v>
      </c>
      <c r="J39" s="77">
        <f>C39*G39</f>
        <v>20927.04</v>
      </c>
      <c r="K39" s="128">
        <f>MAX(H39:J39)</f>
        <v>20927.04</v>
      </c>
      <c r="L39" s="385" t="s">
        <v>357</v>
      </c>
    </row>
    <row r="40" spans="1:12" customFormat="1" ht="24" customHeight="1" x14ac:dyDescent="0.3"/>
    <row r="41" spans="1:12" customFormat="1" ht="14.4" x14ac:dyDescent="0.3"/>
    <row r="42" spans="1:12" customFormat="1" ht="14.4" x14ac:dyDescent="0.3"/>
    <row r="43" spans="1:12" customFormat="1" ht="14.4" x14ac:dyDescent="0.3"/>
    <row r="44" spans="1:12" customFormat="1" ht="14.4" x14ac:dyDescent="0.3"/>
    <row r="45" spans="1:12" customFormat="1" ht="14.4" x14ac:dyDescent="0.3"/>
    <row r="46" spans="1:12" customFormat="1" ht="14.4" x14ac:dyDescent="0.3"/>
    <row r="47" spans="1:12" customFormat="1" ht="14.4" x14ac:dyDescent="0.3"/>
    <row r="48" spans="1:12" customFormat="1" ht="14.4" x14ac:dyDescent="0.3"/>
    <row r="49" customFormat="1" ht="14.4" x14ac:dyDescent="0.3"/>
    <row r="50" customFormat="1" ht="14.4" x14ac:dyDescent="0.3"/>
    <row r="51" customFormat="1" ht="14.4" x14ac:dyDescent="0.3"/>
    <row r="52" customFormat="1" ht="14.4" x14ac:dyDescent="0.3"/>
    <row r="53" customFormat="1" ht="14.4" x14ac:dyDescent="0.3"/>
    <row r="54" customFormat="1" ht="14.4" x14ac:dyDescent="0.3"/>
    <row r="55" customFormat="1" ht="14.4" x14ac:dyDescent="0.3"/>
    <row r="56" customFormat="1" ht="14.4" x14ac:dyDescent="0.3"/>
    <row r="57" customFormat="1" ht="14.4" x14ac:dyDescent="0.3"/>
    <row r="58" customFormat="1" ht="14.4" x14ac:dyDescent="0.3"/>
    <row r="59" customFormat="1" ht="14.4" x14ac:dyDescent="0.3"/>
    <row r="60" customFormat="1" ht="14.4" x14ac:dyDescent="0.3"/>
    <row r="61" customFormat="1" ht="14.4" x14ac:dyDescent="0.3"/>
    <row r="62" customFormat="1" ht="14.4" x14ac:dyDescent="0.3"/>
    <row r="63" customFormat="1" ht="14.4" x14ac:dyDescent="0.3"/>
    <row r="64" customFormat="1" ht="14.4" x14ac:dyDescent="0.3"/>
    <row r="65" customFormat="1" ht="14.4" x14ac:dyDescent="0.3"/>
    <row r="66" customFormat="1" ht="14.4" x14ac:dyDescent="0.3"/>
    <row r="67" customFormat="1" ht="14.4" x14ac:dyDescent="0.3"/>
    <row r="68" customFormat="1" ht="14.4" x14ac:dyDescent="0.3"/>
    <row r="69" customFormat="1" ht="14.4" x14ac:dyDescent="0.3"/>
    <row r="70" customFormat="1" ht="14.4" x14ac:dyDescent="0.3"/>
    <row r="71" customFormat="1" ht="14.4" x14ac:dyDescent="0.3"/>
    <row r="72" customFormat="1" ht="14.4" x14ac:dyDescent="0.3"/>
    <row r="73" customFormat="1" ht="14.4" x14ac:dyDescent="0.3"/>
    <row r="74" customFormat="1" ht="14.4" x14ac:dyDescent="0.3"/>
    <row r="75" customFormat="1" ht="14.4" x14ac:dyDescent="0.3"/>
    <row r="76" customFormat="1" ht="14.4" x14ac:dyDescent="0.3"/>
    <row r="77" customFormat="1" ht="14.4" x14ac:dyDescent="0.3"/>
    <row r="78" customFormat="1" ht="14.4"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20.85" customHeight="1"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sheetData>
  <mergeCells count="1">
    <mergeCell ref="A1:L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41C6C-3EF0-4751-99C2-52618F6BD20C}">
  <dimension ref="A1:AJ170"/>
  <sheetViews>
    <sheetView topLeftCell="B1" zoomScaleNormal="100" workbookViewId="0">
      <selection sqref="A1:H1"/>
    </sheetView>
  </sheetViews>
  <sheetFormatPr defaultColWidth="8.6640625" defaultRowHeight="13.2" x14ac:dyDescent="0.3"/>
  <cols>
    <col min="1" max="1" width="55.33203125" style="6" customWidth="1"/>
    <col min="2" max="2" width="35.109375" style="6" customWidth="1"/>
    <col min="3" max="3" width="26.33203125" style="6" customWidth="1"/>
    <col min="4" max="4" width="30" style="6" customWidth="1"/>
    <col min="5" max="5" width="27.33203125" style="6" bestFit="1" customWidth="1"/>
    <col min="6" max="6" width="21.44140625" style="6" customWidth="1"/>
    <col min="7" max="7" width="46.6640625" style="6" customWidth="1"/>
    <col min="8" max="8" width="26.109375" style="6" bestFit="1" customWidth="1"/>
    <col min="9" max="10" width="23" style="6" customWidth="1"/>
    <col min="11" max="11" width="86.5546875" style="6" customWidth="1"/>
    <col min="12" max="12" width="22.6640625" style="6" customWidth="1"/>
    <col min="13" max="13" width="15.33203125" style="6" customWidth="1"/>
    <col min="14" max="14" width="42.6640625" style="6" customWidth="1"/>
    <col min="15" max="15" width="12.6640625" style="6" customWidth="1"/>
    <col min="16" max="16" width="40.6640625" style="6" customWidth="1"/>
    <col min="17" max="18" width="15.33203125" style="6" customWidth="1"/>
    <col min="19" max="19" width="7.6640625" style="6" hidden="1" customWidth="1"/>
    <col min="20" max="20" width="12.44140625" style="6" hidden="1" customWidth="1"/>
    <col min="21" max="36" width="6.5546875" style="6" hidden="1" customWidth="1"/>
    <col min="37" max="37" width="15.33203125" style="6" customWidth="1"/>
    <col min="38" max="38" width="11.33203125" style="6" customWidth="1"/>
    <col min="39" max="39" width="6.33203125" style="6" customWidth="1"/>
    <col min="40" max="43" width="4.6640625" style="6" customWidth="1"/>
    <col min="44" max="44" width="6.33203125" style="6" customWidth="1"/>
    <col min="45" max="59" width="4.6640625" style="6" customWidth="1"/>
    <col min="60" max="16384" width="8.6640625" style="6"/>
  </cols>
  <sheetData>
    <row r="1" spans="1:8" ht="15.6" x14ac:dyDescent="0.3">
      <c r="A1" s="535" t="str">
        <f>"Water Heater - "&amp;Prototype!A2</f>
        <v xml:space="preserve">Water Heater - ApartmentMidRise </v>
      </c>
      <c r="B1" s="536"/>
      <c r="C1" s="536"/>
      <c r="D1" s="536"/>
      <c r="E1" s="536"/>
      <c r="F1" s="536"/>
      <c r="G1" s="536"/>
      <c r="H1" s="536"/>
    </row>
    <row r="2" spans="1:8" x14ac:dyDescent="0.3">
      <c r="A2" s="79" t="s">
        <v>192</v>
      </c>
      <c r="B2" s="149" t="s">
        <v>358</v>
      </c>
      <c r="C2" s="149" t="s">
        <v>359</v>
      </c>
      <c r="D2" s="386" t="s">
        <v>360</v>
      </c>
      <c r="E2" s="149" t="s">
        <v>361</v>
      </c>
      <c r="F2" s="149" t="s">
        <v>362</v>
      </c>
      <c r="G2" s="149" t="s">
        <v>268</v>
      </c>
      <c r="H2" s="149" t="s">
        <v>353</v>
      </c>
    </row>
    <row r="3" spans="1:8" ht="51" customHeight="1" x14ac:dyDescent="0.3">
      <c r="A3" s="226" t="s">
        <v>223</v>
      </c>
      <c r="B3" s="396" t="s">
        <v>363</v>
      </c>
      <c r="C3" s="387">
        <v>0.8</v>
      </c>
      <c r="D3" s="388">
        <f>B51</f>
        <v>88</v>
      </c>
      <c r="E3" s="389" t="str">
        <f>"See Existing in-unit CZ table, col F (gal/unit); building = 88 x F"</f>
        <v>See Existing in-unit CZ table, col F (gal/unit); building = 88 x F</v>
      </c>
      <c r="F3" s="390">
        <f>IF(F62&lt;=55,0.692-0.0013*F62,0.8072-0.0003*F62)</f>
        <v>0.65299999999999991</v>
      </c>
      <c r="G3" s="537" t="s">
        <v>364</v>
      </c>
      <c r="H3" s="537" t="s">
        <v>365</v>
      </c>
    </row>
    <row r="4" spans="1:8" ht="58.5" customHeight="1" x14ac:dyDescent="0.3">
      <c r="A4" s="226" t="s">
        <v>289</v>
      </c>
      <c r="B4" s="396" t="s">
        <v>366</v>
      </c>
      <c r="C4" s="391">
        <v>0.81</v>
      </c>
      <c r="D4" s="392">
        <f>D3</f>
        <v>88</v>
      </c>
      <c r="E4" s="389">
        <v>0</v>
      </c>
      <c r="F4" s="389" t="s">
        <v>367</v>
      </c>
      <c r="G4" s="538"/>
      <c r="H4" s="539"/>
    </row>
    <row r="5" spans="1:8" x14ac:dyDescent="0.3">
      <c r="A5" s="524" t="s">
        <v>368</v>
      </c>
      <c r="B5" s="524"/>
      <c r="C5" s="524"/>
      <c r="D5" s="524"/>
      <c r="E5" s="524"/>
      <c r="F5" s="524"/>
      <c r="G5" s="524"/>
    </row>
    <row r="8" spans="1:8" ht="15.6" x14ac:dyDescent="0.3">
      <c r="A8" s="542" t="s">
        <v>369</v>
      </c>
      <c r="B8" s="542"/>
      <c r="C8" s="542"/>
      <c r="D8" s="542"/>
      <c r="E8" s="542"/>
      <c r="F8" s="542"/>
      <c r="G8" s="542"/>
      <c r="H8" s="542"/>
    </row>
    <row r="9" spans="1:8" ht="79.2" x14ac:dyDescent="0.3">
      <c r="A9" s="79" t="s">
        <v>370</v>
      </c>
      <c r="B9" s="90" t="s">
        <v>371</v>
      </c>
      <c r="C9" s="79" t="s">
        <v>372</v>
      </c>
      <c r="D9" s="79" t="s">
        <v>343</v>
      </c>
      <c r="E9" s="79" t="s">
        <v>373</v>
      </c>
      <c r="F9" s="79" t="s">
        <v>374</v>
      </c>
      <c r="G9" s="79" t="s">
        <v>375</v>
      </c>
      <c r="H9" s="272" t="s">
        <v>28</v>
      </c>
    </row>
    <row r="10" spans="1:8" x14ac:dyDescent="0.25">
      <c r="A10" s="129" t="str">
        <f>Zones!B3</f>
        <v>F1 BUSINESS CENTER</v>
      </c>
      <c r="B10" s="393" t="s">
        <v>376</v>
      </c>
      <c r="C10" s="134">
        <f>Zones!J3*Zones!L3</f>
        <v>360.04</v>
      </c>
      <c r="D10" s="394">
        <f>Zones!M3</f>
        <v>24.003866800000004</v>
      </c>
      <c r="E10" s="395">
        <v>0.18</v>
      </c>
      <c r="F10" s="266">
        <f t="shared" ref="F10:F46" si="0">D10*E10</f>
        <v>4.320696024000001</v>
      </c>
      <c r="G10" s="271">
        <f t="shared" ref="G10:G46" si="1">F10/60</f>
        <v>7.2011600400000014E-2</v>
      </c>
      <c r="H10" s="543" t="s">
        <v>377</v>
      </c>
    </row>
    <row r="11" spans="1:8" x14ac:dyDescent="0.25">
      <c r="A11" s="129" t="str">
        <f>Zones!B4</f>
        <v>F1 CORRIDOR</v>
      </c>
      <c r="B11" s="393" t="s">
        <v>376</v>
      </c>
      <c r="C11" s="134">
        <f>Zones!J4*Zones!L4</f>
        <v>1920.19</v>
      </c>
      <c r="D11" s="394">
        <f>Zones!M4</f>
        <v>19.201900000000002</v>
      </c>
      <c r="E11" s="395">
        <v>0</v>
      </c>
      <c r="F11" s="266">
        <f t="shared" si="0"/>
        <v>0</v>
      </c>
      <c r="G11" s="271">
        <f t="shared" si="1"/>
        <v>0</v>
      </c>
      <c r="H11" s="543"/>
    </row>
    <row r="12" spans="1:8" x14ac:dyDescent="0.25">
      <c r="A12" s="129" t="str">
        <f>Zones!B5</f>
        <v>F1 FITNESS CENTER</v>
      </c>
      <c r="B12" s="393" t="s">
        <v>376</v>
      </c>
      <c r="C12" s="134">
        <f>Zones!J5*Zones!L5</f>
        <v>900.09</v>
      </c>
      <c r="D12" s="394">
        <f>Zones!M5</f>
        <v>18.001799999999999</v>
      </c>
      <c r="E12" s="395">
        <v>0.18</v>
      </c>
      <c r="F12" s="266">
        <f t="shared" si="0"/>
        <v>3.2403239999999998</v>
      </c>
      <c r="G12" s="271">
        <f t="shared" si="1"/>
        <v>5.4005399999999995E-2</v>
      </c>
      <c r="H12" s="543"/>
    </row>
    <row r="13" spans="1:8" x14ac:dyDescent="0.25">
      <c r="A13" s="129" t="str">
        <f>Zones!B6</f>
        <v>F1 LEASING OFFICE</v>
      </c>
      <c r="B13" s="393" t="s">
        <v>376</v>
      </c>
      <c r="C13" s="134">
        <f>Zones!J6*Zones!L6</f>
        <v>345.03</v>
      </c>
      <c r="D13" s="394">
        <f>Zones!M6</f>
        <v>3.4502999999999999</v>
      </c>
      <c r="E13" s="395">
        <v>0.09</v>
      </c>
      <c r="F13" s="266">
        <f t="shared" si="0"/>
        <v>0.310527</v>
      </c>
      <c r="G13" s="271">
        <f t="shared" si="1"/>
        <v>5.1754499999999998E-3</v>
      </c>
      <c r="H13" s="543"/>
    </row>
    <row r="14" spans="1:8" x14ac:dyDescent="0.25">
      <c r="A14" s="129" t="str">
        <f>Zones!B7</f>
        <v>F1 LOUNGE</v>
      </c>
      <c r="B14" s="393" t="s">
        <v>376</v>
      </c>
      <c r="C14" s="134">
        <f>Zones!J7*Zones!L7</f>
        <v>1050.0999999999999</v>
      </c>
      <c r="D14" s="394">
        <f>Zones!M7</f>
        <v>70.041669999999996</v>
      </c>
      <c r="E14" s="395">
        <v>0.09</v>
      </c>
      <c r="F14" s="266">
        <f t="shared" si="0"/>
        <v>6.303750299999999</v>
      </c>
      <c r="G14" s="271">
        <f t="shared" si="1"/>
        <v>0.10506250499999999</v>
      </c>
      <c r="H14" s="543"/>
    </row>
    <row r="15" spans="1:8" x14ac:dyDescent="0.25">
      <c r="A15" s="129" t="str">
        <f>Zones!B8</f>
        <v>F1 MECHANICAL ROOM</v>
      </c>
      <c r="B15" s="393" t="s">
        <v>376</v>
      </c>
      <c r="C15" s="134">
        <f>Zones!J8*Zones!L8</f>
        <v>432.04</v>
      </c>
      <c r="D15" s="394">
        <f>Zones!M8</f>
        <v>1.2961200000000002</v>
      </c>
      <c r="E15" s="395">
        <v>0</v>
      </c>
      <c r="F15" s="266">
        <f t="shared" si="0"/>
        <v>0</v>
      </c>
      <c r="G15" s="271">
        <f t="shared" si="1"/>
        <v>0</v>
      </c>
      <c r="H15" s="543"/>
    </row>
    <row r="16" spans="1:8" x14ac:dyDescent="0.25">
      <c r="A16" s="129" t="str">
        <f>Zones!B9</f>
        <v>F1 RETAIL N-NW</v>
      </c>
      <c r="B16" s="393" t="s">
        <v>376</v>
      </c>
      <c r="C16" s="134">
        <f>Zones!J9*Zones!L9</f>
        <v>5985.58</v>
      </c>
      <c r="D16" s="394">
        <f>Zones!M9</f>
        <v>99.75966666666686</v>
      </c>
      <c r="E16" s="395">
        <v>0.18</v>
      </c>
      <c r="F16" s="266">
        <f t="shared" si="0"/>
        <v>17.956740000000035</v>
      </c>
      <c r="G16" s="271">
        <f t="shared" si="1"/>
        <v>0.29927900000000057</v>
      </c>
      <c r="H16" s="543"/>
    </row>
    <row r="17" spans="1:8" x14ac:dyDescent="0.25">
      <c r="A17" s="129" t="str">
        <f>Zones!B10</f>
        <v>F1 RETAIL NE</v>
      </c>
      <c r="B17" s="393" t="s">
        <v>376</v>
      </c>
      <c r="C17" s="134">
        <f>Zones!J10*Zones!L10</f>
        <v>4320.42</v>
      </c>
      <c r="D17" s="394">
        <f>Zones!M10</f>
        <v>72.007000000000147</v>
      </c>
      <c r="E17" s="395">
        <v>0.18</v>
      </c>
      <c r="F17" s="266">
        <f t="shared" si="0"/>
        <v>12.961260000000026</v>
      </c>
      <c r="G17" s="271">
        <f t="shared" si="1"/>
        <v>0.21602100000000043</v>
      </c>
      <c r="H17" s="543"/>
    </row>
    <row r="18" spans="1:8" x14ac:dyDescent="0.25">
      <c r="A18" s="129" t="str">
        <f>Zones!B11</f>
        <v>F1 RETAIL SE</v>
      </c>
      <c r="B18" s="393" t="s">
        <v>376</v>
      </c>
      <c r="C18" s="134">
        <f>Zones!J11*Zones!L11</f>
        <v>2880.28</v>
      </c>
      <c r="D18" s="394">
        <f>Zones!M11</f>
        <v>48.004666666666765</v>
      </c>
      <c r="E18" s="395">
        <v>0.18</v>
      </c>
      <c r="F18" s="266">
        <f t="shared" si="0"/>
        <v>8.6408400000000167</v>
      </c>
      <c r="G18" s="271">
        <f t="shared" si="1"/>
        <v>0.14401400000000028</v>
      </c>
      <c r="H18" s="543"/>
    </row>
    <row r="19" spans="1:8" x14ac:dyDescent="0.25">
      <c r="A19" s="129" t="str">
        <f>Zones!B12</f>
        <v>F1 RETAIL SW</v>
      </c>
      <c r="B19" s="393" t="s">
        <v>376</v>
      </c>
      <c r="C19" s="134">
        <f>Zones!J12*Zones!L12</f>
        <v>4428.43</v>
      </c>
      <c r="D19" s="394">
        <f>Zones!M12</f>
        <v>73.807166666666816</v>
      </c>
      <c r="E19" s="395">
        <v>0.18</v>
      </c>
      <c r="F19" s="266">
        <f t="shared" si="0"/>
        <v>13.285290000000026</v>
      </c>
      <c r="G19" s="271">
        <f t="shared" si="1"/>
        <v>0.22142150000000044</v>
      </c>
      <c r="H19" s="543"/>
    </row>
    <row r="20" spans="1:8" x14ac:dyDescent="0.25">
      <c r="A20" s="129" t="str">
        <f>Zones!B13</f>
        <v>F2-4 1-BED CORE EAST</v>
      </c>
      <c r="B20" s="393" t="s">
        <v>378</v>
      </c>
      <c r="C20" s="134">
        <f>Zones!J13*Zones!L13</f>
        <v>4320.42</v>
      </c>
      <c r="D20" s="394">
        <f>Zones!M13</f>
        <v>12</v>
      </c>
      <c r="E20" s="395">
        <v>0.18</v>
      </c>
      <c r="F20" s="266">
        <f t="shared" si="0"/>
        <v>2.16</v>
      </c>
      <c r="G20" s="271">
        <f t="shared" si="1"/>
        <v>3.6000000000000004E-2</v>
      </c>
      <c r="H20" s="543"/>
    </row>
    <row r="21" spans="1:8" x14ac:dyDescent="0.25">
      <c r="A21" s="129" t="str">
        <f>Zones!B14</f>
        <v>F2-4 1-BED CORE N</v>
      </c>
      <c r="B21" s="393" t="s">
        <v>378</v>
      </c>
      <c r="C21" s="134">
        <f>Zones!J14*Zones!L14</f>
        <v>2160.21</v>
      </c>
      <c r="D21" s="394">
        <f>Zones!M14</f>
        <v>6</v>
      </c>
      <c r="E21" s="395">
        <v>0.18</v>
      </c>
      <c r="F21" s="266">
        <f t="shared" si="0"/>
        <v>1.08</v>
      </c>
      <c r="G21" s="271">
        <f t="shared" si="1"/>
        <v>1.8000000000000002E-2</v>
      </c>
      <c r="H21" s="543"/>
    </row>
    <row r="22" spans="1:8" x14ac:dyDescent="0.25">
      <c r="A22" s="129" t="str">
        <f>Zones!B15</f>
        <v>F2-4 1-BED CORE WEST</v>
      </c>
      <c r="B22" s="393" t="s">
        <v>378</v>
      </c>
      <c r="C22" s="134">
        <f>Zones!J15*Zones!L15</f>
        <v>4320.42</v>
      </c>
      <c r="D22" s="394">
        <f>Zones!M15</f>
        <v>12</v>
      </c>
      <c r="E22" s="395">
        <v>0.18</v>
      </c>
      <c r="F22" s="266">
        <f t="shared" si="0"/>
        <v>2.16</v>
      </c>
      <c r="G22" s="271">
        <f t="shared" si="1"/>
        <v>3.6000000000000004E-2</v>
      </c>
      <c r="H22" s="543"/>
    </row>
    <row r="23" spans="1:8" x14ac:dyDescent="0.25">
      <c r="A23" s="129" t="str">
        <f>Zones!B16</f>
        <v>F2-4 1-BED NORTH</v>
      </c>
      <c r="B23" s="393" t="s">
        <v>378</v>
      </c>
      <c r="C23" s="134">
        <f>Zones!J16*Zones!L16</f>
        <v>11161.08</v>
      </c>
      <c r="D23" s="394">
        <f>Zones!M16</f>
        <v>30</v>
      </c>
      <c r="E23" s="395">
        <v>0.18</v>
      </c>
      <c r="F23" s="266">
        <f t="shared" si="0"/>
        <v>5.3999999999999995</v>
      </c>
      <c r="G23" s="271">
        <f t="shared" si="1"/>
        <v>0.09</v>
      </c>
      <c r="H23" s="543"/>
    </row>
    <row r="24" spans="1:8" x14ac:dyDescent="0.25">
      <c r="A24" s="129" t="str">
        <f>Zones!B17</f>
        <v>F2-4 2-BED CORE NE-NW</v>
      </c>
      <c r="B24" s="393" t="s">
        <v>378</v>
      </c>
      <c r="C24" s="134">
        <f>Zones!J17*Zones!L17</f>
        <v>6480.63</v>
      </c>
      <c r="D24" s="394">
        <f>Zones!M17</f>
        <v>18</v>
      </c>
      <c r="E24" s="395">
        <v>0.18</v>
      </c>
      <c r="F24" s="266">
        <f t="shared" si="0"/>
        <v>3.2399999999999998</v>
      </c>
      <c r="G24" s="271">
        <f t="shared" si="1"/>
        <v>5.3999999999999999E-2</v>
      </c>
      <c r="H24" s="543"/>
    </row>
    <row r="25" spans="1:8" x14ac:dyDescent="0.25">
      <c r="A25" s="129" t="str">
        <f>Zones!B18</f>
        <v>F2-4 2-BED EAST</v>
      </c>
      <c r="B25" s="393" t="s">
        <v>378</v>
      </c>
      <c r="C25" s="134">
        <f>Zones!J18*Zones!L18</f>
        <v>9720.9600000000009</v>
      </c>
      <c r="D25" s="394">
        <f>Zones!M18</f>
        <v>27</v>
      </c>
      <c r="E25" s="395">
        <v>0.18</v>
      </c>
      <c r="F25" s="266">
        <f t="shared" si="0"/>
        <v>4.8599999999999994</v>
      </c>
      <c r="G25" s="271">
        <f t="shared" si="1"/>
        <v>8.0999999999999989E-2</v>
      </c>
      <c r="H25" s="543"/>
    </row>
    <row r="26" spans="1:8" x14ac:dyDescent="0.25">
      <c r="A26" s="129" t="str">
        <f>Zones!B19</f>
        <v>F2-4 2-BED WEST</v>
      </c>
      <c r="B26" s="393" t="s">
        <v>378</v>
      </c>
      <c r="C26" s="134">
        <f>Zones!J19*Zones!L19</f>
        <v>9720.9600000000009</v>
      </c>
      <c r="D26" s="394">
        <f>Zones!M19</f>
        <v>27</v>
      </c>
      <c r="E26" s="395">
        <v>0.18</v>
      </c>
      <c r="F26" s="266">
        <f t="shared" si="0"/>
        <v>4.8599999999999994</v>
      </c>
      <c r="G26" s="271">
        <f t="shared" si="1"/>
        <v>8.0999999999999989E-2</v>
      </c>
      <c r="H26" s="543"/>
    </row>
    <row r="27" spans="1:8" x14ac:dyDescent="0.25">
      <c r="A27" s="129" t="str">
        <f>Zones!B20</f>
        <v>F2-4 3-BED NE</v>
      </c>
      <c r="B27" s="393" t="s">
        <v>378</v>
      </c>
      <c r="C27" s="134">
        <f>Zones!J20*Zones!L20</f>
        <v>4230.42</v>
      </c>
      <c r="D27" s="394">
        <f>Zones!M20</f>
        <v>12</v>
      </c>
      <c r="E27" s="395">
        <v>0.18</v>
      </c>
      <c r="F27" s="266">
        <f t="shared" si="0"/>
        <v>2.16</v>
      </c>
      <c r="G27" s="271">
        <f t="shared" si="1"/>
        <v>3.6000000000000004E-2</v>
      </c>
      <c r="H27" s="543"/>
    </row>
    <row r="28" spans="1:8" x14ac:dyDescent="0.25">
      <c r="A28" s="129" t="str">
        <f>Zones!B21</f>
        <v>F2-4 3-BED NW</v>
      </c>
      <c r="B28" s="393" t="s">
        <v>378</v>
      </c>
      <c r="C28" s="134">
        <f>Zones!J21*Zones!L21</f>
        <v>4230.42</v>
      </c>
      <c r="D28" s="394">
        <f>Zones!M21</f>
        <v>12</v>
      </c>
      <c r="E28" s="395">
        <v>0.18</v>
      </c>
      <c r="F28" s="266">
        <f t="shared" si="0"/>
        <v>2.16</v>
      </c>
      <c r="G28" s="271">
        <f t="shared" si="1"/>
        <v>3.6000000000000004E-2</v>
      </c>
      <c r="H28" s="543"/>
    </row>
    <row r="29" spans="1:8" x14ac:dyDescent="0.25">
      <c r="A29" s="129" t="str">
        <f>Zones!B22</f>
        <v>F2-4 CORRIDOR</v>
      </c>
      <c r="B29" s="393" t="s">
        <v>376</v>
      </c>
      <c r="C29" s="134">
        <f>Zones!J22*Zones!L22</f>
        <v>7740.75</v>
      </c>
      <c r="D29" s="394">
        <f>Zones!M22</f>
        <v>77.407499999999999</v>
      </c>
      <c r="E29" s="395">
        <v>0</v>
      </c>
      <c r="F29" s="266">
        <f t="shared" si="0"/>
        <v>0</v>
      </c>
      <c r="G29" s="271">
        <f t="shared" si="1"/>
        <v>0</v>
      </c>
      <c r="H29" s="543"/>
    </row>
    <row r="30" spans="1:8" x14ac:dyDescent="0.25">
      <c r="A30" s="129" t="str">
        <f>Zones!B23</f>
        <v>F2-4 LAUNDRY</v>
      </c>
      <c r="B30" s="393" t="s">
        <v>376</v>
      </c>
      <c r="C30" s="134">
        <f>Zones!J23*Zones!L23</f>
        <v>540.06000000000006</v>
      </c>
      <c r="D30" s="394">
        <f>Zones!M23</f>
        <v>5.4006000000000007</v>
      </c>
      <c r="E30" s="395">
        <v>0.57799999999999996</v>
      </c>
      <c r="F30" s="266">
        <f t="shared" si="0"/>
        <v>3.1215468000000004</v>
      </c>
      <c r="G30" s="271">
        <f t="shared" si="1"/>
        <v>5.2025780000000008E-2</v>
      </c>
      <c r="H30" s="543"/>
    </row>
    <row r="31" spans="1:8" x14ac:dyDescent="0.25">
      <c r="A31" s="129" t="str">
        <f>Zones!B24</f>
        <v>F2-4 STUDIO SE</v>
      </c>
      <c r="B31" s="393" t="s">
        <v>378</v>
      </c>
      <c r="C31" s="134">
        <f>Zones!J24*Zones!L24</f>
        <v>1620.1499999999999</v>
      </c>
      <c r="D31" s="394">
        <f>Zones!M24</f>
        <v>6</v>
      </c>
      <c r="E31" s="395">
        <v>0.18</v>
      </c>
      <c r="F31" s="266">
        <f t="shared" si="0"/>
        <v>1.08</v>
      </c>
      <c r="G31" s="271">
        <f t="shared" si="1"/>
        <v>1.8000000000000002E-2</v>
      </c>
      <c r="H31" s="543"/>
    </row>
    <row r="32" spans="1:8" x14ac:dyDescent="0.25">
      <c r="A32" s="129" t="str">
        <f>Zones!B25</f>
        <v>F2-4 STUDIO SW</v>
      </c>
      <c r="B32" s="393" t="s">
        <v>378</v>
      </c>
      <c r="C32" s="134">
        <f>Zones!J25*Zones!L25</f>
        <v>1620.1499999999999</v>
      </c>
      <c r="D32" s="394">
        <f>Zones!M25</f>
        <v>6</v>
      </c>
      <c r="E32" s="395">
        <v>0.18</v>
      </c>
      <c r="F32" s="266">
        <f t="shared" si="0"/>
        <v>1.08</v>
      </c>
      <c r="G32" s="271">
        <f t="shared" si="1"/>
        <v>1.8000000000000002E-2</v>
      </c>
      <c r="H32" s="543"/>
    </row>
    <row r="33" spans="1:8" x14ac:dyDescent="0.25">
      <c r="A33" s="129" t="str">
        <f>Zones!B26</f>
        <v>F5 1-BED CORE EAST</v>
      </c>
      <c r="B33" s="393" t="s">
        <v>378</v>
      </c>
      <c r="C33" s="134">
        <f>Zones!J26*Zones!L26</f>
        <v>1440.14</v>
      </c>
      <c r="D33" s="394">
        <f>Zones!M26</f>
        <v>4</v>
      </c>
      <c r="E33" s="395">
        <v>0.18</v>
      </c>
      <c r="F33" s="266">
        <f t="shared" si="0"/>
        <v>0.72</v>
      </c>
      <c r="G33" s="271">
        <f t="shared" si="1"/>
        <v>1.2E-2</v>
      </c>
      <c r="H33" s="543"/>
    </row>
    <row r="34" spans="1:8" x14ac:dyDescent="0.25">
      <c r="A34" s="129" t="str">
        <f>Zones!B27</f>
        <v>F5 1-BED CORE N</v>
      </c>
      <c r="B34" s="393" t="s">
        <v>378</v>
      </c>
      <c r="C34" s="134">
        <f>Zones!J27*Zones!L27</f>
        <v>720.07</v>
      </c>
      <c r="D34" s="394">
        <f>Zones!M27</f>
        <v>2</v>
      </c>
      <c r="E34" s="395">
        <v>0.18</v>
      </c>
      <c r="F34" s="266">
        <f t="shared" si="0"/>
        <v>0.36</v>
      </c>
      <c r="G34" s="271">
        <f t="shared" si="1"/>
        <v>6.0000000000000001E-3</v>
      </c>
      <c r="H34" s="543"/>
    </row>
    <row r="35" spans="1:8" x14ac:dyDescent="0.25">
      <c r="A35" s="129" t="str">
        <f>Zones!B28</f>
        <v>F5 1-BED CORE WEST</v>
      </c>
      <c r="B35" s="393" t="s">
        <v>378</v>
      </c>
      <c r="C35" s="134">
        <f>Zones!J28*Zones!L28</f>
        <v>1440.14</v>
      </c>
      <c r="D35" s="394">
        <f>Zones!M28</f>
        <v>4</v>
      </c>
      <c r="E35" s="395">
        <v>0.18</v>
      </c>
      <c r="F35" s="266">
        <f t="shared" si="0"/>
        <v>0.72</v>
      </c>
      <c r="G35" s="271">
        <f t="shared" si="1"/>
        <v>1.2E-2</v>
      </c>
      <c r="H35" s="543"/>
    </row>
    <row r="36" spans="1:8" x14ac:dyDescent="0.25">
      <c r="A36" s="129" t="str">
        <f>Zones!B29</f>
        <v>F5 1-BED NORTH</v>
      </c>
      <c r="B36" s="393" t="s">
        <v>378</v>
      </c>
      <c r="C36" s="134">
        <f>Zones!J29*Zones!L29</f>
        <v>3720.36</v>
      </c>
      <c r="D36" s="394">
        <f>Zones!M29</f>
        <v>10</v>
      </c>
      <c r="E36" s="395">
        <v>0.18</v>
      </c>
      <c r="F36" s="266">
        <f t="shared" si="0"/>
        <v>1.7999999999999998</v>
      </c>
      <c r="G36" s="271">
        <f t="shared" si="1"/>
        <v>2.9999999999999995E-2</v>
      </c>
      <c r="H36" s="543"/>
    </row>
    <row r="37" spans="1:8" x14ac:dyDescent="0.25">
      <c r="A37" s="129" t="str">
        <f>Zones!B30</f>
        <v>F5 2-BED CORE NE-NW</v>
      </c>
      <c r="B37" s="393" t="s">
        <v>378</v>
      </c>
      <c r="C37" s="134">
        <f>Zones!J30*Zones!L30</f>
        <v>2160.21</v>
      </c>
      <c r="D37" s="394">
        <f>Zones!M30</f>
        <v>6</v>
      </c>
      <c r="E37" s="395">
        <v>0.18</v>
      </c>
      <c r="F37" s="266">
        <f t="shared" si="0"/>
        <v>1.08</v>
      </c>
      <c r="G37" s="271">
        <f t="shared" si="1"/>
        <v>1.8000000000000002E-2</v>
      </c>
      <c r="H37" s="543"/>
    </row>
    <row r="38" spans="1:8" x14ac:dyDescent="0.25">
      <c r="A38" s="129" t="str">
        <f>Zones!B31</f>
        <v>F5 2-BED EAST</v>
      </c>
      <c r="B38" s="393" t="s">
        <v>378</v>
      </c>
      <c r="C38" s="134">
        <f>Zones!J31*Zones!L31</f>
        <v>3240.32</v>
      </c>
      <c r="D38" s="394">
        <f>Zones!M31</f>
        <v>9</v>
      </c>
      <c r="E38" s="395">
        <v>0.18</v>
      </c>
      <c r="F38" s="266">
        <f t="shared" si="0"/>
        <v>1.6199999999999999</v>
      </c>
      <c r="G38" s="271">
        <f t="shared" si="1"/>
        <v>2.7E-2</v>
      </c>
      <c r="H38" s="543"/>
    </row>
    <row r="39" spans="1:8" x14ac:dyDescent="0.25">
      <c r="A39" s="129" t="str">
        <f>Zones!B32</f>
        <v>F5 2-BED WEST</v>
      </c>
      <c r="B39" s="393" t="s">
        <v>378</v>
      </c>
      <c r="C39" s="134">
        <f>Zones!J32*Zones!L32</f>
        <v>3240.32</v>
      </c>
      <c r="D39" s="394">
        <f>Zones!M32</f>
        <v>9</v>
      </c>
      <c r="E39" s="395">
        <v>0.18</v>
      </c>
      <c r="F39" s="266">
        <f t="shared" si="0"/>
        <v>1.6199999999999999</v>
      </c>
      <c r="G39" s="271">
        <f t="shared" si="1"/>
        <v>2.7E-2</v>
      </c>
      <c r="H39" s="543"/>
    </row>
    <row r="40" spans="1:8" x14ac:dyDescent="0.25">
      <c r="A40" s="129" t="str">
        <f>Zones!B33</f>
        <v>F5 3-BED NE</v>
      </c>
      <c r="B40" s="393" t="s">
        <v>378</v>
      </c>
      <c r="C40" s="134">
        <f>Zones!J33*Zones!L33</f>
        <v>1410.14</v>
      </c>
      <c r="D40" s="394">
        <f>Zones!M33</f>
        <v>4</v>
      </c>
      <c r="E40" s="395">
        <v>0.18</v>
      </c>
      <c r="F40" s="266">
        <f t="shared" si="0"/>
        <v>0.72</v>
      </c>
      <c r="G40" s="271">
        <f t="shared" si="1"/>
        <v>1.2E-2</v>
      </c>
      <c r="H40" s="543"/>
    </row>
    <row r="41" spans="1:8" x14ac:dyDescent="0.25">
      <c r="A41" s="129" t="str">
        <f>Zones!B34</f>
        <v>F5 3-BED NW</v>
      </c>
      <c r="B41" s="393" t="s">
        <v>378</v>
      </c>
      <c r="C41" s="134">
        <f>Zones!J34*Zones!L34</f>
        <v>1410.14</v>
      </c>
      <c r="D41" s="394">
        <f>Zones!M34</f>
        <v>4</v>
      </c>
      <c r="E41" s="395">
        <v>0.18</v>
      </c>
      <c r="F41" s="266">
        <f t="shared" si="0"/>
        <v>0.72</v>
      </c>
      <c r="G41" s="271">
        <f t="shared" si="1"/>
        <v>1.2E-2</v>
      </c>
      <c r="H41" s="543"/>
    </row>
    <row r="42" spans="1:8" x14ac:dyDescent="0.25">
      <c r="A42" s="129" t="str">
        <f>Zones!B35</f>
        <v>F5 CORRIDOR</v>
      </c>
      <c r="B42" s="393" t="s">
        <v>376</v>
      </c>
      <c r="C42" s="134">
        <f>Zones!J35*Zones!L35</f>
        <v>2580.25</v>
      </c>
      <c r="D42" s="394">
        <f>Zones!M35</f>
        <v>25.802499999999998</v>
      </c>
      <c r="E42" s="395">
        <v>0</v>
      </c>
      <c r="F42" s="266">
        <f t="shared" si="0"/>
        <v>0</v>
      </c>
      <c r="G42" s="271">
        <f t="shared" si="1"/>
        <v>0</v>
      </c>
      <c r="H42" s="543"/>
    </row>
    <row r="43" spans="1:8" x14ac:dyDescent="0.25">
      <c r="A43" s="129" t="str">
        <f>Zones!B36</f>
        <v>F5 LAUNDRY</v>
      </c>
      <c r="B43" s="393" t="s">
        <v>376</v>
      </c>
      <c r="C43" s="134">
        <f>Zones!J36*Zones!L36</f>
        <v>180.02</v>
      </c>
      <c r="D43" s="394">
        <f>Zones!M36</f>
        <v>1.8002</v>
      </c>
      <c r="E43" s="395">
        <v>0.57799999999999996</v>
      </c>
      <c r="F43" s="266">
        <f t="shared" si="0"/>
        <v>1.0405156</v>
      </c>
      <c r="G43" s="271">
        <f t="shared" si="1"/>
        <v>1.7341926666666667E-2</v>
      </c>
      <c r="H43" s="543"/>
    </row>
    <row r="44" spans="1:8" x14ac:dyDescent="0.25">
      <c r="A44" s="129" t="str">
        <f>Zones!B37</f>
        <v>F5 STUDIO SE</v>
      </c>
      <c r="B44" s="393" t="s">
        <v>378</v>
      </c>
      <c r="C44" s="134">
        <f>Zones!J37*Zones!L37</f>
        <v>540.04999999999995</v>
      </c>
      <c r="D44" s="394">
        <f>Zones!M37</f>
        <v>2</v>
      </c>
      <c r="E44" s="395">
        <v>0.18</v>
      </c>
      <c r="F44" s="266">
        <f t="shared" si="0"/>
        <v>0.36</v>
      </c>
      <c r="G44" s="271">
        <f t="shared" si="1"/>
        <v>6.0000000000000001E-3</v>
      </c>
      <c r="H44" s="543"/>
    </row>
    <row r="45" spans="1:8" x14ac:dyDescent="0.25">
      <c r="A45" s="129" t="str">
        <f>Zones!B38</f>
        <v>F5 STUDIO SW</v>
      </c>
      <c r="B45" s="393" t="s">
        <v>378</v>
      </c>
      <c r="C45" s="134">
        <f>Zones!J38*Zones!L38</f>
        <v>540.04999999999995</v>
      </c>
      <c r="D45" s="394">
        <f>Zones!M38</f>
        <v>2</v>
      </c>
      <c r="E45" s="395">
        <v>0.18</v>
      </c>
      <c r="F45" s="266">
        <f t="shared" si="0"/>
        <v>0.36</v>
      </c>
      <c r="G45" s="271">
        <f t="shared" si="1"/>
        <v>6.0000000000000001E-3</v>
      </c>
      <c r="H45" s="543"/>
    </row>
    <row r="46" spans="1:8" x14ac:dyDescent="0.25">
      <c r="A46" s="129" t="str">
        <f>Zones!B39</f>
        <v>PARKING GARAGE</v>
      </c>
      <c r="B46" s="393" t="s">
        <v>376</v>
      </c>
      <c r="C46" s="134">
        <f>Zones!J39*Zones!L39</f>
        <v>27902.720000000001</v>
      </c>
      <c r="D46" s="394">
        <f>Zones!M39</f>
        <v>0</v>
      </c>
      <c r="E46" s="395">
        <v>0</v>
      </c>
      <c r="F46" s="266">
        <f t="shared" si="0"/>
        <v>0</v>
      </c>
      <c r="G46" s="271">
        <f t="shared" si="1"/>
        <v>0</v>
      </c>
      <c r="H46" s="543"/>
    </row>
    <row r="47" spans="1:8" x14ac:dyDescent="0.25">
      <c r="A47" s="288"/>
      <c r="B47" s="397"/>
      <c r="C47" s="267"/>
      <c r="D47" s="398"/>
      <c r="E47" s="399"/>
      <c r="F47" s="268"/>
      <c r="G47" s="269"/>
      <c r="H47" s="400"/>
    </row>
    <row r="48" spans="1:8" ht="52.8" x14ac:dyDescent="0.25">
      <c r="A48" s="316" t="s">
        <v>379</v>
      </c>
      <c r="B48" s="401" t="s">
        <v>380</v>
      </c>
      <c r="C48" s="317"/>
      <c r="D48" s="402"/>
      <c r="E48" s="403"/>
      <c r="F48" s="404">
        <f>_xlfn.AGGREGATE(14,6,$F$10:$F$46/Zones!$E$3:$E$39/($B$10:$B$46="In-unit"),1)</f>
        <v>0.72000000000000008</v>
      </c>
      <c r="G48" s="273"/>
      <c r="H48" s="396" t="s">
        <v>381</v>
      </c>
    </row>
    <row r="49" spans="1:12" ht="39.6" x14ac:dyDescent="0.25">
      <c r="A49" s="316" t="s">
        <v>379</v>
      </c>
      <c r="B49" s="401" t="s">
        <v>382</v>
      </c>
      <c r="C49" s="317"/>
      <c r="D49" s="402"/>
      <c r="E49" s="403"/>
      <c r="F49" s="318">
        <f>_xlfn.LET(_xlpm.g,SUMIF($B$10:$B$46,"Common",$F$10:$F$46),IF(_xlpm.g&gt;0,MAX(75,_xlpm.g),0))</f>
        <v>75</v>
      </c>
      <c r="G49" s="273"/>
      <c r="H49" s="328" t="s">
        <v>383</v>
      </c>
    </row>
    <row r="50" spans="1:12" ht="14.4" x14ac:dyDescent="0.3">
      <c r="A50" s="270"/>
      <c r="B50" s="405"/>
      <c r="C50" s="267"/>
      <c r="D50" s="398"/>
      <c r="E50" s="399"/>
      <c r="F50"/>
      <c r="G50" s="269"/>
      <c r="H50" s="8"/>
    </row>
    <row r="51" spans="1:12" x14ac:dyDescent="0.25">
      <c r="A51" s="288" t="s">
        <v>63</v>
      </c>
      <c r="B51" s="406">
        <v>88</v>
      </c>
      <c r="C51" s="274" t="s">
        <v>384</v>
      </c>
      <c r="D51" s="398"/>
      <c r="E51" s="399"/>
      <c r="F51" s="268"/>
      <c r="G51" s="269"/>
    </row>
    <row r="52" spans="1:12" x14ac:dyDescent="0.25">
      <c r="A52" s="288" t="s">
        <v>385</v>
      </c>
      <c r="B52" s="407">
        <f>F48</f>
        <v>0.72000000000000008</v>
      </c>
      <c r="C52" s="274"/>
      <c r="D52" s="398"/>
      <c r="E52" s="399"/>
      <c r="F52" s="268"/>
      <c r="G52" s="269"/>
    </row>
    <row r="53" spans="1:12" x14ac:dyDescent="0.25">
      <c r="A53" s="288" t="s">
        <v>386</v>
      </c>
      <c r="B53" s="408">
        <v>200000</v>
      </c>
      <c r="C53" s="274" t="s">
        <v>387</v>
      </c>
      <c r="D53" s="398"/>
      <c r="G53" s="269"/>
    </row>
    <row r="54" spans="1:12" x14ac:dyDescent="0.25">
      <c r="A54" s="409" t="s">
        <v>388</v>
      </c>
      <c r="B54" s="410">
        <f>B53*B51</f>
        <v>17600000</v>
      </c>
      <c r="D54" s="398"/>
      <c r="E54" s="399"/>
      <c r="F54" s="268"/>
      <c r="G54" s="269"/>
    </row>
    <row r="55" spans="1:12" x14ac:dyDescent="0.25">
      <c r="A55" s="288" t="s">
        <v>389</v>
      </c>
      <c r="B55" s="411">
        <v>135</v>
      </c>
      <c r="C55" s="274" t="s">
        <v>390</v>
      </c>
      <c r="D55" s="398"/>
      <c r="E55" s="399"/>
      <c r="F55" s="268"/>
      <c r="G55" s="269"/>
    </row>
    <row r="56" spans="1:12" x14ac:dyDescent="0.25">
      <c r="A56" s="288" t="s">
        <v>391</v>
      </c>
      <c r="B56" s="412">
        <v>0.6</v>
      </c>
      <c r="C56" s="274" t="s">
        <v>392</v>
      </c>
      <c r="D56" s="398"/>
      <c r="E56" s="399"/>
      <c r="F56" s="268"/>
      <c r="G56" s="269"/>
    </row>
    <row r="57" spans="1:12" x14ac:dyDescent="0.25">
      <c r="A57" s="288" t="s">
        <v>393</v>
      </c>
      <c r="B57" s="413">
        <v>8.2876999999999992</v>
      </c>
      <c r="C57" s="274" t="s">
        <v>392</v>
      </c>
      <c r="D57" s="398"/>
      <c r="E57" s="399"/>
      <c r="F57" s="268"/>
      <c r="G57" s="269"/>
    </row>
    <row r="58" spans="1:12" x14ac:dyDescent="0.25">
      <c r="A58" s="288" t="s">
        <v>394</v>
      </c>
      <c r="B58" s="411">
        <v>0.4</v>
      </c>
      <c r="C58" s="274" t="s">
        <v>395</v>
      </c>
      <c r="D58" s="398"/>
      <c r="E58" s="399"/>
      <c r="F58" s="268"/>
      <c r="G58" s="269"/>
    </row>
    <row r="59" spans="1:12" x14ac:dyDescent="0.25">
      <c r="A59" s="288"/>
      <c r="B59" s="397"/>
      <c r="C59" s="267"/>
      <c r="D59" s="398"/>
      <c r="E59" s="399"/>
      <c r="F59" s="268"/>
      <c r="G59" s="269"/>
    </row>
    <row r="60" spans="1:12" x14ac:dyDescent="0.3">
      <c r="A60" s="540" t="s">
        <v>396</v>
      </c>
      <c r="B60" s="541"/>
      <c r="C60" s="541"/>
      <c r="D60" s="541"/>
      <c r="E60" s="541"/>
      <c r="F60" s="541"/>
      <c r="G60" s="541"/>
      <c r="H60" s="541"/>
      <c r="I60" s="541"/>
      <c r="J60" s="541"/>
      <c r="K60" s="541"/>
    </row>
    <row r="61" spans="1:12" ht="40.200000000000003" x14ac:dyDescent="0.3">
      <c r="A61" s="414" t="s">
        <v>397</v>
      </c>
      <c r="B61" s="415" t="s">
        <v>398</v>
      </c>
      <c r="C61" s="416" t="s">
        <v>399</v>
      </c>
      <c r="D61" s="417" t="s">
        <v>400</v>
      </c>
      <c r="E61" s="418" t="s">
        <v>401</v>
      </c>
      <c r="F61" s="418" t="s">
        <v>402</v>
      </c>
      <c r="G61" s="544" t="s">
        <v>403</v>
      </c>
      <c r="H61" s="545"/>
      <c r="I61" s="544" t="s">
        <v>404</v>
      </c>
      <c r="J61" s="545"/>
      <c r="K61" s="419" t="s">
        <v>405</v>
      </c>
      <c r="L61"/>
    </row>
    <row r="62" spans="1:12" x14ac:dyDescent="0.25">
      <c r="A62" s="420" t="s">
        <v>406</v>
      </c>
      <c r="B62" s="421">
        <v>47.9</v>
      </c>
      <c r="C62" s="422">
        <f t="shared" ref="C62:C77" si="2">$B$52*($B$55-B62)*$B$57</f>
        <v>519.73824239999999</v>
      </c>
      <c r="D62" s="423">
        <f t="shared" ref="D62:D77" si="3">C62*$B$56</f>
        <v>311.84294543999999</v>
      </c>
      <c r="E62" s="424">
        <f t="shared" ref="E62:E77" si="4">_xlfn.LET(_xlpm.x,IFERROR(_xlfn.XLOOKUP(D62/$C$3,$A$120:$A$128,$A$120:$A$128,"",1),""),IF(_xlpm.x="","Exceeds consumer input list",_xlpm.x))</f>
        <v>30000</v>
      </c>
      <c r="F62" s="425">
        <f t="shared" ref="F62:F77" si="5">_xlfn.LET(_xlpm.x,IFERROR(_xlfn.XLOOKUP(MAX(30,$B$52*$B$58),$E$120:$E$124,$E$120:$E$124,"",1),""),IF(_xlpm.x="","Exceeds consumer tank list",_xlpm.x))</f>
        <v>30</v>
      </c>
      <c r="G62" s="426">
        <f t="shared" ref="G62:G77" si="6">IF(AND(ISNUMBER(I62),F62&gt;0),I62/(0.0834*F62),NA())</f>
        <v>3.3813726412457483</v>
      </c>
      <c r="H62" s="350" t="s">
        <v>407</v>
      </c>
      <c r="I62" s="427">
        <f t="shared" ref="I62:I77" si="7">_xlfn.LET(_xlpm.re,$C$3,_xlpm.vr,F62,_xlpm.qin,E62,_xlpm.uef,IF(_xlpm.vr&lt;=55,0.692-0.0013*_xlpm.vr,0.8072-0.0003*_xlpm.vr),_xlpm.qload,$B$134*$B$138*$B$139*($B$135-$B$136),_xlpm.dT,$B$135-$B$137,((_xlpm.re/_xlpm.uef)-1)/(_xlpm.dT*(24/_xlpm.qload)-_xlpm.dT/(_xlpm.qin*_xlpm.uef)))</f>
        <v>8.4601943483968629</v>
      </c>
      <c r="J62" s="427" t="s">
        <v>408</v>
      </c>
      <c r="K62" s="543" t="s">
        <v>409</v>
      </c>
    </row>
    <row r="63" spans="1:12" x14ac:dyDescent="0.25">
      <c r="A63" s="420" t="s">
        <v>410</v>
      </c>
      <c r="B63" s="421">
        <v>50.8</v>
      </c>
      <c r="C63" s="422">
        <f t="shared" si="2"/>
        <v>502.43352480000004</v>
      </c>
      <c r="D63" s="423">
        <f t="shared" si="3"/>
        <v>301.46011487999999</v>
      </c>
      <c r="E63" s="424">
        <f t="shared" si="4"/>
        <v>30000</v>
      </c>
      <c r="F63" s="425">
        <f t="shared" si="5"/>
        <v>30</v>
      </c>
      <c r="G63" s="426">
        <f t="shared" si="6"/>
        <v>3.3813726412457483</v>
      </c>
      <c r="H63" s="350" t="s">
        <v>407</v>
      </c>
      <c r="I63" s="427">
        <f t="shared" si="7"/>
        <v>8.4601943483968629</v>
      </c>
      <c r="J63" s="427" t="s">
        <v>408</v>
      </c>
      <c r="K63" s="543"/>
    </row>
    <row r="64" spans="1:12" x14ac:dyDescent="0.25">
      <c r="A64" s="420" t="s">
        <v>411</v>
      </c>
      <c r="B64" s="421">
        <v>52.2</v>
      </c>
      <c r="C64" s="422">
        <f t="shared" si="2"/>
        <v>494.07952319999998</v>
      </c>
      <c r="D64" s="423">
        <f t="shared" si="3"/>
        <v>296.44771391999996</v>
      </c>
      <c r="E64" s="424">
        <f t="shared" si="4"/>
        <v>30000</v>
      </c>
      <c r="F64" s="425">
        <f t="shared" si="5"/>
        <v>30</v>
      </c>
      <c r="G64" s="426">
        <f t="shared" si="6"/>
        <v>3.3813726412457483</v>
      </c>
      <c r="H64" s="350" t="s">
        <v>407</v>
      </c>
      <c r="I64" s="427">
        <f t="shared" si="7"/>
        <v>8.4601943483968629</v>
      </c>
      <c r="J64" s="427" t="s">
        <v>408</v>
      </c>
      <c r="K64" s="543"/>
    </row>
    <row r="65" spans="1:12" x14ac:dyDescent="0.25">
      <c r="A65" s="420" t="s">
        <v>412</v>
      </c>
      <c r="B65" s="421">
        <v>52.7</v>
      </c>
      <c r="C65" s="422">
        <f t="shared" si="2"/>
        <v>491.0959512</v>
      </c>
      <c r="D65" s="423">
        <f t="shared" si="3"/>
        <v>294.65757071999997</v>
      </c>
      <c r="E65" s="424">
        <f t="shared" si="4"/>
        <v>30000</v>
      </c>
      <c r="F65" s="425">
        <f t="shared" si="5"/>
        <v>30</v>
      </c>
      <c r="G65" s="426">
        <f t="shared" si="6"/>
        <v>3.3813726412457483</v>
      </c>
      <c r="H65" s="350" t="s">
        <v>407</v>
      </c>
      <c r="I65" s="427">
        <f t="shared" si="7"/>
        <v>8.4601943483968629</v>
      </c>
      <c r="J65" s="427" t="s">
        <v>408</v>
      </c>
      <c r="K65" s="543"/>
    </row>
    <row r="66" spans="1:12" x14ac:dyDescent="0.25">
      <c r="A66" s="420" t="s">
        <v>413</v>
      </c>
      <c r="B66" s="421">
        <v>51.6</v>
      </c>
      <c r="C66" s="422">
        <f t="shared" si="2"/>
        <v>497.65980960000002</v>
      </c>
      <c r="D66" s="423">
        <f t="shared" si="3"/>
        <v>298.59588575999999</v>
      </c>
      <c r="E66" s="424">
        <f t="shared" si="4"/>
        <v>30000</v>
      </c>
      <c r="F66" s="425">
        <f t="shared" si="5"/>
        <v>30</v>
      </c>
      <c r="G66" s="426">
        <f t="shared" si="6"/>
        <v>3.3813726412457483</v>
      </c>
      <c r="H66" s="350" t="s">
        <v>407</v>
      </c>
      <c r="I66" s="427">
        <f t="shared" si="7"/>
        <v>8.4601943483968629</v>
      </c>
      <c r="J66" s="427" t="s">
        <v>408</v>
      </c>
      <c r="K66" s="543"/>
    </row>
    <row r="67" spans="1:12" x14ac:dyDescent="0.25">
      <c r="A67" s="420" t="s">
        <v>414</v>
      </c>
      <c r="B67" s="421">
        <v>56.8</v>
      </c>
      <c r="C67" s="422">
        <f t="shared" si="2"/>
        <v>466.63066080000004</v>
      </c>
      <c r="D67" s="423">
        <f t="shared" si="3"/>
        <v>279.97839648000001</v>
      </c>
      <c r="E67" s="424">
        <f t="shared" si="4"/>
        <v>30000</v>
      </c>
      <c r="F67" s="425">
        <f t="shared" si="5"/>
        <v>30</v>
      </c>
      <c r="G67" s="426">
        <f t="shared" si="6"/>
        <v>3.3813726412457483</v>
      </c>
      <c r="H67" s="350" t="s">
        <v>407</v>
      </c>
      <c r="I67" s="427">
        <f t="shared" si="7"/>
        <v>8.4601943483968629</v>
      </c>
      <c r="J67" s="427" t="s">
        <v>408</v>
      </c>
      <c r="K67" s="543"/>
    </row>
    <row r="68" spans="1:12" x14ac:dyDescent="0.25">
      <c r="A68" s="420" t="s">
        <v>415</v>
      </c>
      <c r="B68" s="421">
        <v>58.4</v>
      </c>
      <c r="C68" s="422">
        <f t="shared" si="2"/>
        <v>457.08323039999999</v>
      </c>
      <c r="D68" s="423">
        <f t="shared" si="3"/>
        <v>274.24993824000001</v>
      </c>
      <c r="E68" s="424">
        <f t="shared" si="4"/>
        <v>30000</v>
      </c>
      <c r="F68" s="425">
        <f t="shared" si="5"/>
        <v>30</v>
      </c>
      <c r="G68" s="426">
        <f t="shared" si="6"/>
        <v>3.3813726412457483</v>
      </c>
      <c r="H68" s="350" t="s">
        <v>407</v>
      </c>
      <c r="I68" s="427">
        <f t="shared" si="7"/>
        <v>8.4601943483968629</v>
      </c>
      <c r="J68" s="427" t="s">
        <v>408</v>
      </c>
      <c r="K68" s="543"/>
    </row>
    <row r="69" spans="1:12" x14ac:dyDescent="0.25">
      <c r="A69" s="420" t="s">
        <v>416</v>
      </c>
      <c r="B69" s="421">
        <v>58.4</v>
      </c>
      <c r="C69" s="422">
        <f t="shared" si="2"/>
        <v>457.08323039999999</v>
      </c>
      <c r="D69" s="423">
        <f t="shared" si="3"/>
        <v>274.24993824000001</v>
      </c>
      <c r="E69" s="424">
        <f t="shared" si="4"/>
        <v>30000</v>
      </c>
      <c r="F69" s="425">
        <f t="shared" si="5"/>
        <v>30</v>
      </c>
      <c r="G69" s="426">
        <f t="shared" si="6"/>
        <v>3.3813726412457483</v>
      </c>
      <c r="H69" s="350" t="s">
        <v>407</v>
      </c>
      <c r="I69" s="427">
        <f t="shared" si="7"/>
        <v>8.4601943483968629</v>
      </c>
      <c r="J69" s="427" t="s">
        <v>408</v>
      </c>
      <c r="K69" s="543"/>
    </row>
    <row r="70" spans="1:12" x14ac:dyDescent="0.25">
      <c r="A70" s="420" t="s">
        <v>417</v>
      </c>
      <c r="B70" s="421">
        <v>57.6</v>
      </c>
      <c r="C70" s="422">
        <f t="shared" si="2"/>
        <v>461.85694560000002</v>
      </c>
      <c r="D70" s="423">
        <f t="shared" si="3"/>
        <v>277.11416736000001</v>
      </c>
      <c r="E70" s="424">
        <f t="shared" si="4"/>
        <v>30000</v>
      </c>
      <c r="F70" s="425">
        <f t="shared" si="5"/>
        <v>30</v>
      </c>
      <c r="G70" s="426">
        <f t="shared" si="6"/>
        <v>3.3813726412457483</v>
      </c>
      <c r="H70" s="350" t="s">
        <v>407</v>
      </c>
      <c r="I70" s="427">
        <f t="shared" si="7"/>
        <v>8.4601943483968629</v>
      </c>
      <c r="J70" s="427" t="s">
        <v>408</v>
      </c>
      <c r="K70" s="543"/>
    </row>
    <row r="71" spans="1:12" x14ac:dyDescent="0.25">
      <c r="A71" s="420" t="s">
        <v>203</v>
      </c>
      <c r="B71" s="421">
        <v>57.1</v>
      </c>
      <c r="C71" s="422">
        <f t="shared" si="2"/>
        <v>464.8405176</v>
      </c>
      <c r="D71" s="423">
        <f t="shared" si="3"/>
        <v>278.90431056</v>
      </c>
      <c r="E71" s="424">
        <f t="shared" si="4"/>
        <v>30000</v>
      </c>
      <c r="F71" s="425">
        <f t="shared" si="5"/>
        <v>30</v>
      </c>
      <c r="G71" s="426">
        <f t="shared" si="6"/>
        <v>3.3813726412457483</v>
      </c>
      <c r="H71" s="350" t="s">
        <v>407</v>
      </c>
      <c r="I71" s="427">
        <f t="shared" si="7"/>
        <v>8.4601943483968629</v>
      </c>
      <c r="J71" s="427" t="s">
        <v>408</v>
      </c>
      <c r="K71" s="543"/>
    </row>
    <row r="72" spans="1:12" x14ac:dyDescent="0.25">
      <c r="A72" s="420" t="s">
        <v>204</v>
      </c>
      <c r="B72" s="421">
        <v>50.5</v>
      </c>
      <c r="C72" s="422">
        <f t="shared" si="2"/>
        <v>504.22366800000003</v>
      </c>
      <c r="D72" s="423">
        <f t="shared" si="3"/>
        <v>302.53420080000001</v>
      </c>
      <c r="E72" s="424">
        <f t="shared" si="4"/>
        <v>30000</v>
      </c>
      <c r="F72" s="425">
        <f t="shared" si="5"/>
        <v>30</v>
      </c>
      <c r="G72" s="426">
        <f t="shared" si="6"/>
        <v>3.3813726412457483</v>
      </c>
      <c r="H72" s="350" t="s">
        <v>407</v>
      </c>
      <c r="I72" s="427">
        <f t="shared" si="7"/>
        <v>8.4601943483968629</v>
      </c>
      <c r="J72" s="427" t="s">
        <v>408</v>
      </c>
      <c r="K72" s="543"/>
    </row>
    <row r="73" spans="1:12" x14ac:dyDescent="0.25">
      <c r="A73" s="420" t="s">
        <v>205</v>
      </c>
      <c r="B73" s="421">
        <v>51.4</v>
      </c>
      <c r="C73" s="422">
        <f t="shared" si="2"/>
        <v>498.85323839999995</v>
      </c>
      <c r="D73" s="423">
        <f t="shared" si="3"/>
        <v>299.31194303999996</v>
      </c>
      <c r="E73" s="424">
        <f t="shared" si="4"/>
        <v>30000</v>
      </c>
      <c r="F73" s="425">
        <f t="shared" si="5"/>
        <v>30</v>
      </c>
      <c r="G73" s="426">
        <f t="shared" si="6"/>
        <v>3.3813726412457483</v>
      </c>
      <c r="H73" s="350" t="s">
        <v>407</v>
      </c>
      <c r="I73" s="427">
        <f t="shared" si="7"/>
        <v>8.4601943483968629</v>
      </c>
      <c r="J73" s="427" t="s">
        <v>408</v>
      </c>
      <c r="K73" s="543"/>
    </row>
    <row r="74" spans="1:12" x14ac:dyDescent="0.25">
      <c r="A74" s="420" t="s">
        <v>206</v>
      </c>
      <c r="B74" s="421">
        <v>51.7</v>
      </c>
      <c r="C74" s="422">
        <f t="shared" si="2"/>
        <v>497.06309520000002</v>
      </c>
      <c r="D74" s="423">
        <f t="shared" si="3"/>
        <v>298.23785712</v>
      </c>
      <c r="E74" s="424">
        <f t="shared" si="4"/>
        <v>30000</v>
      </c>
      <c r="F74" s="425">
        <f t="shared" si="5"/>
        <v>30</v>
      </c>
      <c r="G74" s="426">
        <f t="shared" si="6"/>
        <v>3.3813726412457483</v>
      </c>
      <c r="H74" s="350" t="s">
        <v>407</v>
      </c>
      <c r="I74" s="427">
        <f t="shared" si="7"/>
        <v>8.4601943483968629</v>
      </c>
      <c r="J74" s="427" t="s">
        <v>408</v>
      </c>
      <c r="K74" s="543"/>
    </row>
    <row r="75" spans="1:12" x14ac:dyDescent="0.25">
      <c r="A75" s="420" t="s">
        <v>207</v>
      </c>
      <c r="B75" s="421">
        <v>50.1</v>
      </c>
      <c r="C75" s="422">
        <f t="shared" si="2"/>
        <v>506.61052560000007</v>
      </c>
      <c r="D75" s="423">
        <f t="shared" si="3"/>
        <v>303.96631536000001</v>
      </c>
      <c r="E75" s="424">
        <f t="shared" si="4"/>
        <v>30000</v>
      </c>
      <c r="F75" s="425">
        <f t="shared" si="5"/>
        <v>30</v>
      </c>
      <c r="G75" s="426">
        <f t="shared" si="6"/>
        <v>3.3813726412457483</v>
      </c>
      <c r="H75" s="350" t="s">
        <v>407</v>
      </c>
      <c r="I75" s="427">
        <f t="shared" si="7"/>
        <v>8.4601943483968629</v>
      </c>
      <c r="J75" s="427" t="s">
        <v>408</v>
      </c>
      <c r="K75" s="543"/>
    </row>
    <row r="76" spans="1:12" x14ac:dyDescent="0.25">
      <c r="A76" s="420" t="s">
        <v>208</v>
      </c>
      <c r="B76" s="421">
        <v>63.2</v>
      </c>
      <c r="C76" s="422">
        <f t="shared" si="2"/>
        <v>428.4409392</v>
      </c>
      <c r="D76" s="423">
        <f t="shared" si="3"/>
        <v>257.06456351999998</v>
      </c>
      <c r="E76" s="424">
        <f t="shared" si="4"/>
        <v>30000</v>
      </c>
      <c r="F76" s="425">
        <f t="shared" si="5"/>
        <v>30</v>
      </c>
      <c r="G76" s="426">
        <f t="shared" si="6"/>
        <v>3.3813726412457483</v>
      </c>
      <c r="H76" s="350" t="s">
        <v>407</v>
      </c>
      <c r="I76" s="427">
        <f t="shared" si="7"/>
        <v>8.4601943483968629</v>
      </c>
      <c r="J76" s="427" t="s">
        <v>408</v>
      </c>
      <c r="K76" s="543"/>
    </row>
    <row r="77" spans="1:12" x14ac:dyDescent="0.25">
      <c r="A77" s="420" t="s">
        <v>209</v>
      </c>
      <c r="B77" s="421">
        <v>41.4</v>
      </c>
      <c r="C77" s="422">
        <f t="shared" si="2"/>
        <v>558.52467840000008</v>
      </c>
      <c r="D77" s="423">
        <f t="shared" si="3"/>
        <v>335.11480704000002</v>
      </c>
      <c r="E77" s="424">
        <f t="shared" si="4"/>
        <v>30000</v>
      </c>
      <c r="F77" s="425">
        <f t="shared" si="5"/>
        <v>30</v>
      </c>
      <c r="G77" s="426">
        <f t="shared" si="6"/>
        <v>3.3813726412457483</v>
      </c>
      <c r="H77" s="350" t="s">
        <v>407</v>
      </c>
      <c r="I77" s="427">
        <f t="shared" si="7"/>
        <v>8.4601943483968629</v>
      </c>
      <c r="J77" s="427" t="s">
        <v>408</v>
      </c>
      <c r="K77" s="543"/>
    </row>
    <row r="78" spans="1:12" x14ac:dyDescent="0.25">
      <c r="A78" s="428"/>
      <c r="B78" s="397"/>
      <c r="C78" s="429"/>
      <c r="D78" s="398"/>
      <c r="E78" s="399"/>
      <c r="F78" s="430"/>
      <c r="G78" s="431"/>
      <c r="H78" s="432"/>
      <c r="I78" s="432"/>
      <c r="J78" s="432"/>
      <c r="K78" s="432"/>
    </row>
    <row r="79" spans="1:12" x14ac:dyDescent="0.3">
      <c r="A79" s="540" t="s">
        <v>418</v>
      </c>
      <c r="B79" s="541"/>
      <c r="C79" s="541"/>
      <c r="D79" s="541"/>
      <c r="E79" s="541"/>
      <c r="F79" s="541"/>
      <c r="G79" s="541"/>
      <c r="H79" s="541"/>
      <c r="I79" s="541"/>
      <c r="J79" s="541"/>
      <c r="K79" s="541"/>
    </row>
    <row r="80" spans="1:12" ht="40.200000000000003" x14ac:dyDescent="0.3">
      <c r="A80" s="414" t="s">
        <v>397</v>
      </c>
      <c r="B80" s="415" t="s">
        <v>398</v>
      </c>
      <c r="C80" s="416" t="s">
        <v>399</v>
      </c>
      <c r="D80" s="417" t="s">
        <v>400</v>
      </c>
      <c r="E80" s="418" t="s">
        <v>401</v>
      </c>
      <c r="F80" s="418" t="s">
        <v>402</v>
      </c>
      <c r="G80" s="547" t="s">
        <v>419</v>
      </c>
      <c r="H80" s="548"/>
      <c r="I80" s="544" t="s">
        <v>404</v>
      </c>
      <c r="J80" s="545"/>
      <c r="K80" s="419" t="s">
        <v>405</v>
      </c>
      <c r="L80"/>
    </row>
    <row r="81" spans="1:11" x14ac:dyDescent="0.25">
      <c r="A81" s="420" t="s">
        <v>406</v>
      </c>
      <c r="B81" s="421">
        <v>47.9</v>
      </c>
      <c r="C81" s="422">
        <f t="shared" ref="C81:C96" si="8">$B$52*($B$55-B81)*$B$57</f>
        <v>519.73824239999999</v>
      </c>
      <c r="D81" s="423">
        <f t="shared" ref="D81:D96" si="9">C81*$B$56</f>
        <v>311.84294543999999</v>
      </c>
      <c r="E81" s="424">
        <f t="shared" ref="E81:E96" si="10">$C$120</f>
        <v>200000</v>
      </c>
      <c r="F81" s="433">
        <f t="shared" ref="F81:F96" si="11">$G$120</f>
        <v>0</v>
      </c>
      <c r="G81" s="434">
        <f>0</f>
        <v>0</v>
      </c>
      <c r="H81" s="350" t="s">
        <v>407</v>
      </c>
      <c r="I81" s="427">
        <f>0</f>
        <v>0</v>
      </c>
      <c r="J81" s="427" t="s">
        <v>408</v>
      </c>
      <c r="K81" s="537" t="s">
        <v>420</v>
      </c>
    </row>
    <row r="82" spans="1:11" x14ac:dyDescent="0.25">
      <c r="A82" s="420" t="s">
        <v>410</v>
      </c>
      <c r="B82" s="421">
        <v>50.8</v>
      </c>
      <c r="C82" s="422">
        <f t="shared" si="8"/>
        <v>502.43352480000004</v>
      </c>
      <c r="D82" s="423">
        <f t="shared" si="9"/>
        <v>301.46011487999999</v>
      </c>
      <c r="E82" s="424">
        <f t="shared" si="10"/>
        <v>200000</v>
      </c>
      <c r="F82" s="433">
        <f t="shared" si="11"/>
        <v>0</v>
      </c>
      <c r="G82" s="434">
        <f>0</f>
        <v>0</v>
      </c>
      <c r="H82" s="350" t="s">
        <v>407</v>
      </c>
      <c r="I82" s="427">
        <f>0</f>
        <v>0</v>
      </c>
      <c r="J82" s="427" t="s">
        <v>408</v>
      </c>
      <c r="K82" s="549"/>
    </row>
    <row r="83" spans="1:11" x14ac:dyDescent="0.25">
      <c r="A83" s="420" t="s">
        <v>411</v>
      </c>
      <c r="B83" s="421">
        <v>52.2</v>
      </c>
      <c r="C83" s="422">
        <f t="shared" si="8"/>
        <v>494.07952319999998</v>
      </c>
      <c r="D83" s="423">
        <f t="shared" si="9"/>
        <v>296.44771391999996</v>
      </c>
      <c r="E83" s="424">
        <f t="shared" si="10"/>
        <v>200000</v>
      </c>
      <c r="F83" s="433">
        <f t="shared" si="11"/>
        <v>0</v>
      </c>
      <c r="G83" s="434">
        <f>0</f>
        <v>0</v>
      </c>
      <c r="H83" s="350" t="s">
        <v>407</v>
      </c>
      <c r="I83" s="427">
        <f>0</f>
        <v>0</v>
      </c>
      <c r="J83" s="427" t="s">
        <v>408</v>
      </c>
      <c r="K83" s="549"/>
    </row>
    <row r="84" spans="1:11" x14ac:dyDescent="0.25">
      <c r="A84" s="420" t="s">
        <v>412</v>
      </c>
      <c r="B84" s="421">
        <v>52.7</v>
      </c>
      <c r="C84" s="422">
        <f t="shared" si="8"/>
        <v>491.0959512</v>
      </c>
      <c r="D84" s="423">
        <f t="shared" si="9"/>
        <v>294.65757071999997</v>
      </c>
      <c r="E84" s="424">
        <f t="shared" si="10"/>
        <v>200000</v>
      </c>
      <c r="F84" s="433">
        <f t="shared" si="11"/>
        <v>0</v>
      </c>
      <c r="G84" s="434">
        <f>0</f>
        <v>0</v>
      </c>
      <c r="H84" s="350" t="s">
        <v>407</v>
      </c>
      <c r="I84" s="427">
        <f>0</f>
        <v>0</v>
      </c>
      <c r="J84" s="427" t="s">
        <v>408</v>
      </c>
      <c r="K84" s="549"/>
    </row>
    <row r="85" spans="1:11" x14ac:dyDescent="0.25">
      <c r="A85" s="420" t="s">
        <v>413</v>
      </c>
      <c r="B85" s="421">
        <v>51.6</v>
      </c>
      <c r="C85" s="422">
        <f t="shared" si="8"/>
        <v>497.65980960000002</v>
      </c>
      <c r="D85" s="423">
        <f t="shared" si="9"/>
        <v>298.59588575999999</v>
      </c>
      <c r="E85" s="424">
        <f t="shared" si="10"/>
        <v>200000</v>
      </c>
      <c r="F85" s="433">
        <f t="shared" si="11"/>
        <v>0</v>
      </c>
      <c r="G85" s="434">
        <f>0</f>
        <v>0</v>
      </c>
      <c r="H85" s="350" t="s">
        <v>407</v>
      </c>
      <c r="I85" s="427">
        <f>0</f>
        <v>0</v>
      </c>
      <c r="J85" s="427" t="s">
        <v>408</v>
      </c>
      <c r="K85" s="549"/>
    </row>
    <row r="86" spans="1:11" x14ac:dyDescent="0.25">
      <c r="A86" s="420" t="s">
        <v>414</v>
      </c>
      <c r="B86" s="421">
        <v>56.8</v>
      </c>
      <c r="C86" s="422">
        <f t="shared" si="8"/>
        <v>466.63066080000004</v>
      </c>
      <c r="D86" s="423">
        <f t="shared" si="9"/>
        <v>279.97839648000001</v>
      </c>
      <c r="E86" s="424">
        <f t="shared" si="10"/>
        <v>200000</v>
      </c>
      <c r="F86" s="433">
        <f t="shared" si="11"/>
        <v>0</v>
      </c>
      <c r="G86" s="434">
        <f>0</f>
        <v>0</v>
      </c>
      <c r="H86" s="350" t="s">
        <v>407</v>
      </c>
      <c r="I86" s="427">
        <f>0</f>
        <v>0</v>
      </c>
      <c r="J86" s="427" t="s">
        <v>408</v>
      </c>
      <c r="K86" s="549"/>
    </row>
    <row r="87" spans="1:11" x14ac:dyDescent="0.25">
      <c r="A87" s="420" t="s">
        <v>415</v>
      </c>
      <c r="B87" s="421">
        <v>58.4</v>
      </c>
      <c r="C87" s="422">
        <f t="shared" si="8"/>
        <v>457.08323039999999</v>
      </c>
      <c r="D87" s="423">
        <f t="shared" si="9"/>
        <v>274.24993824000001</v>
      </c>
      <c r="E87" s="424">
        <f t="shared" si="10"/>
        <v>200000</v>
      </c>
      <c r="F87" s="433">
        <f t="shared" si="11"/>
        <v>0</v>
      </c>
      <c r="G87" s="434">
        <f>0</f>
        <v>0</v>
      </c>
      <c r="H87" s="350" t="s">
        <v>407</v>
      </c>
      <c r="I87" s="427">
        <f>0</f>
        <v>0</v>
      </c>
      <c r="J87" s="427" t="s">
        <v>408</v>
      </c>
      <c r="K87" s="549"/>
    </row>
    <row r="88" spans="1:11" x14ac:dyDescent="0.25">
      <c r="A88" s="420" t="s">
        <v>416</v>
      </c>
      <c r="B88" s="421">
        <v>58.4</v>
      </c>
      <c r="C88" s="422">
        <f t="shared" si="8"/>
        <v>457.08323039999999</v>
      </c>
      <c r="D88" s="423">
        <f t="shared" si="9"/>
        <v>274.24993824000001</v>
      </c>
      <c r="E88" s="424">
        <f t="shared" si="10"/>
        <v>200000</v>
      </c>
      <c r="F88" s="433">
        <f t="shared" si="11"/>
        <v>0</v>
      </c>
      <c r="G88" s="434">
        <f>0</f>
        <v>0</v>
      </c>
      <c r="H88" s="350" t="s">
        <v>407</v>
      </c>
      <c r="I88" s="427">
        <f>0</f>
        <v>0</v>
      </c>
      <c r="J88" s="427" t="s">
        <v>408</v>
      </c>
      <c r="K88" s="549"/>
    </row>
    <row r="89" spans="1:11" x14ac:dyDescent="0.25">
      <c r="A89" s="420" t="s">
        <v>417</v>
      </c>
      <c r="B89" s="421">
        <v>57.6</v>
      </c>
      <c r="C89" s="422">
        <f t="shared" si="8"/>
        <v>461.85694560000002</v>
      </c>
      <c r="D89" s="423">
        <f t="shared" si="9"/>
        <v>277.11416736000001</v>
      </c>
      <c r="E89" s="424">
        <f t="shared" si="10"/>
        <v>200000</v>
      </c>
      <c r="F89" s="433">
        <f t="shared" si="11"/>
        <v>0</v>
      </c>
      <c r="G89" s="434">
        <f>0</f>
        <v>0</v>
      </c>
      <c r="H89" s="350" t="s">
        <v>407</v>
      </c>
      <c r="I89" s="427">
        <f>0</f>
        <v>0</v>
      </c>
      <c r="J89" s="427" t="s">
        <v>408</v>
      </c>
      <c r="K89" s="549"/>
    </row>
    <row r="90" spans="1:11" x14ac:dyDescent="0.25">
      <c r="A90" s="420" t="s">
        <v>203</v>
      </c>
      <c r="B90" s="421">
        <v>57.1</v>
      </c>
      <c r="C90" s="422">
        <f t="shared" si="8"/>
        <v>464.8405176</v>
      </c>
      <c r="D90" s="423">
        <f t="shared" si="9"/>
        <v>278.90431056</v>
      </c>
      <c r="E90" s="424">
        <f t="shared" si="10"/>
        <v>200000</v>
      </c>
      <c r="F90" s="433">
        <f t="shared" si="11"/>
        <v>0</v>
      </c>
      <c r="G90" s="434">
        <f>0</f>
        <v>0</v>
      </c>
      <c r="H90" s="350" t="s">
        <v>407</v>
      </c>
      <c r="I90" s="427">
        <f>0</f>
        <v>0</v>
      </c>
      <c r="J90" s="427" t="s">
        <v>408</v>
      </c>
      <c r="K90" s="549"/>
    </row>
    <row r="91" spans="1:11" x14ac:dyDescent="0.25">
      <c r="A91" s="420" t="s">
        <v>204</v>
      </c>
      <c r="B91" s="421">
        <v>50.5</v>
      </c>
      <c r="C91" s="422">
        <f t="shared" si="8"/>
        <v>504.22366800000003</v>
      </c>
      <c r="D91" s="423">
        <f t="shared" si="9"/>
        <v>302.53420080000001</v>
      </c>
      <c r="E91" s="424">
        <f t="shared" si="10"/>
        <v>200000</v>
      </c>
      <c r="F91" s="433">
        <f t="shared" si="11"/>
        <v>0</v>
      </c>
      <c r="G91" s="434">
        <f>0</f>
        <v>0</v>
      </c>
      <c r="H91" s="350" t="s">
        <v>407</v>
      </c>
      <c r="I91" s="427">
        <f>0</f>
        <v>0</v>
      </c>
      <c r="J91" s="427" t="s">
        <v>408</v>
      </c>
      <c r="K91" s="549"/>
    </row>
    <row r="92" spans="1:11" x14ac:dyDescent="0.25">
      <c r="A92" s="420" t="s">
        <v>205</v>
      </c>
      <c r="B92" s="421">
        <v>51.4</v>
      </c>
      <c r="C92" s="422">
        <f t="shared" si="8"/>
        <v>498.85323839999995</v>
      </c>
      <c r="D92" s="423">
        <f t="shared" si="9"/>
        <v>299.31194303999996</v>
      </c>
      <c r="E92" s="424">
        <f t="shared" si="10"/>
        <v>200000</v>
      </c>
      <c r="F92" s="433">
        <f t="shared" si="11"/>
        <v>0</v>
      </c>
      <c r="G92" s="434">
        <f>0</f>
        <v>0</v>
      </c>
      <c r="H92" s="350" t="s">
        <v>407</v>
      </c>
      <c r="I92" s="427">
        <f>0</f>
        <v>0</v>
      </c>
      <c r="J92" s="427" t="s">
        <v>408</v>
      </c>
      <c r="K92" s="549"/>
    </row>
    <row r="93" spans="1:11" x14ac:dyDescent="0.25">
      <c r="A93" s="420" t="s">
        <v>206</v>
      </c>
      <c r="B93" s="421">
        <v>51.7</v>
      </c>
      <c r="C93" s="422">
        <f t="shared" si="8"/>
        <v>497.06309520000002</v>
      </c>
      <c r="D93" s="423">
        <f t="shared" si="9"/>
        <v>298.23785712</v>
      </c>
      <c r="E93" s="424">
        <f t="shared" si="10"/>
        <v>200000</v>
      </c>
      <c r="F93" s="433">
        <f t="shared" si="11"/>
        <v>0</v>
      </c>
      <c r="G93" s="434">
        <f>0</f>
        <v>0</v>
      </c>
      <c r="H93" s="350" t="s">
        <v>407</v>
      </c>
      <c r="I93" s="427">
        <f>0</f>
        <v>0</v>
      </c>
      <c r="J93" s="427" t="s">
        <v>408</v>
      </c>
      <c r="K93" s="549"/>
    </row>
    <row r="94" spans="1:11" x14ac:dyDescent="0.25">
      <c r="A94" s="420" t="s">
        <v>207</v>
      </c>
      <c r="B94" s="421">
        <v>50.1</v>
      </c>
      <c r="C94" s="422">
        <f t="shared" si="8"/>
        <v>506.61052560000007</v>
      </c>
      <c r="D94" s="423">
        <f t="shared" si="9"/>
        <v>303.96631536000001</v>
      </c>
      <c r="E94" s="424">
        <f t="shared" si="10"/>
        <v>200000</v>
      </c>
      <c r="F94" s="433">
        <f t="shared" si="11"/>
        <v>0</v>
      </c>
      <c r="G94" s="434">
        <f>0</f>
        <v>0</v>
      </c>
      <c r="H94" s="350" t="s">
        <v>407</v>
      </c>
      <c r="I94" s="427">
        <f>0</f>
        <v>0</v>
      </c>
      <c r="J94" s="427" t="s">
        <v>408</v>
      </c>
      <c r="K94" s="549"/>
    </row>
    <row r="95" spans="1:11" x14ac:dyDescent="0.25">
      <c r="A95" s="420" t="s">
        <v>208</v>
      </c>
      <c r="B95" s="421">
        <v>63.2</v>
      </c>
      <c r="C95" s="422">
        <f t="shared" si="8"/>
        <v>428.4409392</v>
      </c>
      <c r="D95" s="423">
        <f t="shared" si="9"/>
        <v>257.06456351999998</v>
      </c>
      <c r="E95" s="424">
        <f t="shared" si="10"/>
        <v>200000</v>
      </c>
      <c r="F95" s="433">
        <f t="shared" si="11"/>
        <v>0</v>
      </c>
      <c r="G95" s="434">
        <f>0</f>
        <v>0</v>
      </c>
      <c r="H95" s="350" t="s">
        <v>407</v>
      </c>
      <c r="I95" s="427">
        <f>0</f>
        <v>0</v>
      </c>
      <c r="J95" s="427" t="s">
        <v>408</v>
      </c>
      <c r="K95" s="549"/>
    </row>
    <row r="96" spans="1:11" x14ac:dyDescent="0.25">
      <c r="A96" s="420" t="s">
        <v>209</v>
      </c>
      <c r="B96" s="421">
        <v>41.4</v>
      </c>
      <c r="C96" s="422">
        <f t="shared" si="8"/>
        <v>558.52467840000008</v>
      </c>
      <c r="D96" s="423">
        <f t="shared" si="9"/>
        <v>335.11480704000002</v>
      </c>
      <c r="E96" s="424">
        <f t="shared" si="10"/>
        <v>200000</v>
      </c>
      <c r="F96" s="433">
        <f t="shared" si="11"/>
        <v>0</v>
      </c>
      <c r="G96" s="434">
        <f>0</f>
        <v>0</v>
      </c>
      <c r="H96" s="350" t="s">
        <v>407</v>
      </c>
      <c r="I96" s="427">
        <f>0</f>
        <v>0</v>
      </c>
      <c r="J96" s="427" t="s">
        <v>408</v>
      </c>
      <c r="K96" s="550"/>
    </row>
    <row r="97" spans="1:12" x14ac:dyDescent="0.25">
      <c r="A97" s="288"/>
      <c r="B97" s="397"/>
      <c r="C97" s="267"/>
      <c r="D97" s="398"/>
      <c r="E97" s="399"/>
      <c r="F97" s="268"/>
      <c r="G97" s="269"/>
    </row>
    <row r="98" spans="1:12" x14ac:dyDescent="0.3">
      <c r="A98" s="540" t="s">
        <v>421</v>
      </c>
      <c r="B98" s="541"/>
      <c r="C98" s="541"/>
      <c r="D98" s="541"/>
      <c r="E98" s="541"/>
      <c r="F98" s="541"/>
      <c r="G98" s="541"/>
      <c r="H98" s="541"/>
      <c r="I98" s="541"/>
      <c r="J98" s="541"/>
      <c r="K98" s="541"/>
    </row>
    <row r="99" spans="1:12" ht="40.200000000000003" x14ac:dyDescent="0.3">
      <c r="A99" s="414" t="s">
        <v>397</v>
      </c>
      <c r="B99" s="415" t="s">
        <v>398</v>
      </c>
      <c r="C99" s="416" t="s">
        <v>399</v>
      </c>
      <c r="D99" s="417" t="s">
        <v>400</v>
      </c>
      <c r="E99" s="418" t="s">
        <v>401</v>
      </c>
      <c r="F99" s="418" t="s">
        <v>402</v>
      </c>
      <c r="G99" s="551" t="s">
        <v>422</v>
      </c>
      <c r="H99" s="548"/>
      <c r="I99" s="544" t="s">
        <v>404</v>
      </c>
      <c r="J99" s="545"/>
      <c r="K99" s="419" t="s">
        <v>405</v>
      </c>
      <c r="L99"/>
    </row>
    <row r="100" spans="1:12" x14ac:dyDescent="0.25">
      <c r="A100" s="420" t="s">
        <v>406</v>
      </c>
      <c r="B100" s="421">
        <v>47.9</v>
      </c>
      <c r="C100" s="422">
        <f t="shared" ref="C100:C115" si="12">$F$49*($B$55-B100)*$B$57</f>
        <v>54139.400249999992</v>
      </c>
      <c r="D100" s="423">
        <f t="shared" ref="D100:D115" si="13">C100*$B$56</f>
        <v>32483.640149999992</v>
      </c>
      <c r="E100" s="424">
        <f t="shared" ref="E100:E115" si="14">_xlfn.LET(_xlpm.x,IFERROR(_xlfn.XLOOKUP(D100/$C$3,$I$120:$I$129,$I$120:$I$129,"",1),""),IF(_xlpm.x="","Exceeds commercial input list",_xlpm.x))</f>
        <v>60000</v>
      </c>
      <c r="F100" s="425">
        <f t="shared" ref="F100:F115" si="15">_xlfn.LET(_xlpm.x,IFERROR(_xlfn.XLOOKUP(MAX(30,$F$49*$B$58),$K$120:$K$124,$K$120:$K$124,"",1),""),IF(_xlpm.x="","Exceeds commercial tank list",_xlpm.x))</f>
        <v>80</v>
      </c>
      <c r="G100" s="422">
        <f t="shared" ref="G100:G115" si="16">(E100/800)+110*SQRT(F100)</f>
        <v>1058.8699100999074</v>
      </c>
      <c r="H100" s="350" t="s">
        <v>423</v>
      </c>
      <c r="I100" s="427">
        <f t="shared" ref="I100:I115" si="17">G100/70</f>
        <v>15.126713001427248</v>
      </c>
      <c r="J100" s="435" t="s">
        <v>408</v>
      </c>
      <c r="K100" s="543" t="s">
        <v>424</v>
      </c>
    </row>
    <row r="101" spans="1:12" x14ac:dyDescent="0.25">
      <c r="A101" s="420" t="s">
        <v>410</v>
      </c>
      <c r="B101" s="421">
        <v>50.8</v>
      </c>
      <c r="C101" s="422">
        <f t="shared" si="12"/>
        <v>52336.825499999992</v>
      </c>
      <c r="D101" s="423">
        <f t="shared" si="13"/>
        <v>31402.095299999994</v>
      </c>
      <c r="E101" s="424">
        <f t="shared" si="14"/>
        <v>60000</v>
      </c>
      <c r="F101" s="425">
        <f t="shared" si="15"/>
        <v>80</v>
      </c>
      <c r="G101" s="422">
        <f t="shared" si="16"/>
        <v>1058.8699100999074</v>
      </c>
      <c r="H101" s="350" t="s">
        <v>423</v>
      </c>
      <c r="I101" s="427">
        <f t="shared" si="17"/>
        <v>15.126713001427248</v>
      </c>
      <c r="J101" s="435" t="s">
        <v>408</v>
      </c>
      <c r="K101" s="543"/>
    </row>
    <row r="102" spans="1:12" x14ac:dyDescent="0.25">
      <c r="A102" s="420" t="s">
        <v>411</v>
      </c>
      <c r="B102" s="421">
        <v>52.2</v>
      </c>
      <c r="C102" s="422">
        <f t="shared" si="12"/>
        <v>51466.616999999998</v>
      </c>
      <c r="D102" s="423">
        <f t="shared" si="13"/>
        <v>30879.970199999996</v>
      </c>
      <c r="E102" s="424">
        <f t="shared" si="14"/>
        <v>60000</v>
      </c>
      <c r="F102" s="425">
        <f t="shared" si="15"/>
        <v>80</v>
      </c>
      <c r="G102" s="422">
        <f t="shared" si="16"/>
        <v>1058.8699100999074</v>
      </c>
      <c r="H102" s="350" t="s">
        <v>423</v>
      </c>
      <c r="I102" s="427">
        <f t="shared" si="17"/>
        <v>15.126713001427248</v>
      </c>
      <c r="J102" s="435" t="s">
        <v>408</v>
      </c>
      <c r="K102" s="543"/>
    </row>
    <row r="103" spans="1:12" x14ac:dyDescent="0.25">
      <c r="A103" s="420" t="s">
        <v>412</v>
      </c>
      <c r="B103" s="421">
        <v>52.7</v>
      </c>
      <c r="C103" s="422">
        <f t="shared" si="12"/>
        <v>51155.828249999991</v>
      </c>
      <c r="D103" s="423">
        <f t="shared" si="13"/>
        <v>30693.496949999993</v>
      </c>
      <c r="E103" s="424">
        <f t="shared" si="14"/>
        <v>60000</v>
      </c>
      <c r="F103" s="425">
        <f t="shared" si="15"/>
        <v>80</v>
      </c>
      <c r="G103" s="422">
        <f t="shared" si="16"/>
        <v>1058.8699100999074</v>
      </c>
      <c r="H103" s="350" t="s">
        <v>423</v>
      </c>
      <c r="I103" s="427">
        <f t="shared" si="17"/>
        <v>15.126713001427248</v>
      </c>
      <c r="J103" s="435" t="s">
        <v>408</v>
      </c>
      <c r="K103" s="543"/>
    </row>
    <row r="104" spans="1:12" x14ac:dyDescent="0.25">
      <c r="A104" s="420" t="s">
        <v>413</v>
      </c>
      <c r="B104" s="421">
        <v>51.6</v>
      </c>
      <c r="C104" s="422">
        <f t="shared" si="12"/>
        <v>51839.563499999997</v>
      </c>
      <c r="D104" s="423">
        <f t="shared" si="13"/>
        <v>31103.738099999995</v>
      </c>
      <c r="E104" s="424">
        <f t="shared" si="14"/>
        <v>60000</v>
      </c>
      <c r="F104" s="425">
        <f t="shared" si="15"/>
        <v>80</v>
      </c>
      <c r="G104" s="422">
        <f t="shared" si="16"/>
        <v>1058.8699100999074</v>
      </c>
      <c r="H104" s="350" t="s">
        <v>423</v>
      </c>
      <c r="I104" s="427">
        <f t="shared" si="17"/>
        <v>15.126713001427248</v>
      </c>
      <c r="J104" s="435" t="s">
        <v>408</v>
      </c>
      <c r="K104" s="543"/>
    </row>
    <row r="105" spans="1:12" x14ac:dyDescent="0.25">
      <c r="A105" s="420" t="s">
        <v>414</v>
      </c>
      <c r="B105" s="421">
        <v>56.8</v>
      </c>
      <c r="C105" s="422">
        <f t="shared" si="12"/>
        <v>48607.360499999995</v>
      </c>
      <c r="D105" s="423">
        <f t="shared" si="13"/>
        <v>29164.416299999997</v>
      </c>
      <c r="E105" s="424">
        <f t="shared" si="14"/>
        <v>60000</v>
      </c>
      <c r="F105" s="425">
        <f t="shared" si="15"/>
        <v>80</v>
      </c>
      <c r="G105" s="422">
        <f t="shared" si="16"/>
        <v>1058.8699100999074</v>
      </c>
      <c r="H105" s="350" t="s">
        <v>423</v>
      </c>
      <c r="I105" s="427">
        <f t="shared" si="17"/>
        <v>15.126713001427248</v>
      </c>
      <c r="J105" s="435" t="s">
        <v>408</v>
      </c>
      <c r="K105" s="543"/>
    </row>
    <row r="106" spans="1:12" x14ac:dyDescent="0.25">
      <c r="A106" s="420" t="s">
        <v>415</v>
      </c>
      <c r="B106" s="421">
        <v>58.4</v>
      </c>
      <c r="C106" s="422">
        <f t="shared" si="12"/>
        <v>47612.836499999998</v>
      </c>
      <c r="D106" s="423">
        <f t="shared" si="13"/>
        <v>28567.701899999996</v>
      </c>
      <c r="E106" s="424">
        <f t="shared" si="14"/>
        <v>60000</v>
      </c>
      <c r="F106" s="425">
        <f t="shared" si="15"/>
        <v>80</v>
      </c>
      <c r="G106" s="422">
        <f t="shared" si="16"/>
        <v>1058.8699100999074</v>
      </c>
      <c r="H106" s="350" t="s">
        <v>423</v>
      </c>
      <c r="I106" s="427">
        <f t="shared" si="17"/>
        <v>15.126713001427248</v>
      </c>
      <c r="J106" s="435" t="s">
        <v>408</v>
      </c>
      <c r="K106" s="543"/>
    </row>
    <row r="107" spans="1:12" x14ac:dyDescent="0.25">
      <c r="A107" s="420" t="s">
        <v>416</v>
      </c>
      <c r="B107" s="421">
        <v>58.4</v>
      </c>
      <c r="C107" s="422">
        <f t="shared" si="12"/>
        <v>47612.836499999998</v>
      </c>
      <c r="D107" s="423">
        <f t="shared" si="13"/>
        <v>28567.701899999996</v>
      </c>
      <c r="E107" s="424">
        <f t="shared" si="14"/>
        <v>60000</v>
      </c>
      <c r="F107" s="425">
        <f t="shared" si="15"/>
        <v>80</v>
      </c>
      <c r="G107" s="422">
        <f t="shared" si="16"/>
        <v>1058.8699100999074</v>
      </c>
      <c r="H107" s="350" t="s">
        <v>423</v>
      </c>
      <c r="I107" s="427">
        <f t="shared" si="17"/>
        <v>15.126713001427248</v>
      </c>
      <c r="J107" s="435" t="s">
        <v>408</v>
      </c>
      <c r="K107" s="543"/>
    </row>
    <row r="108" spans="1:12" x14ac:dyDescent="0.25">
      <c r="A108" s="420" t="s">
        <v>417</v>
      </c>
      <c r="B108" s="421">
        <v>57.6</v>
      </c>
      <c r="C108" s="422">
        <f t="shared" si="12"/>
        <v>48110.098499999993</v>
      </c>
      <c r="D108" s="423">
        <f t="shared" si="13"/>
        <v>28866.059099999995</v>
      </c>
      <c r="E108" s="424">
        <f t="shared" si="14"/>
        <v>60000</v>
      </c>
      <c r="F108" s="425">
        <f t="shared" si="15"/>
        <v>80</v>
      </c>
      <c r="G108" s="422">
        <f t="shared" si="16"/>
        <v>1058.8699100999074</v>
      </c>
      <c r="H108" s="350" t="s">
        <v>423</v>
      </c>
      <c r="I108" s="427">
        <f t="shared" si="17"/>
        <v>15.126713001427248</v>
      </c>
      <c r="J108" s="435" t="s">
        <v>408</v>
      </c>
      <c r="K108" s="543"/>
    </row>
    <row r="109" spans="1:12" x14ac:dyDescent="0.25">
      <c r="A109" s="420" t="s">
        <v>203</v>
      </c>
      <c r="B109" s="421">
        <v>57.1</v>
      </c>
      <c r="C109" s="422">
        <f t="shared" si="12"/>
        <v>48420.887249999992</v>
      </c>
      <c r="D109" s="423">
        <f t="shared" si="13"/>
        <v>29052.532349999994</v>
      </c>
      <c r="E109" s="424">
        <f t="shared" si="14"/>
        <v>60000</v>
      </c>
      <c r="F109" s="425">
        <f t="shared" si="15"/>
        <v>80</v>
      </c>
      <c r="G109" s="422">
        <f t="shared" si="16"/>
        <v>1058.8699100999074</v>
      </c>
      <c r="H109" s="350" t="s">
        <v>423</v>
      </c>
      <c r="I109" s="427">
        <f t="shared" si="17"/>
        <v>15.126713001427248</v>
      </c>
      <c r="J109" s="435" t="s">
        <v>408</v>
      </c>
      <c r="K109" s="543"/>
    </row>
    <row r="110" spans="1:12" x14ac:dyDescent="0.25">
      <c r="A110" s="420" t="s">
        <v>204</v>
      </c>
      <c r="B110" s="421">
        <v>50.5</v>
      </c>
      <c r="C110" s="422">
        <f t="shared" si="12"/>
        <v>52523.298749999994</v>
      </c>
      <c r="D110" s="423">
        <f t="shared" si="13"/>
        <v>31513.979249999997</v>
      </c>
      <c r="E110" s="424">
        <f t="shared" si="14"/>
        <v>60000</v>
      </c>
      <c r="F110" s="425">
        <f t="shared" si="15"/>
        <v>80</v>
      </c>
      <c r="G110" s="422">
        <f t="shared" si="16"/>
        <v>1058.8699100999074</v>
      </c>
      <c r="H110" s="350" t="s">
        <v>423</v>
      </c>
      <c r="I110" s="427">
        <f t="shared" si="17"/>
        <v>15.126713001427248</v>
      </c>
      <c r="J110" s="435" t="s">
        <v>408</v>
      </c>
      <c r="K110" s="543"/>
    </row>
    <row r="111" spans="1:12" x14ac:dyDescent="0.25">
      <c r="A111" s="420" t="s">
        <v>205</v>
      </c>
      <c r="B111" s="421">
        <v>51.4</v>
      </c>
      <c r="C111" s="422">
        <f t="shared" si="12"/>
        <v>51963.878999999994</v>
      </c>
      <c r="D111" s="423">
        <f t="shared" si="13"/>
        <v>31178.327399999995</v>
      </c>
      <c r="E111" s="424">
        <f t="shared" si="14"/>
        <v>60000</v>
      </c>
      <c r="F111" s="425">
        <f t="shared" si="15"/>
        <v>80</v>
      </c>
      <c r="G111" s="422">
        <f t="shared" si="16"/>
        <v>1058.8699100999074</v>
      </c>
      <c r="H111" s="350" t="s">
        <v>423</v>
      </c>
      <c r="I111" s="427">
        <f t="shared" si="17"/>
        <v>15.126713001427248</v>
      </c>
      <c r="J111" s="435" t="s">
        <v>408</v>
      </c>
      <c r="K111" s="543"/>
    </row>
    <row r="112" spans="1:12" x14ac:dyDescent="0.25">
      <c r="A112" s="420" t="s">
        <v>206</v>
      </c>
      <c r="B112" s="421">
        <v>51.7</v>
      </c>
      <c r="C112" s="422">
        <f t="shared" si="12"/>
        <v>51777.405749999998</v>
      </c>
      <c r="D112" s="423">
        <f t="shared" si="13"/>
        <v>31066.443449999999</v>
      </c>
      <c r="E112" s="424">
        <f t="shared" si="14"/>
        <v>60000</v>
      </c>
      <c r="F112" s="425">
        <f t="shared" si="15"/>
        <v>80</v>
      </c>
      <c r="G112" s="422">
        <f t="shared" si="16"/>
        <v>1058.8699100999074</v>
      </c>
      <c r="H112" s="350" t="s">
        <v>423</v>
      </c>
      <c r="I112" s="427">
        <f t="shared" si="17"/>
        <v>15.126713001427248</v>
      </c>
      <c r="J112" s="435" t="s">
        <v>408</v>
      </c>
      <c r="K112" s="543"/>
    </row>
    <row r="113" spans="1:12" x14ac:dyDescent="0.25">
      <c r="A113" s="420" t="s">
        <v>207</v>
      </c>
      <c r="B113" s="421">
        <v>50.1</v>
      </c>
      <c r="C113" s="422">
        <f t="shared" si="12"/>
        <v>52771.929749999996</v>
      </c>
      <c r="D113" s="423">
        <f t="shared" si="13"/>
        <v>31663.157849999996</v>
      </c>
      <c r="E113" s="424">
        <f t="shared" si="14"/>
        <v>60000</v>
      </c>
      <c r="F113" s="425">
        <f t="shared" si="15"/>
        <v>80</v>
      </c>
      <c r="G113" s="422">
        <f t="shared" si="16"/>
        <v>1058.8699100999074</v>
      </c>
      <c r="H113" s="350" t="s">
        <v>423</v>
      </c>
      <c r="I113" s="427">
        <f t="shared" si="17"/>
        <v>15.126713001427248</v>
      </c>
      <c r="J113" s="435" t="s">
        <v>408</v>
      </c>
      <c r="K113" s="543"/>
    </row>
    <row r="114" spans="1:12" x14ac:dyDescent="0.25">
      <c r="A114" s="420" t="s">
        <v>208</v>
      </c>
      <c r="B114" s="421">
        <v>63.2</v>
      </c>
      <c r="C114" s="422">
        <f t="shared" si="12"/>
        <v>44629.264499999997</v>
      </c>
      <c r="D114" s="423">
        <f t="shared" si="13"/>
        <v>26777.558699999998</v>
      </c>
      <c r="E114" s="424">
        <f t="shared" si="14"/>
        <v>60000</v>
      </c>
      <c r="F114" s="425">
        <f t="shared" si="15"/>
        <v>80</v>
      </c>
      <c r="G114" s="422">
        <f t="shared" si="16"/>
        <v>1058.8699100999074</v>
      </c>
      <c r="H114" s="350" t="s">
        <v>423</v>
      </c>
      <c r="I114" s="427">
        <f t="shared" si="17"/>
        <v>15.126713001427248</v>
      </c>
      <c r="J114" s="435" t="s">
        <v>408</v>
      </c>
      <c r="K114" s="543"/>
    </row>
    <row r="115" spans="1:12" x14ac:dyDescent="0.25">
      <c r="A115" s="420" t="s">
        <v>209</v>
      </c>
      <c r="B115" s="421">
        <v>41.4</v>
      </c>
      <c r="C115" s="422">
        <f t="shared" si="12"/>
        <v>58179.653999999995</v>
      </c>
      <c r="D115" s="423">
        <f t="shared" si="13"/>
        <v>34907.792399999998</v>
      </c>
      <c r="E115" s="424">
        <f t="shared" si="14"/>
        <v>60000</v>
      </c>
      <c r="F115" s="425">
        <f t="shared" si="15"/>
        <v>80</v>
      </c>
      <c r="G115" s="422">
        <f t="shared" si="16"/>
        <v>1058.8699100999074</v>
      </c>
      <c r="H115" s="350" t="s">
        <v>423</v>
      </c>
      <c r="I115" s="427">
        <f t="shared" si="17"/>
        <v>15.126713001427248</v>
      </c>
      <c r="J115" s="435" t="s">
        <v>408</v>
      </c>
      <c r="K115" s="543"/>
    </row>
    <row r="116" spans="1:12" x14ac:dyDescent="0.25">
      <c r="A116" s="288"/>
      <c r="B116" s="397"/>
      <c r="C116" s="267"/>
      <c r="D116" s="398"/>
      <c r="E116" s="399"/>
      <c r="F116" s="268"/>
      <c r="G116" s="269"/>
    </row>
    <row r="117" spans="1:12" x14ac:dyDescent="0.25">
      <c r="A117" s="288"/>
      <c r="B117" s="397"/>
      <c r="C117" s="267"/>
      <c r="D117" s="398"/>
      <c r="E117" s="399"/>
      <c r="F117" s="268"/>
      <c r="G117" s="269"/>
    </row>
    <row r="118" spans="1:12" x14ac:dyDescent="0.3">
      <c r="A118" s="540" t="s">
        <v>425</v>
      </c>
      <c r="B118" s="541"/>
      <c r="C118" s="541"/>
      <c r="D118" s="541"/>
      <c r="E118" s="541"/>
      <c r="F118" s="541"/>
      <c r="G118" s="541"/>
      <c r="H118" s="541"/>
      <c r="I118" s="541"/>
      <c r="J118" s="541"/>
      <c r="K118" s="541"/>
      <c r="L118" s="541"/>
    </row>
    <row r="119" spans="1:12" ht="26.4" x14ac:dyDescent="0.25">
      <c r="A119" s="414" t="s">
        <v>426</v>
      </c>
      <c r="B119" s="415" t="s">
        <v>427</v>
      </c>
      <c r="C119" s="416" t="s">
        <v>428</v>
      </c>
      <c r="D119" s="417" t="s">
        <v>429</v>
      </c>
      <c r="E119" s="418" t="s">
        <v>430</v>
      </c>
      <c r="F119" s="418" t="s">
        <v>431</v>
      </c>
      <c r="G119" s="436" t="s">
        <v>432</v>
      </c>
      <c r="H119" s="419" t="s">
        <v>433</v>
      </c>
      <c r="I119" s="419" t="s">
        <v>434</v>
      </c>
      <c r="J119" s="419" t="s">
        <v>435</v>
      </c>
      <c r="K119" s="419" t="s">
        <v>436</v>
      </c>
      <c r="L119" s="419" t="s">
        <v>437</v>
      </c>
    </row>
    <row r="120" spans="1:12" ht="39.6" x14ac:dyDescent="0.3">
      <c r="A120" s="437">
        <v>30000</v>
      </c>
      <c r="B120" s="438" t="s">
        <v>438</v>
      </c>
      <c r="C120" s="439">
        <v>200000</v>
      </c>
      <c r="D120" s="440" t="s">
        <v>439</v>
      </c>
      <c r="E120" s="441">
        <v>30</v>
      </c>
      <c r="F120" s="442" t="s">
        <v>440</v>
      </c>
      <c r="G120" s="443">
        <v>0</v>
      </c>
      <c r="H120" s="350" t="s">
        <v>441</v>
      </c>
      <c r="I120" s="444">
        <v>60000</v>
      </c>
      <c r="J120" s="445" t="s">
        <v>442</v>
      </c>
      <c r="K120" s="446">
        <v>80</v>
      </c>
      <c r="L120" s="445" t="s">
        <v>443</v>
      </c>
    </row>
    <row r="121" spans="1:12" ht="39.6" x14ac:dyDescent="0.25">
      <c r="A121" s="447">
        <v>32000</v>
      </c>
      <c r="B121" s="448" t="s">
        <v>438</v>
      </c>
      <c r="C121" s="422"/>
      <c r="D121" s="440"/>
      <c r="E121" s="449">
        <v>40</v>
      </c>
      <c r="F121" s="450" t="s">
        <v>440</v>
      </c>
      <c r="G121" s="434"/>
      <c r="H121" s="350"/>
      <c r="I121" s="451">
        <v>75000</v>
      </c>
      <c r="J121" s="452" t="s">
        <v>442</v>
      </c>
      <c r="K121" s="453">
        <v>100</v>
      </c>
      <c r="L121" s="452" t="s">
        <v>443</v>
      </c>
    </row>
    <row r="122" spans="1:12" ht="39.6" x14ac:dyDescent="0.25">
      <c r="A122" s="437">
        <v>34000</v>
      </c>
      <c r="B122" s="438" t="s">
        <v>438</v>
      </c>
      <c r="C122" s="422"/>
      <c r="D122" s="440"/>
      <c r="E122" s="441">
        <v>50</v>
      </c>
      <c r="F122" s="442" t="s">
        <v>440</v>
      </c>
      <c r="G122" s="434"/>
      <c r="H122" s="350"/>
      <c r="I122" s="444">
        <v>100000</v>
      </c>
      <c r="J122" s="445" t="s">
        <v>442</v>
      </c>
      <c r="K122" s="446">
        <v>119</v>
      </c>
      <c r="L122" s="445" t="s">
        <v>443</v>
      </c>
    </row>
    <row r="123" spans="1:12" ht="39.6" x14ac:dyDescent="0.25">
      <c r="A123" s="447">
        <v>36000</v>
      </c>
      <c r="B123" s="448" t="s">
        <v>438</v>
      </c>
      <c r="C123" s="422"/>
      <c r="D123" s="440"/>
      <c r="E123" s="449">
        <v>60</v>
      </c>
      <c r="F123" s="450" t="s">
        <v>440</v>
      </c>
      <c r="G123" s="434"/>
      <c r="H123" s="350"/>
      <c r="I123" s="451">
        <v>125000</v>
      </c>
      <c r="J123" s="452" t="s">
        <v>442</v>
      </c>
      <c r="K123" s="453">
        <v>120</v>
      </c>
      <c r="L123" s="452" t="s">
        <v>443</v>
      </c>
    </row>
    <row r="124" spans="1:12" ht="39.6" x14ac:dyDescent="0.25">
      <c r="A124" s="437">
        <v>38000</v>
      </c>
      <c r="B124" s="438" t="s">
        <v>438</v>
      </c>
      <c r="C124" s="422"/>
      <c r="D124" s="440"/>
      <c r="E124" s="441">
        <v>75</v>
      </c>
      <c r="F124" s="442" t="s">
        <v>440</v>
      </c>
      <c r="G124" s="434"/>
      <c r="H124" s="350"/>
      <c r="I124" s="444">
        <v>150000</v>
      </c>
      <c r="J124" s="445" t="s">
        <v>442</v>
      </c>
      <c r="K124" s="446">
        <v>125</v>
      </c>
      <c r="L124" s="445" t="s">
        <v>443</v>
      </c>
    </row>
    <row r="125" spans="1:12" ht="39.6" x14ac:dyDescent="0.25">
      <c r="A125" s="447">
        <v>40000</v>
      </c>
      <c r="B125" s="448" t="s">
        <v>438</v>
      </c>
      <c r="C125" s="422"/>
      <c r="D125" s="440"/>
      <c r="E125" s="454"/>
      <c r="F125" s="455"/>
      <c r="G125" s="434"/>
      <c r="H125" s="350"/>
      <c r="I125" s="451">
        <v>199000</v>
      </c>
      <c r="J125" s="452" t="s">
        <v>442</v>
      </c>
      <c r="K125" s="350"/>
      <c r="L125" s="350"/>
    </row>
    <row r="126" spans="1:12" ht="39.6" x14ac:dyDescent="0.25">
      <c r="A126" s="437">
        <v>50000</v>
      </c>
      <c r="B126" s="438" t="s">
        <v>438</v>
      </c>
      <c r="C126" s="422"/>
      <c r="D126" s="440"/>
      <c r="E126" s="454"/>
      <c r="F126" s="455"/>
      <c r="G126" s="434"/>
      <c r="H126" s="350"/>
      <c r="I126" s="444">
        <v>250000</v>
      </c>
      <c r="J126" s="445" t="s">
        <v>442</v>
      </c>
      <c r="K126" s="350"/>
      <c r="L126" s="350"/>
    </row>
    <row r="127" spans="1:12" ht="39.6" x14ac:dyDescent="0.25">
      <c r="A127" s="447">
        <v>65000</v>
      </c>
      <c r="B127" s="448" t="s">
        <v>438</v>
      </c>
      <c r="C127" s="422"/>
      <c r="D127" s="440"/>
      <c r="E127" s="454"/>
      <c r="F127" s="455"/>
      <c r="G127" s="434"/>
      <c r="H127" s="350"/>
      <c r="I127" s="451">
        <v>300000</v>
      </c>
      <c r="J127" s="452" t="s">
        <v>442</v>
      </c>
      <c r="K127" s="350"/>
      <c r="L127" s="350"/>
    </row>
    <row r="128" spans="1:12" ht="39.6" x14ac:dyDescent="0.25">
      <c r="A128" s="437">
        <v>75000</v>
      </c>
      <c r="B128" s="438" t="s">
        <v>438</v>
      </c>
      <c r="C128" s="422"/>
      <c r="D128" s="440"/>
      <c r="E128" s="454"/>
      <c r="F128" s="455"/>
      <c r="G128" s="434"/>
      <c r="H128" s="350"/>
      <c r="I128" s="444">
        <v>399000</v>
      </c>
      <c r="J128" s="445" t="s">
        <v>442</v>
      </c>
      <c r="K128" s="350"/>
      <c r="L128" s="350"/>
    </row>
    <row r="129" spans="1:12" ht="39.6" x14ac:dyDescent="0.25">
      <c r="A129" s="420"/>
      <c r="B129" s="456"/>
      <c r="C129" s="422"/>
      <c r="D129" s="440"/>
      <c r="E129" s="454"/>
      <c r="F129" s="455"/>
      <c r="G129" s="434"/>
      <c r="H129" s="350"/>
      <c r="I129" s="451">
        <v>500000</v>
      </c>
      <c r="J129" s="452" t="s">
        <v>442</v>
      </c>
      <c r="K129" s="350"/>
      <c r="L129" s="350"/>
    </row>
    <row r="130" spans="1:12" x14ac:dyDescent="0.3">
      <c r="A130" s="552" t="s">
        <v>444</v>
      </c>
      <c r="B130" s="552"/>
      <c r="C130" s="552"/>
      <c r="D130" s="552"/>
      <c r="E130" s="552"/>
      <c r="F130" s="552"/>
      <c r="G130" s="552"/>
      <c r="H130" s="552"/>
      <c r="I130" s="552"/>
      <c r="J130" s="552"/>
      <c r="K130" s="552"/>
      <c r="L130" s="552"/>
    </row>
    <row r="131" spans="1:12" x14ac:dyDescent="0.3">
      <c r="A131" s="552"/>
      <c r="B131" s="552"/>
      <c r="C131" s="552"/>
      <c r="D131" s="552"/>
      <c r="E131" s="552"/>
      <c r="F131" s="552"/>
      <c r="G131" s="552"/>
      <c r="H131" s="552"/>
      <c r="I131" s="552"/>
      <c r="J131" s="552"/>
      <c r="K131" s="552"/>
      <c r="L131" s="552"/>
    </row>
    <row r="132" spans="1:12" x14ac:dyDescent="0.25">
      <c r="A132" s="288"/>
      <c r="B132" s="397"/>
      <c r="C132" s="267"/>
      <c r="D132" s="398"/>
      <c r="E132" s="399"/>
      <c r="F132" s="268"/>
      <c r="G132" s="269"/>
    </row>
    <row r="133" spans="1:12" ht="24.75" customHeight="1" x14ac:dyDescent="0.25">
      <c r="A133" s="546" t="s">
        <v>445</v>
      </c>
      <c r="B133" s="546"/>
      <c r="C133" s="546"/>
      <c r="D133" s="398"/>
      <c r="E133" s="399"/>
      <c r="F133" s="268"/>
      <c r="G133" s="269"/>
    </row>
    <row r="134" spans="1:12" ht="26.4" x14ac:dyDescent="0.25">
      <c r="A134" s="396" t="s">
        <v>446</v>
      </c>
      <c r="B134" s="443">
        <v>84</v>
      </c>
      <c r="C134" s="396" t="s">
        <v>447</v>
      </c>
      <c r="D134" s="398"/>
      <c r="E134" s="399"/>
      <c r="F134" s="268"/>
      <c r="G134" s="269"/>
    </row>
    <row r="135" spans="1:12" ht="26.4" x14ac:dyDescent="0.25">
      <c r="A135" s="396" t="s">
        <v>448</v>
      </c>
      <c r="B135" s="443">
        <v>125</v>
      </c>
      <c r="C135" s="396" t="s">
        <v>449</v>
      </c>
      <c r="D135" s="398"/>
      <c r="E135" s="399"/>
      <c r="F135" s="268"/>
      <c r="G135" s="269"/>
    </row>
    <row r="136" spans="1:12" ht="26.4" x14ac:dyDescent="0.25">
      <c r="A136" s="396" t="s">
        <v>450</v>
      </c>
      <c r="B136" s="443">
        <v>58</v>
      </c>
      <c r="C136" s="396" t="s">
        <v>449</v>
      </c>
      <c r="D136" s="398"/>
      <c r="E136" s="399"/>
      <c r="F136" s="268"/>
      <c r="G136" s="269"/>
    </row>
    <row r="137" spans="1:12" ht="26.4" x14ac:dyDescent="0.25">
      <c r="A137" s="396" t="s">
        <v>451</v>
      </c>
      <c r="B137" s="457">
        <v>67.5</v>
      </c>
      <c r="C137" s="396" t="s">
        <v>449</v>
      </c>
      <c r="D137" s="398"/>
      <c r="E137" s="399"/>
      <c r="F137" s="268"/>
      <c r="G137" s="269"/>
    </row>
    <row r="138" spans="1:12" ht="26.4" x14ac:dyDescent="0.25">
      <c r="A138" s="396" t="s">
        <v>452</v>
      </c>
      <c r="B138" s="458">
        <v>8.2937999999999992</v>
      </c>
      <c r="C138" s="396" t="s">
        <v>453</v>
      </c>
      <c r="D138" s="398"/>
      <c r="E138" s="399"/>
      <c r="F138" s="268"/>
      <c r="G138" s="269"/>
    </row>
    <row r="139" spans="1:12" ht="26.4" x14ac:dyDescent="0.25">
      <c r="A139" s="396" t="s">
        <v>454</v>
      </c>
      <c r="B139" s="458">
        <v>1.0006999999999999</v>
      </c>
      <c r="C139" s="396" t="s">
        <v>453</v>
      </c>
      <c r="D139" s="398"/>
      <c r="E139" s="399"/>
      <c r="F139" s="268"/>
      <c r="G139" s="269"/>
    </row>
    <row r="140" spans="1:12" x14ac:dyDescent="0.25">
      <c r="A140" s="396" t="s">
        <v>455</v>
      </c>
      <c r="B140" s="459">
        <v>0.52752699999999997</v>
      </c>
      <c r="C140" s="396" t="s">
        <v>456</v>
      </c>
      <c r="D140" s="398"/>
      <c r="E140" s="399"/>
      <c r="F140" s="268"/>
      <c r="G140" s="269"/>
    </row>
    <row r="141" spans="1:12" x14ac:dyDescent="0.25">
      <c r="A141" s="288"/>
      <c r="B141" s="397"/>
      <c r="C141" s="267"/>
      <c r="D141" s="398"/>
      <c r="E141" s="399"/>
      <c r="F141" s="268"/>
      <c r="G141" s="269"/>
    </row>
    <row r="142" spans="1:12" x14ac:dyDescent="0.25">
      <c r="A142" s="288"/>
      <c r="B142" s="397"/>
      <c r="C142" s="267"/>
      <c r="D142" s="398"/>
      <c r="E142" s="399"/>
      <c r="F142" s="268"/>
      <c r="G142" s="269"/>
    </row>
    <row r="143" spans="1:12" x14ac:dyDescent="0.25">
      <c r="A143" s="288"/>
      <c r="B143" s="397"/>
      <c r="C143" s="267"/>
      <c r="D143" s="398"/>
      <c r="E143" s="399"/>
      <c r="F143" s="268"/>
      <c r="G143" s="269"/>
    </row>
    <row r="144" spans="1:12" x14ac:dyDescent="0.25">
      <c r="A144" s="288"/>
      <c r="B144" s="397"/>
      <c r="C144" s="267"/>
      <c r="D144" s="398"/>
      <c r="E144" s="399"/>
      <c r="F144" s="268"/>
      <c r="G144" s="269"/>
    </row>
    <row r="145" spans="1:7" x14ac:dyDescent="0.25">
      <c r="A145" s="288"/>
      <c r="B145" s="397"/>
      <c r="C145" s="267"/>
      <c r="D145" s="398"/>
      <c r="E145" s="399"/>
      <c r="F145" s="268"/>
      <c r="G145" s="269"/>
    </row>
    <row r="146" spans="1:7" x14ac:dyDescent="0.25">
      <c r="A146" s="288"/>
      <c r="B146" s="397"/>
      <c r="C146" s="267"/>
      <c r="D146" s="398"/>
      <c r="E146" s="399"/>
      <c r="F146" s="268"/>
      <c r="G146" s="269"/>
    </row>
    <row r="147" spans="1:7" x14ac:dyDescent="0.25">
      <c r="A147" s="288"/>
      <c r="B147" s="397"/>
      <c r="C147" s="267"/>
      <c r="D147" s="398"/>
      <c r="E147" s="399"/>
      <c r="F147" s="268"/>
      <c r="G147" s="269"/>
    </row>
    <row r="148" spans="1:7" x14ac:dyDescent="0.25">
      <c r="A148" s="288"/>
      <c r="B148" s="397"/>
      <c r="C148" s="267"/>
      <c r="D148" s="398"/>
      <c r="E148" s="399"/>
      <c r="F148" s="268"/>
      <c r="G148" s="269"/>
    </row>
    <row r="149" spans="1:7" x14ac:dyDescent="0.25">
      <c r="A149" s="288"/>
      <c r="B149" s="397"/>
      <c r="C149" s="267"/>
      <c r="D149" s="398"/>
      <c r="E149" s="399"/>
      <c r="F149" s="268"/>
      <c r="G149" s="269"/>
    </row>
    <row r="150" spans="1:7" x14ac:dyDescent="0.25">
      <c r="A150" s="288"/>
      <c r="B150" s="397"/>
      <c r="C150" s="267"/>
      <c r="D150" s="398"/>
      <c r="E150" s="399"/>
      <c r="F150" s="268"/>
      <c r="G150" s="269"/>
    </row>
    <row r="151" spans="1:7" x14ac:dyDescent="0.25">
      <c r="A151" s="288"/>
      <c r="B151" s="397"/>
      <c r="C151" s="267"/>
      <c r="D151" s="398"/>
      <c r="E151" s="399"/>
      <c r="F151" s="268"/>
      <c r="G151" s="269"/>
    </row>
    <row r="152" spans="1:7" x14ac:dyDescent="0.25">
      <c r="A152" s="288"/>
      <c r="B152" s="397"/>
      <c r="C152" s="267"/>
      <c r="D152" s="398"/>
      <c r="E152" s="399"/>
      <c r="F152" s="268"/>
      <c r="G152" s="269"/>
    </row>
    <row r="153" spans="1:7" x14ac:dyDescent="0.25">
      <c r="A153" s="288"/>
      <c r="B153" s="397"/>
      <c r="C153" s="267"/>
      <c r="D153" s="398"/>
      <c r="E153" s="399"/>
      <c r="F153" s="268"/>
      <c r="G153" s="269"/>
    </row>
    <row r="154" spans="1:7" x14ac:dyDescent="0.25">
      <c r="A154" s="288"/>
      <c r="B154" s="397"/>
      <c r="C154" s="267"/>
      <c r="D154" s="398"/>
      <c r="E154" s="399"/>
      <c r="F154" s="268"/>
      <c r="G154" s="269"/>
    </row>
    <row r="155" spans="1:7" x14ac:dyDescent="0.25">
      <c r="A155" s="288"/>
      <c r="B155" s="397"/>
      <c r="C155" s="267"/>
      <c r="D155" s="398"/>
      <c r="E155" s="399"/>
      <c r="F155" s="268"/>
      <c r="G155" s="269"/>
    </row>
    <row r="156" spans="1:7" x14ac:dyDescent="0.25">
      <c r="A156" s="288"/>
      <c r="B156" s="397"/>
      <c r="C156" s="267"/>
      <c r="D156" s="398"/>
      <c r="E156" s="399"/>
      <c r="F156" s="268"/>
      <c r="G156" s="269"/>
    </row>
    <row r="157" spans="1:7" x14ac:dyDescent="0.25">
      <c r="A157" s="288"/>
      <c r="B157" s="397"/>
      <c r="C157" s="267"/>
      <c r="D157" s="398"/>
      <c r="E157" s="399"/>
      <c r="F157" s="268"/>
      <c r="G157" s="269"/>
    </row>
    <row r="158" spans="1:7" x14ac:dyDescent="0.25">
      <c r="A158" s="288"/>
      <c r="B158" s="397"/>
      <c r="C158" s="267"/>
      <c r="D158" s="398"/>
      <c r="E158" s="399"/>
      <c r="F158" s="268"/>
      <c r="G158" s="269"/>
    </row>
    <row r="159" spans="1:7" x14ac:dyDescent="0.25">
      <c r="A159" s="288"/>
      <c r="B159" s="397"/>
      <c r="C159" s="267"/>
      <c r="D159" s="398"/>
      <c r="E159" s="399"/>
      <c r="F159" s="268"/>
      <c r="G159" s="269"/>
    </row>
    <row r="160" spans="1:7" x14ac:dyDescent="0.25">
      <c r="A160" s="288"/>
      <c r="B160" s="397"/>
      <c r="C160" s="267"/>
      <c r="D160" s="398"/>
      <c r="E160" s="399"/>
      <c r="F160" s="268"/>
      <c r="G160" s="269"/>
    </row>
    <row r="161" spans="1:7" x14ac:dyDescent="0.25">
      <c r="A161" s="288"/>
      <c r="B161" s="397"/>
      <c r="C161" s="267"/>
      <c r="D161" s="398"/>
      <c r="E161" s="399"/>
      <c r="F161" s="268"/>
      <c r="G161" s="269"/>
    </row>
    <row r="162" spans="1:7" x14ac:dyDescent="0.25">
      <c r="A162" s="288"/>
      <c r="B162" s="397"/>
      <c r="C162" s="267"/>
      <c r="D162" s="398"/>
      <c r="E162" s="399"/>
      <c r="F162" s="268"/>
      <c r="G162" s="269"/>
    </row>
    <row r="163" spans="1:7" x14ac:dyDescent="0.25">
      <c r="A163" s="288"/>
      <c r="B163" s="397"/>
      <c r="C163" s="267"/>
      <c r="D163" s="398"/>
      <c r="E163" s="399"/>
      <c r="F163" s="268"/>
      <c r="G163" s="269"/>
    </row>
    <row r="164" spans="1:7" x14ac:dyDescent="0.25">
      <c r="A164" s="288"/>
      <c r="B164" s="397"/>
      <c r="C164" s="267"/>
      <c r="D164" s="398"/>
      <c r="E164" s="399"/>
      <c r="F164" s="268"/>
      <c r="G164" s="269"/>
    </row>
    <row r="165" spans="1:7" x14ac:dyDescent="0.25">
      <c r="A165" s="288"/>
      <c r="B165" s="397"/>
      <c r="C165" s="267"/>
      <c r="D165" s="398"/>
      <c r="E165" s="399"/>
      <c r="F165" s="268"/>
      <c r="G165" s="269"/>
    </row>
    <row r="166" spans="1:7" x14ac:dyDescent="0.25">
      <c r="A166" s="288"/>
      <c r="B166" s="397"/>
      <c r="C166" s="267"/>
      <c r="D166" s="398"/>
      <c r="E166" s="399"/>
      <c r="F166" s="268"/>
      <c r="G166" s="269"/>
    </row>
    <row r="167" spans="1:7" x14ac:dyDescent="0.25">
      <c r="A167" s="288"/>
      <c r="B167" s="397"/>
      <c r="C167" s="267"/>
      <c r="D167" s="398"/>
      <c r="E167" s="399"/>
      <c r="F167" s="268"/>
      <c r="G167" s="269"/>
    </row>
    <row r="168" spans="1:7" s="24" customFormat="1" x14ac:dyDescent="0.25">
      <c r="A168" s="24" t="s">
        <v>187</v>
      </c>
    </row>
    <row r="169" spans="1:7" ht="14.4" x14ac:dyDescent="0.3">
      <c r="A169" s="3" t="s">
        <v>19</v>
      </c>
      <c r="B169" s="131" t="s">
        <v>20</v>
      </c>
      <c r="C169" s="132" t="s">
        <v>457</v>
      </c>
    </row>
    <row r="170" spans="1:7" ht="14.4" x14ac:dyDescent="0.25">
      <c r="A170" s="3" t="s">
        <v>21</v>
      </c>
      <c r="B170" s="133" t="s">
        <v>22</v>
      </c>
      <c r="C170" s="7" t="s">
        <v>458</v>
      </c>
    </row>
  </sheetData>
  <mergeCells count="21">
    <mergeCell ref="G61:H61"/>
    <mergeCell ref="I61:J61"/>
    <mergeCell ref="K62:K77"/>
    <mergeCell ref="A133:C133"/>
    <mergeCell ref="A79:K79"/>
    <mergeCell ref="G80:H80"/>
    <mergeCell ref="I80:J80"/>
    <mergeCell ref="K81:K96"/>
    <mergeCell ref="A98:K98"/>
    <mergeCell ref="G99:H99"/>
    <mergeCell ref="I99:J99"/>
    <mergeCell ref="K100:K115"/>
    <mergeCell ref="A118:L118"/>
    <mergeCell ref="A130:L131"/>
    <mergeCell ref="A1:H1"/>
    <mergeCell ref="G3:G4"/>
    <mergeCell ref="H3:H4"/>
    <mergeCell ref="A5:G5"/>
    <mergeCell ref="A60:K60"/>
    <mergeCell ref="A8:H8"/>
    <mergeCell ref="H10:H46"/>
  </mergeCells>
  <hyperlinks>
    <hyperlink ref="B169" r:id="rId1" xr:uid="{49D28FCF-33F6-4ADA-A647-9635E78B1942}"/>
    <hyperlink ref="B170" r:id="rId2" xr:uid="{4C407B57-D1FF-4336-B7F6-25608B3BF606}"/>
  </hyperlinks>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92"/>
  <sheetViews>
    <sheetView zoomScale="80" zoomScaleNormal="80" workbookViewId="0">
      <pane ySplit="3" topLeftCell="A4" activePane="bottomLeft" state="frozen"/>
      <selection pane="bottomLeft" sqref="A1:G1"/>
    </sheetView>
  </sheetViews>
  <sheetFormatPr defaultColWidth="8.6640625" defaultRowHeight="13.2" x14ac:dyDescent="0.25"/>
  <cols>
    <col min="1" max="1" width="50.109375" style="3" customWidth="1"/>
    <col min="2" max="2" width="20.5546875" style="3" customWidth="1"/>
    <col min="3" max="3" width="22.6640625" style="3" customWidth="1"/>
    <col min="4" max="4" width="39.5546875" style="3" customWidth="1"/>
    <col min="5" max="5" width="20.33203125" style="3" customWidth="1"/>
    <col min="6" max="6" width="22.109375" style="3" customWidth="1"/>
    <col min="7" max="7" width="42.33203125" style="3" customWidth="1"/>
    <col min="8" max="8" width="9.6640625" style="3" customWidth="1"/>
    <col min="9" max="9" width="13.33203125" style="3" customWidth="1"/>
    <col min="10" max="10" width="24" style="3" customWidth="1"/>
    <col min="11" max="11" width="10.5546875" style="3" customWidth="1"/>
    <col min="12" max="12" width="11.44140625" style="3" customWidth="1"/>
    <col min="13" max="13" width="10.5546875" style="3" customWidth="1"/>
    <col min="14" max="14" width="13.33203125" style="3" customWidth="1"/>
    <col min="15" max="15" width="9.6640625" style="3" customWidth="1"/>
    <col min="16" max="16" width="9.44140625" style="3" customWidth="1"/>
    <col min="17" max="17" width="12.6640625" style="3" customWidth="1"/>
    <col min="18" max="18" width="14.6640625" style="3" customWidth="1"/>
    <col min="19" max="19" width="20.6640625" style="3" customWidth="1"/>
    <col min="20" max="20" width="19.6640625" style="3" customWidth="1"/>
    <col min="21" max="26" width="8.6640625" style="3"/>
    <col min="27" max="27" width="13.6640625" style="3" bestFit="1" customWidth="1"/>
    <col min="28" max="16384" width="8.6640625" style="3"/>
  </cols>
  <sheetData>
    <row r="1" spans="1:8" ht="25.95" customHeight="1" x14ac:dyDescent="0.25">
      <c r="A1" s="532" t="str">
        <f>"Interior Lighting - "&amp;Prototype!A2</f>
        <v xml:space="preserve">Interior Lighting - ApartmentMidRise </v>
      </c>
      <c r="B1" s="532"/>
      <c r="C1" s="532"/>
      <c r="D1" s="532"/>
      <c r="E1" s="532"/>
      <c r="F1" s="532"/>
      <c r="G1" s="532"/>
    </row>
    <row r="2" spans="1:8" ht="45.75" customHeight="1" x14ac:dyDescent="0.25">
      <c r="A2" s="554" t="s">
        <v>275</v>
      </c>
      <c r="B2" s="553" t="s">
        <v>459</v>
      </c>
      <c r="C2" s="553"/>
      <c r="D2" s="553"/>
      <c r="E2" s="553" t="s">
        <v>223</v>
      </c>
      <c r="F2" s="553"/>
      <c r="G2" s="553"/>
    </row>
    <row r="3" spans="1:8" ht="50.25" customHeight="1" x14ac:dyDescent="0.25">
      <c r="A3" s="554"/>
      <c r="B3" s="332" t="s">
        <v>460</v>
      </c>
      <c r="C3" s="332" t="s">
        <v>461</v>
      </c>
      <c r="D3" s="332" t="s">
        <v>268</v>
      </c>
      <c r="E3" s="332" t="s">
        <v>462</v>
      </c>
      <c r="F3" s="332" t="s">
        <v>461</v>
      </c>
      <c r="G3" s="332" t="s">
        <v>268</v>
      </c>
    </row>
    <row r="4" spans="1:8" ht="24.9" customHeight="1" x14ac:dyDescent="0.25">
      <c r="A4" s="223" t="str">
        <f>Zones!A3</f>
        <v>Convention, Conference, Multipurpose and Meeting Area</v>
      </c>
      <c r="B4" s="148">
        <v>0.75</v>
      </c>
      <c r="C4" s="391">
        <v>0.25</v>
      </c>
      <c r="D4" s="537" t="s">
        <v>463</v>
      </c>
      <c r="E4" s="391">
        <v>1.2</v>
      </c>
      <c r="F4" s="460">
        <v>0.2</v>
      </c>
      <c r="G4" s="537" t="s">
        <v>464</v>
      </c>
    </row>
    <row r="5" spans="1:8" ht="24.9" customHeight="1" x14ac:dyDescent="0.25">
      <c r="A5" s="223" t="str">
        <f>Zones!A4</f>
        <v>Corridor Area</v>
      </c>
      <c r="B5" s="148">
        <v>0.4</v>
      </c>
      <c r="C5" s="396" t="s">
        <v>88</v>
      </c>
      <c r="D5" s="555"/>
      <c r="E5" s="85">
        <v>0.6</v>
      </c>
      <c r="F5" s="350" t="s">
        <v>88</v>
      </c>
      <c r="G5" s="555"/>
      <c r="H5" s="37"/>
    </row>
    <row r="6" spans="1:8" ht="24.9" customHeight="1" x14ac:dyDescent="0.25">
      <c r="A6" s="223" t="str">
        <f>Zones!A5</f>
        <v>Exercise/Fitness Center and Gymnasium Areas</v>
      </c>
      <c r="B6" s="148">
        <v>0.5</v>
      </c>
      <c r="C6" s="396" t="s">
        <v>88</v>
      </c>
      <c r="D6" s="555"/>
      <c r="E6" s="85">
        <v>1</v>
      </c>
      <c r="F6" s="350" t="s">
        <v>88</v>
      </c>
      <c r="G6" s="555"/>
      <c r="H6" s="37"/>
    </row>
    <row r="7" spans="1:8" ht="24.9" customHeight="1" x14ac:dyDescent="0.25">
      <c r="A7" s="223" t="str">
        <f>Zones!A6</f>
        <v>Office Area (&gt;250 square feet)</v>
      </c>
      <c r="B7" s="391">
        <v>0.6</v>
      </c>
      <c r="C7" s="391">
        <v>0.2</v>
      </c>
      <c r="D7" s="555"/>
      <c r="E7" s="391">
        <v>0.75</v>
      </c>
      <c r="F7" s="460">
        <v>0.2</v>
      </c>
      <c r="G7" s="555"/>
      <c r="H7" s="37"/>
    </row>
    <row r="8" spans="1:8" ht="24.9" customHeight="1" x14ac:dyDescent="0.25">
      <c r="A8" s="223" t="str">
        <f>Zones!A7</f>
        <v>Lobby, Main Entry</v>
      </c>
      <c r="B8" s="148">
        <v>0.7</v>
      </c>
      <c r="C8" s="391">
        <v>0.25</v>
      </c>
      <c r="D8" s="555"/>
      <c r="E8" s="85">
        <v>0.95</v>
      </c>
      <c r="F8" s="460">
        <v>0.2</v>
      </c>
      <c r="G8" s="555"/>
      <c r="H8" s="37"/>
    </row>
    <row r="9" spans="1:8" ht="24.9" customHeight="1" x14ac:dyDescent="0.25">
      <c r="A9" s="223" t="str">
        <f>Zones!A8</f>
        <v>Electrical, Mechanical, Telephone Rooms</v>
      </c>
      <c r="B9" s="148">
        <v>0.4</v>
      </c>
      <c r="C9" s="396" t="s">
        <v>88</v>
      </c>
      <c r="D9" s="555"/>
      <c r="E9" s="391">
        <v>0.55000000000000004</v>
      </c>
      <c r="F9" s="350" t="s">
        <v>88</v>
      </c>
      <c r="G9" s="555"/>
      <c r="H9" s="37"/>
    </row>
    <row r="10" spans="1:8" ht="24.9" customHeight="1" x14ac:dyDescent="0.25">
      <c r="A10" s="223" t="str">
        <f>Zones!A9</f>
        <v>Retail Sales Area (Retail Merchandise Sales)</v>
      </c>
      <c r="B10" s="148">
        <v>0.95</v>
      </c>
      <c r="C10" s="391">
        <v>0.35</v>
      </c>
      <c r="D10" s="549"/>
      <c r="E10" s="391">
        <v>1.2</v>
      </c>
      <c r="F10" s="460">
        <v>0.2</v>
      </c>
      <c r="G10" s="555"/>
      <c r="H10" s="37"/>
    </row>
    <row r="11" spans="1:8" ht="24.9" customHeight="1" x14ac:dyDescent="0.25">
      <c r="A11" s="223" t="str">
        <f>Zones!A23</f>
        <v xml:space="preserve">Laundry Area </v>
      </c>
      <c r="B11" s="148">
        <v>0.45</v>
      </c>
      <c r="C11" s="396" t="s">
        <v>88</v>
      </c>
      <c r="D11" s="555"/>
      <c r="E11" s="391">
        <v>0.7</v>
      </c>
      <c r="F11" s="350" t="s">
        <v>88</v>
      </c>
      <c r="G11" s="555"/>
      <c r="H11" s="37"/>
    </row>
    <row r="12" spans="1:8" ht="24.9" customHeight="1" x14ac:dyDescent="0.25">
      <c r="A12" s="223" t="str">
        <f>Zones!A39</f>
        <v>Parking Garage Area (Parking Zone and Ramps)</v>
      </c>
      <c r="B12" s="390">
        <f>(0.1*(Zones!J39-$B$16*$B$17)+1*$B$16*$B$17)/Zones!J39</f>
        <v>0.15109179320152302</v>
      </c>
      <c r="C12" s="396" t="s">
        <v>88</v>
      </c>
      <c r="D12" s="556"/>
      <c r="E12" s="390">
        <f>(0.14*(Zones!J39-$B$16*$B$17)+0.6*$B$16*$B$17)/Zones!J39</f>
        <v>0.16611358319188954</v>
      </c>
      <c r="F12" s="350" t="s">
        <v>88</v>
      </c>
      <c r="G12" s="556"/>
    </row>
    <row r="13" spans="1:8" ht="57" customHeight="1" x14ac:dyDescent="0.25">
      <c r="A13" s="223" t="str">
        <f>Zones!A13</f>
        <v>Residential Living Spaces</v>
      </c>
      <c r="B13" s="148">
        <v>0.79</v>
      </c>
      <c r="C13" s="396" t="s">
        <v>88</v>
      </c>
      <c r="D13" s="122" t="s">
        <v>465</v>
      </c>
      <c r="E13" s="148">
        <v>0.79</v>
      </c>
      <c r="F13" s="350" t="s">
        <v>88</v>
      </c>
      <c r="G13" s="122" t="s">
        <v>466</v>
      </c>
    </row>
    <row r="14" spans="1:8" ht="16.95" customHeight="1" x14ac:dyDescent="0.25">
      <c r="A14" s="8"/>
      <c r="B14" s="80"/>
      <c r="C14" s="70"/>
      <c r="D14" s="70"/>
      <c r="E14" s="80"/>
      <c r="G14" s="70"/>
    </row>
    <row r="15" spans="1:8" ht="16.95" customHeight="1" x14ac:dyDescent="0.25">
      <c r="A15" s="81" t="s">
        <v>467</v>
      </c>
      <c r="B15" s="82"/>
      <c r="C15" s="82"/>
      <c r="D15" s="82"/>
      <c r="E15" s="82"/>
      <c r="F15" s="83"/>
      <c r="G15" s="83"/>
    </row>
    <row r="16" spans="1:8" ht="13.2" customHeight="1" x14ac:dyDescent="0.25">
      <c r="A16" s="37" t="s">
        <v>468</v>
      </c>
      <c r="B16" s="461">
        <v>24</v>
      </c>
      <c r="C16" s="22"/>
      <c r="D16" s="22"/>
      <c r="E16" s="22"/>
    </row>
    <row r="17" spans="1:7" s="5" customFormat="1" ht="13.2" customHeight="1" x14ac:dyDescent="0.25">
      <c r="A17" s="462" t="s">
        <v>469</v>
      </c>
      <c r="B17" s="463">
        <v>66</v>
      </c>
      <c r="F17" s="338"/>
      <c r="G17" s="339"/>
    </row>
    <row r="18" spans="1:7" ht="39.6" x14ac:dyDescent="0.25">
      <c r="A18" s="348" t="s">
        <v>470</v>
      </c>
    </row>
    <row r="20" spans="1:7" ht="15.6" x14ac:dyDescent="0.3">
      <c r="A20" s="84"/>
      <c r="G20" s="84"/>
    </row>
    <row r="36" customFormat="1" ht="14.4" x14ac:dyDescent="0.3"/>
    <row r="37" customFormat="1" ht="14.4" x14ac:dyDescent="0.3"/>
    <row r="38" customFormat="1" ht="14.4" x14ac:dyDescent="0.3"/>
    <row r="39" customFormat="1" ht="14.4" x14ac:dyDescent="0.3"/>
    <row r="40" customFormat="1" ht="14.4" x14ac:dyDescent="0.3"/>
    <row r="41" customFormat="1" ht="14.4" x14ac:dyDescent="0.3"/>
    <row r="42" customFormat="1" ht="14.4" x14ac:dyDescent="0.3"/>
    <row r="43" customFormat="1" ht="14.4" x14ac:dyDescent="0.3"/>
    <row r="44" customFormat="1" ht="14.4" x14ac:dyDescent="0.3"/>
    <row r="45" customFormat="1" ht="14.4" x14ac:dyDescent="0.3"/>
    <row r="46" customFormat="1" ht="14.4" x14ac:dyDescent="0.3"/>
    <row r="47" customFormat="1" ht="14.4" x14ac:dyDescent="0.3"/>
    <row r="48" customFormat="1" ht="14.4" x14ac:dyDescent="0.3"/>
    <row r="49" customFormat="1" ht="14.4" x14ac:dyDescent="0.3"/>
    <row r="50" customFormat="1" ht="14.4" x14ac:dyDescent="0.3"/>
    <row r="51" customFormat="1" ht="14.4" x14ac:dyDescent="0.3"/>
    <row r="52" customFormat="1" ht="14.4" x14ac:dyDescent="0.3"/>
    <row r="53" customFormat="1" ht="14.4" x14ac:dyDescent="0.3"/>
    <row r="54" customFormat="1" ht="14.4" x14ac:dyDescent="0.3"/>
    <row r="55" customFormat="1" ht="14.4" x14ac:dyDescent="0.3"/>
    <row r="56" customFormat="1" ht="14.4" x14ac:dyDescent="0.3"/>
    <row r="57" customFormat="1" ht="14.4" x14ac:dyDescent="0.3"/>
    <row r="58" customFormat="1" ht="14.4" x14ac:dyDescent="0.3"/>
    <row r="59" customFormat="1" ht="14.4" x14ac:dyDescent="0.3"/>
    <row r="60" customFormat="1" ht="14.4" x14ac:dyDescent="0.3"/>
    <row r="61" customFormat="1" ht="14.4" x14ac:dyDescent="0.3"/>
    <row r="62" customFormat="1" ht="14.4" x14ac:dyDescent="0.3"/>
    <row r="63" customFormat="1" ht="14.4" x14ac:dyDescent="0.3"/>
    <row r="64" customFormat="1" ht="14.4" x14ac:dyDescent="0.3"/>
    <row r="65" customFormat="1" ht="14.4" x14ac:dyDescent="0.3"/>
    <row r="66" customFormat="1" ht="14.4" x14ac:dyDescent="0.3"/>
    <row r="67" customFormat="1" ht="14.4" x14ac:dyDescent="0.3"/>
    <row r="68" customFormat="1" ht="14.4" x14ac:dyDescent="0.3"/>
    <row r="69" customFormat="1" ht="14.4" x14ac:dyDescent="0.3"/>
    <row r="70" customFormat="1" ht="14.4" x14ac:dyDescent="0.3"/>
    <row r="71" customFormat="1" ht="14.4" x14ac:dyDescent="0.3"/>
    <row r="72" customFormat="1" ht="14.4" x14ac:dyDescent="0.3"/>
    <row r="73" customFormat="1" ht="14.4" x14ac:dyDescent="0.3"/>
    <row r="74" customFormat="1" ht="14.4" x14ac:dyDescent="0.3"/>
    <row r="75" customFormat="1" ht="14.4" x14ac:dyDescent="0.3"/>
    <row r="76" customFormat="1" ht="14.4" x14ac:dyDescent="0.3"/>
    <row r="77" customFormat="1" ht="14.4" x14ac:dyDescent="0.3"/>
    <row r="78" customFormat="1" ht="14.4"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sheetData>
  <mergeCells count="6">
    <mergeCell ref="E2:G2"/>
    <mergeCell ref="A1:G1"/>
    <mergeCell ref="A2:A3"/>
    <mergeCell ref="B2:D2"/>
    <mergeCell ref="G4:G12"/>
    <mergeCell ref="D4:D12"/>
  </mergeCells>
  <phoneticPr fontId="4"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3"/>
  <dimension ref="A1:K46"/>
  <sheetViews>
    <sheetView zoomScale="80" zoomScaleNormal="80" workbookViewId="0">
      <selection sqref="A1:D1"/>
    </sheetView>
  </sheetViews>
  <sheetFormatPr defaultColWidth="8.6640625" defaultRowHeight="12.75" customHeight="1" x14ac:dyDescent="0.25"/>
  <cols>
    <col min="1" max="1" width="28.5546875" style="3" customWidth="1"/>
    <col min="2" max="2" width="55.109375" style="3" customWidth="1"/>
    <col min="3" max="3" width="31.44140625" style="3" customWidth="1"/>
    <col min="4" max="4" width="41.88671875" style="3" customWidth="1"/>
    <col min="5" max="5" width="35.33203125" style="3" customWidth="1"/>
    <col min="6" max="6" width="39.6640625" style="3" customWidth="1"/>
    <col min="7" max="7" width="13.33203125" style="3" customWidth="1"/>
    <col min="8" max="8" width="10.5546875" style="3" bestFit="1" customWidth="1"/>
    <col min="9" max="9" width="16.33203125" style="3" customWidth="1"/>
    <col min="10" max="10" width="10.6640625" style="3" bestFit="1" customWidth="1"/>
    <col min="11" max="11" width="49.6640625" style="3" customWidth="1"/>
    <col min="12" max="16384" width="8.6640625" style="3"/>
  </cols>
  <sheetData>
    <row r="1" spans="1:11" ht="23.4" customHeight="1" x14ac:dyDescent="0.25">
      <c r="A1" s="561" t="str">
        <f>"Equipment - "&amp;Prototype!A2</f>
        <v xml:space="preserve">Equipment - ApartmentMidRise </v>
      </c>
      <c r="B1" s="561"/>
      <c r="C1" s="561"/>
      <c r="D1" s="561"/>
      <c r="E1" s="54"/>
    </row>
    <row r="2" spans="1:11" ht="21" customHeight="1" x14ac:dyDescent="0.25">
      <c r="A2" s="337" t="s">
        <v>192</v>
      </c>
      <c r="B2" s="337" t="s">
        <v>275</v>
      </c>
      <c r="C2" s="337" t="s">
        <v>471</v>
      </c>
      <c r="D2" s="337" t="s">
        <v>268</v>
      </c>
      <c r="E2" s="6"/>
    </row>
    <row r="3" spans="1:11" ht="15.75" customHeight="1" x14ac:dyDescent="0.3">
      <c r="A3" s="514" t="s">
        <v>472</v>
      </c>
      <c r="B3" s="334" t="str">
        <f>Zones!A3</f>
        <v>Convention, Conference, Multipurpose and Meeting Area</v>
      </c>
      <c r="C3" s="148">
        <v>1</v>
      </c>
      <c r="D3" s="537" t="s">
        <v>473</v>
      </c>
      <c r="E3"/>
      <c r="F3"/>
      <c r="G3"/>
    </row>
    <row r="4" spans="1:11" ht="16.95" customHeight="1" x14ac:dyDescent="0.3">
      <c r="A4" s="514"/>
      <c r="B4" s="334" t="str">
        <f>Zones!A4</f>
        <v>Corridor Area</v>
      </c>
      <c r="C4" s="148">
        <v>0</v>
      </c>
      <c r="D4" s="555"/>
      <c r="E4"/>
      <c r="F4"/>
      <c r="G4"/>
      <c r="H4" s="37"/>
    </row>
    <row r="5" spans="1:11" ht="16.95" customHeight="1" x14ac:dyDescent="0.3">
      <c r="A5" s="514"/>
      <c r="B5" s="334" t="str">
        <f>Zones!A5</f>
        <v>Exercise/Fitness Center and Gymnasium Areas</v>
      </c>
      <c r="C5" s="148">
        <v>0.5</v>
      </c>
      <c r="D5" s="555"/>
      <c r="E5"/>
      <c r="F5"/>
      <c r="G5"/>
      <c r="H5" s="37"/>
    </row>
    <row r="6" spans="1:11" ht="16.95" customHeight="1" x14ac:dyDescent="0.3">
      <c r="A6" s="514"/>
      <c r="B6" s="334" t="str">
        <f>Zones!A6</f>
        <v>Office Area (&gt;250 square feet)</v>
      </c>
      <c r="C6" s="148">
        <v>1.5</v>
      </c>
      <c r="D6" s="555"/>
      <c r="E6"/>
      <c r="F6"/>
      <c r="G6"/>
      <c r="H6" s="37"/>
    </row>
    <row r="7" spans="1:11" ht="17.25" customHeight="1" x14ac:dyDescent="0.3">
      <c r="A7" s="514"/>
      <c r="B7" s="334" t="str">
        <f>Zones!A7</f>
        <v>Lobby, Main Entry</v>
      </c>
      <c r="C7" s="148">
        <v>0.5</v>
      </c>
      <c r="D7" s="555"/>
      <c r="E7"/>
      <c r="F7"/>
      <c r="G7"/>
      <c r="H7" s="37"/>
    </row>
    <row r="8" spans="1:11" ht="16.95" customHeight="1" x14ac:dyDescent="0.3">
      <c r="A8" s="514"/>
      <c r="B8" s="334" t="str">
        <f>Zones!A8</f>
        <v>Electrical, Mechanical, Telephone Rooms</v>
      </c>
      <c r="C8" s="148">
        <v>3</v>
      </c>
      <c r="D8" s="555"/>
      <c r="E8"/>
      <c r="F8"/>
      <c r="G8"/>
      <c r="H8" s="37"/>
    </row>
    <row r="9" spans="1:11" ht="16.95" customHeight="1" x14ac:dyDescent="0.3">
      <c r="A9" s="514"/>
      <c r="B9" s="334" t="str">
        <f>Zones!A9</f>
        <v>Retail Sales Area (Retail Merchandise Sales)</v>
      </c>
      <c r="C9" s="391">
        <v>1</v>
      </c>
      <c r="D9" s="549"/>
      <c r="E9"/>
      <c r="F9"/>
      <c r="G9"/>
      <c r="H9" s="37"/>
    </row>
    <row r="10" spans="1:11" ht="16.95" customHeight="1" x14ac:dyDescent="0.3">
      <c r="A10" s="514"/>
      <c r="B10" s="334" t="str">
        <f>Zones!A23</f>
        <v xml:space="preserve">Laundry Area </v>
      </c>
      <c r="C10" s="148">
        <v>3</v>
      </c>
      <c r="D10" s="555"/>
      <c r="E10"/>
      <c r="F10"/>
      <c r="G10"/>
      <c r="H10" s="37"/>
    </row>
    <row r="11" spans="1:11" ht="16.95" customHeight="1" x14ac:dyDescent="0.3">
      <c r="A11" s="514"/>
      <c r="B11" s="328" t="str">
        <f>Zones!A39</f>
        <v>Parking Garage Area (Parking Zone and Ramps)</v>
      </c>
      <c r="C11" s="85">
        <v>0</v>
      </c>
      <c r="D11" s="556"/>
      <c r="E11"/>
      <c r="F11"/>
      <c r="G11"/>
    </row>
    <row r="12" spans="1:11" ht="16.95" customHeight="1" x14ac:dyDescent="0.3">
      <c r="A12" s="514"/>
      <c r="B12" s="567" t="str">
        <f>Zones!A34</f>
        <v>Residential Living Spaces</v>
      </c>
      <c r="C12" s="562">
        <v>0.5</v>
      </c>
      <c r="D12" s="564" t="s">
        <v>474</v>
      </c>
      <c r="E12"/>
      <c r="F12"/>
      <c r="G12"/>
    </row>
    <row r="13" spans="1:11" ht="16.95" customHeight="1" x14ac:dyDescent="0.3">
      <c r="A13" s="566"/>
      <c r="B13" s="568"/>
      <c r="C13" s="563"/>
      <c r="D13" s="565"/>
      <c r="E13"/>
      <c r="F13"/>
      <c r="G13"/>
    </row>
    <row r="14" spans="1:11" customFormat="1" ht="16.95" customHeight="1" x14ac:dyDescent="0.3"/>
    <row r="15" spans="1:11" ht="16.95" customHeight="1" x14ac:dyDescent="0.3">
      <c r="A15" s="6"/>
      <c r="B15" s="8"/>
      <c r="C15" s="80"/>
      <c r="D15" s="70"/>
      <c r="E15"/>
      <c r="F15"/>
      <c r="G15"/>
    </row>
    <row r="16" spans="1:11" ht="18" customHeight="1" x14ac:dyDescent="0.3">
      <c r="A16" s="557" t="s">
        <v>475</v>
      </c>
      <c r="B16" s="558"/>
      <c r="C16" s="558"/>
      <c r="D16" s="558"/>
      <c r="E16" s="558"/>
      <c r="F16" s="558"/>
      <c r="G16" s="558"/>
      <c r="H16" s="558"/>
      <c r="I16" s="558"/>
      <c r="J16" s="558"/>
      <c r="K16" s="558"/>
    </row>
    <row r="17" spans="1:11" ht="60.6" customHeight="1" x14ac:dyDescent="0.25">
      <c r="A17" s="282" t="s">
        <v>192</v>
      </c>
      <c r="B17" s="282" t="s">
        <v>476</v>
      </c>
      <c r="C17" s="282" t="s">
        <v>477</v>
      </c>
      <c r="D17" s="282" t="s">
        <v>478</v>
      </c>
      <c r="E17" s="282" t="s">
        <v>479</v>
      </c>
      <c r="F17" s="282" t="s">
        <v>480</v>
      </c>
      <c r="G17" s="282" t="s">
        <v>481</v>
      </c>
      <c r="H17" s="282" t="s">
        <v>482</v>
      </c>
      <c r="I17" s="282" t="s">
        <v>483</v>
      </c>
      <c r="J17" s="282" t="s">
        <v>484</v>
      </c>
      <c r="K17" s="282" t="s">
        <v>353</v>
      </c>
    </row>
    <row r="18" spans="1:11" ht="75.599999999999994" customHeight="1" x14ac:dyDescent="0.25">
      <c r="A18" s="465" t="s">
        <v>223</v>
      </c>
      <c r="B18" s="465" t="s">
        <v>485</v>
      </c>
      <c r="C18" s="465">
        <v>1</v>
      </c>
      <c r="D18" s="464">
        <v>1.1399999999999999</v>
      </c>
      <c r="E18" s="464">
        <v>0.33</v>
      </c>
      <c r="F18" s="465" t="s">
        <v>486</v>
      </c>
      <c r="G18" s="464">
        <f>ROUND(INDEX($C:$C,MATCH("Annual energy consumption of the elevator - Existing",$B:$B,0))/INDEX($C:$C,MATCH("Equivalent full load hours",$B:$B,0))*1000,2)</f>
        <v>9527.68</v>
      </c>
      <c r="H18" s="464">
        <f>ROUND(C18*INDEX($C:$C,MATCH("Cab fan airflow",$B:$B,0))*E18,2)</f>
        <v>82.5</v>
      </c>
      <c r="I18" s="464">
        <f>ROUND(C18*INDEX($C:$C,MATCH("Cab floor area",$B:$B,0))*D18,2)</f>
        <v>34.090000000000003</v>
      </c>
      <c r="J18" s="464">
        <f>ROUND(SUM(G18:I18),2)</f>
        <v>9644.27</v>
      </c>
      <c r="K18" s="465" t="s">
        <v>487</v>
      </c>
    </row>
    <row r="19" spans="1:11" ht="75.599999999999994" customHeight="1" x14ac:dyDescent="0.25">
      <c r="A19" s="465" t="s">
        <v>289</v>
      </c>
      <c r="B19" s="465" t="s">
        <v>488</v>
      </c>
      <c r="C19" s="465">
        <v>1</v>
      </c>
      <c r="D19" s="464">
        <v>0.6</v>
      </c>
      <c r="E19" s="464">
        <v>0.33</v>
      </c>
      <c r="F19" s="465" t="s">
        <v>489</v>
      </c>
      <c r="G19" s="464">
        <f>ROUND(INDEX($C:$C,MATCH("Annual energy consumption of the elevator - New Construction",$B:$B,0))/INDEX($C:$C,MATCH("Equivalent full load hours",$B:$B,0))*1000,2)</f>
        <v>5259.96</v>
      </c>
      <c r="H19" s="464">
        <f>ROUND(C19*INDEX($C:$C,MATCH("Cab fan airflow",$B:$B,0))*E19,2)</f>
        <v>82.5</v>
      </c>
      <c r="I19" s="464">
        <f>ROUND(C19*INDEX($C:$C,MATCH("Cab floor area",$B:$B,0))*D19,2)</f>
        <v>17.940000000000001</v>
      </c>
      <c r="J19" s="464">
        <f>ROUND(SUM(G19:I19),2)</f>
        <v>5360.4</v>
      </c>
      <c r="K19" s="465" t="s">
        <v>490</v>
      </c>
    </row>
    <row r="20" spans="1:11" ht="14.4" x14ac:dyDescent="0.3">
      <c r="A20"/>
      <c r="B20"/>
      <c r="C20"/>
      <c r="D20"/>
      <c r="E20"/>
      <c r="F20"/>
      <c r="G20"/>
      <c r="H20"/>
      <c r="I20"/>
      <c r="J20"/>
      <c r="K20"/>
    </row>
    <row r="21" spans="1:11" ht="14.4" x14ac:dyDescent="0.3">
      <c r="A21"/>
      <c r="B21"/>
      <c r="C21"/>
      <c r="D21"/>
      <c r="E21"/>
      <c r="F21"/>
      <c r="G21"/>
      <c r="H21"/>
      <c r="I21"/>
      <c r="J21"/>
      <c r="K21"/>
    </row>
    <row r="22" spans="1:11" ht="43.95" customHeight="1" x14ac:dyDescent="0.3">
      <c r="A22" s="559" t="s">
        <v>491</v>
      </c>
      <c r="B22" s="558"/>
      <c r="C22" s="558"/>
      <c r="D22" s="558"/>
      <c r="E22" s="558"/>
      <c r="F22"/>
      <c r="G22"/>
      <c r="H22"/>
      <c r="I22"/>
      <c r="J22"/>
      <c r="K22"/>
    </row>
    <row r="23" spans="1:11" ht="12.75" customHeight="1" x14ac:dyDescent="0.3">
      <c r="A23" s="282" t="s">
        <v>492</v>
      </c>
      <c r="B23" s="282" t="s">
        <v>493</v>
      </c>
      <c r="C23" s="282" t="s">
        <v>32</v>
      </c>
      <c r="D23" s="282" t="s">
        <v>494</v>
      </c>
      <c r="E23" s="282" t="s">
        <v>268</v>
      </c>
      <c r="F23"/>
      <c r="G23"/>
      <c r="H23"/>
      <c r="I23"/>
      <c r="J23"/>
      <c r="K23"/>
    </row>
    <row r="24" spans="1:11" ht="14.4" x14ac:dyDescent="0.3">
      <c r="A24" s="560" t="s">
        <v>488</v>
      </c>
      <c r="B24" s="465" t="s">
        <v>495</v>
      </c>
      <c r="C24" s="465">
        <v>19300.7</v>
      </c>
      <c r="D24" s="465" t="s">
        <v>496</v>
      </c>
      <c r="E24" s="465" t="s">
        <v>497</v>
      </c>
      <c r="F24"/>
      <c r="G24"/>
      <c r="H24"/>
      <c r="I24"/>
      <c r="J24"/>
      <c r="K24"/>
    </row>
    <row r="25" spans="1:11" ht="14.4" x14ac:dyDescent="0.3">
      <c r="A25" s="560"/>
      <c r="B25" s="465" t="s">
        <v>498</v>
      </c>
      <c r="C25" s="465">
        <v>10655.36</v>
      </c>
      <c r="D25" s="465" t="s">
        <v>496</v>
      </c>
      <c r="E25" s="465" t="s">
        <v>497</v>
      </c>
      <c r="F25"/>
      <c r="G25"/>
      <c r="H25"/>
      <c r="I25"/>
      <c r="J25"/>
      <c r="K25"/>
    </row>
    <row r="26" spans="1:11" ht="14.4" x14ac:dyDescent="0.3">
      <c r="A26" s="465" t="s">
        <v>499</v>
      </c>
      <c r="B26" s="465" t="s">
        <v>500</v>
      </c>
      <c r="C26" s="465" t="s">
        <v>501</v>
      </c>
      <c r="D26" s="465" t="s">
        <v>502</v>
      </c>
      <c r="E26" s="465" t="s">
        <v>503</v>
      </c>
      <c r="F26"/>
      <c r="G26"/>
      <c r="H26"/>
      <c r="I26"/>
      <c r="J26"/>
      <c r="K26"/>
    </row>
    <row r="27" spans="1:11" ht="14.4" x14ac:dyDescent="0.3">
      <c r="A27" s="465" t="s">
        <v>504</v>
      </c>
      <c r="B27" s="465" t="s">
        <v>505</v>
      </c>
      <c r="C27" s="465" t="s">
        <v>506</v>
      </c>
      <c r="D27" s="465" t="s">
        <v>502</v>
      </c>
      <c r="E27" s="465" t="s">
        <v>503</v>
      </c>
      <c r="F27"/>
      <c r="G27"/>
      <c r="H27"/>
      <c r="I27"/>
      <c r="J27"/>
      <c r="K27"/>
    </row>
    <row r="28" spans="1:11" ht="14.4" x14ac:dyDescent="0.3">
      <c r="A28" s="465" t="s">
        <v>507</v>
      </c>
      <c r="B28" s="465" t="s">
        <v>508</v>
      </c>
      <c r="C28" s="465">
        <v>1361</v>
      </c>
      <c r="D28" s="465" t="s">
        <v>509</v>
      </c>
      <c r="E28" s="465" t="s">
        <v>510</v>
      </c>
      <c r="F28"/>
      <c r="G28"/>
      <c r="H28"/>
      <c r="I28"/>
      <c r="J28"/>
      <c r="K28"/>
    </row>
    <row r="29" spans="1:11" ht="28.8" x14ac:dyDescent="0.3">
      <c r="A29" s="465" t="s">
        <v>511</v>
      </c>
      <c r="B29" s="465" t="s">
        <v>512</v>
      </c>
      <c r="C29" s="465">
        <v>29.9</v>
      </c>
      <c r="D29" s="465" t="s">
        <v>513</v>
      </c>
      <c r="E29" s="465" t="s">
        <v>514</v>
      </c>
      <c r="F29"/>
      <c r="G29"/>
      <c r="H29"/>
      <c r="I29"/>
      <c r="J29"/>
      <c r="K29"/>
    </row>
    <row r="30" spans="1:11" ht="28.8" x14ac:dyDescent="0.3">
      <c r="A30" s="465" t="s">
        <v>515</v>
      </c>
      <c r="B30" s="465" t="s">
        <v>516</v>
      </c>
      <c r="C30" s="465">
        <v>250</v>
      </c>
      <c r="D30" s="465" t="s">
        <v>517</v>
      </c>
      <c r="E30" s="465" t="s">
        <v>518</v>
      </c>
      <c r="F30"/>
      <c r="G30"/>
      <c r="H30"/>
      <c r="I30"/>
      <c r="J30"/>
      <c r="K30"/>
    </row>
    <row r="31" spans="1:11" ht="14.4" x14ac:dyDescent="0.3">
      <c r="A31" s="465" t="s">
        <v>519</v>
      </c>
      <c r="B31" s="465" t="s">
        <v>520</v>
      </c>
      <c r="C31" s="465">
        <v>3</v>
      </c>
      <c r="D31" s="465" t="s">
        <v>56</v>
      </c>
      <c r="E31" s="465" t="s">
        <v>521</v>
      </c>
      <c r="F31"/>
      <c r="G31"/>
      <c r="H31"/>
      <c r="I31"/>
      <c r="J31"/>
      <c r="K31"/>
    </row>
    <row r="32" spans="1:11" ht="14.4" x14ac:dyDescent="0.3">
      <c r="A32" s="465" t="s">
        <v>522</v>
      </c>
      <c r="B32" s="465" t="s">
        <v>523</v>
      </c>
      <c r="C32" s="465">
        <v>360</v>
      </c>
      <c r="D32" s="465" t="s">
        <v>524</v>
      </c>
      <c r="E32" s="465" t="s">
        <v>521</v>
      </c>
      <c r="F32"/>
      <c r="G32"/>
      <c r="H32"/>
      <c r="I32"/>
      <c r="J32"/>
      <c r="K32"/>
    </row>
    <row r="33" spans="1:11" ht="14.4" x14ac:dyDescent="0.3">
      <c r="A33" s="465" t="s">
        <v>525</v>
      </c>
      <c r="B33" s="465" t="s">
        <v>526</v>
      </c>
      <c r="C33" s="465">
        <v>5</v>
      </c>
      <c r="D33" s="465" t="s">
        <v>527</v>
      </c>
      <c r="E33" s="465" t="s">
        <v>528</v>
      </c>
      <c r="F33"/>
      <c r="G33"/>
      <c r="H33"/>
      <c r="I33"/>
      <c r="J33"/>
      <c r="K33"/>
    </row>
    <row r="34" spans="1:11" ht="14.4" x14ac:dyDescent="0.3">
      <c r="A34" s="465" t="s">
        <v>529</v>
      </c>
      <c r="B34" s="465" t="s">
        <v>530</v>
      </c>
      <c r="C34" s="465">
        <v>3.05</v>
      </c>
      <c r="D34" s="465" t="s">
        <v>531</v>
      </c>
      <c r="E34" s="465" t="s">
        <v>528</v>
      </c>
      <c r="F34"/>
      <c r="G34"/>
      <c r="H34"/>
      <c r="I34"/>
      <c r="J34"/>
      <c r="K34"/>
    </row>
    <row r="35" spans="1:11" ht="14.4" x14ac:dyDescent="0.3">
      <c r="A35" s="465" t="s">
        <v>532</v>
      </c>
      <c r="B35" s="465" t="s">
        <v>533</v>
      </c>
      <c r="C35" s="465">
        <v>1.6</v>
      </c>
      <c r="D35" s="465" t="s">
        <v>534</v>
      </c>
      <c r="E35" s="465" t="s">
        <v>521</v>
      </c>
      <c r="F35"/>
      <c r="G35"/>
      <c r="H35"/>
      <c r="I35"/>
      <c r="J35"/>
      <c r="K35"/>
    </row>
    <row r="36" spans="1:11" ht="14.4" x14ac:dyDescent="0.3">
      <c r="A36" s="465" t="s">
        <v>535</v>
      </c>
      <c r="B36" s="465" t="s">
        <v>536</v>
      </c>
      <c r="C36" s="465">
        <v>300</v>
      </c>
      <c r="D36" s="465" t="s">
        <v>537</v>
      </c>
      <c r="E36" s="465" t="s">
        <v>521</v>
      </c>
      <c r="F36"/>
      <c r="G36"/>
      <c r="H36"/>
      <c r="I36"/>
      <c r="J36"/>
      <c r="K36"/>
    </row>
    <row r="37" spans="1:11" ht="14.4" x14ac:dyDescent="0.3">
      <c r="A37" s="465" t="s">
        <v>538</v>
      </c>
      <c r="B37" s="465" t="s">
        <v>539</v>
      </c>
      <c r="C37" s="465">
        <v>0.49</v>
      </c>
      <c r="D37" s="465" t="s">
        <v>540</v>
      </c>
      <c r="E37" s="465" t="s">
        <v>541</v>
      </c>
      <c r="F37"/>
      <c r="G37"/>
      <c r="H37"/>
      <c r="I37"/>
      <c r="J37"/>
      <c r="K37"/>
    </row>
    <row r="38" spans="1:11" ht="14.4" x14ac:dyDescent="0.3">
      <c r="A38" s="465" t="s">
        <v>542</v>
      </c>
      <c r="B38" s="465" t="s">
        <v>543</v>
      </c>
      <c r="C38" s="465">
        <v>1</v>
      </c>
      <c r="D38" s="465" t="s">
        <v>544</v>
      </c>
      <c r="E38" s="465" t="s">
        <v>545</v>
      </c>
      <c r="F38"/>
      <c r="G38"/>
      <c r="H38"/>
      <c r="I38"/>
      <c r="J38"/>
      <c r="K38"/>
    </row>
    <row r="39" spans="1:11" ht="14.4" x14ac:dyDescent="0.3">
      <c r="A39" s="465" t="s">
        <v>546</v>
      </c>
      <c r="B39" s="465" t="s">
        <v>547</v>
      </c>
      <c r="C39" s="465">
        <v>1.25</v>
      </c>
      <c r="D39" s="465" t="s">
        <v>548</v>
      </c>
      <c r="E39" s="465" t="s">
        <v>545</v>
      </c>
      <c r="F39"/>
      <c r="G39"/>
      <c r="H39"/>
      <c r="I39"/>
      <c r="J39"/>
      <c r="K39"/>
    </row>
    <row r="40" spans="1:11" ht="14.4" x14ac:dyDescent="0.3">
      <c r="A40" s="465" t="s">
        <v>549</v>
      </c>
      <c r="B40" s="465" t="s">
        <v>550</v>
      </c>
      <c r="C40" s="465">
        <v>8</v>
      </c>
      <c r="D40" s="465" t="s">
        <v>551</v>
      </c>
      <c r="E40" s="465" t="s">
        <v>545</v>
      </c>
      <c r="F40"/>
      <c r="G40"/>
      <c r="H40"/>
      <c r="I40"/>
      <c r="J40"/>
      <c r="K40"/>
    </row>
    <row r="41" spans="1:11" ht="14.4" x14ac:dyDescent="0.3">
      <c r="A41" s="465" t="s">
        <v>552</v>
      </c>
      <c r="B41" s="465" t="s">
        <v>553</v>
      </c>
      <c r="C41" s="465">
        <v>7.47</v>
      </c>
      <c r="D41" s="465" t="s">
        <v>554</v>
      </c>
      <c r="E41" s="465" t="s">
        <v>555</v>
      </c>
      <c r="F41"/>
      <c r="G41"/>
      <c r="H41"/>
      <c r="I41"/>
      <c r="J41"/>
      <c r="K41"/>
    </row>
    <row r="42" spans="1:11" ht="14.4" x14ac:dyDescent="0.3">
      <c r="A42" s="465" t="s">
        <v>556</v>
      </c>
      <c r="B42" s="465" t="s">
        <v>557</v>
      </c>
      <c r="C42" s="465">
        <v>15.07</v>
      </c>
      <c r="D42" s="465" t="s">
        <v>558</v>
      </c>
      <c r="E42" s="465" t="s">
        <v>559</v>
      </c>
      <c r="F42"/>
      <c r="G42"/>
      <c r="H42"/>
      <c r="I42"/>
      <c r="J42"/>
      <c r="K42"/>
    </row>
    <row r="43" spans="1:11" ht="14.4" x14ac:dyDescent="0.3">
      <c r="A43" s="465" t="s">
        <v>560</v>
      </c>
      <c r="B43" s="465" t="s">
        <v>561</v>
      </c>
      <c r="C43" s="465">
        <v>22.74</v>
      </c>
      <c r="D43" s="465" t="s">
        <v>562</v>
      </c>
      <c r="E43" s="465" t="s">
        <v>563</v>
      </c>
      <c r="F43"/>
      <c r="G43"/>
      <c r="H43"/>
      <c r="I43"/>
      <c r="J43"/>
      <c r="K43"/>
    </row>
    <row r="44" spans="1:11" ht="14.4" x14ac:dyDescent="0.3">
      <c r="A44" s="465" t="s">
        <v>564</v>
      </c>
      <c r="B44" s="465" t="s">
        <v>565</v>
      </c>
      <c r="C44" s="465">
        <v>8307.89</v>
      </c>
      <c r="D44" s="465" t="s">
        <v>566</v>
      </c>
      <c r="E44" s="465" t="s">
        <v>567</v>
      </c>
      <c r="F44"/>
      <c r="G44"/>
      <c r="H44"/>
      <c r="I44"/>
      <c r="J44"/>
      <c r="K44"/>
    </row>
    <row r="45" spans="1:11" ht="14.4" x14ac:dyDescent="0.3">
      <c r="A45" s="465" t="s">
        <v>568</v>
      </c>
      <c r="B45" s="465" t="s">
        <v>568</v>
      </c>
      <c r="C45" s="465">
        <v>40</v>
      </c>
      <c r="D45" s="465" t="s">
        <v>569</v>
      </c>
      <c r="E45" s="465" t="s">
        <v>570</v>
      </c>
      <c r="F45"/>
      <c r="G45"/>
      <c r="H45"/>
      <c r="I45"/>
      <c r="J45"/>
      <c r="K45"/>
    </row>
    <row r="46" spans="1:11" ht="14.4" x14ac:dyDescent="0.3">
      <c r="A46" s="465" t="s">
        <v>571</v>
      </c>
      <c r="B46" s="465" t="s">
        <v>572</v>
      </c>
      <c r="C46" s="466">
        <f>Schedules!AD94</f>
        <v>2025.75</v>
      </c>
      <c r="D46" s="465" t="s">
        <v>573</v>
      </c>
      <c r="E46" s="465" t="s">
        <v>574</v>
      </c>
      <c r="F46"/>
      <c r="G46"/>
      <c r="H46"/>
      <c r="I46"/>
      <c r="J46"/>
      <c r="K46"/>
    </row>
  </sheetData>
  <mergeCells count="9">
    <mergeCell ref="A16:K16"/>
    <mergeCell ref="A22:E22"/>
    <mergeCell ref="A24:A25"/>
    <mergeCell ref="A1:D1"/>
    <mergeCell ref="C12:C13"/>
    <mergeCell ref="D12:D13"/>
    <mergeCell ref="D3:D11"/>
    <mergeCell ref="A3:A13"/>
    <mergeCell ref="B12:B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60"/>
  <sheetViews>
    <sheetView zoomScaleNormal="100" workbookViewId="0">
      <selection sqref="A1:D1"/>
    </sheetView>
  </sheetViews>
  <sheetFormatPr defaultColWidth="8.6640625" defaultRowHeight="13.2" x14ac:dyDescent="0.25"/>
  <cols>
    <col min="1" max="1" width="35.6640625" style="3" customWidth="1"/>
    <col min="2" max="2" width="41.6640625" style="3" customWidth="1"/>
    <col min="3" max="3" width="17.88671875" style="3" customWidth="1"/>
    <col min="4" max="4" width="34.33203125" style="3" customWidth="1"/>
    <col min="5" max="5" width="31.33203125" style="3" customWidth="1"/>
    <col min="6" max="6" width="19.33203125" style="3" customWidth="1"/>
    <col min="7" max="7" width="21.33203125" style="3" customWidth="1"/>
    <col min="8" max="8" width="15.5546875" style="3" customWidth="1"/>
    <col min="9" max="9" width="13.33203125" style="3" customWidth="1"/>
    <col min="10" max="16384" width="8.6640625" style="3"/>
  </cols>
  <sheetData>
    <row r="1" spans="1:7" ht="25.2" customHeight="1" x14ac:dyDescent="0.25">
      <c r="A1" s="572" t="str">
        <f>"Exterior Lighting - "&amp;Prototype!A2</f>
        <v xml:space="preserve">Exterior Lighting - ApartmentMidRise </v>
      </c>
      <c r="B1" s="572"/>
      <c r="C1" s="572"/>
      <c r="D1" s="572"/>
    </row>
    <row r="2" spans="1:7" ht="37.200000000000003" customHeight="1" x14ac:dyDescent="0.25">
      <c r="A2" s="39" t="s">
        <v>575</v>
      </c>
      <c r="B2" s="39" t="s">
        <v>576</v>
      </c>
      <c r="C2" s="39" t="s">
        <v>577</v>
      </c>
      <c r="D2" s="39" t="s">
        <v>268</v>
      </c>
    </row>
    <row r="3" spans="1:7" ht="50.25" customHeight="1" x14ac:dyDescent="0.25">
      <c r="A3" s="40">
        <f>G16</f>
        <v>2259.9691335111111</v>
      </c>
      <c r="B3" s="40">
        <f>G17</f>
        <v>1367.7096320000001</v>
      </c>
      <c r="C3" s="40">
        <f>B3+A3</f>
        <v>3627.6787655111111</v>
      </c>
      <c r="D3" s="328" t="s">
        <v>578</v>
      </c>
    </row>
    <row r="4" spans="1:7" ht="22.2" customHeight="1" x14ac:dyDescent="0.25">
      <c r="A4" s="52"/>
      <c r="B4" s="52"/>
      <c r="C4" s="52"/>
      <c r="D4" s="52"/>
    </row>
    <row r="5" spans="1:7" ht="15.6" customHeight="1" x14ac:dyDescent="0.25">
      <c r="A5" s="86"/>
      <c r="B5" s="86"/>
      <c r="C5" s="86"/>
      <c r="D5" s="86"/>
      <c r="E5" s="86"/>
    </row>
    <row r="6" spans="1:7" ht="15.6" customHeight="1" x14ac:dyDescent="0.25">
      <c r="A6" s="87"/>
      <c r="B6" s="87"/>
      <c r="C6" s="87"/>
      <c r="D6" s="87"/>
      <c r="E6" s="88"/>
    </row>
    <row r="7" spans="1:7" ht="15.6" customHeight="1" x14ac:dyDescent="0.25"/>
    <row r="8" spans="1:7" ht="15.6" x14ac:dyDescent="0.25">
      <c r="A8" s="572" t="str">
        <f xml:space="preserve"> "Exterior Lighting - "&amp; Prototype!A2</f>
        <v xml:space="preserve">Exterior Lighting - ApartmentMidRise </v>
      </c>
      <c r="B8" s="572"/>
      <c r="C8" s="572"/>
      <c r="D8" s="572"/>
      <c r="E8" s="572"/>
      <c r="F8" s="572"/>
      <c r="G8" s="572"/>
    </row>
    <row r="9" spans="1:7" ht="39.6" x14ac:dyDescent="0.25">
      <c r="A9" s="89" t="s">
        <v>579</v>
      </c>
      <c r="B9" s="573" t="s">
        <v>580</v>
      </c>
      <c r="C9" s="574"/>
      <c r="D9" s="90" t="s">
        <v>581</v>
      </c>
      <c r="E9" s="90" t="s">
        <v>582</v>
      </c>
      <c r="F9" s="90" t="s">
        <v>581</v>
      </c>
      <c r="G9" s="90" t="s">
        <v>583</v>
      </c>
    </row>
    <row r="10" spans="1:7" ht="24" customHeight="1" x14ac:dyDescent="0.25">
      <c r="A10" s="14" t="s">
        <v>584</v>
      </c>
      <c r="B10" s="14"/>
      <c r="C10" s="91"/>
      <c r="D10" s="329"/>
      <c r="E10" s="329">
        <v>200</v>
      </c>
      <c r="F10" s="329" t="s">
        <v>585</v>
      </c>
      <c r="G10" s="92">
        <f>$E10</f>
        <v>200</v>
      </c>
    </row>
    <row r="11" spans="1:7" ht="52.8" x14ac:dyDescent="0.25">
      <c r="A11" s="15" t="s">
        <v>586</v>
      </c>
      <c r="B11" s="15" t="s">
        <v>587</v>
      </c>
      <c r="C11" s="107">
        <f>400*B25*1.5+B23/B24/360*400</f>
        <v>84136.391111111108</v>
      </c>
      <c r="D11" s="329" t="s">
        <v>588</v>
      </c>
      <c r="E11" s="329">
        <v>1.9E-2</v>
      </c>
      <c r="F11" s="329" t="s">
        <v>589</v>
      </c>
      <c r="G11" s="92">
        <f>$E11*C11</f>
        <v>1598.591431111111</v>
      </c>
    </row>
    <row r="12" spans="1:7" ht="28.5" customHeight="1" x14ac:dyDescent="0.25">
      <c r="A12" s="14" t="s">
        <v>590</v>
      </c>
      <c r="B12" s="467" t="s">
        <v>591</v>
      </c>
      <c r="C12" s="468">
        <v>5</v>
      </c>
      <c r="D12" s="329" t="s">
        <v>592</v>
      </c>
      <c r="E12" s="329">
        <v>15</v>
      </c>
      <c r="F12" s="329" t="s">
        <v>593</v>
      </c>
      <c r="G12" s="92">
        <f>E12*C12</f>
        <v>75</v>
      </c>
    </row>
    <row r="13" spans="1:7" ht="26.4" x14ac:dyDescent="0.25">
      <c r="A13" s="14" t="s">
        <v>594</v>
      </c>
      <c r="B13" s="93" t="s">
        <v>595</v>
      </c>
      <c r="C13" s="94">
        <f>B23*0.1</f>
        <v>14101.376000000002</v>
      </c>
      <c r="D13" s="329" t="s">
        <v>588</v>
      </c>
      <c r="E13" s="329">
        <v>7.0000000000000001E-3</v>
      </c>
      <c r="F13" s="329" t="s">
        <v>589</v>
      </c>
      <c r="G13" s="95">
        <f>E13*C13</f>
        <v>98.709632000000013</v>
      </c>
    </row>
    <row r="14" spans="1:7" ht="94.5" customHeight="1" x14ac:dyDescent="0.25">
      <c r="A14" s="14" t="s">
        <v>596</v>
      </c>
      <c r="B14" s="93" t="s">
        <v>597</v>
      </c>
      <c r="C14" s="94">
        <f>B22*0.5*30</f>
        <v>12690</v>
      </c>
      <c r="D14" s="329" t="s">
        <v>588</v>
      </c>
      <c r="E14" s="329">
        <v>0.1</v>
      </c>
      <c r="F14" s="329" t="s">
        <v>589</v>
      </c>
      <c r="G14" s="95">
        <f>E14*C14</f>
        <v>1269</v>
      </c>
    </row>
    <row r="15" spans="1:7" ht="39.6" x14ac:dyDescent="0.25">
      <c r="A15" s="469" t="s">
        <v>598</v>
      </c>
      <c r="B15" s="470" t="s">
        <v>599</v>
      </c>
      <c r="C15" s="96">
        <f>(B23/B24)*0.1</f>
        <v>2820.2752</v>
      </c>
      <c r="D15" s="227" t="s">
        <v>588</v>
      </c>
      <c r="E15" s="227">
        <v>0.13700000000000001</v>
      </c>
      <c r="F15" s="227" t="s">
        <v>589</v>
      </c>
      <c r="G15" s="95">
        <f>E15*C15</f>
        <v>386.37770240000003</v>
      </c>
    </row>
    <row r="16" spans="1:7" x14ac:dyDescent="0.25">
      <c r="A16" s="569" t="s">
        <v>600</v>
      </c>
      <c r="B16" s="569"/>
      <c r="C16" s="569"/>
      <c r="D16" s="569"/>
      <c r="E16" s="569"/>
      <c r="F16" s="569"/>
      <c r="G16" s="97">
        <f>G11+G10+G15+G12</f>
        <v>2259.9691335111111</v>
      </c>
    </row>
    <row r="17" spans="1:7" customFormat="1" ht="14.4" x14ac:dyDescent="0.3">
      <c r="A17" s="569" t="s">
        <v>601</v>
      </c>
      <c r="B17" s="569"/>
      <c r="C17" s="569"/>
      <c r="D17" s="569"/>
      <c r="E17" s="569"/>
      <c r="F17" s="569"/>
      <c r="G17" s="97">
        <f>G13+G14</f>
        <v>1367.7096320000001</v>
      </c>
    </row>
    <row r="18" spans="1:7" x14ac:dyDescent="0.25">
      <c r="A18" s="569" t="s">
        <v>379</v>
      </c>
      <c r="B18" s="569"/>
      <c r="C18" s="569"/>
      <c r="D18" s="569"/>
      <c r="E18" s="569"/>
      <c r="F18" s="569"/>
      <c r="G18" s="97">
        <f>G16+G17</f>
        <v>3627.6787655111111</v>
      </c>
    </row>
    <row r="19" spans="1:7" ht="14.4" x14ac:dyDescent="0.25">
      <c r="A19" s="98"/>
      <c r="B19" s="98"/>
      <c r="C19" s="98"/>
      <c r="D19" s="98"/>
      <c r="E19" s="98"/>
      <c r="F19" s="98"/>
      <c r="G19" s="99"/>
    </row>
    <row r="20" spans="1:7" ht="14.4" x14ac:dyDescent="0.3">
      <c r="C20" s="4"/>
      <c r="D20" s="100"/>
      <c r="F20" s="101"/>
    </row>
    <row r="21" spans="1:7" ht="14.4" x14ac:dyDescent="0.3">
      <c r="C21" s="4"/>
      <c r="D21" s="100"/>
      <c r="F21" s="101"/>
    </row>
    <row r="22" spans="1:7" ht="14.4" x14ac:dyDescent="0.3">
      <c r="A22" s="3" t="s">
        <v>602</v>
      </c>
      <c r="B22" s="326">
        <f>(180+155)*2+(88*2)</f>
        <v>846</v>
      </c>
      <c r="C22" s="4"/>
      <c r="D22" s="100"/>
      <c r="F22" s="101"/>
    </row>
    <row r="23" spans="1:7" ht="14.4" x14ac:dyDescent="0.3">
      <c r="A23" s="3" t="s">
        <v>603</v>
      </c>
      <c r="B23" s="102">
        <f>Zones!J40</f>
        <v>141013.76000000001</v>
      </c>
      <c r="D23" s="100"/>
      <c r="F23" s="101"/>
    </row>
    <row r="24" spans="1:7" ht="14.4" x14ac:dyDescent="0.3">
      <c r="A24" s="3" t="s">
        <v>604</v>
      </c>
      <c r="B24" s="326">
        <v>5</v>
      </c>
      <c r="D24" s="100"/>
      <c r="F24" s="101"/>
    </row>
    <row r="25" spans="1:7" ht="14.4" x14ac:dyDescent="0.3">
      <c r="A25" s="3" t="s">
        <v>63</v>
      </c>
      <c r="B25" s="326">
        <v>88</v>
      </c>
      <c r="D25" s="100"/>
      <c r="F25" s="101"/>
    </row>
    <row r="26" spans="1:7" ht="14.4" x14ac:dyDescent="0.3">
      <c r="A26"/>
      <c r="B26"/>
      <c r="D26" s="100"/>
      <c r="F26" s="101"/>
    </row>
    <row r="28" spans="1:7" s="24" customFormat="1" hidden="1" x14ac:dyDescent="0.25">
      <c r="A28" s="24" t="s">
        <v>187</v>
      </c>
      <c r="F28" s="25"/>
      <c r="G28" s="26"/>
    </row>
    <row r="29" spans="1:7" hidden="1" x14ac:dyDescent="0.25"/>
    <row r="30" spans="1:7" hidden="1" x14ac:dyDescent="0.25"/>
    <row r="31" spans="1:7" hidden="1" x14ac:dyDescent="0.25">
      <c r="A31" s="103" t="s">
        <v>605</v>
      </c>
    </row>
    <row r="32" spans="1:7" hidden="1" x14ac:dyDescent="0.25">
      <c r="A32" s="570" t="s">
        <v>606</v>
      </c>
      <c r="B32" s="571"/>
    </row>
    <row r="33" spans="1:3" hidden="1" x14ac:dyDescent="0.25">
      <c r="A33" s="104" t="s">
        <v>607</v>
      </c>
      <c r="B33" s="105" t="s">
        <v>608</v>
      </c>
    </row>
    <row r="34" spans="1:3" hidden="1" x14ac:dyDescent="0.25">
      <c r="A34" s="106">
        <v>9571</v>
      </c>
      <c r="B34" s="106" t="s">
        <v>609</v>
      </c>
    </row>
    <row r="35" spans="1:3" hidden="1" x14ac:dyDescent="0.25">
      <c r="A35" s="4"/>
      <c r="B35" s="4"/>
    </row>
    <row r="36" spans="1:3" hidden="1" x14ac:dyDescent="0.25">
      <c r="B36" s="4"/>
      <c r="C36" s="4"/>
    </row>
    <row r="37" spans="1:3" hidden="1" x14ac:dyDescent="0.25"/>
    <row r="38" spans="1:3" hidden="1" x14ac:dyDescent="0.25"/>
    <row r="39" spans="1:3" hidden="1" x14ac:dyDescent="0.25">
      <c r="A39" s="5" t="s">
        <v>610</v>
      </c>
    </row>
    <row r="40" spans="1:3" hidden="1" x14ac:dyDescent="0.25"/>
    <row r="41" spans="1:3" hidden="1" x14ac:dyDescent="0.25"/>
    <row r="42" spans="1:3" hidden="1" x14ac:dyDescent="0.25"/>
    <row r="43" spans="1:3" hidden="1" x14ac:dyDescent="0.25"/>
    <row r="44" spans="1:3" hidden="1" x14ac:dyDescent="0.25"/>
    <row r="45" spans="1:3" hidden="1" x14ac:dyDescent="0.25"/>
    <row r="46" spans="1:3" hidden="1" x14ac:dyDescent="0.25"/>
    <row r="47" spans="1:3" hidden="1" x14ac:dyDescent="0.25"/>
    <row r="48" spans="1:3"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sheetData>
  <mergeCells count="7">
    <mergeCell ref="A17:F17"/>
    <mergeCell ref="A18:F18"/>
    <mergeCell ref="A32:B32"/>
    <mergeCell ref="A1:D1"/>
    <mergeCell ref="A8:G8"/>
    <mergeCell ref="B9:C9"/>
    <mergeCell ref="A16:F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8"/>
  <dimension ref="A1:J2"/>
  <sheetViews>
    <sheetView workbookViewId="0">
      <selection activeCell="A2" sqref="A2"/>
    </sheetView>
  </sheetViews>
  <sheetFormatPr defaultRowHeight="14.4" x14ac:dyDescent="0.3"/>
  <sheetData>
    <row r="1" spans="1:10" ht="15.6" customHeight="1" x14ac:dyDescent="0.3">
      <c r="A1" s="575" t="str">
        <f>"PV - "&amp;Prototype!A2</f>
        <v xml:space="preserve">PV - ApartmentMidRise </v>
      </c>
      <c r="B1" s="575"/>
      <c r="C1" s="575"/>
      <c r="D1" s="575"/>
      <c r="E1" s="575"/>
      <c r="F1" s="575"/>
      <c r="G1" s="575"/>
      <c r="H1" s="575"/>
      <c r="I1" s="575"/>
      <c r="J1" s="575"/>
    </row>
    <row r="2" spans="1:10" x14ac:dyDescent="0.3">
      <c r="A2" t="s">
        <v>611</v>
      </c>
    </row>
  </sheetData>
  <mergeCells count="1">
    <mergeCell ref="A1:J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x14ac:dyDescent="0.25"/>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15.6" x14ac:dyDescent="0.25">
      <c r="A1" s="536" t="str">
        <f>"EV Charger - "&amp;Prototype!A2</f>
        <v xml:space="preserve">EV Charger - ApartmentMidRise </v>
      </c>
      <c r="B1" s="536"/>
      <c r="C1" s="536"/>
      <c r="D1" s="536"/>
      <c r="E1" s="536"/>
      <c r="F1" s="536"/>
      <c r="G1" s="536"/>
      <c r="H1" s="536"/>
    </row>
    <row r="2" spans="1:8" x14ac:dyDescent="0.25">
      <c r="A2" s="3" t="s">
        <v>611</v>
      </c>
      <c r="B2" s="47"/>
      <c r="C2" s="48"/>
      <c r="D2" s="49"/>
      <c r="E2" s="49"/>
    </row>
    <row r="3" spans="1:8" x14ac:dyDescent="0.25">
      <c r="A3" s="471"/>
      <c r="B3" s="472"/>
      <c r="C3" s="326"/>
      <c r="D3" s="50"/>
      <c r="E3" s="50"/>
    </row>
    <row r="11" spans="1:8" s="24" customFormat="1" hidden="1" x14ac:dyDescent="0.25">
      <c r="A11" s="24" t="s">
        <v>187</v>
      </c>
      <c r="E11" s="25"/>
      <c r="F11" s="26"/>
      <c r="G11" s="27"/>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909D2-E09E-457A-A8F8-583A51E09AF7}">
  <sheetPr codeName="Sheet11"/>
  <dimension ref="A1:G83"/>
  <sheetViews>
    <sheetView workbookViewId="0"/>
  </sheetViews>
  <sheetFormatPr defaultRowHeight="14.4" x14ac:dyDescent="0.3"/>
  <cols>
    <col min="1" max="1" width="58.6640625" customWidth="1"/>
    <col min="2" max="2" width="30.88671875" customWidth="1"/>
    <col min="3" max="3" width="30.33203125" customWidth="1"/>
  </cols>
  <sheetData>
    <row r="1" spans="1:7" x14ac:dyDescent="0.3">
      <c r="A1" t="s">
        <v>612</v>
      </c>
      <c r="B1" t="s">
        <v>613</v>
      </c>
      <c r="C1" t="s">
        <v>613</v>
      </c>
      <c r="D1" s="576" t="s">
        <v>614</v>
      </c>
      <c r="E1" s="576"/>
      <c r="F1" s="576"/>
      <c r="G1" s="576"/>
    </row>
    <row r="2" spans="1:7" x14ac:dyDescent="0.3">
      <c r="A2" s="255" t="s">
        <v>615</v>
      </c>
      <c r="D2">
        <v>2013</v>
      </c>
      <c r="E2">
        <v>2016</v>
      </c>
      <c r="F2">
        <v>2019</v>
      </c>
      <c r="G2">
        <v>2025</v>
      </c>
    </row>
    <row r="3" spans="1:7" x14ac:dyDescent="0.3">
      <c r="A3" s="255" t="s">
        <v>616</v>
      </c>
    </row>
    <row r="4" spans="1:7" x14ac:dyDescent="0.3">
      <c r="A4" t="s">
        <v>617</v>
      </c>
    </row>
    <row r="5" spans="1:7" x14ac:dyDescent="0.3">
      <c r="A5" t="s">
        <v>618</v>
      </c>
    </row>
    <row r="6" spans="1:7" x14ac:dyDescent="0.3">
      <c r="A6" t="s">
        <v>619</v>
      </c>
    </row>
    <row r="7" spans="1:7" x14ac:dyDescent="0.3">
      <c r="A7" t="s">
        <v>620</v>
      </c>
    </row>
    <row r="8" spans="1:7" x14ac:dyDescent="0.3">
      <c r="A8" t="s">
        <v>621</v>
      </c>
    </row>
    <row r="9" spans="1:7" x14ac:dyDescent="0.3">
      <c r="A9" t="s">
        <v>622</v>
      </c>
    </row>
    <row r="10" spans="1:7" x14ac:dyDescent="0.3">
      <c r="A10" t="s">
        <v>623</v>
      </c>
    </row>
    <row r="11" spans="1:7" x14ac:dyDescent="0.3">
      <c r="A11" t="s">
        <v>624</v>
      </c>
    </row>
    <row r="12" spans="1:7" x14ac:dyDescent="0.3">
      <c r="A12" t="s">
        <v>625</v>
      </c>
    </row>
    <row r="13" spans="1:7" x14ac:dyDescent="0.3">
      <c r="A13" t="s">
        <v>626</v>
      </c>
    </row>
    <row r="14" spans="1:7" x14ac:dyDescent="0.3">
      <c r="A14" t="s">
        <v>627</v>
      </c>
    </row>
    <row r="15" spans="1:7" x14ac:dyDescent="0.3">
      <c r="A15" t="s">
        <v>628</v>
      </c>
    </row>
    <row r="16" spans="1:7" x14ac:dyDescent="0.3">
      <c r="A16" t="s">
        <v>629</v>
      </c>
    </row>
    <row r="17" spans="1:1" x14ac:dyDescent="0.3">
      <c r="A17" t="s">
        <v>84</v>
      </c>
    </row>
    <row r="18" spans="1:1" x14ac:dyDescent="0.3">
      <c r="A18" t="s">
        <v>630</v>
      </c>
    </row>
    <row r="19" spans="1:1" x14ac:dyDescent="0.3">
      <c r="A19" t="s">
        <v>92</v>
      </c>
    </row>
    <row r="20" spans="1:1" x14ac:dyDescent="0.3">
      <c r="A20" t="s">
        <v>631</v>
      </c>
    </row>
    <row r="21" spans="1:1" x14ac:dyDescent="0.3">
      <c r="A21" t="s">
        <v>632</v>
      </c>
    </row>
    <row r="22" spans="1:1" x14ac:dyDescent="0.3">
      <c r="A22" t="s">
        <v>633</v>
      </c>
    </row>
    <row r="23" spans="1:1" x14ac:dyDescent="0.3">
      <c r="A23" t="s">
        <v>104</v>
      </c>
    </row>
    <row r="24" spans="1:1" x14ac:dyDescent="0.3">
      <c r="A24" t="s">
        <v>95</v>
      </c>
    </row>
    <row r="25" spans="1:1" x14ac:dyDescent="0.3">
      <c r="A25" t="s">
        <v>634</v>
      </c>
    </row>
    <row r="26" spans="1:1" x14ac:dyDescent="0.3">
      <c r="A26" t="s">
        <v>635</v>
      </c>
    </row>
    <row r="27" spans="1:1" x14ac:dyDescent="0.3">
      <c r="A27" t="s">
        <v>636</v>
      </c>
    </row>
    <row r="28" spans="1:1" x14ac:dyDescent="0.3">
      <c r="A28" t="s">
        <v>637</v>
      </c>
    </row>
    <row r="29" spans="1:1" x14ac:dyDescent="0.3">
      <c r="A29" t="s">
        <v>638</v>
      </c>
    </row>
    <row r="30" spans="1:1" x14ac:dyDescent="0.3">
      <c r="A30" t="s">
        <v>639</v>
      </c>
    </row>
    <row r="31" spans="1:1" x14ac:dyDescent="0.3">
      <c r="A31" t="s">
        <v>640</v>
      </c>
    </row>
    <row r="32" spans="1:1" x14ac:dyDescent="0.3">
      <c r="A32" t="s">
        <v>641</v>
      </c>
    </row>
    <row r="33" spans="1:1" x14ac:dyDescent="0.3">
      <c r="A33" t="s">
        <v>642</v>
      </c>
    </row>
    <row r="34" spans="1:1" x14ac:dyDescent="0.3">
      <c r="A34" t="s">
        <v>643</v>
      </c>
    </row>
    <row r="35" spans="1:1" x14ac:dyDescent="0.3">
      <c r="A35" t="s">
        <v>644</v>
      </c>
    </row>
    <row r="36" spans="1:1" x14ac:dyDescent="0.3">
      <c r="A36" t="s">
        <v>645</v>
      </c>
    </row>
    <row r="37" spans="1:1" x14ac:dyDescent="0.3">
      <c r="A37" t="s">
        <v>646</v>
      </c>
    </row>
    <row r="38" spans="1:1" x14ac:dyDescent="0.3">
      <c r="A38" t="s">
        <v>647</v>
      </c>
    </row>
    <row r="39" spans="1:1" x14ac:dyDescent="0.3">
      <c r="A39" t="s">
        <v>143</v>
      </c>
    </row>
    <row r="40" spans="1:1" x14ac:dyDescent="0.3">
      <c r="A40" t="s">
        <v>648</v>
      </c>
    </row>
    <row r="41" spans="1:1" x14ac:dyDescent="0.3">
      <c r="A41" t="s">
        <v>649</v>
      </c>
    </row>
    <row r="42" spans="1:1" x14ac:dyDescent="0.3">
      <c r="A42" t="s">
        <v>101</v>
      </c>
    </row>
    <row r="43" spans="1:1" x14ac:dyDescent="0.3">
      <c r="A43" t="s">
        <v>650</v>
      </c>
    </row>
    <row r="44" spans="1:1" x14ac:dyDescent="0.3">
      <c r="A44" t="s">
        <v>651</v>
      </c>
    </row>
    <row r="45" spans="1:1" x14ac:dyDescent="0.3">
      <c r="A45" t="s">
        <v>652</v>
      </c>
    </row>
    <row r="46" spans="1:1" x14ac:dyDescent="0.3">
      <c r="A46" t="s">
        <v>653</v>
      </c>
    </row>
    <row r="47" spans="1:1" x14ac:dyDescent="0.3">
      <c r="A47" t="s">
        <v>654</v>
      </c>
    </row>
    <row r="48" spans="1:1" x14ac:dyDescent="0.3">
      <c r="A48" t="s">
        <v>655</v>
      </c>
    </row>
    <row r="49" spans="1:1" x14ac:dyDescent="0.3">
      <c r="A49" t="s">
        <v>656</v>
      </c>
    </row>
    <row r="50" spans="1:1" x14ac:dyDescent="0.3">
      <c r="A50" t="s">
        <v>98</v>
      </c>
    </row>
    <row r="51" spans="1:1" x14ac:dyDescent="0.3">
      <c r="A51" t="s">
        <v>657</v>
      </c>
    </row>
    <row r="52" spans="1:1" x14ac:dyDescent="0.3">
      <c r="A52" t="s">
        <v>177</v>
      </c>
    </row>
    <row r="53" spans="1:1" x14ac:dyDescent="0.3">
      <c r="A53" t="s">
        <v>658</v>
      </c>
    </row>
    <row r="54" spans="1:1" x14ac:dyDescent="0.3">
      <c r="A54" t="s">
        <v>659</v>
      </c>
    </row>
    <row r="55" spans="1:1" x14ac:dyDescent="0.3">
      <c r="A55" t="s">
        <v>660</v>
      </c>
    </row>
    <row r="56" spans="1:1" x14ac:dyDescent="0.3">
      <c r="A56" t="s">
        <v>107</v>
      </c>
    </row>
    <row r="57" spans="1:1" x14ac:dyDescent="0.3">
      <c r="A57" t="s">
        <v>661</v>
      </c>
    </row>
    <row r="58" spans="1:1" x14ac:dyDescent="0.3">
      <c r="A58" t="s">
        <v>662</v>
      </c>
    </row>
    <row r="59" spans="1:1" x14ac:dyDescent="0.3">
      <c r="A59" t="s">
        <v>663</v>
      </c>
    </row>
    <row r="60" spans="1:1" x14ac:dyDescent="0.3">
      <c r="A60" t="s">
        <v>664</v>
      </c>
    </row>
    <row r="61" spans="1:1" x14ac:dyDescent="0.3">
      <c r="A61" t="s">
        <v>665</v>
      </c>
    </row>
    <row r="62" spans="1:1" x14ac:dyDescent="0.3">
      <c r="A62" t="s">
        <v>666</v>
      </c>
    </row>
    <row r="63" spans="1:1" x14ac:dyDescent="0.3">
      <c r="A63" t="s">
        <v>667</v>
      </c>
    </row>
    <row r="64" spans="1:1" x14ac:dyDescent="0.3">
      <c r="A64" t="s">
        <v>668</v>
      </c>
    </row>
    <row r="65" spans="1:1" x14ac:dyDescent="0.3">
      <c r="A65" t="s">
        <v>669</v>
      </c>
    </row>
    <row r="66" spans="1:1" x14ac:dyDescent="0.3">
      <c r="A66" t="s">
        <v>670</v>
      </c>
    </row>
    <row r="67" spans="1:1" x14ac:dyDescent="0.3">
      <c r="A67" t="s">
        <v>671</v>
      </c>
    </row>
    <row r="68" spans="1:1" x14ac:dyDescent="0.3">
      <c r="A68" t="s">
        <v>672</v>
      </c>
    </row>
    <row r="69" spans="1:1" x14ac:dyDescent="0.3">
      <c r="A69" t="s">
        <v>673</v>
      </c>
    </row>
    <row r="70" spans="1:1" x14ac:dyDescent="0.3">
      <c r="A70" t="s">
        <v>674</v>
      </c>
    </row>
    <row r="71" spans="1:1" x14ac:dyDescent="0.3">
      <c r="A71" t="s">
        <v>675</v>
      </c>
    </row>
    <row r="72" spans="1:1" x14ac:dyDescent="0.3">
      <c r="A72" t="s">
        <v>676</v>
      </c>
    </row>
    <row r="73" spans="1:1" x14ac:dyDescent="0.3">
      <c r="A73" t="s">
        <v>677</v>
      </c>
    </row>
    <row r="74" spans="1:1" x14ac:dyDescent="0.3">
      <c r="A74" t="s">
        <v>678</v>
      </c>
    </row>
    <row r="75" spans="1:1" x14ac:dyDescent="0.3">
      <c r="A75" t="s">
        <v>679</v>
      </c>
    </row>
    <row r="76" spans="1:1" x14ac:dyDescent="0.3">
      <c r="A76" t="s">
        <v>680</v>
      </c>
    </row>
    <row r="77" spans="1:1" x14ac:dyDescent="0.3">
      <c r="A77" t="s">
        <v>681</v>
      </c>
    </row>
    <row r="78" spans="1:1" x14ac:dyDescent="0.3">
      <c r="A78" t="s">
        <v>682</v>
      </c>
    </row>
    <row r="79" spans="1:1" x14ac:dyDescent="0.3">
      <c r="A79" t="s">
        <v>475</v>
      </c>
    </row>
    <row r="80" spans="1:1" x14ac:dyDescent="0.3">
      <c r="A80" t="s">
        <v>683</v>
      </c>
    </row>
    <row r="81" spans="1:1" x14ac:dyDescent="0.3">
      <c r="A81" t="s">
        <v>684</v>
      </c>
    </row>
    <row r="82" spans="1:1" x14ac:dyDescent="0.3">
      <c r="A82" t="s">
        <v>685</v>
      </c>
    </row>
    <row r="83" spans="1:1" x14ac:dyDescent="0.3">
      <c r="A83" t="s">
        <v>686</v>
      </c>
    </row>
  </sheetData>
  <mergeCells count="1">
    <mergeCell ref="D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F2FF-2B6F-4A27-8A54-7B571ED83A7C}">
  <sheetPr codeName="Sheet7"/>
  <dimension ref="A1:BE125"/>
  <sheetViews>
    <sheetView zoomScale="90" zoomScaleNormal="90" workbookViewId="0">
      <selection sqref="A1:AC1"/>
    </sheetView>
  </sheetViews>
  <sheetFormatPr defaultColWidth="9.33203125" defaultRowHeight="14.4" x14ac:dyDescent="0.3"/>
  <cols>
    <col min="1" max="1" width="28" style="42" customWidth="1"/>
    <col min="2" max="2" width="19" style="42" bestFit="1" customWidth="1"/>
    <col min="3" max="3" width="28.33203125" style="42" bestFit="1" customWidth="1"/>
    <col min="4" max="4" width="24.44140625" style="42" customWidth="1"/>
    <col min="5" max="5" width="15.33203125" style="42" customWidth="1"/>
    <col min="6" max="6" width="11" style="42" customWidth="1"/>
    <col min="7" max="7" width="8.109375" style="42" bestFit="1" customWidth="1"/>
    <col min="8" max="29" width="6.5546875" style="42" bestFit="1" customWidth="1"/>
    <col min="30" max="30" width="11.88671875" customWidth="1"/>
    <col min="31" max="31" width="12.44140625" customWidth="1"/>
    <col min="32" max="37" width="9.33203125" style="42"/>
    <col min="57" max="16384" width="9.33203125" style="42"/>
  </cols>
  <sheetData>
    <row r="1" spans="1:57" customFormat="1" ht="31.5" customHeight="1" x14ac:dyDescent="0.3">
      <c r="A1" s="512" t="str">
        <f>"Schedules - "&amp;Prototype!A2</f>
        <v xml:space="preserve">Schedules - ApartmentMidRise </v>
      </c>
      <c r="B1" s="512"/>
      <c r="C1" s="512"/>
      <c r="D1" s="512"/>
      <c r="E1" s="512"/>
      <c r="F1" s="512"/>
      <c r="G1" s="512"/>
      <c r="H1" s="512"/>
      <c r="I1" s="512"/>
      <c r="J1" s="512"/>
      <c r="K1" s="512"/>
      <c r="L1" s="512"/>
      <c r="M1" s="512"/>
      <c r="N1" s="512"/>
      <c r="O1" s="512"/>
      <c r="P1" s="512"/>
      <c r="Q1" s="512"/>
      <c r="R1" s="512"/>
      <c r="S1" s="512"/>
      <c r="T1" s="512"/>
      <c r="U1" s="512"/>
      <c r="V1" s="512"/>
      <c r="W1" s="512"/>
      <c r="X1" s="512"/>
      <c r="Y1" s="512"/>
      <c r="Z1" s="512"/>
      <c r="AA1" s="512"/>
      <c r="AB1" s="512"/>
      <c r="AC1" s="641"/>
    </row>
    <row r="2" spans="1:57" ht="24" customHeight="1" x14ac:dyDescent="0.3">
      <c r="A2" s="554" t="s">
        <v>687</v>
      </c>
      <c r="B2" s="554" t="s">
        <v>72</v>
      </c>
      <c r="C2" s="554" t="s">
        <v>688</v>
      </c>
      <c r="D2" s="554" t="s">
        <v>268</v>
      </c>
      <c r="E2" s="554" t="s">
        <v>689</v>
      </c>
      <c r="F2" s="642" t="s">
        <v>690</v>
      </c>
      <c r="G2" s="643"/>
      <c r="H2" s="643"/>
      <c r="I2" s="643"/>
      <c r="J2" s="643"/>
      <c r="K2" s="643"/>
      <c r="L2" s="643"/>
      <c r="M2" s="643"/>
      <c r="N2" s="643"/>
      <c r="O2" s="643"/>
      <c r="P2" s="643"/>
      <c r="Q2" s="643"/>
      <c r="R2" s="643"/>
      <c r="S2" s="643"/>
      <c r="T2" s="643"/>
      <c r="U2" s="643"/>
      <c r="V2" s="643"/>
      <c r="W2" s="643"/>
      <c r="X2" s="643"/>
      <c r="Y2" s="643"/>
      <c r="Z2" s="643"/>
      <c r="AA2" s="643"/>
      <c r="AB2" s="643"/>
      <c r="AC2" s="643"/>
      <c r="AE2" s="43"/>
      <c r="AF2" s="43"/>
      <c r="AG2" s="43"/>
      <c r="AH2" s="43"/>
      <c r="AI2" s="43"/>
      <c r="AJ2" s="44"/>
      <c r="AK2" s="44"/>
      <c r="AL2" s="44"/>
      <c r="AM2" s="44"/>
      <c r="AN2" s="44"/>
      <c r="AO2" s="44"/>
      <c r="AP2" s="44"/>
      <c r="AQ2" s="44"/>
      <c r="AR2" s="44"/>
      <c r="AS2" s="44"/>
      <c r="AT2" s="44"/>
      <c r="AU2" s="44"/>
      <c r="AV2" s="44"/>
      <c r="AW2" s="44"/>
      <c r="AX2" s="44"/>
      <c r="AY2" s="44"/>
      <c r="BE2"/>
    </row>
    <row r="3" spans="1:57" ht="25.2" customHeight="1" thickBot="1" x14ac:dyDescent="0.35">
      <c r="A3" s="647"/>
      <c r="B3" s="647"/>
      <c r="C3" s="647"/>
      <c r="D3" s="647"/>
      <c r="E3" s="647"/>
      <c r="F3" s="151">
        <v>1</v>
      </c>
      <c r="G3" s="337">
        <v>2</v>
      </c>
      <c r="H3" s="337">
        <v>3</v>
      </c>
      <c r="I3" s="337">
        <v>4</v>
      </c>
      <c r="J3" s="337">
        <v>5</v>
      </c>
      <c r="K3" s="337">
        <v>6</v>
      </c>
      <c r="L3" s="337">
        <v>7</v>
      </c>
      <c r="M3" s="337">
        <v>8</v>
      </c>
      <c r="N3" s="337">
        <v>9</v>
      </c>
      <c r="O3" s="337">
        <v>10</v>
      </c>
      <c r="P3" s="337">
        <v>11</v>
      </c>
      <c r="Q3" s="337">
        <v>12</v>
      </c>
      <c r="R3" s="337">
        <v>13</v>
      </c>
      <c r="S3" s="337">
        <v>14</v>
      </c>
      <c r="T3" s="337">
        <v>15</v>
      </c>
      <c r="U3" s="337">
        <v>16</v>
      </c>
      <c r="V3" s="337">
        <v>17</v>
      </c>
      <c r="W3" s="337">
        <v>18</v>
      </c>
      <c r="X3" s="337">
        <v>19</v>
      </c>
      <c r="Y3" s="337">
        <v>20</v>
      </c>
      <c r="Z3" s="337">
        <v>21</v>
      </c>
      <c r="AA3" s="337">
        <v>22</v>
      </c>
      <c r="AB3" s="337">
        <v>23</v>
      </c>
      <c r="AC3" s="337">
        <v>24</v>
      </c>
      <c r="AE3" s="44"/>
      <c r="AF3" s="44"/>
      <c r="AG3" s="44"/>
      <c r="AH3" s="44"/>
      <c r="AI3" s="44"/>
      <c r="AJ3" s="44"/>
      <c r="AK3" s="44"/>
      <c r="AL3" s="44"/>
      <c r="AM3" s="44"/>
      <c r="AN3" s="44"/>
      <c r="AO3" s="44"/>
      <c r="AP3" s="44"/>
      <c r="AQ3" s="44"/>
      <c r="AR3" s="44"/>
      <c r="AS3" s="44"/>
      <c r="AT3" s="44"/>
      <c r="AU3" s="44"/>
      <c r="AV3" s="44"/>
      <c r="AW3" s="44"/>
      <c r="AX3" s="44"/>
      <c r="AY3" s="44"/>
      <c r="BE3"/>
    </row>
    <row r="4" spans="1:57" ht="39.9" customHeight="1" x14ac:dyDescent="0.3">
      <c r="A4" s="648" t="s">
        <v>691</v>
      </c>
      <c r="B4" s="605" t="s">
        <v>120</v>
      </c>
      <c r="C4" s="605" t="s">
        <v>692</v>
      </c>
      <c r="D4" s="600" t="s">
        <v>693</v>
      </c>
      <c r="E4" s="142" t="s">
        <v>694</v>
      </c>
      <c r="F4" s="113">
        <v>0.9</v>
      </c>
      <c r="G4" s="113">
        <v>0.9</v>
      </c>
      <c r="H4" s="113">
        <v>0.9</v>
      </c>
      <c r="I4" s="113">
        <v>0.9</v>
      </c>
      <c r="J4" s="113">
        <v>0.9</v>
      </c>
      <c r="K4" s="113">
        <v>0.9</v>
      </c>
      <c r="L4" s="113">
        <v>0.7</v>
      </c>
      <c r="M4" s="113">
        <v>0.4</v>
      </c>
      <c r="N4" s="113">
        <v>0.4</v>
      </c>
      <c r="O4" s="113">
        <v>0.2</v>
      </c>
      <c r="P4" s="113">
        <v>0.2</v>
      </c>
      <c r="Q4" s="113">
        <v>0.2</v>
      </c>
      <c r="R4" s="113">
        <v>0.2</v>
      </c>
      <c r="S4" s="113">
        <v>0.2</v>
      </c>
      <c r="T4" s="113">
        <v>0.2</v>
      </c>
      <c r="U4" s="113">
        <v>0.3</v>
      </c>
      <c r="V4" s="113">
        <v>0.5</v>
      </c>
      <c r="W4" s="113">
        <v>0.5</v>
      </c>
      <c r="X4" s="113">
        <v>0.5</v>
      </c>
      <c r="Y4" s="113">
        <v>0.7</v>
      </c>
      <c r="Z4" s="113">
        <v>0.7</v>
      </c>
      <c r="AA4" s="113">
        <v>0.8</v>
      </c>
      <c r="AB4" s="113">
        <v>0.9</v>
      </c>
      <c r="AC4" s="114">
        <v>0.9</v>
      </c>
      <c r="AE4" s="44"/>
      <c r="AF4" s="44"/>
      <c r="AG4" s="44"/>
      <c r="AH4" s="44"/>
      <c r="AI4" s="44"/>
      <c r="AJ4" s="44"/>
      <c r="AK4" s="44"/>
      <c r="AL4" s="44"/>
      <c r="AM4" s="44"/>
      <c r="AN4" s="44"/>
      <c r="AO4" s="44"/>
      <c r="AP4" s="44"/>
      <c r="AQ4" s="44"/>
      <c r="AR4" s="44"/>
      <c r="AS4" s="44"/>
      <c r="AT4" s="44"/>
      <c r="AU4" s="44"/>
      <c r="AV4" s="44"/>
      <c r="AW4" s="44"/>
      <c r="AX4" s="44"/>
    </row>
    <row r="5" spans="1:57" ht="39.9" customHeight="1" x14ac:dyDescent="0.3">
      <c r="A5" s="649"/>
      <c r="B5" s="606"/>
      <c r="C5" s="606"/>
      <c r="D5" s="601"/>
      <c r="E5" s="143" t="s">
        <v>695</v>
      </c>
      <c r="F5" s="115">
        <v>0.9</v>
      </c>
      <c r="G5" s="115">
        <v>0.9</v>
      </c>
      <c r="H5" s="115">
        <v>0.9</v>
      </c>
      <c r="I5" s="115">
        <v>0.9</v>
      </c>
      <c r="J5" s="115">
        <v>0.9</v>
      </c>
      <c r="K5" s="115">
        <v>0.9</v>
      </c>
      <c r="L5" s="115">
        <v>0.7</v>
      </c>
      <c r="M5" s="115">
        <v>0.4</v>
      </c>
      <c r="N5" s="115">
        <v>0.4</v>
      </c>
      <c r="O5" s="115">
        <v>0.2</v>
      </c>
      <c r="P5" s="115">
        <v>0.2</v>
      </c>
      <c r="Q5" s="115">
        <v>0.2</v>
      </c>
      <c r="R5" s="115">
        <v>0.2</v>
      </c>
      <c r="S5" s="115">
        <v>0.2</v>
      </c>
      <c r="T5" s="115">
        <v>0.2</v>
      </c>
      <c r="U5" s="115">
        <v>0.3</v>
      </c>
      <c r="V5" s="115">
        <v>0.5</v>
      </c>
      <c r="W5" s="115">
        <v>0.5</v>
      </c>
      <c r="X5" s="115">
        <v>0.5</v>
      </c>
      <c r="Y5" s="115">
        <v>0.7</v>
      </c>
      <c r="Z5" s="115">
        <v>0.7</v>
      </c>
      <c r="AA5" s="115">
        <v>0.8</v>
      </c>
      <c r="AB5" s="115">
        <v>0.9</v>
      </c>
      <c r="AC5" s="116">
        <v>0.9</v>
      </c>
      <c r="AE5" s="44"/>
      <c r="AF5" s="44"/>
      <c r="AG5" s="44"/>
      <c r="AH5" s="44"/>
      <c r="AI5" s="44"/>
      <c r="AJ5" s="44"/>
      <c r="AK5" s="44"/>
      <c r="AL5" s="44"/>
      <c r="AM5" s="44"/>
      <c r="AN5" s="44"/>
      <c r="AO5" s="44"/>
      <c r="AP5" s="44"/>
      <c r="AQ5" s="44"/>
      <c r="AR5" s="44"/>
      <c r="AS5" s="44"/>
      <c r="AT5" s="44"/>
      <c r="AU5" s="44"/>
      <c r="AV5" s="44"/>
      <c r="AW5" s="44"/>
      <c r="AX5" s="44"/>
    </row>
    <row r="6" spans="1:57" ht="39.9" customHeight="1" thickBot="1" x14ac:dyDescent="0.35">
      <c r="A6" s="649"/>
      <c r="B6" s="606"/>
      <c r="C6" s="606"/>
      <c r="D6" s="601"/>
      <c r="E6" s="144" t="s">
        <v>696</v>
      </c>
      <c r="F6" s="117">
        <v>0.9</v>
      </c>
      <c r="G6" s="117">
        <v>0.9</v>
      </c>
      <c r="H6" s="117">
        <v>0.9</v>
      </c>
      <c r="I6" s="117">
        <v>0.9</v>
      </c>
      <c r="J6" s="117">
        <v>0.9</v>
      </c>
      <c r="K6" s="117">
        <v>0.9</v>
      </c>
      <c r="L6" s="117">
        <v>0.7</v>
      </c>
      <c r="M6" s="117">
        <v>0.4</v>
      </c>
      <c r="N6" s="117">
        <v>0.4</v>
      </c>
      <c r="O6" s="117">
        <v>0.2</v>
      </c>
      <c r="P6" s="117">
        <v>0.2</v>
      </c>
      <c r="Q6" s="117">
        <v>0.2</v>
      </c>
      <c r="R6" s="117">
        <v>0.2</v>
      </c>
      <c r="S6" s="117">
        <v>0.2</v>
      </c>
      <c r="T6" s="117">
        <v>0.2</v>
      </c>
      <c r="U6" s="117">
        <v>0.3</v>
      </c>
      <c r="V6" s="117">
        <v>0.5</v>
      </c>
      <c r="W6" s="117">
        <v>0.5</v>
      </c>
      <c r="X6" s="117">
        <v>0.5</v>
      </c>
      <c r="Y6" s="117">
        <v>0.7</v>
      </c>
      <c r="Z6" s="117">
        <v>0.7</v>
      </c>
      <c r="AA6" s="117">
        <v>0.8</v>
      </c>
      <c r="AB6" s="117">
        <v>0.9</v>
      </c>
      <c r="AC6" s="118">
        <v>0.9</v>
      </c>
      <c r="AE6" s="44"/>
      <c r="AF6" s="44"/>
      <c r="AG6" s="44"/>
      <c r="AH6" s="44"/>
      <c r="AI6" s="44"/>
      <c r="AJ6" s="44"/>
      <c r="AK6" s="44"/>
      <c r="AL6" s="44"/>
      <c r="AM6" s="44"/>
      <c r="AN6" s="44"/>
      <c r="AO6" s="44"/>
      <c r="AP6" s="44"/>
      <c r="AQ6" s="44"/>
      <c r="AR6" s="44"/>
      <c r="AS6" s="44"/>
      <c r="AT6" s="44"/>
      <c r="AU6" s="44"/>
      <c r="AV6" s="44"/>
      <c r="AW6" s="44"/>
      <c r="AX6" s="44"/>
    </row>
    <row r="7" spans="1:57" ht="39.9" customHeight="1" x14ac:dyDescent="0.3">
      <c r="A7" s="648" t="s">
        <v>691</v>
      </c>
      <c r="B7" s="605" t="str">
        <f>B4</f>
        <v>ResidentialLiving</v>
      </c>
      <c r="C7" s="605" t="s">
        <v>697</v>
      </c>
      <c r="D7" s="600" t="s">
        <v>693</v>
      </c>
      <c r="E7" s="142" t="s">
        <v>694</v>
      </c>
      <c r="F7" s="113">
        <v>0.1</v>
      </c>
      <c r="G7" s="113">
        <v>0.1</v>
      </c>
      <c r="H7" s="113">
        <v>0.1</v>
      </c>
      <c r="I7" s="113">
        <v>0.1</v>
      </c>
      <c r="J7" s="113">
        <v>0.1</v>
      </c>
      <c r="K7" s="113">
        <v>0.3</v>
      </c>
      <c r="L7" s="113">
        <v>0.45</v>
      </c>
      <c r="M7" s="113">
        <v>0.45</v>
      </c>
      <c r="N7" s="113">
        <v>0.45</v>
      </c>
      <c r="O7" s="113">
        <v>0.45</v>
      </c>
      <c r="P7" s="113">
        <v>0.3</v>
      </c>
      <c r="Q7" s="113">
        <v>0.3</v>
      </c>
      <c r="R7" s="113">
        <v>0.3</v>
      </c>
      <c r="S7" s="113">
        <v>0.3</v>
      </c>
      <c r="T7" s="113">
        <v>0.3</v>
      </c>
      <c r="U7" s="113">
        <v>0.3</v>
      </c>
      <c r="V7" s="113">
        <v>0.3</v>
      </c>
      <c r="W7" s="113">
        <v>0.3</v>
      </c>
      <c r="X7" s="113">
        <v>0.6</v>
      </c>
      <c r="Y7" s="113">
        <v>0.8</v>
      </c>
      <c r="Z7" s="113">
        <v>0.9</v>
      </c>
      <c r="AA7" s="113">
        <v>0.8</v>
      </c>
      <c r="AB7" s="113">
        <v>0.6</v>
      </c>
      <c r="AC7" s="114">
        <v>0.3</v>
      </c>
      <c r="AE7" s="44"/>
      <c r="AF7" s="44"/>
      <c r="AG7" s="44"/>
      <c r="AH7" s="44"/>
      <c r="AI7" s="44"/>
      <c r="AJ7" s="44"/>
      <c r="AK7" s="44"/>
      <c r="AL7" s="44"/>
      <c r="AM7" s="44"/>
      <c r="AN7" s="44"/>
      <c r="AO7" s="44"/>
      <c r="AP7" s="44"/>
      <c r="AQ7" s="44"/>
      <c r="AR7" s="44"/>
      <c r="AS7" s="44"/>
      <c r="AT7" s="44"/>
      <c r="AU7" s="44"/>
      <c r="AV7" s="44"/>
      <c r="AW7" s="44"/>
      <c r="AX7" s="44"/>
    </row>
    <row r="8" spans="1:57" ht="39.9" customHeight="1" x14ac:dyDescent="0.3">
      <c r="A8" s="649"/>
      <c r="B8" s="606"/>
      <c r="C8" s="606"/>
      <c r="D8" s="601"/>
      <c r="E8" s="143" t="s">
        <v>695</v>
      </c>
      <c r="F8" s="115">
        <v>0.1</v>
      </c>
      <c r="G8" s="115">
        <v>0.1</v>
      </c>
      <c r="H8" s="115">
        <v>0.1</v>
      </c>
      <c r="I8" s="115">
        <v>0.1</v>
      </c>
      <c r="J8" s="115">
        <v>0.1</v>
      </c>
      <c r="K8" s="115">
        <v>0.3</v>
      </c>
      <c r="L8" s="115">
        <v>0.45</v>
      </c>
      <c r="M8" s="115">
        <v>0.45</v>
      </c>
      <c r="N8" s="115">
        <v>0.45</v>
      </c>
      <c r="O8" s="115">
        <v>0.45</v>
      </c>
      <c r="P8" s="115">
        <v>0.3</v>
      </c>
      <c r="Q8" s="115">
        <v>0.3</v>
      </c>
      <c r="R8" s="115">
        <v>0.3</v>
      </c>
      <c r="S8" s="115">
        <v>0.3</v>
      </c>
      <c r="T8" s="115">
        <v>0.3</v>
      </c>
      <c r="U8" s="115">
        <v>0.3</v>
      </c>
      <c r="V8" s="115">
        <v>0.3</v>
      </c>
      <c r="W8" s="115">
        <v>0.3</v>
      </c>
      <c r="X8" s="115">
        <v>0.6</v>
      </c>
      <c r="Y8" s="115">
        <v>0.8</v>
      </c>
      <c r="Z8" s="115">
        <v>0.9</v>
      </c>
      <c r="AA8" s="115">
        <v>0.8</v>
      </c>
      <c r="AB8" s="115">
        <v>0.6</v>
      </c>
      <c r="AC8" s="116">
        <v>0.3</v>
      </c>
      <c r="AE8" s="44"/>
      <c r="AF8" s="44"/>
      <c r="AG8" s="44"/>
      <c r="AH8" s="44"/>
      <c r="AI8" s="44"/>
      <c r="AJ8" s="44"/>
      <c r="AK8" s="44"/>
      <c r="AL8" s="44"/>
      <c r="AM8" s="44"/>
      <c r="AN8" s="44"/>
      <c r="AO8" s="44"/>
      <c r="AP8" s="44"/>
      <c r="AQ8" s="44"/>
      <c r="AR8" s="44"/>
      <c r="AS8" s="44"/>
      <c r="AT8" s="44"/>
      <c r="AU8" s="44"/>
      <c r="AV8" s="44"/>
      <c r="AW8" s="44"/>
      <c r="AX8" s="44"/>
    </row>
    <row r="9" spans="1:57" ht="39.9" customHeight="1" thickBot="1" x14ac:dyDescent="0.35">
      <c r="A9" s="649"/>
      <c r="B9" s="606"/>
      <c r="C9" s="606"/>
      <c r="D9" s="601"/>
      <c r="E9" s="144" t="s">
        <v>696</v>
      </c>
      <c r="F9" s="117">
        <v>0.1</v>
      </c>
      <c r="G9" s="117">
        <v>0.1</v>
      </c>
      <c r="H9" s="117">
        <v>0.1</v>
      </c>
      <c r="I9" s="117">
        <v>0.1</v>
      </c>
      <c r="J9" s="117">
        <v>0.1</v>
      </c>
      <c r="K9" s="117">
        <v>0.3</v>
      </c>
      <c r="L9" s="117">
        <v>0.45</v>
      </c>
      <c r="M9" s="117">
        <v>0.45</v>
      </c>
      <c r="N9" s="117">
        <v>0.45</v>
      </c>
      <c r="O9" s="117">
        <v>0.45</v>
      </c>
      <c r="P9" s="117">
        <v>0.3</v>
      </c>
      <c r="Q9" s="117">
        <v>0.3</v>
      </c>
      <c r="R9" s="117">
        <v>0.3</v>
      </c>
      <c r="S9" s="117">
        <v>0.3</v>
      </c>
      <c r="T9" s="117">
        <v>0.3</v>
      </c>
      <c r="U9" s="117">
        <v>0.3</v>
      </c>
      <c r="V9" s="117">
        <v>0.3</v>
      </c>
      <c r="W9" s="117">
        <v>0.3</v>
      </c>
      <c r="X9" s="117">
        <v>0.6</v>
      </c>
      <c r="Y9" s="117">
        <v>0.8</v>
      </c>
      <c r="Z9" s="117">
        <v>0.9</v>
      </c>
      <c r="AA9" s="117">
        <v>0.8</v>
      </c>
      <c r="AB9" s="117">
        <v>0.6</v>
      </c>
      <c r="AC9" s="118">
        <v>0.3</v>
      </c>
      <c r="AE9" s="44"/>
      <c r="AF9" s="44"/>
      <c r="AG9" s="44"/>
      <c r="AH9" s="44"/>
      <c r="AI9" s="44"/>
      <c r="AJ9" s="44"/>
      <c r="AK9" s="44"/>
      <c r="AL9" s="44"/>
      <c r="AM9" s="44"/>
      <c r="AN9" s="44"/>
      <c r="AO9" s="44"/>
      <c r="AP9" s="44"/>
      <c r="AQ9" s="44"/>
      <c r="AR9" s="44"/>
      <c r="AS9" s="44"/>
      <c r="AT9" s="44"/>
      <c r="AU9" s="44"/>
      <c r="AV9" s="44"/>
      <c r="AW9" s="44"/>
      <c r="AX9" s="44"/>
    </row>
    <row r="10" spans="1:57" ht="39.9" customHeight="1" x14ac:dyDescent="0.3">
      <c r="A10" s="648" t="s">
        <v>691</v>
      </c>
      <c r="B10" s="605" t="str">
        <f>B4</f>
        <v>ResidentialLiving</v>
      </c>
      <c r="C10" s="605" t="s">
        <v>698</v>
      </c>
      <c r="D10" s="600" t="s">
        <v>693</v>
      </c>
      <c r="E10" s="142" t="s">
        <v>694</v>
      </c>
      <c r="F10" s="113">
        <v>0.1</v>
      </c>
      <c r="G10" s="113">
        <v>0.1</v>
      </c>
      <c r="H10" s="113">
        <v>0.1</v>
      </c>
      <c r="I10" s="113">
        <v>0.1</v>
      </c>
      <c r="J10" s="113">
        <v>0.1</v>
      </c>
      <c r="K10" s="113">
        <v>0.3</v>
      </c>
      <c r="L10" s="113">
        <v>0.45</v>
      </c>
      <c r="M10" s="113">
        <v>0.45</v>
      </c>
      <c r="N10" s="113">
        <v>0.45</v>
      </c>
      <c r="O10" s="113">
        <v>0.45</v>
      </c>
      <c r="P10" s="113">
        <v>0.3</v>
      </c>
      <c r="Q10" s="113">
        <v>0.3</v>
      </c>
      <c r="R10" s="113">
        <v>0.3</v>
      </c>
      <c r="S10" s="113">
        <v>0.3</v>
      </c>
      <c r="T10" s="113">
        <v>0.3</v>
      </c>
      <c r="U10" s="113">
        <v>0.3</v>
      </c>
      <c r="V10" s="113">
        <v>0.3</v>
      </c>
      <c r="W10" s="113">
        <v>0.3</v>
      </c>
      <c r="X10" s="113">
        <v>0.6</v>
      </c>
      <c r="Y10" s="113">
        <v>0.8</v>
      </c>
      <c r="Z10" s="113">
        <v>0.9</v>
      </c>
      <c r="AA10" s="113">
        <v>0.8</v>
      </c>
      <c r="AB10" s="113">
        <v>0.6</v>
      </c>
      <c r="AC10" s="114">
        <v>0.3</v>
      </c>
      <c r="AE10" s="44"/>
      <c r="AF10" s="44"/>
      <c r="AG10" s="44"/>
      <c r="AH10" s="44"/>
      <c r="AI10" s="44"/>
      <c r="AJ10" s="44"/>
      <c r="AK10" s="44"/>
      <c r="AL10" s="44"/>
      <c r="AM10" s="44"/>
      <c r="AN10" s="44"/>
      <c r="AO10" s="44"/>
      <c r="AP10" s="44"/>
      <c r="AQ10" s="44"/>
      <c r="AR10" s="44"/>
      <c r="AS10" s="44"/>
      <c r="AT10" s="44"/>
      <c r="AU10" s="44"/>
      <c r="AV10" s="44"/>
      <c r="AW10" s="44"/>
      <c r="AX10" s="44"/>
    </row>
    <row r="11" spans="1:57" ht="39.9" customHeight="1" x14ac:dyDescent="0.3">
      <c r="A11" s="649"/>
      <c r="B11" s="606"/>
      <c r="C11" s="606"/>
      <c r="D11" s="601"/>
      <c r="E11" s="143" t="s">
        <v>695</v>
      </c>
      <c r="F11" s="115">
        <v>0.1</v>
      </c>
      <c r="G11" s="115">
        <v>0.1</v>
      </c>
      <c r="H11" s="115">
        <v>0.1</v>
      </c>
      <c r="I11" s="115">
        <v>0.1</v>
      </c>
      <c r="J11" s="115">
        <v>0.1</v>
      </c>
      <c r="K11" s="115">
        <v>0.3</v>
      </c>
      <c r="L11" s="115">
        <v>0.45</v>
      </c>
      <c r="M11" s="115">
        <v>0.45</v>
      </c>
      <c r="N11" s="115">
        <v>0.45</v>
      </c>
      <c r="O11" s="115">
        <v>0.45</v>
      </c>
      <c r="P11" s="115">
        <v>0.3</v>
      </c>
      <c r="Q11" s="115">
        <v>0.3</v>
      </c>
      <c r="R11" s="115">
        <v>0.3</v>
      </c>
      <c r="S11" s="115">
        <v>0.3</v>
      </c>
      <c r="T11" s="115">
        <v>0.3</v>
      </c>
      <c r="U11" s="115">
        <v>0.3</v>
      </c>
      <c r="V11" s="115">
        <v>0.3</v>
      </c>
      <c r="W11" s="115">
        <v>0.3</v>
      </c>
      <c r="X11" s="115">
        <v>0.6</v>
      </c>
      <c r="Y11" s="115">
        <v>0.8</v>
      </c>
      <c r="Z11" s="115">
        <v>0.9</v>
      </c>
      <c r="AA11" s="115">
        <v>0.8</v>
      </c>
      <c r="AB11" s="115">
        <v>0.6</v>
      </c>
      <c r="AC11" s="116">
        <v>0.3</v>
      </c>
      <c r="AE11" s="44"/>
      <c r="AF11" s="44"/>
      <c r="AG11" s="44"/>
      <c r="AH11" s="44"/>
      <c r="AI11" s="44"/>
      <c r="AJ11" s="44"/>
      <c r="AK11" s="44"/>
      <c r="AL11" s="44"/>
      <c r="AM11" s="44"/>
      <c r="AN11" s="44"/>
      <c r="AO11" s="44"/>
      <c r="AP11" s="44"/>
      <c r="AQ11" s="44"/>
      <c r="AR11" s="44"/>
      <c r="AS11" s="44"/>
      <c r="AT11" s="44"/>
      <c r="AU11" s="44"/>
      <c r="AV11" s="44"/>
      <c r="AW11" s="44"/>
      <c r="AX11" s="44"/>
    </row>
    <row r="12" spans="1:57" ht="39.9" customHeight="1" thickBot="1" x14ac:dyDescent="0.35">
      <c r="A12" s="650"/>
      <c r="B12" s="607"/>
      <c r="C12" s="607"/>
      <c r="D12" s="601"/>
      <c r="E12" s="144" t="s">
        <v>696</v>
      </c>
      <c r="F12" s="117">
        <v>0.1</v>
      </c>
      <c r="G12" s="117">
        <v>0.1</v>
      </c>
      <c r="H12" s="117">
        <v>0.1</v>
      </c>
      <c r="I12" s="117">
        <v>0.1</v>
      </c>
      <c r="J12" s="117">
        <v>0.1</v>
      </c>
      <c r="K12" s="117">
        <v>0.3</v>
      </c>
      <c r="L12" s="117">
        <v>0.45</v>
      </c>
      <c r="M12" s="117">
        <v>0.45</v>
      </c>
      <c r="N12" s="117">
        <v>0.45</v>
      </c>
      <c r="O12" s="117">
        <v>0.45</v>
      </c>
      <c r="P12" s="117">
        <v>0.3</v>
      </c>
      <c r="Q12" s="117">
        <v>0.3</v>
      </c>
      <c r="R12" s="117">
        <v>0.3</v>
      </c>
      <c r="S12" s="117">
        <v>0.3</v>
      </c>
      <c r="T12" s="117">
        <v>0.3</v>
      </c>
      <c r="U12" s="117">
        <v>0.3</v>
      </c>
      <c r="V12" s="117">
        <v>0.3</v>
      </c>
      <c r="W12" s="117">
        <v>0.3</v>
      </c>
      <c r="X12" s="117">
        <v>0.6</v>
      </c>
      <c r="Y12" s="117">
        <v>0.8</v>
      </c>
      <c r="Z12" s="117">
        <v>0.9</v>
      </c>
      <c r="AA12" s="117">
        <v>0.8</v>
      </c>
      <c r="AB12" s="117">
        <v>0.6</v>
      </c>
      <c r="AC12" s="118">
        <v>0.3</v>
      </c>
      <c r="AE12" s="44"/>
      <c r="AF12" s="44"/>
      <c r="AG12" s="44"/>
      <c r="AH12" s="44"/>
      <c r="AI12" s="44"/>
      <c r="AJ12" s="44"/>
      <c r="AK12" s="44"/>
      <c r="AL12" s="44"/>
      <c r="AM12" s="44"/>
      <c r="AN12" s="44"/>
      <c r="AO12" s="44"/>
      <c r="AP12" s="44"/>
      <c r="AQ12" s="44"/>
      <c r="AR12" s="44"/>
      <c r="AS12" s="44"/>
      <c r="AT12" s="44"/>
      <c r="AU12" s="44"/>
      <c r="AV12" s="44"/>
      <c r="AW12" s="44"/>
      <c r="AX12" s="44"/>
    </row>
    <row r="13" spans="1:57" ht="39.9" customHeight="1" x14ac:dyDescent="0.3">
      <c r="A13" s="651" t="s">
        <v>691</v>
      </c>
      <c r="B13" s="608" t="str">
        <f>B4</f>
        <v>ResidentialLiving</v>
      </c>
      <c r="C13" s="605" t="s">
        <v>699</v>
      </c>
      <c r="D13" s="660" t="s">
        <v>700</v>
      </c>
      <c r="E13" s="142" t="s">
        <v>694</v>
      </c>
      <c r="F13" s="113">
        <v>1</v>
      </c>
      <c r="G13" s="113">
        <v>1</v>
      </c>
      <c r="H13" s="113">
        <v>1</v>
      </c>
      <c r="I13" s="113">
        <v>1</v>
      </c>
      <c r="J13" s="113">
        <v>1</v>
      </c>
      <c r="K13" s="113">
        <v>1</v>
      </c>
      <c r="L13" s="113">
        <v>1</v>
      </c>
      <c r="M13" s="113">
        <v>1</v>
      </c>
      <c r="N13" s="113">
        <v>1</v>
      </c>
      <c r="O13" s="113">
        <v>1</v>
      </c>
      <c r="P13" s="113">
        <v>1</v>
      </c>
      <c r="Q13" s="113">
        <v>1</v>
      </c>
      <c r="R13" s="113">
        <v>1</v>
      </c>
      <c r="S13" s="113">
        <v>1</v>
      </c>
      <c r="T13" s="113">
        <v>1</v>
      </c>
      <c r="U13" s="113">
        <v>1</v>
      </c>
      <c r="V13" s="113">
        <v>1</v>
      </c>
      <c r="W13" s="113">
        <v>1</v>
      </c>
      <c r="X13" s="113">
        <v>1</v>
      </c>
      <c r="Y13" s="113">
        <v>1</v>
      </c>
      <c r="Z13" s="113">
        <v>1</v>
      </c>
      <c r="AA13" s="113">
        <v>1</v>
      </c>
      <c r="AB13" s="113">
        <v>1</v>
      </c>
      <c r="AC13" s="114">
        <v>1</v>
      </c>
      <c r="AE13" s="44"/>
      <c r="AF13" s="44"/>
      <c r="AG13" s="44"/>
      <c r="AH13" s="44"/>
      <c r="AI13" s="44"/>
      <c r="AJ13" s="44"/>
      <c r="AK13" s="44"/>
      <c r="AL13" s="44"/>
      <c r="AM13" s="44"/>
      <c r="AN13" s="44"/>
      <c r="AO13" s="44"/>
      <c r="AP13" s="44"/>
      <c r="AQ13" s="44"/>
      <c r="AR13" s="44"/>
      <c r="AS13" s="44"/>
      <c r="AT13" s="44"/>
      <c r="AU13" s="44"/>
      <c r="AV13" s="44"/>
      <c r="AW13" s="44"/>
      <c r="AX13" s="44"/>
    </row>
    <row r="14" spans="1:57" ht="39.9" customHeight="1" x14ac:dyDescent="0.3">
      <c r="A14" s="652"/>
      <c r="B14" s="609"/>
      <c r="C14" s="611"/>
      <c r="D14" s="661"/>
      <c r="E14" s="177" t="s">
        <v>695</v>
      </c>
      <c r="F14" s="178">
        <v>1</v>
      </c>
      <c r="G14" s="178">
        <v>1</v>
      </c>
      <c r="H14" s="178">
        <v>1</v>
      </c>
      <c r="I14" s="178">
        <v>1</v>
      </c>
      <c r="J14" s="178">
        <v>1</v>
      </c>
      <c r="K14" s="178">
        <v>1</v>
      </c>
      <c r="L14" s="178">
        <v>1</v>
      </c>
      <c r="M14" s="178">
        <v>1</v>
      </c>
      <c r="N14" s="178">
        <v>1</v>
      </c>
      <c r="O14" s="178">
        <v>1</v>
      </c>
      <c r="P14" s="178">
        <v>1</v>
      </c>
      <c r="Q14" s="178">
        <v>1</v>
      </c>
      <c r="R14" s="178">
        <v>1</v>
      </c>
      <c r="S14" s="178">
        <v>1</v>
      </c>
      <c r="T14" s="178">
        <v>1</v>
      </c>
      <c r="U14" s="178">
        <v>1</v>
      </c>
      <c r="V14" s="178">
        <v>1</v>
      </c>
      <c r="W14" s="178">
        <v>1</v>
      </c>
      <c r="X14" s="178">
        <v>1</v>
      </c>
      <c r="Y14" s="178">
        <v>1</v>
      </c>
      <c r="Z14" s="178">
        <v>1</v>
      </c>
      <c r="AA14" s="178">
        <v>1</v>
      </c>
      <c r="AB14" s="178">
        <v>1</v>
      </c>
      <c r="AC14" s="179">
        <v>1</v>
      </c>
      <c r="AE14" s="44"/>
      <c r="AF14" s="44"/>
      <c r="AG14" s="44"/>
      <c r="AH14" s="44"/>
      <c r="AI14" s="44"/>
      <c r="AJ14" s="44"/>
      <c r="AK14" s="44"/>
      <c r="AL14" s="44"/>
      <c r="AM14" s="44"/>
      <c r="AN14" s="44"/>
      <c r="AO14" s="44"/>
      <c r="AP14" s="44"/>
      <c r="AQ14" s="44"/>
      <c r="AR14" s="44"/>
      <c r="AS14" s="44"/>
      <c r="AT14" s="44"/>
      <c r="AU14" s="44"/>
      <c r="AV14" s="44"/>
      <c r="AW14" s="44"/>
      <c r="AX14" s="44"/>
    </row>
    <row r="15" spans="1:57" ht="39.9" customHeight="1" thickBot="1" x14ac:dyDescent="0.35">
      <c r="A15" s="653"/>
      <c r="B15" s="610"/>
      <c r="C15" s="606"/>
      <c r="D15" s="662"/>
      <c r="E15" s="145" t="s">
        <v>696</v>
      </c>
      <c r="F15" s="119">
        <v>1</v>
      </c>
      <c r="G15" s="119">
        <v>1</v>
      </c>
      <c r="H15" s="119">
        <v>1</v>
      </c>
      <c r="I15" s="119">
        <v>1</v>
      </c>
      <c r="J15" s="119">
        <v>1</v>
      </c>
      <c r="K15" s="119">
        <v>1</v>
      </c>
      <c r="L15" s="119">
        <v>1</v>
      </c>
      <c r="M15" s="119">
        <v>1</v>
      </c>
      <c r="N15" s="119">
        <v>1</v>
      </c>
      <c r="O15" s="119">
        <v>1</v>
      </c>
      <c r="P15" s="119">
        <v>1</v>
      </c>
      <c r="Q15" s="119">
        <v>1</v>
      </c>
      <c r="R15" s="119">
        <v>1</v>
      </c>
      <c r="S15" s="119">
        <v>1</v>
      </c>
      <c r="T15" s="119">
        <v>1</v>
      </c>
      <c r="U15" s="119">
        <v>1</v>
      </c>
      <c r="V15" s="119">
        <v>1</v>
      </c>
      <c r="W15" s="119">
        <v>1</v>
      </c>
      <c r="X15" s="119">
        <v>1</v>
      </c>
      <c r="Y15" s="119">
        <v>1</v>
      </c>
      <c r="Z15" s="119">
        <v>1</v>
      </c>
      <c r="AA15" s="119">
        <v>1</v>
      </c>
      <c r="AB15" s="119">
        <v>1</v>
      </c>
      <c r="AC15" s="120">
        <v>1</v>
      </c>
      <c r="AE15" s="44"/>
      <c r="AF15" s="44"/>
      <c r="AG15" s="44"/>
      <c r="AH15" s="44"/>
      <c r="AI15" s="44"/>
      <c r="AJ15" s="44"/>
      <c r="AK15" s="44"/>
      <c r="AL15" s="44"/>
      <c r="AM15" s="44"/>
      <c r="AN15" s="44"/>
      <c r="AO15" s="44"/>
      <c r="AP15" s="44"/>
      <c r="AQ15" s="44"/>
      <c r="AR15" s="44"/>
      <c r="AS15" s="44"/>
      <c r="AT15" s="44"/>
      <c r="AU15" s="44"/>
      <c r="AV15" s="44"/>
      <c r="AW15" s="44"/>
      <c r="AX15" s="44"/>
    </row>
    <row r="16" spans="1:57" ht="39.9" customHeight="1" x14ac:dyDescent="0.3">
      <c r="A16" s="654" t="s">
        <v>691</v>
      </c>
      <c r="B16" s="611" t="str">
        <f>B4</f>
        <v>ResidentialLiving</v>
      </c>
      <c r="C16" s="605" t="s">
        <v>701</v>
      </c>
      <c r="D16" s="600" t="s">
        <v>693</v>
      </c>
      <c r="E16" s="142" t="s">
        <v>694</v>
      </c>
      <c r="F16" s="113">
        <v>0.13100000000000001</v>
      </c>
      <c r="G16" s="113">
        <v>7.4999999999999997E-2</v>
      </c>
      <c r="H16" s="113">
        <v>8.4000000000000005E-2</v>
      </c>
      <c r="I16" s="113">
        <v>0.10299999999999999</v>
      </c>
      <c r="J16" s="113">
        <v>0.187</v>
      </c>
      <c r="K16" s="113">
        <v>0.41099999999999998</v>
      </c>
      <c r="L16" s="113">
        <v>0.83199999999999996</v>
      </c>
      <c r="M16" s="113">
        <v>1</v>
      </c>
      <c r="N16" s="113">
        <v>0.83199999999999996</v>
      </c>
      <c r="O16" s="113">
        <v>0.61699999999999999</v>
      </c>
      <c r="P16" s="113">
        <v>0.48599999999999999</v>
      </c>
      <c r="Q16" s="113">
        <v>0.35499999999999998</v>
      </c>
      <c r="R16" s="113">
        <v>0.33600000000000002</v>
      </c>
      <c r="S16" s="113">
        <v>0.308</v>
      </c>
      <c r="T16" s="113">
        <v>0.29899999999999999</v>
      </c>
      <c r="U16" s="113">
        <v>0.24299999999999999</v>
      </c>
      <c r="V16" s="113">
        <v>0.39300000000000002</v>
      </c>
      <c r="W16" s="113">
        <v>0.44900000000000001</v>
      </c>
      <c r="X16" s="113">
        <v>0.48599999999999999</v>
      </c>
      <c r="Y16" s="113">
        <v>0.439</v>
      </c>
      <c r="Z16" s="113">
        <v>0.39300000000000002</v>
      </c>
      <c r="AA16" s="113">
        <v>0.36399999999999999</v>
      </c>
      <c r="AB16" s="113">
        <v>0.33600000000000002</v>
      </c>
      <c r="AC16" s="114">
        <v>0.20599999999999999</v>
      </c>
      <c r="AE16" s="44"/>
      <c r="AF16" s="44"/>
      <c r="AG16" s="44"/>
      <c r="AH16" s="44"/>
      <c r="AI16" s="44"/>
      <c r="AJ16" s="44"/>
      <c r="AK16" s="44"/>
      <c r="AL16" s="44"/>
      <c r="AM16" s="44"/>
      <c r="AN16" s="44"/>
      <c r="AO16" s="44"/>
      <c r="AP16" s="44"/>
      <c r="AQ16" s="44"/>
      <c r="AR16" s="44"/>
      <c r="AS16" s="44"/>
      <c r="AT16" s="44"/>
      <c r="AU16" s="44"/>
      <c r="AV16" s="44"/>
      <c r="AW16" s="44"/>
      <c r="AX16" s="44"/>
    </row>
    <row r="17" spans="1:50" ht="39.9" customHeight="1" x14ac:dyDescent="0.3">
      <c r="A17" s="649"/>
      <c r="B17" s="606"/>
      <c r="C17" s="606"/>
      <c r="D17" s="601"/>
      <c r="E17" s="143" t="s">
        <v>695</v>
      </c>
      <c r="F17" s="115">
        <v>0.217</v>
      </c>
      <c r="G17" s="115">
        <v>0.12</v>
      </c>
      <c r="H17" s="115">
        <v>0.108</v>
      </c>
      <c r="I17" s="115">
        <v>9.6000000000000002E-2</v>
      </c>
      <c r="J17" s="115">
        <v>0.18099999999999999</v>
      </c>
      <c r="K17" s="115">
        <v>0.27700000000000002</v>
      </c>
      <c r="L17" s="115">
        <v>0.313</v>
      </c>
      <c r="M17" s="115">
        <v>0.56599999999999995</v>
      </c>
      <c r="N17" s="115">
        <v>0.92800000000000005</v>
      </c>
      <c r="O17" s="115">
        <v>1</v>
      </c>
      <c r="P17" s="115">
        <v>0.89200000000000002</v>
      </c>
      <c r="Q17" s="115">
        <v>0.73499999999999999</v>
      </c>
      <c r="R17" s="115">
        <v>0.61399999999999999</v>
      </c>
      <c r="S17" s="115">
        <v>0.51800000000000002</v>
      </c>
      <c r="T17" s="115">
        <v>0.47</v>
      </c>
      <c r="U17" s="115">
        <v>0.47</v>
      </c>
      <c r="V17" s="115">
        <v>0.627</v>
      </c>
      <c r="W17" s="115">
        <v>0.69899999999999995</v>
      </c>
      <c r="X17" s="115">
        <v>0.67500000000000004</v>
      </c>
      <c r="Y17" s="115">
        <v>0.627</v>
      </c>
      <c r="Z17" s="115">
        <v>0.56599999999999995</v>
      </c>
      <c r="AA17" s="115">
        <v>0.53</v>
      </c>
      <c r="AB17" s="115">
        <v>0.48199999999999998</v>
      </c>
      <c r="AC17" s="116">
        <v>0.33700000000000002</v>
      </c>
      <c r="AE17" s="44"/>
      <c r="AF17" s="44"/>
      <c r="AG17" s="44"/>
      <c r="AH17" s="44"/>
      <c r="AI17" s="44"/>
      <c r="AJ17" s="44"/>
      <c r="AK17" s="44"/>
      <c r="AL17" s="44"/>
      <c r="AM17" s="44"/>
      <c r="AN17" s="44"/>
      <c r="AO17" s="44"/>
      <c r="AP17" s="44"/>
      <c r="AQ17" s="44"/>
      <c r="AR17" s="44"/>
      <c r="AS17" s="44"/>
      <c r="AT17" s="44"/>
      <c r="AU17" s="44"/>
      <c r="AV17" s="44"/>
      <c r="AW17" s="44"/>
      <c r="AX17" s="44"/>
    </row>
    <row r="18" spans="1:50" ht="39.9" customHeight="1" thickBot="1" x14ac:dyDescent="0.35">
      <c r="A18" s="650"/>
      <c r="B18" s="607"/>
      <c r="C18" s="607"/>
      <c r="D18" s="601"/>
      <c r="E18" s="144" t="s">
        <v>696</v>
      </c>
      <c r="F18" s="117">
        <v>0.217</v>
      </c>
      <c r="G18" s="117">
        <v>0.12</v>
      </c>
      <c r="H18" s="117">
        <v>0.108</v>
      </c>
      <c r="I18" s="117">
        <v>9.6000000000000002E-2</v>
      </c>
      <c r="J18" s="117">
        <v>0.18099999999999999</v>
      </c>
      <c r="K18" s="117">
        <v>0.27700000000000002</v>
      </c>
      <c r="L18" s="117">
        <v>0.313</v>
      </c>
      <c r="M18" s="117">
        <v>0.56599999999999995</v>
      </c>
      <c r="N18" s="117">
        <v>0.92800000000000005</v>
      </c>
      <c r="O18" s="117">
        <v>1</v>
      </c>
      <c r="P18" s="117">
        <v>0.89200000000000002</v>
      </c>
      <c r="Q18" s="117">
        <v>0.73499999999999999</v>
      </c>
      <c r="R18" s="117">
        <v>0.61399999999999999</v>
      </c>
      <c r="S18" s="117">
        <v>0.51800000000000002</v>
      </c>
      <c r="T18" s="117">
        <v>0.47</v>
      </c>
      <c r="U18" s="117">
        <v>0.47</v>
      </c>
      <c r="V18" s="117">
        <v>0.627</v>
      </c>
      <c r="W18" s="117">
        <v>0.69899999999999995</v>
      </c>
      <c r="X18" s="117">
        <v>0.67500000000000004</v>
      </c>
      <c r="Y18" s="117">
        <v>0.627</v>
      </c>
      <c r="Z18" s="117">
        <v>0.56599999999999995</v>
      </c>
      <c r="AA18" s="117">
        <v>0.53</v>
      </c>
      <c r="AB18" s="117">
        <v>0.48199999999999998</v>
      </c>
      <c r="AC18" s="118">
        <v>0.33700000000000002</v>
      </c>
      <c r="AE18" s="44"/>
      <c r="AF18" s="44"/>
      <c r="AG18" s="44"/>
      <c r="AH18" s="44"/>
      <c r="AI18" s="44"/>
      <c r="AJ18" s="44"/>
      <c r="AK18" s="44"/>
      <c r="AL18" s="44"/>
      <c r="AM18" s="44"/>
      <c r="AN18" s="44"/>
      <c r="AO18" s="44"/>
      <c r="AP18" s="44"/>
      <c r="AQ18" s="44"/>
      <c r="AR18" s="44"/>
      <c r="AS18" s="44"/>
      <c r="AT18" s="44"/>
      <c r="AU18" s="44"/>
      <c r="AV18" s="44"/>
      <c r="AW18" s="44"/>
      <c r="AX18" s="44"/>
    </row>
    <row r="19" spans="1:50" ht="39.9" customHeight="1" x14ac:dyDescent="0.3">
      <c r="A19" s="651" t="s">
        <v>691</v>
      </c>
      <c r="B19" s="608" t="str">
        <f>B4</f>
        <v>ResidentialLiving</v>
      </c>
      <c r="C19" s="608" t="s">
        <v>702</v>
      </c>
      <c r="D19" s="600" t="s">
        <v>693</v>
      </c>
      <c r="E19" s="142" t="s">
        <v>694</v>
      </c>
      <c r="F19" s="113">
        <v>0</v>
      </c>
      <c r="G19" s="113">
        <v>0</v>
      </c>
      <c r="H19" s="113">
        <v>0</v>
      </c>
      <c r="I19" s="113">
        <v>0</v>
      </c>
      <c r="J19" s="113">
        <v>0</v>
      </c>
      <c r="K19" s="113">
        <v>0</v>
      </c>
      <c r="L19" s="113">
        <v>0.5</v>
      </c>
      <c r="M19" s="113">
        <v>0.5</v>
      </c>
      <c r="N19" s="113">
        <v>0</v>
      </c>
      <c r="O19" s="113">
        <v>0</v>
      </c>
      <c r="P19" s="113">
        <v>0</v>
      </c>
      <c r="Q19" s="113">
        <v>0.2</v>
      </c>
      <c r="R19" s="113">
        <v>0.2</v>
      </c>
      <c r="S19" s="113">
        <v>0</v>
      </c>
      <c r="T19" s="113">
        <v>0</v>
      </c>
      <c r="U19" s="113">
        <v>0</v>
      </c>
      <c r="V19" s="113">
        <v>0.5</v>
      </c>
      <c r="W19" s="113">
        <v>0.5</v>
      </c>
      <c r="X19" s="113">
        <v>0.5</v>
      </c>
      <c r="Y19" s="113">
        <v>0</v>
      </c>
      <c r="Z19" s="113">
        <v>0</v>
      </c>
      <c r="AA19" s="113">
        <v>0</v>
      </c>
      <c r="AB19" s="113">
        <v>0</v>
      </c>
      <c r="AC19" s="114">
        <v>0</v>
      </c>
      <c r="AE19" s="44"/>
      <c r="AF19" s="44"/>
      <c r="AG19" s="44"/>
      <c r="AH19" s="44"/>
      <c r="AI19" s="44"/>
      <c r="AJ19" s="44"/>
      <c r="AK19" s="44"/>
      <c r="AL19" s="44"/>
      <c r="AM19" s="44"/>
      <c r="AN19" s="44"/>
      <c r="AO19" s="44"/>
      <c r="AP19" s="44"/>
      <c r="AQ19" s="44"/>
      <c r="AR19" s="44"/>
      <c r="AS19" s="44"/>
      <c r="AT19" s="44"/>
      <c r="AU19" s="44"/>
      <c r="AV19" s="44"/>
      <c r="AW19" s="44"/>
      <c r="AX19" s="44"/>
    </row>
    <row r="20" spans="1:50" ht="39.9" customHeight="1" x14ac:dyDescent="0.3">
      <c r="A20" s="655"/>
      <c r="B20" s="606"/>
      <c r="C20" s="606"/>
      <c r="D20" s="601"/>
      <c r="E20" s="143" t="s">
        <v>695</v>
      </c>
      <c r="F20" s="115">
        <v>0</v>
      </c>
      <c r="G20" s="115">
        <v>0</v>
      </c>
      <c r="H20" s="115">
        <v>0</v>
      </c>
      <c r="I20" s="115">
        <v>0</v>
      </c>
      <c r="J20" s="115">
        <v>0</v>
      </c>
      <c r="K20" s="115">
        <v>0</v>
      </c>
      <c r="L20" s="115">
        <v>0.5</v>
      </c>
      <c r="M20" s="115">
        <v>0.5</v>
      </c>
      <c r="N20" s="115">
        <v>0</v>
      </c>
      <c r="O20" s="115">
        <v>0</v>
      </c>
      <c r="P20" s="115">
        <v>0</v>
      </c>
      <c r="Q20" s="115">
        <v>0.2</v>
      </c>
      <c r="R20" s="115">
        <v>0.2</v>
      </c>
      <c r="S20" s="115">
        <v>0</v>
      </c>
      <c r="T20" s="115">
        <v>0</v>
      </c>
      <c r="U20" s="115">
        <v>0</v>
      </c>
      <c r="V20" s="115">
        <v>0.5</v>
      </c>
      <c r="W20" s="115">
        <v>0.5</v>
      </c>
      <c r="X20" s="115">
        <v>0.5</v>
      </c>
      <c r="Y20" s="115">
        <v>0</v>
      </c>
      <c r="Z20" s="115">
        <v>0</v>
      </c>
      <c r="AA20" s="115">
        <v>0</v>
      </c>
      <c r="AB20" s="115">
        <v>0</v>
      </c>
      <c r="AC20" s="116">
        <v>0</v>
      </c>
      <c r="AE20" s="44"/>
      <c r="AF20" s="44"/>
      <c r="AG20" s="44"/>
      <c r="AH20" s="44"/>
      <c r="AI20" s="44"/>
      <c r="AJ20" s="44"/>
      <c r="AK20" s="44"/>
      <c r="AL20" s="44"/>
      <c r="AM20" s="44"/>
      <c r="AN20" s="44"/>
      <c r="AO20" s="44"/>
      <c r="AP20" s="44"/>
      <c r="AQ20" s="44"/>
      <c r="AR20" s="44"/>
      <c r="AS20" s="44"/>
      <c r="AT20" s="44"/>
      <c r="AU20" s="44"/>
      <c r="AV20" s="44"/>
      <c r="AW20" s="44"/>
      <c r="AX20" s="44"/>
    </row>
    <row r="21" spans="1:50" ht="39.9" customHeight="1" thickBot="1" x14ac:dyDescent="0.35">
      <c r="A21" s="653"/>
      <c r="B21" s="610"/>
      <c r="C21" s="610"/>
      <c r="D21" s="601"/>
      <c r="E21" s="145" t="s">
        <v>696</v>
      </c>
      <c r="F21" s="119">
        <v>0</v>
      </c>
      <c r="G21" s="119">
        <v>0</v>
      </c>
      <c r="H21" s="119">
        <v>0</v>
      </c>
      <c r="I21" s="119">
        <v>0</v>
      </c>
      <c r="J21" s="119">
        <v>0</v>
      </c>
      <c r="K21" s="119">
        <v>0</v>
      </c>
      <c r="L21" s="119">
        <v>0.5</v>
      </c>
      <c r="M21" s="119">
        <v>0.5</v>
      </c>
      <c r="N21" s="119">
        <v>0</v>
      </c>
      <c r="O21" s="119">
        <v>0</v>
      </c>
      <c r="P21" s="119">
        <v>0</v>
      </c>
      <c r="Q21" s="119">
        <v>0.2</v>
      </c>
      <c r="R21" s="119">
        <v>0.2</v>
      </c>
      <c r="S21" s="119">
        <v>0</v>
      </c>
      <c r="T21" s="119">
        <v>0</v>
      </c>
      <c r="U21" s="119">
        <v>0</v>
      </c>
      <c r="V21" s="119">
        <v>0.5</v>
      </c>
      <c r="W21" s="119">
        <v>0.5</v>
      </c>
      <c r="X21" s="119">
        <v>0.5</v>
      </c>
      <c r="Y21" s="119">
        <v>0</v>
      </c>
      <c r="Z21" s="119">
        <v>0</v>
      </c>
      <c r="AA21" s="119">
        <v>0</v>
      </c>
      <c r="AB21" s="119">
        <v>0</v>
      </c>
      <c r="AC21" s="120">
        <v>0</v>
      </c>
      <c r="AE21" s="44"/>
      <c r="AF21" s="44"/>
      <c r="AG21" s="44"/>
      <c r="AH21" s="44"/>
      <c r="AI21" s="44"/>
      <c r="AJ21" s="44"/>
      <c r="AK21" s="44"/>
      <c r="AL21" s="44"/>
      <c r="AM21" s="44"/>
      <c r="AN21" s="44"/>
      <c r="AO21" s="44"/>
      <c r="AP21" s="44"/>
      <c r="AQ21" s="44"/>
      <c r="AR21" s="44"/>
      <c r="AS21" s="44"/>
      <c r="AT21" s="44"/>
      <c r="AU21" s="44"/>
      <c r="AV21" s="44"/>
      <c r="AW21" s="44"/>
      <c r="AX21" s="44"/>
    </row>
    <row r="22" spans="1:50" ht="39.9" customHeight="1" x14ac:dyDescent="0.3">
      <c r="A22" s="654" t="s">
        <v>691</v>
      </c>
      <c r="B22" s="611" t="str">
        <f>B4</f>
        <v>ResidentialLiving</v>
      </c>
      <c r="C22" s="611" t="s">
        <v>703</v>
      </c>
      <c r="D22" s="602" t="s">
        <v>693</v>
      </c>
      <c r="E22" s="213" t="s">
        <v>694</v>
      </c>
      <c r="F22" s="256">
        <f>IF(OR(F$3&lt;=6,F$3&gt;=23),Thermostat!$B$4,Thermostat!$B$3)</f>
        <v>60</v>
      </c>
      <c r="G22" s="256">
        <f>IF(OR(G$3&lt;=6,G$3&gt;=23),Thermostat!$B$4,Thermostat!$B$3)</f>
        <v>60</v>
      </c>
      <c r="H22" s="256">
        <f>IF(OR(H$3&lt;=6,H$3&gt;=23),Thermostat!$B$4,Thermostat!$B$3)</f>
        <v>60</v>
      </c>
      <c r="I22" s="256">
        <f>IF(OR(I$3&lt;=6,I$3&gt;=23),Thermostat!$B$4,Thermostat!$B$3)</f>
        <v>60</v>
      </c>
      <c r="J22" s="256">
        <f>IF(OR(J$3&lt;=6,J$3&gt;=23),Thermostat!$B$4,Thermostat!$B$3)</f>
        <v>60</v>
      </c>
      <c r="K22" s="256">
        <f>IF(OR(K$3&lt;=6,K$3&gt;=23),Thermostat!$B$4,Thermostat!$B$3)</f>
        <v>60</v>
      </c>
      <c r="L22" s="256">
        <f>IF(OR(L$3&lt;=6,L$3&gt;=23),Thermostat!$B$4,Thermostat!$B$3)</f>
        <v>68</v>
      </c>
      <c r="M22" s="256">
        <f>IF(OR(M$3&lt;=6,M$3&gt;=23),Thermostat!$B$4,Thermostat!$B$3)</f>
        <v>68</v>
      </c>
      <c r="N22" s="256">
        <f>IF(OR(N$3&lt;=6,N$3&gt;=23),Thermostat!$B$4,Thermostat!$B$3)</f>
        <v>68</v>
      </c>
      <c r="O22" s="256">
        <f>IF(OR(O$3&lt;=6,O$3&gt;=23),Thermostat!$B$4,Thermostat!$B$3)</f>
        <v>68</v>
      </c>
      <c r="P22" s="256">
        <f>IF(OR(P$3&lt;=6,P$3&gt;=23),Thermostat!$B$4,Thermostat!$B$3)</f>
        <v>68</v>
      </c>
      <c r="Q22" s="256">
        <f>IF(OR(Q$3&lt;=6,Q$3&gt;=23),Thermostat!$B$4,Thermostat!$B$3)</f>
        <v>68</v>
      </c>
      <c r="R22" s="256">
        <f>IF(OR(R$3&lt;=6,R$3&gt;=23),Thermostat!$B$4,Thermostat!$B$3)</f>
        <v>68</v>
      </c>
      <c r="S22" s="256">
        <f>IF(OR(S$3&lt;=6,S$3&gt;=23),Thermostat!$B$4,Thermostat!$B$3)</f>
        <v>68</v>
      </c>
      <c r="T22" s="256">
        <f>IF(OR(T$3&lt;=6,T$3&gt;=23),Thermostat!$B$4,Thermostat!$B$3)</f>
        <v>68</v>
      </c>
      <c r="U22" s="256">
        <f>IF(OR(U$3&lt;=6,U$3&gt;=23),Thermostat!$B$4,Thermostat!$B$3)</f>
        <v>68</v>
      </c>
      <c r="V22" s="256">
        <f>IF(OR(V$3&lt;=6,V$3&gt;=23),Thermostat!$B$4,Thermostat!$B$3)</f>
        <v>68</v>
      </c>
      <c r="W22" s="256">
        <f>IF(OR(W$3&lt;=6,W$3&gt;=23),Thermostat!$B$4,Thermostat!$B$3)</f>
        <v>68</v>
      </c>
      <c r="X22" s="256">
        <f>IF(OR(X$3&lt;=6,X$3&gt;=23),Thermostat!$B$4,Thermostat!$B$3)</f>
        <v>68</v>
      </c>
      <c r="Y22" s="256">
        <f>IF(OR(Y$3&lt;=6,Y$3&gt;=23),Thermostat!$B$4,Thermostat!$B$3)</f>
        <v>68</v>
      </c>
      <c r="Z22" s="256">
        <f>IF(OR(Z$3&lt;=6,Z$3&gt;=23),Thermostat!$B$4,Thermostat!$B$3)</f>
        <v>68</v>
      </c>
      <c r="AA22" s="256">
        <f>IF(OR(AA$3&lt;=6,AA$3&gt;=23),Thermostat!$B$4,Thermostat!$B$3)</f>
        <v>68</v>
      </c>
      <c r="AB22" s="256">
        <f>IF(OR(AB$3&lt;=6,AB$3&gt;=23),Thermostat!$B$4,Thermostat!$B$3)</f>
        <v>60</v>
      </c>
      <c r="AC22" s="257">
        <f>IF(OR(AC$3&lt;=6,AC$3&gt;=23),Thermostat!$B$4,Thermostat!$B$3)</f>
        <v>60</v>
      </c>
      <c r="AE22" s="44"/>
      <c r="AF22" s="44"/>
      <c r="AG22" s="44"/>
      <c r="AH22" s="44"/>
      <c r="AI22" s="44"/>
      <c r="AJ22" s="44"/>
      <c r="AK22" s="44"/>
      <c r="AL22" s="44"/>
      <c r="AM22" s="44"/>
      <c r="AN22" s="44"/>
      <c r="AO22" s="44"/>
      <c r="AP22" s="44"/>
      <c r="AQ22" s="44"/>
      <c r="AR22" s="44"/>
      <c r="AS22" s="44"/>
      <c r="AT22" s="44"/>
      <c r="AU22" s="44"/>
      <c r="AV22" s="44"/>
      <c r="AW22" s="44"/>
      <c r="AX22" s="44"/>
    </row>
    <row r="23" spans="1:50" ht="39.9" customHeight="1" x14ac:dyDescent="0.3">
      <c r="A23" s="649"/>
      <c r="B23" s="606"/>
      <c r="C23" s="606"/>
      <c r="D23" s="603"/>
      <c r="E23" s="215" t="s">
        <v>695</v>
      </c>
      <c r="F23" s="258">
        <f>IF(OR(F$3&lt;=6,F$3&gt;=23),Thermostat!$B$4,Thermostat!$B$3)</f>
        <v>60</v>
      </c>
      <c r="G23" s="258">
        <f>IF(OR(G$3&lt;=6,G$3&gt;=23),Thermostat!$B$4,Thermostat!$B$3)</f>
        <v>60</v>
      </c>
      <c r="H23" s="258">
        <f>IF(OR(H$3&lt;=6,H$3&gt;=23),Thermostat!$B$4,Thermostat!$B$3)</f>
        <v>60</v>
      </c>
      <c r="I23" s="258">
        <f>IF(OR(I$3&lt;=6,I$3&gt;=23),Thermostat!$B$4,Thermostat!$B$3)</f>
        <v>60</v>
      </c>
      <c r="J23" s="258">
        <f>IF(OR(J$3&lt;=6,J$3&gt;=23),Thermostat!$B$4,Thermostat!$B$3)</f>
        <v>60</v>
      </c>
      <c r="K23" s="258">
        <f>IF(OR(K$3&lt;=6,K$3&gt;=23),Thermostat!$B$4,Thermostat!$B$3)</f>
        <v>60</v>
      </c>
      <c r="L23" s="258">
        <f>IF(OR(L$3&lt;=6,L$3&gt;=23),Thermostat!$B$4,Thermostat!$B$3)</f>
        <v>68</v>
      </c>
      <c r="M23" s="258">
        <f>IF(OR(M$3&lt;=6,M$3&gt;=23),Thermostat!$B$4,Thermostat!$B$3)</f>
        <v>68</v>
      </c>
      <c r="N23" s="258">
        <f>IF(OR(N$3&lt;=6,N$3&gt;=23),Thermostat!$B$4,Thermostat!$B$3)</f>
        <v>68</v>
      </c>
      <c r="O23" s="258">
        <f>IF(OR(O$3&lt;=6,O$3&gt;=23),Thermostat!$B$4,Thermostat!$B$3)</f>
        <v>68</v>
      </c>
      <c r="P23" s="258">
        <f>IF(OR(P$3&lt;=6,P$3&gt;=23),Thermostat!$B$4,Thermostat!$B$3)</f>
        <v>68</v>
      </c>
      <c r="Q23" s="258">
        <f>IF(OR(Q$3&lt;=6,Q$3&gt;=23),Thermostat!$B$4,Thermostat!$B$3)</f>
        <v>68</v>
      </c>
      <c r="R23" s="258">
        <f>IF(OR(R$3&lt;=6,R$3&gt;=23),Thermostat!$B$4,Thermostat!$B$3)</f>
        <v>68</v>
      </c>
      <c r="S23" s="258">
        <f>IF(OR(S$3&lt;=6,S$3&gt;=23),Thermostat!$B$4,Thermostat!$B$3)</f>
        <v>68</v>
      </c>
      <c r="T23" s="258">
        <f>IF(OR(T$3&lt;=6,T$3&gt;=23),Thermostat!$B$4,Thermostat!$B$3)</f>
        <v>68</v>
      </c>
      <c r="U23" s="258">
        <f>IF(OR(U$3&lt;=6,U$3&gt;=23),Thermostat!$B$4,Thermostat!$B$3)</f>
        <v>68</v>
      </c>
      <c r="V23" s="258">
        <f>IF(OR(V$3&lt;=6,V$3&gt;=23),Thermostat!$B$4,Thermostat!$B$3)</f>
        <v>68</v>
      </c>
      <c r="W23" s="258">
        <f>IF(OR(W$3&lt;=6,W$3&gt;=23),Thermostat!$B$4,Thermostat!$B$3)</f>
        <v>68</v>
      </c>
      <c r="X23" s="258">
        <f>IF(OR(X$3&lt;=6,X$3&gt;=23),Thermostat!$B$4,Thermostat!$B$3)</f>
        <v>68</v>
      </c>
      <c r="Y23" s="258">
        <f>IF(OR(Y$3&lt;=6,Y$3&gt;=23),Thermostat!$B$4,Thermostat!$B$3)</f>
        <v>68</v>
      </c>
      <c r="Z23" s="258">
        <f>IF(OR(Z$3&lt;=6,Z$3&gt;=23),Thermostat!$B$4,Thermostat!$B$3)</f>
        <v>68</v>
      </c>
      <c r="AA23" s="258">
        <f>IF(OR(AA$3&lt;=6,AA$3&gt;=23),Thermostat!$B$4,Thermostat!$B$3)</f>
        <v>68</v>
      </c>
      <c r="AB23" s="258">
        <f>IF(OR(AB$3&lt;=6,AB$3&gt;=23),Thermostat!$B$4,Thermostat!$B$3)</f>
        <v>60</v>
      </c>
      <c r="AC23" s="259">
        <f>IF(OR(AC$3&lt;=6,AC$3&gt;=23),Thermostat!$B$4,Thermostat!$B$3)</f>
        <v>60</v>
      </c>
      <c r="AE23" s="44"/>
      <c r="AF23" s="44"/>
      <c r="AG23" s="44"/>
      <c r="AH23" s="44"/>
      <c r="AI23" s="44"/>
      <c r="AJ23" s="44"/>
      <c r="AK23" s="44"/>
      <c r="AL23" s="44"/>
      <c r="AM23" s="44"/>
      <c r="AN23" s="44"/>
      <c r="AO23" s="44"/>
      <c r="AP23" s="44"/>
      <c r="AQ23" s="44"/>
      <c r="AR23" s="44"/>
      <c r="AS23" s="44"/>
      <c r="AT23" s="44"/>
      <c r="AU23" s="44"/>
      <c r="AV23" s="44"/>
      <c r="AW23" s="44"/>
      <c r="AX23" s="44"/>
    </row>
    <row r="24" spans="1:50" ht="39.9" customHeight="1" thickBot="1" x14ac:dyDescent="0.35">
      <c r="A24" s="649"/>
      <c r="B24" s="606"/>
      <c r="C24" s="606"/>
      <c r="D24" s="603"/>
      <c r="E24" s="220" t="s">
        <v>696</v>
      </c>
      <c r="F24" s="260">
        <f>IF(OR(F$3&lt;=6,F$3&gt;=23),Thermostat!$B$4,Thermostat!$B$3)</f>
        <v>60</v>
      </c>
      <c r="G24" s="260">
        <f>IF(OR(G$3&lt;=6,G$3&gt;=23),Thermostat!$B$4,Thermostat!$B$3)</f>
        <v>60</v>
      </c>
      <c r="H24" s="260">
        <f>IF(OR(H$3&lt;=6,H$3&gt;=23),Thermostat!$B$4,Thermostat!$B$3)</f>
        <v>60</v>
      </c>
      <c r="I24" s="260">
        <f>IF(OR(I$3&lt;=6,I$3&gt;=23),Thermostat!$B$4,Thermostat!$B$3)</f>
        <v>60</v>
      </c>
      <c r="J24" s="260">
        <f>IF(OR(J$3&lt;=6,J$3&gt;=23),Thermostat!$B$4,Thermostat!$B$3)</f>
        <v>60</v>
      </c>
      <c r="K24" s="260">
        <f>IF(OR(K$3&lt;=6,K$3&gt;=23),Thermostat!$B$4,Thermostat!$B$3)</f>
        <v>60</v>
      </c>
      <c r="L24" s="260">
        <f>IF(OR(L$3&lt;=6,L$3&gt;=23),Thermostat!$B$4,Thermostat!$B$3)</f>
        <v>68</v>
      </c>
      <c r="M24" s="260">
        <f>IF(OR(M$3&lt;=6,M$3&gt;=23),Thermostat!$B$4,Thermostat!$B$3)</f>
        <v>68</v>
      </c>
      <c r="N24" s="260">
        <f>IF(OR(N$3&lt;=6,N$3&gt;=23),Thermostat!$B$4,Thermostat!$B$3)</f>
        <v>68</v>
      </c>
      <c r="O24" s="260">
        <f>IF(OR(O$3&lt;=6,O$3&gt;=23),Thermostat!$B$4,Thermostat!$B$3)</f>
        <v>68</v>
      </c>
      <c r="P24" s="260">
        <f>IF(OR(P$3&lt;=6,P$3&gt;=23),Thermostat!$B$4,Thermostat!$B$3)</f>
        <v>68</v>
      </c>
      <c r="Q24" s="260">
        <f>IF(OR(Q$3&lt;=6,Q$3&gt;=23),Thermostat!$B$4,Thermostat!$B$3)</f>
        <v>68</v>
      </c>
      <c r="R24" s="260">
        <f>IF(OR(R$3&lt;=6,R$3&gt;=23),Thermostat!$B$4,Thermostat!$B$3)</f>
        <v>68</v>
      </c>
      <c r="S24" s="260">
        <f>IF(OR(S$3&lt;=6,S$3&gt;=23),Thermostat!$B$4,Thermostat!$B$3)</f>
        <v>68</v>
      </c>
      <c r="T24" s="260">
        <f>IF(OR(T$3&lt;=6,T$3&gt;=23),Thermostat!$B$4,Thermostat!$B$3)</f>
        <v>68</v>
      </c>
      <c r="U24" s="260">
        <f>IF(OR(U$3&lt;=6,U$3&gt;=23),Thermostat!$B$4,Thermostat!$B$3)</f>
        <v>68</v>
      </c>
      <c r="V24" s="260">
        <f>IF(OR(V$3&lt;=6,V$3&gt;=23),Thermostat!$B$4,Thermostat!$B$3)</f>
        <v>68</v>
      </c>
      <c r="W24" s="260">
        <f>IF(OR(W$3&lt;=6,W$3&gt;=23),Thermostat!$B$4,Thermostat!$B$3)</f>
        <v>68</v>
      </c>
      <c r="X24" s="260">
        <f>IF(OR(X$3&lt;=6,X$3&gt;=23),Thermostat!$B$4,Thermostat!$B$3)</f>
        <v>68</v>
      </c>
      <c r="Y24" s="260">
        <f>IF(OR(Y$3&lt;=6,Y$3&gt;=23),Thermostat!$B$4,Thermostat!$B$3)</f>
        <v>68</v>
      </c>
      <c r="Z24" s="260">
        <f>IF(OR(Z$3&lt;=6,Z$3&gt;=23),Thermostat!$B$4,Thermostat!$B$3)</f>
        <v>68</v>
      </c>
      <c r="AA24" s="260">
        <f>IF(OR(AA$3&lt;=6,AA$3&gt;=23),Thermostat!$B$4,Thermostat!$B$3)</f>
        <v>68</v>
      </c>
      <c r="AB24" s="260">
        <f>IF(OR(AB$3&lt;=6,AB$3&gt;=23),Thermostat!$B$4,Thermostat!$B$3)</f>
        <v>60</v>
      </c>
      <c r="AC24" s="261">
        <f>IF(OR(AC$3&lt;=6,AC$3&gt;=23),Thermostat!$B$4,Thermostat!$B$3)</f>
        <v>60</v>
      </c>
      <c r="AE24" s="44"/>
      <c r="AF24" s="44"/>
      <c r="AG24" s="44"/>
      <c r="AH24" s="44"/>
      <c r="AI24" s="44"/>
      <c r="AJ24" s="44"/>
      <c r="AK24" s="44"/>
      <c r="AL24" s="44"/>
      <c r="AM24" s="44"/>
      <c r="AN24" s="44"/>
      <c r="AO24" s="44"/>
      <c r="AP24" s="44"/>
      <c r="AQ24" s="44"/>
      <c r="AR24" s="44"/>
      <c r="AS24" s="44"/>
      <c r="AT24" s="44"/>
      <c r="AU24" s="44"/>
      <c r="AV24" s="44"/>
      <c r="AW24" s="44"/>
      <c r="AX24" s="44"/>
    </row>
    <row r="25" spans="1:50" ht="39.9" customHeight="1" x14ac:dyDescent="0.3">
      <c r="A25" s="648" t="s">
        <v>691</v>
      </c>
      <c r="B25" s="605" t="str">
        <f>B4</f>
        <v>ResidentialLiving</v>
      </c>
      <c r="C25" s="605" t="s">
        <v>704</v>
      </c>
      <c r="D25" s="602" t="s">
        <v>693</v>
      </c>
      <c r="E25" s="213" t="s">
        <v>694</v>
      </c>
      <c r="F25" s="205">
        <f>IF(F16=0,Thermostat!$B$6,Thermostat!$B$5)</f>
        <v>78</v>
      </c>
      <c r="G25" s="205">
        <f>IF(G16=0,Thermostat!$B$6,Thermostat!$B$5)</f>
        <v>78</v>
      </c>
      <c r="H25" s="205">
        <f>IF(H16=0,Thermostat!$B$6,Thermostat!$B$5)</f>
        <v>78</v>
      </c>
      <c r="I25" s="205">
        <f>IF(I16=0,Thermostat!$B$6,Thermostat!$B$5)</f>
        <v>78</v>
      </c>
      <c r="J25" s="205">
        <f>IF(J16=0,Thermostat!$B$6,Thermostat!$B$5)</f>
        <v>78</v>
      </c>
      <c r="K25" s="205">
        <f>IF(K16=0,Thermostat!$B$6,Thermostat!$B$5)</f>
        <v>78</v>
      </c>
      <c r="L25" s="205">
        <f>IF(L16=0,Thermostat!$B$6,Thermostat!$B$5)</f>
        <v>78</v>
      </c>
      <c r="M25" s="205">
        <f>IF(M16=0,Thermostat!$B$6,Thermostat!$B$5)</f>
        <v>78</v>
      </c>
      <c r="N25" s="205">
        <f>IF(N16=0,Thermostat!$B$6,Thermostat!$B$5)</f>
        <v>78</v>
      </c>
      <c r="O25" s="205">
        <f>IF(O16=0,Thermostat!$B$6,Thermostat!$B$5)</f>
        <v>78</v>
      </c>
      <c r="P25" s="205">
        <f>IF(P16=0,Thermostat!$B$6,Thermostat!$B$5)</f>
        <v>78</v>
      </c>
      <c r="Q25" s="205">
        <f>IF(Q16=0,Thermostat!$B$6,Thermostat!$B$5)</f>
        <v>78</v>
      </c>
      <c r="R25" s="205">
        <f>IF(R16=0,Thermostat!$B$6,Thermostat!$B$5)</f>
        <v>78</v>
      </c>
      <c r="S25" s="205">
        <f>IF(S16=0,Thermostat!$B$6,Thermostat!$B$5)</f>
        <v>78</v>
      </c>
      <c r="T25" s="205">
        <f>IF(T16=0,Thermostat!$B$6,Thermostat!$B$5)</f>
        <v>78</v>
      </c>
      <c r="U25" s="205">
        <f>IF(U16=0,Thermostat!$B$6,Thermostat!$B$5)</f>
        <v>78</v>
      </c>
      <c r="V25" s="205">
        <f>IF(V16=0,Thermostat!$B$6,Thermostat!$B$5)</f>
        <v>78</v>
      </c>
      <c r="W25" s="205">
        <f>IF(W16=0,Thermostat!$B$6,Thermostat!$B$5)</f>
        <v>78</v>
      </c>
      <c r="X25" s="205">
        <f>IF(X16=0,Thermostat!$B$6,Thermostat!$B$5)</f>
        <v>78</v>
      </c>
      <c r="Y25" s="205">
        <f>IF(Y16=0,Thermostat!$B$6,Thermostat!$B$5)</f>
        <v>78</v>
      </c>
      <c r="Z25" s="205">
        <f>IF(Z16=0,Thermostat!$B$6,Thermostat!$B$5)</f>
        <v>78</v>
      </c>
      <c r="AA25" s="205">
        <f>IF(AA16=0,Thermostat!$B$6,Thermostat!$B$5)</f>
        <v>78</v>
      </c>
      <c r="AB25" s="205">
        <f>IF(AB16=0,Thermostat!$B$6,Thermostat!$B$5)</f>
        <v>78</v>
      </c>
      <c r="AC25" s="214">
        <f>IF(AC16=0,Thermostat!$B$6,Thermostat!$B$5)</f>
        <v>78</v>
      </c>
      <c r="AE25" s="44"/>
      <c r="AF25" s="44"/>
      <c r="AG25" s="44"/>
      <c r="AH25" s="44"/>
      <c r="AI25" s="44"/>
      <c r="AJ25" s="44"/>
      <c r="AK25" s="44"/>
      <c r="AL25" s="44"/>
      <c r="AM25" s="44"/>
      <c r="AN25" s="44"/>
      <c r="AO25" s="44"/>
      <c r="AP25" s="44"/>
      <c r="AQ25" s="44"/>
      <c r="AR25" s="44"/>
      <c r="AS25" s="44"/>
      <c r="AT25" s="44"/>
      <c r="AU25" s="44"/>
      <c r="AV25" s="44"/>
      <c r="AW25" s="44"/>
      <c r="AX25" s="44"/>
    </row>
    <row r="26" spans="1:50" ht="39.9" customHeight="1" x14ac:dyDescent="0.3">
      <c r="A26" s="649"/>
      <c r="B26" s="606"/>
      <c r="C26" s="606"/>
      <c r="D26" s="603"/>
      <c r="E26" s="215" t="s">
        <v>695</v>
      </c>
      <c r="F26" s="212">
        <f>IF(F17=0,Thermostat!$B$6,Thermostat!$B$5)</f>
        <v>78</v>
      </c>
      <c r="G26" s="212">
        <f>IF(G17=0,Thermostat!$B$6,Thermostat!$B$5)</f>
        <v>78</v>
      </c>
      <c r="H26" s="212">
        <f>IF(H17=0,Thermostat!$B$6,Thermostat!$B$5)</f>
        <v>78</v>
      </c>
      <c r="I26" s="212">
        <f>IF(I17=0,Thermostat!$B$6,Thermostat!$B$5)</f>
        <v>78</v>
      </c>
      <c r="J26" s="212">
        <f>IF(J17=0,Thermostat!$B$6,Thermostat!$B$5)</f>
        <v>78</v>
      </c>
      <c r="K26" s="212">
        <f>IF(K17=0,Thermostat!$B$6,Thermostat!$B$5)</f>
        <v>78</v>
      </c>
      <c r="L26" s="212">
        <f>IF(L17=0,Thermostat!$B$6,Thermostat!$B$5)</f>
        <v>78</v>
      </c>
      <c r="M26" s="212">
        <f>IF(M17=0,Thermostat!$B$6,Thermostat!$B$5)</f>
        <v>78</v>
      </c>
      <c r="N26" s="212">
        <f>IF(N17=0,Thermostat!$B$6,Thermostat!$B$5)</f>
        <v>78</v>
      </c>
      <c r="O26" s="212">
        <f>IF(O17=0,Thermostat!$B$6,Thermostat!$B$5)</f>
        <v>78</v>
      </c>
      <c r="P26" s="212">
        <f>IF(P17=0,Thermostat!$B$6,Thermostat!$B$5)</f>
        <v>78</v>
      </c>
      <c r="Q26" s="212">
        <f>IF(Q17=0,Thermostat!$B$6,Thermostat!$B$5)</f>
        <v>78</v>
      </c>
      <c r="R26" s="212">
        <f>IF(R17=0,Thermostat!$B$6,Thermostat!$B$5)</f>
        <v>78</v>
      </c>
      <c r="S26" s="212">
        <f>IF(S17=0,Thermostat!$B$6,Thermostat!$B$5)</f>
        <v>78</v>
      </c>
      <c r="T26" s="212">
        <f>IF(T17=0,Thermostat!$B$6,Thermostat!$B$5)</f>
        <v>78</v>
      </c>
      <c r="U26" s="212">
        <f>IF(U17=0,Thermostat!$B$6,Thermostat!$B$5)</f>
        <v>78</v>
      </c>
      <c r="V26" s="212">
        <f>IF(V17=0,Thermostat!$B$6,Thermostat!$B$5)</f>
        <v>78</v>
      </c>
      <c r="W26" s="212">
        <f>IF(W17=0,Thermostat!$B$6,Thermostat!$B$5)</f>
        <v>78</v>
      </c>
      <c r="X26" s="212">
        <f>IF(X17=0,Thermostat!$B$6,Thermostat!$B$5)</f>
        <v>78</v>
      </c>
      <c r="Y26" s="212">
        <f>IF(Y17=0,Thermostat!$B$6,Thermostat!$B$5)</f>
        <v>78</v>
      </c>
      <c r="Z26" s="212">
        <f>IF(Z17=0,Thermostat!$B$6,Thermostat!$B$5)</f>
        <v>78</v>
      </c>
      <c r="AA26" s="212">
        <f>IF(AA17=0,Thermostat!$B$6,Thermostat!$B$5)</f>
        <v>78</v>
      </c>
      <c r="AB26" s="212">
        <f>IF(AB17=0,Thermostat!$B$6,Thermostat!$B$5)</f>
        <v>78</v>
      </c>
      <c r="AC26" s="216">
        <f>IF(AC17=0,Thermostat!$B$6,Thermostat!$B$5)</f>
        <v>78</v>
      </c>
      <c r="AE26" s="44"/>
      <c r="AF26" s="44"/>
      <c r="AG26" s="44"/>
      <c r="AH26" s="44"/>
      <c r="AI26" s="44"/>
      <c r="AJ26" s="44"/>
      <c r="AK26" s="44"/>
      <c r="AL26" s="44"/>
      <c r="AM26" s="44"/>
      <c r="AN26" s="44"/>
      <c r="AO26" s="44"/>
      <c r="AP26" s="44"/>
      <c r="AQ26" s="44"/>
      <c r="AR26" s="44"/>
      <c r="AS26" s="44"/>
      <c r="AT26" s="44"/>
      <c r="AU26" s="44"/>
      <c r="AV26" s="44"/>
      <c r="AW26" s="44"/>
      <c r="AX26" s="44"/>
    </row>
    <row r="27" spans="1:50" ht="39.9" customHeight="1" thickBot="1" x14ac:dyDescent="0.35">
      <c r="A27" s="650"/>
      <c r="B27" s="607"/>
      <c r="C27" s="607"/>
      <c r="D27" s="604"/>
      <c r="E27" s="217" t="s">
        <v>696</v>
      </c>
      <c r="F27" s="218">
        <f>IF(F18=0,Thermostat!$B$6,Thermostat!$B$5)</f>
        <v>78</v>
      </c>
      <c r="G27" s="218">
        <f>IF(G18=0,Thermostat!$B$6,Thermostat!$B$5)</f>
        <v>78</v>
      </c>
      <c r="H27" s="218">
        <f>IF(H18=0,Thermostat!$B$6,Thermostat!$B$5)</f>
        <v>78</v>
      </c>
      <c r="I27" s="218">
        <f>IF(I18=0,Thermostat!$B$6,Thermostat!$B$5)</f>
        <v>78</v>
      </c>
      <c r="J27" s="218">
        <f>IF(J18=0,Thermostat!$B$6,Thermostat!$B$5)</f>
        <v>78</v>
      </c>
      <c r="K27" s="218">
        <f>IF(K18=0,Thermostat!$B$6,Thermostat!$B$5)</f>
        <v>78</v>
      </c>
      <c r="L27" s="218">
        <f>IF(L18=0,Thermostat!$B$6,Thermostat!$B$5)</f>
        <v>78</v>
      </c>
      <c r="M27" s="218">
        <f>IF(M18=0,Thermostat!$B$6,Thermostat!$B$5)</f>
        <v>78</v>
      </c>
      <c r="N27" s="218">
        <f>IF(N18=0,Thermostat!$B$6,Thermostat!$B$5)</f>
        <v>78</v>
      </c>
      <c r="O27" s="218">
        <f>IF(O18=0,Thermostat!$B$6,Thermostat!$B$5)</f>
        <v>78</v>
      </c>
      <c r="P27" s="218">
        <f>IF(P18=0,Thermostat!$B$6,Thermostat!$B$5)</f>
        <v>78</v>
      </c>
      <c r="Q27" s="218">
        <f>IF(Q18=0,Thermostat!$B$6,Thermostat!$B$5)</f>
        <v>78</v>
      </c>
      <c r="R27" s="218">
        <f>IF(R18=0,Thermostat!$B$6,Thermostat!$B$5)</f>
        <v>78</v>
      </c>
      <c r="S27" s="218">
        <f>IF(S18=0,Thermostat!$B$6,Thermostat!$B$5)</f>
        <v>78</v>
      </c>
      <c r="T27" s="218">
        <f>IF(T18=0,Thermostat!$B$6,Thermostat!$B$5)</f>
        <v>78</v>
      </c>
      <c r="U27" s="218">
        <f>IF(U18=0,Thermostat!$B$6,Thermostat!$B$5)</f>
        <v>78</v>
      </c>
      <c r="V27" s="218">
        <f>IF(V18=0,Thermostat!$B$6,Thermostat!$B$5)</f>
        <v>78</v>
      </c>
      <c r="W27" s="218">
        <f>IF(W18=0,Thermostat!$B$6,Thermostat!$B$5)</f>
        <v>78</v>
      </c>
      <c r="X27" s="218">
        <f>IF(X18=0,Thermostat!$B$6,Thermostat!$B$5)</f>
        <v>78</v>
      </c>
      <c r="Y27" s="218">
        <f>IF(Y18=0,Thermostat!$B$6,Thermostat!$B$5)</f>
        <v>78</v>
      </c>
      <c r="Z27" s="218">
        <f>IF(Z18=0,Thermostat!$B$6,Thermostat!$B$5)</f>
        <v>78</v>
      </c>
      <c r="AA27" s="218">
        <f>IF(AA18=0,Thermostat!$B$6,Thermostat!$B$5)</f>
        <v>78</v>
      </c>
      <c r="AB27" s="218">
        <f>IF(AB18=0,Thermostat!$B$6,Thermostat!$B$5)</f>
        <v>78</v>
      </c>
      <c r="AC27" s="219">
        <f>IF(AC18=0,Thermostat!$B$6,Thermostat!$B$5)</f>
        <v>78</v>
      </c>
      <c r="AE27" s="44"/>
      <c r="AF27" s="44"/>
      <c r="AG27" s="44"/>
      <c r="AH27" s="44"/>
      <c r="AI27" s="44"/>
      <c r="AJ27" s="44"/>
      <c r="AK27" s="44"/>
      <c r="AL27" s="44"/>
      <c r="AM27" s="44"/>
      <c r="AN27" s="44"/>
      <c r="AO27" s="44"/>
      <c r="AP27" s="44"/>
      <c r="AQ27" s="44"/>
      <c r="AR27" s="44"/>
      <c r="AS27" s="44"/>
      <c r="AT27" s="44"/>
      <c r="AU27" s="44"/>
      <c r="AV27" s="44"/>
      <c r="AW27" s="44"/>
      <c r="AX27" s="44"/>
    </row>
    <row r="28" spans="1:50" ht="39.9" customHeight="1" x14ac:dyDescent="0.3">
      <c r="A28" s="651" t="s">
        <v>691</v>
      </c>
      <c r="B28" s="608" t="str">
        <f>B4</f>
        <v>ResidentialLiving</v>
      </c>
      <c r="C28" s="608" t="s">
        <v>265</v>
      </c>
      <c r="D28" s="660" t="s">
        <v>693</v>
      </c>
      <c r="E28" s="152" t="s">
        <v>694</v>
      </c>
      <c r="F28" s="153">
        <v>1</v>
      </c>
      <c r="G28" s="153">
        <v>1</v>
      </c>
      <c r="H28" s="153">
        <v>1</v>
      </c>
      <c r="I28" s="153">
        <v>1</v>
      </c>
      <c r="J28" s="153">
        <v>1</v>
      </c>
      <c r="K28" s="153">
        <v>1</v>
      </c>
      <c r="L28" s="153">
        <v>1</v>
      </c>
      <c r="M28" s="153">
        <v>1</v>
      </c>
      <c r="N28" s="153">
        <v>1</v>
      </c>
      <c r="O28" s="153">
        <v>1</v>
      </c>
      <c r="P28" s="153">
        <v>1</v>
      </c>
      <c r="Q28" s="153">
        <v>1</v>
      </c>
      <c r="R28" s="153">
        <v>1</v>
      </c>
      <c r="S28" s="153">
        <v>1</v>
      </c>
      <c r="T28" s="153">
        <v>1</v>
      </c>
      <c r="U28" s="153">
        <v>1</v>
      </c>
      <c r="V28" s="153">
        <v>1</v>
      </c>
      <c r="W28" s="153">
        <v>1</v>
      </c>
      <c r="X28" s="153">
        <v>1</v>
      </c>
      <c r="Y28" s="153">
        <v>1</v>
      </c>
      <c r="Z28" s="153">
        <v>1</v>
      </c>
      <c r="AA28" s="153">
        <v>1</v>
      </c>
      <c r="AB28" s="153">
        <v>1</v>
      </c>
      <c r="AC28" s="154">
        <v>1</v>
      </c>
      <c r="AE28" s="44"/>
      <c r="AF28" s="44"/>
      <c r="AG28" s="44"/>
      <c r="AH28" s="44"/>
      <c r="AI28" s="44"/>
      <c r="AJ28" s="44"/>
      <c r="AK28" s="44"/>
      <c r="AL28" s="44"/>
      <c r="AM28" s="44"/>
      <c r="AN28" s="44"/>
      <c r="AO28" s="44"/>
      <c r="AP28" s="44"/>
      <c r="AQ28" s="44"/>
      <c r="AR28" s="44"/>
      <c r="AS28" s="44"/>
      <c r="AT28" s="44"/>
      <c r="AU28" s="44"/>
      <c r="AV28" s="44"/>
      <c r="AW28" s="44"/>
      <c r="AX28" s="44"/>
    </row>
    <row r="29" spans="1:50" ht="39.9" customHeight="1" x14ac:dyDescent="0.3">
      <c r="A29" s="655"/>
      <c r="B29" s="606"/>
      <c r="C29" s="606"/>
      <c r="D29" s="657"/>
      <c r="E29" s="143" t="s">
        <v>695</v>
      </c>
      <c r="F29" s="115">
        <v>1</v>
      </c>
      <c r="G29" s="115">
        <v>1</v>
      </c>
      <c r="H29" s="115">
        <v>1</v>
      </c>
      <c r="I29" s="115">
        <v>1</v>
      </c>
      <c r="J29" s="115">
        <v>1</v>
      </c>
      <c r="K29" s="115">
        <v>1</v>
      </c>
      <c r="L29" s="115">
        <v>1</v>
      </c>
      <c r="M29" s="115">
        <v>1</v>
      </c>
      <c r="N29" s="115">
        <v>1</v>
      </c>
      <c r="O29" s="115">
        <v>1</v>
      </c>
      <c r="P29" s="115">
        <v>1</v>
      </c>
      <c r="Q29" s="115">
        <v>1</v>
      </c>
      <c r="R29" s="115">
        <v>1</v>
      </c>
      <c r="S29" s="115">
        <v>1</v>
      </c>
      <c r="T29" s="115">
        <v>1</v>
      </c>
      <c r="U29" s="115">
        <v>1</v>
      </c>
      <c r="V29" s="115">
        <v>1</v>
      </c>
      <c r="W29" s="115">
        <v>1</v>
      </c>
      <c r="X29" s="115">
        <v>1</v>
      </c>
      <c r="Y29" s="115">
        <v>1</v>
      </c>
      <c r="Z29" s="115">
        <v>1</v>
      </c>
      <c r="AA29" s="115">
        <v>1</v>
      </c>
      <c r="AB29" s="115">
        <v>1</v>
      </c>
      <c r="AC29" s="116">
        <v>1</v>
      </c>
      <c r="AE29" s="44"/>
      <c r="AF29" s="44"/>
      <c r="AG29" s="44"/>
      <c r="AH29" s="44"/>
      <c r="AI29" s="44"/>
      <c r="AJ29" s="44"/>
      <c r="AK29" s="44"/>
      <c r="AL29" s="44"/>
      <c r="AM29" s="44"/>
      <c r="AN29" s="44"/>
      <c r="AO29" s="44"/>
      <c r="AP29" s="44"/>
      <c r="AQ29" s="44"/>
      <c r="AR29" s="44"/>
      <c r="AS29" s="44"/>
      <c r="AT29" s="44"/>
      <c r="AU29" s="44"/>
      <c r="AV29" s="44"/>
      <c r="AW29" s="44"/>
      <c r="AX29" s="44"/>
    </row>
    <row r="30" spans="1:50" ht="39.9" customHeight="1" thickBot="1" x14ac:dyDescent="0.35">
      <c r="A30" s="655"/>
      <c r="B30" s="606"/>
      <c r="C30" s="606"/>
      <c r="D30" s="657"/>
      <c r="E30" s="144" t="s">
        <v>696</v>
      </c>
      <c r="F30" s="117">
        <v>1</v>
      </c>
      <c r="G30" s="117">
        <v>1</v>
      </c>
      <c r="H30" s="117">
        <v>1</v>
      </c>
      <c r="I30" s="117">
        <v>1</v>
      </c>
      <c r="J30" s="117">
        <v>1</v>
      </c>
      <c r="K30" s="117">
        <v>1</v>
      </c>
      <c r="L30" s="117">
        <v>1</v>
      </c>
      <c r="M30" s="117">
        <v>1</v>
      </c>
      <c r="N30" s="117">
        <v>1</v>
      </c>
      <c r="O30" s="117">
        <v>1</v>
      </c>
      <c r="P30" s="117">
        <v>1</v>
      </c>
      <c r="Q30" s="117">
        <v>1</v>
      </c>
      <c r="R30" s="117">
        <v>1</v>
      </c>
      <c r="S30" s="117">
        <v>1</v>
      </c>
      <c r="T30" s="117">
        <v>1</v>
      </c>
      <c r="U30" s="117">
        <v>1</v>
      </c>
      <c r="V30" s="117">
        <v>1</v>
      </c>
      <c r="W30" s="117">
        <v>1</v>
      </c>
      <c r="X30" s="117">
        <v>1</v>
      </c>
      <c r="Y30" s="117">
        <v>1</v>
      </c>
      <c r="Z30" s="117">
        <v>1</v>
      </c>
      <c r="AA30" s="117">
        <v>1</v>
      </c>
      <c r="AB30" s="117">
        <v>1</v>
      </c>
      <c r="AC30" s="118">
        <v>1</v>
      </c>
      <c r="AE30" s="44"/>
      <c r="AF30" s="44"/>
      <c r="AG30" s="44"/>
      <c r="AH30" s="44"/>
      <c r="AI30" s="44"/>
      <c r="AJ30" s="44"/>
      <c r="AK30" s="44"/>
      <c r="AL30" s="44"/>
      <c r="AM30" s="44"/>
      <c r="AN30" s="44"/>
      <c r="AO30" s="44"/>
      <c r="AP30" s="44"/>
      <c r="AQ30" s="44"/>
      <c r="AR30" s="44"/>
      <c r="AS30" s="44"/>
      <c r="AT30" s="44"/>
      <c r="AU30" s="44"/>
      <c r="AV30" s="44"/>
      <c r="AW30" s="44"/>
      <c r="AX30" s="44"/>
    </row>
    <row r="31" spans="1:50" ht="39.9" customHeight="1" x14ac:dyDescent="0.3">
      <c r="A31" s="659" t="s">
        <v>691</v>
      </c>
      <c r="B31" s="605" t="str">
        <f>B4</f>
        <v>ResidentialLiving</v>
      </c>
      <c r="C31" s="605" t="s">
        <v>705</v>
      </c>
      <c r="D31" s="656" t="s">
        <v>693</v>
      </c>
      <c r="E31" s="142" t="s">
        <v>694</v>
      </c>
      <c r="F31" s="113">
        <v>0.9</v>
      </c>
      <c r="G31" s="113">
        <v>0.9</v>
      </c>
      <c r="H31" s="113">
        <v>0.9</v>
      </c>
      <c r="I31" s="113">
        <v>0.9</v>
      </c>
      <c r="J31" s="113">
        <v>0.9</v>
      </c>
      <c r="K31" s="113">
        <v>0.9</v>
      </c>
      <c r="L31" s="113">
        <v>0.9</v>
      </c>
      <c r="M31" s="113">
        <v>0.9</v>
      </c>
      <c r="N31" s="113">
        <v>0.9</v>
      </c>
      <c r="O31" s="113">
        <v>0.9</v>
      </c>
      <c r="P31" s="113">
        <v>0.9</v>
      </c>
      <c r="Q31" s="113">
        <v>0.9</v>
      </c>
      <c r="R31" s="113">
        <v>0.9</v>
      </c>
      <c r="S31" s="113">
        <v>0.9</v>
      </c>
      <c r="T31" s="113">
        <v>0.9</v>
      </c>
      <c r="U31" s="113">
        <v>0.9</v>
      </c>
      <c r="V31" s="113">
        <v>0.9</v>
      </c>
      <c r="W31" s="113">
        <v>0.9</v>
      </c>
      <c r="X31" s="113">
        <v>0.9</v>
      </c>
      <c r="Y31" s="113">
        <v>0.9</v>
      </c>
      <c r="Z31" s="113">
        <v>0.9</v>
      </c>
      <c r="AA31" s="113">
        <v>0.9</v>
      </c>
      <c r="AB31" s="113">
        <v>0.9</v>
      </c>
      <c r="AC31" s="114">
        <v>0.9</v>
      </c>
      <c r="AE31" s="44"/>
      <c r="AF31" s="44"/>
      <c r="AG31" s="44"/>
      <c r="AH31" s="44"/>
      <c r="AI31" s="44"/>
      <c r="AJ31" s="44"/>
      <c r="AK31" s="44"/>
      <c r="AL31" s="44"/>
      <c r="AM31" s="44"/>
      <c r="AN31" s="44"/>
      <c r="AO31" s="44"/>
      <c r="AP31" s="44"/>
      <c r="AQ31" s="44"/>
      <c r="AR31" s="44"/>
      <c r="AS31" s="44"/>
      <c r="AT31" s="44"/>
      <c r="AU31" s="44"/>
      <c r="AV31" s="44"/>
      <c r="AW31" s="44"/>
      <c r="AX31" s="44"/>
    </row>
    <row r="32" spans="1:50" ht="39.9" customHeight="1" x14ac:dyDescent="0.3">
      <c r="A32" s="655"/>
      <c r="B32" s="606"/>
      <c r="C32" s="606"/>
      <c r="D32" s="657"/>
      <c r="E32" s="143" t="s">
        <v>695</v>
      </c>
      <c r="F32" s="115">
        <v>0.9</v>
      </c>
      <c r="G32" s="115">
        <v>0.9</v>
      </c>
      <c r="H32" s="115">
        <v>0.9</v>
      </c>
      <c r="I32" s="115">
        <v>0.9</v>
      </c>
      <c r="J32" s="115">
        <v>0.9</v>
      </c>
      <c r="K32" s="115">
        <v>0.9</v>
      </c>
      <c r="L32" s="115">
        <v>0.9</v>
      </c>
      <c r="M32" s="115">
        <v>0.9</v>
      </c>
      <c r="N32" s="115">
        <v>0.9</v>
      </c>
      <c r="O32" s="115">
        <v>0.9</v>
      </c>
      <c r="P32" s="115">
        <v>0.9</v>
      </c>
      <c r="Q32" s="115">
        <v>0.9</v>
      </c>
      <c r="R32" s="115">
        <v>0.9</v>
      </c>
      <c r="S32" s="115">
        <v>0.9</v>
      </c>
      <c r="T32" s="115">
        <v>0.9</v>
      </c>
      <c r="U32" s="115">
        <v>0.9</v>
      </c>
      <c r="V32" s="115">
        <v>0.9</v>
      </c>
      <c r="W32" s="115">
        <v>0.9</v>
      </c>
      <c r="X32" s="115">
        <v>0.9</v>
      </c>
      <c r="Y32" s="115">
        <v>0.9</v>
      </c>
      <c r="Z32" s="115">
        <v>0.9</v>
      </c>
      <c r="AA32" s="115">
        <v>0.9</v>
      </c>
      <c r="AB32" s="115">
        <v>0.9</v>
      </c>
      <c r="AC32" s="116">
        <v>0.9</v>
      </c>
      <c r="AE32" s="44"/>
      <c r="AF32" s="44"/>
      <c r="AG32" s="44"/>
      <c r="AH32" s="44"/>
      <c r="AI32" s="44"/>
      <c r="AJ32" s="44"/>
      <c r="AK32" s="44"/>
      <c r="AL32" s="44"/>
      <c r="AM32" s="44"/>
      <c r="AN32" s="44"/>
      <c r="AO32" s="44"/>
      <c r="AP32" s="44"/>
      <c r="AQ32" s="44"/>
      <c r="AR32" s="44"/>
      <c r="AS32" s="44"/>
      <c r="AT32" s="44"/>
      <c r="AU32" s="44"/>
      <c r="AV32" s="44"/>
      <c r="AW32" s="44"/>
      <c r="AX32" s="44"/>
    </row>
    <row r="33" spans="1:50" ht="39.75" customHeight="1" thickBot="1" x14ac:dyDescent="0.35">
      <c r="A33" s="653"/>
      <c r="B33" s="610"/>
      <c r="C33" s="610"/>
      <c r="D33" s="658"/>
      <c r="E33" s="144" t="s">
        <v>696</v>
      </c>
      <c r="F33" s="117">
        <v>0.9</v>
      </c>
      <c r="G33" s="117">
        <v>0.9</v>
      </c>
      <c r="H33" s="117">
        <v>0.9</v>
      </c>
      <c r="I33" s="117">
        <v>0.9</v>
      </c>
      <c r="J33" s="117">
        <v>0.9</v>
      </c>
      <c r="K33" s="117">
        <v>0.9</v>
      </c>
      <c r="L33" s="117">
        <v>0.9</v>
      </c>
      <c r="M33" s="117">
        <v>0.9</v>
      </c>
      <c r="N33" s="117">
        <v>0.9</v>
      </c>
      <c r="O33" s="117">
        <v>0.9</v>
      </c>
      <c r="P33" s="117">
        <v>0.9</v>
      </c>
      <c r="Q33" s="117">
        <v>0.9</v>
      </c>
      <c r="R33" s="117">
        <v>0.9</v>
      </c>
      <c r="S33" s="117">
        <v>0.9</v>
      </c>
      <c r="T33" s="117">
        <v>0.9</v>
      </c>
      <c r="U33" s="117">
        <v>0.9</v>
      </c>
      <c r="V33" s="117">
        <v>0.9</v>
      </c>
      <c r="W33" s="117">
        <v>0.9</v>
      </c>
      <c r="X33" s="117">
        <v>0.9</v>
      </c>
      <c r="Y33" s="117">
        <v>0.9</v>
      </c>
      <c r="Z33" s="117">
        <v>0.9</v>
      </c>
      <c r="AA33" s="117">
        <v>0.9</v>
      </c>
      <c r="AB33" s="117">
        <v>0.9</v>
      </c>
      <c r="AC33" s="118">
        <v>0.9</v>
      </c>
      <c r="AE33" s="44"/>
      <c r="AF33" s="44"/>
      <c r="AG33" s="44"/>
      <c r="AH33" s="44"/>
      <c r="AI33" s="44"/>
      <c r="AJ33" s="44"/>
      <c r="AK33" s="44"/>
      <c r="AL33" s="44"/>
      <c r="AM33" s="44"/>
      <c r="AN33" s="44"/>
      <c r="AO33" s="44"/>
      <c r="AP33" s="44"/>
      <c r="AQ33" s="44"/>
      <c r="AR33" s="44"/>
      <c r="AS33" s="44"/>
      <c r="AT33" s="44"/>
      <c r="AU33" s="44"/>
      <c r="AV33" s="44"/>
      <c r="AW33" s="44"/>
      <c r="AX33" s="44"/>
    </row>
    <row r="34" spans="1:50" ht="29.25" customHeight="1" thickBot="1" x14ac:dyDescent="0.35">
      <c r="A34" s="632" t="s">
        <v>706</v>
      </c>
      <c r="B34" s="633"/>
      <c r="C34" s="633"/>
      <c r="D34" s="633"/>
      <c r="E34" s="633"/>
      <c r="F34" s="633"/>
      <c r="G34" s="633"/>
      <c r="H34" s="633"/>
      <c r="I34" s="633"/>
      <c r="J34" s="633"/>
      <c r="K34" s="633"/>
      <c r="L34" s="633"/>
      <c r="M34" s="633"/>
      <c r="N34" s="633"/>
      <c r="O34" s="633"/>
      <c r="P34" s="633"/>
      <c r="Q34" s="633"/>
      <c r="R34" s="633"/>
      <c r="S34" s="633"/>
      <c r="T34" s="633"/>
      <c r="U34" s="633"/>
      <c r="V34" s="633"/>
      <c r="W34" s="633"/>
      <c r="X34" s="633"/>
      <c r="Y34" s="633"/>
      <c r="Z34" s="633"/>
      <c r="AA34" s="633"/>
      <c r="AB34" s="633"/>
      <c r="AC34" s="634"/>
      <c r="AD34" s="44"/>
      <c r="AE34" s="44"/>
      <c r="AF34" s="44"/>
      <c r="AG34" s="44"/>
      <c r="AH34" s="44"/>
      <c r="AI34" s="44"/>
      <c r="AJ34" s="44"/>
      <c r="AK34" s="44"/>
      <c r="AL34" s="44"/>
      <c r="AM34" s="44"/>
      <c r="AN34" s="44"/>
      <c r="AO34" s="44"/>
      <c r="AP34" s="44"/>
      <c r="AQ34" s="44"/>
      <c r="AR34" s="44"/>
      <c r="AS34" s="44"/>
      <c r="AT34" s="44"/>
      <c r="AU34" s="44"/>
      <c r="AV34" s="44"/>
      <c r="AW34" s="44"/>
      <c r="AX34" s="44"/>
    </row>
    <row r="35" spans="1:50" ht="39.9" customHeight="1" x14ac:dyDescent="0.3">
      <c r="A35" s="585" t="s">
        <v>707</v>
      </c>
      <c r="B35" s="644" t="s">
        <v>87</v>
      </c>
      <c r="C35" s="577" t="s">
        <v>692</v>
      </c>
      <c r="D35" s="614" t="s">
        <v>708</v>
      </c>
      <c r="E35" s="142" t="s">
        <v>694</v>
      </c>
      <c r="F35" s="113">
        <v>0.1</v>
      </c>
      <c r="G35" s="113">
        <v>0.1</v>
      </c>
      <c r="H35" s="113">
        <v>0.1</v>
      </c>
      <c r="I35" s="113">
        <v>0.1</v>
      </c>
      <c r="J35" s="113">
        <v>0.1</v>
      </c>
      <c r="K35" s="113">
        <v>0.3</v>
      </c>
      <c r="L35" s="113">
        <v>0.45</v>
      </c>
      <c r="M35" s="113">
        <v>0.45</v>
      </c>
      <c r="N35" s="113">
        <v>0.45</v>
      </c>
      <c r="O35" s="113">
        <v>0.45</v>
      </c>
      <c r="P35" s="113">
        <v>0.3</v>
      </c>
      <c r="Q35" s="113">
        <v>0.3</v>
      </c>
      <c r="R35" s="113">
        <v>0.3</v>
      </c>
      <c r="S35" s="113">
        <v>0.3</v>
      </c>
      <c r="T35" s="113">
        <v>0.3</v>
      </c>
      <c r="U35" s="113">
        <v>0.3</v>
      </c>
      <c r="V35" s="113">
        <v>0.3</v>
      </c>
      <c r="W35" s="113">
        <v>0.3</v>
      </c>
      <c r="X35" s="113">
        <v>0.6</v>
      </c>
      <c r="Y35" s="113">
        <v>0.8</v>
      </c>
      <c r="Z35" s="113">
        <v>0.9</v>
      </c>
      <c r="AA35" s="113">
        <v>0.8</v>
      </c>
      <c r="AB35" s="113">
        <v>0.6</v>
      </c>
      <c r="AC35" s="114">
        <v>0.3</v>
      </c>
      <c r="AE35" s="44"/>
      <c r="AF35" s="44"/>
      <c r="AG35" s="44"/>
      <c r="AH35" s="44"/>
      <c r="AI35" s="44"/>
      <c r="AJ35" s="44"/>
      <c r="AK35" s="44"/>
      <c r="AL35" s="44"/>
      <c r="AM35" s="44"/>
      <c r="AN35" s="44"/>
      <c r="AO35" s="44"/>
      <c r="AP35" s="44"/>
      <c r="AQ35" s="44"/>
      <c r="AR35" s="44"/>
      <c r="AS35" s="44"/>
      <c r="AT35" s="44"/>
      <c r="AU35" s="44"/>
      <c r="AV35" s="44"/>
      <c r="AW35" s="44"/>
      <c r="AX35" s="44"/>
    </row>
    <row r="36" spans="1:50" ht="39.9" customHeight="1" x14ac:dyDescent="0.3">
      <c r="A36" s="586"/>
      <c r="B36" s="645"/>
      <c r="C36" s="578"/>
      <c r="D36" s="615"/>
      <c r="E36" s="143" t="s">
        <v>695</v>
      </c>
      <c r="F36" s="115">
        <v>0.1</v>
      </c>
      <c r="G36" s="115">
        <v>0.1</v>
      </c>
      <c r="H36" s="115">
        <v>0.1</v>
      </c>
      <c r="I36" s="115">
        <v>0.1</v>
      </c>
      <c r="J36" s="115">
        <v>0.1</v>
      </c>
      <c r="K36" s="115">
        <v>0.3</v>
      </c>
      <c r="L36" s="115">
        <v>0.45</v>
      </c>
      <c r="M36" s="115">
        <v>0.45</v>
      </c>
      <c r="N36" s="115">
        <v>0.45</v>
      </c>
      <c r="O36" s="115">
        <v>0.45</v>
      </c>
      <c r="P36" s="115">
        <v>0.3</v>
      </c>
      <c r="Q36" s="115">
        <v>0.3</v>
      </c>
      <c r="R36" s="115">
        <v>0.3</v>
      </c>
      <c r="S36" s="115">
        <v>0.3</v>
      </c>
      <c r="T36" s="115">
        <v>0.3</v>
      </c>
      <c r="U36" s="115">
        <v>0.3</v>
      </c>
      <c r="V36" s="115">
        <v>0.3</v>
      </c>
      <c r="W36" s="115">
        <v>0.3</v>
      </c>
      <c r="X36" s="115">
        <v>0.6</v>
      </c>
      <c r="Y36" s="115">
        <v>0.8</v>
      </c>
      <c r="Z36" s="115">
        <v>0.9</v>
      </c>
      <c r="AA36" s="115">
        <v>0.8</v>
      </c>
      <c r="AB36" s="115">
        <v>0.6</v>
      </c>
      <c r="AC36" s="116">
        <v>0.3</v>
      </c>
      <c r="AE36" s="44"/>
      <c r="AF36" s="44"/>
      <c r="AG36" s="44"/>
      <c r="AH36" s="44"/>
      <c r="AI36" s="44"/>
      <c r="AJ36" s="44"/>
      <c r="AK36" s="44"/>
      <c r="AL36" s="44"/>
      <c r="AM36" s="44"/>
      <c r="AN36" s="44"/>
      <c r="AO36" s="44"/>
      <c r="AP36" s="44"/>
      <c r="AQ36" s="44"/>
      <c r="AR36" s="44"/>
      <c r="AS36" s="44"/>
      <c r="AT36" s="44"/>
      <c r="AU36" s="44"/>
      <c r="AV36" s="44"/>
      <c r="AW36" s="44"/>
      <c r="AX36" s="44"/>
    </row>
    <row r="37" spans="1:50" ht="39.9" customHeight="1" thickBot="1" x14ac:dyDescent="0.35">
      <c r="A37" s="587"/>
      <c r="B37" s="646"/>
      <c r="C37" s="579"/>
      <c r="D37" s="616"/>
      <c r="E37" s="144" t="s">
        <v>696</v>
      </c>
      <c r="F37" s="117">
        <v>0.1</v>
      </c>
      <c r="G37" s="117">
        <v>0.1</v>
      </c>
      <c r="H37" s="117">
        <v>0.1</v>
      </c>
      <c r="I37" s="117">
        <v>0.1</v>
      </c>
      <c r="J37" s="117">
        <v>0.1</v>
      </c>
      <c r="K37" s="117">
        <v>0.3</v>
      </c>
      <c r="L37" s="117">
        <v>0.45</v>
      </c>
      <c r="M37" s="117">
        <v>0.45</v>
      </c>
      <c r="N37" s="117">
        <v>0.45</v>
      </c>
      <c r="O37" s="117">
        <v>0.45</v>
      </c>
      <c r="P37" s="117">
        <v>0.3</v>
      </c>
      <c r="Q37" s="117">
        <v>0.3</v>
      </c>
      <c r="R37" s="117">
        <v>0.3</v>
      </c>
      <c r="S37" s="117">
        <v>0.3</v>
      </c>
      <c r="T37" s="117">
        <v>0.3</v>
      </c>
      <c r="U37" s="117">
        <v>0.3</v>
      </c>
      <c r="V37" s="117">
        <v>0.3</v>
      </c>
      <c r="W37" s="117">
        <v>0.3</v>
      </c>
      <c r="X37" s="117">
        <v>0.6</v>
      </c>
      <c r="Y37" s="117">
        <v>0.8</v>
      </c>
      <c r="Z37" s="117">
        <v>0.9</v>
      </c>
      <c r="AA37" s="117">
        <v>0.8</v>
      </c>
      <c r="AB37" s="117">
        <v>0.6</v>
      </c>
      <c r="AC37" s="118">
        <v>0.3</v>
      </c>
      <c r="AE37" s="44"/>
      <c r="AF37" s="44"/>
      <c r="AG37" s="44"/>
      <c r="AH37" s="44"/>
      <c r="AI37" s="44"/>
      <c r="AJ37" s="44"/>
      <c r="AK37" s="44"/>
      <c r="AL37" s="44"/>
      <c r="AM37" s="44"/>
      <c r="AN37" s="44"/>
      <c r="AO37" s="44"/>
      <c r="AP37" s="44"/>
      <c r="AQ37" s="44"/>
      <c r="AR37" s="44"/>
      <c r="AS37" s="44"/>
      <c r="AT37" s="44"/>
      <c r="AU37" s="44"/>
      <c r="AV37" s="44"/>
      <c r="AW37" s="44"/>
      <c r="AX37" s="44"/>
    </row>
    <row r="38" spans="1:50" ht="39.9" customHeight="1" x14ac:dyDescent="0.3">
      <c r="A38" s="612" t="s">
        <v>707</v>
      </c>
      <c r="B38" s="580" t="s">
        <v>87</v>
      </c>
      <c r="C38" s="580" t="s">
        <v>697</v>
      </c>
      <c r="D38" s="617" t="s">
        <v>708</v>
      </c>
      <c r="E38" s="152" t="s">
        <v>694</v>
      </c>
      <c r="F38" s="153">
        <v>1</v>
      </c>
      <c r="G38" s="153">
        <v>1</v>
      </c>
      <c r="H38" s="153">
        <v>1</v>
      </c>
      <c r="I38" s="153">
        <v>1</v>
      </c>
      <c r="J38" s="153">
        <v>1</v>
      </c>
      <c r="K38" s="153">
        <v>1</v>
      </c>
      <c r="L38" s="153">
        <v>1</v>
      </c>
      <c r="M38" s="153">
        <v>1</v>
      </c>
      <c r="N38" s="153">
        <v>1</v>
      </c>
      <c r="O38" s="153">
        <v>1</v>
      </c>
      <c r="P38" s="153">
        <v>1</v>
      </c>
      <c r="Q38" s="153">
        <v>1</v>
      </c>
      <c r="R38" s="153">
        <v>1</v>
      </c>
      <c r="S38" s="153">
        <v>1</v>
      </c>
      <c r="T38" s="153">
        <v>1</v>
      </c>
      <c r="U38" s="153">
        <v>1</v>
      </c>
      <c r="V38" s="153">
        <v>1</v>
      </c>
      <c r="W38" s="153">
        <v>1</v>
      </c>
      <c r="X38" s="153">
        <v>1</v>
      </c>
      <c r="Y38" s="153">
        <v>1</v>
      </c>
      <c r="Z38" s="153">
        <v>1</v>
      </c>
      <c r="AA38" s="153">
        <v>1</v>
      </c>
      <c r="AB38" s="153">
        <v>1</v>
      </c>
      <c r="AC38" s="154">
        <v>1</v>
      </c>
      <c r="AE38" s="44"/>
      <c r="AF38" s="44"/>
      <c r="AG38" s="44"/>
      <c r="AH38" s="44"/>
      <c r="AI38" s="44"/>
      <c r="AJ38" s="44"/>
      <c r="AK38" s="44"/>
      <c r="AL38" s="44"/>
      <c r="AM38" s="44"/>
      <c r="AN38" s="44"/>
      <c r="AO38" s="44"/>
      <c r="AP38" s="44"/>
      <c r="AQ38" s="44"/>
      <c r="AR38" s="44"/>
      <c r="AS38" s="44"/>
      <c r="AT38" s="44"/>
      <c r="AU38" s="44"/>
      <c r="AV38" s="44"/>
      <c r="AW38" s="44"/>
      <c r="AX38" s="44"/>
    </row>
    <row r="39" spans="1:50" ht="39.9" customHeight="1" x14ac:dyDescent="0.3">
      <c r="A39" s="586"/>
      <c r="B39" s="578"/>
      <c r="C39" s="578"/>
      <c r="D39" s="615"/>
      <c r="E39" s="143" t="s">
        <v>695</v>
      </c>
      <c r="F39" s="115">
        <v>1</v>
      </c>
      <c r="G39" s="115">
        <v>1</v>
      </c>
      <c r="H39" s="115">
        <v>1</v>
      </c>
      <c r="I39" s="115">
        <v>1</v>
      </c>
      <c r="J39" s="115">
        <v>1</v>
      </c>
      <c r="K39" s="115">
        <v>1</v>
      </c>
      <c r="L39" s="115">
        <v>1</v>
      </c>
      <c r="M39" s="115">
        <v>1</v>
      </c>
      <c r="N39" s="115">
        <v>1</v>
      </c>
      <c r="O39" s="115">
        <v>1</v>
      </c>
      <c r="P39" s="115">
        <v>1</v>
      </c>
      <c r="Q39" s="115">
        <v>1</v>
      </c>
      <c r="R39" s="115">
        <v>1</v>
      </c>
      <c r="S39" s="115">
        <v>1</v>
      </c>
      <c r="T39" s="115">
        <v>1</v>
      </c>
      <c r="U39" s="115">
        <v>1</v>
      </c>
      <c r="V39" s="115">
        <v>1</v>
      </c>
      <c r="W39" s="115">
        <v>1</v>
      </c>
      <c r="X39" s="115">
        <v>1</v>
      </c>
      <c r="Y39" s="115">
        <v>1</v>
      </c>
      <c r="Z39" s="115">
        <v>1</v>
      </c>
      <c r="AA39" s="115">
        <v>1</v>
      </c>
      <c r="AB39" s="115">
        <v>1</v>
      </c>
      <c r="AC39" s="116">
        <v>1</v>
      </c>
      <c r="AE39" s="44"/>
      <c r="AF39" s="44"/>
      <c r="AG39" s="44"/>
      <c r="AH39" s="44"/>
      <c r="AI39" s="44"/>
      <c r="AJ39" s="44"/>
      <c r="AK39" s="44"/>
      <c r="AL39" s="44"/>
      <c r="AM39" s="44"/>
      <c r="AN39" s="44"/>
      <c r="AO39" s="44"/>
      <c r="AP39" s="44"/>
      <c r="AQ39" s="44"/>
      <c r="AR39" s="44"/>
      <c r="AS39" s="44"/>
      <c r="AT39" s="44"/>
      <c r="AU39" s="44"/>
      <c r="AV39" s="44"/>
      <c r="AW39" s="44"/>
      <c r="AX39" s="44"/>
    </row>
    <row r="40" spans="1:50" ht="39.9" customHeight="1" x14ac:dyDescent="0.3">
      <c r="A40" s="587"/>
      <c r="B40" s="579"/>
      <c r="C40" s="579"/>
      <c r="D40" s="616"/>
      <c r="E40" s="144" t="s">
        <v>696</v>
      </c>
      <c r="F40" s="117">
        <v>1</v>
      </c>
      <c r="G40" s="117">
        <v>1</v>
      </c>
      <c r="H40" s="117">
        <v>1</v>
      </c>
      <c r="I40" s="117">
        <v>1</v>
      </c>
      <c r="J40" s="117">
        <v>1</v>
      </c>
      <c r="K40" s="117">
        <v>1</v>
      </c>
      <c r="L40" s="117">
        <v>1</v>
      </c>
      <c r="M40" s="117">
        <v>1</v>
      </c>
      <c r="N40" s="117">
        <v>1</v>
      </c>
      <c r="O40" s="117">
        <v>1</v>
      </c>
      <c r="P40" s="117">
        <v>1</v>
      </c>
      <c r="Q40" s="117">
        <v>1</v>
      </c>
      <c r="R40" s="117">
        <v>1</v>
      </c>
      <c r="S40" s="117">
        <v>1</v>
      </c>
      <c r="T40" s="117">
        <v>1</v>
      </c>
      <c r="U40" s="117">
        <v>1</v>
      </c>
      <c r="V40" s="117">
        <v>1</v>
      </c>
      <c r="W40" s="117">
        <v>1</v>
      </c>
      <c r="X40" s="117">
        <v>1</v>
      </c>
      <c r="Y40" s="117">
        <v>1</v>
      </c>
      <c r="Z40" s="117">
        <v>1</v>
      </c>
      <c r="AA40" s="117">
        <v>1</v>
      </c>
      <c r="AB40" s="117">
        <v>1</v>
      </c>
      <c r="AC40" s="118">
        <v>1</v>
      </c>
      <c r="AE40" s="44"/>
      <c r="AF40" s="44"/>
      <c r="AG40" s="44"/>
      <c r="AH40" s="44"/>
      <c r="AI40" s="44"/>
      <c r="AJ40" s="44"/>
      <c r="AK40" s="44"/>
      <c r="AL40" s="44"/>
      <c r="AM40" s="44"/>
      <c r="AN40" s="44"/>
      <c r="AO40" s="44"/>
      <c r="AP40" s="44"/>
      <c r="AQ40" s="44"/>
      <c r="AR40" s="44"/>
      <c r="AS40" s="44"/>
      <c r="AT40" s="44"/>
      <c r="AU40" s="44"/>
      <c r="AV40" s="44"/>
      <c r="AW40" s="44"/>
      <c r="AX40" s="44"/>
    </row>
    <row r="41" spans="1:50" ht="39.9" customHeight="1" x14ac:dyDescent="0.3">
      <c r="A41" s="612" t="s">
        <v>707</v>
      </c>
      <c r="B41" s="580" t="s">
        <v>87</v>
      </c>
      <c r="C41" s="580" t="s">
        <v>698</v>
      </c>
      <c r="D41" s="617" t="s">
        <v>708</v>
      </c>
      <c r="E41" s="142" t="s">
        <v>694</v>
      </c>
      <c r="F41" s="113">
        <v>0.1</v>
      </c>
      <c r="G41" s="113">
        <v>0.1</v>
      </c>
      <c r="H41" s="113">
        <v>0.1</v>
      </c>
      <c r="I41" s="113">
        <v>0.1</v>
      </c>
      <c r="J41" s="113">
        <v>0.1</v>
      </c>
      <c r="K41" s="113">
        <v>0.3</v>
      </c>
      <c r="L41" s="113">
        <v>0.45</v>
      </c>
      <c r="M41" s="113">
        <v>0.45</v>
      </c>
      <c r="N41" s="113">
        <v>0.45</v>
      </c>
      <c r="O41" s="113">
        <v>0.45</v>
      </c>
      <c r="P41" s="113">
        <v>0.3</v>
      </c>
      <c r="Q41" s="113">
        <v>0.3</v>
      </c>
      <c r="R41" s="113">
        <v>0.3</v>
      </c>
      <c r="S41" s="113">
        <v>0.3</v>
      </c>
      <c r="T41" s="113">
        <v>0.3</v>
      </c>
      <c r="U41" s="113">
        <v>0.3</v>
      </c>
      <c r="V41" s="113">
        <v>0.3</v>
      </c>
      <c r="W41" s="113">
        <v>0.3</v>
      </c>
      <c r="X41" s="113">
        <v>0.6</v>
      </c>
      <c r="Y41" s="113">
        <v>0.8</v>
      </c>
      <c r="Z41" s="113">
        <v>0.9</v>
      </c>
      <c r="AA41" s="113">
        <v>0.8</v>
      </c>
      <c r="AB41" s="113">
        <v>0.6</v>
      </c>
      <c r="AC41" s="114">
        <v>0.3</v>
      </c>
      <c r="AE41" s="44"/>
      <c r="AF41" s="44"/>
      <c r="AG41" s="44"/>
      <c r="AH41" s="44"/>
      <c r="AI41" s="44"/>
      <c r="AJ41" s="44"/>
      <c r="AK41" s="44"/>
      <c r="AL41" s="44"/>
      <c r="AM41" s="44"/>
      <c r="AN41" s="44"/>
      <c r="AO41" s="44"/>
      <c r="AP41" s="44"/>
      <c r="AQ41" s="44"/>
      <c r="AR41" s="44"/>
      <c r="AS41" s="44"/>
      <c r="AT41" s="44"/>
      <c r="AU41" s="44"/>
      <c r="AV41" s="44"/>
      <c r="AW41" s="44"/>
      <c r="AX41" s="44"/>
    </row>
    <row r="42" spans="1:50" ht="39.9" customHeight="1" x14ac:dyDescent="0.3">
      <c r="A42" s="586"/>
      <c r="B42" s="578"/>
      <c r="C42" s="578"/>
      <c r="D42" s="615"/>
      <c r="E42" s="143" t="s">
        <v>695</v>
      </c>
      <c r="F42" s="115">
        <v>0.1</v>
      </c>
      <c r="G42" s="115">
        <v>0.1</v>
      </c>
      <c r="H42" s="115">
        <v>0.1</v>
      </c>
      <c r="I42" s="115">
        <v>0.1</v>
      </c>
      <c r="J42" s="115">
        <v>0.1</v>
      </c>
      <c r="K42" s="115">
        <v>0.3</v>
      </c>
      <c r="L42" s="115">
        <v>0.45</v>
      </c>
      <c r="M42" s="115">
        <v>0.45</v>
      </c>
      <c r="N42" s="115">
        <v>0.45</v>
      </c>
      <c r="O42" s="115">
        <v>0.45</v>
      </c>
      <c r="P42" s="115">
        <v>0.3</v>
      </c>
      <c r="Q42" s="115">
        <v>0.3</v>
      </c>
      <c r="R42" s="115">
        <v>0.3</v>
      </c>
      <c r="S42" s="115">
        <v>0.3</v>
      </c>
      <c r="T42" s="115">
        <v>0.3</v>
      </c>
      <c r="U42" s="115">
        <v>0.3</v>
      </c>
      <c r="V42" s="115">
        <v>0.3</v>
      </c>
      <c r="W42" s="115">
        <v>0.3</v>
      </c>
      <c r="X42" s="115">
        <v>0.6</v>
      </c>
      <c r="Y42" s="115">
        <v>0.8</v>
      </c>
      <c r="Z42" s="115">
        <v>0.9</v>
      </c>
      <c r="AA42" s="115">
        <v>0.8</v>
      </c>
      <c r="AB42" s="115">
        <v>0.6</v>
      </c>
      <c r="AC42" s="116">
        <v>0.3</v>
      </c>
      <c r="AE42" s="44"/>
      <c r="AF42" s="44"/>
      <c r="AG42" s="44"/>
      <c r="AH42" s="44"/>
      <c r="AI42" s="44"/>
      <c r="AJ42" s="44"/>
      <c r="AK42" s="44"/>
      <c r="AL42" s="44"/>
      <c r="AM42" s="44"/>
      <c r="AN42" s="44"/>
      <c r="AO42" s="44"/>
      <c r="AP42" s="44"/>
      <c r="AQ42" s="44"/>
      <c r="AR42" s="44"/>
      <c r="AS42" s="44"/>
      <c r="AT42" s="44"/>
      <c r="AU42" s="44"/>
      <c r="AV42" s="44"/>
      <c r="AW42" s="44"/>
      <c r="AX42" s="44"/>
    </row>
    <row r="43" spans="1:50" ht="39.9" customHeight="1" x14ac:dyDescent="0.3">
      <c r="A43" s="613"/>
      <c r="B43" s="579"/>
      <c r="C43" s="581"/>
      <c r="D43" s="618"/>
      <c r="E43" s="145" t="s">
        <v>696</v>
      </c>
      <c r="F43" s="119">
        <v>0.1</v>
      </c>
      <c r="G43" s="119">
        <v>0.1</v>
      </c>
      <c r="H43" s="119">
        <v>0.1</v>
      </c>
      <c r="I43" s="119">
        <v>0.1</v>
      </c>
      <c r="J43" s="119">
        <v>0.1</v>
      </c>
      <c r="K43" s="119">
        <v>0.3</v>
      </c>
      <c r="L43" s="119">
        <v>0.45</v>
      </c>
      <c r="M43" s="119">
        <v>0.45</v>
      </c>
      <c r="N43" s="119">
        <v>0.45</v>
      </c>
      <c r="O43" s="119">
        <v>0.45</v>
      </c>
      <c r="P43" s="119">
        <v>0.3</v>
      </c>
      <c r="Q43" s="119">
        <v>0.3</v>
      </c>
      <c r="R43" s="119">
        <v>0.3</v>
      </c>
      <c r="S43" s="119">
        <v>0.3</v>
      </c>
      <c r="T43" s="119">
        <v>0.3</v>
      </c>
      <c r="U43" s="119">
        <v>0.3</v>
      </c>
      <c r="V43" s="119">
        <v>0.3</v>
      </c>
      <c r="W43" s="119">
        <v>0.3</v>
      </c>
      <c r="X43" s="119">
        <v>0.6</v>
      </c>
      <c r="Y43" s="119">
        <v>0.8</v>
      </c>
      <c r="Z43" s="119">
        <v>0.9</v>
      </c>
      <c r="AA43" s="119">
        <v>0.8</v>
      </c>
      <c r="AB43" s="119">
        <v>0.6</v>
      </c>
      <c r="AC43" s="120">
        <v>0.3</v>
      </c>
      <c r="AE43" s="44"/>
      <c r="AF43" s="44"/>
      <c r="AG43" s="44"/>
      <c r="AH43" s="44"/>
      <c r="AI43" s="44"/>
      <c r="AJ43" s="44"/>
      <c r="AK43" s="44"/>
      <c r="AL43" s="44"/>
      <c r="AM43" s="44"/>
      <c r="AN43" s="44"/>
      <c r="AO43" s="44"/>
      <c r="AP43" s="44"/>
      <c r="AQ43" s="44"/>
      <c r="AR43" s="44"/>
      <c r="AS43" s="44"/>
      <c r="AT43" s="44"/>
      <c r="AU43" s="44"/>
      <c r="AV43" s="44"/>
      <c r="AW43" s="44"/>
      <c r="AX43" s="44"/>
    </row>
    <row r="44" spans="1:50" ht="39.9" customHeight="1" x14ac:dyDescent="0.3">
      <c r="A44" s="670" t="s">
        <v>707</v>
      </c>
      <c r="B44" s="580" t="s">
        <v>87</v>
      </c>
      <c r="C44" s="582" t="s">
        <v>701</v>
      </c>
      <c r="D44" s="614" t="s">
        <v>708</v>
      </c>
      <c r="E44" s="142" t="s">
        <v>694</v>
      </c>
      <c r="F44" s="113">
        <v>0</v>
      </c>
      <c r="G44" s="113">
        <v>0</v>
      </c>
      <c r="H44" s="113">
        <v>0</v>
      </c>
      <c r="I44" s="113">
        <v>0.05</v>
      </c>
      <c r="J44" s="113">
        <v>0.05</v>
      </c>
      <c r="K44" s="113">
        <v>0.05</v>
      </c>
      <c r="L44" s="113">
        <v>0.8</v>
      </c>
      <c r="M44" s="113">
        <v>0.7</v>
      </c>
      <c r="N44" s="113">
        <v>0.5</v>
      </c>
      <c r="O44" s="113">
        <v>0.4</v>
      </c>
      <c r="P44" s="113">
        <v>0.25</v>
      </c>
      <c r="Q44" s="113">
        <v>0.25</v>
      </c>
      <c r="R44" s="113">
        <v>0.25</v>
      </c>
      <c r="S44" s="113">
        <v>0.25</v>
      </c>
      <c r="T44" s="113">
        <v>0.5</v>
      </c>
      <c r="U44" s="113">
        <v>0.6</v>
      </c>
      <c r="V44" s="113">
        <v>0.7</v>
      </c>
      <c r="W44" s="113">
        <v>0.7</v>
      </c>
      <c r="X44" s="113">
        <v>0.4</v>
      </c>
      <c r="Y44" s="113">
        <v>0.25</v>
      </c>
      <c r="Z44" s="113">
        <v>0.2</v>
      </c>
      <c r="AA44" s="113">
        <v>0.2</v>
      </c>
      <c r="AB44" s="113">
        <v>0.05</v>
      </c>
      <c r="AC44" s="114">
        <v>0.05</v>
      </c>
      <c r="AE44" s="44"/>
      <c r="AF44" s="44"/>
      <c r="AG44" s="44"/>
      <c r="AH44" s="44"/>
      <c r="AI44" s="44"/>
      <c r="AJ44" s="44"/>
      <c r="AK44" s="44"/>
      <c r="AL44" s="44"/>
      <c r="AM44" s="44"/>
      <c r="AN44" s="44"/>
      <c r="AO44" s="44"/>
      <c r="AP44" s="44"/>
      <c r="AQ44" s="44"/>
      <c r="AR44" s="44"/>
      <c r="AS44" s="44"/>
      <c r="AT44" s="44"/>
      <c r="AU44" s="44"/>
      <c r="AV44" s="44"/>
      <c r="AW44" s="44"/>
      <c r="AX44" s="44"/>
    </row>
    <row r="45" spans="1:50" ht="39.9" customHeight="1" x14ac:dyDescent="0.3">
      <c r="A45" s="671"/>
      <c r="B45" s="578"/>
      <c r="C45" s="583"/>
      <c r="D45" s="615"/>
      <c r="E45" s="143" t="s">
        <v>695</v>
      </c>
      <c r="F45" s="115">
        <v>0</v>
      </c>
      <c r="G45" s="115">
        <v>0</v>
      </c>
      <c r="H45" s="115">
        <v>0</v>
      </c>
      <c r="I45" s="115">
        <v>0.05</v>
      </c>
      <c r="J45" s="115">
        <v>0.05</v>
      </c>
      <c r="K45" s="115">
        <v>0.05</v>
      </c>
      <c r="L45" s="115">
        <v>0.8</v>
      </c>
      <c r="M45" s="115">
        <v>0.7</v>
      </c>
      <c r="N45" s="115">
        <v>0.5</v>
      </c>
      <c r="O45" s="115">
        <v>0.4</v>
      </c>
      <c r="P45" s="115">
        <v>0.25</v>
      </c>
      <c r="Q45" s="115">
        <v>0.25</v>
      </c>
      <c r="R45" s="115">
        <v>0.25</v>
      </c>
      <c r="S45" s="115">
        <v>0.25</v>
      </c>
      <c r="T45" s="115">
        <v>0.5</v>
      </c>
      <c r="U45" s="115">
        <v>0.6</v>
      </c>
      <c r="V45" s="115">
        <v>0.7</v>
      </c>
      <c r="W45" s="115">
        <v>0.7</v>
      </c>
      <c r="X45" s="115">
        <v>0.4</v>
      </c>
      <c r="Y45" s="115">
        <v>0.25</v>
      </c>
      <c r="Z45" s="115">
        <v>0.2</v>
      </c>
      <c r="AA45" s="115">
        <v>0.2</v>
      </c>
      <c r="AB45" s="115">
        <v>0.05</v>
      </c>
      <c r="AC45" s="116">
        <v>0.05</v>
      </c>
      <c r="AE45" s="44"/>
      <c r="AF45" s="44"/>
      <c r="AG45" s="44"/>
      <c r="AH45" s="44"/>
      <c r="AI45" s="44"/>
      <c r="AJ45" s="44"/>
      <c r="AK45" s="44"/>
      <c r="AL45" s="44"/>
      <c r="AM45" s="44"/>
      <c r="AN45" s="44"/>
      <c r="AO45" s="44"/>
      <c r="AP45" s="44"/>
      <c r="AQ45" s="44"/>
      <c r="AR45" s="44"/>
      <c r="AS45" s="44"/>
      <c r="AT45" s="44"/>
      <c r="AU45" s="44"/>
      <c r="AV45" s="44"/>
      <c r="AW45" s="44"/>
      <c r="AX45" s="44"/>
    </row>
    <row r="46" spans="1:50" ht="39.9" customHeight="1" x14ac:dyDescent="0.3">
      <c r="A46" s="672"/>
      <c r="B46" s="579"/>
      <c r="C46" s="584"/>
      <c r="D46" s="616"/>
      <c r="E46" s="144" t="s">
        <v>696</v>
      </c>
      <c r="F46" s="117">
        <v>0</v>
      </c>
      <c r="G46" s="117">
        <v>0</v>
      </c>
      <c r="H46" s="117">
        <v>0</v>
      </c>
      <c r="I46" s="117">
        <v>0.05</v>
      </c>
      <c r="J46" s="117">
        <v>0.05</v>
      </c>
      <c r="K46" s="117">
        <v>0.05</v>
      </c>
      <c r="L46" s="117">
        <v>0.8</v>
      </c>
      <c r="M46" s="117">
        <v>0.7</v>
      </c>
      <c r="N46" s="117">
        <v>0.5</v>
      </c>
      <c r="O46" s="117">
        <v>0.4</v>
      </c>
      <c r="P46" s="117">
        <v>0.25</v>
      </c>
      <c r="Q46" s="117">
        <v>0.25</v>
      </c>
      <c r="R46" s="117">
        <v>0.25</v>
      </c>
      <c r="S46" s="117">
        <v>0.25</v>
      </c>
      <c r="T46" s="117">
        <v>0.5</v>
      </c>
      <c r="U46" s="117">
        <v>0.6</v>
      </c>
      <c r="V46" s="117">
        <v>0.7</v>
      </c>
      <c r="W46" s="117">
        <v>0.7</v>
      </c>
      <c r="X46" s="117">
        <v>0.4</v>
      </c>
      <c r="Y46" s="117">
        <v>0.25</v>
      </c>
      <c r="Z46" s="117">
        <v>0.2</v>
      </c>
      <c r="AA46" s="117">
        <v>0.2</v>
      </c>
      <c r="AB46" s="117">
        <v>0.05</v>
      </c>
      <c r="AC46" s="118">
        <v>0.05</v>
      </c>
      <c r="AE46" s="44"/>
      <c r="AF46" s="44"/>
      <c r="AG46" s="44"/>
      <c r="AH46" s="44"/>
      <c r="AI46" s="44"/>
      <c r="AJ46" s="44"/>
      <c r="AK46" s="44"/>
      <c r="AL46" s="44"/>
      <c r="AM46" s="44"/>
      <c r="AN46" s="44"/>
      <c r="AO46" s="44"/>
      <c r="AP46" s="44"/>
      <c r="AQ46" s="44"/>
      <c r="AR46" s="44"/>
      <c r="AS46" s="44"/>
      <c r="AT46" s="44"/>
      <c r="AU46" s="44"/>
      <c r="AV46" s="44"/>
      <c r="AW46" s="44"/>
      <c r="AX46" s="44"/>
    </row>
    <row r="47" spans="1:50" ht="39.9" customHeight="1" x14ac:dyDescent="0.3">
      <c r="A47" s="585" t="s">
        <v>707</v>
      </c>
      <c r="B47" s="577" t="s">
        <v>87</v>
      </c>
      <c r="C47" s="577" t="s">
        <v>702</v>
      </c>
      <c r="D47" s="614" t="s">
        <v>708</v>
      </c>
      <c r="E47" s="142" t="s">
        <v>694</v>
      </c>
      <c r="F47" s="113">
        <v>0</v>
      </c>
      <c r="G47" s="113">
        <v>0</v>
      </c>
      <c r="H47" s="113">
        <v>0</v>
      </c>
      <c r="I47" s="113">
        <v>0</v>
      </c>
      <c r="J47" s="113">
        <v>0</v>
      </c>
      <c r="K47" s="113">
        <v>0.5</v>
      </c>
      <c r="L47" s="113">
        <v>0.5</v>
      </c>
      <c r="M47" s="113">
        <v>0.1</v>
      </c>
      <c r="N47" s="113">
        <v>0.1</v>
      </c>
      <c r="O47" s="113">
        <v>0.1</v>
      </c>
      <c r="P47" s="113">
        <v>0.1</v>
      </c>
      <c r="Q47" s="113">
        <v>0.5</v>
      </c>
      <c r="R47" s="113">
        <v>0.5</v>
      </c>
      <c r="S47" s="113">
        <v>0.1</v>
      </c>
      <c r="T47" s="113">
        <v>0.1</v>
      </c>
      <c r="U47" s="113">
        <v>0.1</v>
      </c>
      <c r="V47" s="113">
        <v>0.5</v>
      </c>
      <c r="W47" s="113">
        <v>0.5</v>
      </c>
      <c r="X47" s="113">
        <v>0.5</v>
      </c>
      <c r="Y47" s="113">
        <v>0.1</v>
      </c>
      <c r="Z47" s="113">
        <v>0</v>
      </c>
      <c r="AA47" s="113">
        <v>0</v>
      </c>
      <c r="AB47" s="113">
        <v>0</v>
      </c>
      <c r="AC47" s="114">
        <v>0</v>
      </c>
      <c r="AE47" s="44"/>
      <c r="AF47" s="44"/>
      <c r="AG47" s="44"/>
      <c r="AH47" s="44"/>
      <c r="AI47" s="44"/>
      <c r="AJ47" s="44"/>
      <c r="AK47" s="44"/>
      <c r="AL47" s="44"/>
      <c r="AM47" s="44"/>
      <c r="AN47" s="44"/>
      <c r="AO47" s="44"/>
      <c r="AP47" s="44"/>
      <c r="AQ47" s="44"/>
      <c r="AR47" s="44"/>
      <c r="AS47" s="44"/>
      <c r="AT47" s="44"/>
      <c r="AU47" s="44"/>
      <c r="AV47" s="44"/>
      <c r="AW47" s="44"/>
      <c r="AX47" s="44"/>
    </row>
    <row r="48" spans="1:50" ht="39.9" customHeight="1" x14ac:dyDescent="0.3">
      <c r="A48" s="586"/>
      <c r="B48" s="578"/>
      <c r="C48" s="578"/>
      <c r="D48" s="615"/>
      <c r="E48" s="143" t="s">
        <v>695</v>
      </c>
      <c r="F48" s="115">
        <v>0</v>
      </c>
      <c r="G48" s="115">
        <v>0</v>
      </c>
      <c r="H48" s="115">
        <v>0</v>
      </c>
      <c r="I48" s="115">
        <v>0</v>
      </c>
      <c r="J48" s="115">
        <v>0</v>
      </c>
      <c r="K48" s="115">
        <v>0.5</v>
      </c>
      <c r="L48" s="115">
        <v>0.5</v>
      </c>
      <c r="M48" s="115">
        <v>0.1</v>
      </c>
      <c r="N48" s="115">
        <v>0.1</v>
      </c>
      <c r="O48" s="115">
        <v>0.1</v>
      </c>
      <c r="P48" s="115">
        <v>0.1</v>
      </c>
      <c r="Q48" s="115">
        <v>0.5</v>
      </c>
      <c r="R48" s="115">
        <v>0.5</v>
      </c>
      <c r="S48" s="115">
        <v>0.1</v>
      </c>
      <c r="T48" s="115">
        <v>0.1</v>
      </c>
      <c r="U48" s="115">
        <v>0.1</v>
      </c>
      <c r="V48" s="115">
        <v>0.5</v>
      </c>
      <c r="W48" s="115">
        <v>0.5</v>
      </c>
      <c r="X48" s="115">
        <v>0.5</v>
      </c>
      <c r="Y48" s="115">
        <v>0.1</v>
      </c>
      <c r="Z48" s="115">
        <v>0</v>
      </c>
      <c r="AA48" s="115">
        <v>0</v>
      </c>
      <c r="AB48" s="115">
        <v>0</v>
      </c>
      <c r="AC48" s="116">
        <v>0</v>
      </c>
      <c r="AE48" s="44"/>
      <c r="AF48" s="44"/>
      <c r="AG48" s="44"/>
      <c r="AH48" s="44"/>
      <c r="AI48" s="44"/>
      <c r="AJ48" s="44"/>
      <c r="AK48" s="44"/>
      <c r="AL48" s="44"/>
      <c r="AM48" s="44"/>
      <c r="AN48" s="44"/>
      <c r="AO48" s="44"/>
      <c r="AP48" s="44"/>
      <c r="AQ48" s="44"/>
      <c r="AR48" s="44"/>
      <c r="AS48" s="44"/>
      <c r="AT48" s="44"/>
      <c r="AU48" s="44"/>
      <c r="AV48" s="44"/>
      <c r="AW48" s="44"/>
      <c r="AX48" s="44"/>
    </row>
    <row r="49" spans="1:50" ht="39.9" customHeight="1" thickBot="1" x14ac:dyDescent="0.35">
      <c r="A49" s="587"/>
      <c r="B49" s="579"/>
      <c r="C49" s="579"/>
      <c r="D49" s="616"/>
      <c r="E49" s="144" t="s">
        <v>696</v>
      </c>
      <c r="F49" s="119">
        <v>0</v>
      </c>
      <c r="G49" s="119">
        <v>0</v>
      </c>
      <c r="H49" s="119">
        <v>0</v>
      </c>
      <c r="I49" s="119">
        <v>0</v>
      </c>
      <c r="J49" s="119">
        <v>0</v>
      </c>
      <c r="K49" s="119">
        <v>0.5</v>
      </c>
      <c r="L49" s="119">
        <v>0.5</v>
      </c>
      <c r="M49" s="119">
        <v>0.1</v>
      </c>
      <c r="N49" s="119">
        <v>0.1</v>
      </c>
      <c r="O49" s="119">
        <v>0.1</v>
      </c>
      <c r="P49" s="119">
        <v>0.1</v>
      </c>
      <c r="Q49" s="119">
        <v>0.5</v>
      </c>
      <c r="R49" s="119">
        <v>0.5</v>
      </c>
      <c r="S49" s="119">
        <v>0.1</v>
      </c>
      <c r="T49" s="119">
        <v>0.1</v>
      </c>
      <c r="U49" s="119">
        <v>0.1</v>
      </c>
      <c r="V49" s="119">
        <v>0.5</v>
      </c>
      <c r="W49" s="119">
        <v>0.5</v>
      </c>
      <c r="X49" s="119">
        <v>0.5</v>
      </c>
      <c r="Y49" s="119">
        <v>0.1</v>
      </c>
      <c r="Z49" s="119">
        <v>0</v>
      </c>
      <c r="AA49" s="119">
        <v>0</v>
      </c>
      <c r="AB49" s="119">
        <v>0</v>
      </c>
      <c r="AC49" s="120">
        <v>0</v>
      </c>
      <c r="AE49" s="44"/>
      <c r="AF49" s="44"/>
      <c r="AG49" s="44"/>
      <c r="AH49" s="44"/>
      <c r="AI49" s="44"/>
      <c r="AJ49" s="44"/>
      <c r="AK49" s="44"/>
      <c r="AL49" s="44"/>
      <c r="AM49" s="44"/>
      <c r="AN49" s="44"/>
      <c r="AO49" s="44"/>
      <c r="AP49" s="44"/>
      <c r="AQ49" s="44"/>
      <c r="AR49" s="44"/>
      <c r="AS49" s="44"/>
      <c r="AT49" s="44"/>
      <c r="AU49" s="44"/>
      <c r="AV49" s="44"/>
      <c r="AW49" s="44"/>
      <c r="AX49" s="44"/>
    </row>
    <row r="50" spans="1:50" ht="39.9" customHeight="1" x14ac:dyDescent="0.3">
      <c r="A50" s="612" t="s">
        <v>707</v>
      </c>
      <c r="B50" s="611" t="str">
        <f>B41</f>
        <v>ResidentialCommon</v>
      </c>
      <c r="C50" s="619" t="s">
        <v>699</v>
      </c>
      <c r="D50" s="629" t="s">
        <v>708</v>
      </c>
      <c r="E50" s="142" t="s">
        <v>694</v>
      </c>
      <c r="F50" s="113">
        <v>1</v>
      </c>
      <c r="G50" s="113">
        <v>1</v>
      </c>
      <c r="H50" s="113">
        <v>1</v>
      </c>
      <c r="I50" s="113">
        <v>1</v>
      </c>
      <c r="J50" s="113">
        <v>1</v>
      </c>
      <c r="K50" s="113">
        <v>1</v>
      </c>
      <c r="L50" s="113">
        <v>1</v>
      </c>
      <c r="M50" s="113">
        <v>1</v>
      </c>
      <c r="N50" s="113">
        <v>1</v>
      </c>
      <c r="O50" s="113">
        <v>1</v>
      </c>
      <c r="P50" s="113">
        <v>1</v>
      </c>
      <c r="Q50" s="113">
        <v>1</v>
      </c>
      <c r="R50" s="113">
        <v>1</v>
      </c>
      <c r="S50" s="113">
        <v>1</v>
      </c>
      <c r="T50" s="113">
        <v>1</v>
      </c>
      <c r="U50" s="113">
        <v>1</v>
      </c>
      <c r="V50" s="113">
        <v>1</v>
      </c>
      <c r="W50" s="113">
        <v>1</v>
      </c>
      <c r="X50" s="113">
        <v>1</v>
      </c>
      <c r="Y50" s="113">
        <v>1</v>
      </c>
      <c r="Z50" s="113">
        <v>1</v>
      </c>
      <c r="AA50" s="113">
        <v>1</v>
      </c>
      <c r="AB50" s="113">
        <v>1</v>
      </c>
      <c r="AC50" s="114">
        <v>1</v>
      </c>
      <c r="AD50" s="180"/>
      <c r="AE50" s="44"/>
      <c r="AF50" s="44"/>
      <c r="AG50" s="44"/>
      <c r="AH50" s="44"/>
      <c r="AI50" s="44"/>
      <c r="AJ50" s="44"/>
      <c r="AK50" s="44"/>
      <c r="AL50" s="44"/>
      <c r="AM50" s="44"/>
      <c r="AN50" s="44"/>
      <c r="AO50" s="44"/>
      <c r="AP50" s="44"/>
      <c r="AQ50" s="44"/>
      <c r="AR50" s="44"/>
      <c r="AS50" s="44"/>
      <c r="AT50" s="44"/>
      <c r="AU50" s="44"/>
      <c r="AV50" s="44"/>
      <c r="AW50" s="44"/>
      <c r="AX50" s="44"/>
    </row>
    <row r="51" spans="1:50" ht="39.9" customHeight="1" x14ac:dyDescent="0.3">
      <c r="A51" s="586"/>
      <c r="B51" s="606"/>
      <c r="C51" s="620"/>
      <c r="D51" s="630"/>
      <c r="E51" s="177" t="s">
        <v>695</v>
      </c>
      <c r="F51" s="178">
        <v>1</v>
      </c>
      <c r="G51" s="178">
        <v>1</v>
      </c>
      <c r="H51" s="178">
        <v>1</v>
      </c>
      <c r="I51" s="178">
        <v>1</v>
      </c>
      <c r="J51" s="178">
        <v>1</v>
      </c>
      <c r="K51" s="178">
        <v>1</v>
      </c>
      <c r="L51" s="178">
        <v>1</v>
      </c>
      <c r="M51" s="178">
        <v>1</v>
      </c>
      <c r="N51" s="178">
        <v>1</v>
      </c>
      <c r="O51" s="178">
        <v>1</v>
      </c>
      <c r="P51" s="178">
        <v>1</v>
      </c>
      <c r="Q51" s="178">
        <v>1</v>
      </c>
      <c r="R51" s="178">
        <v>1</v>
      </c>
      <c r="S51" s="178">
        <v>1</v>
      </c>
      <c r="T51" s="178">
        <v>1</v>
      </c>
      <c r="U51" s="178">
        <v>1</v>
      </c>
      <c r="V51" s="178">
        <v>1</v>
      </c>
      <c r="W51" s="178">
        <v>1</v>
      </c>
      <c r="X51" s="178">
        <v>1</v>
      </c>
      <c r="Y51" s="178">
        <v>1</v>
      </c>
      <c r="Z51" s="178">
        <v>1</v>
      </c>
      <c r="AA51" s="178">
        <v>1</v>
      </c>
      <c r="AB51" s="178">
        <v>1</v>
      </c>
      <c r="AC51" s="179">
        <v>1</v>
      </c>
      <c r="AD51" s="180"/>
      <c r="AE51" s="44"/>
      <c r="AF51" s="44"/>
      <c r="AG51" s="44"/>
      <c r="AH51" s="44"/>
      <c r="AI51" s="44"/>
      <c r="AJ51" s="44"/>
      <c r="AK51" s="44"/>
      <c r="AL51" s="44"/>
      <c r="AM51" s="44"/>
      <c r="AN51" s="44"/>
      <c r="AO51" s="44"/>
      <c r="AP51" s="44"/>
      <c r="AQ51" s="44"/>
      <c r="AR51" s="44"/>
      <c r="AS51" s="44"/>
      <c r="AT51" s="44"/>
      <c r="AU51" s="44"/>
      <c r="AV51" s="44"/>
      <c r="AW51" s="44"/>
      <c r="AX51" s="44"/>
    </row>
    <row r="52" spans="1:50" ht="39.9" customHeight="1" thickBot="1" x14ac:dyDescent="0.35">
      <c r="A52" s="613"/>
      <c r="B52" s="607"/>
      <c r="C52" s="621"/>
      <c r="D52" s="631"/>
      <c r="E52" s="145" t="s">
        <v>696</v>
      </c>
      <c r="F52" s="119">
        <v>1</v>
      </c>
      <c r="G52" s="119">
        <v>1</v>
      </c>
      <c r="H52" s="119">
        <v>1</v>
      </c>
      <c r="I52" s="119">
        <v>1</v>
      </c>
      <c r="J52" s="119">
        <v>1</v>
      </c>
      <c r="K52" s="119">
        <v>1</v>
      </c>
      <c r="L52" s="119">
        <v>1</v>
      </c>
      <c r="M52" s="119">
        <v>1</v>
      </c>
      <c r="N52" s="119">
        <v>1</v>
      </c>
      <c r="O52" s="119">
        <v>1</v>
      </c>
      <c r="P52" s="119">
        <v>1</v>
      </c>
      <c r="Q52" s="119">
        <v>1</v>
      </c>
      <c r="R52" s="119">
        <v>1</v>
      </c>
      <c r="S52" s="119">
        <v>1</v>
      </c>
      <c r="T52" s="119">
        <v>1</v>
      </c>
      <c r="U52" s="119">
        <v>1</v>
      </c>
      <c r="V52" s="119">
        <v>1</v>
      </c>
      <c r="W52" s="119">
        <v>1</v>
      </c>
      <c r="X52" s="119">
        <v>1</v>
      </c>
      <c r="Y52" s="119">
        <v>1</v>
      </c>
      <c r="Z52" s="119">
        <v>1</v>
      </c>
      <c r="AA52" s="119">
        <v>1</v>
      </c>
      <c r="AB52" s="119">
        <v>1</v>
      </c>
      <c r="AC52" s="120">
        <v>1</v>
      </c>
      <c r="AD52" s="44"/>
      <c r="AE52" s="44"/>
      <c r="AF52" s="44"/>
      <c r="AG52" s="44"/>
      <c r="AH52" s="44"/>
      <c r="AI52" s="44"/>
      <c r="AJ52" s="44"/>
      <c r="AK52" s="44"/>
      <c r="AL52" s="44"/>
      <c r="AM52" s="44"/>
      <c r="AN52" s="44"/>
      <c r="AO52" s="44"/>
      <c r="AP52" s="44"/>
      <c r="AQ52" s="44"/>
      <c r="AR52" s="44"/>
      <c r="AS52" s="44"/>
      <c r="AT52" s="44"/>
      <c r="AU52" s="44"/>
      <c r="AV52" s="44"/>
      <c r="AW52" s="44"/>
      <c r="AX52" s="44"/>
    </row>
    <row r="53" spans="1:50" ht="39.9" customHeight="1" x14ac:dyDescent="0.3">
      <c r="A53" s="585" t="s">
        <v>707</v>
      </c>
      <c r="B53" s="577" t="s">
        <v>87</v>
      </c>
      <c r="C53" s="577" t="s">
        <v>703</v>
      </c>
      <c r="D53" s="614" t="s">
        <v>708</v>
      </c>
      <c r="E53" s="142" t="s">
        <v>694</v>
      </c>
      <c r="F53" s="256">
        <f>IF(F50=0,Thermostat!$B$16,Thermostat!$B$15)</f>
        <v>68</v>
      </c>
      <c r="G53" s="256">
        <f>IF(G50=0,Thermostat!$B$16,Thermostat!$B$15)</f>
        <v>68</v>
      </c>
      <c r="H53" s="256">
        <f>IF(H50=0,Thermostat!$B$16,Thermostat!$B$15)</f>
        <v>68</v>
      </c>
      <c r="I53" s="256">
        <f>IF(I50=0,Thermostat!$B$16,Thermostat!$B$15)</f>
        <v>68</v>
      </c>
      <c r="J53" s="256">
        <f>IF(J50=0,Thermostat!$B$16,Thermostat!$B$15)</f>
        <v>68</v>
      </c>
      <c r="K53" s="256">
        <f>IF(K50=0,Thermostat!$B$16,Thermostat!$B$15)</f>
        <v>68</v>
      </c>
      <c r="L53" s="256">
        <f>IF(L50=0,Thermostat!$B$16,Thermostat!$B$15)</f>
        <v>68</v>
      </c>
      <c r="M53" s="256">
        <f>IF(M50=0,Thermostat!$B$16,Thermostat!$B$15)</f>
        <v>68</v>
      </c>
      <c r="N53" s="256">
        <f>IF(N50=0,Thermostat!$B$16,Thermostat!$B$15)</f>
        <v>68</v>
      </c>
      <c r="O53" s="256">
        <f>IF(O50=0,Thermostat!$B$16,Thermostat!$B$15)</f>
        <v>68</v>
      </c>
      <c r="P53" s="256">
        <f>IF(P50=0,Thermostat!$B$16,Thermostat!$B$15)</f>
        <v>68</v>
      </c>
      <c r="Q53" s="256">
        <f>IF(Q50=0,Thermostat!$B$16,Thermostat!$B$15)</f>
        <v>68</v>
      </c>
      <c r="R53" s="256">
        <f>IF(R50=0,Thermostat!$B$16,Thermostat!$B$15)</f>
        <v>68</v>
      </c>
      <c r="S53" s="256">
        <f>IF(S50=0,Thermostat!$B$16,Thermostat!$B$15)</f>
        <v>68</v>
      </c>
      <c r="T53" s="256">
        <f>IF(T50=0,Thermostat!$B$16,Thermostat!$B$15)</f>
        <v>68</v>
      </c>
      <c r="U53" s="256">
        <f>IF(U50=0,Thermostat!$B$16,Thermostat!$B$15)</f>
        <v>68</v>
      </c>
      <c r="V53" s="256">
        <f>IF(V50=0,Thermostat!$B$16,Thermostat!$B$15)</f>
        <v>68</v>
      </c>
      <c r="W53" s="256">
        <f>IF(W50=0,Thermostat!$B$16,Thermostat!$B$15)</f>
        <v>68</v>
      </c>
      <c r="X53" s="256">
        <f>IF(X50=0,Thermostat!$B$16,Thermostat!$B$15)</f>
        <v>68</v>
      </c>
      <c r="Y53" s="256">
        <f>IF(Y50=0,Thermostat!$B$16,Thermostat!$B$15)</f>
        <v>68</v>
      </c>
      <c r="Z53" s="256">
        <f>IF(Z50=0,Thermostat!$B$16,Thermostat!$B$15)</f>
        <v>68</v>
      </c>
      <c r="AA53" s="256">
        <f>IF(AA50=0,Thermostat!$B$16,Thermostat!$B$15)</f>
        <v>68</v>
      </c>
      <c r="AB53" s="256">
        <f>IF(AB50=0,Thermostat!$B$16,Thermostat!$B$15)</f>
        <v>68</v>
      </c>
      <c r="AC53" s="257">
        <f>IF(AC50=0,Thermostat!$B$16,Thermostat!$B$15)</f>
        <v>68</v>
      </c>
      <c r="AE53" s="44"/>
      <c r="AF53" s="44"/>
      <c r="AG53" s="44"/>
      <c r="AH53" s="44"/>
      <c r="AI53" s="44"/>
      <c r="AJ53" s="44"/>
      <c r="AK53" s="44"/>
      <c r="AL53" s="44"/>
      <c r="AM53" s="44"/>
      <c r="AN53" s="44"/>
      <c r="AO53" s="44"/>
      <c r="AP53" s="44"/>
      <c r="AQ53" s="44"/>
      <c r="AR53" s="44"/>
      <c r="AS53" s="44"/>
      <c r="AT53" s="44"/>
      <c r="AU53" s="44"/>
      <c r="AV53" s="44"/>
      <c r="AW53" s="44"/>
      <c r="AX53" s="44"/>
    </row>
    <row r="54" spans="1:50" ht="39.9" customHeight="1" x14ac:dyDescent="0.3">
      <c r="A54" s="586"/>
      <c r="B54" s="578"/>
      <c r="C54" s="578"/>
      <c r="D54" s="615"/>
      <c r="E54" s="143" t="s">
        <v>695</v>
      </c>
      <c r="F54" s="258">
        <f>IF(F51=0,Thermostat!$B$16,Thermostat!$B$15)</f>
        <v>68</v>
      </c>
      <c r="G54" s="258">
        <f>IF(G51=0,Thermostat!$B$16,Thermostat!$B$15)</f>
        <v>68</v>
      </c>
      <c r="H54" s="258">
        <f>IF(H51=0,Thermostat!$B$16,Thermostat!$B$15)</f>
        <v>68</v>
      </c>
      <c r="I54" s="258">
        <f>IF(I51=0,Thermostat!$B$16,Thermostat!$B$15)</f>
        <v>68</v>
      </c>
      <c r="J54" s="258">
        <f>IF(J51=0,Thermostat!$B$16,Thermostat!$B$15)</f>
        <v>68</v>
      </c>
      <c r="K54" s="258">
        <f>IF(K51=0,Thermostat!$B$16,Thermostat!$B$15)</f>
        <v>68</v>
      </c>
      <c r="L54" s="258">
        <f>IF(L51=0,Thermostat!$B$16,Thermostat!$B$15)</f>
        <v>68</v>
      </c>
      <c r="M54" s="258">
        <f>IF(M51=0,Thermostat!$B$16,Thermostat!$B$15)</f>
        <v>68</v>
      </c>
      <c r="N54" s="258">
        <f>IF(N51=0,Thermostat!$B$16,Thermostat!$B$15)</f>
        <v>68</v>
      </c>
      <c r="O54" s="258">
        <f>IF(O51=0,Thermostat!$B$16,Thermostat!$B$15)</f>
        <v>68</v>
      </c>
      <c r="P54" s="258">
        <f>IF(P51=0,Thermostat!$B$16,Thermostat!$B$15)</f>
        <v>68</v>
      </c>
      <c r="Q54" s="258">
        <f>IF(Q51=0,Thermostat!$B$16,Thermostat!$B$15)</f>
        <v>68</v>
      </c>
      <c r="R54" s="258">
        <f>IF(R51=0,Thermostat!$B$16,Thermostat!$B$15)</f>
        <v>68</v>
      </c>
      <c r="S54" s="258">
        <f>IF(S51=0,Thermostat!$B$16,Thermostat!$B$15)</f>
        <v>68</v>
      </c>
      <c r="T54" s="258">
        <f>IF(T51=0,Thermostat!$B$16,Thermostat!$B$15)</f>
        <v>68</v>
      </c>
      <c r="U54" s="258">
        <f>IF(U51=0,Thermostat!$B$16,Thermostat!$B$15)</f>
        <v>68</v>
      </c>
      <c r="V54" s="258">
        <f>IF(V51=0,Thermostat!$B$16,Thermostat!$B$15)</f>
        <v>68</v>
      </c>
      <c r="W54" s="258">
        <f>IF(W51=0,Thermostat!$B$16,Thermostat!$B$15)</f>
        <v>68</v>
      </c>
      <c r="X54" s="258">
        <f>IF(X51=0,Thermostat!$B$16,Thermostat!$B$15)</f>
        <v>68</v>
      </c>
      <c r="Y54" s="258">
        <f>IF(Y51=0,Thermostat!$B$16,Thermostat!$B$15)</f>
        <v>68</v>
      </c>
      <c r="Z54" s="258">
        <f>IF(Z51=0,Thermostat!$B$16,Thermostat!$B$15)</f>
        <v>68</v>
      </c>
      <c r="AA54" s="258">
        <f>IF(AA51=0,Thermostat!$B$16,Thermostat!$B$15)</f>
        <v>68</v>
      </c>
      <c r="AB54" s="258">
        <f>IF(AB51=0,Thermostat!$B$16,Thermostat!$B$15)</f>
        <v>68</v>
      </c>
      <c r="AC54" s="259">
        <f>IF(AC51=0,Thermostat!$B$16,Thermostat!$B$15)</f>
        <v>68</v>
      </c>
      <c r="AE54" s="44"/>
      <c r="AF54" s="44"/>
      <c r="AG54" s="44"/>
      <c r="AH54" s="44"/>
      <c r="AI54" s="44"/>
      <c r="AJ54" s="44"/>
      <c r="AK54" s="44"/>
      <c r="AL54" s="44"/>
      <c r="AM54" s="44"/>
      <c r="AN54" s="44"/>
      <c r="AO54" s="44"/>
      <c r="AP54" s="44"/>
      <c r="AQ54" s="44"/>
      <c r="AR54" s="44"/>
      <c r="AS54" s="44"/>
      <c r="AT54" s="44"/>
      <c r="AU54" s="44"/>
      <c r="AV54" s="44"/>
      <c r="AW54" s="44"/>
      <c r="AX54" s="44"/>
    </row>
    <row r="55" spans="1:50" ht="39.9" customHeight="1" thickBot="1" x14ac:dyDescent="0.35">
      <c r="A55" s="587"/>
      <c r="B55" s="579"/>
      <c r="C55" s="579"/>
      <c r="D55" s="616"/>
      <c r="E55" s="145" t="s">
        <v>696</v>
      </c>
      <c r="F55" s="262">
        <f>IF(F52=0,Thermostat!$B$16,Thermostat!$B$15)</f>
        <v>68</v>
      </c>
      <c r="G55" s="262">
        <f>IF(G52=0,Thermostat!$B$16,Thermostat!$B$15)</f>
        <v>68</v>
      </c>
      <c r="H55" s="262">
        <f>IF(H52=0,Thermostat!$B$16,Thermostat!$B$15)</f>
        <v>68</v>
      </c>
      <c r="I55" s="262">
        <f>IF(I52=0,Thermostat!$B$16,Thermostat!$B$15)</f>
        <v>68</v>
      </c>
      <c r="J55" s="262">
        <f>IF(J52=0,Thermostat!$B$16,Thermostat!$B$15)</f>
        <v>68</v>
      </c>
      <c r="K55" s="262">
        <f>IF(K52=0,Thermostat!$B$16,Thermostat!$B$15)</f>
        <v>68</v>
      </c>
      <c r="L55" s="262">
        <f>IF(L52=0,Thermostat!$B$16,Thermostat!$B$15)</f>
        <v>68</v>
      </c>
      <c r="M55" s="262">
        <f>IF(M52=0,Thermostat!$B$16,Thermostat!$B$15)</f>
        <v>68</v>
      </c>
      <c r="N55" s="262">
        <f>IF(N52=0,Thermostat!$B$16,Thermostat!$B$15)</f>
        <v>68</v>
      </c>
      <c r="O55" s="262">
        <f>IF(O52=0,Thermostat!$B$16,Thermostat!$B$15)</f>
        <v>68</v>
      </c>
      <c r="P55" s="262">
        <f>IF(P52=0,Thermostat!$B$16,Thermostat!$B$15)</f>
        <v>68</v>
      </c>
      <c r="Q55" s="262">
        <f>IF(Q52=0,Thermostat!$B$16,Thermostat!$B$15)</f>
        <v>68</v>
      </c>
      <c r="R55" s="262">
        <f>IF(R52=0,Thermostat!$B$16,Thermostat!$B$15)</f>
        <v>68</v>
      </c>
      <c r="S55" s="262">
        <f>IF(S52=0,Thermostat!$B$16,Thermostat!$B$15)</f>
        <v>68</v>
      </c>
      <c r="T55" s="262">
        <f>IF(T52=0,Thermostat!$B$16,Thermostat!$B$15)</f>
        <v>68</v>
      </c>
      <c r="U55" s="262">
        <f>IF(U52=0,Thermostat!$B$16,Thermostat!$B$15)</f>
        <v>68</v>
      </c>
      <c r="V55" s="262">
        <f>IF(V52=0,Thermostat!$B$16,Thermostat!$B$15)</f>
        <v>68</v>
      </c>
      <c r="W55" s="262">
        <f>IF(W52=0,Thermostat!$B$16,Thermostat!$B$15)</f>
        <v>68</v>
      </c>
      <c r="X55" s="262">
        <f>IF(X52=0,Thermostat!$B$16,Thermostat!$B$15)</f>
        <v>68</v>
      </c>
      <c r="Y55" s="262">
        <f>IF(Y52=0,Thermostat!$B$16,Thermostat!$B$15)</f>
        <v>68</v>
      </c>
      <c r="Z55" s="262">
        <f>IF(Z52=0,Thermostat!$B$16,Thermostat!$B$15)</f>
        <v>68</v>
      </c>
      <c r="AA55" s="262">
        <f>IF(AA52=0,Thermostat!$B$16,Thermostat!$B$15)</f>
        <v>68</v>
      </c>
      <c r="AB55" s="262">
        <f>IF(AB52=0,Thermostat!$B$16,Thermostat!$B$15)</f>
        <v>68</v>
      </c>
      <c r="AC55" s="263">
        <f>IF(AC52=0,Thermostat!$B$16,Thermostat!$B$15)</f>
        <v>68</v>
      </c>
      <c r="AE55" s="44"/>
      <c r="AF55" s="44"/>
      <c r="AG55" s="44"/>
      <c r="AH55" s="44"/>
      <c r="AI55" s="44"/>
      <c r="AJ55" s="44"/>
      <c r="AK55" s="44"/>
      <c r="AL55" s="44"/>
      <c r="AM55" s="44"/>
      <c r="AN55" s="44"/>
      <c r="AO55" s="44"/>
      <c r="AP55" s="44"/>
      <c r="AQ55" s="44"/>
      <c r="AR55" s="44"/>
      <c r="AS55" s="44"/>
      <c r="AT55" s="44"/>
      <c r="AU55" s="44"/>
      <c r="AV55" s="44"/>
      <c r="AW55" s="44"/>
      <c r="AX55" s="44"/>
    </row>
    <row r="56" spans="1:50" ht="39.9" customHeight="1" x14ac:dyDescent="0.3">
      <c r="A56" s="585" t="s">
        <v>707</v>
      </c>
      <c r="B56" s="577" t="s">
        <v>87</v>
      </c>
      <c r="C56" s="577" t="s">
        <v>704</v>
      </c>
      <c r="D56" s="614" t="s">
        <v>708</v>
      </c>
      <c r="E56" s="142" t="s">
        <v>694</v>
      </c>
      <c r="F56" s="256">
        <f>IF(F50=0,Thermostat!$B$18,Thermostat!$B$17)</f>
        <v>78</v>
      </c>
      <c r="G56" s="256">
        <f>IF(G50=0,Thermostat!$B$18,Thermostat!$B$17)</f>
        <v>78</v>
      </c>
      <c r="H56" s="256">
        <f>IF(H50=0,Thermostat!$B$18,Thermostat!$B$17)</f>
        <v>78</v>
      </c>
      <c r="I56" s="256">
        <f>IF(I50=0,Thermostat!$B$18,Thermostat!$B$17)</f>
        <v>78</v>
      </c>
      <c r="J56" s="256">
        <f>IF(J50=0,Thermostat!$B$18,Thermostat!$B$17)</f>
        <v>78</v>
      </c>
      <c r="K56" s="256">
        <f>IF(K50=0,Thermostat!$B$18,Thermostat!$B$17)</f>
        <v>78</v>
      </c>
      <c r="L56" s="256">
        <f>IF(L50=0,Thermostat!$B$18,Thermostat!$B$17)</f>
        <v>78</v>
      </c>
      <c r="M56" s="256">
        <f>IF(M50=0,Thermostat!$B$18,Thermostat!$B$17)</f>
        <v>78</v>
      </c>
      <c r="N56" s="256">
        <f>IF(N50=0,Thermostat!$B$18,Thermostat!$B$17)</f>
        <v>78</v>
      </c>
      <c r="O56" s="256">
        <f>IF(O50=0,Thermostat!$B$18,Thermostat!$B$17)</f>
        <v>78</v>
      </c>
      <c r="P56" s="256">
        <f>IF(P50=0,Thermostat!$B$18,Thermostat!$B$17)</f>
        <v>78</v>
      </c>
      <c r="Q56" s="256">
        <f>IF(Q50=0,Thermostat!$B$18,Thermostat!$B$17)</f>
        <v>78</v>
      </c>
      <c r="R56" s="256">
        <f>IF(R50=0,Thermostat!$B$18,Thermostat!$B$17)</f>
        <v>78</v>
      </c>
      <c r="S56" s="256">
        <f>IF(S50=0,Thermostat!$B$18,Thermostat!$B$17)</f>
        <v>78</v>
      </c>
      <c r="T56" s="256">
        <f>IF(T50=0,Thermostat!$B$18,Thermostat!$B$17)</f>
        <v>78</v>
      </c>
      <c r="U56" s="256">
        <f>IF(U50=0,Thermostat!$B$18,Thermostat!$B$17)</f>
        <v>78</v>
      </c>
      <c r="V56" s="256">
        <f>IF(V50=0,Thermostat!$B$18,Thermostat!$B$17)</f>
        <v>78</v>
      </c>
      <c r="W56" s="256">
        <f>IF(W50=0,Thermostat!$B$18,Thermostat!$B$17)</f>
        <v>78</v>
      </c>
      <c r="X56" s="256">
        <f>IF(X50=0,Thermostat!$B$18,Thermostat!$B$17)</f>
        <v>78</v>
      </c>
      <c r="Y56" s="256">
        <f>IF(Y50=0,Thermostat!$B$18,Thermostat!$B$17)</f>
        <v>78</v>
      </c>
      <c r="Z56" s="256">
        <f>IF(Z50=0,Thermostat!$B$18,Thermostat!$B$17)</f>
        <v>78</v>
      </c>
      <c r="AA56" s="256">
        <f>IF(AA50=0,Thermostat!$B$18,Thermostat!$B$17)</f>
        <v>78</v>
      </c>
      <c r="AB56" s="256">
        <f>IF(AB50=0,Thermostat!$B$18,Thermostat!$B$17)</f>
        <v>78</v>
      </c>
      <c r="AC56" s="257">
        <f>IF(AC50=0,Thermostat!$B$18,Thermostat!$B$17)</f>
        <v>78</v>
      </c>
      <c r="AE56" s="44"/>
      <c r="AF56" s="44"/>
      <c r="AG56" s="44"/>
      <c r="AH56" s="44"/>
      <c r="AI56" s="44"/>
      <c r="AJ56" s="44"/>
      <c r="AK56" s="44"/>
      <c r="AL56" s="44"/>
      <c r="AM56" s="44"/>
      <c r="AN56" s="44"/>
      <c r="AO56" s="44"/>
      <c r="AP56" s="44"/>
      <c r="AQ56" s="44"/>
      <c r="AR56" s="44"/>
      <c r="AS56" s="44"/>
      <c r="AT56" s="44"/>
      <c r="AU56" s="44"/>
      <c r="AV56" s="44"/>
      <c r="AW56" s="44"/>
      <c r="AX56" s="44"/>
    </row>
    <row r="57" spans="1:50" ht="39.9" customHeight="1" x14ac:dyDescent="0.3">
      <c r="A57" s="586"/>
      <c r="B57" s="578"/>
      <c r="C57" s="578"/>
      <c r="D57" s="615"/>
      <c r="E57" s="143" t="s">
        <v>695</v>
      </c>
      <c r="F57" s="258">
        <f>IF(F51=0,Thermostat!$B$18,Thermostat!$B$17)</f>
        <v>78</v>
      </c>
      <c r="G57" s="258">
        <f>IF(G51=0,Thermostat!$B$18,Thermostat!$B$17)</f>
        <v>78</v>
      </c>
      <c r="H57" s="258">
        <f>IF(H51=0,Thermostat!$B$18,Thermostat!$B$17)</f>
        <v>78</v>
      </c>
      <c r="I57" s="258">
        <f>IF(I51=0,Thermostat!$B$18,Thermostat!$B$17)</f>
        <v>78</v>
      </c>
      <c r="J57" s="258">
        <f>IF(J51=0,Thermostat!$B$18,Thermostat!$B$17)</f>
        <v>78</v>
      </c>
      <c r="K57" s="258">
        <f>IF(K51=0,Thermostat!$B$18,Thermostat!$B$17)</f>
        <v>78</v>
      </c>
      <c r="L57" s="258">
        <f>IF(L51=0,Thermostat!$B$18,Thermostat!$B$17)</f>
        <v>78</v>
      </c>
      <c r="M57" s="258">
        <f>IF(M51=0,Thermostat!$B$18,Thermostat!$B$17)</f>
        <v>78</v>
      </c>
      <c r="N57" s="258">
        <f>IF(N51=0,Thermostat!$B$18,Thermostat!$B$17)</f>
        <v>78</v>
      </c>
      <c r="O57" s="258">
        <f>IF(O51=0,Thermostat!$B$18,Thermostat!$B$17)</f>
        <v>78</v>
      </c>
      <c r="P57" s="258">
        <f>IF(P51=0,Thermostat!$B$18,Thermostat!$B$17)</f>
        <v>78</v>
      </c>
      <c r="Q57" s="258">
        <f>IF(Q51=0,Thermostat!$B$18,Thermostat!$B$17)</f>
        <v>78</v>
      </c>
      <c r="R57" s="258">
        <f>IF(R51=0,Thermostat!$B$18,Thermostat!$B$17)</f>
        <v>78</v>
      </c>
      <c r="S57" s="258">
        <f>IF(S51=0,Thermostat!$B$18,Thermostat!$B$17)</f>
        <v>78</v>
      </c>
      <c r="T57" s="258">
        <f>IF(T51=0,Thermostat!$B$18,Thermostat!$B$17)</f>
        <v>78</v>
      </c>
      <c r="U57" s="258">
        <f>IF(U51=0,Thermostat!$B$18,Thermostat!$B$17)</f>
        <v>78</v>
      </c>
      <c r="V57" s="258">
        <f>IF(V51=0,Thermostat!$B$18,Thermostat!$B$17)</f>
        <v>78</v>
      </c>
      <c r="W57" s="258">
        <f>IF(W51=0,Thermostat!$B$18,Thermostat!$B$17)</f>
        <v>78</v>
      </c>
      <c r="X57" s="258">
        <f>IF(X51=0,Thermostat!$B$18,Thermostat!$B$17)</f>
        <v>78</v>
      </c>
      <c r="Y57" s="258">
        <f>IF(Y51=0,Thermostat!$B$18,Thermostat!$B$17)</f>
        <v>78</v>
      </c>
      <c r="Z57" s="258">
        <f>IF(Z51=0,Thermostat!$B$18,Thermostat!$B$17)</f>
        <v>78</v>
      </c>
      <c r="AA57" s="258">
        <f>IF(AA51=0,Thermostat!$B$18,Thermostat!$B$17)</f>
        <v>78</v>
      </c>
      <c r="AB57" s="258">
        <f>IF(AB51=0,Thermostat!$B$18,Thermostat!$B$17)</f>
        <v>78</v>
      </c>
      <c r="AC57" s="259">
        <f>IF(AC51=0,Thermostat!$B$18,Thermostat!$B$17)</f>
        <v>78</v>
      </c>
      <c r="AE57" s="44"/>
      <c r="AF57" s="44"/>
      <c r="AG57" s="44"/>
      <c r="AH57" s="44"/>
      <c r="AI57" s="44"/>
      <c r="AJ57" s="44"/>
      <c r="AK57" s="44"/>
      <c r="AL57" s="44"/>
      <c r="AM57" s="44"/>
      <c r="AN57" s="44"/>
      <c r="AO57" s="44"/>
      <c r="AP57" s="44"/>
      <c r="AQ57" s="44"/>
      <c r="AR57" s="44"/>
      <c r="AS57" s="44"/>
      <c r="AT57" s="44"/>
      <c r="AU57" s="44"/>
      <c r="AV57" s="44"/>
      <c r="AW57" s="44"/>
      <c r="AX57" s="44"/>
    </row>
    <row r="58" spans="1:50" ht="39.9" customHeight="1" thickBot="1" x14ac:dyDescent="0.35">
      <c r="A58" s="587"/>
      <c r="B58" s="579"/>
      <c r="C58" s="579"/>
      <c r="D58" s="616"/>
      <c r="E58" s="144" t="s">
        <v>696</v>
      </c>
      <c r="F58" s="260">
        <f>IF(F52=0,Thermostat!$B$18,Thermostat!$B$17)</f>
        <v>78</v>
      </c>
      <c r="G58" s="260">
        <f>IF(G52=0,Thermostat!$B$18,Thermostat!$B$17)</f>
        <v>78</v>
      </c>
      <c r="H58" s="260">
        <f>IF(H52=0,Thermostat!$B$18,Thermostat!$B$17)</f>
        <v>78</v>
      </c>
      <c r="I58" s="260">
        <f>IF(I52=0,Thermostat!$B$18,Thermostat!$B$17)</f>
        <v>78</v>
      </c>
      <c r="J58" s="260">
        <f>IF(J52=0,Thermostat!$B$18,Thermostat!$B$17)</f>
        <v>78</v>
      </c>
      <c r="K58" s="260">
        <f>IF(K52=0,Thermostat!$B$18,Thermostat!$B$17)</f>
        <v>78</v>
      </c>
      <c r="L58" s="260">
        <f>IF(L52=0,Thermostat!$B$18,Thermostat!$B$17)</f>
        <v>78</v>
      </c>
      <c r="M58" s="260">
        <f>IF(M52=0,Thermostat!$B$18,Thermostat!$B$17)</f>
        <v>78</v>
      </c>
      <c r="N58" s="260">
        <f>IF(N52=0,Thermostat!$B$18,Thermostat!$B$17)</f>
        <v>78</v>
      </c>
      <c r="O58" s="260">
        <f>IF(O52=0,Thermostat!$B$18,Thermostat!$B$17)</f>
        <v>78</v>
      </c>
      <c r="P58" s="260">
        <f>IF(P52=0,Thermostat!$B$18,Thermostat!$B$17)</f>
        <v>78</v>
      </c>
      <c r="Q58" s="260">
        <f>IF(Q52=0,Thermostat!$B$18,Thermostat!$B$17)</f>
        <v>78</v>
      </c>
      <c r="R58" s="260">
        <f>IF(R52=0,Thermostat!$B$18,Thermostat!$B$17)</f>
        <v>78</v>
      </c>
      <c r="S58" s="260">
        <f>IF(S52=0,Thermostat!$B$18,Thermostat!$B$17)</f>
        <v>78</v>
      </c>
      <c r="T58" s="260">
        <f>IF(T52=0,Thermostat!$B$18,Thermostat!$B$17)</f>
        <v>78</v>
      </c>
      <c r="U58" s="260">
        <f>IF(U52=0,Thermostat!$B$18,Thermostat!$B$17)</f>
        <v>78</v>
      </c>
      <c r="V58" s="260">
        <f>IF(V52=0,Thermostat!$B$18,Thermostat!$B$17)</f>
        <v>78</v>
      </c>
      <c r="W58" s="260">
        <f>IF(W52=0,Thermostat!$B$18,Thermostat!$B$17)</f>
        <v>78</v>
      </c>
      <c r="X58" s="260">
        <f>IF(X52=0,Thermostat!$B$18,Thermostat!$B$17)</f>
        <v>78</v>
      </c>
      <c r="Y58" s="260">
        <f>IF(Y52=0,Thermostat!$B$18,Thermostat!$B$17)</f>
        <v>78</v>
      </c>
      <c r="Z58" s="260">
        <f>IF(Z52=0,Thermostat!$B$18,Thermostat!$B$17)</f>
        <v>78</v>
      </c>
      <c r="AA58" s="260">
        <f>IF(AA52=0,Thermostat!$B$18,Thermostat!$B$17)</f>
        <v>78</v>
      </c>
      <c r="AB58" s="260">
        <f>IF(AB52=0,Thermostat!$B$18,Thermostat!$B$17)</f>
        <v>78</v>
      </c>
      <c r="AC58" s="261">
        <f>IF(AC52=0,Thermostat!$B$18,Thermostat!$B$17)</f>
        <v>78</v>
      </c>
      <c r="AE58" s="44"/>
      <c r="AF58" s="44"/>
      <c r="AG58" s="44"/>
      <c r="AH58" s="44"/>
      <c r="AI58" s="44"/>
      <c r="AJ58" s="44"/>
      <c r="AK58" s="44"/>
      <c r="AL58" s="44"/>
      <c r="AM58" s="44"/>
      <c r="AN58" s="44"/>
      <c r="AO58" s="44"/>
      <c r="AP58" s="44"/>
      <c r="AQ58" s="44"/>
      <c r="AR58" s="44"/>
      <c r="AS58" s="44"/>
      <c r="AT58" s="44"/>
      <c r="AU58" s="44"/>
      <c r="AV58" s="44"/>
      <c r="AW58" s="44"/>
      <c r="AX58" s="44"/>
    </row>
    <row r="59" spans="1:50" ht="39.9" customHeight="1" x14ac:dyDescent="0.3">
      <c r="A59" s="612" t="s">
        <v>707</v>
      </c>
      <c r="B59" s="580" t="s">
        <v>87</v>
      </c>
      <c r="C59" s="580" t="s">
        <v>265</v>
      </c>
      <c r="D59" s="617" t="s">
        <v>708</v>
      </c>
      <c r="E59" s="152" t="s">
        <v>694</v>
      </c>
      <c r="F59" s="153">
        <v>0.25</v>
      </c>
      <c r="G59" s="153">
        <v>0.25</v>
      </c>
      <c r="H59" s="153">
        <v>0.25</v>
      </c>
      <c r="I59" s="153">
        <v>0.25</v>
      </c>
      <c r="J59" s="153">
        <v>0.25</v>
      </c>
      <c r="K59" s="153">
        <v>0.25</v>
      </c>
      <c r="L59" s="153">
        <v>0.25</v>
      </c>
      <c r="M59" s="153">
        <v>0.25</v>
      </c>
      <c r="N59" s="153">
        <v>0.25</v>
      </c>
      <c r="O59" s="153">
        <v>0.25</v>
      </c>
      <c r="P59" s="153">
        <v>0.25</v>
      </c>
      <c r="Q59" s="153">
        <v>0.25</v>
      </c>
      <c r="R59" s="153">
        <v>0.25</v>
      </c>
      <c r="S59" s="153">
        <v>0.25</v>
      </c>
      <c r="T59" s="153">
        <v>0.25</v>
      </c>
      <c r="U59" s="153">
        <v>0.25</v>
      </c>
      <c r="V59" s="153">
        <v>0.25</v>
      </c>
      <c r="W59" s="153">
        <v>0.25</v>
      </c>
      <c r="X59" s="153">
        <v>0.25</v>
      </c>
      <c r="Y59" s="153">
        <v>0.25</v>
      </c>
      <c r="Z59" s="153">
        <v>0.25</v>
      </c>
      <c r="AA59" s="153">
        <v>0.25</v>
      </c>
      <c r="AB59" s="153">
        <v>0.25</v>
      </c>
      <c r="AC59" s="154">
        <v>0.25</v>
      </c>
      <c r="AE59" s="44"/>
      <c r="AF59" s="44"/>
      <c r="AG59" s="44"/>
      <c r="AH59" s="44"/>
      <c r="AI59" s="44"/>
      <c r="AJ59" s="44"/>
      <c r="AK59" s="44"/>
      <c r="AL59" s="44"/>
      <c r="AM59" s="44"/>
      <c r="AN59" s="44"/>
      <c r="AO59" s="44"/>
      <c r="AP59" s="44"/>
      <c r="AQ59" s="44"/>
      <c r="AR59" s="44"/>
      <c r="AS59" s="44"/>
      <c r="AT59" s="44"/>
      <c r="AU59" s="44"/>
      <c r="AV59" s="44"/>
      <c r="AW59" s="44"/>
      <c r="AX59" s="44"/>
    </row>
    <row r="60" spans="1:50" ht="39.9" customHeight="1" x14ac:dyDescent="0.3">
      <c r="A60" s="586"/>
      <c r="B60" s="578"/>
      <c r="C60" s="578"/>
      <c r="D60" s="615"/>
      <c r="E60" s="143" t="s">
        <v>695</v>
      </c>
      <c r="F60" s="115">
        <v>0.25</v>
      </c>
      <c r="G60" s="115">
        <v>0.25</v>
      </c>
      <c r="H60" s="115">
        <v>0.25</v>
      </c>
      <c r="I60" s="115">
        <v>0.25</v>
      </c>
      <c r="J60" s="115">
        <v>0.25</v>
      </c>
      <c r="K60" s="115">
        <v>0.25</v>
      </c>
      <c r="L60" s="115">
        <v>0.25</v>
      </c>
      <c r="M60" s="115">
        <v>0.25</v>
      </c>
      <c r="N60" s="115">
        <v>0.25</v>
      </c>
      <c r="O60" s="115">
        <v>0.25</v>
      </c>
      <c r="P60" s="115">
        <v>0.25</v>
      </c>
      <c r="Q60" s="115">
        <v>0.25</v>
      </c>
      <c r="R60" s="115">
        <v>0.25</v>
      </c>
      <c r="S60" s="115">
        <v>0.25</v>
      </c>
      <c r="T60" s="115">
        <v>0.25</v>
      </c>
      <c r="U60" s="115">
        <v>0.25</v>
      </c>
      <c r="V60" s="115">
        <v>0.25</v>
      </c>
      <c r="W60" s="115">
        <v>0.25</v>
      </c>
      <c r="X60" s="115">
        <v>0.25</v>
      </c>
      <c r="Y60" s="115">
        <v>0.25</v>
      </c>
      <c r="Z60" s="115">
        <v>0.25</v>
      </c>
      <c r="AA60" s="115">
        <v>0.25</v>
      </c>
      <c r="AB60" s="115">
        <v>0.25</v>
      </c>
      <c r="AC60" s="116">
        <v>0.25</v>
      </c>
      <c r="AE60" s="44"/>
      <c r="AF60" s="44"/>
      <c r="AG60" s="44"/>
      <c r="AH60" s="44"/>
      <c r="AI60" s="44"/>
      <c r="AJ60" s="44"/>
      <c r="AK60" s="44"/>
      <c r="AL60" s="44"/>
      <c r="AM60" s="44"/>
      <c r="AN60" s="44"/>
      <c r="AO60" s="44"/>
      <c r="AP60" s="44"/>
      <c r="AQ60" s="44"/>
      <c r="AR60" s="44"/>
      <c r="AS60" s="44"/>
      <c r="AT60" s="44"/>
      <c r="AU60" s="44"/>
      <c r="AV60" s="44"/>
      <c r="AW60" s="44"/>
      <c r="AX60" s="44"/>
    </row>
    <row r="61" spans="1:50" ht="39.9" customHeight="1" thickBot="1" x14ac:dyDescent="0.35">
      <c r="A61" s="613"/>
      <c r="B61" s="581"/>
      <c r="C61" s="581"/>
      <c r="D61" s="618"/>
      <c r="E61" s="144" t="s">
        <v>696</v>
      </c>
      <c r="F61" s="119">
        <v>0.25</v>
      </c>
      <c r="G61" s="119">
        <v>0.25</v>
      </c>
      <c r="H61" s="119">
        <v>0.25</v>
      </c>
      <c r="I61" s="119">
        <v>0.25</v>
      </c>
      <c r="J61" s="119">
        <v>0.25</v>
      </c>
      <c r="K61" s="119">
        <v>0.25</v>
      </c>
      <c r="L61" s="119">
        <v>0.25</v>
      </c>
      <c r="M61" s="119">
        <v>0.25</v>
      </c>
      <c r="N61" s="119">
        <v>0.25</v>
      </c>
      <c r="O61" s="119">
        <v>0.25</v>
      </c>
      <c r="P61" s="119">
        <v>0.25</v>
      </c>
      <c r="Q61" s="119">
        <v>0.25</v>
      </c>
      <c r="R61" s="119">
        <v>0.25</v>
      </c>
      <c r="S61" s="119">
        <v>0.25</v>
      </c>
      <c r="T61" s="119">
        <v>0.25</v>
      </c>
      <c r="U61" s="119">
        <v>0.25</v>
      </c>
      <c r="V61" s="119">
        <v>0.25</v>
      </c>
      <c r="W61" s="119">
        <v>0.25</v>
      </c>
      <c r="X61" s="119">
        <v>0.25</v>
      </c>
      <c r="Y61" s="119">
        <v>0.25</v>
      </c>
      <c r="Z61" s="119">
        <v>0.25</v>
      </c>
      <c r="AA61" s="119">
        <v>0.25</v>
      </c>
      <c r="AB61" s="119">
        <v>0.25</v>
      </c>
      <c r="AC61" s="120">
        <v>0.25</v>
      </c>
      <c r="AE61" s="44"/>
      <c r="AF61" s="44"/>
      <c r="AG61" s="44"/>
      <c r="AH61" s="44"/>
      <c r="AI61" s="44"/>
      <c r="AJ61" s="44"/>
      <c r="AK61" s="44"/>
      <c r="AL61" s="44"/>
      <c r="AM61" s="44"/>
      <c r="AN61" s="44"/>
      <c r="AO61" s="44"/>
      <c r="AP61" s="44"/>
      <c r="AQ61" s="44"/>
      <c r="AR61" s="44"/>
      <c r="AS61" s="44"/>
      <c r="AT61" s="44"/>
      <c r="AU61" s="44"/>
      <c r="AV61" s="44"/>
      <c r="AW61" s="44"/>
      <c r="AX61" s="44"/>
    </row>
    <row r="62" spans="1:50" ht="39.9" customHeight="1" x14ac:dyDescent="0.3">
      <c r="A62" s="585" t="s">
        <v>707</v>
      </c>
      <c r="B62" s="577" t="s">
        <v>87</v>
      </c>
      <c r="C62" s="577" t="s">
        <v>705</v>
      </c>
      <c r="D62" s="614" t="s">
        <v>708</v>
      </c>
      <c r="E62" s="142" t="s">
        <v>694</v>
      </c>
      <c r="F62" s="113">
        <v>0.9</v>
      </c>
      <c r="G62" s="113">
        <v>0.9</v>
      </c>
      <c r="H62" s="113">
        <v>0.9</v>
      </c>
      <c r="I62" s="113">
        <v>0.9</v>
      </c>
      <c r="J62" s="113">
        <v>0.9</v>
      </c>
      <c r="K62" s="113">
        <v>0.9</v>
      </c>
      <c r="L62" s="113">
        <v>0.9</v>
      </c>
      <c r="M62" s="113">
        <v>0.9</v>
      </c>
      <c r="N62" s="113">
        <v>0.9</v>
      </c>
      <c r="O62" s="113">
        <v>0.9</v>
      </c>
      <c r="P62" s="113">
        <v>0.9</v>
      </c>
      <c r="Q62" s="113">
        <v>0.9</v>
      </c>
      <c r="R62" s="113">
        <v>0.9</v>
      </c>
      <c r="S62" s="113">
        <v>0.9</v>
      </c>
      <c r="T62" s="113">
        <v>0.9</v>
      </c>
      <c r="U62" s="113">
        <v>0.9</v>
      </c>
      <c r="V62" s="113">
        <v>0.9</v>
      </c>
      <c r="W62" s="113">
        <v>0.9</v>
      </c>
      <c r="X62" s="113">
        <v>0.9</v>
      </c>
      <c r="Y62" s="113">
        <v>0.9</v>
      </c>
      <c r="Z62" s="113">
        <v>0.9</v>
      </c>
      <c r="AA62" s="113">
        <v>0.9</v>
      </c>
      <c r="AB62" s="113">
        <v>0.9</v>
      </c>
      <c r="AC62" s="114">
        <v>0.9</v>
      </c>
      <c r="AE62" s="44"/>
      <c r="AF62" s="44"/>
      <c r="AG62" s="44"/>
      <c r="AH62" s="44"/>
      <c r="AI62" s="44"/>
      <c r="AJ62" s="44"/>
      <c r="AK62" s="44"/>
      <c r="AL62" s="44"/>
      <c r="AM62" s="44"/>
      <c r="AN62" s="44"/>
      <c r="AO62" s="44"/>
      <c r="AP62" s="44"/>
      <c r="AQ62" s="44"/>
      <c r="AR62" s="44"/>
      <c r="AS62" s="44"/>
      <c r="AT62" s="44"/>
      <c r="AU62" s="44"/>
      <c r="AV62" s="44"/>
      <c r="AW62" s="44"/>
      <c r="AX62" s="44"/>
    </row>
    <row r="63" spans="1:50" ht="39.9" customHeight="1" x14ac:dyDescent="0.3">
      <c r="A63" s="586"/>
      <c r="B63" s="578"/>
      <c r="C63" s="578"/>
      <c r="D63" s="615"/>
      <c r="E63" s="143" t="s">
        <v>695</v>
      </c>
      <c r="F63" s="115">
        <v>0.9</v>
      </c>
      <c r="G63" s="115">
        <v>0.9</v>
      </c>
      <c r="H63" s="115">
        <v>0.9</v>
      </c>
      <c r="I63" s="115">
        <v>0.9</v>
      </c>
      <c r="J63" s="115">
        <v>0.9</v>
      </c>
      <c r="K63" s="115">
        <v>0.9</v>
      </c>
      <c r="L63" s="115">
        <v>0.9</v>
      </c>
      <c r="M63" s="115">
        <v>0.9</v>
      </c>
      <c r="N63" s="115">
        <v>0.9</v>
      </c>
      <c r="O63" s="115">
        <v>0.9</v>
      </c>
      <c r="P63" s="115">
        <v>0.9</v>
      </c>
      <c r="Q63" s="115">
        <v>0.9</v>
      </c>
      <c r="R63" s="115">
        <v>0.9</v>
      </c>
      <c r="S63" s="115">
        <v>0.9</v>
      </c>
      <c r="T63" s="115">
        <v>0.9</v>
      </c>
      <c r="U63" s="115">
        <v>0.9</v>
      </c>
      <c r="V63" s="115">
        <v>0.9</v>
      </c>
      <c r="W63" s="115">
        <v>0.9</v>
      </c>
      <c r="X63" s="115">
        <v>0.9</v>
      </c>
      <c r="Y63" s="115">
        <v>0.9</v>
      </c>
      <c r="Z63" s="115">
        <v>0.9</v>
      </c>
      <c r="AA63" s="115">
        <v>0.9</v>
      </c>
      <c r="AB63" s="115">
        <v>0.9</v>
      </c>
      <c r="AC63" s="116">
        <v>0.9</v>
      </c>
      <c r="AE63" s="44"/>
      <c r="AF63" s="44"/>
      <c r="AG63" s="44"/>
      <c r="AH63" s="44"/>
      <c r="AI63" s="44"/>
      <c r="AJ63" s="44"/>
      <c r="AK63" s="44"/>
      <c r="AL63" s="44"/>
      <c r="AM63" s="44"/>
      <c r="AN63" s="44"/>
      <c r="AO63" s="44"/>
      <c r="AP63" s="44"/>
      <c r="AQ63" s="44"/>
      <c r="AR63" s="44"/>
      <c r="AS63" s="44"/>
      <c r="AT63" s="44"/>
      <c r="AU63" s="44"/>
      <c r="AV63" s="44"/>
      <c r="AW63" s="44"/>
      <c r="AX63" s="44"/>
    </row>
    <row r="64" spans="1:50" ht="39.9" customHeight="1" thickBot="1" x14ac:dyDescent="0.35">
      <c r="A64" s="587"/>
      <c r="B64" s="579"/>
      <c r="C64" s="579"/>
      <c r="D64" s="616"/>
      <c r="E64" s="144" t="s">
        <v>696</v>
      </c>
      <c r="F64" s="117">
        <v>0.9</v>
      </c>
      <c r="G64" s="117">
        <v>0.9</v>
      </c>
      <c r="H64" s="117">
        <v>0.9</v>
      </c>
      <c r="I64" s="117">
        <v>0.9</v>
      </c>
      <c r="J64" s="117">
        <v>0.9</v>
      </c>
      <c r="K64" s="117">
        <v>0.9</v>
      </c>
      <c r="L64" s="117">
        <v>0.9</v>
      </c>
      <c r="M64" s="117">
        <v>0.9</v>
      </c>
      <c r="N64" s="117">
        <v>0.9</v>
      </c>
      <c r="O64" s="117">
        <v>0.9</v>
      </c>
      <c r="P64" s="117">
        <v>0.9</v>
      </c>
      <c r="Q64" s="117">
        <v>0.9</v>
      </c>
      <c r="R64" s="117">
        <v>0.9</v>
      </c>
      <c r="S64" s="117">
        <v>0.9</v>
      </c>
      <c r="T64" s="117">
        <v>0.9</v>
      </c>
      <c r="U64" s="117">
        <v>0.9</v>
      </c>
      <c r="V64" s="117">
        <v>0.9</v>
      </c>
      <c r="W64" s="117">
        <v>0.9</v>
      </c>
      <c r="X64" s="117">
        <v>0.9</v>
      </c>
      <c r="Y64" s="117">
        <v>0.9</v>
      </c>
      <c r="Z64" s="117">
        <v>0.9</v>
      </c>
      <c r="AA64" s="117">
        <v>0.9</v>
      </c>
      <c r="AB64" s="117">
        <v>0.9</v>
      </c>
      <c r="AC64" s="118">
        <v>0.9</v>
      </c>
      <c r="AE64" s="44"/>
      <c r="AF64" s="44"/>
      <c r="AG64" s="44"/>
      <c r="AH64" s="44"/>
      <c r="AI64" s="44"/>
      <c r="AJ64" s="44"/>
      <c r="AK64" s="44"/>
      <c r="AL64" s="44"/>
      <c r="AM64" s="44"/>
      <c r="AN64" s="44"/>
      <c r="AO64" s="44"/>
      <c r="AP64" s="44"/>
      <c r="AQ64" s="44"/>
      <c r="AR64" s="44"/>
      <c r="AS64" s="44"/>
      <c r="AT64" s="44"/>
      <c r="AU64" s="44"/>
      <c r="AV64" s="44"/>
      <c r="AW64" s="44"/>
      <c r="AX64" s="44"/>
    </row>
    <row r="65" spans="1:56" ht="29.25" customHeight="1" thickBot="1" x14ac:dyDescent="0.35">
      <c r="A65" s="632" t="s">
        <v>109</v>
      </c>
      <c r="B65" s="633"/>
      <c r="C65" s="633"/>
      <c r="D65" s="633"/>
      <c r="E65" s="633"/>
      <c r="F65" s="633"/>
      <c r="G65" s="633"/>
      <c r="H65" s="633"/>
      <c r="I65" s="633"/>
      <c r="J65" s="633"/>
      <c r="K65" s="633"/>
      <c r="L65" s="633"/>
      <c r="M65" s="633"/>
      <c r="N65" s="633"/>
      <c r="O65" s="633"/>
      <c r="P65" s="633"/>
      <c r="Q65" s="633"/>
      <c r="R65" s="633"/>
      <c r="S65" s="633"/>
      <c r="T65" s="633"/>
      <c r="U65" s="633"/>
      <c r="V65" s="633"/>
      <c r="W65" s="633"/>
      <c r="X65" s="633"/>
      <c r="Y65" s="633"/>
      <c r="Z65" s="633"/>
      <c r="AA65" s="633"/>
      <c r="AB65" s="633"/>
      <c r="AC65" s="634"/>
      <c r="AD65" s="44"/>
      <c r="AE65" s="44"/>
      <c r="AF65" s="44"/>
      <c r="AG65" s="44"/>
      <c r="AH65" s="44"/>
      <c r="AI65" s="44"/>
      <c r="AJ65" s="44"/>
      <c r="AK65" s="44"/>
      <c r="AL65" s="44"/>
      <c r="AM65" s="44"/>
      <c r="AN65" s="44"/>
      <c r="AO65" s="44"/>
      <c r="AP65" s="44"/>
      <c r="AQ65" s="44"/>
      <c r="AR65" s="44"/>
      <c r="AS65" s="44"/>
      <c r="AT65" s="44"/>
      <c r="AU65" s="44"/>
      <c r="AV65" s="44"/>
      <c r="AW65" s="44"/>
      <c r="AX65" s="44"/>
    </row>
    <row r="66" spans="1:56" ht="25.2" customHeight="1" x14ac:dyDescent="0.3">
      <c r="A66" s="622" t="s">
        <v>109</v>
      </c>
      <c r="B66" s="625" t="s">
        <v>109</v>
      </c>
      <c r="C66" s="628" t="s">
        <v>692</v>
      </c>
      <c r="D66" s="597" t="s">
        <v>709</v>
      </c>
      <c r="E66" s="142" t="s">
        <v>694</v>
      </c>
      <c r="F66" s="113">
        <v>0</v>
      </c>
      <c r="G66" s="113">
        <v>0</v>
      </c>
      <c r="H66" s="113">
        <v>0</v>
      </c>
      <c r="I66" s="113">
        <v>0</v>
      </c>
      <c r="J66" s="113">
        <v>0</v>
      </c>
      <c r="K66" s="113">
        <v>0</v>
      </c>
      <c r="L66" s="113">
        <v>0</v>
      </c>
      <c r="M66" s="113">
        <v>0.1</v>
      </c>
      <c r="N66" s="113">
        <v>0.2</v>
      </c>
      <c r="O66" s="113">
        <v>0.5</v>
      </c>
      <c r="P66" s="113">
        <v>0.5</v>
      </c>
      <c r="Q66" s="113">
        <v>0.7</v>
      </c>
      <c r="R66" s="113">
        <v>0.7</v>
      </c>
      <c r="S66" s="113">
        <v>0.7</v>
      </c>
      <c r="T66" s="113">
        <v>0.7</v>
      </c>
      <c r="U66" s="113">
        <v>0.8</v>
      </c>
      <c r="V66" s="113">
        <v>0.7</v>
      </c>
      <c r="W66" s="113">
        <v>0.5</v>
      </c>
      <c r="X66" s="113">
        <v>0.5</v>
      </c>
      <c r="Y66" s="113">
        <v>0.3</v>
      </c>
      <c r="Z66" s="113">
        <v>0.3</v>
      </c>
      <c r="AA66" s="113">
        <v>0</v>
      </c>
      <c r="AB66" s="113">
        <v>0</v>
      </c>
      <c r="AC66" s="114">
        <v>0</v>
      </c>
      <c r="AD66" s="44"/>
      <c r="AE66" s="44"/>
      <c r="AF66" s="44"/>
      <c r="AG66" s="44"/>
      <c r="AH66" s="44"/>
      <c r="AI66" s="44"/>
      <c r="AJ66" s="44"/>
      <c r="AK66" s="44"/>
      <c r="AL66" s="42"/>
      <c r="AM66" s="42"/>
      <c r="AN66" s="42"/>
      <c r="AO66" s="42"/>
      <c r="AP66" s="42"/>
      <c r="AQ66" s="42"/>
      <c r="AR66" s="42"/>
      <c r="AS66" s="42"/>
      <c r="AT66" s="42"/>
      <c r="AU66" s="42"/>
      <c r="AV66" s="42"/>
      <c r="AW66" s="42"/>
      <c r="AX66" s="42"/>
      <c r="AY66" s="42"/>
      <c r="AZ66" s="42"/>
      <c r="BA66" s="42"/>
      <c r="BB66" s="42"/>
      <c r="BC66" s="42"/>
      <c r="BD66" s="42"/>
    </row>
    <row r="67" spans="1:56" ht="33" customHeight="1" x14ac:dyDescent="0.3">
      <c r="A67" s="623"/>
      <c r="B67" s="626"/>
      <c r="C67" s="626"/>
      <c r="D67" s="598"/>
      <c r="E67" s="143" t="s">
        <v>695</v>
      </c>
      <c r="F67" s="115">
        <v>0</v>
      </c>
      <c r="G67" s="115">
        <v>0</v>
      </c>
      <c r="H67" s="115">
        <v>0</v>
      </c>
      <c r="I67" s="115">
        <v>0</v>
      </c>
      <c r="J67" s="115">
        <v>0</v>
      </c>
      <c r="K67" s="115">
        <v>0</v>
      </c>
      <c r="L67" s="115">
        <v>0</v>
      </c>
      <c r="M67" s="115">
        <v>0.1</v>
      </c>
      <c r="N67" s="115">
        <v>0.2</v>
      </c>
      <c r="O67" s="115">
        <v>0.5</v>
      </c>
      <c r="P67" s="115">
        <v>0.6</v>
      </c>
      <c r="Q67" s="115">
        <v>0.8</v>
      </c>
      <c r="R67" s="115">
        <v>0.8</v>
      </c>
      <c r="S67" s="115">
        <v>0.8</v>
      </c>
      <c r="T67" s="115">
        <v>0.8</v>
      </c>
      <c r="U67" s="115">
        <v>0.8</v>
      </c>
      <c r="V67" s="115">
        <v>0.8</v>
      </c>
      <c r="W67" s="115">
        <v>0.6</v>
      </c>
      <c r="X67" s="115">
        <v>0.2</v>
      </c>
      <c r="Y67" s="115">
        <v>0.2</v>
      </c>
      <c r="Z67" s="115">
        <v>0.2</v>
      </c>
      <c r="AA67" s="115">
        <v>0.1</v>
      </c>
      <c r="AB67" s="115">
        <v>0</v>
      </c>
      <c r="AC67" s="116">
        <v>0</v>
      </c>
      <c r="AD67" s="44"/>
      <c r="AE67" s="44"/>
      <c r="AF67" s="44"/>
      <c r="AG67" s="44"/>
      <c r="AH67" s="44"/>
      <c r="AI67" s="44"/>
      <c r="AJ67" s="44"/>
      <c r="AK67" s="44"/>
      <c r="AL67" s="42"/>
      <c r="AM67" s="42"/>
      <c r="AN67" s="42"/>
      <c r="AO67" s="42"/>
      <c r="AP67" s="42"/>
      <c r="AQ67" s="42"/>
      <c r="AR67" s="42"/>
      <c r="AS67" s="42"/>
      <c r="AT67" s="42"/>
      <c r="AU67" s="42"/>
      <c r="AV67" s="42"/>
      <c r="AW67" s="42"/>
      <c r="AX67" s="42"/>
      <c r="AY67" s="42"/>
      <c r="AZ67" s="42"/>
      <c r="BA67" s="42"/>
      <c r="BB67" s="42"/>
      <c r="BC67" s="42"/>
      <c r="BD67" s="42"/>
    </row>
    <row r="68" spans="1:56" ht="33" customHeight="1" thickBot="1" x14ac:dyDescent="0.35">
      <c r="A68" s="624"/>
      <c r="B68" s="627"/>
      <c r="C68" s="627"/>
      <c r="D68" s="599"/>
      <c r="E68" s="144" t="s">
        <v>696</v>
      </c>
      <c r="F68" s="117">
        <v>0</v>
      </c>
      <c r="G68" s="117">
        <v>0</v>
      </c>
      <c r="H68" s="117">
        <v>0</v>
      </c>
      <c r="I68" s="117">
        <v>0</v>
      </c>
      <c r="J68" s="117">
        <v>0</v>
      </c>
      <c r="K68" s="117">
        <v>0</v>
      </c>
      <c r="L68" s="117">
        <v>0</v>
      </c>
      <c r="M68" s="117">
        <v>0</v>
      </c>
      <c r="N68" s="117">
        <v>0</v>
      </c>
      <c r="O68" s="117">
        <v>0.1</v>
      </c>
      <c r="P68" s="117">
        <v>0.2</v>
      </c>
      <c r="Q68" s="117">
        <v>0.2</v>
      </c>
      <c r="R68" s="117">
        <v>0.4</v>
      </c>
      <c r="S68" s="117">
        <v>0.4</v>
      </c>
      <c r="T68" s="117">
        <v>0.4</v>
      </c>
      <c r="U68" s="117">
        <v>0.4</v>
      </c>
      <c r="V68" s="117">
        <v>0.4</v>
      </c>
      <c r="W68" s="117">
        <v>0.2</v>
      </c>
      <c r="X68" s="117">
        <v>0.1</v>
      </c>
      <c r="Y68" s="117">
        <v>0</v>
      </c>
      <c r="Z68" s="117">
        <v>0</v>
      </c>
      <c r="AA68" s="117">
        <v>0</v>
      </c>
      <c r="AB68" s="117">
        <v>0</v>
      </c>
      <c r="AC68" s="118">
        <v>0</v>
      </c>
      <c r="AD68" s="44"/>
      <c r="AE68" s="44"/>
      <c r="AF68" s="44"/>
      <c r="AG68" s="44"/>
      <c r="AH68" s="44"/>
      <c r="AI68" s="44"/>
      <c r="AJ68" s="44"/>
      <c r="AK68" s="44"/>
      <c r="AL68" s="42"/>
      <c r="AM68" s="42"/>
      <c r="AN68" s="42"/>
      <c r="AO68" s="42"/>
      <c r="AP68" s="42"/>
      <c r="AQ68" s="42"/>
      <c r="AR68" s="42"/>
      <c r="AS68" s="42"/>
      <c r="AT68" s="42"/>
      <c r="AU68" s="42"/>
      <c r="AV68" s="42"/>
      <c r="AW68" s="42"/>
      <c r="AX68" s="42"/>
      <c r="AY68" s="42"/>
      <c r="AZ68" s="42"/>
      <c r="BA68" s="42"/>
      <c r="BB68" s="42"/>
      <c r="BC68" s="42"/>
      <c r="BD68" s="42"/>
    </row>
    <row r="69" spans="1:56" ht="38.700000000000003" customHeight="1" x14ac:dyDescent="0.3">
      <c r="A69" s="588" t="str">
        <f>A66</f>
        <v>Retail</v>
      </c>
      <c r="B69" s="591" t="str">
        <f>B66</f>
        <v>Retail</v>
      </c>
      <c r="C69" s="591" t="s">
        <v>697</v>
      </c>
      <c r="D69" s="638" t="s">
        <v>709</v>
      </c>
      <c r="E69" s="228" t="s">
        <v>694</v>
      </c>
      <c r="F69" s="229">
        <v>0.05</v>
      </c>
      <c r="G69" s="181">
        <v>0.05</v>
      </c>
      <c r="H69" s="181">
        <v>0.05</v>
      </c>
      <c r="I69" s="181">
        <v>0.05</v>
      </c>
      <c r="J69" s="181">
        <v>0.05</v>
      </c>
      <c r="K69" s="181">
        <v>0.05</v>
      </c>
      <c r="L69" s="181">
        <v>0.05</v>
      </c>
      <c r="M69" s="181">
        <v>0.2</v>
      </c>
      <c r="N69" s="181">
        <v>0.5</v>
      </c>
      <c r="O69" s="181">
        <v>0.85</v>
      </c>
      <c r="P69" s="181">
        <v>0.85</v>
      </c>
      <c r="Q69" s="181">
        <v>0.85</v>
      </c>
      <c r="R69" s="181">
        <v>0.85</v>
      </c>
      <c r="S69" s="181">
        <v>0.85</v>
      </c>
      <c r="T69" s="181">
        <v>0.85</v>
      </c>
      <c r="U69" s="181">
        <v>0.85</v>
      </c>
      <c r="V69" s="181">
        <v>0.85</v>
      </c>
      <c r="W69" s="181">
        <v>0.85</v>
      </c>
      <c r="X69" s="181">
        <v>0.55000000000000004</v>
      </c>
      <c r="Y69" s="181">
        <v>0.55000000000000004</v>
      </c>
      <c r="Z69" s="181">
        <v>0.5</v>
      </c>
      <c r="AA69" s="181">
        <v>0.2</v>
      </c>
      <c r="AB69" s="181">
        <v>0.05</v>
      </c>
      <c r="AC69" s="182">
        <v>0.05</v>
      </c>
      <c r="AD69" s="44"/>
      <c r="AE69" s="44"/>
      <c r="AF69" s="44"/>
      <c r="AG69" s="44"/>
      <c r="AH69" s="44"/>
      <c r="AI69" s="44"/>
      <c r="AJ69" s="44"/>
      <c r="AK69" s="44"/>
      <c r="AL69" s="42"/>
      <c r="AM69" s="183"/>
      <c r="AN69" s="42"/>
      <c r="AO69" s="42"/>
      <c r="AP69" s="42"/>
      <c r="AQ69" s="42"/>
      <c r="AR69" s="42"/>
      <c r="AS69" s="42"/>
      <c r="AT69" s="42"/>
      <c r="AU69" s="42"/>
      <c r="AV69" s="42"/>
      <c r="AW69" s="42"/>
      <c r="AX69" s="42"/>
      <c r="AY69" s="42"/>
      <c r="AZ69" s="42"/>
      <c r="BA69" s="42"/>
      <c r="BB69" s="42"/>
      <c r="BC69" s="42"/>
      <c r="BD69" s="42"/>
    </row>
    <row r="70" spans="1:56" ht="38.700000000000003" customHeight="1" x14ac:dyDescent="0.3">
      <c r="A70" s="589"/>
      <c r="B70" s="592"/>
      <c r="C70" s="592"/>
      <c r="D70" s="639"/>
      <c r="E70" s="230" t="s">
        <v>695</v>
      </c>
      <c r="F70" s="231">
        <v>0.05</v>
      </c>
      <c r="G70" s="184">
        <v>0.05</v>
      </c>
      <c r="H70" s="184">
        <v>0.05</v>
      </c>
      <c r="I70" s="184">
        <v>0.05</v>
      </c>
      <c r="J70" s="184">
        <v>0.05</v>
      </c>
      <c r="K70" s="184">
        <v>0.05</v>
      </c>
      <c r="L70" s="184">
        <v>0.05</v>
      </c>
      <c r="M70" s="184">
        <v>0.1</v>
      </c>
      <c r="N70" s="184">
        <v>0.3</v>
      </c>
      <c r="O70" s="184">
        <v>0.55000000000000004</v>
      </c>
      <c r="P70" s="184">
        <v>0.85</v>
      </c>
      <c r="Q70" s="184">
        <v>0.85</v>
      </c>
      <c r="R70" s="184">
        <v>0.85</v>
      </c>
      <c r="S70" s="184">
        <v>0.85</v>
      </c>
      <c r="T70" s="184">
        <v>0.85</v>
      </c>
      <c r="U70" s="184">
        <v>0.85</v>
      </c>
      <c r="V70" s="184">
        <v>0.85</v>
      </c>
      <c r="W70" s="184">
        <v>0.85</v>
      </c>
      <c r="X70" s="184">
        <v>0.5</v>
      </c>
      <c r="Y70" s="184">
        <v>0.3</v>
      </c>
      <c r="Z70" s="184">
        <v>0.3</v>
      </c>
      <c r="AA70" s="184">
        <v>0.1</v>
      </c>
      <c r="AB70" s="184">
        <v>0.05</v>
      </c>
      <c r="AC70" s="185">
        <v>0.05</v>
      </c>
      <c r="AD70" s="44"/>
      <c r="AE70" s="44"/>
      <c r="AF70" s="44"/>
      <c r="AG70" s="44"/>
      <c r="AH70" s="44"/>
      <c r="AI70" s="44"/>
      <c r="AJ70" s="44"/>
      <c r="AK70" s="44"/>
      <c r="AL70" s="42"/>
      <c r="AM70" s="183"/>
      <c r="AN70" s="42"/>
      <c r="AO70" s="42"/>
      <c r="AP70" s="42"/>
      <c r="AQ70" s="42"/>
      <c r="AR70" s="42"/>
      <c r="AS70" s="42"/>
      <c r="AT70" s="42"/>
      <c r="AU70" s="42"/>
      <c r="AV70" s="42"/>
      <c r="AW70" s="42"/>
      <c r="AX70" s="42"/>
      <c r="AY70" s="42"/>
      <c r="AZ70" s="42"/>
      <c r="BA70" s="42"/>
      <c r="BB70" s="42"/>
      <c r="BC70" s="42"/>
      <c r="BD70" s="42"/>
    </row>
    <row r="71" spans="1:56" ht="38.700000000000003" customHeight="1" thickBot="1" x14ac:dyDescent="0.35">
      <c r="A71" s="590"/>
      <c r="B71" s="689"/>
      <c r="C71" s="689"/>
      <c r="D71" s="640"/>
      <c r="E71" s="232" t="s">
        <v>696</v>
      </c>
      <c r="F71" s="233">
        <v>0.05</v>
      </c>
      <c r="G71" s="186">
        <v>0.05</v>
      </c>
      <c r="H71" s="186">
        <v>0.05</v>
      </c>
      <c r="I71" s="186">
        <v>0.05</v>
      </c>
      <c r="J71" s="186">
        <v>0.05</v>
      </c>
      <c r="K71" s="186">
        <v>0.05</v>
      </c>
      <c r="L71" s="186">
        <v>0.05</v>
      </c>
      <c r="M71" s="186">
        <v>0.05</v>
      </c>
      <c r="N71" s="186">
        <v>0.1</v>
      </c>
      <c r="O71" s="186">
        <v>0.1</v>
      </c>
      <c r="P71" s="186">
        <v>0.4</v>
      </c>
      <c r="Q71" s="186">
        <v>0.4</v>
      </c>
      <c r="R71" s="186">
        <v>0.55000000000000004</v>
      </c>
      <c r="S71" s="186">
        <v>0.55000000000000004</v>
      </c>
      <c r="T71" s="186">
        <v>0.55000000000000004</v>
      </c>
      <c r="U71" s="186">
        <v>0.55000000000000004</v>
      </c>
      <c r="V71" s="186">
        <v>0.55000000000000004</v>
      </c>
      <c r="W71" s="186">
        <v>0.4</v>
      </c>
      <c r="X71" s="186">
        <v>0.2</v>
      </c>
      <c r="Y71" s="186">
        <v>0.05</v>
      </c>
      <c r="Z71" s="186">
        <v>0.05</v>
      </c>
      <c r="AA71" s="186">
        <v>0.05</v>
      </c>
      <c r="AB71" s="186">
        <v>0.05</v>
      </c>
      <c r="AC71" s="187">
        <v>0.05</v>
      </c>
      <c r="AD71" s="44"/>
      <c r="AE71" s="44"/>
      <c r="AF71" s="44"/>
      <c r="AG71" s="44"/>
      <c r="AH71" s="44"/>
      <c r="AI71" s="44"/>
      <c r="AJ71" s="44"/>
      <c r="AK71" s="44"/>
      <c r="AL71" s="42"/>
      <c r="AM71" s="183"/>
      <c r="AN71" s="42"/>
      <c r="AO71" s="42"/>
      <c r="AP71" s="42"/>
      <c r="AQ71" s="42"/>
      <c r="AR71" s="42"/>
      <c r="AS71" s="42"/>
      <c r="AT71" s="42"/>
      <c r="AU71" s="42"/>
      <c r="AV71" s="42"/>
      <c r="AW71" s="42"/>
      <c r="AX71" s="42"/>
      <c r="AY71" s="42"/>
      <c r="AZ71" s="42"/>
      <c r="BA71" s="42"/>
      <c r="BB71" s="42"/>
      <c r="BC71" s="42"/>
      <c r="BD71" s="42"/>
    </row>
    <row r="72" spans="1:56" ht="36" customHeight="1" x14ac:dyDescent="0.3">
      <c r="A72" s="588" t="str">
        <f>A66</f>
        <v>Retail</v>
      </c>
      <c r="B72" s="591" t="str">
        <f>B66</f>
        <v>Retail</v>
      </c>
      <c r="C72" s="664" t="s">
        <v>698</v>
      </c>
      <c r="D72" s="638" t="s">
        <v>710</v>
      </c>
      <c r="E72" s="234" t="s">
        <v>694</v>
      </c>
      <c r="F72" s="235">
        <v>0.4</v>
      </c>
      <c r="G72" s="188">
        <v>0.4</v>
      </c>
      <c r="H72" s="188">
        <v>0.4</v>
      </c>
      <c r="I72" s="188">
        <v>0.4</v>
      </c>
      <c r="J72" s="188">
        <v>0.4</v>
      </c>
      <c r="K72" s="188">
        <v>0.4</v>
      </c>
      <c r="L72" s="188">
        <v>0.6</v>
      </c>
      <c r="M72" s="188">
        <v>0.6</v>
      </c>
      <c r="N72" s="188">
        <v>0.9</v>
      </c>
      <c r="O72" s="188">
        <v>0.9</v>
      </c>
      <c r="P72" s="188">
        <v>0.9</v>
      </c>
      <c r="Q72" s="188">
        <v>0.9</v>
      </c>
      <c r="R72" s="188">
        <v>0.9</v>
      </c>
      <c r="S72" s="188">
        <v>0.9</v>
      </c>
      <c r="T72" s="188">
        <v>0.9</v>
      </c>
      <c r="U72" s="188">
        <v>0.9</v>
      </c>
      <c r="V72" s="188">
        <v>0.9</v>
      </c>
      <c r="W72" s="188">
        <v>0.9</v>
      </c>
      <c r="X72" s="188">
        <v>0.9</v>
      </c>
      <c r="Y72" s="188">
        <v>0.6</v>
      </c>
      <c r="Z72" s="188">
        <v>0.6</v>
      </c>
      <c r="AA72" s="188">
        <v>0.4</v>
      </c>
      <c r="AB72" s="188">
        <v>0.4</v>
      </c>
      <c r="AC72" s="189">
        <v>0.4</v>
      </c>
      <c r="AD72" s="180"/>
      <c r="AE72" s="44"/>
      <c r="AF72" s="44"/>
      <c r="AG72" s="44"/>
      <c r="AH72" s="44"/>
      <c r="AI72" s="44"/>
      <c r="AJ72" s="44"/>
      <c r="AK72" s="44"/>
      <c r="AL72" s="42"/>
      <c r="AM72" s="183"/>
      <c r="AN72" s="42"/>
      <c r="AO72" s="42"/>
      <c r="AP72" s="42"/>
      <c r="AQ72" s="42"/>
      <c r="AR72" s="42"/>
      <c r="AS72" s="42"/>
      <c r="AT72" s="42"/>
      <c r="AU72" s="42"/>
      <c r="AV72" s="42"/>
      <c r="AW72" s="42"/>
      <c r="AX72" s="42"/>
      <c r="AY72" s="42"/>
      <c r="AZ72" s="42"/>
      <c r="BA72" s="42"/>
      <c r="BB72" s="42"/>
      <c r="BC72" s="42"/>
      <c r="BD72" s="42"/>
    </row>
    <row r="73" spans="1:56" ht="36" customHeight="1" x14ac:dyDescent="0.3">
      <c r="A73" s="589"/>
      <c r="B73" s="592"/>
      <c r="C73" s="690"/>
      <c r="D73" s="639"/>
      <c r="E73" s="230" t="s">
        <v>695</v>
      </c>
      <c r="F73" s="236">
        <v>0.4</v>
      </c>
      <c r="G73" s="115">
        <v>0.4</v>
      </c>
      <c r="H73" s="115">
        <v>0.4</v>
      </c>
      <c r="I73" s="115">
        <v>0.4</v>
      </c>
      <c r="J73" s="115">
        <v>0.4</v>
      </c>
      <c r="K73" s="115">
        <v>0.4</v>
      </c>
      <c r="L73" s="115">
        <v>0.6</v>
      </c>
      <c r="M73" s="115">
        <v>0.6</v>
      </c>
      <c r="N73" s="115">
        <v>0.9</v>
      </c>
      <c r="O73" s="115">
        <v>0.9</v>
      </c>
      <c r="P73" s="115">
        <v>0.9</v>
      </c>
      <c r="Q73" s="115">
        <v>0.9</v>
      </c>
      <c r="R73" s="115">
        <v>0.9</v>
      </c>
      <c r="S73" s="115">
        <v>0.9</v>
      </c>
      <c r="T73" s="115">
        <v>0.9</v>
      </c>
      <c r="U73" s="115">
        <v>0.9</v>
      </c>
      <c r="V73" s="115">
        <v>0.9</v>
      </c>
      <c r="W73" s="115">
        <v>0.9</v>
      </c>
      <c r="X73" s="115">
        <v>0.9</v>
      </c>
      <c r="Y73" s="283">
        <v>0.9</v>
      </c>
      <c r="Z73" s="115">
        <v>0.6</v>
      </c>
      <c r="AA73" s="283">
        <v>0.6</v>
      </c>
      <c r="AB73" s="115">
        <v>0.4</v>
      </c>
      <c r="AC73" s="190">
        <v>0.4</v>
      </c>
      <c r="AD73" s="180"/>
      <c r="AE73" s="44"/>
      <c r="AF73" s="44"/>
      <c r="AG73" s="44"/>
      <c r="AH73" s="44"/>
      <c r="AI73" s="44"/>
      <c r="AJ73" s="44"/>
      <c r="AK73" s="44"/>
      <c r="AL73" s="42"/>
      <c r="AM73" s="183"/>
      <c r="AN73" s="42"/>
      <c r="AO73" s="42"/>
      <c r="AP73" s="42"/>
      <c r="AQ73" s="42"/>
      <c r="AR73" s="42"/>
      <c r="AS73" s="42"/>
      <c r="AT73" s="42"/>
      <c r="AU73" s="42"/>
      <c r="AV73" s="42"/>
      <c r="AW73" s="42"/>
      <c r="AX73" s="42"/>
      <c r="AY73" s="42"/>
      <c r="AZ73" s="42"/>
      <c r="BA73" s="42"/>
      <c r="BB73" s="42"/>
      <c r="BC73" s="42"/>
      <c r="BD73" s="42"/>
    </row>
    <row r="74" spans="1:56" ht="36" customHeight="1" thickBot="1" x14ac:dyDescent="0.35">
      <c r="A74" s="590"/>
      <c r="B74" s="593"/>
      <c r="C74" s="691"/>
      <c r="D74" s="692"/>
      <c r="E74" s="232" t="s">
        <v>696</v>
      </c>
      <c r="F74" s="237">
        <v>0.4</v>
      </c>
      <c r="G74" s="119">
        <v>0.4</v>
      </c>
      <c r="H74" s="119">
        <v>0.4</v>
      </c>
      <c r="I74" s="119">
        <v>0.4</v>
      </c>
      <c r="J74" s="119">
        <v>0.4</v>
      </c>
      <c r="K74" s="119">
        <v>0.4</v>
      </c>
      <c r="L74" s="119">
        <v>0.4</v>
      </c>
      <c r="M74" s="119">
        <v>0.4</v>
      </c>
      <c r="N74" s="119">
        <v>0.6</v>
      </c>
      <c r="O74" s="119">
        <v>0.6</v>
      </c>
      <c r="P74" s="119">
        <v>0.6</v>
      </c>
      <c r="Q74" s="119">
        <v>0.9</v>
      </c>
      <c r="R74" s="119">
        <v>0.9</v>
      </c>
      <c r="S74" s="119">
        <v>0.9</v>
      </c>
      <c r="T74" s="119">
        <v>0.9</v>
      </c>
      <c r="U74" s="119">
        <v>0.9</v>
      </c>
      <c r="V74" s="119">
        <v>0.9</v>
      </c>
      <c r="W74" s="119">
        <v>0.6</v>
      </c>
      <c r="X74" s="119">
        <v>0.6</v>
      </c>
      <c r="Y74" s="119">
        <v>0.4</v>
      </c>
      <c r="Z74" s="119">
        <v>0.4</v>
      </c>
      <c r="AA74" s="119">
        <v>0.4</v>
      </c>
      <c r="AB74" s="119">
        <v>0.4</v>
      </c>
      <c r="AC74" s="191">
        <v>0.4</v>
      </c>
      <c r="AD74" s="180"/>
      <c r="AE74" s="44"/>
      <c r="AF74" s="44"/>
      <c r="AG74" s="44"/>
      <c r="AH74" s="44"/>
      <c r="AI74" s="44"/>
      <c r="AJ74" s="44"/>
      <c r="AK74" s="44"/>
      <c r="AL74" s="42"/>
      <c r="AM74" s="183"/>
      <c r="AN74" s="42"/>
      <c r="AO74" s="42"/>
      <c r="AP74" s="42"/>
      <c r="AQ74" s="42"/>
      <c r="AR74" s="42"/>
      <c r="AS74" s="42"/>
      <c r="AT74" s="42"/>
      <c r="AU74" s="42"/>
      <c r="AV74" s="42"/>
      <c r="AW74" s="42"/>
      <c r="AX74" s="42"/>
      <c r="AY74" s="42"/>
      <c r="AZ74" s="42"/>
      <c r="BA74" s="42"/>
      <c r="BB74" s="42"/>
      <c r="BC74" s="42"/>
      <c r="BD74" s="42"/>
    </row>
    <row r="75" spans="1:56" ht="26.4" customHeight="1" x14ac:dyDescent="0.3">
      <c r="A75" s="588" t="str">
        <f t="shared" ref="A75:B75" si="0">A69</f>
        <v>Retail</v>
      </c>
      <c r="B75" s="591" t="str">
        <f t="shared" si="0"/>
        <v>Retail</v>
      </c>
      <c r="C75" s="664" t="s">
        <v>699</v>
      </c>
      <c r="D75" s="638" t="s">
        <v>709</v>
      </c>
      <c r="E75" s="238" t="s">
        <v>694</v>
      </c>
      <c r="F75" s="239">
        <v>0</v>
      </c>
      <c r="G75" s="193">
        <v>0</v>
      </c>
      <c r="H75" s="193">
        <v>0</v>
      </c>
      <c r="I75" s="193">
        <v>0</v>
      </c>
      <c r="J75" s="193">
        <v>0</v>
      </c>
      <c r="K75" s="193">
        <v>0</v>
      </c>
      <c r="L75" s="193">
        <v>1</v>
      </c>
      <c r="M75" s="193">
        <v>1</v>
      </c>
      <c r="N75" s="193">
        <v>1</v>
      </c>
      <c r="O75" s="193">
        <v>1</v>
      </c>
      <c r="P75" s="193">
        <v>1</v>
      </c>
      <c r="Q75" s="193">
        <v>1</v>
      </c>
      <c r="R75" s="193">
        <v>1</v>
      </c>
      <c r="S75" s="193">
        <v>1</v>
      </c>
      <c r="T75" s="193">
        <v>1</v>
      </c>
      <c r="U75" s="193">
        <v>1</v>
      </c>
      <c r="V75" s="193">
        <v>1</v>
      </c>
      <c r="W75" s="193">
        <v>1</v>
      </c>
      <c r="X75" s="193">
        <v>1</v>
      </c>
      <c r="Y75" s="193">
        <v>1</v>
      </c>
      <c r="Z75" s="193">
        <v>1</v>
      </c>
      <c r="AA75" s="193">
        <v>0</v>
      </c>
      <c r="AB75" s="193">
        <v>0</v>
      </c>
      <c r="AC75" s="194">
        <v>0</v>
      </c>
      <c r="AD75" s="42"/>
      <c r="AE75" s="42"/>
      <c r="AL75" s="42"/>
      <c r="AM75" s="42"/>
      <c r="AN75" s="42"/>
      <c r="AO75" s="42"/>
      <c r="AP75" s="42"/>
      <c r="AQ75" s="42"/>
      <c r="AR75" s="42"/>
      <c r="AS75" s="42"/>
      <c r="AT75" s="42"/>
      <c r="AU75" s="42"/>
      <c r="AV75" s="42"/>
      <c r="AW75" s="42"/>
      <c r="AX75" s="42"/>
      <c r="AY75" s="42"/>
      <c r="AZ75" s="42"/>
      <c r="BA75" s="42"/>
      <c r="BB75" s="42"/>
      <c r="BC75" s="42"/>
      <c r="BD75" s="42"/>
    </row>
    <row r="76" spans="1:56" ht="26.4" customHeight="1" x14ac:dyDescent="0.3">
      <c r="A76" s="589"/>
      <c r="B76" s="592"/>
      <c r="C76" s="690"/>
      <c r="D76" s="639"/>
      <c r="E76" s="240" t="s">
        <v>695</v>
      </c>
      <c r="F76" s="241">
        <v>0</v>
      </c>
      <c r="G76" s="196">
        <v>0</v>
      </c>
      <c r="H76" s="196">
        <v>0</v>
      </c>
      <c r="I76" s="196">
        <v>0</v>
      </c>
      <c r="J76" s="196">
        <v>0</v>
      </c>
      <c r="K76" s="196">
        <v>0</v>
      </c>
      <c r="L76" s="196">
        <v>1</v>
      </c>
      <c r="M76" s="196">
        <v>1</v>
      </c>
      <c r="N76" s="196">
        <v>1</v>
      </c>
      <c r="O76" s="196">
        <v>1</v>
      </c>
      <c r="P76" s="196">
        <v>1</v>
      </c>
      <c r="Q76" s="196">
        <v>1</v>
      </c>
      <c r="R76" s="196">
        <v>1</v>
      </c>
      <c r="S76" s="196">
        <v>1</v>
      </c>
      <c r="T76" s="196">
        <v>1</v>
      </c>
      <c r="U76" s="196">
        <v>1</v>
      </c>
      <c r="V76" s="196">
        <v>1</v>
      </c>
      <c r="W76" s="196">
        <v>1</v>
      </c>
      <c r="X76" s="196">
        <v>1</v>
      </c>
      <c r="Y76" s="196">
        <v>1</v>
      </c>
      <c r="Z76" s="196">
        <v>1</v>
      </c>
      <c r="AA76" s="196">
        <v>1</v>
      </c>
      <c r="AB76" s="196">
        <v>0</v>
      </c>
      <c r="AC76" s="197">
        <v>0</v>
      </c>
      <c r="AD76" s="42"/>
      <c r="AE76" s="42"/>
      <c r="AL76" s="42"/>
      <c r="AM76" s="42"/>
      <c r="AN76" s="42"/>
      <c r="AO76" s="42"/>
      <c r="AP76" s="42"/>
      <c r="AQ76" s="42"/>
      <c r="AR76" s="42"/>
      <c r="AS76" s="42"/>
      <c r="AT76" s="42"/>
      <c r="AU76" s="42"/>
      <c r="AV76" s="42"/>
      <c r="AW76" s="42"/>
      <c r="AX76" s="42"/>
      <c r="AY76" s="42"/>
      <c r="AZ76" s="42"/>
      <c r="BA76" s="42"/>
      <c r="BB76" s="42"/>
      <c r="BC76" s="42"/>
      <c r="BD76" s="42"/>
    </row>
    <row r="77" spans="1:56" ht="26.4" customHeight="1" thickBot="1" x14ac:dyDescent="0.35">
      <c r="A77" s="590"/>
      <c r="B77" s="593"/>
      <c r="C77" s="693"/>
      <c r="D77" s="640"/>
      <c r="E77" s="242" t="s">
        <v>696</v>
      </c>
      <c r="F77" s="243">
        <v>0</v>
      </c>
      <c r="G77" s="199">
        <v>0</v>
      </c>
      <c r="H77" s="199">
        <v>0</v>
      </c>
      <c r="I77" s="199">
        <v>0</v>
      </c>
      <c r="J77" s="199">
        <v>0</v>
      </c>
      <c r="K77" s="199">
        <v>0</v>
      </c>
      <c r="L77" s="199">
        <v>0</v>
      </c>
      <c r="M77" s="199">
        <v>0</v>
      </c>
      <c r="N77" s="199">
        <v>1</v>
      </c>
      <c r="O77" s="199">
        <v>1</v>
      </c>
      <c r="P77" s="199">
        <v>1</v>
      </c>
      <c r="Q77" s="199">
        <v>1</v>
      </c>
      <c r="R77" s="199">
        <v>1</v>
      </c>
      <c r="S77" s="199">
        <v>1</v>
      </c>
      <c r="T77" s="199">
        <v>1</v>
      </c>
      <c r="U77" s="199">
        <v>1</v>
      </c>
      <c r="V77" s="199">
        <v>1</v>
      </c>
      <c r="W77" s="199">
        <v>1</v>
      </c>
      <c r="X77" s="199">
        <v>1</v>
      </c>
      <c r="Y77" s="199">
        <v>0</v>
      </c>
      <c r="Z77" s="199">
        <v>0</v>
      </c>
      <c r="AA77" s="199">
        <v>0</v>
      </c>
      <c r="AB77" s="199">
        <v>0</v>
      </c>
      <c r="AC77" s="200">
        <v>0</v>
      </c>
      <c r="AD77" s="42"/>
      <c r="AE77" s="42"/>
      <c r="AL77" s="42"/>
      <c r="AM77" s="42"/>
      <c r="AN77" s="42"/>
      <c r="AO77" s="42"/>
      <c r="AP77" s="42"/>
      <c r="AQ77" s="42"/>
      <c r="AR77" s="42"/>
      <c r="AS77" s="42"/>
      <c r="AT77" s="42"/>
      <c r="AU77" s="42"/>
      <c r="AV77" s="42"/>
      <c r="AW77" s="42"/>
      <c r="AX77" s="42"/>
      <c r="AY77" s="42"/>
      <c r="AZ77" s="42"/>
      <c r="BA77" s="42"/>
      <c r="BB77" s="42"/>
      <c r="BC77" s="42"/>
      <c r="BD77" s="42"/>
    </row>
    <row r="78" spans="1:56" ht="26.4" customHeight="1" x14ac:dyDescent="0.3">
      <c r="A78" s="588" t="str">
        <f t="shared" ref="A78:B78" si="1">A72</f>
        <v>Retail</v>
      </c>
      <c r="B78" s="591" t="str">
        <f t="shared" si="1"/>
        <v>Retail</v>
      </c>
      <c r="C78" s="636" t="s">
        <v>701</v>
      </c>
      <c r="D78" s="638" t="s">
        <v>709</v>
      </c>
      <c r="E78" s="238" t="s">
        <v>694</v>
      </c>
      <c r="F78" s="239">
        <v>0.04</v>
      </c>
      <c r="G78" s="193">
        <v>0.05</v>
      </c>
      <c r="H78" s="193">
        <v>0.05</v>
      </c>
      <c r="I78" s="193">
        <v>0.04</v>
      </c>
      <c r="J78" s="193">
        <v>0.04</v>
      </c>
      <c r="K78" s="193">
        <v>0.04</v>
      </c>
      <c r="L78" s="193">
        <v>0.04</v>
      </c>
      <c r="M78" s="193">
        <v>0.15</v>
      </c>
      <c r="N78" s="193">
        <v>0.23</v>
      </c>
      <c r="O78" s="193">
        <v>0.32</v>
      </c>
      <c r="P78" s="193">
        <v>0.41</v>
      </c>
      <c r="Q78" s="193">
        <v>0.56999999999999995</v>
      </c>
      <c r="R78" s="193">
        <v>0.62</v>
      </c>
      <c r="S78" s="193">
        <v>0.61</v>
      </c>
      <c r="T78" s="193">
        <v>0.5</v>
      </c>
      <c r="U78" s="193">
        <v>0.45</v>
      </c>
      <c r="V78" s="193">
        <v>0.46</v>
      </c>
      <c r="W78" s="193">
        <v>0.47</v>
      </c>
      <c r="X78" s="193">
        <v>0.42</v>
      </c>
      <c r="Y78" s="193">
        <v>0.34</v>
      </c>
      <c r="Z78" s="193">
        <v>0.33</v>
      </c>
      <c r="AA78" s="193">
        <v>0.23</v>
      </c>
      <c r="AB78" s="193">
        <v>0.13</v>
      </c>
      <c r="AC78" s="194">
        <v>0.08</v>
      </c>
      <c r="AD78" s="42"/>
      <c r="AE78" s="42"/>
      <c r="AL78" s="42"/>
      <c r="AM78" s="42"/>
      <c r="AN78" s="42"/>
      <c r="AO78" s="42"/>
      <c r="AP78" s="42"/>
      <c r="AQ78" s="42"/>
      <c r="AR78" s="42"/>
      <c r="AS78" s="42"/>
      <c r="AT78" s="42"/>
      <c r="AU78" s="42"/>
      <c r="AV78" s="42"/>
      <c r="AW78" s="42"/>
      <c r="AX78" s="42"/>
      <c r="AY78" s="42"/>
      <c r="AZ78" s="42"/>
      <c r="BA78" s="42"/>
      <c r="BB78" s="42"/>
      <c r="BC78" s="42"/>
      <c r="BD78" s="42"/>
    </row>
    <row r="79" spans="1:56" ht="26.4" customHeight="1" x14ac:dyDescent="0.3">
      <c r="A79" s="589"/>
      <c r="B79" s="592"/>
      <c r="C79" s="636"/>
      <c r="D79" s="639"/>
      <c r="E79" s="240" t="s">
        <v>695</v>
      </c>
      <c r="F79" s="241">
        <v>0.11</v>
      </c>
      <c r="G79" s="196">
        <v>0.1</v>
      </c>
      <c r="H79" s="196">
        <v>0.08</v>
      </c>
      <c r="I79" s="196">
        <v>0.06</v>
      </c>
      <c r="J79" s="196">
        <v>0.06</v>
      </c>
      <c r="K79" s="196">
        <v>0.06</v>
      </c>
      <c r="L79" s="196">
        <v>7.0000000000000007E-2</v>
      </c>
      <c r="M79" s="196">
        <v>0.2</v>
      </c>
      <c r="N79" s="196">
        <v>0.24</v>
      </c>
      <c r="O79" s="196">
        <v>0.27</v>
      </c>
      <c r="P79" s="196">
        <v>0.42</v>
      </c>
      <c r="Q79" s="196">
        <v>0.54</v>
      </c>
      <c r="R79" s="196">
        <v>0.59</v>
      </c>
      <c r="S79" s="196">
        <v>0.6</v>
      </c>
      <c r="T79" s="196">
        <v>0.49</v>
      </c>
      <c r="U79" s="196">
        <v>0.48</v>
      </c>
      <c r="V79" s="196">
        <v>0.47</v>
      </c>
      <c r="W79" s="196">
        <v>0.46</v>
      </c>
      <c r="X79" s="196">
        <v>0.44</v>
      </c>
      <c r="Y79" s="196">
        <v>0.36</v>
      </c>
      <c r="Z79" s="196">
        <v>0.28999999999999998</v>
      </c>
      <c r="AA79" s="196">
        <v>0.22</v>
      </c>
      <c r="AB79" s="196">
        <v>0.16</v>
      </c>
      <c r="AC79" s="197">
        <v>0.13</v>
      </c>
      <c r="AD79" s="42"/>
      <c r="AE79" s="42"/>
      <c r="AL79" s="42"/>
      <c r="AM79" s="42"/>
      <c r="AN79" s="42"/>
      <c r="AO79" s="42"/>
      <c r="AP79" s="42"/>
      <c r="AQ79" s="42"/>
      <c r="AR79" s="42"/>
      <c r="AS79" s="42"/>
      <c r="AT79" s="42"/>
      <c r="AU79" s="42"/>
      <c r="AV79" s="42"/>
      <c r="AW79" s="42"/>
      <c r="AX79" s="42"/>
      <c r="AY79" s="42"/>
      <c r="AZ79" s="42"/>
      <c r="BA79" s="42"/>
      <c r="BB79" s="42"/>
      <c r="BC79" s="42"/>
      <c r="BD79" s="42"/>
    </row>
    <row r="80" spans="1:56" ht="26.4" customHeight="1" thickBot="1" x14ac:dyDescent="0.35">
      <c r="A80" s="590"/>
      <c r="B80" s="593"/>
      <c r="C80" s="636"/>
      <c r="D80" s="640"/>
      <c r="E80" s="242" t="s">
        <v>696</v>
      </c>
      <c r="F80" s="243">
        <v>7.0000000000000007E-2</v>
      </c>
      <c r="G80" s="199">
        <v>7.0000000000000007E-2</v>
      </c>
      <c r="H80" s="199">
        <v>7.0000000000000007E-2</v>
      </c>
      <c r="I80" s="199">
        <v>0.06</v>
      </c>
      <c r="J80" s="199">
        <v>0.06</v>
      </c>
      <c r="K80" s="199">
        <v>0.06</v>
      </c>
      <c r="L80" s="199">
        <v>7.0000000000000007E-2</v>
      </c>
      <c r="M80" s="199">
        <v>0.1</v>
      </c>
      <c r="N80" s="199">
        <v>0.12</v>
      </c>
      <c r="O80" s="199">
        <v>0.14000000000000001</v>
      </c>
      <c r="P80" s="199">
        <v>0.28999999999999998</v>
      </c>
      <c r="Q80" s="199">
        <v>0.31</v>
      </c>
      <c r="R80" s="199">
        <v>0.36</v>
      </c>
      <c r="S80" s="199">
        <v>0.36</v>
      </c>
      <c r="T80" s="199">
        <v>0.34</v>
      </c>
      <c r="U80" s="199">
        <v>0.35</v>
      </c>
      <c r="V80" s="199">
        <v>0.37</v>
      </c>
      <c r="W80" s="199">
        <v>0.34</v>
      </c>
      <c r="X80" s="199">
        <v>0.25</v>
      </c>
      <c r="Y80" s="199">
        <v>0.27</v>
      </c>
      <c r="Z80" s="199">
        <v>0.21</v>
      </c>
      <c r="AA80" s="199">
        <v>0.16</v>
      </c>
      <c r="AB80" s="199">
        <v>0.1</v>
      </c>
      <c r="AC80" s="200">
        <v>0.06</v>
      </c>
      <c r="AD80" s="42"/>
      <c r="AE80" s="42"/>
      <c r="AL80" s="42"/>
      <c r="AM80" s="42"/>
      <c r="AN80" s="42"/>
      <c r="AO80" s="42"/>
      <c r="AP80" s="42"/>
      <c r="AQ80" s="42"/>
      <c r="AR80" s="42"/>
      <c r="AS80" s="42"/>
      <c r="AT80" s="42"/>
      <c r="AU80" s="42"/>
      <c r="AV80" s="42"/>
      <c r="AW80" s="42"/>
      <c r="AX80" s="42"/>
      <c r="AY80" s="42"/>
      <c r="AZ80" s="42"/>
      <c r="BA80" s="42"/>
      <c r="BB80" s="42"/>
      <c r="BC80" s="42"/>
      <c r="BD80" s="42"/>
    </row>
    <row r="81" spans="1:56" ht="26.4" customHeight="1" x14ac:dyDescent="0.3">
      <c r="A81" s="588" t="str">
        <f t="shared" ref="A81:B81" si="2">A75</f>
        <v>Retail</v>
      </c>
      <c r="B81" s="591" t="str">
        <f t="shared" si="2"/>
        <v>Retail</v>
      </c>
      <c r="C81" s="635" t="s">
        <v>265</v>
      </c>
      <c r="D81" s="638" t="s">
        <v>709</v>
      </c>
      <c r="E81" s="238" t="s">
        <v>694</v>
      </c>
      <c r="F81" s="239">
        <v>1</v>
      </c>
      <c r="G81" s="193">
        <v>1</v>
      </c>
      <c r="H81" s="193">
        <v>1</v>
      </c>
      <c r="I81" s="193">
        <v>1</v>
      </c>
      <c r="J81" s="193">
        <v>1</v>
      </c>
      <c r="K81" s="193">
        <v>1</v>
      </c>
      <c r="L81" s="193">
        <v>0.25</v>
      </c>
      <c r="M81" s="193">
        <v>0.25</v>
      </c>
      <c r="N81" s="193">
        <v>0.25</v>
      </c>
      <c r="O81" s="193">
        <v>0.25</v>
      </c>
      <c r="P81" s="193">
        <v>0.25</v>
      </c>
      <c r="Q81" s="193">
        <v>0.25</v>
      </c>
      <c r="R81" s="193">
        <v>0.25</v>
      </c>
      <c r="S81" s="193">
        <v>0.25</v>
      </c>
      <c r="T81" s="193">
        <v>0.25</v>
      </c>
      <c r="U81" s="193">
        <v>0.25</v>
      </c>
      <c r="V81" s="193">
        <v>0.25</v>
      </c>
      <c r="W81" s="193">
        <v>0.25</v>
      </c>
      <c r="X81" s="193">
        <v>0.25</v>
      </c>
      <c r="Y81" s="193">
        <v>0.25</v>
      </c>
      <c r="Z81" s="193">
        <v>0.25</v>
      </c>
      <c r="AA81" s="193">
        <v>1</v>
      </c>
      <c r="AB81" s="193">
        <v>1</v>
      </c>
      <c r="AC81" s="194">
        <v>1</v>
      </c>
      <c r="AD81" s="42"/>
      <c r="AE81" s="42"/>
      <c r="AL81" s="42"/>
      <c r="AM81" s="42"/>
      <c r="AN81" s="42"/>
      <c r="AO81" s="42"/>
      <c r="AP81" s="42"/>
      <c r="AQ81" s="42"/>
      <c r="AR81" s="42"/>
      <c r="AS81" s="42"/>
      <c r="AT81" s="42"/>
      <c r="AU81" s="42"/>
      <c r="AV81" s="42"/>
      <c r="AW81" s="42"/>
      <c r="AX81" s="42"/>
      <c r="AY81" s="42"/>
      <c r="AZ81" s="42"/>
      <c r="BA81" s="42"/>
      <c r="BB81" s="42"/>
      <c r="BC81" s="42"/>
      <c r="BD81" s="42"/>
    </row>
    <row r="82" spans="1:56" ht="26.4" customHeight="1" x14ac:dyDescent="0.3">
      <c r="A82" s="589"/>
      <c r="B82" s="592"/>
      <c r="C82" s="636"/>
      <c r="D82" s="639"/>
      <c r="E82" s="240" t="s">
        <v>695</v>
      </c>
      <c r="F82" s="241">
        <v>1</v>
      </c>
      <c r="G82" s="196">
        <v>1</v>
      </c>
      <c r="H82" s="196">
        <v>1</v>
      </c>
      <c r="I82" s="196">
        <v>1</v>
      </c>
      <c r="J82" s="196">
        <v>1</v>
      </c>
      <c r="K82" s="196">
        <v>1</v>
      </c>
      <c r="L82" s="196">
        <v>0.25</v>
      </c>
      <c r="M82" s="196">
        <v>0.25</v>
      </c>
      <c r="N82" s="196">
        <v>0.25</v>
      </c>
      <c r="O82" s="196">
        <v>0.25</v>
      </c>
      <c r="P82" s="196">
        <v>0.25</v>
      </c>
      <c r="Q82" s="196">
        <v>0.25</v>
      </c>
      <c r="R82" s="196">
        <v>0.25</v>
      </c>
      <c r="S82" s="196">
        <v>0.25</v>
      </c>
      <c r="T82" s="196">
        <v>0.25</v>
      </c>
      <c r="U82" s="196">
        <v>0.25</v>
      </c>
      <c r="V82" s="196">
        <v>0.25</v>
      </c>
      <c r="W82" s="196">
        <v>0.25</v>
      </c>
      <c r="X82" s="196">
        <v>0.25</v>
      </c>
      <c r="Y82" s="196">
        <v>0.25</v>
      </c>
      <c r="Z82" s="196">
        <v>0.25</v>
      </c>
      <c r="AA82" s="196">
        <v>0.25</v>
      </c>
      <c r="AB82" s="196">
        <v>1</v>
      </c>
      <c r="AC82" s="197">
        <v>1</v>
      </c>
      <c r="AD82" s="42"/>
      <c r="AE82" s="42"/>
      <c r="AL82" s="42"/>
      <c r="AM82" s="42"/>
      <c r="AN82" s="42"/>
      <c r="AO82" s="42"/>
      <c r="AP82" s="42"/>
      <c r="AQ82" s="42"/>
      <c r="AR82" s="42"/>
      <c r="AS82" s="42"/>
      <c r="AT82" s="42"/>
      <c r="AU82" s="42"/>
      <c r="AV82" s="42"/>
      <c r="AW82" s="42"/>
      <c r="AX82" s="42"/>
      <c r="AY82" s="42"/>
      <c r="AZ82" s="42"/>
      <c r="BA82" s="42"/>
      <c r="BB82" s="42"/>
      <c r="BC82" s="42"/>
      <c r="BD82" s="42"/>
    </row>
    <row r="83" spans="1:56" ht="26.4" customHeight="1" thickBot="1" x14ac:dyDescent="0.35">
      <c r="A83" s="590"/>
      <c r="B83" s="593"/>
      <c r="C83" s="637"/>
      <c r="D83" s="640"/>
      <c r="E83" s="242" t="s">
        <v>696</v>
      </c>
      <c r="F83" s="243">
        <v>1</v>
      </c>
      <c r="G83" s="199">
        <v>1</v>
      </c>
      <c r="H83" s="199">
        <v>1</v>
      </c>
      <c r="I83" s="199">
        <v>1</v>
      </c>
      <c r="J83" s="199">
        <v>1</v>
      </c>
      <c r="K83" s="199">
        <v>1</v>
      </c>
      <c r="L83" s="199">
        <v>1</v>
      </c>
      <c r="M83" s="199">
        <v>1</v>
      </c>
      <c r="N83" s="199">
        <v>0.25</v>
      </c>
      <c r="O83" s="199">
        <v>0.25</v>
      </c>
      <c r="P83" s="199">
        <v>0.25</v>
      </c>
      <c r="Q83" s="199">
        <v>0.25</v>
      </c>
      <c r="R83" s="199">
        <v>0.25</v>
      </c>
      <c r="S83" s="199">
        <v>0.25</v>
      </c>
      <c r="T83" s="199">
        <v>0.25</v>
      </c>
      <c r="U83" s="199">
        <v>0.25</v>
      </c>
      <c r="V83" s="199">
        <v>0.25</v>
      </c>
      <c r="W83" s="199">
        <v>0.25</v>
      </c>
      <c r="X83" s="199">
        <v>0.25</v>
      </c>
      <c r="Y83" s="199">
        <v>1</v>
      </c>
      <c r="Z83" s="199">
        <v>1</v>
      </c>
      <c r="AA83" s="199">
        <v>1</v>
      </c>
      <c r="AB83" s="199">
        <v>1</v>
      </c>
      <c r="AC83" s="200">
        <v>1</v>
      </c>
      <c r="AD83" s="42"/>
      <c r="AE83" s="42"/>
      <c r="AL83" s="42"/>
      <c r="AM83" s="42"/>
      <c r="AN83" s="42"/>
      <c r="AO83" s="42"/>
      <c r="AP83" s="42"/>
      <c r="AQ83" s="42"/>
      <c r="AR83" s="42"/>
      <c r="AS83" s="42"/>
      <c r="AT83" s="42"/>
      <c r="AU83" s="42"/>
      <c r="AV83" s="42"/>
      <c r="AW83" s="42"/>
      <c r="AX83" s="42"/>
      <c r="AY83" s="42"/>
      <c r="AZ83" s="42"/>
      <c r="BA83" s="42"/>
      <c r="BB83" s="42"/>
      <c r="BC83" s="42"/>
      <c r="BD83" s="42"/>
    </row>
    <row r="84" spans="1:56" ht="26.4" customHeight="1" x14ac:dyDescent="0.3">
      <c r="A84" s="588" t="str">
        <f>A78</f>
        <v>Retail</v>
      </c>
      <c r="B84" s="591" t="str">
        <f>B78</f>
        <v>Retail</v>
      </c>
      <c r="C84" s="594" t="s">
        <v>705</v>
      </c>
      <c r="D84" s="597" t="s">
        <v>709</v>
      </c>
      <c r="E84" s="192" t="s">
        <v>694</v>
      </c>
      <c r="F84" s="193">
        <v>0.9</v>
      </c>
      <c r="G84" s="193">
        <v>0.9</v>
      </c>
      <c r="H84" s="193">
        <v>0.9</v>
      </c>
      <c r="I84" s="193">
        <v>0.9</v>
      </c>
      <c r="J84" s="193">
        <v>0.9</v>
      </c>
      <c r="K84" s="193">
        <v>0.9</v>
      </c>
      <c r="L84" s="193">
        <v>0.9</v>
      </c>
      <c r="M84" s="193">
        <v>0.9</v>
      </c>
      <c r="N84" s="193">
        <v>0.9</v>
      </c>
      <c r="O84" s="193">
        <v>0.9</v>
      </c>
      <c r="P84" s="193">
        <v>0.9</v>
      </c>
      <c r="Q84" s="193">
        <v>0.9</v>
      </c>
      <c r="R84" s="193">
        <v>0.9</v>
      </c>
      <c r="S84" s="193">
        <v>0.9</v>
      </c>
      <c r="T84" s="193">
        <v>0.9</v>
      </c>
      <c r="U84" s="193">
        <v>0.9</v>
      </c>
      <c r="V84" s="193">
        <v>0.9</v>
      </c>
      <c r="W84" s="193">
        <v>0.9</v>
      </c>
      <c r="X84" s="193">
        <v>0.9</v>
      </c>
      <c r="Y84" s="193">
        <v>0.9</v>
      </c>
      <c r="Z84" s="193">
        <v>0.9</v>
      </c>
      <c r="AA84" s="193">
        <v>0.9</v>
      </c>
      <c r="AB84" s="193">
        <v>0.9</v>
      </c>
      <c r="AC84" s="194">
        <v>0.9</v>
      </c>
      <c r="AD84" s="42"/>
      <c r="AE84" s="42"/>
      <c r="AL84" s="42"/>
      <c r="AM84" s="42"/>
      <c r="AN84" s="42"/>
      <c r="AO84" s="42"/>
      <c r="AP84" s="42"/>
      <c r="AQ84" s="42"/>
      <c r="AR84" s="42"/>
      <c r="AS84" s="42"/>
      <c r="AT84" s="42"/>
      <c r="AU84" s="42"/>
      <c r="AV84" s="42"/>
      <c r="AW84" s="42"/>
      <c r="AX84" s="42"/>
      <c r="AY84" s="42"/>
      <c r="AZ84" s="42"/>
      <c r="BA84" s="42"/>
      <c r="BB84" s="42"/>
      <c r="BC84" s="42"/>
      <c r="BD84" s="42"/>
    </row>
    <row r="85" spans="1:56" ht="26.4" customHeight="1" x14ac:dyDescent="0.3">
      <c r="A85" s="589"/>
      <c r="B85" s="592"/>
      <c r="C85" s="595"/>
      <c r="D85" s="598"/>
      <c r="E85" s="195" t="s">
        <v>695</v>
      </c>
      <c r="F85" s="196">
        <v>0.9</v>
      </c>
      <c r="G85" s="196">
        <v>0.9</v>
      </c>
      <c r="H85" s="196">
        <v>0.9</v>
      </c>
      <c r="I85" s="196">
        <v>0.9</v>
      </c>
      <c r="J85" s="196">
        <v>0.9</v>
      </c>
      <c r="K85" s="196">
        <v>0.9</v>
      </c>
      <c r="L85" s="196">
        <v>0.9</v>
      </c>
      <c r="M85" s="196">
        <v>0.9</v>
      </c>
      <c r="N85" s="196">
        <v>0.9</v>
      </c>
      <c r="O85" s="196">
        <v>0.9</v>
      </c>
      <c r="P85" s="196">
        <v>0.9</v>
      </c>
      <c r="Q85" s="196">
        <v>0.9</v>
      </c>
      <c r="R85" s="196">
        <v>0.9</v>
      </c>
      <c r="S85" s="196">
        <v>0.9</v>
      </c>
      <c r="T85" s="196">
        <v>0.9</v>
      </c>
      <c r="U85" s="196">
        <v>0.9</v>
      </c>
      <c r="V85" s="196">
        <v>0.9</v>
      </c>
      <c r="W85" s="196">
        <v>0.9</v>
      </c>
      <c r="X85" s="196">
        <v>0.9</v>
      </c>
      <c r="Y85" s="196">
        <v>0.9</v>
      </c>
      <c r="Z85" s="196">
        <v>0.9</v>
      </c>
      <c r="AA85" s="196">
        <v>0.9</v>
      </c>
      <c r="AB85" s="196">
        <v>0.9</v>
      </c>
      <c r="AC85" s="197">
        <v>0.9</v>
      </c>
      <c r="AD85" s="42"/>
      <c r="AE85" s="42"/>
      <c r="AL85" s="42"/>
      <c r="AM85" s="42"/>
      <c r="AN85" s="42"/>
      <c r="AO85" s="42"/>
      <c r="AP85" s="42"/>
      <c r="AQ85" s="42"/>
      <c r="AR85" s="42"/>
      <c r="AS85" s="42"/>
      <c r="AT85" s="42"/>
      <c r="AU85" s="42"/>
      <c r="AV85" s="42"/>
      <c r="AW85" s="42"/>
      <c r="AX85" s="42"/>
      <c r="AY85" s="42"/>
      <c r="AZ85" s="42"/>
      <c r="BA85" s="42"/>
      <c r="BB85" s="42"/>
      <c r="BC85" s="42"/>
      <c r="BD85" s="42"/>
    </row>
    <row r="86" spans="1:56" ht="26.4" customHeight="1" thickBot="1" x14ac:dyDescent="0.35">
      <c r="A86" s="590"/>
      <c r="B86" s="593"/>
      <c r="C86" s="596"/>
      <c r="D86" s="599"/>
      <c r="E86" s="198" t="s">
        <v>696</v>
      </c>
      <c r="F86" s="199">
        <v>0.9</v>
      </c>
      <c r="G86" s="199">
        <v>0.9</v>
      </c>
      <c r="H86" s="199">
        <v>0.9</v>
      </c>
      <c r="I86" s="199">
        <v>0.9</v>
      </c>
      <c r="J86" s="199">
        <v>0.9</v>
      </c>
      <c r="K86" s="199">
        <v>0.9</v>
      </c>
      <c r="L86" s="199">
        <v>0.9</v>
      </c>
      <c r="M86" s="199">
        <v>0.9</v>
      </c>
      <c r="N86" s="199">
        <v>0.9</v>
      </c>
      <c r="O86" s="199">
        <v>0.9</v>
      </c>
      <c r="P86" s="199">
        <v>0.9</v>
      </c>
      <c r="Q86" s="199">
        <v>0.9</v>
      </c>
      <c r="R86" s="199">
        <v>0.9</v>
      </c>
      <c r="S86" s="199">
        <v>0.9</v>
      </c>
      <c r="T86" s="199">
        <v>0.9</v>
      </c>
      <c r="U86" s="199">
        <v>0.9</v>
      </c>
      <c r="V86" s="199">
        <v>0.9</v>
      </c>
      <c r="W86" s="199">
        <v>0.9</v>
      </c>
      <c r="X86" s="199">
        <v>0.9</v>
      </c>
      <c r="Y86" s="199">
        <v>0.9</v>
      </c>
      <c r="Z86" s="199">
        <v>0.9</v>
      </c>
      <c r="AA86" s="199">
        <v>0.9</v>
      </c>
      <c r="AB86" s="199">
        <v>0.9</v>
      </c>
      <c r="AC86" s="200">
        <v>0.9</v>
      </c>
      <c r="AD86" s="42"/>
      <c r="AE86" s="42"/>
      <c r="AL86" s="42"/>
      <c r="AM86" s="42"/>
      <c r="AN86" s="42"/>
      <c r="AO86" s="42"/>
      <c r="AP86" s="42"/>
      <c r="AQ86" s="42"/>
      <c r="AR86" s="42"/>
      <c r="AS86" s="42"/>
      <c r="AT86" s="42"/>
      <c r="AU86" s="42"/>
      <c r="AV86" s="42"/>
      <c r="AW86" s="42"/>
      <c r="AX86" s="42"/>
      <c r="AY86" s="42"/>
      <c r="AZ86" s="42"/>
      <c r="BA86" s="42"/>
      <c r="BB86" s="42"/>
      <c r="BC86" s="42"/>
      <c r="BD86" s="42"/>
    </row>
    <row r="87" spans="1:56" ht="26.4" customHeight="1" x14ac:dyDescent="0.3">
      <c r="A87" s="622" t="str">
        <f t="shared" ref="A87:B87" si="3">A78</f>
        <v>Retail</v>
      </c>
      <c r="B87" s="591" t="str">
        <f t="shared" si="3"/>
        <v>Retail</v>
      </c>
      <c r="C87" s="694" t="s">
        <v>703</v>
      </c>
      <c r="D87" s="597" t="s">
        <v>709</v>
      </c>
      <c r="E87" s="192" t="s">
        <v>694</v>
      </c>
      <c r="F87" s="206">
        <f>IF(F75=0,Thermostat!$B$11,Thermostat!$B$10)</f>
        <v>60</v>
      </c>
      <c r="G87" s="206">
        <f>IF(G75=0,Thermostat!$B$11,Thermostat!$B$10)</f>
        <v>60</v>
      </c>
      <c r="H87" s="206">
        <f>IF(H75=0,Thermostat!$B$11,Thermostat!$B$10)</f>
        <v>60</v>
      </c>
      <c r="I87" s="206">
        <f>IF(I75=0,Thermostat!$B$11,Thermostat!$B$10)</f>
        <v>60</v>
      </c>
      <c r="J87" s="206">
        <f>IF(J75=0,Thermostat!$B$11,Thermostat!$B$10)</f>
        <v>60</v>
      </c>
      <c r="K87" s="206">
        <f>IF(K75=0,Thermostat!$B$11,Thermostat!$B$10)</f>
        <v>60</v>
      </c>
      <c r="L87" s="206">
        <f>IF(L75=0,Thermostat!$B$11,Thermostat!$B$10)</f>
        <v>70</v>
      </c>
      <c r="M87" s="206">
        <f>IF(M75=0,Thermostat!$B$11,Thermostat!$B$10)</f>
        <v>70</v>
      </c>
      <c r="N87" s="206">
        <f>IF(N75=0,Thermostat!$B$11,Thermostat!$B$10)</f>
        <v>70</v>
      </c>
      <c r="O87" s="206">
        <f>IF(O75=0,Thermostat!$B$11,Thermostat!$B$10)</f>
        <v>70</v>
      </c>
      <c r="P87" s="206">
        <f>IF(P75=0,Thermostat!$B$11,Thermostat!$B$10)</f>
        <v>70</v>
      </c>
      <c r="Q87" s="206">
        <f>IF(Q75=0,Thermostat!$B$11,Thermostat!$B$10)</f>
        <v>70</v>
      </c>
      <c r="R87" s="206">
        <f>IF(R75=0,Thermostat!$B$11,Thermostat!$B$10)</f>
        <v>70</v>
      </c>
      <c r="S87" s="206">
        <f>IF(S75=0,Thermostat!$B$11,Thermostat!$B$10)</f>
        <v>70</v>
      </c>
      <c r="T87" s="206">
        <f>IF(T75=0,Thermostat!$B$11,Thermostat!$B$10)</f>
        <v>70</v>
      </c>
      <c r="U87" s="206">
        <f>IF(U75=0,Thermostat!$B$11,Thermostat!$B$10)</f>
        <v>70</v>
      </c>
      <c r="V87" s="206">
        <f>IF(V75=0,Thermostat!$B$11,Thermostat!$B$10)</f>
        <v>70</v>
      </c>
      <c r="W87" s="206">
        <f>IF(W75=0,Thermostat!$B$11,Thermostat!$B$10)</f>
        <v>70</v>
      </c>
      <c r="X87" s="206">
        <f>IF(X75=0,Thermostat!$B$11,Thermostat!$B$10)</f>
        <v>70</v>
      </c>
      <c r="Y87" s="206">
        <f>IF(Y75=0,Thermostat!$B$11,Thermostat!$B$10)</f>
        <v>70</v>
      </c>
      <c r="Z87" s="206">
        <f>IF(Z75=0,Thermostat!$B$11,Thermostat!$B$10)</f>
        <v>70</v>
      </c>
      <c r="AA87" s="206">
        <f>IF(AA75=0,Thermostat!$B$11,Thermostat!$B$10)</f>
        <v>60</v>
      </c>
      <c r="AB87" s="206">
        <f>IF(AB75=0,Thermostat!$B$11,Thermostat!$B$10)</f>
        <v>60</v>
      </c>
      <c r="AC87" s="207">
        <f>IF(AC75=0,Thermostat!$B$11,Thermostat!$B$10)</f>
        <v>60</v>
      </c>
      <c r="AD87" s="42"/>
      <c r="AE87" s="42"/>
      <c r="AL87" s="42"/>
      <c r="AM87" s="42"/>
      <c r="AN87" s="42"/>
      <c r="AO87" s="42"/>
      <c r="AP87" s="42"/>
      <c r="AQ87" s="42"/>
      <c r="AR87" s="42"/>
      <c r="AS87" s="42"/>
      <c r="AT87" s="42"/>
      <c r="AU87" s="42"/>
      <c r="AV87" s="42"/>
      <c r="AW87" s="42"/>
      <c r="AX87" s="42"/>
      <c r="AY87" s="42"/>
      <c r="AZ87" s="42"/>
      <c r="BA87" s="42"/>
      <c r="BB87" s="42"/>
      <c r="BC87" s="42"/>
      <c r="BD87" s="42"/>
    </row>
    <row r="88" spans="1:56" ht="26.4" customHeight="1" x14ac:dyDescent="0.3">
      <c r="A88" s="623"/>
      <c r="B88" s="592"/>
      <c r="C88" s="695"/>
      <c r="D88" s="598"/>
      <c r="E88" s="195" t="s">
        <v>695</v>
      </c>
      <c r="F88" s="208">
        <f>IF(F76=0,Thermostat!$B$11,Thermostat!$B$10)</f>
        <v>60</v>
      </c>
      <c r="G88" s="208">
        <f>IF(G76=0,Thermostat!$B$11,Thermostat!$B$10)</f>
        <v>60</v>
      </c>
      <c r="H88" s="208">
        <f>IF(H76=0,Thermostat!$B$11,Thermostat!$B$10)</f>
        <v>60</v>
      </c>
      <c r="I88" s="208">
        <f>IF(I76=0,Thermostat!$B$11,Thermostat!$B$10)</f>
        <v>60</v>
      </c>
      <c r="J88" s="208">
        <f>IF(J76=0,Thermostat!$B$11,Thermostat!$B$10)</f>
        <v>60</v>
      </c>
      <c r="K88" s="208">
        <f>IF(K76=0,Thermostat!$B$11,Thermostat!$B$10)</f>
        <v>60</v>
      </c>
      <c r="L88" s="208">
        <f>IF(L76=0,Thermostat!$B$11,Thermostat!$B$10)</f>
        <v>70</v>
      </c>
      <c r="M88" s="208">
        <f>IF(M76=0,Thermostat!$B$11,Thermostat!$B$10)</f>
        <v>70</v>
      </c>
      <c r="N88" s="208">
        <f>IF(N76=0,Thermostat!$B$11,Thermostat!$B$10)</f>
        <v>70</v>
      </c>
      <c r="O88" s="208">
        <f>IF(O76=0,Thermostat!$B$11,Thermostat!$B$10)</f>
        <v>70</v>
      </c>
      <c r="P88" s="208">
        <f>IF(P76=0,Thermostat!$B$11,Thermostat!$B$10)</f>
        <v>70</v>
      </c>
      <c r="Q88" s="208">
        <f>IF(Q76=0,Thermostat!$B$11,Thermostat!$B$10)</f>
        <v>70</v>
      </c>
      <c r="R88" s="208">
        <f>IF(R76=0,Thermostat!$B$11,Thermostat!$B$10)</f>
        <v>70</v>
      </c>
      <c r="S88" s="208">
        <f>IF(S76=0,Thermostat!$B$11,Thermostat!$B$10)</f>
        <v>70</v>
      </c>
      <c r="T88" s="208">
        <f>IF(T76=0,Thermostat!$B$11,Thermostat!$B$10)</f>
        <v>70</v>
      </c>
      <c r="U88" s="208">
        <f>IF(U76=0,Thermostat!$B$11,Thermostat!$B$10)</f>
        <v>70</v>
      </c>
      <c r="V88" s="208">
        <f>IF(V76=0,Thermostat!$B$11,Thermostat!$B$10)</f>
        <v>70</v>
      </c>
      <c r="W88" s="208">
        <f>IF(W76=0,Thermostat!$B$11,Thermostat!$B$10)</f>
        <v>70</v>
      </c>
      <c r="X88" s="208">
        <f>IF(X76=0,Thermostat!$B$11,Thermostat!$B$10)</f>
        <v>70</v>
      </c>
      <c r="Y88" s="208">
        <f>IF(Y76=0,Thermostat!$B$11,Thermostat!$B$10)</f>
        <v>70</v>
      </c>
      <c r="Z88" s="208">
        <f>IF(Z76=0,Thermostat!$B$11,Thermostat!$B$10)</f>
        <v>70</v>
      </c>
      <c r="AA88" s="208">
        <f>IF(AA76=0,Thermostat!$B$11,Thermostat!$B$10)</f>
        <v>70</v>
      </c>
      <c r="AB88" s="208">
        <f>IF(AB76=0,Thermostat!$B$11,Thermostat!$B$10)</f>
        <v>60</v>
      </c>
      <c r="AC88" s="209">
        <f>IF(AC76=0,Thermostat!$B$11,Thermostat!$B$10)</f>
        <v>60</v>
      </c>
      <c r="AD88" s="42"/>
      <c r="AE88" s="42"/>
      <c r="AL88" s="42"/>
      <c r="AM88" s="42"/>
      <c r="AN88" s="42"/>
      <c r="AO88" s="42"/>
      <c r="AP88" s="42"/>
      <c r="AQ88" s="42"/>
      <c r="AR88" s="42"/>
      <c r="AS88" s="42"/>
      <c r="AT88" s="42"/>
      <c r="AU88" s="42"/>
      <c r="AV88" s="42"/>
      <c r="AW88" s="42"/>
      <c r="AX88" s="42"/>
      <c r="AY88" s="42"/>
      <c r="AZ88" s="42"/>
      <c r="BA88" s="42"/>
      <c r="BB88" s="42"/>
      <c r="BC88" s="42"/>
      <c r="BD88" s="42"/>
    </row>
    <row r="89" spans="1:56" ht="26.4" customHeight="1" thickBot="1" x14ac:dyDescent="0.35">
      <c r="A89" s="683"/>
      <c r="B89" s="593"/>
      <c r="C89" s="696"/>
      <c r="D89" s="599"/>
      <c r="E89" s="201" t="s">
        <v>696</v>
      </c>
      <c r="F89" s="210">
        <f>IF(F77=0,Thermostat!$B$11,Thermostat!$B$10)</f>
        <v>60</v>
      </c>
      <c r="G89" s="210">
        <f>IF(G77=0,Thermostat!$B$11,Thermostat!$B$10)</f>
        <v>60</v>
      </c>
      <c r="H89" s="210">
        <f>IF(H77=0,Thermostat!$B$11,Thermostat!$B$10)</f>
        <v>60</v>
      </c>
      <c r="I89" s="210">
        <f>IF(I77=0,Thermostat!$B$11,Thermostat!$B$10)</f>
        <v>60</v>
      </c>
      <c r="J89" s="210">
        <f>IF(J77=0,Thermostat!$B$11,Thermostat!$B$10)</f>
        <v>60</v>
      </c>
      <c r="K89" s="210">
        <f>IF(K77=0,Thermostat!$B$11,Thermostat!$B$10)</f>
        <v>60</v>
      </c>
      <c r="L89" s="210">
        <f>IF(L77=0,Thermostat!$B$11,Thermostat!$B$10)</f>
        <v>60</v>
      </c>
      <c r="M89" s="210">
        <f>IF(M77=0,Thermostat!$B$11,Thermostat!$B$10)</f>
        <v>60</v>
      </c>
      <c r="N89" s="210">
        <f>IF(N77=0,Thermostat!$B$11,Thermostat!$B$10)</f>
        <v>70</v>
      </c>
      <c r="O89" s="210">
        <f>IF(O77=0,Thermostat!$B$11,Thermostat!$B$10)</f>
        <v>70</v>
      </c>
      <c r="P89" s="210">
        <f>IF(P77=0,Thermostat!$B$11,Thermostat!$B$10)</f>
        <v>70</v>
      </c>
      <c r="Q89" s="210">
        <f>IF(Q77=0,Thermostat!$B$11,Thermostat!$B$10)</f>
        <v>70</v>
      </c>
      <c r="R89" s="210">
        <f>IF(R77=0,Thermostat!$B$11,Thermostat!$B$10)</f>
        <v>70</v>
      </c>
      <c r="S89" s="210">
        <f>IF(S77=0,Thermostat!$B$11,Thermostat!$B$10)</f>
        <v>70</v>
      </c>
      <c r="T89" s="210">
        <f>IF(T77=0,Thermostat!$B$11,Thermostat!$B$10)</f>
        <v>70</v>
      </c>
      <c r="U89" s="210">
        <f>IF(U77=0,Thermostat!$B$11,Thermostat!$B$10)</f>
        <v>70</v>
      </c>
      <c r="V89" s="210">
        <f>IF(V77=0,Thermostat!$B$11,Thermostat!$B$10)</f>
        <v>70</v>
      </c>
      <c r="W89" s="210">
        <f>IF(W77=0,Thermostat!$B$11,Thermostat!$B$10)</f>
        <v>70</v>
      </c>
      <c r="X89" s="210">
        <f>IF(X77=0,Thermostat!$B$11,Thermostat!$B$10)</f>
        <v>70</v>
      </c>
      <c r="Y89" s="210">
        <f>IF(Y77=0,Thermostat!$B$11,Thermostat!$B$10)</f>
        <v>60</v>
      </c>
      <c r="Z89" s="210">
        <f>IF(Z77=0,Thermostat!$B$11,Thermostat!$B$10)</f>
        <v>60</v>
      </c>
      <c r="AA89" s="210">
        <f>IF(AA77=0,Thermostat!$B$11,Thermostat!$B$10)</f>
        <v>60</v>
      </c>
      <c r="AB89" s="210">
        <f>IF(AB77=0,Thermostat!$B$11,Thermostat!$B$10)</f>
        <v>60</v>
      </c>
      <c r="AC89" s="211">
        <f>IF(AC77=0,Thermostat!$B$11,Thermostat!$B$10)</f>
        <v>60</v>
      </c>
      <c r="AD89" s="42"/>
      <c r="AE89" s="42"/>
      <c r="AL89" s="42"/>
      <c r="AM89" s="42"/>
      <c r="AN89" s="42"/>
      <c r="AO89" s="42"/>
      <c r="AP89" s="42"/>
      <c r="AQ89" s="42"/>
      <c r="AR89" s="42"/>
      <c r="AS89" s="42"/>
      <c r="AT89" s="42"/>
      <c r="AU89" s="42"/>
      <c r="AV89" s="42"/>
      <c r="AW89" s="42"/>
      <c r="AX89" s="42"/>
      <c r="AY89" s="42"/>
      <c r="AZ89" s="42"/>
      <c r="BA89" s="42"/>
      <c r="BB89" s="42"/>
      <c r="BC89" s="42"/>
      <c r="BD89" s="42"/>
    </row>
    <row r="90" spans="1:56" ht="26.4" customHeight="1" x14ac:dyDescent="0.3">
      <c r="A90" s="622" t="str">
        <f t="shared" ref="A90:B90" si="4">A81</f>
        <v>Retail</v>
      </c>
      <c r="B90" s="591" t="str">
        <f t="shared" si="4"/>
        <v>Retail</v>
      </c>
      <c r="C90" s="697" t="s">
        <v>704</v>
      </c>
      <c r="D90" s="699" t="s">
        <v>709</v>
      </c>
      <c r="E90" s="202" t="s">
        <v>694</v>
      </c>
      <c r="F90" s="206">
        <f>IF(F75=0,Thermostat!$B$13,Thermostat!$B$12)</f>
        <v>85</v>
      </c>
      <c r="G90" s="206">
        <f>IF(G75=0,Thermostat!$B$13,Thermostat!$B$12)</f>
        <v>85</v>
      </c>
      <c r="H90" s="206">
        <f>IF(H75=0,Thermostat!$B$13,Thermostat!$B$12)</f>
        <v>85</v>
      </c>
      <c r="I90" s="206">
        <f>IF(I75=0,Thermostat!$B$13,Thermostat!$B$12)</f>
        <v>85</v>
      </c>
      <c r="J90" s="206">
        <f>IF(J75=0,Thermostat!$B$13,Thermostat!$B$12)</f>
        <v>85</v>
      </c>
      <c r="K90" s="206">
        <f>IF(K75=0,Thermostat!$B$13,Thermostat!$B$12)</f>
        <v>85</v>
      </c>
      <c r="L90" s="206">
        <f>IF(L75=0,Thermostat!$B$13,Thermostat!$B$12)</f>
        <v>75</v>
      </c>
      <c r="M90" s="206">
        <f>IF(M75=0,Thermostat!$B$13,Thermostat!$B$12)</f>
        <v>75</v>
      </c>
      <c r="N90" s="206">
        <f>IF(N75=0,Thermostat!$B$13,Thermostat!$B$12)</f>
        <v>75</v>
      </c>
      <c r="O90" s="206">
        <f>IF(O75=0,Thermostat!$B$13,Thermostat!$B$12)</f>
        <v>75</v>
      </c>
      <c r="P90" s="206">
        <f>IF(P75=0,Thermostat!$B$13,Thermostat!$B$12)</f>
        <v>75</v>
      </c>
      <c r="Q90" s="206">
        <f>IF(Q75=0,Thermostat!$B$13,Thermostat!$B$12)</f>
        <v>75</v>
      </c>
      <c r="R90" s="206">
        <f>IF(R75=0,Thermostat!$B$13,Thermostat!$B$12)</f>
        <v>75</v>
      </c>
      <c r="S90" s="206">
        <f>IF(S75=0,Thermostat!$B$13,Thermostat!$B$12)</f>
        <v>75</v>
      </c>
      <c r="T90" s="206">
        <f>IF(T75=0,Thermostat!$B$13,Thermostat!$B$12)</f>
        <v>75</v>
      </c>
      <c r="U90" s="206">
        <f>IF(U75=0,Thermostat!$B$13,Thermostat!$B$12)</f>
        <v>75</v>
      </c>
      <c r="V90" s="206">
        <f>IF(V75=0,Thermostat!$B$13,Thermostat!$B$12)</f>
        <v>75</v>
      </c>
      <c r="W90" s="206">
        <f>IF(W75=0,Thermostat!$B$13,Thermostat!$B$12)</f>
        <v>75</v>
      </c>
      <c r="X90" s="206">
        <f>IF(X75=0,Thermostat!$B$13,Thermostat!$B$12)</f>
        <v>75</v>
      </c>
      <c r="Y90" s="206">
        <f>IF(Y75=0,Thermostat!$B$13,Thermostat!$B$12)</f>
        <v>75</v>
      </c>
      <c r="Z90" s="206">
        <f>IF(Z75=0,Thermostat!$B$13,Thermostat!$B$12)</f>
        <v>75</v>
      </c>
      <c r="AA90" s="206">
        <f>IF(AA75=0,Thermostat!$B$13,Thermostat!$B$12)</f>
        <v>85</v>
      </c>
      <c r="AB90" s="206">
        <f>IF(AB75=0,Thermostat!$B$13,Thermostat!$B$12)</f>
        <v>85</v>
      </c>
      <c r="AC90" s="207">
        <f>IF(AC75=0,Thermostat!$B$13,Thermostat!$B$12)</f>
        <v>85</v>
      </c>
      <c r="AD90" s="42"/>
      <c r="AE90" s="42"/>
      <c r="AL90" s="42"/>
      <c r="AM90" s="42"/>
      <c r="AN90" s="42"/>
      <c r="AO90" s="42"/>
      <c r="AP90" s="42"/>
      <c r="AQ90" s="42"/>
      <c r="AR90" s="42"/>
      <c r="AS90" s="42"/>
      <c r="AT90" s="42"/>
      <c r="AU90" s="42"/>
      <c r="AV90" s="42"/>
      <c r="AW90" s="42"/>
      <c r="AX90" s="42"/>
      <c r="AY90" s="42"/>
      <c r="AZ90" s="42"/>
      <c r="BA90" s="42"/>
      <c r="BB90" s="42"/>
      <c r="BC90" s="42"/>
      <c r="BD90" s="42"/>
    </row>
    <row r="91" spans="1:56" ht="26.4" customHeight="1" x14ac:dyDescent="0.3">
      <c r="A91" s="623"/>
      <c r="B91" s="592"/>
      <c r="C91" s="695"/>
      <c r="D91" s="700"/>
      <c r="E91" s="203" t="s">
        <v>695</v>
      </c>
      <c r="F91" s="208">
        <f>IF(F76=0,Thermostat!$B$13,Thermostat!$B$12)</f>
        <v>85</v>
      </c>
      <c r="G91" s="208">
        <f>IF(G76=0,Thermostat!$B$13,Thermostat!$B$12)</f>
        <v>85</v>
      </c>
      <c r="H91" s="208">
        <f>IF(H76=0,Thermostat!$B$13,Thermostat!$B$12)</f>
        <v>85</v>
      </c>
      <c r="I91" s="208">
        <f>IF(I76=0,Thermostat!$B$13,Thermostat!$B$12)</f>
        <v>85</v>
      </c>
      <c r="J91" s="208">
        <f>IF(J76=0,Thermostat!$B$13,Thermostat!$B$12)</f>
        <v>85</v>
      </c>
      <c r="K91" s="208">
        <f>IF(K76=0,Thermostat!$B$13,Thermostat!$B$12)</f>
        <v>85</v>
      </c>
      <c r="L91" s="208">
        <f>IF(L76=0,Thermostat!$B$13,Thermostat!$B$12)</f>
        <v>75</v>
      </c>
      <c r="M91" s="208">
        <f>IF(M76=0,Thermostat!$B$13,Thermostat!$B$12)</f>
        <v>75</v>
      </c>
      <c r="N91" s="208">
        <f>IF(N76=0,Thermostat!$B$13,Thermostat!$B$12)</f>
        <v>75</v>
      </c>
      <c r="O91" s="208">
        <f>IF(O76=0,Thermostat!$B$13,Thermostat!$B$12)</f>
        <v>75</v>
      </c>
      <c r="P91" s="208">
        <f>IF(P76=0,Thermostat!$B$13,Thermostat!$B$12)</f>
        <v>75</v>
      </c>
      <c r="Q91" s="208">
        <f>IF(Q76=0,Thermostat!$B$13,Thermostat!$B$12)</f>
        <v>75</v>
      </c>
      <c r="R91" s="208">
        <f>IF(R76=0,Thermostat!$B$13,Thermostat!$B$12)</f>
        <v>75</v>
      </c>
      <c r="S91" s="208">
        <f>IF(S76=0,Thermostat!$B$13,Thermostat!$B$12)</f>
        <v>75</v>
      </c>
      <c r="T91" s="208">
        <f>IF(T76=0,Thermostat!$B$13,Thermostat!$B$12)</f>
        <v>75</v>
      </c>
      <c r="U91" s="208">
        <f>IF(U76=0,Thermostat!$B$13,Thermostat!$B$12)</f>
        <v>75</v>
      </c>
      <c r="V91" s="208">
        <f>IF(V76=0,Thermostat!$B$13,Thermostat!$B$12)</f>
        <v>75</v>
      </c>
      <c r="W91" s="208">
        <f>IF(W76=0,Thermostat!$B$13,Thermostat!$B$12)</f>
        <v>75</v>
      </c>
      <c r="X91" s="208">
        <f>IF(X76=0,Thermostat!$B$13,Thermostat!$B$12)</f>
        <v>75</v>
      </c>
      <c r="Y91" s="208">
        <f>IF(Y76=0,Thermostat!$B$13,Thermostat!$B$12)</f>
        <v>75</v>
      </c>
      <c r="Z91" s="208">
        <f>IF(Z76=0,Thermostat!$B$13,Thermostat!$B$12)</f>
        <v>75</v>
      </c>
      <c r="AA91" s="208">
        <f>IF(AA76=0,Thermostat!$B$13,Thermostat!$B$12)</f>
        <v>75</v>
      </c>
      <c r="AB91" s="208">
        <f>IF(AB76=0,Thermostat!$B$13,Thermostat!$B$12)</f>
        <v>85</v>
      </c>
      <c r="AC91" s="209">
        <f>IF(AC76=0,Thermostat!$B$13,Thermostat!$B$12)</f>
        <v>85</v>
      </c>
      <c r="AD91" s="42"/>
      <c r="AE91" s="42"/>
      <c r="AL91" s="42"/>
      <c r="AM91" s="42"/>
      <c r="AN91" s="42"/>
      <c r="AO91" s="42"/>
      <c r="AP91" s="42"/>
      <c r="AQ91" s="42"/>
      <c r="AR91" s="42"/>
      <c r="AS91" s="42"/>
      <c r="AT91" s="42"/>
      <c r="AU91" s="42"/>
      <c r="AV91" s="42"/>
      <c r="AW91" s="42"/>
      <c r="AX91" s="42"/>
      <c r="AY91" s="42"/>
      <c r="AZ91" s="42"/>
      <c r="BA91" s="42"/>
      <c r="BB91" s="42"/>
      <c r="BC91" s="42"/>
      <c r="BD91" s="42"/>
    </row>
    <row r="92" spans="1:56" ht="26.4" customHeight="1" thickBot="1" x14ac:dyDescent="0.35">
      <c r="A92" s="683"/>
      <c r="B92" s="593"/>
      <c r="C92" s="698"/>
      <c r="D92" s="701"/>
      <c r="E92" s="204" t="s">
        <v>696</v>
      </c>
      <c r="F92" s="210">
        <f>IF(F77=0,Thermostat!$B$13,Thermostat!$B$12)</f>
        <v>85</v>
      </c>
      <c r="G92" s="210">
        <f>IF(G77=0,Thermostat!$B$13,Thermostat!$B$12)</f>
        <v>85</v>
      </c>
      <c r="H92" s="210">
        <f>IF(H77=0,Thermostat!$B$13,Thermostat!$B$12)</f>
        <v>85</v>
      </c>
      <c r="I92" s="210">
        <f>IF(I77=0,Thermostat!$B$13,Thermostat!$B$12)</f>
        <v>85</v>
      </c>
      <c r="J92" s="210">
        <f>IF(J77=0,Thermostat!$B$13,Thermostat!$B$12)</f>
        <v>85</v>
      </c>
      <c r="K92" s="210">
        <f>IF(K77=0,Thermostat!$B$13,Thermostat!$B$12)</f>
        <v>85</v>
      </c>
      <c r="L92" s="210">
        <f>IF(L77=0,Thermostat!$B$13,Thermostat!$B$12)</f>
        <v>85</v>
      </c>
      <c r="M92" s="210">
        <f>IF(M77=0,Thermostat!$B$13,Thermostat!$B$12)</f>
        <v>85</v>
      </c>
      <c r="N92" s="210">
        <f>IF(N77=0,Thermostat!$B$13,Thermostat!$B$12)</f>
        <v>75</v>
      </c>
      <c r="O92" s="210">
        <f>IF(O77=0,Thermostat!$B$13,Thermostat!$B$12)</f>
        <v>75</v>
      </c>
      <c r="P92" s="210">
        <f>IF(P77=0,Thermostat!$B$13,Thermostat!$B$12)</f>
        <v>75</v>
      </c>
      <c r="Q92" s="210">
        <f>IF(Q77=0,Thermostat!$B$13,Thermostat!$B$12)</f>
        <v>75</v>
      </c>
      <c r="R92" s="210">
        <f>IF(R77=0,Thermostat!$B$13,Thermostat!$B$12)</f>
        <v>75</v>
      </c>
      <c r="S92" s="210">
        <f>IF(S77=0,Thermostat!$B$13,Thermostat!$B$12)</f>
        <v>75</v>
      </c>
      <c r="T92" s="210">
        <f>IF(T77=0,Thermostat!$B$13,Thermostat!$B$12)</f>
        <v>75</v>
      </c>
      <c r="U92" s="210">
        <f>IF(U77=0,Thermostat!$B$13,Thermostat!$B$12)</f>
        <v>75</v>
      </c>
      <c r="V92" s="210">
        <f>IF(V77=0,Thermostat!$B$13,Thermostat!$B$12)</f>
        <v>75</v>
      </c>
      <c r="W92" s="210">
        <f>IF(W77=0,Thermostat!$B$13,Thermostat!$B$12)</f>
        <v>75</v>
      </c>
      <c r="X92" s="210">
        <f>IF(X77=0,Thermostat!$B$13,Thermostat!$B$12)</f>
        <v>75</v>
      </c>
      <c r="Y92" s="210">
        <f>IF(Y77=0,Thermostat!$B$13,Thermostat!$B$12)</f>
        <v>85</v>
      </c>
      <c r="Z92" s="210">
        <f>IF(Z77=0,Thermostat!$B$13,Thermostat!$B$12)</f>
        <v>85</v>
      </c>
      <c r="AA92" s="210">
        <f>IF(AA77=0,Thermostat!$B$13,Thermostat!$B$12)</f>
        <v>85</v>
      </c>
      <c r="AB92" s="210">
        <f>IF(AB77=0,Thermostat!$B$13,Thermostat!$B$12)</f>
        <v>85</v>
      </c>
      <c r="AC92" s="211">
        <f>IF(AC77=0,Thermostat!$B$13,Thermostat!$B$12)</f>
        <v>85</v>
      </c>
      <c r="AD92" s="42"/>
      <c r="AE92" s="42"/>
      <c r="AL92" s="42"/>
      <c r="AM92" s="42"/>
      <c r="AN92" s="42"/>
      <c r="AO92" s="42"/>
      <c r="AP92" s="42"/>
      <c r="AQ92" s="42"/>
      <c r="AR92" s="42"/>
      <c r="AS92" s="42"/>
      <c r="AT92" s="42"/>
      <c r="AU92" s="42"/>
      <c r="AV92" s="42"/>
      <c r="AW92" s="42"/>
      <c r="AX92" s="42"/>
      <c r="AY92" s="42"/>
      <c r="AZ92" s="42"/>
      <c r="BA92" s="42"/>
      <c r="BB92" s="42"/>
      <c r="BC92" s="42"/>
      <c r="BD92" s="42"/>
    </row>
    <row r="93" spans="1:56" ht="29.25" customHeight="1" x14ac:dyDescent="0.3">
      <c r="A93" s="632" t="s">
        <v>711</v>
      </c>
      <c r="B93" s="633"/>
      <c r="C93" s="633"/>
      <c r="D93" s="633"/>
      <c r="E93" s="633"/>
      <c r="F93" s="633"/>
      <c r="G93" s="633"/>
      <c r="H93" s="633"/>
      <c r="I93" s="633"/>
      <c r="J93" s="633"/>
      <c r="K93" s="633"/>
      <c r="L93" s="633"/>
      <c r="M93" s="633"/>
      <c r="N93" s="633"/>
      <c r="O93" s="633"/>
      <c r="P93" s="633"/>
      <c r="Q93" s="633"/>
      <c r="R93" s="633"/>
      <c r="S93" s="633"/>
      <c r="T93" s="633"/>
      <c r="U93" s="633"/>
      <c r="V93" s="633"/>
      <c r="W93" s="633"/>
      <c r="X93" s="633"/>
      <c r="Y93" s="633"/>
      <c r="Z93" s="633"/>
      <c r="AA93" s="633"/>
      <c r="AB93" s="633"/>
      <c r="AC93" s="634"/>
      <c r="AD93" s="253" t="s">
        <v>571</v>
      </c>
      <c r="AE93" s="44"/>
      <c r="AF93" s="44"/>
      <c r="AG93" s="44"/>
      <c r="AH93" s="44"/>
      <c r="AI93" s="44"/>
      <c r="AJ93" s="44"/>
      <c r="AK93" s="44"/>
      <c r="AL93" s="44"/>
      <c r="AM93" s="44"/>
      <c r="AN93" s="44"/>
      <c r="AO93" s="44"/>
      <c r="AP93" s="44"/>
      <c r="AQ93" s="44"/>
      <c r="AR93" s="44"/>
      <c r="AS93" s="44"/>
      <c r="AT93" s="44"/>
      <c r="AU93" s="44"/>
      <c r="AV93" s="44"/>
      <c r="AW93" s="44"/>
      <c r="AX93" s="44"/>
    </row>
    <row r="94" spans="1:56" ht="27" customHeight="1" x14ac:dyDescent="0.3">
      <c r="A94" s="674"/>
      <c r="B94" s="677" t="s">
        <v>266</v>
      </c>
      <c r="C94" s="679" t="s">
        <v>475</v>
      </c>
      <c r="D94" s="656" t="s">
        <v>712</v>
      </c>
      <c r="E94" s="155" t="s">
        <v>694</v>
      </c>
      <c r="F94" s="156">
        <v>0</v>
      </c>
      <c r="G94" s="156">
        <v>0</v>
      </c>
      <c r="H94" s="156">
        <v>0</v>
      </c>
      <c r="I94" s="156">
        <v>0</v>
      </c>
      <c r="J94" s="156">
        <v>0</v>
      </c>
      <c r="K94" s="156">
        <v>0</v>
      </c>
      <c r="L94" s="156">
        <v>0</v>
      </c>
      <c r="M94" s="156">
        <v>0.35</v>
      </c>
      <c r="N94" s="156">
        <v>0.69</v>
      </c>
      <c r="O94" s="156">
        <v>0.43</v>
      </c>
      <c r="P94" s="156">
        <v>0.37</v>
      </c>
      <c r="Q94" s="156">
        <v>0.43</v>
      </c>
      <c r="R94" s="156">
        <v>0.57999999999999996</v>
      </c>
      <c r="S94" s="156">
        <v>0.48</v>
      </c>
      <c r="T94" s="156">
        <v>0.37</v>
      </c>
      <c r="U94" s="156">
        <v>0.37</v>
      </c>
      <c r="V94" s="156">
        <v>0.46</v>
      </c>
      <c r="W94" s="156">
        <v>0.62</v>
      </c>
      <c r="X94" s="156">
        <v>0.2</v>
      </c>
      <c r="Y94" s="156">
        <v>0.12</v>
      </c>
      <c r="Z94" s="156">
        <v>0.04</v>
      </c>
      <c r="AA94" s="156">
        <v>0.04</v>
      </c>
      <c r="AB94" s="156">
        <v>0</v>
      </c>
      <c r="AC94" s="157">
        <v>0</v>
      </c>
      <c r="AD94" s="254">
        <f>SUM(F94:AC94)*261+ SUM(F95:AC95)*52+ SUM(F96:AC96)*52</f>
        <v>2025.75</v>
      </c>
      <c r="AE94" s="42"/>
      <c r="AL94" s="42"/>
      <c r="AM94" s="42"/>
      <c r="AN94" s="42"/>
      <c r="AO94" s="42"/>
      <c r="AP94" s="42"/>
      <c r="AQ94" s="42"/>
      <c r="AR94" s="42"/>
      <c r="AS94" s="42"/>
      <c r="AT94" s="42"/>
      <c r="AU94" s="42"/>
      <c r="AV94" s="42"/>
      <c r="AW94" s="42"/>
      <c r="AX94" s="42"/>
      <c r="AY94" s="42"/>
      <c r="AZ94" s="42"/>
      <c r="BA94" s="42"/>
      <c r="BB94" s="42"/>
      <c r="BC94" s="42"/>
      <c r="BD94" s="42"/>
    </row>
    <row r="95" spans="1:56" ht="27" customHeight="1" x14ac:dyDescent="0.3">
      <c r="A95" s="675"/>
      <c r="B95" s="626"/>
      <c r="C95" s="665"/>
      <c r="D95" s="657"/>
      <c r="E95" s="158" t="s">
        <v>695</v>
      </c>
      <c r="F95" s="159">
        <v>0</v>
      </c>
      <c r="G95" s="159">
        <v>0</v>
      </c>
      <c r="H95" s="159">
        <v>0</v>
      </c>
      <c r="I95" s="159">
        <v>0</v>
      </c>
      <c r="J95" s="159">
        <v>0</v>
      </c>
      <c r="K95" s="159">
        <v>0</v>
      </c>
      <c r="L95" s="159">
        <v>0</v>
      </c>
      <c r="M95" s="159">
        <v>0.35</v>
      </c>
      <c r="N95" s="159">
        <v>0.69</v>
      </c>
      <c r="O95" s="159">
        <v>0.43</v>
      </c>
      <c r="P95" s="159">
        <v>0.37</v>
      </c>
      <c r="Q95" s="159">
        <v>0.43</v>
      </c>
      <c r="R95" s="159">
        <v>0.57999999999999996</v>
      </c>
      <c r="S95" s="159">
        <v>0.48</v>
      </c>
      <c r="T95" s="159">
        <v>0.37</v>
      </c>
      <c r="U95" s="159">
        <v>0.37</v>
      </c>
      <c r="V95" s="159">
        <v>0.46</v>
      </c>
      <c r="W95" s="159">
        <v>0.62</v>
      </c>
      <c r="X95" s="159">
        <v>0.2</v>
      </c>
      <c r="Y95" s="159">
        <v>0.12</v>
      </c>
      <c r="Z95" s="159">
        <v>0.04</v>
      </c>
      <c r="AA95" s="159">
        <v>0.04</v>
      </c>
      <c r="AB95" s="159">
        <v>0</v>
      </c>
      <c r="AC95" s="160">
        <v>0</v>
      </c>
      <c r="AD95" s="42"/>
      <c r="AE95" s="42"/>
      <c r="AL95" s="42"/>
      <c r="AM95" s="42"/>
      <c r="AN95" s="42"/>
      <c r="AO95" s="42"/>
      <c r="AP95" s="42"/>
      <c r="AQ95" s="42"/>
      <c r="AR95" s="42"/>
      <c r="AS95" s="42"/>
      <c r="AT95" s="42"/>
      <c r="AU95" s="42"/>
      <c r="AV95" s="42"/>
      <c r="AW95" s="42"/>
      <c r="AX95" s="42"/>
      <c r="AY95" s="42"/>
      <c r="AZ95" s="42"/>
      <c r="BA95" s="42"/>
      <c r="BB95" s="42"/>
      <c r="BC95" s="42"/>
      <c r="BD95" s="42"/>
    </row>
    <row r="96" spans="1:56" ht="27" customHeight="1" thickBot="1" x14ac:dyDescent="0.35">
      <c r="A96" s="676"/>
      <c r="B96" s="678"/>
      <c r="C96" s="680"/>
      <c r="D96" s="681"/>
      <c r="E96" s="161" t="s">
        <v>696</v>
      </c>
      <c r="F96" s="162">
        <v>0</v>
      </c>
      <c r="G96" s="162">
        <v>0</v>
      </c>
      <c r="H96" s="162">
        <v>0</v>
      </c>
      <c r="I96" s="162">
        <v>0</v>
      </c>
      <c r="J96" s="162">
        <v>0</v>
      </c>
      <c r="K96" s="162">
        <v>0</v>
      </c>
      <c r="L96" s="162">
        <v>0</v>
      </c>
      <c r="M96" s="162">
        <v>0.35</v>
      </c>
      <c r="N96" s="162">
        <v>0.69</v>
      </c>
      <c r="O96" s="162">
        <v>0.43</v>
      </c>
      <c r="P96" s="162">
        <v>0.37</v>
      </c>
      <c r="Q96" s="162">
        <v>0.43</v>
      </c>
      <c r="R96" s="162">
        <v>0.57999999999999996</v>
      </c>
      <c r="S96" s="162">
        <v>0.48</v>
      </c>
      <c r="T96" s="162">
        <v>0.37</v>
      </c>
      <c r="U96" s="162">
        <v>0.37</v>
      </c>
      <c r="V96" s="162">
        <v>0.46</v>
      </c>
      <c r="W96" s="162">
        <v>0.62</v>
      </c>
      <c r="X96" s="162">
        <v>0.2</v>
      </c>
      <c r="Y96" s="162">
        <v>0.12</v>
      </c>
      <c r="Z96" s="162">
        <v>0.04</v>
      </c>
      <c r="AA96" s="162">
        <v>0.04</v>
      </c>
      <c r="AB96" s="162">
        <v>0</v>
      </c>
      <c r="AC96" s="163">
        <v>0</v>
      </c>
      <c r="AD96" s="42"/>
      <c r="AE96" s="42"/>
      <c r="AL96" s="42"/>
      <c r="AM96" s="42"/>
      <c r="AN96" s="42"/>
      <c r="AO96" s="42"/>
      <c r="AP96" s="42"/>
      <c r="AQ96" s="42"/>
      <c r="AR96" s="42"/>
      <c r="AS96" s="42"/>
      <c r="AT96" s="42"/>
      <c r="AU96" s="42"/>
      <c r="AV96" s="42"/>
      <c r="AW96" s="42"/>
      <c r="AX96" s="42"/>
      <c r="AY96" s="42"/>
      <c r="AZ96" s="42"/>
      <c r="BA96" s="42"/>
      <c r="BB96" s="42"/>
      <c r="BC96" s="42"/>
      <c r="BD96" s="42"/>
    </row>
    <row r="97" spans="1:56" ht="27" customHeight="1" x14ac:dyDescent="0.3">
      <c r="A97" s="682"/>
      <c r="B97" s="673" t="s">
        <v>266</v>
      </c>
      <c r="C97" s="684" t="s">
        <v>713</v>
      </c>
      <c r="D97" s="668"/>
      <c r="E97" s="164" t="s">
        <v>694</v>
      </c>
      <c r="F97" s="165">
        <v>1</v>
      </c>
      <c r="G97" s="165">
        <v>1</v>
      </c>
      <c r="H97" s="165">
        <v>1</v>
      </c>
      <c r="I97" s="165">
        <v>1</v>
      </c>
      <c r="J97" s="165">
        <v>1</v>
      </c>
      <c r="K97" s="165">
        <v>1</v>
      </c>
      <c r="L97" s="165">
        <v>1</v>
      </c>
      <c r="M97" s="165">
        <v>1</v>
      </c>
      <c r="N97" s="165">
        <v>1</v>
      </c>
      <c r="O97" s="165">
        <v>1</v>
      </c>
      <c r="P97" s="165">
        <v>1</v>
      </c>
      <c r="Q97" s="165">
        <v>1</v>
      </c>
      <c r="R97" s="165">
        <v>1</v>
      </c>
      <c r="S97" s="165">
        <v>1</v>
      </c>
      <c r="T97" s="165">
        <v>1</v>
      </c>
      <c r="U97" s="165">
        <v>1</v>
      </c>
      <c r="V97" s="165">
        <v>1</v>
      </c>
      <c r="W97" s="165">
        <v>1</v>
      </c>
      <c r="X97" s="165">
        <v>1</v>
      </c>
      <c r="Y97" s="165">
        <v>1</v>
      </c>
      <c r="Z97" s="165">
        <v>1</v>
      </c>
      <c r="AA97" s="165">
        <v>1</v>
      </c>
      <c r="AB97" s="165">
        <v>1</v>
      </c>
      <c r="AC97" s="166">
        <v>1</v>
      </c>
      <c r="AD97" s="42"/>
      <c r="AE97" s="42"/>
      <c r="AL97" s="42"/>
      <c r="AM97" s="42"/>
      <c r="AN97" s="42"/>
      <c r="AO97" s="42"/>
      <c r="AP97" s="42"/>
      <c r="AQ97" s="42"/>
      <c r="AR97" s="42"/>
      <c r="AS97" s="42"/>
      <c r="AT97" s="42"/>
      <c r="AU97" s="42"/>
      <c r="AV97" s="42"/>
      <c r="AW97" s="42"/>
      <c r="AX97" s="42"/>
      <c r="AY97" s="42"/>
      <c r="AZ97" s="42"/>
      <c r="BA97" s="42"/>
      <c r="BB97" s="42"/>
      <c r="BC97" s="42"/>
      <c r="BD97" s="42"/>
    </row>
    <row r="98" spans="1:56" ht="27" customHeight="1" x14ac:dyDescent="0.3">
      <c r="A98" s="623"/>
      <c r="B98" s="626"/>
      <c r="C98" s="665"/>
      <c r="D98" s="668"/>
      <c r="E98" s="158" t="s">
        <v>695</v>
      </c>
      <c r="F98" s="167">
        <v>1</v>
      </c>
      <c r="G98" s="167">
        <v>1</v>
      </c>
      <c r="H98" s="167">
        <v>1</v>
      </c>
      <c r="I98" s="167">
        <v>1</v>
      </c>
      <c r="J98" s="167">
        <v>1</v>
      </c>
      <c r="K98" s="167">
        <v>1</v>
      </c>
      <c r="L98" s="167">
        <v>1</v>
      </c>
      <c r="M98" s="167">
        <v>1</v>
      </c>
      <c r="N98" s="167">
        <v>1</v>
      </c>
      <c r="O98" s="167">
        <v>1</v>
      </c>
      <c r="P98" s="167">
        <v>1</v>
      </c>
      <c r="Q98" s="167">
        <v>1</v>
      </c>
      <c r="R98" s="167">
        <v>1</v>
      </c>
      <c r="S98" s="167">
        <v>1</v>
      </c>
      <c r="T98" s="167">
        <v>1</v>
      </c>
      <c r="U98" s="167">
        <v>1</v>
      </c>
      <c r="V98" s="167">
        <v>1</v>
      </c>
      <c r="W98" s="167">
        <v>1</v>
      </c>
      <c r="X98" s="167">
        <v>1</v>
      </c>
      <c r="Y98" s="167">
        <v>1</v>
      </c>
      <c r="Z98" s="167">
        <v>1</v>
      </c>
      <c r="AA98" s="167">
        <v>1</v>
      </c>
      <c r="AB98" s="167">
        <v>1</v>
      </c>
      <c r="AC98" s="168">
        <v>1</v>
      </c>
      <c r="AD98" s="42"/>
      <c r="AE98" s="42"/>
      <c r="AL98" s="42"/>
      <c r="AM98" s="42"/>
      <c r="AN98" s="42"/>
      <c r="AO98" s="42"/>
      <c r="AP98" s="42"/>
      <c r="AQ98" s="42"/>
      <c r="AR98" s="42"/>
      <c r="AS98" s="42"/>
      <c r="AT98" s="42"/>
      <c r="AU98" s="42"/>
      <c r="AV98" s="42"/>
      <c r="AW98" s="42"/>
      <c r="AX98" s="42"/>
      <c r="AY98" s="42"/>
      <c r="AZ98" s="42"/>
      <c r="BA98" s="42"/>
      <c r="BB98" s="42"/>
      <c r="BC98" s="42"/>
      <c r="BD98" s="42"/>
    </row>
    <row r="99" spans="1:56" ht="27" customHeight="1" thickBot="1" x14ac:dyDescent="0.35">
      <c r="A99" s="683"/>
      <c r="B99" s="663"/>
      <c r="C99" s="666"/>
      <c r="D99" s="669"/>
      <c r="E99" s="169" t="s">
        <v>696</v>
      </c>
      <c r="F99" s="170">
        <v>1</v>
      </c>
      <c r="G99" s="170">
        <v>1</v>
      </c>
      <c r="H99" s="170">
        <v>1</v>
      </c>
      <c r="I99" s="170">
        <v>1</v>
      </c>
      <c r="J99" s="170">
        <v>1</v>
      </c>
      <c r="K99" s="170">
        <v>1</v>
      </c>
      <c r="L99" s="170">
        <v>1</v>
      </c>
      <c r="M99" s="170">
        <v>1</v>
      </c>
      <c r="N99" s="170">
        <v>1</v>
      </c>
      <c r="O99" s="170">
        <v>1</v>
      </c>
      <c r="P99" s="170">
        <v>1</v>
      </c>
      <c r="Q99" s="170">
        <v>1</v>
      </c>
      <c r="R99" s="170">
        <v>1</v>
      </c>
      <c r="S99" s="170">
        <v>1</v>
      </c>
      <c r="T99" s="170">
        <v>1</v>
      </c>
      <c r="U99" s="170">
        <v>1</v>
      </c>
      <c r="V99" s="170">
        <v>1</v>
      </c>
      <c r="W99" s="170">
        <v>1</v>
      </c>
      <c r="X99" s="170">
        <v>1</v>
      </c>
      <c r="Y99" s="170">
        <v>1</v>
      </c>
      <c r="Z99" s="170">
        <v>1</v>
      </c>
      <c r="AA99" s="170">
        <v>1</v>
      </c>
      <c r="AB99" s="170">
        <v>1</v>
      </c>
      <c r="AC99" s="171">
        <v>1</v>
      </c>
      <c r="AD99" s="42"/>
      <c r="AE99" s="42"/>
      <c r="AL99" s="42"/>
      <c r="AM99" s="42"/>
      <c r="AN99" s="42"/>
      <c r="AO99" s="42"/>
      <c r="AP99" s="42"/>
      <c r="AQ99" s="42"/>
      <c r="AR99" s="42"/>
      <c r="AS99" s="42"/>
      <c r="AT99" s="42"/>
      <c r="AU99" s="42"/>
      <c r="AV99" s="42"/>
      <c r="AW99" s="42"/>
      <c r="AX99" s="42"/>
      <c r="AY99" s="42"/>
      <c r="AZ99" s="42"/>
      <c r="BA99" s="42"/>
      <c r="BB99" s="42"/>
      <c r="BC99" s="42"/>
      <c r="BD99" s="42"/>
    </row>
    <row r="100" spans="1:56" ht="27" customHeight="1" x14ac:dyDescent="0.3">
      <c r="A100" s="622"/>
      <c r="B100" s="628" t="s">
        <v>266</v>
      </c>
      <c r="C100" s="664" t="s">
        <v>714</v>
      </c>
      <c r="D100" s="667"/>
      <c r="E100" s="172" t="s">
        <v>694</v>
      </c>
      <c r="F100" s="173">
        <v>0</v>
      </c>
      <c r="G100" s="173">
        <v>0</v>
      </c>
      <c r="H100" s="173">
        <v>0</v>
      </c>
      <c r="I100" s="173">
        <v>0</v>
      </c>
      <c r="J100" s="173">
        <v>0</v>
      </c>
      <c r="K100" s="173">
        <v>1</v>
      </c>
      <c r="L100" s="173">
        <v>1</v>
      </c>
      <c r="M100" s="173">
        <v>1</v>
      </c>
      <c r="N100" s="173">
        <v>1</v>
      </c>
      <c r="O100" s="173">
        <v>1</v>
      </c>
      <c r="P100" s="173">
        <v>1</v>
      </c>
      <c r="Q100" s="173">
        <v>1</v>
      </c>
      <c r="R100" s="173">
        <v>1</v>
      </c>
      <c r="S100" s="173">
        <v>1</v>
      </c>
      <c r="T100" s="173">
        <v>1</v>
      </c>
      <c r="U100" s="173">
        <v>1</v>
      </c>
      <c r="V100" s="173">
        <v>1</v>
      </c>
      <c r="W100" s="173">
        <v>1</v>
      </c>
      <c r="X100" s="173">
        <v>1</v>
      </c>
      <c r="Y100" s="173">
        <v>1</v>
      </c>
      <c r="Z100" s="173">
        <v>1</v>
      </c>
      <c r="AA100" s="173">
        <v>1</v>
      </c>
      <c r="AB100" s="173">
        <v>0</v>
      </c>
      <c r="AC100" s="174">
        <v>0</v>
      </c>
      <c r="AD100" s="42"/>
      <c r="AE100" s="42"/>
      <c r="AL100" s="42"/>
      <c r="AM100" s="42"/>
      <c r="AN100" s="42"/>
      <c r="AO100" s="42"/>
      <c r="AP100" s="42"/>
      <c r="AQ100" s="42"/>
      <c r="AR100" s="42"/>
      <c r="AS100" s="42"/>
      <c r="AT100" s="42"/>
      <c r="AU100" s="42"/>
      <c r="AV100" s="42"/>
      <c r="AW100" s="42"/>
      <c r="AX100" s="42"/>
      <c r="AY100" s="42"/>
      <c r="AZ100" s="42"/>
      <c r="BA100" s="42"/>
      <c r="BB100" s="42"/>
      <c r="BC100" s="42"/>
      <c r="BD100" s="42"/>
    </row>
    <row r="101" spans="1:56" ht="27" customHeight="1" x14ac:dyDescent="0.3">
      <c r="A101" s="623"/>
      <c r="B101" s="626"/>
      <c r="C101" s="665"/>
      <c r="D101" s="668"/>
      <c r="E101" s="158" t="s">
        <v>695</v>
      </c>
      <c r="F101" s="167">
        <v>0</v>
      </c>
      <c r="G101" s="167">
        <v>0</v>
      </c>
      <c r="H101" s="167">
        <v>0</v>
      </c>
      <c r="I101" s="167">
        <v>0</v>
      </c>
      <c r="J101" s="167">
        <v>0</v>
      </c>
      <c r="K101" s="167">
        <v>1</v>
      </c>
      <c r="L101" s="167">
        <v>1</v>
      </c>
      <c r="M101" s="167">
        <v>1</v>
      </c>
      <c r="N101" s="167">
        <v>1</v>
      </c>
      <c r="O101" s="167">
        <v>1</v>
      </c>
      <c r="P101" s="167">
        <v>1</v>
      </c>
      <c r="Q101" s="167">
        <v>1</v>
      </c>
      <c r="R101" s="167">
        <v>1</v>
      </c>
      <c r="S101" s="167">
        <v>1</v>
      </c>
      <c r="T101" s="167">
        <v>1</v>
      </c>
      <c r="U101" s="167">
        <v>1</v>
      </c>
      <c r="V101" s="167">
        <v>1</v>
      </c>
      <c r="W101" s="167">
        <v>1</v>
      </c>
      <c r="X101" s="167">
        <v>1</v>
      </c>
      <c r="Y101" s="167">
        <v>1</v>
      </c>
      <c r="Z101" s="167">
        <v>1</v>
      </c>
      <c r="AA101" s="167">
        <v>1</v>
      </c>
      <c r="AB101" s="167">
        <v>1</v>
      </c>
      <c r="AC101" s="168">
        <v>1</v>
      </c>
      <c r="AD101" s="42"/>
      <c r="AE101" s="42"/>
      <c r="AL101" s="42"/>
      <c r="AM101" s="42"/>
      <c r="AN101" s="42"/>
      <c r="AO101" s="42"/>
      <c r="AP101" s="42"/>
      <c r="AQ101" s="42"/>
      <c r="AR101" s="42"/>
      <c r="AS101" s="42"/>
      <c r="AT101" s="42"/>
      <c r="AU101" s="42"/>
      <c r="AV101" s="42"/>
      <c r="AW101" s="42"/>
      <c r="AX101" s="42"/>
      <c r="AY101" s="42"/>
      <c r="AZ101" s="42"/>
      <c r="BA101" s="42"/>
      <c r="BB101" s="42"/>
      <c r="BC101" s="42"/>
      <c r="BD101" s="42"/>
    </row>
    <row r="102" spans="1:56" ht="27" customHeight="1" thickBot="1" x14ac:dyDescent="0.35">
      <c r="A102" s="683"/>
      <c r="B102" s="663"/>
      <c r="C102" s="666"/>
      <c r="D102" s="669"/>
      <c r="E102" s="169" t="s">
        <v>696</v>
      </c>
      <c r="F102" s="170">
        <v>0</v>
      </c>
      <c r="G102" s="170">
        <v>0</v>
      </c>
      <c r="H102" s="170">
        <v>0</v>
      </c>
      <c r="I102" s="170">
        <v>0</v>
      </c>
      <c r="J102" s="170">
        <v>0</v>
      </c>
      <c r="K102" s="170">
        <v>1</v>
      </c>
      <c r="L102" s="170">
        <v>1</v>
      </c>
      <c r="M102" s="170">
        <v>1</v>
      </c>
      <c r="N102" s="170">
        <v>1</v>
      </c>
      <c r="O102" s="170">
        <v>1</v>
      </c>
      <c r="P102" s="170">
        <v>1</v>
      </c>
      <c r="Q102" s="170">
        <v>1</v>
      </c>
      <c r="R102" s="170">
        <v>1</v>
      </c>
      <c r="S102" s="170">
        <v>1</v>
      </c>
      <c r="T102" s="170">
        <v>1</v>
      </c>
      <c r="U102" s="170">
        <v>1</v>
      </c>
      <c r="V102" s="170">
        <v>1</v>
      </c>
      <c r="W102" s="170">
        <v>1</v>
      </c>
      <c r="X102" s="170">
        <v>1</v>
      </c>
      <c r="Y102" s="170">
        <v>1</v>
      </c>
      <c r="Z102" s="170">
        <v>1</v>
      </c>
      <c r="AA102" s="170">
        <v>1</v>
      </c>
      <c r="AB102" s="170">
        <v>1</v>
      </c>
      <c r="AC102" s="171">
        <v>1</v>
      </c>
      <c r="AD102" s="42"/>
      <c r="AE102" s="42"/>
      <c r="AL102" s="42"/>
      <c r="AM102" s="42"/>
      <c r="AN102" s="42"/>
      <c r="AO102" s="42"/>
      <c r="AP102" s="42"/>
      <c r="AQ102" s="42"/>
      <c r="AR102" s="42"/>
      <c r="AS102" s="42"/>
      <c r="AT102" s="42"/>
      <c r="AU102" s="42"/>
      <c r="AV102" s="42"/>
      <c r="AW102" s="42"/>
      <c r="AX102" s="42"/>
      <c r="AY102" s="42"/>
      <c r="AZ102" s="42"/>
      <c r="BA102" s="42"/>
      <c r="BB102" s="42"/>
      <c r="BC102" s="42"/>
      <c r="BD102" s="42"/>
    </row>
    <row r="103" spans="1:56" ht="27" customHeight="1" x14ac:dyDescent="0.3">
      <c r="A103" s="588" t="s">
        <v>715</v>
      </c>
      <c r="B103" s="685" t="s">
        <v>266</v>
      </c>
      <c r="C103" s="688" t="s">
        <v>716</v>
      </c>
      <c r="D103" s="667" t="s">
        <v>717</v>
      </c>
      <c r="E103" s="172" t="s">
        <v>694</v>
      </c>
      <c r="F103" s="173">
        <v>110</v>
      </c>
      <c r="G103" s="173">
        <v>110</v>
      </c>
      <c r="H103" s="173">
        <v>110</v>
      </c>
      <c r="I103" s="173">
        <v>110</v>
      </c>
      <c r="J103" s="173">
        <v>110</v>
      </c>
      <c r="K103" s="173">
        <v>110</v>
      </c>
      <c r="L103" s="173">
        <v>110</v>
      </c>
      <c r="M103" s="173">
        <v>130</v>
      </c>
      <c r="N103" s="173">
        <v>130</v>
      </c>
      <c r="O103" s="173">
        <v>130</v>
      </c>
      <c r="P103" s="173">
        <v>130</v>
      </c>
      <c r="Q103" s="173">
        <v>140</v>
      </c>
      <c r="R103" s="173">
        <v>140</v>
      </c>
      <c r="S103" s="173">
        <v>140</v>
      </c>
      <c r="T103" s="173">
        <v>140</v>
      </c>
      <c r="U103" s="173">
        <v>140</v>
      </c>
      <c r="V103" s="173">
        <v>110</v>
      </c>
      <c r="W103" s="173">
        <v>110</v>
      </c>
      <c r="X103" s="173">
        <v>110</v>
      </c>
      <c r="Y103" s="173">
        <v>110</v>
      </c>
      <c r="Z103" s="173">
        <v>110</v>
      </c>
      <c r="AA103" s="173">
        <v>110</v>
      </c>
      <c r="AB103" s="173">
        <v>110</v>
      </c>
      <c r="AC103" s="174">
        <v>110</v>
      </c>
      <c r="AD103" s="42"/>
      <c r="AE103" s="42"/>
      <c r="AL103" s="42"/>
      <c r="AM103" s="42"/>
      <c r="AN103" s="42"/>
      <c r="AO103" s="42"/>
      <c r="AP103" s="42"/>
      <c r="AQ103" s="42"/>
      <c r="AR103" s="42"/>
      <c r="AS103" s="42"/>
      <c r="AT103" s="42"/>
      <c r="AU103" s="42"/>
      <c r="AV103" s="42"/>
      <c r="AW103" s="42"/>
      <c r="AX103" s="42"/>
      <c r="AY103" s="42"/>
      <c r="AZ103" s="42"/>
      <c r="BA103" s="42"/>
      <c r="BB103" s="42"/>
      <c r="BC103" s="42"/>
      <c r="BD103" s="42"/>
    </row>
    <row r="104" spans="1:56" ht="27" customHeight="1" x14ac:dyDescent="0.3">
      <c r="A104" s="589"/>
      <c r="B104" s="686"/>
      <c r="C104" s="665"/>
      <c r="D104" s="668"/>
      <c r="E104" s="158" t="s">
        <v>695</v>
      </c>
      <c r="F104" s="167">
        <v>110</v>
      </c>
      <c r="G104" s="167">
        <v>110</v>
      </c>
      <c r="H104" s="167">
        <v>110</v>
      </c>
      <c r="I104" s="167">
        <v>110</v>
      </c>
      <c r="J104" s="167">
        <v>110</v>
      </c>
      <c r="K104" s="167">
        <v>110</v>
      </c>
      <c r="L104" s="167">
        <v>110</v>
      </c>
      <c r="M104" s="167">
        <v>130</v>
      </c>
      <c r="N104" s="167">
        <v>130</v>
      </c>
      <c r="O104" s="167">
        <v>130</v>
      </c>
      <c r="P104" s="167">
        <v>130</v>
      </c>
      <c r="Q104" s="167">
        <v>140</v>
      </c>
      <c r="R104" s="167">
        <v>140</v>
      </c>
      <c r="S104" s="167">
        <v>140</v>
      </c>
      <c r="T104" s="167">
        <v>140</v>
      </c>
      <c r="U104" s="167">
        <v>140</v>
      </c>
      <c r="V104" s="167">
        <v>110</v>
      </c>
      <c r="W104" s="167">
        <v>110</v>
      </c>
      <c r="X104" s="167">
        <v>110</v>
      </c>
      <c r="Y104" s="167">
        <v>110</v>
      </c>
      <c r="Z104" s="167">
        <v>110</v>
      </c>
      <c r="AA104" s="167">
        <v>110</v>
      </c>
      <c r="AB104" s="167">
        <v>110</v>
      </c>
      <c r="AC104" s="168">
        <v>110</v>
      </c>
      <c r="AD104" s="42"/>
      <c r="AE104" s="42"/>
      <c r="AL104" s="42"/>
      <c r="AM104" s="42"/>
      <c r="AN104" s="42"/>
      <c r="AO104" s="42"/>
      <c r="AP104" s="42"/>
      <c r="AQ104" s="42"/>
      <c r="AR104" s="42"/>
      <c r="AS104" s="42"/>
      <c r="AT104" s="42"/>
      <c r="AU104" s="42"/>
      <c r="AV104" s="42"/>
      <c r="AW104" s="42"/>
      <c r="AX104" s="42"/>
      <c r="AY104" s="42"/>
      <c r="AZ104" s="42"/>
      <c r="BA104" s="42"/>
      <c r="BB104" s="42"/>
      <c r="BC104" s="42"/>
      <c r="BD104" s="42"/>
    </row>
    <row r="105" spans="1:56" ht="27" customHeight="1" thickBot="1" x14ac:dyDescent="0.35">
      <c r="A105" s="590"/>
      <c r="B105" s="687"/>
      <c r="C105" s="666"/>
      <c r="D105" s="669"/>
      <c r="E105" s="169" t="s">
        <v>696</v>
      </c>
      <c r="F105" s="170">
        <v>110</v>
      </c>
      <c r="G105" s="170">
        <v>110</v>
      </c>
      <c r="H105" s="170">
        <v>110</v>
      </c>
      <c r="I105" s="170">
        <v>110</v>
      </c>
      <c r="J105" s="170">
        <v>110</v>
      </c>
      <c r="K105" s="170">
        <v>110</v>
      </c>
      <c r="L105" s="170">
        <v>110</v>
      </c>
      <c r="M105" s="170">
        <v>130</v>
      </c>
      <c r="N105" s="170">
        <v>130</v>
      </c>
      <c r="O105" s="170">
        <v>130</v>
      </c>
      <c r="P105" s="170">
        <v>130</v>
      </c>
      <c r="Q105" s="170">
        <v>140</v>
      </c>
      <c r="R105" s="170">
        <v>140</v>
      </c>
      <c r="S105" s="170">
        <v>140</v>
      </c>
      <c r="T105" s="170">
        <v>140</v>
      </c>
      <c r="U105" s="170">
        <v>140</v>
      </c>
      <c r="V105" s="170">
        <v>110</v>
      </c>
      <c r="W105" s="170">
        <v>110</v>
      </c>
      <c r="X105" s="170">
        <v>110</v>
      </c>
      <c r="Y105" s="170">
        <v>110</v>
      </c>
      <c r="Z105" s="170">
        <v>110</v>
      </c>
      <c r="AA105" s="170">
        <v>110</v>
      </c>
      <c r="AB105" s="170">
        <v>110</v>
      </c>
      <c r="AC105" s="171">
        <v>110</v>
      </c>
      <c r="AD105" s="42"/>
      <c r="AE105" s="42"/>
      <c r="AL105" s="42"/>
      <c r="AM105" s="42"/>
      <c r="AN105" s="42"/>
      <c r="AO105" s="42"/>
      <c r="AP105" s="42"/>
      <c r="AQ105" s="42"/>
      <c r="AR105" s="42"/>
      <c r="AS105" s="42"/>
      <c r="AT105" s="42"/>
      <c r="AU105" s="42"/>
      <c r="AV105" s="42"/>
      <c r="AW105" s="42"/>
      <c r="AX105" s="42"/>
      <c r="AY105" s="42"/>
      <c r="AZ105" s="42"/>
      <c r="BA105" s="42"/>
      <c r="BB105" s="42"/>
      <c r="BC105" s="42"/>
      <c r="BD105" s="42"/>
    </row>
    <row r="106" spans="1:56" ht="27" customHeight="1" x14ac:dyDescent="0.3">
      <c r="A106" s="622" t="s">
        <v>109</v>
      </c>
      <c r="B106" s="628" t="s">
        <v>266</v>
      </c>
      <c r="C106" s="664" t="s">
        <v>718</v>
      </c>
      <c r="D106" s="667" t="s">
        <v>717</v>
      </c>
      <c r="E106" s="172" t="s">
        <v>694</v>
      </c>
      <c r="F106" s="173">
        <v>131.9</v>
      </c>
      <c r="G106" s="173">
        <v>131.9</v>
      </c>
      <c r="H106" s="173">
        <v>131.9</v>
      </c>
      <c r="I106" s="173">
        <v>131.9</v>
      </c>
      <c r="J106" s="173">
        <v>131.9</v>
      </c>
      <c r="K106" s="173">
        <v>131.9</v>
      </c>
      <c r="L106" s="173">
        <v>131.9</v>
      </c>
      <c r="M106" s="173">
        <v>131.9</v>
      </c>
      <c r="N106" s="173">
        <v>131.9</v>
      </c>
      <c r="O106" s="173">
        <v>131.9</v>
      </c>
      <c r="P106" s="173">
        <v>131.9</v>
      </c>
      <c r="Q106" s="173">
        <v>131.9</v>
      </c>
      <c r="R106" s="173">
        <v>131.9</v>
      </c>
      <c r="S106" s="173">
        <v>131.9</v>
      </c>
      <c r="T106" s="173">
        <v>131.9</v>
      </c>
      <c r="U106" s="173">
        <v>131.9</v>
      </c>
      <c r="V106" s="173">
        <v>131.9</v>
      </c>
      <c r="W106" s="173">
        <v>131.9</v>
      </c>
      <c r="X106" s="173">
        <v>131.9</v>
      </c>
      <c r="Y106" s="173">
        <v>131.9</v>
      </c>
      <c r="Z106" s="173">
        <v>131.9</v>
      </c>
      <c r="AA106" s="173">
        <v>131.9</v>
      </c>
      <c r="AB106" s="173">
        <v>131.9</v>
      </c>
      <c r="AC106" s="174">
        <v>131.9</v>
      </c>
      <c r="AD106" s="42"/>
      <c r="AE106" s="42"/>
      <c r="AL106" s="42"/>
      <c r="AM106" s="42"/>
      <c r="AN106" s="42"/>
      <c r="AO106" s="42"/>
      <c r="AP106" s="42"/>
      <c r="AQ106" s="42"/>
      <c r="AR106" s="42"/>
      <c r="AS106" s="42"/>
      <c r="AT106" s="42"/>
      <c r="AU106" s="42"/>
      <c r="AV106" s="42"/>
      <c r="AW106" s="42"/>
      <c r="AX106" s="42"/>
      <c r="AY106" s="42"/>
      <c r="AZ106" s="42"/>
      <c r="BA106" s="42"/>
      <c r="BB106" s="42"/>
      <c r="BC106" s="42"/>
      <c r="BD106" s="42"/>
    </row>
    <row r="107" spans="1:56" ht="27" customHeight="1" x14ac:dyDescent="0.3">
      <c r="A107" s="623"/>
      <c r="B107" s="626"/>
      <c r="C107" s="665"/>
      <c r="D107" s="668"/>
      <c r="E107" s="158" t="s">
        <v>695</v>
      </c>
      <c r="F107" s="167">
        <v>131.9</v>
      </c>
      <c r="G107" s="167">
        <v>131.9</v>
      </c>
      <c r="H107" s="167">
        <v>131.9</v>
      </c>
      <c r="I107" s="167">
        <v>131.9</v>
      </c>
      <c r="J107" s="167">
        <v>131.9</v>
      </c>
      <c r="K107" s="167">
        <v>131.9</v>
      </c>
      <c r="L107" s="167">
        <v>131.9</v>
      </c>
      <c r="M107" s="167">
        <v>131.9</v>
      </c>
      <c r="N107" s="167">
        <v>131.9</v>
      </c>
      <c r="O107" s="167">
        <v>131.9</v>
      </c>
      <c r="P107" s="167">
        <v>131.9</v>
      </c>
      <c r="Q107" s="167">
        <v>131.9</v>
      </c>
      <c r="R107" s="167">
        <v>131.9</v>
      </c>
      <c r="S107" s="167">
        <v>131.9</v>
      </c>
      <c r="T107" s="167">
        <v>131.9</v>
      </c>
      <c r="U107" s="167">
        <v>131.9</v>
      </c>
      <c r="V107" s="167">
        <v>131.9</v>
      </c>
      <c r="W107" s="167">
        <v>131.9</v>
      </c>
      <c r="X107" s="167">
        <v>131.9</v>
      </c>
      <c r="Y107" s="167">
        <v>131.9</v>
      </c>
      <c r="Z107" s="167">
        <v>131.9</v>
      </c>
      <c r="AA107" s="167">
        <v>131.9</v>
      </c>
      <c r="AB107" s="167">
        <v>131.9</v>
      </c>
      <c r="AC107" s="168">
        <v>131.9</v>
      </c>
      <c r="AD107" s="42"/>
      <c r="AE107" s="42"/>
      <c r="AL107" s="42"/>
      <c r="AM107" s="42"/>
      <c r="AN107" s="42"/>
      <c r="AO107" s="42"/>
      <c r="AP107" s="42"/>
      <c r="AQ107" s="42"/>
      <c r="AR107" s="42"/>
      <c r="AS107" s="42"/>
      <c r="AT107" s="42"/>
      <c r="AU107" s="42"/>
      <c r="AV107" s="42"/>
      <c r="AW107" s="42"/>
      <c r="AX107" s="42"/>
      <c r="AY107" s="42"/>
      <c r="AZ107" s="42"/>
      <c r="BA107" s="42"/>
      <c r="BB107" s="42"/>
      <c r="BC107" s="42"/>
      <c r="BD107" s="42"/>
    </row>
    <row r="108" spans="1:56" ht="27" customHeight="1" thickBot="1" x14ac:dyDescent="0.35">
      <c r="A108" s="683"/>
      <c r="B108" s="663"/>
      <c r="C108" s="666"/>
      <c r="D108" s="669"/>
      <c r="E108" s="169" t="s">
        <v>696</v>
      </c>
      <c r="F108" s="170">
        <v>131.9</v>
      </c>
      <c r="G108" s="170">
        <v>131.9</v>
      </c>
      <c r="H108" s="170">
        <v>131.9</v>
      </c>
      <c r="I108" s="170">
        <v>131.9</v>
      </c>
      <c r="J108" s="170">
        <v>131.9</v>
      </c>
      <c r="K108" s="170">
        <v>131.9</v>
      </c>
      <c r="L108" s="170">
        <v>131.9</v>
      </c>
      <c r="M108" s="170">
        <v>131.9</v>
      </c>
      <c r="N108" s="170">
        <v>131.9</v>
      </c>
      <c r="O108" s="170">
        <v>131.9</v>
      </c>
      <c r="P108" s="170">
        <v>131.9</v>
      </c>
      <c r="Q108" s="170">
        <v>131.9</v>
      </c>
      <c r="R108" s="170">
        <v>131.9</v>
      </c>
      <c r="S108" s="170">
        <v>131.9</v>
      </c>
      <c r="T108" s="170">
        <v>131.9</v>
      </c>
      <c r="U108" s="170">
        <v>131.9</v>
      </c>
      <c r="V108" s="170">
        <v>131.9</v>
      </c>
      <c r="W108" s="170">
        <v>131.9</v>
      </c>
      <c r="X108" s="170">
        <v>131.9</v>
      </c>
      <c r="Y108" s="170">
        <v>131.9</v>
      </c>
      <c r="Z108" s="170">
        <v>131.9</v>
      </c>
      <c r="AA108" s="170">
        <v>131.9</v>
      </c>
      <c r="AB108" s="170">
        <v>131.9</v>
      </c>
      <c r="AC108" s="171">
        <v>131.9</v>
      </c>
      <c r="AD108" s="42"/>
      <c r="AE108" s="42"/>
      <c r="AL108" s="42"/>
      <c r="AM108" s="42"/>
      <c r="AN108" s="42"/>
      <c r="AO108" s="42"/>
      <c r="AP108" s="42"/>
      <c r="AQ108" s="42"/>
      <c r="AR108" s="42"/>
      <c r="AS108" s="42"/>
      <c r="AT108" s="42"/>
      <c r="AU108" s="42"/>
      <c r="AV108" s="42"/>
      <c r="AW108" s="42"/>
      <c r="AX108" s="42"/>
      <c r="AY108" s="42"/>
      <c r="AZ108" s="42"/>
      <c r="BA108" s="42"/>
      <c r="BB108" s="42"/>
      <c r="BC108" s="42"/>
      <c r="BD108" s="42"/>
    </row>
    <row r="109" spans="1:56" ht="27" customHeight="1" x14ac:dyDescent="0.3">
      <c r="A109" s="622" t="s">
        <v>719</v>
      </c>
      <c r="B109" s="628" t="s">
        <v>266</v>
      </c>
      <c r="C109" s="664" t="s">
        <v>720</v>
      </c>
      <c r="D109" s="667" t="s">
        <v>717</v>
      </c>
      <c r="E109" s="172" t="s">
        <v>694</v>
      </c>
      <c r="F109" s="173">
        <v>117.2</v>
      </c>
      <c r="G109" s="173">
        <v>117.2</v>
      </c>
      <c r="H109" s="173">
        <v>117.2</v>
      </c>
      <c r="I109" s="173">
        <v>117.2</v>
      </c>
      <c r="J109" s="173">
        <v>117.2</v>
      </c>
      <c r="K109" s="173">
        <v>117.2</v>
      </c>
      <c r="L109" s="173">
        <v>117.2</v>
      </c>
      <c r="M109" s="173">
        <v>117.2</v>
      </c>
      <c r="N109" s="173">
        <v>117.2</v>
      </c>
      <c r="O109" s="173">
        <v>117.2</v>
      </c>
      <c r="P109" s="173">
        <v>117.2</v>
      </c>
      <c r="Q109" s="173">
        <v>117.2</v>
      </c>
      <c r="R109" s="173">
        <v>117.2</v>
      </c>
      <c r="S109" s="173">
        <v>117.2</v>
      </c>
      <c r="T109" s="173">
        <v>117.2</v>
      </c>
      <c r="U109" s="173">
        <v>117.2</v>
      </c>
      <c r="V109" s="173">
        <v>117.2</v>
      </c>
      <c r="W109" s="173">
        <v>117.2</v>
      </c>
      <c r="X109" s="173">
        <v>117.2</v>
      </c>
      <c r="Y109" s="173">
        <v>117.2</v>
      </c>
      <c r="Z109" s="173">
        <v>117.2</v>
      </c>
      <c r="AA109" s="173">
        <v>117.2</v>
      </c>
      <c r="AB109" s="173">
        <v>117.2</v>
      </c>
      <c r="AC109" s="174">
        <v>117.2</v>
      </c>
      <c r="AD109" s="42"/>
      <c r="AE109" s="42"/>
      <c r="AL109" s="42"/>
      <c r="AM109" s="42"/>
      <c r="AN109" s="42"/>
      <c r="AO109" s="42"/>
      <c r="AP109" s="42"/>
      <c r="AQ109" s="42"/>
      <c r="AR109" s="42"/>
      <c r="AS109" s="42"/>
      <c r="AT109" s="42"/>
      <c r="AU109" s="42"/>
      <c r="AV109" s="42"/>
      <c r="AW109" s="42"/>
      <c r="AX109" s="42"/>
      <c r="AY109" s="42"/>
      <c r="AZ109" s="42"/>
      <c r="BA109" s="42"/>
      <c r="BB109" s="42"/>
      <c r="BC109" s="42"/>
      <c r="BD109" s="42"/>
    </row>
    <row r="110" spans="1:56" ht="27" customHeight="1" x14ac:dyDescent="0.3">
      <c r="A110" s="623"/>
      <c r="B110" s="626"/>
      <c r="C110" s="665"/>
      <c r="D110" s="668"/>
      <c r="E110" s="158" t="s">
        <v>695</v>
      </c>
      <c r="F110" s="167">
        <v>117.2</v>
      </c>
      <c r="G110" s="167">
        <v>117.2</v>
      </c>
      <c r="H110" s="167">
        <v>117.2</v>
      </c>
      <c r="I110" s="167">
        <v>117.2</v>
      </c>
      <c r="J110" s="167">
        <v>117.2</v>
      </c>
      <c r="K110" s="167">
        <v>117.2</v>
      </c>
      <c r="L110" s="167">
        <v>117.2</v>
      </c>
      <c r="M110" s="167">
        <v>117.2</v>
      </c>
      <c r="N110" s="167">
        <v>117.2</v>
      </c>
      <c r="O110" s="167">
        <v>117.2</v>
      </c>
      <c r="P110" s="167">
        <v>117.2</v>
      </c>
      <c r="Q110" s="167">
        <v>117.2</v>
      </c>
      <c r="R110" s="167">
        <v>117.2</v>
      </c>
      <c r="S110" s="167">
        <v>117.2</v>
      </c>
      <c r="T110" s="167">
        <v>117.2</v>
      </c>
      <c r="U110" s="167">
        <v>117.2</v>
      </c>
      <c r="V110" s="167">
        <v>117.2</v>
      </c>
      <c r="W110" s="167">
        <v>117.2</v>
      </c>
      <c r="X110" s="167">
        <v>117.2</v>
      </c>
      <c r="Y110" s="167">
        <v>117.2</v>
      </c>
      <c r="Z110" s="167">
        <v>117.2</v>
      </c>
      <c r="AA110" s="167">
        <v>117.2</v>
      </c>
      <c r="AB110" s="167">
        <v>117.2</v>
      </c>
      <c r="AC110" s="168">
        <v>117.2</v>
      </c>
      <c r="AD110" s="42"/>
      <c r="AE110" s="42"/>
      <c r="AL110" s="42"/>
      <c r="AM110" s="42"/>
      <c r="AN110" s="42"/>
      <c r="AO110" s="42"/>
      <c r="AP110" s="42"/>
      <c r="AQ110" s="42"/>
      <c r="AR110" s="42"/>
      <c r="AS110" s="42"/>
      <c r="AT110" s="42"/>
      <c r="AU110" s="42"/>
      <c r="AV110" s="42"/>
      <c r="AW110" s="42"/>
      <c r="AX110" s="42"/>
      <c r="AY110" s="42"/>
      <c r="AZ110" s="42"/>
      <c r="BA110" s="42"/>
      <c r="BB110" s="42"/>
      <c r="BC110" s="42"/>
      <c r="BD110" s="42"/>
    </row>
    <row r="111" spans="1:56" ht="27" customHeight="1" thickBot="1" x14ac:dyDescent="0.35">
      <c r="A111" s="683"/>
      <c r="B111" s="663"/>
      <c r="C111" s="666"/>
      <c r="D111" s="669"/>
      <c r="E111" s="169" t="s">
        <v>696</v>
      </c>
      <c r="F111" s="170">
        <v>117.2</v>
      </c>
      <c r="G111" s="170">
        <v>117.2</v>
      </c>
      <c r="H111" s="170">
        <v>117.2</v>
      </c>
      <c r="I111" s="170">
        <v>117.2</v>
      </c>
      <c r="J111" s="170">
        <v>117.2</v>
      </c>
      <c r="K111" s="170">
        <v>117.2</v>
      </c>
      <c r="L111" s="170">
        <v>117.2</v>
      </c>
      <c r="M111" s="170">
        <v>117.2</v>
      </c>
      <c r="N111" s="170">
        <v>117.2</v>
      </c>
      <c r="O111" s="170">
        <v>117.2</v>
      </c>
      <c r="P111" s="170">
        <v>117.2</v>
      </c>
      <c r="Q111" s="170">
        <v>117.2</v>
      </c>
      <c r="R111" s="170">
        <v>117.2</v>
      </c>
      <c r="S111" s="170">
        <v>117.2</v>
      </c>
      <c r="T111" s="170">
        <v>117.2</v>
      </c>
      <c r="U111" s="170">
        <v>117.2</v>
      </c>
      <c r="V111" s="170">
        <v>117.2</v>
      </c>
      <c r="W111" s="170">
        <v>117.2</v>
      </c>
      <c r="X111" s="170">
        <v>117.2</v>
      </c>
      <c r="Y111" s="170">
        <v>117.2</v>
      </c>
      <c r="Z111" s="170">
        <v>117.2</v>
      </c>
      <c r="AA111" s="170">
        <v>117.2</v>
      </c>
      <c r="AB111" s="170">
        <v>117.2</v>
      </c>
      <c r="AC111" s="171">
        <v>117.2</v>
      </c>
      <c r="AD111" s="42"/>
      <c r="AE111" s="42"/>
      <c r="AL111" s="42"/>
      <c r="AM111" s="42"/>
      <c r="AN111" s="42"/>
      <c r="AO111" s="42"/>
      <c r="AP111" s="42"/>
      <c r="AQ111" s="42"/>
      <c r="AR111" s="42"/>
      <c r="AS111" s="42"/>
      <c r="AT111" s="42"/>
      <c r="AU111" s="42"/>
      <c r="AV111" s="42"/>
      <c r="AW111" s="42"/>
      <c r="AX111" s="42"/>
      <c r="AY111" s="42"/>
      <c r="AZ111" s="42"/>
      <c r="BA111" s="42"/>
      <c r="BB111" s="42"/>
      <c r="BC111" s="42"/>
      <c r="BD111" s="42"/>
    </row>
    <row r="112" spans="1:56" ht="27" customHeight="1" x14ac:dyDescent="0.3">
      <c r="A112" s="622" t="s">
        <v>98</v>
      </c>
      <c r="B112" s="628" t="s">
        <v>266</v>
      </c>
      <c r="C112" s="664" t="s">
        <v>721</v>
      </c>
      <c r="D112" s="667" t="s">
        <v>717</v>
      </c>
      <c r="E112" s="172" t="s">
        <v>694</v>
      </c>
      <c r="F112" s="173">
        <v>131.9</v>
      </c>
      <c r="G112" s="173">
        <v>131.9</v>
      </c>
      <c r="H112" s="173">
        <v>131.9</v>
      </c>
      <c r="I112" s="173">
        <v>131.9</v>
      </c>
      <c r="J112" s="173">
        <v>131.9</v>
      </c>
      <c r="K112" s="173">
        <v>131.9</v>
      </c>
      <c r="L112" s="173">
        <v>131.9</v>
      </c>
      <c r="M112" s="173">
        <v>131.9</v>
      </c>
      <c r="N112" s="173">
        <v>131.9</v>
      </c>
      <c r="O112" s="173">
        <v>131.9</v>
      </c>
      <c r="P112" s="173">
        <v>131.9</v>
      </c>
      <c r="Q112" s="173">
        <v>131.9</v>
      </c>
      <c r="R112" s="173">
        <v>131.9</v>
      </c>
      <c r="S112" s="173">
        <v>131.9</v>
      </c>
      <c r="T112" s="173">
        <v>131.9</v>
      </c>
      <c r="U112" s="173">
        <v>131.9</v>
      </c>
      <c r="V112" s="173">
        <v>131.9</v>
      </c>
      <c r="W112" s="173">
        <v>131.9</v>
      </c>
      <c r="X112" s="173">
        <v>131.9</v>
      </c>
      <c r="Y112" s="173">
        <v>131.9</v>
      </c>
      <c r="Z112" s="173">
        <v>131.9</v>
      </c>
      <c r="AA112" s="173">
        <v>131.9</v>
      </c>
      <c r="AB112" s="173">
        <v>131.9</v>
      </c>
      <c r="AC112" s="174">
        <v>131.9</v>
      </c>
      <c r="AD112" s="42"/>
      <c r="AE112" s="42"/>
      <c r="AL112" s="42"/>
      <c r="AM112" s="42"/>
      <c r="AN112" s="42"/>
      <c r="AO112" s="42"/>
      <c r="AP112" s="42"/>
      <c r="AQ112" s="42"/>
      <c r="AR112" s="42"/>
      <c r="AS112" s="42"/>
      <c r="AT112" s="42"/>
      <c r="AU112" s="42"/>
      <c r="AV112" s="42"/>
      <c r="AW112" s="42"/>
      <c r="AX112" s="42"/>
      <c r="AY112" s="42"/>
      <c r="AZ112" s="42"/>
      <c r="BA112" s="42"/>
      <c r="BB112" s="42"/>
      <c r="BC112" s="42"/>
      <c r="BD112" s="42"/>
    </row>
    <row r="113" spans="1:56" ht="27" customHeight="1" x14ac:dyDescent="0.3">
      <c r="A113" s="623"/>
      <c r="B113" s="626"/>
      <c r="C113" s="665"/>
      <c r="D113" s="668"/>
      <c r="E113" s="158" t="s">
        <v>695</v>
      </c>
      <c r="F113" s="167">
        <v>131.9</v>
      </c>
      <c r="G113" s="167">
        <v>131.9</v>
      </c>
      <c r="H113" s="167">
        <v>131.9</v>
      </c>
      <c r="I113" s="167">
        <v>131.9</v>
      </c>
      <c r="J113" s="167">
        <v>131.9</v>
      </c>
      <c r="K113" s="167">
        <v>131.9</v>
      </c>
      <c r="L113" s="167">
        <v>131.9</v>
      </c>
      <c r="M113" s="167">
        <v>131.9</v>
      </c>
      <c r="N113" s="167">
        <v>131.9</v>
      </c>
      <c r="O113" s="167">
        <v>131.9</v>
      </c>
      <c r="P113" s="167">
        <v>131.9</v>
      </c>
      <c r="Q113" s="167">
        <v>131.9</v>
      </c>
      <c r="R113" s="167">
        <v>131.9</v>
      </c>
      <c r="S113" s="167">
        <v>131.9</v>
      </c>
      <c r="T113" s="167">
        <v>131.9</v>
      </c>
      <c r="U113" s="167">
        <v>131.9</v>
      </c>
      <c r="V113" s="167">
        <v>131.9</v>
      </c>
      <c r="W113" s="167">
        <v>131.9</v>
      </c>
      <c r="X113" s="167">
        <v>131.9</v>
      </c>
      <c r="Y113" s="167">
        <v>131.9</v>
      </c>
      <c r="Z113" s="167">
        <v>131.9</v>
      </c>
      <c r="AA113" s="167">
        <v>131.9</v>
      </c>
      <c r="AB113" s="167">
        <v>131.9</v>
      </c>
      <c r="AC113" s="168">
        <v>131.9</v>
      </c>
      <c r="AD113" s="42"/>
      <c r="AE113" s="42"/>
      <c r="AL113" s="42"/>
      <c r="AM113" s="42"/>
      <c r="AN113" s="42"/>
      <c r="AO113" s="42"/>
      <c r="AP113" s="42"/>
      <c r="AQ113" s="42"/>
      <c r="AR113" s="42"/>
      <c r="AS113" s="42"/>
      <c r="AT113" s="42"/>
      <c r="AU113" s="42"/>
      <c r="AV113" s="42"/>
      <c r="AW113" s="42"/>
      <c r="AX113" s="42"/>
      <c r="AY113" s="42"/>
      <c r="AZ113" s="42"/>
      <c r="BA113" s="42"/>
      <c r="BB113" s="42"/>
      <c r="BC113" s="42"/>
      <c r="BD113" s="42"/>
    </row>
    <row r="114" spans="1:56" ht="27" customHeight="1" thickBot="1" x14ac:dyDescent="0.35">
      <c r="A114" s="683"/>
      <c r="B114" s="663"/>
      <c r="C114" s="666"/>
      <c r="D114" s="669"/>
      <c r="E114" s="169" t="s">
        <v>696</v>
      </c>
      <c r="F114" s="170">
        <v>131.9</v>
      </c>
      <c r="G114" s="170">
        <v>131.9</v>
      </c>
      <c r="H114" s="170">
        <v>131.9</v>
      </c>
      <c r="I114" s="170">
        <v>131.9</v>
      </c>
      <c r="J114" s="170">
        <v>131.9</v>
      </c>
      <c r="K114" s="170">
        <v>131.9</v>
      </c>
      <c r="L114" s="170">
        <v>131.9</v>
      </c>
      <c r="M114" s="170">
        <v>131.9</v>
      </c>
      <c r="N114" s="170">
        <v>131.9</v>
      </c>
      <c r="O114" s="170">
        <v>131.9</v>
      </c>
      <c r="P114" s="170">
        <v>131.9</v>
      </c>
      <c r="Q114" s="170">
        <v>131.9</v>
      </c>
      <c r="R114" s="170">
        <v>131.9</v>
      </c>
      <c r="S114" s="170">
        <v>131.9</v>
      </c>
      <c r="T114" s="170">
        <v>131.9</v>
      </c>
      <c r="U114" s="170">
        <v>131.9</v>
      </c>
      <c r="V114" s="170">
        <v>131.9</v>
      </c>
      <c r="W114" s="170">
        <v>131.9</v>
      </c>
      <c r="X114" s="170">
        <v>131.9</v>
      </c>
      <c r="Y114" s="170">
        <v>131.9</v>
      </c>
      <c r="Z114" s="170">
        <v>131.9</v>
      </c>
      <c r="AA114" s="170">
        <v>131.9</v>
      </c>
      <c r="AB114" s="170">
        <v>131.9</v>
      </c>
      <c r="AC114" s="171">
        <v>131.9</v>
      </c>
      <c r="AD114" s="42"/>
      <c r="AE114" s="42"/>
      <c r="AL114" s="42"/>
      <c r="AM114" s="42"/>
      <c r="AN114" s="42"/>
      <c r="AO114" s="42"/>
      <c r="AP114" s="42"/>
      <c r="AQ114" s="42"/>
      <c r="AR114" s="42"/>
      <c r="AS114" s="42"/>
      <c r="AT114" s="42"/>
      <c r="AU114" s="42"/>
      <c r="AV114" s="42"/>
      <c r="AW114" s="42"/>
      <c r="AX114" s="42"/>
      <c r="AY114" s="42"/>
      <c r="AZ114" s="42"/>
      <c r="BA114" s="42"/>
      <c r="BB114" s="42"/>
      <c r="BC114" s="42"/>
      <c r="BD114" s="42"/>
    </row>
    <row r="115" spans="1:56" ht="27" customHeight="1" x14ac:dyDescent="0.3">
      <c r="A115" s="622" t="s">
        <v>722</v>
      </c>
      <c r="B115" s="628" t="s">
        <v>266</v>
      </c>
      <c r="C115" s="664" t="s">
        <v>723</v>
      </c>
      <c r="D115" s="667" t="s">
        <v>717</v>
      </c>
      <c r="E115" s="172" t="s">
        <v>694</v>
      </c>
      <c r="F115" s="173">
        <v>146.5</v>
      </c>
      <c r="G115" s="173">
        <v>146.5</v>
      </c>
      <c r="H115" s="173">
        <v>146.5</v>
      </c>
      <c r="I115" s="173">
        <v>146.5</v>
      </c>
      <c r="J115" s="173">
        <v>146.5</v>
      </c>
      <c r="K115" s="173">
        <v>146.5</v>
      </c>
      <c r="L115" s="173">
        <v>146.5</v>
      </c>
      <c r="M115" s="173">
        <v>146.5</v>
      </c>
      <c r="N115" s="173">
        <v>146.5</v>
      </c>
      <c r="O115" s="173">
        <v>146.5</v>
      </c>
      <c r="P115" s="173">
        <v>146.5</v>
      </c>
      <c r="Q115" s="173">
        <v>146.5</v>
      </c>
      <c r="R115" s="173">
        <v>146.5</v>
      </c>
      <c r="S115" s="173">
        <v>146.5</v>
      </c>
      <c r="T115" s="173">
        <v>146.5</v>
      </c>
      <c r="U115" s="173">
        <v>146.5</v>
      </c>
      <c r="V115" s="173">
        <v>146.5</v>
      </c>
      <c r="W115" s="173">
        <v>146.5</v>
      </c>
      <c r="X115" s="173">
        <v>146.5</v>
      </c>
      <c r="Y115" s="173">
        <v>146.5</v>
      </c>
      <c r="Z115" s="173">
        <v>146.5</v>
      </c>
      <c r="AA115" s="173">
        <v>146.5</v>
      </c>
      <c r="AB115" s="173">
        <v>146.5</v>
      </c>
      <c r="AC115" s="174">
        <v>146.5</v>
      </c>
      <c r="AD115" s="42"/>
      <c r="AE115" s="42"/>
      <c r="AL115" s="42"/>
      <c r="AM115" s="42"/>
      <c r="AN115" s="42"/>
      <c r="AO115" s="42"/>
      <c r="AP115" s="42"/>
      <c r="AQ115" s="42"/>
      <c r="AR115" s="42"/>
      <c r="AS115" s="42"/>
      <c r="AT115" s="42"/>
      <c r="AU115" s="42"/>
      <c r="AV115" s="42"/>
      <c r="AW115" s="42"/>
      <c r="AX115" s="42"/>
      <c r="AY115" s="42"/>
      <c r="AZ115" s="42"/>
      <c r="BA115" s="42"/>
      <c r="BB115" s="42"/>
      <c r="BC115" s="42"/>
      <c r="BD115" s="42"/>
    </row>
    <row r="116" spans="1:56" ht="27" customHeight="1" x14ac:dyDescent="0.3">
      <c r="A116" s="623"/>
      <c r="B116" s="626"/>
      <c r="C116" s="665"/>
      <c r="D116" s="668"/>
      <c r="E116" s="158" t="s">
        <v>695</v>
      </c>
      <c r="F116" s="167">
        <v>146.5</v>
      </c>
      <c r="G116" s="167">
        <v>146.5</v>
      </c>
      <c r="H116" s="167">
        <v>146.5</v>
      </c>
      <c r="I116" s="167">
        <v>146.5</v>
      </c>
      <c r="J116" s="167">
        <v>146.5</v>
      </c>
      <c r="K116" s="167">
        <v>146.5</v>
      </c>
      <c r="L116" s="167">
        <v>146.5</v>
      </c>
      <c r="M116" s="167">
        <v>146.5</v>
      </c>
      <c r="N116" s="167">
        <v>146.5</v>
      </c>
      <c r="O116" s="167">
        <v>146.5</v>
      </c>
      <c r="P116" s="167">
        <v>146.5</v>
      </c>
      <c r="Q116" s="167">
        <v>146.5</v>
      </c>
      <c r="R116" s="167">
        <v>146.5</v>
      </c>
      <c r="S116" s="167">
        <v>146.5</v>
      </c>
      <c r="T116" s="167">
        <v>146.5</v>
      </c>
      <c r="U116" s="167">
        <v>146.5</v>
      </c>
      <c r="V116" s="167">
        <v>146.5</v>
      </c>
      <c r="W116" s="167">
        <v>146.5</v>
      </c>
      <c r="X116" s="167">
        <v>146.5</v>
      </c>
      <c r="Y116" s="167">
        <v>146.5</v>
      </c>
      <c r="Z116" s="167">
        <v>146.5</v>
      </c>
      <c r="AA116" s="167">
        <v>146.5</v>
      </c>
      <c r="AB116" s="167">
        <v>146.5</v>
      </c>
      <c r="AC116" s="168">
        <v>146.5</v>
      </c>
      <c r="AD116" s="42"/>
      <c r="AE116" s="42"/>
      <c r="AL116" s="42"/>
      <c r="AM116" s="42"/>
      <c r="AN116" s="42"/>
      <c r="AO116" s="42"/>
      <c r="AP116" s="42"/>
      <c r="AQ116" s="42"/>
      <c r="AR116" s="42"/>
      <c r="AS116" s="42"/>
      <c r="AT116" s="42"/>
      <c r="AU116" s="42"/>
      <c r="AV116" s="42"/>
      <c r="AW116" s="42"/>
      <c r="AX116" s="42"/>
      <c r="AY116" s="42"/>
      <c r="AZ116" s="42"/>
      <c r="BA116" s="42"/>
      <c r="BB116" s="42"/>
      <c r="BC116" s="42"/>
      <c r="BD116" s="42"/>
    </row>
    <row r="117" spans="1:56" ht="27" customHeight="1" thickBot="1" x14ac:dyDescent="0.35">
      <c r="A117" s="683"/>
      <c r="B117" s="663"/>
      <c r="C117" s="666"/>
      <c r="D117" s="669"/>
      <c r="E117" s="169" t="s">
        <v>696</v>
      </c>
      <c r="F117" s="170">
        <v>146.5</v>
      </c>
      <c r="G117" s="170">
        <v>146.5</v>
      </c>
      <c r="H117" s="170">
        <v>146.5</v>
      </c>
      <c r="I117" s="170">
        <v>146.5</v>
      </c>
      <c r="J117" s="170">
        <v>146.5</v>
      </c>
      <c r="K117" s="170">
        <v>146.5</v>
      </c>
      <c r="L117" s="170">
        <v>146.5</v>
      </c>
      <c r="M117" s="170">
        <v>146.5</v>
      </c>
      <c r="N117" s="170">
        <v>146.5</v>
      </c>
      <c r="O117" s="170">
        <v>146.5</v>
      </c>
      <c r="P117" s="170">
        <v>146.5</v>
      </c>
      <c r="Q117" s="170">
        <v>146.5</v>
      </c>
      <c r="R117" s="170">
        <v>146.5</v>
      </c>
      <c r="S117" s="170">
        <v>146.5</v>
      </c>
      <c r="T117" s="170">
        <v>146.5</v>
      </c>
      <c r="U117" s="170">
        <v>146.5</v>
      </c>
      <c r="V117" s="170">
        <v>146.5</v>
      </c>
      <c r="W117" s="170">
        <v>146.5</v>
      </c>
      <c r="X117" s="170">
        <v>146.5</v>
      </c>
      <c r="Y117" s="170">
        <v>146.5</v>
      </c>
      <c r="Z117" s="170">
        <v>146.5</v>
      </c>
      <c r="AA117" s="170">
        <v>146.5</v>
      </c>
      <c r="AB117" s="170">
        <v>146.5</v>
      </c>
      <c r="AC117" s="171">
        <v>146.5</v>
      </c>
      <c r="AD117" s="42"/>
      <c r="AE117" s="42"/>
      <c r="AL117" s="42"/>
      <c r="AM117" s="42"/>
      <c r="AN117" s="42"/>
      <c r="AO117" s="42"/>
      <c r="AP117" s="42"/>
      <c r="AQ117" s="42"/>
      <c r="AR117" s="42"/>
      <c r="AS117" s="42"/>
      <c r="AT117" s="42"/>
      <c r="AU117" s="42"/>
      <c r="AV117" s="42"/>
      <c r="AW117" s="42"/>
      <c r="AX117" s="42"/>
      <c r="AY117" s="42"/>
      <c r="AZ117" s="42"/>
      <c r="BA117" s="42"/>
      <c r="BB117" s="42"/>
      <c r="BC117" s="42"/>
      <c r="BD117" s="42"/>
    </row>
    <row r="118" spans="1:56" x14ac:dyDescent="0.3">
      <c r="B118"/>
    </row>
    <row r="119" spans="1:56" s="222" customFormat="1" hidden="1" x14ac:dyDescent="0.3">
      <c r="A119" s="225" t="s">
        <v>187</v>
      </c>
      <c r="B119" s="225"/>
      <c r="C119" s="225"/>
      <c r="D119" s="225" t="s">
        <v>724</v>
      </c>
      <c r="E119" s="225" t="s">
        <v>724</v>
      </c>
      <c r="F119" s="225" t="s">
        <v>724</v>
      </c>
      <c r="G119" s="225" t="s">
        <v>724</v>
      </c>
      <c r="H119" s="225" t="s">
        <v>724</v>
      </c>
      <c r="I119" s="225" t="s">
        <v>724</v>
      </c>
      <c r="J119" s="225" t="s">
        <v>724</v>
      </c>
      <c r="K119" s="225" t="s">
        <v>724</v>
      </c>
      <c r="L119" s="225" t="s">
        <v>724</v>
      </c>
      <c r="M119" s="225" t="s">
        <v>724</v>
      </c>
      <c r="N119" s="225" t="s">
        <v>724</v>
      </c>
      <c r="O119" s="225" t="s">
        <v>724</v>
      </c>
      <c r="P119" s="225" t="s">
        <v>724</v>
      </c>
      <c r="Q119" s="225" t="s">
        <v>724</v>
      </c>
      <c r="R119" s="225" t="s">
        <v>724</v>
      </c>
      <c r="S119" s="225" t="s">
        <v>724</v>
      </c>
      <c r="T119" s="225" t="s">
        <v>724</v>
      </c>
      <c r="U119" s="225" t="s">
        <v>724</v>
      </c>
      <c r="V119" s="225" t="s">
        <v>724</v>
      </c>
      <c r="W119" s="225" t="s">
        <v>724</v>
      </c>
      <c r="X119" s="225" t="s">
        <v>724</v>
      </c>
      <c r="Y119" s="225" t="s">
        <v>724</v>
      </c>
      <c r="Z119" s="225" t="s">
        <v>724</v>
      </c>
      <c r="AA119" s="225" t="s">
        <v>724</v>
      </c>
      <c r="AB119" s="225" t="s">
        <v>724</v>
      </c>
      <c r="AC119" s="225" t="s">
        <v>724</v>
      </c>
      <c r="AD119" s="225" t="s">
        <v>724</v>
      </c>
      <c r="AE119" s="225" t="s">
        <v>724</v>
      </c>
      <c r="AF119" s="225" t="s">
        <v>724</v>
      </c>
      <c r="AG119" s="225" t="s">
        <v>724</v>
      </c>
      <c r="AH119" s="225" t="s">
        <v>724</v>
      </c>
      <c r="AI119" s="225" t="s">
        <v>724</v>
      </c>
      <c r="AJ119" s="225" t="s">
        <v>724</v>
      </c>
      <c r="AK119" s="225" t="s">
        <v>724</v>
      </c>
      <c r="AL119" s="225" t="s">
        <v>724</v>
      </c>
      <c r="AM119" s="225" t="s">
        <v>724</v>
      </c>
      <c r="AN119" s="221"/>
      <c r="AO119" s="221"/>
      <c r="AP119" s="221"/>
      <c r="AQ119" s="221"/>
      <c r="AR119" s="221"/>
      <c r="AS119" s="221"/>
      <c r="AT119" s="221"/>
      <c r="AU119" s="221"/>
      <c r="AV119" s="221"/>
      <c r="AW119" s="221"/>
      <c r="AX119" s="221"/>
      <c r="AY119" s="221"/>
      <c r="AZ119" s="221"/>
      <c r="BA119" s="221"/>
      <c r="BB119" s="221"/>
      <c r="BC119" s="221"/>
      <c r="BD119" s="221"/>
    </row>
    <row r="120" spans="1:56" x14ac:dyDescent="0.3">
      <c r="B120"/>
    </row>
    <row r="121" spans="1:56" x14ac:dyDescent="0.3">
      <c r="B121"/>
    </row>
    <row r="122" spans="1:56" x14ac:dyDescent="0.3">
      <c r="B122"/>
    </row>
    <row r="123" spans="1:56" x14ac:dyDescent="0.3">
      <c r="B123"/>
    </row>
    <row r="124" spans="1:56" x14ac:dyDescent="0.3">
      <c r="B124"/>
    </row>
    <row r="125" spans="1:56" x14ac:dyDescent="0.3">
      <c r="B125"/>
    </row>
  </sheetData>
  <mergeCells count="158">
    <mergeCell ref="A109:A111"/>
    <mergeCell ref="B109:B111"/>
    <mergeCell ref="C109:C111"/>
    <mergeCell ref="D109:D111"/>
    <mergeCell ref="A106:A108"/>
    <mergeCell ref="B106:B108"/>
    <mergeCell ref="C106:C108"/>
    <mergeCell ref="D106:D108"/>
    <mergeCell ref="A115:A117"/>
    <mergeCell ref="B115:B117"/>
    <mergeCell ref="C115:C117"/>
    <mergeCell ref="D115:D117"/>
    <mergeCell ref="A112:A114"/>
    <mergeCell ref="B112:B114"/>
    <mergeCell ref="C112:C114"/>
    <mergeCell ref="D112:D114"/>
    <mergeCell ref="A103:A105"/>
    <mergeCell ref="B103:B105"/>
    <mergeCell ref="C103:C105"/>
    <mergeCell ref="D103:D105"/>
    <mergeCell ref="A69:A71"/>
    <mergeCell ref="B69:B71"/>
    <mergeCell ref="C69:C71"/>
    <mergeCell ref="D69:D71"/>
    <mergeCell ref="A72:A74"/>
    <mergeCell ref="B72:B74"/>
    <mergeCell ref="C72:C74"/>
    <mergeCell ref="D72:D74"/>
    <mergeCell ref="A75:A77"/>
    <mergeCell ref="B75:B77"/>
    <mergeCell ref="C75:C77"/>
    <mergeCell ref="D75:D77"/>
    <mergeCell ref="A87:A89"/>
    <mergeCell ref="B87:B89"/>
    <mergeCell ref="C87:C89"/>
    <mergeCell ref="D87:D89"/>
    <mergeCell ref="B90:B92"/>
    <mergeCell ref="C90:C92"/>
    <mergeCell ref="D90:D92"/>
    <mergeCell ref="A100:A102"/>
    <mergeCell ref="B100:B102"/>
    <mergeCell ref="C100:C102"/>
    <mergeCell ref="D100:D102"/>
    <mergeCell ref="A59:A61"/>
    <mergeCell ref="A35:A37"/>
    <mergeCell ref="A38:A40"/>
    <mergeCell ref="A41:A43"/>
    <mergeCell ref="A44:A46"/>
    <mergeCell ref="B97:B99"/>
    <mergeCell ref="B62:B64"/>
    <mergeCell ref="A93:AC93"/>
    <mergeCell ref="A94:A96"/>
    <mergeCell ref="B94:B96"/>
    <mergeCell ref="C94:C96"/>
    <mergeCell ref="D94:D96"/>
    <mergeCell ref="A97:A99"/>
    <mergeCell ref="C97:C99"/>
    <mergeCell ref="D97:D99"/>
    <mergeCell ref="A90:A92"/>
    <mergeCell ref="A78:A80"/>
    <mergeCell ref="B78:B80"/>
    <mergeCell ref="C78:C80"/>
    <mergeCell ref="D78:D80"/>
    <mergeCell ref="A81:A83"/>
    <mergeCell ref="A25:A27"/>
    <mergeCell ref="A28:A30"/>
    <mergeCell ref="A31:A33"/>
    <mergeCell ref="E2:E3"/>
    <mergeCell ref="D2:D3"/>
    <mergeCell ref="B2:B3"/>
    <mergeCell ref="D13:D15"/>
    <mergeCell ref="D28:D30"/>
    <mergeCell ref="C2:C3"/>
    <mergeCell ref="C25:C27"/>
    <mergeCell ref="C28:C30"/>
    <mergeCell ref="B28:B30"/>
    <mergeCell ref="B22:B24"/>
    <mergeCell ref="B25:B27"/>
    <mergeCell ref="B4:B6"/>
    <mergeCell ref="B7:B9"/>
    <mergeCell ref="C16:C18"/>
    <mergeCell ref="C19:C21"/>
    <mergeCell ref="C22:C24"/>
    <mergeCell ref="D19:D21"/>
    <mergeCell ref="D22:D24"/>
    <mergeCell ref="B19:B21"/>
    <mergeCell ref="B81:B83"/>
    <mergeCell ref="C81:C83"/>
    <mergeCell ref="D81:D83"/>
    <mergeCell ref="A1:AC1"/>
    <mergeCell ref="F2:AC2"/>
    <mergeCell ref="B31:B33"/>
    <mergeCell ref="A34:AC34"/>
    <mergeCell ref="B35:B37"/>
    <mergeCell ref="B38:B40"/>
    <mergeCell ref="B44:B46"/>
    <mergeCell ref="B47:B49"/>
    <mergeCell ref="A2:A3"/>
    <mergeCell ref="A4:A6"/>
    <mergeCell ref="A7:A9"/>
    <mergeCell ref="A10:A12"/>
    <mergeCell ref="A13:A15"/>
    <mergeCell ref="A16:A18"/>
    <mergeCell ref="A19:A21"/>
    <mergeCell ref="A22:A24"/>
    <mergeCell ref="D31:D33"/>
    <mergeCell ref="D47:D49"/>
    <mergeCell ref="D53:D55"/>
    <mergeCell ref="D35:D37"/>
    <mergeCell ref="D38:D40"/>
    <mergeCell ref="D41:D43"/>
    <mergeCell ref="A66:A68"/>
    <mergeCell ref="B66:B68"/>
    <mergeCell ref="C66:C68"/>
    <mergeCell ref="D66:D68"/>
    <mergeCell ref="A62:A64"/>
    <mergeCell ref="C62:C64"/>
    <mergeCell ref="C47:C49"/>
    <mergeCell ref="D50:D52"/>
    <mergeCell ref="D62:D64"/>
    <mergeCell ref="A65:AC65"/>
    <mergeCell ref="C53:C55"/>
    <mergeCell ref="C56:C58"/>
    <mergeCell ref="C59:C61"/>
    <mergeCell ref="A84:A86"/>
    <mergeCell ref="B84:B86"/>
    <mergeCell ref="C84:C86"/>
    <mergeCell ref="D84:D86"/>
    <mergeCell ref="D4:D6"/>
    <mergeCell ref="D7:D9"/>
    <mergeCell ref="D10:D12"/>
    <mergeCell ref="D16:D18"/>
    <mergeCell ref="D25:D27"/>
    <mergeCell ref="B10:B12"/>
    <mergeCell ref="B13:B15"/>
    <mergeCell ref="B16:B18"/>
    <mergeCell ref="C31:C33"/>
    <mergeCell ref="B41:B43"/>
    <mergeCell ref="A50:A52"/>
    <mergeCell ref="B50:B52"/>
    <mergeCell ref="D56:D58"/>
    <mergeCell ref="D59:D61"/>
    <mergeCell ref="C50:C52"/>
    <mergeCell ref="D44:D46"/>
    <mergeCell ref="C4:C6"/>
    <mergeCell ref="C7:C9"/>
    <mergeCell ref="C10:C12"/>
    <mergeCell ref="C13:C15"/>
    <mergeCell ref="C35:C37"/>
    <mergeCell ref="C38:C40"/>
    <mergeCell ref="C41:C43"/>
    <mergeCell ref="C44:C46"/>
    <mergeCell ref="B53:B55"/>
    <mergeCell ref="B56:B58"/>
    <mergeCell ref="B59:B61"/>
    <mergeCell ref="A47:A49"/>
    <mergeCell ref="A53:A55"/>
    <mergeCell ref="A56:A5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G25"/>
  <sheetViews>
    <sheetView zoomScaleNormal="100" workbookViewId="0">
      <selection sqref="A1:E1"/>
    </sheetView>
  </sheetViews>
  <sheetFormatPr defaultColWidth="8.6640625" defaultRowHeight="13.2" x14ac:dyDescent="0.25"/>
  <cols>
    <col min="1" max="1" width="28.6640625" style="3" customWidth="1"/>
    <col min="2" max="2" width="15.44140625" style="3" customWidth="1"/>
    <col min="3" max="3" width="19.33203125" style="3" customWidth="1"/>
    <col min="4" max="5" width="18.33203125" style="3" customWidth="1"/>
    <col min="6" max="8" width="13.6640625" style="3" customWidth="1"/>
    <col min="9" max="9" width="10.6640625" style="3" customWidth="1"/>
    <col min="10" max="11" width="8.6640625" style="3"/>
    <col min="12" max="12" width="13.6640625" style="3" customWidth="1"/>
    <col min="13" max="15" width="8.6640625" style="3"/>
    <col min="16" max="16" width="12.44140625" style="3" customWidth="1"/>
    <col min="17" max="16384" width="8.6640625" style="3"/>
  </cols>
  <sheetData>
    <row r="1" spans="1:5" ht="27" customHeight="1" x14ac:dyDescent="0.25">
      <c r="A1" s="480" t="str">
        <f>"Energy Consumption - " &amp;Prototype!A2</f>
        <v xml:space="preserve">Energy Consumption - ApartmentMidRise </v>
      </c>
      <c r="B1" s="480"/>
      <c r="C1" s="480"/>
      <c r="D1" s="480"/>
      <c r="E1" s="480"/>
    </row>
    <row r="2" spans="1:5" ht="39.6" customHeight="1" x14ac:dyDescent="0.25">
      <c r="A2" s="335" t="s">
        <v>3</v>
      </c>
      <c r="B2" s="45" t="s">
        <v>725</v>
      </c>
      <c r="C2" s="45" t="s">
        <v>726</v>
      </c>
      <c r="D2" s="45" t="s">
        <v>727</v>
      </c>
      <c r="E2" s="45" t="s">
        <v>728</v>
      </c>
    </row>
    <row r="3" spans="1:5" ht="19.2" customHeight="1" x14ac:dyDescent="0.25">
      <c r="A3" s="702" t="str">
        <f>Prototype!A2</f>
        <v xml:space="preserve">ApartmentMidRise </v>
      </c>
      <c r="B3" s="38">
        <v>1</v>
      </c>
      <c r="C3" s="46"/>
      <c r="D3" s="41"/>
      <c r="E3" s="41"/>
    </row>
    <row r="4" spans="1:5" ht="19.2" customHeight="1" x14ac:dyDescent="0.25">
      <c r="A4" s="703"/>
      <c r="B4" s="38">
        <v>2</v>
      </c>
      <c r="C4" s="46"/>
      <c r="D4" s="41"/>
      <c r="E4" s="41"/>
    </row>
    <row r="5" spans="1:5" ht="19.2" customHeight="1" x14ac:dyDescent="0.25">
      <c r="A5" s="703"/>
      <c r="B5" s="38">
        <v>3</v>
      </c>
      <c r="C5" s="46"/>
      <c r="D5" s="41"/>
      <c r="E5" s="41"/>
    </row>
    <row r="6" spans="1:5" ht="19.2" customHeight="1" x14ac:dyDescent="0.25">
      <c r="A6" s="703"/>
      <c r="B6" s="38">
        <v>4</v>
      </c>
      <c r="C6" s="46"/>
      <c r="D6" s="41"/>
      <c r="E6" s="41"/>
    </row>
    <row r="7" spans="1:5" ht="19.2" customHeight="1" x14ac:dyDescent="0.25">
      <c r="A7" s="703"/>
      <c r="B7" s="38">
        <v>5</v>
      </c>
      <c r="C7" s="46"/>
      <c r="D7" s="41"/>
      <c r="E7" s="41"/>
    </row>
    <row r="8" spans="1:5" ht="19.2" customHeight="1" x14ac:dyDescent="0.25">
      <c r="A8" s="703"/>
      <c r="B8" s="38">
        <v>6</v>
      </c>
      <c r="C8" s="46"/>
      <c r="D8" s="41"/>
      <c r="E8" s="41"/>
    </row>
    <row r="9" spans="1:5" ht="19.2" customHeight="1" x14ac:dyDescent="0.25">
      <c r="A9" s="703"/>
      <c r="B9" s="38">
        <v>7</v>
      </c>
      <c r="C9" s="46"/>
      <c r="D9" s="41"/>
      <c r="E9" s="41"/>
    </row>
    <row r="10" spans="1:5" ht="19.2" customHeight="1" x14ac:dyDescent="0.25">
      <c r="A10" s="703"/>
      <c r="B10" s="38">
        <v>8</v>
      </c>
      <c r="C10" s="46"/>
      <c r="D10" s="41"/>
      <c r="E10" s="41"/>
    </row>
    <row r="11" spans="1:5" ht="19.2" customHeight="1" x14ac:dyDescent="0.25">
      <c r="A11" s="703"/>
      <c r="B11" s="38">
        <v>9</v>
      </c>
      <c r="C11" s="46"/>
      <c r="D11" s="41"/>
      <c r="E11" s="41"/>
    </row>
    <row r="12" spans="1:5" ht="19.2" customHeight="1" x14ac:dyDescent="0.25">
      <c r="A12" s="703"/>
      <c r="B12" s="38">
        <v>10</v>
      </c>
      <c r="C12" s="46"/>
      <c r="D12" s="41"/>
      <c r="E12" s="41"/>
    </row>
    <row r="13" spans="1:5" ht="19.2" customHeight="1" x14ac:dyDescent="0.25">
      <c r="A13" s="703"/>
      <c r="B13" s="38">
        <v>11</v>
      </c>
      <c r="C13" s="46"/>
      <c r="D13" s="41"/>
      <c r="E13" s="41"/>
    </row>
    <row r="14" spans="1:5" ht="19.2" customHeight="1" x14ac:dyDescent="0.25">
      <c r="A14" s="703"/>
      <c r="B14" s="38">
        <v>12</v>
      </c>
      <c r="C14" s="46"/>
      <c r="D14" s="41"/>
      <c r="E14" s="41"/>
    </row>
    <row r="15" spans="1:5" ht="19.2" customHeight="1" x14ac:dyDescent="0.25">
      <c r="A15" s="703"/>
      <c r="B15" s="38">
        <v>13</v>
      </c>
      <c r="C15" s="46"/>
      <c r="D15" s="41"/>
      <c r="E15" s="41"/>
    </row>
    <row r="16" spans="1:5" ht="19.2" customHeight="1" x14ac:dyDescent="0.25">
      <c r="A16" s="703"/>
      <c r="B16" s="38">
        <v>14</v>
      </c>
      <c r="C16" s="46"/>
      <c r="D16" s="41"/>
      <c r="E16" s="41"/>
    </row>
    <row r="17" spans="1:7" ht="19.2" customHeight="1" x14ac:dyDescent="0.25">
      <c r="A17" s="703"/>
      <c r="B17" s="38">
        <v>15</v>
      </c>
      <c r="C17" s="46"/>
      <c r="D17" s="41"/>
      <c r="E17" s="41"/>
    </row>
    <row r="18" spans="1:7" ht="19.2" customHeight="1" x14ac:dyDescent="0.25">
      <c r="A18" s="704"/>
      <c r="B18" s="38">
        <v>16</v>
      </c>
      <c r="C18" s="46"/>
      <c r="D18" s="41"/>
      <c r="E18" s="41"/>
    </row>
    <row r="25" spans="1:7" s="24" customFormat="1" hidden="1" x14ac:dyDescent="0.25">
      <c r="A25" s="24" t="s">
        <v>187</v>
      </c>
      <c r="E25" s="25"/>
      <c r="F25" s="26"/>
      <c r="G25" s="27"/>
    </row>
  </sheetData>
  <mergeCells count="2">
    <mergeCell ref="A3:A18"/>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9"/>
  <sheetViews>
    <sheetView zoomScaleNormal="100" workbookViewId="0">
      <selection sqref="A1:G1"/>
    </sheetView>
  </sheetViews>
  <sheetFormatPr defaultColWidth="8.6640625" defaultRowHeight="13.2" x14ac:dyDescent="0.25"/>
  <cols>
    <col min="1" max="1" width="22.109375" style="3" customWidth="1"/>
    <col min="2" max="2" width="12" style="3" customWidth="1"/>
    <col min="3" max="6" width="13.6640625" style="3" customWidth="1"/>
    <col min="7" max="7" width="13.33203125" style="3" customWidth="1"/>
    <col min="8" max="8" width="12.6640625" style="3" bestFit="1" customWidth="1"/>
    <col min="9" max="9" width="8.6640625" style="3"/>
    <col min="10" max="10" width="17.33203125" style="3" customWidth="1"/>
    <col min="11" max="11" width="14.109375" style="3" customWidth="1"/>
    <col min="12" max="12" width="10.33203125" style="3" customWidth="1"/>
    <col min="13" max="27" width="5.6640625" style="3" customWidth="1"/>
    <col min="28" max="16384" width="8.6640625" style="3"/>
  </cols>
  <sheetData>
    <row r="1" spans="1:29" ht="28.95" customHeight="1" x14ac:dyDescent="0.3">
      <c r="A1" s="536" t="str">
        <f>"% of Floor Area per CZ and Vintage Bin - "&amp;Prototype!A2</f>
        <v xml:space="preserve">% of Floor Area per CZ and Vintage Bin - ApartmentMidRise </v>
      </c>
      <c r="B1" s="536"/>
      <c r="C1" s="536"/>
      <c r="D1" s="536"/>
      <c r="E1" s="536"/>
      <c r="F1" s="536"/>
      <c r="G1" s="536"/>
      <c r="J1"/>
      <c r="K1"/>
      <c r="L1"/>
      <c r="M1"/>
      <c r="N1"/>
      <c r="O1"/>
      <c r="P1"/>
      <c r="Q1"/>
      <c r="R1"/>
      <c r="S1"/>
      <c r="T1"/>
      <c r="U1"/>
      <c r="V1"/>
      <c r="W1"/>
      <c r="X1"/>
      <c r="Y1"/>
      <c r="Z1"/>
      <c r="AA1"/>
      <c r="AB1"/>
      <c r="AC1"/>
    </row>
    <row r="2" spans="1:29" ht="21" customHeight="1" x14ac:dyDescent="0.3">
      <c r="A2" s="705" t="s">
        <v>3</v>
      </c>
      <c r="B2" s="705" t="s">
        <v>725</v>
      </c>
      <c r="C2" s="705" t="s">
        <v>729</v>
      </c>
      <c r="D2" s="705"/>
      <c r="E2" s="705"/>
      <c r="F2" s="705"/>
      <c r="G2" s="705"/>
      <c r="J2"/>
      <c r="K2"/>
      <c r="L2"/>
      <c r="M2"/>
      <c r="N2"/>
      <c r="O2"/>
      <c r="P2"/>
      <c r="Q2"/>
      <c r="R2"/>
      <c r="S2"/>
      <c r="T2"/>
      <c r="U2"/>
      <c r="V2"/>
      <c r="W2"/>
      <c r="X2"/>
      <c r="Y2"/>
      <c r="Z2"/>
      <c r="AA2"/>
      <c r="AB2"/>
      <c r="AC2"/>
    </row>
    <row r="3" spans="1:29" ht="21" customHeight="1" x14ac:dyDescent="0.3">
      <c r="A3" s="706"/>
      <c r="B3" s="706"/>
      <c r="C3" s="335" t="s">
        <v>730</v>
      </c>
      <c r="D3" s="335" t="s">
        <v>217</v>
      </c>
      <c r="E3" s="335" t="s">
        <v>219</v>
      </c>
      <c r="F3" s="335" t="s">
        <v>221</v>
      </c>
      <c r="G3" s="335" t="s">
        <v>731</v>
      </c>
      <c r="J3"/>
      <c r="K3"/>
      <c r="L3"/>
      <c r="M3"/>
      <c r="N3"/>
      <c r="O3"/>
      <c r="P3"/>
      <c r="Q3"/>
      <c r="R3"/>
      <c r="S3"/>
      <c r="T3"/>
      <c r="U3"/>
      <c r="V3"/>
      <c r="W3"/>
      <c r="X3"/>
      <c r="Y3"/>
      <c r="Z3"/>
      <c r="AA3"/>
      <c r="AB3"/>
      <c r="AC3"/>
    </row>
    <row r="4" spans="1:29" ht="16.95" customHeight="1" x14ac:dyDescent="0.3">
      <c r="A4" s="501" t="str">
        <f>Prototype!A2</f>
        <v xml:space="preserve">ApartmentMidRise </v>
      </c>
      <c r="B4" s="146">
        <v>1</v>
      </c>
      <c r="C4" s="340"/>
      <c r="D4" s="340"/>
      <c r="E4" s="340"/>
      <c r="F4" s="340"/>
      <c r="G4" s="147"/>
      <c r="H4" s="62">
        <f>SUM(C4:G4)</f>
        <v>0</v>
      </c>
      <c r="J4"/>
      <c r="K4"/>
      <c r="L4"/>
      <c r="M4"/>
      <c r="N4"/>
      <c r="O4"/>
      <c r="P4"/>
      <c r="Q4"/>
      <c r="R4"/>
      <c r="S4"/>
      <c r="T4"/>
      <c r="U4"/>
      <c r="V4"/>
      <c r="W4"/>
      <c r="X4"/>
      <c r="Y4"/>
      <c r="Z4"/>
      <c r="AA4"/>
      <c r="AB4"/>
      <c r="AC4"/>
    </row>
    <row r="5" spans="1:29" ht="16.95" customHeight="1" x14ac:dyDescent="0.3">
      <c r="A5" s="501"/>
      <c r="B5" s="146">
        <v>2</v>
      </c>
      <c r="C5" s="340"/>
      <c r="D5" s="340"/>
      <c r="E5" s="340"/>
      <c r="F5" s="340"/>
      <c r="G5" s="147"/>
      <c r="H5" s="62">
        <f t="shared" ref="H5:H19" si="0">SUM(C5:G5)</f>
        <v>0</v>
      </c>
      <c r="J5"/>
      <c r="K5"/>
      <c r="L5"/>
      <c r="M5"/>
      <c r="N5"/>
      <c r="O5"/>
      <c r="P5"/>
      <c r="Q5"/>
      <c r="R5"/>
      <c r="S5"/>
      <c r="T5"/>
      <c r="U5"/>
      <c r="V5"/>
      <c r="W5"/>
      <c r="X5"/>
      <c r="Y5"/>
      <c r="Z5"/>
      <c r="AA5"/>
      <c r="AB5"/>
      <c r="AC5"/>
    </row>
    <row r="6" spans="1:29" ht="16.95" customHeight="1" x14ac:dyDescent="0.3">
      <c r="A6" s="501"/>
      <c r="B6" s="146">
        <v>3</v>
      </c>
      <c r="C6" s="340"/>
      <c r="D6" s="340"/>
      <c r="E6" s="340"/>
      <c r="F6" s="340"/>
      <c r="G6" s="147"/>
      <c r="H6" s="62">
        <f t="shared" si="0"/>
        <v>0</v>
      </c>
      <c r="J6"/>
      <c r="K6"/>
      <c r="L6"/>
      <c r="M6"/>
      <c r="N6"/>
      <c r="O6"/>
      <c r="P6"/>
      <c r="Q6"/>
      <c r="R6"/>
      <c r="S6"/>
      <c r="T6"/>
      <c r="U6"/>
      <c r="V6"/>
      <c r="W6"/>
      <c r="X6"/>
      <c r="Y6"/>
      <c r="Z6"/>
      <c r="AA6"/>
      <c r="AB6"/>
      <c r="AC6"/>
    </row>
    <row r="7" spans="1:29" ht="16.95" customHeight="1" x14ac:dyDescent="0.3">
      <c r="A7" s="501"/>
      <c r="B7" s="146">
        <v>4</v>
      </c>
      <c r="C7" s="340"/>
      <c r="D7" s="340"/>
      <c r="E7" s="340"/>
      <c r="F7" s="340"/>
      <c r="G7" s="147"/>
      <c r="H7" s="62">
        <f t="shared" si="0"/>
        <v>0</v>
      </c>
      <c r="J7"/>
      <c r="K7"/>
      <c r="L7"/>
      <c r="M7"/>
      <c r="N7"/>
      <c r="O7"/>
      <c r="P7"/>
      <c r="Q7"/>
      <c r="R7"/>
      <c r="S7"/>
      <c r="T7"/>
      <c r="U7"/>
      <c r="V7"/>
      <c r="W7"/>
      <c r="X7"/>
      <c r="Y7"/>
      <c r="Z7"/>
      <c r="AA7"/>
      <c r="AB7"/>
      <c r="AC7"/>
    </row>
    <row r="8" spans="1:29" ht="16.95" customHeight="1" x14ac:dyDescent="0.3">
      <c r="A8" s="501"/>
      <c r="B8" s="146">
        <v>5</v>
      </c>
      <c r="C8" s="340"/>
      <c r="D8" s="340"/>
      <c r="E8" s="340"/>
      <c r="F8" s="340"/>
      <c r="G8" s="147"/>
      <c r="H8" s="62">
        <f t="shared" si="0"/>
        <v>0</v>
      </c>
      <c r="J8"/>
      <c r="K8"/>
      <c r="L8"/>
      <c r="M8"/>
      <c r="N8"/>
      <c r="O8"/>
      <c r="P8"/>
      <c r="Q8"/>
      <c r="R8"/>
      <c r="S8"/>
      <c r="T8"/>
      <c r="U8"/>
      <c r="V8"/>
      <c r="W8"/>
      <c r="X8"/>
      <c r="Y8"/>
      <c r="Z8"/>
      <c r="AA8"/>
      <c r="AB8"/>
      <c r="AC8"/>
    </row>
    <row r="9" spans="1:29" ht="16.95" customHeight="1" x14ac:dyDescent="0.3">
      <c r="A9" s="501"/>
      <c r="B9" s="146">
        <v>6</v>
      </c>
      <c r="C9" s="340"/>
      <c r="D9" s="340"/>
      <c r="E9" s="340"/>
      <c r="F9" s="340"/>
      <c r="G9" s="147"/>
      <c r="H9" s="62">
        <f t="shared" si="0"/>
        <v>0</v>
      </c>
      <c r="J9"/>
      <c r="K9"/>
      <c r="L9"/>
      <c r="M9"/>
      <c r="N9"/>
      <c r="O9"/>
      <c r="P9"/>
      <c r="Q9"/>
      <c r="R9"/>
      <c r="S9"/>
      <c r="T9"/>
      <c r="U9"/>
      <c r="V9"/>
      <c r="W9"/>
      <c r="X9"/>
      <c r="Y9"/>
      <c r="Z9"/>
      <c r="AA9"/>
      <c r="AB9"/>
      <c r="AC9"/>
    </row>
    <row r="10" spans="1:29" ht="16.95" customHeight="1" x14ac:dyDescent="0.3">
      <c r="A10" s="501"/>
      <c r="B10" s="146">
        <v>7</v>
      </c>
      <c r="C10" s="340"/>
      <c r="D10" s="340"/>
      <c r="E10" s="340"/>
      <c r="F10" s="340"/>
      <c r="G10" s="147"/>
      <c r="H10" s="62">
        <f t="shared" si="0"/>
        <v>0</v>
      </c>
      <c r="J10"/>
      <c r="K10"/>
      <c r="L10"/>
      <c r="M10"/>
      <c r="N10"/>
      <c r="O10"/>
      <c r="P10"/>
      <c r="Q10"/>
      <c r="R10"/>
      <c r="S10"/>
      <c r="T10"/>
      <c r="U10"/>
      <c r="V10"/>
      <c r="W10"/>
      <c r="X10"/>
      <c r="Y10"/>
      <c r="Z10"/>
      <c r="AA10"/>
      <c r="AB10"/>
      <c r="AC10"/>
    </row>
    <row r="11" spans="1:29" ht="16.95" customHeight="1" x14ac:dyDescent="0.3">
      <c r="A11" s="501"/>
      <c r="B11" s="146">
        <v>8</v>
      </c>
      <c r="C11" s="340"/>
      <c r="D11" s="340"/>
      <c r="E11" s="340"/>
      <c r="F11" s="340"/>
      <c r="G11" s="147"/>
      <c r="H11" s="62">
        <f t="shared" si="0"/>
        <v>0</v>
      </c>
      <c r="J11"/>
      <c r="K11"/>
      <c r="L11"/>
      <c r="M11"/>
      <c r="N11"/>
      <c r="O11"/>
      <c r="P11"/>
      <c r="Q11"/>
      <c r="R11"/>
      <c r="S11"/>
      <c r="T11"/>
      <c r="U11"/>
      <c r="V11"/>
      <c r="W11"/>
      <c r="X11"/>
      <c r="Y11"/>
      <c r="Z11"/>
      <c r="AA11"/>
      <c r="AB11"/>
      <c r="AC11"/>
    </row>
    <row r="12" spans="1:29" ht="16.95" customHeight="1" x14ac:dyDescent="0.3">
      <c r="A12" s="501"/>
      <c r="B12" s="146">
        <v>9</v>
      </c>
      <c r="C12" s="340"/>
      <c r="D12" s="340"/>
      <c r="E12" s="340"/>
      <c r="F12" s="340"/>
      <c r="G12" s="147"/>
      <c r="H12" s="62">
        <f t="shared" si="0"/>
        <v>0</v>
      </c>
      <c r="J12"/>
      <c r="K12"/>
      <c r="L12"/>
      <c r="M12"/>
      <c r="N12"/>
      <c r="O12"/>
      <c r="P12"/>
      <c r="Q12"/>
      <c r="R12"/>
      <c r="S12"/>
      <c r="T12"/>
      <c r="U12"/>
      <c r="V12"/>
      <c r="W12"/>
      <c r="X12"/>
      <c r="Y12"/>
      <c r="Z12"/>
      <c r="AA12"/>
      <c r="AB12"/>
      <c r="AC12"/>
    </row>
    <row r="13" spans="1:29" ht="16.95" customHeight="1" x14ac:dyDescent="0.3">
      <c r="A13" s="501"/>
      <c r="B13" s="146">
        <v>10</v>
      </c>
      <c r="C13" s="340"/>
      <c r="D13" s="340"/>
      <c r="E13" s="340"/>
      <c r="F13" s="340"/>
      <c r="G13" s="147"/>
      <c r="H13" s="62">
        <f t="shared" si="0"/>
        <v>0</v>
      </c>
      <c r="J13"/>
      <c r="K13"/>
      <c r="L13"/>
      <c r="M13"/>
      <c r="N13"/>
      <c r="O13"/>
      <c r="P13"/>
      <c r="Q13"/>
      <c r="R13"/>
      <c r="S13"/>
      <c r="T13"/>
      <c r="U13"/>
      <c r="V13"/>
      <c r="W13"/>
      <c r="X13"/>
      <c r="Y13"/>
      <c r="Z13"/>
      <c r="AA13"/>
      <c r="AB13"/>
      <c r="AC13"/>
    </row>
    <row r="14" spans="1:29" ht="16.95" customHeight="1" x14ac:dyDescent="0.25">
      <c r="A14" s="501"/>
      <c r="B14" s="146">
        <v>11</v>
      </c>
      <c r="C14" s="340"/>
      <c r="D14" s="340"/>
      <c r="E14" s="340"/>
      <c r="F14" s="340"/>
      <c r="G14" s="147"/>
      <c r="H14" s="62">
        <f t="shared" si="0"/>
        <v>0</v>
      </c>
      <c r="J14" s="7"/>
      <c r="K14" s="60"/>
      <c r="L14" s="30"/>
      <c r="M14" s="30"/>
      <c r="N14" s="30"/>
      <c r="O14" s="30"/>
      <c r="P14" s="61"/>
    </row>
    <row r="15" spans="1:29" ht="16.95" customHeight="1" x14ac:dyDescent="0.25">
      <c r="A15" s="501"/>
      <c r="B15" s="146">
        <v>12</v>
      </c>
      <c r="C15" s="340"/>
      <c r="D15" s="340"/>
      <c r="E15" s="340"/>
      <c r="F15" s="340"/>
      <c r="G15" s="147"/>
      <c r="H15" s="62">
        <f t="shared" si="0"/>
        <v>0</v>
      </c>
      <c r="J15" s="7"/>
      <c r="K15" s="60"/>
      <c r="L15" s="30"/>
      <c r="M15" s="30"/>
      <c r="N15" s="30"/>
      <c r="O15" s="30"/>
      <c r="P15" s="61"/>
    </row>
    <row r="16" spans="1:29" ht="16.95" customHeight="1" x14ac:dyDescent="0.25">
      <c r="A16" s="501"/>
      <c r="B16" s="146">
        <v>13</v>
      </c>
      <c r="C16" s="340"/>
      <c r="D16" s="340"/>
      <c r="E16" s="340"/>
      <c r="F16" s="340"/>
      <c r="G16" s="147"/>
      <c r="H16" s="62">
        <f t="shared" si="0"/>
        <v>0</v>
      </c>
      <c r="J16" s="7"/>
      <c r="K16" s="60"/>
      <c r="L16" s="30"/>
      <c r="M16" s="30"/>
      <c r="N16" s="30"/>
      <c r="O16" s="30"/>
      <c r="P16" s="61"/>
    </row>
    <row r="17" spans="1:16" ht="16.95" customHeight="1" x14ac:dyDescent="0.25">
      <c r="A17" s="501"/>
      <c r="B17" s="146">
        <v>14</v>
      </c>
      <c r="C17" s="340"/>
      <c r="D17" s="340"/>
      <c r="E17" s="340"/>
      <c r="F17" s="340"/>
      <c r="G17" s="147"/>
      <c r="H17" s="62">
        <f t="shared" si="0"/>
        <v>0</v>
      </c>
      <c r="J17" s="7"/>
      <c r="K17" s="60"/>
      <c r="L17" s="30"/>
      <c r="M17" s="30"/>
      <c r="N17" s="30"/>
      <c r="O17" s="30"/>
      <c r="P17" s="61"/>
    </row>
    <row r="18" spans="1:16" ht="16.95" customHeight="1" x14ac:dyDescent="0.25">
      <c r="A18" s="501"/>
      <c r="B18" s="146">
        <v>15</v>
      </c>
      <c r="C18" s="340"/>
      <c r="D18" s="340"/>
      <c r="E18" s="340"/>
      <c r="F18" s="340"/>
      <c r="G18" s="147"/>
      <c r="H18" s="62">
        <f t="shared" si="0"/>
        <v>0</v>
      </c>
      <c r="J18" s="7"/>
      <c r="K18" s="60"/>
      <c r="L18" s="30"/>
      <c r="M18" s="30"/>
      <c r="N18" s="30"/>
      <c r="O18" s="30"/>
      <c r="P18" s="61"/>
    </row>
    <row r="19" spans="1:16" ht="16.95" customHeight="1" x14ac:dyDescent="0.25">
      <c r="A19" s="501"/>
      <c r="B19" s="146">
        <v>16</v>
      </c>
      <c r="C19" s="340"/>
      <c r="D19" s="340"/>
      <c r="E19" s="340"/>
      <c r="F19" s="340"/>
      <c r="G19" s="147"/>
      <c r="H19" s="62">
        <f t="shared" si="0"/>
        <v>0</v>
      </c>
      <c r="J19" s="7"/>
      <c r="K19" s="60"/>
      <c r="L19" s="30"/>
      <c r="M19" s="30"/>
      <c r="N19" s="30"/>
      <c r="O19" s="30"/>
      <c r="P19" s="61"/>
    </row>
    <row r="20" spans="1:16" x14ac:dyDescent="0.25">
      <c r="A20" s="501"/>
      <c r="B20" s="147" t="s">
        <v>732</v>
      </c>
      <c r="C20" s="147"/>
      <c r="D20" s="147"/>
      <c r="E20" s="147"/>
      <c r="F20" s="147"/>
      <c r="G20" s="147"/>
    </row>
    <row r="29" spans="1:16" s="24" customFormat="1" hidden="1" x14ac:dyDescent="0.25">
      <c r="A29" s="24" t="s">
        <v>187</v>
      </c>
      <c r="E29" s="25"/>
      <c r="F29" s="26"/>
      <c r="G29" s="27"/>
    </row>
  </sheetData>
  <mergeCells count="5">
    <mergeCell ref="A4:A20"/>
    <mergeCell ref="C2:G2"/>
    <mergeCell ref="A1:G1"/>
    <mergeCell ref="B2:B3"/>
    <mergeCell ref="A2:A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AB10F67-72F9-44A9-AB16-25A5CD9287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Equipment</vt:lpstr>
      <vt:lpstr>Ext Lighting</vt:lpstr>
      <vt:lpstr>PV</vt:lpstr>
      <vt:lpstr>EV Charger</vt:lpstr>
      <vt:lpstr>Data</vt:lpstr>
      <vt:lpstr>Schedules</vt:lpstr>
      <vt:lpstr>Energy Usage</vt:lpstr>
      <vt:lpstr>Weights</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