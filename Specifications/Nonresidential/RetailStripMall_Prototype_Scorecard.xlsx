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70D5482A-03AE-49FF-BFCC-CB8EFB9FC8EE}"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31" r:id="rId4"/>
    <sheet name="HVAC System" sheetId="14" r:id="rId5"/>
    <sheet name="Ventilation" sheetId="18" r:id="rId6"/>
    <sheet name="Thermostat" sheetId="30" r:id="rId7"/>
    <sheet name="Water Heater" sheetId="35"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2" state="hidden" r:id="rId17"/>
  </sheets>
  <definedNames>
    <definedName name="_xlnm._FilterDatabase" localSheetId="16" hidden="1">Data!$D$1:$G$1</definedName>
    <definedName name="nonparticipating_forecastzone_scale_factor" localSheetId="16">#REF!</definedName>
    <definedName name="nonparticipating_forecastzone_scale_factor" localSheetId="3">#REF!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5" l="1"/>
  <c r="H5" i="21"/>
  <c r="H6" i="21"/>
  <c r="H7" i="21"/>
  <c r="H8" i="21"/>
  <c r="H9" i="21"/>
  <c r="H10" i="21"/>
  <c r="H11" i="21"/>
  <c r="H12" i="21"/>
  <c r="H13" i="21"/>
  <c r="H14" i="21"/>
  <c r="H15" i="21"/>
  <c r="H16" i="21"/>
  <c r="H17" i="21"/>
  <c r="H18" i="21"/>
  <c r="H19" i="21"/>
  <c r="H20" i="21"/>
  <c r="H4" i="21"/>
  <c r="AA27" i="31"/>
  <c r="I3" i="18"/>
  <c r="AA28" i="31" l="1"/>
  <c r="F4" i="25"/>
  <c r="C11" i="35"/>
  <c r="A11" i="35"/>
  <c r="C10" i="35"/>
  <c r="A10" i="35"/>
  <c r="C9" i="35"/>
  <c r="A9" i="35"/>
  <c r="C8" i="35"/>
  <c r="A8" i="35"/>
  <c r="A1" i="35"/>
  <c r="I43" i="35"/>
  <c r="C35" i="2" l="1"/>
  <c r="J18" i="31"/>
  <c r="K18" i="31"/>
  <c r="K19" i="31" s="1"/>
  <c r="L18" i="31"/>
  <c r="L19" i="31" s="1"/>
  <c r="M18" i="31"/>
  <c r="M19" i="31" s="1"/>
  <c r="N18" i="31"/>
  <c r="N19" i="31" s="1"/>
  <c r="O18" i="31"/>
  <c r="O19" i="31" s="1"/>
  <c r="P18" i="31"/>
  <c r="P19" i="31" s="1"/>
  <c r="Q18" i="31"/>
  <c r="Q19" i="31" s="1"/>
  <c r="R18" i="31"/>
  <c r="R19" i="31" s="1"/>
  <c r="S18" i="31"/>
  <c r="S19" i="31" s="1"/>
  <c r="T18" i="31"/>
  <c r="T19" i="31" s="1"/>
  <c r="U18" i="31"/>
  <c r="U19" i="31" s="1"/>
  <c r="V18" i="31"/>
  <c r="V19" i="31" s="1"/>
  <c r="W18" i="31"/>
  <c r="W19" i="31" s="1"/>
  <c r="X18" i="31"/>
  <c r="X19" i="31" s="1"/>
  <c r="I18" i="31"/>
  <c r="I19" i="31" s="1"/>
  <c r="M6" i="13"/>
  <c r="D11" i="35" s="1"/>
  <c r="F11" i="35" s="1"/>
  <c r="G11" i="35" s="1"/>
  <c r="M5" i="13"/>
  <c r="D10" i="35" s="1"/>
  <c r="F10" i="35" s="1"/>
  <c r="G10" i="35" s="1"/>
  <c r="M4" i="13"/>
  <c r="D9" i="35" s="1"/>
  <c r="F9" i="35" s="1"/>
  <c r="G9" i="35" s="1"/>
  <c r="M3" i="13"/>
  <c r="D8" i="35" s="1"/>
  <c r="F8" i="35" s="1"/>
  <c r="J19" i="31"/>
  <c r="I13" i="31"/>
  <c r="J1" i="21"/>
  <c r="A1" i="21"/>
  <c r="T4" i="20"/>
  <c r="V4" i="20" s="1"/>
  <c r="U4" i="20"/>
  <c r="T5" i="20"/>
  <c r="U5" i="20"/>
  <c r="V5" i="20"/>
  <c r="T6" i="20"/>
  <c r="U6" i="20"/>
  <c r="V6" i="20"/>
  <c r="T7" i="20"/>
  <c r="U7" i="20"/>
  <c r="V7" i="20"/>
  <c r="T8" i="20"/>
  <c r="U8" i="20"/>
  <c r="V8" i="20"/>
  <c r="T9" i="20"/>
  <c r="U9" i="20"/>
  <c r="V9" i="20"/>
  <c r="T10" i="20"/>
  <c r="U10" i="20"/>
  <c r="V10" i="20"/>
  <c r="T11" i="20"/>
  <c r="U11" i="20"/>
  <c r="V11" i="20"/>
  <c r="T12" i="20"/>
  <c r="U12" i="20"/>
  <c r="V12" i="20"/>
  <c r="T13" i="20"/>
  <c r="U13" i="20"/>
  <c r="V13" i="20"/>
  <c r="T14" i="20"/>
  <c r="U14" i="20"/>
  <c r="V14" i="20"/>
  <c r="T15" i="20"/>
  <c r="U15" i="20"/>
  <c r="V15" i="20"/>
  <c r="T16" i="20"/>
  <c r="U16" i="20"/>
  <c r="V16" i="20"/>
  <c r="T17" i="20"/>
  <c r="U17" i="20"/>
  <c r="V17" i="20"/>
  <c r="T18" i="20"/>
  <c r="U18" i="20"/>
  <c r="V18" i="20"/>
  <c r="V3" i="20"/>
  <c r="U3" i="20"/>
  <c r="T3" i="20"/>
  <c r="S4" i="20"/>
  <c r="S5" i="20"/>
  <c r="S6" i="20"/>
  <c r="S7" i="20"/>
  <c r="S8" i="20"/>
  <c r="S9" i="20"/>
  <c r="S10" i="20"/>
  <c r="S11" i="20"/>
  <c r="S12" i="20"/>
  <c r="S13" i="20"/>
  <c r="S14" i="20"/>
  <c r="S15" i="20"/>
  <c r="S16" i="20"/>
  <c r="S17" i="20"/>
  <c r="S18" i="20"/>
  <c r="S3" i="20"/>
  <c r="A1" i="20"/>
  <c r="J4" i="20"/>
  <c r="K4" i="20"/>
  <c r="J5" i="20"/>
  <c r="K5" i="20"/>
  <c r="J6" i="20"/>
  <c r="K6" i="20"/>
  <c r="J7" i="20"/>
  <c r="K7" i="20"/>
  <c r="J8" i="20"/>
  <c r="K8" i="20"/>
  <c r="L8" i="20" s="1"/>
  <c r="J9" i="20"/>
  <c r="L9" i="20" s="1"/>
  <c r="K9" i="20"/>
  <c r="J10" i="20"/>
  <c r="L10" i="20" s="1"/>
  <c r="K10" i="20"/>
  <c r="J11" i="20"/>
  <c r="L11" i="20" s="1"/>
  <c r="K11" i="20"/>
  <c r="J12" i="20"/>
  <c r="K12" i="20"/>
  <c r="J13" i="20"/>
  <c r="L13" i="20" s="1"/>
  <c r="K13" i="20"/>
  <c r="J14" i="20"/>
  <c r="K14" i="20"/>
  <c r="J15" i="20"/>
  <c r="K15" i="20"/>
  <c r="J16" i="20"/>
  <c r="K16" i="20"/>
  <c r="J17" i="20"/>
  <c r="L17" i="20" s="1"/>
  <c r="K17" i="20"/>
  <c r="J18" i="20"/>
  <c r="L18" i="20" s="1"/>
  <c r="K18" i="20"/>
  <c r="K3" i="20"/>
  <c r="J3" i="20"/>
  <c r="L3" i="20" s="1"/>
  <c r="F12" i="35" l="1"/>
  <c r="G8" i="35"/>
  <c r="F13" i="35"/>
  <c r="L12" i="20"/>
  <c r="L7" i="20"/>
  <c r="L6" i="20"/>
  <c r="L5" i="20"/>
  <c r="L15" i="20"/>
  <c r="L4" i="20"/>
  <c r="L14" i="20"/>
  <c r="L16" i="20"/>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6" i="28"/>
  <c r="F27" i="28"/>
  <c r="F25" i="28"/>
  <c r="F29" i="28"/>
  <c r="F30" i="28"/>
  <c r="F28" i="28"/>
  <c r="C25" i="35" l="1"/>
  <c r="D25" i="35" s="1"/>
  <c r="E25" i="35" s="1"/>
  <c r="C26" i="35"/>
  <c r="D26" i="35" s="1"/>
  <c r="E26" i="35" s="1"/>
  <c r="C27" i="35"/>
  <c r="D27" i="35" s="1"/>
  <c r="E27" i="35" s="1"/>
  <c r="C28" i="35"/>
  <c r="D28" i="35" s="1"/>
  <c r="E28" i="35" s="1"/>
  <c r="C29" i="35"/>
  <c r="D29" i="35" s="1"/>
  <c r="E29" i="35" s="1"/>
  <c r="C30" i="35"/>
  <c r="D30" i="35" s="1"/>
  <c r="E30" i="35" s="1"/>
  <c r="F24" i="35"/>
  <c r="G24" i="35" s="1"/>
  <c r="I24" i="35" s="1"/>
  <c r="C31" i="35"/>
  <c r="D31" i="35" s="1"/>
  <c r="E31" i="35" s="1"/>
  <c r="F25" i="35"/>
  <c r="G25" i="35" s="1"/>
  <c r="I25" i="35" s="1"/>
  <c r="C32" i="35"/>
  <c r="D32" i="35" s="1"/>
  <c r="E32" i="35" s="1"/>
  <c r="F26" i="35"/>
  <c r="G26" i="35" s="1"/>
  <c r="I26" i="35" s="1"/>
  <c r="C33" i="35"/>
  <c r="D33" i="35" s="1"/>
  <c r="E33" i="35" s="1"/>
  <c r="F27" i="35"/>
  <c r="G27" i="35" s="1"/>
  <c r="I27" i="35" s="1"/>
  <c r="C34" i="35"/>
  <c r="D34" i="35" s="1"/>
  <c r="E34" i="35" s="1"/>
  <c r="F28" i="35"/>
  <c r="G28" i="35" s="1"/>
  <c r="I28" i="35" s="1"/>
  <c r="C35" i="35"/>
  <c r="D35" i="35" s="1"/>
  <c r="E35" i="35" s="1"/>
  <c r="F29" i="35"/>
  <c r="G29" i="35" s="1"/>
  <c r="I29" i="35" s="1"/>
  <c r="C36" i="35"/>
  <c r="D36" i="35" s="1"/>
  <c r="E36" i="35" s="1"/>
  <c r="F30" i="35"/>
  <c r="G30" i="35" s="1"/>
  <c r="I30" i="35" s="1"/>
  <c r="C37" i="35"/>
  <c r="D37" i="35" s="1"/>
  <c r="E37" i="35" s="1"/>
  <c r="F31" i="35"/>
  <c r="G31" i="35" s="1"/>
  <c r="I31" i="35" s="1"/>
  <c r="C38" i="35"/>
  <c r="D38" i="35" s="1"/>
  <c r="E38" i="35" s="1"/>
  <c r="F32" i="35"/>
  <c r="G32" i="35" s="1"/>
  <c r="I32" i="35" s="1"/>
  <c r="F23" i="35"/>
  <c r="G23" i="35" s="1"/>
  <c r="I23" i="35" s="1"/>
  <c r="F33" i="35"/>
  <c r="G33" i="35" s="1"/>
  <c r="I33" i="35" s="1"/>
  <c r="C23" i="35"/>
  <c r="D23" i="35" s="1"/>
  <c r="E23" i="35" s="1"/>
  <c r="F34" i="35"/>
  <c r="G34" i="35" s="1"/>
  <c r="I34" i="35" s="1"/>
  <c r="F35" i="35"/>
  <c r="G35" i="35" s="1"/>
  <c r="I35" i="35" s="1"/>
  <c r="F36" i="35"/>
  <c r="G36" i="35" s="1"/>
  <c r="I36" i="35" s="1"/>
  <c r="F37" i="35"/>
  <c r="G37" i="35" s="1"/>
  <c r="I37" i="35" s="1"/>
  <c r="F38" i="35"/>
  <c r="G38" i="35" s="1"/>
  <c r="I38" i="35" s="1"/>
  <c r="C24" i="35"/>
  <c r="D24" i="35" s="1"/>
  <c r="E24" i="35" s="1"/>
  <c r="H37" i="35"/>
  <c r="H38" i="35"/>
  <c r="H31" i="35"/>
  <c r="H26" i="35"/>
  <c r="H25" i="35"/>
  <c r="H24" i="35"/>
  <c r="H23" i="35"/>
  <c r="H36" i="35"/>
  <c r="H28" i="35"/>
  <c r="H34" i="35"/>
  <c r="H27" i="35"/>
  <c r="H30" i="35"/>
  <c r="H29" i="35"/>
  <c r="H33" i="35"/>
  <c r="H32" i="35"/>
  <c r="H35" i="35"/>
  <c r="B10" i="28"/>
  <c r="B16" i="28" s="1"/>
  <c r="A10" i="28"/>
  <c r="A16" i="28" s="1"/>
  <c r="B7" i="28"/>
  <c r="B13" i="28" s="1"/>
  <c r="B19" i="28" s="1"/>
  <c r="B28" i="28" s="1"/>
  <c r="A7" i="28"/>
  <c r="A13" i="28" s="1"/>
  <c r="A19" i="28" s="1"/>
  <c r="A28" i="28" s="1"/>
  <c r="A25" i="28" l="1"/>
  <c r="A22" i="28"/>
  <c r="B25" i="28"/>
  <c r="B22" i="28"/>
  <c r="A3" i="29" l="1"/>
  <c r="A4" i="25"/>
  <c r="A1" i="29" l="1"/>
  <c r="A1" i="22" l="1"/>
  <c r="A1" i="27"/>
  <c r="A1" i="28"/>
  <c r="A1" i="9"/>
  <c r="A1" i="25" l="1"/>
  <c r="A1" i="18"/>
  <c r="A1" i="30"/>
  <c r="A1" i="14"/>
  <c r="A1" i="31"/>
  <c r="A1" i="13"/>
  <c r="X13" i="31" l="1"/>
  <c r="X14" i="31" s="1"/>
  <c r="W13" i="31"/>
  <c r="W14" i="31" s="1"/>
  <c r="V13" i="31"/>
  <c r="V14" i="31" s="1"/>
  <c r="U13" i="31"/>
  <c r="U14" i="31" s="1"/>
  <c r="T13" i="31"/>
  <c r="T14" i="31" s="1"/>
  <c r="S13" i="31"/>
  <c r="S14" i="31" s="1"/>
  <c r="R13" i="31"/>
  <c r="R14" i="31" s="1"/>
  <c r="Q13" i="31"/>
  <c r="Q14" i="31" s="1"/>
  <c r="P13" i="31"/>
  <c r="P14" i="31" s="1"/>
  <c r="O13" i="31"/>
  <c r="O14" i="31" s="1"/>
  <c r="N13" i="31"/>
  <c r="N14" i="31" s="1"/>
  <c r="M13" i="31"/>
  <c r="M14" i="31" s="1"/>
  <c r="L13" i="31"/>
  <c r="L14" i="31" s="1"/>
  <c r="K13" i="31"/>
  <c r="K14" i="31" s="1"/>
  <c r="J13" i="31"/>
  <c r="J14" i="31" s="1"/>
  <c r="I14" i="31"/>
  <c r="AB9" i="21" l="1"/>
  <c r="AB8" i="21"/>
  <c r="AB7" i="21"/>
  <c r="AB6" i="21"/>
  <c r="AB5" i="21"/>
  <c r="AB4" i="21"/>
  <c r="B20" i="9" l="1"/>
  <c r="G10" i="9"/>
  <c r="G8" i="9"/>
  <c r="C12" i="9" l="1"/>
  <c r="G12" i="9" s="1"/>
  <c r="C4" i="18" l="1"/>
  <c r="C5" i="18"/>
  <c r="C6" i="18"/>
  <c r="C3" i="18"/>
  <c r="H3" i="18" l="1"/>
  <c r="H6" i="18"/>
  <c r="I6" i="18"/>
  <c r="H5" i="18"/>
  <c r="I5" i="18"/>
  <c r="I4" i="18"/>
  <c r="H4" i="18"/>
  <c r="B4" i="18"/>
  <c r="G4" i="18" s="1"/>
  <c r="B5" i="18"/>
  <c r="G5" i="18" s="1"/>
  <c r="J5" i="18" s="1"/>
  <c r="B6" i="18"/>
  <c r="G6" i="18" s="1"/>
  <c r="J6" i="18" s="1"/>
  <c r="K7" i="13"/>
  <c r="J7" i="13"/>
  <c r="B21" i="9" l="1"/>
  <c r="C11" i="9" s="1"/>
  <c r="AA26" i="31"/>
  <c r="AA29" i="31" s="1"/>
  <c r="J4" i="18"/>
  <c r="C13" i="9"/>
  <c r="I4" i="13"/>
  <c r="G13" i="9"/>
  <c r="C9" i="9"/>
  <c r="G9" i="9" s="1"/>
  <c r="G11" i="9"/>
  <c r="I6" i="13"/>
  <c r="I5" i="13"/>
  <c r="I3" i="13"/>
  <c r="I30" i="31" l="1"/>
  <c r="I27" i="31"/>
  <c r="I28" i="31"/>
  <c r="I29" i="31"/>
  <c r="I26" i="31"/>
  <c r="I7" i="13"/>
  <c r="G15" i="9"/>
  <c r="B3" i="9" s="1"/>
  <c r="A4" i="18"/>
  <c r="A5" i="18"/>
  <c r="A6" i="18"/>
  <c r="A3" i="18"/>
  <c r="G14" i="9" l="1"/>
  <c r="A3" i="9" s="1"/>
  <c r="C3" i="9"/>
  <c r="G16" i="9"/>
  <c r="B3" i="18"/>
  <c r="G3" i="18" s="1"/>
  <c r="J3" i="18" s="1"/>
  <c r="J7" i="18" s="1"/>
  <c r="M7" i="13" l="1"/>
</calcChain>
</file>

<file path=xl/sharedStrings.xml><?xml version="1.0" encoding="utf-8"?>
<sst xmlns="http://schemas.openxmlformats.org/spreadsheetml/2006/main" count="881" uniqueCount="522">
  <si>
    <t>Data Sources</t>
  </si>
  <si>
    <t>Dataset</t>
  </si>
  <si>
    <t>Dodge 2023</t>
  </si>
  <si>
    <r>
      <t>Commercial End-Use Survey</t>
    </r>
    <r>
      <rPr>
        <sz val="10"/>
        <rFont val="Arial"/>
        <family val="2"/>
      </rPr>
      <t xml:space="preserve"> (CEUS) 2022</t>
    </r>
  </si>
  <si>
    <t>https://www.energy.ca.gov/publications/2023/2022-california-commercial-end-use-survey-ceus-final-report</t>
  </si>
  <si>
    <t xml:space="preserve"> </t>
  </si>
  <si>
    <r>
      <t xml:space="preserve">Commercial Buildings Energy Consumption Survey </t>
    </r>
    <r>
      <rPr>
        <sz val="10"/>
        <rFont val="Arial"/>
        <family val="2"/>
      </rPr>
      <t>(CBECS) 2018</t>
    </r>
  </si>
  <si>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</si>
  <si>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</si>
  <si>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</si>
  <si>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Prototypes</t>
  </si>
  <si>
    <r>
      <rPr>
        <sz val="10"/>
        <color rgb="FF000000"/>
        <rFont val="Arial"/>
        <family val="2"/>
      </rPr>
      <t>California Energy Commission</t>
    </r>
    <r>
      <rPr>
        <sz val="10"/>
        <color rgb="FF000000"/>
        <rFont val="Arial"/>
        <family val="2"/>
      </rPr>
      <t xml:space="preserve"> (CEC) Medium Retail prototype (CBECC 2022.3.1)</t>
    </r>
  </si>
  <si>
    <t>https://bees.noresco.com/software2022.html</t>
  </si>
  <si>
    <r>
      <rPr>
        <sz val="10"/>
        <color rgb="FF000000"/>
        <rFont val="Arial"/>
        <family val="2"/>
      </rPr>
      <t>Pacific Northwest National Laboratory</t>
    </r>
    <r>
      <rPr>
        <sz val="10"/>
        <color rgb="FF000000"/>
        <rFont val="Arial"/>
        <family val="2"/>
      </rPr>
      <t xml:space="preserve"> (PNNL) Strip Mall Retail prototypes (90.1-2022)</t>
    </r>
  </si>
  <si>
    <t>https://www.energycodes.gov/prototype-building-models#Commercial</t>
  </si>
  <si>
    <r>
      <rPr>
        <sz val="10"/>
        <color rgb="FF000000"/>
        <rFont val="Arial"/>
        <family val="2"/>
      </rPr>
      <t>Database for Energy Efficient Resources</t>
    </r>
    <r>
      <rPr>
        <sz val="10"/>
        <color theme="1"/>
        <rFont val="Arial"/>
        <family val="2"/>
      </rPr>
      <t xml:space="preserve"> (DEER) Retail prototypes (June 2023)</t>
    </r>
  </si>
  <si>
    <t>https://github.com/sound-data/DEER-Prototypes-EnergyPlus</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</si>
  <si>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</si>
  <si>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</si>
  <si>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</si>
  <si>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</si>
  <si>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</si>
  <si>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</si>
  <si>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</si>
  <si>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r>
      <rPr>
        <sz val="10"/>
        <color rgb="FF000000"/>
        <rFont val="Arial"/>
        <family val="2"/>
      </rPr>
      <t>Code of Federal Regulations</t>
    </r>
    <r>
      <rPr>
        <sz val="10"/>
        <rFont val="Arial"/>
        <family val="2"/>
      </rPr>
      <t xml:space="preserve"> (CFR) Title 10 ( 2010)</t>
    </r>
  </si>
  <si>
    <t>https://www.govinfo.gov/content/pkg/FR-2009-03-23/pdf/FR-2009-03-23.pdf</t>
  </si>
  <si>
    <t>CFR Title 10 ( 2024)</t>
  </si>
  <si>
    <t>https://www.govinfo.gov/content/pkg/CFR-2024-title10-vol3/pdf/CFR-2024-title10-vol3-part431-subpartF.pdf</t>
  </si>
  <si>
    <t>Others</t>
  </si>
  <si>
    <r>
      <rPr>
        <sz val="10"/>
        <color rgb="FF000000"/>
        <rFont val="Arial"/>
        <family val="2"/>
      </rPr>
      <t>Alternative Calculation Method</t>
    </r>
    <r>
      <rPr>
        <sz val="10"/>
        <color theme="1"/>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</si>
  <si>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</si>
  <si>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</si>
  <si>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</si>
  <si>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r>
      <rPr>
        <sz val="10"/>
        <color rgb="FF000000"/>
        <rFont val="Arial"/>
        <family val="2"/>
      </rPr>
      <t xml:space="preserve">Nonres ACM 2022, </t>
    </r>
    <r>
      <rPr>
        <sz val="10"/>
        <color theme="1"/>
        <rFont val="Arial"/>
        <family val="2"/>
      </rPr>
      <t>Appendix 5.4A and Appendix 5.4B</t>
    </r>
  </si>
  <si>
    <r>
      <t xml:space="preserve">2022 Reduced infiltration </t>
    </r>
    <r>
      <rPr>
        <sz val="10"/>
        <color rgb="FF000000"/>
        <rFont val="Arial"/>
        <family val="2"/>
      </rPr>
      <t xml:space="preserve">Codes and Standards Enhancement </t>
    </r>
    <r>
      <rPr>
        <sz val="10"/>
        <color theme="1"/>
        <rFont val="Arial"/>
        <family val="2"/>
      </rPr>
      <t xml:space="preserve">(CASE)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</si>
  <si>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</si>
  <si>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</si>
  <si>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</si>
  <si>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</si>
  <si>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</si>
  <si>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</si>
  <si>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</si>
  <si>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</si>
  <si>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</si>
  <si>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</si>
  <si>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</si>
  <si>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</si>
  <si>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</si>
  <si>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</si>
  <si>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</si>
  <si>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</si>
  <si>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</si>
  <si>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Notes</t>
  </si>
  <si>
    <t>This prototype represents a partitioned strip mall typology for retail up to approximately 100,000 ft².</t>
  </si>
  <si>
    <t>NORESCO, Updated September 2026</t>
  </si>
  <si>
    <t>RetailStripMall</t>
  </si>
  <si>
    <t>Characteristic</t>
  </si>
  <si>
    <t>Value</t>
  </si>
  <si>
    <t>Building Type</t>
  </si>
  <si>
    <t>Small Retail</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</si>
  <si>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</si>
  <si>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</si>
  <si>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</si>
  <si>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</si>
  <si>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</si>
  <si>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</si>
  <si>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</si>
  <si>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</si>
  <si>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Geometry of  CBECC Retail Strip Mall prototype was adapted</t>
  </si>
  <si>
    <t>Total Floor Area (ft²)</t>
  </si>
  <si>
    <t>9,375  (125 ft x 75 ft)</t>
  </si>
  <si>
    <t>Aspect Ratio</t>
  </si>
  <si>
    <t>1.67 overall
(0.33 for small store &amp; 0.67 for large store)</t>
  </si>
  <si>
    <t>Number of Floors</t>
  </si>
  <si>
    <t>Roof type</t>
  </si>
  <si>
    <t>Roof membrane+Roof insulation+metal decking</t>
  </si>
  <si>
    <t>WWR</t>
  </si>
  <si>
    <t>Shading Geometry</t>
  </si>
  <si>
    <t>none</t>
  </si>
  <si>
    <t>Floor to floor height (feet)</t>
  </si>
  <si>
    <t>N/A</t>
  </si>
  <si>
    <t>Floor to ceiling height (feet)</t>
  </si>
  <si>
    <t>Glazing sill height (feet)</t>
  </si>
  <si>
    <t>3.0 ft (top of the window is 8 ft high)</t>
  </si>
  <si>
    <t>Existing Retail Prototypes</t>
  </si>
  <si>
    <t>CEC: Retail_Large</t>
  </si>
  <si>
    <t>CPUC: Retail_Multistory Large (Rt3)</t>
  </si>
  <si>
    <t>CPUC: Retail_Single-Story Large (RtL)</t>
  </si>
  <si>
    <t>Large size prototype</t>
  </si>
  <si>
    <t>Total floor area (ft²)</t>
  </si>
  <si>
    <t xml:space="preserve">CEC: Retail_Medium </t>
  </si>
  <si>
    <t>PNNL : Retail_Stand alone</t>
  </si>
  <si>
    <t>PNNL: Retail_Stripmall</t>
  </si>
  <si>
    <r>
      <t>CPUC: Retail_</t>
    </r>
    <r>
      <rPr>
        <b/>
        <sz val="10"/>
        <color rgb="FF000000"/>
        <rFont val="Arial"/>
        <family val="2"/>
      </rPr>
      <t>Grocery</t>
    </r>
  </si>
  <si>
    <t>Medium size prototype</t>
  </si>
  <si>
    <t xml:space="preserve">zoning same as PNNL Stand alone with more skylight </t>
  </si>
  <si>
    <t>CEC: Retail_Stripmall (Mixed use)</t>
  </si>
  <si>
    <t xml:space="preserve">CPUC: Retail_Small (RtS) </t>
  </si>
  <si>
    <t>Small size prototype</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</si>
  <si>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</si>
  <si>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</si>
  <si>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</si>
  <si>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 (NC)</t>
  </si>
  <si>
    <t>HVAC System Name (Existing)</t>
  </si>
  <si>
    <t>Schedule Category</t>
  </si>
  <si>
    <t>Conditioned (Y/N)</t>
  </si>
  <si>
    <t>Area Fraction</t>
  </si>
  <si>
    <t>Area (ft²)</t>
  </si>
  <si>
    <t>Volume (ft³)</t>
  </si>
  <si>
    <t>Multipliers</t>
  </si>
  <si>
    <t>Number of People</t>
  </si>
  <si>
    <t xml:space="preserve">People 
(Persons/1,000 ft²)
[T24, 2025,Table 120.1-A] </t>
  </si>
  <si>
    <t xml:space="preserve">Spaces and Zoning layout  </t>
  </si>
  <si>
    <t>LG_Store_1</t>
  </si>
  <si>
    <t>Retail Sales Area (Retail Merchandise Sales)</t>
  </si>
  <si>
    <t>SZVAVHP_LG_Store</t>
  </si>
  <si>
    <t>SZAC_LG_Store</t>
  </si>
  <si>
    <t>Retail</t>
  </si>
  <si>
    <t>Y</t>
  </si>
  <si>
    <t>SM_Store_1</t>
  </si>
  <si>
    <t>SZVAVHP_SM_Store1</t>
  </si>
  <si>
    <t>SZAC_SM_Store1</t>
  </si>
  <si>
    <t>SM_Store_2</t>
  </si>
  <si>
    <t>SZVAVHP_SM_Store2</t>
  </si>
  <si>
    <t>SZAC_SM_Store2</t>
  </si>
  <si>
    <t>SM_Store_3</t>
  </si>
  <si>
    <t>SZVAVHP_SM_Store3</t>
  </si>
  <si>
    <t>SZAC_SM_Store3</t>
  </si>
  <si>
    <t>Total (1 Building)</t>
  </si>
  <si>
    <t>Total (4 Space)s</t>
  </si>
  <si>
    <t>Total (1 Space type)</t>
  </si>
  <si>
    <t>Total (4 HVAC systems)</t>
  </si>
  <si>
    <t xml:space="preserve"> Total (1 Schedule category)</t>
  </si>
  <si>
    <t xml:space="preserve"> Total (4 Conditioned zones)</t>
  </si>
  <si>
    <t>Plan from CBECC 2022, Retail_Stripmall prototype</t>
  </si>
  <si>
    <t>Background Data [To be deleted prior to publication]</t>
  </si>
  <si>
    <t>Floorspace-Types-30Oct2024</t>
  </si>
  <si>
    <t>Retail (CEUS 2022, statewide %)</t>
  </si>
  <si>
    <t>Conditioned</t>
  </si>
  <si>
    <t>Unconditioned</t>
  </si>
  <si>
    <t>Ventilated</t>
  </si>
  <si>
    <t>Likely storage in larger Retail (see Medium/Standalone)</t>
  </si>
  <si>
    <t>Element</t>
  </si>
  <si>
    <t>Prototype</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</si>
  <si>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</si>
  <si>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</si>
  <si>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</si>
  <si>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</si>
  <si>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</si>
  <si>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</si>
  <si>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</si>
  <si>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</si>
  <si>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</si>
  <si>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</si>
  <si>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</si>
  <si>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</si>
  <si>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</si>
  <si>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</si>
  <si>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</si>
  <si>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</si>
  <si>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</si>
  <si>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</si>
  <si>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</si>
  <si>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</si>
  <si>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</si>
  <si>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</si>
  <si>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</si>
  <si>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RetailStripmall</t>
  </si>
  <si>
    <t>ExtWall_MetalFramed_NonRes</t>
  </si>
  <si>
    <t>Metal framed wall:
Metal-frame walls + insulation + Gypsum board</t>
  </si>
  <si>
    <t>U-factor IP</t>
  </si>
  <si>
    <t>Pre 1978</t>
  </si>
  <si>
    <t>ASHRAE 90.1, 2022, Table A3.3.3.1, 3.5", R-0</t>
  </si>
  <si>
    <t>1978-1997</t>
  </si>
  <si>
    <t>Heat Capacity was considered 10.0-14.99 (Btu/F-ft²)</t>
  </si>
  <si>
    <t>1998-2007</t>
  </si>
  <si>
    <t>TABLE 1-H-NonRes Bldgs</t>
  </si>
  <si>
    <t>2008-2018</t>
  </si>
  <si>
    <t>TABLE 140.3-B-NonRes Bldgs</t>
  </si>
  <si>
    <t>Existing</t>
  </si>
  <si>
    <t>2019+</t>
  </si>
  <si>
    <t>Roof</t>
  </si>
  <si>
    <t>FlatRoof_WoodFramedAndOther_NonRes</t>
  </si>
  <si>
    <t>Metal deck roof: 
Roof membrane+roof insulation+metal decking</t>
  </si>
  <si>
    <t>Considering 30 years for roof/ insulation replacement.</t>
  </si>
  <si>
    <t>Table 1-H</t>
  </si>
  <si>
    <t>Table 140.3-B</t>
  </si>
  <si>
    <t>Windows</t>
  </si>
  <si>
    <t>FixedWindow_NonRes</t>
  </si>
  <si>
    <t xml:space="preserve">CBECS 2018 shows that ~ 50 % of retail that were built before 2000 are single pane </t>
  </si>
  <si>
    <t>2021 ASHRAE Handbook of Fundamentals - Section 15.9 Table 4 for single pane &amp; T24, 2013 Table 140.3-B for double pane (50%-50%)</t>
  </si>
  <si>
    <t>Double pane</t>
  </si>
  <si>
    <t xml:space="preserve">Table 140.3-B </t>
  </si>
  <si>
    <t>SHGC</t>
  </si>
  <si>
    <t>2021 ASHRAE Handbook of Fundamentals - Section 15.22 Table 10 for single pane &amp; T24, 2013 Table 140.3-B for double pane (50%-50%)</t>
  </si>
  <si>
    <t xml:space="preserve"> Table 1-H (Non north 0-10%)</t>
  </si>
  <si>
    <t>Infiltration</t>
  </si>
  <si>
    <t>Zones</t>
  </si>
  <si>
    <t xml:space="preserve">I_75 (cfm/ft²)
6-sdied Infiltration rate @ 75 pa </t>
  </si>
  <si>
    <t xml:space="preserve"> I-design (cfm/ft²) 
(4-sided Infiltration rate at normal pressure) 
(Design flow rate approach and Flow/Exterior Wall Area calculation method) </t>
  </si>
  <si>
    <t>2022 CASE report (Table 38)</t>
  </si>
  <si>
    <r>
      <t>Floor or roof area (ft</t>
    </r>
    <r>
      <rPr>
        <vertAlign val="superscript"/>
        <sz val="10"/>
        <color rgb="FF000000"/>
        <rFont val="Arial"/>
        <family val="2"/>
      </rPr>
      <t>2</t>
    </r>
    <r>
      <rPr>
        <sz val="10"/>
        <color rgb="FF000000"/>
        <rFont val="Arial"/>
        <family val="2"/>
      </rPr>
      <t>)</t>
    </r>
  </si>
  <si>
    <t>Walls area (ft2)</t>
  </si>
  <si>
    <t xml:space="preserve">Building 4 sided area (ft2) </t>
  </si>
  <si>
    <t>2022 CASE report (Table 38) &amp;
T24, 2008-2016 (TABLE 140.3-B)</t>
  </si>
  <si>
    <t xml:space="preserve">Building 6 sided area (ft2) </t>
  </si>
  <si>
    <t>0.6 (barrier in all CZ)</t>
  </si>
  <si>
    <t>2022 CASE report (Table 38) &amp;  
T24, 2025 (TABLE 140.3-B)</t>
  </si>
  <si>
    <t>Source:  Title 24 air barrier requirements (all editions) and the standardized infiltration rate reported in the 2022 CASE report and Dodge 2023 data</t>
  </si>
  <si>
    <t xml:space="preserve">Air Leakage Memo: </t>
  </si>
  <si>
    <t xml:space="preserve">Heating </t>
  </si>
  <si>
    <t>Cooling</t>
  </si>
  <si>
    <t>Air Distribution</t>
  </si>
  <si>
    <t>Other systems</t>
  </si>
  <si>
    <t>Source</t>
  </si>
  <si>
    <t xml:space="preserve">Existing  </t>
  </si>
  <si>
    <t>PSZAC (furnace)</t>
  </si>
  <si>
    <t>PSZAC (DX cooling)</t>
  </si>
  <si>
    <t>PSZAC</t>
  </si>
  <si>
    <t>OA mixing 
Economizer for Vintage 3 and 4</t>
  </si>
  <si>
    <t>CEUS 2022</t>
  </si>
  <si>
    <t>New Construction</t>
  </si>
  <si>
    <t xml:space="preserve">SZVAVHP </t>
  </si>
  <si>
    <t>PSZVAVHP</t>
  </si>
  <si>
    <t>OA mixing 
Economizer</t>
  </si>
  <si>
    <t>Title 24, 2025, Engineering judgement</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</si>
  <si>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</si>
  <si>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 year</t>
  </si>
  <si>
    <t>Thermal Efficiency of 80%</t>
  </si>
  <si>
    <t>SEER=13.0 for &lt;65 kBtu/h
EER 10.1 for  65-135 kBtu/h
EER 9.5 for 135-240 kBtu/h
EER 9.3 for 240-760 kBtu/h</t>
  </si>
  <si>
    <t>T24, Table 112-A (2008)
10 CFR § 431.97, Table 1 (2008)
California Title 20 Appliance Efficiency Regulations, Table E-4, Standards for Gas- and Oil-Fired Central Furnaces (2008)</t>
  </si>
  <si>
    <t>Thermal Efficiency of 80%;</t>
  </si>
  <si>
    <t>SEER 13 for &lt;65 kBtu/h
EER 11.0 for  65-135 kBtu/h
EER 10.8 for 135-240 kBtu/h
EER 9.8 for 240-760 kBtu/h</t>
  </si>
  <si>
    <t>T24 Tables 110.2-A, 110.2-J (2013)
 10 CFR, § 431.97, Table 1 (2013)</t>
  </si>
  <si>
    <t>HSPF 8.0 for &lt;65 kBtu/h
COP 3.4 for 65-135 kBtu/h
COP 3.3 for 135-240 kBtu/h
COP 3.2 for &gt;240 kBtu/h</t>
  </si>
  <si>
    <t>SEER 14 for &lt;65 kBtu/h
EER 10.8, IEER 13.9 for 65-135 kBtu/h
EER 10.4,  IEER = 13.3 135-240 kBtu/h
EER 9.3, IEER=12.3 for &gt;240 kBtu/h</t>
  </si>
  <si>
    <t xml:space="preserve"> 10 CFR § 431.97(b) Table 1 (2025)
Title 20 Appliance Efficiency Regulations, Section 1605.1, Table C-5 (2025)
T24, Table 110.2-B (2025)</t>
  </si>
  <si>
    <t>Fan Power</t>
  </si>
  <si>
    <t>Approach</t>
  </si>
  <si>
    <t>System</t>
  </si>
  <si>
    <t>Total Static Pressure (TSP)
(in w.c.)</t>
  </si>
  <si>
    <t>Fan Efficiency
[ACM 2025]</t>
  </si>
  <si>
    <t xml:space="preserve">Motor Efficiency </t>
  </si>
  <si>
    <t xml:space="preserve"> Fan Power Index 
(W/cfm)</t>
  </si>
  <si>
    <t>Data Source</t>
  </si>
  <si>
    <t>PNNL 90.1-2011, TSP</t>
  </si>
  <si>
    <t>CAV &lt; 7,437 cfm</t>
  </si>
  <si>
    <t>ASHRAE 90.1, 2004, Table 10.8 *</t>
  </si>
  <si>
    <t>Fan power formula: PNNL 20405, 2010, section 5.2.2.5
TSP and fan efficiecncy: PNNL 20405, 2010, Table 5.11, 90.1-04ac values
Motor and drive efficiency: ASHRAE 90.1, 2004, Table 10.8</t>
  </si>
  <si>
    <t>CAV &gt;= 7,437 cfm</t>
  </si>
  <si>
    <t>Brake horsepower (bhp) = (Supply cfm × TSP in w.c.) / (6356 × fan efficiency)</t>
  </si>
  <si>
    <t>Fan power (w/cfm) = (bhp ×  746) / ( supply cfm × motor efficiency )</t>
  </si>
  <si>
    <t>ACM 2025</t>
  </si>
  <si>
    <t>SZVAVHP (System 7b), tenant unit ≤5,000 cfm</t>
  </si>
  <si>
    <t>TSP = fan power × motor efficiency × fan efficiency × 6356 / 746</t>
  </si>
  <si>
    <t>2025 ACM Table 12 **</t>
  </si>
  <si>
    <t>Fan power index: [ACM 2025, Table 13]
Motor efficiency: [ACM 2025, Table 12]</t>
  </si>
  <si>
    <t>SZVAVHP (System 7b), &gt;5,000 and ≤10,000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</si>
  <si>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</si>
  <si>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Strip-mall packaged SZVAVHP. ACM System 7b ≤5,000 cfm.
     Note: ACM System 7b mid bin, if a tenant unit is above 5,000 cfm.</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</si>
  <si>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</si>
  <si>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</si>
  <si>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</si>
  <si>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</si>
  <si>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</si>
  <si>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</si>
  <si>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</si>
  <si>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</si>
  <si>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2* 25/50 per unit</t>
  </si>
  <si>
    <t>Although the restroom is not simulated as a separate zone, its exhaust rate and fan load are included in the model.</t>
  </si>
  <si>
    <t>Setpoint</t>
  </si>
  <si>
    <t>Heating Setpoint (F)</t>
  </si>
  <si>
    <t>T24 2022 - Appendix 5.4B</t>
  </si>
  <si>
    <t>Heating Setback (F)</t>
  </si>
  <si>
    <t>Cooling Setpoint (F)</t>
  </si>
  <si>
    <t>Cooling Setback (F)</t>
  </si>
  <si>
    <t>WH Type</t>
  </si>
  <si>
    <t>Efficiency</t>
  </si>
  <si>
    <t>Number of WH</t>
  </si>
  <si>
    <t>Tank Volume (gal)</t>
  </si>
  <si>
    <t>Tank Loss</t>
  </si>
  <si>
    <t>Electric</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</si>
  <si>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</si>
  <si>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</si>
  <si>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</si>
  <si>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</si>
  <si>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</si>
  <si>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</si>
  <si>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</si>
  <si>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</si>
  <si>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</si>
  <si>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</si>
  <si>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</si>
  <si>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Total</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</si>
  <si>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</si>
  <si>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</si>
  <si>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</si>
  <si>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</si>
  <si>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</si>
  <si>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</si>
  <si>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</si>
  <si>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</si>
  <si>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</si>
  <si>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</si>
  <si>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</si>
  <si>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 (Individual WH)</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</si>
  <si>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</si>
  <si>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</si>
  <si>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</si>
  <si>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</si>
  <si>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</si>
  <si>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</si>
  <si>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</si>
  <si>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</si>
  <si>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</si>
  <si>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</si>
  <si>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</si>
  <si>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</si>
  <si>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</si>
  <si>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</si>
  <si>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</si>
  <si>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</si>
  <si>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</si>
  <si>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</si>
  <si>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</si>
  <si>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</si>
  <si>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</si>
  <si>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</si>
  <si>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</si>
  <si>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</si>
  <si>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</si>
  <si>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</si>
  <si>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</si>
  <si>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</si>
  <si>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</si>
  <si>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</si>
  <si>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</si>
  <si>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</si>
  <si>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 Type</t>
  </si>
  <si>
    <t xml:space="preserve">New Construction </t>
  </si>
  <si>
    <t>LPD (W/ft²)</t>
  </si>
  <si>
    <t>Additional LPD for Portable Lighting (W/ft²)</t>
  </si>
  <si>
    <t xml:space="preserve">LPD (W/ft²) </t>
  </si>
  <si>
    <t>T24, part 6, 2025, Table 140.6-C</t>
  </si>
  <si>
    <t>T24, part 6, 2016, Table 140.6-C</t>
  </si>
  <si>
    <t>The percentage of additional lighting depends heavily on the specific store type. As a general assumption, additional lighting is calculated for 20% of the Retail Sales Area.</t>
  </si>
  <si>
    <t>Motion Controlled Luminaires (W)</t>
  </si>
  <si>
    <t>Non-motion Controlled Luminaires (W)</t>
  </si>
  <si>
    <t>Total (W)</t>
  </si>
  <si>
    <t>T24, 2022</t>
  </si>
  <si>
    <t>Exterior Lighting</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</si>
  <si>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</si>
  <si>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</si>
  <si>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</si>
  <si>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</si>
  <si>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</si>
  <si>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</si>
  <si>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</si>
  <si>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</si>
  <si>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r>
      <t>400 ft² for every parking space</t>
    </r>
    <r>
      <rPr>
        <sz val="10"/>
        <color rgb="FF000000"/>
        <rFont val="Arial"/>
        <family val="2"/>
      </rPr>
      <t xml:space="preserve"> [2019 Lighting CASE report, Appendix H]</t>
    </r>
    <r>
      <rPr>
        <sz val="10"/>
        <color theme="1"/>
        <rFont val="Arial"/>
        <family val="2"/>
      </rPr>
      <t xml:space="preserve">
1 parking space per 360 ft² of gross building area </t>
    </r>
    <r>
      <rPr>
        <sz val="10"/>
        <color rgb="FF000000"/>
        <rFont val="Arial"/>
        <family val="2"/>
      </rPr>
      <t xml:space="preserve"> [2019 Lighting CASE report, Table 38]</t>
    </r>
  </si>
  <si>
    <t>(ft²)</t>
  </si>
  <si>
    <t>(W/ft²)</t>
  </si>
  <si>
    <t>Building Entrance</t>
  </si>
  <si>
    <t xml:space="preserve">5 building entrance </t>
  </si>
  <si>
    <t>(count)</t>
  </si>
  <si>
    <t>(W/ea)</t>
  </si>
  <si>
    <t>Hardscape Ornamental Light</t>
  </si>
  <si>
    <r>
      <rPr>
        <sz val="10"/>
        <color rgb="FF000000"/>
        <rFont val="Arial"/>
        <family val="2"/>
      </rPr>
      <t>0.1 ft² per 1 ft² of gross bldg area</t>
    </r>
    <r>
      <rPr>
        <sz val="10"/>
        <color rgb="FF000000"/>
        <rFont val="Arial"/>
        <family val="2"/>
      </rPr>
      <t xml:space="preserve"> [2019 Lighting CASE report, Table 36]
*The 0.5 multiplier has not been applied, as it is assumed it will be incorporated later during the measure analysis study.</t>
    </r>
  </si>
  <si>
    <t>Building façade</t>
  </si>
  <si>
    <t>0.1 W per 1 ft² of facade area 
Façade Area = Perimeter × 0.5 × 17' 
The 0.5 factor assumes that only half of the perimeter walls are lit.
-Formula ia developed based on the 2019 Outdoor Lighting CASE report</t>
  </si>
  <si>
    <t>Sales canopy</t>
  </si>
  <si>
    <t>0.1 ft² per ft² of gross bldg area</t>
  </si>
  <si>
    <t>Motion controlled Luminaires</t>
  </si>
  <si>
    <t>Non-motion-controlled Luminaires</t>
  </si>
  <si>
    <t>*Developed based on 2019 Outdoor Lighting CASE Report</t>
  </si>
  <si>
    <t>Perimeter</t>
  </si>
  <si>
    <t>Total floor area</t>
  </si>
  <si>
    <t>Floors</t>
  </si>
  <si>
    <t>Plug Load Power Density (W/ft²)</t>
  </si>
  <si>
    <t>Refrigerator Power Density (W/ft²)</t>
  </si>
  <si>
    <t>Gas Power Density (Btu/hr-ft²)</t>
  </si>
  <si>
    <t xml:space="preserve">Mix of sources including "High-Efficiency Retrofit Lessons for Retail from a SuperTarget" (2013) &amp;
ASHRAE 90.1 Prototype </t>
  </si>
  <si>
    <t>Zone</t>
  </si>
  <si>
    <t>Schedule</t>
  </si>
  <si>
    <t>Type</t>
  </si>
  <si>
    <t>Hour</t>
  </si>
  <si>
    <t>All Zones</t>
  </si>
  <si>
    <t>Occupancy</t>
  </si>
  <si>
    <t>NLR Study "Final Optimization Report: Empowering Energy Efficiency in Existing Big-Box Retail/Grocery Stores", (2020)</t>
  </si>
  <si>
    <t>Weekday</t>
  </si>
  <si>
    <t>Saturday</t>
  </si>
  <si>
    <t>Sunday</t>
  </si>
  <si>
    <t>Lights</t>
  </si>
  <si>
    <t>T24 2022 - Appendix 5.4B, [Retail]</t>
  </si>
  <si>
    <t>ElecEquipment</t>
  </si>
  <si>
    <t>Plug load and schedules project with CEC, 2025</t>
  </si>
  <si>
    <t>HVACAvail</t>
  </si>
  <si>
    <t>ServiceHotWater</t>
  </si>
  <si>
    <t>Refrigeration</t>
  </si>
  <si>
    <t>HtgSetpt</t>
  </si>
  <si>
    <t>ClgSetpt</t>
  </si>
  <si>
    <t>Other</t>
  </si>
  <si>
    <t>ExtLightingNonMotionCtrl</t>
  </si>
  <si>
    <t>ExtLightingMotionCtrl</t>
  </si>
  <si>
    <t>Retails</t>
  </si>
  <si>
    <t>RetailSalePeopleActivityLevel</t>
  </si>
  <si>
    <t xml:space="preserve">Based on Activity level schedules in  CEC Prototypes </t>
  </si>
  <si>
    <t> </t>
  </si>
  <si>
    <t>National Average (EnergyStar Portfolio Manager)</t>
  </si>
  <si>
    <t>CEUS Energy Consumption : Retail</t>
  </si>
  <si>
    <t>PNNL RetailStripMall 2007 (with floor area of 22,500 ft2)  for San Diego shows 62 KBTU/ft2</t>
  </si>
  <si>
    <t>PNNL results are close to RetailMedium</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</si>
  <si>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</si>
  <si>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</si>
  <si>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</si>
  <si>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</si>
  <si>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</si>
  <si>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</si>
  <si>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</si>
  <si>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</si>
  <si>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</si>
  <si>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</si>
  <si>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</si>
  <si>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</si>
  <si>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</si>
  <si>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</si>
  <si>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</si>
  <si>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 xml:space="preserve">CEUS 2022 Acceptable EUI Range </t>
  </si>
  <si>
    <t>PNNL RetailStripMall 2022 (with floor area of 22,500 ft2) for San Diego shows 29 KBTU/ft2</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</si>
  <si>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</si>
  <si>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</si>
  <si>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Retail</t>
  </si>
  <si>
    <t>Vintage Bin</t>
  </si>
  <si>
    <t>Pre-1978</t>
  </si>
  <si>
    <t>Not available</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</si>
  <si>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</si>
  <si>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</si>
  <si>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</si>
  <si>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</si>
  <si>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</si>
  <si>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</si>
  <si>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</si>
  <si>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</si>
  <si>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</si>
  <si>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</si>
  <si>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</si>
  <si>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</si>
  <si>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</si>
  <si>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</si>
  <si>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</si>
  <si>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</si>
  <si>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</si>
  <si>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</si>
  <si>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</si>
  <si>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</si>
  <si>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</si>
  <si>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</si>
  <si>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</si>
  <si>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</si>
  <si>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</si>
  <si>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</si>
  <si>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</si>
  <si>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</si>
  <si>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</si>
  <si>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</si>
  <si>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</si>
  <si>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</si>
  <si>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</si>
  <si>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</si>
  <si>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</si>
  <si>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</si>
  <si>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</si>
  <si>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</si>
  <si>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</si>
  <si>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</si>
  <si>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</si>
  <si>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</si>
  <si>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</si>
  <si>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</si>
  <si>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</si>
  <si>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</si>
  <si>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</si>
  <si>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</si>
  <si>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</si>
  <si>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</si>
  <si>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</si>
  <si>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</si>
  <si>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</si>
  <si>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</si>
  <si>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</si>
  <si>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</si>
  <si>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</si>
  <si>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t>
  </si>
  <si>
    <t>Pharmacy Area</t>
  </si>
  <si>
    <t>Retail Sales Area (Grocery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</si>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</sst>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00_);_(* \(#,##0.000\);_(* &quot;-&quot;??_);_(@_)"/>
    <numFmt numFmtId="171" formatCode="0.0000"/>
  </numFmts>
  <fonts count="61"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0"/>
      <color rgb="FF000000"/>
      <name val="Arial"/>
      <family val="2"/>
      <charset val="1"/>
    </font>
    <font>
      <sz val="11"/>
      <color theme="1"/>
      <name val="Arial"/>
      <family val="2"/>
    </font>
    <font>
      <b/>
      <sz val="12"/>
      <color theme="1"/>
      <name val="Arial"/>
      <family val="2"/>
    </font>
    <font>
      <b/>
      <sz val="14"/>
      <color theme="1"/>
      <name val="Arial"/>
      <family val="2"/>
    </font>
    <font>
      <sz val="11"/>
      <color theme="0"/>
      <name val="Arial"/>
      <family val="2"/>
    </font>
    <font>
      <sz val="11"/>
      <color rgb="FF000000"/>
      <name val="Arial"/>
      <family val="2"/>
    </font>
    <font>
      <sz val="8"/>
      <color indexed="8"/>
      <name val="MS Sans Serif"/>
      <charset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b/>
      <sz val="12"/>
      <color rgb="FFFFFFFF"/>
      <name val="Arial"/>
      <family val="2"/>
    </font>
    <font>
      <sz val="10"/>
      <color rgb="FF0070C0"/>
      <name val="Arial"/>
      <family val="2"/>
    </font>
    <font>
      <b/>
      <sz val="11"/>
      <color rgb="FF0000CC"/>
      <name val="Arial"/>
      <family val="2"/>
    </font>
    <font>
      <b/>
      <sz val="11"/>
      <color theme="1"/>
      <name val="Arial"/>
      <family val="2"/>
    </font>
    <font>
      <u/>
      <sz val="11"/>
      <color theme="10"/>
      <name val="Arial"/>
      <family val="2"/>
    </font>
    <font>
      <sz val="9"/>
      <name val="Arial"/>
      <family val="2"/>
    </font>
    <font>
      <sz val="9"/>
      <color rgb="FF0070C0"/>
      <name val="Arial"/>
      <family val="2"/>
    </font>
    <font>
      <sz val="11"/>
      <color rgb="FF000000"/>
      <name val="Calibri"/>
      <family val="2"/>
    </font>
    <font>
      <sz val="9"/>
      <color rgb="FF000000"/>
      <name val="Arial"/>
      <family val="2"/>
    </font>
    <font>
      <sz val="11"/>
      <color theme="1"/>
      <name val="Calibri"/>
      <family val="2"/>
    </font>
    <font>
      <u/>
      <sz val="10"/>
      <color theme="10"/>
      <name val="Calibri"/>
      <family val="2"/>
      <scheme val="minor"/>
    </font>
    <font>
      <u/>
      <sz val="10"/>
      <color rgb="FF000000"/>
      <name val="Arial"/>
      <family val="2"/>
    </font>
    <font>
      <vertAlign val="superscript"/>
      <sz val="10"/>
      <color rgb="FF000000"/>
      <name val="Arial"/>
      <family val="2"/>
    </font>
    <font>
      <u/>
      <sz val="11"/>
      <color rgb="FF000000"/>
      <name val="Calibri"/>
      <family val="2"/>
      <scheme val="minor"/>
    </font>
    <font>
      <b/>
      <sz val="12"/>
      <color rgb="FFFFFFFF"/>
      <name val="Arial"/>
    </font>
    <font>
      <sz val="10"/>
      <color rgb="FFFFFFFF"/>
      <name val="Arial"/>
    </font>
  </fonts>
  <fills count="5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03764"/>
        <bgColor rgb="FF000000"/>
      </patternFill>
    </fill>
    <fill>
      <patternFill patternType="solid">
        <fgColor rgb="FFD9E1F2"/>
        <bgColor rgb="FF000000"/>
      </patternFill>
    </fill>
    <fill>
      <patternFill patternType="solid">
        <fgColor rgb="FFFFFFFF"/>
        <bgColor rgb="FF000000"/>
      </patternFill>
    </fill>
    <fill>
      <patternFill patternType="solid">
        <fgColor rgb="FF92D050"/>
        <bgColor rgb="FF000000"/>
      </patternFill>
    </fill>
    <fill>
      <patternFill patternType="solid">
        <fgColor rgb="FFD6DCE4"/>
        <bgColor rgb="FF000000"/>
      </patternFill>
    </fill>
    <fill>
      <patternFill patternType="solid">
        <fgColor rgb="FFFFF2CC"/>
        <bgColor rgb="FF000000"/>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949292"/>
        <bgColor indexed="64"/>
      </patternFill>
    </fill>
    <fill>
      <patternFill patternType="solid">
        <fgColor rgb="FFC2BCBC"/>
        <bgColor indexed="64"/>
      </patternFill>
    </fill>
  </fills>
  <borders count="18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right/>
      <top/>
      <bottom style="medium">
        <color indexed="64"/>
      </bottom>
      <diagonal/>
    </border>
    <border>
      <left/>
      <right style="medium">
        <color indexed="64"/>
      </right>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theme="1"/>
      </left>
      <right style="thin">
        <color theme="1"/>
      </right>
      <top style="thin">
        <color theme="1"/>
      </top>
      <bottom style="thin">
        <color theme="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left>
      <right/>
      <top style="thin">
        <color theme="1"/>
      </top>
      <bottom style="thin">
        <color theme="1"/>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medium">
        <color theme="1" tint="0.34998626667073579"/>
      </top>
      <bottom style="thin">
        <color rgb="FF000000"/>
      </bottom>
      <diagonal/>
    </border>
    <border>
      <left style="medium">
        <color theme="1" tint="0.34998626667073579"/>
      </left>
      <right style="thin">
        <color rgb="FF000000"/>
      </right>
      <top style="thin">
        <color rgb="FF000000"/>
      </top>
      <bottom style="thin">
        <color rgb="FF000000"/>
      </bottom>
      <diagonal/>
    </border>
    <border>
      <left style="medium">
        <color theme="1" tint="0.34998626667073579"/>
      </left>
      <right style="thin">
        <color rgb="FF000000"/>
      </right>
      <top style="thin">
        <color rgb="FF000000"/>
      </top>
      <bottom style="medium">
        <color theme="1" tint="0.34998626667073579"/>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style="medium">
        <color theme="1" tint="0.34998626667073579"/>
      </left>
      <right style="thin">
        <color rgb="FF000000"/>
      </right>
      <top style="thin">
        <color rgb="FF000000"/>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top style="medium">
        <color theme="1" tint="0.34998626667073579"/>
      </top>
      <bottom style="thin">
        <color rgb="FF000000"/>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right/>
      <top style="thin">
        <color rgb="FF000000"/>
      </top>
      <bottom style="thin">
        <color rgb="FF000000"/>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right/>
      <top style="thin">
        <color rgb="FF000000"/>
      </top>
      <bottom style="medium">
        <color theme="1" tint="0.34998626667073579"/>
      </bottom>
      <diagonal/>
    </border>
    <border>
      <left style="thin">
        <color theme="1" tint="0.34998626667073579"/>
      </left>
      <right style="medium">
        <color indexed="64"/>
      </right>
      <top style="medium">
        <color indexed="64"/>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indexed="64"/>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thin">
        <color theme="1" tint="0.34998626667073579"/>
      </right>
      <top/>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theme="1" tint="0.34998626667073579"/>
      </left>
      <right style="thin">
        <color theme="1" tint="0.34998626667073579"/>
      </right>
      <top/>
      <bottom style="medium">
        <color indexed="64"/>
      </bottom>
      <diagonal/>
    </border>
    <border>
      <left/>
      <right style="thin">
        <color theme="1" tint="0.34998626667073579"/>
      </right>
      <top style="medium">
        <color indexed="64"/>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medium">
        <color theme="1" tint="0.34998626667073579"/>
      </left>
      <right style="thin">
        <color rgb="FF000000"/>
      </right>
      <top/>
      <bottom style="thin">
        <color rgb="FF000000"/>
      </bottom>
      <diagonal/>
    </border>
    <border>
      <left style="thin">
        <color indexed="64"/>
      </left>
      <right style="medium">
        <color theme="1" tint="0.34998626667073579"/>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theme="1" tint="0.499984740745262"/>
      </left>
      <right/>
      <top/>
      <bottom/>
      <diagonal/>
    </border>
    <border>
      <left style="medium">
        <color theme="1" tint="0.499984740745262"/>
      </left>
      <right style="thin">
        <color indexed="64"/>
      </right>
      <top/>
      <bottom/>
      <diagonal/>
    </border>
    <border>
      <left style="medium">
        <color theme="1" tint="0.499984740745262"/>
      </left>
      <right style="thin">
        <color indexed="64"/>
      </right>
      <top/>
      <bottom style="medium">
        <color theme="1" tint="0.499984740745262"/>
      </bottom>
      <diagonal/>
    </border>
    <border>
      <left style="medium">
        <color theme="1" tint="0.499984740745262"/>
      </left>
      <right style="thin">
        <color indexed="64"/>
      </right>
      <top style="medium">
        <color theme="1" tint="0.499984740745262"/>
      </top>
      <bottom style="thin">
        <color indexed="64"/>
      </bottom>
      <diagonal/>
    </border>
    <border>
      <left style="medium">
        <color theme="1" tint="0.499984740745262"/>
      </left>
      <right/>
      <top/>
      <bottom/>
      <diagonal/>
    </border>
    <border>
      <left/>
      <right/>
      <top style="medium">
        <color theme="1" tint="0.499984740745262"/>
      </top>
      <bottom style="thin">
        <color indexed="64"/>
      </bottom>
      <diagonal/>
    </border>
    <border>
      <left/>
      <right/>
      <top/>
      <bottom style="medium">
        <color theme="1" tint="0.499984740745262"/>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medium">
        <color indexed="64"/>
      </right>
      <top/>
      <bottom style="medium">
        <color theme="1" tint="0.34998626667073579"/>
      </bottom>
      <diagonal/>
    </border>
    <border>
      <left style="thin">
        <color indexed="64"/>
      </left>
      <right style="thin">
        <color theme="1" tint="0.34998626667073579"/>
      </right>
      <top style="medium">
        <color theme="1" tint="0.34998626667073579"/>
      </top>
      <bottom/>
      <diagonal/>
    </border>
    <border>
      <left style="thin">
        <color indexed="64"/>
      </left>
      <right style="thin">
        <color theme="1" tint="0.34998626667073579"/>
      </right>
      <top/>
      <bottom/>
      <diagonal/>
    </border>
    <border>
      <left style="thin">
        <color indexed="64"/>
      </left>
      <right style="thin">
        <color theme="1" tint="0.34998626667073579"/>
      </right>
      <top/>
      <bottom style="medium">
        <color theme="1" tint="0.34998626667073579"/>
      </bottom>
      <diagonal/>
    </border>
    <border>
      <left style="thin">
        <color theme="1" tint="0.34998626667073579"/>
      </left>
      <right style="thin">
        <color indexed="64"/>
      </right>
      <top style="medium">
        <color theme="1" tint="0.34998626667073579"/>
      </top>
      <bottom/>
      <diagonal/>
    </border>
    <border>
      <left style="thin">
        <color theme="1" tint="0.34998626667073579"/>
      </left>
      <right style="thin">
        <color indexed="64"/>
      </right>
      <top/>
      <bottom/>
      <diagonal/>
    </border>
    <border>
      <left style="thin">
        <color theme="1" tint="0.34998626667073579"/>
      </left>
      <right style="thin">
        <color indexed="64"/>
      </right>
      <top/>
      <bottom style="medium">
        <color theme="1" tint="0.34998626667073579"/>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indexed="64"/>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thin">
        <color indexed="64"/>
      </right>
      <top style="thin">
        <color indexed="64"/>
      </top>
      <bottom/>
      <diagonal/>
    </border>
    <border>
      <left style="thin">
        <color rgb="FF808080"/>
      </left>
      <right/>
      <top style="thin">
        <color rgb="FF808080"/>
      </top>
      <bottom style="thin">
        <color rgb="FF808080"/>
      </bottom>
      <diagonal/>
    </border>
    <border>
      <left/>
      <right style="thin">
        <color indexed="64"/>
      </right>
      <top style="thin">
        <color rgb="FF808080"/>
      </top>
      <bottom style="thin">
        <color rgb="FF808080"/>
      </bottom>
      <diagonal/>
    </border>
    <border>
      <left style="thin">
        <color indexed="64"/>
      </left>
      <right style="thin">
        <color indexed="64"/>
      </right>
      <top style="thin">
        <color indexed="64"/>
      </top>
      <bottom style="thin">
        <color theme="1" tint="0.34998626667073579"/>
      </bottom>
      <diagonal/>
    </border>
    <border>
      <left/>
      <right/>
      <top style="thin">
        <color theme="1"/>
      </top>
      <bottom style="thin">
        <color theme="1"/>
      </bottom>
      <diagonal/>
    </border>
    <border>
      <left style="thin">
        <color rgb="FF000000"/>
      </left>
      <right style="thin">
        <color rgb="FF000000"/>
      </right>
      <top style="thin">
        <color rgb="FF000000"/>
      </top>
      <bottom style="thin">
        <color indexed="64"/>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0" tint="-0.499984740745262"/>
      </left>
      <right/>
      <top/>
      <bottom style="thin">
        <color theme="0" tint="-0.499984740745262"/>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66">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1"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0" fontId="2" fillId="0" borderId="0"/>
    <xf numFmtId="0" fontId="4" fillId="0" borderId="0" applyNumberFormat="0" applyFill="0" applyBorder="0" applyAlignment="0" applyProtection="0"/>
    <xf numFmtId="0" fontId="1" fillId="0" borderId="0"/>
    <xf numFmtId="0" fontId="2" fillId="10" borderId="42" applyNumberFormat="0" applyFont="0" applyAlignment="0" applyProtection="0"/>
    <xf numFmtId="9" fontId="1" fillId="0" borderId="0" applyFont="0" applyFill="0" applyBorder="0" applyAlignment="0" applyProtection="0"/>
    <xf numFmtId="0" fontId="32" fillId="0" borderId="43" applyNumberFormat="0" applyFill="0" applyAlignment="0" applyProtection="0"/>
    <xf numFmtId="0" fontId="33" fillId="0" borderId="44" applyNumberFormat="0" applyFill="0" applyAlignment="0" applyProtection="0"/>
    <xf numFmtId="0" fontId="34" fillId="0" borderId="45" applyNumberFormat="0" applyFill="0" applyAlignment="0" applyProtection="0"/>
    <xf numFmtId="0" fontId="34" fillId="0" borderId="0" applyNumberFormat="0" applyFill="0" applyBorder="0" applyAlignment="0" applyProtection="0"/>
    <xf numFmtId="0" fontId="35" fillId="11" borderId="0" applyNumberFormat="0" applyBorder="0" applyAlignment="0" applyProtection="0"/>
    <xf numFmtId="0" fontId="36" fillId="12" borderId="0" applyNumberFormat="0" applyBorder="0" applyAlignment="0" applyProtection="0"/>
    <xf numFmtId="0" fontId="37" fillId="14" borderId="46" applyNumberFormat="0" applyAlignment="0" applyProtection="0"/>
    <xf numFmtId="0" fontId="38" fillId="15" borderId="47" applyNumberFormat="0" applyAlignment="0" applyProtection="0"/>
    <xf numFmtId="0" fontId="39" fillId="15" borderId="46" applyNumberFormat="0" applyAlignment="0" applyProtection="0"/>
    <xf numFmtId="0" fontId="40" fillId="0" borderId="48" applyNumberFormat="0" applyFill="0" applyAlignment="0" applyProtection="0"/>
    <xf numFmtId="0" fontId="9" fillId="16" borderId="49" applyNumberFormat="0" applyAlignment="0" applyProtection="0"/>
    <xf numFmtId="0" fontId="41" fillId="0" borderId="0" applyNumberFormat="0" applyFill="0" applyBorder="0" applyAlignment="0" applyProtection="0"/>
    <xf numFmtId="0" fontId="2" fillId="10" borderId="42" applyNumberFormat="0" applyFont="0" applyAlignment="0" applyProtection="0"/>
    <xf numFmtId="0" fontId="42" fillId="0" borderId="0" applyNumberFormat="0" applyFill="0" applyBorder="0" applyAlignment="0" applyProtection="0"/>
    <xf numFmtId="0" fontId="3" fillId="0" borderId="50" applyNumberFormat="0" applyFill="0" applyAlignment="0" applyProtection="0"/>
    <xf numFmtId="0" fontId="11"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1"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1"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1"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1"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11"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43" fillId="0" borderId="0" applyNumberFormat="0" applyFill="0" applyBorder="0" applyAlignment="0" applyProtection="0"/>
    <xf numFmtId="0" fontId="44" fillId="13" borderId="0" applyNumberFormat="0" applyBorder="0" applyAlignment="0" applyProtection="0"/>
    <xf numFmtId="0" fontId="11" fillId="20" borderId="0" applyNumberFormat="0" applyBorder="0" applyAlignment="0" applyProtection="0"/>
    <xf numFmtId="0" fontId="11" fillId="24" borderId="0" applyNumberFormat="0" applyBorder="0" applyAlignment="0" applyProtection="0"/>
    <xf numFmtId="0" fontId="11" fillId="28" borderId="0" applyNumberFormat="0" applyBorder="0" applyAlignment="0" applyProtection="0"/>
    <xf numFmtId="0" fontId="11" fillId="32"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2" fillId="0" borderId="0"/>
    <xf numFmtId="0" fontId="12" fillId="0" borderId="0"/>
    <xf numFmtId="0" fontId="54" fillId="0" borderId="0"/>
  </cellStyleXfs>
  <cellXfs count="601">
    <xf numFmtId="0" fontId="0" fillId="0" borderId="0" xfId="0"/>
    <xf numFmtId="0" fontId="12" fillId="0" borderId="0" xfId="0" applyFont="1"/>
    <xf numFmtId="0" fontId="12"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wrapText="1"/>
    </xf>
    <xf numFmtId="0" fontId="15" fillId="0" borderId="0" xfId="0" applyFont="1" applyAlignment="1">
      <alignment vertical="center"/>
    </xf>
    <xf numFmtId="0" fontId="1" fillId="0" borderId="2" xfId="1" applyBorder="1" applyAlignment="1">
      <alignment vertical="center" wrapText="1"/>
    </xf>
    <xf numFmtId="0" fontId="1" fillId="0" borderId="2" xfId="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9" fillId="7" borderId="2" xfId="0" applyFont="1" applyFill="1" applyBorder="1" applyAlignment="1">
      <alignment vertical="center"/>
    </xf>
    <xf numFmtId="0" fontId="19" fillId="7" borderId="2" xfId="0" applyFont="1" applyFill="1" applyBorder="1" applyAlignment="1">
      <alignment horizontal="left" vertical="center"/>
    </xf>
    <xf numFmtId="3" fontId="6" fillId="0" borderId="2" xfId="7" applyNumberFormat="1" applyFont="1" applyBorder="1" applyAlignment="1">
      <alignment horizontal="center" vertical="center"/>
    </xf>
    <xf numFmtId="3" fontId="10" fillId="0" borderId="2" xfId="3" applyNumberFormat="1" applyFont="1" applyBorder="1" applyAlignment="1">
      <alignment horizontal="center" vertical="center" wrapText="1"/>
    </xf>
    <xf numFmtId="3" fontId="10" fillId="0" borderId="2" xfId="3" applyNumberFormat="1" applyFont="1" applyFill="1" applyBorder="1" applyAlignment="1">
      <alignment horizontal="center" vertical="center" wrapText="1"/>
    </xf>
    <xf numFmtId="165" fontId="6" fillId="0" borderId="0" xfId="0" applyNumberFormat="1" applyFont="1" applyAlignment="1">
      <alignment horizontal="center" vertical="center"/>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7" borderId="2" xfId="0" applyFont="1" applyFill="1" applyBorder="1" applyAlignment="1">
      <alignment horizontal="center" vertical="center" wrapText="1"/>
    </xf>
    <xf numFmtId="0" fontId="19" fillId="7" borderId="2" xfId="0" applyFont="1" applyFill="1" applyBorder="1" applyAlignment="1">
      <alignment horizontal="center" vertical="center"/>
    </xf>
    <xf numFmtId="9" fontId="6" fillId="0" borderId="0" xfId="2" applyFont="1" applyFill="1" applyBorder="1" applyAlignment="1">
      <alignment horizontal="center" vertical="center"/>
    </xf>
    <xf numFmtId="0" fontId="6" fillId="0" borderId="9" xfId="0" applyFont="1" applyBorder="1" applyAlignment="1">
      <alignment horizontal="center" vertical="center"/>
    </xf>
    <xf numFmtId="1" fontId="6" fillId="0" borderId="0" xfId="0" applyNumberFormat="1" applyFont="1"/>
    <xf numFmtId="9" fontId="6" fillId="0" borderId="0" xfId="2" applyFont="1" applyFill="1" applyBorder="1"/>
    <xf numFmtId="9" fontId="7" fillId="0" borderId="0" xfId="2" applyFont="1" applyFill="1" applyBorder="1"/>
    <xf numFmtId="164" fontId="6" fillId="0" borderId="0" xfId="0" applyNumberFormat="1" applyFont="1"/>
    <xf numFmtId="0" fontId="1" fillId="0" borderId="2" xfId="0" applyFont="1" applyBorder="1" applyAlignment="1">
      <alignment horizontal="center" vertical="center"/>
    </xf>
    <xf numFmtId="0" fontId="7" fillId="7" borderId="20" xfId="0" applyFont="1" applyFill="1" applyBorder="1" applyAlignment="1">
      <alignment horizontal="center" vertical="center"/>
    </xf>
    <xf numFmtId="9" fontId="6" fillId="0" borderId="0" xfId="0" applyNumberFormat="1" applyFont="1" applyAlignment="1">
      <alignment vertical="center"/>
    </xf>
    <xf numFmtId="0" fontId="16" fillId="0" borderId="0" xfId="5" applyFont="1" applyAlignment="1">
      <alignment vertical="center"/>
    </xf>
    <xf numFmtId="0" fontId="23" fillId="7" borderId="9" xfId="0" applyFont="1" applyFill="1" applyBorder="1" applyAlignment="1">
      <alignment horizontal="center" vertical="center" wrapText="1"/>
    </xf>
    <xf numFmtId="9" fontId="6" fillId="0" borderId="20"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4" fillId="5" borderId="0" xfId="0" applyFont="1" applyFill="1" applyAlignment="1">
      <alignment vertical="center" wrapText="1"/>
    </xf>
    <xf numFmtId="0" fontId="22" fillId="5" borderId="0" xfId="0" applyFont="1" applyFill="1" applyAlignment="1">
      <alignment horizontal="center" vertical="center"/>
    </xf>
    <xf numFmtId="165" fontId="22" fillId="5" borderId="0" xfId="0" applyNumberFormat="1" applyFont="1" applyFill="1" applyAlignment="1">
      <alignment horizontal="center" vertical="center"/>
    </xf>
    <xf numFmtId="0" fontId="19" fillId="7" borderId="23" xfId="0" applyFont="1" applyFill="1" applyBorder="1" applyAlignment="1">
      <alignment horizontal="center" vertical="center" wrapText="1"/>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0" fontId="7" fillId="2" borderId="0" xfId="0" applyFont="1" applyFill="1" applyAlignment="1">
      <alignment horizontal="center" vertical="center"/>
    </xf>
    <xf numFmtId="167" fontId="22" fillId="0" borderId="0" xfId="0" applyNumberFormat="1" applyFont="1" applyAlignment="1">
      <alignment horizontal="center" vertical="center"/>
    </xf>
    <xf numFmtId="0" fontId="13" fillId="0" borderId="0" xfId="0" applyFont="1" applyAlignment="1">
      <alignment vertical="center"/>
    </xf>
    <xf numFmtId="0" fontId="26" fillId="0" borderId="0" xfId="0" applyFont="1"/>
    <xf numFmtId="9" fontId="27" fillId="0" borderId="0" xfId="2" applyFont="1"/>
    <xf numFmtId="0" fontId="28" fillId="2" borderId="0" xfId="0" applyFont="1" applyFill="1"/>
    <xf numFmtId="0" fontId="29" fillId="0" borderId="0" xfId="0" quotePrefix="1" applyFont="1"/>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4" fontId="6" fillId="0" borderId="2" xfId="7" applyNumberFormat="1" applyFont="1" applyBorder="1" applyAlignment="1">
      <alignment horizontal="center" vertical="center"/>
    </xf>
    <xf numFmtId="0" fontId="25" fillId="0" borderId="0" xfId="0" applyFont="1"/>
    <xf numFmtId="0" fontId="7" fillId="7" borderId="23" xfId="0" applyFont="1" applyFill="1" applyBorder="1" applyAlignment="1">
      <alignment horizontal="center" vertical="center" wrapText="1"/>
    </xf>
    <xf numFmtId="0" fontId="16" fillId="0" borderId="20" xfId="5" applyFont="1" applyBorder="1" applyAlignment="1">
      <alignment horizontal="center" vertical="center"/>
    </xf>
    <xf numFmtId="0" fontId="19" fillId="7" borderId="9" xfId="0" applyFont="1" applyFill="1" applyBorder="1" applyAlignment="1">
      <alignment horizontal="center" vertical="center" wrapText="1"/>
    </xf>
    <xf numFmtId="0" fontId="7" fillId="7" borderId="23" xfId="0" applyFont="1" applyFill="1" applyBorder="1" applyAlignment="1">
      <alignment horizontal="center" vertical="center"/>
    </xf>
    <xf numFmtId="3" fontId="6" fillId="0" borderId="8" xfId="7" applyNumberFormat="1" applyFont="1" applyBorder="1" applyAlignment="1">
      <alignment horizontal="center" vertical="center"/>
    </xf>
    <xf numFmtId="3" fontId="6" fillId="0" borderId="14" xfId="7" applyNumberFormat="1" applyFont="1" applyBorder="1" applyAlignment="1">
      <alignment horizontal="center" vertical="center"/>
    </xf>
    <xf numFmtId="3" fontId="6" fillId="0" borderId="41" xfId="7" applyNumberFormat="1" applyFont="1" applyBorder="1" applyAlignment="1">
      <alignment horizontal="center" vertical="center"/>
    </xf>
    <xf numFmtId="9" fontId="6" fillId="0" borderId="41" xfId="2" applyFont="1" applyBorder="1" applyAlignment="1">
      <alignment horizontal="center" vertical="center"/>
    </xf>
    <xf numFmtId="9" fontId="10" fillId="0" borderId="2" xfId="2" applyFont="1" applyBorder="1" applyAlignment="1">
      <alignment horizontal="center" vertical="center" wrapText="1"/>
    </xf>
    <xf numFmtId="0" fontId="12" fillId="0" borderId="0" xfId="0" applyFont="1" applyAlignment="1">
      <alignment wrapText="1"/>
    </xf>
    <xf numFmtId="0" fontId="12" fillId="0" borderId="0" xfId="0" applyFont="1" applyAlignment="1">
      <alignment vertical="center"/>
    </xf>
    <xf numFmtId="0" fontId="6" fillId="5" borderId="0" xfId="0" applyFont="1" applyFill="1"/>
    <xf numFmtId="0" fontId="6" fillId="5" borderId="0" xfId="0" applyFont="1" applyFill="1" applyAlignment="1">
      <alignment horizontal="center"/>
    </xf>
    <xf numFmtId="0" fontId="12" fillId="0" borderId="0" xfId="0" applyFont="1" applyAlignment="1">
      <alignment horizontal="center"/>
    </xf>
    <xf numFmtId="0" fontId="15" fillId="2" borderId="0" xfId="0" applyFont="1" applyFill="1"/>
    <xf numFmtId="0" fontId="15" fillId="2" borderId="0" xfId="0" applyFont="1" applyFill="1" applyAlignment="1">
      <alignment wrapText="1"/>
    </xf>
    <xf numFmtId="0" fontId="15" fillId="2" borderId="0" xfId="0" applyFont="1" applyFill="1" applyAlignment="1">
      <alignment horizontal="left"/>
    </xf>
    <xf numFmtId="0" fontId="10" fillId="0" borderId="2" xfId="3" applyFont="1" applyFill="1" applyBorder="1" applyAlignment="1">
      <alignment horizontal="center" vertical="center" wrapText="1"/>
    </xf>
    <xf numFmtId="0" fontId="23" fillId="7" borderId="9" xfId="0" applyFont="1" applyFill="1" applyBorder="1" applyAlignment="1">
      <alignment horizontal="left" vertical="center" wrapText="1"/>
    </xf>
    <xf numFmtId="168" fontId="6" fillId="0" borderId="2" xfId="6" applyNumberFormat="1" applyFont="1" applyBorder="1" applyAlignment="1">
      <alignment horizontal="right" vertical="center" wrapText="1"/>
    </xf>
    <xf numFmtId="168" fontId="6" fillId="0" borderId="0" xfId="6" applyNumberFormat="1" applyFont="1" applyBorder="1" applyAlignment="1">
      <alignment vertical="center" wrapText="1"/>
    </xf>
    <xf numFmtId="3" fontId="6" fillId="0" borderId="0" xfId="0" applyNumberFormat="1" applyFont="1" applyAlignment="1">
      <alignment horizontal="left"/>
    </xf>
    <xf numFmtId="0" fontId="6" fillId="0" borderId="2" xfId="1" applyFont="1" applyBorder="1" applyAlignment="1">
      <alignment horizontal="center" vertical="center" wrapText="1"/>
    </xf>
    <xf numFmtId="10" fontId="1" fillId="0" borderId="2" xfId="0" applyNumberFormat="1" applyFont="1" applyBorder="1" applyAlignment="1">
      <alignment horizontal="center" vertical="center" wrapText="1"/>
    </xf>
    <xf numFmtId="166" fontId="1" fillId="0" borderId="2" xfId="1" applyNumberFormat="1" applyBorder="1" applyAlignment="1">
      <alignment horizontal="center" vertical="center" wrapText="1"/>
    </xf>
    <xf numFmtId="0" fontId="30" fillId="0" borderId="0" xfId="0" applyFont="1" applyAlignment="1">
      <alignment vertical="center"/>
    </xf>
    <xf numFmtId="0" fontId="23" fillId="42" borderId="53" xfId="0" applyFont="1" applyFill="1" applyBorder="1" applyAlignment="1">
      <alignment horizontal="center" vertical="center" wrapText="1"/>
    </xf>
    <xf numFmtId="0" fontId="6" fillId="0" borderId="0" xfId="0" applyFont="1" applyAlignment="1">
      <alignment vertical="center" wrapText="1"/>
    </xf>
    <xf numFmtId="0" fontId="12" fillId="0" borderId="27" xfId="0" applyFont="1" applyBorder="1" applyAlignment="1">
      <alignment horizontal="center" vertical="center"/>
    </xf>
    <xf numFmtId="0" fontId="10" fillId="0" borderId="20" xfId="3" applyFont="1" applyBorder="1" applyAlignment="1">
      <alignment horizontal="center" vertical="center" wrapText="1"/>
    </xf>
    <xf numFmtId="0" fontId="6" fillId="0" borderId="2" xfId="0" applyFont="1" applyBorder="1" applyAlignment="1">
      <alignment horizontal="right" vertical="center"/>
    </xf>
    <xf numFmtId="169" fontId="6" fillId="0" borderId="2" xfId="0" applyNumberFormat="1" applyFont="1" applyBorder="1" applyAlignment="1">
      <alignment vertical="center"/>
    </xf>
    <xf numFmtId="0" fontId="6" fillId="0" borderId="8" xfId="0" applyFont="1" applyBorder="1" applyAlignment="1">
      <alignment vertical="center" wrapText="1"/>
    </xf>
    <xf numFmtId="0" fontId="6" fillId="0" borderId="8" xfId="0" applyFont="1" applyBorder="1" applyAlignment="1">
      <alignment horizontal="right" vertical="center"/>
    </xf>
    <xf numFmtId="168" fontId="6" fillId="0" borderId="8" xfId="6" applyNumberFormat="1" applyFont="1" applyBorder="1" applyAlignment="1">
      <alignment horizontal="right" vertical="center"/>
    </xf>
    <xf numFmtId="169" fontId="1" fillId="0" borderId="2" xfId="0" applyNumberFormat="1" applyFont="1" applyBorder="1" applyAlignment="1">
      <alignment vertical="center"/>
    </xf>
    <xf numFmtId="168" fontId="1" fillId="0" borderId="8" xfId="6" applyNumberFormat="1" applyFont="1" applyBorder="1" applyAlignment="1">
      <alignment horizontal="right" vertical="center"/>
    </xf>
    <xf numFmtId="0" fontId="6" fillId="0" borderId="9" xfId="0" applyFont="1" applyBorder="1" applyAlignment="1">
      <alignment vertical="center"/>
    </xf>
    <xf numFmtId="169" fontId="1" fillId="8" borderId="8" xfId="0" applyNumberFormat="1" applyFont="1" applyFill="1" applyBorder="1" applyAlignment="1">
      <alignment vertical="center"/>
    </xf>
    <xf numFmtId="169" fontId="1" fillId="0" borderId="0" xfId="0" applyNumberFormat="1" applyFont="1" applyAlignment="1">
      <alignment vertical="center"/>
    </xf>
    <xf numFmtId="169" fontId="1" fillId="0" borderId="0" xfId="0" applyNumberFormat="1" applyFont="1"/>
    <xf numFmtId="0" fontId="47" fillId="0" borderId="0" xfId="0" applyFont="1" applyAlignment="1">
      <alignment vertical="center"/>
    </xf>
    <xf numFmtId="0" fontId="48" fillId="0" borderId="0" xfId="0" applyFont="1"/>
    <xf numFmtId="0" fontId="6" fillId="0" borderId="2" xfId="0" applyFont="1" applyBorder="1"/>
    <xf numFmtId="0" fontId="12" fillId="5" borderId="0" xfId="0" applyFont="1" applyFill="1"/>
    <xf numFmtId="0" fontId="17" fillId="5" borderId="0" xfId="0" applyFont="1" applyFill="1"/>
    <xf numFmtId="0" fontId="48" fillId="5" borderId="0" xfId="0" applyFont="1" applyFill="1"/>
    <xf numFmtId="0" fontId="49" fillId="0" borderId="0" xfId="5" applyFont="1"/>
    <xf numFmtId="0" fontId="7" fillId="7" borderId="53" xfId="0" applyFont="1" applyFill="1" applyBorder="1" applyAlignment="1">
      <alignment horizontal="center" vertical="center"/>
    </xf>
    <xf numFmtId="0" fontId="19" fillId="7" borderId="53" xfId="0" applyFont="1" applyFill="1" applyBorder="1" applyAlignment="1">
      <alignment horizontal="center" vertical="center" wrapText="1"/>
    </xf>
    <xf numFmtId="0" fontId="10" fillId="0" borderId="2" xfId="3" applyFont="1" applyBorder="1" applyAlignment="1">
      <alignment horizontal="center" vertical="center" wrapText="1"/>
    </xf>
    <xf numFmtId="0" fontId="7" fillId="0" borderId="0" xfId="0" applyFont="1" applyAlignment="1">
      <alignment horizontal="center" vertical="center" wrapText="1"/>
    </xf>
    <xf numFmtId="0" fontId="16" fillId="0" borderId="0" xfId="5" applyFont="1" applyAlignment="1">
      <alignment horizontal="center" vertical="center"/>
    </xf>
    <xf numFmtId="167" fontId="16" fillId="0" borderId="0" xfId="5" applyNumberFormat="1" applyFont="1" applyAlignment="1">
      <alignment horizontal="center" vertical="center"/>
    </xf>
    <xf numFmtId="0" fontId="7" fillId="2" borderId="0" xfId="0" applyFont="1" applyFill="1" applyAlignment="1">
      <alignment horizontal="center" vertical="center" wrapText="1"/>
    </xf>
    <xf numFmtId="10" fontId="6" fillId="0" borderId="2" xfId="0" applyNumberFormat="1" applyFont="1" applyBorder="1" applyAlignment="1">
      <alignment horizontal="center" vertical="center"/>
    </xf>
    <xf numFmtId="0" fontId="7" fillId="7" borderId="53" xfId="0" applyFont="1" applyFill="1" applyBorder="1" applyAlignment="1">
      <alignment horizontal="center" vertical="center" wrapText="1"/>
    </xf>
    <xf numFmtId="3" fontId="6" fillId="0" borderId="20" xfId="0" applyNumberFormat="1" applyFont="1" applyBorder="1" applyAlignment="1">
      <alignment horizontal="center" vertical="center"/>
    </xf>
    <xf numFmtId="0" fontId="6" fillId="0" borderId="24" xfId="0" applyFont="1" applyBorder="1" applyAlignment="1">
      <alignment horizontal="center" vertical="center"/>
    </xf>
    <xf numFmtId="1" fontId="6" fillId="0" borderId="24" xfId="0" applyNumberFormat="1" applyFont="1" applyBorder="1" applyAlignment="1">
      <alignment horizontal="center" vertical="center"/>
    </xf>
    <xf numFmtId="0" fontId="23" fillId="7" borderId="53" xfId="0" applyFont="1" applyFill="1" applyBorder="1" applyAlignment="1">
      <alignment horizontal="center" vertical="center" wrapText="1"/>
    </xf>
    <xf numFmtId="0" fontId="7" fillId="42" borderId="60" xfId="0" applyFont="1" applyFill="1" applyBorder="1" applyAlignment="1">
      <alignment horizontal="center" vertical="center"/>
    </xf>
    <xf numFmtId="9" fontId="6" fillId="5" borderId="0" xfId="0" applyNumberFormat="1" applyFont="1" applyFill="1"/>
    <xf numFmtId="0" fontId="8" fillId="0" borderId="0" xfId="5"/>
    <xf numFmtId="0" fontId="8" fillId="0" borderId="0" xfId="5" applyAlignment="1">
      <alignment horizontal="left"/>
    </xf>
    <xf numFmtId="0" fontId="19" fillId="7" borderId="9" xfId="0" applyFont="1" applyFill="1" applyBorder="1" applyAlignment="1">
      <alignment horizontal="center" vertical="center"/>
    </xf>
    <xf numFmtId="0" fontId="19" fillId="7" borderId="51" xfId="0" applyFont="1" applyFill="1" applyBorder="1" applyAlignment="1">
      <alignment horizontal="center" vertical="center" wrapText="1"/>
    </xf>
    <xf numFmtId="0" fontId="19" fillId="7" borderId="60" xfId="0" applyFont="1" applyFill="1" applyBorder="1" applyAlignment="1">
      <alignment horizontal="center" vertical="center" wrapText="1"/>
    </xf>
    <xf numFmtId="1" fontId="10" fillId="0" borderId="53" xfId="3" applyNumberFormat="1" applyFont="1" applyBorder="1" applyAlignment="1">
      <alignment horizontal="left" vertical="center" wrapText="1"/>
    </xf>
    <xf numFmtId="43" fontId="6" fillId="0" borderId="53" xfId="6" applyFont="1" applyBorder="1" applyAlignment="1">
      <alignment horizontal="left" vertical="center"/>
    </xf>
    <xf numFmtId="1" fontId="10" fillId="0" borderId="53" xfId="3" applyNumberFormat="1" applyFont="1" applyFill="1" applyBorder="1" applyAlignment="1">
      <alignment horizontal="left" vertical="center" wrapText="1"/>
    </xf>
    <xf numFmtId="43" fontId="6" fillId="0" borderId="53" xfId="6" applyFont="1" applyFill="1" applyBorder="1" applyAlignment="1">
      <alignment horizontal="left" vertical="center"/>
    </xf>
    <xf numFmtId="0" fontId="7" fillId="2" borderId="0" xfId="0" applyFont="1" applyFill="1" applyAlignment="1">
      <alignment vertical="center"/>
    </xf>
    <xf numFmtId="0" fontId="22" fillId="0" borderId="54" xfId="0" applyFont="1" applyBorder="1" applyAlignment="1">
      <alignment horizontal="center" vertical="center"/>
    </xf>
    <xf numFmtId="2" fontId="22" fillId="0" borderId="1" xfId="0" applyNumberFormat="1" applyFont="1" applyBorder="1" applyAlignment="1">
      <alignment horizontal="center" vertical="center"/>
    </xf>
    <xf numFmtId="2" fontId="22" fillId="0" borderId="4" xfId="0" applyNumberFormat="1" applyFont="1" applyBorder="1" applyAlignment="1">
      <alignment horizontal="center" vertical="center"/>
    </xf>
    <xf numFmtId="0" fontId="22" fillId="0" borderId="8" xfId="0" applyFont="1" applyBorder="1" applyAlignment="1">
      <alignment horizontal="center" vertical="center"/>
    </xf>
    <xf numFmtId="2" fontId="22" fillId="0" borderId="2" xfId="0" applyNumberFormat="1" applyFont="1" applyBorder="1" applyAlignment="1">
      <alignment horizontal="center" vertical="center"/>
    </xf>
    <xf numFmtId="2" fontId="22" fillId="0" borderId="5" xfId="0" applyNumberFormat="1" applyFont="1" applyBorder="1" applyAlignment="1">
      <alignment horizontal="center" vertical="center"/>
    </xf>
    <xf numFmtId="0" fontId="22" fillId="0" borderId="55" xfId="0" applyFont="1" applyBorder="1" applyAlignment="1">
      <alignment horizontal="center" vertical="center"/>
    </xf>
    <xf numFmtId="2" fontId="22" fillId="0" borderId="32" xfId="0" applyNumberFormat="1" applyFont="1" applyBorder="1" applyAlignment="1">
      <alignment horizontal="center" vertical="center"/>
    </xf>
    <xf numFmtId="2" fontId="22" fillId="0" borderId="6" xfId="0" applyNumberFormat="1" applyFont="1" applyBorder="1" applyAlignment="1">
      <alignment horizontal="center" vertical="center"/>
    </xf>
    <xf numFmtId="0" fontId="22" fillId="0" borderId="56" xfId="0" applyFont="1" applyBorder="1" applyAlignment="1">
      <alignment horizontal="center" vertical="center"/>
    </xf>
    <xf numFmtId="2" fontId="22" fillId="0" borderId="29" xfId="0" applyNumberFormat="1" applyFont="1" applyBorder="1" applyAlignment="1">
      <alignment horizontal="center" vertical="center"/>
    </xf>
    <xf numFmtId="2" fontId="22" fillId="0" borderId="31" xfId="0" applyNumberFormat="1" applyFont="1" applyBorder="1" applyAlignment="1">
      <alignment horizontal="center" vertical="center"/>
    </xf>
    <xf numFmtId="0" fontId="22" fillId="0" borderId="57" xfId="0" applyFont="1" applyBorder="1" applyAlignment="1">
      <alignment horizontal="center" vertical="center"/>
    </xf>
    <xf numFmtId="2" fontId="22" fillId="0" borderId="28" xfId="0" applyNumberFormat="1" applyFont="1" applyBorder="1" applyAlignment="1">
      <alignment horizontal="center" vertical="center"/>
    </xf>
    <xf numFmtId="2" fontId="22" fillId="0" borderId="30" xfId="0" applyNumberFormat="1" applyFont="1" applyBorder="1" applyAlignment="1">
      <alignment horizontal="center" vertical="center"/>
    </xf>
    <xf numFmtId="0" fontId="22" fillId="0" borderId="72" xfId="0" applyFont="1" applyBorder="1" applyAlignment="1">
      <alignment horizontal="center" vertical="center"/>
    </xf>
    <xf numFmtId="2" fontId="22" fillId="0" borderId="73" xfId="0" applyNumberFormat="1" applyFont="1" applyBorder="1" applyAlignment="1">
      <alignment horizontal="center" vertical="center"/>
    </xf>
    <xf numFmtId="2" fontId="22" fillId="0" borderId="74" xfId="0" applyNumberFormat="1" applyFont="1" applyBorder="1" applyAlignment="1">
      <alignment horizontal="center" vertical="center"/>
    </xf>
    <xf numFmtId="0" fontId="22" fillId="0" borderId="75" xfId="0" applyFont="1" applyBorder="1" applyAlignment="1">
      <alignment horizontal="center" vertical="center"/>
    </xf>
    <xf numFmtId="2" fontId="22" fillId="0" borderId="76" xfId="0" applyNumberFormat="1" applyFont="1" applyBorder="1" applyAlignment="1">
      <alignment horizontal="center" vertical="center"/>
    </xf>
    <xf numFmtId="2" fontId="22" fillId="0" borderId="77" xfId="0" applyNumberFormat="1" applyFont="1" applyBorder="1" applyAlignment="1">
      <alignment horizontal="center" vertical="center"/>
    </xf>
    <xf numFmtId="2" fontId="22" fillId="0" borderId="78" xfId="0" applyNumberFormat="1" applyFont="1" applyBorder="1" applyAlignment="1">
      <alignment horizontal="center" vertical="center"/>
    </xf>
    <xf numFmtId="2" fontId="22" fillId="0" borderId="9" xfId="0" applyNumberFormat="1" applyFont="1" applyBorder="1" applyAlignment="1">
      <alignment horizontal="center" vertical="center"/>
    </xf>
    <xf numFmtId="2" fontId="22" fillId="0" borderId="82" xfId="0" applyNumberFormat="1" applyFont="1" applyBorder="1" applyAlignment="1">
      <alignment horizontal="center" vertical="center"/>
    </xf>
    <xf numFmtId="0" fontId="22" fillId="0" borderId="83" xfId="0" applyFont="1" applyBorder="1" applyAlignment="1">
      <alignment horizontal="center" vertical="center"/>
    </xf>
    <xf numFmtId="2" fontId="22" fillId="0" borderId="66" xfId="0" applyNumberFormat="1" applyFont="1" applyBorder="1" applyAlignment="1">
      <alignment horizontal="center" vertical="center"/>
    </xf>
    <xf numFmtId="2" fontId="22" fillId="0" borderId="67" xfId="0" applyNumberFormat="1" applyFont="1" applyBorder="1" applyAlignment="1">
      <alignment horizontal="center" vertical="center"/>
    </xf>
    <xf numFmtId="0" fontId="22" fillId="0" borderId="84" xfId="0" applyFont="1" applyBorder="1" applyAlignment="1">
      <alignment horizontal="center" vertical="center"/>
    </xf>
    <xf numFmtId="2" fontId="22" fillId="0" borderId="53" xfId="0" applyNumberFormat="1" applyFont="1" applyBorder="1" applyAlignment="1">
      <alignment horizontal="center" vertical="center"/>
    </xf>
    <xf numFmtId="2" fontId="22" fillId="0" borderId="69" xfId="0" applyNumberFormat="1" applyFont="1" applyBorder="1" applyAlignment="1">
      <alignment horizontal="center" vertical="center"/>
    </xf>
    <xf numFmtId="0" fontId="22" fillId="0" borderId="85" xfId="0" applyFont="1" applyBorder="1" applyAlignment="1">
      <alignment horizontal="center" vertical="center"/>
    </xf>
    <xf numFmtId="2" fontId="22" fillId="0" borderId="80" xfId="0" applyNumberFormat="1" applyFont="1" applyBorder="1" applyAlignment="1">
      <alignment horizontal="center" vertical="center"/>
    </xf>
    <xf numFmtId="2" fontId="22" fillId="0" borderId="81" xfId="0" applyNumberFormat="1" applyFont="1" applyBorder="1" applyAlignment="1">
      <alignment horizontal="center" vertical="center"/>
    </xf>
    <xf numFmtId="2" fontId="22" fillId="0" borderId="10" xfId="0" applyNumberFormat="1" applyFont="1" applyBorder="1" applyAlignment="1">
      <alignment horizontal="center" vertical="center"/>
    </xf>
    <xf numFmtId="1" fontId="22" fillId="0" borderId="10" xfId="0" applyNumberFormat="1" applyFont="1" applyBorder="1" applyAlignment="1">
      <alignment horizontal="center" vertical="center"/>
    </xf>
    <xf numFmtId="1" fontId="22" fillId="0" borderId="82" xfId="0" applyNumberFormat="1" applyFont="1" applyBorder="1" applyAlignment="1">
      <alignment horizontal="center" vertical="center"/>
    </xf>
    <xf numFmtId="0" fontId="22" fillId="0" borderId="90" xfId="0" applyFont="1" applyBorder="1" applyAlignment="1">
      <alignment horizontal="center" vertical="center"/>
    </xf>
    <xf numFmtId="0" fontId="22" fillId="0" borderId="94" xfId="0" applyFont="1" applyBorder="1" applyAlignment="1">
      <alignment horizontal="center" vertical="center"/>
    </xf>
    <xf numFmtId="1" fontId="22" fillId="0" borderId="66" xfId="0" applyNumberFormat="1" applyFont="1" applyBorder="1" applyAlignment="1">
      <alignment horizontal="center" vertical="center"/>
    </xf>
    <xf numFmtId="1" fontId="22" fillId="0" borderId="67" xfId="0" applyNumberFormat="1" applyFont="1" applyBorder="1" applyAlignment="1">
      <alignment horizontal="center" vertical="center"/>
    </xf>
    <xf numFmtId="0" fontId="22" fillId="0" borderId="97" xfId="0" applyFont="1" applyBorder="1" applyAlignment="1">
      <alignment horizontal="center" vertical="center"/>
    </xf>
    <xf numFmtId="1" fontId="22" fillId="0" borderId="53" xfId="0" applyNumberFormat="1" applyFont="1" applyBorder="1" applyAlignment="1">
      <alignment horizontal="center" vertical="center"/>
    </xf>
    <xf numFmtId="1" fontId="22" fillId="0" borderId="69" xfId="0" applyNumberFormat="1" applyFont="1" applyBorder="1" applyAlignment="1">
      <alignment horizontal="center" vertical="center"/>
    </xf>
    <xf numFmtId="0" fontId="22" fillId="0" borderId="101" xfId="0" applyFont="1" applyBorder="1" applyAlignment="1">
      <alignment horizontal="center" vertical="center"/>
    </xf>
    <xf numFmtId="1" fontId="22" fillId="0" borderId="80" xfId="0" applyNumberFormat="1" applyFont="1" applyBorder="1" applyAlignment="1">
      <alignment horizontal="center" vertical="center"/>
    </xf>
    <xf numFmtId="1" fontId="22" fillId="0" borderId="81" xfId="0" applyNumberFormat="1" applyFont="1" applyBorder="1" applyAlignment="1">
      <alignment horizontal="center" vertical="center"/>
    </xf>
    <xf numFmtId="0" fontId="22" fillId="0" borderId="59" xfId="0" applyFont="1" applyBorder="1" applyAlignment="1">
      <alignment horizontal="center" vertical="center"/>
    </xf>
    <xf numFmtId="0" fontId="22" fillId="0" borderId="111" xfId="0" applyFont="1" applyBorder="1" applyAlignment="1">
      <alignment horizontal="center" vertical="center"/>
    </xf>
    <xf numFmtId="1" fontId="22" fillId="0" borderId="92" xfId="0" applyNumberFormat="1" applyFont="1" applyBorder="1" applyAlignment="1">
      <alignment horizontal="center" vertical="center"/>
    </xf>
    <xf numFmtId="1" fontId="22" fillId="0" borderId="93" xfId="0" applyNumberFormat="1" applyFont="1" applyBorder="1" applyAlignment="1">
      <alignment horizontal="center" vertical="center"/>
    </xf>
    <xf numFmtId="1" fontId="22" fillId="0" borderId="96" xfId="0" applyNumberFormat="1" applyFont="1" applyBorder="1" applyAlignment="1">
      <alignment horizontal="center" vertical="center"/>
    </xf>
    <xf numFmtId="0" fontId="22" fillId="0" borderId="112" xfId="0" applyFont="1" applyBorder="1" applyAlignment="1">
      <alignment horizontal="center" vertical="center"/>
    </xf>
    <xf numFmtId="1" fontId="22" fillId="0" borderId="99" xfId="0" applyNumberFormat="1" applyFont="1" applyBorder="1" applyAlignment="1">
      <alignment horizontal="center" vertical="center"/>
    </xf>
    <xf numFmtId="1" fontId="22" fillId="0" borderId="100" xfId="0" applyNumberFormat="1" applyFont="1" applyBorder="1" applyAlignment="1">
      <alignment horizontal="center" vertical="center"/>
    </xf>
    <xf numFmtId="2" fontId="22" fillId="0" borderId="60" xfId="0" applyNumberFormat="1" applyFont="1" applyBorder="1" applyAlignment="1">
      <alignment horizontal="center" vertical="center"/>
    </xf>
    <xf numFmtId="2" fontId="22" fillId="0" borderId="71" xfId="0" applyNumberFormat="1" applyFont="1" applyBorder="1" applyAlignment="1">
      <alignment horizontal="center" vertical="center"/>
    </xf>
    <xf numFmtId="0" fontId="22" fillId="0" borderId="113" xfId="0" applyFont="1" applyBorder="1" applyAlignment="1">
      <alignment horizontal="center" vertical="center"/>
    </xf>
    <xf numFmtId="2" fontId="22" fillId="0" borderId="13" xfId="0" applyNumberFormat="1" applyFont="1" applyBorder="1" applyAlignment="1">
      <alignment horizontal="center" vertical="center"/>
    </xf>
    <xf numFmtId="1" fontId="22" fillId="0" borderId="13" xfId="0" applyNumberFormat="1" applyFont="1" applyBorder="1" applyAlignment="1">
      <alignment horizontal="center" vertical="center"/>
    </xf>
    <xf numFmtId="1" fontId="22" fillId="0" borderId="114" xfId="0" applyNumberFormat="1" applyFont="1" applyBorder="1" applyAlignment="1">
      <alignment horizontal="center" vertical="center"/>
    </xf>
    <xf numFmtId="0" fontId="22" fillId="0" borderId="115" xfId="0" applyFont="1" applyBorder="1" applyAlignment="1">
      <alignment horizontal="center" vertical="center"/>
    </xf>
    <xf numFmtId="0" fontId="22" fillId="0" borderId="116" xfId="0" applyFont="1" applyBorder="1" applyAlignment="1">
      <alignment horizontal="center" vertical="center"/>
    </xf>
    <xf numFmtId="0" fontId="22" fillId="0" borderId="117" xfId="0" applyFont="1" applyBorder="1" applyAlignment="1">
      <alignment horizontal="center" vertical="center"/>
    </xf>
    <xf numFmtId="9" fontId="6" fillId="0" borderId="0" xfId="4" applyNumberFormat="1" applyAlignment="1">
      <alignment horizontal="center" vertical="center"/>
    </xf>
    <xf numFmtId="0" fontId="6" fillId="0" borderId="51" xfId="4" applyBorder="1" applyAlignment="1">
      <alignment horizontal="center" vertical="center"/>
    </xf>
    <xf numFmtId="0" fontId="23" fillId="7" borderId="51" xfId="0" applyFont="1" applyFill="1" applyBorder="1" applyAlignment="1">
      <alignment horizontal="center" vertical="center"/>
    </xf>
    <xf numFmtId="0" fontId="23" fillId="42" borderId="121" xfId="0" applyFont="1" applyFill="1" applyBorder="1" applyAlignment="1">
      <alignment horizontal="center" vertical="center" wrapText="1"/>
    </xf>
    <xf numFmtId="165" fontId="52" fillId="0" borderId="2" xfId="0" applyNumberFormat="1" applyFont="1" applyBorder="1"/>
    <xf numFmtId="0" fontId="19" fillId="46" borderId="115" xfId="0" applyFont="1" applyFill="1" applyBorder="1" applyAlignment="1">
      <alignment horizontal="center" vertical="center" wrapText="1"/>
    </xf>
    <xf numFmtId="0" fontId="19" fillId="46" borderId="1" xfId="0" applyFont="1" applyFill="1" applyBorder="1" applyAlignment="1">
      <alignment horizontal="center" vertical="center" wrapText="1"/>
    </xf>
    <xf numFmtId="0" fontId="19" fillId="46" borderId="4" xfId="0" applyFont="1" applyFill="1" applyBorder="1" applyAlignment="1">
      <alignment horizontal="center" vertical="center" wrapText="1"/>
    </xf>
    <xf numFmtId="165" fontId="52" fillId="0" borderId="116" xfId="0" applyNumberFormat="1" applyFont="1" applyBorder="1"/>
    <xf numFmtId="165" fontId="52" fillId="0" borderId="117" xfId="0" applyNumberFormat="1" applyFont="1" applyBorder="1"/>
    <xf numFmtId="165" fontId="52" fillId="0" borderId="32" xfId="0" applyNumberFormat="1" applyFont="1" applyBorder="1"/>
    <xf numFmtId="0" fontId="6" fillId="0" borderId="32" xfId="0" applyFont="1" applyBorder="1"/>
    <xf numFmtId="0" fontId="19" fillId="45" borderId="115" xfId="0" applyFont="1" applyFill="1" applyBorder="1" applyAlignment="1">
      <alignment horizontal="center" vertical="center" wrapText="1"/>
    </xf>
    <xf numFmtId="0" fontId="19" fillId="45" borderId="1" xfId="0" applyFont="1" applyFill="1" applyBorder="1" applyAlignment="1">
      <alignment horizontal="center" vertical="center" wrapText="1"/>
    </xf>
    <xf numFmtId="0" fontId="19" fillId="45" borderId="4" xfId="0" applyFont="1" applyFill="1" applyBorder="1" applyAlignment="1">
      <alignment horizontal="center" vertical="center" wrapText="1"/>
    </xf>
    <xf numFmtId="0" fontId="19" fillId="42" borderId="123" xfId="0" applyFont="1" applyFill="1" applyBorder="1" applyAlignment="1">
      <alignment horizontal="center" vertical="center" wrapText="1"/>
    </xf>
    <xf numFmtId="0" fontId="19" fillId="45" borderId="54" xfId="0" applyFont="1" applyFill="1" applyBorder="1" applyAlignment="1">
      <alignment horizontal="center" vertical="center" wrapText="1"/>
    </xf>
    <xf numFmtId="0" fontId="19" fillId="45" borderId="125" xfId="0" applyFont="1" applyFill="1" applyBorder="1" applyAlignment="1">
      <alignment horizontal="center" vertical="center" wrapText="1"/>
    </xf>
    <xf numFmtId="165" fontId="6" fillId="0" borderId="5" xfId="0" applyNumberFormat="1" applyFont="1" applyBorder="1"/>
    <xf numFmtId="165" fontId="6" fillId="0" borderId="6" xfId="0" applyNumberFormat="1" applyFont="1" applyBorder="1"/>
    <xf numFmtId="0" fontId="19" fillId="42" borderId="2" xfId="0" applyFont="1" applyFill="1" applyBorder="1" applyAlignment="1">
      <alignment horizontal="center" vertical="center" wrapText="1"/>
    </xf>
    <xf numFmtId="0" fontId="6" fillId="0" borderId="0" xfId="0" applyFont="1" applyAlignment="1">
      <alignment vertical="top"/>
    </xf>
    <xf numFmtId="0" fontId="23" fillId="44" borderId="0" xfId="0" applyFont="1" applyFill="1"/>
    <xf numFmtId="0" fontId="22" fillId="0" borderId="105" xfId="0" applyFont="1" applyBorder="1" applyAlignment="1">
      <alignment horizontal="center" vertical="center"/>
    </xf>
    <xf numFmtId="0" fontId="22" fillId="0" borderId="61" xfId="0" applyFont="1" applyBorder="1" applyAlignment="1">
      <alignment horizontal="center" vertical="center"/>
    </xf>
    <xf numFmtId="1" fontId="22" fillId="0" borderId="87" xfId="0" applyNumberFormat="1" applyFont="1" applyBorder="1" applyAlignment="1">
      <alignment horizontal="center" vertical="center"/>
    </xf>
    <xf numFmtId="1" fontId="22" fillId="0" borderId="106" xfId="0" applyNumberFormat="1" applyFont="1" applyBorder="1" applyAlignment="1">
      <alignment horizontal="center" vertical="center"/>
    </xf>
    <xf numFmtId="1" fontId="22" fillId="0" borderId="60" xfId="0" applyNumberFormat="1" applyFont="1" applyBorder="1" applyAlignment="1">
      <alignment horizontal="center" vertical="center"/>
    </xf>
    <xf numFmtId="1" fontId="22" fillId="0" borderId="71" xfId="0" applyNumberFormat="1" applyFont="1" applyBorder="1" applyAlignment="1">
      <alignment horizontal="center" vertical="center"/>
    </xf>
    <xf numFmtId="3" fontId="6" fillId="0" borderId="0" xfId="0" applyNumberFormat="1" applyFont="1"/>
    <xf numFmtId="1" fontId="6" fillId="0" borderId="0" xfId="0" applyNumberFormat="1" applyFont="1" applyAlignment="1">
      <alignment horizontal="center"/>
    </xf>
    <xf numFmtId="0" fontId="52" fillId="0" borderId="0" xfId="0" applyFont="1" applyAlignment="1">
      <alignment horizontal="center" vertical="center" wrapText="1"/>
    </xf>
    <xf numFmtId="0" fontId="53" fillId="0" borderId="130" xfId="0" applyFont="1" applyBorder="1" applyAlignment="1">
      <alignment horizontal="center" vertical="center"/>
    </xf>
    <xf numFmtId="0" fontId="53" fillId="0" borderId="131" xfId="0" applyFont="1" applyBorder="1" applyAlignment="1">
      <alignment horizontal="center" vertical="center"/>
    </xf>
    <xf numFmtId="0" fontId="53" fillId="0" borderId="28" xfId="0" applyFont="1" applyBorder="1" applyAlignment="1">
      <alignment horizontal="center" vertical="center"/>
    </xf>
    <xf numFmtId="0" fontId="53" fillId="0" borderId="132" xfId="0" applyFont="1" applyBorder="1" applyAlignment="1">
      <alignment horizontal="center" vertical="center"/>
    </xf>
    <xf numFmtId="0" fontId="53" fillId="0" borderId="133" xfId="0" applyFont="1" applyBorder="1" applyAlignment="1">
      <alignment horizontal="center" vertical="center"/>
    </xf>
    <xf numFmtId="0" fontId="53" fillId="0" borderId="134" xfId="0" applyFont="1" applyBorder="1" applyAlignment="1">
      <alignment horizontal="center" vertical="center"/>
    </xf>
    <xf numFmtId="0" fontId="53" fillId="0" borderId="135" xfId="0" applyFont="1" applyBorder="1" applyAlignment="1">
      <alignment horizontal="center" vertical="center"/>
    </xf>
    <xf numFmtId="0" fontId="53" fillId="0" borderId="136" xfId="0" applyFont="1" applyBorder="1" applyAlignment="1">
      <alignment horizontal="center" vertical="center"/>
    </xf>
    <xf numFmtId="0" fontId="53" fillId="0" borderId="137" xfId="0" applyFont="1" applyBorder="1" applyAlignment="1">
      <alignment horizontal="center" vertical="center"/>
    </xf>
    <xf numFmtId="0" fontId="53" fillId="0" borderId="138" xfId="0" applyFont="1" applyBorder="1" applyAlignment="1">
      <alignment horizontal="center" vertical="center"/>
    </xf>
    <xf numFmtId="0" fontId="53" fillId="0" borderId="139" xfId="0" applyFont="1" applyBorder="1" applyAlignment="1">
      <alignment horizontal="center" vertical="center"/>
    </xf>
    <xf numFmtId="2" fontId="53" fillId="0" borderId="29" xfId="0" applyNumberFormat="1" applyFont="1" applyBorder="1" applyAlignment="1">
      <alignment horizontal="center" vertical="center"/>
    </xf>
    <xf numFmtId="2" fontId="53" fillId="0" borderId="28" xfId="0" applyNumberFormat="1" applyFont="1" applyBorder="1" applyAlignment="1">
      <alignment horizontal="center" vertical="center"/>
    </xf>
    <xf numFmtId="2" fontId="53" fillId="0" borderId="73" xfId="0" applyNumberFormat="1" applyFont="1" applyBorder="1" applyAlignment="1">
      <alignment horizontal="center" vertical="center"/>
    </xf>
    <xf numFmtId="2" fontId="53" fillId="0" borderId="76" xfId="0" applyNumberFormat="1" applyFont="1" applyBorder="1" applyAlignment="1">
      <alignment horizontal="center" vertical="center"/>
    </xf>
    <xf numFmtId="2" fontId="53" fillId="0" borderId="2" xfId="0" applyNumberFormat="1" applyFont="1" applyBorder="1" applyAlignment="1">
      <alignment horizontal="center" vertical="center"/>
    </xf>
    <xf numFmtId="2" fontId="53" fillId="0" borderId="9" xfId="0" applyNumberFormat="1" applyFont="1" applyBorder="1" applyAlignment="1">
      <alignment horizontal="center" vertical="center"/>
    </xf>
    <xf numFmtId="0" fontId="7" fillId="42" borderId="2" xfId="0" applyFont="1" applyFill="1" applyBorder="1" applyAlignment="1">
      <alignment horizontal="center" vertical="center" wrapText="1"/>
    </xf>
    <xf numFmtId="0" fontId="19" fillId="0" borderId="0" xfId="0" applyFont="1" applyAlignment="1">
      <alignment horizontal="center" vertical="center" wrapText="1"/>
    </xf>
    <xf numFmtId="2" fontId="6" fillId="0" borderId="2" xfId="0" applyNumberFormat="1" applyFont="1" applyBorder="1" applyAlignment="1">
      <alignment horizontal="center" vertical="center" wrapText="1"/>
    </xf>
    <xf numFmtId="10" fontId="6" fillId="0" borderId="151" xfId="2" applyNumberFormat="1" applyFont="1" applyFill="1" applyBorder="1" applyAlignment="1">
      <alignment horizontal="center" vertical="center" wrapText="1"/>
    </xf>
    <xf numFmtId="43" fontId="7" fillId="0" borderId="2" xfId="6" applyFont="1" applyBorder="1" applyAlignment="1">
      <alignment horizontal="center" vertical="center"/>
    </xf>
    <xf numFmtId="43" fontId="6" fillId="0" borderId="2" xfId="6" applyFont="1" applyBorder="1" applyAlignment="1">
      <alignment horizontal="center" vertical="center"/>
    </xf>
    <xf numFmtId="0" fontId="6" fillId="0" borderId="0" xfId="65" applyFont="1"/>
    <xf numFmtId="0" fontId="52" fillId="0" borderId="0" xfId="65" applyFont="1" applyAlignment="1">
      <alignment vertical="center" wrapText="1"/>
    </xf>
    <xf numFmtId="0" fontId="52" fillId="0" borderId="0" xfId="65" applyFont="1" applyAlignment="1">
      <alignment vertical="center"/>
    </xf>
    <xf numFmtId="0" fontId="6" fillId="0" borderId="0" xfId="65" applyFont="1" applyAlignment="1">
      <alignment horizontal="left"/>
    </xf>
    <xf numFmtId="0" fontId="54" fillId="0" borderId="0" xfId="65"/>
    <xf numFmtId="0" fontId="6" fillId="0" borderId="0" xfId="65" applyFont="1" applyAlignment="1">
      <alignment wrapText="1"/>
    </xf>
    <xf numFmtId="0" fontId="54" fillId="0" borderId="0" xfId="65" applyAlignment="1">
      <alignment horizontal="left" vertical="center"/>
    </xf>
    <xf numFmtId="0" fontId="6" fillId="0" borderId="0" xfId="65" applyFont="1" applyAlignment="1">
      <alignment horizontal="left" vertical="center"/>
    </xf>
    <xf numFmtId="0" fontId="55" fillId="0" borderId="0" xfId="5" applyFont="1" applyAlignment="1">
      <alignment horizontal="left"/>
    </xf>
    <xf numFmtId="0" fontId="6" fillId="0" borderId="170" xfId="0" applyFont="1" applyBorder="1" applyAlignment="1">
      <alignment horizontal="center" vertical="center" wrapText="1"/>
    </xf>
    <xf numFmtId="0" fontId="6" fillId="0" borderId="171" xfId="0" applyFont="1" applyBorder="1" applyAlignment="1">
      <alignment horizontal="center" vertical="center" wrapText="1"/>
    </xf>
    <xf numFmtId="0" fontId="30" fillId="8" borderId="173" xfId="65" applyFont="1" applyFill="1" applyBorder="1" applyAlignment="1">
      <alignment horizontal="left" vertical="center"/>
    </xf>
    <xf numFmtId="0" fontId="30" fillId="8" borderId="163" xfId="65" applyFont="1" applyFill="1" applyBorder="1" applyAlignment="1">
      <alignment horizontal="left" vertical="center"/>
    </xf>
    <xf numFmtId="0" fontId="55" fillId="0" borderId="0" xfId="5" applyFont="1" applyAlignment="1">
      <alignment horizontal="left" vertical="top"/>
    </xf>
    <xf numFmtId="0" fontId="6" fillId="0" borderId="53" xfId="0" applyFont="1" applyBorder="1" applyAlignment="1">
      <alignment vertical="center"/>
    </xf>
    <xf numFmtId="1" fontId="6" fillId="0" borderId="53" xfId="0" applyNumberFormat="1" applyFont="1" applyBorder="1" applyAlignment="1">
      <alignment vertical="center"/>
    </xf>
    <xf numFmtId="3" fontId="6" fillId="0" borderId="53" xfId="0" applyNumberFormat="1" applyFont="1" applyBorder="1" applyAlignment="1">
      <alignment vertical="center"/>
    </xf>
    <xf numFmtId="2" fontId="6" fillId="0" borderId="53" xfId="0" applyNumberFormat="1" applyFont="1" applyBorder="1" applyAlignment="1">
      <alignment vertical="center"/>
    </xf>
    <xf numFmtId="170" fontId="6" fillId="0" borderId="58" xfId="0" applyNumberFormat="1" applyFont="1" applyBorder="1" applyAlignment="1">
      <alignment vertical="center"/>
    </xf>
    <xf numFmtId="0" fontId="16" fillId="0" borderId="0" xfId="5" applyFont="1" applyAlignment="1">
      <alignment horizontal="left"/>
    </xf>
    <xf numFmtId="0" fontId="16" fillId="0" borderId="0" xfId="5" applyFont="1" applyAlignment="1">
      <alignment horizontal="left" vertical="center"/>
    </xf>
    <xf numFmtId="0" fontId="8" fillId="0" borderId="0" xfId="5" applyAlignment="1">
      <alignment horizontal="left" vertical="center"/>
    </xf>
    <xf numFmtId="0" fontId="1" fillId="0" borderId="0" xfId="0" applyFont="1" applyAlignment="1">
      <alignment vertical="center"/>
    </xf>
    <xf numFmtId="0" fontId="56" fillId="0" borderId="0" xfId="5" applyFont="1" applyAlignment="1">
      <alignment horizontal="left" vertical="center"/>
    </xf>
    <xf numFmtId="0" fontId="6" fillId="6" borderId="2" xfId="0" applyFont="1" applyFill="1" applyBorder="1" applyAlignment="1">
      <alignment vertical="center"/>
    </xf>
    <xf numFmtId="0" fontId="7" fillId="2" borderId="0" xfId="0" applyFont="1" applyFill="1" applyAlignment="1">
      <alignment horizontal="left" vertical="center"/>
    </xf>
    <xf numFmtId="0" fontId="46" fillId="43" borderId="151" xfId="0" applyFont="1" applyFill="1" applyBorder="1" applyAlignment="1">
      <alignment horizontal="left" vertical="center"/>
    </xf>
    <xf numFmtId="9" fontId="6" fillId="0" borderId="0" xfId="2" applyFont="1" applyAlignment="1">
      <alignment horizontal="left"/>
    </xf>
    <xf numFmtId="1" fontId="6" fillId="0" borderId="0" xfId="2" applyNumberFormat="1" applyFont="1"/>
    <xf numFmtId="2" fontId="19" fillId="0" borderId="2" xfId="0" applyNumberFormat="1" applyFont="1" applyBorder="1" applyAlignment="1">
      <alignment horizontal="center" vertical="center" wrapText="1"/>
    </xf>
    <xf numFmtId="0" fontId="6" fillId="0" borderId="2" xfId="0" applyFont="1" applyBorder="1" applyAlignment="1">
      <alignment horizontal="center" vertical="center"/>
    </xf>
    <xf numFmtId="1" fontId="1" fillId="0" borderId="28" xfId="7" applyNumberFormat="1" applyFont="1" applyBorder="1" applyAlignment="1">
      <alignment horizontal="center" vertical="center"/>
    </xf>
    <xf numFmtId="1" fontId="1" fillId="0" borderId="3" xfId="7" applyNumberFormat="1" applyFont="1" applyBorder="1" applyAlignment="1">
      <alignment horizontal="center" vertical="center"/>
    </xf>
    <xf numFmtId="0" fontId="20" fillId="7" borderId="28" xfId="0" applyFont="1" applyFill="1" applyBorder="1" applyAlignment="1">
      <alignment horizontal="center" vertical="center" wrapText="1"/>
    </xf>
    <xf numFmtId="0" fontId="23" fillId="42" borderId="58" xfId="0" applyFont="1" applyFill="1" applyBorder="1" applyAlignment="1">
      <alignment horizontal="center" vertical="center" wrapText="1"/>
    </xf>
    <xf numFmtId="1" fontId="1" fillId="0" borderId="15" xfId="7" applyNumberFormat="1" applyFont="1" applyBorder="1" applyAlignment="1">
      <alignment horizontal="center" vertical="center"/>
    </xf>
    <xf numFmtId="1" fontId="1" fillId="0" borderId="29" xfId="7" applyNumberFormat="1" applyFont="1" applyBorder="1" applyAlignment="1">
      <alignment horizontal="center" vertical="center"/>
    </xf>
    <xf numFmtId="0" fontId="10" fillId="0" borderId="177" xfId="3" applyFont="1" applyFill="1" applyBorder="1" applyAlignment="1">
      <alignment horizontal="left" vertical="center" wrapText="1"/>
    </xf>
    <xf numFmtId="0" fontId="10" fillId="0" borderId="8" xfId="3" applyFont="1" applyFill="1" applyBorder="1" applyAlignment="1">
      <alignment horizontal="left" vertical="center" wrapText="1"/>
    </xf>
    <xf numFmtId="0" fontId="7" fillId="7" borderId="60" xfId="0" applyFont="1" applyFill="1" applyBorder="1" applyAlignment="1">
      <alignment horizontal="center" vertical="center"/>
    </xf>
    <xf numFmtId="0" fontId="7" fillId="42" borderId="60" xfId="0" applyFont="1" applyFill="1" applyBorder="1" applyAlignment="1">
      <alignment horizontal="center" vertical="center" wrapText="1"/>
    </xf>
    <xf numFmtId="0" fontId="6" fillId="5" borderId="0" xfId="0" applyFont="1" applyFill="1" applyAlignment="1">
      <alignment horizontal="left" vertical="center"/>
    </xf>
    <xf numFmtId="0" fontId="6" fillId="5" borderId="0" xfId="0" applyFont="1" applyFill="1" applyAlignment="1">
      <alignment vertical="center"/>
    </xf>
    <xf numFmtId="0" fontId="6" fillId="5" borderId="163" xfId="0" applyFont="1" applyFill="1" applyBorder="1"/>
    <xf numFmtId="0" fontId="16" fillId="0" borderId="28" xfId="5" applyFont="1" applyBorder="1" applyAlignment="1">
      <alignment horizontal="center" vertical="center" wrapText="1"/>
    </xf>
    <xf numFmtId="0" fontId="58" fillId="0" borderId="0" xfId="5" applyFont="1" applyBorder="1" applyAlignment="1">
      <alignment horizontal="center" vertical="center" wrapText="1"/>
    </xf>
    <xf numFmtId="0" fontId="6" fillId="0" borderId="20" xfId="0" applyFont="1" applyBorder="1" applyAlignment="1">
      <alignment horizontal="center" vertical="center"/>
    </xf>
    <xf numFmtId="0" fontId="6" fillId="0" borderId="20" xfId="0" applyFont="1" applyBorder="1" applyAlignment="1">
      <alignment horizontal="center" vertical="center" wrapText="1"/>
    </xf>
    <xf numFmtId="0" fontId="6" fillId="8" borderId="53" xfId="0" applyFont="1" applyFill="1" applyBorder="1" applyAlignment="1">
      <alignment horizontal="center" vertical="center"/>
    </xf>
    <xf numFmtId="0" fontId="6" fillId="8" borderId="53" xfId="0" applyFont="1" applyFill="1" applyBorder="1" applyAlignment="1">
      <alignment horizontal="center" vertical="center" wrapText="1"/>
    </xf>
    <xf numFmtId="167" fontId="6" fillId="8" borderId="53" xfId="0" applyNumberFormat="1" applyFont="1" applyFill="1" applyBorder="1" applyAlignment="1">
      <alignment horizontal="center" vertical="center"/>
    </xf>
    <xf numFmtId="0" fontId="6" fillId="6" borderId="53" xfId="0" applyFont="1" applyFill="1" applyBorder="1" applyAlignment="1">
      <alignment horizontal="center" vertical="center"/>
    </xf>
    <xf numFmtId="167" fontId="6" fillId="6" borderId="53" xfId="0" applyNumberFormat="1" applyFont="1" applyFill="1" applyBorder="1" applyAlignment="1">
      <alignment horizontal="center" vertical="center"/>
    </xf>
    <xf numFmtId="0" fontId="6" fillId="3" borderId="53" xfId="0" applyFont="1" applyFill="1" applyBorder="1" applyAlignment="1">
      <alignment horizontal="center" vertical="center"/>
    </xf>
    <xf numFmtId="167" fontId="6" fillId="3" borderId="53" xfId="0" applyNumberFormat="1" applyFont="1" applyFill="1" applyBorder="1" applyAlignment="1">
      <alignment horizontal="center" vertical="center"/>
    </xf>
    <xf numFmtId="0" fontId="6" fillId="53" borderId="53" xfId="0" applyFont="1" applyFill="1" applyBorder="1" applyAlignment="1">
      <alignment horizontal="center" vertical="center"/>
    </xf>
    <xf numFmtId="0" fontId="1" fillId="53" borderId="53" xfId="0" applyFont="1" applyFill="1" applyBorder="1" applyAlignment="1">
      <alignment horizontal="center" vertical="center"/>
    </xf>
    <xf numFmtId="167" fontId="1" fillId="53" borderId="53" xfId="0" applyNumberFormat="1" applyFont="1" applyFill="1" applyBorder="1" applyAlignment="1">
      <alignment horizontal="center" vertical="center"/>
    </xf>
    <xf numFmtId="167" fontId="6" fillId="0" borderId="53" xfId="0" applyNumberFormat="1" applyFont="1" applyBorder="1" applyAlignment="1">
      <alignment horizontal="center" vertical="center"/>
    </xf>
    <xf numFmtId="2" fontId="6" fillId="8" borderId="53" xfId="0" applyNumberFormat="1" applyFont="1" applyFill="1" applyBorder="1" applyAlignment="1">
      <alignment horizontal="center" vertical="center"/>
    </xf>
    <xf numFmtId="0" fontId="6" fillId="0" borderId="53" xfId="0" applyFont="1" applyBorder="1" applyAlignment="1">
      <alignment horizontal="center" vertical="center" wrapText="1"/>
    </xf>
    <xf numFmtId="0" fontId="6" fillId="0" borderId="53" xfId="0"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wrapText="1"/>
    </xf>
    <xf numFmtId="0" fontId="6" fillId="0" borderId="0" xfId="0" applyFont="1" applyAlignment="1">
      <alignment horizontal="left"/>
    </xf>
    <xf numFmtId="0" fontId="6" fillId="0" borderId="0" xfId="0" applyFont="1" applyAlignment="1">
      <alignment horizontal="left" vertical="center"/>
    </xf>
    <xf numFmtId="0" fontId="7" fillId="0" borderId="0" xfId="0" applyFont="1" applyAlignment="1">
      <alignment horizontal="center" vertical="center"/>
    </xf>
    <xf numFmtId="0" fontId="6" fillId="0" borderId="2" xfId="0" applyFont="1" applyBorder="1" applyAlignment="1">
      <alignment horizontal="center" vertical="center" wrapText="1"/>
    </xf>
    <xf numFmtId="0" fontId="6" fillId="0" borderId="28" xfId="0" applyFont="1" applyBorder="1" applyAlignment="1">
      <alignment horizontal="center" vertical="center"/>
    </xf>
    <xf numFmtId="0" fontId="7" fillId="7" borderId="2" xfId="0" applyFont="1" applyFill="1" applyBorder="1" applyAlignment="1">
      <alignment horizontal="center" vertical="center" wrapText="1"/>
    </xf>
    <xf numFmtId="0" fontId="7" fillId="7" borderId="0" xfId="0" applyFont="1" applyFill="1" applyAlignment="1">
      <alignment horizontal="center" vertical="center"/>
    </xf>
    <xf numFmtId="0" fontId="7" fillId="7" borderId="9" xfId="0" applyFont="1" applyFill="1" applyBorder="1" applyAlignment="1">
      <alignment horizontal="center" vertical="center"/>
    </xf>
    <xf numFmtId="0" fontId="19" fillId="7" borderId="2" xfId="0" applyFont="1" applyFill="1" applyBorder="1" applyAlignment="1">
      <alignment horizontal="center" vertical="center" wrapText="1"/>
    </xf>
    <xf numFmtId="0" fontId="23" fillId="7" borderId="2" xfId="0" applyFont="1" applyFill="1" applyBorder="1" applyAlignment="1">
      <alignment horizontal="center" vertical="center"/>
    </xf>
    <xf numFmtId="0" fontId="0" fillId="0" borderId="0" xfId="0" applyAlignment="1">
      <alignment horizontal="center"/>
    </xf>
    <xf numFmtId="0" fontId="27" fillId="0" borderId="0" xfId="0" applyFont="1" applyAlignment="1">
      <alignment vertical="center"/>
    </xf>
    <xf numFmtId="0" fontId="48" fillId="4" borderId="0" xfId="0" applyFont="1" applyFill="1" applyAlignment="1">
      <alignment horizontal="center" vertical="center"/>
    </xf>
    <xf numFmtId="0" fontId="6" fillId="0" borderId="3" xfId="0" applyFont="1" applyBorder="1"/>
    <xf numFmtId="0" fontId="7" fillId="0" borderId="51" xfId="0" applyFont="1" applyBorder="1"/>
    <xf numFmtId="0" fontId="6" fillId="0" borderId="51" xfId="0" applyFont="1" applyBorder="1"/>
    <xf numFmtId="168" fontId="6" fillId="0" borderId="51" xfId="6" applyNumberFormat="1" applyFont="1" applyBorder="1"/>
    <xf numFmtId="0" fontId="48" fillId="4" borderId="51" xfId="0" applyFont="1" applyFill="1" applyBorder="1" applyAlignment="1">
      <alignment horizontal="center" vertical="center"/>
    </xf>
    <xf numFmtId="3" fontId="6" fillId="0" borderId="51" xfId="0" applyNumberFormat="1" applyFont="1" applyBorder="1"/>
    <xf numFmtId="0" fontId="7" fillId="0" borderId="179" xfId="0" applyFont="1" applyBorder="1"/>
    <xf numFmtId="0" fontId="48" fillId="4" borderId="180" xfId="0" applyFont="1" applyFill="1" applyBorder="1" applyAlignment="1">
      <alignment horizontal="center" vertical="center"/>
    </xf>
    <xf numFmtId="168" fontId="6" fillId="0" borderId="181" xfId="6" applyNumberFormat="1" applyFont="1" applyBorder="1"/>
    <xf numFmtId="0" fontId="6" fillId="0" borderId="181" xfId="0" applyFont="1" applyBorder="1"/>
    <xf numFmtId="10" fontId="6" fillId="0" borderId="51" xfId="0" applyNumberFormat="1" applyFont="1" applyBorder="1"/>
    <xf numFmtId="10" fontId="6" fillId="0" borderId="51" xfId="0" applyNumberFormat="1" applyFont="1" applyBorder="1" applyAlignment="1">
      <alignment horizontal="center"/>
    </xf>
    <xf numFmtId="10" fontId="6" fillId="0" borderId="51" xfId="0" applyNumberFormat="1" applyFont="1" applyBorder="1" applyAlignment="1">
      <alignment horizontal="center" vertical="center"/>
    </xf>
    <xf numFmtId="0" fontId="6" fillId="0" borderId="182" xfId="4" applyBorder="1" applyAlignment="1">
      <alignment horizontal="center" vertical="center"/>
    </xf>
    <xf numFmtId="0" fontId="6" fillId="0" borderId="24" xfId="4" applyBorder="1" applyAlignment="1">
      <alignment horizontal="center" vertical="center"/>
    </xf>
    <xf numFmtId="9" fontId="6" fillId="0" borderId="24" xfId="0" applyNumberFormat="1" applyFont="1" applyBorder="1" applyAlignment="1">
      <alignment horizontal="center" vertical="center"/>
    </xf>
    <xf numFmtId="10" fontId="23" fillId="7" borderId="9" xfId="0" applyNumberFormat="1" applyFont="1" applyFill="1" applyBorder="1" applyAlignment="1">
      <alignment horizontal="center" vertical="center"/>
    </xf>
    <xf numFmtId="0" fontId="21" fillId="0" borderId="0" xfId="0" applyFont="1" applyAlignment="1">
      <alignment vertical="center"/>
    </xf>
    <xf numFmtId="0" fontId="21" fillId="0" borderId="0" xfId="0" applyFont="1" applyAlignment="1">
      <alignment horizontal="left"/>
    </xf>
    <xf numFmtId="0" fontId="21" fillId="0" borderId="0" xfId="0" applyFont="1"/>
    <xf numFmtId="0" fontId="21" fillId="0" borderId="0" xfId="0" applyFont="1" applyAlignment="1">
      <alignment vertical="center" wrapText="1"/>
    </xf>
    <xf numFmtId="0" fontId="21" fillId="0" borderId="0" xfId="0" applyFont="1" applyAlignment="1">
      <alignment horizontal="left" vertical="center"/>
    </xf>
    <xf numFmtId="0" fontId="21" fillId="0" borderId="2" xfId="0" applyFont="1" applyBorder="1" applyAlignment="1">
      <alignment vertical="center"/>
    </xf>
    <xf numFmtId="0" fontId="21" fillId="0" borderId="2" xfId="0" applyFont="1" applyBorder="1" applyAlignment="1">
      <alignment horizontal="center" vertical="center"/>
    </xf>
    <xf numFmtId="0" fontId="23" fillId="7" borderId="9" xfId="0" applyFont="1" applyFill="1" applyBorder="1" applyAlignment="1">
      <alignment horizontal="center" vertical="center"/>
    </xf>
    <xf numFmtId="0" fontId="23" fillId="7" borderId="2" xfId="0" applyFont="1" applyFill="1" applyBorder="1" applyAlignment="1">
      <alignment horizontal="center" vertical="center" wrapText="1"/>
    </xf>
    <xf numFmtId="0" fontId="21" fillId="0" borderId="28" xfId="0" applyFont="1" applyBorder="1" applyAlignment="1">
      <alignment horizontal="center" vertical="center"/>
    </xf>
    <xf numFmtId="0" fontId="21" fillId="0" borderId="177" xfId="0" applyFont="1" applyBorder="1" applyAlignment="1">
      <alignment horizontal="left" vertical="center" wrapText="1"/>
    </xf>
    <xf numFmtId="0" fontId="21" fillId="0" borderId="64" xfId="0" applyFont="1" applyBorder="1" applyAlignment="1">
      <alignment horizontal="center" vertical="center" wrapText="1"/>
    </xf>
    <xf numFmtId="3" fontId="21" fillId="0" borderId="2" xfId="7" applyNumberFormat="1" applyFont="1" applyBorder="1" applyAlignment="1">
      <alignment horizontal="center" vertical="center"/>
    </xf>
    <xf numFmtId="0" fontId="21" fillId="0" borderId="2" xfId="3" applyFont="1" applyFill="1" applyBorder="1" applyAlignment="1">
      <alignment horizontal="center" vertical="center" wrapText="1"/>
    </xf>
    <xf numFmtId="2" fontId="21" fillId="0" borderId="53" xfId="0" applyNumberFormat="1" applyFont="1" applyBorder="1" applyAlignment="1">
      <alignment horizontal="center" vertical="center"/>
    </xf>
    <xf numFmtId="2" fontId="21" fillId="8" borderId="53" xfId="0" applyNumberFormat="1" applyFont="1" applyFill="1" applyBorder="1" applyAlignment="1">
      <alignment horizontal="center" vertical="center"/>
    </xf>
    <xf numFmtId="0" fontId="23" fillId="7" borderId="20" xfId="0" applyFont="1" applyFill="1" applyBorder="1" applyAlignment="1">
      <alignment horizontal="center" vertical="center" wrapText="1"/>
    </xf>
    <xf numFmtId="3" fontId="21" fillId="0" borderId="0" xfId="0" applyNumberFormat="1" applyFont="1" applyAlignment="1">
      <alignment horizontal="left" vertical="center"/>
    </xf>
    <xf numFmtId="1" fontId="21" fillId="0" borderId="0" xfId="0" applyNumberFormat="1" applyFont="1" applyAlignment="1">
      <alignment horizontal="left" vertical="center"/>
    </xf>
    <xf numFmtId="0" fontId="21" fillId="0" borderId="2" xfId="0" applyFont="1" applyBorder="1" applyAlignment="1">
      <alignment horizontal="center" vertical="center" wrapText="1"/>
    </xf>
    <xf numFmtId="0" fontId="21" fillId="0" borderId="28" xfId="0" applyFont="1" applyBorder="1" applyAlignment="1">
      <alignment horizontal="center" vertical="center" wrapText="1"/>
    </xf>
    <xf numFmtId="0" fontId="21" fillId="0" borderId="0" xfId="0" applyFont="1" applyAlignment="1">
      <alignment horizontal="center" vertical="center" wrapText="1"/>
    </xf>
    <xf numFmtId="0" fontId="21" fillId="5" borderId="0" xfId="0" applyFont="1" applyFill="1" applyAlignment="1">
      <alignment horizontal="center" vertical="center" wrapText="1"/>
    </xf>
    <xf numFmtId="0" fontId="21" fillId="5" borderId="57" xfId="0" applyFont="1" applyFill="1" applyBorder="1" applyAlignment="1">
      <alignment horizontal="center" vertical="center" wrapText="1"/>
    </xf>
    <xf numFmtId="2" fontId="21" fillId="5" borderId="28" xfId="0" applyNumberFormat="1" applyFont="1" applyFill="1" applyBorder="1" applyAlignment="1">
      <alignment horizontal="center" vertical="center" wrapText="1"/>
    </xf>
    <xf numFmtId="0" fontId="21" fillId="0" borderId="28" xfId="0" quotePrefix="1" applyFont="1" applyBorder="1" applyAlignment="1">
      <alignment horizontal="center" vertical="center" wrapText="1"/>
    </xf>
    <xf numFmtId="0" fontId="21" fillId="0" borderId="184" xfId="0" applyFont="1" applyBorder="1" applyAlignment="1">
      <alignment horizontal="center" vertical="center" wrapText="1"/>
    </xf>
    <xf numFmtId="2" fontId="21" fillId="0" borderId="178" xfId="0" applyNumberFormat="1" applyFont="1" applyBorder="1" applyAlignment="1">
      <alignment horizontal="center" vertical="center" wrapText="1"/>
    </xf>
    <xf numFmtId="167" fontId="21" fillId="0" borderId="178" xfId="0" applyNumberFormat="1" applyFont="1" applyBorder="1" applyAlignment="1">
      <alignment horizontal="center" vertical="center" wrapText="1"/>
    </xf>
    <xf numFmtId="0" fontId="21" fillId="0" borderId="178" xfId="0" applyFont="1" applyBorder="1" applyAlignment="1">
      <alignment horizontal="center" vertical="center" wrapText="1"/>
    </xf>
    <xf numFmtId="2" fontId="21" fillId="0" borderId="0" xfId="0" applyNumberFormat="1" applyFont="1" applyAlignment="1">
      <alignment horizontal="center" vertical="center" wrapText="1"/>
    </xf>
    <xf numFmtId="0" fontId="21" fillId="0" borderId="0" xfId="0" applyFont="1" applyAlignment="1">
      <alignment horizontal="left" vertical="top" wrapText="1"/>
    </xf>
    <xf numFmtId="0" fontId="21" fillId="0" borderId="0" xfId="0" applyFont="1" applyAlignment="1">
      <alignment wrapText="1"/>
    </xf>
    <xf numFmtId="0" fontId="21" fillId="0" borderId="24" xfId="0" applyFont="1" applyBorder="1" applyAlignment="1">
      <alignment horizontal="center" vertical="center"/>
    </xf>
    <xf numFmtId="0" fontId="23" fillId="42" borderId="2" xfId="0" applyFont="1" applyFill="1" applyBorder="1" applyAlignment="1">
      <alignment horizontal="center" vertical="center" wrapText="1"/>
    </xf>
    <xf numFmtId="2" fontId="21" fillId="0" borderId="2" xfId="0" applyNumberFormat="1" applyFont="1" applyBorder="1" applyAlignment="1">
      <alignment horizontal="center" vertical="center" wrapText="1"/>
    </xf>
    <xf numFmtId="0" fontId="21" fillId="0" borderId="0" xfId="65" applyFont="1" applyAlignment="1">
      <alignment vertical="center" wrapText="1"/>
    </xf>
    <xf numFmtId="165" fontId="21" fillId="0" borderId="0" xfId="65" applyNumberFormat="1" applyFont="1" applyAlignment="1">
      <alignment horizontal="left" vertical="center" wrapText="1"/>
    </xf>
    <xf numFmtId="0" fontId="21" fillId="0" borderId="0" xfId="65" applyFont="1" applyAlignment="1">
      <alignment vertical="center"/>
    </xf>
    <xf numFmtId="167" fontId="21" fillId="0" borderId="0" xfId="65" applyNumberFormat="1" applyFont="1" applyAlignment="1">
      <alignment horizontal="left" vertical="center" wrapText="1"/>
    </xf>
    <xf numFmtId="0" fontId="21" fillId="0" borderId="0" xfId="65" applyFont="1" applyAlignment="1">
      <alignment horizontal="left" vertical="center" wrapText="1"/>
    </xf>
    <xf numFmtId="171" fontId="21" fillId="0" borderId="0" xfId="65" applyNumberFormat="1" applyFont="1" applyAlignment="1">
      <alignment horizontal="left" vertical="center" wrapText="1"/>
    </xf>
    <xf numFmtId="0" fontId="23" fillId="48" borderId="156" xfId="65" applyFont="1" applyFill="1" applyBorder="1" applyAlignment="1">
      <alignment horizontal="center" vertical="center" wrapText="1"/>
    </xf>
    <xf numFmtId="0" fontId="23" fillId="48" borderId="9" xfId="65" applyFont="1" applyFill="1" applyBorder="1" applyAlignment="1">
      <alignment vertical="center" wrapText="1"/>
    </xf>
    <xf numFmtId="0" fontId="21" fillId="0" borderId="156" xfId="65" applyFont="1" applyBorder="1" applyAlignment="1">
      <alignment horizontal="center" vertical="center" wrapText="1"/>
    </xf>
    <xf numFmtId="165" fontId="21" fillId="49" borderId="156" xfId="65" applyNumberFormat="1" applyFont="1" applyFill="1" applyBorder="1" applyAlignment="1">
      <alignment horizontal="center" vertical="center" wrapText="1"/>
    </xf>
    <xf numFmtId="3" fontId="21" fillId="0" borderId="156" xfId="65" applyNumberFormat="1" applyFont="1" applyBorder="1" applyAlignment="1">
      <alignment horizontal="center" vertical="center" wrapText="1"/>
    </xf>
    <xf numFmtId="4" fontId="21" fillId="0" borderId="156" xfId="65" applyNumberFormat="1" applyFont="1" applyBorder="1" applyAlignment="1">
      <alignment horizontal="center" vertical="center" wrapText="1"/>
    </xf>
    <xf numFmtId="2" fontId="21" fillId="50" borderId="157" xfId="65" applyNumberFormat="1" applyFont="1" applyFill="1" applyBorder="1" applyAlignment="1">
      <alignment horizontal="center" vertical="center" wrapText="1"/>
    </xf>
    <xf numFmtId="3" fontId="21" fillId="0" borderId="158" xfId="65" applyNumberFormat="1" applyFont="1" applyBorder="1" applyAlignment="1">
      <alignment horizontal="center" vertical="center" wrapText="1"/>
    </xf>
    <xf numFmtId="0" fontId="23" fillId="6" borderId="161" xfId="65" applyFont="1" applyFill="1" applyBorder="1" applyAlignment="1">
      <alignment vertical="center" wrapText="1"/>
    </xf>
    <xf numFmtId="0" fontId="23" fillId="6" borderId="162" xfId="65" applyFont="1" applyFill="1" applyBorder="1" applyAlignment="1">
      <alignment vertical="center" wrapText="1"/>
    </xf>
    <xf numFmtId="0" fontId="23" fillId="51" borderId="10" xfId="65" applyFont="1" applyFill="1" applyBorder="1" applyAlignment="1">
      <alignment vertical="center" wrapText="1"/>
    </xf>
    <xf numFmtId="0" fontId="23" fillId="51" borderId="11" xfId="65" applyFont="1" applyFill="1" applyBorder="1" applyAlignment="1">
      <alignment vertical="center" wrapText="1"/>
    </xf>
    <xf numFmtId="0" fontId="23" fillId="51" borderId="11" xfId="65" applyFont="1" applyFill="1" applyBorder="1" applyAlignment="1">
      <alignment horizontal="left" vertical="center" wrapText="1"/>
    </xf>
    <xf numFmtId="0" fontId="23" fillId="51" borderId="173" xfId="65" applyFont="1" applyFill="1" applyBorder="1" applyAlignment="1">
      <alignment vertical="center" wrapText="1"/>
    </xf>
    <xf numFmtId="0" fontId="21" fillId="8" borderId="10" xfId="65" applyFont="1" applyFill="1" applyBorder="1" applyAlignment="1">
      <alignment horizontal="left" vertical="center"/>
    </xf>
    <xf numFmtId="0" fontId="21" fillId="52" borderId="11" xfId="65" applyFont="1" applyFill="1" applyBorder="1" applyAlignment="1">
      <alignment horizontal="left" vertical="center"/>
    </xf>
    <xf numFmtId="3" fontId="21" fillId="52" borderId="11" xfId="6" applyNumberFormat="1" applyFont="1" applyFill="1" applyBorder="1" applyAlignment="1">
      <alignment horizontal="left" vertical="center"/>
    </xf>
    <xf numFmtId="0" fontId="21" fillId="52" borderId="173" xfId="65" applyFont="1" applyFill="1" applyBorder="1" applyAlignment="1">
      <alignment horizontal="left" vertical="center"/>
    </xf>
    <xf numFmtId="0" fontId="21" fillId="8" borderId="13" xfId="65" applyFont="1" applyFill="1" applyBorder="1" applyAlignment="1">
      <alignment horizontal="left" vertical="center"/>
    </xf>
    <xf numFmtId="0" fontId="21" fillId="52" borderId="0" xfId="65" applyFont="1" applyFill="1" applyAlignment="1">
      <alignment horizontal="left" vertical="center"/>
    </xf>
    <xf numFmtId="3" fontId="21" fillId="52" borderId="0" xfId="6" applyNumberFormat="1" applyFont="1" applyFill="1" applyBorder="1" applyAlignment="1">
      <alignment horizontal="left" vertical="center"/>
    </xf>
    <xf numFmtId="0" fontId="21" fillId="52" borderId="163" xfId="65" applyFont="1" applyFill="1" applyBorder="1" applyAlignment="1">
      <alignment horizontal="left" vertical="center"/>
    </xf>
    <xf numFmtId="0" fontId="21" fillId="8" borderId="163" xfId="65" applyFont="1" applyFill="1" applyBorder="1" applyAlignment="1">
      <alignment horizontal="left" vertical="center"/>
    </xf>
    <xf numFmtId="0" fontId="21" fillId="52" borderId="16" xfId="65" applyFont="1" applyFill="1" applyBorder="1" applyAlignment="1">
      <alignment horizontal="left" vertical="center"/>
    </xf>
    <xf numFmtId="0" fontId="21" fillId="52" borderId="17" xfId="65" applyFont="1" applyFill="1" applyBorder="1" applyAlignment="1">
      <alignment horizontal="left" vertical="center"/>
    </xf>
    <xf numFmtId="0" fontId="21" fillId="8" borderId="15" xfId="65" applyFont="1" applyFill="1" applyBorder="1" applyAlignment="1">
      <alignment horizontal="left" vertical="center"/>
    </xf>
    <xf numFmtId="0" fontId="21" fillId="8" borderId="17" xfId="65" applyFont="1" applyFill="1" applyBorder="1" applyAlignment="1">
      <alignment horizontal="left" vertical="center"/>
    </xf>
    <xf numFmtId="0" fontId="21" fillId="0" borderId="171" xfId="0" applyFont="1" applyBorder="1" applyAlignment="1">
      <alignment horizontal="center" vertical="center"/>
    </xf>
    <xf numFmtId="0" fontId="21" fillId="0" borderId="172" xfId="0" applyFont="1" applyBorder="1" applyAlignment="1">
      <alignment horizontal="center" vertical="center" wrapText="1"/>
    </xf>
    <xf numFmtId="168" fontId="21" fillId="0" borderId="2" xfId="6" applyNumberFormat="1" applyFont="1" applyBorder="1" applyAlignment="1">
      <alignment horizontal="right" vertical="center"/>
    </xf>
    <xf numFmtId="0" fontId="21" fillId="0" borderId="16" xfId="0" applyFont="1" applyBorder="1" applyAlignment="1">
      <alignment horizontal="center" vertical="center"/>
    </xf>
    <xf numFmtId="2" fontId="21" fillId="0" borderId="126" xfId="0" applyNumberFormat="1" applyFont="1" applyBorder="1" applyAlignment="1">
      <alignment horizontal="center" vertical="center"/>
    </xf>
    <xf numFmtId="2" fontId="21" fillId="0" borderId="17" xfId="0" applyNumberFormat="1" applyFont="1" applyBorder="1" applyAlignment="1">
      <alignment horizontal="center" vertical="center"/>
    </xf>
    <xf numFmtId="2" fontId="21" fillId="0" borderId="127" xfId="0" applyNumberFormat="1" applyFont="1" applyBorder="1" applyAlignment="1">
      <alignment horizontal="center" vertical="center"/>
    </xf>
    <xf numFmtId="165" fontId="21" fillId="0" borderId="116" xfId="0" applyNumberFormat="1" applyFont="1" applyBorder="1" applyAlignment="1">
      <alignment horizontal="center" vertical="center"/>
    </xf>
    <xf numFmtId="165" fontId="21" fillId="0" borderId="2" xfId="0" applyNumberFormat="1" applyFont="1" applyBorder="1" applyAlignment="1">
      <alignment horizontal="center" vertical="center"/>
    </xf>
    <xf numFmtId="165" fontId="21" fillId="0" borderId="5" xfId="0" applyNumberFormat="1" applyFont="1" applyBorder="1" applyAlignment="1">
      <alignment horizontal="center" vertical="center"/>
    </xf>
    <xf numFmtId="3" fontId="21" fillId="0" borderId="28" xfId="0" applyNumberFormat="1" applyFont="1" applyBorder="1" applyAlignment="1">
      <alignment horizontal="center"/>
    </xf>
    <xf numFmtId="0" fontId="21" fillId="0" borderId="28" xfId="0" applyFont="1" applyBorder="1" applyAlignment="1">
      <alignment horizontal="center"/>
    </xf>
    <xf numFmtId="0" fontId="21" fillId="0" borderId="28" xfId="0" applyFont="1" applyBorder="1"/>
    <xf numFmtId="165" fontId="21" fillId="0" borderId="28" xfId="0" applyNumberFormat="1" applyFont="1" applyBorder="1"/>
    <xf numFmtId="0" fontId="21" fillId="0" borderId="124" xfId="0" applyFont="1" applyBorder="1" applyAlignment="1">
      <alignment horizontal="center" vertical="center"/>
    </xf>
    <xf numFmtId="2" fontId="21" fillId="0" borderId="128" xfId="0" applyNumberFormat="1" applyFont="1" applyBorder="1" applyAlignment="1">
      <alignment horizontal="center" vertical="center"/>
    </xf>
    <xf numFmtId="2" fontId="21" fillId="0" borderId="129" xfId="0" applyNumberFormat="1" applyFont="1" applyBorder="1" applyAlignment="1">
      <alignment horizontal="center" vertical="center"/>
    </xf>
    <xf numFmtId="2" fontId="21" fillId="0" borderId="35" xfId="0" applyNumberFormat="1" applyFont="1" applyBorder="1" applyAlignment="1">
      <alignment horizontal="center" vertical="center"/>
    </xf>
    <xf numFmtId="165" fontId="21" fillId="0" borderId="117" xfId="0" applyNumberFormat="1" applyFont="1" applyBorder="1" applyAlignment="1">
      <alignment horizontal="center" vertical="center"/>
    </xf>
    <xf numFmtId="165" fontId="21" fillId="0" borderId="32" xfId="0" applyNumberFormat="1" applyFont="1" applyBorder="1" applyAlignment="1">
      <alignment horizontal="center" vertical="center"/>
    </xf>
    <xf numFmtId="165" fontId="21" fillId="0" borderId="6" xfId="0" applyNumberFormat="1" applyFont="1" applyBorder="1" applyAlignment="1">
      <alignment horizontal="center" vertical="center"/>
    </xf>
    <xf numFmtId="0" fontId="18" fillId="0" borderId="16" xfId="0" applyFont="1" applyBorder="1" applyAlignment="1">
      <alignment horizontal="left" vertical="center"/>
    </xf>
    <xf numFmtId="0" fontId="13" fillId="9" borderId="3" xfId="1" applyFont="1" applyFill="1" applyBorder="1" applyAlignment="1">
      <alignment horizontal="center" vertical="center" wrapText="1"/>
    </xf>
    <xf numFmtId="0" fontId="13" fillId="9" borderId="7" xfId="1" applyFont="1" applyFill="1" applyBorder="1" applyAlignment="1">
      <alignment horizontal="center" vertical="center" wrapText="1"/>
    </xf>
    <xf numFmtId="0" fontId="13" fillId="9" borderId="0" xfId="0" applyFont="1" applyFill="1" applyAlignment="1">
      <alignment horizontal="center" vertical="center"/>
    </xf>
    <xf numFmtId="0" fontId="6" fillId="0" borderId="0" xfId="0" applyFont="1" applyAlignment="1">
      <alignment horizontal="left" vertical="center"/>
    </xf>
    <xf numFmtId="0" fontId="21" fillId="0" borderId="0" xfId="0" applyFont="1" applyAlignment="1">
      <alignment horizontal="left" vertical="top" wrapText="1"/>
    </xf>
    <xf numFmtId="0" fontId="6" fillId="0" borderId="0" xfId="0" applyFont="1" applyAlignment="1">
      <alignment horizontal="left"/>
    </xf>
    <xf numFmtId="0" fontId="7" fillId="0" borderId="37" xfId="0" applyFont="1" applyBorder="1" applyAlignment="1">
      <alignment horizontal="center" vertical="center"/>
    </xf>
    <xf numFmtId="0" fontId="7" fillId="0" borderId="38" xfId="0" applyFont="1" applyBorder="1" applyAlignment="1">
      <alignment horizontal="center" vertical="center"/>
    </xf>
    <xf numFmtId="0" fontId="7" fillId="0" borderId="39" xfId="0" applyFont="1" applyBorder="1" applyAlignment="1">
      <alignment horizontal="center" vertical="center"/>
    </xf>
    <xf numFmtId="0" fontId="7" fillId="0" borderId="19" xfId="0" applyFont="1" applyBorder="1" applyAlignment="1">
      <alignment horizontal="center" vertical="center"/>
    </xf>
    <xf numFmtId="0" fontId="7" fillId="0" borderId="0" xfId="0" applyFont="1" applyAlignment="1">
      <alignment horizontal="center" vertical="center"/>
    </xf>
    <xf numFmtId="0" fontId="7" fillId="0" borderId="18" xfId="0" applyFont="1" applyBorder="1" applyAlignment="1">
      <alignment horizontal="center" vertical="center"/>
    </xf>
    <xf numFmtId="0" fontId="7" fillId="0" borderId="40" xfId="0"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6" fillId="0" borderId="0" xfId="0" applyFont="1" applyAlignment="1">
      <alignment horizontal="center"/>
    </xf>
    <xf numFmtId="167" fontId="6" fillId="0" borderId="24" xfId="0" applyNumberFormat="1" applyFont="1" applyBorder="1" applyAlignment="1">
      <alignment horizontal="center" vertical="center" wrapText="1"/>
    </xf>
    <xf numFmtId="167" fontId="6" fillId="0" borderId="25" xfId="0" applyNumberFormat="1" applyFont="1" applyBorder="1" applyAlignment="1">
      <alignment horizontal="center" vertical="center" wrapText="1"/>
    </xf>
    <xf numFmtId="167" fontId="6" fillId="0" borderId="26" xfId="0" applyNumberFormat="1" applyFont="1" applyBorder="1" applyAlignment="1">
      <alignment horizontal="center" vertical="center" wrapText="1"/>
    </xf>
    <xf numFmtId="0" fontId="6" fillId="0" borderId="53" xfId="0" applyFont="1" applyBorder="1" applyAlignment="1">
      <alignment horizontal="center" vertical="center" wrapText="1"/>
    </xf>
    <xf numFmtId="0" fontId="13" fillId="9" borderId="0" xfId="0" applyFont="1" applyFill="1" applyAlignment="1">
      <alignment horizontal="center" vertical="center" wrapText="1"/>
    </xf>
    <xf numFmtId="0" fontId="6" fillId="0" borderId="53" xfId="0" applyFont="1" applyBorder="1" applyAlignment="1">
      <alignment horizontal="center" vertical="center"/>
    </xf>
    <xf numFmtId="0" fontId="1" fillId="0" borderId="53" xfId="0" applyFont="1" applyBorder="1" applyAlignment="1">
      <alignment horizontal="center" vertical="center" wrapText="1"/>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21" fillId="0" borderId="22" xfId="0" applyFont="1" applyBorder="1" applyAlignment="1">
      <alignment horizontal="center" vertical="center"/>
    </xf>
    <xf numFmtId="0" fontId="13" fillId="9" borderId="33" xfId="0" applyFont="1" applyFill="1" applyBorder="1" applyAlignment="1">
      <alignment horizontal="center" vertical="center"/>
    </xf>
    <xf numFmtId="0" fontId="7" fillId="7" borderId="24" xfId="0" applyFont="1" applyFill="1" applyBorder="1" applyAlignment="1">
      <alignment horizontal="center" vertical="center" wrapText="1"/>
    </xf>
    <xf numFmtId="0" fontId="7" fillId="7" borderId="25" xfId="0" applyFont="1" applyFill="1" applyBorder="1" applyAlignment="1">
      <alignment horizontal="center" vertical="center" wrapText="1"/>
    </xf>
    <xf numFmtId="0" fontId="7" fillId="7" borderId="26" xfId="0" applyFont="1" applyFill="1" applyBorder="1" applyAlignment="1">
      <alignment horizontal="center" vertical="center" wrapText="1"/>
    </xf>
    <xf numFmtId="0" fontId="13" fillId="9" borderId="16" xfId="0" applyFont="1" applyFill="1" applyBorder="1" applyAlignment="1">
      <alignment horizontal="center" vertical="center" wrapText="1"/>
    </xf>
    <xf numFmtId="0" fontId="6" fillId="0" borderId="0" xfId="0" applyFont="1" applyAlignment="1">
      <alignment horizontal="left" vertical="top" wrapText="1"/>
    </xf>
    <xf numFmtId="0" fontId="21" fillId="0" borderId="28" xfId="0" applyFont="1" applyBorder="1" applyAlignment="1">
      <alignment horizontal="center" vertical="center" wrapText="1"/>
    </xf>
    <xf numFmtId="0" fontId="21" fillId="0" borderId="178" xfId="0" applyFont="1" applyBorder="1" applyAlignment="1">
      <alignment horizontal="center" vertical="center" wrapText="1"/>
    </xf>
    <xf numFmtId="0" fontId="6" fillId="0" borderId="135" xfId="0" applyFont="1" applyBorder="1" applyAlignment="1">
      <alignment horizontal="center" vertical="center"/>
    </xf>
    <xf numFmtId="0" fontId="6" fillId="0" borderId="183" xfId="0" applyFont="1" applyBorder="1" applyAlignment="1">
      <alignment horizontal="center" vertical="center"/>
    </xf>
    <xf numFmtId="0" fontId="0" fillId="0" borderId="51" xfId="0" applyBorder="1" applyAlignment="1">
      <alignment horizontal="center" vertical="center"/>
    </xf>
    <xf numFmtId="0" fontId="45" fillId="41" borderId="2" xfId="0" applyFont="1" applyFill="1" applyBorder="1" applyAlignment="1">
      <alignment horizontal="center" vertical="center"/>
    </xf>
    <xf numFmtId="0" fontId="45" fillId="41" borderId="176" xfId="0" applyFont="1" applyFill="1" applyBorder="1" applyAlignment="1">
      <alignment horizontal="center" vertical="center"/>
    </xf>
    <xf numFmtId="0" fontId="45" fillId="41" borderId="0" xfId="0" applyFont="1" applyFill="1" applyAlignment="1">
      <alignment horizontal="center" vertical="center"/>
    </xf>
    <xf numFmtId="0" fontId="6" fillId="0" borderId="28" xfId="0" applyFont="1" applyBorder="1" applyAlignment="1">
      <alignment horizontal="center" vertical="center"/>
    </xf>
    <xf numFmtId="0" fontId="8" fillId="0" borderId="28" xfId="5" applyBorder="1" applyAlignment="1">
      <alignment horizontal="center" vertical="center"/>
    </xf>
    <xf numFmtId="0" fontId="6" fillId="0" borderId="28" xfId="0" applyFont="1" applyBorder="1" applyAlignment="1">
      <alignment horizontal="center" vertical="center" wrapText="1"/>
    </xf>
    <xf numFmtId="0" fontId="21" fillId="54" borderId="28" xfId="0" quotePrefix="1" applyFont="1" applyFill="1" applyBorder="1" applyAlignment="1">
      <alignment horizontal="center" vertical="center" wrapText="1"/>
    </xf>
    <xf numFmtId="0" fontId="59" fillId="9" borderId="161" xfId="0" applyFont="1" applyFill="1" applyBorder="1" applyAlignment="1">
      <alignment horizontal="center" vertical="center" wrapText="1"/>
    </xf>
    <xf numFmtId="0" fontId="59" fillId="9" borderId="162" xfId="0" applyFont="1" applyFill="1" applyBorder="1" applyAlignment="1">
      <alignment horizontal="center" vertical="center" wrapText="1"/>
    </xf>
    <xf numFmtId="0" fontId="21" fillId="0" borderId="0" xfId="0" applyFont="1" applyAlignment="1">
      <alignment horizontal="left" vertical="center" wrapText="1"/>
    </xf>
    <xf numFmtId="0" fontId="6" fillId="0" borderId="2" xfId="0" applyFont="1"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13" fillId="9" borderId="13" xfId="0" applyFont="1" applyFill="1" applyBorder="1" applyAlignment="1">
      <alignment horizontal="center" vertical="center" wrapText="1"/>
    </xf>
    <xf numFmtId="0" fontId="13" fillId="9" borderId="15" xfId="0" applyFont="1" applyFill="1" applyBorder="1" applyAlignment="1">
      <alignment horizontal="center" vertical="center" wrapText="1"/>
    </xf>
    <xf numFmtId="0" fontId="13" fillId="47" borderId="155" xfId="65" applyFont="1" applyFill="1" applyBorder="1" applyAlignment="1">
      <alignment horizontal="center" vertical="center" wrapText="1"/>
    </xf>
    <xf numFmtId="0" fontId="13" fillId="47" borderId="0" xfId="65" applyFont="1" applyFill="1" applyAlignment="1">
      <alignment horizontal="center" vertical="center" wrapText="1"/>
    </xf>
    <xf numFmtId="0" fontId="23" fillId="48" borderId="174" xfId="65" applyFont="1" applyFill="1" applyBorder="1" applyAlignment="1">
      <alignment horizontal="center" vertical="center" wrapText="1"/>
    </xf>
    <xf numFmtId="0" fontId="23" fillId="48" borderId="175" xfId="65" applyFont="1" applyFill="1" applyBorder="1" applyAlignment="1">
      <alignment horizontal="center" vertical="center" wrapText="1"/>
    </xf>
    <xf numFmtId="0" fontId="23" fillId="48" borderId="2" xfId="65" applyFont="1" applyFill="1" applyBorder="1" applyAlignment="1">
      <alignment horizontal="center" vertical="center" wrapText="1"/>
    </xf>
    <xf numFmtId="0" fontId="21" fillId="0" borderId="73" xfId="0" applyFont="1" applyBorder="1" applyAlignment="1">
      <alignment horizontal="center" vertical="center" wrapText="1"/>
    </xf>
    <xf numFmtId="0" fontId="21" fillId="0" borderId="159" xfId="0" applyFont="1" applyBorder="1" applyAlignment="1">
      <alignment horizontal="center" vertical="center" wrapText="1"/>
    </xf>
    <xf numFmtId="0" fontId="21" fillId="0" borderId="160" xfId="0" applyFont="1" applyBorder="1" applyAlignment="1">
      <alignment horizontal="center" vertical="center" wrapText="1"/>
    </xf>
    <xf numFmtId="0" fontId="13" fillId="9" borderId="151" xfId="0" applyFont="1" applyFill="1" applyBorder="1" applyAlignment="1">
      <alignment horizontal="center" vertical="center" wrapText="1"/>
    </xf>
    <xf numFmtId="0" fontId="6" fillId="0" borderId="152" xfId="0" applyFont="1" applyBorder="1" applyAlignment="1">
      <alignment horizontal="center" vertical="center" wrapText="1"/>
    </xf>
    <xf numFmtId="0" fontId="6" fillId="0" borderId="153" xfId="0" applyFont="1" applyBorder="1" applyAlignment="1">
      <alignment horizontal="center" vertical="center" wrapText="1"/>
    </xf>
    <xf numFmtId="0" fontId="6" fillId="0" borderId="154" xfId="0" applyFont="1" applyBorder="1" applyAlignment="1">
      <alignment horizontal="center" vertical="center" wrapText="1"/>
    </xf>
    <xf numFmtId="43" fontId="7" fillId="0" borderId="3" xfId="6" applyFont="1" applyBorder="1" applyAlignment="1">
      <alignment horizontal="left" vertical="center"/>
    </xf>
    <xf numFmtId="43" fontId="7" fillId="0" borderId="7" xfId="6" applyFont="1" applyBorder="1" applyAlignment="1">
      <alignment horizontal="left" vertical="center"/>
    </xf>
    <xf numFmtId="43" fontId="7" fillId="0" borderId="8" xfId="6" applyFont="1" applyBorder="1" applyAlignment="1">
      <alignment horizontal="left" vertical="center"/>
    </xf>
    <xf numFmtId="43" fontId="21" fillId="0" borderId="12" xfId="6" applyFont="1" applyBorder="1" applyAlignment="1">
      <alignment horizontal="center" vertical="center" wrapText="1"/>
    </xf>
    <xf numFmtId="43" fontId="21" fillId="0" borderId="14" xfId="6" applyFont="1" applyBorder="1" applyAlignment="1">
      <alignment horizontal="center" vertical="center" wrapText="1"/>
    </xf>
    <xf numFmtId="0" fontId="7" fillId="7" borderId="167" xfId="0" applyFont="1" applyFill="1" applyBorder="1" applyAlignment="1">
      <alignment horizontal="center" vertical="center"/>
    </xf>
    <xf numFmtId="0" fontId="7" fillId="7" borderId="2" xfId="0" applyFont="1" applyFill="1" applyBorder="1" applyAlignment="1">
      <alignment horizontal="center" vertical="center" wrapText="1"/>
    </xf>
    <xf numFmtId="0" fontId="13" fillId="9" borderId="164" xfId="0" applyFont="1" applyFill="1" applyBorder="1" applyAlignment="1">
      <alignment horizontal="center" vertical="center" wrapText="1"/>
    </xf>
    <xf numFmtId="0" fontId="13" fillId="9" borderId="165" xfId="0" applyFont="1" applyFill="1" applyBorder="1" applyAlignment="1">
      <alignment horizontal="center" vertical="center" wrapText="1"/>
    </xf>
    <xf numFmtId="0" fontId="13" fillId="9" borderId="166" xfId="0" applyFont="1" applyFill="1" applyBorder="1" applyAlignment="1">
      <alignment horizontal="center" vertical="center" wrapText="1"/>
    </xf>
    <xf numFmtId="0" fontId="7" fillId="7" borderId="168" xfId="0" applyFont="1" applyFill="1" applyBorder="1" applyAlignment="1">
      <alignment horizontal="center" vertical="center" wrapText="1"/>
    </xf>
    <xf numFmtId="0" fontId="7" fillId="7" borderId="169" xfId="0" applyFont="1" applyFill="1" applyBorder="1" applyAlignment="1">
      <alignment horizontal="center" vertical="center" wrapText="1"/>
    </xf>
    <xf numFmtId="0" fontId="13" fillId="9" borderId="16" xfId="0" applyFont="1" applyFill="1" applyBorder="1" applyAlignment="1">
      <alignment horizontal="center" vertical="center"/>
    </xf>
    <xf numFmtId="0" fontId="6" fillId="8" borderId="2" xfId="0" applyFont="1" applyFill="1" applyBorder="1" applyAlignment="1">
      <alignment horizontal="left" vertical="center"/>
    </xf>
    <xf numFmtId="0" fontId="23" fillId="7" borderId="58" xfId="0" applyFont="1" applyFill="1" applyBorder="1" applyAlignment="1">
      <alignment horizontal="center" vertical="center" wrapText="1"/>
    </xf>
    <xf numFmtId="0" fontId="23" fillId="7" borderId="59" xfId="0" applyFont="1" applyFill="1" applyBorder="1" applyAlignment="1">
      <alignment horizontal="center" vertical="center" wrapText="1"/>
    </xf>
    <xf numFmtId="0" fontId="13" fillId="9" borderId="3" xfId="0" applyFont="1" applyFill="1" applyBorder="1" applyAlignment="1">
      <alignment horizontal="center" vertical="center"/>
    </xf>
    <xf numFmtId="0" fontId="13" fillId="9" borderId="7" xfId="0" applyFont="1" applyFill="1" applyBorder="1" applyAlignment="1">
      <alignment horizontal="center" vertical="center"/>
    </xf>
    <xf numFmtId="0" fontId="13" fillId="9" borderId="8" xfId="0" applyFont="1" applyFill="1" applyBorder="1" applyAlignment="1">
      <alignment horizontal="center" vertical="center"/>
    </xf>
    <xf numFmtId="0" fontId="22" fillId="0" borderId="148" xfId="0" applyFont="1" applyBorder="1" applyAlignment="1">
      <alignment horizontal="center" vertical="center" wrapText="1"/>
    </xf>
    <xf numFmtId="0" fontId="22" fillId="0" borderId="149" xfId="0" applyFont="1" applyBorder="1" applyAlignment="1">
      <alignment horizontal="center" vertical="center" wrapText="1"/>
    </xf>
    <xf numFmtId="0" fontId="22" fillId="0" borderId="150" xfId="0" applyFont="1" applyBorder="1" applyAlignment="1">
      <alignment horizontal="center" vertical="center" wrapText="1"/>
    </xf>
    <xf numFmtId="0" fontId="50" fillId="0" borderId="145" xfId="0" applyFont="1" applyBorder="1" applyAlignment="1">
      <alignment horizontal="center" vertical="center"/>
    </xf>
    <xf numFmtId="0" fontId="50" fillId="0" borderId="146" xfId="0" applyFont="1" applyBorder="1" applyAlignment="1">
      <alignment horizontal="center" vertical="center"/>
    </xf>
    <xf numFmtId="0" fontId="50" fillId="0" borderId="147" xfId="0" applyFont="1" applyBorder="1" applyAlignment="1">
      <alignment horizontal="center" vertical="center"/>
    </xf>
    <xf numFmtId="0" fontId="22" fillId="0" borderId="142" xfId="0" applyFont="1" applyBorder="1" applyAlignment="1">
      <alignment horizontal="center" vertical="center"/>
    </xf>
    <xf numFmtId="0" fontId="22" fillId="0" borderId="143" xfId="0" applyFont="1" applyBorder="1" applyAlignment="1">
      <alignment horizontal="center" vertical="center"/>
    </xf>
    <xf numFmtId="0" fontId="22" fillId="0" borderId="144" xfId="0" applyFont="1" applyBorder="1" applyAlignment="1">
      <alignment horizontal="center" vertical="center"/>
    </xf>
    <xf numFmtId="0" fontId="22" fillId="0" borderId="140" xfId="0" applyFont="1" applyBorder="1" applyAlignment="1">
      <alignment horizontal="center" vertical="center" wrapText="1"/>
    </xf>
    <xf numFmtId="0" fontId="22" fillId="0" borderId="103" xfId="0" applyFont="1" applyBorder="1" applyAlignment="1">
      <alignment horizontal="center" vertical="center" wrapText="1"/>
    </xf>
    <xf numFmtId="0" fontId="22" fillId="0" borderId="141" xfId="0" applyFont="1" applyBorder="1" applyAlignment="1">
      <alignment horizontal="center" vertical="center" wrapText="1"/>
    </xf>
    <xf numFmtId="0" fontId="7" fillId="7" borderId="2" xfId="0" applyFont="1" applyFill="1" applyBorder="1" applyAlignment="1">
      <alignment horizontal="center" vertical="center"/>
    </xf>
    <xf numFmtId="0" fontId="7" fillId="7" borderId="9" xfId="0" applyFont="1" applyFill="1" applyBorder="1" applyAlignment="1">
      <alignment horizontal="center" vertical="center"/>
    </xf>
    <xf numFmtId="0" fontId="22" fillId="0" borderId="66" xfId="0" applyFont="1" applyBorder="1" applyAlignment="1">
      <alignment horizontal="center" vertical="center" wrapText="1"/>
    </xf>
    <xf numFmtId="0" fontId="22" fillId="0" borderId="53" xfId="0" applyFont="1" applyBorder="1" applyAlignment="1">
      <alignment horizontal="center" vertical="center" wrapText="1"/>
    </xf>
    <xf numFmtId="0" fontId="22" fillId="0" borderId="60" xfId="0" applyFont="1" applyBorder="1" applyAlignment="1">
      <alignment horizontal="center" vertical="center" wrapText="1"/>
    </xf>
    <xf numFmtId="0" fontId="22" fillId="0" borderId="66" xfId="0" applyFont="1" applyBorder="1" applyAlignment="1">
      <alignment horizontal="center" vertical="center"/>
    </xf>
    <xf numFmtId="0" fontId="22" fillId="0" borderId="53" xfId="0" applyFont="1" applyBorder="1" applyAlignment="1">
      <alignment horizontal="center" vertical="center"/>
    </xf>
    <xf numFmtId="0" fontId="22" fillId="0" borderId="60" xfId="0" applyFont="1" applyBorder="1" applyAlignment="1">
      <alignment horizontal="center" vertical="center"/>
    </xf>
    <xf numFmtId="0" fontId="22" fillId="0" borderId="67" xfId="0" applyFont="1" applyBorder="1" applyAlignment="1">
      <alignment horizontal="center" vertical="center" wrapText="1"/>
    </xf>
    <xf numFmtId="0" fontId="22" fillId="0" borderId="69" xfId="0" applyFont="1" applyBorder="1" applyAlignment="1">
      <alignment horizontal="center" vertical="center" wrapText="1"/>
    </xf>
    <xf numFmtId="0" fontId="22" fillId="0" borderId="71" xfId="0" applyFont="1" applyBorder="1" applyAlignment="1">
      <alignment horizontal="center" vertical="center" wrapText="1"/>
    </xf>
    <xf numFmtId="0" fontId="50" fillId="0" borderId="66" xfId="0" applyFont="1" applyBorder="1" applyAlignment="1">
      <alignment horizontal="center" vertical="center"/>
    </xf>
    <xf numFmtId="0" fontId="50" fillId="0" borderId="53" xfId="0" applyFont="1" applyBorder="1" applyAlignment="1">
      <alignment horizontal="center" vertical="center"/>
    </xf>
    <xf numFmtId="0" fontId="50" fillId="0" borderId="80" xfId="0" applyFont="1" applyBorder="1" applyAlignment="1">
      <alignment horizontal="center" vertical="center"/>
    </xf>
    <xf numFmtId="0" fontId="51" fillId="0" borderId="67" xfId="0" applyFont="1" applyBorder="1" applyAlignment="1">
      <alignment horizontal="center" vertical="center" wrapText="1"/>
    </xf>
    <xf numFmtId="0" fontId="51" fillId="0" borderId="69" xfId="0" applyFont="1" applyBorder="1" applyAlignment="1">
      <alignment horizontal="center" vertical="center" wrapText="1"/>
    </xf>
    <xf numFmtId="0" fontId="51" fillId="0" borderId="81" xfId="0" applyFont="1" applyBorder="1" applyAlignment="1">
      <alignment horizontal="center" vertical="center" wrapText="1"/>
    </xf>
    <xf numFmtId="0" fontId="22" fillId="0" borderId="65" xfId="0" applyFont="1" applyBorder="1" applyAlignment="1">
      <alignment horizontal="center" vertical="center" wrapText="1"/>
    </xf>
    <xf numFmtId="0" fontId="22" fillId="0" borderId="68" xfId="0" applyFont="1" applyBorder="1" applyAlignment="1">
      <alignment horizontal="center" vertical="center" wrapText="1"/>
    </xf>
    <xf numFmtId="0" fontId="22" fillId="0" borderId="79" xfId="0" applyFont="1" applyBorder="1" applyAlignment="1">
      <alignment horizontal="center" vertical="center" wrapText="1"/>
    </xf>
    <xf numFmtId="0" fontId="22" fillId="0" borderId="80" xfId="0" applyFont="1" applyBorder="1" applyAlignment="1">
      <alignment horizontal="center" vertical="center" wrapText="1"/>
    </xf>
    <xf numFmtId="3" fontId="22" fillId="0" borderId="66" xfId="0" applyNumberFormat="1" applyFont="1" applyBorder="1" applyAlignment="1">
      <alignment horizontal="center" vertical="center"/>
    </xf>
    <xf numFmtId="0" fontId="50" fillId="0" borderId="60" xfId="0" applyFont="1" applyBorder="1" applyAlignment="1">
      <alignment horizontal="center" vertical="center"/>
    </xf>
    <xf numFmtId="0" fontId="19" fillId="7" borderId="2" xfId="0" applyFont="1" applyFill="1" applyBorder="1" applyAlignment="1">
      <alignment horizontal="center" vertical="center" wrapText="1"/>
    </xf>
    <xf numFmtId="0" fontId="53" fillId="0" borderId="67" xfId="0" applyFont="1" applyBorder="1" applyAlignment="1">
      <alignment horizontal="center" vertical="center" wrapText="1"/>
    </xf>
    <xf numFmtId="0" fontId="22" fillId="0" borderId="13" xfId="0" applyFont="1" applyBorder="1" applyAlignment="1">
      <alignment horizontal="center" vertical="center"/>
    </xf>
    <xf numFmtId="0" fontId="22" fillId="0" borderId="88" xfId="0" applyFont="1" applyBorder="1" applyAlignment="1">
      <alignment horizontal="center" vertical="center"/>
    </xf>
    <xf numFmtId="0" fontId="22" fillId="0" borderId="89" xfId="0" applyFont="1" applyBorder="1" applyAlignment="1">
      <alignment horizontal="center" vertical="center"/>
    </xf>
    <xf numFmtId="0" fontId="7" fillId="7" borderId="62" xfId="0" applyFont="1" applyFill="1" applyBorder="1" applyAlignment="1">
      <alignment horizontal="center" vertical="center"/>
    </xf>
    <xf numFmtId="0" fontId="7" fillId="7" borderId="0" xfId="0" applyFont="1" applyFill="1" applyAlignment="1">
      <alignment horizontal="center" vertical="center"/>
    </xf>
    <xf numFmtId="0" fontId="7" fillId="7" borderId="63" xfId="0" applyFont="1" applyFill="1" applyBorder="1" applyAlignment="1">
      <alignment horizontal="center" vertical="center"/>
    </xf>
    <xf numFmtId="0" fontId="13" fillId="9" borderId="17" xfId="0" applyFont="1" applyFill="1" applyBorder="1" applyAlignment="1">
      <alignment horizontal="center" vertical="center" wrapText="1"/>
    </xf>
    <xf numFmtId="0" fontId="22" fillId="0" borderId="70" xfId="0" applyFont="1" applyBorder="1" applyAlignment="1">
      <alignment horizontal="center" vertical="center" wrapText="1"/>
    </xf>
    <xf numFmtId="0" fontId="22" fillId="0" borderId="87" xfId="0" applyFont="1" applyBorder="1" applyAlignment="1">
      <alignment horizontal="center" vertical="center" wrapText="1"/>
    </xf>
    <xf numFmtId="0" fontId="22" fillId="0" borderId="92" xfId="0" applyFont="1" applyBorder="1" applyAlignment="1">
      <alignment horizontal="center" vertical="center" wrapText="1"/>
    </xf>
    <xf numFmtId="0" fontId="22" fillId="0" borderId="99" xfId="0" applyFont="1" applyBorder="1" applyAlignment="1">
      <alignment horizontal="center" vertical="center" wrapText="1"/>
    </xf>
    <xf numFmtId="0" fontId="22" fillId="0" borderId="93" xfId="0" applyFont="1" applyBorder="1" applyAlignment="1">
      <alignment horizontal="center" vertical="center" wrapText="1"/>
    </xf>
    <xf numFmtId="0" fontId="22" fillId="0" borderId="96" xfId="0" applyFont="1" applyBorder="1" applyAlignment="1">
      <alignment horizontal="center" vertical="center" wrapText="1"/>
    </xf>
    <xf numFmtId="0" fontId="22" fillId="0" borderId="100" xfId="0" applyFont="1" applyBorder="1" applyAlignment="1">
      <alignment horizontal="center" vertical="center" wrapText="1"/>
    </xf>
    <xf numFmtId="0" fontId="22" fillId="0" borderId="91" xfId="0" applyFont="1" applyBorder="1" applyAlignment="1">
      <alignment horizontal="center" vertical="center" wrapText="1"/>
    </xf>
    <xf numFmtId="0" fontId="22" fillId="0" borderId="108" xfId="0" applyFont="1" applyBorder="1" applyAlignment="1">
      <alignment horizontal="center" vertical="center" wrapText="1"/>
    </xf>
    <xf numFmtId="0" fontId="22" fillId="0" borderId="109" xfId="0" applyFont="1" applyBorder="1" applyAlignment="1">
      <alignment horizontal="center" vertical="center" wrapText="1"/>
    </xf>
    <xf numFmtId="0" fontId="22" fillId="0" borderId="107" xfId="0" applyFont="1" applyBorder="1" applyAlignment="1">
      <alignment horizontal="center" vertical="center" wrapText="1"/>
    </xf>
    <xf numFmtId="0" fontId="22" fillId="0" borderId="110" xfId="0" applyFont="1" applyBorder="1" applyAlignment="1">
      <alignment horizontal="center" vertical="center" wrapText="1"/>
    </xf>
    <xf numFmtId="0" fontId="22" fillId="0" borderId="95" xfId="0" applyFont="1" applyBorder="1" applyAlignment="1">
      <alignment horizontal="center" vertical="center" wrapText="1"/>
    </xf>
    <xf numFmtId="0" fontId="22" fillId="0" borderId="98" xfId="0" applyFont="1" applyBorder="1" applyAlignment="1">
      <alignment horizontal="center" vertical="center" wrapText="1"/>
    </xf>
    <xf numFmtId="0" fontId="22" fillId="0" borderId="92" xfId="0" applyFont="1" applyBorder="1" applyAlignment="1">
      <alignment horizontal="center" vertical="center"/>
    </xf>
    <xf numFmtId="0" fontId="22" fillId="0" borderId="99" xfId="0" applyFont="1" applyBorder="1" applyAlignment="1">
      <alignment horizontal="center" vertical="center"/>
    </xf>
    <xf numFmtId="0" fontId="22" fillId="0" borderId="102" xfId="0" applyFont="1" applyBorder="1" applyAlignment="1">
      <alignment horizontal="center" vertical="center" wrapText="1"/>
    </xf>
    <xf numFmtId="0" fontId="22" fillId="0" borderId="104" xfId="0" applyFont="1" applyBorder="1" applyAlignment="1">
      <alignment horizontal="center" vertical="center" wrapText="1"/>
    </xf>
    <xf numFmtId="0" fontId="22" fillId="0" borderId="86" xfId="0" applyFont="1" applyBorder="1" applyAlignment="1">
      <alignment horizontal="center" vertical="center" wrapText="1"/>
    </xf>
    <xf numFmtId="0" fontId="22" fillId="0" borderId="87" xfId="0" applyFont="1" applyBorder="1" applyAlignment="1">
      <alignment horizontal="center" vertical="center"/>
    </xf>
    <xf numFmtId="0" fontId="6" fillId="0" borderId="51" xfId="0" applyFont="1" applyBorder="1" applyAlignment="1">
      <alignment horizontal="center" vertical="center"/>
    </xf>
    <xf numFmtId="0" fontId="21" fillId="0" borderId="119" xfId="0" applyFont="1" applyBorder="1" applyAlignment="1">
      <alignment horizontal="center" vertical="center"/>
    </xf>
    <xf numFmtId="0" fontId="21" fillId="0" borderId="120" xfId="0" applyFont="1" applyBorder="1" applyAlignment="1">
      <alignment horizontal="center" vertical="center"/>
    </xf>
    <xf numFmtId="0" fontId="13" fillId="9" borderId="118" xfId="0" applyFont="1" applyFill="1" applyBorder="1" applyAlignment="1">
      <alignment horizontal="center" vertical="center"/>
    </xf>
    <xf numFmtId="0" fontId="45" fillId="41" borderId="122" xfId="0" applyFont="1" applyFill="1" applyBorder="1" applyAlignment="1">
      <alignment horizontal="center" vertical="center"/>
    </xf>
    <xf numFmtId="0" fontId="45" fillId="41" borderId="16" xfId="0" applyFont="1" applyFill="1" applyBorder="1" applyAlignment="1">
      <alignment horizontal="center" vertical="center"/>
    </xf>
    <xf numFmtId="9" fontId="6" fillId="0" borderId="36" xfId="2" applyFont="1" applyFill="1" applyBorder="1" applyAlignment="1">
      <alignment horizontal="center" vertical="center"/>
    </xf>
    <xf numFmtId="9" fontId="6" fillId="0" borderId="21" xfId="2" applyFont="1" applyFill="1" applyBorder="1" applyAlignment="1">
      <alignment horizontal="center" vertical="center"/>
    </xf>
    <xf numFmtId="9" fontId="6" fillId="0" borderId="22" xfId="2" applyFont="1" applyFill="1" applyBorder="1" applyAlignment="1">
      <alignment horizontal="center" vertical="center"/>
    </xf>
    <xf numFmtId="0" fontId="6" fillId="0" borderId="11" xfId="0" applyFont="1" applyBorder="1" applyAlignment="1">
      <alignment horizontal="center" vertical="center"/>
    </xf>
    <xf numFmtId="0" fontId="6" fillId="0" borderId="0" xfId="0" applyFont="1" applyAlignment="1">
      <alignment horizontal="center" vertical="center"/>
    </xf>
    <xf numFmtId="0" fontId="6" fillId="0" borderId="52" xfId="0" applyFont="1" applyBorder="1" applyAlignment="1">
      <alignment horizontal="center" vertical="center"/>
    </xf>
    <xf numFmtId="0" fontId="23" fillId="7" borderId="2" xfId="0" applyFont="1" applyFill="1" applyBorder="1" applyAlignment="1">
      <alignment horizontal="center" vertical="center"/>
    </xf>
    <xf numFmtId="0" fontId="0" fillId="0" borderId="0" xfId="0" applyAlignment="1">
      <alignment horizontal="center"/>
    </xf>
  </cellXfs>
  <cellStyles count="66">
    <cellStyle name="20% - Accent1" xfId="38" builtinId="30" customBuiltin="1"/>
    <cellStyle name="20% - Accent2" xfId="41" builtinId="34" customBuiltin="1"/>
    <cellStyle name="20% - Accent3" xfId="44" builtinId="38" customBuiltin="1"/>
    <cellStyle name="20% - Accent4" xfId="47" builtinId="42" customBuiltin="1"/>
    <cellStyle name="20% - Accent5" xfId="50" builtinId="46" customBuiltin="1"/>
    <cellStyle name="20% - Accent6" xfId="53" builtinId="50" customBuiltin="1"/>
    <cellStyle name="40% - Accent1" xfId="39" builtinId="31" customBuiltin="1"/>
    <cellStyle name="40% - Accent2" xfId="42" builtinId="35" customBuiltin="1"/>
    <cellStyle name="40% - Accent3" xfId="45" builtinId="39" customBuiltin="1"/>
    <cellStyle name="40% - Accent4" xfId="48" builtinId="43" customBuiltin="1"/>
    <cellStyle name="40% - Accent5" xfId="51" builtinId="47" customBuiltin="1"/>
    <cellStyle name="40% - Accent6" xfId="54" builtinId="51" customBuiltin="1"/>
    <cellStyle name="60% - Accent1 2" xfId="57" xr:uid="{A5A31B34-DF63-450E-91CB-1978F344A671}"/>
    <cellStyle name="60% - Accent2 2" xfId="58" xr:uid="{7FA343A7-9AE0-437C-8FD2-4BF93B23534D}"/>
    <cellStyle name="60% - Accent3 2" xfId="59" xr:uid="{0444A8BB-FC13-4CB2-8302-3819B429D700}"/>
    <cellStyle name="60% - Accent4 2" xfId="60" xr:uid="{DB6B9402-5665-40E2-A607-2A86738F4D44}"/>
    <cellStyle name="60% - Accent5 2" xfId="61" xr:uid="{45D23356-1C44-436E-A73D-432E137D6AF6}"/>
    <cellStyle name="60% - Accent6 2" xfId="62" xr:uid="{B3B8BF45-3A61-4CCF-9402-13C72463570D}"/>
    <cellStyle name="Accent1" xfId="37" builtinId="29" customBuiltin="1"/>
    <cellStyle name="Accent2" xfId="40" builtinId="33" customBuiltin="1"/>
    <cellStyle name="Accent3" xfId="43" builtinId="37" customBuiltin="1"/>
    <cellStyle name="Accent4" xfId="46" builtinId="41" customBuiltin="1"/>
    <cellStyle name="Accent5" xfId="49" builtinId="45" customBuiltin="1"/>
    <cellStyle name="Accent6" xfId="52" builtinId="49" customBuiltin="1"/>
    <cellStyle name="Bad" xfId="27" builtinId="27" customBuiltin="1"/>
    <cellStyle name="Calculation" xfId="30" builtinId="22" customBuiltin="1"/>
    <cellStyle name="Check Cell" xfId="32" builtinId="23" customBuiltin="1"/>
    <cellStyle name="Comma" xfId="6" builtinId="3"/>
    <cellStyle name="Comma 2" xfId="15" xr:uid="{4CD0AE0D-8718-4A5F-88EB-D702C2C5E078}"/>
    <cellStyle name="Comma 3" xfId="14" xr:uid="{2AF3E6CB-EA36-4827-9B99-711993199E74}"/>
    <cellStyle name="Explanatory Text" xfId="35" builtinId="53" customBuiltin="1"/>
    <cellStyle name="Good" xfId="26" builtinId="26" customBuiltin="1"/>
    <cellStyle name="Heading 1" xfId="22" builtinId="16" customBuiltin="1"/>
    <cellStyle name="Heading 2" xfId="23" builtinId="17" customBuiltin="1"/>
    <cellStyle name="Heading 3" xfId="24" builtinId="18" customBuiltin="1"/>
    <cellStyle name="Heading 4" xfId="25" builtinId="19" customBuiltin="1"/>
    <cellStyle name="Hyperlink" xfId="5" builtinId="8"/>
    <cellStyle name="Hyperlink 2" xfId="10" xr:uid="{10C1E3C0-F46B-4E25-BD9A-EE5D62F88FF2}"/>
    <cellStyle name="Input" xfId="28" builtinId="20" customBuiltin="1"/>
    <cellStyle name="Linked Cell" xfId="31" builtinId="24" customBuiltin="1"/>
    <cellStyle name="Neutral 2" xfId="56" xr:uid="{E65AB386-0C70-4E76-8802-199DC08F438A}"/>
    <cellStyle name="Normal" xfId="0" builtinId="0"/>
    <cellStyle name="Normal 2" xfId="3" xr:uid="{E38C2638-0821-4BB2-9C33-A89D3950ADA6}"/>
    <cellStyle name="Normal 2 2" xfId="4" xr:uid="{7604919E-E68F-4366-A693-6A7B8B8DA661}"/>
    <cellStyle name="Normal 2 3" xfId="9" xr:uid="{8A1E39CD-7ABA-4D79-A464-67010D1209C1}"/>
    <cellStyle name="Normal 2 4" xfId="64" xr:uid="{D87259D5-5811-4B73-925F-03E8C552980C}"/>
    <cellStyle name="Normal 265" xfId="16" xr:uid="{6049CA2E-4D2D-467F-BE40-32C85BFF4ACE}"/>
    <cellStyle name="Normal 266" xfId="17" xr:uid="{A6D9E8E7-E69F-4C35-BA4B-54B597C2B23F}"/>
    <cellStyle name="Normal 3" xfId="7" xr:uid="{1C10DAE4-4F9C-4E19-81E4-5574511A6741}"/>
    <cellStyle name="Normal 3 2" xfId="18" xr:uid="{1519A152-7DEF-4A90-B897-A3E5E428DF49}"/>
    <cellStyle name="Normal 4" xfId="11" xr:uid="{43272557-B37F-4996-BC18-AA3EDEAFA379}"/>
    <cellStyle name="Normal 4 2" xfId="19" xr:uid="{367D64B5-1AA2-4F1E-9807-D77A4DD99E2F}"/>
    <cellStyle name="Normal 5" xfId="12" xr:uid="{642BE191-BE2F-4847-8420-1C59B95E270E}"/>
    <cellStyle name="Normal 6" xfId="13" xr:uid="{B1F34A1E-AB59-4C77-B0D5-05EF096BFC59}"/>
    <cellStyle name="Normal 6 2" xfId="63" xr:uid="{E5C94F8B-E280-4E5E-9E3C-559A6B024C15}"/>
    <cellStyle name="Normal 7" xfId="65" xr:uid="{CEE10B19-A42E-4CF5-90C3-9DAB5D9B1FBE}"/>
    <cellStyle name="Normal_Prototype_Scorecard-LgOffice-2008-03-13" xfId="1" xr:uid="{F839F8A1-86E5-4008-9801-0F032E8A3317}"/>
    <cellStyle name="Note" xfId="34" builtinId="10" customBuiltin="1"/>
    <cellStyle name="Note 2" xfId="20" xr:uid="{14AB7B6B-095A-46DB-BB12-90FA984F5C68}"/>
    <cellStyle name="Output" xfId="29" builtinId="21" customBuiltin="1"/>
    <cellStyle name="Percent" xfId="2" builtinId="5"/>
    <cellStyle name="Percent 2" xfId="8" xr:uid="{CB789C3E-741F-4464-8065-385A956411E6}"/>
    <cellStyle name="Percent 2 2" xfId="21" xr:uid="{88D4BE09-D3AC-4FFB-BD45-8B7F40346EC6}"/>
    <cellStyle name="Title 2" xfId="55" xr:uid="{882B6154-F91C-48B2-A201-56797C1CCA78}"/>
    <cellStyle name="Total" xfId="36" builtinId="25" customBuiltin="1"/>
    <cellStyle name="Warning Text" xfId="33"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949292"/>
      <color rgb="FF7D7C7C"/>
      <color rgb="FF9C9A9A"/>
      <color rgb="FF0000CC"/>
      <color rgb="FFFF9900"/>
      <color rgb="FFCCCCFF"/>
      <color rgb="FF8238BA"/>
      <color rgb="FFFFEBCD"/>
      <color rgb="FF002F8E"/>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0.2</c:v>
                </c:pt>
                <c:pt idx="8">
                  <c:v>0.3</c:v>
                </c:pt>
                <c:pt idx="9">
                  <c:v>0.4</c:v>
                </c:pt>
                <c:pt idx="10">
                  <c:v>0.5</c:v>
                </c:pt>
                <c:pt idx="11">
                  <c:v>0.6</c:v>
                </c:pt>
                <c:pt idx="12">
                  <c:v>0.6</c:v>
                </c:pt>
                <c:pt idx="13">
                  <c:v>0.6</c:v>
                </c:pt>
                <c:pt idx="14">
                  <c:v>0.6</c:v>
                </c:pt>
                <c:pt idx="15">
                  <c:v>0.6</c:v>
                </c:pt>
                <c:pt idx="16">
                  <c:v>0.7</c:v>
                </c:pt>
                <c:pt idx="17">
                  <c:v>0.8</c:v>
                </c:pt>
                <c:pt idx="18">
                  <c:v>0.8</c:v>
                </c:pt>
                <c:pt idx="19">
                  <c:v>0.6</c:v>
                </c:pt>
                <c:pt idx="20">
                  <c:v>0.3</c:v>
                </c:pt>
                <c:pt idx="21">
                  <c:v>0</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0.3</c:v>
                </c:pt>
                <c:pt idx="8">
                  <c:v>0.4</c:v>
                </c:pt>
                <c:pt idx="9">
                  <c:v>0.6</c:v>
                </c:pt>
                <c:pt idx="10">
                  <c:v>0.8</c:v>
                </c:pt>
                <c:pt idx="11">
                  <c:v>0.9</c:v>
                </c:pt>
                <c:pt idx="12">
                  <c:v>0.9</c:v>
                </c:pt>
                <c:pt idx="13">
                  <c:v>0.9</c:v>
                </c:pt>
                <c:pt idx="14">
                  <c:v>0.9</c:v>
                </c:pt>
                <c:pt idx="15">
                  <c:v>0.8</c:v>
                </c:pt>
                <c:pt idx="16">
                  <c:v>0.8</c:v>
                </c:pt>
                <c:pt idx="17">
                  <c:v>0.7</c:v>
                </c:pt>
                <c:pt idx="18">
                  <c:v>0.6</c:v>
                </c:pt>
                <c:pt idx="19">
                  <c:v>0.5</c:v>
                </c:pt>
                <c:pt idx="20">
                  <c:v>0.3</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0.2</c:v>
                </c:pt>
                <c:pt idx="8">
                  <c:v>0.3</c:v>
                </c:pt>
                <c:pt idx="9">
                  <c:v>0.5</c:v>
                </c:pt>
                <c:pt idx="10">
                  <c:v>0.7</c:v>
                </c:pt>
                <c:pt idx="11">
                  <c:v>0.8</c:v>
                </c:pt>
                <c:pt idx="12">
                  <c:v>0.8</c:v>
                </c:pt>
                <c:pt idx="13">
                  <c:v>0.8</c:v>
                </c:pt>
                <c:pt idx="14">
                  <c:v>0.8</c:v>
                </c:pt>
                <c:pt idx="15">
                  <c:v>0.7</c:v>
                </c:pt>
                <c:pt idx="16">
                  <c:v>0.7</c:v>
                </c:pt>
                <c:pt idx="17">
                  <c:v>0.6</c:v>
                </c:pt>
                <c:pt idx="18">
                  <c:v>0.5</c:v>
                </c:pt>
                <c:pt idx="19">
                  <c:v>0.4</c:v>
                </c:pt>
                <c:pt idx="20">
                  <c:v>0.2</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0.7</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0.7</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0.7</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c:v>
                </c:pt>
                <c:pt idx="1">
                  <c:v>0.4</c:v>
                </c:pt>
                <c:pt idx="2">
                  <c:v>0.4</c:v>
                </c:pt>
                <c:pt idx="3">
                  <c:v>0.4</c:v>
                </c:pt>
                <c:pt idx="4">
                  <c:v>0.4</c:v>
                </c:pt>
                <c:pt idx="5">
                  <c:v>0.4</c:v>
                </c:pt>
                <c:pt idx="6">
                  <c:v>0.4</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c:v>
                </c:pt>
                <c:pt idx="1">
                  <c:v>0.4</c:v>
                </c:pt>
                <c:pt idx="2">
                  <c:v>0.4</c:v>
                </c:pt>
                <c:pt idx="3">
                  <c:v>0.4</c:v>
                </c:pt>
                <c:pt idx="4">
                  <c:v>0.4</c:v>
                </c:pt>
                <c:pt idx="5">
                  <c:v>0.4</c:v>
                </c:pt>
                <c:pt idx="6">
                  <c:v>0.4</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c:v>
                </c:pt>
                <c:pt idx="1">
                  <c:v>0.4</c:v>
                </c:pt>
                <c:pt idx="2">
                  <c:v>0.4</c:v>
                </c:pt>
                <c:pt idx="3">
                  <c:v>0.4</c:v>
                </c:pt>
                <c:pt idx="4">
                  <c:v>0.4</c:v>
                </c:pt>
                <c:pt idx="5">
                  <c:v>0.4</c:v>
                </c:pt>
                <c:pt idx="6">
                  <c:v>0.4</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RetailStripMall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36.224999999999994</c:v>
                </c:pt>
                <c:pt idx="1">
                  <c:v>31.050000000000004</c:v>
                </c:pt>
                <c:pt idx="2">
                  <c:v>35.024999999999999</c:v>
                </c:pt>
                <c:pt idx="3">
                  <c:v>35.25</c:v>
                </c:pt>
                <c:pt idx="4">
                  <c:v>34.724999999999994</c:v>
                </c:pt>
                <c:pt idx="5">
                  <c:v>25.424999999999997</c:v>
                </c:pt>
                <c:pt idx="6">
                  <c:v>28.725000000000001</c:v>
                </c:pt>
                <c:pt idx="7">
                  <c:v>25.125</c:v>
                </c:pt>
                <c:pt idx="8">
                  <c:v>27.674999999999997</c:v>
                </c:pt>
                <c:pt idx="9">
                  <c:v>27.75</c:v>
                </c:pt>
                <c:pt idx="10">
                  <c:v>34.125</c:v>
                </c:pt>
                <c:pt idx="11">
                  <c:v>35.474999999999994</c:v>
                </c:pt>
                <c:pt idx="12">
                  <c:v>38.4</c:v>
                </c:pt>
                <c:pt idx="13">
                  <c:v>25.275000000000002</c:v>
                </c:pt>
                <c:pt idx="14">
                  <c:v>31.800000000000004</c:v>
                </c:pt>
                <c:pt idx="15">
                  <c:v>28.574999999999996</c:v>
                </c:pt>
              </c:numCache>
            </c:numRef>
          </c:val>
          <c:extLst>
            <c:ext xmlns:c16="http://schemas.microsoft.com/office/drawing/2014/chart" uri="{C3380CC4-5D6E-409C-BE32-E72D297353CC}">
              <c16:uniqueId val="{00000000-CAA5-4319-B2B7-73FBD34DA23A}"/>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0.0</c:formatCode>
                <c:ptCount val="16"/>
                <c:pt idx="0">
                  <c:v>24.150000000000006</c:v>
                </c:pt>
                <c:pt idx="1">
                  <c:v>20.700000000000003</c:v>
                </c:pt>
                <c:pt idx="2">
                  <c:v>23.349999999999994</c:v>
                </c:pt>
                <c:pt idx="3">
                  <c:v>23.5</c:v>
                </c:pt>
                <c:pt idx="4">
                  <c:v>23.150000000000006</c:v>
                </c:pt>
                <c:pt idx="5">
                  <c:v>16.950000000000003</c:v>
                </c:pt>
                <c:pt idx="6">
                  <c:v>19.150000000000006</c:v>
                </c:pt>
                <c:pt idx="7">
                  <c:v>16.75</c:v>
                </c:pt>
                <c:pt idx="8">
                  <c:v>18.450000000000003</c:v>
                </c:pt>
                <c:pt idx="9">
                  <c:v>18.5</c:v>
                </c:pt>
                <c:pt idx="10">
                  <c:v>22.75</c:v>
                </c:pt>
                <c:pt idx="11">
                  <c:v>23.650000000000006</c:v>
                </c:pt>
                <c:pt idx="12">
                  <c:v>25.599999999999994</c:v>
                </c:pt>
                <c:pt idx="13">
                  <c:v>16.849999999999998</c:v>
                </c:pt>
                <c:pt idx="14">
                  <c:v>21.200000000000003</c:v>
                </c:pt>
                <c:pt idx="15">
                  <c:v>19.049999999999997</c:v>
                </c:pt>
              </c:numCache>
            </c:numRef>
          </c:val>
          <c:extLst>
            <c:ext xmlns:c16="http://schemas.microsoft.com/office/drawing/2014/chart" uri="{C3380CC4-5D6E-409C-BE32-E72D297353CC}">
              <c16:uniqueId val="{00000001-CAA5-4319-B2B7-73FBD34DA23A}"/>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0.00</c:formatCode>
                <c:ptCount val="16"/>
              </c:numCache>
            </c:numRef>
          </c:yVal>
          <c:smooth val="0"/>
          <c:extLst>
            <c:ext xmlns:c16="http://schemas.microsoft.com/office/drawing/2014/chart" uri="{C3380CC4-5D6E-409C-BE32-E72D297353CC}">
              <c16:uniqueId val="{00000002-CAA5-4319-B2B7-73FBD34DA23A}"/>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CAA5-4319-B2B7-73FBD34DA23A}"/>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RetailStripMall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General</c:formatCode>
                <c:ptCount val="16"/>
                <c:pt idx="0">
                  <c:v>35.099999999999994</c:v>
                </c:pt>
                <c:pt idx="1">
                  <c:v>43.8</c:v>
                </c:pt>
                <c:pt idx="2">
                  <c:v>39.224999999999994</c:v>
                </c:pt>
                <c:pt idx="3">
                  <c:v>45.674999999999997</c:v>
                </c:pt>
                <c:pt idx="4">
                  <c:v>37.799999999999997</c:v>
                </c:pt>
                <c:pt idx="5">
                  <c:v>43.349999999999994</c:v>
                </c:pt>
                <c:pt idx="6">
                  <c:v>43.349999999999994</c:v>
                </c:pt>
                <c:pt idx="7">
                  <c:v>44.174999999999997</c:v>
                </c:pt>
                <c:pt idx="8">
                  <c:v>44.7</c:v>
                </c:pt>
                <c:pt idx="9">
                  <c:v>45.150000000000006</c:v>
                </c:pt>
                <c:pt idx="10">
                  <c:v>46.724999999999994</c:v>
                </c:pt>
                <c:pt idx="11">
                  <c:v>45.974999999999994</c:v>
                </c:pt>
                <c:pt idx="12">
                  <c:v>46.724999999999994</c:v>
                </c:pt>
                <c:pt idx="13">
                  <c:v>46.95</c:v>
                </c:pt>
                <c:pt idx="14">
                  <c:v>45.075000000000003</c:v>
                </c:pt>
                <c:pt idx="15">
                  <c:v>45.900000000000006</c:v>
                </c:pt>
              </c:numCache>
            </c:numRef>
          </c:val>
          <c:extLst>
            <c:ext xmlns:c16="http://schemas.microsoft.com/office/drawing/2014/chart" uri="{C3380CC4-5D6E-409C-BE32-E72D297353CC}">
              <c16:uniqueId val="{00000000-5B5E-47B0-8C27-106BAB5D4437}"/>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23.400000000000006</c:v>
                </c:pt>
                <c:pt idx="1">
                  <c:v>29.200000000000003</c:v>
                </c:pt>
                <c:pt idx="2">
                  <c:v>26.150000000000006</c:v>
                </c:pt>
                <c:pt idx="3">
                  <c:v>30.450000000000003</c:v>
                </c:pt>
                <c:pt idx="4">
                  <c:v>25.200000000000003</c:v>
                </c:pt>
                <c:pt idx="5">
                  <c:v>28.900000000000006</c:v>
                </c:pt>
                <c:pt idx="6">
                  <c:v>28.900000000000006</c:v>
                </c:pt>
                <c:pt idx="7">
                  <c:v>29.450000000000003</c:v>
                </c:pt>
                <c:pt idx="8">
                  <c:v>29.799999999999997</c:v>
                </c:pt>
                <c:pt idx="9">
                  <c:v>30.099999999999994</c:v>
                </c:pt>
                <c:pt idx="10">
                  <c:v>31.150000000000006</c:v>
                </c:pt>
                <c:pt idx="11">
                  <c:v>30.650000000000006</c:v>
                </c:pt>
                <c:pt idx="12">
                  <c:v>31.150000000000006</c:v>
                </c:pt>
                <c:pt idx="13">
                  <c:v>31.299999999999997</c:v>
                </c:pt>
                <c:pt idx="14">
                  <c:v>30.049999999999997</c:v>
                </c:pt>
                <c:pt idx="15">
                  <c:v>30.599999999999994</c:v>
                </c:pt>
              </c:numCache>
            </c:numRef>
          </c:val>
          <c:extLst>
            <c:ext xmlns:c16="http://schemas.microsoft.com/office/drawing/2014/chart" uri="{C3380CC4-5D6E-409C-BE32-E72D297353CC}">
              <c16:uniqueId val="{00000001-5B5E-47B0-8C27-106BAB5D4437}"/>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0.00</c:formatCode>
                <c:ptCount val="16"/>
              </c:numCache>
            </c:numRef>
          </c:yVal>
          <c:smooth val="0"/>
          <c:extLst>
            <c:ext xmlns:c16="http://schemas.microsoft.com/office/drawing/2014/chart" uri="{C3380CC4-5D6E-409C-BE32-E72D297353CC}">
              <c16:uniqueId val="{00000002-5B5E-47B0-8C27-106BAB5D4437}"/>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5B5E-47B0-8C27-106BAB5D4437}"/>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225288</xdr:colOff>
      <xdr:row>7</xdr:row>
      <xdr:rowOff>13253</xdr:rowOff>
    </xdr:from>
    <xdr:to>
      <xdr:col>1</xdr:col>
      <xdr:colOff>3180439</xdr:colOff>
      <xdr:row>7</xdr:row>
      <xdr:rowOff>1220857</xdr:rowOff>
    </xdr:to>
    <xdr:pic>
      <xdr:nvPicPr>
        <xdr:cNvPr id="3" name="Picture 2">
          <a:extLst>
            <a:ext uri="{FF2B5EF4-FFF2-40B4-BE49-F238E27FC236}">
              <a16:creationId xmlns:a16="http://schemas.microsoft.com/office/drawing/2014/main" id="{62A83F08-4772-4971-B330-92C8B7BC8A4A}"/>
            </a:ext>
          </a:extLst>
        </xdr:cNvPr>
        <xdr:cNvPicPr>
          <a:picLocks noChangeAspect="1"/>
        </xdr:cNvPicPr>
      </xdr:nvPicPr>
      <xdr:blipFill>
        <a:blip xmlns:r="http://schemas.openxmlformats.org/officeDocument/2006/relationships" r:embed="rId1"/>
        <a:stretch>
          <a:fillRect/>
        </a:stretch>
      </xdr:blipFill>
      <xdr:spPr>
        <a:xfrm>
          <a:off x="1941445" y="1583636"/>
          <a:ext cx="2968486" cy="1207604"/>
        </a:xfrm>
        <a:prstGeom prst="rect">
          <a:avLst/>
        </a:prstGeom>
      </xdr:spPr>
    </xdr:pic>
    <xdr:clientData/>
  </xdr:twoCellAnchor>
  <xdr:twoCellAnchor>
    <xdr:from>
      <xdr:col>1</xdr:col>
      <xdr:colOff>52445</xdr:colOff>
      <xdr:row>33</xdr:row>
      <xdr:rowOff>392207</xdr:rowOff>
    </xdr:from>
    <xdr:to>
      <xdr:col>1</xdr:col>
      <xdr:colOff>3447399</xdr:colOff>
      <xdr:row>33</xdr:row>
      <xdr:rowOff>1447464</xdr:rowOff>
    </xdr:to>
    <xdr:pic>
      <xdr:nvPicPr>
        <xdr:cNvPr id="5" name="Picture 4">
          <a:extLst>
            <a:ext uri="{FF2B5EF4-FFF2-40B4-BE49-F238E27FC236}">
              <a16:creationId xmlns:a16="http://schemas.microsoft.com/office/drawing/2014/main" id="{7362111D-E8BF-41F3-AB6B-F18888B824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42205" y="6547262"/>
          <a:ext cx="3394954" cy="1053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134913</xdr:colOff>
      <xdr:row>38</xdr:row>
      <xdr:rowOff>309442</xdr:rowOff>
    </xdr:from>
    <xdr:to>
      <xdr:col>2</xdr:col>
      <xdr:colOff>2716549</xdr:colOff>
      <xdr:row>38</xdr:row>
      <xdr:rowOff>1375092</xdr:rowOff>
    </xdr:to>
    <xdr:pic>
      <xdr:nvPicPr>
        <xdr:cNvPr id="6" name="Picture 5">
          <a:extLst>
            <a:ext uri="{FF2B5EF4-FFF2-40B4-BE49-F238E27FC236}">
              <a16:creationId xmlns:a16="http://schemas.microsoft.com/office/drawing/2014/main" id="{95FA4808-E749-4640-96DE-5D670D1918F9}"/>
            </a:ext>
          </a:extLst>
        </xdr:cNvPr>
        <xdr:cNvPicPr>
          <a:picLocks noChangeAspect="1"/>
        </xdr:cNvPicPr>
      </xdr:nvPicPr>
      <xdr:blipFill>
        <a:blip xmlns:r="http://schemas.openxmlformats.org/officeDocument/2006/relationships" r:embed="rId3"/>
        <a:stretch>
          <a:fillRect/>
        </a:stretch>
      </xdr:blipFill>
      <xdr:spPr>
        <a:xfrm>
          <a:off x="5541303" y="8979097"/>
          <a:ext cx="2589256" cy="1063745"/>
        </a:xfrm>
        <a:prstGeom prst="rect">
          <a:avLst/>
        </a:prstGeom>
      </xdr:spPr>
    </xdr:pic>
    <xdr:clientData/>
  </xdr:twoCellAnchor>
  <xdr:twoCellAnchor>
    <xdr:from>
      <xdr:col>3</xdr:col>
      <xdr:colOff>65332</xdr:colOff>
      <xdr:row>38</xdr:row>
      <xdr:rowOff>394159</xdr:rowOff>
    </xdr:from>
    <xdr:to>
      <xdr:col>3</xdr:col>
      <xdr:colOff>3074912</xdr:colOff>
      <xdr:row>38</xdr:row>
      <xdr:rowOff>1456765</xdr:rowOff>
    </xdr:to>
    <xdr:pic>
      <xdr:nvPicPr>
        <xdr:cNvPr id="7" name="Picture 6">
          <a:extLst>
            <a:ext uri="{FF2B5EF4-FFF2-40B4-BE49-F238E27FC236}">
              <a16:creationId xmlns:a16="http://schemas.microsoft.com/office/drawing/2014/main" id="{8789C011-2607-47CD-9428-428E50E8662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416852" y="9065719"/>
          <a:ext cx="2857180" cy="1060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74633</xdr:colOff>
      <xdr:row>38</xdr:row>
      <xdr:rowOff>210327</xdr:rowOff>
    </xdr:from>
    <xdr:to>
      <xdr:col>5</xdr:col>
      <xdr:colOff>3039644</xdr:colOff>
      <xdr:row>38</xdr:row>
      <xdr:rowOff>1434354</xdr:rowOff>
    </xdr:to>
    <xdr:pic>
      <xdr:nvPicPr>
        <xdr:cNvPr id="8" name="Picture 7">
          <a:extLst>
            <a:ext uri="{FF2B5EF4-FFF2-40B4-BE49-F238E27FC236}">
              <a16:creationId xmlns:a16="http://schemas.microsoft.com/office/drawing/2014/main" id="{A8D03FAC-D4B7-45DB-A56B-07417AE54B3C}"/>
            </a:ext>
          </a:extLst>
        </xdr:cNvPr>
        <xdr:cNvPicPr>
          <a:picLocks noChangeAspect="1"/>
        </xdr:cNvPicPr>
      </xdr:nvPicPr>
      <xdr:blipFill>
        <a:blip xmlns:r="http://schemas.openxmlformats.org/officeDocument/2006/relationships" r:embed="rId5"/>
        <a:stretch>
          <a:fillRect/>
        </a:stretch>
      </xdr:blipFill>
      <xdr:spPr>
        <a:xfrm>
          <a:off x="12819083" y="8874267"/>
          <a:ext cx="2963106" cy="1224027"/>
        </a:xfrm>
        <a:prstGeom prst="rect">
          <a:avLst/>
        </a:prstGeom>
      </xdr:spPr>
    </xdr:pic>
    <xdr:clientData/>
  </xdr:twoCellAnchor>
  <xdr:twoCellAnchor>
    <xdr:from>
      <xdr:col>1</xdr:col>
      <xdr:colOff>241792</xdr:colOff>
      <xdr:row>38</xdr:row>
      <xdr:rowOff>254179</xdr:rowOff>
    </xdr:from>
    <xdr:to>
      <xdr:col>1</xdr:col>
      <xdr:colOff>2870167</xdr:colOff>
      <xdr:row>38</xdr:row>
      <xdr:rowOff>1362745</xdr:rowOff>
    </xdr:to>
    <xdr:pic>
      <xdr:nvPicPr>
        <xdr:cNvPr id="9" name="Picture 8">
          <a:extLst>
            <a:ext uri="{FF2B5EF4-FFF2-40B4-BE49-F238E27FC236}">
              <a16:creationId xmlns:a16="http://schemas.microsoft.com/office/drawing/2014/main" id="{68C9C78B-FCD3-4BA3-9D94-F617A5CF9CE8}"/>
            </a:ext>
          </a:extLst>
        </xdr:cNvPr>
        <xdr:cNvPicPr>
          <a:picLocks noChangeAspect="1"/>
        </xdr:cNvPicPr>
      </xdr:nvPicPr>
      <xdr:blipFill>
        <a:blip xmlns:r="http://schemas.openxmlformats.org/officeDocument/2006/relationships" r:embed="rId6"/>
        <a:stretch>
          <a:fillRect/>
        </a:stretch>
      </xdr:blipFill>
      <xdr:spPr>
        <a:xfrm>
          <a:off x="2131552" y="8918119"/>
          <a:ext cx="2628375" cy="1110471"/>
        </a:xfrm>
        <a:prstGeom prst="rect">
          <a:avLst/>
        </a:prstGeom>
      </xdr:spPr>
    </xdr:pic>
    <xdr:clientData/>
  </xdr:twoCellAnchor>
  <xdr:twoCellAnchor>
    <xdr:from>
      <xdr:col>1</xdr:col>
      <xdr:colOff>313765</xdr:colOff>
      <xdr:row>43</xdr:row>
      <xdr:rowOff>252299</xdr:rowOff>
    </xdr:from>
    <xdr:to>
      <xdr:col>1</xdr:col>
      <xdr:colOff>2761056</xdr:colOff>
      <xdr:row>43</xdr:row>
      <xdr:rowOff>1540809</xdr:rowOff>
    </xdr:to>
    <xdr:pic>
      <xdr:nvPicPr>
        <xdr:cNvPr id="11" name="Picture 10">
          <a:extLst>
            <a:ext uri="{FF2B5EF4-FFF2-40B4-BE49-F238E27FC236}">
              <a16:creationId xmlns:a16="http://schemas.microsoft.com/office/drawing/2014/main" id="{C2D59F50-D868-4A99-BC6A-61C7C460BE2B}"/>
            </a:ext>
          </a:extLst>
        </xdr:cNvPr>
        <xdr:cNvPicPr>
          <a:picLocks noChangeAspect="1"/>
        </xdr:cNvPicPr>
      </xdr:nvPicPr>
      <xdr:blipFill>
        <a:blip xmlns:r="http://schemas.openxmlformats.org/officeDocument/2006/relationships" r:embed="rId7"/>
        <a:stretch>
          <a:fillRect/>
        </a:stretch>
      </xdr:blipFill>
      <xdr:spPr>
        <a:xfrm>
          <a:off x="2201620" y="11221289"/>
          <a:ext cx="2449196" cy="1296130"/>
        </a:xfrm>
        <a:prstGeom prst="rect">
          <a:avLst/>
        </a:prstGeom>
      </xdr:spPr>
    </xdr:pic>
    <xdr:clientData/>
  </xdr:twoCellAnchor>
  <xdr:twoCellAnchor>
    <xdr:from>
      <xdr:col>2</xdr:col>
      <xdr:colOff>114734</xdr:colOff>
      <xdr:row>43</xdr:row>
      <xdr:rowOff>54125</xdr:rowOff>
    </xdr:from>
    <xdr:to>
      <xdr:col>2</xdr:col>
      <xdr:colOff>2454088</xdr:colOff>
      <xdr:row>43</xdr:row>
      <xdr:rowOff>1555991</xdr:rowOff>
    </xdr:to>
    <xdr:pic>
      <xdr:nvPicPr>
        <xdr:cNvPr id="12" name="Picture 11">
          <a:extLst>
            <a:ext uri="{FF2B5EF4-FFF2-40B4-BE49-F238E27FC236}">
              <a16:creationId xmlns:a16="http://schemas.microsoft.com/office/drawing/2014/main" id="{E2AC0CE7-B776-4F6B-B0D6-64703982E584}"/>
            </a:ext>
          </a:extLst>
        </xdr:cNvPr>
        <xdr:cNvPicPr>
          <a:picLocks noChangeAspect="1"/>
        </xdr:cNvPicPr>
      </xdr:nvPicPr>
      <xdr:blipFill>
        <a:blip xmlns:r="http://schemas.openxmlformats.org/officeDocument/2006/relationships" r:embed="rId8"/>
        <a:stretch>
          <a:fillRect/>
        </a:stretch>
      </xdr:blipFill>
      <xdr:spPr>
        <a:xfrm>
          <a:off x="5524934" y="11030735"/>
          <a:ext cx="2343164" cy="1496151"/>
        </a:xfrm>
        <a:prstGeom prst="rect">
          <a:avLst/>
        </a:prstGeom>
      </xdr:spPr>
    </xdr:pic>
    <xdr:clientData/>
  </xdr:twoCellAnchor>
  <xdr:twoCellAnchor>
    <xdr:from>
      <xdr:col>2</xdr:col>
      <xdr:colOff>218179</xdr:colOff>
      <xdr:row>33</xdr:row>
      <xdr:rowOff>113554</xdr:rowOff>
    </xdr:from>
    <xdr:to>
      <xdr:col>2</xdr:col>
      <xdr:colOff>2850103</xdr:colOff>
      <xdr:row>33</xdr:row>
      <xdr:rowOff>1668810</xdr:rowOff>
    </xdr:to>
    <xdr:pic>
      <xdr:nvPicPr>
        <xdr:cNvPr id="13" name="Picture 12">
          <a:extLst>
            <a:ext uri="{FF2B5EF4-FFF2-40B4-BE49-F238E27FC236}">
              <a16:creationId xmlns:a16="http://schemas.microsoft.com/office/drawing/2014/main" id="{054B04B4-38B3-46C4-9A8C-B101F7B83865}"/>
            </a:ext>
          </a:extLst>
        </xdr:cNvPr>
        <xdr:cNvPicPr>
          <a:picLocks noChangeAspect="1"/>
        </xdr:cNvPicPr>
      </xdr:nvPicPr>
      <xdr:blipFill>
        <a:blip xmlns:r="http://schemas.openxmlformats.org/officeDocument/2006/relationships" r:embed="rId9"/>
        <a:stretch>
          <a:fillRect/>
        </a:stretch>
      </xdr:blipFill>
      <xdr:spPr>
        <a:xfrm>
          <a:off x="5626474" y="6266704"/>
          <a:ext cx="2631924" cy="1553351"/>
        </a:xfrm>
        <a:prstGeom prst="rect">
          <a:avLst/>
        </a:prstGeom>
      </xdr:spPr>
    </xdr:pic>
    <xdr:clientData/>
  </xdr:twoCellAnchor>
  <xdr:twoCellAnchor>
    <xdr:from>
      <xdr:col>3</xdr:col>
      <xdr:colOff>97265</xdr:colOff>
      <xdr:row>33</xdr:row>
      <xdr:rowOff>193201</xdr:rowOff>
    </xdr:from>
    <xdr:to>
      <xdr:col>3</xdr:col>
      <xdr:colOff>2859405</xdr:colOff>
      <xdr:row>33</xdr:row>
      <xdr:rowOff>1556600</xdr:rowOff>
    </xdr:to>
    <xdr:pic>
      <xdr:nvPicPr>
        <xdr:cNvPr id="14" name="Picture 13">
          <a:extLst>
            <a:ext uri="{FF2B5EF4-FFF2-40B4-BE49-F238E27FC236}">
              <a16:creationId xmlns:a16="http://schemas.microsoft.com/office/drawing/2014/main" id="{7A4D0830-BEF9-4B31-8374-CAB4CD61CAD6}"/>
            </a:ext>
          </a:extLst>
        </xdr:cNvPr>
        <xdr:cNvPicPr>
          <a:picLocks noChangeAspect="1"/>
        </xdr:cNvPicPr>
      </xdr:nvPicPr>
      <xdr:blipFill>
        <a:blip xmlns:r="http://schemas.openxmlformats.org/officeDocument/2006/relationships" r:embed="rId10"/>
        <a:stretch>
          <a:fillRect/>
        </a:stretch>
      </xdr:blipFill>
      <xdr:spPr>
        <a:xfrm>
          <a:off x="8446880" y="6346351"/>
          <a:ext cx="2765950" cy="13614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1325218</xdr:colOff>
      <xdr:row>0</xdr:row>
      <xdr:rowOff>67505</xdr:rowOff>
    </xdr:from>
    <xdr:to>
      <xdr:col>17</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xdr:from>
      <xdr:col>18</xdr:col>
      <xdr:colOff>0</xdr:colOff>
      <xdr:row>0</xdr:row>
      <xdr:rowOff>0</xdr:rowOff>
    </xdr:from>
    <xdr:to>
      <xdr:col>18</xdr:col>
      <xdr:colOff>0</xdr:colOff>
      <xdr:row>0</xdr:row>
      <xdr:rowOff>314325</xdr:rowOff>
    </xdr:to>
    <xdr:cxnSp macro="">
      <xdr:nvCxnSpPr>
        <xdr:cNvPr id="7" name="Straight Arrow Connector 5">
          <a:extLst>
            <a:ext uri="{FF2B5EF4-FFF2-40B4-BE49-F238E27FC236}">
              <a16:creationId xmlns:a16="http://schemas.microsoft.com/office/drawing/2014/main" id="{02FEFEE6-7D64-4909-936F-74CF85F91D60}"/>
            </a:ext>
          </a:extLst>
        </xdr:cNvPr>
        <xdr:cNvCxnSpPr/>
      </xdr:nvCxnSpPr>
      <xdr:spPr>
        <a:xfrm flipV="1">
          <a:off x="15049500" y="0"/>
          <a:ext cx="0" cy="314325"/>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361950</xdr:colOff>
      <xdr:row>1</xdr:row>
      <xdr:rowOff>190500</xdr:rowOff>
    </xdr:from>
    <xdr:to>
      <xdr:col>19</xdr:col>
      <xdr:colOff>796290</xdr:colOff>
      <xdr:row>14</xdr:row>
      <xdr:rowOff>133350</xdr:rowOff>
    </xdr:to>
    <xdr:pic>
      <xdr:nvPicPr>
        <xdr:cNvPr id="5" name="Picture 2">
          <a:extLst>
            <a:ext uri="{FF2B5EF4-FFF2-40B4-BE49-F238E27FC236}">
              <a16:creationId xmlns:a16="http://schemas.microsoft.com/office/drawing/2014/main" id="{3BD8D127-38D8-64C8-9FF3-FCBC422E9EBB}"/>
            </a:ext>
            <a:ext uri="{147F2762-F138-4A5C-976F-8EAC2B608ADB}">
              <a16:predDERef xmlns:a16="http://schemas.microsoft.com/office/drawing/2014/main" pred="{02FEFEE6-7D64-4909-936F-74CF85F91D60}"/>
            </a:ext>
          </a:extLst>
        </xdr:cNvPr>
        <xdr:cNvPicPr>
          <a:picLocks noChangeAspect="1"/>
        </xdr:cNvPicPr>
      </xdr:nvPicPr>
      <xdr:blipFill>
        <a:blip xmlns:r="http://schemas.openxmlformats.org/officeDocument/2006/relationships" r:embed="rId1"/>
        <a:stretch>
          <a:fillRect/>
        </a:stretch>
      </xdr:blipFill>
      <xdr:spPr>
        <a:xfrm>
          <a:off x="15078075" y="514350"/>
          <a:ext cx="4572000" cy="2981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38</xdr:row>
      <xdr:rowOff>97515</xdr:rowOff>
    </xdr:from>
    <xdr:ext cx="2486193" cy="36567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B4BD1B8-9D63-4682-B2D0-C2ADAECC6363}"/>
                </a:ext>
              </a:extLst>
            </xdr:cNvPr>
            <xdr:cNvSpPr txBox="1">
              <a:spLocks/>
            </xdr:cNvSpPr>
          </xdr:nvSpPr>
          <xdr:spPr>
            <a:xfrm>
              <a:off x="0" y="12718140"/>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2" name="TextBox 1">
              <a:extLst>
                <a:ext uri="{FF2B5EF4-FFF2-40B4-BE49-F238E27FC236}">
                  <a16:creationId xmlns:a16="http://schemas.microsoft.com/office/drawing/2014/main" id="{7B4BD1B8-9D63-4682-B2D0-C2ADAECC6363}"/>
                </a:ext>
              </a:extLst>
            </xdr:cNvPr>
            <xdr:cNvSpPr txBox="1">
              <a:spLocks/>
            </xdr:cNvSpPr>
          </xdr:nvSpPr>
          <xdr:spPr>
            <a:xfrm>
              <a:off x="0" y="12718140"/>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33334</xdr:colOff>
      <xdr:row>29</xdr:row>
      <xdr:rowOff>0</xdr:rowOff>
    </xdr:from>
    <xdr:ext cx="1369028" cy="37202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F52A1DA-3E8C-4C59-9D40-5DBB8D7EFA30}"/>
                </a:ext>
                <a:ext uri="{147F2762-F138-4A5C-976F-8EAC2B608ADB}">
                  <a16:predDERef xmlns:a16="http://schemas.microsoft.com/office/drawing/2014/main" pred="{338B3BB2-BD6D-4EF6-9260-7D0809D8F590}"/>
                </a:ext>
              </a:extLst>
            </xdr:cNvPr>
            <xdr:cNvSpPr txBox="1">
              <a:spLocks/>
            </xdr:cNvSpPr>
          </xdr:nvSpPr>
          <xdr:spPr>
            <a:xfrm>
              <a:off x="33334" y="1045845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3" name="TextBox 2">
              <a:extLst>
                <a:ext uri="{FF2B5EF4-FFF2-40B4-BE49-F238E27FC236}">
                  <a16:creationId xmlns:a16="http://schemas.microsoft.com/office/drawing/2014/main" id="{9F52A1DA-3E8C-4C59-9D40-5DBB8D7EFA30}"/>
                </a:ext>
                <a:ext uri="{147F2762-F138-4A5C-976F-8EAC2B608ADB}">
                  <a16:predDERef xmlns:a16="http://schemas.microsoft.com/office/drawing/2014/main" pred="{338B3BB2-BD6D-4EF6-9260-7D0809D8F590}"/>
                </a:ext>
              </a:extLst>
            </xdr:cNvPr>
            <xdr:cNvSpPr txBox="1">
              <a:spLocks/>
            </xdr:cNvSpPr>
          </xdr:nvSpPr>
          <xdr:spPr>
            <a:xfrm>
              <a:off x="33334" y="10458450"/>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0</xdr:colOff>
      <xdr:row>32</xdr:row>
      <xdr:rowOff>47721</xdr:rowOff>
    </xdr:from>
    <xdr:ext cx="2027222" cy="35105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F8AA691-F18F-45C7-889B-311C5367A0F7}"/>
                </a:ext>
              </a:extLst>
            </xdr:cNvPr>
            <xdr:cNvSpPr txBox="1">
              <a:spLocks/>
            </xdr:cNvSpPr>
          </xdr:nvSpPr>
          <xdr:spPr>
            <a:xfrm>
              <a:off x="0" y="11658696"/>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4" name="TextBox 3">
              <a:extLst>
                <a:ext uri="{FF2B5EF4-FFF2-40B4-BE49-F238E27FC236}">
                  <a16:creationId xmlns:a16="http://schemas.microsoft.com/office/drawing/2014/main" id="{AF8AA691-F18F-45C7-889B-311C5367A0F7}"/>
                </a:ext>
              </a:extLst>
            </xdr:cNvPr>
            <xdr:cNvSpPr txBox="1">
              <a:spLocks/>
            </xdr:cNvSpPr>
          </xdr:nvSpPr>
          <xdr:spPr>
            <a:xfrm>
              <a:off x="0" y="11658696"/>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66111</xdr:colOff>
      <xdr:row>35</xdr:row>
      <xdr:rowOff>114501</xdr:rowOff>
    </xdr:from>
    <xdr:ext cx="2360967" cy="3282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E8B7365-6348-46F1-9CA7-4E65280D1B66}"/>
                </a:ext>
                <a:ext uri="{147F2762-F138-4A5C-976F-8EAC2B608ADB}">
                  <a16:predDERef xmlns:a16="http://schemas.microsoft.com/office/drawing/2014/main" pred="{3BDCB3C6-5E05-4FBE-A417-88BA8E1D69E0}"/>
                </a:ext>
              </a:extLst>
            </xdr:cNvPr>
            <xdr:cNvSpPr txBox="1">
              <a:spLocks/>
            </xdr:cNvSpPr>
          </xdr:nvSpPr>
          <xdr:spPr>
            <a:xfrm>
              <a:off x="66111" y="12239826"/>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5" name="TextBox 4">
              <a:extLst>
                <a:ext uri="{FF2B5EF4-FFF2-40B4-BE49-F238E27FC236}">
                  <a16:creationId xmlns:a16="http://schemas.microsoft.com/office/drawing/2014/main" id="{DE8B7365-6348-46F1-9CA7-4E65280D1B66}"/>
                </a:ext>
                <a:ext uri="{147F2762-F138-4A5C-976F-8EAC2B608ADB}">
                  <a16:predDERef xmlns:a16="http://schemas.microsoft.com/office/drawing/2014/main" pred="{3BDCB3C6-5E05-4FBE-A417-88BA8E1D69E0}"/>
                </a:ext>
              </a:extLst>
            </xdr:cNvPr>
            <xdr:cNvSpPr txBox="1">
              <a:spLocks/>
            </xdr:cNvSpPr>
          </xdr:nvSpPr>
          <xdr:spPr>
            <a:xfrm>
              <a:off x="66111" y="12239826"/>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163830</xdr:rowOff>
    </xdr:from>
    <xdr:to>
      <xdr:col>1</xdr:col>
      <xdr:colOff>1095376</xdr:colOff>
      <xdr:row>25</xdr:row>
      <xdr:rowOff>64770</xdr:rowOff>
    </xdr:to>
    <xdr:pic>
      <xdr:nvPicPr>
        <xdr:cNvPr id="2" name="Picture 1">
          <a:extLst>
            <a:ext uri="{FF2B5EF4-FFF2-40B4-BE49-F238E27FC236}">
              <a16:creationId xmlns:a16="http://schemas.microsoft.com/office/drawing/2014/main" id="{DD4C23AC-09CA-3284-6488-4296CC70A8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2754630"/>
          <a:ext cx="4457700" cy="2653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285750</xdr:colOff>
      <xdr:row>2</xdr:row>
      <xdr:rowOff>261937</xdr:rowOff>
    </xdr:from>
    <xdr:to>
      <xdr:col>36</xdr:col>
      <xdr:colOff>0</xdr:colOff>
      <xdr:row>5</xdr:row>
      <xdr:rowOff>360624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23</xdr:col>
      <xdr:colOff>798195</xdr:colOff>
      <xdr:row>1</xdr:row>
      <xdr:rowOff>295275</xdr:rowOff>
    </xdr:from>
    <xdr:to>
      <xdr:col>40</xdr:col>
      <xdr:colOff>578910</xdr:colOff>
      <xdr:row>19</xdr:row>
      <xdr:rowOff>111125</xdr:rowOff>
    </xdr:to>
    <xdr:graphicFrame macro="">
      <xdr:nvGraphicFramePr>
        <xdr:cNvPr id="3" name="Chart 1">
          <a:extLst>
            <a:ext uri="{FF2B5EF4-FFF2-40B4-BE49-F238E27FC236}">
              <a16:creationId xmlns:a16="http://schemas.microsoft.com/office/drawing/2014/main" id="{7BF48C0E-CD9A-4829-AA64-75BFF34D2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828675</xdr:colOff>
      <xdr:row>20</xdr:row>
      <xdr:rowOff>76200</xdr:rowOff>
    </xdr:from>
    <xdr:to>
      <xdr:col>41</xdr:col>
      <xdr:colOff>64709</xdr:colOff>
      <xdr:row>48</xdr:row>
      <xdr:rowOff>41603</xdr:rowOff>
    </xdr:to>
    <xdr:graphicFrame macro="">
      <xdr:nvGraphicFramePr>
        <xdr:cNvPr id="4" name="Chart 2">
          <a:extLst>
            <a:ext uri="{FF2B5EF4-FFF2-40B4-BE49-F238E27FC236}">
              <a16:creationId xmlns:a16="http://schemas.microsoft.com/office/drawing/2014/main" id="{FBB90149-AC99-4B7E-9C7C-900D7B7BC448}"/>
            </a:ext>
            <a:ext uri="{147F2762-F138-4A5C-976F-8EAC2B608ADB}">
              <a16:predDERef xmlns:a16="http://schemas.microsoft.com/office/drawing/2014/main" pred="{7BF48C0E-CD9A-4829-AA64-75BFF34D2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526852</xdr:colOff>
      <xdr:row>26</xdr:row>
      <xdr:rowOff>152981</xdr:rowOff>
    </xdr:from>
    <xdr:to>
      <xdr:col>9</xdr:col>
      <xdr:colOff>438150</xdr:colOff>
      <xdr:row>36</xdr:row>
      <xdr:rowOff>120987</xdr:rowOff>
    </xdr:to>
    <xdr:pic>
      <xdr:nvPicPr>
        <xdr:cNvPr id="2" name="Picture 1">
          <a:extLst>
            <a:ext uri="{FF2B5EF4-FFF2-40B4-BE49-F238E27FC236}">
              <a16:creationId xmlns:a16="http://schemas.microsoft.com/office/drawing/2014/main" id="{C68FDA43-0D02-4D6B-8A10-1F478024FA93}"/>
            </a:ext>
          </a:extLst>
        </xdr:cNvPr>
        <xdr:cNvPicPr>
          <a:picLocks noChangeAspect="1"/>
        </xdr:cNvPicPr>
      </xdr:nvPicPr>
      <xdr:blipFill>
        <a:blip xmlns:r="http://schemas.openxmlformats.org/officeDocument/2006/relationships" r:embed="rId1"/>
        <a:stretch>
          <a:fillRect/>
        </a:stretch>
      </xdr:blipFill>
      <xdr:spPr>
        <a:xfrm>
          <a:off x="526852" y="4877381"/>
          <a:ext cx="5397698" cy="1777756"/>
        </a:xfrm>
        <a:prstGeom prst="rect">
          <a:avLst/>
        </a:prstGeom>
      </xdr:spPr>
    </xdr:pic>
    <xdr:clientData/>
  </xdr:twoCellAnchor>
  <xdr:twoCellAnchor>
    <xdr:from>
      <xdr:col>0</xdr:col>
      <xdr:colOff>272415</xdr:colOff>
      <xdr:row>18</xdr:row>
      <xdr:rowOff>17145</xdr:rowOff>
    </xdr:from>
    <xdr:to>
      <xdr:col>10</xdr:col>
      <xdr:colOff>382905</xdr:colOff>
      <xdr:row>26</xdr:row>
      <xdr:rowOff>82887</xdr:rowOff>
    </xdr:to>
    <xdr:pic>
      <xdr:nvPicPr>
        <xdr:cNvPr id="3" name="Picture 2">
          <a:extLst>
            <a:ext uri="{FF2B5EF4-FFF2-40B4-BE49-F238E27FC236}">
              <a16:creationId xmlns:a16="http://schemas.microsoft.com/office/drawing/2014/main" id="{E484624E-F40F-47F4-AA72-4A9B10BD7C89}"/>
            </a:ext>
          </a:extLst>
        </xdr:cNvPr>
        <xdr:cNvPicPr>
          <a:picLocks noChangeAspect="1"/>
        </xdr:cNvPicPr>
      </xdr:nvPicPr>
      <xdr:blipFill>
        <a:blip xmlns:r="http://schemas.openxmlformats.org/officeDocument/2006/relationships" r:embed="rId2"/>
        <a:stretch>
          <a:fillRect/>
        </a:stretch>
      </xdr:blipFill>
      <xdr:spPr>
        <a:xfrm>
          <a:off x="272415" y="3293745"/>
          <a:ext cx="6206490" cy="151354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shrae.org/technical-resources/standards-and-guidelines/read-only-versions-of-ashrae-standards" TargetMode="External"/><Relationship Id="rId13" Type="http://schemas.openxmlformats.org/officeDocument/2006/relationships/hyperlink" Target="https://title24stakeholders.com/wp-content/uploads/2020/10/2022-T24-Final-CASE-Report_Reduce-Infiltration.pdf" TargetMode="External"/><Relationship Id="rId18" Type="http://schemas.openxmlformats.org/officeDocument/2006/relationships/hyperlink" Target="https://www.energy.ca.gov/publications/2022/2022-nonresidential-and-multifamily-alternative-calculation-method-reference" TargetMode="External"/><Relationship Id="rId3" Type="http://schemas.openxmlformats.org/officeDocument/2006/relationships/hyperlink" Target="https://www.eia.gov/consumption/commercial/data/2018/index.php?view=microdata" TargetMode="External"/><Relationship Id="rId21" Type="http://schemas.openxmlformats.org/officeDocument/2006/relationships/hyperlink" Target="https://www.energystar.gov/productfinder/product/certified-commercial-water-heaters/results?fuel_filter=Gas&amp;markets_filter=United+States" TargetMode="External"/><Relationship Id="rId7" Type="http://schemas.openxmlformats.org/officeDocument/2006/relationships/hyperlink" Target="https://github.com/sound-data/DEER-Prototypes-EnergyPlus" TargetMode="External"/><Relationship Id="rId12" Type="http://schemas.openxmlformats.org/officeDocument/2006/relationships/hyperlink" Target="https://www.govinfo.gov/content/pkg/CFR-2024-title10-vol3/pdf/CFR-2024-title10-vol3-part431-subpartF.pdf" TargetMode="External"/><Relationship Id="rId17" Type="http://schemas.openxmlformats.org/officeDocument/2006/relationships/hyperlink" Target="https://www.energy.ca.gov/publications/2025/2025-nonresidential-and-multifamily-alternative-calculation-method-reference" TargetMode="External"/><Relationship Id="rId2" Type="http://schemas.openxmlformats.org/officeDocument/2006/relationships/hyperlink" Target="https://www.energy.ca.gov/publications/2023/2022-california-commercial-end-use-survey-ceus-final-report" TargetMode="External"/><Relationship Id="rId16" Type="http://schemas.openxmlformats.org/officeDocument/2006/relationships/hyperlink" Target="https://www.energy.ca.gov/publications/2022/2022-nonresidential-and-multifamily-alternative-calculation-method-reference" TargetMode="External"/><Relationship Id="rId20" Type="http://schemas.openxmlformats.org/officeDocument/2006/relationships/hyperlink" Target="https://www.thefreelibrary.com/Determining+Vintage+Bins+for+Prototype+Development%3a+An+Analysis+of...-a0879271125" TargetMode="External"/><Relationship Id="rId1" Type="http://schemas.openxmlformats.org/officeDocument/2006/relationships/hyperlink" Target="https://efiling.energy.ca.gov/GetDocument.aspx?tn=265693&amp;DocumentContentId=102545" TargetMode="External"/><Relationship Id="rId6" Type="http://schemas.openxmlformats.org/officeDocument/2006/relationships/hyperlink" Target="https://www.energycodes.gov/prototype-building-models" TargetMode="External"/><Relationship Id="rId11" Type="http://schemas.openxmlformats.org/officeDocument/2006/relationships/hyperlink" Target="https://www.govinfo.gov/content/pkg/FR-2009-03-23/pdf/FR-2009-03-23.pdf" TargetMode="External"/><Relationship Id="rId5" Type="http://schemas.openxmlformats.org/officeDocument/2006/relationships/hyperlink" Target="https://bees.noresco.com/software2022.html" TargetMode="External"/><Relationship Id="rId15" Type="http://schemas.openxmlformats.org/officeDocument/2006/relationships/hyperlink" Target="https://title24stakeholders.com/wp-content/uploads/2016/10/T24-2019-CASE-Study-Results-Report-Outdoor-Sources_Final_with-Attachments.pdf" TargetMode="External"/><Relationship Id="rId23" Type="http://schemas.openxmlformats.org/officeDocument/2006/relationships/hyperlink" Target="https://www.grainger.com/category/plumbing/water-heaters/electric-tank-water-heaters" TargetMode="External"/><Relationship Id="rId10" Type="http://schemas.openxmlformats.org/officeDocument/2006/relationships/hyperlink" Target="https://codes.iccsafe.org/codes/united-states/california" TargetMode="External"/><Relationship Id="rId19"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4"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9" Type="http://schemas.openxmlformats.org/officeDocument/2006/relationships/hyperlink" Target="https://www.energy.ca.gov/publications/2025/2025-building-energy-efficiency-standards-residential-and-nonresidential" TargetMode="External"/><Relationship Id="rId14" Type="http://schemas.openxmlformats.org/officeDocument/2006/relationships/hyperlink" Target="https://www.pnnl.gov/main/publications/external/technical_reports/PNNL-20405.pdf" TargetMode="External"/><Relationship Id="rId22" Type="http://schemas.openxmlformats.org/officeDocument/2006/relationships/hyperlink" Target="https://www.grainger.com/category/plumbing/water-heaters/gas-tank-water-heater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D32"/>
  <sheetViews>
    <sheetView topLeftCell="B1" zoomScaleNormal="100" workbookViewId="0">
      <selection sqref="A1:C1"/>
    </sheetView>
  </sheetViews>
  <sheetFormatPr defaultColWidth="9.33203125" defaultRowHeight="13.2" x14ac:dyDescent="0.25"/>
  <cols>
    <col min="1" max="1" width="14.6640625" style="3" customWidth="1"/>
    <col min="2" max="2" width="92.109375" style="3" customWidth="1"/>
    <col min="3" max="3" width="39" style="3" customWidth="1"/>
    <col min="4" max="4" width="9.33203125" style="3"/>
    <col min="5" max="5" width="21.6640625" style="3" customWidth="1"/>
    <col min="6" max="6" width="10.6640625" style="3" customWidth="1"/>
    <col min="7" max="7" width="9.6640625" style="3" customWidth="1"/>
    <col min="8" max="8" width="9.6640625" style="3" bestFit="1" customWidth="1"/>
    <col min="9" max="16384" width="9.33203125" style="3"/>
  </cols>
  <sheetData>
    <row r="1" spans="1:4" ht="20.399999999999999" customHeight="1" x14ac:dyDescent="0.25">
      <c r="A1" s="441" t="s">
        <v>0</v>
      </c>
      <c r="B1" s="441"/>
      <c r="C1" s="441"/>
    </row>
    <row r="2" spans="1:4" x14ac:dyDescent="0.25">
      <c r="A2" s="442" t="s">
        <v>1</v>
      </c>
      <c r="B2" s="3" t="s">
        <v>2</v>
      </c>
      <c r="C2" s="316"/>
    </row>
    <row r="3" spans="1:4" x14ac:dyDescent="0.25">
      <c r="A3" s="442"/>
      <c r="B3" s="348" t="s">
        <v>3</v>
      </c>
      <c r="C3" s="273" t="s">
        <v>4</v>
      </c>
      <c r="D3" s="3" t="s">
        <v>5</v>
      </c>
    </row>
    <row r="4" spans="1:4" x14ac:dyDescent="0.25">
      <c r="A4" s="442"/>
      <c r="B4" s="348" t="s">
        <v>6</v>
      </c>
      <c r="C4" s="273" t="s">
        <v>7</v>
      </c>
      <c r="D4" s="3" t="s">
        <v>5</v>
      </c>
    </row>
    <row r="5" spans="1:4" x14ac:dyDescent="0.25">
      <c r="A5" s="442"/>
      <c r="B5" s="6" t="s">
        <v>8</v>
      </c>
      <c r="C5" s="273" t="s">
        <v>9</v>
      </c>
      <c r="D5" s="3" t="s">
        <v>5</v>
      </c>
    </row>
    <row r="6" spans="1:4" x14ac:dyDescent="0.25">
      <c r="A6" s="442" t="s">
        <v>10</v>
      </c>
      <c r="B6" s="3" t="s">
        <v>11</v>
      </c>
      <c r="C6" s="273" t="s">
        <v>12</v>
      </c>
      <c r="D6" s="3" t="s">
        <v>5</v>
      </c>
    </row>
    <row r="7" spans="1:4" x14ac:dyDescent="0.25">
      <c r="A7" s="442"/>
      <c r="B7" s="3" t="s">
        <v>13</v>
      </c>
      <c r="C7" s="273" t="s">
        <v>14</v>
      </c>
      <c r="D7" s="3" t="s">
        <v>5</v>
      </c>
    </row>
    <row r="8" spans="1:4" x14ac:dyDescent="0.25">
      <c r="A8" s="442"/>
      <c r="B8" s="3" t="s">
        <v>15</v>
      </c>
      <c r="C8" s="273" t="s">
        <v>16</v>
      </c>
      <c r="D8" s="3" t="s">
        <v>5</v>
      </c>
    </row>
    <row r="9" spans="1:4" ht="14.4" x14ac:dyDescent="0.3">
      <c r="A9" s="442"/>
      <c r="C9" s="127"/>
      <c r="D9" s="3" t="s">
        <v>5</v>
      </c>
    </row>
    <row r="10" spans="1:4" ht="14.4" x14ac:dyDescent="0.25">
      <c r="A10" s="442" t="s">
        <v>17</v>
      </c>
      <c r="B10" s="443" t="s">
        <v>18</v>
      </c>
      <c r="C10" s="275" t="s">
        <v>19</v>
      </c>
      <c r="D10" s="349">
        <v>2025</v>
      </c>
    </row>
    <row r="11" spans="1:4" ht="14.4" x14ac:dyDescent="0.25">
      <c r="A11" s="442"/>
      <c r="B11" s="443"/>
      <c r="C11" s="275" t="s">
        <v>20</v>
      </c>
      <c r="D11" s="350" t="s">
        <v>21</v>
      </c>
    </row>
    <row r="12" spans="1:4" ht="14.4" x14ac:dyDescent="0.3">
      <c r="A12" s="442"/>
      <c r="B12" s="350" t="s">
        <v>22</v>
      </c>
      <c r="C12" s="127" t="s">
        <v>23</v>
      </c>
      <c r="D12" s="349" t="s">
        <v>5</v>
      </c>
    </row>
    <row r="13" spans="1:4" x14ac:dyDescent="0.25">
      <c r="A13" s="442"/>
      <c r="B13" s="276" t="s">
        <v>24</v>
      </c>
      <c r="C13" s="273" t="s">
        <v>25</v>
      </c>
      <c r="D13" s="3" t="s">
        <v>5</v>
      </c>
    </row>
    <row r="14" spans="1:4" x14ac:dyDescent="0.25">
      <c r="A14" s="442"/>
      <c r="B14" s="350" t="s">
        <v>26</v>
      </c>
      <c r="C14" s="273" t="s">
        <v>27</v>
      </c>
      <c r="D14" s="3" t="s">
        <v>5</v>
      </c>
    </row>
    <row r="15" spans="1:4" ht="14.4" customHeight="1" x14ac:dyDescent="0.25">
      <c r="A15" s="442" t="s">
        <v>28</v>
      </c>
      <c r="B15" s="6" t="s">
        <v>29</v>
      </c>
      <c r="C15" s="277" t="s">
        <v>30</v>
      </c>
      <c r="D15" s="3" t="s">
        <v>5</v>
      </c>
    </row>
    <row r="16" spans="1:4" ht="14.4" customHeight="1" x14ac:dyDescent="0.25">
      <c r="A16" s="442"/>
      <c r="B16" s="348" t="s">
        <v>31</v>
      </c>
      <c r="C16" s="277" t="s">
        <v>32</v>
      </c>
      <c r="D16" s="3" t="s">
        <v>5</v>
      </c>
    </row>
    <row r="17" spans="1:4" x14ac:dyDescent="0.25">
      <c r="A17" s="442"/>
      <c r="B17" s="6" t="s">
        <v>33</v>
      </c>
      <c r="C17" s="274" t="s">
        <v>30</v>
      </c>
      <c r="D17" s="3" t="s">
        <v>5</v>
      </c>
    </row>
    <row r="18" spans="1:4" x14ac:dyDescent="0.25">
      <c r="A18" s="442"/>
      <c r="B18" s="90" t="s">
        <v>34</v>
      </c>
      <c r="C18" s="273" t="s">
        <v>35</v>
      </c>
      <c r="D18" s="3" t="s">
        <v>5</v>
      </c>
    </row>
    <row r="19" spans="1:4" x14ac:dyDescent="0.25">
      <c r="A19" s="442"/>
      <c r="B19" s="3" t="s">
        <v>36</v>
      </c>
      <c r="C19" s="273" t="s">
        <v>37</v>
      </c>
      <c r="D19" s="3" t="s">
        <v>5</v>
      </c>
    </row>
    <row r="20" spans="1:4" x14ac:dyDescent="0.25">
      <c r="A20" s="442"/>
      <c r="B20" s="350" t="s">
        <v>38</v>
      </c>
      <c r="C20" s="273" t="s">
        <v>39</v>
      </c>
      <c r="D20" s="3" t="s">
        <v>5</v>
      </c>
    </row>
    <row r="21" spans="1:4" x14ac:dyDescent="0.25">
      <c r="A21" s="442"/>
      <c r="B21" s="6" t="s">
        <v>40</v>
      </c>
      <c r="C21" s="274" t="s">
        <v>41</v>
      </c>
      <c r="D21" s="3" t="s">
        <v>5</v>
      </c>
    </row>
    <row r="22" spans="1:4" ht="26.4" x14ac:dyDescent="0.25">
      <c r="A22" s="442"/>
      <c r="B22" s="351" t="s">
        <v>42</v>
      </c>
      <c r="C22" s="277" t="s">
        <v>43</v>
      </c>
      <c r="D22" s="3" t="s">
        <v>5</v>
      </c>
    </row>
    <row r="23" spans="1:4" ht="25.95" customHeight="1" x14ac:dyDescent="0.25">
      <c r="A23" s="442"/>
      <c r="B23" s="7" t="s">
        <v>44</v>
      </c>
      <c r="C23" s="57" t="s">
        <v>45</v>
      </c>
      <c r="D23" s="3" t="s">
        <v>5</v>
      </c>
    </row>
    <row r="24" spans="1:4" ht="12.75" customHeight="1" x14ac:dyDescent="0.25">
      <c r="A24" s="442"/>
      <c r="B24" s="352" t="s">
        <v>46</v>
      </c>
      <c r="C24" s="277" t="s">
        <v>47</v>
      </c>
      <c r="D24" s="3" t="s">
        <v>5</v>
      </c>
    </row>
    <row r="25" spans="1:4" ht="12.75" customHeight="1" x14ac:dyDescent="0.25">
      <c r="A25" s="442"/>
      <c r="B25" s="352" t="s">
        <v>48</v>
      </c>
      <c r="C25" s="277" t="s">
        <v>49</v>
      </c>
      <c r="D25" s="3" t="s">
        <v>5</v>
      </c>
    </row>
    <row r="26" spans="1:4" ht="12.75" customHeight="1" x14ac:dyDescent="0.25">
      <c r="A26" s="442"/>
      <c r="B26" s="352" t="s">
        <v>50</v>
      </c>
      <c r="C26" s="277" t="s">
        <v>51</v>
      </c>
      <c r="D26" s="3" t="s">
        <v>5</v>
      </c>
    </row>
    <row r="27" spans="1:4" ht="12.75" customHeight="1" x14ac:dyDescent="0.3">
      <c r="A27" s="442"/>
      <c r="C27" s="262"/>
    </row>
    <row r="28" spans="1:4" x14ac:dyDescent="0.25">
      <c r="C28" s="316"/>
    </row>
    <row r="29" spans="1:4" ht="15.6" x14ac:dyDescent="0.25">
      <c r="A29" s="441" t="s">
        <v>52</v>
      </c>
      <c r="B29" s="441"/>
      <c r="C29" s="441"/>
    </row>
    <row r="30" spans="1:4" x14ac:dyDescent="0.25">
      <c r="A30" s="444" t="s">
        <v>53</v>
      </c>
      <c r="B30" s="444"/>
      <c r="C30" s="444"/>
    </row>
    <row r="31" spans="1:4" x14ac:dyDescent="0.25">
      <c r="A31" s="444"/>
      <c r="B31" s="444"/>
      <c r="C31" s="444"/>
    </row>
    <row r="32" spans="1:4" x14ac:dyDescent="0.25">
      <c r="A32" s="444"/>
      <c r="B32" s="444"/>
      <c r="C32" s="444"/>
    </row>
  </sheetData>
  <mergeCells count="10">
    <mergeCell ref="A31:C31"/>
    <mergeCell ref="A32:C32"/>
    <mergeCell ref="A29:C29"/>
    <mergeCell ref="A30:C30"/>
    <mergeCell ref="A15:A27"/>
    <mergeCell ref="A1:C1"/>
    <mergeCell ref="A2:A5"/>
    <mergeCell ref="A6:A9"/>
    <mergeCell ref="A10:A14"/>
    <mergeCell ref="B10:B11"/>
  </mergeCells>
  <hyperlinks>
    <hyperlink ref="C23" r:id="rId1" xr:uid="{615EECC0-DAAB-4A87-8792-2805AA13E96C}"/>
    <hyperlink ref="C3" r:id="rId2" xr:uid="{32F8A392-DA4D-4F68-AA43-22DE16AFC3FA}"/>
    <hyperlink ref="C4" r:id="rId3" xr:uid="{87DD36D3-62F2-4775-B799-292A0031174E}"/>
    <hyperlink ref="C5" r:id="rId4" xr:uid="{FD58A082-0B12-4F7E-9D07-CFBDE8552575}"/>
    <hyperlink ref="C6" r:id="rId5" xr:uid="{2931948D-DCFB-4849-BD50-BBB87A127A7A}"/>
    <hyperlink ref="C7" r:id="rId6" location="Commercial" display="https://www.energycodes.gov/prototype-building-models - Commercial" xr:uid="{A53D4622-D9A8-4710-ABB2-46381FC9D91E}"/>
    <hyperlink ref="C8" r:id="rId7" xr:uid="{16F0EB78-BF8B-42D6-94FB-3554DA676992}"/>
    <hyperlink ref="C12" r:id="rId8" xr:uid="{DAF11187-07E5-4B74-992B-6027FDFC1D6B}"/>
    <hyperlink ref="C10" r:id="rId9" xr:uid="{141E2654-6AB1-4B59-967C-B00B4F60170D}"/>
    <hyperlink ref="C11" r:id="rId10" xr:uid="{DF59E25D-8D93-44F7-A085-7C8F3C722C38}"/>
    <hyperlink ref="C13" r:id="rId11" xr:uid="{23B87C34-7AF0-4CC0-9F29-28DD90139D92}"/>
    <hyperlink ref="C14" r:id="rId12" xr:uid="{FF5D7BA5-C45D-44C4-8DC5-B9DACB6C9E8D}"/>
    <hyperlink ref="C18" r:id="rId13" xr:uid="{7DA0C448-032C-400A-8E25-DDF75C083B51}"/>
    <hyperlink ref="C20" r:id="rId14" xr:uid="{320DB5B5-1812-4AAD-BBF7-F2687AA284C2}"/>
    <hyperlink ref="C19" r:id="rId15" xr:uid="{BCAFFFF9-CF0F-45A8-9ABD-CFEDF7184ACE}"/>
    <hyperlink ref="C15" r:id="rId16" xr:uid="{A7436C8C-B320-41CF-B12C-B129452BC332}"/>
    <hyperlink ref="C16" r:id="rId17" xr:uid="{2DB73A71-AB7C-4B03-8E41-500935362919}"/>
    <hyperlink ref="C17" r:id="rId18" xr:uid="{83694BBA-86A2-4E73-8521-0BA488B39449}"/>
    <hyperlink ref="C21" r:id="rId19" xr:uid="{BDBF5C1A-3F92-497E-A220-51497214905B}"/>
    <hyperlink ref="C22" r:id="rId20" xr:uid="{00CA588E-676A-4C4F-846C-2A6AD51C7D44}"/>
    <hyperlink ref="C24" r:id="rId21" xr:uid="{32AD256B-0996-4C3D-8CBC-5136287E10B7}"/>
    <hyperlink ref="C25" r:id="rId22" xr:uid="{97E41388-3382-4275-9575-0121F51241F5}"/>
    <hyperlink ref="C26" r:id="rId23" xr:uid="{CECF56A1-D07D-4682-9FCB-0A5CE17AA5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AL45"/>
  <sheetViews>
    <sheetView tabSelected="1" zoomScale="70" zoomScaleNormal="70" workbookViewId="0">
      <selection sqref="A1:C1"/>
    </sheetView>
  </sheetViews>
  <sheetFormatPr defaultColWidth="9.33203125" defaultRowHeight="13.8" x14ac:dyDescent="0.25"/>
  <cols>
    <col min="1" max="1" width="25" style="1" customWidth="1"/>
    <col min="2" max="2" width="51.33203125" style="1" customWidth="1"/>
    <col min="3" max="3" width="56.109375" style="1" customWidth="1"/>
    <col min="4" max="4" width="49.33203125" style="1" customWidth="1"/>
    <col min="5" max="5" width="45.33203125" style="1" customWidth="1"/>
    <col min="6" max="6" width="45.6640625" style="1" customWidth="1"/>
    <col min="7" max="7" width="49" style="1" customWidth="1"/>
    <col min="8" max="9" width="8.6640625" style="1" customWidth="1"/>
    <col min="10" max="16384" width="9.33203125" style="1"/>
  </cols>
  <sheetData>
    <row r="1" spans="1:9" ht="17.399999999999999" x14ac:dyDescent="0.25">
      <c r="A1" s="438" t="s">
        <v>54</v>
      </c>
      <c r="B1" s="438"/>
      <c r="C1" s="438"/>
      <c r="D1" s="8"/>
      <c r="E1" s="8"/>
      <c r="F1" s="8"/>
    </row>
    <row r="2" spans="1:9" ht="25.2" customHeight="1" x14ac:dyDescent="0.25">
      <c r="A2" s="439" t="s">
        <v>55</v>
      </c>
      <c r="B2" s="440"/>
      <c r="C2" s="440"/>
      <c r="D2" s="8"/>
      <c r="E2" s="8"/>
      <c r="F2" s="8"/>
    </row>
    <row r="3" spans="1:9" ht="20.399999999999999" customHeight="1" x14ac:dyDescent="0.25">
      <c r="A3" s="13" t="s">
        <v>56</v>
      </c>
      <c r="B3" s="324" t="s">
        <v>57</v>
      </c>
      <c r="C3" s="14" t="s">
        <v>0</v>
      </c>
    </row>
    <row r="4" spans="1:9" ht="16.2" customHeight="1" x14ac:dyDescent="0.25">
      <c r="A4" s="11" t="s">
        <v>58</v>
      </c>
      <c r="B4" s="284" t="s">
        <v>59</v>
      </c>
      <c r="C4" s="11"/>
    </row>
    <row r="5" spans="1:9" ht="16.2" customHeight="1" x14ac:dyDescent="0.25">
      <c r="A5" s="11" t="s">
        <v>60</v>
      </c>
      <c r="B5" s="284" t="s">
        <v>61</v>
      </c>
      <c r="C5" s="11"/>
    </row>
    <row r="6" spans="1:9" ht="16.2" customHeight="1" x14ac:dyDescent="0.25">
      <c r="A6" s="353" t="s">
        <v>62</v>
      </c>
      <c r="B6" s="354" t="s">
        <v>63</v>
      </c>
      <c r="C6" s="11"/>
    </row>
    <row r="7" spans="1:9" ht="94.5" customHeight="1" x14ac:dyDescent="0.25">
      <c r="A7" s="11" t="s">
        <v>64</v>
      </c>
      <c r="B7" s="321" t="s">
        <v>65</v>
      </c>
      <c r="C7" s="12" t="s">
        <v>66</v>
      </c>
      <c r="D7" s="57"/>
    </row>
    <row r="8" spans="1:9" ht="97.2" customHeight="1" x14ac:dyDescent="0.3">
      <c r="A8" s="11" t="s">
        <v>67</v>
      </c>
      <c r="B8" s="328"/>
      <c r="C8" s="12" t="s">
        <v>68</v>
      </c>
      <c r="I8" s="2"/>
    </row>
    <row r="9" spans="1:9" ht="16.2" customHeight="1" x14ac:dyDescent="0.25">
      <c r="A9" s="9" t="s">
        <v>69</v>
      </c>
      <c r="B9" s="16" t="s">
        <v>70</v>
      </c>
      <c r="C9" s="12" t="s">
        <v>68</v>
      </c>
    </row>
    <row r="10" spans="1:9" ht="26.4" x14ac:dyDescent="0.25">
      <c r="A10" s="9" t="s">
        <v>71</v>
      </c>
      <c r="B10" s="87" t="s">
        <v>72</v>
      </c>
      <c r="C10" s="12" t="s">
        <v>68</v>
      </c>
    </row>
    <row r="11" spans="1:9" x14ac:dyDescent="0.25">
      <c r="A11" s="10" t="s">
        <v>73</v>
      </c>
      <c r="B11" s="31">
        <v>1</v>
      </c>
      <c r="C11" s="12"/>
    </row>
    <row r="12" spans="1:9" x14ac:dyDescent="0.25">
      <c r="A12" s="10" t="s">
        <v>74</v>
      </c>
      <c r="B12" s="31" t="s">
        <v>75</v>
      </c>
      <c r="C12" s="12"/>
    </row>
    <row r="13" spans="1:9" x14ac:dyDescent="0.25">
      <c r="A13" s="10" t="s">
        <v>76</v>
      </c>
      <c r="B13" s="86">
        <v>8.2400000000000001E-2</v>
      </c>
      <c r="C13" s="12" t="s">
        <v>68</v>
      </c>
    </row>
    <row r="14" spans="1:9" ht="14.7" customHeight="1" x14ac:dyDescent="0.25">
      <c r="A14" s="9" t="s">
        <v>77</v>
      </c>
      <c r="B14" s="85" t="s">
        <v>78</v>
      </c>
      <c r="C14" s="12"/>
    </row>
    <row r="15" spans="1:9" ht="14.7" customHeight="1" x14ac:dyDescent="0.25">
      <c r="A15" s="9" t="s">
        <v>79</v>
      </c>
      <c r="B15" s="284" t="s">
        <v>80</v>
      </c>
      <c r="C15" s="12"/>
    </row>
    <row r="16" spans="1:9" ht="16.2" customHeight="1" x14ac:dyDescent="0.25">
      <c r="A16" s="9" t="s">
        <v>81</v>
      </c>
      <c r="B16" s="284">
        <v>17</v>
      </c>
      <c r="C16" s="12" t="s">
        <v>68</v>
      </c>
    </row>
    <row r="17" spans="1:38" x14ac:dyDescent="0.25">
      <c r="A17" s="9" t="s">
        <v>82</v>
      </c>
      <c r="B17" s="321" t="s">
        <v>83</v>
      </c>
      <c r="C17" s="12" t="s">
        <v>68</v>
      </c>
    </row>
    <row r="23" spans="1:38" ht="14.4" x14ac:dyDescent="0.25">
      <c r="A23" s="230"/>
      <c r="B23" s="230"/>
      <c r="C23" s="230"/>
      <c r="D23" s="230"/>
      <c r="E23" s="230"/>
      <c r="F23" s="230"/>
      <c r="G23" s="230"/>
    </row>
    <row r="24" spans="1:38" ht="14.4" x14ac:dyDescent="0.25">
      <c r="A24" s="230"/>
      <c r="B24" s="230"/>
      <c r="C24" s="230"/>
      <c r="D24" s="230"/>
      <c r="E24" s="230"/>
      <c r="F24" s="230"/>
      <c r="G24" s="230"/>
    </row>
    <row r="26" spans="1:38" ht="14.7" customHeight="1" x14ac:dyDescent="0.25"/>
    <row r="27" spans="1:38" s="19" customFormat="1" ht="13.2" x14ac:dyDescent="0.25">
      <c r="A27" s="19" t="s">
        <v>84</v>
      </c>
    </row>
    <row r="28" spans="1:38" s="3" customFormat="1" ht="13.2" x14ac:dyDescent="0.25">
      <c r="U28" s="28"/>
      <c r="V28" s="47"/>
      <c r="W28" s="48"/>
      <c r="X28" s="48"/>
      <c r="Y28" s="48"/>
      <c r="Z28" s="48"/>
      <c r="AA28" s="48"/>
      <c r="AB28" s="48"/>
      <c r="AC28" s="48"/>
      <c r="AD28" s="48"/>
      <c r="AE28" s="48"/>
      <c r="AF28" s="48"/>
      <c r="AG28" s="48"/>
      <c r="AH28" s="48"/>
      <c r="AI28" s="48"/>
      <c r="AJ28" s="48"/>
      <c r="AK28" s="48"/>
      <c r="AL28" s="48"/>
    </row>
    <row r="30" spans="1:38" s="3" customFormat="1" ht="13.2" x14ac:dyDescent="0.25">
      <c r="G30" s="48"/>
      <c r="H30" s="48"/>
      <c r="I30" s="48"/>
      <c r="J30" s="48"/>
      <c r="K30" s="48"/>
    </row>
    <row r="31" spans="1:38" s="3" customFormat="1" ht="21" customHeight="1" x14ac:dyDescent="0.25">
      <c r="A31" s="329"/>
      <c r="B31" s="104"/>
      <c r="C31" s="104"/>
      <c r="F31" s="48"/>
      <c r="G31" s="48"/>
      <c r="H31" s="48"/>
      <c r="I31" s="48"/>
      <c r="J31" s="48"/>
    </row>
    <row r="32" spans="1:38" ht="14.7" customHeight="1" x14ac:dyDescent="0.25">
      <c r="A32" s="3"/>
      <c r="B32" s="3"/>
      <c r="C32" s="3"/>
      <c r="D32" s="3"/>
      <c r="E32" s="3"/>
      <c r="F32" s="3"/>
      <c r="G32" s="3"/>
    </row>
    <row r="33" spans="1:7" s="105" customFormat="1" ht="14.7" customHeight="1" x14ac:dyDescent="0.25">
      <c r="A33" s="3"/>
      <c r="B33" s="332" t="s">
        <v>85</v>
      </c>
      <c r="C33" s="332" t="s">
        <v>86</v>
      </c>
      <c r="D33" s="332" t="s">
        <v>87</v>
      </c>
    </row>
    <row r="34" spans="1:7" ht="143.4" customHeight="1" x14ac:dyDescent="0.25">
      <c r="A34" s="338" t="s">
        <v>88</v>
      </c>
      <c r="B34" s="333"/>
      <c r="C34" s="333"/>
      <c r="D34" s="333"/>
    </row>
    <row r="35" spans="1:7" x14ac:dyDescent="0.25">
      <c r="A35" s="333" t="s">
        <v>89</v>
      </c>
      <c r="B35" s="339">
        <v>240000</v>
      </c>
      <c r="C35" s="339">
        <f>3*40000</f>
        <v>120000</v>
      </c>
      <c r="D35" s="339">
        <v>130502</v>
      </c>
    </row>
    <row r="36" spans="1:7" x14ac:dyDescent="0.25">
      <c r="A36" s="107"/>
      <c r="B36" s="107"/>
      <c r="C36" s="74"/>
      <c r="D36" s="107"/>
      <c r="F36" s="3"/>
    </row>
    <row r="37" spans="1:7" ht="14.4" x14ac:dyDescent="0.3">
      <c r="A37" s="108"/>
      <c r="B37" s="109"/>
      <c r="C37" s="109"/>
      <c r="D37" s="109"/>
      <c r="E37" s="3"/>
      <c r="F37" s="3"/>
      <c r="G37" s="3"/>
    </row>
    <row r="38" spans="1:7" ht="14.4" x14ac:dyDescent="0.3">
      <c r="A38" s="108"/>
      <c r="B38" s="337" t="s">
        <v>90</v>
      </c>
      <c r="C38" s="337" t="s">
        <v>91</v>
      </c>
      <c r="D38" s="337" t="s">
        <v>92</v>
      </c>
      <c r="E38" s="3"/>
      <c r="F38" s="332" t="s">
        <v>93</v>
      </c>
    </row>
    <row r="39" spans="1:7" ht="127.2" customHeight="1" x14ac:dyDescent="0.25">
      <c r="A39" s="335" t="s">
        <v>94</v>
      </c>
      <c r="B39" s="333" t="s">
        <v>95</v>
      </c>
      <c r="C39" s="333"/>
      <c r="D39" s="333"/>
      <c r="F39" s="333"/>
    </row>
    <row r="40" spans="1:7" x14ac:dyDescent="0.25">
      <c r="A40" s="333" t="s">
        <v>89</v>
      </c>
      <c r="B40" s="336">
        <v>24692</v>
      </c>
      <c r="C40" s="336">
        <v>24692</v>
      </c>
      <c r="D40" s="334">
        <v>22500</v>
      </c>
      <c r="F40" s="334">
        <v>49997</v>
      </c>
    </row>
    <row r="41" spans="1:7" x14ac:dyDescent="0.25">
      <c r="A41" s="107"/>
      <c r="B41" s="107"/>
      <c r="C41" s="107"/>
    </row>
    <row r="42" spans="1:7" x14ac:dyDescent="0.25">
      <c r="A42" s="107"/>
      <c r="B42" s="107"/>
      <c r="C42" s="107"/>
    </row>
    <row r="43" spans="1:7" x14ac:dyDescent="0.25">
      <c r="A43" s="107"/>
      <c r="B43" s="332" t="s">
        <v>96</v>
      </c>
      <c r="C43" s="332" t="s">
        <v>97</v>
      </c>
    </row>
    <row r="44" spans="1:7" ht="123.6" customHeight="1" x14ac:dyDescent="0.25">
      <c r="A44" s="330" t="s">
        <v>98</v>
      </c>
      <c r="B44" s="340"/>
      <c r="C44" s="340"/>
    </row>
    <row r="45" spans="1:7" x14ac:dyDescent="0.25">
      <c r="A45" s="331" t="s">
        <v>89</v>
      </c>
      <c r="B45" s="334">
        <v>9375</v>
      </c>
      <c r="C45" s="334">
        <v>8001</v>
      </c>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T27"/>
  <sheetViews>
    <sheetView zoomScale="85" zoomScaleNormal="85" workbookViewId="0">
      <selection sqref="A1:O1"/>
    </sheetView>
  </sheetViews>
  <sheetFormatPr defaultColWidth="8.6640625" defaultRowHeight="12.75" customHeight="1" x14ac:dyDescent="0.3"/>
  <cols>
    <col min="1" max="1" width="18.33203125" style="5" customWidth="1"/>
    <col min="2" max="2" width="26.88671875" style="5" customWidth="1"/>
    <col min="3" max="4" width="43.44140625" style="5" customWidth="1"/>
    <col min="5" max="7" width="27.33203125" style="5" customWidth="1"/>
    <col min="8" max="8" width="19" style="5" customWidth="1"/>
    <col min="9" max="9" width="14.6640625" style="5" customWidth="1"/>
    <col min="10" max="10" width="12.6640625" style="5" customWidth="1"/>
    <col min="11" max="11" width="12" style="5" bestFit="1" customWidth="1"/>
    <col min="12" max="13" width="11.33203125" style="5" customWidth="1"/>
    <col min="14" max="15" width="32.5546875" style="5" customWidth="1"/>
    <col min="16" max="16" width="10.109375" style="5" customWidth="1"/>
    <col min="17" max="17" width="12.6640625" style="5" customWidth="1"/>
    <col min="18" max="18" width="25.33203125" style="5" customWidth="1"/>
    <col min="19" max="19" width="22.33203125" style="5" bestFit="1" customWidth="1"/>
    <col min="20" max="20" width="18.33203125" style="5" customWidth="1"/>
    <col min="21" max="21" width="25.6640625" style="5" customWidth="1"/>
    <col min="22" max="22" width="22.6640625" style="5" customWidth="1"/>
    <col min="23" max="23" width="16.33203125" style="5" customWidth="1"/>
    <col min="24" max="24" width="6.6640625" style="5" bestFit="1" customWidth="1"/>
    <col min="25" max="29" width="17.33203125" style="5" customWidth="1"/>
    <col min="30" max="16384" width="8.6640625" style="5"/>
  </cols>
  <sheetData>
    <row r="1" spans="1:20" ht="25.95" customHeight="1" x14ac:dyDescent="0.3">
      <c r="A1" s="441" t="str">
        <f>"Proposed Layout - "&amp;Prototype!A2</f>
        <v>Proposed Layout - RetailStripMall</v>
      </c>
      <c r="B1" s="441"/>
      <c r="C1" s="441"/>
      <c r="D1" s="441"/>
      <c r="E1" s="441"/>
      <c r="F1" s="441"/>
      <c r="G1" s="441"/>
      <c r="H1" s="441"/>
      <c r="I1" s="441"/>
      <c r="J1" s="441"/>
      <c r="K1" s="441"/>
      <c r="L1" s="441"/>
      <c r="M1" s="441"/>
      <c r="N1" s="441"/>
      <c r="O1" s="441"/>
    </row>
    <row r="2" spans="1:20" ht="49.95" customHeight="1" x14ac:dyDescent="0.3">
      <c r="A2" s="355" t="s">
        <v>99</v>
      </c>
      <c r="B2" s="13" t="s">
        <v>100</v>
      </c>
      <c r="C2" s="326" t="s">
        <v>101</v>
      </c>
      <c r="D2" s="356" t="s">
        <v>99</v>
      </c>
      <c r="E2" s="356" t="s">
        <v>102</v>
      </c>
      <c r="F2" s="35" t="s">
        <v>103</v>
      </c>
      <c r="G2" s="128" t="s">
        <v>104</v>
      </c>
      <c r="H2" s="23" t="s">
        <v>105</v>
      </c>
      <c r="I2" s="24" t="s">
        <v>106</v>
      </c>
      <c r="J2" s="326" t="s">
        <v>107</v>
      </c>
      <c r="K2" s="23" t="s">
        <v>108</v>
      </c>
      <c r="L2" s="23" t="s">
        <v>109</v>
      </c>
      <c r="M2" s="288" t="s">
        <v>110</v>
      </c>
      <c r="N2" s="287" t="s">
        <v>111</v>
      </c>
      <c r="O2" s="287" t="s">
        <v>52</v>
      </c>
      <c r="Q2" s="445" t="s">
        <v>112</v>
      </c>
      <c r="R2" s="446"/>
      <c r="S2" s="446"/>
      <c r="T2" s="447"/>
    </row>
    <row r="3" spans="1:20" ht="17.7" customHeight="1" x14ac:dyDescent="0.3">
      <c r="A3" s="357" t="s">
        <v>55</v>
      </c>
      <c r="B3" s="358" t="s">
        <v>113</v>
      </c>
      <c r="C3" s="113" t="s">
        <v>114</v>
      </c>
      <c r="D3" s="359" t="s">
        <v>55</v>
      </c>
      <c r="E3" s="359" t="s">
        <v>115</v>
      </c>
      <c r="F3" s="359" t="s">
        <v>116</v>
      </c>
      <c r="G3" s="368" t="s">
        <v>117</v>
      </c>
      <c r="H3" s="67" t="s">
        <v>118</v>
      </c>
      <c r="I3" s="70">
        <f>J3/$J$7</f>
        <v>0.40000688895012398</v>
      </c>
      <c r="J3" s="69">
        <v>3750.0386048999994</v>
      </c>
      <c r="K3" s="69">
        <v>63750.042284000003</v>
      </c>
      <c r="L3" s="67">
        <v>1</v>
      </c>
      <c r="M3" s="360">
        <f>N3*J3/1000</f>
        <v>63.750656283299989</v>
      </c>
      <c r="N3" s="289">
        <v>17</v>
      </c>
      <c r="O3" s="290"/>
      <c r="Q3" s="448"/>
      <c r="R3" s="449"/>
      <c r="S3" s="449"/>
      <c r="T3" s="450"/>
    </row>
    <row r="4" spans="1:20" ht="17.7" customHeight="1" x14ac:dyDescent="0.3">
      <c r="A4" s="357" t="s">
        <v>55</v>
      </c>
      <c r="B4" s="358" t="s">
        <v>119</v>
      </c>
      <c r="C4" s="113" t="s">
        <v>114</v>
      </c>
      <c r="D4" s="359" t="s">
        <v>55</v>
      </c>
      <c r="E4" s="359" t="s">
        <v>120</v>
      </c>
      <c r="F4" s="359" t="s">
        <v>121</v>
      </c>
      <c r="G4" s="368" t="s">
        <v>117</v>
      </c>
      <c r="H4" s="67" t="s">
        <v>118</v>
      </c>
      <c r="I4" s="70">
        <f>J4/$J$7</f>
        <v>0.19999770368329203</v>
      </c>
      <c r="J4" s="69">
        <v>1874.9654828999999</v>
      </c>
      <c r="K4" s="68">
        <v>31875.021142000001</v>
      </c>
      <c r="L4" s="15">
        <v>1</v>
      </c>
      <c r="M4" s="360">
        <f>N4*J4/1000</f>
        <v>31.874413209299998</v>
      </c>
      <c r="N4" s="286">
        <v>17</v>
      </c>
      <c r="O4" s="285"/>
      <c r="Q4" s="448"/>
      <c r="R4" s="449"/>
      <c r="S4" s="449"/>
      <c r="T4" s="450"/>
    </row>
    <row r="5" spans="1:20" ht="17.7" customHeight="1" x14ac:dyDescent="0.3">
      <c r="A5" s="357" t="s">
        <v>55</v>
      </c>
      <c r="B5" s="358" t="s">
        <v>122</v>
      </c>
      <c r="C5" s="113" t="s">
        <v>114</v>
      </c>
      <c r="D5" s="359" t="s">
        <v>55</v>
      </c>
      <c r="E5" s="359" t="s">
        <v>123</v>
      </c>
      <c r="F5" s="359" t="s">
        <v>124</v>
      </c>
      <c r="G5" s="368" t="s">
        <v>117</v>
      </c>
      <c r="H5" s="67" t="s">
        <v>118</v>
      </c>
      <c r="I5" s="70">
        <f>J5/$J$7</f>
        <v>0.19999770368329203</v>
      </c>
      <c r="J5" s="69">
        <v>1874.9654828999999</v>
      </c>
      <c r="K5" s="15">
        <v>31875.021142000001</v>
      </c>
      <c r="L5" s="15">
        <v>1</v>
      </c>
      <c r="M5" s="360">
        <f>N5*J5/1000</f>
        <v>31.874413209299998</v>
      </c>
      <c r="N5" s="286">
        <v>17</v>
      </c>
      <c r="O5" s="285"/>
      <c r="P5" s="49"/>
      <c r="Q5" s="448"/>
      <c r="R5" s="449"/>
      <c r="S5" s="449"/>
      <c r="T5" s="450"/>
    </row>
    <row r="6" spans="1:20" ht="17.7" customHeight="1" x14ac:dyDescent="0.3">
      <c r="A6" s="357" t="s">
        <v>55</v>
      </c>
      <c r="B6" s="291" t="s">
        <v>125</v>
      </c>
      <c r="C6" s="113" t="s">
        <v>114</v>
      </c>
      <c r="D6" s="359" t="s">
        <v>55</v>
      </c>
      <c r="E6" s="359" t="s">
        <v>126</v>
      </c>
      <c r="F6" s="359" t="s">
        <v>127</v>
      </c>
      <c r="G6" s="368" t="s">
        <v>117</v>
      </c>
      <c r="H6" s="67" t="s">
        <v>118</v>
      </c>
      <c r="I6" s="70">
        <f>J6/$J$7</f>
        <v>0.19999770368329203</v>
      </c>
      <c r="J6" s="61">
        <v>1874.9654828999999</v>
      </c>
      <c r="K6" s="15">
        <v>31875.021142000001</v>
      </c>
      <c r="L6" s="15">
        <v>1</v>
      </c>
      <c r="M6" s="360">
        <f>N6*J6/1000</f>
        <v>31.874413209299998</v>
      </c>
      <c r="N6" s="286">
        <v>17</v>
      </c>
      <c r="O6" s="285"/>
      <c r="Q6" s="448"/>
      <c r="R6" s="449"/>
      <c r="S6" s="449"/>
      <c r="T6" s="450"/>
    </row>
    <row r="7" spans="1:20" ht="25.95" customHeight="1" x14ac:dyDescent="0.3">
      <c r="A7" s="357" t="s">
        <v>128</v>
      </c>
      <c r="B7" s="292" t="s">
        <v>129</v>
      </c>
      <c r="C7" s="80" t="s">
        <v>130</v>
      </c>
      <c r="D7" s="361" t="s">
        <v>128</v>
      </c>
      <c r="E7" s="361" t="s">
        <v>131</v>
      </c>
      <c r="F7" s="361" t="s">
        <v>131</v>
      </c>
      <c r="G7" s="17" t="s">
        <v>132</v>
      </c>
      <c r="H7" s="17" t="s">
        <v>133</v>
      </c>
      <c r="I7" s="71">
        <f>SUM(I3:I6)</f>
        <v>1</v>
      </c>
      <c r="J7" s="16">
        <f>SUM(J3:J6)</f>
        <v>9374.9350535999984</v>
      </c>
      <c r="K7" s="16">
        <f>SUM(K3:K6)</f>
        <v>159375.10571</v>
      </c>
      <c r="L7" s="15"/>
      <c r="M7" s="16">
        <f>SUM(M3:M6)</f>
        <v>159.37389591119998</v>
      </c>
      <c r="N7" s="286"/>
      <c r="O7" s="285"/>
      <c r="Q7" s="448"/>
      <c r="R7" s="449"/>
      <c r="S7" s="449"/>
      <c r="T7" s="450"/>
    </row>
    <row r="8" spans="1:20" ht="13.2" x14ac:dyDescent="0.3">
      <c r="J8" s="317"/>
      <c r="K8" s="317"/>
      <c r="L8" s="317"/>
      <c r="M8" s="317"/>
      <c r="N8" s="317"/>
      <c r="O8" s="317"/>
      <c r="Q8" s="448"/>
      <c r="R8" s="449"/>
      <c r="S8" s="449"/>
      <c r="T8" s="450"/>
    </row>
    <row r="9" spans="1:20" ht="13.2" x14ac:dyDescent="0.3">
      <c r="B9" s="319" t="s">
        <v>134</v>
      </c>
      <c r="C9" s="320"/>
      <c r="D9" s="320"/>
      <c r="E9" s="320"/>
      <c r="F9" s="320"/>
      <c r="G9" s="320"/>
      <c r="H9" s="320"/>
      <c r="I9" s="320"/>
      <c r="J9" s="114"/>
      <c r="L9" s="317"/>
      <c r="M9" s="317"/>
      <c r="N9" s="317"/>
      <c r="O9" s="317"/>
      <c r="Q9" s="448"/>
      <c r="R9" s="449"/>
      <c r="S9" s="449"/>
      <c r="T9" s="450"/>
    </row>
    <row r="10" spans="1:20" ht="14.7" customHeight="1" x14ac:dyDescent="0.3">
      <c r="C10" s="115"/>
      <c r="D10" s="115"/>
      <c r="E10" s="115"/>
      <c r="F10" s="115"/>
      <c r="G10" s="115"/>
      <c r="H10" s="115"/>
      <c r="J10" s="317"/>
      <c r="K10" s="317"/>
      <c r="L10" s="317"/>
      <c r="M10" s="317"/>
      <c r="N10" s="317"/>
      <c r="O10" s="317"/>
      <c r="Q10" s="448"/>
      <c r="R10" s="449"/>
      <c r="S10" s="449"/>
      <c r="T10" s="450"/>
    </row>
    <row r="11" spans="1:20" ht="13.2" x14ac:dyDescent="0.3">
      <c r="C11" s="116"/>
      <c r="D11" s="116"/>
      <c r="E11" s="116"/>
      <c r="F11" s="116"/>
      <c r="G11" s="116"/>
      <c r="H11" s="116"/>
      <c r="J11" s="317"/>
      <c r="K11" s="317"/>
      <c r="L11" s="317"/>
      <c r="M11" s="317"/>
      <c r="N11" s="317"/>
      <c r="O11" s="317"/>
      <c r="Q11" s="448"/>
      <c r="R11" s="449"/>
      <c r="S11" s="449"/>
      <c r="T11" s="450"/>
    </row>
    <row r="12" spans="1:20" ht="13.2" x14ac:dyDescent="0.3">
      <c r="C12" s="317"/>
      <c r="D12" s="317"/>
      <c r="E12" s="317"/>
      <c r="F12" s="317"/>
      <c r="G12" s="317"/>
      <c r="H12" s="317"/>
      <c r="J12" s="317"/>
      <c r="K12" s="317"/>
      <c r="L12" s="317"/>
      <c r="M12" s="317"/>
      <c r="N12" s="317"/>
      <c r="O12" s="317"/>
      <c r="Q12" s="448"/>
      <c r="R12" s="449"/>
      <c r="S12" s="449"/>
      <c r="T12" s="450"/>
    </row>
    <row r="13" spans="1:20" ht="13.2" x14ac:dyDescent="0.3">
      <c r="C13" s="317"/>
      <c r="D13" s="317"/>
      <c r="E13" s="317"/>
      <c r="F13" s="317"/>
      <c r="G13" s="317"/>
      <c r="H13" s="317"/>
      <c r="J13" s="317"/>
      <c r="K13" s="317"/>
      <c r="L13" s="317"/>
      <c r="M13" s="317"/>
      <c r="N13" s="317"/>
      <c r="O13" s="317"/>
      <c r="Q13" s="448"/>
      <c r="R13" s="449"/>
      <c r="S13" s="449"/>
      <c r="T13" s="450"/>
    </row>
    <row r="14" spans="1:20" ht="13.2" x14ac:dyDescent="0.3">
      <c r="J14" s="317"/>
      <c r="K14" s="317"/>
      <c r="L14" s="317"/>
      <c r="M14" s="317"/>
      <c r="N14" s="317"/>
      <c r="O14" s="317"/>
      <c r="Q14" s="448"/>
      <c r="R14" s="449"/>
      <c r="S14" s="449"/>
      <c r="T14" s="450"/>
    </row>
    <row r="15" spans="1:20" ht="13.2" x14ac:dyDescent="0.3">
      <c r="J15" s="317"/>
      <c r="K15" s="317"/>
      <c r="L15" s="317"/>
      <c r="M15" s="317"/>
      <c r="N15" s="317"/>
      <c r="O15" s="317"/>
      <c r="Q15" s="448"/>
      <c r="R15" s="449"/>
      <c r="S15" s="449"/>
      <c r="T15" s="450"/>
    </row>
    <row r="16" spans="1:20" ht="13.2" x14ac:dyDescent="0.3">
      <c r="J16" s="317"/>
      <c r="K16" s="317"/>
      <c r="L16" s="317"/>
      <c r="M16" s="317"/>
      <c r="N16" s="317"/>
      <c r="O16" s="317"/>
      <c r="Q16" s="448"/>
      <c r="R16" s="449"/>
      <c r="S16" s="449"/>
      <c r="T16" s="450"/>
    </row>
    <row r="17" spans="2:20" ht="13.2" x14ac:dyDescent="0.3">
      <c r="J17" s="317"/>
      <c r="K17" s="317"/>
      <c r="L17" s="317"/>
      <c r="M17" s="317"/>
      <c r="N17" s="317"/>
      <c r="O17" s="317"/>
      <c r="Q17" s="451"/>
      <c r="R17" s="452"/>
      <c r="S17" s="452"/>
      <c r="T17" s="453"/>
    </row>
    <row r="18" spans="2:20" ht="13.2" x14ac:dyDescent="0.3">
      <c r="J18" s="317"/>
      <c r="K18" s="317"/>
      <c r="L18" s="317"/>
      <c r="M18" s="317"/>
      <c r="N18" s="317"/>
      <c r="O18" s="317"/>
    </row>
    <row r="19" spans="2:20" s="50" customFormat="1" ht="13.2" hidden="1" x14ac:dyDescent="0.3">
      <c r="B19" s="279" t="s">
        <v>135</v>
      </c>
      <c r="J19" s="117"/>
    </row>
    <row r="20" spans="2:20" ht="13.2" hidden="1" x14ac:dyDescent="0.3"/>
    <row r="21" spans="2:20" ht="13.2" hidden="1" x14ac:dyDescent="0.3">
      <c r="B21" s="5" t="s">
        <v>136</v>
      </c>
    </row>
    <row r="22" spans="2:20" ht="13.2" hidden="1" x14ac:dyDescent="0.3">
      <c r="B22" s="278" t="s">
        <v>137</v>
      </c>
      <c r="C22" s="278"/>
      <c r="D22" s="278"/>
      <c r="E22" s="278"/>
      <c r="F22" s="278"/>
    </row>
    <row r="23" spans="2:20" ht="13.2" hidden="1" x14ac:dyDescent="0.3">
      <c r="B23" s="284" t="s">
        <v>138</v>
      </c>
      <c r="C23" s="284" t="s">
        <v>139</v>
      </c>
      <c r="D23" s="284"/>
      <c r="E23" s="284"/>
      <c r="F23" s="284" t="s">
        <v>140</v>
      </c>
    </row>
    <row r="24" spans="2:20" ht="13.2" hidden="1" x14ac:dyDescent="0.3">
      <c r="B24" s="118">
        <v>0.82620000000000005</v>
      </c>
      <c r="C24" s="118">
        <v>0.17369999999999999</v>
      </c>
      <c r="D24" s="118"/>
      <c r="E24" s="118"/>
      <c r="F24" s="37">
        <v>0.83440000000000003</v>
      </c>
    </row>
    <row r="25" spans="2:20" ht="13.2" hidden="1" x14ac:dyDescent="0.3">
      <c r="C25" s="5" t="s">
        <v>141</v>
      </c>
    </row>
    <row r="26" spans="2:20" ht="12.75" hidden="1" customHeight="1" x14ac:dyDescent="0.3"/>
    <row r="27" spans="2:20" ht="12.75" hidden="1" customHeight="1" x14ac:dyDescent="0.3"/>
  </sheetData>
  <mergeCells count="2">
    <mergeCell ref="Q2:T17"/>
    <mergeCell ref="A1:O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BDD94D1-76BB-4431-AD34-9FFC4CDE8175}">
          <x14:formula1>
            <xm:f>Data!$A$2:$A$200</xm:f>
          </x14:formula1>
          <xm:sqref>C3:C6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56453-F78C-4D06-89C8-88B10A10EE23}">
  <dimension ref="A1:AX32"/>
  <sheetViews>
    <sheetView zoomScale="80" zoomScaleNormal="80" workbookViewId="0">
      <selection sqref="A1:X1"/>
    </sheetView>
  </sheetViews>
  <sheetFormatPr defaultColWidth="9.33203125" defaultRowHeight="13.8" x14ac:dyDescent="0.25"/>
  <cols>
    <col min="1" max="1" width="15.44140625" style="1" customWidth="1"/>
    <col min="2" max="2" width="19.6640625" style="72" customWidth="1"/>
    <col min="3" max="3" width="24.6640625" style="1" customWidth="1"/>
    <col min="4" max="4" width="42.5546875" style="1" customWidth="1"/>
    <col min="5" max="5" width="13.33203125" style="1" customWidth="1"/>
    <col min="6" max="6" width="10.6640625" style="1" customWidth="1"/>
    <col min="7" max="7" width="20.5546875" style="76" customWidth="1"/>
    <col min="8" max="8" width="39.33203125" style="1" customWidth="1"/>
    <col min="9" max="9" width="6.88671875" style="1" customWidth="1"/>
    <col min="10" max="12" width="7" style="1" customWidth="1"/>
    <col min="13" max="13" width="7.88671875" style="1" customWidth="1"/>
    <col min="14" max="14" width="8.6640625" style="1" customWidth="1"/>
    <col min="15" max="15" width="7" style="1" customWidth="1"/>
    <col min="16" max="16" width="7.109375" style="1" customWidth="1"/>
    <col min="17" max="17" width="7.5546875" style="1" customWidth="1"/>
    <col min="18" max="21" width="7" style="1" customWidth="1"/>
    <col min="22" max="22" width="7.6640625" style="1" customWidth="1"/>
    <col min="23" max="24" width="7" style="1" customWidth="1"/>
    <col min="25" max="25" width="9.33203125" style="1"/>
    <col min="26" max="26" width="25.33203125" style="1" customWidth="1"/>
    <col min="27" max="27" width="12.33203125" style="1" customWidth="1"/>
    <col min="28" max="30" width="7.6640625" style="1" customWidth="1"/>
    <col min="31" max="31" width="9.6640625" style="1" customWidth="1"/>
    <col min="32" max="32" width="7.5546875" style="1" customWidth="1"/>
    <col min="33" max="33" width="11.44140625" style="1" customWidth="1"/>
    <col min="34" max="42" width="7.6640625" style="1" customWidth="1"/>
    <col min="43" max="46" width="10.44140625" style="1" customWidth="1"/>
    <col min="47" max="47" width="9.88671875" style="1" customWidth="1"/>
    <col min="48" max="48" width="10.44140625" style="1" customWidth="1"/>
    <col min="49" max="49" width="21.6640625" style="1" customWidth="1"/>
    <col min="50" max="50" width="10.44140625" style="1" customWidth="1"/>
    <col min="51" max="53" width="7.44140625" style="1" customWidth="1"/>
    <col min="54" max="54" width="7.6640625" style="1" customWidth="1"/>
    <col min="55" max="55" width="7.44140625" style="1" customWidth="1"/>
    <col min="56" max="56" width="13.6640625" style="1" customWidth="1"/>
    <col min="57" max="60" width="7.44140625" style="1" customWidth="1"/>
    <col min="61" max="62" width="9.6640625" style="1" bestFit="1" customWidth="1"/>
    <col min="63" max="16384" width="9.33203125" style="1"/>
  </cols>
  <sheetData>
    <row r="1" spans="1:25" ht="31.95" customHeight="1" x14ac:dyDescent="0.25">
      <c r="A1" s="459" t="str">
        <f>"Envelope - "&amp;Prototype!A2</f>
        <v>Envelope - RetailStripMall</v>
      </c>
      <c r="B1" s="459"/>
      <c r="C1" s="459"/>
      <c r="D1" s="459"/>
      <c r="E1" s="459"/>
      <c r="F1" s="459"/>
      <c r="G1" s="459"/>
      <c r="H1" s="459"/>
      <c r="I1" s="459"/>
      <c r="J1" s="459"/>
      <c r="K1" s="459"/>
      <c r="L1" s="459"/>
      <c r="M1" s="459"/>
      <c r="N1" s="459"/>
      <c r="O1" s="459"/>
      <c r="P1" s="459"/>
      <c r="Q1" s="459"/>
      <c r="R1" s="459"/>
      <c r="S1" s="459"/>
      <c r="T1" s="459"/>
      <c r="U1" s="459"/>
      <c r="V1" s="459"/>
      <c r="W1" s="459"/>
      <c r="X1" s="459"/>
    </row>
    <row r="2" spans="1:25" ht="34.200000000000003" customHeight="1" x14ac:dyDescent="0.25">
      <c r="A2" s="66" t="s">
        <v>142</v>
      </c>
      <c r="B2" s="66" t="s">
        <v>143</v>
      </c>
      <c r="C2" s="66" t="s">
        <v>144</v>
      </c>
      <c r="D2" s="66" t="s">
        <v>145</v>
      </c>
      <c r="E2" s="63" t="s">
        <v>146</v>
      </c>
      <c r="F2" s="66" t="s">
        <v>147</v>
      </c>
      <c r="G2" s="63" t="s">
        <v>148</v>
      </c>
      <c r="H2" s="66" t="s">
        <v>149</v>
      </c>
      <c r="I2" s="66" t="s">
        <v>150</v>
      </c>
      <c r="J2" s="66" t="s">
        <v>151</v>
      </c>
      <c r="K2" s="66" t="s">
        <v>152</v>
      </c>
      <c r="L2" s="66" t="s">
        <v>153</v>
      </c>
      <c r="M2" s="66" t="s">
        <v>154</v>
      </c>
      <c r="N2" s="66" t="s">
        <v>155</v>
      </c>
      <c r="O2" s="66" t="s">
        <v>156</v>
      </c>
      <c r="P2" s="66" t="s">
        <v>157</v>
      </c>
      <c r="Q2" s="66" t="s">
        <v>158</v>
      </c>
      <c r="R2" s="66" t="s">
        <v>159</v>
      </c>
      <c r="S2" s="66" t="s">
        <v>160</v>
      </c>
      <c r="T2" s="66" t="s">
        <v>161</v>
      </c>
      <c r="U2" s="66" t="s">
        <v>162</v>
      </c>
      <c r="V2" s="66" t="s">
        <v>163</v>
      </c>
      <c r="W2" s="66" t="s">
        <v>164</v>
      </c>
      <c r="X2" s="66" t="s">
        <v>165</v>
      </c>
    </row>
    <row r="3" spans="1:25" ht="26.25" customHeight="1" x14ac:dyDescent="0.25">
      <c r="A3" s="460" t="s">
        <v>166</v>
      </c>
      <c r="B3" s="460" t="s">
        <v>167</v>
      </c>
      <c r="C3" s="458" t="s">
        <v>168</v>
      </c>
      <c r="D3" s="458" t="s">
        <v>169</v>
      </c>
      <c r="E3" s="460" t="s">
        <v>170</v>
      </c>
      <c r="F3" s="315" t="s">
        <v>171</v>
      </c>
      <c r="G3" s="315" t="s">
        <v>80</v>
      </c>
      <c r="H3" s="314" t="s">
        <v>172</v>
      </c>
      <c r="I3" s="315">
        <v>0.35199999999999998</v>
      </c>
      <c r="J3" s="315">
        <v>0.35199999999999998</v>
      </c>
      <c r="K3" s="315">
        <v>0.35199999999999998</v>
      </c>
      <c r="L3" s="315">
        <v>0.35199999999999998</v>
      </c>
      <c r="M3" s="315">
        <v>0.35199999999999998</v>
      </c>
      <c r="N3" s="315">
        <v>0.35199999999999998</v>
      </c>
      <c r="O3" s="315">
        <v>0.35199999999999998</v>
      </c>
      <c r="P3" s="315">
        <v>0.35199999999999998</v>
      </c>
      <c r="Q3" s="315">
        <v>0.35199999999999998</v>
      </c>
      <c r="R3" s="315">
        <v>0.35199999999999998</v>
      </c>
      <c r="S3" s="315">
        <v>0.35199999999999998</v>
      </c>
      <c r="T3" s="315">
        <v>0.35199999999999998</v>
      </c>
      <c r="U3" s="315">
        <v>0.35199999999999998</v>
      </c>
      <c r="V3" s="315">
        <v>0.35199999999999998</v>
      </c>
      <c r="W3" s="315">
        <v>0.35199999999999998</v>
      </c>
      <c r="X3" s="315">
        <v>0.35199999999999998</v>
      </c>
    </row>
    <row r="4" spans="1:25" ht="27" customHeight="1" x14ac:dyDescent="0.25">
      <c r="A4" s="460"/>
      <c r="B4" s="460"/>
      <c r="C4" s="458"/>
      <c r="D4" s="458"/>
      <c r="E4" s="460"/>
      <c r="F4" s="302" t="s">
        <v>173</v>
      </c>
      <c r="G4" s="302">
        <v>1986</v>
      </c>
      <c r="H4" s="303" t="s">
        <v>174</v>
      </c>
      <c r="I4" s="304">
        <v>0.15082956259426847</v>
      </c>
      <c r="J4" s="304">
        <v>0.15748031496062992</v>
      </c>
      <c r="K4" s="304">
        <v>0.15748031496062992</v>
      </c>
      <c r="L4" s="304">
        <v>0.14367816091954022</v>
      </c>
      <c r="M4" s="304">
        <v>0.14367816091954022</v>
      </c>
      <c r="N4" s="304">
        <v>0.21645021645021645</v>
      </c>
      <c r="O4" s="304">
        <v>0.21645021645021645</v>
      </c>
      <c r="P4" s="304">
        <v>0.21645021645021645</v>
      </c>
      <c r="Q4" s="304">
        <v>0.21645021645021645</v>
      </c>
      <c r="R4" s="304">
        <v>0.21645021645021645</v>
      </c>
      <c r="S4" s="304">
        <v>0.18621973929236499</v>
      </c>
      <c r="T4" s="304">
        <v>0.18621973929236499</v>
      </c>
      <c r="U4" s="304">
        <v>0.18621973929236499</v>
      </c>
      <c r="V4" s="304">
        <v>0.15873015873015872</v>
      </c>
      <c r="W4" s="304">
        <v>0.15873015873015872</v>
      </c>
      <c r="X4" s="304">
        <v>0.15082956259426847</v>
      </c>
      <c r="Y4" s="88"/>
    </row>
    <row r="5" spans="1:25" ht="13.95" customHeight="1" x14ac:dyDescent="0.25">
      <c r="A5" s="460"/>
      <c r="B5" s="460"/>
      <c r="C5" s="458"/>
      <c r="D5" s="458"/>
      <c r="E5" s="460"/>
      <c r="F5" s="305" t="s">
        <v>175</v>
      </c>
      <c r="G5" s="305">
        <v>2001</v>
      </c>
      <c r="H5" s="305" t="s">
        <v>176</v>
      </c>
      <c r="I5" s="306">
        <v>0.182</v>
      </c>
      <c r="J5" s="306">
        <v>0.182</v>
      </c>
      <c r="K5" s="306">
        <v>0.189</v>
      </c>
      <c r="L5" s="306">
        <v>0.189</v>
      </c>
      <c r="M5" s="306">
        <v>0.189</v>
      </c>
      <c r="N5" s="306">
        <v>0.189</v>
      </c>
      <c r="O5" s="306">
        <v>0.189</v>
      </c>
      <c r="P5" s="306">
        <v>0.189</v>
      </c>
      <c r="Q5" s="306">
        <v>0.189</v>
      </c>
      <c r="R5" s="306">
        <v>0.182</v>
      </c>
      <c r="S5" s="306">
        <v>0.182</v>
      </c>
      <c r="T5" s="306">
        <v>0.182</v>
      </c>
      <c r="U5" s="306">
        <v>0.182</v>
      </c>
      <c r="V5" s="306">
        <v>0.182</v>
      </c>
      <c r="W5" s="306">
        <v>0.182</v>
      </c>
      <c r="X5" s="306">
        <v>0.182</v>
      </c>
      <c r="Y5" s="73"/>
    </row>
    <row r="6" spans="1:25" ht="13.95" customHeight="1" x14ac:dyDescent="0.25">
      <c r="A6" s="460"/>
      <c r="B6" s="460"/>
      <c r="C6" s="458"/>
      <c r="D6" s="458"/>
      <c r="E6" s="460"/>
      <c r="F6" s="307" t="s">
        <v>177</v>
      </c>
      <c r="G6" s="307">
        <v>2013</v>
      </c>
      <c r="H6" s="307" t="s">
        <v>178</v>
      </c>
      <c r="I6" s="308">
        <v>9.8000000000000004E-2</v>
      </c>
      <c r="J6" s="308">
        <v>6.2E-2</v>
      </c>
      <c r="K6" s="308">
        <v>8.2000000000000003E-2</v>
      </c>
      <c r="L6" s="308">
        <v>6.2E-2</v>
      </c>
      <c r="M6" s="308">
        <v>6.2E-2</v>
      </c>
      <c r="N6" s="308">
        <v>9.8000000000000004E-2</v>
      </c>
      <c r="O6" s="308">
        <v>9.8000000000000004E-2</v>
      </c>
      <c r="P6" s="308">
        <v>6.2E-2</v>
      </c>
      <c r="Q6" s="308">
        <v>6.2E-2</v>
      </c>
      <c r="R6" s="308">
        <v>6.2E-2</v>
      </c>
      <c r="S6" s="308">
        <v>6.2E-2</v>
      </c>
      <c r="T6" s="308">
        <v>6.2E-2</v>
      </c>
      <c r="U6" s="308">
        <v>6.2E-2</v>
      </c>
      <c r="V6" s="308">
        <v>6.2E-2</v>
      </c>
      <c r="W6" s="308">
        <v>6.2E-2</v>
      </c>
      <c r="X6" s="308">
        <v>6.2E-2</v>
      </c>
      <c r="Y6" s="73"/>
    </row>
    <row r="7" spans="1:25" ht="13.95" customHeight="1" x14ac:dyDescent="0.25">
      <c r="A7" s="460"/>
      <c r="B7" s="460"/>
      <c r="C7" s="458"/>
      <c r="D7" s="458"/>
      <c r="E7" s="460"/>
      <c r="F7" s="309" t="s">
        <v>180</v>
      </c>
      <c r="G7" s="310">
        <v>2025</v>
      </c>
      <c r="H7" s="310" t="s">
        <v>178</v>
      </c>
      <c r="I7" s="311">
        <v>0.06</v>
      </c>
      <c r="J7" s="311">
        <v>5.5E-2</v>
      </c>
      <c r="K7" s="311">
        <v>7.0999999999999994E-2</v>
      </c>
      <c r="L7" s="311">
        <v>5.5E-2</v>
      </c>
      <c r="M7" s="311">
        <v>5.5E-2</v>
      </c>
      <c r="N7" s="311">
        <v>0.06</v>
      </c>
      <c r="O7" s="311">
        <v>0.06</v>
      </c>
      <c r="P7" s="311">
        <v>5.5E-2</v>
      </c>
      <c r="Q7" s="311">
        <v>5.5E-2</v>
      </c>
      <c r="R7" s="311">
        <v>5.5E-2</v>
      </c>
      <c r="S7" s="311">
        <v>5.5E-2</v>
      </c>
      <c r="T7" s="311">
        <v>5.5E-2</v>
      </c>
      <c r="U7" s="311">
        <v>5.5E-2</v>
      </c>
      <c r="V7" s="311">
        <v>5.5E-2</v>
      </c>
      <c r="W7" s="311">
        <v>5.5E-2</v>
      </c>
      <c r="X7" s="311">
        <v>5.5E-2</v>
      </c>
      <c r="Y7" s="73"/>
    </row>
    <row r="8" spans="1:25" ht="13.95" customHeight="1" x14ac:dyDescent="0.25">
      <c r="A8" s="460" t="s">
        <v>181</v>
      </c>
      <c r="B8" s="460" t="s">
        <v>167</v>
      </c>
      <c r="C8" s="458" t="s">
        <v>182</v>
      </c>
      <c r="D8" s="461" t="s">
        <v>183</v>
      </c>
      <c r="E8" s="460" t="s">
        <v>170</v>
      </c>
      <c r="F8" s="315" t="s">
        <v>171</v>
      </c>
      <c r="G8" s="315" t="s">
        <v>80</v>
      </c>
      <c r="H8" s="458" t="s">
        <v>184</v>
      </c>
      <c r="I8" s="312">
        <v>5.7000000000000002E-2</v>
      </c>
      <c r="J8" s="312">
        <v>5.7000000000000002E-2</v>
      </c>
      <c r="K8" s="312">
        <v>5.7000000000000002E-2</v>
      </c>
      <c r="L8" s="312">
        <v>5.7000000000000002E-2</v>
      </c>
      <c r="M8" s="312">
        <v>5.7000000000000002E-2</v>
      </c>
      <c r="N8" s="312">
        <v>7.8E-2</v>
      </c>
      <c r="O8" s="312">
        <v>7.8E-2</v>
      </c>
      <c r="P8" s="312">
        <v>7.8E-2</v>
      </c>
      <c r="Q8" s="312">
        <v>7.8E-2</v>
      </c>
      <c r="R8" s="312">
        <v>7.8E-2</v>
      </c>
      <c r="S8" s="312">
        <v>5.7000000000000002E-2</v>
      </c>
      <c r="T8" s="312">
        <v>5.7000000000000002E-2</v>
      </c>
      <c r="U8" s="312">
        <v>5.7000000000000002E-2</v>
      </c>
      <c r="V8" s="312">
        <v>5.7000000000000002E-2</v>
      </c>
      <c r="W8" s="312">
        <v>5.7000000000000002E-2</v>
      </c>
      <c r="X8" s="312">
        <v>5.7000000000000002E-2</v>
      </c>
      <c r="Y8" s="73"/>
    </row>
    <row r="9" spans="1:25" ht="13.95" customHeight="1" x14ac:dyDescent="0.25">
      <c r="A9" s="460"/>
      <c r="B9" s="460"/>
      <c r="C9" s="458"/>
      <c r="D9" s="461"/>
      <c r="E9" s="460"/>
      <c r="F9" s="302" t="s">
        <v>173</v>
      </c>
      <c r="G9" s="302">
        <v>1992</v>
      </c>
      <c r="H9" s="458"/>
      <c r="I9" s="304">
        <v>5.7000000000000002E-2</v>
      </c>
      <c r="J9" s="304">
        <v>5.7000000000000002E-2</v>
      </c>
      <c r="K9" s="304">
        <v>5.7000000000000002E-2</v>
      </c>
      <c r="L9" s="304">
        <v>5.7000000000000002E-2</v>
      </c>
      <c r="M9" s="304">
        <v>5.7000000000000002E-2</v>
      </c>
      <c r="N9" s="304">
        <v>7.8E-2</v>
      </c>
      <c r="O9" s="304">
        <v>7.8E-2</v>
      </c>
      <c r="P9" s="304">
        <v>7.8E-2</v>
      </c>
      <c r="Q9" s="304">
        <v>7.8E-2</v>
      </c>
      <c r="R9" s="304">
        <v>7.8E-2</v>
      </c>
      <c r="S9" s="304">
        <v>5.7000000000000002E-2</v>
      </c>
      <c r="T9" s="304">
        <v>5.7000000000000002E-2</v>
      </c>
      <c r="U9" s="304">
        <v>5.7000000000000002E-2</v>
      </c>
      <c r="V9" s="304">
        <v>5.7000000000000002E-2</v>
      </c>
      <c r="W9" s="304">
        <v>5.7000000000000002E-2</v>
      </c>
      <c r="X9" s="304">
        <v>5.7000000000000002E-2</v>
      </c>
      <c r="Y9" s="73"/>
    </row>
    <row r="10" spans="1:25" ht="13.95" customHeight="1" x14ac:dyDescent="0.25">
      <c r="A10" s="460"/>
      <c r="B10" s="460"/>
      <c r="C10" s="458"/>
      <c r="D10" s="461"/>
      <c r="E10" s="460"/>
      <c r="F10" s="305" t="s">
        <v>175</v>
      </c>
      <c r="G10" s="305">
        <v>2001</v>
      </c>
      <c r="H10" s="305" t="s">
        <v>185</v>
      </c>
      <c r="I10" s="306">
        <v>5.7000000000000002E-2</v>
      </c>
      <c r="J10" s="306">
        <v>5.7000000000000002E-2</v>
      </c>
      <c r="K10" s="306">
        <v>5.7000000000000002E-2</v>
      </c>
      <c r="L10" s="306">
        <v>5.7000000000000002E-2</v>
      </c>
      <c r="M10" s="306">
        <v>5.7000000000000002E-2</v>
      </c>
      <c r="N10" s="306">
        <v>7.8E-2</v>
      </c>
      <c r="O10" s="306">
        <v>7.8E-2</v>
      </c>
      <c r="P10" s="306">
        <v>7.8E-2</v>
      </c>
      <c r="Q10" s="306">
        <v>7.8E-2</v>
      </c>
      <c r="R10" s="306">
        <v>5.7000000000000002E-2</v>
      </c>
      <c r="S10" s="306">
        <v>5.7000000000000002E-2</v>
      </c>
      <c r="T10" s="306">
        <v>5.7000000000000002E-2</v>
      </c>
      <c r="U10" s="306">
        <v>5.7000000000000002E-2</v>
      </c>
      <c r="V10" s="306">
        <v>5.7000000000000002E-2</v>
      </c>
      <c r="W10" s="306">
        <v>5.7000000000000002E-2</v>
      </c>
      <c r="X10" s="306">
        <v>5.7000000000000002E-2</v>
      </c>
      <c r="Y10" s="73"/>
    </row>
    <row r="11" spans="1:25" ht="13.95" customHeight="1" x14ac:dyDescent="0.25">
      <c r="A11" s="460"/>
      <c r="B11" s="460"/>
      <c r="C11" s="458"/>
      <c r="D11" s="461"/>
      <c r="E11" s="460"/>
      <c r="F11" s="307" t="s">
        <v>177</v>
      </c>
      <c r="G11" s="307">
        <v>2013</v>
      </c>
      <c r="H11" s="307" t="s">
        <v>186</v>
      </c>
      <c r="I11" s="308">
        <v>4.9000000000000002E-2</v>
      </c>
      <c r="J11" s="308">
        <v>3.9E-2</v>
      </c>
      <c r="K11" s="308">
        <v>3.9E-2</v>
      </c>
      <c r="L11" s="308">
        <v>3.9E-2</v>
      </c>
      <c r="M11" s="308">
        <v>4.9000000000000002E-2</v>
      </c>
      <c r="N11" s="308">
        <v>7.4999999999999997E-2</v>
      </c>
      <c r="O11" s="308">
        <v>6.7000000000000004E-2</v>
      </c>
      <c r="P11" s="308">
        <v>6.7000000000000004E-2</v>
      </c>
      <c r="Q11" s="308">
        <v>3.9E-2</v>
      </c>
      <c r="R11" s="308">
        <v>3.9E-2</v>
      </c>
      <c r="S11" s="308">
        <v>3.9E-2</v>
      </c>
      <c r="T11" s="308">
        <v>3.9E-2</v>
      </c>
      <c r="U11" s="308">
        <v>3.9E-2</v>
      </c>
      <c r="V11" s="308">
        <v>3.9E-2</v>
      </c>
      <c r="W11" s="308">
        <v>3.9E-2</v>
      </c>
      <c r="X11" s="308">
        <v>3.9E-2</v>
      </c>
      <c r="Y11" s="73"/>
    </row>
    <row r="12" spans="1:25" ht="13.95" customHeight="1" x14ac:dyDescent="0.25">
      <c r="A12" s="460"/>
      <c r="B12" s="460"/>
      <c r="C12" s="458"/>
      <c r="D12" s="461"/>
      <c r="E12" s="460"/>
      <c r="F12" s="309" t="s">
        <v>180</v>
      </c>
      <c r="G12" s="310">
        <v>2025</v>
      </c>
      <c r="H12" s="310" t="s">
        <v>186</v>
      </c>
      <c r="I12" s="311">
        <v>2.8000000000000001E-2</v>
      </c>
      <c r="J12" s="311">
        <v>2.8000000000000001E-2</v>
      </c>
      <c r="K12" s="311">
        <v>2.8000000000000001E-2</v>
      </c>
      <c r="L12" s="311">
        <v>2.8000000000000001E-2</v>
      </c>
      <c r="M12" s="311">
        <v>2.8000000000000001E-2</v>
      </c>
      <c r="N12" s="311">
        <v>4.7E-2</v>
      </c>
      <c r="O12" s="311">
        <v>4.7E-2</v>
      </c>
      <c r="P12" s="311">
        <v>4.7E-2</v>
      </c>
      <c r="Q12" s="311">
        <v>2.8000000000000001E-2</v>
      </c>
      <c r="R12" s="311">
        <v>2.8000000000000001E-2</v>
      </c>
      <c r="S12" s="311">
        <v>2.8000000000000001E-2</v>
      </c>
      <c r="T12" s="311">
        <v>2.8000000000000001E-2</v>
      </c>
      <c r="U12" s="311">
        <v>2.8000000000000001E-2</v>
      </c>
      <c r="V12" s="311">
        <v>2.8000000000000001E-2</v>
      </c>
      <c r="W12" s="311">
        <v>2.8000000000000001E-2</v>
      </c>
      <c r="X12" s="311">
        <v>2.8000000000000001E-2</v>
      </c>
      <c r="Y12" s="73"/>
    </row>
    <row r="13" spans="1:25" ht="28.5" customHeight="1" x14ac:dyDescent="0.25">
      <c r="A13" s="460" t="s">
        <v>187</v>
      </c>
      <c r="B13" s="460" t="s">
        <v>167</v>
      </c>
      <c r="C13" s="458" t="s">
        <v>188</v>
      </c>
      <c r="D13" s="458" t="s">
        <v>189</v>
      </c>
      <c r="E13" s="460" t="s">
        <v>170</v>
      </c>
      <c r="F13" s="302" t="s">
        <v>171</v>
      </c>
      <c r="G13" s="302" t="s">
        <v>80</v>
      </c>
      <c r="H13" s="458" t="s">
        <v>190</v>
      </c>
      <c r="I13" s="315">
        <f>0.5*1.12+0.5*I16</f>
        <v>0.74</v>
      </c>
      <c r="J13" s="315">
        <f t="shared" ref="J13:X13" si="0">0.5*1.12+0.5*J16</f>
        <v>0.74</v>
      </c>
      <c r="K13" s="315">
        <f t="shared" si="0"/>
        <v>0.74</v>
      </c>
      <c r="L13" s="315">
        <f t="shared" si="0"/>
        <v>0.74</v>
      </c>
      <c r="M13" s="315">
        <f t="shared" si="0"/>
        <v>0.74</v>
      </c>
      <c r="N13" s="315">
        <f t="shared" si="0"/>
        <v>0.74</v>
      </c>
      <c r="O13" s="315">
        <f t="shared" si="0"/>
        <v>0.74</v>
      </c>
      <c r="P13" s="315">
        <f t="shared" si="0"/>
        <v>0.74</v>
      </c>
      <c r="Q13" s="315">
        <f t="shared" si="0"/>
        <v>0.74</v>
      </c>
      <c r="R13" s="315">
        <f t="shared" si="0"/>
        <v>0.74</v>
      </c>
      <c r="S13" s="315">
        <f t="shared" si="0"/>
        <v>0.74</v>
      </c>
      <c r="T13" s="315">
        <f t="shared" si="0"/>
        <v>0.74</v>
      </c>
      <c r="U13" s="315">
        <f t="shared" si="0"/>
        <v>0.74</v>
      </c>
      <c r="V13" s="315">
        <f t="shared" si="0"/>
        <v>0.74</v>
      </c>
      <c r="W13" s="315">
        <f t="shared" si="0"/>
        <v>0.74</v>
      </c>
      <c r="X13" s="315">
        <f t="shared" si="0"/>
        <v>0.74</v>
      </c>
      <c r="Y13" s="73"/>
    </row>
    <row r="14" spans="1:25" ht="21" customHeight="1" x14ac:dyDescent="0.25">
      <c r="A14" s="460"/>
      <c r="B14" s="460"/>
      <c r="C14" s="458"/>
      <c r="D14" s="458"/>
      <c r="E14" s="460"/>
      <c r="F14" s="305" t="s">
        <v>173</v>
      </c>
      <c r="G14" s="305" t="s">
        <v>80</v>
      </c>
      <c r="H14" s="458"/>
      <c r="I14" s="313">
        <f>I13</f>
        <v>0.74</v>
      </c>
      <c r="J14" s="313">
        <f t="shared" ref="J14:X14" si="1">J13</f>
        <v>0.74</v>
      </c>
      <c r="K14" s="313">
        <f t="shared" si="1"/>
        <v>0.74</v>
      </c>
      <c r="L14" s="313">
        <f t="shared" si="1"/>
        <v>0.74</v>
      </c>
      <c r="M14" s="313">
        <f t="shared" si="1"/>
        <v>0.74</v>
      </c>
      <c r="N14" s="313">
        <f t="shared" si="1"/>
        <v>0.74</v>
      </c>
      <c r="O14" s="313">
        <f t="shared" si="1"/>
        <v>0.74</v>
      </c>
      <c r="P14" s="313">
        <f t="shared" si="1"/>
        <v>0.74</v>
      </c>
      <c r="Q14" s="313">
        <f t="shared" si="1"/>
        <v>0.74</v>
      </c>
      <c r="R14" s="313">
        <f t="shared" si="1"/>
        <v>0.74</v>
      </c>
      <c r="S14" s="313">
        <f t="shared" si="1"/>
        <v>0.74</v>
      </c>
      <c r="T14" s="313">
        <f t="shared" si="1"/>
        <v>0.74</v>
      </c>
      <c r="U14" s="313">
        <f t="shared" si="1"/>
        <v>0.74</v>
      </c>
      <c r="V14" s="313">
        <f t="shared" si="1"/>
        <v>0.74</v>
      </c>
      <c r="W14" s="313">
        <f t="shared" si="1"/>
        <v>0.74</v>
      </c>
      <c r="X14" s="313">
        <f t="shared" si="1"/>
        <v>0.74</v>
      </c>
      <c r="Y14" s="73"/>
    </row>
    <row r="15" spans="1:25" ht="13.95" customHeight="1" x14ac:dyDescent="0.25">
      <c r="A15" s="460"/>
      <c r="B15" s="460"/>
      <c r="C15" s="458"/>
      <c r="D15" s="460" t="s">
        <v>191</v>
      </c>
      <c r="E15" s="460"/>
      <c r="F15" s="307" t="s">
        <v>175</v>
      </c>
      <c r="G15" s="307">
        <v>2001</v>
      </c>
      <c r="H15" s="307" t="s">
        <v>185</v>
      </c>
      <c r="I15" s="305">
        <v>0.49</v>
      </c>
      <c r="J15" s="305">
        <v>0.49</v>
      </c>
      <c r="K15" s="305">
        <v>0.81</v>
      </c>
      <c r="L15" s="305">
        <v>0.81</v>
      </c>
      <c r="M15" s="305">
        <v>0.81</v>
      </c>
      <c r="N15" s="305">
        <v>0.81</v>
      </c>
      <c r="O15" s="305">
        <v>0.81</v>
      </c>
      <c r="P15" s="305">
        <v>0.81</v>
      </c>
      <c r="Q15" s="305">
        <v>0.81</v>
      </c>
      <c r="R15" s="305">
        <v>0.49</v>
      </c>
      <c r="S15" s="305">
        <v>0.49</v>
      </c>
      <c r="T15" s="305">
        <v>0.49</v>
      </c>
      <c r="U15" s="305">
        <v>0.49</v>
      </c>
      <c r="V15" s="305">
        <v>0.49</v>
      </c>
      <c r="W15" s="305">
        <v>0.49</v>
      </c>
      <c r="X15" s="305">
        <v>0.49</v>
      </c>
      <c r="Y15" s="73"/>
    </row>
    <row r="16" spans="1:25" ht="13.95" customHeight="1" x14ac:dyDescent="0.25">
      <c r="A16" s="460"/>
      <c r="B16" s="460"/>
      <c r="C16" s="458"/>
      <c r="D16" s="460"/>
      <c r="E16" s="460"/>
      <c r="F16" s="307" t="s">
        <v>177</v>
      </c>
      <c r="G16" s="307">
        <v>2013</v>
      </c>
      <c r="H16" s="307" t="s">
        <v>192</v>
      </c>
      <c r="I16" s="307">
        <v>0.36</v>
      </c>
      <c r="J16" s="307">
        <v>0.36</v>
      </c>
      <c r="K16" s="307">
        <v>0.36</v>
      </c>
      <c r="L16" s="307">
        <v>0.36</v>
      </c>
      <c r="M16" s="307">
        <v>0.36</v>
      </c>
      <c r="N16" s="307">
        <v>0.36</v>
      </c>
      <c r="O16" s="307">
        <v>0.36</v>
      </c>
      <c r="P16" s="307">
        <v>0.36</v>
      </c>
      <c r="Q16" s="307">
        <v>0.36</v>
      </c>
      <c r="R16" s="307">
        <v>0.36</v>
      </c>
      <c r="S16" s="307">
        <v>0.36</v>
      </c>
      <c r="T16" s="307">
        <v>0.36</v>
      </c>
      <c r="U16" s="307">
        <v>0.36</v>
      </c>
      <c r="V16" s="307">
        <v>0.36</v>
      </c>
      <c r="W16" s="307">
        <v>0.36</v>
      </c>
      <c r="X16" s="307">
        <v>0.36</v>
      </c>
      <c r="Y16" s="73"/>
    </row>
    <row r="17" spans="1:50" ht="13.95" customHeight="1" x14ac:dyDescent="0.25">
      <c r="A17" s="460"/>
      <c r="B17" s="460"/>
      <c r="C17" s="458"/>
      <c r="D17" s="460"/>
      <c r="E17" s="460"/>
      <c r="F17" s="309" t="s">
        <v>180</v>
      </c>
      <c r="G17" s="310">
        <v>2025</v>
      </c>
      <c r="H17" s="310" t="s">
        <v>192</v>
      </c>
      <c r="I17" s="310">
        <v>0.36</v>
      </c>
      <c r="J17" s="310">
        <v>0.36</v>
      </c>
      <c r="K17" s="310">
        <v>0.36</v>
      </c>
      <c r="L17" s="310">
        <v>0.36</v>
      </c>
      <c r="M17" s="310">
        <v>0.36</v>
      </c>
      <c r="N17" s="310">
        <v>0.36</v>
      </c>
      <c r="O17" s="310">
        <v>0.36</v>
      </c>
      <c r="P17" s="310">
        <v>0.36</v>
      </c>
      <c r="Q17" s="310">
        <v>0.34</v>
      </c>
      <c r="R17" s="310">
        <v>0.36</v>
      </c>
      <c r="S17" s="310">
        <v>0.34</v>
      </c>
      <c r="T17" s="310">
        <v>0.34</v>
      </c>
      <c r="U17" s="310">
        <v>0.34</v>
      </c>
      <c r="V17" s="310">
        <v>0.34</v>
      </c>
      <c r="W17" s="310">
        <v>0.34</v>
      </c>
      <c r="X17" s="310">
        <v>0.36</v>
      </c>
      <c r="Y17" s="73"/>
    </row>
    <row r="18" spans="1:50" ht="17.25" customHeight="1" x14ac:dyDescent="0.25">
      <c r="A18" s="460"/>
      <c r="B18" s="460" t="s">
        <v>167</v>
      </c>
      <c r="C18" s="458" t="s">
        <v>188</v>
      </c>
      <c r="D18" s="458" t="s">
        <v>189</v>
      </c>
      <c r="E18" s="460" t="s">
        <v>193</v>
      </c>
      <c r="F18" s="315" t="s">
        <v>171</v>
      </c>
      <c r="G18" s="315" t="s">
        <v>80</v>
      </c>
      <c r="H18" s="458" t="s">
        <v>194</v>
      </c>
      <c r="I18" s="362">
        <f>0.79*0.5+I21*0.5</f>
        <v>0.52</v>
      </c>
      <c r="J18" s="362">
        <f t="shared" ref="J18:X18" si="2">0.79*0.5+J21*0.5</f>
        <v>0.52</v>
      </c>
      <c r="K18" s="362">
        <f t="shared" si="2"/>
        <v>0.52</v>
      </c>
      <c r="L18" s="362">
        <f t="shared" si="2"/>
        <v>0.52</v>
      </c>
      <c r="M18" s="362">
        <f t="shared" si="2"/>
        <v>0.52</v>
      </c>
      <c r="N18" s="362">
        <f t="shared" si="2"/>
        <v>0.52</v>
      </c>
      <c r="O18" s="362">
        <f t="shared" si="2"/>
        <v>0.52</v>
      </c>
      <c r="P18" s="362">
        <f t="shared" si="2"/>
        <v>0.52</v>
      </c>
      <c r="Q18" s="362">
        <f t="shared" si="2"/>
        <v>0.52</v>
      </c>
      <c r="R18" s="362">
        <f t="shared" si="2"/>
        <v>0.52</v>
      </c>
      <c r="S18" s="362">
        <f t="shared" si="2"/>
        <v>0.52</v>
      </c>
      <c r="T18" s="362">
        <f t="shared" si="2"/>
        <v>0.52</v>
      </c>
      <c r="U18" s="362">
        <f t="shared" si="2"/>
        <v>0.52</v>
      </c>
      <c r="V18" s="362">
        <f t="shared" si="2"/>
        <v>0.52</v>
      </c>
      <c r="W18" s="362">
        <f t="shared" si="2"/>
        <v>0.52</v>
      </c>
      <c r="X18" s="362">
        <f t="shared" si="2"/>
        <v>0.52</v>
      </c>
      <c r="Y18" s="73"/>
    </row>
    <row r="19" spans="1:50" ht="27.6" customHeight="1" x14ac:dyDescent="0.25">
      <c r="A19" s="460"/>
      <c r="B19" s="460"/>
      <c r="C19" s="458"/>
      <c r="D19" s="458"/>
      <c r="E19" s="460"/>
      <c r="F19" s="302" t="s">
        <v>173</v>
      </c>
      <c r="G19" s="302" t="s">
        <v>80</v>
      </c>
      <c r="H19" s="458"/>
      <c r="I19" s="363">
        <f>I18</f>
        <v>0.52</v>
      </c>
      <c r="J19" s="363">
        <f t="shared" ref="J19:X19" si="3">J18</f>
        <v>0.52</v>
      </c>
      <c r="K19" s="363">
        <f t="shared" si="3"/>
        <v>0.52</v>
      </c>
      <c r="L19" s="363">
        <f t="shared" si="3"/>
        <v>0.52</v>
      </c>
      <c r="M19" s="363">
        <f t="shared" si="3"/>
        <v>0.52</v>
      </c>
      <c r="N19" s="363">
        <f t="shared" si="3"/>
        <v>0.52</v>
      </c>
      <c r="O19" s="363">
        <f t="shared" si="3"/>
        <v>0.52</v>
      </c>
      <c r="P19" s="363">
        <f t="shared" si="3"/>
        <v>0.52</v>
      </c>
      <c r="Q19" s="363">
        <f t="shared" si="3"/>
        <v>0.52</v>
      </c>
      <c r="R19" s="363">
        <f t="shared" si="3"/>
        <v>0.52</v>
      </c>
      <c r="S19" s="363">
        <f t="shared" si="3"/>
        <v>0.52</v>
      </c>
      <c r="T19" s="363">
        <f t="shared" si="3"/>
        <v>0.52</v>
      </c>
      <c r="U19" s="363">
        <f t="shared" si="3"/>
        <v>0.52</v>
      </c>
      <c r="V19" s="363">
        <f t="shared" si="3"/>
        <v>0.52</v>
      </c>
      <c r="W19" s="363">
        <f t="shared" si="3"/>
        <v>0.52</v>
      </c>
      <c r="X19" s="363">
        <f t="shared" si="3"/>
        <v>0.52</v>
      </c>
      <c r="Y19" s="73"/>
    </row>
    <row r="20" spans="1:50" ht="13.95" customHeight="1" x14ac:dyDescent="0.25">
      <c r="A20" s="460"/>
      <c r="B20" s="460"/>
      <c r="C20" s="458"/>
      <c r="D20" s="460" t="s">
        <v>191</v>
      </c>
      <c r="E20" s="460"/>
      <c r="F20" s="305" t="s">
        <v>175</v>
      </c>
      <c r="G20" s="305">
        <v>2001</v>
      </c>
      <c r="H20" s="305" t="s">
        <v>195</v>
      </c>
      <c r="I20" s="305">
        <v>0.49</v>
      </c>
      <c r="J20" s="305">
        <v>0.47</v>
      </c>
      <c r="K20" s="305">
        <v>0.61</v>
      </c>
      <c r="L20" s="305">
        <v>0.61</v>
      </c>
      <c r="M20" s="305">
        <v>0.61</v>
      </c>
      <c r="N20" s="305">
        <v>0.61</v>
      </c>
      <c r="O20" s="305">
        <v>0.61</v>
      </c>
      <c r="P20" s="305">
        <v>0.61</v>
      </c>
      <c r="Q20" s="305">
        <v>0.61</v>
      </c>
      <c r="R20" s="305">
        <v>0.47</v>
      </c>
      <c r="S20" s="305">
        <v>0.47</v>
      </c>
      <c r="T20" s="305">
        <v>0.47</v>
      </c>
      <c r="U20" s="305">
        <v>0.47</v>
      </c>
      <c r="V20" s="305">
        <v>0.46</v>
      </c>
      <c r="W20" s="305">
        <v>0.46</v>
      </c>
      <c r="X20" s="305">
        <v>0.49</v>
      </c>
      <c r="Y20" s="73"/>
    </row>
    <row r="21" spans="1:50" ht="13.95" customHeight="1" x14ac:dyDescent="0.25">
      <c r="A21" s="460"/>
      <c r="B21" s="460"/>
      <c r="C21" s="458"/>
      <c r="D21" s="460"/>
      <c r="E21" s="460"/>
      <c r="F21" s="307" t="s">
        <v>177</v>
      </c>
      <c r="G21" s="307">
        <v>2013</v>
      </c>
      <c r="H21" s="307" t="s">
        <v>192</v>
      </c>
      <c r="I21" s="307">
        <v>0.25</v>
      </c>
      <c r="J21" s="307">
        <v>0.25</v>
      </c>
      <c r="K21" s="307">
        <v>0.25</v>
      </c>
      <c r="L21" s="307">
        <v>0.25</v>
      </c>
      <c r="M21" s="307">
        <v>0.25</v>
      </c>
      <c r="N21" s="307">
        <v>0.25</v>
      </c>
      <c r="O21" s="307">
        <v>0.25</v>
      </c>
      <c r="P21" s="307">
        <v>0.25</v>
      </c>
      <c r="Q21" s="307">
        <v>0.25</v>
      </c>
      <c r="R21" s="307">
        <v>0.25</v>
      </c>
      <c r="S21" s="307">
        <v>0.25</v>
      </c>
      <c r="T21" s="307">
        <v>0.25</v>
      </c>
      <c r="U21" s="307">
        <v>0.25</v>
      </c>
      <c r="V21" s="307">
        <v>0.25</v>
      </c>
      <c r="W21" s="307">
        <v>0.25</v>
      </c>
      <c r="X21" s="307">
        <v>0.25</v>
      </c>
      <c r="Y21" s="73"/>
    </row>
    <row r="22" spans="1:50" ht="13.95" customHeight="1" x14ac:dyDescent="0.25">
      <c r="A22" s="460"/>
      <c r="B22" s="460"/>
      <c r="C22" s="458"/>
      <c r="D22" s="460"/>
      <c r="E22" s="460"/>
      <c r="F22" s="309" t="s">
        <v>180</v>
      </c>
      <c r="G22" s="310">
        <v>2025</v>
      </c>
      <c r="H22" s="310" t="s">
        <v>192</v>
      </c>
      <c r="I22" s="310">
        <v>0.25</v>
      </c>
      <c r="J22" s="310">
        <v>0.25</v>
      </c>
      <c r="K22" s="310">
        <v>0.25</v>
      </c>
      <c r="L22" s="310">
        <v>0.25</v>
      </c>
      <c r="M22" s="310">
        <v>0.25</v>
      </c>
      <c r="N22" s="310">
        <v>0.25</v>
      </c>
      <c r="O22" s="310">
        <v>0.25</v>
      </c>
      <c r="P22" s="310">
        <v>0.25</v>
      </c>
      <c r="Q22" s="310">
        <v>0.22</v>
      </c>
      <c r="R22" s="310">
        <v>0.25</v>
      </c>
      <c r="S22" s="310">
        <v>0.22</v>
      </c>
      <c r="T22" s="310">
        <v>0.22</v>
      </c>
      <c r="U22" s="310">
        <v>0.22</v>
      </c>
      <c r="V22" s="310">
        <v>0.22</v>
      </c>
      <c r="W22" s="310">
        <v>0.22</v>
      </c>
      <c r="X22" s="310">
        <v>0.25</v>
      </c>
      <c r="Y22" s="73"/>
    </row>
    <row r="23" spans="1:50" ht="15" customHeight="1" x14ac:dyDescent="0.25">
      <c r="A23" s="3"/>
      <c r="B23" s="7"/>
      <c r="C23" s="7"/>
      <c r="D23" s="3"/>
      <c r="E23" s="74"/>
      <c r="F23" s="74"/>
      <c r="G23" s="75"/>
      <c r="H23" s="74"/>
      <c r="I23" s="74"/>
      <c r="J23" s="74"/>
      <c r="K23" s="74"/>
      <c r="L23" s="74"/>
      <c r="M23" s="74"/>
      <c r="N23" s="74"/>
      <c r="O23" s="74"/>
      <c r="P23" s="74"/>
      <c r="Q23" s="74"/>
      <c r="R23" s="74"/>
      <c r="S23" s="74"/>
      <c r="T23" s="74"/>
      <c r="U23" s="74"/>
      <c r="V23" s="74"/>
      <c r="W23" s="74"/>
      <c r="X23" s="74"/>
    </row>
    <row r="24" spans="1:50" ht="25.95" customHeight="1" x14ac:dyDescent="0.25">
      <c r="A24" s="3"/>
      <c r="B24" s="7"/>
      <c r="C24" s="465" t="s">
        <v>196</v>
      </c>
      <c r="D24" s="465"/>
      <c r="E24" s="465"/>
      <c r="F24" s="465"/>
      <c r="G24" s="465"/>
      <c r="H24" s="465"/>
      <c r="I24" s="465"/>
      <c r="J24" s="465"/>
      <c r="K24" s="465"/>
      <c r="L24" s="465"/>
      <c r="M24" s="465"/>
      <c r="N24" s="465"/>
      <c r="O24" s="465"/>
      <c r="P24" s="465"/>
      <c r="Q24" s="465"/>
      <c r="R24" s="465"/>
      <c r="S24" s="465"/>
      <c r="T24" s="465"/>
      <c r="U24" s="465"/>
      <c r="V24" s="465"/>
      <c r="W24" s="465"/>
      <c r="X24" s="465"/>
    </row>
    <row r="25" spans="1:50" ht="43.2" customHeight="1" x14ac:dyDescent="0.25">
      <c r="A25" s="3"/>
      <c r="B25" s="7"/>
      <c r="C25" s="364"/>
      <c r="D25" s="364" t="s">
        <v>99</v>
      </c>
      <c r="E25" s="364" t="s">
        <v>197</v>
      </c>
      <c r="F25" s="32" t="s">
        <v>147</v>
      </c>
      <c r="G25" s="63" t="s">
        <v>198</v>
      </c>
      <c r="H25" s="63" t="s">
        <v>149</v>
      </c>
      <c r="I25" s="466" t="s">
        <v>199</v>
      </c>
      <c r="J25" s="467"/>
      <c r="K25" s="467"/>
      <c r="L25" s="467"/>
      <c r="M25" s="467"/>
      <c r="N25" s="467"/>
      <c r="O25" s="467"/>
      <c r="P25" s="467"/>
      <c r="Q25" s="467"/>
      <c r="R25" s="467"/>
      <c r="S25" s="467"/>
      <c r="T25" s="467"/>
      <c r="U25" s="467"/>
      <c r="V25" s="467"/>
      <c r="W25" s="467"/>
      <c r="X25" s="468"/>
    </row>
    <row r="26" spans="1:50" ht="24.6" customHeight="1" x14ac:dyDescent="0.25">
      <c r="A26" s="3"/>
      <c r="B26" s="84"/>
      <c r="C26" s="462" t="s">
        <v>196</v>
      </c>
      <c r="D26" s="462" t="s">
        <v>55</v>
      </c>
      <c r="E26" s="462"/>
      <c r="F26" s="300" t="s">
        <v>171</v>
      </c>
      <c r="G26" s="300">
        <v>1.1000000000000001</v>
      </c>
      <c r="H26" s="64" t="s">
        <v>200</v>
      </c>
      <c r="I26" s="455" t="e">
        <f>(G26*0.112)*#REF!</f>
        <v>#REF!</v>
      </c>
      <c r="J26" s="456"/>
      <c r="K26" s="456"/>
      <c r="L26" s="456"/>
      <c r="M26" s="456"/>
      <c r="N26" s="456"/>
      <c r="O26" s="456"/>
      <c r="P26" s="456"/>
      <c r="Q26" s="456"/>
      <c r="R26" s="456"/>
      <c r="S26" s="456"/>
      <c r="T26" s="456"/>
      <c r="U26" s="456"/>
      <c r="V26" s="456"/>
      <c r="W26" s="456"/>
      <c r="X26" s="457"/>
      <c r="Z26" s="351" t="s">
        <v>201</v>
      </c>
      <c r="AA26" s="365">
        <f>Zones!J7</f>
        <v>9374.9350535999984</v>
      </c>
    </row>
    <row r="27" spans="1:50" ht="24.6" customHeight="1" x14ac:dyDescent="0.25">
      <c r="A27" s="3"/>
      <c r="B27" s="3"/>
      <c r="C27" s="463"/>
      <c r="D27" s="463"/>
      <c r="E27" s="463"/>
      <c r="F27" s="300" t="s">
        <v>173</v>
      </c>
      <c r="G27" s="300">
        <v>1.1000000000000001</v>
      </c>
      <c r="H27" s="64" t="s">
        <v>200</v>
      </c>
      <c r="I27" s="455" t="e">
        <f>(G27*0.112)*#REF!</f>
        <v>#REF!</v>
      </c>
      <c r="J27" s="456"/>
      <c r="K27" s="456"/>
      <c r="L27" s="456"/>
      <c r="M27" s="456"/>
      <c r="N27" s="456"/>
      <c r="O27" s="456"/>
      <c r="P27" s="456"/>
      <c r="Q27" s="456"/>
      <c r="R27" s="456"/>
      <c r="S27" s="456"/>
      <c r="T27" s="456"/>
      <c r="U27" s="456"/>
      <c r="V27" s="456"/>
      <c r="W27" s="456"/>
      <c r="X27" s="457"/>
      <c r="Z27" s="351" t="s">
        <v>202</v>
      </c>
      <c r="AA27" s="352">
        <f>(125+75)*2*17</f>
        <v>6800</v>
      </c>
    </row>
    <row r="28" spans="1:50" ht="24.6" customHeight="1" x14ac:dyDescent="0.25">
      <c r="A28" s="3"/>
      <c r="B28" s="7"/>
      <c r="C28" s="463"/>
      <c r="D28" s="463"/>
      <c r="E28" s="463"/>
      <c r="F28" s="300" t="s">
        <v>175</v>
      </c>
      <c r="G28" s="300">
        <v>1.1000000000000001</v>
      </c>
      <c r="H28" s="64" t="s">
        <v>200</v>
      </c>
      <c r="I28" s="455" t="e">
        <f>(G28*0.112)*#REF!</f>
        <v>#REF!</v>
      </c>
      <c r="J28" s="456"/>
      <c r="K28" s="456"/>
      <c r="L28" s="456"/>
      <c r="M28" s="456"/>
      <c r="N28" s="456"/>
      <c r="O28" s="456"/>
      <c r="P28" s="456"/>
      <c r="Q28" s="456"/>
      <c r="R28" s="456"/>
      <c r="S28" s="456"/>
      <c r="T28" s="456"/>
      <c r="U28" s="456"/>
      <c r="V28" s="456"/>
      <c r="W28" s="456"/>
      <c r="X28" s="457"/>
      <c r="Y28" s="56"/>
      <c r="Z28" s="351" t="s">
        <v>203</v>
      </c>
      <c r="AA28" s="352">
        <f>AA27</f>
        <v>6800</v>
      </c>
      <c r="AB28" s="454"/>
      <c r="AC28" s="454"/>
      <c r="AD28" s="454"/>
      <c r="AE28" s="454"/>
      <c r="AF28" s="454"/>
      <c r="AG28" s="454"/>
      <c r="AH28" s="454"/>
      <c r="AI28" s="454"/>
      <c r="AJ28" s="454"/>
      <c r="AK28" s="454"/>
      <c r="AL28" s="454"/>
      <c r="AM28" s="454"/>
      <c r="AN28" s="454"/>
      <c r="AO28" s="454"/>
      <c r="AP28" s="454"/>
      <c r="AQ28" s="454"/>
      <c r="AR28" s="454"/>
      <c r="AS28" s="454"/>
      <c r="AT28" s="454"/>
      <c r="AU28" s="454"/>
      <c r="AV28" s="454"/>
      <c r="AW28" s="454"/>
      <c r="AX28" s="454"/>
    </row>
    <row r="29" spans="1:50" ht="39.6" customHeight="1" x14ac:dyDescent="0.25">
      <c r="A29" s="3"/>
      <c r="B29" s="7"/>
      <c r="C29" s="463"/>
      <c r="D29" s="463"/>
      <c r="E29" s="463"/>
      <c r="F29" s="300" t="s">
        <v>177</v>
      </c>
      <c r="G29" s="300">
        <v>1</v>
      </c>
      <c r="H29" s="301" t="s">
        <v>204</v>
      </c>
      <c r="I29" s="455" t="e">
        <f>(G29*0.112)*#REF!</f>
        <v>#REF!</v>
      </c>
      <c r="J29" s="456"/>
      <c r="K29" s="456"/>
      <c r="L29" s="456"/>
      <c r="M29" s="456"/>
      <c r="N29" s="456"/>
      <c r="O29" s="456"/>
      <c r="P29" s="456"/>
      <c r="Q29" s="456"/>
      <c r="R29" s="456"/>
      <c r="S29" s="456"/>
      <c r="T29" s="456"/>
      <c r="U29" s="456"/>
      <c r="V29" s="456"/>
      <c r="W29" s="456"/>
      <c r="X29" s="457"/>
      <c r="Z29" s="351" t="s">
        <v>205</v>
      </c>
      <c r="AA29" s="366">
        <f>AA27+2*AA26</f>
        <v>25549.870107199997</v>
      </c>
    </row>
    <row r="30" spans="1:50" ht="30.6" customHeight="1" x14ac:dyDescent="0.25">
      <c r="A30" s="3"/>
      <c r="B30" s="7"/>
      <c r="C30" s="464"/>
      <c r="D30" s="464"/>
      <c r="E30" s="464"/>
      <c r="F30" s="300" t="s">
        <v>180</v>
      </c>
      <c r="G30" s="300" t="s">
        <v>206</v>
      </c>
      <c r="H30" s="301" t="s">
        <v>207</v>
      </c>
      <c r="I30" s="455" t="e">
        <f>(0.6*0.112)*#REF!</f>
        <v>#REF!</v>
      </c>
      <c r="J30" s="456"/>
      <c r="K30" s="456"/>
      <c r="L30" s="456"/>
      <c r="M30" s="456"/>
      <c r="N30" s="456"/>
      <c r="O30" s="456"/>
      <c r="P30" s="456"/>
      <c r="Q30" s="456"/>
      <c r="R30" s="456"/>
      <c r="S30" s="456"/>
      <c r="T30" s="456"/>
      <c r="U30" s="456"/>
      <c r="V30" s="456"/>
      <c r="W30" s="456"/>
      <c r="X30" s="457"/>
    </row>
    <row r="31" spans="1:50" x14ac:dyDescent="0.25">
      <c r="E31" s="3" t="s">
        <v>208</v>
      </c>
    </row>
    <row r="32" spans="1:50" x14ac:dyDescent="0.25">
      <c r="E32" s="3" t="s">
        <v>209</v>
      </c>
      <c r="G32" s="110" t="s">
        <v>41</v>
      </c>
    </row>
  </sheetData>
  <mergeCells count="40">
    <mergeCell ref="A13:A22"/>
    <mergeCell ref="B13:B17"/>
    <mergeCell ref="C13:C17"/>
    <mergeCell ref="D13:D14"/>
    <mergeCell ref="E13:E17"/>
    <mergeCell ref="D15:D17"/>
    <mergeCell ref="B18:B22"/>
    <mergeCell ref="C18:C22"/>
    <mergeCell ref="E18:E22"/>
    <mergeCell ref="D18:D19"/>
    <mergeCell ref="C26:C30"/>
    <mergeCell ref="D26:D30"/>
    <mergeCell ref="C24:X24"/>
    <mergeCell ref="H13:H14"/>
    <mergeCell ref="H18:H19"/>
    <mergeCell ref="D20:D22"/>
    <mergeCell ref="I25:X25"/>
    <mergeCell ref="E26:E30"/>
    <mergeCell ref="I26:X26"/>
    <mergeCell ref="I27:X27"/>
    <mergeCell ref="I28:X28"/>
    <mergeCell ref="H8:H9"/>
    <mergeCell ref="A1:X1"/>
    <mergeCell ref="A3:A7"/>
    <mergeCell ref="B3:B7"/>
    <mergeCell ref="C3:C7"/>
    <mergeCell ref="D3:D7"/>
    <mergeCell ref="E3:E7"/>
    <mergeCell ref="A8:A12"/>
    <mergeCell ref="B8:B12"/>
    <mergeCell ref="C8:C12"/>
    <mergeCell ref="D8:D12"/>
    <mergeCell ref="E8:E12"/>
    <mergeCell ref="AL28:AP28"/>
    <mergeCell ref="AQ28:AT28"/>
    <mergeCell ref="AU28:AX28"/>
    <mergeCell ref="I29:X29"/>
    <mergeCell ref="I30:X30"/>
    <mergeCell ref="AB28:AF28"/>
    <mergeCell ref="AG28:AK28"/>
  </mergeCells>
  <hyperlinks>
    <hyperlink ref="H26" r:id="rId1" xr:uid="{DABFE6CB-B473-47DF-B585-2F887CAC1E59}"/>
    <hyperlink ref="H27:H28" r:id="rId2" display="2022 CASE report (Table 38)" xr:uid="{E1A1EF92-30EC-496A-A9C7-7B7E49AEA0EF}"/>
    <hyperlink ref="G32" r:id="rId3"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D4A4DC11-CD2B-4154-B386-25845D6E86A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O50"/>
  <sheetViews>
    <sheetView zoomScaleNormal="100" workbookViewId="0">
      <selection sqref="A1:F1"/>
    </sheetView>
  </sheetViews>
  <sheetFormatPr defaultColWidth="8.6640625" defaultRowHeight="13.2" x14ac:dyDescent="0.25"/>
  <cols>
    <col min="1" max="1" width="26" style="3" customWidth="1"/>
    <col min="2" max="2" width="25.109375" style="3" customWidth="1"/>
    <col min="3" max="3" width="33.5546875" style="3" customWidth="1"/>
    <col min="4" max="4" width="34.33203125" style="3" customWidth="1"/>
    <col min="5" max="5" width="42.6640625" style="3" customWidth="1"/>
    <col min="6" max="6" width="42.5546875" style="3" customWidth="1"/>
    <col min="7" max="7" width="24.6640625" style="3" customWidth="1"/>
    <col min="8" max="8" width="31.88671875" style="3" customWidth="1"/>
    <col min="9" max="11" width="12.6640625" style="3" customWidth="1"/>
    <col min="12" max="19" width="15.33203125" style="3" customWidth="1"/>
    <col min="20" max="20" width="14.6640625" style="3" customWidth="1"/>
    <col min="21" max="21" width="13.5546875" style="3" customWidth="1"/>
    <col min="22" max="22" width="15.6640625" style="3" customWidth="1"/>
    <col min="23" max="29" width="11" style="3" customWidth="1"/>
    <col min="30" max="38" width="6.5546875" style="3" customWidth="1"/>
    <col min="39" max="39" width="8.6640625" style="3" customWidth="1"/>
    <col min="40" max="16384" width="8.6640625" style="3"/>
  </cols>
  <sheetData>
    <row r="1" spans="1:10" ht="27" customHeight="1" x14ac:dyDescent="0.25">
      <c r="A1" s="469" t="str">
        <f>"HVAC system - "&amp;Prototype!A2</f>
        <v>HVAC system - RetailStripMall</v>
      </c>
      <c r="B1" s="469"/>
      <c r="C1" s="469"/>
      <c r="D1" s="469"/>
      <c r="E1" s="469"/>
      <c r="F1" s="469"/>
    </row>
    <row r="2" spans="1:10" ht="22.2" customHeight="1" x14ac:dyDescent="0.25">
      <c r="A2" s="326" t="s">
        <v>147</v>
      </c>
      <c r="B2" s="326" t="s">
        <v>210</v>
      </c>
      <c r="C2" s="326" t="s">
        <v>211</v>
      </c>
      <c r="D2" s="326" t="s">
        <v>212</v>
      </c>
      <c r="E2" s="326" t="s">
        <v>213</v>
      </c>
      <c r="F2" s="326" t="s">
        <v>214</v>
      </c>
    </row>
    <row r="3" spans="1:10" ht="27.6" customHeight="1" x14ac:dyDescent="0.25">
      <c r="A3" s="321" t="s">
        <v>215</v>
      </c>
      <c r="B3" s="321" t="s">
        <v>216</v>
      </c>
      <c r="C3" s="321" t="s">
        <v>217</v>
      </c>
      <c r="D3" s="321" t="s">
        <v>218</v>
      </c>
      <c r="E3" s="367" t="s">
        <v>219</v>
      </c>
      <c r="F3" s="284" t="s">
        <v>220</v>
      </c>
      <c r="G3" s="319"/>
      <c r="H3" s="319"/>
      <c r="I3" s="319"/>
      <c r="J3" s="319"/>
    </row>
    <row r="4" spans="1:10" ht="26.4" x14ac:dyDescent="0.25">
      <c r="A4" s="321" t="s">
        <v>221</v>
      </c>
      <c r="B4" s="321" t="s">
        <v>222</v>
      </c>
      <c r="C4" s="321" t="s">
        <v>222</v>
      </c>
      <c r="D4" s="284" t="s">
        <v>223</v>
      </c>
      <c r="E4" s="367" t="s">
        <v>224</v>
      </c>
      <c r="F4" s="321" t="s">
        <v>225</v>
      </c>
      <c r="G4" s="485"/>
      <c r="H4" s="485"/>
      <c r="I4" s="485"/>
      <c r="J4" s="485"/>
    </row>
    <row r="5" spans="1:10" ht="15.6" customHeight="1" x14ac:dyDescent="0.25">
      <c r="A5" s="5"/>
      <c r="B5" s="5"/>
      <c r="D5" s="6"/>
      <c r="E5" s="5"/>
    </row>
    <row r="6" spans="1:10" x14ac:dyDescent="0.25">
      <c r="A6" s="319"/>
      <c r="B6" s="5"/>
      <c r="C6" s="5"/>
      <c r="D6" s="319"/>
      <c r="E6" s="5"/>
    </row>
    <row r="7" spans="1:10" x14ac:dyDescent="0.25">
      <c r="A7" s="5"/>
      <c r="B7" s="5"/>
      <c r="C7" s="5"/>
      <c r="D7" s="5"/>
      <c r="E7" s="5"/>
    </row>
    <row r="8" spans="1:10" ht="41.4" customHeight="1" x14ac:dyDescent="0.25">
      <c r="A8" s="483" t="s">
        <v>226</v>
      </c>
      <c r="B8" s="484"/>
      <c r="C8" s="484"/>
      <c r="D8" s="484"/>
      <c r="E8" s="484"/>
    </row>
    <row r="9" spans="1:10" ht="19.2" customHeight="1" x14ac:dyDescent="0.25">
      <c r="A9" s="66" t="s">
        <v>147</v>
      </c>
      <c r="B9" s="66" t="s">
        <v>227</v>
      </c>
      <c r="C9" s="42" t="s">
        <v>210</v>
      </c>
      <c r="D9" s="42" t="s">
        <v>211</v>
      </c>
      <c r="E9" s="65" t="s">
        <v>214</v>
      </c>
    </row>
    <row r="10" spans="1:10" ht="22.5" customHeight="1" x14ac:dyDescent="0.25">
      <c r="A10" s="284" t="s">
        <v>171</v>
      </c>
      <c r="B10" s="486">
        <v>2008</v>
      </c>
      <c r="C10" s="479" t="s">
        <v>228</v>
      </c>
      <c r="D10" s="471" t="s">
        <v>229</v>
      </c>
      <c r="E10" s="471" t="s">
        <v>230</v>
      </c>
    </row>
    <row r="11" spans="1:10" ht="22.5" customHeight="1" x14ac:dyDescent="0.25">
      <c r="A11" s="284" t="s">
        <v>173</v>
      </c>
      <c r="B11" s="486"/>
      <c r="C11" s="479"/>
      <c r="D11" s="481"/>
      <c r="E11" s="481"/>
    </row>
    <row r="12" spans="1:10" ht="22.5" customHeight="1" x14ac:dyDescent="0.25">
      <c r="A12" s="284" t="s">
        <v>175</v>
      </c>
      <c r="B12" s="486"/>
      <c r="C12" s="479"/>
      <c r="D12" s="481"/>
      <c r="E12" s="481"/>
    </row>
    <row r="13" spans="1:10" ht="51" customHeight="1" x14ac:dyDescent="0.25">
      <c r="A13" s="284" t="s">
        <v>177</v>
      </c>
      <c r="B13" s="321">
        <v>2013</v>
      </c>
      <c r="C13" s="322" t="s">
        <v>231</v>
      </c>
      <c r="D13" s="368" t="s">
        <v>232</v>
      </c>
      <c r="E13" s="368" t="s">
        <v>233</v>
      </c>
    </row>
    <row r="14" spans="1:10" ht="76.5" customHeight="1" x14ac:dyDescent="0.25">
      <c r="A14" s="284" t="s">
        <v>221</v>
      </c>
      <c r="B14" s="321">
        <v>2025</v>
      </c>
      <c r="C14" s="368" t="s">
        <v>234</v>
      </c>
      <c r="D14" s="368" t="s">
        <v>235</v>
      </c>
      <c r="E14" s="368" t="s">
        <v>236</v>
      </c>
    </row>
    <row r="15" spans="1:10" x14ac:dyDescent="0.25">
      <c r="B15" s="6"/>
      <c r="D15" s="33"/>
      <c r="E15" s="6"/>
    </row>
    <row r="16" spans="1:10" x14ac:dyDescent="0.25">
      <c r="A16" s="34"/>
      <c r="B16" s="6"/>
      <c r="C16" s="6"/>
      <c r="D16" s="33"/>
      <c r="E16" s="6"/>
    </row>
    <row r="17" spans="1:9" ht="13.95" customHeight="1" x14ac:dyDescent="0.25">
      <c r="A17" s="319"/>
      <c r="B17" s="319"/>
      <c r="C17" s="6"/>
      <c r="D17" s="6"/>
      <c r="E17" s="369"/>
    </row>
    <row r="18" spans="1:9" ht="21" customHeight="1" x14ac:dyDescent="0.25">
      <c r="A18" s="476" t="s">
        <v>237</v>
      </c>
      <c r="B18" s="476"/>
      <c r="C18" s="476"/>
      <c r="D18" s="477"/>
      <c r="E18" s="477"/>
      <c r="F18" s="477"/>
      <c r="G18" s="477"/>
      <c r="H18" s="477"/>
      <c r="I18" s="478"/>
    </row>
    <row r="19" spans="1:9" ht="27.6" customHeight="1" x14ac:dyDescent="0.25">
      <c r="A19" s="325" t="s">
        <v>147</v>
      </c>
      <c r="B19" s="293" t="s">
        <v>238</v>
      </c>
      <c r="C19" s="293" t="s">
        <v>239</v>
      </c>
      <c r="D19" s="294" t="s">
        <v>240</v>
      </c>
      <c r="E19" s="294" t="s">
        <v>241</v>
      </c>
      <c r="F19" s="294" t="s">
        <v>242</v>
      </c>
      <c r="G19" s="294" t="s">
        <v>243</v>
      </c>
      <c r="H19" s="124" t="s">
        <v>244</v>
      </c>
      <c r="I19" s="124" t="s">
        <v>149</v>
      </c>
    </row>
    <row r="20" spans="1:9" ht="60.45" customHeight="1" x14ac:dyDescent="0.25">
      <c r="A20" s="479" t="s">
        <v>179</v>
      </c>
      <c r="B20" s="480" t="s">
        <v>245</v>
      </c>
      <c r="C20" s="368" t="s">
        <v>246</v>
      </c>
      <c r="D20" s="368">
        <v>2.5</v>
      </c>
      <c r="E20" s="481">
        <v>0.65</v>
      </c>
      <c r="F20" s="471" t="s">
        <v>247</v>
      </c>
      <c r="G20" s="482"/>
      <c r="H20" s="471" t="s">
        <v>248</v>
      </c>
      <c r="I20" s="298"/>
    </row>
    <row r="21" spans="1:9" ht="60.45" customHeight="1" x14ac:dyDescent="0.25">
      <c r="A21" s="479"/>
      <c r="B21" s="480"/>
      <c r="C21" s="368" t="s">
        <v>249</v>
      </c>
      <c r="D21" s="368">
        <v>4.09</v>
      </c>
      <c r="E21" s="481"/>
      <c r="F21" s="471"/>
      <c r="G21" s="482"/>
      <c r="H21" s="471"/>
      <c r="I21" s="298"/>
    </row>
    <row r="22" spans="1:9" x14ac:dyDescent="0.25">
      <c r="A22" s="280" t="s">
        <v>250</v>
      </c>
      <c r="B22" s="295"/>
      <c r="C22" s="296"/>
      <c r="D22" s="296"/>
      <c r="E22" s="370"/>
      <c r="F22" s="296"/>
      <c r="G22" s="296"/>
      <c r="H22" s="74"/>
      <c r="I22" s="297"/>
    </row>
    <row r="23" spans="1:9" ht="24.6" customHeight="1" x14ac:dyDescent="0.25">
      <c r="A23" s="280" t="s">
        <v>251</v>
      </c>
      <c r="B23" s="74"/>
      <c r="C23" s="74"/>
      <c r="D23" s="125"/>
      <c r="E23" s="74"/>
      <c r="F23" s="296"/>
      <c r="G23" s="296"/>
      <c r="H23" s="74"/>
      <c r="I23" s="297"/>
    </row>
    <row r="24" spans="1:9" ht="34.950000000000003" customHeight="1" x14ac:dyDescent="0.25">
      <c r="A24" s="473" t="s">
        <v>221</v>
      </c>
      <c r="B24" s="475" t="s">
        <v>252</v>
      </c>
      <c r="C24" s="371" t="s">
        <v>253</v>
      </c>
      <c r="D24" s="372" t="s">
        <v>254</v>
      </c>
      <c r="E24" s="471">
        <v>0.65</v>
      </c>
      <c r="F24" s="471" t="s">
        <v>255</v>
      </c>
      <c r="G24" s="373">
        <v>0.74399999999999999</v>
      </c>
      <c r="H24" s="471" t="s">
        <v>256</v>
      </c>
      <c r="I24" s="368"/>
    </row>
    <row r="25" spans="1:9" ht="34.950000000000003" customHeight="1" x14ac:dyDescent="0.25">
      <c r="A25" s="474"/>
      <c r="B25" s="475"/>
      <c r="C25" s="374" t="s">
        <v>257</v>
      </c>
      <c r="D25" s="375" t="s">
        <v>254</v>
      </c>
      <c r="E25" s="472"/>
      <c r="F25" s="472"/>
      <c r="G25" s="376">
        <v>0.72</v>
      </c>
      <c r="H25" s="472"/>
      <c r="I25" s="377"/>
    </row>
    <row r="26" spans="1:9" ht="12.75" customHeight="1" x14ac:dyDescent="0.25">
      <c r="A26" s="5"/>
      <c r="B26" s="299"/>
      <c r="C26" s="369"/>
      <c r="D26" s="378"/>
      <c r="E26" s="369"/>
      <c r="F26" s="369"/>
      <c r="G26" s="369"/>
      <c r="H26" s="369"/>
      <c r="I26" s="369"/>
    </row>
    <row r="27" spans="1:9" ht="31.5" customHeight="1" x14ac:dyDescent="0.25">
      <c r="A27" s="443" t="s">
        <v>258</v>
      </c>
      <c r="B27" s="470"/>
      <c r="C27" s="470"/>
      <c r="D27" s="470"/>
      <c r="E27" s="470"/>
      <c r="F27" s="470"/>
      <c r="G27" s="470"/>
      <c r="H27" s="470"/>
      <c r="I27" s="470"/>
    </row>
    <row r="28" spans="1:9" ht="57" customHeight="1" x14ac:dyDescent="0.25">
      <c r="A28" s="443" t="s">
        <v>259</v>
      </c>
      <c r="B28" s="443"/>
      <c r="C28" s="443"/>
      <c r="D28" s="443"/>
      <c r="E28" s="443"/>
      <c r="F28" s="443"/>
      <c r="G28" s="443"/>
      <c r="H28" s="443"/>
      <c r="I28" s="443"/>
    </row>
    <row r="29" spans="1:9" ht="12.75" customHeight="1" x14ac:dyDescent="0.25">
      <c r="A29" s="379"/>
      <c r="B29" s="379"/>
      <c r="C29" s="379"/>
      <c r="D29" s="379"/>
      <c r="E29" s="379"/>
      <c r="F29" s="379"/>
      <c r="G29" s="379"/>
      <c r="H29" s="379"/>
      <c r="I29" s="379"/>
    </row>
    <row r="30" spans="1:9" ht="63.75" customHeight="1" x14ac:dyDescent="0.25">
      <c r="A30" s="379"/>
      <c r="B30" s="379"/>
      <c r="C30" s="379"/>
      <c r="D30" s="379"/>
      <c r="E30" s="379"/>
      <c r="F30" s="379"/>
      <c r="G30" s="379"/>
      <c r="H30" s="379"/>
      <c r="I30" s="379"/>
    </row>
    <row r="31" spans="1:9" ht="14.1" customHeight="1" x14ac:dyDescent="0.25">
      <c r="A31" s="379"/>
      <c r="B31" s="379"/>
      <c r="C31" s="379"/>
      <c r="D31" s="379"/>
      <c r="E31" s="379"/>
      <c r="F31" s="379"/>
      <c r="G31" s="379"/>
      <c r="H31" s="379"/>
      <c r="I31" s="379"/>
    </row>
    <row r="32" spans="1:9" ht="13.95" customHeight="1" x14ac:dyDescent="0.25">
      <c r="A32" s="6"/>
    </row>
    <row r="33" spans="1:41" ht="13.95" customHeight="1" x14ac:dyDescent="0.25">
      <c r="A33" s="6"/>
    </row>
    <row r="34" spans="1:41" ht="13.95" customHeight="1" x14ac:dyDescent="0.25">
      <c r="A34" s="6"/>
    </row>
    <row r="35" spans="1:41" ht="13.95" customHeight="1" x14ac:dyDescent="0.25">
      <c r="A35" s="6"/>
    </row>
    <row r="36" spans="1:41" ht="13.95" customHeight="1" x14ac:dyDescent="0.25">
      <c r="E36" s="7"/>
    </row>
    <row r="37" spans="1:41" s="19" customFormat="1" ht="12.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row>
    <row r="38" spans="1:41" ht="12.75" customHeight="1" x14ac:dyDescent="0.25"/>
    <row r="39" spans="1:41" ht="12.75" customHeight="1" x14ac:dyDescent="0.25"/>
    <row r="40" spans="1:41" ht="12.75" customHeight="1" x14ac:dyDescent="0.25"/>
    <row r="41" spans="1:41" ht="12.75" customHeight="1" x14ac:dyDescent="0.25">
      <c r="A41" s="380"/>
    </row>
    <row r="42" spans="1:41" ht="19.5" hidden="1" customHeight="1" x14ac:dyDescent="0.25">
      <c r="A42" s="19" t="s">
        <v>135</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row>
    <row r="43" spans="1:41" x14ac:dyDescent="0.25">
      <c r="U43" s="28"/>
      <c r="V43" s="281"/>
      <c r="W43" s="282"/>
      <c r="X43" s="282"/>
      <c r="Y43" s="282"/>
      <c r="Z43" s="282"/>
      <c r="AA43" s="282"/>
      <c r="AB43" s="282"/>
      <c r="AC43" s="282"/>
      <c r="AD43" s="282"/>
      <c r="AE43" s="282"/>
      <c r="AF43" s="282"/>
      <c r="AG43" s="282"/>
      <c r="AH43" s="282"/>
      <c r="AI43" s="282"/>
      <c r="AJ43" s="282"/>
      <c r="AK43" s="282"/>
      <c r="AL43" s="282"/>
    </row>
    <row r="44" spans="1:41" x14ac:dyDescent="0.25">
      <c r="U44" s="28"/>
      <c r="V44" s="30"/>
    </row>
    <row r="45" spans="1:41" x14ac:dyDescent="0.25">
      <c r="U45" s="28"/>
      <c r="V45" s="30"/>
    </row>
    <row r="46" spans="1:41" x14ac:dyDescent="0.25">
      <c r="U46" s="28"/>
      <c r="V46" s="30"/>
    </row>
    <row r="47" spans="1:41" x14ac:dyDescent="0.25">
      <c r="U47" s="28"/>
      <c r="V47" s="30"/>
    </row>
    <row r="48" spans="1:41" x14ac:dyDescent="0.25">
      <c r="U48" s="28"/>
      <c r="V48" s="30"/>
    </row>
    <row r="49" spans="21:38" x14ac:dyDescent="0.25">
      <c r="U49" s="28"/>
      <c r="W49" s="27"/>
      <c r="X49" s="27"/>
      <c r="Y49" s="27"/>
      <c r="Z49" s="27"/>
      <c r="AA49" s="27"/>
      <c r="AB49" s="27"/>
      <c r="AC49" s="27"/>
      <c r="AD49" s="27"/>
      <c r="AE49" s="27"/>
      <c r="AF49" s="27"/>
      <c r="AG49" s="27"/>
      <c r="AH49" s="27"/>
      <c r="AI49" s="27"/>
      <c r="AJ49" s="27"/>
      <c r="AK49" s="27"/>
      <c r="AL49" s="27"/>
    </row>
    <row r="50" spans="21:38" x14ac:dyDescent="0.25">
      <c r="U50" s="29"/>
      <c r="W50" s="28"/>
      <c r="X50" s="28"/>
      <c r="Y50" s="28"/>
      <c r="Z50" s="28"/>
      <c r="AA50" s="28"/>
      <c r="AB50" s="28"/>
      <c r="AC50" s="28"/>
      <c r="AD50" s="28"/>
      <c r="AE50" s="28"/>
      <c r="AF50" s="28"/>
      <c r="AG50" s="28"/>
      <c r="AH50" s="28"/>
      <c r="AI50" s="28"/>
      <c r="AJ50" s="28"/>
      <c r="AK50" s="28"/>
      <c r="AL50" s="28"/>
    </row>
  </sheetData>
  <mergeCells count="21">
    <mergeCell ref="G4:J4"/>
    <mergeCell ref="D10:D12"/>
    <mergeCell ref="B10:B12"/>
    <mergeCell ref="C10:C12"/>
    <mergeCell ref="E10:E12"/>
    <mergeCell ref="A1:F1"/>
    <mergeCell ref="A28:I28"/>
    <mergeCell ref="A27:I27"/>
    <mergeCell ref="H24:H25"/>
    <mergeCell ref="A24:A25"/>
    <mergeCell ref="B24:B25"/>
    <mergeCell ref="E24:E25"/>
    <mergeCell ref="F24:F25"/>
    <mergeCell ref="A18:I18"/>
    <mergeCell ref="A20:A21"/>
    <mergeCell ref="B20:B21"/>
    <mergeCell ref="E20:E21"/>
    <mergeCell ref="F20:F21"/>
    <mergeCell ref="G20:G21"/>
    <mergeCell ref="H20:H21"/>
    <mergeCell ref="A8:E8"/>
  </mergeCells>
  <phoneticPr fontId="5" type="noConversion"/>
  <hyperlinks>
    <hyperlink ref="B20" r:id="rId1" display="https://www.pnnl.gov/main/publications/external/technical_reports/PNNL-20405.pdf?__hstc=249664665.fbb1d69ca5f15106a530bcaee71fdf4a.1743465130773.1743546227524.1752085571925.3&amp;__hssc=249664665.1.1752085571925&amp;__hsfp=2216781724" xr:uid="{27208266-4CA3-442B-B6C5-1D62D2E77D39}"/>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L12"/>
  <sheetViews>
    <sheetView topLeftCell="C1" zoomScaleNormal="100" workbookViewId="0">
      <selection sqref="A1:K1"/>
    </sheetView>
  </sheetViews>
  <sheetFormatPr defaultColWidth="9.33203125" defaultRowHeight="13.8" x14ac:dyDescent="0.25"/>
  <cols>
    <col min="1" max="1" width="20.33203125" style="53" customWidth="1"/>
    <col min="2" max="2" width="15.44140625" style="53" customWidth="1"/>
    <col min="3" max="3" width="13.33203125" style="53" customWidth="1"/>
    <col min="4" max="4" width="25.44140625" style="53" customWidth="1"/>
    <col min="5" max="5" width="24.6640625" style="53" customWidth="1"/>
    <col min="6" max="6" width="24.33203125" style="53" customWidth="1"/>
    <col min="7" max="9" width="20.33203125" style="53" customWidth="1"/>
    <col min="10" max="10" width="16.88671875" style="53" customWidth="1"/>
    <col min="11" max="11" width="30.109375" style="53" customWidth="1"/>
    <col min="12" max="12" width="13.6640625" style="53" customWidth="1"/>
    <col min="13" max="13" width="12.33203125" style="53" customWidth="1"/>
    <col min="14" max="14" width="13.6640625" style="53" customWidth="1"/>
    <col min="15" max="15" width="11.6640625" style="53" customWidth="1"/>
    <col min="16" max="16" width="13.6640625" style="53" customWidth="1"/>
    <col min="17" max="17" width="12.33203125" style="53" customWidth="1"/>
    <col min="18" max="18" width="13.6640625" style="53" customWidth="1"/>
    <col min="19" max="19" width="12.33203125" style="53" customWidth="1"/>
    <col min="20" max="20" width="13.6640625" style="53" customWidth="1"/>
    <col min="21" max="21" width="11.6640625" style="53" customWidth="1"/>
    <col min="22" max="23" width="10.6640625" style="53" customWidth="1"/>
    <col min="24" max="24" width="9.33203125" style="53"/>
    <col min="25" max="29" width="11.33203125" style="53" customWidth="1"/>
    <col min="30" max="16384" width="9.33203125" style="53"/>
  </cols>
  <sheetData>
    <row r="1" spans="1:12" ht="24.6" customHeight="1" x14ac:dyDescent="0.25">
      <c r="A1" s="459" t="str">
        <f>"Outdoor Airflow Rate - "&amp;Prototype!A2</f>
        <v>Outdoor Airflow Rate - RetailStripMall</v>
      </c>
      <c r="B1" s="459"/>
      <c r="C1" s="459"/>
      <c r="D1" s="459"/>
      <c r="E1" s="459"/>
      <c r="F1" s="459"/>
      <c r="G1" s="459"/>
      <c r="H1" s="459"/>
      <c r="I1" s="459"/>
      <c r="J1" s="459"/>
      <c r="K1" s="459"/>
      <c r="L1" s="73"/>
    </row>
    <row r="2" spans="1:12" ht="47.4" customHeight="1" x14ac:dyDescent="0.25">
      <c r="A2" s="111" t="s">
        <v>100</v>
      </c>
      <c r="B2" s="89" t="s">
        <v>110</v>
      </c>
      <c r="C2" s="89" t="s">
        <v>260</v>
      </c>
      <c r="D2" s="119" t="s">
        <v>261</v>
      </c>
      <c r="E2" s="119" t="s">
        <v>262</v>
      </c>
      <c r="F2" s="119" t="s">
        <v>263</v>
      </c>
      <c r="G2" s="119" t="s">
        <v>264</v>
      </c>
      <c r="H2" s="119" t="s">
        <v>265</v>
      </c>
      <c r="I2" s="119" t="s">
        <v>266</v>
      </c>
      <c r="J2" s="111" t="s">
        <v>267</v>
      </c>
      <c r="K2" s="111" t="s">
        <v>52</v>
      </c>
      <c r="L2" s="91"/>
    </row>
    <row r="3" spans="1:12" s="3" customFormat="1" ht="58.95" customHeight="1" x14ac:dyDescent="0.25">
      <c r="A3" s="92" t="str">
        <f>Zones!B3</f>
        <v>LG_Store_1</v>
      </c>
      <c r="B3" s="120">
        <f>Zones!M3</f>
        <v>63.750656283299989</v>
      </c>
      <c r="C3" s="120">
        <f>Zones!J3</f>
        <v>3750.0386048999994</v>
      </c>
      <c r="D3" s="300">
        <v>15</v>
      </c>
      <c r="E3" s="300">
        <v>0.2</v>
      </c>
      <c r="F3" s="121" t="s">
        <v>268</v>
      </c>
      <c r="G3" s="122">
        <f>D3*B3</f>
        <v>956.25984424949979</v>
      </c>
      <c r="H3" s="122">
        <f>E3*C3</f>
        <v>750.00772097999993</v>
      </c>
      <c r="I3" s="381">
        <f>2*25</f>
        <v>50</v>
      </c>
      <c r="J3" s="122">
        <f>MAX(G3:I3)</f>
        <v>956.25984424949979</v>
      </c>
      <c r="K3" s="12" t="s">
        <v>269</v>
      </c>
    </row>
    <row r="4" spans="1:12" s="3" customFormat="1" ht="20.7" customHeight="1" x14ac:dyDescent="0.25">
      <c r="A4" s="92" t="str">
        <f>Zones!B4</f>
        <v>SM_Store_1</v>
      </c>
      <c r="B4" s="120">
        <f>Zones!M4</f>
        <v>31.874413209299998</v>
      </c>
      <c r="C4" s="120">
        <f>Zones!J4</f>
        <v>1874.9654828999999</v>
      </c>
      <c r="D4" s="300">
        <v>15</v>
      </c>
      <c r="E4" s="300">
        <v>0.2</v>
      </c>
      <c r="F4" s="121"/>
      <c r="G4" s="122">
        <f t="shared" ref="G4:G6" si="0">D4*B4</f>
        <v>478.1161981395</v>
      </c>
      <c r="H4" s="122">
        <f t="shared" ref="H4:H6" si="1">E4*C4</f>
        <v>374.99309657999999</v>
      </c>
      <c r="I4" s="121">
        <f t="shared" ref="I4:I6" si="2">F4*C4</f>
        <v>0</v>
      </c>
      <c r="J4" s="122">
        <f t="shared" ref="J4:J6" si="3">MAX(G4:I4)</f>
        <v>478.1161981395</v>
      </c>
      <c r="K4" s="12"/>
    </row>
    <row r="5" spans="1:12" s="3" customFormat="1" ht="20.7" customHeight="1" x14ac:dyDescent="0.25">
      <c r="A5" s="92" t="str">
        <f>Zones!B5</f>
        <v>SM_Store_2</v>
      </c>
      <c r="B5" s="120">
        <f>Zones!M5</f>
        <v>31.874413209299998</v>
      </c>
      <c r="C5" s="120">
        <f>Zones!J5</f>
        <v>1874.9654828999999</v>
      </c>
      <c r="D5" s="300">
        <v>15</v>
      </c>
      <c r="E5" s="300">
        <v>0.2</v>
      </c>
      <c r="F5" s="121"/>
      <c r="G5" s="122">
        <f t="shared" si="0"/>
        <v>478.1161981395</v>
      </c>
      <c r="H5" s="122">
        <f t="shared" si="1"/>
        <v>374.99309657999999</v>
      </c>
      <c r="I5" s="121">
        <f t="shared" si="2"/>
        <v>0</v>
      </c>
      <c r="J5" s="122">
        <f t="shared" si="3"/>
        <v>478.1161981395</v>
      </c>
      <c r="K5" s="12"/>
    </row>
    <row r="6" spans="1:12" s="3" customFormat="1" ht="20.7" customHeight="1" x14ac:dyDescent="0.25">
      <c r="A6" s="92" t="str">
        <f>Zones!B6</f>
        <v>SM_Store_3</v>
      </c>
      <c r="B6" s="120">
        <f>Zones!M6</f>
        <v>31.874413209299998</v>
      </c>
      <c r="C6" s="120">
        <f>Zones!J6</f>
        <v>1874.9654828999999</v>
      </c>
      <c r="D6" s="300">
        <v>15</v>
      </c>
      <c r="E6" s="300">
        <v>0.2</v>
      </c>
      <c r="F6" s="121"/>
      <c r="G6" s="122">
        <f t="shared" si="0"/>
        <v>478.1161981395</v>
      </c>
      <c r="H6" s="122">
        <f t="shared" si="1"/>
        <v>374.99309657999999</v>
      </c>
      <c r="I6" s="121">
        <f t="shared" si="2"/>
        <v>0</v>
      </c>
      <c r="J6" s="122">
        <f t="shared" si="3"/>
        <v>478.1161981395</v>
      </c>
      <c r="K6" s="12"/>
    </row>
    <row r="7" spans="1:12" s="3" customFormat="1" ht="13.2" x14ac:dyDescent="0.25">
      <c r="B7" s="228"/>
      <c r="J7" s="229">
        <f>SUM(J3:J6)</f>
        <v>2390.608438668</v>
      </c>
    </row>
    <row r="8" spans="1:12" s="3" customFormat="1" ht="13.2" x14ac:dyDescent="0.25"/>
    <row r="11" spans="1:12" ht="15.6" x14ac:dyDescent="0.3">
      <c r="A11" s="1"/>
      <c r="B11" s="1"/>
      <c r="C11" s="1"/>
      <c r="D11" s="1"/>
      <c r="E11" s="1"/>
      <c r="F11" s="1"/>
      <c r="G11" s="1"/>
      <c r="H11" s="1"/>
      <c r="I11" s="1"/>
      <c r="J11" s="1"/>
      <c r="K11" s="54"/>
      <c r="L11" s="1"/>
    </row>
    <row r="12" spans="1:12" s="55" customFormat="1" ht="17.399999999999999" hidden="1" x14ac:dyDescent="0.3">
      <c r="A12" s="19" t="s">
        <v>135</v>
      </c>
      <c r="B12" s="19"/>
      <c r="C12" s="19"/>
      <c r="D12" s="77"/>
      <c r="E12" s="77"/>
      <c r="F12" s="77"/>
      <c r="G12" s="77"/>
      <c r="H12" s="77"/>
      <c r="I12" s="77"/>
      <c r="J12" s="77"/>
      <c r="K12" s="78"/>
      <c r="L12" s="79"/>
    </row>
  </sheetData>
  <mergeCells count="1">
    <mergeCell ref="A1:K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dimension ref="A1:R6"/>
  <sheetViews>
    <sheetView workbookViewId="0"/>
  </sheetViews>
  <sheetFormatPr defaultRowHeight="14.4" x14ac:dyDescent="0.3"/>
  <cols>
    <col min="1" max="1" width="26.109375" customWidth="1"/>
    <col min="18" max="18" width="21.33203125" customWidth="1"/>
  </cols>
  <sheetData>
    <row r="1" spans="1:18" ht="24" customHeight="1" x14ac:dyDescent="0.3">
      <c r="A1" s="459" t="str">
        <f>"Thermostat Setpoints - "&amp;Prototype!A2</f>
        <v>Thermostat Setpoints - RetailStripMall</v>
      </c>
      <c r="B1" s="459"/>
      <c r="C1" s="459"/>
      <c r="D1" s="459"/>
      <c r="E1" s="459"/>
      <c r="F1" s="459"/>
      <c r="G1" s="459"/>
      <c r="H1" s="459"/>
      <c r="I1" s="459"/>
      <c r="J1" s="459"/>
      <c r="K1" s="459"/>
      <c r="L1" s="459"/>
      <c r="M1" s="459"/>
      <c r="N1" s="459"/>
      <c r="O1" s="459"/>
      <c r="P1" s="459"/>
      <c r="Q1" s="459"/>
      <c r="R1" s="459"/>
    </row>
    <row r="2" spans="1:18" ht="22.2" customHeight="1" x14ac:dyDescent="0.3">
      <c r="A2" s="65" t="s">
        <v>270</v>
      </c>
      <c r="B2" s="66" t="s">
        <v>150</v>
      </c>
      <c r="C2" s="66" t="s">
        <v>151</v>
      </c>
      <c r="D2" s="66" t="s">
        <v>152</v>
      </c>
      <c r="E2" s="66" t="s">
        <v>153</v>
      </c>
      <c r="F2" s="66" t="s">
        <v>154</v>
      </c>
      <c r="G2" s="66" t="s">
        <v>155</v>
      </c>
      <c r="H2" s="66" t="s">
        <v>156</v>
      </c>
      <c r="I2" s="66" t="s">
        <v>157</v>
      </c>
      <c r="J2" s="66" t="s">
        <v>158</v>
      </c>
      <c r="K2" s="66" t="s">
        <v>159</v>
      </c>
      <c r="L2" s="66" t="s">
        <v>160</v>
      </c>
      <c r="M2" s="66" t="s">
        <v>161</v>
      </c>
      <c r="N2" s="66" t="s">
        <v>162</v>
      </c>
      <c r="O2" s="66" t="s">
        <v>163</v>
      </c>
      <c r="P2" s="66" t="s">
        <v>164</v>
      </c>
      <c r="Q2" s="66" t="s">
        <v>165</v>
      </c>
      <c r="R2" s="66" t="s">
        <v>214</v>
      </c>
    </row>
    <row r="3" spans="1:18" ht="21" customHeight="1" x14ac:dyDescent="0.3">
      <c r="A3" s="284" t="s">
        <v>271</v>
      </c>
      <c r="B3" s="284">
        <v>70</v>
      </c>
      <c r="C3" s="284">
        <v>70</v>
      </c>
      <c r="D3" s="284">
        <v>70</v>
      </c>
      <c r="E3" s="284">
        <v>70</v>
      </c>
      <c r="F3" s="284">
        <v>70</v>
      </c>
      <c r="G3" s="284">
        <v>70</v>
      </c>
      <c r="H3" s="284">
        <v>70</v>
      </c>
      <c r="I3" s="284">
        <v>70</v>
      </c>
      <c r="J3" s="284">
        <v>70</v>
      </c>
      <c r="K3" s="284">
        <v>70</v>
      </c>
      <c r="L3" s="284">
        <v>70</v>
      </c>
      <c r="M3" s="284">
        <v>70</v>
      </c>
      <c r="N3" s="284">
        <v>70</v>
      </c>
      <c r="O3" s="284">
        <v>70</v>
      </c>
      <c r="P3" s="284">
        <v>70</v>
      </c>
      <c r="Q3" s="284">
        <v>70</v>
      </c>
      <c r="R3" s="487" t="s">
        <v>272</v>
      </c>
    </row>
    <row r="4" spans="1:18" ht="21" customHeight="1" x14ac:dyDescent="0.3">
      <c r="A4" s="284" t="s">
        <v>273</v>
      </c>
      <c r="B4" s="284">
        <v>60</v>
      </c>
      <c r="C4" s="284">
        <v>60</v>
      </c>
      <c r="D4" s="284">
        <v>60</v>
      </c>
      <c r="E4" s="284">
        <v>60</v>
      </c>
      <c r="F4" s="284">
        <v>60</v>
      </c>
      <c r="G4" s="284">
        <v>60</v>
      </c>
      <c r="H4" s="284">
        <v>60</v>
      </c>
      <c r="I4" s="284">
        <v>60</v>
      </c>
      <c r="J4" s="284">
        <v>60</v>
      </c>
      <c r="K4" s="284">
        <v>60</v>
      </c>
      <c r="L4" s="284">
        <v>60</v>
      </c>
      <c r="M4" s="284">
        <v>60</v>
      </c>
      <c r="N4" s="284">
        <v>60</v>
      </c>
      <c r="O4" s="284">
        <v>60</v>
      </c>
      <c r="P4" s="284">
        <v>60</v>
      </c>
      <c r="Q4" s="284">
        <v>60</v>
      </c>
      <c r="R4" s="488"/>
    </row>
    <row r="5" spans="1:18" ht="21" customHeight="1" x14ac:dyDescent="0.3">
      <c r="A5" s="284" t="s">
        <v>274</v>
      </c>
      <c r="B5" s="284">
        <v>75</v>
      </c>
      <c r="C5" s="284">
        <v>75</v>
      </c>
      <c r="D5" s="284">
        <v>75</v>
      </c>
      <c r="E5" s="284">
        <v>75</v>
      </c>
      <c r="F5" s="284">
        <v>75</v>
      </c>
      <c r="G5" s="284">
        <v>75</v>
      </c>
      <c r="H5" s="284">
        <v>75</v>
      </c>
      <c r="I5" s="284">
        <v>75</v>
      </c>
      <c r="J5" s="284">
        <v>75</v>
      </c>
      <c r="K5" s="284">
        <v>75</v>
      </c>
      <c r="L5" s="284">
        <v>75</v>
      </c>
      <c r="M5" s="284">
        <v>75</v>
      </c>
      <c r="N5" s="284">
        <v>75</v>
      </c>
      <c r="O5" s="284">
        <v>75</v>
      </c>
      <c r="P5" s="284">
        <v>75</v>
      </c>
      <c r="Q5" s="284">
        <v>75</v>
      </c>
      <c r="R5" s="488"/>
    </row>
    <row r="6" spans="1:18" ht="21" customHeight="1" x14ac:dyDescent="0.3">
      <c r="A6" s="284" t="s">
        <v>275</v>
      </c>
      <c r="B6" s="284">
        <v>85</v>
      </c>
      <c r="C6" s="284">
        <v>85</v>
      </c>
      <c r="D6" s="284">
        <v>85</v>
      </c>
      <c r="E6" s="284">
        <v>85</v>
      </c>
      <c r="F6" s="284">
        <v>85</v>
      </c>
      <c r="G6" s="284">
        <v>85</v>
      </c>
      <c r="H6" s="284">
        <v>85</v>
      </c>
      <c r="I6" s="284">
        <v>85</v>
      </c>
      <c r="J6" s="284">
        <v>85</v>
      </c>
      <c r="K6" s="284">
        <v>85</v>
      </c>
      <c r="L6" s="284">
        <v>85</v>
      </c>
      <c r="M6" s="284">
        <v>85</v>
      </c>
      <c r="N6" s="284">
        <v>85</v>
      </c>
      <c r="O6" s="284">
        <v>85</v>
      </c>
      <c r="P6" s="284">
        <v>85</v>
      </c>
      <c r="Q6" s="284">
        <v>85</v>
      </c>
      <c r="R6" s="489"/>
    </row>
  </sheetData>
  <mergeCells count="2">
    <mergeCell ref="R3:R6"/>
    <mergeCell ref="A1:R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6599-0DE9-4593-A90C-7EC412F0F090}">
  <dimension ref="A1:AL90"/>
  <sheetViews>
    <sheetView zoomScale="85" zoomScaleNormal="85" workbookViewId="0">
      <selection sqref="A1:G1"/>
    </sheetView>
  </sheetViews>
  <sheetFormatPr defaultColWidth="8.6640625" defaultRowHeight="13.2" x14ac:dyDescent="0.25"/>
  <cols>
    <col min="1" max="1" width="35.88671875" style="3" customWidth="1"/>
    <col min="2" max="2" width="29.6640625" style="3" customWidth="1"/>
    <col min="3" max="3" width="23.109375" style="3" customWidth="1"/>
    <col min="4" max="4" width="33" style="3" customWidth="1"/>
    <col min="5" max="5" width="32.44140625" style="3" customWidth="1"/>
    <col min="6" max="6" width="25.5546875" style="3" customWidth="1"/>
    <col min="7" max="7" width="23" style="3" customWidth="1"/>
    <col min="8" max="8" width="31.33203125" style="3" customWidth="1"/>
    <col min="9" max="10" width="23" style="3" customWidth="1"/>
    <col min="11" max="11" width="19" style="3" customWidth="1"/>
    <col min="12" max="12" width="8.6640625" style="3" customWidth="1"/>
    <col min="13" max="13" width="12.33203125" style="3" customWidth="1"/>
    <col min="14" max="14" width="13.33203125" style="3" customWidth="1"/>
    <col min="15" max="15" width="15.33203125" style="3" customWidth="1"/>
    <col min="16" max="16" width="11" style="3" customWidth="1"/>
    <col min="17" max="20" width="15.33203125" style="3" customWidth="1"/>
    <col min="21" max="21" width="7.6640625" style="3" hidden="1" customWidth="1"/>
    <col min="22" max="22" width="12.44140625" style="3" hidden="1" customWidth="1"/>
    <col min="23" max="38" width="6.5546875" style="3" hidden="1" customWidth="1"/>
    <col min="39" max="39" width="15.33203125" style="3" customWidth="1"/>
    <col min="40" max="40" width="11.33203125" style="3" customWidth="1"/>
    <col min="41" max="41" width="6.33203125" style="3" customWidth="1"/>
    <col min="42" max="45" width="4.6640625" style="3" customWidth="1"/>
    <col min="46" max="46" width="6.33203125" style="3" customWidth="1"/>
    <col min="47" max="61" width="4.6640625" style="3" customWidth="1"/>
    <col min="62" max="16384" width="8.6640625" style="3"/>
  </cols>
  <sheetData>
    <row r="1" spans="1:10" ht="24" customHeight="1" x14ac:dyDescent="0.25">
      <c r="A1" s="491" t="str">
        <f>"Water Heater - "&amp;Prototype!A2</f>
        <v>Water Heater - RetailStripMall</v>
      </c>
      <c r="B1" s="469"/>
      <c r="C1" s="469"/>
      <c r="D1" s="469"/>
      <c r="E1" s="469"/>
      <c r="F1" s="469"/>
      <c r="G1" s="469"/>
    </row>
    <row r="2" spans="1:10" ht="22.35" customHeight="1" x14ac:dyDescent="0.25">
      <c r="A2" s="219" t="s">
        <v>147</v>
      </c>
      <c r="B2" s="219" t="s">
        <v>276</v>
      </c>
      <c r="C2" s="219" t="s">
        <v>277</v>
      </c>
      <c r="D2" s="382" t="s">
        <v>278</v>
      </c>
      <c r="E2" s="248" t="s">
        <v>279</v>
      </c>
      <c r="F2" s="248" t="s">
        <v>280</v>
      </c>
      <c r="G2" s="248" t="s">
        <v>214</v>
      </c>
      <c r="H2" s="249"/>
    </row>
    <row r="3" spans="1:10" ht="61.5" customHeight="1" x14ac:dyDescent="0.25">
      <c r="A3" s="321" t="s">
        <v>215</v>
      </c>
      <c r="B3" s="321" t="s">
        <v>281</v>
      </c>
      <c r="C3" s="250">
        <v>1</v>
      </c>
      <c r="D3" s="383">
        <v>1</v>
      </c>
      <c r="E3" s="367" t="s">
        <v>282</v>
      </c>
      <c r="F3" s="367" t="s">
        <v>283</v>
      </c>
      <c r="G3" s="367" t="s">
        <v>284</v>
      </c>
      <c r="H3" s="251"/>
    </row>
    <row r="4" spans="1:10" ht="63.75" customHeight="1" x14ac:dyDescent="0.25">
      <c r="A4" s="321" t="s">
        <v>221</v>
      </c>
      <c r="B4" s="321" t="s">
        <v>281</v>
      </c>
      <c r="C4" s="250">
        <v>1</v>
      </c>
      <c r="D4" s="383">
        <v>1</v>
      </c>
      <c r="E4" s="367" t="s">
        <v>282</v>
      </c>
      <c r="F4" s="367" t="s">
        <v>283</v>
      </c>
      <c r="G4" s="367" t="s">
        <v>284</v>
      </c>
      <c r="H4" s="251"/>
    </row>
    <row r="5" spans="1:10" ht="14.7" customHeight="1" x14ac:dyDescent="0.25">
      <c r="A5" s="317"/>
      <c r="B5" s="317"/>
      <c r="C5" s="317"/>
      <c r="D5" s="317"/>
    </row>
    <row r="6" spans="1:10" ht="24" customHeight="1" x14ac:dyDescent="0.25">
      <c r="A6" s="500" t="s">
        <v>285</v>
      </c>
      <c r="B6" s="459"/>
      <c r="C6" s="459"/>
      <c r="D6" s="459"/>
      <c r="E6" s="459"/>
      <c r="F6" s="459"/>
      <c r="G6" s="459"/>
      <c r="H6" s="459"/>
    </row>
    <row r="7" spans="1:10" ht="61.95" customHeight="1" x14ac:dyDescent="0.25">
      <c r="A7" s="129" t="s">
        <v>286</v>
      </c>
      <c r="B7" s="112" t="s">
        <v>287</v>
      </c>
      <c r="C7" s="130" t="s">
        <v>288</v>
      </c>
      <c r="D7" s="130" t="s">
        <v>110</v>
      </c>
      <c r="E7" s="130" t="s">
        <v>289</v>
      </c>
      <c r="F7" s="130" t="s">
        <v>290</v>
      </c>
      <c r="G7" s="130" t="s">
        <v>291</v>
      </c>
      <c r="H7" s="65" t="s">
        <v>149</v>
      </c>
    </row>
    <row r="8" spans="1:10" ht="28.95" customHeight="1" x14ac:dyDescent="0.25">
      <c r="A8" s="131" t="str">
        <f>Zones!B3</f>
        <v>LG_Store_1</v>
      </c>
      <c r="B8" s="268" t="s">
        <v>281</v>
      </c>
      <c r="C8" s="269">
        <f>Zones!J3</f>
        <v>3750.0386048999994</v>
      </c>
      <c r="D8" s="270">
        <f>Zones!M3</f>
        <v>63.750656283299989</v>
      </c>
      <c r="E8" s="271">
        <v>0.18</v>
      </c>
      <c r="F8" s="132">
        <f>E8*D8</f>
        <v>11.475118130993998</v>
      </c>
      <c r="G8" s="272">
        <f>F8/60</f>
        <v>0.19125196884989998</v>
      </c>
      <c r="H8" s="501" t="s">
        <v>292</v>
      </c>
    </row>
    <row r="9" spans="1:10" ht="28.95" customHeight="1" x14ac:dyDescent="0.25">
      <c r="A9" s="131" t="str">
        <f>Zones!B4</f>
        <v>SM_Store_1</v>
      </c>
      <c r="B9" s="268" t="s">
        <v>281</v>
      </c>
      <c r="C9" s="269">
        <f>Zones!J4</f>
        <v>1874.9654828999999</v>
      </c>
      <c r="D9" s="270">
        <f>Zones!M4</f>
        <v>31.874413209299998</v>
      </c>
      <c r="E9" s="271">
        <v>0.18</v>
      </c>
      <c r="F9" s="132">
        <f t="shared" ref="F9:F11" si="0">E9*D9</f>
        <v>5.7373943776739997</v>
      </c>
      <c r="G9" s="272">
        <f t="shared" ref="G9:G11" si="1">F9/60</f>
        <v>9.5623239627899995E-2</v>
      </c>
      <c r="H9" s="502"/>
    </row>
    <row r="10" spans="1:10" ht="28.95" customHeight="1" x14ac:dyDescent="0.25">
      <c r="A10" s="131" t="str">
        <f>Zones!B5</f>
        <v>SM_Store_2</v>
      </c>
      <c r="B10" s="268" t="s">
        <v>281</v>
      </c>
      <c r="C10" s="269">
        <f>Zones!J5</f>
        <v>1874.9654828999999</v>
      </c>
      <c r="D10" s="270">
        <f>Zones!M5</f>
        <v>31.874413209299998</v>
      </c>
      <c r="E10" s="271">
        <v>0.18</v>
      </c>
      <c r="F10" s="132">
        <f t="shared" si="0"/>
        <v>5.7373943776739997</v>
      </c>
      <c r="G10" s="272">
        <f t="shared" si="1"/>
        <v>9.5623239627899995E-2</v>
      </c>
      <c r="H10" s="502"/>
    </row>
    <row r="11" spans="1:10" s="4" customFormat="1" ht="28.95" customHeight="1" x14ac:dyDescent="0.25">
      <c r="A11" s="133" t="str">
        <f>Zones!B6</f>
        <v>SM_Store_3</v>
      </c>
      <c r="B11" s="268" t="s">
        <v>281</v>
      </c>
      <c r="C11" s="269">
        <f>Zones!J6</f>
        <v>1874.9654828999999</v>
      </c>
      <c r="D11" s="270">
        <f>Zones!M6</f>
        <v>31.874413209299998</v>
      </c>
      <c r="E11" s="271">
        <v>0.18</v>
      </c>
      <c r="F11" s="134">
        <f t="shared" si="0"/>
        <v>5.7373943776739997</v>
      </c>
      <c r="G11" s="272">
        <f t="shared" si="1"/>
        <v>9.5623239627899995E-2</v>
      </c>
      <c r="H11" s="503"/>
    </row>
    <row r="12" spans="1:10" ht="20.25" customHeight="1" x14ac:dyDescent="0.25">
      <c r="A12" s="252" t="s">
        <v>293</v>
      </c>
      <c r="B12" s="504" t="s">
        <v>294</v>
      </c>
      <c r="C12" s="505"/>
      <c r="D12" s="505"/>
      <c r="E12" s="506"/>
      <c r="F12" s="283">
        <f>_xlfn.LET(
  _xlpm.g,SUMIF($B$8:$B$11,"Gas*",$F$8:$F$11),
  _xlpm.e,SUMIF($B$8:$B$11,"Electric*",$F$8:$F$11),
  IF(AND(_xlpm.g&gt;0,_xlpm.e&gt;0),_xlpm.g,IF(_xlpm.g&gt;0,MAX(75,_xlpm.g),0)))</f>
        <v>0</v>
      </c>
      <c r="G12" s="253"/>
      <c r="H12" s="507" t="s">
        <v>295</v>
      </c>
    </row>
    <row r="13" spans="1:10" ht="19.5" customHeight="1" x14ac:dyDescent="0.25">
      <c r="A13" s="252" t="s">
        <v>296</v>
      </c>
      <c r="B13" s="504" t="s">
        <v>297</v>
      </c>
      <c r="C13" s="505"/>
      <c r="D13" s="505"/>
      <c r="E13" s="506"/>
      <c r="F13" s="283">
        <f>_xlfn.LET(
  _xlpm.g,SUMIF($B$8:$B$11,"Gas*",$F$8:$F$11),
  _xlpm.e,SUMIF($B$8:$B$11,"Electric*",$F$8:$F$11),
  IF(AND(_xlpm.g&gt;0,_xlpm.e&gt;0),_xlpm.e,IF(_xlpm.e&gt;0,MAX(75,_xlpm.e),0)))</f>
        <v>75</v>
      </c>
      <c r="G13" s="253"/>
      <c r="H13" s="508"/>
    </row>
    <row r="14" spans="1:10" s="254" customFormat="1" ht="14.4" x14ac:dyDescent="0.3">
      <c r="A14"/>
      <c r="B14"/>
      <c r="C14"/>
      <c r="D14"/>
      <c r="E14"/>
      <c r="F14"/>
      <c r="G14"/>
      <c r="H14"/>
      <c r="I14"/>
      <c r="J14"/>
    </row>
    <row r="15" spans="1:10" s="254" customFormat="1" ht="14.4" x14ac:dyDescent="0.3">
      <c r="A15"/>
      <c r="B15"/>
      <c r="C15"/>
      <c r="D15"/>
      <c r="E15"/>
      <c r="F15"/>
      <c r="G15"/>
      <c r="H15"/>
      <c r="I15"/>
      <c r="J15"/>
    </row>
    <row r="16" spans="1:10" s="254" customFormat="1" ht="14.4" x14ac:dyDescent="0.3">
      <c r="A16"/>
      <c r="B16"/>
      <c r="C16"/>
      <c r="D16"/>
      <c r="E16"/>
      <c r="F16"/>
      <c r="G16"/>
      <c r="H16"/>
      <c r="I16"/>
      <c r="J16"/>
    </row>
    <row r="17" spans="1:12" s="254" customFormat="1" ht="15" customHeight="1" x14ac:dyDescent="0.3">
      <c r="A17" s="384" t="s">
        <v>298</v>
      </c>
      <c r="B17" s="385">
        <v>135</v>
      </c>
      <c r="C17" s="386" t="s">
        <v>299</v>
      </c>
      <c r="D17" s="255"/>
      <c r="E17" s="255"/>
      <c r="F17"/>
      <c r="G17"/>
      <c r="H17"/>
      <c r="I17"/>
      <c r="J17"/>
    </row>
    <row r="18" spans="1:12" s="254" customFormat="1" ht="15" customHeight="1" x14ac:dyDescent="0.3">
      <c r="A18" s="255" t="s">
        <v>300</v>
      </c>
      <c r="B18" s="387">
        <v>0.6</v>
      </c>
      <c r="C18" s="386" t="s">
        <v>301</v>
      </c>
      <c r="D18" s="256"/>
      <c r="E18" s="256"/>
      <c r="F18"/>
      <c r="G18"/>
      <c r="H18"/>
      <c r="I18"/>
      <c r="J18"/>
    </row>
    <row r="19" spans="1:12" s="254" customFormat="1" ht="14.4" x14ac:dyDescent="0.3">
      <c r="A19" s="388" t="s">
        <v>302</v>
      </c>
      <c r="B19" s="389">
        <v>8.2876999999999992</v>
      </c>
      <c r="C19" s="386" t="s">
        <v>301</v>
      </c>
      <c r="D19" s="386"/>
      <c r="E19" s="386"/>
      <c r="F19"/>
      <c r="G19"/>
      <c r="H19"/>
      <c r="I19"/>
      <c r="J19"/>
    </row>
    <row r="20" spans="1:12" s="254" customFormat="1" ht="14.4" x14ac:dyDescent="0.3">
      <c r="A20" s="254" t="s">
        <v>303</v>
      </c>
      <c r="B20" s="257">
        <v>0.4</v>
      </c>
      <c r="C20" s="258" t="s">
        <v>304</v>
      </c>
      <c r="D20" s="258"/>
      <c r="F20" s="258"/>
      <c r="G20" s="258"/>
    </row>
    <row r="21" spans="1:12" s="254" customFormat="1" ht="26.1" customHeight="1" x14ac:dyDescent="0.25">
      <c r="A21" s="492" t="s">
        <v>305</v>
      </c>
      <c r="B21" s="493"/>
      <c r="C21" s="493"/>
      <c r="D21" s="493"/>
      <c r="E21" s="493"/>
      <c r="F21" s="493"/>
      <c r="G21" s="493"/>
      <c r="H21" s="493"/>
      <c r="I21" s="493"/>
      <c r="J21" s="493"/>
      <c r="K21" s="493"/>
    </row>
    <row r="22" spans="1:12" s="254" customFormat="1" ht="48.75" customHeight="1" x14ac:dyDescent="0.3">
      <c r="A22" s="390" t="s">
        <v>306</v>
      </c>
      <c r="B22" s="390" t="s">
        <v>307</v>
      </c>
      <c r="C22" s="390" t="s">
        <v>308</v>
      </c>
      <c r="D22" s="390" t="s">
        <v>309</v>
      </c>
      <c r="E22" s="390" t="s">
        <v>310</v>
      </c>
      <c r="F22" s="390" t="s">
        <v>311</v>
      </c>
      <c r="G22" s="494" t="s">
        <v>312</v>
      </c>
      <c r="H22" s="495"/>
      <c r="I22" s="496" t="s">
        <v>313</v>
      </c>
      <c r="J22" s="496"/>
      <c r="K22" s="391" t="s">
        <v>314</v>
      </c>
      <c r="L22"/>
    </row>
    <row r="23" spans="1:12" s="254" customFormat="1" ht="18.75" customHeight="1" x14ac:dyDescent="0.25">
      <c r="A23" s="392" t="s">
        <v>315</v>
      </c>
      <c r="B23" s="393">
        <v>47.9</v>
      </c>
      <c r="C23" s="394">
        <f t="shared" ref="C23:C38" si="2">$F$13*($B$17-B23)*$B$19</f>
        <v>54139.400249999992</v>
      </c>
      <c r="D23" s="394">
        <f t="shared" ref="D23:D38" si="3">C23*$B$18</f>
        <v>32483.640149999992</v>
      </c>
      <c r="E23" s="394">
        <f t="shared" ref="E23:E38" si="4">_xlfn.LET(_xlpm.x,_xlfn.XLOOKUP(D23,$D$44:$D$58,$D$44:$D$58,"",1),IF(_xlpm.x="",ROUNDUP(D23,0),_xlpm.x))</f>
        <v>34121</v>
      </c>
      <c r="F23" s="394">
        <f t="shared" ref="F23:F38" si="5">_xlfn.LET(_xlpm.v,MAX(30,$F$13*$B$20),_xlpm.x,_xlfn.XLOOKUP(_xlpm.v,$G$44:$G$58,$G$44:$G$58,"",1),IF(_xlpm.x="",ROUNDUP(_xlpm.v,0),_xlpm.x))</f>
        <v>30</v>
      </c>
      <c r="G23" s="395">
        <f t="shared" ref="G23:G38" si="6">0.3+27/F23</f>
        <v>1.2</v>
      </c>
      <c r="H23" s="394" t="str">
        <f t="shared" ref="H23:H38" si="7">IF($F$13&gt;0,"%/hr","Btu/hr")</f>
        <v>%/hr</v>
      </c>
      <c r="I23" s="396">
        <f t="shared" ref="I23:I38" si="8">0.0834*G23*F23</f>
        <v>3.0024000000000002</v>
      </c>
      <c r="J23" s="397" t="s">
        <v>316</v>
      </c>
      <c r="K23" s="497" t="s">
        <v>317</v>
      </c>
    </row>
    <row r="24" spans="1:12" s="254" customFormat="1" ht="18.75" customHeight="1" x14ac:dyDescent="0.25">
      <c r="A24" s="392" t="s">
        <v>318</v>
      </c>
      <c r="B24" s="393">
        <v>50.8</v>
      </c>
      <c r="C24" s="394">
        <f t="shared" si="2"/>
        <v>52336.825499999992</v>
      </c>
      <c r="D24" s="394">
        <f t="shared" si="3"/>
        <v>31402.095299999994</v>
      </c>
      <c r="E24" s="394">
        <f t="shared" si="4"/>
        <v>34121</v>
      </c>
      <c r="F24" s="394">
        <f t="shared" si="5"/>
        <v>30</v>
      </c>
      <c r="G24" s="395">
        <f t="shared" si="6"/>
        <v>1.2</v>
      </c>
      <c r="H24" s="394" t="str">
        <f t="shared" si="7"/>
        <v>%/hr</v>
      </c>
      <c r="I24" s="396">
        <f t="shared" si="8"/>
        <v>3.0024000000000002</v>
      </c>
      <c r="J24" s="397" t="s">
        <v>316</v>
      </c>
      <c r="K24" s="498"/>
    </row>
    <row r="25" spans="1:12" s="254" customFormat="1" ht="18.75" customHeight="1" x14ac:dyDescent="0.25">
      <c r="A25" s="392" t="s">
        <v>319</v>
      </c>
      <c r="B25" s="393">
        <v>52.2</v>
      </c>
      <c r="C25" s="394">
        <f t="shared" si="2"/>
        <v>51466.616999999998</v>
      </c>
      <c r="D25" s="394">
        <f t="shared" si="3"/>
        <v>30879.970199999996</v>
      </c>
      <c r="E25" s="394">
        <f t="shared" si="4"/>
        <v>34121</v>
      </c>
      <c r="F25" s="394">
        <f t="shared" si="5"/>
        <v>30</v>
      </c>
      <c r="G25" s="395">
        <f t="shared" si="6"/>
        <v>1.2</v>
      </c>
      <c r="H25" s="394" t="str">
        <f t="shared" si="7"/>
        <v>%/hr</v>
      </c>
      <c r="I25" s="396">
        <f t="shared" si="8"/>
        <v>3.0024000000000002</v>
      </c>
      <c r="J25" s="397" t="s">
        <v>316</v>
      </c>
      <c r="K25" s="498"/>
    </row>
    <row r="26" spans="1:12" s="254" customFormat="1" ht="18.75" customHeight="1" x14ac:dyDescent="0.25">
      <c r="A26" s="392" t="s">
        <v>320</v>
      </c>
      <c r="B26" s="393">
        <v>52.7</v>
      </c>
      <c r="C26" s="394">
        <f t="shared" si="2"/>
        <v>51155.828249999991</v>
      </c>
      <c r="D26" s="394">
        <f t="shared" si="3"/>
        <v>30693.496949999993</v>
      </c>
      <c r="E26" s="394">
        <f t="shared" si="4"/>
        <v>30709</v>
      </c>
      <c r="F26" s="394">
        <f t="shared" si="5"/>
        <v>30</v>
      </c>
      <c r="G26" s="395">
        <f t="shared" si="6"/>
        <v>1.2</v>
      </c>
      <c r="H26" s="394" t="str">
        <f t="shared" si="7"/>
        <v>%/hr</v>
      </c>
      <c r="I26" s="396">
        <f t="shared" si="8"/>
        <v>3.0024000000000002</v>
      </c>
      <c r="J26" s="397" t="s">
        <v>316</v>
      </c>
      <c r="K26" s="498"/>
    </row>
    <row r="27" spans="1:12" s="254" customFormat="1" ht="18.75" customHeight="1" x14ac:dyDescent="0.25">
      <c r="A27" s="392" t="s">
        <v>321</v>
      </c>
      <c r="B27" s="393">
        <v>51.6</v>
      </c>
      <c r="C27" s="394">
        <f t="shared" si="2"/>
        <v>51839.563499999997</v>
      </c>
      <c r="D27" s="394">
        <f t="shared" si="3"/>
        <v>31103.738099999995</v>
      </c>
      <c r="E27" s="394">
        <f t="shared" si="4"/>
        <v>34121</v>
      </c>
      <c r="F27" s="394">
        <f t="shared" si="5"/>
        <v>30</v>
      </c>
      <c r="G27" s="395">
        <f t="shared" si="6"/>
        <v>1.2</v>
      </c>
      <c r="H27" s="394" t="str">
        <f t="shared" si="7"/>
        <v>%/hr</v>
      </c>
      <c r="I27" s="396">
        <f t="shared" si="8"/>
        <v>3.0024000000000002</v>
      </c>
      <c r="J27" s="397" t="s">
        <v>316</v>
      </c>
      <c r="K27" s="498"/>
    </row>
    <row r="28" spans="1:12" s="254" customFormat="1" ht="18.75" customHeight="1" x14ac:dyDescent="0.25">
      <c r="A28" s="392" t="s">
        <v>322</v>
      </c>
      <c r="B28" s="393">
        <v>56.8</v>
      </c>
      <c r="C28" s="394">
        <f t="shared" si="2"/>
        <v>48607.360499999995</v>
      </c>
      <c r="D28" s="394">
        <f t="shared" si="3"/>
        <v>29164.416299999997</v>
      </c>
      <c r="E28" s="394">
        <f t="shared" si="4"/>
        <v>30709</v>
      </c>
      <c r="F28" s="394">
        <f t="shared" si="5"/>
        <v>30</v>
      </c>
      <c r="G28" s="395">
        <f t="shared" si="6"/>
        <v>1.2</v>
      </c>
      <c r="H28" s="394" t="str">
        <f t="shared" si="7"/>
        <v>%/hr</v>
      </c>
      <c r="I28" s="396">
        <f t="shared" si="8"/>
        <v>3.0024000000000002</v>
      </c>
      <c r="J28" s="397" t="s">
        <v>316</v>
      </c>
      <c r="K28" s="498"/>
    </row>
    <row r="29" spans="1:12" s="254" customFormat="1" ht="18.75" customHeight="1" x14ac:dyDescent="0.25">
      <c r="A29" s="392" t="s">
        <v>323</v>
      </c>
      <c r="B29" s="393">
        <v>58.4</v>
      </c>
      <c r="C29" s="394">
        <f t="shared" si="2"/>
        <v>47612.836499999998</v>
      </c>
      <c r="D29" s="394">
        <f t="shared" si="3"/>
        <v>28567.701899999996</v>
      </c>
      <c r="E29" s="394">
        <f t="shared" si="4"/>
        <v>30709</v>
      </c>
      <c r="F29" s="394">
        <f t="shared" si="5"/>
        <v>30</v>
      </c>
      <c r="G29" s="395">
        <f t="shared" si="6"/>
        <v>1.2</v>
      </c>
      <c r="H29" s="394" t="str">
        <f t="shared" si="7"/>
        <v>%/hr</v>
      </c>
      <c r="I29" s="396">
        <f t="shared" si="8"/>
        <v>3.0024000000000002</v>
      </c>
      <c r="J29" s="397" t="s">
        <v>316</v>
      </c>
      <c r="K29" s="498"/>
    </row>
    <row r="30" spans="1:12" s="254" customFormat="1" ht="18.75" customHeight="1" x14ac:dyDescent="0.25">
      <c r="A30" s="392" t="s">
        <v>324</v>
      </c>
      <c r="B30" s="393">
        <v>58.4</v>
      </c>
      <c r="C30" s="394">
        <f t="shared" si="2"/>
        <v>47612.836499999998</v>
      </c>
      <c r="D30" s="394">
        <f t="shared" si="3"/>
        <v>28567.701899999996</v>
      </c>
      <c r="E30" s="394">
        <f t="shared" si="4"/>
        <v>30709</v>
      </c>
      <c r="F30" s="394">
        <f t="shared" si="5"/>
        <v>30</v>
      </c>
      <c r="G30" s="395">
        <f t="shared" si="6"/>
        <v>1.2</v>
      </c>
      <c r="H30" s="394" t="str">
        <f t="shared" si="7"/>
        <v>%/hr</v>
      </c>
      <c r="I30" s="396">
        <f t="shared" si="8"/>
        <v>3.0024000000000002</v>
      </c>
      <c r="J30" s="397" t="s">
        <v>316</v>
      </c>
      <c r="K30" s="498"/>
    </row>
    <row r="31" spans="1:12" s="254" customFormat="1" ht="18.75" customHeight="1" x14ac:dyDescent="0.25">
      <c r="A31" s="392" t="s">
        <v>325</v>
      </c>
      <c r="B31" s="393">
        <v>57.6</v>
      </c>
      <c r="C31" s="394">
        <f t="shared" si="2"/>
        <v>48110.098499999993</v>
      </c>
      <c r="D31" s="394">
        <f t="shared" si="3"/>
        <v>28866.059099999995</v>
      </c>
      <c r="E31" s="394">
        <f t="shared" si="4"/>
        <v>30709</v>
      </c>
      <c r="F31" s="394">
        <f t="shared" si="5"/>
        <v>30</v>
      </c>
      <c r="G31" s="395">
        <f t="shared" si="6"/>
        <v>1.2</v>
      </c>
      <c r="H31" s="394" t="str">
        <f t="shared" si="7"/>
        <v>%/hr</v>
      </c>
      <c r="I31" s="396">
        <f t="shared" si="8"/>
        <v>3.0024000000000002</v>
      </c>
      <c r="J31" s="397" t="s">
        <v>316</v>
      </c>
      <c r="K31" s="498"/>
    </row>
    <row r="32" spans="1:12" s="254" customFormat="1" ht="18.75" customHeight="1" x14ac:dyDescent="0.25">
      <c r="A32" s="392" t="s">
        <v>159</v>
      </c>
      <c r="B32" s="393">
        <v>57.1</v>
      </c>
      <c r="C32" s="394">
        <f t="shared" si="2"/>
        <v>48420.887249999992</v>
      </c>
      <c r="D32" s="394">
        <f t="shared" si="3"/>
        <v>29052.532349999994</v>
      </c>
      <c r="E32" s="394">
        <f t="shared" si="4"/>
        <v>30709</v>
      </c>
      <c r="F32" s="394">
        <f t="shared" si="5"/>
        <v>30</v>
      </c>
      <c r="G32" s="395">
        <f t="shared" si="6"/>
        <v>1.2</v>
      </c>
      <c r="H32" s="394" t="str">
        <f t="shared" si="7"/>
        <v>%/hr</v>
      </c>
      <c r="I32" s="396">
        <f t="shared" si="8"/>
        <v>3.0024000000000002</v>
      </c>
      <c r="J32" s="397" t="s">
        <v>316</v>
      </c>
      <c r="K32" s="498"/>
    </row>
    <row r="33" spans="1:11" s="254" customFormat="1" ht="18.75" customHeight="1" x14ac:dyDescent="0.25">
      <c r="A33" s="392" t="s">
        <v>160</v>
      </c>
      <c r="B33" s="393">
        <v>50.5</v>
      </c>
      <c r="C33" s="394">
        <f t="shared" si="2"/>
        <v>52523.298749999994</v>
      </c>
      <c r="D33" s="394">
        <f t="shared" si="3"/>
        <v>31513.979249999997</v>
      </c>
      <c r="E33" s="394">
        <f t="shared" si="4"/>
        <v>34121</v>
      </c>
      <c r="F33" s="394">
        <f t="shared" si="5"/>
        <v>30</v>
      </c>
      <c r="G33" s="395">
        <f t="shared" si="6"/>
        <v>1.2</v>
      </c>
      <c r="H33" s="394" t="str">
        <f t="shared" si="7"/>
        <v>%/hr</v>
      </c>
      <c r="I33" s="396">
        <f t="shared" si="8"/>
        <v>3.0024000000000002</v>
      </c>
      <c r="J33" s="397" t="s">
        <v>316</v>
      </c>
      <c r="K33" s="498"/>
    </row>
    <row r="34" spans="1:11" s="254" customFormat="1" ht="18.75" customHeight="1" x14ac:dyDescent="0.25">
      <c r="A34" s="392" t="s">
        <v>161</v>
      </c>
      <c r="B34" s="393">
        <v>51.4</v>
      </c>
      <c r="C34" s="394">
        <f t="shared" si="2"/>
        <v>51963.878999999994</v>
      </c>
      <c r="D34" s="394">
        <f t="shared" si="3"/>
        <v>31178.327399999995</v>
      </c>
      <c r="E34" s="394">
        <f t="shared" si="4"/>
        <v>34121</v>
      </c>
      <c r="F34" s="394">
        <f t="shared" si="5"/>
        <v>30</v>
      </c>
      <c r="G34" s="395">
        <f t="shared" si="6"/>
        <v>1.2</v>
      </c>
      <c r="H34" s="394" t="str">
        <f t="shared" si="7"/>
        <v>%/hr</v>
      </c>
      <c r="I34" s="396">
        <f t="shared" si="8"/>
        <v>3.0024000000000002</v>
      </c>
      <c r="J34" s="397" t="s">
        <v>316</v>
      </c>
      <c r="K34" s="498"/>
    </row>
    <row r="35" spans="1:11" s="254" customFormat="1" ht="18.75" customHeight="1" x14ac:dyDescent="0.25">
      <c r="A35" s="392" t="s">
        <v>162</v>
      </c>
      <c r="B35" s="393">
        <v>51.7</v>
      </c>
      <c r="C35" s="394">
        <f t="shared" si="2"/>
        <v>51777.405749999998</v>
      </c>
      <c r="D35" s="394">
        <f t="shared" si="3"/>
        <v>31066.443449999999</v>
      </c>
      <c r="E35" s="394">
        <f t="shared" si="4"/>
        <v>34121</v>
      </c>
      <c r="F35" s="394">
        <f t="shared" si="5"/>
        <v>30</v>
      </c>
      <c r="G35" s="395">
        <f t="shared" si="6"/>
        <v>1.2</v>
      </c>
      <c r="H35" s="394" t="str">
        <f t="shared" si="7"/>
        <v>%/hr</v>
      </c>
      <c r="I35" s="396">
        <f t="shared" si="8"/>
        <v>3.0024000000000002</v>
      </c>
      <c r="J35" s="397" t="s">
        <v>316</v>
      </c>
      <c r="K35" s="498"/>
    </row>
    <row r="36" spans="1:11" s="254" customFormat="1" ht="18.75" customHeight="1" x14ac:dyDescent="0.25">
      <c r="A36" s="392" t="s">
        <v>163</v>
      </c>
      <c r="B36" s="393">
        <v>50.1</v>
      </c>
      <c r="C36" s="394">
        <f t="shared" si="2"/>
        <v>52771.929749999996</v>
      </c>
      <c r="D36" s="394">
        <f t="shared" si="3"/>
        <v>31663.157849999996</v>
      </c>
      <c r="E36" s="394">
        <f t="shared" si="4"/>
        <v>34121</v>
      </c>
      <c r="F36" s="394">
        <f t="shared" si="5"/>
        <v>30</v>
      </c>
      <c r="G36" s="395">
        <f t="shared" si="6"/>
        <v>1.2</v>
      </c>
      <c r="H36" s="394" t="str">
        <f t="shared" si="7"/>
        <v>%/hr</v>
      </c>
      <c r="I36" s="396">
        <f t="shared" si="8"/>
        <v>3.0024000000000002</v>
      </c>
      <c r="J36" s="397" t="s">
        <v>316</v>
      </c>
      <c r="K36" s="498"/>
    </row>
    <row r="37" spans="1:11" s="254" customFormat="1" ht="18.75" customHeight="1" x14ac:dyDescent="0.25">
      <c r="A37" s="392" t="s">
        <v>164</v>
      </c>
      <c r="B37" s="393">
        <v>63.2</v>
      </c>
      <c r="C37" s="394">
        <f t="shared" si="2"/>
        <v>44629.264499999997</v>
      </c>
      <c r="D37" s="394">
        <f t="shared" si="3"/>
        <v>26777.558699999998</v>
      </c>
      <c r="E37" s="394">
        <f t="shared" si="4"/>
        <v>27297</v>
      </c>
      <c r="F37" s="394">
        <f t="shared" si="5"/>
        <v>30</v>
      </c>
      <c r="G37" s="395">
        <f t="shared" si="6"/>
        <v>1.2</v>
      </c>
      <c r="H37" s="394" t="str">
        <f t="shared" si="7"/>
        <v>%/hr</v>
      </c>
      <c r="I37" s="396">
        <f t="shared" si="8"/>
        <v>3.0024000000000002</v>
      </c>
      <c r="J37" s="397" t="s">
        <v>316</v>
      </c>
      <c r="K37" s="498"/>
    </row>
    <row r="38" spans="1:11" s="254" customFormat="1" ht="18.75" customHeight="1" x14ac:dyDescent="0.25">
      <c r="A38" s="392" t="s">
        <v>165</v>
      </c>
      <c r="B38" s="393">
        <v>41.4</v>
      </c>
      <c r="C38" s="394">
        <f t="shared" si="2"/>
        <v>58179.653999999995</v>
      </c>
      <c r="D38" s="394">
        <f t="shared" si="3"/>
        <v>34907.792399999998</v>
      </c>
      <c r="E38" s="394">
        <f t="shared" si="4"/>
        <v>40946</v>
      </c>
      <c r="F38" s="394">
        <f t="shared" si="5"/>
        <v>30</v>
      </c>
      <c r="G38" s="395">
        <f t="shared" si="6"/>
        <v>1.2</v>
      </c>
      <c r="H38" s="394" t="str">
        <f t="shared" si="7"/>
        <v>%/hr</v>
      </c>
      <c r="I38" s="396">
        <f t="shared" si="8"/>
        <v>3.0024000000000002</v>
      </c>
      <c r="J38" s="397" t="s">
        <v>316</v>
      </c>
      <c r="K38" s="499"/>
    </row>
    <row r="39" spans="1:11" s="254" customFormat="1" ht="14.4" x14ac:dyDescent="0.3">
      <c r="C39" s="258"/>
      <c r="D39" s="258"/>
      <c r="F39" s="258"/>
      <c r="G39" s="258"/>
    </row>
    <row r="40" spans="1:11" s="254" customFormat="1" ht="14.4" x14ac:dyDescent="0.3">
      <c r="C40" s="258"/>
      <c r="D40" s="258"/>
      <c r="F40" s="258"/>
      <c r="G40" s="258"/>
    </row>
    <row r="41" spans="1:11" s="254" customFormat="1" ht="14.4" x14ac:dyDescent="0.3">
      <c r="C41" s="258"/>
      <c r="D41" s="258"/>
      <c r="F41" s="258"/>
      <c r="G41" s="258"/>
    </row>
    <row r="42" spans="1:11" s="254" customFormat="1" ht="20.399999999999999" customHeight="1" x14ac:dyDescent="0.25">
      <c r="A42" s="490" t="s">
        <v>326</v>
      </c>
      <c r="B42" s="459"/>
      <c r="C42" s="459"/>
      <c r="D42" s="459"/>
      <c r="E42" s="459"/>
      <c r="F42" s="459"/>
      <c r="G42" s="459"/>
      <c r="H42" s="459"/>
    </row>
    <row r="43" spans="1:11" s="259" customFormat="1" ht="26.4" x14ac:dyDescent="0.25">
      <c r="A43" s="398" t="s">
        <v>327</v>
      </c>
      <c r="B43" s="399" t="s">
        <v>328</v>
      </c>
      <c r="C43" s="400" t="s">
        <v>329</v>
      </c>
      <c r="D43" s="401" t="s">
        <v>330</v>
      </c>
      <c r="E43" s="401" t="s">
        <v>331</v>
      </c>
      <c r="F43" s="401" t="s">
        <v>332</v>
      </c>
      <c r="G43" s="402" t="s">
        <v>333</v>
      </c>
      <c r="H43" s="403" t="s">
        <v>334</v>
      </c>
      <c r="I43" s="267" t="str">
        <f>HYPERLINK("#'Note'!A1","Sources and links → Note tab")</f>
        <v>Sources and links → Note tab</v>
      </c>
    </row>
    <row r="44" spans="1:11" s="254" customFormat="1" ht="13.8" x14ac:dyDescent="0.25">
      <c r="A44" s="404">
        <v>60000</v>
      </c>
      <c r="B44" s="265" t="s">
        <v>335</v>
      </c>
      <c r="C44" s="405">
        <v>1.5</v>
      </c>
      <c r="D44" s="406">
        <v>5118</v>
      </c>
      <c r="E44" s="405">
        <v>34</v>
      </c>
      <c r="F44" s="405" t="s">
        <v>336</v>
      </c>
      <c r="G44" s="405">
        <v>6</v>
      </c>
      <c r="H44" s="407" t="s">
        <v>335</v>
      </c>
    </row>
    <row r="45" spans="1:11" s="254" customFormat="1" ht="13.8" x14ac:dyDescent="0.25">
      <c r="A45" s="408">
        <v>75100</v>
      </c>
      <c r="B45" s="266" t="s">
        <v>335</v>
      </c>
      <c r="C45" s="409">
        <v>2</v>
      </c>
      <c r="D45" s="410">
        <v>6824</v>
      </c>
      <c r="E45" s="409">
        <v>35</v>
      </c>
      <c r="F45" s="409" t="s">
        <v>335</v>
      </c>
      <c r="G45" s="409">
        <v>10</v>
      </c>
      <c r="H45" s="411" t="s">
        <v>335</v>
      </c>
    </row>
    <row r="46" spans="1:11" s="254" customFormat="1" ht="13.8" x14ac:dyDescent="0.25">
      <c r="A46" s="408">
        <v>76000</v>
      </c>
      <c r="B46" s="266" t="s">
        <v>337</v>
      </c>
      <c r="C46" s="409">
        <v>3</v>
      </c>
      <c r="D46" s="410">
        <v>10236</v>
      </c>
      <c r="E46" s="409">
        <v>48</v>
      </c>
      <c r="F46" s="409" t="s">
        <v>335</v>
      </c>
      <c r="G46" s="409">
        <v>15</v>
      </c>
      <c r="H46" s="411" t="s">
        <v>335</v>
      </c>
    </row>
    <row r="47" spans="1:11" s="254" customFormat="1" ht="13.8" x14ac:dyDescent="0.25">
      <c r="A47" s="408">
        <v>80000</v>
      </c>
      <c r="B47" s="266" t="s">
        <v>335</v>
      </c>
      <c r="C47" s="409">
        <v>4.5</v>
      </c>
      <c r="D47" s="410">
        <v>15355</v>
      </c>
      <c r="E47" s="409">
        <v>50</v>
      </c>
      <c r="F47" s="409" t="s">
        <v>337</v>
      </c>
      <c r="G47" s="409">
        <v>20</v>
      </c>
      <c r="H47" s="411" t="s">
        <v>335</v>
      </c>
    </row>
    <row r="48" spans="1:11" s="254" customFormat="1" ht="13.8" x14ac:dyDescent="0.25">
      <c r="A48" s="408">
        <v>99900</v>
      </c>
      <c r="B48" s="266" t="s">
        <v>336</v>
      </c>
      <c r="C48" s="409">
        <v>6</v>
      </c>
      <c r="D48" s="410">
        <v>20473</v>
      </c>
      <c r="E48" s="409">
        <v>55</v>
      </c>
      <c r="F48" s="409" t="s">
        <v>336</v>
      </c>
      <c r="G48" s="409">
        <v>28</v>
      </c>
      <c r="H48" s="411" t="s">
        <v>335</v>
      </c>
    </row>
    <row r="49" spans="1:8" s="254" customFormat="1" ht="13.8" x14ac:dyDescent="0.25">
      <c r="A49" s="408">
        <v>100000</v>
      </c>
      <c r="B49" s="266" t="s">
        <v>337</v>
      </c>
      <c r="C49" s="409">
        <v>8</v>
      </c>
      <c r="D49" s="410">
        <v>27297</v>
      </c>
      <c r="E49" s="409">
        <v>60</v>
      </c>
      <c r="F49" s="409" t="s">
        <v>336</v>
      </c>
      <c r="G49" s="409">
        <v>30</v>
      </c>
      <c r="H49" s="411" t="s">
        <v>335</v>
      </c>
    </row>
    <row r="50" spans="1:8" s="254" customFormat="1" ht="13.8" x14ac:dyDescent="0.25">
      <c r="A50" s="408">
        <v>120000</v>
      </c>
      <c r="B50" s="266" t="s">
        <v>336</v>
      </c>
      <c r="C50" s="409">
        <v>9</v>
      </c>
      <c r="D50" s="410">
        <v>30709</v>
      </c>
      <c r="E50" s="409">
        <v>65</v>
      </c>
      <c r="F50" s="409" t="s">
        <v>337</v>
      </c>
      <c r="G50" s="409">
        <v>36</v>
      </c>
      <c r="H50" s="411" t="s">
        <v>335</v>
      </c>
    </row>
    <row r="51" spans="1:8" s="254" customFormat="1" ht="13.8" x14ac:dyDescent="0.25">
      <c r="A51" s="408">
        <v>125000</v>
      </c>
      <c r="B51" s="266" t="s">
        <v>337</v>
      </c>
      <c r="C51" s="409">
        <v>10</v>
      </c>
      <c r="D51" s="410">
        <v>34121</v>
      </c>
      <c r="E51" s="409">
        <v>72</v>
      </c>
      <c r="F51" s="409" t="s">
        <v>335</v>
      </c>
      <c r="G51" s="409">
        <v>40</v>
      </c>
      <c r="H51" s="411" t="s">
        <v>335</v>
      </c>
    </row>
    <row r="52" spans="1:8" s="254" customFormat="1" ht="13.8" x14ac:dyDescent="0.25">
      <c r="A52" s="408">
        <v>130000</v>
      </c>
      <c r="B52" s="266" t="s">
        <v>337</v>
      </c>
      <c r="C52" s="409">
        <v>12</v>
      </c>
      <c r="D52" s="410">
        <v>40946</v>
      </c>
      <c r="E52" s="409">
        <v>75</v>
      </c>
      <c r="F52" s="409" t="s">
        <v>337</v>
      </c>
      <c r="G52" s="409">
        <v>47</v>
      </c>
      <c r="H52" s="411"/>
    </row>
    <row r="53" spans="1:8" s="254" customFormat="1" ht="13.8" x14ac:dyDescent="0.25">
      <c r="A53" s="408">
        <v>145000</v>
      </c>
      <c r="B53" s="266" t="s">
        <v>336</v>
      </c>
      <c r="C53" s="409">
        <v>12.1</v>
      </c>
      <c r="D53" s="410">
        <v>41287</v>
      </c>
      <c r="E53" s="409">
        <v>76</v>
      </c>
      <c r="F53" s="409" t="s">
        <v>335</v>
      </c>
      <c r="G53" s="409">
        <v>50</v>
      </c>
      <c r="H53" s="411"/>
    </row>
    <row r="54" spans="1:8" s="254" customFormat="1" ht="13.8" x14ac:dyDescent="0.25">
      <c r="A54" s="408">
        <v>150000</v>
      </c>
      <c r="B54" s="266" t="s">
        <v>336</v>
      </c>
      <c r="C54" s="409">
        <v>18</v>
      </c>
      <c r="D54" s="410">
        <v>61419</v>
      </c>
      <c r="E54" s="409">
        <v>80</v>
      </c>
      <c r="F54" s="409" t="s">
        <v>337</v>
      </c>
      <c r="G54" s="409">
        <v>65</v>
      </c>
      <c r="H54" s="411"/>
    </row>
    <row r="55" spans="1:8" s="254" customFormat="1" x14ac:dyDescent="0.25">
      <c r="A55" s="408">
        <v>156000</v>
      </c>
      <c r="B55" s="412" t="s">
        <v>335</v>
      </c>
      <c r="C55" s="409">
        <v>24</v>
      </c>
      <c r="D55" s="410">
        <v>81891</v>
      </c>
      <c r="E55" s="409">
        <v>82</v>
      </c>
      <c r="F55" s="409" t="s">
        <v>335</v>
      </c>
      <c r="G55" s="409">
        <v>80</v>
      </c>
      <c r="H55" s="411"/>
    </row>
    <row r="56" spans="1:8" s="254" customFormat="1" x14ac:dyDescent="0.25">
      <c r="A56" s="408">
        <v>160000</v>
      </c>
      <c r="B56" s="412" t="s">
        <v>337</v>
      </c>
      <c r="C56" s="409">
        <v>27</v>
      </c>
      <c r="D56" s="410">
        <v>92128</v>
      </c>
      <c r="E56" s="409">
        <v>85</v>
      </c>
      <c r="F56" s="409" t="s">
        <v>335</v>
      </c>
      <c r="G56" s="409">
        <v>85</v>
      </c>
      <c r="H56" s="411"/>
    </row>
    <row r="57" spans="1:8" s="254" customFormat="1" x14ac:dyDescent="0.25">
      <c r="A57" s="408">
        <v>175000</v>
      </c>
      <c r="B57" s="412" t="s">
        <v>336</v>
      </c>
      <c r="C57" s="409">
        <v>36</v>
      </c>
      <c r="D57" s="410">
        <v>122837</v>
      </c>
      <c r="E57" s="409">
        <v>90</v>
      </c>
      <c r="F57" s="409" t="s">
        <v>337</v>
      </c>
      <c r="G57" s="409">
        <v>105</v>
      </c>
      <c r="H57" s="411"/>
    </row>
    <row r="58" spans="1:8" s="254" customFormat="1" x14ac:dyDescent="0.25">
      <c r="A58" s="408">
        <v>180000</v>
      </c>
      <c r="B58" s="412" t="s">
        <v>335</v>
      </c>
      <c r="C58" s="409">
        <v>54</v>
      </c>
      <c r="D58" s="409">
        <v>184256</v>
      </c>
      <c r="E58" s="409">
        <v>91</v>
      </c>
      <c r="F58" s="409" t="s">
        <v>335</v>
      </c>
      <c r="G58" s="409">
        <v>120</v>
      </c>
      <c r="H58" s="411"/>
    </row>
    <row r="59" spans="1:8" s="254" customFormat="1" x14ac:dyDescent="0.25">
      <c r="A59" s="408">
        <v>199000</v>
      </c>
      <c r="B59" s="412" t="s">
        <v>336</v>
      </c>
      <c r="C59" s="409"/>
      <c r="D59" s="409"/>
      <c r="E59" s="409">
        <v>100</v>
      </c>
      <c r="F59" s="409" t="s">
        <v>337</v>
      </c>
      <c r="G59" s="409"/>
      <c r="H59" s="411"/>
    </row>
    <row r="60" spans="1:8" s="254" customFormat="1" x14ac:dyDescent="0.25">
      <c r="A60" s="408">
        <v>199900</v>
      </c>
      <c r="B60" s="412" t="s">
        <v>337</v>
      </c>
      <c r="C60" s="409"/>
      <c r="D60" s="409"/>
      <c r="E60" s="409">
        <v>110</v>
      </c>
      <c r="F60" s="409" t="s">
        <v>336</v>
      </c>
      <c r="G60" s="409"/>
      <c r="H60" s="411"/>
    </row>
    <row r="61" spans="1:8" s="254" customFormat="1" x14ac:dyDescent="0.25">
      <c r="A61" s="408">
        <v>200000</v>
      </c>
      <c r="B61" s="412" t="s">
        <v>336</v>
      </c>
      <c r="C61" s="409"/>
      <c r="D61" s="409"/>
      <c r="E61" s="409">
        <v>119</v>
      </c>
      <c r="F61" s="409" t="s">
        <v>337</v>
      </c>
      <c r="G61" s="409"/>
      <c r="H61" s="411"/>
    </row>
    <row r="62" spans="1:8" s="254" customFormat="1" x14ac:dyDescent="0.25">
      <c r="A62" s="408">
        <v>250000</v>
      </c>
      <c r="B62" s="412" t="s">
        <v>337</v>
      </c>
      <c r="C62" s="413"/>
      <c r="D62" s="413"/>
      <c r="E62" s="413">
        <v>125</v>
      </c>
      <c r="F62" s="413" t="s">
        <v>336</v>
      </c>
      <c r="G62" s="413"/>
      <c r="H62" s="414"/>
    </row>
    <row r="63" spans="1:8" s="254" customFormat="1" ht="14.4" x14ac:dyDescent="0.3">
      <c r="A63" s="408">
        <v>251000</v>
      </c>
      <c r="B63" s="412" t="s">
        <v>336</v>
      </c>
      <c r="C63"/>
      <c r="D63"/>
      <c r="E63" s="261"/>
      <c r="F63" s="260"/>
      <c r="G63" s="260"/>
    </row>
    <row r="64" spans="1:8" s="254" customFormat="1" ht="14.4" x14ac:dyDescent="0.3">
      <c r="A64" s="408">
        <v>270000</v>
      </c>
      <c r="B64" s="412" t="s">
        <v>335</v>
      </c>
      <c r="C64"/>
      <c r="D64"/>
      <c r="E64" s="261"/>
      <c r="F64" s="260"/>
      <c r="G64" s="260"/>
    </row>
    <row r="65" spans="1:7" s="254" customFormat="1" ht="14.4" x14ac:dyDescent="0.3">
      <c r="A65" s="408">
        <v>285000</v>
      </c>
      <c r="B65" s="412" t="s">
        <v>336</v>
      </c>
      <c r="C65"/>
      <c r="D65"/>
      <c r="E65" s="261"/>
      <c r="F65" s="260"/>
      <c r="G65" s="260"/>
    </row>
    <row r="66" spans="1:7" s="254" customFormat="1" ht="14.4" x14ac:dyDescent="0.3">
      <c r="A66" s="408">
        <v>300000</v>
      </c>
      <c r="B66" s="412" t="s">
        <v>337</v>
      </c>
      <c r="C66"/>
      <c r="D66"/>
      <c r="E66" s="261"/>
      <c r="F66" s="260"/>
      <c r="G66" s="260"/>
    </row>
    <row r="67" spans="1:7" s="254" customFormat="1" ht="14.4" x14ac:dyDescent="0.3">
      <c r="A67" s="408">
        <v>320000</v>
      </c>
      <c r="B67" s="412" t="s">
        <v>336</v>
      </c>
      <c r="C67"/>
      <c r="D67"/>
      <c r="E67" s="261"/>
      <c r="F67" s="260"/>
      <c r="G67" s="260"/>
    </row>
    <row r="68" spans="1:7" s="254" customFormat="1" ht="14.4" x14ac:dyDescent="0.3">
      <c r="A68" s="408">
        <v>360000</v>
      </c>
      <c r="B68" s="412" t="s">
        <v>335</v>
      </c>
      <c r="C68"/>
      <c r="D68"/>
      <c r="E68" s="261"/>
      <c r="F68" s="260"/>
      <c r="G68" s="260"/>
    </row>
    <row r="69" spans="1:7" s="254" customFormat="1" ht="14.4" x14ac:dyDescent="0.3">
      <c r="A69" s="408">
        <v>398000</v>
      </c>
      <c r="B69" s="412" t="s">
        <v>336</v>
      </c>
      <c r="C69"/>
      <c r="D69"/>
      <c r="E69" s="261"/>
      <c r="F69" s="260"/>
      <c r="G69" s="260"/>
    </row>
    <row r="70" spans="1:7" s="254" customFormat="1" ht="14.4" x14ac:dyDescent="0.3">
      <c r="A70" s="408">
        <v>399000</v>
      </c>
      <c r="B70" s="412" t="s">
        <v>336</v>
      </c>
      <c r="C70"/>
      <c r="D70"/>
      <c r="E70" s="261"/>
      <c r="F70" s="260"/>
      <c r="G70" s="260"/>
    </row>
    <row r="71" spans="1:7" s="254" customFormat="1" ht="14.4" x14ac:dyDescent="0.3">
      <c r="A71" s="408">
        <v>399900</v>
      </c>
      <c r="B71" s="412" t="s">
        <v>337</v>
      </c>
      <c r="C71"/>
      <c r="D71"/>
      <c r="E71" s="261"/>
      <c r="F71" s="260"/>
      <c r="G71" s="260"/>
    </row>
    <row r="72" spans="1:7" s="254" customFormat="1" ht="14.4" x14ac:dyDescent="0.3">
      <c r="A72" s="408">
        <v>499900</v>
      </c>
      <c r="B72" s="412" t="s">
        <v>335</v>
      </c>
      <c r="C72"/>
      <c r="D72"/>
      <c r="E72" s="261"/>
      <c r="F72" s="260"/>
      <c r="G72" s="260"/>
    </row>
    <row r="73" spans="1:7" s="254" customFormat="1" ht="14.4" x14ac:dyDescent="0.3">
      <c r="A73" s="408">
        <v>550000</v>
      </c>
      <c r="B73" s="412" t="s">
        <v>335</v>
      </c>
      <c r="C73"/>
      <c r="D73"/>
      <c r="E73" s="261"/>
      <c r="F73" s="260"/>
      <c r="G73" s="260"/>
    </row>
    <row r="74" spans="1:7" s="254" customFormat="1" ht="14.4" x14ac:dyDescent="0.25">
      <c r="A74" s="415">
        <v>715000</v>
      </c>
      <c r="B74" s="416" t="s">
        <v>335</v>
      </c>
      <c r="C74" s="260"/>
      <c r="D74" s="260"/>
      <c r="E74" s="261"/>
      <c r="F74" s="260"/>
      <c r="G74" s="260"/>
    </row>
    <row r="75" spans="1:7" customFormat="1" ht="14.4" x14ac:dyDescent="0.3"/>
    <row r="76" spans="1:7" customFormat="1" ht="14.4" x14ac:dyDescent="0.3"/>
    <row r="77" spans="1:7" customFormat="1" ht="14.4" x14ac:dyDescent="0.3"/>
    <row r="78" spans="1:7" customFormat="1" ht="14.4" x14ac:dyDescent="0.3"/>
    <row r="79" spans="1:7" customFormat="1" ht="14.4" x14ac:dyDescent="0.3"/>
    <row r="80" spans="1:7"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sheetData>
  <mergeCells count="11">
    <mergeCell ref="A42:H42"/>
    <mergeCell ref="A1:G1"/>
    <mergeCell ref="A21:K21"/>
    <mergeCell ref="G22:H22"/>
    <mergeCell ref="I22:J22"/>
    <mergeCell ref="K23:K38"/>
    <mergeCell ref="A6:H6"/>
    <mergeCell ref="H8:H11"/>
    <mergeCell ref="B12:E12"/>
    <mergeCell ref="H12:H13"/>
    <mergeCell ref="B13:E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14"/>
  <sheetViews>
    <sheetView zoomScaleNormal="100" workbookViewId="0">
      <selection sqref="A1:H1"/>
    </sheetView>
  </sheetViews>
  <sheetFormatPr defaultColWidth="8.6640625" defaultRowHeight="13.2" x14ac:dyDescent="0.25"/>
  <cols>
    <col min="1" max="1" width="43.33203125" style="3" customWidth="1"/>
    <col min="2" max="2" width="15.33203125" style="3" customWidth="1"/>
    <col min="3" max="3" width="23.33203125" style="3" customWidth="1"/>
    <col min="4" max="4" width="21.44140625" style="3" bestFit="1" customWidth="1"/>
    <col min="5" max="5" width="15.33203125" style="3" customWidth="1"/>
    <col min="6" max="6" width="23.33203125" style="3" customWidth="1"/>
    <col min="7" max="7" width="24" style="3" customWidth="1"/>
    <col min="8" max="8" width="51.33203125" style="3" customWidth="1"/>
    <col min="9" max="9" width="10.5546875" style="3" customWidth="1"/>
    <col min="10" max="10" width="11.44140625" style="3" customWidth="1"/>
    <col min="11" max="11" width="10.5546875" style="3" customWidth="1"/>
    <col min="12" max="12" width="13.33203125" style="3" customWidth="1"/>
    <col min="13" max="13" width="9.6640625" style="3" customWidth="1"/>
    <col min="14" max="14" width="9.44140625" style="3" customWidth="1"/>
    <col min="15" max="15" width="12.6640625" style="3" customWidth="1"/>
    <col min="16" max="16" width="14.6640625" style="3" customWidth="1"/>
    <col min="17" max="17" width="20.6640625" style="3" customWidth="1"/>
    <col min="18" max="18" width="19.6640625" style="3" customWidth="1"/>
    <col min="19" max="24" width="8.6640625" style="3"/>
    <col min="25" max="25" width="13.6640625" style="3" bestFit="1" customWidth="1"/>
    <col min="26" max="16384" width="8.6640625" style="3"/>
  </cols>
  <sheetData>
    <row r="1" spans="1:8" ht="25.95" customHeight="1" x14ac:dyDescent="0.25">
      <c r="A1" s="511" t="str">
        <f>"Interior Lighting - "&amp;Prototype!A2</f>
        <v>Interior Lighting - RetailStripMall</v>
      </c>
      <c r="B1" s="512"/>
      <c r="C1" s="512"/>
      <c r="D1" s="512"/>
      <c r="E1" s="512"/>
      <c r="F1" s="512"/>
      <c r="G1" s="512"/>
      <c r="H1" s="513"/>
    </row>
    <row r="2" spans="1:8" ht="21" customHeight="1" x14ac:dyDescent="0.25">
      <c r="A2" s="509" t="s">
        <v>338</v>
      </c>
      <c r="B2" s="510" t="s">
        <v>339</v>
      </c>
      <c r="C2" s="510"/>
      <c r="D2" s="510"/>
      <c r="E2" s="510" t="s">
        <v>179</v>
      </c>
      <c r="F2" s="510"/>
      <c r="G2" s="510"/>
      <c r="H2" s="514" t="s">
        <v>149</v>
      </c>
    </row>
    <row r="3" spans="1:8" ht="32.4" customHeight="1" x14ac:dyDescent="0.25">
      <c r="A3" s="509"/>
      <c r="B3" s="323" t="s">
        <v>340</v>
      </c>
      <c r="C3" s="323" t="s">
        <v>341</v>
      </c>
      <c r="D3" s="323" t="s">
        <v>214</v>
      </c>
      <c r="E3" s="323" t="s">
        <v>342</v>
      </c>
      <c r="F3" s="323" t="s">
        <v>341</v>
      </c>
      <c r="G3" s="323" t="s">
        <v>214</v>
      </c>
      <c r="H3" s="515"/>
    </row>
    <row r="4" spans="1:8" ht="47.4" customHeight="1" thickBot="1" x14ac:dyDescent="0.3">
      <c r="A4" s="263" t="str">
        <f>Zones!C3</f>
        <v>Retail Sales Area (Retail Merchandise Sales)</v>
      </c>
      <c r="B4" s="264">
        <v>0.95</v>
      </c>
      <c r="C4" s="417">
        <f>0.45*0.2</f>
        <v>9.0000000000000011E-2</v>
      </c>
      <c r="D4" s="264" t="s">
        <v>343</v>
      </c>
      <c r="E4" s="264">
        <v>1.2</v>
      </c>
      <c r="F4" s="417">
        <f>0.3*0.2</f>
        <v>0.06</v>
      </c>
      <c r="G4" s="264" t="s">
        <v>344</v>
      </c>
      <c r="H4" s="418" t="s">
        <v>345</v>
      </c>
    </row>
    <row r="5" spans="1:8" x14ac:dyDescent="0.25">
      <c r="A5" s="317"/>
      <c r="B5" s="317"/>
      <c r="D5" s="317"/>
      <c r="E5" s="317"/>
      <c r="G5" s="317"/>
    </row>
    <row r="6" spans="1:8" x14ac:dyDescent="0.25">
      <c r="A6" s="317"/>
      <c r="B6" s="317"/>
      <c r="D6" s="317"/>
      <c r="E6" s="317"/>
      <c r="G6" s="317"/>
    </row>
    <row r="7" spans="1:8" x14ac:dyDescent="0.25">
      <c r="A7" s="317"/>
      <c r="B7" s="317"/>
      <c r="D7" s="317"/>
      <c r="E7" s="317"/>
      <c r="G7" s="317"/>
    </row>
    <row r="8" spans="1:8" x14ac:dyDescent="0.25">
      <c r="A8" s="317"/>
      <c r="B8" s="317"/>
      <c r="D8" s="317"/>
      <c r="E8" s="317"/>
      <c r="G8" s="317"/>
    </row>
    <row r="9" spans="1:8" x14ac:dyDescent="0.25">
      <c r="A9" s="317"/>
      <c r="B9" s="317"/>
      <c r="D9" s="317"/>
      <c r="E9" s="317"/>
      <c r="G9" s="317"/>
    </row>
    <row r="10" spans="1:8" x14ac:dyDescent="0.25">
      <c r="A10" s="317"/>
      <c r="B10" s="317"/>
      <c r="D10" s="317"/>
      <c r="E10" s="317"/>
      <c r="G10" s="317"/>
    </row>
    <row r="11" spans="1:8" x14ac:dyDescent="0.25">
      <c r="A11" s="317"/>
      <c r="B11" s="317"/>
      <c r="D11" s="317"/>
      <c r="E11" s="317"/>
      <c r="G11" s="317"/>
    </row>
    <row r="12" spans="1:8" x14ac:dyDescent="0.25">
      <c r="A12" s="317"/>
      <c r="B12" s="317"/>
      <c r="D12" s="317"/>
      <c r="E12" s="317"/>
      <c r="G12" s="317"/>
    </row>
    <row r="13" spans="1:8" s="19" customFormat="1" hidden="1" x14ac:dyDescent="0.25">
      <c r="A13" s="19" t="s">
        <v>135</v>
      </c>
      <c r="E13" s="22"/>
    </row>
    <row r="14" spans="1:8" ht="17.7" customHeight="1" x14ac:dyDescent="0.25"/>
  </sheetData>
  <mergeCells count="5">
    <mergeCell ref="A2:A3"/>
    <mergeCell ref="B2:D2"/>
    <mergeCell ref="E2:G2"/>
    <mergeCell ref="A1:H1"/>
    <mergeCell ref="H2:H3"/>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H26"/>
  <sheetViews>
    <sheetView zoomScaleNormal="100" workbookViewId="0">
      <selection sqref="A1:D1"/>
    </sheetView>
  </sheetViews>
  <sheetFormatPr defaultColWidth="8.6640625" defaultRowHeight="13.2" x14ac:dyDescent="0.25"/>
  <cols>
    <col min="1" max="1" width="31" style="3" customWidth="1"/>
    <col min="2" max="2" width="38.109375" style="3" customWidth="1"/>
    <col min="3" max="3" width="19.44140625" style="3" customWidth="1"/>
    <col min="4" max="4" width="19.33203125" style="3" customWidth="1"/>
    <col min="5" max="5" width="27.88671875" style="3" customWidth="1"/>
    <col min="6" max="6" width="17.109375" style="3" customWidth="1"/>
    <col min="7" max="7" width="17.5546875" style="3" customWidth="1"/>
    <col min="8" max="8" width="15.5546875" style="3" customWidth="1"/>
    <col min="9" max="9" width="13.33203125" style="3" customWidth="1"/>
    <col min="10" max="16384" width="8.6640625" style="3"/>
  </cols>
  <sheetData>
    <row r="1" spans="1:8" ht="25.2" customHeight="1" x14ac:dyDescent="0.25">
      <c r="A1" s="516" t="str">
        <f>"Exterior Lighting - "&amp;Prototype!A2</f>
        <v>Exterior Lighting - RetailStripMall</v>
      </c>
      <c r="B1" s="516"/>
      <c r="C1" s="516"/>
      <c r="D1" s="516"/>
    </row>
    <row r="2" spans="1:8" ht="37.200000000000003" customHeight="1" x14ac:dyDescent="0.25">
      <c r="A2" s="35" t="s">
        <v>346</v>
      </c>
      <c r="B2" s="35" t="s">
        <v>347</v>
      </c>
      <c r="C2" s="35" t="s">
        <v>348</v>
      </c>
      <c r="D2" s="35" t="s">
        <v>214</v>
      </c>
    </row>
    <row r="3" spans="1:8" ht="22.2" customHeight="1" x14ac:dyDescent="0.25">
      <c r="A3" s="37">
        <f>G14</f>
        <v>472.91529557599995</v>
      </c>
      <c r="B3" s="37">
        <f>G15</f>
        <v>346.56245453752001</v>
      </c>
      <c r="C3" s="37">
        <f>SUM(A3:B3)</f>
        <v>819.47775011351996</v>
      </c>
      <c r="D3" s="284" t="s">
        <v>349</v>
      </c>
    </row>
    <row r="4" spans="1:8" ht="22.2" customHeight="1" x14ac:dyDescent="0.25">
      <c r="A4" s="49"/>
      <c r="B4" s="49"/>
      <c r="C4" s="49"/>
    </row>
    <row r="5" spans="1:8" ht="12.75" customHeight="1" x14ac:dyDescent="0.25">
      <c r="A5" s="62"/>
      <c r="B5" s="62"/>
      <c r="C5" s="62"/>
    </row>
    <row r="6" spans="1:8" ht="27" customHeight="1" x14ac:dyDescent="0.25">
      <c r="A6" s="516" t="s">
        <v>350</v>
      </c>
      <c r="B6" s="516"/>
      <c r="C6" s="516"/>
      <c r="D6" s="516"/>
      <c r="E6" s="516"/>
      <c r="F6" s="516"/>
      <c r="G6" s="516"/>
    </row>
    <row r="7" spans="1:8" ht="45" customHeight="1" x14ac:dyDescent="0.25">
      <c r="A7" s="81" t="s">
        <v>351</v>
      </c>
      <c r="B7" s="518" t="s">
        <v>352</v>
      </c>
      <c r="C7" s="519"/>
      <c r="D7" s="123" t="s">
        <v>353</v>
      </c>
      <c r="E7" s="123" t="s">
        <v>354</v>
      </c>
      <c r="F7" s="123" t="s">
        <v>353</v>
      </c>
      <c r="G7" s="35" t="s">
        <v>355</v>
      </c>
    </row>
    <row r="8" spans="1:8" x14ac:dyDescent="0.25">
      <c r="A8" s="11" t="s">
        <v>356</v>
      </c>
      <c r="B8" s="11"/>
      <c r="C8" s="93"/>
      <c r="D8" s="284"/>
      <c r="E8" s="284">
        <v>200</v>
      </c>
      <c r="F8" s="284" t="s">
        <v>357</v>
      </c>
      <c r="G8" s="94">
        <f>$E8</f>
        <v>200</v>
      </c>
      <c r="H8" s="90"/>
    </row>
    <row r="9" spans="1:8" ht="53.25" customHeight="1" x14ac:dyDescent="0.25">
      <c r="A9" s="12" t="s">
        <v>358</v>
      </c>
      <c r="B9" s="12" t="s">
        <v>359</v>
      </c>
      <c r="C9" s="82">
        <f>B21/360*400</f>
        <v>10416.594503999999</v>
      </c>
      <c r="D9" s="284" t="s">
        <v>360</v>
      </c>
      <c r="E9" s="284">
        <v>1.9E-2</v>
      </c>
      <c r="F9" s="284" t="s">
        <v>361</v>
      </c>
      <c r="G9" s="94">
        <f>$E9*C9</f>
        <v>197.91529557599998</v>
      </c>
      <c r="H9" s="83"/>
    </row>
    <row r="10" spans="1:8" x14ac:dyDescent="0.25">
      <c r="A10" s="11" t="s">
        <v>362</v>
      </c>
      <c r="B10" s="95" t="s">
        <v>363</v>
      </c>
      <c r="C10" s="96">
        <v>5</v>
      </c>
      <c r="D10" s="284" t="s">
        <v>364</v>
      </c>
      <c r="E10" s="284">
        <v>15</v>
      </c>
      <c r="F10" s="284" t="s">
        <v>365</v>
      </c>
      <c r="G10" s="94">
        <f>E10*C10</f>
        <v>75</v>
      </c>
    </row>
    <row r="11" spans="1:8" ht="66" x14ac:dyDescent="0.25">
      <c r="A11" s="11" t="s">
        <v>366</v>
      </c>
      <c r="B11" s="95" t="s">
        <v>367</v>
      </c>
      <c r="C11" s="97">
        <f>B21*0.1</f>
        <v>937.49350535999986</v>
      </c>
      <c r="D11" s="284" t="s">
        <v>360</v>
      </c>
      <c r="E11" s="284">
        <v>7.0000000000000001E-3</v>
      </c>
      <c r="F11" s="284" t="s">
        <v>361</v>
      </c>
      <c r="G11" s="98">
        <f>E11*C11</f>
        <v>6.562454537519999</v>
      </c>
    </row>
    <row r="12" spans="1:8" ht="82.95" customHeight="1" x14ac:dyDescent="0.25">
      <c r="A12" s="11" t="s">
        <v>368</v>
      </c>
      <c r="B12" s="95" t="s">
        <v>369</v>
      </c>
      <c r="C12" s="99">
        <f>B20*0.5*Prototype!B16</f>
        <v>3400</v>
      </c>
      <c r="D12" s="284" t="s">
        <v>360</v>
      </c>
      <c r="E12" s="284">
        <v>0.1</v>
      </c>
      <c r="F12" s="284" t="s">
        <v>361</v>
      </c>
      <c r="G12" s="98">
        <f>E12*C12</f>
        <v>340</v>
      </c>
    </row>
    <row r="13" spans="1:8" x14ac:dyDescent="0.25">
      <c r="A13" s="100" t="s">
        <v>370</v>
      </c>
      <c r="B13" s="3" t="s">
        <v>371</v>
      </c>
      <c r="C13" s="419">
        <f>(B21/B22)*0.1*0</f>
        <v>0</v>
      </c>
      <c r="D13" s="26" t="s">
        <v>360</v>
      </c>
      <c r="E13" s="26">
        <v>0.47</v>
      </c>
      <c r="F13" s="26" t="s">
        <v>361</v>
      </c>
      <c r="G13" s="98">
        <f>E13*C13</f>
        <v>0</v>
      </c>
    </row>
    <row r="14" spans="1:8" x14ac:dyDescent="0.25">
      <c r="A14" s="517" t="s">
        <v>372</v>
      </c>
      <c r="B14" s="517"/>
      <c r="C14" s="517"/>
      <c r="D14" s="517"/>
      <c r="E14" s="517"/>
      <c r="F14" s="517"/>
      <c r="G14" s="101">
        <f>SUM(G8:G13)-G15</f>
        <v>472.91529557599995</v>
      </c>
    </row>
    <row r="15" spans="1:8" x14ac:dyDescent="0.25">
      <c r="A15" s="517" t="s">
        <v>373</v>
      </c>
      <c r="B15" s="517"/>
      <c r="C15" s="517"/>
      <c r="D15" s="517"/>
      <c r="E15" s="517"/>
      <c r="F15" s="517"/>
      <c r="G15" s="101">
        <f>G11+G12</f>
        <v>346.56245453752001</v>
      </c>
    </row>
    <row r="16" spans="1:8" x14ac:dyDescent="0.25">
      <c r="A16" s="517" t="s">
        <v>293</v>
      </c>
      <c r="B16" s="517"/>
      <c r="C16" s="517"/>
      <c r="D16" s="517"/>
      <c r="E16" s="517"/>
      <c r="F16" s="517"/>
      <c r="G16" s="101">
        <f t="shared" ref="G16" si="0">G14+G15</f>
        <v>819.47775011351996</v>
      </c>
    </row>
    <row r="17" spans="1:7" x14ac:dyDescent="0.25">
      <c r="A17" s="319"/>
      <c r="B17" s="319"/>
      <c r="C17" s="319"/>
      <c r="D17" s="319"/>
      <c r="E17" s="319"/>
      <c r="F17" s="319"/>
      <c r="G17" s="102"/>
    </row>
    <row r="18" spans="1:7" x14ac:dyDescent="0.25">
      <c r="A18" s="3" t="s">
        <v>374</v>
      </c>
      <c r="C18" s="316"/>
      <c r="F18" s="103"/>
    </row>
    <row r="19" spans="1:7" x14ac:dyDescent="0.25">
      <c r="C19" s="316"/>
      <c r="F19" s="103"/>
    </row>
    <row r="20" spans="1:7" x14ac:dyDescent="0.25">
      <c r="A20" s="350" t="s">
        <v>375</v>
      </c>
      <c r="B20" s="349">
        <f>125*2+75*2</f>
        <v>400</v>
      </c>
      <c r="C20" s="316"/>
      <c r="F20" s="103"/>
    </row>
    <row r="21" spans="1:7" x14ac:dyDescent="0.25">
      <c r="A21" s="3" t="s">
        <v>376</v>
      </c>
      <c r="B21" s="84">
        <f>Zones!J7</f>
        <v>9374.9350535999984</v>
      </c>
      <c r="F21" s="103"/>
    </row>
    <row r="22" spans="1:7" x14ac:dyDescent="0.25">
      <c r="A22" s="3" t="s">
        <v>377</v>
      </c>
      <c r="B22" s="318">
        <v>1</v>
      </c>
      <c r="F22" s="103"/>
    </row>
    <row r="23" spans="1:7" ht="12.75" customHeight="1" x14ac:dyDescent="0.25">
      <c r="C23" s="350"/>
    </row>
    <row r="24" spans="1:7" ht="12.75" customHeight="1" x14ac:dyDescent="0.25">
      <c r="A24" s="62"/>
      <c r="B24" s="62"/>
      <c r="C24" s="62"/>
    </row>
    <row r="26" spans="1:7" s="19" customFormat="1" ht="13.2" hidden="1" customHeight="1" x14ac:dyDescent="0.25">
      <c r="A26" s="19" t="s">
        <v>135</v>
      </c>
      <c r="E26" s="20"/>
      <c r="F26" s="21"/>
      <c r="G26" s="22"/>
    </row>
  </sheetData>
  <mergeCells count="6">
    <mergeCell ref="A1:D1"/>
    <mergeCell ref="A14:F14"/>
    <mergeCell ref="A15:F15"/>
    <mergeCell ref="A16:F16"/>
    <mergeCell ref="A6:G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H27"/>
  <sheetViews>
    <sheetView workbookViewId="0">
      <selection sqref="A1:E1"/>
    </sheetView>
  </sheetViews>
  <sheetFormatPr defaultColWidth="8.6640625" defaultRowHeight="13.2" x14ac:dyDescent="0.25"/>
  <cols>
    <col min="1" max="1" width="49" style="3" bestFit="1" customWidth="1"/>
    <col min="2" max="4" width="32.5546875" style="3" customWidth="1"/>
    <col min="5" max="5" width="37.5546875" style="3" customWidth="1"/>
    <col min="6" max="6" width="19.33203125" style="3" customWidth="1"/>
    <col min="7" max="7" width="35.33203125" style="3" customWidth="1"/>
    <col min="8" max="8" width="18.6640625" style="3" customWidth="1"/>
    <col min="9" max="9" width="14.33203125" style="3" customWidth="1"/>
    <col min="10" max="10" width="8.6640625" style="3"/>
    <col min="11" max="11" width="10.5546875" style="3" bestFit="1" customWidth="1"/>
    <col min="12" max="12" width="16.33203125" style="3" customWidth="1"/>
    <col min="13" max="13" width="10.6640625" style="3" bestFit="1" customWidth="1"/>
    <col min="14" max="14" width="10.5546875" style="3" bestFit="1" customWidth="1"/>
    <col min="15" max="16384" width="8.6640625" style="3"/>
  </cols>
  <sheetData>
    <row r="1" spans="1:8" ht="23.4" customHeight="1" x14ac:dyDescent="0.25">
      <c r="A1" s="520" t="str">
        <f>"Equipment - "&amp;Prototype!A2</f>
        <v>Equipment - RetailStripMall</v>
      </c>
      <c r="B1" s="521"/>
      <c r="C1" s="521"/>
      <c r="D1" s="521"/>
      <c r="E1" s="522"/>
      <c r="F1" s="52"/>
    </row>
    <row r="2" spans="1:8" ht="21" customHeight="1" x14ac:dyDescent="0.25">
      <c r="A2" s="111" t="s">
        <v>338</v>
      </c>
      <c r="B2" s="111" t="s">
        <v>378</v>
      </c>
      <c r="C2" s="111" t="s">
        <v>379</v>
      </c>
      <c r="D2" s="111" t="s">
        <v>380</v>
      </c>
      <c r="E2" s="111" t="s">
        <v>214</v>
      </c>
      <c r="F2" s="5"/>
    </row>
    <row r="3" spans="1:8" ht="75" customHeight="1" x14ac:dyDescent="0.25">
      <c r="A3" s="284" t="str">
        <f>Zones!C3</f>
        <v>Retail Sales Area (Retail Merchandise Sales)</v>
      </c>
      <c r="B3" s="354">
        <v>0.3</v>
      </c>
      <c r="C3" s="284"/>
      <c r="D3" s="321"/>
      <c r="E3" s="367" t="s">
        <v>381</v>
      </c>
      <c r="F3" s="6"/>
    </row>
    <row r="4" spans="1:8" ht="18" customHeight="1" x14ac:dyDescent="0.25">
      <c r="A4" s="5"/>
      <c r="B4" s="5"/>
      <c r="C4" s="5"/>
      <c r="D4" s="5"/>
      <c r="E4" s="317"/>
      <c r="F4" s="5"/>
      <c r="G4" s="6"/>
      <c r="H4" s="18"/>
    </row>
    <row r="6" spans="1:8" x14ac:dyDescent="0.25">
      <c r="A6" s="4"/>
    </row>
    <row r="7" spans="1:8" ht="12.6" customHeight="1" x14ac:dyDescent="0.3">
      <c r="A7" s="126"/>
    </row>
    <row r="8" spans="1:8" ht="13.95" customHeight="1" x14ac:dyDescent="0.25"/>
    <row r="9" spans="1:8" s="19" customFormat="1" hidden="1" x14ac:dyDescent="0.25">
      <c r="A9" s="19" t="s">
        <v>135</v>
      </c>
      <c r="F9" s="20"/>
      <c r="G9" s="21"/>
      <c r="H9" s="22"/>
    </row>
    <row r="10" spans="1:8" hidden="1" x14ac:dyDescent="0.25"/>
    <row r="11" spans="1:8" ht="14.4" hidden="1" x14ac:dyDescent="0.3">
      <c r="A11"/>
    </row>
    <row r="12" spans="1:8" hidden="1" x14ac:dyDescent="0.25"/>
    <row r="13" spans="1:8" hidden="1" x14ac:dyDescent="0.25"/>
    <row r="14" spans="1:8" hidden="1" x14ac:dyDescent="0.25"/>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sheetData>
  <mergeCells count="1">
    <mergeCell ref="A1:E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BD104"/>
  <sheetViews>
    <sheetView zoomScale="80" zoomScaleNormal="80" workbookViewId="0">
      <selection sqref="A1:AC1"/>
    </sheetView>
  </sheetViews>
  <sheetFormatPr defaultColWidth="9.33203125" defaultRowHeight="11.4" x14ac:dyDescent="0.3"/>
  <cols>
    <col min="1" max="1" width="9.33203125" style="38"/>
    <col min="2" max="2" width="18.33203125" style="38" customWidth="1"/>
    <col min="3" max="3" width="15.33203125" style="38" customWidth="1"/>
    <col min="4" max="4" width="26.109375" style="38" customWidth="1"/>
    <col min="5" max="5" width="9.33203125" style="38"/>
    <col min="6" max="29" width="5.6640625" style="38" customWidth="1"/>
    <col min="30" max="16384" width="9.33203125" style="38"/>
  </cols>
  <sheetData>
    <row r="1" spans="1:39" ht="24" customHeight="1" x14ac:dyDescent="0.3">
      <c r="A1" s="469" t="str">
        <f>"Schedules - "&amp;Prototype!A2</f>
        <v>Schedules - RetailStripMall</v>
      </c>
      <c r="B1" s="469"/>
      <c r="C1" s="469"/>
      <c r="D1" s="469"/>
      <c r="E1" s="469"/>
      <c r="F1" s="469"/>
      <c r="G1" s="469"/>
      <c r="H1" s="469"/>
      <c r="I1" s="469"/>
      <c r="J1" s="469"/>
      <c r="K1" s="469"/>
      <c r="L1" s="469"/>
      <c r="M1" s="469"/>
      <c r="N1" s="469"/>
      <c r="O1" s="469"/>
      <c r="P1" s="469"/>
      <c r="Q1" s="469"/>
      <c r="R1" s="469"/>
      <c r="S1" s="469"/>
      <c r="T1" s="469"/>
      <c r="U1" s="469"/>
      <c r="V1" s="469"/>
      <c r="W1" s="469"/>
      <c r="X1" s="469"/>
      <c r="Y1" s="469"/>
      <c r="Z1" s="469"/>
      <c r="AA1" s="469"/>
      <c r="AB1" s="469"/>
      <c r="AC1" s="566"/>
      <c r="AD1" s="39"/>
      <c r="AE1" s="39"/>
      <c r="AF1" s="39"/>
      <c r="AG1" s="39"/>
      <c r="AH1" s="39"/>
      <c r="AI1" s="40"/>
      <c r="AJ1" s="40"/>
      <c r="AK1" s="40"/>
    </row>
    <row r="2" spans="1:39" ht="20.399999999999999" customHeight="1" x14ac:dyDescent="0.3">
      <c r="A2" s="535" t="s">
        <v>382</v>
      </c>
      <c r="B2" s="535" t="s">
        <v>104</v>
      </c>
      <c r="C2" s="535" t="s">
        <v>383</v>
      </c>
      <c r="D2" s="535" t="s">
        <v>214</v>
      </c>
      <c r="E2" s="535" t="s">
        <v>384</v>
      </c>
      <c r="F2" s="558" t="s">
        <v>385</v>
      </c>
      <c r="G2" s="558"/>
      <c r="H2" s="558"/>
      <c r="I2" s="558"/>
      <c r="J2" s="558"/>
      <c r="K2" s="558"/>
      <c r="L2" s="558"/>
      <c r="M2" s="558"/>
      <c r="N2" s="558"/>
      <c r="O2" s="558"/>
      <c r="P2" s="558"/>
      <c r="Q2" s="558"/>
      <c r="R2" s="558"/>
      <c r="S2" s="558"/>
      <c r="T2" s="558"/>
      <c r="U2" s="558"/>
      <c r="V2" s="558"/>
      <c r="W2" s="558"/>
      <c r="X2" s="558"/>
      <c r="Y2" s="558"/>
      <c r="Z2" s="558"/>
      <c r="AA2" s="558"/>
      <c r="AB2" s="558"/>
      <c r="AC2" s="558"/>
      <c r="AD2" s="39"/>
      <c r="AE2" s="39"/>
      <c r="AF2" s="39"/>
      <c r="AG2" s="39"/>
      <c r="AH2" s="39"/>
      <c r="AI2" s="40"/>
      <c r="AJ2" s="40"/>
      <c r="AK2" s="40"/>
    </row>
    <row r="3" spans="1:39" ht="25.2" customHeight="1" thickBot="1" x14ac:dyDescent="0.35">
      <c r="A3" s="536"/>
      <c r="B3" s="536"/>
      <c r="C3" s="536"/>
      <c r="D3" s="536"/>
      <c r="E3" s="536"/>
      <c r="F3" s="325">
        <v>1</v>
      </c>
      <c r="G3" s="325">
        <v>2</v>
      </c>
      <c r="H3" s="325">
        <v>3</v>
      </c>
      <c r="I3" s="325">
        <v>4</v>
      </c>
      <c r="J3" s="325">
        <v>5</v>
      </c>
      <c r="K3" s="325">
        <v>6</v>
      </c>
      <c r="L3" s="325">
        <v>7</v>
      </c>
      <c r="M3" s="325">
        <v>8</v>
      </c>
      <c r="N3" s="325">
        <v>9</v>
      </c>
      <c r="O3" s="325">
        <v>10</v>
      </c>
      <c r="P3" s="325">
        <v>11</v>
      </c>
      <c r="Q3" s="325">
        <v>12</v>
      </c>
      <c r="R3" s="325">
        <v>13</v>
      </c>
      <c r="S3" s="325">
        <v>14</v>
      </c>
      <c r="T3" s="325">
        <v>15</v>
      </c>
      <c r="U3" s="325">
        <v>16</v>
      </c>
      <c r="V3" s="325">
        <v>17</v>
      </c>
      <c r="W3" s="325">
        <v>18</v>
      </c>
      <c r="X3" s="325">
        <v>19</v>
      </c>
      <c r="Y3" s="325">
        <v>20</v>
      </c>
      <c r="Z3" s="325">
        <v>21</v>
      </c>
      <c r="AA3" s="325">
        <v>22</v>
      </c>
      <c r="AB3" s="325">
        <v>23</v>
      </c>
      <c r="AC3" s="325">
        <v>24</v>
      </c>
      <c r="AD3" s="40"/>
      <c r="AE3" s="40"/>
      <c r="AF3" s="40"/>
      <c r="AG3" s="40"/>
      <c r="AH3" s="40"/>
      <c r="AI3" s="40"/>
      <c r="AJ3" s="40"/>
      <c r="AK3" s="40"/>
    </row>
    <row r="4" spans="1:39" ht="33" customHeight="1" x14ac:dyDescent="0.3">
      <c r="A4" s="552" t="s">
        <v>386</v>
      </c>
      <c r="B4" s="556" t="s">
        <v>117</v>
      </c>
      <c r="C4" s="540" t="s">
        <v>387</v>
      </c>
      <c r="D4" s="559" t="s">
        <v>388</v>
      </c>
      <c r="E4" s="136" t="s">
        <v>389</v>
      </c>
      <c r="F4" s="231">
        <v>0</v>
      </c>
      <c r="G4" s="231">
        <v>0</v>
      </c>
      <c r="H4" s="231">
        <v>0</v>
      </c>
      <c r="I4" s="231">
        <v>0</v>
      </c>
      <c r="J4" s="231">
        <v>0</v>
      </c>
      <c r="K4" s="231">
        <v>0</v>
      </c>
      <c r="L4" s="231">
        <v>0</v>
      </c>
      <c r="M4" s="231">
        <v>0.2</v>
      </c>
      <c r="N4" s="231">
        <v>0.3</v>
      </c>
      <c r="O4" s="231">
        <v>0.4</v>
      </c>
      <c r="P4" s="231">
        <v>0.5</v>
      </c>
      <c r="Q4" s="231">
        <v>0.6</v>
      </c>
      <c r="R4" s="231">
        <v>0.6</v>
      </c>
      <c r="S4" s="231">
        <v>0.6</v>
      </c>
      <c r="T4" s="231">
        <v>0.6</v>
      </c>
      <c r="U4" s="231">
        <v>0.6</v>
      </c>
      <c r="V4" s="231">
        <v>0.7</v>
      </c>
      <c r="W4" s="231">
        <v>0.8</v>
      </c>
      <c r="X4" s="231">
        <v>0.8</v>
      </c>
      <c r="Y4" s="231">
        <v>0.6</v>
      </c>
      <c r="Z4" s="236">
        <v>0.3</v>
      </c>
      <c r="AA4" s="236">
        <v>0</v>
      </c>
      <c r="AB4" s="236">
        <v>0</v>
      </c>
      <c r="AC4" s="232">
        <v>0</v>
      </c>
      <c r="AD4" s="40"/>
      <c r="AE4" s="40"/>
      <c r="AF4" s="40"/>
      <c r="AG4" s="40"/>
      <c r="AH4" s="40"/>
      <c r="AI4" s="40"/>
      <c r="AJ4" s="40"/>
      <c r="AK4" s="40"/>
    </row>
    <row r="5" spans="1:39" ht="33" customHeight="1" x14ac:dyDescent="0.3">
      <c r="A5" s="553"/>
      <c r="B5" s="541"/>
      <c r="C5" s="541"/>
      <c r="D5" s="544"/>
      <c r="E5" s="139" t="s">
        <v>390</v>
      </c>
      <c r="F5" s="233">
        <v>0</v>
      </c>
      <c r="G5" s="233">
        <v>0</v>
      </c>
      <c r="H5" s="233">
        <v>0</v>
      </c>
      <c r="I5" s="233">
        <v>0</v>
      </c>
      <c r="J5" s="233">
        <v>0</v>
      </c>
      <c r="K5" s="233">
        <v>0</v>
      </c>
      <c r="L5" s="233">
        <v>0</v>
      </c>
      <c r="M5" s="233">
        <v>0.3</v>
      </c>
      <c r="N5" s="233">
        <v>0.4</v>
      </c>
      <c r="O5" s="233">
        <v>0.6</v>
      </c>
      <c r="P5" s="233">
        <v>0.8</v>
      </c>
      <c r="Q5" s="233">
        <v>0.9</v>
      </c>
      <c r="R5" s="233">
        <v>0.9</v>
      </c>
      <c r="S5" s="233">
        <v>0.9</v>
      </c>
      <c r="T5" s="233">
        <v>0.9</v>
      </c>
      <c r="U5" s="233">
        <v>0.8</v>
      </c>
      <c r="V5" s="233">
        <v>0.8</v>
      </c>
      <c r="W5" s="233">
        <v>0.7</v>
      </c>
      <c r="X5" s="233">
        <v>0.6</v>
      </c>
      <c r="Y5" s="237">
        <v>0.5</v>
      </c>
      <c r="Z5" s="237">
        <v>0.3</v>
      </c>
      <c r="AA5" s="233">
        <v>0</v>
      </c>
      <c r="AB5" s="233">
        <v>0</v>
      </c>
      <c r="AC5" s="238">
        <v>0</v>
      </c>
      <c r="AD5" s="40"/>
      <c r="AE5" s="40"/>
      <c r="AF5" s="40"/>
      <c r="AG5" s="40"/>
      <c r="AH5" s="40"/>
      <c r="AI5" s="40"/>
      <c r="AJ5" s="40"/>
      <c r="AK5" s="40"/>
    </row>
    <row r="6" spans="1:39" ht="33" customHeight="1" thickBot="1" x14ac:dyDescent="0.35">
      <c r="A6" s="567"/>
      <c r="B6" s="542"/>
      <c r="C6" s="542"/>
      <c r="D6" s="545"/>
      <c r="E6" s="142" t="s">
        <v>391</v>
      </c>
      <c r="F6" s="234">
        <v>0</v>
      </c>
      <c r="G6" s="234">
        <v>0</v>
      </c>
      <c r="H6" s="234">
        <v>0</v>
      </c>
      <c r="I6" s="234">
        <v>0</v>
      </c>
      <c r="J6" s="234">
        <v>0</v>
      </c>
      <c r="K6" s="234">
        <v>0</v>
      </c>
      <c r="L6" s="234">
        <v>0</v>
      </c>
      <c r="M6" s="234">
        <v>0.2</v>
      </c>
      <c r="N6" s="234">
        <v>0.3</v>
      </c>
      <c r="O6" s="234">
        <v>0.5</v>
      </c>
      <c r="P6" s="234">
        <v>0.7</v>
      </c>
      <c r="Q6" s="234">
        <v>0.8</v>
      </c>
      <c r="R6" s="234">
        <v>0.8</v>
      </c>
      <c r="S6" s="234">
        <v>0.8</v>
      </c>
      <c r="T6" s="234">
        <v>0.8</v>
      </c>
      <c r="U6" s="234">
        <v>0.7</v>
      </c>
      <c r="V6" s="234">
        <v>0.7</v>
      </c>
      <c r="W6" s="234">
        <v>0.6</v>
      </c>
      <c r="X6" s="234">
        <v>0.5</v>
      </c>
      <c r="Y6" s="239">
        <v>0.4</v>
      </c>
      <c r="Z6" s="234">
        <v>0.2</v>
      </c>
      <c r="AA6" s="240">
        <v>0</v>
      </c>
      <c r="AB6" s="241">
        <v>0</v>
      </c>
      <c r="AC6" s="235">
        <v>0</v>
      </c>
      <c r="AD6" s="40"/>
      <c r="AE6" s="40"/>
      <c r="AF6" s="40"/>
      <c r="AG6" s="40"/>
      <c r="AH6" s="40"/>
      <c r="AI6" s="40"/>
      <c r="AJ6" s="40"/>
      <c r="AK6" s="40"/>
    </row>
    <row r="7" spans="1:39" ht="38.700000000000003" customHeight="1" x14ac:dyDescent="0.3">
      <c r="A7" s="552" t="str">
        <f>A4</f>
        <v>All Zones</v>
      </c>
      <c r="B7" s="546" t="str">
        <f>B4</f>
        <v>Retail</v>
      </c>
      <c r="C7" s="540" t="s">
        <v>392</v>
      </c>
      <c r="D7" s="543" t="s">
        <v>393</v>
      </c>
      <c r="E7" s="145" t="s">
        <v>389</v>
      </c>
      <c r="F7" s="146">
        <v>0.05</v>
      </c>
      <c r="G7" s="146">
        <v>0.05</v>
      </c>
      <c r="H7" s="146">
        <v>0.05</v>
      </c>
      <c r="I7" s="146">
        <v>0.05</v>
      </c>
      <c r="J7" s="146">
        <v>0.05</v>
      </c>
      <c r="K7" s="146">
        <v>0.05</v>
      </c>
      <c r="L7" s="242">
        <v>0.7</v>
      </c>
      <c r="M7" s="242">
        <v>1</v>
      </c>
      <c r="N7" s="242">
        <v>1</v>
      </c>
      <c r="O7" s="242">
        <v>1</v>
      </c>
      <c r="P7" s="242">
        <v>1</v>
      </c>
      <c r="Q7" s="242">
        <v>1</v>
      </c>
      <c r="R7" s="242">
        <v>1</v>
      </c>
      <c r="S7" s="242">
        <v>1</v>
      </c>
      <c r="T7" s="242">
        <v>1</v>
      </c>
      <c r="U7" s="242">
        <v>1</v>
      </c>
      <c r="V7" s="242">
        <v>1</v>
      </c>
      <c r="W7" s="242">
        <v>1</v>
      </c>
      <c r="X7" s="242">
        <v>1</v>
      </c>
      <c r="Y7" s="242">
        <v>1</v>
      </c>
      <c r="Z7" s="242">
        <v>1</v>
      </c>
      <c r="AA7" s="242">
        <v>0.7</v>
      </c>
      <c r="AB7" s="242">
        <v>0.05</v>
      </c>
      <c r="AC7" s="147">
        <v>0.05</v>
      </c>
      <c r="AD7" s="40"/>
      <c r="AE7" s="40"/>
      <c r="AF7" s="40"/>
      <c r="AG7" s="40"/>
      <c r="AH7" s="40"/>
      <c r="AI7" s="40"/>
      <c r="AJ7" s="40"/>
      <c r="AK7" s="40"/>
      <c r="AM7" s="51"/>
    </row>
    <row r="8" spans="1:39" ht="38.700000000000003" customHeight="1" x14ac:dyDescent="0.3">
      <c r="A8" s="553"/>
      <c r="B8" s="547"/>
      <c r="C8" s="541"/>
      <c r="D8" s="544"/>
      <c r="E8" s="148" t="s">
        <v>390</v>
      </c>
      <c r="F8" s="149">
        <v>0.05</v>
      </c>
      <c r="G8" s="149">
        <v>0.05</v>
      </c>
      <c r="H8" s="149">
        <v>0.05</v>
      </c>
      <c r="I8" s="149">
        <v>0.05</v>
      </c>
      <c r="J8" s="149">
        <v>0.05</v>
      </c>
      <c r="K8" s="149">
        <v>0.05</v>
      </c>
      <c r="L8" s="243">
        <v>0.7</v>
      </c>
      <c r="M8" s="242">
        <v>1</v>
      </c>
      <c r="N8" s="242">
        <v>1</v>
      </c>
      <c r="O8" s="242">
        <v>1</v>
      </c>
      <c r="P8" s="242">
        <v>1</v>
      </c>
      <c r="Q8" s="242">
        <v>1</v>
      </c>
      <c r="R8" s="242">
        <v>1</v>
      </c>
      <c r="S8" s="242">
        <v>1</v>
      </c>
      <c r="T8" s="242">
        <v>1</v>
      </c>
      <c r="U8" s="242">
        <v>1</v>
      </c>
      <c r="V8" s="242">
        <v>1</v>
      </c>
      <c r="W8" s="242">
        <v>1</v>
      </c>
      <c r="X8" s="242">
        <v>1</v>
      </c>
      <c r="Y8" s="242">
        <v>1</v>
      </c>
      <c r="Z8" s="242">
        <v>1</v>
      </c>
      <c r="AA8" s="243">
        <v>0.7</v>
      </c>
      <c r="AB8" s="243">
        <v>0.05</v>
      </c>
      <c r="AC8" s="150">
        <v>0.05</v>
      </c>
      <c r="AD8" s="40"/>
      <c r="AE8" s="40"/>
      <c r="AF8" s="40"/>
      <c r="AG8" s="40"/>
      <c r="AH8" s="40"/>
      <c r="AI8" s="40"/>
      <c r="AJ8" s="40"/>
      <c r="AK8" s="40"/>
      <c r="AM8" s="51"/>
    </row>
    <row r="9" spans="1:39" ht="38.700000000000003" customHeight="1" thickBot="1" x14ac:dyDescent="0.35">
      <c r="A9" s="567"/>
      <c r="B9" s="557"/>
      <c r="C9" s="542"/>
      <c r="D9" s="545"/>
      <c r="E9" s="151" t="s">
        <v>391</v>
      </c>
      <c r="F9" s="152">
        <v>0.05</v>
      </c>
      <c r="G9" s="152">
        <v>0.05</v>
      </c>
      <c r="H9" s="152">
        <v>0.05</v>
      </c>
      <c r="I9" s="152">
        <v>0.05</v>
      </c>
      <c r="J9" s="152">
        <v>0.05</v>
      </c>
      <c r="K9" s="152">
        <v>0.05</v>
      </c>
      <c r="L9" s="244">
        <v>0.7</v>
      </c>
      <c r="M9" s="244">
        <v>1</v>
      </c>
      <c r="N9" s="244">
        <v>1</v>
      </c>
      <c r="O9" s="244">
        <v>1</v>
      </c>
      <c r="P9" s="244">
        <v>1</v>
      </c>
      <c r="Q9" s="244">
        <v>1</v>
      </c>
      <c r="R9" s="244">
        <v>1</v>
      </c>
      <c r="S9" s="244">
        <v>1</v>
      </c>
      <c r="T9" s="244">
        <v>1</v>
      </c>
      <c r="U9" s="244">
        <v>1</v>
      </c>
      <c r="V9" s="244">
        <v>1</v>
      </c>
      <c r="W9" s="244">
        <v>1</v>
      </c>
      <c r="X9" s="244">
        <v>1</v>
      </c>
      <c r="Y9" s="244">
        <v>1</v>
      </c>
      <c r="Z9" s="244">
        <v>1</v>
      </c>
      <c r="AA9" s="244">
        <v>0.7</v>
      </c>
      <c r="AB9" s="244">
        <v>0.05</v>
      </c>
      <c r="AC9" s="153">
        <v>0.05</v>
      </c>
      <c r="AD9" s="40"/>
      <c r="AE9" s="40"/>
      <c r="AF9" s="40"/>
      <c r="AG9" s="40"/>
      <c r="AH9" s="40"/>
      <c r="AI9" s="40"/>
      <c r="AJ9" s="40"/>
      <c r="AK9" s="40"/>
      <c r="AM9" s="51"/>
    </row>
    <row r="10" spans="1:39" ht="36" customHeight="1" x14ac:dyDescent="0.3">
      <c r="A10" s="552" t="str">
        <f>A4</f>
        <v>All Zones</v>
      </c>
      <c r="B10" s="546" t="str">
        <f>B4</f>
        <v>Retail</v>
      </c>
      <c r="C10" s="537" t="s">
        <v>394</v>
      </c>
      <c r="D10" s="549" t="s">
        <v>395</v>
      </c>
      <c r="E10" s="154" t="s">
        <v>389</v>
      </c>
      <c r="F10" s="155">
        <v>0.4</v>
      </c>
      <c r="G10" s="155">
        <v>0.4</v>
      </c>
      <c r="H10" s="155">
        <v>0.4</v>
      </c>
      <c r="I10" s="155">
        <v>0.4</v>
      </c>
      <c r="J10" s="155">
        <v>0.4</v>
      </c>
      <c r="K10" s="155">
        <v>0.4</v>
      </c>
      <c r="L10" s="245">
        <v>0.4</v>
      </c>
      <c r="M10" s="245">
        <v>0.9</v>
      </c>
      <c r="N10" s="245">
        <v>0.9</v>
      </c>
      <c r="O10" s="155">
        <v>0.9</v>
      </c>
      <c r="P10" s="155">
        <v>0.9</v>
      </c>
      <c r="Q10" s="155">
        <v>0.9</v>
      </c>
      <c r="R10" s="155">
        <v>0.9</v>
      </c>
      <c r="S10" s="155">
        <v>0.9</v>
      </c>
      <c r="T10" s="155">
        <v>0.9</v>
      </c>
      <c r="U10" s="155">
        <v>0.9</v>
      </c>
      <c r="V10" s="155">
        <v>0.9</v>
      </c>
      <c r="W10" s="155">
        <v>0.9</v>
      </c>
      <c r="X10" s="155">
        <v>0.9</v>
      </c>
      <c r="Y10" s="245">
        <v>0.9</v>
      </c>
      <c r="Z10" s="245">
        <v>0.9</v>
      </c>
      <c r="AA10" s="155">
        <v>0.4</v>
      </c>
      <c r="AB10" s="155">
        <v>0.4</v>
      </c>
      <c r="AC10" s="156">
        <v>0.4</v>
      </c>
      <c r="AD10" s="41"/>
      <c r="AE10" s="40"/>
      <c r="AF10" s="40"/>
      <c r="AG10" s="40"/>
      <c r="AH10" s="40"/>
      <c r="AI10" s="40"/>
      <c r="AJ10" s="40"/>
      <c r="AK10" s="40"/>
      <c r="AM10" s="51"/>
    </row>
    <row r="11" spans="1:39" ht="36" customHeight="1" x14ac:dyDescent="0.3">
      <c r="A11" s="553"/>
      <c r="B11" s="547"/>
      <c r="C11" s="538"/>
      <c r="D11" s="550"/>
      <c r="E11" s="148" t="s">
        <v>390</v>
      </c>
      <c r="F11" s="140">
        <v>0.4</v>
      </c>
      <c r="G11" s="140">
        <v>0.4</v>
      </c>
      <c r="H11" s="140">
        <v>0.4</v>
      </c>
      <c r="I11" s="140">
        <v>0.4</v>
      </c>
      <c r="J11" s="140">
        <v>0.4</v>
      </c>
      <c r="K11" s="140">
        <v>0.4</v>
      </c>
      <c r="L11" s="246">
        <v>0.4</v>
      </c>
      <c r="M11" s="246">
        <v>0.9</v>
      </c>
      <c r="N11" s="246">
        <v>0.9</v>
      </c>
      <c r="O11" s="140">
        <v>0.9</v>
      </c>
      <c r="P11" s="140">
        <v>0.9</v>
      </c>
      <c r="Q11" s="140">
        <v>0.9</v>
      </c>
      <c r="R11" s="140">
        <v>0.9</v>
      </c>
      <c r="S11" s="140">
        <v>0.9</v>
      </c>
      <c r="T11" s="140">
        <v>0.9</v>
      </c>
      <c r="U11" s="140">
        <v>0.9</v>
      </c>
      <c r="V11" s="140">
        <v>0.9</v>
      </c>
      <c r="W11" s="140">
        <v>0.9</v>
      </c>
      <c r="X11" s="140">
        <v>0.9</v>
      </c>
      <c r="Y11" s="140">
        <v>0.9</v>
      </c>
      <c r="Z11" s="246">
        <v>0.9</v>
      </c>
      <c r="AA11" s="246">
        <v>0.4</v>
      </c>
      <c r="AB11" s="140">
        <v>0.4</v>
      </c>
      <c r="AC11" s="157">
        <v>0.4</v>
      </c>
      <c r="AD11" s="41"/>
      <c r="AE11" s="40"/>
      <c r="AF11" s="40"/>
      <c r="AG11" s="40"/>
      <c r="AH11" s="40"/>
      <c r="AI11" s="40"/>
      <c r="AJ11" s="40"/>
      <c r="AK11" s="40"/>
      <c r="AM11" s="51"/>
    </row>
    <row r="12" spans="1:39" ht="36" customHeight="1" thickBot="1" x14ac:dyDescent="0.35">
      <c r="A12" s="554"/>
      <c r="B12" s="548"/>
      <c r="C12" s="539"/>
      <c r="D12" s="551"/>
      <c r="E12" s="151" t="s">
        <v>391</v>
      </c>
      <c r="F12" s="158">
        <v>0.4</v>
      </c>
      <c r="G12" s="158">
        <v>0.4</v>
      </c>
      <c r="H12" s="158">
        <v>0.4</v>
      </c>
      <c r="I12" s="158">
        <v>0.4</v>
      </c>
      <c r="J12" s="158">
        <v>0.4</v>
      </c>
      <c r="K12" s="158">
        <v>0.4</v>
      </c>
      <c r="L12" s="247">
        <v>0.4</v>
      </c>
      <c r="M12" s="247">
        <v>0.9</v>
      </c>
      <c r="N12" s="247">
        <v>0.9</v>
      </c>
      <c r="O12" s="247">
        <v>0.9</v>
      </c>
      <c r="P12" s="247">
        <v>0.9</v>
      </c>
      <c r="Q12" s="158">
        <v>0.9</v>
      </c>
      <c r="R12" s="158">
        <v>0.9</v>
      </c>
      <c r="S12" s="158">
        <v>0.9</v>
      </c>
      <c r="T12" s="158">
        <v>0.9</v>
      </c>
      <c r="U12" s="158">
        <v>0.9</v>
      </c>
      <c r="V12" s="158">
        <v>0.9</v>
      </c>
      <c r="W12" s="247">
        <v>0.9</v>
      </c>
      <c r="X12" s="247">
        <v>0.9</v>
      </c>
      <c r="Y12" s="247">
        <v>0.9</v>
      </c>
      <c r="Z12" s="247">
        <v>0.9</v>
      </c>
      <c r="AA12" s="158">
        <v>0.4</v>
      </c>
      <c r="AB12" s="158">
        <v>0.4</v>
      </c>
      <c r="AC12" s="159">
        <v>0.4</v>
      </c>
      <c r="AD12" s="41"/>
      <c r="AE12" s="40"/>
      <c r="AF12" s="40"/>
      <c r="AG12" s="40"/>
      <c r="AH12" s="40"/>
      <c r="AI12" s="40"/>
      <c r="AJ12" s="40"/>
      <c r="AK12" s="40"/>
      <c r="AM12" s="51"/>
    </row>
    <row r="13" spans="1:39" ht="37.200000000000003" customHeight="1" x14ac:dyDescent="0.3">
      <c r="A13" s="552" t="str">
        <f t="shared" ref="A13:B13" si="0">A7</f>
        <v>All Zones</v>
      </c>
      <c r="B13" s="546" t="str">
        <f t="shared" si="0"/>
        <v>Retail</v>
      </c>
      <c r="C13" s="537" t="s">
        <v>396</v>
      </c>
      <c r="D13" s="543" t="s">
        <v>393</v>
      </c>
      <c r="E13" s="160" t="s">
        <v>389</v>
      </c>
      <c r="F13" s="161">
        <v>0</v>
      </c>
      <c r="G13" s="161">
        <v>0</v>
      </c>
      <c r="H13" s="161">
        <v>0</v>
      </c>
      <c r="I13" s="161">
        <v>0</v>
      </c>
      <c r="J13" s="161">
        <v>0</v>
      </c>
      <c r="K13" s="161">
        <v>0</v>
      </c>
      <c r="L13" s="161">
        <v>1</v>
      </c>
      <c r="M13" s="161">
        <v>1</v>
      </c>
      <c r="N13" s="161">
        <v>1</v>
      </c>
      <c r="O13" s="161">
        <v>1</v>
      </c>
      <c r="P13" s="161">
        <v>1</v>
      </c>
      <c r="Q13" s="161">
        <v>1</v>
      </c>
      <c r="R13" s="161">
        <v>1</v>
      </c>
      <c r="S13" s="161">
        <v>1</v>
      </c>
      <c r="T13" s="161">
        <v>1</v>
      </c>
      <c r="U13" s="161">
        <v>1</v>
      </c>
      <c r="V13" s="161">
        <v>1</v>
      </c>
      <c r="W13" s="161">
        <v>1</v>
      </c>
      <c r="X13" s="161">
        <v>1</v>
      </c>
      <c r="Y13" s="161">
        <v>1</v>
      </c>
      <c r="Z13" s="161">
        <v>1</v>
      </c>
      <c r="AA13" s="161">
        <v>0</v>
      </c>
      <c r="AB13" s="161">
        <v>0</v>
      </c>
      <c r="AC13" s="162">
        <v>0</v>
      </c>
    </row>
    <row r="14" spans="1:39" ht="37.200000000000003" customHeight="1" x14ac:dyDescent="0.3">
      <c r="A14" s="553"/>
      <c r="B14" s="547"/>
      <c r="C14" s="538"/>
      <c r="D14" s="544"/>
      <c r="E14" s="163" t="s">
        <v>390</v>
      </c>
      <c r="F14" s="164">
        <v>0</v>
      </c>
      <c r="G14" s="164">
        <v>0</v>
      </c>
      <c r="H14" s="164">
        <v>0</v>
      </c>
      <c r="I14" s="164">
        <v>0</v>
      </c>
      <c r="J14" s="164">
        <v>0</v>
      </c>
      <c r="K14" s="164">
        <v>0</v>
      </c>
      <c r="L14" s="164">
        <v>1</v>
      </c>
      <c r="M14" s="164">
        <v>1</v>
      </c>
      <c r="N14" s="164">
        <v>1</v>
      </c>
      <c r="O14" s="164">
        <v>1</v>
      </c>
      <c r="P14" s="164">
        <v>1</v>
      </c>
      <c r="Q14" s="164">
        <v>1</v>
      </c>
      <c r="R14" s="164">
        <v>1</v>
      </c>
      <c r="S14" s="164">
        <v>1</v>
      </c>
      <c r="T14" s="164">
        <v>1</v>
      </c>
      <c r="U14" s="164">
        <v>1</v>
      </c>
      <c r="V14" s="164">
        <v>1</v>
      </c>
      <c r="W14" s="164">
        <v>1</v>
      </c>
      <c r="X14" s="164">
        <v>1</v>
      </c>
      <c r="Y14" s="164">
        <v>1</v>
      </c>
      <c r="Z14" s="164">
        <v>1</v>
      </c>
      <c r="AA14" s="164">
        <v>1</v>
      </c>
      <c r="AB14" s="164">
        <v>0</v>
      </c>
      <c r="AC14" s="165">
        <v>0</v>
      </c>
    </row>
    <row r="15" spans="1:39" ht="37.200000000000003" customHeight="1" thickBot="1" x14ac:dyDescent="0.35">
      <c r="A15" s="554"/>
      <c r="B15" s="548"/>
      <c r="C15" s="555"/>
      <c r="D15" s="545"/>
      <c r="E15" s="166" t="s">
        <v>391</v>
      </c>
      <c r="F15" s="167">
        <v>0</v>
      </c>
      <c r="G15" s="167">
        <v>0</v>
      </c>
      <c r="H15" s="167">
        <v>0</v>
      </c>
      <c r="I15" s="167">
        <v>0</v>
      </c>
      <c r="J15" s="167">
        <v>0</v>
      </c>
      <c r="K15" s="167">
        <v>0</v>
      </c>
      <c r="L15" s="167">
        <v>0</v>
      </c>
      <c r="M15" s="167">
        <v>0</v>
      </c>
      <c r="N15" s="167">
        <v>1</v>
      </c>
      <c r="O15" s="167">
        <v>1</v>
      </c>
      <c r="P15" s="167">
        <v>1</v>
      </c>
      <c r="Q15" s="167">
        <v>1</v>
      </c>
      <c r="R15" s="167">
        <v>1</v>
      </c>
      <c r="S15" s="167">
        <v>1</v>
      </c>
      <c r="T15" s="167">
        <v>1</v>
      </c>
      <c r="U15" s="167">
        <v>1</v>
      </c>
      <c r="V15" s="167">
        <v>1</v>
      </c>
      <c r="W15" s="167">
        <v>1</v>
      </c>
      <c r="X15" s="167">
        <v>1</v>
      </c>
      <c r="Y15" s="167">
        <v>0</v>
      </c>
      <c r="Z15" s="167">
        <v>0</v>
      </c>
      <c r="AA15" s="167">
        <v>0</v>
      </c>
      <c r="AB15" s="167">
        <v>0</v>
      </c>
      <c r="AC15" s="168">
        <v>0</v>
      </c>
    </row>
    <row r="16" spans="1:39" ht="37.200000000000003" customHeight="1" x14ac:dyDescent="0.3">
      <c r="A16" s="552" t="str">
        <f t="shared" ref="A16:B16" si="1">A10</f>
        <v>All Zones</v>
      </c>
      <c r="B16" s="546" t="str">
        <f t="shared" si="1"/>
        <v>Retail</v>
      </c>
      <c r="C16" s="560" t="s">
        <v>397</v>
      </c>
      <c r="D16" s="543" t="s">
        <v>393</v>
      </c>
      <c r="E16" s="160" t="s">
        <v>389</v>
      </c>
      <c r="F16" s="161">
        <v>0.04</v>
      </c>
      <c r="G16" s="161">
        <v>0.05</v>
      </c>
      <c r="H16" s="161">
        <v>0.05</v>
      </c>
      <c r="I16" s="161">
        <v>0.04</v>
      </c>
      <c r="J16" s="161">
        <v>0.04</v>
      </c>
      <c r="K16" s="161">
        <v>0.04</v>
      </c>
      <c r="L16" s="161">
        <v>0.04</v>
      </c>
      <c r="M16" s="161">
        <v>0.15</v>
      </c>
      <c r="N16" s="161">
        <v>0.23</v>
      </c>
      <c r="O16" s="161">
        <v>0.32</v>
      </c>
      <c r="P16" s="161">
        <v>0.41</v>
      </c>
      <c r="Q16" s="161">
        <v>0.56999999999999995</v>
      </c>
      <c r="R16" s="161">
        <v>0.62</v>
      </c>
      <c r="S16" s="161">
        <v>0.61</v>
      </c>
      <c r="T16" s="161">
        <v>0.5</v>
      </c>
      <c r="U16" s="161">
        <v>0.45</v>
      </c>
      <c r="V16" s="161">
        <v>0.46</v>
      </c>
      <c r="W16" s="161">
        <v>0.47</v>
      </c>
      <c r="X16" s="161">
        <v>0.42</v>
      </c>
      <c r="Y16" s="161">
        <v>0.34</v>
      </c>
      <c r="Z16" s="161">
        <v>0.33</v>
      </c>
      <c r="AA16" s="161">
        <v>0.23</v>
      </c>
      <c r="AB16" s="161">
        <v>0.13</v>
      </c>
      <c r="AC16" s="162">
        <v>0.08</v>
      </c>
    </row>
    <row r="17" spans="1:29" ht="37.200000000000003" customHeight="1" x14ac:dyDescent="0.3">
      <c r="A17" s="553"/>
      <c r="B17" s="547"/>
      <c r="C17" s="560"/>
      <c r="D17" s="544"/>
      <c r="E17" s="163" t="s">
        <v>390</v>
      </c>
      <c r="F17" s="164">
        <v>0.11</v>
      </c>
      <c r="G17" s="164">
        <v>0.1</v>
      </c>
      <c r="H17" s="164">
        <v>0.08</v>
      </c>
      <c r="I17" s="164">
        <v>0.06</v>
      </c>
      <c r="J17" s="164">
        <v>0.06</v>
      </c>
      <c r="K17" s="164">
        <v>0.06</v>
      </c>
      <c r="L17" s="164">
        <v>7.0000000000000007E-2</v>
      </c>
      <c r="M17" s="164">
        <v>0.2</v>
      </c>
      <c r="N17" s="164">
        <v>0.24</v>
      </c>
      <c r="O17" s="164">
        <v>0.27</v>
      </c>
      <c r="P17" s="164">
        <v>0.42</v>
      </c>
      <c r="Q17" s="164">
        <v>0.54</v>
      </c>
      <c r="R17" s="164">
        <v>0.59</v>
      </c>
      <c r="S17" s="164">
        <v>0.6</v>
      </c>
      <c r="T17" s="164">
        <v>0.49</v>
      </c>
      <c r="U17" s="164">
        <v>0.48</v>
      </c>
      <c r="V17" s="164">
        <v>0.47</v>
      </c>
      <c r="W17" s="164">
        <v>0.46</v>
      </c>
      <c r="X17" s="164">
        <v>0.44</v>
      </c>
      <c r="Y17" s="164">
        <v>0.36</v>
      </c>
      <c r="Z17" s="164">
        <v>0.28999999999999998</v>
      </c>
      <c r="AA17" s="164">
        <v>0.22</v>
      </c>
      <c r="AB17" s="164">
        <v>0.16</v>
      </c>
      <c r="AC17" s="165">
        <v>0.13</v>
      </c>
    </row>
    <row r="18" spans="1:29" ht="37.200000000000003" customHeight="1" thickBot="1" x14ac:dyDescent="0.35">
      <c r="A18" s="554"/>
      <c r="B18" s="548"/>
      <c r="C18" s="560"/>
      <c r="D18" s="545"/>
      <c r="E18" s="166" t="s">
        <v>391</v>
      </c>
      <c r="F18" s="167">
        <v>7.0000000000000007E-2</v>
      </c>
      <c r="G18" s="167">
        <v>7.0000000000000007E-2</v>
      </c>
      <c r="H18" s="167">
        <v>7.0000000000000007E-2</v>
      </c>
      <c r="I18" s="167">
        <v>0.06</v>
      </c>
      <c r="J18" s="167">
        <v>0.06</v>
      </c>
      <c r="K18" s="167">
        <v>0.06</v>
      </c>
      <c r="L18" s="167">
        <v>7.0000000000000007E-2</v>
      </c>
      <c r="M18" s="167">
        <v>0.1</v>
      </c>
      <c r="N18" s="167">
        <v>0.12</v>
      </c>
      <c r="O18" s="167">
        <v>0.14000000000000001</v>
      </c>
      <c r="P18" s="167">
        <v>0.28999999999999998</v>
      </c>
      <c r="Q18" s="167">
        <v>0.31</v>
      </c>
      <c r="R18" s="167">
        <v>0.36</v>
      </c>
      <c r="S18" s="167">
        <v>0.36</v>
      </c>
      <c r="T18" s="167">
        <v>0.34</v>
      </c>
      <c r="U18" s="167">
        <v>0.35</v>
      </c>
      <c r="V18" s="167">
        <v>0.37</v>
      </c>
      <c r="W18" s="167">
        <v>0.34</v>
      </c>
      <c r="X18" s="167">
        <v>0.25</v>
      </c>
      <c r="Y18" s="167">
        <v>0.27</v>
      </c>
      <c r="Z18" s="167">
        <v>0.21</v>
      </c>
      <c r="AA18" s="167">
        <v>0.16</v>
      </c>
      <c r="AB18" s="167">
        <v>0.1</v>
      </c>
      <c r="AC18" s="168">
        <v>0.06</v>
      </c>
    </row>
    <row r="19" spans="1:29" ht="37.200000000000003" customHeight="1" x14ac:dyDescent="0.3">
      <c r="A19" s="552" t="str">
        <f t="shared" ref="A19:B19" si="2">A13</f>
        <v>All Zones</v>
      </c>
      <c r="B19" s="546" t="str">
        <f t="shared" si="2"/>
        <v>Retail</v>
      </c>
      <c r="C19" s="561" t="s">
        <v>196</v>
      </c>
      <c r="D19" s="543" t="s">
        <v>393</v>
      </c>
      <c r="E19" s="160" t="s">
        <v>389</v>
      </c>
      <c r="F19" s="161">
        <v>1</v>
      </c>
      <c r="G19" s="161">
        <v>1</v>
      </c>
      <c r="H19" s="161">
        <v>1</v>
      </c>
      <c r="I19" s="161">
        <v>1</v>
      </c>
      <c r="J19" s="161">
        <v>1</v>
      </c>
      <c r="K19" s="161">
        <v>1</v>
      </c>
      <c r="L19" s="161">
        <v>0.25</v>
      </c>
      <c r="M19" s="161">
        <v>0.25</v>
      </c>
      <c r="N19" s="161">
        <v>0.25</v>
      </c>
      <c r="O19" s="161">
        <v>0.25</v>
      </c>
      <c r="P19" s="161">
        <v>0.25</v>
      </c>
      <c r="Q19" s="161">
        <v>0.25</v>
      </c>
      <c r="R19" s="161">
        <v>0.25</v>
      </c>
      <c r="S19" s="161">
        <v>0.25</v>
      </c>
      <c r="T19" s="161">
        <v>0.25</v>
      </c>
      <c r="U19" s="161">
        <v>0.25</v>
      </c>
      <c r="V19" s="161">
        <v>0.25</v>
      </c>
      <c r="W19" s="161">
        <v>0.25</v>
      </c>
      <c r="X19" s="161">
        <v>0.25</v>
      </c>
      <c r="Y19" s="161">
        <v>0.25</v>
      </c>
      <c r="Z19" s="161">
        <v>0.25</v>
      </c>
      <c r="AA19" s="161">
        <v>1</v>
      </c>
      <c r="AB19" s="161">
        <v>1</v>
      </c>
      <c r="AC19" s="162">
        <v>1</v>
      </c>
    </row>
    <row r="20" spans="1:29" ht="37.200000000000003" customHeight="1" x14ac:dyDescent="0.3">
      <c r="A20" s="553"/>
      <c r="B20" s="547"/>
      <c r="C20" s="560"/>
      <c r="D20" s="544"/>
      <c r="E20" s="163" t="s">
        <v>390</v>
      </c>
      <c r="F20" s="164">
        <v>1</v>
      </c>
      <c r="G20" s="164">
        <v>1</v>
      </c>
      <c r="H20" s="164">
        <v>1</v>
      </c>
      <c r="I20" s="164">
        <v>1</v>
      </c>
      <c r="J20" s="164">
        <v>1</v>
      </c>
      <c r="K20" s="164">
        <v>1</v>
      </c>
      <c r="L20" s="164">
        <v>0.25</v>
      </c>
      <c r="M20" s="164">
        <v>0.25</v>
      </c>
      <c r="N20" s="164">
        <v>0.25</v>
      </c>
      <c r="O20" s="164">
        <v>0.25</v>
      </c>
      <c r="P20" s="164">
        <v>0.25</v>
      </c>
      <c r="Q20" s="164">
        <v>0.25</v>
      </c>
      <c r="R20" s="164">
        <v>0.25</v>
      </c>
      <c r="S20" s="164">
        <v>0.25</v>
      </c>
      <c r="T20" s="164">
        <v>0.25</v>
      </c>
      <c r="U20" s="164">
        <v>0.25</v>
      </c>
      <c r="V20" s="164">
        <v>0.25</v>
      </c>
      <c r="W20" s="164">
        <v>0.25</v>
      </c>
      <c r="X20" s="164">
        <v>0.25</v>
      </c>
      <c r="Y20" s="164">
        <v>0.25</v>
      </c>
      <c r="Z20" s="164">
        <v>0.25</v>
      </c>
      <c r="AA20" s="164">
        <v>0.25</v>
      </c>
      <c r="AB20" s="164">
        <v>1</v>
      </c>
      <c r="AC20" s="165">
        <v>1</v>
      </c>
    </row>
    <row r="21" spans="1:29" ht="37.200000000000003" customHeight="1" x14ac:dyDescent="0.3">
      <c r="A21" s="554"/>
      <c r="B21" s="548"/>
      <c r="C21" s="562"/>
      <c r="D21" s="545"/>
      <c r="E21" s="172" t="s">
        <v>391</v>
      </c>
      <c r="F21" s="190">
        <v>1</v>
      </c>
      <c r="G21" s="190">
        <v>1</v>
      </c>
      <c r="H21" s="190">
        <v>1</v>
      </c>
      <c r="I21" s="190">
        <v>1</v>
      </c>
      <c r="J21" s="190">
        <v>1</v>
      </c>
      <c r="K21" s="190">
        <v>1</v>
      </c>
      <c r="L21" s="190">
        <v>1</v>
      </c>
      <c r="M21" s="190">
        <v>1</v>
      </c>
      <c r="N21" s="190">
        <v>0.25</v>
      </c>
      <c r="O21" s="190">
        <v>0.25</v>
      </c>
      <c r="P21" s="190">
        <v>0.25</v>
      </c>
      <c r="Q21" s="190">
        <v>0.25</v>
      </c>
      <c r="R21" s="190">
        <v>0.25</v>
      </c>
      <c r="S21" s="190">
        <v>0.25</v>
      </c>
      <c r="T21" s="190">
        <v>0.25</v>
      </c>
      <c r="U21" s="190">
        <v>0.25</v>
      </c>
      <c r="V21" s="190">
        <v>0.25</v>
      </c>
      <c r="W21" s="190">
        <v>0.25</v>
      </c>
      <c r="X21" s="190">
        <v>0.25</v>
      </c>
      <c r="Y21" s="190">
        <v>1</v>
      </c>
      <c r="Z21" s="190">
        <v>1</v>
      </c>
      <c r="AA21" s="190">
        <v>1</v>
      </c>
      <c r="AB21" s="190">
        <v>1</v>
      </c>
      <c r="AC21" s="191">
        <v>1</v>
      </c>
    </row>
    <row r="22" spans="1:29" ht="37.200000000000003" customHeight="1" x14ac:dyDescent="0.3">
      <c r="A22" s="523" t="str">
        <f t="shared" ref="A22:B22" si="3">A16</f>
        <v>All Zones</v>
      </c>
      <c r="B22" s="526" t="str">
        <f t="shared" si="3"/>
        <v>Retail</v>
      </c>
      <c r="C22" s="529" t="s">
        <v>398</v>
      </c>
      <c r="D22" s="532" t="s">
        <v>393</v>
      </c>
      <c r="E22" s="196" t="s">
        <v>389</v>
      </c>
      <c r="F22" s="137">
        <v>0.9</v>
      </c>
      <c r="G22" s="137">
        <v>0.9</v>
      </c>
      <c r="H22" s="137">
        <v>0.9</v>
      </c>
      <c r="I22" s="137">
        <v>0.9</v>
      </c>
      <c r="J22" s="137">
        <v>0.9</v>
      </c>
      <c r="K22" s="137">
        <v>0.9</v>
      </c>
      <c r="L22" s="137">
        <v>0.9</v>
      </c>
      <c r="M22" s="137">
        <v>0.9</v>
      </c>
      <c r="N22" s="137">
        <v>0.9</v>
      </c>
      <c r="O22" s="137">
        <v>0.9</v>
      </c>
      <c r="P22" s="137">
        <v>0.9</v>
      </c>
      <c r="Q22" s="137">
        <v>0.9</v>
      </c>
      <c r="R22" s="137">
        <v>0.9</v>
      </c>
      <c r="S22" s="137">
        <v>0.9</v>
      </c>
      <c r="T22" s="137">
        <v>0.9</v>
      </c>
      <c r="U22" s="137">
        <v>0.9</v>
      </c>
      <c r="V22" s="137">
        <v>0.9</v>
      </c>
      <c r="W22" s="137">
        <v>0.9</v>
      </c>
      <c r="X22" s="137">
        <v>0.9</v>
      </c>
      <c r="Y22" s="137">
        <v>0.9</v>
      </c>
      <c r="Z22" s="137">
        <v>0.9</v>
      </c>
      <c r="AA22" s="137">
        <v>0.9</v>
      </c>
      <c r="AB22" s="137">
        <v>0.9</v>
      </c>
      <c r="AC22" s="138">
        <v>0.9</v>
      </c>
    </row>
    <row r="23" spans="1:29" ht="37.200000000000003" customHeight="1" x14ac:dyDescent="0.3">
      <c r="A23" s="524"/>
      <c r="B23" s="527"/>
      <c r="C23" s="530"/>
      <c r="D23" s="533"/>
      <c r="E23" s="197" t="s">
        <v>390</v>
      </c>
      <c r="F23" s="140">
        <v>0.9</v>
      </c>
      <c r="G23" s="140">
        <v>0.9</v>
      </c>
      <c r="H23" s="140">
        <v>0.9</v>
      </c>
      <c r="I23" s="140">
        <v>0.9</v>
      </c>
      <c r="J23" s="140">
        <v>0.9</v>
      </c>
      <c r="K23" s="140">
        <v>0.9</v>
      </c>
      <c r="L23" s="140">
        <v>0.9</v>
      </c>
      <c r="M23" s="140">
        <v>0.9</v>
      </c>
      <c r="N23" s="140">
        <v>0.9</v>
      </c>
      <c r="O23" s="140">
        <v>0.9</v>
      </c>
      <c r="P23" s="140">
        <v>0.9</v>
      </c>
      <c r="Q23" s="140">
        <v>0.9</v>
      </c>
      <c r="R23" s="140">
        <v>0.9</v>
      </c>
      <c r="S23" s="140">
        <v>0.9</v>
      </c>
      <c r="T23" s="140">
        <v>0.9</v>
      </c>
      <c r="U23" s="140">
        <v>0.9</v>
      </c>
      <c r="V23" s="140">
        <v>0.9</v>
      </c>
      <c r="W23" s="140">
        <v>0.9</v>
      </c>
      <c r="X23" s="140">
        <v>0.9</v>
      </c>
      <c r="Y23" s="140">
        <v>0.9</v>
      </c>
      <c r="Z23" s="140">
        <v>0.9</v>
      </c>
      <c r="AA23" s="140">
        <v>0.9</v>
      </c>
      <c r="AB23" s="140">
        <v>0.9</v>
      </c>
      <c r="AC23" s="141">
        <v>0.9</v>
      </c>
    </row>
    <row r="24" spans="1:29" ht="37.200000000000003" customHeight="1" x14ac:dyDescent="0.3">
      <c r="A24" s="525"/>
      <c r="B24" s="528"/>
      <c r="C24" s="531"/>
      <c r="D24" s="534"/>
      <c r="E24" s="198" t="s">
        <v>391</v>
      </c>
      <c r="F24" s="143">
        <v>0.9</v>
      </c>
      <c r="G24" s="143">
        <v>0.9</v>
      </c>
      <c r="H24" s="143">
        <v>0.9</v>
      </c>
      <c r="I24" s="143">
        <v>0.9</v>
      </c>
      <c r="J24" s="143">
        <v>0.9</v>
      </c>
      <c r="K24" s="143">
        <v>0.9</v>
      </c>
      <c r="L24" s="143">
        <v>0.9</v>
      </c>
      <c r="M24" s="143">
        <v>0.9</v>
      </c>
      <c r="N24" s="143">
        <v>0.9</v>
      </c>
      <c r="O24" s="143">
        <v>0.9</v>
      </c>
      <c r="P24" s="143">
        <v>0.9</v>
      </c>
      <c r="Q24" s="143">
        <v>0.9</v>
      </c>
      <c r="R24" s="143">
        <v>0.9</v>
      </c>
      <c r="S24" s="143">
        <v>0.9</v>
      </c>
      <c r="T24" s="143">
        <v>0.9</v>
      </c>
      <c r="U24" s="143">
        <v>0.9</v>
      </c>
      <c r="V24" s="143">
        <v>0.9</v>
      </c>
      <c r="W24" s="143">
        <v>0.9</v>
      </c>
      <c r="X24" s="143">
        <v>0.9</v>
      </c>
      <c r="Y24" s="143">
        <v>0.9</v>
      </c>
      <c r="Z24" s="143">
        <v>0.9</v>
      </c>
      <c r="AA24" s="143">
        <v>0.9</v>
      </c>
      <c r="AB24" s="143">
        <v>0.9</v>
      </c>
      <c r="AC24" s="144">
        <v>0.9</v>
      </c>
    </row>
    <row r="25" spans="1:29" ht="37.200000000000003" customHeight="1" x14ac:dyDescent="0.3">
      <c r="A25" s="552" t="str">
        <f t="shared" ref="A25:B25" si="4">A16</f>
        <v>All Zones</v>
      </c>
      <c r="B25" s="546" t="str">
        <f t="shared" si="4"/>
        <v>Retail</v>
      </c>
      <c r="C25" s="568" t="s">
        <v>399</v>
      </c>
      <c r="D25" s="543" t="s">
        <v>393</v>
      </c>
      <c r="E25" s="192" t="s">
        <v>389</v>
      </c>
      <c r="F25" s="193">
        <f>IF(F13=1,Thermostat!$B$3,Thermostat!$B$4)</f>
        <v>60</v>
      </c>
      <c r="G25" s="194">
        <f>IF(G13=1,Thermostat!$B$3,Thermostat!$B$4)</f>
        <v>60</v>
      </c>
      <c r="H25" s="194">
        <f>IF(H13=1,Thermostat!$B$3,Thermostat!$B$4)</f>
        <v>60</v>
      </c>
      <c r="I25" s="194">
        <f>IF(I13=1,Thermostat!$B$3,Thermostat!$B$4)</f>
        <v>60</v>
      </c>
      <c r="J25" s="194">
        <f>IF(J13=1,Thermostat!$B$3,Thermostat!$B$4)</f>
        <v>60</v>
      </c>
      <c r="K25" s="194">
        <f>IF(K13=1,Thermostat!$B$3,Thermostat!$B$4)</f>
        <v>60</v>
      </c>
      <c r="L25" s="194">
        <f>IF(L13=1,Thermostat!$B$3,Thermostat!$B$4)</f>
        <v>70</v>
      </c>
      <c r="M25" s="194">
        <f>IF(M13=1,Thermostat!$B$3,Thermostat!$B$4)</f>
        <v>70</v>
      </c>
      <c r="N25" s="194">
        <f>IF(N13=1,Thermostat!$B$3,Thermostat!$B$4)</f>
        <v>70</v>
      </c>
      <c r="O25" s="194">
        <f>IF(O13=1,Thermostat!$B$3,Thermostat!$B$4)</f>
        <v>70</v>
      </c>
      <c r="P25" s="194">
        <f>IF(P13=1,Thermostat!$B$3,Thermostat!$B$4)</f>
        <v>70</v>
      </c>
      <c r="Q25" s="194">
        <f>IF(Q13=1,Thermostat!$B$3,Thermostat!$B$4)</f>
        <v>70</v>
      </c>
      <c r="R25" s="194">
        <f>IF(R13=1,Thermostat!$B$3,Thermostat!$B$4)</f>
        <v>70</v>
      </c>
      <c r="S25" s="194">
        <f>IF(S13=1,Thermostat!$B$3,Thermostat!$B$4)</f>
        <v>70</v>
      </c>
      <c r="T25" s="194">
        <f>IF(T13=1,Thermostat!$B$3,Thermostat!$B$4)</f>
        <v>70</v>
      </c>
      <c r="U25" s="194">
        <f>IF(U13=1,Thermostat!$B$3,Thermostat!$B$4)</f>
        <v>70</v>
      </c>
      <c r="V25" s="194">
        <f>IF(V13=1,Thermostat!$B$3,Thermostat!$B$4)</f>
        <v>70</v>
      </c>
      <c r="W25" s="194">
        <f>IF(W13=1,Thermostat!$B$3,Thermostat!$B$4)</f>
        <v>70</v>
      </c>
      <c r="X25" s="194">
        <f>IF(X13=1,Thermostat!$B$3,Thermostat!$B$4)</f>
        <v>70</v>
      </c>
      <c r="Y25" s="194">
        <f>IF(Y13=1,Thermostat!$B$3,Thermostat!$B$4)</f>
        <v>70</v>
      </c>
      <c r="Z25" s="194">
        <f>IF(Z13=1,Thermostat!$B$3,Thermostat!$B$4)</f>
        <v>70</v>
      </c>
      <c r="AA25" s="194">
        <f>IF(AA13=1,Thermostat!$B$3,Thermostat!$B$4)</f>
        <v>60</v>
      </c>
      <c r="AB25" s="194">
        <f>IF(AB13=1,Thermostat!$B$3,Thermostat!$B$4)</f>
        <v>60</v>
      </c>
      <c r="AC25" s="195">
        <f>IF(AC13=1,Thermostat!$B$3,Thermostat!$B$4)</f>
        <v>60</v>
      </c>
    </row>
    <row r="26" spans="1:29" ht="37.200000000000003" customHeight="1" x14ac:dyDescent="0.3">
      <c r="A26" s="553"/>
      <c r="B26" s="547"/>
      <c r="C26" s="538"/>
      <c r="D26" s="544"/>
      <c r="E26" s="163" t="s">
        <v>390</v>
      </c>
      <c r="F26" s="169">
        <f>IF(F14=1,Thermostat!$B$3,Thermostat!$B$4)</f>
        <v>60</v>
      </c>
      <c r="G26" s="170">
        <f>IF(G14=1,Thermostat!$B$3,Thermostat!$B$4)</f>
        <v>60</v>
      </c>
      <c r="H26" s="170">
        <f>IF(H14=1,Thermostat!$B$3,Thermostat!$B$4)</f>
        <v>60</v>
      </c>
      <c r="I26" s="170">
        <f>IF(I14=1,Thermostat!$B$3,Thermostat!$B$4)</f>
        <v>60</v>
      </c>
      <c r="J26" s="170">
        <f>IF(J14=1,Thermostat!$B$3,Thermostat!$B$4)</f>
        <v>60</v>
      </c>
      <c r="K26" s="170">
        <f>IF(K14=1,Thermostat!$B$3,Thermostat!$B$4)</f>
        <v>60</v>
      </c>
      <c r="L26" s="170">
        <f>IF(L14=1,Thermostat!$B$3,Thermostat!$B$4)</f>
        <v>70</v>
      </c>
      <c r="M26" s="170">
        <f>IF(M14=1,Thermostat!$B$3,Thermostat!$B$4)</f>
        <v>70</v>
      </c>
      <c r="N26" s="170">
        <f>IF(N14=1,Thermostat!$B$3,Thermostat!$B$4)</f>
        <v>70</v>
      </c>
      <c r="O26" s="170">
        <f>IF(O14=1,Thermostat!$B$3,Thermostat!$B$4)</f>
        <v>70</v>
      </c>
      <c r="P26" s="170">
        <f>IF(P14=1,Thermostat!$B$3,Thermostat!$B$4)</f>
        <v>70</v>
      </c>
      <c r="Q26" s="170">
        <f>IF(Q14=1,Thermostat!$B$3,Thermostat!$B$4)</f>
        <v>70</v>
      </c>
      <c r="R26" s="170">
        <f>IF(R14=1,Thermostat!$B$3,Thermostat!$B$4)</f>
        <v>70</v>
      </c>
      <c r="S26" s="170">
        <f>IF(S14=1,Thermostat!$B$3,Thermostat!$B$4)</f>
        <v>70</v>
      </c>
      <c r="T26" s="170">
        <f>IF(T14=1,Thermostat!$B$3,Thermostat!$B$4)</f>
        <v>70</v>
      </c>
      <c r="U26" s="170">
        <f>IF(U14=1,Thermostat!$B$3,Thermostat!$B$4)</f>
        <v>70</v>
      </c>
      <c r="V26" s="170">
        <f>IF(V14=1,Thermostat!$B$3,Thermostat!$B$4)</f>
        <v>70</v>
      </c>
      <c r="W26" s="170">
        <f>IF(W14=1,Thermostat!$B$3,Thermostat!$B$4)</f>
        <v>70</v>
      </c>
      <c r="X26" s="170">
        <f>IF(X14=1,Thermostat!$B$3,Thermostat!$B$4)</f>
        <v>70</v>
      </c>
      <c r="Y26" s="170">
        <f>IF(Y14=1,Thermostat!$B$3,Thermostat!$B$4)</f>
        <v>70</v>
      </c>
      <c r="Z26" s="170">
        <f>IF(Z14=1,Thermostat!$B$3,Thermostat!$B$4)</f>
        <v>70</v>
      </c>
      <c r="AA26" s="170">
        <f>IF(AA14=1,Thermostat!$B$3,Thermostat!$B$4)</f>
        <v>70</v>
      </c>
      <c r="AB26" s="170">
        <f>IF(AB14=1,Thermostat!$B$3,Thermostat!$B$4)</f>
        <v>60</v>
      </c>
      <c r="AC26" s="171">
        <f>IF(AC14=1,Thermostat!$B$3,Thermostat!$B$4)</f>
        <v>60</v>
      </c>
    </row>
    <row r="27" spans="1:29" ht="37.200000000000003" customHeight="1" thickBot="1" x14ac:dyDescent="0.35">
      <c r="A27" s="554"/>
      <c r="B27" s="548"/>
      <c r="C27" s="539"/>
      <c r="D27" s="545"/>
      <c r="E27" s="172" t="s">
        <v>391</v>
      </c>
      <c r="F27" s="169">
        <f>IF(F15=1,Thermostat!$B$3,Thermostat!$B$4)</f>
        <v>60</v>
      </c>
      <c r="G27" s="170">
        <f>IF(G15=1,Thermostat!$B$3,Thermostat!$B$4)</f>
        <v>60</v>
      </c>
      <c r="H27" s="170">
        <f>IF(H15=1,Thermostat!$B$3,Thermostat!$B$4)</f>
        <v>60</v>
      </c>
      <c r="I27" s="170">
        <f>IF(I15=1,Thermostat!$B$3,Thermostat!$B$4)</f>
        <v>60</v>
      </c>
      <c r="J27" s="170">
        <f>IF(J15=1,Thermostat!$B$3,Thermostat!$B$4)</f>
        <v>60</v>
      </c>
      <c r="K27" s="170">
        <f>IF(K15=1,Thermostat!$B$3,Thermostat!$B$4)</f>
        <v>60</v>
      </c>
      <c r="L27" s="170">
        <f>IF(L15=1,Thermostat!$B$3,Thermostat!$B$4)</f>
        <v>60</v>
      </c>
      <c r="M27" s="170">
        <f>IF(M15=1,Thermostat!$B$3,Thermostat!$B$4)</f>
        <v>60</v>
      </c>
      <c r="N27" s="170">
        <f>IF(N15=1,Thermostat!$B$3,Thermostat!$B$4)</f>
        <v>70</v>
      </c>
      <c r="O27" s="170">
        <f>IF(O15=1,Thermostat!$B$3,Thermostat!$B$4)</f>
        <v>70</v>
      </c>
      <c r="P27" s="170">
        <f>IF(P15=1,Thermostat!$B$3,Thermostat!$B$4)</f>
        <v>70</v>
      </c>
      <c r="Q27" s="170">
        <f>IF(Q15=1,Thermostat!$B$3,Thermostat!$B$4)</f>
        <v>70</v>
      </c>
      <c r="R27" s="170">
        <f>IF(R15=1,Thermostat!$B$3,Thermostat!$B$4)</f>
        <v>70</v>
      </c>
      <c r="S27" s="170">
        <f>IF(S15=1,Thermostat!$B$3,Thermostat!$B$4)</f>
        <v>70</v>
      </c>
      <c r="T27" s="170">
        <f>IF(T15=1,Thermostat!$B$3,Thermostat!$B$4)</f>
        <v>70</v>
      </c>
      <c r="U27" s="170">
        <f>IF(U15=1,Thermostat!$B$3,Thermostat!$B$4)</f>
        <v>70</v>
      </c>
      <c r="V27" s="170">
        <f>IF(V15=1,Thermostat!$B$3,Thermostat!$B$4)</f>
        <v>70</v>
      </c>
      <c r="W27" s="170">
        <f>IF(W15=1,Thermostat!$B$3,Thermostat!$B$4)</f>
        <v>70</v>
      </c>
      <c r="X27" s="170">
        <f>IF(X15=1,Thermostat!$B$3,Thermostat!$B$4)</f>
        <v>70</v>
      </c>
      <c r="Y27" s="170">
        <f>IF(Y15=1,Thermostat!$B$3,Thermostat!$B$4)</f>
        <v>60</v>
      </c>
      <c r="Z27" s="170">
        <f>IF(Z15=1,Thermostat!$B$3,Thermostat!$B$4)</f>
        <v>60</v>
      </c>
      <c r="AA27" s="170">
        <f>IF(AA15=1,Thermostat!$B$3,Thermostat!$B$4)</f>
        <v>60</v>
      </c>
      <c r="AB27" s="170">
        <f>IF(AB15=1,Thermostat!$B$3,Thermostat!$B$4)</f>
        <v>60</v>
      </c>
      <c r="AC27" s="171">
        <f>IF(AC15=1,Thermostat!$B$3,Thermostat!$B$4)</f>
        <v>60</v>
      </c>
    </row>
    <row r="28" spans="1:29" ht="37.200000000000003" customHeight="1" x14ac:dyDescent="0.3">
      <c r="A28" s="552" t="str">
        <f t="shared" ref="A28:B28" si="5">A19</f>
        <v>All Zones</v>
      </c>
      <c r="B28" s="546" t="str">
        <f t="shared" si="5"/>
        <v>Retail</v>
      </c>
      <c r="C28" s="569" t="s">
        <v>400</v>
      </c>
      <c r="D28" s="571" t="s">
        <v>393</v>
      </c>
      <c r="E28" s="173" t="s">
        <v>389</v>
      </c>
      <c r="F28" s="161">
        <f>IF(F13=1,Thermostat!$B$5,Thermostat!$B$6)</f>
        <v>85</v>
      </c>
      <c r="G28" s="174">
        <f>IF(G13=1,Thermostat!$B$5,Thermostat!$B$6)</f>
        <v>85</v>
      </c>
      <c r="H28" s="174">
        <f>IF(H13=1,Thermostat!$B$5,Thermostat!$B$6)</f>
        <v>85</v>
      </c>
      <c r="I28" s="174">
        <f>IF(I13=1,Thermostat!$B$5,Thermostat!$B$6)</f>
        <v>85</v>
      </c>
      <c r="J28" s="174">
        <f>IF(J13=1,Thermostat!$B$5,Thermostat!$B$6)</f>
        <v>85</v>
      </c>
      <c r="K28" s="174">
        <f>IF(K13=1,Thermostat!$B$5,Thermostat!$B$6)</f>
        <v>85</v>
      </c>
      <c r="L28" s="174">
        <f>IF(L13=1,Thermostat!$B$5,Thermostat!$B$6)</f>
        <v>75</v>
      </c>
      <c r="M28" s="174">
        <f>IF(M13=1,Thermostat!$B$5,Thermostat!$B$6)</f>
        <v>75</v>
      </c>
      <c r="N28" s="174">
        <f>IF(N13=1,Thermostat!$B$5,Thermostat!$B$6)</f>
        <v>75</v>
      </c>
      <c r="O28" s="174">
        <f>IF(O13=1,Thermostat!$B$5,Thermostat!$B$6)</f>
        <v>75</v>
      </c>
      <c r="P28" s="174">
        <f>IF(P13=1,Thermostat!$B$5,Thermostat!$B$6)</f>
        <v>75</v>
      </c>
      <c r="Q28" s="174">
        <f>IF(Q13=1,Thermostat!$B$5,Thermostat!$B$6)</f>
        <v>75</v>
      </c>
      <c r="R28" s="174">
        <f>IF(R13=1,Thermostat!$B$5,Thermostat!$B$6)</f>
        <v>75</v>
      </c>
      <c r="S28" s="174">
        <f>IF(S13=1,Thermostat!$B$5,Thermostat!$B$6)</f>
        <v>75</v>
      </c>
      <c r="T28" s="174">
        <f>IF(T13=1,Thermostat!$B$5,Thermostat!$B$6)</f>
        <v>75</v>
      </c>
      <c r="U28" s="174">
        <f>IF(U13=1,Thermostat!$B$5,Thermostat!$B$6)</f>
        <v>75</v>
      </c>
      <c r="V28" s="174">
        <f>IF(V13=1,Thermostat!$B$5,Thermostat!$B$6)</f>
        <v>75</v>
      </c>
      <c r="W28" s="174">
        <f>IF(W13=1,Thermostat!$B$5,Thermostat!$B$6)</f>
        <v>75</v>
      </c>
      <c r="X28" s="174">
        <f>IF(X13=1,Thermostat!$B$5,Thermostat!$B$6)</f>
        <v>75</v>
      </c>
      <c r="Y28" s="174">
        <f>IF(Y13=1,Thermostat!$B$5,Thermostat!$B$6)</f>
        <v>75</v>
      </c>
      <c r="Z28" s="174">
        <f>IF(Z13=1,Thermostat!$B$5,Thermostat!$B$6)</f>
        <v>75</v>
      </c>
      <c r="AA28" s="174">
        <f>IF(AA13=1,Thermostat!$B$5,Thermostat!$B$6)</f>
        <v>85</v>
      </c>
      <c r="AB28" s="174">
        <f>IF(AB13=1,Thermostat!$B$5,Thermostat!$B$6)</f>
        <v>85</v>
      </c>
      <c r="AC28" s="175">
        <f>IF(AC13=1,Thermostat!$B$5,Thermostat!$B$6)</f>
        <v>85</v>
      </c>
    </row>
    <row r="29" spans="1:29" ht="37.200000000000003" customHeight="1" x14ac:dyDescent="0.3">
      <c r="A29" s="553"/>
      <c r="B29" s="547"/>
      <c r="C29" s="538"/>
      <c r="D29" s="572"/>
      <c r="E29" s="176" t="s">
        <v>390</v>
      </c>
      <c r="F29" s="164">
        <f>IF(F14=1,Thermostat!$B$5,Thermostat!$B$6)</f>
        <v>85</v>
      </c>
      <c r="G29" s="177">
        <f>IF(G14=1,Thermostat!$B$5,Thermostat!$B$6)</f>
        <v>85</v>
      </c>
      <c r="H29" s="177">
        <f>IF(H14=1,Thermostat!$B$5,Thermostat!$B$6)</f>
        <v>85</v>
      </c>
      <c r="I29" s="177">
        <f>IF(I14=1,Thermostat!$B$5,Thermostat!$B$6)</f>
        <v>85</v>
      </c>
      <c r="J29" s="177">
        <f>IF(J14=1,Thermostat!$B$5,Thermostat!$B$6)</f>
        <v>85</v>
      </c>
      <c r="K29" s="177">
        <f>IF(K14=1,Thermostat!$B$5,Thermostat!$B$6)</f>
        <v>85</v>
      </c>
      <c r="L29" s="177">
        <f>IF(L14=1,Thermostat!$B$5,Thermostat!$B$6)</f>
        <v>75</v>
      </c>
      <c r="M29" s="177">
        <f>IF(M14=1,Thermostat!$B$5,Thermostat!$B$6)</f>
        <v>75</v>
      </c>
      <c r="N29" s="177">
        <f>IF(N14=1,Thermostat!$B$5,Thermostat!$B$6)</f>
        <v>75</v>
      </c>
      <c r="O29" s="177">
        <f>IF(O14=1,Thermostat!$B$5,Thermostat!$B$6)</f>
        <v>75</v>
      </c>
      <c r="P29" s="177">
        <f>IF(P14=1,Thermostat!$B$5,Thermostat!$B$6)</f>
        <v>75</v>
      </c>
      <c r="Q29" s="177">
        <f>IF(Q14=1,Thermostat!$B$5,Thermostat!$B$6)</f>
        <v>75</v>
      </c>
      <c r="R29" s="177">
        <f>IF(R14=1,Thermostat!$B$5,Thermostat!$B$6)</f>
        <v>75</v>
      </c>
      <c r="S29" s="177">
        <f>IF(S14=1,Thermostat!$B$5,Thermostat!$B$6)</f>
        <v>75</v>
      </c>
      <c r="T29" s="177">
        <f>IF(T14=1,Thermostat!$B$5,Thermostat!$B$6)</f>
        <v>75</v>
      </c>
      <c r="U29" s="177">
        <f>IF(U14=1,Thermostat!$B$5,Thermostat!$B$6)</f>
        <v>75</v>
      </c>
      <c r="V29" s="177">
        <f>IF(V14=1,Thermostat!$B$5,Thermostat!$B$6)</f>
        <v>75</v>
      </c>
      <c r="W29" s="177">
        <f>IF(W14=1,Thermostat!$B$5,Thermostat!$B$6)</f>
        <v>75</v>
      </c>
      <c r="X29" s="177">
        <f>IF(X14=1,Thermostat!$B$5,Thermostat!$B$6)</f>
        <v>75</v>
      </c>
      <c r="Y29" s="177">
        <f>IF(Y14=1,Thermostat!$B$5,Thermostat!$B$6)</f>
        <v>75</v>
      </c>
      <c r="Z29" s="177">
        <f>IF(Z14=1,Thermostat!$B$5,Thermostat!$B$6)</f>
        <v>75</v>
      </c>
      <c r="AA29" s="177">
        <f>IF(AA14=1,Thermostat!$B$5,Thermostat!$B$6)</f>
        <v>75</v>
      </c>
      <c r="AB29" s="177">
        <f>IF(AB14=1,Thermostat!$B$5,Thermostat!$B$6)</f>
        <v>85</v>
      </c>
      <c r="AC29" s="178">
        <f>IF(AC14=1,Thermostat!$B$5,Thermostat!$B$6)</f>
        <v>85</v>
      </c>
    </row>
    <row r="30" spans="1:29" ht="37.200000000000003" customHeight="1" thickBot="1" x14ac:dyDescent="0.35">
      <c r="A30" s="554"/>
      <c r="B30" s="548"/>
      <c r="C30" s="570"/>
      <c r="D30" s="573"/>
      <c r="E30" s="179" t="s">
        <v>391</v>
      </c>
      <c r="F30" s="167">
        <f>IF(F15=1,Thermostat!$B$5,Thermostat!$B$6)</f>
        <v>85</v>
      </c>
      <c r="G30" s="180">
        <f>IF(G15=1,Thermostat!$B$5,Thermostat!$B$6)</f>
        <v>85</v>
      </c>
      <c r="H30" s="180">
        <f>IF(H15=1,Thermostat!$B$5,Thermostat!$B$6)</f>
        <v>85</v>
      </c>
      <c r="I30" s="180">
        <f>IF(I15=1,Thermostat!$B$5,Thermostat!$B$6)</f>
        <v>85</v>
      </c>
      <c r="J30" s="180">
        <f>IF(J15=1,Thermostat!$B$5,Thermostat!$B$6)</f>
        <v>85</v>
      </c>
      <c r="K30" s="180">
        <f>IF(K15=1,Thermostat!$B$5,Thermostat!$B$6)</f>
        <v>85</v>
      </c>
      <c r="L30" s="180">
        <f>IF(L15=1,Thermostat!$B$5,Thermostat!$B$6)</f>
        <v>85</v>
      </c>
      <c r="M30" s="180">
        <f>IF(M15=1,Thermostat!$B$5,Thermostat!$B$6)</f>
        <v>85</v>
      </c>
      <c r="N30" s="180">
        <f>IF(N15=1,Thermostat!$B$5,Thermostat!$B$6)</f>
        <v>75</v>
      </c>
      <c r="O30" s="180">
        <f>IF(O15=1,Thermostat!$B$5,Thermostat!$B$6)</f>
        <v>75</v>
      </c>
      <c r="P30" s="180">
        <f>IF(P15=1,Thermostat!$B$5,Thermostat!$B$6)</f>
        <v>75</v>
      </c>
      <c r="Q30" s="180">
        <f>IF(Q15=1,Thermostat!$B$5,Thermostat!$B$6)</f>
        <v>75</v>
      </c>
      <c r="R30" s="180">
        <f>IF(R15=1,Thermostat!$B$5,Thermostat!$B$6)</f>
        <v>75</v>
      </c>
      <c r="S30" s="180">
        <f>IF(S15=1,Thermostat!$B$5,Thermostat!$B$6)</f>
        <v>75</v>
      </c>
      <c r="T30" s="180">
        <f>IF(T15=1,Thermostat!$B$5,Thermostat!$B$6)</f>
        <v>75</v>
      </c>
      <c r="U30" s="180">
        <f>IF(U15=1,Thermostat!$B$5,Thermostat!$B$6)</f>
        <v>75</v>
      </c>
      <c r="V30" s="180">
        <f>IF(V15=1,Thermostat!$B$5,Thermostat!$B$6)</f>
        <v>75</v>
      </c>
      <c r="W30" s="180">
        <f>IF(W15=1,Thermostat!$B$5,Thermostat!$B$6)</f>
        <v>75</v>
      </c>
      <c r="X30" s="180">
        <f>IF(X15=1,Thermostat!$B$5,Thermostat!$B$6)</f>
        <v>75</v>
      </c>
      <c r="Y30" s="180">
        <f>IF(Y15=1,Thermostat!$B$5,Thermostat!$B$6)</f>
        <v>85</v>
      </c>
      <c r="Z30" s="180">
        <f>IF(Z15=1,Thermostat!$B$5,Thermostat!$B$6)</f>
        <v>85</v>
      </c>
      <c r="AA30" s="180">
        <f>IF(AA15=1,Thermostat!$B$5,Thermostat!$B$6)</f>
        <v>85</v>
      </c>
      <c r="AB30" s="180">
        <f>IF(AB15=1,Thermostat!$B$5,Thermostat!$B$6)</f>
        <v>85</v>
      </c>
      <c r="AC30" s="181">
        <f>IF(AC15=1,Thermostat!$B$5,Thermostat!$B$6)</f>
        <v>85</v>
      </c>
    </row>
    <row r="31" spans="1:29" ht="25.95" customHeight="1" thickBot="1" x14ac:dyDescent="0.35">
      <c r="A31" s="563" t="s">
        <v>401</v>
      </c>
      <c r="B31" s="564"/>
      <c r="C31" s="564"/>
      <c r="D31" s="564"/>
      <c r="E31" s="564"/>
      <c r="F31" s="564"/>
      <c r="G31" s="564"/>
      <c r="H31" s="564"/>
      <c r="I31" s="564"/>
      <c r="J31" s="564"/>
      <c r="K31" s="564"/>
      <c r="L31" s="564"/>
      <c r="M31" s="564"/>
      <c r="N31" s="564"/>
      <c r="O31" s="564"/>
      <c r="P31" s="564"/>
      <c r="Q31" s="564"/>
      <c r="R31" s="564"/>
      <c r="S31" s="564"/>
      <c r="T31" s="564"/>
      <c r="U31" s="564"/>
      <c r="V31" s="564"/>
      <c r="W31" s="564"/>
      <c r="X31" s="564"/>
      <c r="Y31" s="564"/>
      <c r="Z31" s="564"/>
      <c r="AA31" s="564"/>
      <c r="AB31" s="564"/>
      <c r="AC31" s="565"/>
    </row>
    <row r="32" spans="1:29" ht="28.95" customHeight="1" x14ac:dyDescent="0.3">
      <c r="A32" s="574"/>
      <c r="B32" s="581" t="s">
        <v>99</v>
      </c>
      <c r="C32" s="569" t="s">
        <v>402</v>
      </c>
      <c r="D32" s="583"/>
      <c r="E32" s="183" t="s">
        <v>389</v>
      </c>
      <c r="F32" s="184">
        <v>1</v>
      </c>
      <c r="G32" s="184">
        <v>1</v>
      </c>
      <c r="H32" s="184">
        <v>1</v>
      </c>
      <c r="I32" s="184">
        <v>1</v>
      </c>
      <c r="J32" s="184">
        <v>1</v>
      </c>
      <c r="K32" s="184">
        <v>1</v>
      </c>
      <c r="L32" s="184">
        <v>1</v>
      </c>
      <c r="M32" s="184">
        <v>1</v>
      </c>
      <c r="N32" s="184">
        <v>1</v>
      </c>
      <c r="O32" s="184">
        <v>1</v>
      </c>
      <c r="P32" s="184">
        <v>1</v>
      </c>
      <c r="Q32" s="184">
        <v>1</v>
      </c>
      <c r="R32" s="184">
        <v>1</v>
      </c>
      <c r="S32" s="184">
        <v>1</v>
      </c>
      <c r="T32" s="184">
        <v>1</v>
      </c>
      <c r="U32" s="184">
        <v>1</v>
      </c>
      <c r="V32" s="184">
        <v>1</v>
      </c>
      <c r="W32" s="184">
        <v>1</v>
      </c>
      <c r="X32" s="184">
        <v>1</v>
      </c>
      <c r="Y32" s="184">
        <v>1</v>
      </c>
      <c r="Z32" s="184">
        <v>1</v>
      </c>
      <c r="AA32" s="184">
        <v>1</v>
      </c>
      <c r="AB32" s="184">
        <v>1</v>
      </c>
      <c r="AC32" s="185">
        <v>1</v>
      </c>
    </row>
    <row r="33" spans="1:29" ht="28.95" customHeight="1" x14ac:dyDescent="0.3">
      <c r="A33" s="579"/>
      <c r="B33" s="541"/>
      <c r="C33" s="577"/>
      <c r="D33" s="533"/>
      <c r="E33" s="182" t="s">
        <v>390</v>
      </c>
      <c r="F33" s="177">
        <v>1</v>
      </c>
      <c r="G33" s="177">
        <v>1</v>
      </c>
      <c r="H33" s="177">
        <v>1</v>
      </c>
      <c r="I33" s="177">
        <v>1</v>
      </c>
      <c r="J33" s="177">
        <v>1</v>
      </c>
      <c r="K33" s="177">
        <v>1</v>
      </c>
      <c r="L33" s="177">
        <v>1</v>
      </c>
      <c r="M33" s="177">
        <v>1</v>
      </c>
      <c r="N33" s="177">
        <v>1</v>
      </c>
      <c r="O33" s="177">
        <v>1</v>
      </c>
      <c r="P33" s="177">
        <v>1</v>
      </c>
      <c r="Q33" s="177">
        <v>1</v>
      </c>
      <c r="R33" s="177">
        <v>1</v>
      </c>
      <c r="S33" s="177">
        <v>1</v>
      </c>
      <c r="T33" s="177">
        <v>1</v>
      </c>
      <c r="U33" s="177">
        <v>1</v>
      </c>
      <c r="V33" s="177">
        <v>1</v>
      </c>
      <c r="W33" s="177">
        <v>1</v>
      </c>
      <c r="X33" s="177">
        <v>1</v>
      </c>
      <c r="Y33" s="177">
        <v>1</v>
      </c>
      <c r="Z33" s="177">
        <v>1</v>
      </c>
      <c r="AA33" s="177">
        <v>1</v>
      </c>
      <c r="AB33" s="177">
        <v>1</v>
      </c>
      <c r="AC33" s="186">
        <v>1</v>
      </c>
    </row>
    <row r="34" spans="1:29" ht="28.95" customHeight="1" thickBot="1" x14ac:dyDescent="0.35">
      <c r="A34" s="580"/>
      <c r="B34" s="582"/>
      <c r="C34" s="578"/>
      <c r="D34" s="584"/>
      <c r="E34" s="187" t="s">
        <v>391</v>
      </c>
      <c r="F34" s="188">
        <v>1</v>
      </c>
      <c r="G34" s="188">
        <v>1</v>
      </c>
      <c r="H34" s="188">
        <v>1</v>
      </c>
      <c r="I34" s="188">
        <v>1</v>
      </c>
      <c r="J34" s="188">
        <v>1</v>
      </c>
      <c r="K34" s="188">
        <v>1</v>
      </c>
      <c r="L34" s="188">
        <v>1</v>
      </c>
      <c r="M34" s="188">
        <v>1</v>
      </c>
      <c r="N34" s="188">
        <v>1</v>
      </c>
      <c r="O34" s="188">
        <v>1</v>
      </c>
      <c r="P34" s="188">
        <v>1</v>
      </c>
      <c r="Q34" s="188">
        <v>1</v>
      </c>
      <c r="R34" s="188">
        <v>1</v>
      </c>
      <c r="S34" s="188">
        <v>1</v>
      </c>
      <c r="T34" s="188">
        <v>1</v>
      </c>
      <c r="U34" s="188">
        <v>1</v>
      </c>
      <c r="V34" s="188">
        <v>1</v>
      </c>
      <c r="W34" s="188">
        <v>1</v>
      </c>
      <c r="X34" s="188">
        <v>1</v>
      </c>
      <c r="Y34" s="188">
        <v>1</v>
      </c>
      <c r="Z34" s="188">
        <v>1</v>
      </c>
      <c r="AA34" s="188">
        <v>1</v>
      </c>
      <c r="AB34" s="188">
        <v>1</v>
      </c>
      <c r="AC34" s="189">
        <v>1</v>
      </c>
    </row>
    <row r="35" spans="1:29" ht="28.95" customHeight="1" x14ac:dyDescent="0.3">
      <c r="A35" s="585"/>
      <c r="B35" s="586" t="s">
        <v>99</v>
      </c>
      <c r="C35" s="568" t="s">
        <v>403</v>
      </c>
      <c r="D35" s="533"/>
      <c r="E35" s="222" t="s">
        <v>389</v>
      </c>
      <c r="F35" s="224">
        <v>0</v>
      </c>
      <c r="G35" s="224">
        <v>0</v>
      </c>
      <c r="H35" s="224">
        <v>0</v>
      </c>
      <c r="I35" s="224">
        <v>0</v>
      </c>
      <c r="J35" s="224">
        <v>0</v>
      </c>
      <c r="K35" s="224">
        <v>1</v>
      </c>
      <c r="L35" s="224">
        <v>1</v>
      </c>
      <c r="M35" s="224">
        <v>1</v>
      </c>
      <c r="N35" s="224">
        <v>1</v>
      </c>
      <c r="O35" s="224">
        <v>1</v>
      </c>
      <c r="P35" s="224">
        <v>1</v>
      </c>
      <c r="Q35" s="224">
        <v>1</v>
      </c>
      <c r="R35" s="224">
        <v>1</v>
      </c>
      <c r="S35" s="224">
        <v>1</v>
      </c>
      <c r="T35" s="224">
        <v>1</v>
      </c>
      <c r="U35" s="224">
        <v>1</v>
      </c>
      <c r="V35" s="224">
        <v>1</v>
      </c>
      <c r="W35" s="224">
        <v>1</v>
      </c>
      <c r="X35" s="224">
        <v>1</v>
      </c>
      <c r="Y35" s="224">
        <v>1</v>
      </c>
      <c r="Z35" s="224">
        <v>1</v>
      </c>
      <c r="AA35" s="224">
        <v>1</v>
      </c>
      <c r="AB35" s="224">
        <v>0</v>
      </c>
      <c r="AC35" s="225">
        <v>0</v>
      </c>
    </row>
    <row r="36" spans="1:29" ht="28.95" customHeight="1" x14ac:dyDescent="0.3">
      <c r="A36" s="553"/>
      <c r="B36" s="541"/>
      <c r="C36" s="577"/>
      <c r="D36" s="533"/>
      <c r="E36" s="182" t="s">
        <v>390</v>
      </c>
      <c r="F36" s="177">
        <v>0</v>
      </c>
      <c r="G36" s="177">
        <v>0</v>
      </c>
      <c r="H36" s="177">
        <v>0</v>
      </c>
      <c r="I36" s="177">
        <v>0</v>
      </c>
      <c r="J36" s="177">
        <v>0</v>
      </c>
      <c r="K36" s="177">
        <v>1</v>
      </c>
      <c r="L36" s="177">
        <v>1</v>
      </c>
      <c r="M36" s="177">
        <v>1</v>
      </c>
      <c r="N36" s="177">
        <v>1</v>
      </c>
      <c r="O36" s="177">
        <v>1</v>
      </c>
      <c r="P36" s="177">
        <v>1</v>
      </c>
      <c r="Q36" s="177">
        <v>1</v>
      </c>
      <c r="R36" s="177">
        <v>1</v>
      </c>
      <c r="S36" s="177">
        <v>1</v>
      </c>
      <c r="T36" s="177">
        <v>1</v>
      </c>
      <c r="U36" s="177">
        <v>1</v>
      </c>
      <c r="V36" s="177">
        <v>1</v>
      </c>
      <c r="W36" s="177">
        <v>1</v>
      </c>
      <c r="X36" s="177">
        <v>1</v>
      </c>
      <c r="Y36" s="177">
        <v>1</v>
      </c>
      <c r="Z36" s="177">
        <v>1</v>
      </c>
      <c r="AA36" s="177">
        <v>1</v>
      </c>
      <c r="AB36" s="177">
        <v>1</v>
      </c>
      <c r="AC36" s="178">
        <v>1</v>
      </c>
    </row>
    <row r="37" spans="1:29" ht="28.95" customHeight="1" thickBot="1" x14ac:dyDescent="0.35">
      <c r="A37" s="567"/>
      <c r="B37" s="542"/>
      <c r="C37" s="577"/>
      <c r="D37" s="533"/>
      <c r="E37" s="223" t="s">
        <v>391</v>
      </c>
      <c r="F37" s="226">
        <v>0</v>
      </c>
      <c r="G37" s="226">
        <v>0</v>
      </c>
      <c r="H37" s="226">
        <v>0</v>
      </c>
      <c r="I37" s="226">
        <v>0</v>
      </c>
      <c r="J37" s="226">
        <v>0</v>
      </c>
      <c r="K37" s="226">
        <v>1</v>
      </c>
      <c r="L37" s="226">
        <v>1</v>
      </c>
      <c r="M37" s="226">
        <v>1</v>
      </c>
      <c r="N37" s="226">
        <v>1</v>
      </c>
      <c r="O37" s="226">
        <v>1</v>
      </c>
      <c r="P37" s="226">
        <v>1</v>
      </c>
      <c r="Q37" s="226">
        <v>1</v>
      </c>
      <c r="R37" s="226">
        <v>1</v>
      </c>
      <c r="S37" s="226">
        <v>1</v>
      </c>
      <c r="T37" s="226">
        <v>1</v>
      </c>
      <c r="U37" s="226">
        <v>1</v>
      </c>
      <c r="V37" s="226">
        <v>1</v>
      </c>
      <c r="W37" s="226">
        <v>1</v>
      </c>
      <c r="X37" s="226">
        <v>1</v>
      </c>
      <c r="Y37" s="226">
        <v>1</v>
      </c>
      <c r="Z37" s="226">
        <v>1</v>
      </c>
      <c r="AA37" s="226">
        <v>1</v>
      </c>
      <c r="AB37" s="226">
        <v>1</v>
      </c>
      <c r="AC37" s="227">
        <v>1</v>
      </c>
    </row>
    <row r="38" spans="1:29" ht="28.95" customHeight="1" x14ac:dyDescent="0.3">
      <c r="A38" s="574" t="s">
        <v>404</v>
      </c>
      <c r="B38" s="569" t="s">
        <v>99</v>
      </c>
      <c r="C38" s="569" t="s">
        <v>405</v>
      </c>
      <c r="D38" s="571" t="s">
        <v>406</v>
      </c>
      <c r="E38" s="183" t="s">
        <v>389</v>
      </c>
      <c r="F38" s="184">
        <v>131.9</v>
      </c>
      <c r="G38" s="184">
        <v>131.9</v>
      </c>
      <c r="H38" s="184">
        <v>131.9</v>
      </c>
      <c r="I38" s="184">
        <v>131.9</v>
      </c>
      <c r="J38" s="184">
        <v>131.9</v>
      </c>
      <c r="K38" s="184">
        <v>131.9</v>
      </c>
      <c r="L38" s="184">
        <v>131.9</v>
      </c>
      <c r="M38" s="184">
        <v>131.9</v>
      </c>
      <c r="N38" s="184">
        <v>131.9</v>
      </c>
      <c r="O38" s="184">
        <v>131.9</v>
      </c>
      <c r="P38" s="184">
        <v>131.9</v>
      </c>
      <c r="Q38" s="184">
        <v>131.9</v>
      </c>
      <c r="R38" s="184">
        <v>131.9</v>
      </c>
      <c r="S38" s="184">
        <v>131.9</v>
      </c>
      <c r="T38" s="184">
        <v>131.9</v>
      </c>
      <c r="U38" s="184">
        <v>131.9</v>
      </c>
      <c r="V38" s="184">
        <v>131.9</v>
      </c>
      <c r="W38" s="184">
        <v>131.9</v>
      </c>
      <c r="X38" s="184">
        <v>131.9</v>
      </c>
      <c r="Y38" s="184">
        <v>131.9</v>
      </c>
      <c r="Z38" s="184">
        <v>131.9</v>
      </c>
      <c r="AA38" s="184">
        <v>131.9</v>
      </c>
      <c r="AB38" s="184">
        <v>131.9</v>
      </c>
      <c r="AC38" s="185">
        <v>131.9</v>
      </c>
    </row>
    <row r="39" spans="1:29" ht="28.95" customHeight="1" x14ac:dyDescent="0.3">
      <c r="A39" s="575"/>
      <c r="B39" s="577"/>
      <c r="C39" s="577"/>
      <c r="D39" s="572"/>
      <c r="E39" s="182" t="s">
        <v>390</v>
      </c>
      <c r="F39" s="177">
        <v>131.9</v>
      </c>
      <c r="G39" s="177">
        <v>131.9</v>
      </c>
      <c r="H39" s="177">
        <v>131.9</v>
      </c>
      <c r="I39" s="177">
        <v>131.9</v>
      </c>
      <c r="J39" s="177">
        <v>131.9</v>
      </c>
      <c r="K39" s="177">
        <v>131.9</v>
      </c>
      <c r="L39" s="177">
        <v>131.9</v>
      </c>
      <c r="M39" s="177">
        <v>131.9</v>
      </c>
      <c r="N39" s="177">
        <v>131.9</v>
      </c>
      <c r="O39" s="177">
        <v>131.9</v>
      </c>
      <c r="P39" s="177">
        <v>131.9</v>
      </c>
      <c r="Q39" s="177">
        <v>131.9</v>
      </c>
      <c r="R39" s="177">
        <v>131.9</v>
      </c>
      <c r="S39" s="177">
        <v>131.9</v>
      </c>
      <c r="T39" s="177">
        <v>131.9</v>
      </c>
      <c r="U39" s="177">
        <v>131.9</v>
      </c>
      <c r="V39" s="177">
        <v>131.9</v>
      </c>
      <c r="W39" s="177">
        <v>131.9</v>
      </c>
      <c r="X39" s="177">
        <v>131.9</v>
      </c>
      <c r="Y39" s="177">
        <v>131.9</v>
      </c>
      <c r="Z39" s="177">
        <v>131.9</v>
      </c>
      <c r="AA39" s="177">
        <v>131.9</v>
      </c>
      <c r="AB39" s="177">
        <v>131.9</v>
      </c>
      <c r="AC39" s="186">
        <v>131.9</v>
      </c>
    </row>
    <row r="40" spans="1:29" ht="28.95" customHeight="1" thickBot="1" x14ac:dyDescent="0.35">
      <c r="A40" s="576"/>
      <c r="B40" s="578"/>
      <c r="C40" s="578"/>
      <c r="D40" s="573"/>
      <c r="E40" s="187" t="s">
        <v>391</v>
      </c>
      <c r="F40" s="188">
        <v>131.9</v>
      </c>
      <c r="G40" s="188">
        <v>131.9</v>
      </c>
      <c r="H40" s="188">
        <v>131.9</v>
      </c>
      <c r="I40" s="188">
        <v>131.9</v>
      </c>
      <c r="J40" s="188">
        <v>131.9</v>
      </c>
      <c r="K40" s="188">
        <v>131.9</v>
      </c>
      <c r="L40" s="188">
        <v>131.9</v>
      </c>
      <c r="M40" s="188">
        <v>131.9</v>
      </c>
      <c r="N40" s="188">
        <v>131.9</v>
      </c>
      <c r="O40" s="188">
        <v>131.9</v>
      </c>
      <c r="P40" s="188">
        <v>131.9</v>
      </c>
      <c r="Q40" s="188">
        <v>131.9</v>
      </c>
      <c r="R40" s="188">
        <v>131.9</v>
      </c>
      <c r="S40" s="188">
        <v>131.9</v>
      </c>
      <c r="T40" s="188">
        <v>131.9</v>
      </c>
      <c r="U40" s="188">
        <v>131.9</v>
      </c>
      <c r="V40" s="188">
        <v>131.9</v>
      </c>
      <c r="W40" s="188">
        <v>131.9</v>
      </c>
      <c r="X40" s="188">
        <v>131.9</v>
      </c>
      <c r="Y40" s="188">
        <v>131.9</v>
      </c>
      <c r="Z40" s="188">
        <v>131.9</v>
      </c>
      <c r="AA40" s="188">
        <v>131.9</v>
      </c>
      <c r="AB40" s="188">
        <v>131.9</v>
      </c>
      <c r="AC40" s="189">
        <v>131.9</v>
      </c>
    </row>
    <row r="41" spans="1:29" ht="11.4" customHeight="1" x14ac:dyDescent="0.3"/>
    <row r="50" spans="1:56" ht="14.4" hidden="1" x14ac:dyDescent="0.3">
      <c r="A50" s="221" t="s">
        <v>135</v>
      </c>
      <c r="B50" s="221"/>
      <c r="C50" s="221"/>
      <c r="D50" s="221" t="s">
        <v>407</v>
      </c>
      <c r="E50" s="221" t="s">
        <v>407</v>
      </c>
      <c r="F50" s="221" t="s">
        <v>407</v>
      </c>
      <c r="G50" s="221" t="s">
        <v>407</v>
      </c>
      <c r="H50" s="221" t="s">
        <v>407</v>
      </c>
      <c r="I50" s="221" t="s">
        <v>407</v>
      </c>
      <c r="J50" s="221" t="s">
        <v>407</v>
      </c>
      <c r="K50" s="221" t="s">
        <v>407</v>
      </c>
      <c r="L50" s="221" t="s">
        <v>407</v>
      </c>
      <c r="M50" s="221" t="s">
        <v>407</v>
      </c>
      <c r="N50" s="221" t="s">
        <v>407</v>
      </c>
      <c r="O50" s="221" t="s">
        <v>407</v>
      </c>
      <c r="P50" s="221" t="s">
        <v>407</v>
      </c>
      <c r="Q50" s="221" t="s">
        <v>407</v>
      </c>
      <c r="R50" s="221" t="s">
        <v>407</v>
      </c>
      <c r="S50" s="221" t="s">
        <v>407</v>
      </c>
      <c r="T50" s="221" t="s">
        <v>407</v>
      </c>
      <c r="U50" s="221" t="s">
        <v>407</v>
      </c>
      <c r="V50" s="221" t="s">
        <v>407</v>
      </c>
      <c r="W50" s="221" t="s">
        <v>407</v>
      </c>
      <c r="X50" s="221" t="s">
        <v>407</v>
      </c>
      <c r="Y50" s="221" t="s">
        <v>407</v>
      </c>
      <c r="Z50" s="221" t="s">
        <v>407</v>
      </c>
      <c r="AA50" s="221" t="s">
        <v>407</v>
      </c>
      <c r="AB50" s="221" t="s">
        <v>407</v>
      </c>
      <c r="AC50" s="221" t="s">
        <v>407</v>
      </c>
      <c r="AD50" s="221" t="s">
        <v>407</v>
      </c>
      <c r="AE50" s="221" t="s">
        <v>407</v>
      </c>
      <c r="AF50" s="221" t="s">
        <v>407</v>
      </c>
      <c r="AG50" s="221" t="s">
        <v>407</v>
      </c>
      <c r="AH50" s="221" t="s">
        <v>407</v>
      </c>
      <c r="AI50" s="221" t="s">
        <v>407</v>
      </c>
      <c r="AJ50" s="221" t="s">
        <v>407</v>
      </c>
      <c r="AK50" s="221" t="s">
        <v>407</v>
      </c>
      <c r="AL50" s="221" t="s">
        <v>407</v>
      </c>
      <c r="AM50" s="221" t="s">
        <v>407</v>
      </c>
      <c r="AN50"/>
      <c r="AO50"/>
      <c r="AP50"/>
      <c r="AQ50"/>
      <c r="AR50"/>
      <c r="AS50"/>
      <c r="AT50"/>
      <c r="AU50"/>
      <c r="AV50"/>
      <c r="AW50"/>
      <c r="AX50"/>
      <c r="AY50"/>
      <c r="AZ50"/>
      <c r="BA50"/>
      <c r="BB50"/>
      <c r="BC50"/>
      <c r="BD50"/>
    </row>
    <row r="104" spans="1:6" s="50" customFormat="1" ht="18.600000000000001" customHeight="1" x14ac:dyDescent="0.3">
      <c r="A104" s="135" t="s">
        <v>135</v>
      </c>
      <c r="B104" s="135"/>
      <c r="C104" s="135"/>
      <c r="D104" s="135"/>
      <c r="E104" s="135"/>
      <c r="F104" s="135"/>
    </row>
  </sheetData>
  <mergeCells count="56">
    <mergeCell ref="A38:A40"/>
    <mergeCell ref="B38:B40"/>
    <mergeCell ref="C38:C40"/>
    <mergeCell ref="D38:D40"/>
    <mergeCell ref="A32:A34"/>
    <mergeCell ref="B32:B34"/>
    <mergeCell ref="C32:C34"/>
    <mergeCell ref="D32:D34"/>
    <mergeCell ref="A35:A37"/>
    <mergeCell ref="B35:B37"/>
    <mergeCell ref="C35:C37"/>
    <mergeCell ref="D35:D37"/>
    <mergeCell ref="A31:AC31"/>
    <mergeCell ref="A2:A3"/>
    <mergeCell ref="A1:AC1"/>
    <mergeCell ref="A4:A6"/>
    <mergeCell ref="A7:A9"/>
    <mergeCell ref="A10:A12"/>
    <mergeCell ref="A25:A27"/>
    <mergeCell ref="B25:B27"/>
    <mergeCell ref="C25:C27"/>
    <mergeCell ref="D25:D27"/>
    <mergeCell ref="A28:A30"/>
    <mergeCell ref="B28:B30"/>
    <mergeCell ref="C28:C30"/>
    <mergeCell ref="D28:D30"/>
    <mergeCell ref="A16:A18"/>
    <mergeCell ref="B16:B18"/>
    <mergeCell ref="C16:C18"/>
    <mergeCell ref="D16:D18"/>
    <mergeCell ref="A19:A21"/>
    <mergeCell ref="B19:B21"/>
    <mergeCell ref="C19:C21"/>
    <mergeCell ref="D19:D21"/>
    <mergeCell ref="F2:AC2"/>
    <mergeCell ref="E2:E3"/>
    <mergeCell ref="D2:D3"/>
    <mergeCell ref="C2:C3"/>
    <mergeCell ref="D4:D6"/>
    <mergeCell ref="C4:C6"/>
    <mergeCell ref="A22:A24"/>
    <mergeCell ref="B22:B24"/>
    <mergeCell ref="C22:C24"/>
    <mergeCell ref="D22:D24"/>
    <mergeCell ref="B2:B3"/>
    <mergeCell ref="C10:C12"/>
    <mergeCell ref="C7:C9"/>
    <mergeCell ref="D7:D9"/>
    <mergeCell ref="B10:B12"/>
    <mergeCell ref="D10:D12"/>
    <mergeCell ref="A13:A15"/>
    <mergeCell ref="B13:B15"/>
    <mergeCell ref="C13:C15"/>
    <mergeCell ref="D13:D15"/>
    <mergeCell ref="B4:B6"/>
    <mergeCell ref="B7:B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AI25"/>
  <sheetViews>
    <sheetView zoomScaleNormal="100" workbookViewId="0">
      <selection sqref="A1:H1"/>
    </sheetView>
  </sheetViews>
  <sheetFormatPr defaultColWidth="8.6640625" defaultRowHeight="12.75" customHeight="1" x14ac:dyDescent="0.25"/>
  <cols>
    <col min="1" max="1" width="14.44140625" style="3" customWidth="1"/>
    <col min="2" max="2" width="8.6640625" style="3"/>
    <col min="3" max="8" width="17" style="3" customWidth="1"/>
    <col min="9" max="12" width="13.88671875" style="3" customWidth="1"/>
    <col min="13" max="13" width="8.6640625" style="3"/>
    <col min="14" max="14" width="14.44140625" style="3" customWidth="1"/>
    <col min="15" max="15" width="15.44140625" style="3" customWidth="1"/>
    <col min="16" max="16" width="19.33203125" style="3" customWidth="1"/>
    <col min="17" max="18" width="18.33203125" style="3" customWidth="1"/>
    <col min="19" max="19" width="17.33203125" style="3" customWidth="1"/>
    <col min="20" max="20" width="18.5546875" style="3" customWidth="1"/>
    <col min="21" max="21" width="15.109375" style="3" customWidth="1"/>
    <col min="22" max="22" width="12.33203125" style="3" customWidth="1"/>
    <col min="23" max="23" width="8.6640625" style="3"/>
    <col min="24" max="24" width="13.6640625" style="3" customWidth="1"/>
    <col min="25" max="27" width="8.6640625" style="3"/>
    <col min="28" max="28" width="12.44140625" style="3" customWidth="1"/>
    <col min="29" max="29" width="8.6640625" style="3"/>
    <col min="30" max="30" width="10.44140625" style="3" customWidth="1"/>
    <col min="31" max="16384" width="8.6640625" style="3"/>
  </cols>
  <sheetData>
    <row r="1" spans="1:35" ht="27" customHeight="1" x14ac:dyDescent="0.25">
      <c r="A1" s="591" t="str">
        <f>"CalBEM Energy Consumption - "&amp;Prototype!A2</f>
        <v>CalBEM Energy Consumption - RetailStripMall</v>
      </c>
      <c r="B1" s="478"/>
      <c r="C1" s="478"/>
      <c r="D1" s="478"/>
      <c r="E1" s="478"/>
      <c r="F1" s="478"/>
      <c r="G1" s="478"/>
      <c r="H1" s="478"/>
      <c r="I1" s="592" t="s">
        <v>408</v>
      </c>
      <c r="J1" s="592"/>
      <c r="K1" s="592"/>
      <c r="L1" s="592"/>
      <c r="N1" s="590" t="s">
        <v>409</v>
      </c>
      <c r="O1" s="441"/>
      <c r="P1" s="441"/>
      <c r="Q1" s="441"/>
      <c r="R1" s="441"/>
      <c r="S1" s="441"/>
      <c r="T1" s="441"/>
      <c r="U1" s="441"/>
      <c r="V1" s="441"/>
      <c r="Y1" s="3" t="s">
        <v>410</v>
      </c>
      <c r="AI1" s="350" t="s">
        <v>411</v>
      </c>
    </row>
    <row r="2" spans="1:35" ht="39.6" customHeight="1" x14ac:dyDescent="0.25">
      <c r="A2" s="202" t="s">
        <v>143</v>
      </c>
      <c r="B2" s="214" t="s">
        <v>412</v>
      </c>
      <c r="C2" s="211" t="s">
        <v>413</v>
      </c>
      <c r="D2" s="215" t="s">
        <v>414</v>
      </c>
      <c r="E2" s="216" t="s">
        <v>415</v>
      </c>
      <c r="F2" s="211" t="s">
        <v>416</v>
      </c>
      <c r="G2" s="212" t="s">
        <v>417</v>
      </c>
      <c r="H2" s="213" t="s">
        <v>418</v>
      </c>
      <c r="I2" s="204" t="s">
        <v>419</v>
      </c>
      <c r="J2" s="205" t="s">
        <v>420</v>
      </c>
      <c r="K2" s="205" t="s">
        <v>421</v>
      </c>
      <c r="L2" s="206" t="s">
        <v>422</v>
      </c>
      <c r="N2" s="201" t="s">
        <v>143</v>
      </c>
      <c r="O2" s="129" t="s">
        <v>412</v>
      </c>
      <c r="P2" s="219" t="s">
        <v>423</v>
      </c>
      <c r="Q2" s="219" t="s">
        <v>424</v>
      </c>
      <c r="R2" s="219" t="s">
        <v>425</v>
      </c>
      <c r="S2" s="219" t="s">
        <v>426</v>
      </c>
      <c r="T2" s="219" t="s">
        <v>420</v>
      </c>
      <c r="U2" s="219" t="s">
        <v>421</v>
      </c>
      <c r="V2" s="219" t="s">
        <v>427</v>
      </c>
      <c r="Y2" s="220" t="s">
        <v>428</v>
      </c>
    </row>
    <row r="3" spans="1:35" ht="19.2" customHeight="1" x14ac:dyDescent="0.3">
      <c r="A3" s="588" t="s">
        <v>55</v>
      </c>
      <c r="B3" s="420">
        <v>1</v>
      </c>
      <c r="C3" s="421"/>
      <c r="D3" s="422"/>
      <c r="E3" s="423"/>
      <c r="F3" s="424"/>
      <c r="G3" s="425"/>
      <c r="H3" s="426"/>
      <c r="I3" s="207">
        <v>46.8</v>
      </c>
      <c r="J3" s="203">
        <f>I3*1.25</f>
        <v>58.5</v>
      </c>
      <c r="K3" s="106">
        <f>0.75*I3</f>
        <v>35.099999999999994</v>
      </c>
      <c r="L3" s="217">
        <f>J3-K3</f>
        <v>23.400000000000006</v>
      </c>
      <c r="N3" s="587" t="s">
        <v>117</v>
      </c>
      <c r="O3" s="200">
        <v>1</v>
      </c>
      <c r="P3" s="427">
        <v>13814</v>
      </c>
      <c r="Q3" s="428">
        <v>37.9</v>
      </c>
      <c r="R3" s="428">
        <v>10.4</v>
      </c>
      <c r="S3" s="429">
        <f>Q3+R3</f>
        <v>48.3</v>
      </c>
      <c r="T3" s="430">
        <f>S3*1.25</f>
        <v>60.375</v>
      </c>
      <c r="U3" s="430">
        <f>S3*0.75</f>
        <v>36.224999999999994</v>
      </c>
      <c r="V3" s="430">
        <f>T3-U3</f>
        <v>24.150000000000006</v>
      </c>
    </row>
    <row r="4" spans="1:35" ht="19.2" customHeight="1" x14ac:dyDescent="0.3">
      <c r="A4" s="588"/>
      <c r="B4" s="420">
        <v>2</v>
      </c>
      <c r="C4" s="421"/>
      <c r="D4" s="422"/>
      <c r="E4" s="423"/>
      <c r="F4" s="424"/>
      <c r="G4" s="425"/>
      <c r="H4" s="426"/>
      <c r="I4" s="207">
        <v>58.4</v>
      </c>
      <c r="J4" s="203">
        <f t="shared" ref="J4:J18" si="0">I4*1.25</f>
        <v>73</v>
      </c>
      <c r="K4" s="106">
        <f t="shared" ref="K4:K18" si="1">0.75*I4</f>
        <v>43.8</v>
      </c>
      <c r="L4" s="217">
        <f t="shared" ref="L4:L18" si="2">J4-K4</f>
        <v>29.200000000000003</v>
      </c>
      <c r="N4" s="587"/>
      <c r="O4" s="200">
        <v>2</v>
      </c>
      <c r="P4" s="427">
        <v>25239</v>
      </c>
      <c r="Q4" s="428">
        <v>26.6</v>
      </c>
      <c r="R4" s="428">
        <v>14.8</v>
      </c>
      <c r="S4" s="429">
        <f t="shared" ref="S4:S18" si="3">Q4+R4</f>
        <v>41.400000000000006</v>
      </c>
      <c r="T4" s="430">
        <f t="shared" ref="T4:T18" si="4">S4*1.25</f>
        <v>51.750000000000007</v>
      </c>
      <c r="U4" s="430">
        <f t="shared" ref="U4:U18" si="5">S4*0.75</f>
        <v>31.050000000000004</v>
      </c>
      <c r="V4" s="430">
        <f t="shared" ref="V4:V18" si="6">T4-U4</f>
        <v>20.700000000000003</v>
      </c>
    </row>
    <row r="5" spans="1:35" ht="19.2" customHeight="1" x14ac:dyDescent="0.3">
      <c r="A5" s="588"/>
      <c r="B5" s="420">
        <v>3</v>
      </c>
      <c r="C5" s="421"/>
      <c r="D5" s="422"/>
      <c r="E5" s="423"/>
      <c r="F5" s="424"/>
      <c r="G5" s="425"/>
      <c r="H5" s="426"/>
      <c r="I5" s="207">
        <v>52.3</v>
      </c>
      <c r="J5" s="203">
        <f t="shared" si="0"/>
        <v>65.375</v>
      </c>
      <c r="K5" s="106">
        <f t="shared" si="1"/>
        <v>39.224999999999994</v>
      </c>
      <c r="L5" s="217">
        <f t="shared" si="2"/>
        <v>26.150000000000006</v>
      </c>
      <c r="N5" s="587"/>
      <c r="O5" s="200">
        <v>3</v>
      </c>
      <c r="P5" s="427">
        <v>88648</v>
      </c>
      <c r="Q5" s="428">
        <v>34.799999999999997</v>
      </c>
      <c r="R5" s="428">
        <v>11.9</v>
      </c>
      <c r="S5" s="429">
        <f t="shared" si="3"/>
        <v>46.699999999999996</v>
      </c>
      <c r="T5" s="430">
        <f t="shared" si="4"/>
        <v>58.374999999999993</v>
      </c>
      <c r="U5" s="430">
        <f t="shared" si="5"/>
        <v>35.024999999999999</v>
      </c>
      <c r="V5" s="430">
        <f t="shared" si="6"/>
        <v>23.349999999999994</v>
      </c>
    </row>
    <row r="6" spans="1:35" ht="19.2" customHeight="1" x14ac:dyDescent="0.3">
      <c r="A6" s="588"/>
      <c r="B6" s="420">
        <v>4</v>
      </c>
      <c r="C6" s="421"/>
      <c r="D6" s="422"/>
      <c r="E6" s="423"/>
      <c r="F6" s="424"/>
      <c r="G6" s="425"/>
      <c r="H6" s="426"/>
      <c r="I6" s="207">
        <v>60.9</v>
      </c>
      <c r="J6" s="203">
        <f t="shared" si="0"/>
        <v>76.125</v>
      </c>
      <c r="K6" s="106">
        <f t="shared" si="1"/>
        <v>45.674999999999997</v>
      </c>
      <c r="L6" s="217">
        <f t="shared" si="2"/>
        <v>30.450000000000003</v>
      </c>
      <c r="N6" s="587"/>
      <c r="O6" s="200">
        <v>4</v>
      </c>
      <c r="P6" s="427">
        <v>44551</v>
      </c>
      <c r="Q6" s="428">
        <v>35.5</v>
      </c>
      <c r="R6" s="428">
        <v>11.5</v>
      </c>
      <c r="S6" s="429">
        <f t="shared" si="3"/>
        <v>47</v>
      </c>
      <c r="T6" s="430">
        <f t="shared" si="4"/>
        <v>58.75</v>
      </c>
      <c r="U6" s="430">
        <f t="shared" si="5"/>
        <v>35.25</v>
      </c>
      <c r="V6" s="430">
        <f t="shared" si="6"/>
        <v>23.5</v>
      </c>
    </row>
    <row r="7" spans="1:35" ht="19.2" customHeight="1" x14ac:dyDescent="0.3">
      <c r="A7" s="588"/>
      <c r="B7" s="420">
        <v>5</v>
      </c>
      <c r="C7" s="421"/>
      <c r="D7" s="422"/>
      <c r="E7" s="423"/>
      <c r="F7" s="424"/>
      <c r="G7" s="425"/>
      <c r="H7" s="426"/>
      <c r="I7" s="207">
        <v>50.4</v>
      </c>
      <c r="J7" s="203">
        <f t="shared" si="0"/>
        <v>63</v>
      </c>
      <c r="K7" s="106">
        <f t="shared" si="1"/>
        <v>37.799999999999997</v>
      </c>
      <c r="L7" s="217">
        <f t="shared" si="2"/>
        <v>25.200000000000003</v>
      </c>
      <c r="N7" s="587"/>
      <c r="O7" s="200">
        <v>5</v>
      </c>
      <c r="P7" s="427">
        <v>9847</v>
      </c>
      <c r="Q7" s="428">
        <v>31.7</v>
      </c>
      <c r="R7" s="428">
        <v>14.6</v>
      </c>
      <c r="S7" s="429">
        <f t="shared" si="3"/>
        <v>46.3</v>
      </c>
      <c r="T7" s="430">
        <f t="shared" si="4"/>
        <v>57.875</v>
      </c>
      <c r="U7" s="430">
        <f t="shared" si="5"/>
        <v>34.724999999999994</v>
      </c>
      <c r="V7" s="430">
        <f t="shared" si="6"/>
        <v>23.150000000000006</v>
      </c>
    </row>
    <row r="8" spans="1:35" ht="19.2" customHeight="1" x14ac:dyDescent="0.3">
      <c r="A8" s="588"/>
      <c r="B8" s="420">
        <v>6</v>
      </c>
      <c r="C8" s="421"/>
      <c r="D8" s="422"/>
      <c r="E8" s="423"/>
      <c r="F8" s="424"/>
      <c r="G8" s="425"/>
      <c r="H8" s="426"/>
      <c r="I8" s="207">
        <v>57.8</v>
      </c>
      <c r="J8" s="203">
        <f t="shared" si="0"/>
        <v>72.25</v>
      </c>
      <c r="K8" s="106">
        <f t="shared" si="1"/>
        <v>43.349999999999994</v>
      </c>
      <c r="L8" s="217">
        <f t="shared" si="2"/>
        <v>28.900000000000006</v>
      </c>
      <c r="N8" s="587"/>
      <c r="O8" s="200">
        <v>6</v>
      </c>
      <c r="P8" s="427">
        <v>92562</v>
      </c>
      <c r="Q8" s="428">
        <v>29.3</v>
      </c>
      <c r="R8" s="428">
        <v>4.5999999999999996</v>
      </c>
      <c r="S8" s="429">
        <f t="shared" si="3"/>
        <v>33.9</v>
      </c>
      <c r="T8" s="430">
        <f t="shared" si="4"/>
        <v>42.375</v>
      </c>
      <c r="U8" s="430">
        <f t="shared" si="5"/>
        <v>25.424999999999997</v>
      </c>
      <c r="V8" s="430">
        <f t="shared" si="6"/>
        <v>16.950000000000003</v>
      </c>
    </row>
    <row r="9" spans="1:35" ht="19.2" customHeight="1" x14ac:dyDescent="0.3">
      <c r="A9" s="588"/>
      <c r="B9" s="420">
        <v>7</v>
      </c>
      <c r="C9" s="421"/>
      <c r="D9" s="422"/>
      <c r="E9" s="423"/>
      <c r="F9" s="424"/>
      <c r="G9" s="425"/>
      <c r="H9" s="426"/>
      <c r="I9" s="207">
        <v>57.8</v>
      </c>
      <c r="J9" s="203">
        <f t="shared" si="0"/>
        <v>72.25</v>
      </c>
      <c r="K9" s="106">
        <f t="shared" si="1"/>
        <v>43.349999999999994</v>
      </c>
      <c r="L9" s="217">
        <f t="shared" si="2"/>
        <v>28.900000000000006</v>
      </c>
      <c r="N9" s="587"/>
      <c r="O9" s="200">
        <v>7</v>
      </c>
      <c r="P9" s="427">
        <v>63471</v>
      </c>
      <c r="Q9" s="428">
        <v>35.1</v>
      </c>
      <c r="R9" s="428">
        <v>3.2</v>
      </c>
      <c r="S9" s="429">
        <f t="shared" si="3"/>
        <v>38.300000000000004</v>
      </c>
      <c r="T9" s="430">
        <f t="shared" si="4"/>
        <v>47.875000000000007</v>
      </c>
      <c r="U9" s="430">
        <f t="shared" si="5"/>
        <v>28.725000000000001</v>
      </c>
      <c r="V9" s="430">
        <f t="shared" si="6"/>
        <v>19.150000000000006</v>
      </c>
    </row>
    <row r="10" spans="1:35" ht="19.2" customHeight="1" x14ac:dyDescent="0.3">
      <c r="A10" s="588"/>
      <c r="B10" s="420">
        <v>8</v>
      </c>
      <c r="C10" s="421"/>
      <c r="D10" s="422"/>
      <c r="E10" s="423"/>
      <c r="F10" s="424"/>
      <c r="G10" s="425"/>
      <c r="H10" s="426"/>
      <c r="I10" s="207">
        <v>58.9</v>
      </c>
      <c r="J10" s="203">
        <f t="shared" si="0"/>
        <v>73.625</v>
      </c>
      <c r="K10" s="106">
        <f t="shared" si="1"/>
        <v>44.174999999999997</v>
      </c>
      <c r="L10" s="217">
        <f t="shared" si="2"/>
        <v>29.450000000000003</v>
      </c>
      <c r="N10" s="587"/>
      <c r="O10" s="200">
        <v>8</v>
      </c>
      <c r="P10" s="427">
        <v>147354</v>
      </c>
      <c r="Q10" s="428">
        <v>29</v>
      </c>
      <c r="R10" s="428">
        <v>4.5</v>
      </c>
      <c r="S10" s="429">
        <f t="shared" si="3"/>
        <v>33.5</v>
      </c>
      <c r="T10" s="430">
        <f t="shared" si="4"/>
        <v>41.875</v>
      </c>
      <c r="U10" s="430">
        <f t="shared" si="5"/>
        <v>25.125</v>
      </c>
      <c r="V10" s="430">
        <f t="shared" si="6"/>
        <v>16.75</v>
      </c>
    </row>
    <row r="11" spans="1:35" ht="19.2" customHeight="1" x14ac:dyDescent="0.3">
      <c r="A11" s="588"/>
      <c r="B11" s="420">
        <v>9</v>
      </c>
      <c r="C11" s="421"/>
      <c r="D11" s="422"/>
      <c r="E11" s="423"/>
      <c r="F11" s="424"/>
      <c r="G11" s="425"/>
      <c r="H11" s="426"/>
      <c r="I11" s="207">
        <v>59.6</v>
      </c>
      <c r="J11" s="203">
        <f t="shared" si="0"/>
        <v>74.5</v>
      </c>
      <c r="K11" s="106">
        <f t="shared" si="1"/>
        <v>44.7</v>
      </c>
      <c r="L11" s="217">
        <f t="shared" si="2"/>
        <v>29.799999999999997</v>
      </c>
      <c r="N11" s="587"/>
      <c r="O11" s="200">
        <v>9</v>
      </c>
      <c r="P11" s="427">
        <v>212697</v>
      </c>
      <c r="Q11" s="428">
        <v>32.1</v>
      </c>
      <c r="R11" s="428">
        <v>4.8</v>
      </c>
      <c r="S11" s="429">
        <f t="shared" si="3"/>
        <v>36.9</v>
      </c>
      <c r="T11" s="430">
        <f t="shared" si="4"/>
        <v>46.125</v>
      </c>
      <c r="U11" s="430">
        <f t="shared" si="5"/>
        <v>27.674999999999997</v>
      </c>
      <c r="V11" s="430">
        <f t="shared" si="6"/>
        <v>18.450000000000003</v>
      </c>
    </row>
    <row r="12" spans="1:35" ht="19.2" customHeight="1" x14ac:dyDescent="0.3">
      <c r="A12" s="588"/>
      <c r="B12" s="420">
        <v>10</v>
      </c>
      <c r="C12" s="421"/>
      <c r="D12" s="422"/>
      <c r="E12" s="423"/>
      <c r="F12" s="424"/>
      <c r="G12" s="425"/>
      <c r="H12" s="426"/>
      <c r="I12" s="207">
        <v>60.2</v>
      </c>
      <c r="J12" s="203">
        <f t="shared" si="0"/>
        <v>75.25</v>
      </c>
      <c r="K12" s="106">
        <f t="shared" si="1"/>
        <v>45.150000000000006</v>
      </c>
      <c r="L12" s="217">
        <f t="shared" si="2"/>
        <v>30.099999999999994</v>
      </c>
      <c r="N12" s="587"/>
      <c r="O12" s="200">
        <v>10</v>
      </c>
      <c r="P12" s="427">
        <v>149832</v>
      </c>
      <c r="Q12" s="428">
        <v>31.7</v>
      </c>
      <c r="R12" s="428">
        <v>5.3</v>
      </c>
      <c r="S12" s="429">
        <f t="shared" si="3"/>
        <v>37</v>
      </c>
      <c r="T12" s="430">
        <f t="shared" si="4"/>
        <v>46.25</v>
      </c>
      <c r="U12" s="430">
        <f t="shared" si="5"/>
        <v>27.75</v>
      </c>
      <c r="V12" s="430">
        <f t="shared" si="6"/>
        <v>18.5</v>
      </c>
    </row>
    <row r="13" spans="1:35" ht="19.2" customHeight="1" x14ac:dyDescent="0.3">
      <c r="A13" s="588"/>
      <c r="B13" s="420">
        <v>11</v>
      </c>
      <c r="C13" s="421"/>
      <c r="D13" s="422"/>
      <c r="E13" s="423"/>
      <c r="F13" s="424"/>
      <c r="G13" s="425"/>
      <c r="H13" s="426"/>
      <c r="I13" s="207">
        <v>62.3</v>
      </c>
      <c r="J13" s="203">
        <f t="shared" si="0"/>
        <v>77.875</v>
      </c>
      <c r="K13" s="106">
        <f t="shared" si="1"/>
        <v>46.724999999999994</v>
      </c>
      <c r="L13" s="217">
        <f t="shared" si="2"/>
        <v>31.150000000000006</v>
      </c>
      <c r="N13" s="587"/>
      <c r="O13" s="200">
        <v>11</v>
      </c>
      <c r="P13" s="427">
        <v>45934</v>
      </c>
      <c r="Q13" s="428">
        <v>36.200000000000003</v>
      </c>
      <c r="R13" s="428">
        <v>9.3000000000000007</v>
      </c>
      <c r="S13" s="429">
        <f t="shared" si="3"/>
        <v>45.5</v>
      </c>
      <c r="T13" s="430">
        <f t="shared" si="4"/>
        <v>56.875</v>
      </c>
      <c r="U13" s="430">
        <f t="shared" si="5"/>
        <v>34.125</v>
      </c>
      <c r="V13" s="430">
        <f t="shared" si="6"/>
        <v>22.75</v>
      </c>
    </row>
    <row r="14" spans="1:35" ht="19.2" customHeight="1" x14ac:dyDescent="0.3">
      <c r="A14" s="588"/>
      <c r="B14" s="420">
        <v>12</v>
      </c>
      <c r="C14" s="421"/>
      <c r="D14" s="422"/>
      <c r="E14" s="423"/>
      <c r="F14" s="424"/>
      <c r="G14" s="425"/>
      <c r="H14" s="426"/>
      <c r="I14" s="207">
        <v>61.3</v>
      </c>
      <c r="J14" s="203">
        <f t="shared" si="0"/>
        <v>76.625</v>
      </c>
      <c r="K14" s="106">
        <f t="shared" si="1"/>
        <v>45.974999999999994</v>
      </c>
      <c r="L14" s="217">
        <f t="shared" si="2"/>
        <v>30.650000000000006</v>
      </c>
      <c r="N14" s="587"/>
      <c r="O14" s="200">
        <v>12</v>
      </c>
      <c r="P14" s="427">
        <v>195816</v>
      </c>
      <c r="Q14" s="428">
        <v>37.5</v>
      </c>
      <c r="R14" s="428">
        <v>9.8000000000000007</v>
      </c>
      <c r="S14" s="429">
        <f t="shared" si="3"/>
        <v>47.3</v>
      </c>
      <c r="T14" s="430">
        <f t="shared" si="4"/>
        <v>59.125</v>
      </c>
      <c r="U14" s="430">
        <f t="shared" si="5"/>
        <v>35.474999999999994</v>
      </c>
      <c r="V14" s="430">
        <f t="shared" si="6"/>
        <v>23.650000000000006</v>
      </c>
    </row>
    <row r="15" spans="1:35" ht="19.2" customHeight="1" x14ac:dyDescent="0.3">
      <c r="A15" s="588"/>
      <c r="B15" s="420">
        <v>13</v>
      </c>
      <c r="C15" s="421"/>
      <c r="D15" s="422"/>
      <c r="E15" s="423"/>
      <c r="F15" s="424"/>
      <c r="G15" s="425"/>
      <c r="H15" s="426"/>
      <c r="I15" s="207">
        <v>62.3</v>
      </c>
      <c r="J15" s="203">
        <f t="shared" si="0"/>
        <v>77.875</v>
      </c>
      <c r="K15" s="106">
        <f t="shared" si="1"/>
        <v>46.724999999999994</v>
      </c>
      <c r="L15" s="217">
        <f t="shared" si="2"/>
        <v>31.150000000000006</v>
      </c>
      <c r="N15" s="587"/>
      <c r="O15" s="200">
        <v>13</v>
      </c>
      <c r="P15" s="427">
        <v>67122</v>
      </c>
      <c r="Q15" s="428">
        <v>42.3</v>
      </c>
      <c r="R15" s="428">
        <v>8.9</v>
      </c>
      <c r="S15" s="429">
        <f t="shared" si="3"/>
        <v>51.199999999999996</v>
      </c>
      <c r="T15" s="430">
        <f t="shared" si="4"/>
        <v>63.999999999999993</v>
      </c>
      <c r="U15" s="430">
        <f t="shared" si="5"/>
        <v>38.4</v>
      </c>
      <c r="V15" s="430">
        <f t="shared" si="6"/>
        <v>25.599999999999994</v>
      </c>
    </row>
    <row r="16" spans="1:35" ht="19.2" customHeight="1" x14ac:dyDescent="0.3">
      <c r="A16" s="588"/>
      <c r="B16" s="420">
        <v>14</v>
      </c>
      <c r="C16" s="421"/>
      <c r="D16" s="422"/>
      <c r="E16" s="423"/>
      <c r="F16" s="424"/>
      <c r="G16" s="425"/>
      <c r="H16" s="426"/>
      <c r="I16" s="207">
        <v>62.6</v>
      </c>
      <c r="J16" s="203">
        <f t="shared" si="0"/>
        <v>78.25</v>
      </c>
      <c r="K16" s="106">
        <f t="shared" si="1"/>
        <v>46.95</v>
      </c>
      <c r="L16" s="217">
        <f t="shared" si="2"/>
        <v>31.299999999999997</v>
      </c>
      <c r="N16" s="587"/>
      <c r="O16" s="200">
        <v>14</v>
      </c>
      <c r="P16" s="427">
        <v>39049</v>
      </c>
      <c r="Q16" s="428">
        <v>29.3</v>
      </c>
      <c r="R16" s="428">
        <v>4.4000000000000004</v>
      </c>
      <c r="S16" s="429">
        <f t="shared" si="3"/>
        <v>33.700000000000003</v>
      </c>
      <c r="T16" s="430">
        <f t="shared" si="4"/>
        <v>42.125</v>
      </c>
      <c r="U16" s="430">
        <f t="shared" si="5"/>
        <v>25.275000000000002</v>
      </c>
      <c r="V16" s="430">
        <f t="shared" si="6"/>
        <v>16.849999999999998</v>
      </c>
    </row>
    <row r="17" spans="1:22" ht="19.2" customHeight="1" x14ac:dyDescent="0.3">
      <c r="A17" s="588"/>
      <c r="B17" s="420">
        <v>15</v>
      </c>
      <c r="C17" s="421"/>
      <c r="D17" s="422"/>
      <c r="E17" s="423"/>
      <c r="F17" s="424"/>
      <c r="G17" s="425"/>
      <c r="H17" s="426"/>
      <c r="I17" s="207">
        <v>60.1</v>
      </c>
      <c r="J17" s="203">
        <f t="shared" si="0"/>
        <v>75.125</v>
      </c>
      <c r="K17" s="106">
        <f t="shared" si="1"/>
        <v>45.075000000000003</v>
      </c>
      <c r="L17" s="217">
        <f t="shared" si="2"/>
        <v>30.049999999999997</v>
      </c>
      <c r="N17" s="587"/>
      <c r="O17" s="200">
        <v>15</v>
      </c>
      <c r="P17" s="427">
        <v>73160</v>
      </c>
      <c r="Q17" s="428">
        <v>34.1</v>
      </c>
      <c r="R17" s="428">
        <v>8.3000000000000007</v>
      </c>
      <c r="S17" s="429">
        <f t="shared" si="3"/>
        <v>42.400000000000006</v>
      </c>
      <c r="T17" s="430">
        <f t="shared" si="4"/>
        <v>53.000000000000007</v>
      </c>
      <c r="U17" s="430">
        <f t="shared" si="5"/>
        <v>31.800000000000004</v>
      </c>
      <c r="V17" s="430">
        <f t="shared" si="6"/>
        <v>21.200000000000003</v>
      </c>
    </row>
    <row r="18" spans="1:22" ht="19.2" customHeight="1" x14ac:dyDescent="0.3">
      <c r="A18" s="589"/>
      <c r="B18" s="431">
        <v>16</v>
      </c>
      <c r="C18" s="432"/>
      <c r="D18" s="433"/>
      <c r="E18" s="434"/>
      <c r="F18" s="435"/>
      <c r="G18" s="436"/>
      <c r="H18" s="437"/>
      <c r="I18" s="208">
        <v>61.2</v>
      </c>
      <c r="J18" s="209">
        <f t="shared" si="0"/>
        <v>76.5</v>
      </c>
      <c r="K18" s="210">
        <f t="shared" si="1"/>
        <v>45.900000000000006</v>
      </c>
      <c r="L18" s="218">
        <f t="shared" si="2"/>
        <v>30.599999999999994</v>
      </c>
      <c r="N18" s="587"/>
      <c r="O18" s="200">
        <v>16</v>
      </c>
      <c r="P18" s="427">
        <v>149464</v>
      </c>
      <c r="Q18" s="428">
        <v>32.799999999999997</v>
      </c>
      <c r="R18" s="428">
        <v>5.3</v>
      </c>
      <c r="S18" s="429">
        <f t="shared" si="3"/>
        <v>38.099999999999994</v>
      </c>
      <c r="T18" s="430">
        <f t="shared" si="4"/>
        <v>47.624999999999993</v>
      </c>
      <c r="U18" s="430">
        <f t="shared" si="5"/>
        <v>28.574999999999996</v>
      </c>
      <c r="V18" s="430">
        <f t="shared" si="6"/>
        <v>19.049999999999997</v>
      </c>
    </row>
    <row r="19" spans="1:22" ht="13.2" x14ac:dyDescent="0.25"/>
    <row r="20" spans="1:22" ht="13.2" x14ac:dyDescent="0.25">
      <c r="N20" s="3" t="s">
        <v>429</v>
      </c>
    </row>
    <row r="21" spans="1:22" ht="13.2" x14ac:dyDescent="0.25">
      <c r="N21" s="3" t="s">
        <v>430</v>
      </c>
    </row>
    <row r="22" spans="1:22" ht="13.2" x14ac:dyDescent="0.25">
      <c r="N22" s="3" t="s">
        <v>431</v>
      </c>
    </row>
    <row r="25" spans="1:22" s="19" customFormat="1" ht="13.2" hidden="1" x14ac:dyDescent="0.25">
      <c r="N25" s="19" t="s">
        <v>135</v>
      </c>
      <c r="R25" s="20"/>
      <c r="S25" s="21"/>
      <c r="T25" s="22"/>
    </row>
  </sheetData>
  <mergeCells count="5">
    <mergeCell ref="N3:N18"/>
    <mergeCell ref="A3:A18"/>
    <mergeCell ref="N1:V1"/>
    <mergeCell ref="A1:H1"/>
    <mergeCell ref="I1:L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30"/>
  <sheetViews>
    <sheetView zoomScale="85" zoomScaleNormal="85" workbookViewId="0">
      <selection activeCell="C28" sqref="C28"/>
    </sheetView>
  </sheetViews>
  <sheetFormatPr defaultColWidth="8.6640625" defaultRowHeight="12.75" customHeight="1" x14ac:dyDescent="0.25"/>
  <cols>
    <col min="1" max="2" width="12" style="3" customWidth="1"/>
    <col min="3" max="6" width="13.6640625" style="3" customWidth="1"/>
    <col min="7" max="7" width="13.33203125" style="3" customWidth="1"/>
    <col min="8" max="8" width="12.6640625" style="3" bestFit="1" customWidth="1"/>
    <col min="9" max="9" width="8.6640625" style="3"/>
    <col min="10" max="10" width="12" style="3" customWidth="1"/>
    <col min="11" max="11" width="14.109375" style="3" customWidth="1"/>
    <col min="12" max="12" width="10.33203125" style="3" customWidth="1"/>
    <col min="13" max="27" width="5.6640625" style="3" customWidth="1"/>
    <col min="28" max="16384" width="8.6640625" style="3"/>
  </cols>
  <sheetData>
    <row r="1" spans="1:28" ht="28.95" customHeight="1" x14ac:dyDescent="0.25">
      <c r="A1" s="459" t="str">
        <f>"% of Floor Area per CZ and Vintage Bin - Retail"</f>
        <v>% of Floor Area per CZ and Vintage Bin - Retail</v>
      </c>
      <c r="B1" s="459"/>
      <c r="C1" s="459"/>
      <c r="D1" s="459"/>
      <c r="E1" s="459"/>
      <c r="F1" s="459"/>
      <c r="G1" s="459"/>
      <c r="J1" s="459" t="str">
        <f>"% of Floor Area per CZ and Vintage Bin - Retail"</f>
        <v>% of Floor Area per CZ and Vintage Bin - Retail</v>
      </c>
      <c r="K1" s="459"/>
      <c r="L1" s="459"/>
      <c r="M1" s="459"/>
      <c r="N1" s="459"/>
      <c r="O1" s="459"/>
      <c r="P1" s="459"/>
      <c r="Q1" s="459"/>
      <c r="R1" s="459"/>
      <c r="S1" s="459"/>
      <c r="T1" s="459"/>
      <c r="U1" s="459"/>
      <c r="V1" s="459"/>
      <c r="W1" s="459"/>
      <c r="X1" s="459"/>
      <c r="Y1" s="459"/>
      <c r="Z1" s="459"/>
      <c r="AA1" s="459"/>
    </row>
    <row r="2" spans="1:28" ht="32.25" customHeight="1" x14ac:dyDescent="0.25">
      <c r="A2" s="599" t="s">
        <v>143</v>
      </c>
      <c r="B2" s="599" t="s">
        <v>412</v>
      </c>
      <c r="C2" s="599" t="s">
        <v>432</v>
      </c>
      <c r="D2" s="599"/>
      <c r="E2" s="599"/>
      <c r="F2" s="599"/>
      <c r="G2" s="599"/>
      <c r="J2" s="599" t="s">
        <v>143</v>
      </c>
      <c r="K2" s="599" t="s">
        <v>432</v>
      </c>
      <c r="L2" s="599" t="s">
        <v>412</v>
      </c>
      <c r="M2" s="599"/>
      <c r="N2" s="599"/>
      <c r="O2" s="599"/>
      <c r="P2" s="599"/>
      <c r="Q2" s="599"/>
      <c r="R2" s="599"/>
      <c r="S2" s="599"/>
      <c r="T2" s="599"/>
      <c r="U2" s="599"/>
      <c r="V2" s="599"/>
      <c r="W2" s="599"/>
      <c r="X2" s="599"/>
      <c r="Y2" s="599"/>
      <c r="Z2" s="599"/>
      <c r="AA2" s="599"/>
    </row>
    <row r="3" spans="1:28" ht="21" customHeight="1" x14ac:dyDescent="0.25">
      <c r="A3" s="599"/>
      <c r="B3" s="599"/>
      <c r="C3" s="347" t="s">
        <v>433</v>
      </c>
      <c r="D3" s="347" t="s">
        <v>173</v>
      </c>
      <c r="E3" s="347" t="s">
        <v>175</v>
      </c>
      <c r="F3" s="347" t="s">
        <v>177</v>
      </c>
      <c r="G3" s="347"/>
      <c r="J3" s="599"/>
      <c r="K3" s="599"/>
      <c r="L3" s="327">
        <v>1</v>
      </c>
      <c r="M3" s="327">
        <v>2</v>
      </c>
      <c r="N3" s="327">
        <v>3</v>
      </c>
      <c r="O3" s="327">
        <v>4</v>
      </c>
      <c r="P3" s="327">
        <v>5</v>
      </c>
      <c r="Q3" s="327">
        <v>6</v>
      </c>
      <c r="R3" s="327">
        <v>7</v>
      </c>
      <c r="S3" s="327">
        <v>8</v>
      </c>
      <c r="T3" s="327">
        <v>9</v>
      </c>
      <c r="U3" s="327">
        <v>10</v>
      </c>
      <c r="V3" s="327">
        <v>11</v>
      </c>
      <c r="W3" s="327">
        <v>12</v>
      </c>
      <c r="X3" s="327">
        <v>13</v>
      </c>
      <c r="Y3" s="327">
        <v>14</v>
      </c>
      <c r="Z3" s="327">
        <v>15</v>
      </c>
      <c r="AA3" s="327">
        <v>16</v>
      </c>
    </row>
    <row r="4" spans="1:28" ht="16.95" customHeight="1" x14ac:dyDescent="0.25">
      <c r="A4" s="596" t="s">
        <v>117</v>
      </c>
      <c r="B4" s="344">
        <v>1</v>
      </c>
      <c r="C4" s="341"/>
      <c r="D4" s="341"/>
      <c r="E4" s="341"/>
      <c r="F4" s="341"/>
      <c r="G4" s="342"/>
      <c r="H4" s="60">
        <f>SUM(C4:F4)</f>
        <v>0</v>
      </c>
      <c r="J4" s="593" t="s">
        <v>117</v>
      </c>
      <c r="K4" s="36" t="s">
        <v>433</v>
      </c>
      <c r="L4" s="36"/>
      <c r="M4" s="36"/>
      <c r="N4" s="36"/>
      <c r="O4" s="36"/>
      <c r="P4" s="36"/>
      <c r="Q4" s="36"/>
      <c r="R4" s="36"/>
      <c r="S4" s="36"/>
      <c r="T4" s="36"/>
      <c r="U4" s="36"/>
      <c r="V4" s="36"/>
      <c r="W4" s="36"/>
      <c r="X4" s="36"/>
      <c r="Y4" s="36"/>
      <c r="Z4" s="36"/>
      <c r="AA4" s="36"/>
      <c r="AB4" s="60">
        <f t="shared" ref="AB4:AB9" si="0">SUM(L4:AA4)</f>
        <v>0</v>
      </c>
    </row>
    <row r="5" spans="1:28" ht="16.95" customHeight="1" x14ac:dyDescent="0.25">
      <c r="A5" s="597"/>
      <c r="B5" s="345">
        <v>2</v>
      </c>
      <c r="C5" s="341"/>
      <c r="D5" s="341"/>
      <c r="E5" s="341"/>
      <c r="F5" s="341"/>
      <c r="G5" s="342"/>
      <c r="H5" s="60">
        <f t="shared" ref="H5:H20" si="1">SUM(C5:F5)</f>
        <v>0</v>
      </c>
      <c r="J5" s="594"/>
      <c r="K5" s="36" t="s">
        <v>173</v>
      </c>
      <c r="L5" s="36"/>
      <c r="M5" s="36"/>
      <c r="N5" s="36"/>
      <c r="O5" s="36"/>
      <c r="P5" s="36"/>
      <c r="Q5" s="36"/>
      <c r="R5" s="36"/>
      <c r="S5" s="36"/>
      <c r="T5" s="36"/>
      <c r="U5" s="36"/>
      <c r="V5" s="36"/>
      <c r="W5" s="36"/>
      <c r="X5" s="36"/>
      <c r="Y5" s="36"/>
      <c r="Z5" s="36"/>
      <c r="AA5" s="36"/>
      <c r="AB5" s="60">
        <f t="shared" si="0"/>
        <v>0</v>
      </c>
    </row>
    <row r="6" spans="1:28" ht="16.95" customHeight="1" x14ac:dyDescent="0.25">
      <c r="A6" s="597"/>
      <c r="B6" s="345">
        <v>3</v>
      </c>
      <c r="C6" s="341"/>
      <c r="D6" s="341"/>
      <c r="E6" s="341"/>
      <c r="F6" s="341"/>
      <c r="G6" s="342"/>
      <c r="H6" s="60">
        <f t="shared" si="1"/>
        <v>0</v>
      </c>
      <c r="J6" s="594"/>
      <c r="K6" s="36" t="s">
        <v>175</v>
      </c>
      <c r="L6" s="36"/>
      <c r="M6" s="36"/>
      <c r="N6" s="36"/>
      <c r="O6" s="36"/>
      <c r="P6" s="36"/>
      <c r="Q6" s="36"/>
      <c r="R6" s="36"/>
      <c r="S6" s="36"/>
      <c r="T6" s="36"/>
      <c r="U6" s="36"/>
      <c r="V6" s="36"/>
      <c r="W6" s="36"/>
      <c r="X6" s="36"/>
      <c r="Y6" s="36"/>
      <c r="Z6" s="36"/>
      <c r="AA6" s="36"/>
      <c r="AB6" s="60">
        <f t="shared" si="0"/>
        <v>0</v>
      </c>
    </row>
    <row r="7" spans="1:28" ht="16.95" customHeight="1" x14ac:dyDescent="0.25">
      <c r="A7" s="597"/>
      <c r="B7" s="345">
        <v>4</v>
      </c>
      <c r="C7" s="341"/>
      <c r="D7" s="341"/>
      <c r="E7" s="341"/>
      <c r="F7" s="341"/>
      <c r="G7" s="342"/>
      <c r="H7" s="60">
        <f t="shared" si="1"/>
        <v>0</v>
      </c>
      <c r="J7" s="594"/>
      <c r="K7" s="36" t="s">
        <v>177</v>
      </c>
      <c r="L7" s="36"/>
      <c r="M7" s="36"/>
      <c r="N7" s="36"/>
      <c r="O7" s="36"/>
      <c r="P7" s="36"/>
      <c r="Q7" s="36"/>
      <c r="R7" s="36"/>
      <c r="S7" s="36"/>
      <c r="T7" s="36"/>
      <c r="U7" s="36"/>
      <c r="V7" s="36"/>
      <c r="W7" s="36"/>
      <c r="X7" s="36"/>
      <c r="Y7" s="36"/>
      <c r="Z7" s="36"/>
      <c r="AA7" s="36"/>
      <c r="AB7" s="60">
        <f t="shared" si="0"/>
        <v>0</v>
      </c>
    </row>
    <row r="8" spans="1:28" ht="16.95" customHeight="1" x14ac:dyDescent="0.25">
      <c r="A8" s="597"/>
      <c r="B8" s="345">
        <v>5</v>
      </c>
      <c r="C8" s="341"/>
      <c r="D8" s="341"/>
      <c r="E8" s="341"/>
      <c r="F8" s="341"/>
      <c r="G8" s="342"/>
      <c r="H8" s="60">
        <f t="shared" si="1"/>
        <v>0</v>
      </c>
      <c r="J8" s="594"/>
      <c r="K8" s="36" t="s">
        <v>434</v>
      </c>
      <c r="L8" s="36"/>
      <c r="M8" s="36"/>
      <c r="N8" s="36"/>
      <c r="O8" s="36"/>
      <c r="P8" s="36"/>
      <c r="Q8" s="36"/>
      <c r="R8" s="36"/>
      <c r="S8" s="36"/>
      <c r="T8" s="36"/>
      <c r="U8" s="36"/>
      <c r="V8" s="36"/>
      <c r="W8" s="36"/>
      <c r="X8" s="36"/>
      <c r="Y8" s="36"/>
      <c r="Z8" s="36"/>
      <c r="AA8" s="36"/>
      <c r="AB8" s="60">
        <f t="shared" si="0"/>
        <v>0</v>
      </c>
    </row>
    <row r="9" spans="1:28" ht="16.95" customHeight="1" x14ac:dyDescent="0.25">
      <c r="A9" s="597"/>
      <c r="B9" s="345">
        <v>6</v>
      </c>
      <c r="C9" s="341"/>
      <c r="D9" s="341"/>
      <c r="E9" s="341"/>
      <c r="F9" s="341"/>
      <c r="G9" s="342"/>
      <c r="H9" s="60">
        <f t="shared" si="1"/>
        <v>0</v>
      </c>
      <c r="J9" s="595"/>
      <c r="K9" s="36" t="s">
        <v>293</v>
      </c>
      <c r="L9" s="36"/>
      <c r="M9" s="36"/>
      <c r="N9" s="36"/>
      <c r="O9" s="36"/>
      <c r="P9" s="36"/>
      <c r="Q9" s="36"/>
      <c r="R9" s="36"/>
      <c r="S9" s="36"/>
      <c r="T9" s="36"/>
      <c r="U9" s="36"/>
      <c r="V9" s="36"/>
      <c r="W9" s="36"/>
      <c r="X9" s="36"/>
      <c r="Y9" s="36"/>
      <c r="Z9" s="36"/>
      <c r="AA9" s="36"/>
      <c r="AB9" s="60">
        <f t="shared" si="0"/>
        <v>0</v>
      </c>
    </row>
    <row r="10" spans="1:28" ht="16.95" customHeight="1" x14ac:dyDescent="0.25">
      <c r="A10" s="597"/>
      <c r="B10" s="345">
        <v>7</v>
      </c>
      <c r="C10" s="341"/>
      <c r="D10" s="341"/>
      <c r="E10" s="341"/>
      <c r="F10" s="341"/>
      <c r="G10" s="342"/>
      <c r="H10" s="60">
        <f t="shared" si="1"/>
        <v>0</v>
      </c>
      <c r="J10" s="6"/>
      <c r="K10" s="58"/>
      <c r="L10" s="25"/>
      <c r="M10" s="25"/>
      <c r="N10" s="25"/>
      <c r="O10" s="25"/>
      <c r="P10" s="59"/>
    </row>
    <row r="11" spans="1:28" ht="16.95" customHeight="1" x14ac:dyDescent="0.25">
      <c r="A11" s="597"/>
      <c r="B11" s="345">
        <v>8</v>
      </c>
      <c r="C11" s="341"/>
      <c r="D11" s="341"/>
      <c r="E11" s="341"/>
      <c r="F11" s="341"/>
      <c r="G11" s="342"/>
      <c r="H11" s="60">
        <f t="shared" si="1"/>
        <v>0</v>
      </c>
      <c r="J11" s="6"/>
      <c r="K11" s="58"/>
      <c r="L11" s="25"/>
      <c r="M11" s="25"/>
      <c r="N11" s="25"/>
      <c r="O11" s="25"/>
      <c r="P11" s="59"/>
    </row>
    <row r="12" spans="1:28" ht="16.95" customHeight="1" x14ac:dyDescent="0.25">
      <c r="A12" s="597"/>
      <c r="B12" s="345">
        <v>9</v>
      </c>
      <c r="C12" s="341"/>
      <c r="D12" s="341"/>
      <c r="E12" s="341"/>
      <c r="F12" s="341"/>
      <c r="G12" s="342"/>
      <c r="H12" s="60">
        <f t="shared" si="1"/>
        <v>0</v>
      </c>
      <c r="J12" s="6"/>
      <c r="K12" s="199"/>
      <c r="L12" s="199"/>
      <c r="M12" s="199"/>
      <c r="N12" s="199"/>
      <c r="O12" s="25"/>
      <c r="P12" s="59"/>
    </row>
    <row r="13" spans="1:28" ht="16.95" customHeight="1" x14ac:dyDescent="0.25">
      <c r="A13" s="597"/>
      <c r="B13" s="345">
        <v>10</v>
      </c>
      <c r="C13" s="341"/>
      <c r="D13" s="341"/>
      <c r="E13" s="341"/>
      <c r="F13" s="341"/>
      <c r="G13" s="342"/>
      <c r="H13" s="60">
        <f t="shared" si="1"/>
        <v>0</v>
      </c>
      <c r="J13" s="6"/>
      <c r="K13" s="199"/>
      <c r="L13" s="199"/>
      <c r="M13" s="199"/>
      <c r="N13" s="199"/>
      <c r="O13" s="25"/>
      <c r="P13" s="59"/>
    </row>
    <row r="14" spans="1:28" ht="16.95" customHeight="1" x14ac:dyDescent="0.25">
      <c r="A14" s="597"/>
      <c r="B14" s="345">
        <v>11</v>
      </c>
      <c r="C14" s="341"/>
      <c r="D14" s="341"/>
      <c r="E14" s="341"/>
      <c r="F14" s="341"/>
      <c r="G14" s="342"/>
      <c r="H14" s="60">
        <f t="shared" si="1"/>
        <v>0</v>
      </c>
      <c r="J14" s="6"/>
      <c r="K14" s="199"/>
      <c r="L14" s="199"/>
      <c r="M14" s="199"/>
      <c r="N14" s="199"/>
      <c r="O14" s="25"/>
      <c r="P14" s="59"/>
    </row>
    <row r="15" spans="1:28" ht="16.95" customHeight="1" x14ac:dyDescent="0.25">
      <c r="A15" s="597"/>
      <c r="B15" s="345">
        <v>12</v>
      </c>
      <c r="C15" s="341"/>
      <c r="D15" s="341"/>
      <c r="E15" s="341"/>
      <c r="F15" s="341"/>
      <c r="G15" s="342"/>
      <c r="H15" s="60">
        <f t="shared" si="1"/>
        <v>0</v>
      </c>
      <c r="J15" s="6"/>
      <c r="K15" s="199"/>
      <c r="L15" s="199"/>
      <c r="M15" s="199"/>
      <c r="N15" s="199"/>
      <c r="O15" s="25"/>
      <c r="P15" s="59"/>
    </row>
    <row r="16" spans="1:28" ht="16.95" customHeight="1" x14ac:dyDescent="0.25">
      <c r="A16" s="597"/>
      <c r="B16" s="345">
        <v>13</v>
      </c>
      <c r="C16" s="341"/>
      <c r="D16" s="341"/>
      <c r="E16" s="341"/>
      <c r="F16" s="341"/>
      <c r="G16" s="342"/>
      <c r="H16" s="60">
        <f t="shared" si="1"/>
        <v>0</v>
      </c>
      <c r="J16" s="6"/>
      <c r="K16" s="199"/>
      <c r="L16" s="199"/>
      <c r="M16" s="199"/>
      <c r="N16" s="199"/>
      <c r="O16" s="25"/>
      <c r="P16" s="59"/>
    </row>
    <row r="17" spans="1:16" ht="16.95" customHeight="1" x14ac:dyDescent="0.25">
      <c r="A17" s="597"/>
      <c r="B17" s="345">
        <v>14</v>
      </c>
      <c r="C17" s="341"/>
      <c r="D17" s="341"/>
      <c r="E17" s="341"/>
      <c r="F17" s="341"/>
      <c r="G17" s="342"/>
      <c r="H17" s="60">
        <f t="shared" si="1"/>
        <v>0</v>
      </c>
      <c r="J17" s="6"/>
      <c r="K17" s="199"/>
      <c r="L17" s="199"/>
      <c r="M17" s="199"/>
      <c r="N17" s="199"/>
      <c r="O17" s="25"/>
      <c r="P17" s="59"/>
    </row>
    <row r="18" spans="1:16" ht="16.95" customHeight="1" x14ac:dyDescent="0.25">
      <c r="A18" s="597"/>
      <c r="B18" s="345">
        <v>15</v>
      </c>
      <c r="C18" s="341"/>
      <c r="D18" s="341"/>
      <c r="E18" s="341"/>
      <c r="F18" s="341"/>
      <c r="G18" s="342"/>
      <c r="H18" s="60">
        <f t="shared" si="1"/>
        <v>0</v>
      </c>
      <c r="J18" s="6"/>
      <c r="K18" s="199"/>
      <c r="L18" s="199"/>
      <c r="M18" s="199"/>
      <c r="N18" s="199"/>
      <c r="O18" s="25"/>
      <c r="P18" s="59"/>
    </row>
    <row r="19" spans="1:16" ht="16.95" customHeight="1" x14ac:dyDescent="0.25">
      <c r="A19" s="597"/>
      <c r="B19" s="345">
        <v>16</v>
      </c>
      <c r="C19" s="341"/>
      <c r="D19" s="341"/>
      <c r="E19" s="341"/>
      <c r="F19" s="341"/>
      <c r="G19" s="342"/>
      <c r="H19" s="60">
        <f t="shared" si="1"/>
        <v>0</v>
      </c>
      <c r="J19" s="6"/>
      <c r="K19" s="199"/>
      <c r="L19" s="199"/>
      <c r="M19" s="199"/>
      <c r="N19" s="199"/>
      <c r="O19" s="25"/>
      <c r="P19" s="59"/>
    </row>
    <row r="20" spans="1:16" ht="18.600000000000001" customHeight="1" x14ac:dyDescent="0.25">
      <c r="A20" s="598"/>
      <c r="B20" s="346" t="s">
        <v>435</v>
      </c>
      <c r="C20" s="341"/>
      <c r="D20" s="341"/>
      <c r="E20" s="341"/>
      <c r="F20" s="341"/>
      <c r="G20" s="343"/>
      <c r="H20" s="60">
        <f t="shared" si="1"/>
        <v>0</v>
      </c>
      <c r="K20" s="199"/>
      <c r="L20" s="199"/>
      <c r="M20" s="199"/>
      <c r="N20" s="199"/>
    </row>
    <row r="21" spans="1:16" ht="13.2" x14ac:dyDescent="0.25">
      <c r="H21" s="60"/>
      <c r="K21" s="199"/>
      <c r="L21" s="199"/>
      <c r="M21" s="199"/>
      <c r="N21" s="199"/>
    </row>
    <row r="22" spans="1:16" ht="13.2" x14ac:dyDescent="0.25">
      <c r="A22" s="3" t="s">
        <v>436</v>
      </c>
      <c r="K22" s="199"/>
      <c r="L22" s="199"/>
      <c r="M22" s="199"/>
      <c r="N22" s="199"/>
    </row>
    <row r="23" spans="1:16" ht="13.2" x14ac:dyDescent="0.25">
      <c r="A23" s="3" t="s">
        <v>430</v>
      </c>
      <c r="K23" s="199"/>
      <c r="L23" s="199"/>
      <c r="M23" s="199"/>
      <c r="N23" s="199"/>
    </row>
    <row r="24" spans="1:16" ht="13.2" x14ac:dyDescent="0.25">
      <c r="A24" s="3" t="s">
        <v>431</v>
      </c>
      <c r="K24" s="199"/>
      <c r="L24" s="199"/>
      <c r="M24" s="199"/>
      <c r="N24" s="199"/>
    </row>
    <row r="25" spans="1:16" ht="13.2" x14ac:dyDescent="0.25">
      <c r="K25" s="199"/>
      <c r="L25" s="199"/>
      <c r="M25" s="199"/>
      <c r="N25" s="199"/>
    </row>
    <row r="26" spans="1:16" ht="13.2" x14ac:dyDescent="0.25">
      <c r="K26" s="199"/>
      <c r="L26" s="199"/>
      <c r="M26" s="199"/>
      <c r="N26" s="199"/>
    </row>
    <row r="27" spans="1:16" ht="13.2" x14ac:dyDescent="0.25">
      <c r="K27" s="199"/>
      <c r="L27" s="199"/>
      <c r="M27" s="199"/>
      <c r="N27" s="199"/>
    </row>
    <row r="28" spans="1:16" ht="13.2" x14ac:dyDescent="0.25">
      <c r="K28" s="199"/>
      <c r="L28" s="199"/>
      <c r="M28" s="199"/>
      <c r="N28" s="199"/>
    </row>
    <row r="29" spans="1:16" ht="13.2" x14ac:dyDescent="0.25">
      <c r="K29" s="199"/>
      <c r="L29" s="199"/>
      <c r="M29" s="199"/>
      <c r="N29" s="199"/>
    </row>
    <row r="30" spans="1:16" ht="13.2" x14ac:dyDescent="0.25">
      <c r="K30" s="199"/>
      <c r="L30" s="199"/>
      <c r="M30" s="199"/>
      <c r="N30" s="199"/>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tabColor rgb="FF000000"/>
  </sheetPr>
  <dimension ref="A1:J37"/>
  <sheetViews>
    <sheetView workbookViewId="0">
      <selection activeCell="F9" sqref="F9"/>
    </sheetView>
  </sheetViews>
  <sheetFormatPr defaultRowHeight="14.4" x14ac:dyDescent="0.3"/>
  <sheetData>
    <row r="1" spans="1:10" ht="21" customHeight="1" x14ac:dyDescent="0.3">
      <c r="A1" s="459" t="str">
        <f>"PV - "&amp;Prototype!A2</f>
        <v>PV - RetailStripMall</v>
      </c>
      <c r="B1" s="459"/>
      <c r="C1" s="459"/>
      <c r="D1" s="459"/>
      <c r="E1" s="459"/>
      <c r="F1" s="459"/>
      <c r="G1" s="459"/>
      <c r="H1" s="459"/>
      <c r="I1" s="459"/>
      <c r="J1" s="459"/>
    </row>
    <row r="2" spans="1:10" x14ac:dyDescent="0.3">
      <c r="A2" t="s">
        <v>437</v>
      </c>
    </row>
    <row r="18" hidden="1" x14ac:dyDescent="0.3"/>
    <row r="19" hidden="1" x14ac:dyDescent="0.3"/>
    <row r="20" hidden="1" x14ac:dyDescent="0.3"/>
    <row r="21" hidden="1" x14ac:dyDescent="0.3"/>
    <row r="22" hidden="1" x14ac:dyDescent="0.3"/>
    <row r="23" hidden="1" x14ac:dyDescent="0.3"/>
    <row r="24" hidden="1" x14ac:dyDescent="0.3"/>
    <row r="25" hidden="1" x14ac:dyDescent="0.3"/>
    <row r="26" hidden="1" x14ac:dyDescent="0.3"/>
    <row r="27" hidden="1" x14ac:dyDescent="0.3"/>
    <row r="28" hidden="1" x14ac:dyDescent="0.3"/>
    <row r="29" hidden="1" x14ac:dyDescent="0.3"/>
    <row r="30" hidden="1" x14ac:dyDescent="0.3"/>
    <row r="31" hidden="1" x14ac:dyDescent="0.3"/>
    <row r="32" hidden="1" x14ac:dyDescent="0.3"/>
    <row r="33" hidden="1" x14ac:dyDescent="0.3"/>
    <row r="34" hidden="1" x14ac:dyDescent="0.3"/>
    <row r="35" hidden="1" x14ac:dyDescent="0.3"/>
    <row r="36" hidden="1" x14ac:dyDescent="0.3"/>
    <row r="37" hidden="1" x14ac:dyDescent="0.3"/>
  </sheetData>
  <mergeCells count="1">
    <mergeCell ref="A1:J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tabColor rgb="FF000000"/>
  </sheetPr>
  <dimension ref="A1:H11"/>
  <sheetViews>
    <sheetView zoomScaleNormal="70" workbookViewId="0">
      <selection sqref="A1:H1"/>
    </sheetView>
  </sheetViews>
  <sheetFormatPr defaultColWidth="8.6640625" defaultRowHeight="13.2" x14ac:dyDescent="0.25"/>
  <cols>
    <col min="1" max="1" width="21" style="3" customWidth="1"/>
    <col min="2" max="2" width="14.33203125" style="3" customWidth="1"/>
    <col min="3" max="3" width="14.5546875" style="3" customWidth="1"/>
    <col min="4" max="8" width="8.6640625" style="3"/>
    <col min="9" max="9" width="13.6640625" style="3" customWidth="1"/>
    <col min="10" max="10" width="14.44140625" style="3" customWidth="1"/>
    <col min="11" max="16384" width="8.6640625" style="3"/>
  </cols>
  <sheetData>
    <row r="1" spans="1:8" ht="24.6" customHeight="1" x14ac:dyDescent="0.25">
      <c r="A1" s="459" t="str">
        <f>"EV Charger - "&amp;Prototype!A2</f>
        <v>EV Charger - RetailStripMall</v>
      </c>
      <c r="B1" s="459"/>
      <c r="C1" s="459"/>
      <c r="D1" s="459"/>
      <c r="E1" s="459"/>
      <c r="F1" s="459"/>
      <c r="G1" s="459"/>
      <c r="H1" s="459"/>
    </row>
    <row r="2" spans="1:8" x14ac:dyDescent="0.25">
      <c r="A2" s="3" t="s">
        <v>437</v>
      </c>
      <c r="B2" s="43"/>
      <c r="C2" s="44"/>
      <c r="D2" s="45"/>
      <c r="E2" s="45"/>
    </row>
    <row r="3" spans="1:8" x14ac:dyDescent="0.25">
      <c r="A3" s="352"/>
      <c r="B3" s="349"/>
      <c r="C3" s="318"/>
      <c r="D3" s="46"/>
      <c r="E3" s="46"/>
    </row>
    <row r="11" spans="1:8" s="19" customFormat="1" hidden="1" x14ac:dyDescent="0.25">
      <c r="A11" s="19" t="s">
        <v>135</v>
      </c>
      <c r="E11" s="20"/>
      <c r="F11" s="21"/>
      <c r="G11" s="22"/>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59496-F63C-45BF-9A8F-C42EEB2D7A3C}">
  <dimension ref="A1:G83"/>
  <sheetViews>
    <sheetView topLeftCell="A67" workbookViewId="0">
      <selection activeCell="A81" sqref="A81:A83"/>
    </sheetView>
  </sheetViews>
  <sheetFormatPr defaultRowHeight="14.4" x14ac:dyDescent="0.3"/>
  <cols>
    <col min="1" max="1" width="58.6640625" customWidth="1"/>
    <col min="2" max="2" width="30.88671875" customWidth="1"/>
    <col min="3" max="3" width="30.33203125" customWidth="1"/>
  </cols>
  <sheetData>
    <row r="1" spans="1:7" x14ac:dyDescent="0.3">
      <c r="A1" t="s">
        <v>438</v>
      </c>
      <c r="B1" t="s">
        <v>439</v>
      </c>
      <c r="C1" t="s">
        <v>439</v>
      </c>
      <c r="D1" s="600" t="s">
        <v>440</v>
      </c>
      <c r="E1" s="600"/>
      <c r="F1" s="600"/>
      <c r="G1" s="600"/>
    </row>
    <row r="2" spans="1:7" x14ac:dyDescent="0.3">
      <c r="A2" s="319" t="s">
        <v>441</v>
      </c>
      <c r="D2">
        <v>2013</v>
      </c>
      <c r="E2">
        <v>2016</v>
      </c>
      <c r="F2">
        <v>2019</v>
      </c>
      <c r="G2">
        <v>2025</v>
      </c>
    </row>
    <row r="3" spans="1:7" x14ac:dyDescent="0.3">
      <c r="A3" s="319" t="s">
        <v>442</v>
      </c>
    </row>
    <row r="4" spans="1:7" x14ac:dyDescent="0.3">
      <c r="A4" t="s">
        <v>443</v>
      </c>
    </row>
    <row r="5" spans="1:7" x14ac:dyDescent="0.3">
      <c r="A5" t="s">
        <v>444</v>
      </c>
    </row>
    <row r="6" spans="1:7" x14ac:dyDescent="0.3">
      <c r="A6" t="s">
        <v>445</v>
      </c>
    </row>
    <row r="7" spans="1:7" x14ac:dyDescent="0.3">
      <c r="A7" t="s">
        <v>446</v>
      </c>
    </row>
    <row r="8" spans="1:7" x14ac:dyDescent="0.3">
      <c r="A8" t="s">
        <v>447</v>
      </c>
    </row>
    <row r="9" spans="1:7" x14ac:dyDescent="0.3">
      <c r="A9" t="s">
        <v>448</v>
      </c>
    </row>
    <row r="10" spans="1:7" x14ac:dyDescent="0.3">
      <c r="A10" t="s">
        <v>449</v>
      </c>
    </row>
    <row r="11" spans="1:7" x14ac:dyDescent="0.3">
      <c r="A11" t="s">
        <v>450</v>
      </c>
    </row>
    <row r="12" spans="1:7" x14ac:dyDescent="0.3">
      <c r="A12" t="s">
        <v>451</v>
      </c>
    </row>
    <row r="13" spans="1:7" x14ac:dyDescent="0.3">
      <c r="A13" t="s">
        <v>452</v>
      </c>
    </row>
    <row r="14" spans="1:7" x14ac:dyDescent="0.3">
      <c r="A14" t="s">
        <v>453</v>
      </c>
    </row>
    <row r="15" spans="1:7" x14ac:dyDescent="0.3">
      <c r="A15" t="s">
        <v>454</v>
      </c>
    </row>
    <row r="16" spans="1:7" x14ac:dyDescent="0.3">
      <c r="A16" t="s">
        <v>455</v>
      </c>
    </row>
    <row r="17" spans="1:1" x14ac:dyDescent="0.3">
      <c r="A17" t="s">
        <v>456</v>
      </c>
    </row>
    <row r="18" spans="1:1" x14ac:dyDescent="0.3">
      <c r="A18" t="s">
        <v>457</v>
      </c>
    </row>
    <row r="19" spans="1:1" x14ac:dyDescent="0.3">
      <c r="A19" t="s">
        <v>458</v>
      </c>
    </row>
    <row r="20" spans="1:1" x14ac:dyDescent="0.3">
      <c r="A20" t="s">
        <v>459</v>
      </c>
    </row>
    <row r="21" spans="1:1" x14ac:dyDescent="0.3">
      <c r="A21" t="s">
        <v>460</v>
      </c>
    </row>
    <row r="22" spans="1:1" x14ac:dyDescent="0.3">
      <c r="A22" t="s">
        <v>461</v>
      </c>
    </row>
    <row r="23" spans="1:1" x14ac:dyDescent="0.3">
      <c r="A23" t="s">
        <v>462</v>
      </c>
    </row>
    <row r="24" spans="1:1" x14ac:dyDescent="0.3">
      <c r="A24" t="s">
        <v>463</v>
      </c>
    </row>
    <row r="25" spans="1:1" x14ac:dyDescent="0.3">
      <c r="A25" t="s">
        <v>464</v>
      </c>
    </row>
    <row r="26" spans="1:1" x14ac:dyDescent="0.3">
      <c r="A26" t="s">
        <v>465</v>
      </c>
    </row>
    <row r="27" spans="1:1" x14ac:dyDescent="0.3">
      <c r="A27" t="s">
        <v>466</v>
      </c>
    </row>
    <row r="28" spans="1:1" x14ac:dyDescent="0.3">
      <c r="A28" t="s">
        <v>467</v>
      </c>
    </row>
    <row r="29" spans="1:1" x14ac:dyDescent="0.3">
      <c r="A29" t="s">
        <v>468</v>
      </c>
    </row>
    <row r="30" spans="1:1" x14ac:dyDescent="0.3">
      <c r="A30" t="s">
        <v>469</v>
      </c>
    </row>
    <row r="31" spans="1:1" x14ac:dyDescent="0.3">
      <c r="A31" t="s">
        <v>470</v>
      </c>
    </row>
    <row r="32" spans="1:1" x14ac:dyDescent="0.3">
      <c r="A32" t="s">
        <v>471</v>
      </c>
    </row>
    <row r="33" spans="1:1" x14ac:dyDescent="0.3">
      <c r="A33" t="s">
        <v>472</v>
      </c>
    </row>
    <row r="34" spans="1:1" x14ac:dyDescent="0.3">
      <c r="A34" t="s">
        <v>473</v>
      </c>
    </row>
    <row r="35" spans="1:1" x14ac:dyDescent="0.3">
      <c r="A35" t="s">
        <v>474</v>
      </c>
    </row>
    <row r="36" spans="1:1" x14ac:dyDescent="0.3">
      <c r="A36" t="s">
        <v>475</v>
      </c>
    </row>
    <row r="37" spans="1:1" x14ac:dyDescent="0.3">
      <c r="A37" t="s">
        <v>476</v>
      </c>
    </row>
    <row r="38" spans="1:1" x14ac:dyDescent="0.3">
      <c r="A38" t="s">
        <v>477</v>
      </c>
    </row>
    <row r="39" spans="1:1" x14ac:dyDescent="0.3">
      <c r="A39" t="s">
        <v>478</v>
      </c>
    </row>
    <row r="40" spans="1:1" x14ac:dyDescent="0.3">
      <c r="A40" t="s">
        <v>479</v>
      </c>
    </row>
    <row r="41" spans="1:1" x14ac:dyDescent="0.3">
      <c r="A41" t="s">
        <v>480</v>
      </c>
    </row>
    <row r="42" spans="1:1" x14ac:dyDescent="0.3">
      <c r="A42" t="s">
        <v>481</v>
      </c>
    </row>
    <row r="43" spans="1:1" x14ac:dyDescent="0.3">
      <c r="A43" t="s">
        <v>482</v>
      </c>
    </row>
    <row r="44" spans="1:1" x14ac:dyDescent="0.3">
      <c r="A44" t="s">
        <v>483</v>
      </c>
    </row>
    <row r="45" spans="1:1" x14ac:dyDescent="0.3">
      <c r="A45" t="s">
        <v>484</v>
      </c>
    </row>
    <row r="46" spans="1:1" x14ac:dyDescent="0.3">
      <c r="A46" t="s">
        <v>485</v>
      </c>
    </row>
    <row r="47" spans="1:1" x14ac:dyDescent="0.3">
      <c r="A47" t="s">
        <v>486</v>
      </c>
    </row>
    <row r="48" spans="1:1" x14ac:dyDescent="0.3">
      <c r="A48" t="s">
        <v>487</v>
      </c>
    </row>
    <row r="49" spans="1:1" x14ac:dyDescent="0.3">
      <c r="A49" t="s">
        <v>488</v>
      </c>
    </row>
    <row r="50" spans="1:1" x14ac:dyDescent="0.3">
      <c r="A50" t="s">
        <v>489</v>
      </c>
    </row>
    <row r="51" spans="1:1" x14ac:dyDescent="0.3">
      <c r="A51" t="s">
        <v>490</v>
      </c>
    </row>
    <row r="52" spans="1:1" x14ac:dyDescent="0.3">
      <c r="A52" t="s">
        <v>491</v>
      </c>
    </row>
    <row r="53" spans="1:1" x14ac:dyDescent="0.3">
      <c r="A53" t="s">
        <v>492</v>
      </c>
    </row>
    <row r="54" spans="1:1" x14ac:dyDescent="0.3">
      <c r="A54" t="s">
        <v>493</v>
      </c>
    </row>
    <row r="55" spans="1:1" x14ac:dyDescent="0.3">
      <c r="A55" t="s">
        <v>494</v>
      </c>
    </row>
    <row r="56" spans="1:1" x14ac:dyDescent="0.3">
      <c r="A56" t="s">
        <v>114</v>
      </c>
    </row>
    <row r="57" spans="1:1" x14ac:dyDescent="0.3">
      <c r="A57" t="s">
        <v>495</v>
      </c>
    </row>
    <row r="58" spans="1:1" x14ac:dyDescent="0.3">
      <c r="A58" t="s">
        <v>496</v>
      </c>
    </row>
    <row r="59" spans="1:1" x14ac:dyDescent="0.3">
      <c r="A59" t="s">
        <v>497</v>
      </c>
    </row>
    <row r="60" spans="1:1" x14ac:dyDescent="0.3">
      <c r="A60" t="s">
        <v>498</v>
      </c>
    </row>
    <row r="61" spans="1:1" x14ac:dyDescent="0.3">
      <c r="A61" t="s">
        <v>499</v>
      </c>
    </row>
    <row r="62" spans="1:1" x14ac:dyDescent="0.3">
      <c r="A62" t="s">
        <v>500</v>
      </c>
    </row>
    <row r="63" spans="1:1" x14ac:dyDescent="0.3">
      <c r="A63" t="s">
        <v>501</v>
      </c>
    </row>
    <row r="64" spans="1:1" x14ac:dyDescent="0.3">
      <c r="A64" t="s">
        <v>502</v>
      </c>
    </row>
    <row r="65" spans="1:1" x14ac:dyDescent="0.3">
      <c r="A65" t="s">
        <v>503</v>
      </c>
    </row>
    <row r="66" spans="1:1" x14ac:dyDescent="0.3">
      <c r="A66" t="s">
        <v>504</v>
      </c>
    </row>
    <row r="67" spans="1:1" x14ac:dyDescent="0.3">
      <c r="A67" t="s">
        <v>505</v>
      </c>
    </row>
    <row r="68" spans="1:1" x14ac:dyDescent="0.3">
      <c r="A68" t="s">
        <v>506</v>
      </c>
    </row>
    <row r="69" spans="1:1" x14ac:dyDescent="0.3">
      <c r="A69" t="s">
        <v>507</v>
      </c>
    </row>
    <row r="70" spans="1:1" x14ac:dyDescent="0.3">
      <c r="A70" t="s">
        <v>508</v>
      </c>
    </row>
    <row r="71" spans="1:1" x14ac:dyDescent="0.3">
      <c r="A71" t="s">
        <v>509</v>
      </c>
    </row>
    <row r="72" spans="1:1" x14ac:dyDescent="0.3">
      <c r="A72" t="s">
        <v>510</v>
      </c>
    </row>
    <row r="73" spans="1:1" x14ac:dyDescent="0.3">
      <c r="A73" t="s">
        <v>511</v>
      </c>
    </row>
    <row r="74" spans="1:1" x14ac:dyDescent="0.3">
      <c r="A74" t="s">
        <v>512</v>
      </c>
    </row>
    <row r="75" spans="1:1" x14ac:dyDescent="0.3">
      <c r="A75" t="s">
        <v>513</v>
      </c>
    </row>
    <row r="76" spans="1:1" x14ac:dyDescent="0.3">
      <c r="A76" t="s">
        <v>514</v>
      </c>
    </row>
    <row r="77" spans="1:1" x14ac:dyDescent="0.3">
      <c r="A77" t="s">
        <v>515</v>
      </c>
    </row>
    <row r="78" spans="1:1" x14ac:dyDescent="0.3">
      <c r="A78" t="s">
        <v>516</v>
      </c>
    </row>
    <row r="79" spans="1:1" x14ac:dyDescent="0.3">
      <c r="A79" t="s">
        <v>517</v>
      </c>
    </row>
    <row r="80" spans="1:1" x14ac:dyDescent="0.3">
      <c r="A80" t="s">
        <v>518</v>
      </c>
    </row>
    <row r="81" spans="1:1" x14ac:dyDescent="0.3">
      <c r="A81" t="s">
        <v>519</v>
      </c>
    </row>
    <row r="82" spans="1:1" x14ac:dyDescent="0.3">
      <c r="A82" t="s">
        <v>520</v>
      </c>
    </row>
    <row r="83" spans="1:1" x14ac:dyDescent="0.3">
      <c r="A83" t="s">
        <v>521</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83227C-5317-464B-AEF8-1C96313FD8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