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charts/chart21.xml" ContentType="application/vnd.openxmlformats-officedocument.drawingml.chart+xml"/>
  <Override PartName="/xl/charts/style21.xml" ContentType="application/vnd.ms-office.chartstyle+xml"/>
  <Override PartName="/xl/charts/colors21.xml" ContentType="application/vnd.ms-office.chartcolorsty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codeName="ThisWorkbook" defaultThemeVersion="166925"/>
  <mc:AlternateContent xmlns:mc="http://schemas.openxmlformats.org/markup-compatibility/2006">
    <mc:Choice Requires="x15">
      <x15ac:absPath xmlns:x15ac="http://schemas.microsoft.com/office/spreadsheetml/2010/11/ac" url="https://carcglgov.sharepoint.com/sites/NYStretchCoordination/Shared Documents/Prototypes/Prototypes/Scorecards/"/>
    </mc:Choice>
  </mc:AlternateContent>
  <xr:revisionPtr revIDLastSave="333" documentId="8_{6A587C03-DD13-4F12-9FDF-C2A6B60C1EB1}" xr6:coauthVersionLast="47" xr6:coauthVersionMax="47" xr10:uidLastSave="{8F761855-7609-4DE8-AFC0-08C4E3085950}"/>
  <bookViews>
    <workbookView xWindow="28680" yWindow="-120" windowWidth="29040" windowHeight="15720" tabRatio="886" activeTab="1" xr2:uid="{EAC23EE3-0CA0-4FF8-990D-9B21A59FA3E0}"/>
  </bookViews>
  <sheets>
    <sheet name="Notes" sheetId="23" r:id="rId1"/>
    <sheet name="Prototype" sheetId="2" r:id="rId2"/>
    <sheet name="Zones" sheetId="33" r:id="rId3"/>
    <sheet name="Envelope" sheetId="1" r:id="rId4"/>
    <sheet name="HVAC System" sheetId="14" r:id="rId5"/>
    <sheet name="Thermostat" sheetId="32" r:id="rId6"/>
    <sheet name="Ventilation" sheetId="18" r:id="rId7"/>
    <sheet name="Water Heater" sheetId="7" r:id="rId8"/>
    <sheet name="Interior Lights" sheetId="25" r:id="rId9"/>
    <sheet name="Ext Lighting" sheetId="9" r:id="rId10"/>
    <sheet name="Equipment" sheetId="29" r:id="rId11"/>
    <sheet name="Schedules" sheetId="30" r:id="rId12"/>
    <sheet name="Energy Usage" sheetId="20" state="hidden" r:id="rId13"/>
    <sheet name="Weights" sheetId="21" state="hidden" r:id="rId14"/>
    <sheet name="PV" sheetId="27" state="hidden" r:id="rId15"/>
    <sheet name="EV Charger" sheetId="22" state="hidden" r:id="rId16"/>
    <sheet name="Data" sheetId="31" state="hidden" r:id="rId17"/>
  </sheets>
  <definedNames>
    <definedName name="_xlnm._FilterDatabase" localSheetId="16" hidden="1">Data!$D$1:$G$1</definedName>
    <definedName name="_xlnm._FilterDatabase" localSheetId="3" hidden="1">Envelope!$A$2:$AU$49</definedName>
    <definedName name="_xlnm._FilterDatabase" localSheetId="10" hidden="1">Equipment!$A$2:$I$13</definedName>
    <definedName name="_xlnm._FilterDatabase" localSheetId="8" hidden="1">'Interior Lights'!$A$2:$G$13</definedName>
    <definedName name="_xlnm._FilterDatabase" localSheetId="2" hidden="1">Zones!$A$2:$AB$40</definedName>
    <definedName name="nonparticipating_forecastzone_scale_factor" localSheetId="16">#REF!</definedName>
    <definedName name="nonparticipating_forecastzone_scale_factor" localSheetId="11">#REF!</definedName>
    <definedName name="nonparticipating_forecastzone_scale_factor">'Energy Usage'!#REF!</definedName>
    <definedName name="Space_Function">Data!$A$2:$A$76</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Y20" i="1" l="1"/>
  <c r="X20" i="1"/>
  <c r="W20" i="1"/>
  <c r="V20" i="1"/>
  <c r="U20" i="1"/>
  <c r="T20" i="1"/>
  <c r="S20" i="1"/>
  <c r="R20" i="1"/>
  <c r="Q20" i="1"/>
  <c r="P20" i="1"/>
  <c r="O20" i="1"/>
  <c r="N20" i="1"/>
  <c r="M20" i="1"/>
  <c r="M21" i="1"/>
  <c r="L20" i="1"/>
  <c r="K20" i="1"/>
  <c r="J20" i="1"/>
  <c r="A39" i="18"/>
  <c r="A13" i="25"/>
  <c r="I14" i="18"/>
  <c r="I13" i="18"/>
  <c r="I4" i="33"/>
  <c r="I40" i="33" s="1"/>
  <c r="I5" i="33"/>
  <c r="I6" i="33"/>
  <c r="I7" i="33"/>
  <c r="I8" i="33"/>
  <c r="I9" i="33"/>
  <c r="I10" i="33"/>
  <c r="I11" i="33"/>
  <c r="I12" i="33"/>
  <c r="I13" i="33"/>
  <c r="I14" i="33"/>
  <c r="I15" i="33"/>
  <c r="I16" i="33"/>
  <c r="I17" i="33"/>
  <c r="I18" i="33"/>
  <c r="I19" i="33"/>
  <c r="I20" i="33"/>
  <c r="I21" i="33"/>
  <c r="I22" i="33"/>
  <c r="I23" i="33"/>
  <c r="I24" i="33"/>
  <c r="I25" i="33"/>
  <c r="I26" i="33"/>
  <c r="I27" i="33"/>
  <c r="I28" i="33"/>
  <c r="I29" i="33"/>
  <c r="I30" i="33"/>
  <c r="I31" i="33"/>
  <c r="I32" i="33"/>
  <c r="I33" i="33"/>
  <c r="I34" i="33"/>
  <c r="I35" i="33"/>
  <c r="I36" i="33"/>
  <c r="I37" i="33"/>
  <c r="I38" i="33"/>
  <c r="I39" i="33"/>
  <c r="I3" i="33"/>
  <c r="D10" i="7"/>
  <c r="J40" i="33"/>
  <c r="E38" i="33"/>
  <c r="E37" i="33"/>
  <c r="E34" i="33"/>
  <c r="E33" i="33"/>
  <c r="E32" i="33"/>
  <c r="E31" i="33"/>
  <c r="E30" i="33"/>
  <c r="E29" i="33"/>
  <c r="E28" i="33"/>
  <c r="E27" i="33"/>
  <c r="E26" i="33"/>
  <c r="E25" i="33"/>
  <c r="E24" i="33"/>
  <c r="E14" i="33"/>
  <c r="E15" i="33"/>
  <c r="E16" i="33"/>
  <c r="E17" i="33"/>
  <c r="E18" i="33"/>
  <c r="E19" i="33"/>
  <c r="E20" i="33"/>
  <c r="E21" i="33"/>
  <c r="E13" i="33"/>
  <c r="B12" i="29"/>
  <c r="B11" i="29"/>
  <c r="B10" i="29"/>
  <c r="B4" i="29"/>
  <c r="B5" i="29"/>
  <c r="B6" i="29"/>
  <c r="B7" i="29"/>
  <c r="B8" i="29"/>
  <c r="B9" i="29"/>
  <c r="B3" i="29"/>
  <c r="A12" i="25"/>
  <c r="A11" i="25"/>
  <c r="A5" i="25"/>
  <c r="A6" i="25"/>
  <c r="A7" i="25"/>
  <c r="A8" i="25"/>
  <c r="A9" i="25"/>
  <c r="A10" i="25"/>
  <c r="A4" i="25"/>
  <c r="D16" i="7" l="1"/>
  <c r="D17" i="7"/>
  <c r="D18" i="7"/>
  <c r="D19" i="7"/>
  <c r="D46" i="7"/>
  <c r="C11" i="7"/>
  <c r="C12" i="7"/>
  <c r="C13" i="7"/>
  <c r="C14" i="7"/>
  <c r="C15" i="7"/>
  <c r="C16" i="7"/>
  <c r="C17" i="7"/>
  <c r="C18" i="7"/>
  <c r="C19" i="7"/>
  <c r="C20" i="7"/>
  <c r="C21" i="7"/>
  <c r="C22" i="7"/>
  <c r="C23" i="7"/>
  <c r="C24" i="7"/>
  <c r="C25" i="7"/>
  <c r="C26" i="7"/>
  <c r="C27" i="7"/>
  <c r="C28" i="7"/>
  <c r="C29" i="7"/>
  <c r="C30" i="7"/>
  <c r="C31" i="7"/>
  <c r="C32" i="7"/>
  <c r="C33" i="7"/>
  <c r="C34" i="7"/>
  <c r="C35" i="7"/>
  <c r="C36" i="7"/>
  <c r="C37" i="7"/>
  <c r="C38" i="7"/>
  <c r="C39" i="7"/>
  <c r="C40" i="7"/>
  <c r="C41" i="7"/>
  <c r="C42" i="7"/>
  <c r="C43" i="7"/>
  <c r="C44" i="7"/>
  <c r="C45" i="7"/>
  <c r="C46" i="7"/>
  <c r="C10" i="7"/>
  <c r="A11" i="7"/>
  <c r="A12" i="7"/>
  <c r="A13" i="7"/>
  <c r="A14" i="7"/>
  <c r="A15" i="7"/>
  <c r="A16" i="7"/>
  <c r="A17" i="7"/>
  <c r="A18" i="7"/>
  <c r="A19" i="7"/>
  <c r="A20" i="7"/>
  <c r="A21" i="7"/>
  <c r="A22" i="7"/>
  <c r="A23" i="7"/>
  <c r="A24" i="7"/>
  <c r="A25" i="7"/>
  <c r="A26" i="7"/>
  <c r="A27" i="7"/>
  <c r="A28" i="7"/>
  <c r="A29" i="7"/>
  <c r="A30" i="7"/>
  <c r="A31" i="7"/>
  <c r="A32" i="7"/>
  <c r="A33" i="7"/>
  <c r="A34" i="7"/>
  <c r="A35" i="7"/>
  <c r="A36" i="7"/>
  <c r="A37" i="7"/>
  <c r="A38" i="7"/>
  <c r="A39" i="7"/>
  <c r="A40" i="7"/>
  <c r="A41" i="7"/>
  <c r="A42" i="7"/>
  <c r="A43" i="7"/>
  <c r="A44" i="7"/>
  <c r="A45" i="7"/>
  <c r="A46" i="7"/>
  <c r="A10" i="7"/>
  <c r="E38" i="18"/>
  <c r="I38" i="18" s="1"/>
  <c r="J38" i="18" s="1"/>
  <c r="E37" i="18"/>
  <c r="I37" i="18" s="1"/>
  <c r="J37" i="18" s="1"/>
  <c r="E34" i="18"/>
  <c r="I34" i="18" s="1"/>
  <c r="J34" i="18" s="1"/>
  <c r="E33" i="18"/>
  <c r="I33" i="18" s="1"/>
  <c r="J33" i="18" s="1"/>
  <c r="E32" i="18"/>
  <c r="I32" i="18" s="1"/>
  <c r="J32" i="18" s="1"/>
  <c r="E31" i="18"/>
  <c r="I31" i="18" s="1"/>
  <c r="J31" i="18" s="1"/>
  <c r="E30" i="18"/>
  <c r="I30" i="18" s="1"/>
  <c r="J30" i="18" s="1"/>
  <c r="E29" i="18"/>
  <c r="I29" i="18" s="1"/>
  <c r="J29" i="18" s="1"/>
  <c r="E28" i="18"/>
  <c r="I28" i="18" s="1"/>
  <c r="J28" i="18" s="1"/>
  <c r="E27" i="18"/>
  <c r="I27" i="18" s="1"/>
  <c r="J27" i="18" s="1"/>
  <c r="E26" i="18"/>
  <c r="I26" i="18" s="1"/>
  <c r="J26" i="18" s="1"/>
  <c r="E25" i="18"/>
  <c r="I25" i="18" s="1"/>
  <c r="J25" i="18" s="1"/>
  <c r="E24" i="18"/>
  <c r="I24" i="18" s="1"/>
  <c r="J24" i="18" s="1"/>
  <c r="E14" i="18"/>
  <c r="J14" i="18" s="1"/>
  <c r="E15" i="18"/>
  <c r="I15" i="18" s="1"/>
  <c r="J15" i="18" s="1"/>
  <c r="E16" i="18"/>
  <c r="I16" i="18" s="1"/>
  <c r="J16" i="18" s="1"/>
  <c r="E17" i="18"/>
  <c r="I17" i="18" s="1"/>
  <c r="J17" i="18" s="1"/>
  <c r="E18" i="18"/>
  <c r="I18" i="18" s="1"/>
  <c r="J18" i="18" s="1"/>
  <c r="E19" i="18"/>
  <c r="I19" i="18" s="1"/>
  <c r="J19" i="18" s="1"/>
  <c r="E20" i="18"/>
  <c r="I20" i="18" s="1"/>
  <c r="J20" i="18" s="1"/>
  <c r="E21" i="18"/>
  <c r="I21" i="18" s="1"/>
  <c r="J21" i="18" s="1"/>
  <c r="C4" i="18" l="1"/>
  <c r="C5" i="18"/>
  <c r="C6" i="18"/>
  <c r="C7" i="18"/>
  <c r="C8" i="18"/>
  <c r="C9" i="18"/>
  <c r="C10" i="18"/>
  <c r="C11" i="18"/>
  <c r="C12" i="18"/>
  <c r="C13" i="18"/>
  <c r="E13" i="18" s="1"/>
  <c r="J13" i="18" s="1"/>
  <c r="C14" i="18"/>
  <c r="C15" i="18"/>
  <c r="C16" i="18"/>
  <c r="C17" i="18"/>
  <c r="C18" i="18"/>
  <c r="C19" i="18"/>
  <c r="C20" i="18"/>
  <c r="C21" i="18"/>
  <c r="C22" i="18"/>
  <c r="C23" i="18"/>
  <c r="C24" i="18"/>
  <c r="C25" i="18"/>
  <c r="C26" i="18"/>
  <c r="C27" i="18"/>
  <c r="C28" i="18"/>
  <c r="C29" i="18"/>
  <c r="C30" i="18"/>
  <c r="C31" i="18"/>
  <c r="C32" i="18"/>
  <c r="C33" i="18"/>
  <c r="C34" i="18"/>
  <c r="C35" i="18"/>
  <c r="C36" i="18"/>
  <c r="C37" i="18"/>
  <c r="C38" i="18"/>
  <c r="C39" i="18"/>
  <c r="C3" i="18"/>
  <c r="B9" i="18"/>
  <c r="B10" i="18"/>
  <c r="B11" i="18"/>
  <c r="B12" i="18"/>
  <c r="B14" i="18"/>
  <c r="B15" i="18"/>
  <c r="B18" i="18"/>
  <c r="B20" i="18"/>
  <c r="B23" i="18"/>
  <c r="B24" i="18"/>
  <c r="B25" i="18"/>
  <c r="B26" i="18"/>
  <c r="B27" i="18"/>
  <c r="B28" i="18"/>
  <c r="B29" i="18"/>
  <c r="B35" i="18"/>
  <c r="B36" i="18"/>
  <c r="B37" i="18"/>
  <c r="B39" i="18"/>
  <c r="A4" i="18"/>
  <c r="A5" i="18"/>
  <c r="A6" i="18"/>
  <c r="A7" i="18"/>
  <c r="A8" i="18"/>
  <c r="A9" i="18"/>
  <c r="A10" i="18"/>
  <c r="A11" i="18"/>
  <c r="A12" i="18"/>
  <c r="A13" i="18"/>
  <c r="A14" i="18"/>
  <c r="A15" i="18"/>
  <c r="A16" i="18"/>
  <c r="A17" i="18"/>
  <c r="A18" i="18"/>
  <c r="A19" i="18"/>
  <c r="A20" i="18"/>
  <c r="A21" i="18"/>
  <c r="A22" i="18"/>
  <c r="A23" i="18"/>
  <c r="A24" i="18"/>
  <c r="A25" i="18"/>
  <c r="A26" i="18"/>
  <c r="A27" i="18"/>
  <c r="A28" i="18"/>
  <c r="A29" i="18"/>
  <c r="A30" i="18"/>
  <c r="A31" i="18"/>
  <c r="A32" i="18"/>
  <c r="A33" i="18"/>
  <c r="A34" i="18"/>
  <c r="A35" i="18"/>
  <c r="A36" i="18"/>
  <c r="A37" i="18"/>
  <c r="A38" i="18"/>
  <c r="A3" i="18"/>
  <c r="Q56" i="33"/>
  <c r="Q57" i="33"/>
  <c r="Q58" i="33"/>
  <c r="Q59" i="33"/>
  <c r="Q60" i="33"/>
  <c r="Q61" i="33"/>
  <c r="Q62" i="33"/>
  <c r="Q63" i="33"/>
  <c r="Q64" i="33"/>
  <c r="Q65" i="33"/>
  <c r="Q66" i="33"/>
  <c r="Q67" i="33"/>
  <c r="Q68" i="33"/>
  <c r="Q69" i="33"/>
  <c r="Q70" i="33"/>
  <c r="Q71" i="33"/>
  <c r="Q72" i="33"/>
  <c r="Q73" i="33"/>
  <c r="Q74" i="33"/>
  <c r="Q75" i="33"/>
  <c r="Q76" i="33"/>
  <c r="Q77" i="33"/>
  <c r="Q78" i="33"/>
  <c r="Q79" i="33"/>
  <c r="Q80" i="33"/>
  <c r="Q81" i="33"/>
  <c r="Q82" i="33"/>
  <c r="Q83" i="33"/>
  <c r="Q84" i="33"/>
  <c r="Q85" i="33"/>
  <c r="Q86" i="33"/>
  <c r="Q87" i="33"/>
  <c r="Q88" i="33"/>
  <c r="Q89" i="33"/>
  <c r="Q90" i="33"/>
  <c r="Q91" i="33"/>
  <c r="Q92" i="33"/>
  <c r="K40" i="33"/>
  <c r="M39" i="33"/>
  <c r="M38" i="33"/>
  <c r="D45" i="7" s="1"/>
  <c r="M37" i="33"/>
  <c r="D44" i="7" s="1"/>
  <c r="M36" i="33"/>
  <c r="D43" i="7" s="1"/>
  <c r="M35" i="33"/>
  <c r="D42" i="7" s="1"/>
  <c r="M34" i="33"/>
  <c r="D41" i="7" s="1"/>
  <c r="M33" i="33"/>
  <c r="D40" i="7" s="1"/>
  <c r="M32" i="33"/>
  <c r="D39" i="7" s="1"/>
  <c r="M31" i="33"/>
  <c r="D38" i="7" s="1"/>
  <c r="M30" i="33"/>
  <c r="D37" i="7" s="1"/>
  <c r="M29" i="33"/>
  <c r="D36" i="7" s="1"/>
  <c r="M28" i="33"/>
  <c r="D35" i="7" s="1"/>
  <c r="M27" i="33"/>
  <c r="D34" i="7" s="1"/>
  <c r="M26" i="33"/>
  <c r="D33" i="7" s="1"/>
  <c r="M25" i="33"/>
  <c r="D32" i="7" s="1"/>
  <c r="M24" i="33"/>
  <c r="D31" i="7" s="1"/>
  <c r="M23" i="33"/>
  <c r="D30" i="7" s="1"/>
  <c r="M22" i="33"/>
  <c r="D29" i="7" s="1"/>
  <c r="M21" i="33"/>
  <c r="D28" i="7" s="1"/>
  <c r="M20" i="33"/>
  <c r="D27" i="7" s="1"/>
  <c r="M19" i="33"/>
  <c r="D26" i="7" s="1"/>
  <c r="M18" i="33"/>
  <c r="D25" i="7" s="1"/>
  <c r="M17" i="33"/>
  <c r="D24" i="7" s="1"/>
  <c r="M16" i="33"/>
  <c r="D23" i="7" s="1"/>
  <c r="M15" i="33"/>
  <c r="D22" i="7" s="1"/>
  <c r="M14" i="33"/>
  <c r="D21" i="7" s="1"/>
  <c r="M13" i="33"/>
  <c r="D20" i="7" s="1"/>
  <c r="M12" i="33"/>
  <c r="M11" i="33"/>
  <c r="M10" i="33"/>
  <c r="M9" i="33"/>
  <c r="M8" i="33"/>
  <c r="D15" i="7" s="1"/>
  <c r="M7" i="33"/>
  <c r="D14" i="7" s="1"/>
  <c r="M6" i="33"/>
  <c r="D13" i="7" s="1"/>
  <c r="M5" i="33"/>
  <c r="D12" i="7" s="1"/>
  <c r="M4" i="33"/>
  <c r="D11" i="7" s="1"/>
  <c r="M3" i="33"/>
  <c r="A1" i="33"/>
  <c r="F25" i="30"/>
  <c r="A1" i="30"/>
  <c r="F22" i="30"/>
  <c r="F90" i="30"/>
  <c r="F87" i="30"/>
  <c r="G90" i="30"/>
  <c r="H90" i="30"/>
  <c r="I90" i="30"/>
  <c r="J90" i="30"/>
  <c r="K90" i="30"/>
  <c r="L90" i="30"/>
  <c r="M90" i="30"/>
  <c r="N90" i="30"/>
  <c r="O90" i="30"/>
  <c r="P90" i="30"/>
  <c r="Q90" i="30"/>
  <c r="R90" i="30"/>
  <c r="S90" i="30"/>
  <c r="T90" i="30"/>
  <c r="U90" i="30"/>
  <c r="V90" i="30"/>
  <c r="W90" i="30"/>
  <c r="X90" i="30"/>
  <c r="Y90" i="30"/>
  <c r="Z90" i="30"/>
  <c r="AA90" i="30"/>
  <c r="AB90" i="30"/>
  <c r="AC90" i="30"/>
  <c r="G91" i="30"/>
  <c r="H91" i="30"/>
  <c r="I91" i="30"/>
  <c r="J91" i="30"/>
  <c r="K91" i="30"/>
  <c r="L91" i="30"/>
  <c r="M91" i="30"/>
  <c r="N91" i="30"/>
  <c r="O91" i="30"/>
  <c r="P91" i="30"/>
  <c r="Q91" i="30"/>
  <c r="R91" i="30"/>
  <c r="S91" i="30"/>
  <c r="T91" i="30"/>
  <c r="U91" i="30"/>
  <c r="V91" i="30"/>
  <c r="W91" i="30"/>
  <c r="X91" i="30"/>
  <c r="Y91" i="30"/>
  <c r="Z91" i="30"/>
  <c r="AA91" i="30"/>
  <c r="AB91" i="30"/>
  <c r="AC91" i="30"/>
  <c r="G92" i="30"/>
  <c r="H92" i="30"/>
  <c r="I92" i="30"/>
  <c r="J92" i="30"/>
  <c r="K92" i="30"/>
  <c r="L92" i="30"/>
  <c r="M92" i="30"/>
  <c r="N92" i="30"/>
  <c r="O92" i="30"/>
  <c r="P92" i="30"/>
  <c r="Q92" i="30"/>
  <c r="R92" i="30"/>
  <c r="S92" i="30"/>
  <c r="T92" i="30"/>
  <c r="U92" i="30"/>
  <c r="V92" i="30"/>
  <c r="W92" i="30"/>
  <c r="X92" i="30"/>
  <c r="Y92" i="30"/>
  <c r="Z92" i="30"/>
  <c r="AA92" i="30"/>
  <c r="AB92" i="30"/>
  <c r="AC92" i="30"/>
  <c r="F91" i="30"/>
  <c r="F92" i="30"/>
  <c r="G87" i="30"/>
  <c r="H87" i="30"/>
  <c r="I87" i="30"/>
  <c r="J87" i="30"/>
  <c r="K87" i="30"/>
  <c r="L87" i="30"/>
  <c r="M87" i="30"/>
  <c r="N87" i="30"/>
  <c r="O87" i="30"/>
  <c r="P87" i="30"/>
  <c r="Q87" i="30"/>
  <c r="R87" i="30"/>
  <c r="S87" i="30"/>
  <c r="T87" i="30"/>
  <c r="U87" i="30"/>
  <c r="V87" i="30"/>
  <c r="W87" i="30"/>
  <c r="X87" i="30"/>
  <c r="Y87" i="30"/>
  <c r="Z87" i="30"/>
  <c r="AA87" i="30"/>
  <c r="AB87" i="30"/>
  <c r="AC87" i="30"/>
  <c r="G88" i="30"/>
  <c r="H88" i="30"/>
  <c r="I88" i="30"/>
  <c r="J88" i="30"/>
  <c r="K88" i="30"/>
  <c r="L88" i="30"/>
  <c r="M88" i="30"/>
  <c r="N88" i="30"/>
  <c r="O88" i="30"/>
  <c r="P88" i="30"/>
  <c r="Q88" i="30"/>
  <c r="R88" i="30"/>
  <c r="S88" i="30"/>
  <c r="T88" i="30"/>
  <c r="U88" i="30"/>
  <c r="V88" i="30"/>
  <c r="W88" i="30"/>
  <c r="X88" i="30"/>
  <c r="Y88" i="30"/>
  <c r="Z88" i="30"/>
  <c r="AA88" i="30"/>
  <c r="AB88" i="30"/>
  <c r="AC88" i="30"/>
  <c r="G89" i="30"/>
  <c r="H89" i="30"/>
  <c r="I89" i="30"/>
  <c r="J89" i="30"/>
  <c r="K89" i="30"/>
  <c r="L89" i="30"/>
  <c r="M89" i="30"/>
  <c r="N89" i="30"/>
  <c r="O89" i="30"/>
  <c r="P89" i="30"/>
  <c r="Q89" i="30"/>
  <c r="R89" i="30"/>
  <c r="S89" i="30"/>
  <c r="T89" i="30"/>
  <c r="U89" i="30"/>
  <c r="V89" i="30"/>
  <c r="W89" i="30"/>
  <c r="X89" i="30"/>
  <c r="Y89" i="30"/>
  <c r="Z89" i="30"/>
  <c r="AA89" i="30"/>
  <c r="AB89" i="30"/>
  <c r="AC89" i="30"/>
  <c r="F88" i="30"/>
  <c r="F89" i="30"/>
  <c r="A1" i="32"/>
  <c r="A8" i="32"/>
  <c r="A69" i="30"/>
  <c r="A75" i="30" s="1"/>
  <c r="A81" i="30" s="1"/>
  <c r="A90" i="30" s="1"/>
  <c r="A72" i="30"/>
  <c r="A78" i="30" s="1"/>
  <c r="A84" i="30" s="1"/>
  <c r="B72" i="30"/>
  <c r="B78" i="30" s="1"/>
  <c r="B87" i="30" s="1"/>
  <c r="B69" i="30"/>
  <c r="B75" i="30" s="1"/>
  <c r="B81" i="30" s="1"/>
  <c r="B90" i="30" s="1"/>
  <c r="B8" i="2" l="1"/>
  <c r="B23" i="9"/>
  <c r="B8" i="18"/>
  <c r="B22" i="18"/>
  <c r="B21" i="18"/>
  <c r="B19" i="18"/>
  <c r="B17" i="18"/>
  <c r="B16" i="18"/>
  <c r="B38" i="18"/>
  <c r="B34" i="18"/>
  <c r="B33" i="18"/>
  <c r="B32" i="18"/>
  <c r="B30" i="18"/>
  <c r="B31" i="18"/>
  <c r="B13" i="18"/>
  <c r="B7" i="18"/>
  <c r="B6" i="18"/>
  <c r="B5" i="18"/>
  <c r="B4" i="18"/>
  <c r="B3" i="18"/>
  <c r="M40" i="33"/>
  <c r="A87" i="30"/>
  <c r="B84" i="30"/>
  <c r="G56" i="30" l="1"/>
  <c r="H56" i="30"/>
  <c r="I56" i="30"/>
  <c r="J56" i="30"/>
  <c r="K56" i="30"/>
  <c r="L56" i="30"/>
  <c r="M56" i="30"/>
  <c r="N56" i="30"/>
  <c r="O56" i="30"/>
  <c r="P56" i="30"/>
  <c r="Q56" i="30"/>
  <c r="R56" i="30"/>
  <c r="S56" i="30"/>
  <c r="T56" i="30"/>
  <c r="U56" i="30"/>
  <c r="V56" i="30"/>
  <c r="W56" i="30"/>
  <c r="X56" i="30"/>
  <c r="Y56" i="30"/>
  <c r="Z56" i="30"/>
  <c r="AA56" i="30"/>
  <c r="AB56" i="30"/>
  <c r="AC56" i="30"/>
  <c r="G57" i="30"/>
  <c r="H57" i="30"/>
  <c r="I57" i="30"/>
  <c r="J57" i="30"/>
  <c r="K57" i="30"/>
  <c r="L57" i="30"/>
  <c r="M57" i="30"/>
  <c r="N57" i="30"/>
  <c r="O57" i="30"/>
  <c r="P57" i="30"/>
  <c r="Q57" i="30"/>
  <c r="R57" i="30"/>
  <c r="S57" i="30"/>
  <c r="T57" i="30"/>
  <c r="U57" i="30"/>
  <c r="V57" i="30"/>
  <c r="W57" i="30"/>
  <c r="X57" i="30"/>
  <c r="Y57" i="30"/>
  <c r="Z57" i="30"/>
  <c r="AA57" i="30"/>
  <c r="AB57" i="30"/>
  <c r="AC57" i="30"/>
  <c r="G58" i="30"/>
  <c r="H58" i="30"/>
  <c r="I58" i="30"/>
  <c r="J58" i="30"/>
  <c r="K58" i="30"/>
  <c r="L58" i="30"/>
  <c r="M58" i="30"/>
  <c r="N58" i="30"/>
  <c r="O58" i="30"/>
  <c r="P58" i="30"/>
  <c r="Q58" i="30"/>
  <c r="R58" i="30"/>
  <c r="S58" i="30"/>
  <c r="T58" i="30"/>
  <c r="U58" i="30"/>
  <c r="V58" i="30"/>
  <c r="W58" i="30"/>
  <c r="X58" i="30"/>
  <c r="Y58" i="30"/>
  <c r="Z58" i="30"/>
  <c r="AA58" i="30"/>
  <c r="AB58" i="30"/>
  <c r="AC58" i="30"/>
  <c r="F57" i="30"/>
  <c r="F58" i="30"/>
  <c r="F56" i="30"/>
  <c r="G53" i="30"/>
  <c r="H53" i="30"/>
  <c r="I53" i="30"/>
  <c r="J53" i="30"/>
  <c r="K53" i="30"/>
  <c r="L53" i="30"/>
  <c r="M53" i="30"/>
  <c r="N53" i="30"/>
  <c r="O53" i="30"/>
  <c r="P53" i="30"/>
  <c r="Q53" i="30"/>
  <c r="R53" i="30"/>
  <c r="S53" i="30"/>
  <c r="T53" i="30"/>
  <c r="U53" i="30"/>
  <c r="V53" i="30"/>
  <c r="W53" i="30"/>
  <c r="X53" i="30"/>
  <c r="Y53" i="30"/>
  <c r="Z53" i="30"/>
  <c r="AA53" i="30"/>
  <c r="AB53" i="30"/>
  <c r="AC53" i="30"/>
  <c r="G54" i="30"/>
  <c r="H54" i="30"/>
  <c r="I54" i="30"/>
  <c r="J54" i="30"/>
  <c r="K54" i="30"/>
  <c r="L54" i="30"/>
  <c r="M54" i="30"/>
  <c r="N54" i="30"/>
  <c r="O54" i="30"/>
  <c r="P54" i="30"/>
  <c r="Q54" i="30"/>
  <c r="R54" i="30"/>
  <c r="S54" i="30"/>
  <c r="T54" i="30"/>
  <c r="U54" i="30"/>
  <c r="V54" i="30"/>
  <c r="W54" i="30"/>
  <c r="X54" i="30"/>
  <c r="Y54" i="30"/>
  <c r="Z54" i="30"/>
  <c r="AA54" i="30"/>
  <c r="AB54" i="30"/>
  <c r="AC54" i="30"/>
  <c r="G55" i="30"/>
  <c r="H55" i="30"/>
  <c r="I55" i="30"/>
  <c r="J55" i="30"/>
  <c r="K55" i="30"/>
  <c r="L55" i="30"/>
  <c r="M55" i="30"/>
  <c r="N55" i="30"/>
  <c r="O55" i="30"/>
  <c r="P55" i="30"/>
  <c r="Q55" i="30"/>
  <c r="R55" i="30"/>
  <c r="S55" i="30"/>
  <c r="T55" i="30"/>
  <c r="U55" i="30"/>
  <c r="V55" i="30"/>
  <c r="W55" i="30"/>
  <c r="X55" i="30"/>
  <c r="Y55" i="30"/>
  <c r="Z55" i="30"/>
  <c r="AA55" i="30"/>
  <c r="AB55" i="30"/>
  <c r="AC55" i="30"/>
  <c r="F54" i="30"/>
  <c r="F55" i="30"/>
  <c r="F53" i="30"/>
  <c r="B50" i="30"/>
  <c r="G25" i="30"/>
  <c r="H25" i="30"/>
  <c r="I25" i="30"/>
  <c r="J25" i="30"/>
  <c r="K25" i="30"/>
  <c r="L25" i="30"/>
  <c r="M25" i="30"/>
  <c r="N25" i="30"/>
  <c r="O25" i="30"/>
  <c r="P25" i="30"/>
  <c r="Q25" i="30"/>
  <c r="R25" i="30"/>
  <c r="S25" i="30"/>
  <c r="T25" i="30"/>
  <c r="U25" i="30"/>
  <c r="V25" i="30"/>
  <c r="W25" i="30"/>
  <c r="X25" i="30"/>
  <c r="Y25" i="30"/>
  <c r="Z25" i="30"/>
  <c r="AA25" i="30"/>
  <c r="AB25" i="30"/>
  <c r="AC25" i="30"/>
  <c r="G26" i="30"/>
  <c r="H26" i="30"/>
  <c r="I26" i="30"/>
  <c r="J26" i="30"/>
  <c r="K26" i="30"/>
  <c r="L26" i="30"/>
  <c r="M26" i="30"/>
  <c r="N26" i="30"/>
  <c r="O26" i="30"/>
  <c r="P26" i="30"/>
  <c r="Q26" i="30"/>
  <c r="R26" i="30"/>
  <c r="S26" i="30"/>
  <c r="T26" i="30"/>
  <c r="U26" i="30"/>
  <c r="V26" i="30"/>
  <c r="W26" i="30"/>
  <c r="X26" i="30"/>
  <c r="Y26" i="30"/>
  <c r="Z26" i="30"/>
  <c r="AA26" i="30"/>
  <c r="AB26" i="30"/>
  <c r="AC26" i="30"/>
  <c r="G27" i="30"/>
  <c r="H27" i="30"/>
  <c r="I27" i="30"/>
  <c r="J27" i="30"/>
  <c r="K27" i="30"/>
  <c r="L27" i="30"/>
  <c r="M27" i="30"/>
  <c r="N27" i="30"/>
  <c r="O27" i="30"/>
  <c r="P27" i="30"/>
  <c r="Q27" i="30"/>
  <c r="R27" i="30"/>
  <c r="S27" i="30"/>
  <c r="T27" i="30"/>
  <c r="U27" i="30"/>
  <c r="V27" i="30"/>
  <c r="W27" i="30"/>
  <c r="X27" i="30"/>
  <c r="Y27" i="30"/>
  <c r="Z27" i="30"/>
  <c r="AA27" i="30"/>
  <c r="AB27" i="30"/>
  <c r="AC27" i="30"/>
  <c r="F26" i="30"/>
  <c r="F27" i="30"/>
  <c r="F23" i="30"/>
  <c r="G23" i="30"/>
  <c r="H23" i="30"/>
  <c r="I23" i="30"/>
  <c r="J23" i="30"/>
  <c r="K23" i="30"/>
  <c r="L23" i="30"/>
  <c r="M23" i="30"/>
  <c r="N23" i="30"/>
  <c r="O23" i="30"/>
  <c r="P23" i="30"/>
  <c r="Q23" i="30"/>
  <c r="R23" i="30"/>
  <c r="S23" i="30"/>
  <c r="T23" i="30"/>
  <c r="U23" i="30"/>
  <c r="V23" i="30"/>
  <c r="W23" i="30"/>
  <c r="X23" i="30"/>
  <c r="Y23" i="30"/>
  <c r="Z23" i="30"/>
  <c r="AA23" i="30"/>
  <c r="AB23" i="30"/>
  <c r="AC23" i="30"/>
  <c r="F24" i="30"/>
  <c r="G24" i="30"/>
  <c r="H24" i="30"/>
  <c r="I24" i="30"/>
  <c r="J24" i="30"/>
  <c r="K24" i="30"/>
  <c r="L24" i="30"/>
  <c r="M24" i="30"/>
  <c r="N24" i="30"/>
  <c r="O24" i="30"/>
  <c r="P24" i="30"/>
  <c r="Q24" i="30"/>
  <c r="R24" i="30"/>
  <c r="S24" i="30"/>
  <c r="T24" i="30"/>
  <c r="U24" i="30"/>
  <c r="V24" i="30"/>
  <c r="W24" i="30"/>
  <c r="X24" i="30"/>
  <c r="Y24" i="30"/>
  <c r="Z24" i="30"/>
  <c r="AA24" i="30"/>
  <c r="AB24" i="30"/>
  <c r="AC24" i="30"/>
  <c r="G22" i="30"/>
  <c r="H22" i="30"/>
  <c r="I22" i="30"/>
  <c r="J22" i="30"/>
  <c r="K22" i="30"/>
  <c r="L22" i="30"/>
  <c r="M22" i="30"/>
  <c r="N22" i="30"/>
  <c r="O22" i="30"/>
  <c r="P22" i="30"/>
  <c r="Q22" i="30"/>
  <c r="R22" i="30"/>
  <c r="S22" i="30"/>
  <c r="T22" i="30"/>
  <c r="U22" i="30"/>
  <c r="V22" i="30"/>
  <c r="W22" i="30"/>
  <c r="X22" i="30"/>
  <c r="Y22" i="30"/>
  <c r="Z22" i="30"/>
  <c r="AA22" i="30"/>
  <c r="AB22" i="30"/>
  <c r="AC22" i="30"/>
  <c r="B22" i="30" l="1"/>
  <c r="B31" i="30" l="1"/>
  <c r="B25" i="30"/>
  <c r="B28" i="30"/>
  <c r="B7" i="30"/>
  <c r="B10" i="30"/>
  <c r="B13" i="30"/>
  <c r="B16" i="30"/>
  <c r="B19" i="30"/>
  <c r="F26" i="29" l="1"/>
  <c r="J21" i="1" l="1"/>
  <c r="J19" i="1" s="1"/>
  <c r="K21" i="1"/>
  <c r="L21" i="1"/>
  <c r="M19" i="1"/>
  <c r="N21" i="1"/>
  <c r="N19" i="1" s="1"/>
  <c r="O21" i="1"/>
  <c r="O19" i="1" s="1"/>
  <c r="P21" i="1"/>
  <c r="P19" i="1" s="1"/>
  <c r="Q21" i="1"/>
  <c r="Q19" i="1" s="1"/>
  <c r="R21" i="1"/>
  <c r="R19" i="1" s="1"/>
  <c r="S21" i="1"/>
  <c r="S19" i="1" s="1"/>
  <c r="T21" i="1"/>
  <c r="T19" i="1" s="1"/>
  <c r="U21" i="1"/>
  <c r="U19" i="1" s="1"/>
  <c r="V21" i="1"/>
  <c r="V19" i="1" s="1"/>
  <c r="W21" i="1"/>
  <c r="W18" i="1" s="1"/>
  <c r="X21" i="1"/>
  <c r="X19" i="1" s="1"/>
  <c r="Y21" i="1"/>
  <c r="Y18" i="1" s="1"/>
  <c r="K19" i="1"/>
  <c r="L19" i="1"/>
  <c r="K18" i="1"/>
  <c r="L18" i="1"/>
  <c r="J18" i="1"/>
  <c r="B28" i="1"/>
  <c r="B18" i="1"/>
  <c r="B13" i="1"/>
  <c r="B8" i="1"/>
  <c r="B3" i="1"/>
  <c r="M18" i="1" l="1"/>
  <c r="P18" i="1"/>
  <c r="O18" i="1"/>
  <c r="N18" i="1"/>
  <c r="R18" i="1"/>
  <c r="V18" i="1"/>
  <c r="U18" i="1"/>
  <c r="T18" i="1"/>
  <c r="S18" i="1"/>
  <c r="Q18" i="1"/>
  <c r="Y19" i="1"/>
  <c r="X18" i="1"/>
  <c r="W19" i="1"/>
  <c r="A1" i="21"/>
  <c r="A1" i="27"/>
  <c r="A1" i="22"/>
  <c r="A1" i="20"/>
  <c r="A1" i="7"/>
  <c r="B61" i="7" l="1"/>
  <c r="C14" i="9"/>
  <c r="D28" i="14"/>
  <c r="D26" i="14"/>
  <c r="D27" i="14"/>
  <c r="A1" i="29" l="1"/>
  <c r="A8" i="9"/>
  <c r="A1" i="18"/>
  <c r="A1" i="14"/>
  <c r="A1" i="1"/>
  <c r="K36" i="1" l="1"/>
  <c r="L36" i="1"/>
  <c r="M36" i="1"/>
  <c r="N36" i="1"/>
  <c r="O36" i="1"/>
  <c r="P36" i="1"/>
  <c r="Q36" i="1"/>
  <c r="R36" i="1"/>
  <c r="S36" i="1"/>
  <c r="T36" i="1"/>
  <c r="U36" i="1"/>
  <c r="V36" i="1"/>
  <c r="W36" i="1"/>
  <c r="X36" i="1"/>
  <c r="Y36" i="1"/>
  <c r="K37" i="1"/>
  <c r="L37" i="1"/>
  <c r="M37" i="1"/>
  <c r="N37" i="1"/>
  <c r="O37" i="1"/>
  <c r="P37" i="1"/>
  <c r="Q37" i="1"/>
  <c r="R37" i="1"/>
  <c r="S37" i="1"/>
  <c r="T37" i="1"/>
  <c r="U37" i="1"/>
  <c r="V37" i="1"/>
  <c r="W37" i="1"/>
  <c r="X37" i="1"/>
  <c r="Y37" i="1"/>
  <c r="J37" i="1"/>
  <c r="J36" i="1"/>
  <c r="K31" i="1"/>
  <c r="L31" i="1"/>
  <c r="M31" i="1"/>
  <c r="N31" i="1"/>
  <c r="O31" i="1"/>
  <c r="P31" i="1"/>
  <c r="Q31" i="1"/>
  <c r="R31" i="1"/>
  <c r="S31" i="1"/>
  <c r="T31" i="1"/>
  <c r="U31" i="1"/>
  <c r="V31" i="1"/>
  <c r="W31" i="1"/>
  <c r="X31" i="1"/>
  <c r="Y31" i="1"/>
  <c r="K32" i="1"/>
  <c r="L32" i="1"/>
  <c r="M32" i="1"/>
  <c r="N32" i="1"/>
  <c r="O32" i="1"/>
  <c r="P32" i="1"/>
  <c r="Q32" i="1"/>
  <c r="R32" i="1"/>
  <c r="S32" i="1"/>
  <c r="T32" i="1"/>
  <c r="U32" i="1"/>
  <c r="V32" i="1"/>
  <c r="W32" i="1"/>
  <c r="X32" i="1"/>
  <c r="Y32" i="1"/>
  <c r="J32" i="1"/>
  <c r="J31" i="1"/>
  <c r="B24" i="2" l="1"/>
  <c r="B22" i="9" l="1"/>
  <c r="G14" i="9" s="1"/>
  <c r="G12" i="9"/>
  <c r="A1" i="9"/>
  <c r="G10" i="9"/>
  <c r="A4" i="21" l="1"/>
  <c r="A3" i="20"/>
  <c r="A1" i="25"/>
  <c r="G57" i="1" l="1"/>
  <c r="G58" i="1"/>
  <c r="Y27" i="1" l="1"/>
  <c r="N27" i="1"/>
  <c r="J27" i="1"/>
  <c r="I3" i="18"/>
  <c r="J39" i="18" l="1"/>
  <c r="I39" i="18"/>
  <c r="I36" i="18" l="1"/>
  <c r="I35" i="18"/>
  <c r="I23" i="18"/>
  <c r="I22" i="18"/>
  <c r="I12" i="18"/>
  <c r="I11" i="18"/>
  <c r="I10" i="18"/>
  <c r="I9" i="18"/>
  <c r="I8" i="18"/>
  <c r="I7" i="18"/>
  <c r="I6" i="18"/>
  <c r="I5" i="18"/>
  <c r="I4" i="18"/>
  <c r="K27" i="1" l="1"/>
  <c r="J22" i="1"/>
  <c r="K90" i="1" l="1"/>
  <c r="K110" i="1" s="1"/>
  <c r="L90" i="1"/>
  <c r="L110" i="1" s="1"/>
  <c r="M90" i="1"/>
  <c r="M110" i="1" s="1"/>
  <c r="N90" i="1"/>
  <c r="N110" i="1" s="1"/>
  <c r="O90" i="1"/>
  <c r="O110" i="1" s="1"/>
  <c r="P90" i="1"/>
  <c r="P110" i="1" s="1"/>
  <c r="Q90" i="1"/>
  <c r="Q110" i="1" s="1"/>
  <c r="R90" i="1"/>
  <c r="R110" i="1" s="1"/>
  <c r="S90" i="1"/>
  <c r="S110" i="1" s="1"/>
  <c r="T90" i="1"/>
  <c r="T110" i="1" s="1"/>
  <c r="U90" i="1"/>
  <c r="U110" i="1" s="1"/>
  <c r="V90" i="1"/>
  <c r="V110" i="1" s="1"/>
  <c r="W90" i="1"/>
  <c r="W110" i="1" s="1"/>
  <c r="X90" i="1"/>
  <c r="X110" i="1" s="1"/>
  <c r="Y90" i="1"/>
  <c r="Y110" i="1" s="1"/>
  <c r="J90" i="1"/>
  <c r="J110" i="1" s="1"/>
  <c r="K80" i="1"/>
  <c r="K100" i="1" s="1"/>
  <c r="L80" i="1"/>
  <c r="L100" i="1" s="1"/>
  <c r="M80" i="1"/>
  <c r="M100" i="1" s="1"/>
  <c r="N80" i="1"/>
  <c r="N100" i="1" s="1"/>
  <c r="O80" i="1"/>
  <c r="O100" i="1" s="1"/>
  <c r="P80" i="1"/>
  <c r="P100" i="1" s="1"/>
  <c r="Q80" i="1"/>
  <c r="Q100" i="1" s="1"/>
  <c r="R80" i="1"/>
  <c r="R100" i="1" s="1"/>
  <c r="S80" i="1"/>
  <c r="S100" i="1" s="1"/>
  <c r="T80" i="1"/>
  <c r="U80" i="1"/>
  <c r="U100" i="1" s="1"/>
  <c r="V80" i="1"/>
  <c r="V100" i="1" s="1"/>
  <c r="W80" i="1"/>
  <c r="W100" i="1" s="1"/>
  <c r="X80" i="1"/>
  <c r="X100" i="1" s="1"/>
  <c r="Y80" i="1"/>
  <c r="Y100" i="1" s="1"/>
  <c r="J80" i="1"/>
  <c r="J100" i="1" s="1"/>
  <c r="J25" i="1"/>
  <c r="K28" i="1"/>
  <c r="L28" i="1"/>
  <c r="M28" i="1"/>
  <c r="N28" i="1"/>
  <c r="O28" i="1"/>
  <c r="P28" i="1"/>
  <c r="Q28" i="1"/>
  <c r="R28" i="1"/>
  <c r="S29" i="1"/>
  <c r="T29" i="1"/>
  <c r="U29" i="1"/>
  <c r="V29" i="1"/>
  <c r="W29" i="1"/>
  <c r="X29" i="1"/>
  <c r="Y29" i="1"/>
  <c r="J28" i="1"/>
  <c r="K22" i="1"/>
  <c r="L22" i="1"/>
  <c r="M22" i="1"/>
  <c r="N22" i="1"/>
  <c r="O22" i="1"/>
  <c r="P22" i="1"/>
  <c r="Q22" i="1"/>
  <c r="R22" i="1"/>
  <c r="S22" i="1"/>
  <c r="T22" i="1"/>
  <c r="U22" i="1"/>
  <c r="V22" i="1"/>
  <c r="W22" i="1"/>
  <c r="X22" i="1"/>
  <c r="Y22" i="1"/>
  <c r="K25" i="1"/>
  <c r="L25" i="1"/>
  <c r="M25" i="1"/>
  <c r="N25" i="1"/>
  <c r="O25" i="1"/>
  <c r="P25" i="1"/>
  <c r="Q25" i="1"/>
  <c r="R25" i="1"/>
  <c r="S25" i="1"/>
  <c r="T25" i="1"/>
  <c r="U25" i="1"/>
  <c r="V25" i="1"/>
  <c r="W25" i="1"/>
  <c r="X25" i="1"/>
  <c r="Y25" i="1"/>
  <c r="K26" i="1"/>
  <c r="L26" i="1"/>
  <c r="M26" i="1"/>
  <c r="N26" i="1"/>
  <c r="O26" i="1"/>
  <c r="P26" i="1"/>
  <c r="Q26" i="1"/>
  <c r="R26" i="1"/>
  <c r="S26" i="1"/>
  <c r="T26" i="1"/>
  <c r="U26" i="1"/>
  <c r="V26" i="1"/>
  <c r="W26" i="1"/>
  <c r="X26" i="1"/>
  <c r="Y26" i="1"/>
  <c r="L27" i="1"/>
  <c r="M27" i="1"/>
  <c r="O27" i="1"/>
  <c r="P27" i="1"/>
  <c r="Q27" i="1"/>
  <c r="R27" i="1"/>
  <c r="S27" i="1"/>
  <c r="T27" i="1"/>
  <c r="U27" i="1"/>
  <c r="V27" i="1"/>
  <c r="W27" i="1"/>
  <c r="X27" i="1"/>
  <c r="J26" i="1"/>
  <c r="K35" i="1"/>
  <c r="L35" i="1"/>
  <c r="M35" i="1"/>
  <c r="N35" i="1"/>
  <c r="O35" i="1"/>
  <c r="P35" i="1"/>
  <c r="Q35" i="1"/>
  <c r="R35" i="1"/>
  <c r="S35" i="1"/>
  <c r="T35" i="1"/>
  <c r="U35" i="1"/>
  <c r="V35" i="1"/>
  <c r="W35" i="1"/>
  <c r="X35" i="1"/>
  <c r="Y35" i="1"/>
  <c r="K33" i="1"/>
  <c r="L33" i="1"/>
  <c r="M33" i="1"/>
  <c r="N33" i="1"/>
  <c r="O33" i="1"/>
  <c r="P33" i="1"/>
  <c r="Q33" i="1"/>
  <c r="R34" i="1"/>
  <c r="S33" i="1"/>
  <c r="T33" i="1"/>
  <c r="U34" i="1"/>
  <c r="V34" i="1"/>
  <c r="W34" i="1"/>
  <c r="X34" i="1"/>
  <c r="Y34" i="1"/>
  <c r="J33" i="1"/>
  <c r="Y127" i="1"/>
  <c r="X127" i="1"/>
  <c r="W127" i="1"/>
  <c r="V127" i="1"/>
  <c r="U127" i="1"/>
  <c r="T127" i="1"/>
  <c r="S127" i="1"/>
  <c r="R127" i="1"/>
  <c r="Q127" i="1"/>
  <c r="P127" i="1"/>
  <c r="O127" i="1"/>
  <c r="N127" i="1"/>
  <c r="M127" i="1"/>
  <c r="L127" i="1"/>
  <c r="K127" i="1"/>
  <c r="J127" i="1"/>
  <c r="Y126" i="1"/>
  <c r="X126" i="1"/>
  <c r="W126" i="1"/>
  <c r="V126" i="1"/>
  <c r="U126" i="1"/>
  <c r="T126" i="1"/>
  <c r="S126" i="1"/>
  <c r="R126" i="1"/>
  <c r="Q126" i="1"/>
  <c r="P126" i="1"/>
  <c r="O126" i="1"/>
  <c r="N126" i="1"/>
  <c r="M126" i="1"/>
  <c r="L126" i="1"/>
  <c r="K126" i="1"/>
  <c r="J126" i="1"/>
  <c r="J35" i="1"/>
  <c r="Y95" i="1"/>
  <c r="X95" i="1"/>
  <c r="W95" i="1"/>
  <c r="V95" i="1"/>
  <c r="U95" i="1"/>
  <c r="T95" i="1"/>
  <c r="S95" i="1"/>
  <c r="R95" i="1"/>
  <c r="Q95" i="1"/>
  <c r="P95" i="1"/>
  <c r="O95" i="1"/>
  <c r="N95" i="1"/>
  <c r="M95" i="1"/>
  <c r="L95" i="1"/>
  <c r="K95" i="1"/>
  <c r="J95" i="1"/>
  <c r="T100" i="1"/>
  <c r="P23" i="1" l="1"/>
  <c r="P24" i="1"/>
  <c r="O23" i="1"/>
  <c r="O24" i="1"/>
  <c r="Q23" i="1"/>
  <c r="Q24" i="1"/>
  <c r="L23" i="1"/>
  <c r="L24" i="1"/>
  <c r="S24" i="1"/>
  <c r="S23" i="1"/>
  <c r="R24" i="1"/>
  <c r="R23" i="1"/>
  <c r="K23" i="1"/>
  <c r="K24" i="1"/>
  <c r="W24" i="1"/>
  <c r="W23" i="1"/>
  <c r="X24" i="1"/>
  <c r="X23" i="1"/>
  <c r="V24" i="1"/>
  <c r="V23" i="1"/>
  <c r="J24" i="1"/>
  <c r="J23" i="1"/>
  <c r="N23" i="1"/>
  <c r="N24" i="1"/>
  <c r="M23" i="1"/>
  <c r="M24" i="1"/>
  <c r="Y24" i="1"/>
  <c r="Y23" i="1"/>
  <c r="U24" i="1"/>
  <c r="U23" i="1"/>
  <c r="T24" i="1"/>
  <c r="T23" i="1"/>
  <c r="Y33" i="1"/>
  <c r="X33" i="1"/>
  <c r="V33" i="1"/>
  <c r="W33" i="1"/>
  <c r="J34" i="1"/>
  <c r="S34" i="1"/>
  <c r="T34" i="1"/>
  <c r="U33" i="1"/>
  <c r="U28" i="1"/>
  <c r="S28" i="1"/>
  <c r="T28" i="1"/>
  <c r="K29" i="1"/>
  <c r="L29" i="1"/>
  <c r="M29" i="1"/>
  <c r="Y28" i="1"/>
  <c r="R33" i="1"/>
  <c r="V28" i="1"/>
  <c r="W28" i="1"/>
  <c r="X28" i="1"/>
  <c r="J29" i="1"/>
  <c r="K34" i="1"/>
  <c r="L34" i="1"/>
  <c r="M34" i="1"/>
  <c r="N29" i="1"/>
  <c r="N34" i="1"/>
  <c r="O29" i="1"/>
  <c r="O34" i="1"/>
  <c r="P29" i="1"/>
  <c r="P34" i="1"/>
  <c r="Q29" i="1"/>
  <c r="Q34" i="1"/>
  <c r="R29" i="1"/>
  <c r="I33" i="1" l="1"/>
  <c r="I28" i="1"/>
  <c r="I23" i="1"/>
  <c r="B9" i="2" l="1"/>
  <c r="F16" i="7" l="1"/>
  <c r="G16" i="7" s="1"/>
  <c r="H9" i="18"/>
  <c r="K9" i="18" s="1"/>
  <c r="F21" i="7"/>
  <c r="G21" i="7" s="1"/>
  <c r="K14" i="18"/>
  <c r="F19" i="7"/>
  <c r="G19" i="7" s="1"/>
  <c r="H12" i="18"/>
  <c r="K12" i="18" s="1"/>
  <c r="F18" i="7"/>
  <c r="G18" i="7" s="1"/>
  <c r="H11" i="18"/>
  <c r="K11" i="18" s="1"/>
  <c r="F17" i="7"/>
  <c r="G17" i="7" s="1"/>
  <c r="H10" i="18"/>
  <c r="K10" i="18" s="1"/>
  <c r="F15" i="7"/>
  <c r="G15" i="7" s="1"/>
  <c r="H8" i="18"/>
  <c r="K8" i="18" s="1"/>
  <c r="F14" i="7"/>
  <c r="G14" i="7" s="1"/>
  <c r="H7" i="18"/>
  <c r="K7" i="18" s="1"/>
  <c r="F13" i="7"/>
  <c r="G13" i="7" s="1"/>
  <c r="H6" i="18"/>
  <c r="K6" i="18" s="1"/>
  <c r="F12" i="7"/>
  <c r="G12" i="7" s="1"/>
  <c r="H5" i="18"/>
  <c r="K5" i="18" s="1"/>
  <c r="F10" i="7"/>
  <c r="H3" i="18"/>
  <c r="K3" i="18" s="1"/>
  <c r="F20" i="7"/>
  <c r="G20" i="7" s="1"/>
  <c r="C11" i="9"/>
  <c r="F11" i="7"/>
  <c r="G11" i="7" s="1"/>
  <c r="H4" i="18"/>
  <c r="K4" i="18" s="1"/>
  <c r="B18" i="29" l="1"/>
  <c r="C25" i="29"/>
  <c r="C26" i="29" s="1"/>
  <c r="G10" i="7"/>
  <c r="G11" i="9"/>
  <c r="C15" i="9"/>
  <c r="G15" i="9" s="1"/>
  <c r="C13" i="9"/>
  <c r="G13" i="9" s="1"/>
  <c r="G17" i="9" s="1"/>
  <c r="B3" i="9" s="1"/>
  <c r="G16" i="9" l="1"/>
  <c r="F28" i="7" l="1"/>
  <c r="G28" i="7" s="1"/>
  <c r="K21" i="18"/>
  <c r="F45" i="7"/>
  <c r="G45" i="7" s="1"/>
  <c r="K38" i="18"/>
  <c r="F46" i="7"/>
  <c r="G46" i="7" s="1"/>
  <c r="H39" i="18"/>
  <c r="K39" i="18" s="1"/>
  <c r="F35" i="7"/>
  <c r="G35" i="7" s="1"/>
  <c r="K28" i="18"/>
  <c r="F34" i="7"/>
  <c r="G34" i="7" s="1"/>
  <c r="K27" i="18"/>
  <c r="F33" i="7"/>
  <c r="G33" i="7" s="1"/>
  <c r="K26" i="18"/>
  <c r="F32" i="7"/>
  <c r="G32" i="7" s="1"/>
  <c r="K25" i="18"/>
  <c r="F31" i="7"/>
  <c r="G31" i="7" s="1"/>
  <c r="K24" i="18"/>
  <c r="F30" i="7"/>
  <c r="G30" i="7" s="1"/>
  <c r="H23" i="18"/>
  <c r="K23" i="18" s="1"/>
  <c r="F29" i="7"/>
  <c r="G29" i="7" s="1"/>
  <c r="H22" i="18"/>
  <c r="K22" i="18" s="1"/>
  <c r="F27" i="7"/>
  <c r="G27" i="7" s="1"/>
  <c r="K20" i="18"/>
  <c r="F26" i="7"/>
  <c r="G26" i="7" s="1"/>
  <c r="K19" i="18"/>
  <c r="F25" i="7"/>
  <c r="G25" i="7" s="1"/>
  <c r="K18" i="18"/>
  <c r="F24" i="7"/>
  <c r="G24" i="7" s="1"/>
  <c r="K17" i="18"/>
  <c r="F41" i="7"/>
  <c r="G41" i="7" s="1"/>
  <c r="K34" i="18"/>
  <c r="F23" i="7"/>
  <c r="G23" i="7" s="1"/>
  <c r="K16" i="18"/>
  <c r="F42" i="7"/>
  <c r="G42" i="7" s="1"/>
  <c r="H35" i="18"/>
  <c r="K35" i="18" s="1"/>
  <c r="F22" i="7"/>
  <c r="K15" i="18"/>
  <c r="F43" i="7"/>
  <c r="G43" i="7" s="1"/>
  <c r="H36" i="18"/>
  <c r="K36" i="18" s="1"/>
  <c r="A3" i="9"/>
  <c r="C3" i="9" s="1"/>
  <c r="G18" i="9"/>
  <c r="F44" i="7"/>
  <c r="G44" i="7" s="1"/>
  <c r="K37" i="18"/>
  <c r="G22" i="7" l="1"/>
  <c r="F36" i="7" l="1"/>
  <c r="K29" i="18"/>
  <c r="F40" i="7"/>
  <c r="G40" i="7" s="1"/>
  <c r="K33" i="18"/>
  <c r="F39" i="7"/>
  <c r="K32" i="18"/>
  <c r="F38" i="7"/>
  <c r="G38" i="7" s="1"/>
  <c r="K31" i="18"/>
  <c r="F37" i="7"/>
  <c r="G37" i="7" s="1"/>
  <c r="K30" i="18"/>
  <c r="H5" i="21"/>
  <c r="H6" i="21"/>
  <c r="H7" i="21"/>
  <c r="H8" i="21"/>
  <c r="H9" i="21"/>
  <c r="H10" i="21"/>
  <c r="H11" i="21"/>
  <c r="H12" i="21"/>
  <c r="H13" i="21"/>
  <c r="H14" i="21"/>
  <c r="H15" i="21"/>
  <c r="H16" i="21"/>
  <c r="H17" i="21"/>
  <c r="H18" i="21"/>
  <c r="H19" i="21"/>
  <c r="H4" i="21"/>
  <c r="G36" i="7" l="1"/>
  <c r="B51" i="7"/>
  <c r="G39" i="7"/>
  <c r="C51" i="7" l="1"/>
  <c r="B52" i="7"/>
  <c r="F52" i="7" s="1"/>
  <c r="K13" i="18"/>
  <c r="C52" i="7" l="1"/>
  <c r="D52" i="7" s="1"/>
  <c r="E52" i="7" s="1"/>
  <c r="G52" i="7" s="1"/>
  <c r="E4" i="7" s="1"/>
  <c r="D51" i="7"/>
  <c r="E51" i="7"/>
  <c r="F51" i="7"/>
  <c r="G51" i="7" s="1"/>
  <c r="D4" i="7"/>
  <c r="D3" i="7" s="1"/>
  <c r="G54" i="7" l="1"/>
  <c r="I54" i="7" s="1"/>
  <c r="I51" i="7"/>
  <c r="E3" i="7" l="1"/>
</calcChain>
</file>

<file path=xl/sharedStrings.xml><?xml version="1.0" encoding="utf-8"?>
<sst xmlns="http://schemas.openxmlformats.org/spreadsheetml/2006/main" count="1568" uniqueCount="700">
  <si>
    <t>Data Sources</t>
  </si>
  <si>
    <t>Dataset</t>
  </si>
  <si>
    <t>Dodge 2023</t>
  </si>
  <si>
    <t>CEUS 2022</t>
  </si>
  <si>
    <t>CBECS 2018</t>
  </si>
  <si>
    <t>ComStock 2023</t>
  </si>
  <si>
    <t>Prototype</t>
  </si>
  <si>
    <r>
      <t>CEC prototype</t>
    </r>
    <r>
      <rPr>
        <sz val="10"/>
        <rFont val="Arial"/>
        <family val="2"/>
      </rPr>
      <t xml:space="preserve"> (CBECC 2022.3.1)</t>
    </r>
  </si>
  <si>
    <t>https://bees.noresco.com/software2022.html</t>
  </si>
  <si>
    <t>PNNL prototype (90.1-2022)</t>
  </si>
  <si>
    <t>https://www.energycodes.gov/prototype-building-models#Commercial</t>
  </si>
  <si>
    <t xml:space="preserve"> </t>
  </si>
  <si>
    <t>DEERprototype (June 2023)</t>
  </si>
  <si>
    <t>https://github.com/sound-data/DEER-Prototypes-EnergyPlus</t>
  </si>
  <si>
    <t>Codes</t>
  </si>
  <si>
    <t>Title 24, part 6 (1984, 2001, 2007, 2013, 2022, 2025)</t>
  </si>
  <si>
    <t>ASHRAE 90.1 (2022)</t>
  </si>
  <si>
    <t>CFR Title 10 (2010, 2024)</t>
  </si>
  <si>
    <t>Others</t>
  </si>
  <si>
    <t xml:space="preserve">2022 Reduced infiltration CASE report </t>
  </si>
  <si>
    <t>https://title24stakeholders.com/wp-content/uploads/2020/10/2022-T24-Final-CASE-Report_Reduce-Infiltration.pdf</t>
  </si>
  <si>
    <t>2019 Outdoor Lighting CASE Report</t>
  </si>
  <si>
    <t>https://title24stakeholders.com/wp-content/uploads/2016/10/T24-2019-CASE-Study-Results-Report-Outdoor-Sources_Final_with-Attachments.pdf</t>
  </si>
  <si>
    <t>PNNL 20405, 2010</t>
  </si>
  <si>
    <t>https://www.pnnl.gov/main/publications/external/technical_reports/PNNL-20405.pdf</t>
  </si>
  <si>
    <t>2024 CASE Report: A Comprehensive, High Efficiency Solution for Water Heating in Multifamily Buildings</t>
  </si>
  <si>
    <t>https://www.energy.ca.gov/sites/default/files/2024-06/CEC-500-2024-054.pdf</t>
  </si>
  <si>
    <t>2022 CASE Report: Multifamily Domestic Hot Water Distribution</t>
  </si>
  <si>
    <t>https://title24stakeholders.com/wp-content/uploads/2020/09/2022_T24_Final-CASE-Report-MF-DHW-Dist.pdf</t>
  </si>
  <si>
    <t>Construction Rate</t>
  </si>
  <si>
    <t>Notes</t>
  </si>
  <si>
    <t xml:space="preserve">ApartmentMidRise </t>
  </si>
  <si>
    <t>Characteristic</t>
  </si>
  <si>
    <t>Value</t>
  </si>
  <si>
    <t>Building Type</t>
  </si>
  <si>
    <t>Mid-Rise Apartment</t>
  </si>
  <si>
    <t>Building Category</t>
  </si>
  <si>
    <t>Nonresidential</t>
  </si>
  <si>
    <t>Vintages</t>
  </si>
  <si>
    <t>4 Vintages: Pre-1978 , 1978-1997 ,1998-2007 , 2008-2018
New Construction (2019+)</t>
  </si>
  <si>
    <t>Based on the vintage bin analysis</t>
  </si>
  <si>
    <t>NonRes-Vintage bins-Draft Report-30Nov2023-Final.docx</t>
  </si>
  <si>
    <t>Shape</t>
  </si>
  <si>
    <t>CEC Prototype model
TRC Multifamily Prototypes study (2019)</t>
  </si>
  <si>
    <t>Total Floor Area (ft2)</t>
  </si>
  <si>
    <t>Aspect Ratio</t>
  </si>
  <si>
    <t>Number of Floors</t>
  </si>
  <si>
    <t>5 above-ground floors plus one underground parking garage (180 ft x 155 ft)</t>
  </si>
  <si>
    <t>Roof type</t>
  </si>
  <si>
    <t>Flat roof</t>
  </si>
  <si>
    <t>WWR (above grade)</t>
  </si>
  <si>
    <t>South: 22.0%, East: 22.0%, North: 22.0%, West: 22.0%
Total 22.0%</t>
  </si>
  <si>
    <t>Window dimensions</t>
  </si>
  <si>
    <t>5 * 3</t>
  </si>
  <si>
    <t>Shading Geometry</t>
  </si>
  <si>
    <t>-</t>
  </si>
  <si>
    <t>Floor to floor height (feet)</t>
  </si>
  <si>
    <t>Residential: 10
Non-residential: 10
Parking: 15</t>
  </si>
  <si>
    <t>Floor to ceiling height (feet)</t>
  </si>
  <si>
    <t>Residential: 9
Non-residential: 10
Parking: 14</t>
  </si>
  <si>
    <t>Glazing sill height (feet)</t>
  </si>
  <si>
    <t>3.1 ft (in first floor), 2.95 ft. (in upper floors)</t>
  </si>
  <si>
    <t>Above grade wall area (ft²)</t>
  </si>
  <si>
    <t>Gross wall area  (ft²)</t>
  </si>
  <si>
    <t>Roof area  (ft²)</t>
  </si>
  <si>
    <t>Underground Gross Wall Area  (ft²)</t>
  </si>
  <si>
    <t>Space Type</t>
  </si>
  <si>
    <t>Space/Thermal Zone</t>
  </si>
  <si>
    <t>Res/NR</t>
  </si>
  <si>
    <t>Schedule Category</t>
  </si>
  <si>
    <t>No. of Dwelling Units</t>
  </si>
  <si>
    <t>Dwelling Unit Type</t>
  </si>
  <si>
    <t>Thermal Zone (HVAC Zone)</t>
  </si>
  <si>
    <t>Conditioned [Y/N]</t>
  </si>
  <si>
    <t>Area Fraction</t>
  </si>
  <si>
    <t>Area (ft²)</t>
  </si>
  <si>
    <t>Volume
 [ft³]</t>
  </si>
  <si>
    <t>Multipliers</t>
  </si>
  <si>
    <t xml:space="preserve">People </t>
  </si>
  <si>
    <t xml:space="preserve">People 
(Persons/1,000 ft²)
[T24, 2025,Table 120.1-A] </t>
  </si>
  <si>
    <t>Spaces and Zoning layout</t>
  </si>
  <si>
    <t>Convention, Conference, Multipurpose and Meeting Area</t>
  </si>
  <si>
    <t>F1 BUSINESS CENTER</t>
  </si>
  <si>
    <t>NR</t>
  </si>
  <si>
    <t>ResidentialCommon</t>
  </si>
  <si>
    <t>NA</t>
  </si>
  <si>
    <t>AHU1</t>
  </si>
  <si>
    <t>Y</t>
  </si>
  <si>
    <t>Corridor Area</t>
  </si>
  <si>
    <t>F1 CORRIDOR</t>
  </si>
  <si>
    <t>AHU2</t>
  </si>
  <si>
    <t>Exercise/Fitness Center and Gymnasium Areas</t>
  </si>
  <si>
    <t>F1 FITNESS CENTER</t>
  </si>
  <si>
    <t>AHU3</t>
  </si>
  <si>
    <t>Office Area (&gt;250 square feet)</t>
  </si>
  <si>
    <t>F1 LEASING OFFICE</t>
  </si>
  <si>
    <t>AHU4</t>
  </si>
  <si>
    <t>Lobby, Main Entry</t>
  </si>
  <si>
    <t>F1 LOUNGE</t>
  </si>
  <si>
    <t>AHU5</t>
  </si>
  <si>
    <t>Electrical, Mechanical, Telephone Rooms</t>
  </si>
  <si>
    <t>F1 MECHANICAL ROOM</t>
  </si>
  <si>
    <t>AHU6</t>
  </si>
  <si>
    <t>Retail Sales Area (Retail Merchandise Sales)</t>
  </si>
  <si>
    <t>F1 RETAIL N-NW</t>
  </si>
  <si>
    <t>Retail</t>
  </si>
  <si>
    <t>AHU7</t>
  </si>
  <si>
    <t>F1 RETAIL NE</t>
  </si>
  <si>
    <t>AHU8</t>
  </si>
  <si>
    <t>F1 RETAIL SE</t>
  </si>
  <si>
    <t>AHU9</t>
  </si>
  <si>
    <t>F1 RETAIL SW</t>
  </si>
  <si>
    <t>AHU10</t>
  </si>
  <si>
    <t>High-Rise Residential Living Spaces</t>
  </si>
  <si>
    <t>F2-4 1-BED CORE EAST</t>
  </si>
  <si>
    <t>Res</t>
  </si>
  <si>
    <t>Residential</t>
  </si>
  <si>
    <t xml:space="preserve"> 1-Bed Type</t>
  </si>
  <si>
    <t>AHU11</t>
  </si>
  <si>
    <t>F2-4 1-BED CORE N</t>
  </si>
  <si>
    <t>AHU12</t>
  </si>
  <si>
    <t>F2-4 1-BED CORE WEST</t>
  </si>
  <si>
    <t>AHU13</t>
  </si>
  <si>
    <t>F2-4 1-BED NORTH</t>
  </si>
  <si>
    <t>AHU14</t>
  </si>
  <si>
    <t>F2-4 2-BED CORE NE-NW</t>
  </si>
  <si>
    <t xml:space="preserve"> 2-Bed Type</t>
  </si>
  <si>
    <t>AHU15</t>
  </si>
  <si>
    <t>F2-4 2-BED EAST</t>
  </si>
  <si>
    <t>AHU16</t>
  </si>
  <si>
    <t>F2-4 2-BED WEST</t>
  </si>
  <si>
    <t>AHU17</t>
  </si>
  <si>
    <t>F2-4 3-BED NE</t>
  </si>
  <si>
    <t xml:space="preserve"> 3-Bed Type</t>
  </si>
  <si>
    <t>AHU18</t>
  </si>
  <si>
    <t>F2-4 3-BED NW</t>
  </si>
  <si>
    <t>AHU19</t>
  </si>
  <si>
    <t>F2-4 CORRIDOR</t>
  </si>
  <si>
    <t>AHU20</t>
  </si>
  <si>
    <t xml:space="preserve">Laundry Area </t>
  </si>
  <si>
    <t>F2-4 LAUNDRY</t>
  </si>
  <si>
    <t>AHU21</t>
  </si>
  <si>
    <t>F2-4 STUDIO SE</t>
  </si>
  <si>
    <t>AHU22</t>
  </si>
  <si>
    <t>F2-4 STUDIO SW</t>
  </si>
  <si>
    <t>Studio Type</t>
  </si>
  <si>
    <t>AHU23</t>
  </si>
  <si>
    <t>F5 1-BED CORE EAST</t>
  </si>
  <si>
    <t>AHU24</t>
  </si>
  <si>
    <t>F5 1-BED CORE N</t>
  </si>
  <si>
    <t>AHU25</t>
  </si>
  <si>
    <t>F5 1-BED CORE WEST</t>
  </si>
  <si>
    <t>AHU26</t>
  </si>
  <si>
    <t>F5 1-BED NORTH</t>
  </si>
  <si>
    <t>AHU27</t>
  </si>
  <si>
    <t>F5 2-BED CORE NE-NW</t>
  </si>
  <si>
    <t>AHU28</t>
  </si>
  <si>
    <t>F5 2-BED EAST</t>
  </si>
  <si>
    <t>AHU29</t>
  </si>
  <si>
    <t>F5 2-BED WEST</t>
  </si>
  <si>
    <t>AHU30</t>
  </si>
  <si>
    <t>F5 3-BED NE</t>
  </si>
  <si>
    <t>AHU31</t>
  </si>
  <si>
    <t>F5 3-BED NW</t>
  </si>
  <si>
    <t>AHU32</t>
  </si>
  <si>
    <t>F5 CORRIDOR</t>
  </si>
  <si>
    <t>AHU33</t>
  </si>
  <si>
    <t>F5 LAUNDRY</t>
  </si>
  <si>
    <t>AHU34</t>
  </si>
  <si>
    <t>F5 STUDIO SE</t>
  </si>
  <si>
    <t>AHU35</t>
  </si>
  <si>
    <t>F5 STUDIO SW</t>
  </si>
  <si>
    <t>AHU36</t>
  </si>
  <si>
    <t>Parking Garage Area (Parking Zone and Ramps)</t>
  </si>
  <si>
    <t>PARKING GARAGE</t>
  </si>
  <si>
    <t>none</t>
  </si>
  <si>
    <t>N</t>
  </si>
  <si>
    <t>Total (11 Space Types)</t>
  </si>
  <si>
    <t>Total (37 Spaces)</t>
  </si>
  <si>
    <t>Total (37 Dwelling Units)</t>
  </si>
  <si>
    <t>Total (4 Dwelling Unit Types)</t>
  </si>
  <si>
    <t>Total (37 Thermal Zones)</t>
  </si>
  <si>
    <t xml:space="preserve"> Total (36 Conditioned Zones, 1 Unconditioned Zones)</t>
  </si>
  <si>
    <t>Background Data [To be deleted prior to publication]</t>
  </si>
  <si>
    <t>Zone Summary</t>
  </si>
  <si>
    <t>Area [ft2]</t>
  </si>
  <si>
    <t>Conditioned (Y/N)</t>
  </si>
  <si>
    <t>Part of Total Floor Area (Y/N)</t>
  </si>
  <si>
    <t>Volume [ft3]</t>
  </si>
  <si>
    <t>Above Ground Gross Wall Area [ft2]</t>
  </si>
  <si>
    <t>Underground Gross Wall Area [ft2]</t>
  </si>
  <si>
    <t>Window Glass Area [ft2]</t>
  </si>
  <si>
    <t>Opening Area [ft2]</t>
  </si>
  <si>
    <t>Lighting [Btu/h-ft2]</t>
  </si>
  <si>
    <t>People [ft2 per person]</t>
  </si>
  <si>
    <t>Plug and Process [Btu/h-ft2]</t>
  </si>
  <si>
    <t>THERMAL ZONE: F1 BUSINESS CENTER</t>
  </si>
  <si>
    <t>Yes</t>
  </si>
  <si>
    <t>THERMAL ZONE: F1 CORRIDOR</t>
  </si>
  <si>
    <t>THERMAL ZONE: F1 FITNESS CENTER</t>
  </si>
  <si>
    <t>THERMAL ZONE: F1 LEASING OFFICE</t>
  </si>
  <si>
    <t>THERMAL ZONE: F1 LOUNGE</t>
  </si>
  <si>
    <t>THERMAL ZONE: F1 MECHANICAL ROOM</t>
  </si>
  <si>
    <t>THERMAL ZONE: F1 RETAIL N-NW</t>
  </si>
  <si>
    <t>THERMAL ZONE: F1 RETAIL NE</t>
  </si>
  <si>
    <t>THERMAL ZONE: F1 RETAIL SE</t>
  </si>
  <si>
    <t>THERMAL ZONE: F1 RETAIL SW</t>
  </si>
  <si>
    <t>THERMAL ZONE: F2-4 1-BED CORE EAST</t>
  </si>
  <si>
    <t>THERMAL ZONE: F2-4 1-BED CORE N</t>
  </si>
  <si>
    <t>THERMAL ZONE: F2-4 1-BED CORE WEST</t>
  </si>
  <si>
    <t>THERMAL ZONE: F2-4 1-BED NORTH</t>
  </si>
  <si>
    <t>THERMAL ZONE: F2-4 2-BED CORE NE-NW</t>
  </si>
  <si>
    <t>THERMAL ZONE: F2-4 2-BED EAST</t>
  </si>
  <si>
    <t>THERMAL ZONE: F2-4 2-BED WEST</t>
  </si>
  <si>
    <t>THERMAL ZONE: F2-4 3-BED NE</t>
  </si>
  <si>
    <t>THERMAL ZONE: F2-4 3-BED NW</t>
  </si>
  <si>
    <t>THERMAL ZONE: F2-4 CORRIDOR</t>
  </si>
  <si>
    <t>THERMAL ZONE: F2-4 LAUNDRY</t>
  </si>
  <si>
    <t>THERMAL ZONE: F2-4 STUDIO SE</t>
  </si>
  <si>
    <t>THERMAL ZONE: F2-4 STUDIO SW</t>
  </si>
  <si>
    <t>THERMAL ZONE: F5 1-BED CORE EAST</t>
  </si>
  <si>
    <t>THERMAL ZONE: F5 1-BED CORE N</t>
  </si>
  <si>
    <t>THERMAL ZONE: F5 1-BED CORE WEST</t>
  </si>
  <si>
    <t>THERMAL ZONE: F5 1-BED NORTH</t>
  </si>
  <si>
    <t>THERMAL ZONE: F5 2-BED CORE NE-NW</t>
  </si>
  <si>
    <t>THERMAL ZONE: F5 2-BED EAST</t>
  </si>
  <si>
    <t>THERMAL ZONE: F5 2-BED WEST</t>
  </si>
  <si>
    <t>THERMAL ZONE: F5 3-BED NE</t>
  </si>
  <si>
    <t>THERMAL ZONE: F5 3-BED NW</t>
  </si>
  <si>
    <t>THERMAL ZONE: F5 CORRIDOR</t>
  </si>
  <si>
    <t>THERMAL ZONE: F5 LAUNDRY</t>
  </si>
  <si>
    <t>THERMAL ZONE: F5 STUDIO SE</t>
  </si>
  <si>
    <t>THERMAL ZONE: F5 STUDIO SW</t>
  </si>
  <si>
    <t>THERMAL ZONE: PARKING GARAGE</t>
  </si>
  <si>
    <t>Total</t>
  </si>
  <si>
    <t>Conditioned Total</t>
  </si>
  <si>
    <t>Unconditioned Total</t>
  </si>
  <si>
    <t>Not Part of Total</t>
  </si>
  <si>
    <t>AirLoopHVAC</t>
  </si>
  <si>
    <t>Sum of Air Terminal Maximum Heating Flow Rates [ft3/min]</t>
  </si>
  <si>
    <t>Sum of Air Terminal Minimum Heating Flow Rates [ft3/min]</t>
  </si>
  <si>
    <t>Sum of Air Terminal Maximum Flow Rates [ft3/min]</t>
  </si>
  <si>
    <t>Adjusted Heating Design Air Flow Rate [ft3/min]</t>
  </si>
  <si>
    <t>Adjusted Cooling Design Air Flow Rate [ft3/min]</t>
  </si>
  <si>
    <t>Adjusted Main Design Air Flow Rate [ft3/min]</t>
  </si>
  <si>
    <t>User Heating Air Flow Ratio []</t>
  </si>
  <si>
    <t>Calculated Heating Air Flow Ratio []</t>
  </si>
  <si>
    <t>BUSINESS CENTER SZHP</t>
  </si>
  <si>
    <t>F1 CORRIDOR SZHP</t>
  </si>
  <si>
    <t>F1 MECHANICAL SZHP</t>
  </si>
  <si>
    <t>F2-4 CORRIDOR SZHP</t>
  </si>
  <si>
    <t>F2-4 LAUNDRY SZHP</t>
  </si>
  <si>
    <t>F5 CORRIDOR SZHP</t>
  </si>
  <si>
    <t>F5 LAUNDRY SZHP</t>
  </si>
  <si>
    <t>FITNESS CENTER SZHP</t>
  </si>
  <si>
    <t>LEASING OFFICE SZHP</t>
  </si>
  <si>
    <t>LOUNGE SZHP</t>
  </si>
  <si>
    <t>PROPVENTONLYAIRSYS</t>
  </si>
  <si>
    <t>PROPVENTONLYAIRSYS-10</t>
  </si>
  <si>
    <t>PROPVENTONLYAIRSYS-11</t>
  </si>
  <si>
    <t>PROPVENTONLYAIRSYS-12</t>
  </si>
  <si>
    <t>PROPVENTONLYAIRSYS-13</t>
  </si>
  <si>
    <t>PROPVENTONLYAIRSYS-14</t>
  </si>
  <si>
    <t>PROPVENTONLYAIRSYS-15</t>
  </si>
  <si>
    <t>PROPVENTONLYAIRSYS-16</t>
  </si>
  <si>
    <t>PROPVENTONLYAIRSYS-17</t>
  </si>
  <si>
    <t>PROPVENTONLYAIRSYS-18</t>
  </si>
  <si>
    <t>PROPVENTONLYAIRSYS-19</t>
  </si>
  <si>
    <t>PROPVENTONLYAIRSYS-2</t>
  </si>
  <si>
    <t>PROPVENTONLYAIRSYS-20</t>
  </si>
  <si>
    <t>PROPVENTONLYAIRSYS-21</t>
  </si>
  <si>
    <t>PROPVENTONLYAIRSYS-22</t>
  </si>
  <si>
    <t>PROPVENTONLYAIRSYS-3</t>
  </si>
  <si>
    <t>PROPVENTONLYAIRSYS-4</t>
  </si>
  <si>
    <t>PROPVENTONLYAIRSYS-5</t>
  </si>
  <si>
    <t>PROPVENTONLYAIRSYS-6</t>
  </si>
  <si>
    <t>PROPVENTONLYAIRSYS-7</t>
  </si>
  <si>
    <t>PROPVENTONLYAIRSYS-8</t>
  </si>
  <si>
    <t>PROPVENTONLYAIRSYS-9</t>
  </si>
  <si>
    <t>RETAIL N-NW SZHP</t>
  </si>
  <si>
    <t>RETAIL NE OUTER SZHP</t>
  </si>
  <si>
    <t>RETAIL SE CORE SZHP</t>
  </si>
  <si>
    <t>RETAIL SW OUTER SZHP</t>
  </si>
  <si>
    <t>Element</t>
  </si>
  <si>
    <t xml:space="preserve"> Assembly Type</t>
  </si>
  <si>
    <t>Construction</t>
  </si>
  <si>
    <t>Thermal Properties</t>
  </si>
  <si>
    <t>Vintage</t>
  </si>
  <si>
    <t>Selected T24</t>
  </si>
  <si>
    <t>Note</t>
  </si>
  <si>
    <t>CZ1</t>
  </si>
  <si>
    <t>CZ2</t>
  </si>
  <si>
    <t>CZ3</t>
  </si>
  <si>
    <t>CZ4</t>
  </si>
  <si>
    <t>CZ5</t>
  </si>
  <si>
    <t>CZ6</t>
  </si>
  <si>
    <t>CZ7</t>
  </si>
  <si>
    <t>CZ8</t>
  </si>
  <si>
    <t>CZ9</t>
  </si>
  <si>
    <t>CZ10</t>
  </si>
  <si>
    <t>CZ11</t>
  </si>
  <si>
    <t>CZ12</t>
  </si>
  <si>
    <t>CZ13</t>
  </si>
  <si>
    <t>CZ14</t>
  </si>
  <si>
    <t>CZ15</t>
  </si>
  <si>
    <t>CZ16</t>
  </si>
  <si>
    <t>External Wall (F1)</t>
  </si>
  <si>
    <t>ExtWall_MassLight_Nonres</t>
  </si>
  <si>
    <t>8-in cast-in-place concrete wall + insulation + air/water barrier +  exterior cladding + gypsum board</t>
  </si>
  <si>
    <t>U-factor IP</t>
  </si>
  <si>
    <t>Pre 1978</t>
  </si>
  <si>
    <t>N/A</t>
  </si>
  <si>
    <t>1978-1997</t>
  </si>
  <si>
    <t>1998-2007</t>
  </si>
  <si>
    <t>TABLE 1-I</t>
  </si>
  <si>
    <t>2008-2018</t>
  </si>
  <si>
    <t>TABLE 140.3-C</t>
  </si>
  <si>
    <t>2019+</t>
  </si>
  <si>
    <t xml:space="preserve">External Wall </t>
  </si>
  <si>
    <t>ExtWall_WoodFramed_Res</t>
  </si>
  <si>
    <t>Wood-frame walls + insulation + Gypsum board</t>
  </si>
  <si>
    <t>ASHRAE 90.1 Table A3.4.3.1, 3.5", R-0</t>
  </si>
  <si>
    <t>Title 24 1984 Table 2-53 BB, wall density less than 25</t>
  </si>
  <si>
    <t>TABLE 1-H</t>
  </si>
  <si>
    <t>TABLE 140.3-B</t>
  </si>
  <si>
    <t>TABLE 170.2-A ENVELOPE COMPONENT PACKAGE – Multifamily Standard Building Design
Assuming  - &gt;1hr fire rating</t>
  </si>
  <si>
    <t>Roof</t>
  </si>
  <si>
    <t>FlatRoof_WoodFramedAndOther_Res</t>
  </si>
  <si>
    <t>Roof membrane or shingles + roof insulation + wood decking/sheathing + wood framing</t>
  </si>
  <si>
    <t>Considering 30 years for roof/ insulation replacement.</t>
  </si>
  <si>
    <t>TABLE 170.2-A ENVELOPE COMPONENT PACKAGE – Multifamily Standard Building Design</t>
  </si>
  <si>
    <t>Windows_ Dwelling Units</t>
  </si>
  <si>
    <t>FixedAndOperableWindow_Res</t>
  </si>
  <si>
    <t xml:space="preserve">CBECS 2018 shows that ~58% of Large Hotels that were built before 2000 are single pane </t>
  </si>
  <si>
    <t>U factor</t>
  </si>
  <si>
    <t>ASHRAE Handbook of Fundamentals for single pane &amp; T24, 2013  for double pane (58%-42%)</t>
  </si>
  <si>
    <t>Double pane</t>
  </si>
  <si>
    <t xml:space="preserve"> Table 1-I</t>
  </si>
  <si>
    <t xml:space="preserve">Table 140.3-C  </t>
  </si>
  <si>
    <t>TABLE 170.2-A (High rise  residential  in multifamily section)</t>
  </si>
  <si>
    <t>SHGC</t>
  </si>
  <si>
    <t xml:space="preserve"> TABLE 1-I (based on non north with WWR 30-40%)</t>
  </si>
  <si>
    <t xml:space="preserve">Table 140.3-C </t>
  </si>
  <si>
    <t>TABLE 170.2-A (High rise  residential  in multifamily section)
Table 110.6-B: Climate zones 1, 3, 5 and 16</t>
  </si>
  <si>
    <t>Windows_ Nonres (F1)</t>
  </si>
  <si>
    <t>FixedWindow_NonRes</t>
  </si>
  <si>
    <t>Table1-H</t>
  </si>
  <si>
    <t xml:space="preserve">Table 140.3-B </t>
  </si>
  <si>
    <t>Table 140.3-B</t>
  </si>
  <si>
    <t>Table 1-H (based on non north with WWR 30-40% )</t>
  </si>
  <si>
    <t>Table 140.3-B  (100% fixed, 0% operable)</t>
  </si>
  <si>
    <t>* Based on PNNL scorecard assumption.</t>
  </si>
  <si>
    <t>Infiltration</t>
  </si>
  <si>
    <t>Source</t>
  </si>
  <si>
    <t>ACH50</t>
  </si>
  <si>
    <t>DOE reference buildings (pre/post 1980</t>
  </si>
  <si>
    <t>All</t>
  </si>
  <si>
    <t>2025 Nonresidential and Multifamily ACM
§6.6 / §6.6.1</t>
  </si>
  <si>
    <t>Multifamily infiltration is modeled differently compared to other nonresidential models. Specifically, according to 2025 Nonresidentail and Multifamily ACM, infilitration is modeled per ACH 50 metrics.</t>
  </si>
  <si>
    <t xml:space="preserve">Percentage of operable to fix windows </t>
  </si>
  <si>
    <t>Existing stock infiltration assumptions</t>
  </si>
  <si>
    <t>Perimeter</t>
  </si>
  <si>
    <t>ft</t>
  </si>
  <si>
    <t>Area</t>
  </si>
  <si>
    <t>ft2</t>
  </si>
  <si>
    <r>
      <t xml:space="preserve">Stories = </t>
    </r>
    <r>
      <rPr>
        <b/>
        <sz val="11"/>
        <color theme="1"/>
        <rFont val="Calibri"/>
        <family val="2"/>
        <scheme val="minor"/>
      </rPr>
      <t>5</t>
    </r>
    <r>
      <rPr>
        <sz val="11"/>
        <color theme="1"/>
        <rFont val="Calibri"/>
        <family val="2"/>
        <scheme val="minor"/>
      </rPr>
      <t xml:space="preserve"> → total height = </t>
    </r>
    <r>
      <rPr>
        <b/>
        <sz val="11"/>
        <color theme="1"/>
        <rFont val="Calibri"/>
        <family val="2"/>
        <scheme val="minor"/>
      </rPr>
      <t>50 ft</t>
    </r>
    <r>
      <rPr>
        <sz val="11"/>
        <color theme="1"/>
        <rFont val="Calibri"/>
        <family val="2"/>
        <scheme val="minor"/>
      </rPr>
      <t xml:space="preserve"> (10 ft/floor)</t>
    </r>
  </si>
  <si>
    <r>
      <t xml:space="preserve">Wall area = 846 × 50 = </t>
    </r>
    <r>
      <rPr>
        <b/>
        <sz val="11"/>
        <color theme="1"/>
        <rFont val="Calibri"/>
        <family val="2"/>
        <scheme val="minor"/>
      </rPr>
      <t>42,300 ft²</t>
    </r>
    <r>
      <rPr>
        <sz val="11"/>
        <color theme="1"/>
        <rFont val="Calibri"/>
        <family val="2"/>
        <scheme val="minor"/>
      </rPr>
      <t xml:space="preserve"> (= </t>
    </r>
    <r>
      <rPr>
        <b/>
        <sz val="11"/>
        <color theme="1"/>
        <rFont val="Calibri"/>
        <family val="2"/>
        <scheme val="minor"/>
      </rPr>
      <t>3,929.80 m²</t>
    </r>
    <r>
      <rPr>
        <sz val="11"/>
        <color theme="1"/>
        <rFont val="Calibri"/>
        <family val="2"/>
        <scheme val="minor"/>
      </rPr>
      <t>)</t>
    </r>
  </si>
  <si>
    <r>
      <t xml:space="preserve">Roof area = </t>
    </r>
    <r>
      <rPr>
        <b/>
        <sz val="11"/>
        <color theme="1"/>
        <rFont val="Calibri"/>
        <family val="2"/>
        <scheme val="minor"/>
      </rPr>
      <t>22,620 ft²</t>
    </r>
    <r>
      <rPr>
        <sz val="11"/>
        <color theme="1"/>
        <rFont val="Calibri"/>
        <family val="2"/>
        <scheme val="minor"/>
      </rPr>
      <t xml:space="preserve"> (= </t>
    </r>
    <r>
      <rPr>
        <b/>
        <sz val="11"/>
        <color theme="1"/>
        <rFont val="Calibri"/>
        <family val="2"/>
        <scheme val="minor"/>
      </rPr>
      <t>2,101.47 m²</t>
    </r>
    <r>
      <rPr>
        <sz val="11"/>
        <color theme="1"/>
        <rFont val="Calibri"/>
        <family val="2"/>
        <scheme val="minor"/>
      </rPr>
      <t>)</t>
    </r>
  </si>
  <si>
    <r>
      <t xml:space="preserve">Exterior area (walls + roof) = </t>
    </r>
    <r>
      <rPr>
        <b/>
        <sz val="11"/>
        <color theme="1"/>
        <rFont val="Calibri"/>
        <family val="2"/>
        <scheme val="minor"/>
      </rPr>
      <t>64,920 ft²</t>
    </r>
    <r>
      <rPr>
        <sz val="11"/>
        <color theme="1"/>
        <rFont val="Calibri"/>
        <family val="2"/>
        <scheme val="minor"/>
      </rPr>
      <t xml:space="preserve"> (= </t>
    </r>
    <r>
      <rPr>
        <b/>
        <sz val="11"/>
        <color theme="1"/>
        <rFont val="Calibri"/>
        <family val="2"/>
        <scheme val="minor"/>
      </rPr>
      <t>6,031.27 m²</t>
    </r>
    <r>
      <rPr>
        <sz val="11"/>
        <color theme="1"/>
        <rFont val="Calibri"/>
        <family val="2"/>
        <scheme val="minor"/>
      </rPr>
      <t>)</t>
    </r>
  </si>
  <si>
    <r>
      <t xml:space="preserve">Volume (with updated footprint): 22,620 × 50 = </t>
    </r>
    <r>
      <rPr>
        <b/>
        <sz val="11"/>
        <color theme="1"/>
        <rFont val="Calibri"/>
        <family val="2"/>
        <scheme val="minor"/>
      </rPr>
      <t>1,131,000 ft³</t>
    </r>
    <r>
      <rPr>
        <sz val="11"/>
        <color theme="1"/>
        <rFont val="Calibri"/>
        <family val="2"/>
        <scheme val="minor"/>
      </rPr>
      <t xml:space="preserve"> (= </t>
    </r>
    <r>
      <rPr>
        <b/>
        <sz val="11"/>
        <color theme="1"/>
        <rFont val="Calibri"/>
        <family val="2"/>
        <scheme val="minor"/>
      </rPr>
      <t>32,026.35 m³</t>
    </r>
    <r>
      <rPr>
        <sz val="11"/>
        <color theme="1"/>
        <rFont val="Calibri"/>
        <family val="2"/>
        <scheme val="minor"/>
      </rPr>
      <t>)</t>
    </r>
  </si>
  <si>
    <r>
      <rPr>
        <sz val="11"/>
        <color rgb="FF000000"/>
        <rFont val="Calibri"/>
        <family val="2"/>
        <scheme val="minor"/>
      </rPr>
      <t xml:space="preserve">Q=0.001133×6,031.27=6.833 m3/s (≈ </t>
    </r>
    <r>
      <rPr>
        <b/>
        <sz val="11"/>
        <color rgb="FF000000"/>
        <rFont val="Calibri"/>
        <family val="2"/>
        <scheme val="minor"/>
      </rPr>
      <t>14,479 cfm</t>
    </r>
    <r>
      <rPr>
        <sz val="11"/>
        <color rgb="FF000000"/>
        <rFont val="Calibri"/>
        <family val="2"/>
        <scheme val="minor"/>
      </rPr>
      <t>)</t>
    </r>
  </si>
  <si>
    <t>Reference: DOE Commercial Reference Building: Flow per Exterior Surface Area {m3/s-m2}</t>
  </si>
  <si>
    <t>ACH (natural/operational)</t>
  </si>
  <si>
    <t>ACH=Q×3600​/V</t>
  </si>
  <si>
    <r>
      <t>Walls + roof:</t>
    </r>
    <r>
      <rPr>
        <sz val="11"/>
        <color theme="1"/>
        <rFont val="Calibri"/>
        <family val="2"/>
        <scheme val="minor"/>
      </rPr>
      <t xml:space="preserve"> 0.768 h−1</t>
    </r>
  </si>
  <si>
    <t>ACH₅₀ (at 50 Pa)</t>
  </si>
  <si>
    <t>ACH50​=ACHnat​*(50/4​)^0.65</t>
  </si>
  <si>
    <t>3.97 h−1</t>
  </si>
  <si>
    <t>Windows_Dwelling Units</t>
  </si>
  <si>
    <t xml:space="preserve">Fixed Windows </t>
  </si>
  <si>
    <t>TABLE 1-I  (50% north with WWR 20-30% + 50% non north with WWR 30-40% )</t>
  </si>
  <si>
    <t>Windows_ Nonres</t>
  </si>
  <si>
    <t xml:space="preserve">Operable Windows </t>
  </si>
  <si>
    <t xml:space="preserve"> TABLE 1-I (50% north with WWR 20-30% + 50% non north with WWR 30-40%) </t>
  </si>
  <si>
    <t>TABLE 1-H (50% north with WWR 20-30% + 50% non north with WWR 30-40% )</t>
  </si>
  <si>
    <t>High-rise/Hotel</t>
  </si>
  <si>
    <t>Windows</t>
  </si>
  <si>
    <t>North</t>
  </si>
  <si>
    <t>20-30% WWR</t>
  </si>
  <si>
    <t>RSHGC</t>
  </si>
  <si>
    <t>Non_x0002_North</t>
  </si>
  <si>
    <t>30-40% WWR</t>
  </si>
  <si>
    <t>Nonres</t>
  </si>
  <si>
    <t xml:space="preserve">Guest room </t>
  </si>
  <si>
    <t>45% of north+10% of east and west + 45% of west</t>
  </si>
  <si>
    <t xml:space="preserve">Heating </t>
  </si>
  <si>
    <t>Cooling</t>
  </si>
  <si>
    <t>Air Distribution</t>
  </si>
  <si>
    <t xml:space="preserve">Existing  </t>
  </si>
  <si>
    <t>Residential Tenant and common</t>
  </si>
  <si>
    <t>SZAC (Furnace)</t>
  </si>
  <si>
    <t>SZAC (DX)</t>
  </si>
  <si>
    <t>CAV</t>
  </si>
  <si>
    <t>ResStock 2022 &amp; T24 (2008, 2013)</t>
  </si>
  <si>
    <t>Non-Residential Tenant (Retail)</t>
  </si>
  <si>
    <t>PVAV (Gas Boiler &amp; hot water reheat)</t>
  </si>
  <si>
    <t>PVAV (DX)</t>
  </si>
  <si>
    <t>VAV</t>
  </si>
  <si>
    <t>New Construction</t>
  </si>
  <si>
    <t>Residential Tenant  and common</t>
  </si>
  <si>
    <t>T24 2025</t>
  </si>
  <si>
    <t>*Based on NR ACM 2025 - Table 26</t>
  </si>
  <si>
    <t>Efficiency of HVAC system</t>
  </si>
  <si>
    <t>Upgrade/Installed year</t>
  </si>
  <si>
    <t>Efficiency 80% (78% AFUE)</t>
  </si>
  <si>
    <t>EER=9 (&lt;65,000 Btu/h)
RES SEER: 13</t>
  </si>
  <si>
    <t>T24, 2008 / 10 CFR Part 430, §430.32(c)(2)</t>
  </si>
  <si>
    <t>EER=9 (&lt;65,000 Btu/h)
RES: SEER 13 (&lt;65k)</t>
  </si>
  <si>
    <t>CFR Energy 2010:Title 10- Table 9</t>
  </si>
  <si>
    <t>RES:
HSPF2:7.5
For SZHPDF: Furnace efficiency: 80%</t>
  </si>
  <si>
    <t>SEER2: 14.3</t>
  </si>
  <si>
    <t>Title 20, 2023 Table E-6</t>
  </si>
  <si>
    <t xml:space="preserve">Non-Res:
For ≥65k and &lt;135k Btu/h: 11.0 EER and 14.1 IEER
</t>
  </si>
  <si>
    <t>11.0 EER, 14.1 IEER
Dual Fuel: 10.8 EER, 13.9 IEER</t>
  </si>
  <si>
    <t>Title 24, 2025 able 110.2 footnote a</t>
  </si>
  <si>
    <t>Fan power</t>
  </si>
  <si>
    <t>Approach</t>
  </si>
  <si>
    <t>System</t>
  </si>
  <si>
    <t>Total Static Pressure (TSP)
(in w.c.)
[PNNL 20405, 2010, Table 5.11]</t>
  </si>
  <si>
    <t>Fan Efficiency
[ACM 2025]</t>
  </si>
  <si>
    <t>Fan Motor and Drive Efficiency 
[ACM 2025, Table 14]</t>
  </si>
  <si>
    <t>W/cfm
[ACM 2025, Table 15]</t>
  </si>
  <si>
    <t>Data Source</t>
  </si>
  <si>
    <t>Existing</t>
  </si>
  <si>
    <t>PNNL TSP</t>
  </si>
  <si>
    <t>VAV System &gt;4,648 cfm</t>
  </si>
  <si>
    <t>The full-load efficiency of the motor serving the fan- will be determined based on ACM 2025, Table 14</t>
  </si>
  <si>
    <t xml:space="preserve"> ACM 2025, PNNL 2010 TSD</t>
  </si>
  <si>
    <t>SZAC/SZHP</t>
  </si>
  <si>
    <t>Break horse power (bhp)=(Supply cfm*TSP in w.c.)/(6356*Fan efficiency)</t>
  </si>
  <si>
    <t>Fan power (w/cfm) = bhp/motor and drive efficiency *746</t>
  </si>
  <si>
    <t>ACM 2025</t>
  </si>
  <si>
    <t>ACM 2025 - Table 14</t>
  </si>
  <si>
    <t>5,000 &lt;cfm; ≤ 10,000 cfm</t>
  </si>
  <si>
    <t>SZAC</t>
  </si>
  <si>
    <t>SZHP</t>
  </si>
  <si>
    <t>Setpoint</t>
  </si>
  <si>
    <t>School Heating Setpoint (F)</t>
  </si>
  <si>
    <t>T24 2025 - Appendix 5.4B</t>
  </si>
  <si>
    <t>School Heating Setback (F)</t>
  </si>
  <si>
    <t>School Cooling Setpoint (F)</t>
  </si>
  <si>
    <t>School Cooling Setback (F)</t>
  </si>
  <si>
    <t>Heating Setpoint (F)</t>
  </si>
  <si>
    <t>T24 2022 - Appendix 5.4B</t>
  </si>
  <si>
    <t>Heating Setback (F)</t>
  </si>
  <si>
    <t>Cooling Setpoint (F)</t>
  </si>
  <si>
    <t>Cooling Setback (F)</t>
  </si>
  <si>
    <t>Space Thermal Zone</t>
  </si>
  <si>
    <t>Number of People</t>
  </si>
  <si>
    <r>
      <t>Floor Area (ft</t>
    </r>
    <r>
      <rPr>
        <b/>
        <vertAlign val="superscript"/>
        <sz val="10"/>
        <color theme="1"/>
        <rFont val="Arial"/>
        <family val="2"/>
      </rPr>
      <t>2</t>
    </r>
    <r>
      <rPr>
        <b/>
        <sz val="10"/>
        <color theme="1"/>
        <rFont val="Arial"/>
        <family val="2"/>
      </rPr>
      <t>)</t>
    </r>
  </si>
  <si>
    <t>cfm/person
(T24, 2025, Equation 120.1-F and Table 120.1-A)</t>
  </si>
  <si>
    <t>cfm (whole-dwelling continuous mechanical ventilation rate)
Res: Equation 160.2-B</t>
  </si>
  <si>
    <t>cfm/ft²  
(T24, 2025, Equation 120.1-F and Table 120.1-A)</t>
  </si>
  <si>
    <t>Required Exhaust Rate-CFM/ft²-
 (T24,  2025, Table 120.1-B – Minimum Exhaust Rates)</t>
  </si>
  <si>
    <t>Total cfm 
Driven by People</t>
  </si>
  <si>
    <t>Total cfm 
Driven by Area</t>
  </si>
  <si>
    <t>Total cfm 
Driven by Exhaust</t>
  </si>
  <si>
    <t>Total cfm</t>
  </si>
  <si>
    <t>Balanced IAQ fan - only applies to new construction</t>
  </si>
  <si>
    <t>WH Type</t>
  </si>
  <si>
    <t xml:space="preserve"> Efficiency</t>
  </si>
  <si>
    <t>Tank volume (gal)</t>
  </si>
  <si>
    <t>Tank loss</t>
  </si>
  <si>
    <t>Gas</t>
  </si>
  <si>
    <t>2024 CASE Report: A Comprehensive, High Efficiency Solution for Water Heating in Multifamily Buildings
2022 CASE Report: Multifamily Domestic Hot Water Distribution
Engineering Judgment</t>
  </si>
  <si>
    <t>* Title 24 2025: §170.2(d)3: Gas Storage with recirculation and solar water heating system)</t>
  </si>
  <si>
    <t>Peak Hot Water Consumption</t>
  </si>
  <si>
    <t>Space</t>
  </si>
  <si>
    <t>Baseline WH Type 
[T24, 2022, Appendix 5.4A , sheet: "2022 SpaceFuncData-Input"]</t>
  </si>
  <si>
    <t>Total Area (ft²)</t>
  </si>
  <si>
    <t>Hot Water Usage Specification
(gal/hr per person)  
[T24, 2022, Appendix 5.4A , sheet: "2022 SpaceFuncData-Input"]</t>
  </si>
  <si>
    <t>Peak Hot Water Usage
(gal/hr)</t>
  </si>
  <si>
    <t>Peak Hot Water Usage
(gal/min)</t>
  </si>
  <si>
    <t xml:space="preserve">Water Heater Capacity, Tank Capacity, and Tank Loss </t>
  </si>
  <si>
    <t>Heat Output (BTU/hr)
[ACM, 2025, 5.9.2: Rated capacity section]</t>
  </si>
  <si>
    <t>WH Capacity (BTU/hr)
[ACM, 2025, 5.9.2: Rated capacity section]</t>
  </si>
  <si>
    <t>Required Energy Input (BTU/hr)</t>
  </si>
  <si>
    <t>Storage Volume (gal)</t>
  </si>
  <si>
    <t xml:space="preserve">Standby Loss </t>
  </si>
  <si>
    <t>Off/On Cycle Loss Coefficient to Ambient Temperature (Btu/h-F)</t>
  </si>
  <si>
    <t>Gas Storage WH</t>
  </si>
  <si>
    <t>Btu/h</t>
  </si>
  <si>
    <t>Design supply temperature (F)</t>
  </si>
  <si>
    <t>Ref: T24 2022 - Appendix 5.4B</t>
  </si>
  <si>
    <t>Standby Loss for Existing</t>
  </si>
  <si>
    <t>Cold Water supply temperature (F)</t>
  </si>
  <si>
    <t>Ref: ACM, 2025, 5.9.2: Rated capacity section</t>
  </si>
  <si>
    <t>WH system factor</t>
  </si>
  <si>
    <t>Reheat multiplier</t>
  </si>
  <si>
    <t xml:space="preserve">* The 0.40 multiplier is a storage sizing factor used to account for the fact that the water heater doesn't need to store the full peak hour demand—it can reheat water during that time. This factor assumes that the heater will recover part of the hot water used during the peak hour, so only 40% of the peak hour demand needs to be stored at any given moment. </t>
  </si>
  <si>
    <t>**For Gas Water Heater: UA(Btu/h-°F)​=Q˙​SL​ (Btu/h)/ΔT (∘F)​</t>
  </si>
  <si>
    <t>Ambient temp</t>
  </si>
  <si>
    <t>Delta T</t>
  </si>
  <si>
    <t>** For Electric Water Heater: UA(Btu/h-°F)​= 0.0834 *SL​ (%/hr)*V gal</t>
  </si>
  <si>
    <t>https://caenergywise.com/design-guides/Advanced-Water-Heating-Design-Guide.pdf</t>
  </si>
  <si>
    <t>50% central water heating</t>
  </si>
  <si>
    <t>100% central water heating</t>
  </si>
  <si>
    <t xml:space="preserve">New Construction </t>
  </si>
  <si>
    <t>LPD (W/ft²)</t>
  </si>
  <si>
    <t>Additional LPD for Portable Lighting (W/ft²)</t>
  </si>
  <si>
    <t xml:space="preserve">LPD (W/ft²) </t>
  </si>
  <si>
    <t>T24, 2025, Table 170.2-M
(Area category method</t>
  </si>
  <si>
    <t xml:space="preserve">T24, 2016, Table 140.6 C   
(Area category method) </t>
  </si>
  <si>
    <t xml:space="preserve">CEC 2025 Single-Family ACM
Appendix E - Table 2 and 8 </t>
  </si>
  <si>
    <t xml:space="preserve">CEC 2016 Single-Family ACM
Section 2.2.12 </t>
  </si>
  <si>
    <t>*Annual kWh=100+0.1775×CFA (ft²)(Eq. 1)</t>
  </si>
  <si>
    <t>Motion Controlled Luminaires (W)</t>
  </si>
  <si>
    <t>Non-motion Controlled Luminaires (W)</t>
  </si>
  <si>
    <t>Total (W)</t>
  </si>
  <si>
    <t>T24, 2022 &amp; 2025
2019 Outdoor Lighting CASE report 
 PNNL 90.1-2010 TSD</t>
  </si>
  <si>
    <t>Items (Assume LZ2)</t>
  </si>
  <si>
    <t>Assumptions
[2019 Outdoor Lighting CASE Report &amp; PNNL 90.1-2010 TSD]</t>
  </si>
  <si>
    <t>Unit</t>
  </si>
  <si>
    <t>Lighting Power Allowance 
[T24, 2025, Table 140.7-A &amp; 140.7-B]</t>
  </si>
  <si>
    <t>Exterior Lighting Power (W)</t>
  </si>
  <si>
    <t>IWA (Initial Wage Allowance)</t>
  </si>
  <si>
    <t>(W)</t>
  </si>
  <si>
    <t>Parking area</t>
  </si>
  <si>
    <t xml:space="preserve"> 400 ft² for every parking space 
1.5 parking space per living unit for residential
1 parking space per 360 ft² of gross building area</t>
  </si>
  <si>
    <t>(ft²)</t>
  </si>
  <si>
    <t>(W/ft²)</t>
  </si>
  <si>
    <t>Building Entrance</t>
  </si>
  <si>
    <t>3 building entrance for NR (1 per 10,000 ft² footprint)</t>
  </si>
  <si>
    <t>(count)</t>
  </si>
  <si>
    <t>(W/ea)</t>
  </si>
  <si>
    <t>Hardscape Ornamental Light</t>
  </si>
  <si>
    <t>0.1 ft² per ft² of gross building area for hardscape ornamental light</t>
  </si>
  <si>
    <t>Building façade</t>
  </si>
  <si>
    <t>0.1 W per ft² of facade area 
Façade Area = Perimeter × 0.5 × 30 ft (30 ft is the max height that is lit) * 
The 0.5 factor assumes that only half of the perimeter walls are lit.
-Formula ia developed based on the 2019 Outdoor Lighting CASE report</t>
  </si>
  <si>
    <t>Sales canopy</t>
  </si>
  <si>
    <t>0.1 ft2 per ft2 of gross bldg area</t>
  </si>
  <si>
    <t>Motion controlled Luminaires</t>
  </si>
  <si>
    <t>Non-motion-controlled Luminaires</t>
  </si>
  <si>
    <t>Perimeter (ft)</t>
  </si>
  <si>
    <t>Total floor area (ft²)</t>
  </si>
  <si>
    <t>Floors (above floor)</t>
  </si>
  <si>
    <t>Number of dwelling units</t>
  </si>
  <si>
    <t xml:space="preserve">Existing Prototypes: </t>
  </si>
  <si>
    <t>Exterior lighting load (W)</t>
  </si>
  <si>
    <t xml:space="preserve">PNNL 90.1 2022, San Diego </t>
  </si>
  <si>
    <t>CPUC 2024</t>
  </si>
  <si>
    <t xml:space="preserve">No </t>
  </si>
  <si>
    <t>T24, part6, 2025, 130.2(c)3</t>
  </si>
  <si>
    <t>Plug load Power Density (W/ft2)</t>
  </si>
  <si>
    <t>New Construction/Existing</t>
  </si>
  <si>
    <t>Plug load and schedules project with CEC, 2025</t>
  </si>
  <si>
    <t>Plug load and schedules project with CBECC-COM, 2019</t>
  </si>
  <si>
    <t>Elevator</t>
  </si>
  <si>
    <t xml:space="preserve">No of Elevator </t>
  </si>
  <si>
    <t>Design Load (W)</t>
  </si>
  <si>
    <t>New Construction and Existing</t>
  </si>
  <si>
    <t>Design Load based on PNNL ASHRAE 90.1 2022 MidRise Apartment prototype --- per T24 2025 §120.6 (f)</t>
  </si>
  <si>
    <t>Assumptions for elevators:</t>
  </si>
  <si>
    <t xml:space="preserve">One elevator for approximately 50,000 ft² in use. </t>
  </si>
  <si>
    <t>https://buildingandinteriors.com/find-the-magic-number-elevators-per-building/</t>
  </si>
  <si>
    <t>For every two floors or two and a half floors, one more elevator was added.</t>
  </si>
  <si>
    <t>An in-use rate of 70% for the floor area was assumed, based on engineering judgment.</t>
  </si>
  <si>
    <t xml:space="preserve">Calculated number of Elevators: </t>
  </si>
  <si>
    <t>Same as PNNL assumptions</t>
  </si>
  <si>
    <t>Calculate Elevator load (kw)based on ACM 2022:</t>
  </si>
  <si>
    <t xml:space="preserve">76 kW is PNNL ASHRE 90.1 2019 elevator load </t>
  </si>
  <si>
    <t>ACM 2022 suggestion for elevator load (kW):</t>
  </si>
  <si>
    <t>Elevator load will be defined as exterior load not equipment load  (Same as PNNL ASHRAE 90.1 Large Hotel prototype).</t>
  </si>
  <si>
    <t>Zone</t>
  </si>
  <si>
    <t>Schedule</t>
  </si>
  <si>
    <t>Day</t>
  </si>
  <si>
    <t>Hour</t>
  </si>
  <si>
    <t>Living Area</t>
  </si>
  <si>
    <t>Occupancy</t>
  </si>
  <si>
    <t>T24 2022 - Appendix 5.4B [ResidentialLiving]</t>
  </si>
  <si>
    <t>Weekday</t>
  </si>
  <si>
    <t>Saturday</t>
  </si>
  <si>
    <t>Sunday</t>
  </si>
  <si>
    <t>Lights</t>
  </si>
  <si>
    <t>ElecEquipment</t>
  </si>
  <si>
    <t>HVACAvail</t>
  </si>
  <si>
    <t>T24 2022 - Appendix 5.4B
 [ResidentialLiving]</t>
  </si>
  <si>
    <t>ServiceHotWater</t>
  </si>
  <si>
    <t>GasEquipment</t>
  </si>
  <si>
    <t>HtgSetpt</t>
  </si>
  <si>
    <t>ClgSetpt</t>
  </si>
  <si>
    <t>Refrigeration</t>
  </si>
  <si>
    <t xml:space="preserve"> Common Use Area</t>
  </si>
  <si>
    <t>Common Use Area</t>
  </si>
  <si>
    <t>T24 2022 - Appendix 5.4B
[ResidentialCommon]</t>
  </si>
  <si>
    <t>T24 2022 - Appendix 5.4B [Retail]</t>
  </si>
  <si>
    <t>Other</t>
  </si>
  <si>
    <t>Building</t>
  </si>
  <si>
    <t>T24 2022 - Appendix 5.4B, [LivingResidential]</t>
  </si>
  <si>
    <t>ExtLightingNonMotionCtrl</t>
  </si>
  <si>
    <t>ExtLightingMotionCtrl</t>
  </si>
  <si>
    <t>ResidentialSpcPeopleActivityLevel</t>
  </si>
  <si>
    <t xml:space="preserve">Based on Activity level schedules in  CEC Prototypes </t>
  </si>
  <si>
    <t>RetailSalePeopleActivityLevel</t>
  </si>
  <si>
    <t>MeetingRm</t>
  </si>
  <si>
    <t>MeetingAreaPeopleActivityLevel</t>
  </si>
  <si>
    <t>FunctionalAreaPeopleActivityLevel</t>
  </si>
  <si>
    <t>Corridor, ExcerciseArea, Lobby, MechanicalRM, Stair, Lounge</t>
  </si>
  <si>
    <t>CommonAreaPeopleActivityLevel</t>
  </si>
  <si>
    <t> </t>
  </si>
  <si>
    <t>CZ</t>
  </si>
  <si>
    <t>Total Floorspace (Thousand of ft2)</t>
  </si>
  <si>
    <t>Electric Energy Intensity (kWh/ft2)</t>
  </si>
  <si>
    <t>Annual Gas Intensity (kBTU/ft2)</t>
  </si>
  <si>
    <t>Vintage Bin</t>
  </si>
  <si>
    <t>Pre-1978</t>
  </si>
  <si>
    <t>Not available</t>
  </si>
  <si>
    <t>Statewide</t>
  </si>
  <si>
    <t>TBD</t>
  </si>
  <si>
    <t>Space Function</t>
  </si>
  <si>
    <t>Electric Equipment Load Intensity</t>
  </si>
  <si>
    <t>LPD</t>
  </si>
  <si>
    <t>Aging Eye/Low-vision (Corridor Area)</t>
  </si>
  <si>
    <t>Aging Eye/Low-vision (Dining)</t>
  </si>
  <si>
    <t>Aging Eye/Low-vision (Lobby, Main Entry)</t>
  </si>
  <si>
    <t>Aging Eye/Low-vision (Lounge/Waiting Area)</t>
  </si>
  <si>
    <t>Aging Eye/Low-vision (Multipurpose Room)</t>
  </si>
  <si>
    <t>Aging Eye/Low-vision (Religious Worship Area)</t>
  </si>
  <si>
    <t>Aging Eye/Low-vision (Restroom)</t>
  </si>
  <si>
    <t>Aging Eye/Low-vision (Stairwell)</t>
  </si>
  <si>
    <t>Audience Seating Area</t>
  </si>
  <si>
    <t>Auditorium Area</t>
  </si>
  <si>
    <t>Auto Repair / Maintenance Area</t>
  </si>
  <si>
    <t>Barber, Beauty Salon, Spa Area</t>
  </si>
  <si>
    <t>Civic Meeting Place Area</t>
  </si>
  <si>
    <t>Classroom, Lecture, Training, Vocational Areas</t>
  </si>
  <si>
    <t>Concourse and Atria Area</t>
  </si>
  <si>
    <t>Copy Room</t>
  </si>
  <si>
    <t>Dining Area (Bar/Lounge and Fine Dining)</t>
  </si>
  <si>
    <t>Dining Area (Cafeteria/Fast Food)</t>
  </si>
  <si>
    <t>Dining Area (Family and Leisure)</t>
  </si>
  <si>
    <t>Financial Transaction Area</t>
  </si>
  <si>
    <t>Healthcare Facility and Hospitals (Exam/Treatment Room)</t>
  </si>
  <si>
    <t>Healthcare Facility and Hospitals (Imaging Room)</t>
  </si>
  <si>
    <t>Healthcare Facility and Hospitals (Medical Supply Room)</t>
  </si>
  <si>
    <t>Healthcare Facility and Hospitals (Nursery)</t>
  </si>
  <si>
    <t>Healthcare Facility and Hospitals (Nurse's Station)</t>
  </si>
  <si>
    <t>Healthcare Facility and Hospitals (Operating Room)</t>
  </si>
  <si>
    <t>Healthcare Facility and Hospitals (Patient Room)</t>
  </si>
  <si>
    <t>Healthcare Facility and Hospitals (Physical Therapy Room)</t>
  </si>
  <si>
    <t>Healthcare Facility and Hospitals (Recovery Room)</t>
  </si>
  <si>
    <t>Hotel Function Area</t>
  </si>
  <si>
    <t>Kitchen/Food Preparation Area</t>
  </si>
  <si>
    <t>Kitchenette or Residential Kitchen</t>
  </si>
  <si>
    <t>Laboratory, Scientific</t>
  </si>
  <si>
    <t>Library (Reading Area)</t>
  </si>
  <si>
    <t>Library (Stacks Area)</t>
  </si>
  <si>
    <t>Locker Room</t>
  </si>
  <si>
    <t>Lounge, Breakroom, or Waiting Area</t>
  </si>
  <si>
    <t>Manufacturing, Commercial &amp; Industrial Work Area (Low Bay)</t>
  </si>
  <si>
    <t>Manufacturing, Commercial &amp; Industrial Work Area (High Bay)</t>
  </si>
  <si>
    <t>Manufacturing, Commercial &amp; Industrial Work Area (Precision)</t>
  </si>
  <si>
    <t>Museum Area (Exhibition/Display)</t>
  </si>
  <si>
    <t>Museum Area (Restoration Room)</t>
  </si>
  <si>
    <t>Office Area (&lt;250 square feet)</t>
  </si>
  <si>
    <t>Parking Garage Area (Daylight Adaptation Zones)</t>
  </si>
  <si>
    <t>Pharmacy Area</t>
  </si>
  <si>
    <t>Retail Sales Area (Grocery Sales)</t>
  </si>
  <si>
    <t>Retail Sales Area (Fitting Room)</t>
  </si>
  <si>
    <t>Religious Worship Area</t>
  </si>
  <si>
    <t>Restrooms</t>
  </si>
  <si>
    <t>Stairwell</t>
  </si>
  <si>
    <t>Storage, Commercial/Industrial (Warehouse)</t>
  </si>
  <si>
    <t>Storage, Commercial/Industrial (Refrigerated)</t>
  </si>
  <si>
    <t>Storage, Commercial/Industrial (Shipping &amp; Handling)</t>
  </si>
  <si>
    <t>Storage (General)</t>
  </si>
  <si>
    <t>Sports Arena - Playing Area (&gt; 5,000 Spectators)</t>
  </si>
  <si>
    <t>Sports Arena - Playing Area (2,000 - 5,000 Spectators)</t>
  </si>
  <si>
    <t>Sports Arena - Playing Area (&lt; 2,000 Spectators)</t>
  </si>
  <si>
    <t>Sports Arena - Playing Area (Recreational)</t>
  </si>
  <si>
    <t>Theater Area (Motion Picture)</t>
  </si>
  <si>
    <t>Theater Area (Performance)</t>
  </si>
  <si>
    <t>Transportation Function (Baggage Area)</t>
  </si>
  <si>
    <t>Transportation Function (Ticketing Area)</t>
  </si>
  <si>
    <t>Videoconferencing Studio</t>
  </si>
  <si>
    <t>Hotel/Motel Guest Room</t>
  </si>
  <si>
    <t>All other</t>
  </si>
  <si>
    <t>Attic</t>
  </si>
  <si>
    <t>Reception Area</t>
  </si>
  <si>
    <t>Plenum</t>
  </si>
  <si>
    <t>IT Room (EPD 12)</t>
  </si>
  <si>
    <t>Computer Room (EPD 20)</t>
  </si>
  <si>
    <t>Server Room (EPD 45)</t>
  </si>
  <si>
    <t>ResidentialLiving</t>
  </si>
  <si>
    <t>ASHRAE 90.1, 2022, Table A3.3.3.1, 3.5", R-0</t>
  </si>
  <si>
    <t>Copied from High-rise office alternative requirements (Table 2-53W): Package A with heat capacity around 10 (Btu/F-ft²)</t>
  </si>
  <si>
    <t>Table 1-H</t>
  </si>
  <si>
    <t>Table 140.3-B (Nonres)</t>
  </si>
  <si>
    <t>NORESCO, Updated November 2025</t>
  </si>
  <si>
    <t>SZHP (DX)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</si>
</sst>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8">
    <numFmt numFmtId="43" formatCode="_(* #,##0.00_);_(* \(#,##0.00\);_(* &quot;-&quot;??_);_(@_)"/>
    <numFmt numFmtId="164" formatCode="0.0%"/>
    <numFmt numFmtId="165" formatCode="0.0"/>
    <numFmt numFmtId="166" formatCode="#,##0.0"/>
    <numFmt numFmtId="167" formatCode="0.000"/>
    <numFmt numFmtId="168" formatCode="_(* #,##0_);_(* \(#,##0\);_(* &quot;-&quot;??_);_(@_)"/>
    <numFmt numFmtId="169" formatCode="0.00000"/>
    <numFmt numFmtId="170" formatCode="#,##0;\-0;[Color15]0"/>
  </numFmts>
  <fonts count="40" x14ac:knownFonts="1">
    <font>
      <sz val="11"/>
      <color theme="1"/>
      <name val="Calibri"/>
      <family val="2"/>
      <scheme val="minor"/>
    </font>
    <font>
      <sz val="10"/>
      <name val="Arial"/>
      <family val="2"/>
    </font>
    <font>
      <sz val="11"/>
      <color theme="1"/>
      <name val="Calibri"/>
      <family val="2"/>
      <scheme val="minor"/>
    </font>
    <font>
      <b/>
      <sz val="11"/>
      <color theme="1"/>
      <name val="Calibri"/>
      <family val="2"/>
      <scheme val="minor"/>
    </font>
    <font>
      <sz val="8"/>
      <color indexed="8"/>
      <name val="MS Sans Serif"/>
      <family val="2"/>
    </font>
    <font>
      <sz val="8"/>
      <name val="Calibri"/>
      <family val="2"/>
      <scheme val="minor"/>
    </font>
    <font>
      <sz val="10"/>
      <color theme="1"/>
      <name val="Arial"/>
      <family val="2"/>
    </font>
    <font>
      <b/>
      <sz val="10"/>
      <color theme="1"/>
      <name val="Arial"/>
      <family val="2"/>
    </font>
    <font>
      <u/>
      <sz val="11"/>
      <color theme="10"/>
      <name val="Calibri"/>
      <family val="2"/>
      <scheme val="minor"/>
    </font>
    <font>
      <b/>
      <sz val="12"/>
      <color theme="1"/>
      <name val="Calibri"/>
      <family val="2"/>
      <scheme val="minor"/>
    </font>
    <font>
      <b/>
      <sz val="12"/>
      <color theme="0"/>
      <name val="Calibri"/>
      <family val="2"/>
      <scheme val="minor"/>
    </font>
    <font>
      <sz val="10"/>
      <color indexed="8"/>
      <name val="Arial"/>
      <family val="2"/>
    </font>
    <font>
      <sz val="11"/>
      <color theme="1"/>
      <name val="Arial"/>
      <family val="2"/>
    </font>
    <font>
      <b/>
      <sz val="12"/>
      <color theme="0"/>
      <name val="Arial"/>
      <family val="2"/>
    </font>
    <font>
      <sz val="11"/>
      <color rgb="FF000000"/>
      <name val="Calibri"/>
      <family val="2"/>
      <scheme val="minor"/>
    </font>
    <font>
      <b/>
      <sz val="14"/>
      <color theme="1"/>
      <name val="Arial"/>
      <family val="2"/>
    </font>
    <font>
      <u/>
      <sz val="10"/>
      <color theme="10"/>
      <name val="Arial"/>
      <family val="2"/>
    </font>
    <font>
      <sz val="10"/>
      <color theme="1"/>
      <name val="Calibri"/>
      <family val="2"/>
      <scheme val="minor"/>
    </font>
    <font>
      <sz val="11"/>
      <color rgb="FF0070C0"/>
      <name val="Arial"/>
      <family val="2"/>
    </font>
    <font>
      <b/>
      <sz val="10"/>
      <name val="Arial"/>
      <family val="2"/>
    </font>
    <font>
      <b/>
      <sz val="10"/>
      <color indexed="8"/>
      <name val="Arial"/>
      <family val="2"/>
    </font>
    <font>
      <sz val="10"/>
      <color rgb="FFC00000"/>
      <name val="Arial"/>
      <family val="2"/>
    </font>
    <font>
      <sz val="9"/>
      <color theme="1"/>
      <name val="Arial"/>
      <family val="2"/>
    </font>
    <font>
      <sz val="10"/>
      <color rgb="FF000000"/>
      <name val="Arial"/>
      <family val="2"/>
    </font>
    <font>
      <b/>
      <sz val="10"/>
      <color rgb="FF000000"/>
      <name val="Arial"/>
      <family val="2"/>
    </font>
    <font>
      <b/>
      <sz val="9"/>
      <color theme="0"/>
      <name val="Arial"/>
      <family val="2"/>
    </font>
    <font>
      <sz val="11"/>
      <color theme="1"/>
      <name val="Arial"/>
      <family val="2"/>
    </font>
    <font>
      <b/>
      <sz val="14"/>
      <color theme="1"/>
      <name val="Arial"/>
      <family val="2"/>
    </font>
    <font>
      <b/>
      <sz val="12"/>
      <color rgb="FFFFFFFF"/>
      <name val="Arial"/>
      <family val="2"/>
    </font>
    <font>
      <sz val="8"/>
      <color theme="1"/>
      <name val="Arial"/>
      <family val="2"/>
    </font>
    <font>
      <sz val="10"/>
      <color theme="0" tint="-0.499984740745262"/>
      <name val="Arial"/>
      <family val="2"/>
    </font>
    <font>
      <sz val="10"/>
      <color theme="0" tint="-0.499984740745262"/>
      <name val="Calibri"/>
      <family val="2"/>
      <scheme val="minor"/>
    </font>
    <font>
      <sz val="10"/>
      <color rgb="FF0070C0"/>
      <name val="Arial"/>
      <family val="2"/>
    </font>
    <font>
      <sz val="11"/>
      <name val="Calibri"/>
      <family val="2"/>
      <scheme val="minor"/>
    </font>
    <font>
      <b/>
      <sz val="10"/>
      <color rgb="FF0000CC"/>
      <name val="Arial"/>
      <family val="2"/>
    </font>
    <font>
      <b/>
      <sz val="10"/>
      <color theme="0"/>
      <name val="Arial"/>
      <family val="2"/>
    </font>
    <font>
      <sz val="10"/>
      <color theme="0" tint="-0.34998626667073579"/>
      <name val="Arial"/>
      <family val="2"/>
    </font>
    <font>
      <b/>
      <sz val="11"/>
      <color rgb="FF000000"/>
      <name val="Calibri"/>
      <family val="2"/>
      <scheme val="minor"/>
    </font>
    <font>
      <b/>
      <vertAlign val="superscript"/>
      <sz val="10"/>
      <color theme="1"/>
      <name val="Arial"/>
      <family val="2"/>
    </font>
    <font>
      <sz val="9"/>
      <name val="Arial"/>
      <family val="2"/>
    </font>
  </fonts>
  <fills count="15">
    <fill>
      <patternFill patternType="none"/>
    </fill>
    <fill>
      <patternFill patternType="gray125"/>
    </fill>
    <fill>
      <patternFill patternType="solid">
        <fgColor rgb="FF92D050"/>
        <bgColor indexed="64"/>
      </patternFill>
    </fill>
    <fill>
      <patternFill patternType="solid">
        <fgColor theme="0"/>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theme="0" tint="-4.9989318521683403E-2"/>
        <bgColor indexed="64"/>
      </patternFill>
    </fill>
    <fill>
      <patternFill patternType="solid">
        <fgColor theme="4" tint="-0.499984740745262"/>
        <bgColor indexed="64"/>
      </patternFill>
    </fill>
    <fill>
      <patternFill patternType="solid">
        <fgColor theme="1" tint="0.34998626667073579"/>
        <bgColor indexed="64"/>
      </patternFill>
    </fill>
    <fill>
      <patternFill patternType="solid">
        <fgColor rgb="FF203764"/>
        <bgColor rgb="FF000000"/>
      </patternFill>
    </fill>
    <fill>
      <patternFill patternType="solid">
        <fgColor rgb="FFD9E1F2"/>
        <bgColor rgb="FF000000"/>
      </patternFill>
    </fill>
    <fill>
      <patternFill patternType="solid">
        <fgColor rgb="FFDDDDFF"/>
        <bgColor indexed="64"/>
      </patternFill>
    </fill>
    <fill>
      <patternFill patternType="lightUp"/>
    </fill>
    <fill>
      <patternFill patternType="solid">
        <fgColor theme="0" tint="-0.249977111117893"/>
        <bgColor indexed="64"/>
      </patternFill>
    </fill>
    <fill>
      <patternFill patternType="solid">
        <fgColor rgb="FF92D050"/>
        <bgColor rgb="FF000000"/>
      </patternFill>
    </fill>
  </fills>
  <borders count="179">
    <border>
      <left/>
      <right/>
      <top/>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bottom/>
      <diagonal/>
    </border>
    <border>
      <left style="thin">
        <color indexed="64"/>
      </left>
      <right/>
      <top/>
      <bottom/>
      <diagonal/>
    </border>
    <border>
      <left/>
      <right style="thin">
        <color indexed="64"/>
      </right>
      <top/>
      <bottom/>
      <diagonal/>
    </border>
    <border>
      <left style="thin">
        <color indexed="64"/>
      </left>
      <right style="thin">
        <color indexed="64"/>
      </right>
      <top/>
      <bottom style="thin">
        <color indexed="64"/>
      </bottom>
      <diagonal/>
    </border>
    <border>
      <left/>
      <right/>
      <top/>
      <bottom style="thin">
        <color indexed="64"/>
      </bottom>
      <diagonal/>
    </border>
    <border>
      <left/>
      <right style="thin">
        <color indexed="64"/>
      </right>
      <top/>
      <bottom style="thin">
        <color indexed="64"/>
      </bottom>
      <diagonal/>
    </border>
    <border>
      <left/>
      <right style="medium">
        <color indexed="64"/>
      </right>
      <top/>
      <bottom/>
      <diagonal/>
    </border>
    <border>
      <left style="medium">
        <color indexed="64"/>
      </left>
      <right/>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top style="thin">
        <color theme="0" tint="-0.499984740745262"/>
      </top>
      <bottom/>
      <diagonal/>
    </border>
    <border>
      <left style="thin">
        <color indexed="64"/>
      </left>
      <right style="thin">
        <color indexed="64"/>
      </right>
      <top style="thin">
        <color indexed="64"/>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style="thin">
        <color theme="0" tint="-0.499984740745262"/>
      </left>
      <right/>
      <top/>
      <bottom/>
      <diagonal/>
    </border>
    <border>
      <left style="thin">
        <color theme="0" tint="-0.499984740745262"/>
      </left>
      <right style="thin">
        <color theme="0" tint="-0.499984740745262"/>
      </right>
      <top style="medium">
        <color indexed="64"/>
      </top>
      <bottom/>
      <diagonal/>
    </border>
    <border>
      <left style="thin">
        <color theme="0" tint="-0.499984740745262"/>
      </left>
      <right/>
      <top style="medium">
        <color indexed="64"/>
      </top>
      <bottom/>
      <diagonal/>
    </border>
    <border>
      <left style="thin">
        <color theme="0" tint="-0.499984740745262"/>
      </left>
      <right style="medium">
        <color indexed="64"/>
      </right>
      <top style="thin">
        <color theme="0" tint="-0.499984740745262"/>
      </top>
      <bottom style="thin">
        <color theme="0" tint="-0.499984740745262"/>
      </bottom>
      <diagonal/>
    </border>
    <border>
      <left style="thin">
        <color theme="0" tint="-0.499984740745262"/>
      </left>
      <right style="medium">
        <color indexed="64"/>
      </right>
      <top style="thin">
        <color theme="0" tint="-0.499984740745262"/>
      </top>
      <bottom/>
      <diagonal/>
    </border>
    <border>
      <left style="thin">
        <color theme="0" tint="-0.499984740745262"/>
      </left>
      <right style="thin">
        <color theme="0" tint="-0.499984740745262"/>
      </right>
      <top/>
      <bottom style="medium">
        <color indexed="64"/>
      </bottom>
      <diagonal/>
    </border>
    <border>
      <left style="thin">
        <color theme="0" tint="-0.499984740745262"/>
      </left>
      <right/>
      <top/>
      <bottom style="medium">
        <color indexed="64"/>
      </bottom>
      <diagonal/>
    </border>
    <border>
      <left style="thin">
        <color theme="0" tint="-0.499984740745262"/>
      </left>
      <right style="medium">
        <color indexed="64"/>
      </right>
      <top style="thin">
        <color theme="0" tint="-0.499984740745262"/>
      </top>
      <bottom style="medium">
        <color indexed="64"/>
      </bottom>
      <diagonal/>
    </border>
    <border>
      <left style="thin">
        <color theme="0" tint="-0.499984740745262"/>
      </left>
      <right style="medium">
        <color indexed="64"/>
      </right>
      <top style="medium">
        <color indexed="64"/>
      </top>
      <bottom style="thin">
        <color theme="0" tint="-0.499984740745262"/>
      </bottom>
      <diagonal/>
    </border>
    <border>
      <left style="medium">
        <color indexed="64"/>
      </left>
      <right style="thin">
        <color theme="0" tint="-0.499984740745262"/>
      </right>
      <top style="thin">
        <color theme="0" tint="-0.499984740745262"/>
      </top>
      <bottom/>
      <diagonal/>
    </border>
    <border>
      <left style="medium">
        <color indexed="64"/>
      </left>
      <right style="thin">
        <color theme="0" tint="-0.499984740745262"/>
      </right>
      <top/>
      <bottom/>
      <diagonal/>
    </border>
    <border>
      <left style="medium">
        <color indexed="64"/>
      </left>
      <right style="thin">
        <color theme="0" tint="-0.499984740745262"/>
      </right>
      <top/>
      <bottom style="medium">
        <color indexed="64"/>
      </bottom>
      <diagonal/>
    </border>
    <border>
      <left/>
      <right/>
      <top style="thin">
        <color theme="1"/>
      </top>
      <bottom/>
      <diagonal/>
    </border>
    <border>
      <left/>
      <right/>
      <top/>
      <bottom style="thin">
        <color theme="1"/>
      </bottom>
      <diagonal/>
    </border>
    <border>
      <left/>
      <right style="thin">
        <color indexed="64"/>
      </right>
      <top/>
      <bottom style="thin">
        <color theme="1"/>
      </bottom>
      <diagonal/>
    </border>
    <border>
      <left/>
      <right style="thin">
        <color indexed="64"/>
      </right>
      <top style="thin">
        <color theme="1"/>
      </top>
      <bottom/>
      <diagonal/>
    </border>
    <border>
      <left style="medium">
        <color indexed="64"/>
      </left>
      <right style="thin">
        <color theme="0" tint="-0.499984740745262"/>
      </right>
      <top style="medium">
        <color indexed="64"/>
      </top>
      <bottom/>
      <diagonal/>
    </border>
    <border>
      <left/>
      <right/>
      <top/>
      <bottom style="thin">
        <color theme="1" tint="0.34998626667073579"/>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thin">
        <color theme="1" tint="0.34998626667073579"/>
      </left>
      <right style="thin">
        <color theme="1" tint="0.34998626667073579"/>
      </right>
      <top style="thin">
        <color theme="1" tint="0.34998626667073579"/>
      </top>
      <bottom/>
      <diagonal/>
    </border>
    <border>
      <left style="thin">
        <color theme="1" tint="0.34998626667073579"/>
      </left>
      <right style="thin">
        <color theme="1" tint="0.34998626667073579"/>
      </right>
      <top/>
      <bottom/>
      <diagonal/>
    </border>
    <border>
      <left style="thin">
        <color theme="1" tint="0.34998626667073579"/>
      </left>
      <right style="thin">
        <color theme="1" tint="0.34998626667073579"/>
      </right>
      <top/>
      <bottom style="thin">
        <color theme="1" tint="0.34998626667073579"/>
      </bottom>
      <diagonal/>
    </border>
    <border>
      <left style="thin">
        <color theme="1" tint="0.34998626667073579"/>
      </left>
      <right/>
      <top style="thin">
        <color theme="1" tint="0.34998626667073579"/>
      </top>
      <bottom/>
      <diagonal/>
    </border>
    <border>
      <left/>
      <right/>
      <top style="thin">
        <color theme="1" tint="0.34998626667073579"/>
      </top>
      <bottom/>
      <diagonal/>
    </border>
    <border>
      <left/>
      <right style="thin">
        <color theme="1" tint="0.34998626667073579"/>
      </right>
      <top style="thin">
        <color theme="1" tint="0.34998626667073579"/>
      </top>
      <bottom/>
      <diagonal/>
    </border>
    <border>
      <left style="thin">
        <color theme="1" tint="0.34998626667073579"/>
      </left>
      <right/>
      <top/>
      <bottom/>
      <diagonal/>
    </border>
    <border>
      <left/>
      <right style="thin">
        <color theme="1" tint="0.34998626667073579"/>
      </right>
      <top/>
      <bottom/>
      <diagonal/>
    </border>
    <border>
      <left style="thin">
        <color theme="1" tint="0.34998626667073579"/>
      </left>
      <right/>
      <top style="thin">
        <color theme="1" tint="0.34998626667073579"/>
      </top>
      <bottom style="thin">
        <color theme="1" tint="0.34998626667073579"/>
      </bottom>
      <diagonal/>
    </border>
    <border>
      <left/>
      <right style="thin">
        <color theme="1" tint="0.34998626667073579"/>
      </right>
      <top style="thin">
        <color theme="1" tint="0.34998626667073579"/>
      </top>
      <bottom style="thin">
        <color theme="1" tint="0.34998626667073579"/>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1"/>
      </left>
      <right/>
      <top style="thin">
        <color theme="1"/>
      </top>
      <bottom style="thin">
        <color theme="1"/>
      </bottom>
      <diagonal/>
    </border>
    <border>
      <left/>
      <right style="thin">
        <color theme="1"/>
      </right>
      <top style="thin">
        <color theme="1"/>
      </top>
      <bottom style="thin">
        <color theme="1"/>
      </bottom>
      <diagonal/>
    </border>
    <border>
      <left style="thin">
        <color theme="1"/>
      </left>
      <right style="thin">
        <color theme="1"/>
      </right>
      <top style="thin">
        <color theme="1"/>
      </top>
      <bottom style="thin">
        <color theme="1"/>
      </bottom>
      <diagonal/>
    </border>
    <border>
      <left/>
      <right style="thin">
        <color theme="0" tint="-0.499984740745262"/>
      </right>
      <top style="medium">
        <color indexed="64"/>
      </top>
      <bottom style="thin">
        <color theme="0" tint="-0.499984740745262"/>
      </bottom>
      <diagonal/>
    </border>
    <border>
      <left/>
      <right style="thin">
        <color theme="0" tint="-0.499984740745262"/>
      </right>
      <top style="thin">
        <color theme="0" tint="-0.499984740745262"/>
      </top>
      <bottom style="medium">
        <color indexed="64"/>
      </bottom>
      <diagonal/>
    </border>
    <border>
      <left/>
      <right style="thin">
        <color theme="0" tint="-0.499984740745262"/>
      </right>
      <top style="thin">
        <color theme="0" tint="-0.499984740745262"/>
      </top>
      <bottom/>
      <diagonal/>
    </border>
    <border>
      <left style="thin">
        <color indexed="64"/>
      </left>
      <right style="medium">
        <color indexed="64"/>
      </right>
      <top style="thin">
        <color indexed="64"/>
      </top>
      <bottom/>
      <diagonal/>
    </border>
    <border>
      <left style="thin">
        <color theme="1" tint="0.499984740745262"/>
      </left>
      <right/>
      <top style="thin">
        <color theme="1" tint="0.499984740745262"/>
      </top>
      <bottom style="thin">
        <color theme="1" tint="0.499984740745262"/>
      </bottom>
      <diagonal/>
    </border>
    <border>
      <left/>
      <right style="thin">
        <color theme="1" tint="0.499984740745262"/>
      </right>
      <top style="thin">
        <color theme="1" tint="0.499984740745262"/>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
      <left style="thin">
        <color theme="1" tint="0.34998626667073579"/>
      </left>
      <right style="thin">
        <color theme="1" tint="0.34998626667073579"/>
      </right>
      <top style="medium">
        <color theme="1" tint="0.34998626667073579"/>
      </top>
      <bottom style="thin">
        <color theme="1" tint="0.34998626667073579"/>
      </bottom>
      <diagonal/>
    </border>
    <border>
      <left style="thin">
        <color theme="1" tint="0.34998626667073579"/>
      </left>
      <right style="medium">
        <color theme="1" tint="0.34998626667073579"/>
      </right>
      <top style="medium">
        <color theme="1" tint="0.34998626667073579"/>
      </top>
      <bottom style="thin">
        <color theme="1" tint="0.34998626667073579"/>
      </bottom>
      <diagonal/>
    </border>
    <border>
      <left style="thin">
        <color theme="1" tint="0.34998626667073579"/>
      </left>
      <right style="medium">
        <color theme="1" tint="0.34998626667073579"/>
      </right>
      <top style="thin">
        <color theme="1" tint="0.34998626667073579"/>
      </top>
      <bottom style="thin">
        <color theme="1" tint="0.34998626667073579"/>
      </bottom>
      <diagonal/>
    </border>
    <border>
      <left style="thin">
        <color theme="1" tint="0.34998626667073579"/>
      </left>
      <right style="thin">
        <color theme="1" tint="0.34998626667073579"/>
      </right>
      <top style="thin">
        <color theme="1" tint="0.34998626667073579"/>
      </top>
      <bottom style="medium">
        <color theme="1" tint="0.34998626667073579"/>
      </bottom>
      <diagonal/>
    </border>
    <border>
      <left style="thin">
        <color theme="1" tint="0.34998626667073579"/>
      </left>
      <right style="medium">
        <color theme="1" tint="0.34998626667073579"/>
      </right>
      <top style="thin">
        <color theme="1" tint="0.34998626667073579"/>
      </top>
      <bottom style="medium">
        <color theme="1" tint="0.34998626667073579"/>
      </bottom>
      <diagonal/>
    </border>
    <border>
      <left style="thin">
        <color theme="1" tint="0.34998626667073579"/>
      </left>
      <right style="medium">
        <color theme="1" tint="0.34998626667073579"/>
      </right>
      <top/>
      <bottom style="thin">
        <color theme="1" tint="0.34998626667073579"/>
      </bottom>
      <diagonal/>
    </border>
    <border>
      <left style="medium">
        <color theme="1" tint="0.34998626667073579"/>
      </left>
      <right style="thin">
        <color theme="1" tint="0.34998626667073579"/>
      </right>
      <top style="medium">
        <color theme="1" tint="0.34998626667073579"/>
      </top>
      <bottom style="thin">
        <color theme="1" tint="0.34998626667073579"/>
      </bottom>
      <diagonal/>
    </border>
    <border>
      <left style="medium">
        <color theme="1" tint="0.34998626667073579"/>
      </left>
      <right style="thin">
        <color theme="1" tint="0.34998626667073579"/>
      </right>
      <top style="thin">
        <color theme="1" tint="0.34998626667073579"/>
      </top>
      <bottom style="medium">
        <color theme="1" tint="0.34998626667073579"/>
      </bottom>
      <diagonal/>
    </border>
    <border>
      <left style="thin">
        <color rgb="FF000000"/>
      </left>
      <right/>
      <top style="thin">
        <color rgb="FF000000"/>
      </top>
      <bottom style="thin">
        <color rgb="FF000000"/>
      </bottom>
      <diagonal/>
    </border>
    <border>
      <left style="thin">
        <color theme="0" tint="-0.499984740745262"/>
      </left>
      <right/>
      <top/>
      <bottom style="thin">
        <color rgb="FF000000"/>
      </bottom>
      <diagonal/>
    </border>
    <border>
      <left/>
      <right style="thin">
        <color theme="1" tint="0.34998626667073579"/>
      </right>
      <top style="medium">
        <color theme="1" tint="0.34998626667073579"/>
      </top>
      <bottom style="thin">
        <color theme="1" tint="0.34998626667073579"/>
      </bottom>
      <diagonal/>
    </border>
    <border>
      <left/>
      <right style="thin">
        <color theme="1" tint="0.34998626667073579"/>
      </right>
      <top style="thin">
        <color theme="1" tint="0.34998626667073579"/>
      </top>
      <bottom style="medium">
        <color theme="1" tint="0.34998626667073579"/>
      </bottom>
      <diagonal/>
    </border>
    <border>
      <left style="thin">
        <color indexed="64"/>
      </left>
      <right style="thin">
        <color indexed="64"/>
      </right>
      <top style="medium">
        <color rgb="FF000000"/>
      </top>
      <bottom style="thin">
        <color indexed="64"/>
      </bottom>
      <diagonal/>
    </border>
    <border>
      <left style="thin">
        <color theme="1" tint="0.34998626667073579"/>
      </left>
      <right style="thin">
        <color theme="1" tint="0.34998626667073579"/>
      </right>
      <top style="medium">
        <color rgb="FF000000"/>
      </top>
      <bottom style="thin">
        <color theme="1" tint="0.34998626667073579"/>
      </bottom>
      <diagonal/>
    </border>
    <border>
      <left style="thin">
        <color theme="1" tint="0.34998626667073579"/>
      </left>
      <right style="thin">
        <color theme="1" tint="0.34998626667073579"/>
      </right>
      <top style="thin">
        <color theme="1" tint="0.34998626667073579"/>
      </top>
      <bottom style="medium">
        <color rgb="FF000000"/>
      </bottom>
      <diagonal/>
    </border>
    <border>
      <left style="thin">
        <color theme="1" tint="0.34998626667073579"/>
      </left>
      <right style="thin">
        <color theme="1" tint="0.34998626667073579"/>
      </right>
      <top style="medium">
        <color theme="1" tint="0.34998626667073579"/>
      </top>
      <bottom/>
      <diagonal/>
    </border>
    <border>
      <left style="thin">
        <color theme="1" tint="0.34998626667073579"/>
      </left>
      <right style="thin">
        <color theme="1" tint="0.34998626667073579"/>
      </right>
      <top/>
      <bottom style="medium">
        <color theme="1" tint="0.34998626667073579"/>
      </bottom>
      <diagonal/>
    </border>
    <border>
      <left style="medium">
        <color rgb="FF000000"/>
      </left>
      <right style="thin">
        <color indexed="64"/>
      </right>
      <top style="medium">
        <color rgb="FF000000"/>
      </top>
      <bottom style="thin">
        <color indexed="64"/>
      </bottom>
      <diagonal/>
    </border>
    <border>
      <left style="thin">
        <color indexed="64"/>
      </left>
      <right style="medium">
        <color rgb="FF000000"/>
      </right>
      <top style="medium">
        <color rgb="FF000000"/>
      </top>
      <bottom style="thin">
        <color indexed="64"/>
      </bottom>
      <diagonal/>
    </border>
    <border>
      <left style="medium">
        <color rgb="FF000000"/>
      </left>
      <right style="thin">
        <color indexed="64"/>
      </right>
      <top style="thin">
        <color indexed="64"/>
      </top>
      <bottom style="thin">
        <color indexed="64"/>
      </bottom>
      <diagonal/>
    </border>
    <border>
      <left style="thin">
        <color indexed="64"/>
      </left>
      <right style="medium">
        <color rgb="FF000000"/>
      </right>
      <top style="thin">
        <color indexed="64"/>
      </top>
      <bottom style="thin">
        <color indexed="64"/>
      </bottom>
      <diagonal/>
    </border>
    <border>
      <left style="medium">
        <color rgb="FF000000"/>
      </left>
      <right style="thin">
        <color indexed="64"/>
      </right>
      <top style="thin">
        <color indexed="64"/>
      </top>
      <bottom/>
      <diagonal/>
    </border>
    <border>
      <left style="medium">
        <color rgb="FF000000"/>
      </left>
      <right style="thin">
        <color indexed="64"/>
      </right>
      <top/>
      <bottom style="thin">
        <color indexed="64"/>
      </bottom>
      <diagonal/>
    </border>
    <border>
      <left style="thin">
        <color indexed="64"/>
      </left>
      <right style="medium">
        <color indexed="64"/>
      </right>
      <top/>
      <bottom style="thin">
        <color indexed="64"/>
      </bottom>
      <diagonal/>
    </border>
    <border>
      <left style="medium">
        <color rgb="FF000000"/>
      </left>
      <right style="thin">
        <color theme="1" tint="0.34998626667073579"/>
      </right>
      <top style="medium">
        <color rgb="FF000000"/>
      </top>
      <bottom style="thin">
        <color theme="1" tint="0.34998626667073579"/>
      </bottom>
      <diagonal/>
    </border>
    <border>
      <left style="thin">
        <color indexed="64"/>
      </left>
      <right style="medium">
        <color indexed="64"/>
      </right>
      <top style="medium">
        <color rgb="FF000000"/>
      </top>
      <bottom style="thin">
        <color indexed="64"/>
      </bottom>
      <diagonal/>
    </border>
    <border>
      <left/>
      <right style="thin">
        <color theme="1" tint="0.34998626667073579"/>
      </right>
      <top style="medium">
        <color rgb="FF000000"/>
      </top>
      <bottom style="thin">
        <color theme="1" tint="0.34998626667073579"/>
      </bottom>
      <diagonal/>
    </border>
    <border>
      <left style="thin">
        <color theme="1" tint="0.34998626667073579"/>
      </left>
      <right style="medium">
        <color rgb="FF000000"/>
      </right>
      <top style="medium">
        <color rgb="FF000000"/>
      </top>
      <bottom style="thin">
        <color theme="1" tint="0.34998626667073579"/>
      </bottom>
      <diagonal/>
    </border>
    <border>
      <left style="medium">
        <color rgb="FF000000"/>
      </left>
      <right style="thin">
        <color theme="1" tint="0.34998626667073579"/>
      </right>
      <top style="thin">
        <color theme="1" tint="0.34998626667073579"/>
      </top>
      <bottom style="thin">
        <color theme="1" tint="0.34998626667073579"/>
      </bottom>
      <diagonal/>
    </border>
    <border>
      <left style="thin">
        <color theme="1" tint="0.34998626667073579"/>
      </left>
      <right style="medium">
        <color rgb="FF000000"/>
      </right>
      <top style="thin">
        <color theme="1" tint="0.34998626667073579"/>
      </top>
      <bottom style="thin">
        <color theme="1" tint="0.34998626667073579"/>
      </bottom>
      <diagonal/>
    </border>
    <border>
      <left style="medium">
        <color rgb="FF000000"/>
      </left>
      <right style="thin">
        <color theme="1" tint="0.34998626667073579"/>
      </right>
      <top style="thin">
        <color theme="1" tint="0.34998626667073579"/>
      </top>
      <bottom style="medium">
        <color rgb="FF000000"/>
      </bottom>
      <diagonal/>
    </border>
    <border>
      <left style="thin">
        <color theme="1" tint="0.34998626667073579"/>
      </left>
      <right style="thin">
        <color theme="1" tint="0.34998626667073579"/>
      </right>
      <top/>
      <bottom style="medium">
        <color rgb="FF000000"/>
      </bottom>
      <diagonal/>
    </border>
    <border>
      <left style="thin">
        <color indexed="64"/>
      </left>
      <right style="medium">
        <color indexed="64"/>
      </right>
      <top style="thin">
        <color indexed="64"/>
      </top>
      <bottom style="medium">
        <color rgb="FF000000"/>
      </bottom>
      <diagonal/>
    </border>
    <border>
      <left/>
      <right style="thin">
        <color theme="1" tint="0.34998626667073579"/>
      </right>
      <top style="thin">
        <color theme="1" tint="0.34998626667073579"/>
      </top>
      <bottom style="medium">
        <color rgb="FF000000"/>
      </bottom>
      <diagonal/>
    </border>
    <border>
      <left style="thin">
        <color theme="1" tint="0.34998626667073579"/>
      </left>
      <right style="medium">
        <color rgb="FF000000"/>
      </right>
      <top style="thin">
        <color theme="1" tint="0.34998626667073579"/>
      </top>
      <bottom style="medium">
        <color rgb="FF000000"/>
      </bottom>
      <diagonal/>
    </border>
    <border>
      <left style="medium">
        <color theme="1" tint="0.34998626667073579"/>
      </left>
      <right style="thin">
        <color theme="1" tint="0.34998626667073579"/>
      </right>
      <top/>
      <bottom style="thin">
        <color theme="1" tint="0.34998626667073579"/>
      </bottom>
      <diagonal/>
    </border>
    <border>
      <left style="thin">
        <color theme="1" tint="0.34998626667073579"/>
      </left>
      <right style="medium">
        <color indexed="64"/>
      </right>
      <top/>
      <bottom/>
      <diagonal/>
    </border>
    <border>
      <left/>
      <right style="thin">
        <color theme="1" tint="0.34998626667073579"/>
      </right>
      <top/>
      <bottom style="thin">
        <color theme="1" tint="0.34998626667073579"/>
      </bottom>
      <diagonal/>
    </border>
    <border>
      <left style="medium">
        <color theme="1" tint="0.34998626667073579"/>
      </left>
      <right style="thin">
        <color theme="1" tint="0.34998626667073579"/>
      </right>
      <top style="thin">
        <color theme="1" tint="0.34998626667073579"/>
      </top>
      <bottom style="thin">
        <color theme="1" tint="0.34998626667073579"/>
      </bottom>
      <diagonal/>
    </border>
    <border>
      <left style="thin">
        <color theme="1" tint="0.34998626667073579"/>
      </left>
      <right style="medium">
        <color indexed="64"/>
      </right>
      <top/>
      <bottom style="medium">
        <color theme="1" tint="0.34998626667073579"/>
      </bottom>
      <diagonal/>
    </border>
    <border>
      <left style="thin">
        <color theme="1" tint="0.34998626667073579"/>
      </left>
      <right style="medium">
        <color indexed="64"/>
      </right>
      <top style="medium">
        <color theme="1" tint="0.34998626667073579"/>
      </top>
      <bottom/>
      <diagonal/>
    </border>
    <border>
      <left style="medium">
        <color theme="1" tint="0.34998626667073579"/>
      </left>
      <right style="thin">
        <color theme="1" tint="0.34998626667073579"/>
      </right>
      <top style="medium">
        <color theme="1" tint="0.34998626667073579"/>
      </top>
      <bottom/>
      <diagonal/>
    </border>
    <border>
      <left style="medium">
        <color theme="1" tint="0.34998626667073579"/>
      </left>
      <right style="thin">
        <color theme="1" tint="0.34998626667073579"/>
      </right>
      <top/>
      <bottom/>
      <diagonal/>
    </border>
    <border>
      <left style="medium">
        <color theme="1" tint="0.34998626667073579"/>
      </left>
      <right style="thin">
        <color theme="1" tint="0.34998626667073579"/>
      </right>
      <top/>
      <bottom style="medium">
        <color theme="1" tint="0.34998626667073579"/>
      </bottom>
      <diagonal/>
    </border>
    <border>
      <left style="thin">
        <color indexed="64"/>
      </left>
      <right style="thin">
        <color indexed="64"/>
      </right>
      <top style="thin">
        <color indexed="64"/>
      </top>
      <bottom style="thin">
        <color rgb="FF000000"/>
      </bottom>
      <diagonal/>
    </border>
    <border>
      <left style="thin">
        <color indexed="64"/>
      </left>
      <right style="thin">
        <color indexed="64"/>
      </right>
      <top/>
      <bottom style="thin">
        <color rgb="FF000000"/>
      </bottom>
      <diagonal/>
    </border>
    <border>
      <left/>
      <right/>
      <top style="thin">
        <color theme="1" tint="0.34998626667073579"/>
      </top>
      <bottom style="thin">
        <color theme="1" tint="0.34998626667073579"/>
      </bottom>
      <diagonal/>
    </border>
    <border>
      <left style="medium">
        <color indexed="64"/>
      </left>
      <right style="thin">
        <color indexed="64"/>
      </right>
      <top/>
      <bottom/>
      <diagonal/>
    </border>
    <border>
      <left style="thin">
        <color indexed="64"/>
      </left>
      <right style="medium">
        <color indexed="64"/>
      </right>
      <top/>
      <bottom/>
      <diagonal/>
    </border>
    <border>
      <left style="medium">
        <color theme="1" tint="0.34998626667073579"/>
      </left>
      <right style="thin">
        <color theme="1" tint="0.34998626667073579"/>
      </right>
      <top style="thin">
        <color theme="1" tint="0.34998626667073579"/>
      </top>
      <bottom/>
      <diagonal/>
    </border>
    <border>
      <left style="thin">
        <color theme="1" tint="0.34998626667073579"/>
      </left>
      <right style="medium">
        <color theme="1" tint="0.34998626667073579"/>
      </right>
      <top style="thin">
        <color theme="1" tint="0.34998626667073579"/>
      </top>
      <bottom/>
      <diagonal/>
    </border>
    <border>
      <left/>
      <right style="thin">
        <color rgb="FF000000"/>
      </right>
      <top/>
      <bottom style="thin">
        <color rgb="FF000000"/>
      </bottom>
      <diagonal/>
    </border>
    <border>
      <left style="thin">
        <color rgb="FF000000"/>
      </left>
      <right style="medium">
        <color indexed="64"/>
      </right>
      <top/>
      <bottom style="thin">
        <color rgb="FF000000"/>
      </bottom>
      <diagonal/>
    </border>
    <border>
      <left/>
      <right style="thin">
        <color rgb="FF000000"/>
      </right>
      <top style="thin">
        <color rgb="FF000000"/>
      </top>
      <bottom style="thin">
        <color rgb="FF000000"/>
      </bottom>
      <diagonal/>
    </border>
    <border>
      <left style="thin">
        <color rgb="FF000000"/>
      </left>
      <right style="medium">
        <color indexed="64"/>
      </right>
      <top style="thin">
        <color rgb="FF000000"/>
      </top>
      <bottom style="thin">
        <color rgb="FF000000"/>
      </bottom>
      <diagonal/>
    </border>
    <border>
      <left/>
      <right style="thin">
        <color rgb="FF000000"/>
      </right>
      <top style="thin">
        <color rgb="FF000000"/>
      </top>
      <bottom/>
      <diagonal/>
    </border>
    <border>
      <left style="thin">
        <color rgb="FF000000"/>
      </left>
      <right style="medium">
        <color indexed="64"/>
      </right>
      <top style="thin">
        <color rgb="FF000000"/>
      </top>
      <bottom/>
      <diagonal/>
    </border>
    <border>
      <left/>
      <right style="thin">
        <color rgb="FF000000"/>
      </right>
      <top style="medium">
        <color theme="1" tint="0.34998626667073579"/>
      </top>
      <bottom style="thin">
        <color rgb="FF000000"/>
      </bottom>
      <diagonal/>
    </border>
    <border>
      <left style="thin">
        <color indexed="64"/>
      </left>
      <right style="thin">
        <color indexed="64"/>
      </right>
      <top style="medium">
        <color theme="1" tint="0.34998626667073579"/>
      </top>
      <bottom style="thin">
        <color indexed="64"/>
      </bottom>
      <diagonal/>
    </border>
    <border>
      <left style="thin">
        <color indexed="64"/>
      </left>
      <right style="medium">
        <color theme="1" tint="0.34998626667073579"/>
      </right>
      <top style="medium">
        <color theme="1" tint="0.34998626667073579"/>
      </top>
      <bottom style="thin">
        <color indexed="64"/>
      </bottom>
      <diagonal/>
    </border>
    <border>
      <left style="thin">
        <color indexed="64"/>
      </left>
      <right style="medium">
        <color theme="1" tint="0.34998626667073579"/>
      </right>
      <top style="thin">
        <color indexed="64"/>
      </top>
      <bottom style="thin">
        <color indexed="64"/>
      </bottom>
      <diagonal/>
    </border>
    <border>
      <left style="thin">
        <color indexed="64"/>
      </left>
      <right style="medium">
        <color theme="1" tint="0.34998626667073579"/>
      </right>
      <top style="thin">
        <color indexed="64"/>
      </top>
      <bottom/>
      <diagonal/>
    </border>
    <border>
      <left style="medium">
        <color theme="1" tint="0.34998626667073579"/>
      </left>
      <right style="thin">
        <color rgb="FF000000"/>
      </right>
      <top style="medium">
        <color theme="1" tint="0.34998626667073579"/>
      </top>
      <bottom style="thin">
        <color rgb="FF000000"/>
      </bottom>
      <diagonal/>
    </border>
    <border>
      <left style="medium">
        <color theme="1" tint="0.34998626667073579"/>
      </left>
      <right style="thin">
        <color rgb="FF000000"/>
      </right>
      <top style="thin">
        <color rgb="FF000000"/>
      </top>
      <bottom style="thin">
        <color rgb="FF000000"/>
      </bottom>
      <diagonal/>
    </border>
    <border>
      <left style="medium">
        <color theme="1" tint="0.34998626667073579"/>
      </left>
      <right style="thin">
        <color rgb="FF000000"/>
      </right>
      <top style="thin">
        <color rgb="FF000000"/>
      </top>
      <bottom style="medium">
        <color theme="1" tint="0.34998626667073579"/>
      </bottom>
      <diagonal/>
    </border>
    <border>
      <left style="thin">
        <color indexed="64"/>
      </left>
      <right/>
      <top style="medium">
        <color theme="1" tint="0.34998626667073579"/>
      </top>
      <bottom/>
      <diagonal/>
    </border>
    <border>
      <left style="thin">
        <color indexed="64"/>
      </left>
      <right/>
      <top/>
      <bottom style="medium">
        <color theme="1" tint="0.34998626667073579"/>
      </bottom>
      <diagonal/>
    </border>
    <border>
      <left style="medium">
        <color theme="1" tint="0.34998626667073579"/>
      </left>
      <right style="thin">
        <color rgb="FF000000"/>
      </right>
      <top style="thin">
        <color rgb="FF000000"/>
      </top>
      <bottom/>
      <diagonal/>
    </border>
    <border>
      <left style="thin">
        <color theme="1" tint="0.34998626667073579"/>
      </left>
      <right style="thin">
        <color theme="1" tint="0.34998626667073579"/>
      </right>
      <top style="medium">
        <color indexed="64"/>
      </top>
      <bottom style="thin">
        <color theme="1" tint="0.34998626667073579"/>
      </bottom>
      <diagonal/>
    </border>
    <border>
      <left style="thin">
        <color theme="1" tint="0.34998626667073579"/>
      </left>
      <right style="medium">
        <color indexed="64"/>
      </right>
      <top style="medium">
        <color indexed="64"/>
      </top>
      <bottom style="thin">
        <color theme="1" tint="0.34998626667073579"/>
      </bottom>
      <diagonal/>
    </border>
    <border>
      <left/>
      <right/>
      <top style="medium">
        <color theme="1" tint="0.34998626667073579"/>
      </top>
      <bottom style="thin">
        <color rgb="FF000000"/>
      </bottom>
      <diagonal/>
    </border>
    <border>
      <left style="thin">
        <color theme="1" tint="0.34998626667073579"/>
      </left>
      <right style="medium">
        <color indexed="64"/>
      </right>
      <top style="thin">
        <color theme="1" tint="0.34998626667073579"/>
      </top>
      <bottom style="thin">
        <color theme="1" tint="0.34998626667073579"/>
      </bottom>
      <diagonal/>
    </border>
    <border>
      <left/>
      <right/>
      <top style="thin">
        <color rgb="FF000000"/>
      </top>
      <bottom style="thin">
        <color rgb="FF000000"/>
      </bottom>
      <diagonal/>
    </border>
    <border>
      <left style="thin">
        <color theme="1" tint="0.34998626667073579"/>
      </left>
      <right style="thin">
        <color theme="1" tint="0.34998626667073579"/>
      </right>
      <top style="thin">
        <color theme="1" tint="0.34998626667073579"/>
      </top>
      <bottom style="medium">
        <color indexed="64"/>
      </bottom>
      <diagonal/>
    </border>
    <border>
      <left style="thin">
        <color theme="1" tint="0.34998626667073579"/>
      </left>
      <right style="medium">
        <color indexed="64"/>
      </right>
      <top style="thin">
        <color theme="1" tint="0.34998626667073579"/>
      </top>
      <bottom style="medium">
        <color indexed="64"/>
      </bottom>
      <diagonal/>
    </border>
    <border>
      <left/>
      <right/>
      <top style="thin">
        <color rgb="FF000000"/>
      </top>
      <bottom style="medium">
        <color theme="1" tint="0.34998626667073579"/>
      </bottom>
      <diagonal/>
    </border>
    <border>
      <left style="medium">
        <color indexed="64"/>
      </left>
      <right style="thin">
        <color rgb="FF000000"/>
      </right>
      <top style="medium">
        <color indexed="64"/>
      </top>
      <bottom style="thin">
        <color rgb="FF000000"/>
      </bottom>
      <diagonal/>
    </border>
    <border>
      <left style="thin">
        <color rgb="FF000000"/>
      </left>
      <right style="thin">
        <color rgb="FF000000"/>
      </right>
      <top style="medium">
        <color indexed="64"/>
      </top>
      <bottom style="thin">
        <color rgb="FF000000"/>
      </bottom>
      <diagonal/>
    </border>
    <border>
      <left style="thin">
        <color rgb="FF000000"/>
      </left>
      <right style="medium">
        <color indexed="64"/>
      </right>
      <top style="medium">
        <color indexed="64"/>
      </top>
      <bottom style="thin">
        <color rgb="FF000000"/>
      </bottom>
      <diagonal/>
    </border>
    <border>
      <left style="medium">
        <color indexed="64"/>
      </left>
      <right style="thin">
        <color rgb="FF000000"/>
      </right>
      <top style="thin">
        <color rgb="FF000000"/>
      </top>
      <bottom style="thin">
        <color rgb="FF000000"/>
      </bottom>
      <diagonal/>
    </border>
    <border>
      <left style="medium">
        <color indexed="64"/>
      </left>
      <right style="thin">
        <color rgb="FF000000"/>
      </right>
      <top style="thin">
        <color rgb="FF000000"/>
      </top>
      <bottom style="medium">
        <color indexed="64"/>
      </bottom>
      <diagonal/>
    </border>
    <border>
      <left style="thin">
        <color rgb="FF000000"/>
      </left>
      <right style="thin">
        <color rgb="FF000000"/>
      </right>
      <top style="thin">
        <color rgb="FF000000"/>
      </top>
      <bottom style="medium">
        <color indexed="64"/>
      </bottom>
      <diagonal/>
    </border>
    <border>
      <left style="thin">
        <color rgb="FF000000"/>
      </left>
      <right style="medium">
        <color indexed="64"/>
      </right>
      <top style="thin">
        <color rgb="FF000000"/>
      </top>
      <bottom style="medium">
        <color indexed="64"/>
      </bottom>
      <diagonal/>
    </border>
    <border>
      <left style="medium">
        <color indexed="64"/>
      </left>
      <right style="thin">
        <color rgb="FF000000"/>
      </right>
      <top style="medium">
        <color indexed="64"/>
      </top>
      <bottom/>
      <diagonal/>
    </border>
    <border>
      <left style="thin">
        <color rgb="FF000000"/>
      </left>
      <right style="thin">
        <color rgb="FF000000"/>
      </right>
      <top style="medium">
        <color indexed="64"/>
      </top>
      <bottom/>
      <diagonal/>
    </border>
    <border>
      <left style="medium">
        <color indexed="64"/>
      </left>
      <right style="thin">
        <color rgb="FF000000"/>
      </right>
      <top/>
      <bottom/>
      <diagonal/>
    </border>
    <border>
      <left style="medium">
        <color indexed="64"/>
      </left>
      <right style="thin">
        <color rgb="FF000000"/>
      </right>
      <top/>
      <bottom style="medium">
        <color indexed="64"/>
      </bottom>
      <diagonal/>
    </border>
    <border>
      <left style="thin">
        <color rgb="FF000000"/>
      </left>
      <right style="thin">
        <color rgb="FF000000"/>
      </right>
      <top/>
      <bottom style="medium">
        <color indexed="64"/>
      </bottom>
      <diagonal/>
    </border>
    <border>
      <left style="medium">
        <color indexed="64"/>
      </left>
      <right style="thin">
        <color rgb="FF000000"/>
      </right>
      <top style="thin">
        <color rgb="FF000000"/>
      </top>
      <bottom/>
      <diagonal/>
    </border>
    <border>
      <left style="medium">
        <color indexed="64"/>
      </left>
      <right style="thin">
        <color rgb="FF000000"/>
      </right>
      <top/>
      <bottom style="thin">
        <color rgb="FF000000"/>
      </bottom>
      <diagonal/>
    </border>
    <border>
      <left style="medium">
        <color indexed="64"/>
      </left>
      <right style="thin">
        <color indexed="64"/>
      </right>
      <top style="thin">
        <color indexed="64"/>
      </top>
      <bottom/>
      <diagonal/>
    </border>
    <border>
      <left style="medium">
        <color indexed="64"/>
      </left>
      <right style="thin">
        <color indexed="64"/>
      </right>
      <top style="medium">
        <color rgb="FF000000"/>
      </top>
      <bottom style="thin">
        <color indexed="64"/>
      </bottom>
      <diagonal/>
    </border>
    <border>
      <left style="thin">
        <color indexed="64"/>
      </left>
      <right/>
      <top style="medium">
        <color rgb="FF000000"/>
      </top>
      <bottom style="thin">
        <color indexed="64"/>
      </bottom>
      <diagonal/>
    </border>
    <border>
      <left style="thin">
        <color indexed="64"/>
      </left>
      <right/>
      <top style="medium">
        <color indexed="64"/>
      </top>
      <bottom style="thin">
        <color indexed="64"/>
      </bottom>
      <diagonal/>
    </border>
    <border>
      <left style="thin">
        <color indexed="64"/>
      </left>
      <right/>
      <top style="medium">
        <color indexed="64"/>
      </top>
      <bottom/>
      <diagonal/>
    </border>
    <border>
      <left style="thin">
        <color indexed="64"/>
      </left>
      <right style="medium">
        <color indexed="64"/>
      </right>
      <top style="medium">
        <color indexed="64"/>
      </top>
      <bottom/>
      <diagonal/>
    </border>
    <border>
      <left style="thin">
        <color indexed="64"/>
      </left>
      <right style="medium">
        <color indexed="64"/>
      </right>
      <top/>
      <bottom style="medium">
        <color indexed="64"/>
      </bottom>
      <diagonal/>
    </border>
  </borders>
  <cellStyleXfs count="13">
    <xf numFmtId="0" fontId="0" fillId="0" borderId="0"/>
    <xf numFmtId="0" fontId="1" fillId="0" borderId="0"/>
    <xf numFmtId="9" fontId="2" fillId="0" borderId="0" applyFont="0" applyFill="0" applyBorder="0" applyAlignment="0" applyProtection="0"/>
    <xf numFmtId="0" fontId="4" fillId="0" borderId="0" applyNumberFormat="0" applyFill="0" applyBorder="0" applyAlignment="0" applyProtection="0"/>
    <xf numFmtId="0" fontId="6" fillId="0" borderId="0"/>
    <xf numFmtId="0" fontId="8" fillId="0" borderId="0" applyNumberFormat="0" applyFill="0" applyBorder="0" applyAlignment="0" applyProtection="0"/>
    <xf numFmtId="43" fontId="2" fillId="0" borderId="0" applyFont="0" applyFill="0" applyBorder="0" applyAlignment="0" applyProtection="0"/>
    <xf numFmtId="0" fontId="2" fillId="0" borderId="0"/>
    <xf numFmtId="9" fontId="6" fillId="0" borderId="0" applyFont="0" applyFill="0" applyBorder="0" applyAlignment="0" applyProtection="0"/>
    <xf numFmtId="0" fontId="14" fillId="0" borderId="0"/>
    <xf numFmtId="0" fontId="16" fillId="0" borderId="0" applyNumberFormat="0" applyFill="0" applyBorder="0" applyAlignment="0" applyProtection="0"/>
    <xf numFmtId="0" fontId="6" fillId="0" borderId="0"/>
    <xf numFmtId="0" fontId="6" fillId="0" borderId="0"/>
  </cellStyleXfs>
  <cellXfs count="646">
    <xf numFmtId="0" fontId="0" fillId="0" borderId="0" xfId="0"/>
    <xf numFmtId="0" fontId="0" fillId="0" borderId="0" xfId="0" applyAlignment="1">
      <alignment horizontal="center" vertical="center"/>
    </xf>
    <xf numFmtId="0" fontId="12" fillId="0" borderId="0" xfId="0" applyFont="1"/>
    <xf numFmtId="0" fontId="12" fillId="0" borderId="0" xfId="0" applyFont="1" applyAlignment="1">
      <alignment horizontal="center" vertical="center"/>
    </xf>
    <xf numFmtId="0" fontId="6" fillId="0" borderId="0" xfId="0" applyFont="1"/>
    <xf numFmtId="0" fontId="6" fillId="0" borderId="0" xfId="0" applyFont="1" applyAlignment="1">
      <alignment horizontal="center"/>
    </xf>
    <xf numFmtId="0" fontId="7" fillId="0" borderId="0" xfId="0" applyFont="1"/>
    <xf numFmtId="0" fontId="6" fillId="0" borderId="0" xfId="0" applyFont="1" applyAlignment="1">
      <alignment horizontal="center" vertical="center"/>
    </xf>
    <xf numFmtId="0" fontId="6" fillId="0" borderId="0" xfId="0" applyFont="1" applyAlignment="1">
      <alignment vertical="center"/>
    </xf>
    <xf numFmtId="0" fontId="6" fillId="0" borderId="0" xfId="0" applyFont="1" applyAlignment="1">
      <alignment horizontal="center" vertical="center" wrapText="1"/>
    </xf>
    <xf numFmtId="0" fontId="16" fillId="0" borderId="0" xfId="5" applyFont="1"/>
    <xf numFmtId="0" fontId="15" fillId="0" borderId="0" xfId="0" applyFont="1" applyAlignment="1">
      <alignment vertical="center"/>
    </xf>
    <xf numFmtId="0" fontId="1" fillId="0" borderId="2" xfId="1" applyBorder="1" applyAlignment="1">
      <alignment vertical="center" wrapText="1"/>
    </xf>
    <xf numFmtId="3" fontId="1" fillId="0" borderId="2" xfId="1" applyNumberFormat="1" applyBorder="1" applyAlignment="1">
      <alignment horizontal="center" vertical="center" wrapText="1"/>
    </xf>
    <xf numFmtId="0" fontId="1" fillId="0" borderId="2" xfId="1" applyBorder="1" applyAlignment="1">
      <alignment vertical="center"/>
    </xf>
    <xf numFmtId="0" fontId="6" fillId="0" borderId="2" xfId="0" applyFont="1" applyBorder="1" applyAlignment="1">
      <alignment vertical="center"/>
    </xf>
    <xf numFmtId="0" fontId="6" fillId="0" borderId="2" xfId="0" applyFont="1" applyBorder="1" applyAlignment="1">
      <alignment vertical="center" wrapText="1"/>
    </xf>
    <xf numFmtId="0" fontId="19" fillId="5" borderId="2" xfId="0" applyFont="1" applyFill="1" applyBorder="1" applyAlignment="1">
      <alignment vertical="center"/>
    </xf>
    <xf numFmtId="0" fontId="19" fillId="5" borderId="2" xfId="0" applyFont="1" applyFill="1" applyBorder="1" applyAlignment="1">
      <alignment horizontal="left" vertical="center"/>
    </xf>
    <xf numFmtId="3" fontId="6" fillId="0" borderId="2" xfId="7" applyNumberFormat="1" applyFont="1" applyBorder="1" applyAlignment="1">
      <alignment horizontal="center" vertical="center"/>
    </xf>
    <xf numFmtId="1" fontId="1" fillId="0" borderId="2" xfId="7" applyNumberFormat="1" applyFont="1" applyBorder="1" applyAlignment="1">
      <alignment horizontal="center" vertical="center"/>
    </xf>
    <xf numFmtId="3" fontId="11" fillId="0" borderId="2" xfId="3" applyNumberFormat="1" applyFont="1" applyBorder="1" applyAlignment="1">
      <alignment horizontal="center" vertical="center" wrapText="1"/>
    </xf>
    <xf numFmtId="3" fontId="11" fillId="0" borderId="2" xfId="3" applyNumberFormat="1" applyFont="1" applyFill="1" applyBorder="1" applyAlignment="1">
      <alignment horizontal="center" vertical="center" wrapText="1"/>
    </xf>
    <xf numFmtId="0" fontId="1" fillId="0" borderId="0" xfId="0" applyFont="1" applyAlignment="1">
      <alignment vertical="top"/>
    </xf>
    <xf numFmtId="0" fontId="6" fillId="0" borderId="0" xfId="0" applyFont="1" applyAlignment="1">
      <alignment horizontal="center" vertical="top" wrapText="1"/>
    </xf>
    <xf numFmtId="0" fontId="6" fillId="0" borderId="0" xfId="0" applyFont="1" applyAlignment="1">
      <alignment horizontal="left" vertical="top" wrapText="1"/>
    </xf>
    <xf numFmtId="0" fontId="7" fillId="2" borderId="0" xfId="0" applyFont="1" applyFill="1"/>
    <xf numFmtId="0" fontId="7" fillId="2" borderId="0" xfId="0" applyFont="1" applyFill="1" applyAlignment="1">
      <alignment wrapText="1"/>
    </xf>
    <xf numFmtId="0" fontId="7" fillId="2" borderId="0" xfId="0" applyFont="1" applyFill="1" applyAlignment="1">
      <alignment horizontal="left"/>
    </xf>
    <xf numFmtId="0" fontId="7" fillId="2" borderId="0" xfId="0" applyFont="1" applyFill="1" applyAlignment="1">
      <alignment horizontal="center"/>
    </xf>
    <xf numFmtId="0" fontId="20" fillId="5" borderId="2" xfId="0" applyFont="1" applyFill="1" applyBorder="1" applyAlignment="1">
      <alignment horizontal="center" vertical="center" wrapText="1"/>
    </xf>
    <xf numFmtId="0" fontId="19" fillId="5" borderId="2" xfId="0" applyFont="1" applyFill="1" applyBorder="1" applyAlignment="1">
      <alignment horizontal="center" vertical="center"/>
    </xf>
    <xf numFmtId="9" fontId="6" fillId="0" borderId="0" xfId="2" applyFont="1" applyFill="1" applyBorder="1" applyAlignment="1">
      <alignment horizontal="center" vertical="center"/>
    </xf>
    <xf numFmtId="0" fontId="7" fillId="0" borderId="0" xfId="0" applyFont="1" applyAlignment="1">
      <alignment horizontal="left" vertical="center" wrapText="1"/>
    </xf>
    <xf numFmtId="1" fontId="6" fillId="0" borderId="0" xfId="0" applyNumberFormat="1" applyFont="1"/>
    <xf numFmtId="9" fontId="6" fillId="0" borderId="0" xfId="2" applyFont="1" applyFill="1" applyBorder="1"/>
    <xf numFmtId="9" fontId="6" fillId="0" borderId="0" xfId="0" applyNumberFormat="1" applyFont="1"/>
    <xf numFmtId="9" fontId="7" fillId="0" borderId="0" xfId="2" applyFont="1" applyFill="1" applyBorder="1"/>
    <xf numFmtId="164" fontId="6" fillId="0" borderId="0" xfId="0" applyNumberFormat="1" applyFont="1"/>
    <xf numFmtId="0" fontId="23" fillId="0" borderId="0" xfId="0" applyFont="1" applyAlignment="1">
      <alignment horizontal="left" vertical="center"/>
    </xf>
    <xf numFmtId="0" fontId="21" fillId="0" borderId="0" xfId="0" applyFont="1" applyAlignment="1">
      <alignment wrapText="1"/>
    </xf>
    <xf numFmtId="0" fontId="6" fillId="0" borderId="24" xfId="4" applyBorder="1" applyAlignment="1">
      <alignment horizontal="center" vertical="center"/>
    </xf>
    <xf numFmtId="0" fontId="24" fillId="5" borderId="12" xfId="0" applyFont="1" applyFill="1" applyBorder="1" applyAlignment="1">
      <alignment horizontal="center" vertical="center" wrapText="1"/>
    </xf>
    <xf numFmtId="3" fontId="6" fillId="0" borderId="2" xfId="0" applyNumberFormat="1" applyFont="1" applyBorder="1" applyAlignment="1">
      <alignment horizontal="center" vertical="center"/>
    </xf>
    <xf numFmtId="2" fontId="6" fillId="0" borderId="24" xfId="0" applyNumberFormat="1" applyFont="1" applyBorder="1" applyAlignment="1">
      <alignment horizontal="center" vertical="center"/>
    </xf>
    <xf numFmtId="0" fontId="22" fillId="0" borderId="0" xfId="0" applyFont="1" applyAlignment="1">
      <alignment horizontal="center" vertical="center"/>
    </xf>
    <xf numFmtId="0" fontId="25" fillId="3" borderId="0" xfId="0" applyFont="1" applyFill="1" applyAlignment="1">
      <alignment vertical="center" wrapText="1"/>
    </xf>
    <xf numFmtId="0" fontId="22" fillId="3" borderId="0" xfId="0" applyFont="1" applyFill="1" applyAlignment="1">
      <alignment horizontal="center" vertical="center"/>
    </xf>
    <xf numFmtId="0" fontId="19" fillId="5" borderId="27" xfId="0" applyFont="1" applyFill="1" applyBorder="1" applyAlignment="1">
      <alignment horizontal="center" vertical="center" wrapText="1"/>
    </xf>
    <xf numFmtId="168" fontId="6" fillId="0" borderId="24" xfId="6" applyNumberFormat="1" applyFont="1" applyBorder="1" applyAlignment="1">
      <alignment horizontal="center" vertical="center"/>
    </xf>
    <xf numFmtId="0" fontId="23" fillId="0" borderId="0" xfId="0" applyFont="1" applyAlignment="1">
      <alignment horizontal="left"/>
    </xf>
    <xf numFmtId="0" fontId="24" fillId="0" borderId="0" xfId="0" applyFont="1" applyAlignment="1">
      <alignment horizontal="left" vertical="center" wrapText="1"/>
    </xf>
    <xf numFmtId="0" fontId="24" fillId="0" borderId="0" xfId="0" applyFont="1" applyAlignment="1">
      <alignment horizontal="left" vertical="center"/>
    </xf>
    <xf numFmtId="0" fontId="24" fillId="0" borderId="0" xfId="0" applyFont="1" applyAlignment="1">
      <alignment horizontal="center" vertical="center" wrapText="1"/>
    </xf>
    <xf numFmtId="10" fontId="6" fillId="0" borderId="0" xfId="8" applyNumberFormat="1" applyFont="1" applyFill="1" applyBorder="1" applyAlignment="1">
      <alignment horizontal="center"/>
    </xf>
    <xf numFmtId="0" fontId="7" fillId="0" borderId="0" xfId="4" applyFont="1" applyAlignment="1">
      <alignment horizontal="center"/>
    </xf>
    <xf numFmtId="3" fontId="6" fillId="0" borderId="0" xfId="0" applyNumberFormat="1" applyFont="1" applyAlignment="1">
      <alignment horizontal="center" vertical="center"/>
    </xf>
    <xf numFmtId="3" fontId="6" fillId="0" borderId="0" xfId="0" applyNumberFormat="1" applyFont="1"/>
    <xf numFmtId="0" fontId="13" fillId="0" borderId="0" xfId="0" applyFont="1" applyAlignment="1">
      <alignment vertical="center"/>
    </xf>
    <xf numFmtId="0" fontId="26" fillId="0" borderId="0" xfId="0" applyFont="1"/>
    <xf numFmtId="0" fontId="27" fillId="2" borderId="0" xfId="0" applyFont="1" applyFill="1"/>
    <xf numFmtId="0" fontId="26" fillId="0" borderId="0" xfId="0" applyFont="1" applyAlignment="1">
      <alignment wrapText="1"/>
    </xf>
    <xf numFmtId="0" fontId="26" fillId="0" borderId="0" xfId="0" applyFont="1" applyAlignment="1">
      <alignment horizontal="center"/>
    </xf>
    <xf numFmtId="166" fontId="1" fillId="0" borderId="2" xfId="1" applyNumberFormat="1" applyBorder="1" applyAlignment="1">
      <alignment horizontal="center" vertical="center" wrapText="1"/>
    </xf>
    <xf numFmtId="0" fontId="8" fillId="0" borderId="0" xfId="5" applyAlignment="1">
      <alignment vertical="center"/>
    </xf>
    <xf numFmtId="0" fontId="6" fillId="0" borderId="0" xfId="4" applyAlignment="1">
      <alignment horizontal="center" vertical="center"/>
    </xf>
    <xf numFmtId="9" fontId="6" fillId="0" borderId="0" xfId="0" applyNumberFormat="1" applyFont="1" applyAlignment="1">
      <alignment horizontal="center"/>
    </xf>
    <xf numFmtId="9" fontId="6" fillId="0" borderId="0" xfId="0" applyNumberFormat="1" applyFont="1" applyAlignment="1">
      <alignment horizontal="left"/>
    </xf>
    <xf numFmtId="0" fontId="11" fillId="0" borderId="2" xfId="0" applyFont="1" applyBorder="1" applyAlignment="1">
      <alignment horizontal="center" vertical="center" wrapText="1"/>
    </xf>
    <xf numFmtId="10" fontId="6" fillId="0" borderId="2" xfId="0" applyNumberFormat="1" applyFont="1" applyBorder="1" applyAlignment="1">
      <alignment horizontal="center" vertical="center" wrapText="1"/>
    </xf>
    <xf numFmtId="0" fontId="1" fillId="0" borderId="2" xfId="0" applyFont="1" applyBorder="1" applyAlignment="1">
      <alignment horizontal="left" vertical="center"/>
    </xf>
    <xf numFmtId="0" fontId="11" fillId="0" borderId="2" xfId="3" applyFont="1" applyFill="1" applyBorder="1" applyAlignment="1">
      <alignment horizontal="left" vertical="top" wrapText="1"/>
    </xf>
    <xf numFmtId="2" fontId="1" fillId="0" borderId="2" xfId="0" applyNumberFormat="1" applyFont="1" applyBorder="1" applyAlignment="1">
      <alignment horizontal="center" vertical="center"/>
    </xf>
    <xf numFmtId="9" fontId="11" fillId="0" borderId="2" xfId="2" applyFont="1" applyBorder="1" applyAlignment="1">
      <alignment horizontal="center" vertical="center" wrapText="1"/>
    </xf>
    <xf numFmtId="3" fontId="11" fillId="0" borderId="2" xfId="0" applyNumberFormat="1" applyFont="1" applyBorder="1" applyAlignment="1">
      <alignment horizontal="center" vertical="center" wrapText="1"/>
    </xf>
    <xf numFmtId="3" fontId="1" fillId="0" borderId="2" xfId="0" applyNumberFormat="1" applyFont="1" applyBorder="1" applyAlignment="1">
      <alignment horizontal="center" vertical="center"/>
    </xf>
    <xf numFmtId="0" fontId="1" fillId="0" borderId="0" xfId="0" applyFont="1" applyAlignment="1">
      <alignment horizontal="center" vertical="center" wrapText="1"/>
    </xf>
    <xf numFmtId="0" fontId="29" fillId="0" borderId="0" xfId="0" applyFont="1"/>
    <xf numFmtId="169" fontId="29" fillId="0" borderId="0" xfId="0" applyNumberFormat="1" applyFont="1"/>
    <xf numFmtId="0" fontId="7" fillId="5" borderId="27" xfId="0" applyFont="1" applyFill="1" applyBorder="1" applyAlignment="1">
      <alignment horizontal="center" vertical="center" wrapText="1"/>
    </xf>
    <xf numFmtId="9" fontId="6" fillId="0" borderId="2" xfId="0" applyNumberFormat="1" applyFont="1" applyBorder="1" applyAlignment="1">
      <alignment horizontal="center"/>
    </xf>
    <xf numFmtId="0" fontId="22" fillId="0" borderId="3" xfId="0" applyFont="1" applyBorder="1" applyAlignment="1">
      <alignment horizontal="left"/>
    </xf>
    <xf numFmtId="0" fontId="22" fillId="0" borderId="11" xfId="0" applyFont="1" applyBorder="1" applyAlignment="1">
      <alignment horizontal="left"/>
    </xf>
    <xf numFmtId="0" fontId="30" fillId="0" borderId="49" xfId="0" applyFont="1" applyBorder="1"/>
    <xf numFmtId="0" fontId="30" fillId="0" borderId="0" xfId="0" applyFont="1"/>
    <xf numFmtId="0" fontId="31" fillId="0" borderId="50" xfId="0" applyFont="1" applyBorder="1" applyAlignment="1">
      <alignment horizontal="right" vertical="center" wrapText="1"/>
    </xf>
    <xf numFmtId="0" fontId="30" fillId="0" borderId="0" xfId="0" applyFont="1" applyAlignment="1">
      <alignment wrapText="1"/>
    </xf>
    <xf numFmtId="0" fontId="30" fillId="0" borderId="0" xfId="0" applyFont="1" applyAlignment="1">
      <alignment horizontal="center"/>
    </xf>
    <xf numFmtId="0" fontId="31" fillId="0" borderId="0" xfId="0" applyFont="1" applyAlignment="1">
      <alignment vertical="center"/>
    </xf>
    <xf numFmtId="0" fontId="31" fillId="11" borderId="0" xfId="0" applyFont="1" applyFill="1" applyAlignment="1">
      <alignment vertical="center"/>
    </xf>
    <xf numFmtId="0" fontId="31" fillId="0" borderId="0" xfId="0" applyFont="1" applyAlignment="1">
      <alignment wrapText="1"/>
    </xf>
    <xf numFmtId="0" fontId="31" fillId="0" borderId="0" xfId="0" applyFont="1"/>
    <xf numFmtId="0" fontId="31" fillId="0" borderId="0" xfId="0" applyFont="1" applyAlignment="1">
      <alignment vertical="center" wrapText="1"/>
    </xf>
    <xf numFmtId="0" fontId="31" fillId="0" borderId="0" xfId="0" applyFont="1" applyAlignment="1">
      <alignment horizontal="center" wrapText="1"/>
    </xf>
    <xf numFmtId="0" fontId="31" fillId="0" borderId="0" xfId="0" applyFont="1" applyAlignment="1">
      <alignment horizontal="right" wrapText="1"/>
    </xf>
    <xf numFmtId="0" fontId="31" fillId="0" borderId="0" xfId="0" applyFont="1" applyAlignment="1">
      <alignment horizontal="right"/>
    </xf>
    <xf numFmtId="0" fontId="30" fillId="0" borderId="14" xfId="0" applyFont="1" applyBorder="1"/>
    <xf numFmtId="0" fontId="30" fillId="0" borderId="15" xfId="0" applyFont="1" applyBorder="1"/>
    <xf numFmtId="0" fontId="30" fillId="0" borderId="18" xfId="0" applyFont="1" applyBorder="1"/>
    <xf numFmtId="0" fontId="31" fillId="0" borderId="51" xfId="0" applyFont="1" applyBorder="1" applyAlignment="1">
      <alignment horizontal="right" vertical="center" wrapText="1"/>
    </xf>
    <xf numFmtId="0" fontId="30" fillId="0" borderId="52" xfId="0" applyFont="1" applyBorder="1"/>
    <xf numFmtId="0" fontId="31" fillId="0" borderId="20" xfId="0" applyFont="1" applyBorder="1" applyAlignment="1">
      <alignment horizontal="right" vertical="center" wrapText="1"/>
    </xf>
    <xf numFmtId="0" fontId="31" fillId="0" borderId="21" xfId="0" applyFont="1" applyBorder="1" applyAlignment="1">
      <alignment horizontal="right" vertical="center" wrapText="1"/>
    </xf>
    <xf numFmtId="2" fontId="30" fillId="0" borderId="0" xfId="0" applyNumberFormat="1" applyFont="1"/>
    <xf numFmtId="2" fontId="30" fillId="0" borderId="18" xfId="0" applyNumberFormat="1" applyFont="1" applyBorder="1"/>
    <xf numFmtId="0" fontId="30" fillId="0" borderId="50" xfId="0" applyFont="1" applyBorder="1"/>
    <xf numFmtId="0" fontId="30" fillId="0" borderId="45" xfId="0" applyFont="1" applyBorder="1" applyAlignment="1">
      <alignment horizontal="center" vertical="center"/>
    </xf>
    <xf numFmtId="0" fontId="30" fillId="0" borderId="40" xfId="0" applyFont="1" applyBorder="1" applyAlignment="1">
      <alignment horizontal="center" vertical="center"/>
    </xf>
    <xf numFmtId="0" fontId="30" fillId="0" borderId="44" xfId="0" applyFont="1" applyBorder="1" applyAlignment="1">
      <alignment horizontal="center" vertical="center"/>
    </xf>
    <xf numFmtId="0" fontId="30" fillId="0" borderId="0" xfId="0" applyFont="1" applyAlignment="1">
      <alignment vertical="center" wrapText="1"/>
    </xf>
    <xf numFmtId="0" fontId="30" fillId="0" borderId="41" xfId="0" applyFont="1" applyBorder="1" applyAlignment="1">
      <alignment horizontal="center" vertical="center"/>
    </xf>
    <xf numFmtId="0" fontId="30" fillId="0" borderId="20" xfId="0" applyFont="1" applyBorder="1"/>
    <xf numFmtId="0" fontId="7" fillId="5" borderId="55" xfId="0" applyFont="1" applyFill="1" applyBorder="1" applyAlignment="1">
      <alignment horizontal="center" vertical="center"/>
    </xf>
    <xf numFmtId="0" fontId="7" fillId="10" borderId="55" xfId="0" applyFont="1" applyFill="1" applyBorder="1" applyAlignment="1">
      <alignment horizontal="center" vertical="center" wrapText="1"/>
    </xf>
    <xf numFmtId="0" fontId="7" fillId="10" borderId="56" xfId="0" applyFont="1" applyFill="1" applyBorder="1" applyAlignment="1">
      <alignment horizontal="center" vertical="center"/>
    </xf>
    <xf numFmtId="0" fontId="24" fillId="10" borderId="55" xfId="0" applyFont="1" applyFill="1" applyBorder="1" applyAlignment="1">
      <alignment horizontal="center" vertical="center"/>
    </xf>
    <xf numFmtId="0" fontId="32" fillId="3" borderId="59" xfId="0" applyFont="1" applyFill="1" applyBorder="1" applyAlignment="1">
      <alignment horizontal="left" vertical="center"/>
    </xf>
    <xf numFmtId="0" fontId="6" fillId="3" borderId="60" xfId="0" applyFont="1" applyFill="1" applyBorder="1" applyAlignment="1">
      <alignment horizontal="left" vertical="center"/>
    </xf>
    <xf numFmtId="0" fontId="6" fillId="3" borderId="60" xfId="0" applyFont="1" applyFill="1" applyBorder="1" applyAlignment="1">
      <alignment vertical="center"/>
    </xf>
    <xf numFmtId="0" fontId="23" fillId="3" borderId="60" xfId="0" applyFont="1" applyFill="1" applyBorder="1" applyAlignment="1">
      <alignment horizontal="center" vertical="center" wrapText="1"/>
    </xf>
    <xf numFmtId="0" fontId="6" fillId="3" borderId="60" xfId="0" applyFont="1" applyFill="1" applyBorder="1"/>
    <xf numFmtId="0" fontId="6" fillId="3" borderId="61" xfId="0" applyFont="1" applyFill="1" applyBorder="1"/>
    <xf numFmtId="0" fontId="32" fillId="3" borderId="62" xfId="0" applyFont="1" applyFill="1" applyBorder="1" applyAlignment="1">
      <alignment horizontal="left" vertical="center"/>
    </xf>
    <xf numFmtId="0" fontId="6" fillId="3" borderId="0" xfId="0" applyFont="1" applyFill="1"/>
    <xf numFmtId="9" fontId="6" fillId="3" borderId="0" xfId="0" applyNumberFormat="1" applyFont="1" applyFill="1"/>
    <xf numFmtId="0" fontId="6" fillId="3" borderId="63" xfId="0" applyFont="1" applyFill="1" applyBorder="1"/>
    <xf numFmtId="0" fontId="7" fillId="5" borderId="56" xfId="0" applyFont="1" applyFill="1" applyBorder="1" applyAlignment="1">
      <alignment horizontal="center" vertical="center" wrapText="1"/>
    </xf>
    <xf numFmtId="0" fontId="7" fillId="5" borderId="56" xfId="0" applyFont="1" applyFill="1" applyBorder="1" applyAlignment="1">
      <alignment horizontal="center" vertical="center"/>
    </xf>
    <xf numFmtId="1" fontId="6" fillId="0" borderId="55" xfId="2" applyNumberFormat="1" applyFont="1" applyFill="1" applyBorder="1" applyAlignment="1">
      <alignment horizontal="center" vertical="center"/>
    </xf>
    <xf numFmtId="1" fontId="6" fillId="0" borderId="55" xfId="0" applyNumberFormat="1" applyFont="1" applyBorder="1" applyAlignment="1">
      <alignment horizontal="center" vertical="center"/>
    </xf>
    <xf numFmtId="0" fontId="6" fillId="0" borderId="55" xfId="0" applyFont="1" applyBorder="1" applyAlignment="1">
      <alignment vertical="center" wrapText="1"/>
    </xf>
    <xf numFmtId="0" fontId="19" fillId="5" borderId="55" xfId="0" applyFont="1" applyFill="1" applyBorder="1" applyAlignment="1">
      <alignment horizontal="center" vertical="center" wrapText="1"/>
    </xf>
    <xf numFmtId="0" fontId="9" fillId="0" borderId="0" xfId="0" applyFont="1" applyAlignment="1">
      <alignment vertical="center"/>
    </xf>
    <xf numFmtId="0" fontId="12" fillId="0" borderId="0" xfId="0" applyFont="1" applyAlignment="1">
      <alignment vertical="center" wrapText="1"/>
    </xf>
    <xf numFmtId="2" fontId="6" fillId="0" borderId="0" xfId="0" applyNumberFormat="1" applyFont="1" applyAlignment="1">
      <alignment horizontal="center" vertical="center" wrapText="1"/>
    </xf>
    <xf numFmtId="0" fontId="17" fillId="0" borderId="0" xfId="0" applyFont="1" applyAlignment="1">
      <alignment vertical="center"/>
    </xf>
    <xf numFmtId="0" fontId="17" fillId="0" borderId="0" xfId="0" applyFont="1" applyAlignment="1">
      <alignment vertical="center" wrapText="1"/>
    </xf>
    <xf numFmtId="0" fontId="0" fillId="0" borderId="0" xfId="0" applyAlignment="1">
      <alignment vertical="center" wrapText="1"/>
    </xf>
    <xf numFmtId="0" fontId="9" fillId="0" borderId="0" xfId="0" applyFont="1"/>
    <xf numFmtId="2" fontId="1" fillId="0" borderId="2" xfId="0" applyNumberFormat="1" applyFont="1" applyBorder="1" applyAlignment="1">
      <alignment horizontal="center" vertical="center" wrapText="1"/>
    </xf>
    <xf numFmtId="3" fontId="7" fillId="0" borderId="0" xfId="0" applyNumberFormat="1" applyFont="1" applyAlignment="1">
      <alignment vertical="center"/>
    </xf>
    <xf numFmtId="3" fontId="6" fillId="0" borderId="0" xfId="0" applyNumberFormat="1" applyFont="1" applyAlignment="1">
      <alignment vertical="center"/>
    </xf>
    <xf numFmtId="3" fontId="6" fillId="0" borderId="0" xfId="0" applyNumberFormat="1" applyFont="1" applyAlignment="1">
      <alignment vertical="center" wrapText="1"/>
    </xf>
    <xf numFmtId="0" fontId="24" fillId="5" borderId="12" xfId="0" applyFont="1" applyFill="1" applyBorder="1" applyAlignment="1">
      <alignment horizontal="left" vertical="center" wrapText="1"/>
    </xf>
    <xf numFmtId="0" fontId="24" fillId="5" borderId="55" xfId="0" applyFont="1" applyFill="1" applyBorder="1" applyAlignment="1">
      <alignment horizontal="center" vertical="center" wrapText="1"/>
    </xf>
    <xf numFmtId="0" fontId="6" fillId="0" borderId="2" xfId="0" applyFont="1" applyBorder="1" applyAlignment="1">
      <alignment horizontal="right" vertical="center"/>
    </xf>
    <xf numFmtId="170" fontId="6" fillId="0" borderId="2" xfId="0" applyNumberFormat="1" applyFont="1" applyBorder="1" applyAlignment="1">
      <alignment vertical="center"/>
    </xf>
    <xf numFmtId="0" fontId="6" fillId="0" borderId="11" xfId="0" applyFont="1" applyBorder="1" applyAlignment="1">
      <alignment vertical="center" wrapText="1"/>
    </xf>
    <xf numFmtId="168" fontId="6" fillId="0" borderId="11" xfId="6" applyNumberFormat="1" applyFont="1" applyBorder="1" applyAlignment="1">
      <alignment horizontal="right" vertical="center"/>
    </xf>
    <xf numFmtId="170" fontId="1" fillId="0" borderId="2" xfId="0" applyNumberFormat="1" applyFont="1" applyBorder="1" applyAlignment="1">
      <alignment vertical="center"/>
    </xf>
    <xf numFmtId="0" fontId="6" fillId="0" borderId="12" xfId="0" applyFont="1" applyBorder="1" applyAlignment="1">
      <alignment vertical="center"/>
    </xf>
    <xf numFmtId="0" fontId="6" fillId="0" borderId="15" xfId="0" applyFont="1" applyBorder="1" applyAlignment="1">
      <alignment vertical="center"/>
    </xf>
    <xf numFmtId="168" fontId="6" fillId="0" borderId="15" xfId="6" applyNumberFormat="1" applyFont="1" applyBorder="1" applyAlignment="1">
      <alignment horizontal="right" vertical="center"/>
    </xf>
    <xf numFmtId="170" fontId="1" fillId="6" borderId="11" xfId="0" applyNumberFormat="1" applyFont="1" applyFill="1" applyBorder="1" applyAlignment="1">
      <alignment vertical="center"/>
    </xf>
    <xf numFmtId="0" fontId="0" fillId="0" borderId="0" xfId="0" applyAlignment="1">
      <alignment horizontal="left" vertical="center"/>
    </xf>
    <xf numFmtId="170" fontId="33" fillId="0" borderId="0" xfId="0" applyNumberFormat="1" applyFont="1" applyAlignment="1">
      <alignment vertical="center"/>
    </xf>
    <xf numFmtId="0" fontId="17" fillId="0" borderId="0" xfId="0" applyFont="1"/>
    <xf numFmtId="170" fontId="33" fillId="0" borderId="0" xfId="0" applyNumberFormat="1" applyFont="1"/>
    <xf numFmtId="3" fontId="6" fillId="0" borderId="0" xfId="0" applyNumberFormat="1" applyFont="1" applyAlignment="1">
      <alignment horizontal="left"/>
    </xf>
    <xf numFmtId="0" fontId="34" fillId="0" borderId="0" xfId="0" applyFont="1"/>
    <xf numFmtId="0" fontId="6" fillId="4" borderId="69" xfId="0" applyFont="1" applyFill="1" applyBorder="1"/>
    <xf numFmtId="0" fontId="6" fillId="4" borderId="69" xfId="0" applyFont="1" applyFill="1" applyBorder="1" applyAlignment="1">
      <alignment horizontal="center" vertical="center"/>
    </xf>
    <xf numFmtId="3" fontId="6" fillId="0" borderId="69" xfId="0" applyNumberFormat="1" applyFont="1" applyBorder="1" applyAlignment="1">
      <alignment horizontal="center"/>
    </xf>
    <xf numFmtId="168" fontId="1" fillId="0" borderId="2" xfId="6" applyNumberFormat="1" applyFont="1" applyBorder="1" applyAlignment="1">
      <alignment horizontal="right" vertical="center" wrapText="1"/>
    </xf>
    <xf numFmtId="0" fontId="1" fillId="0" borderId="55" xfId="1" quotePrefix="1" applyBorder="1" applyAlignment="1">
      <alignment horizontal="center" vertical="center" wrapText="1"/>
    </xf>
    <xf numFmtId="0" fontId="36" fillId="0" borderId="24" xfId="0" applyFont="1" applyBorder="1" applyAlignment="1">
      <alignment horizontal="left" vertical="top" wrapText="1"/>
    </xf>
    <xf numFmtId="168" fontId="36" fillId="0" borderId="24" xfId="6" applyNumberFormat="1" applyFont="1" applyBorder="1" applyAlignment="1">
      <alignment horizontal="center" vertical="center" wrapText="1"/>
    </xf>
    <xf numFmtId="0" fontId="30" fillId="0" borderId="70" xfId="0" applyFont="1" applyBorder="1" applyAlignment="1">
      <alignment horizontal="center" vertical="center"/>
    </xf>
    <xf numFmtId="0" fontId="30" fillId="0" borderId="28" xfId="0" applyFont="1" applyBorder="1" applyAlignment="1">
      <alignment horizontal="center" vertical="center"/>
    </xf>
    <xf numFmtId="0" fontId="30" fillId="0" borderId="71" xfId="0" applyFont="1" applyBorder="1" applyAlignment="1">
      <alignment horizontal="center" vertical="center"/>
    </xf>
    <xf numFmtId="0" fontId="30" fillId="0" borderId="72" xfId="0" applyFont="1" applyBorder="1" applyAlignment="1">
      <alignment horizontal="center" vertical="center"/>
    </xf>
    <xf numFmtId="0" fontId="7" fillId="5" borderId="27" xfId="0" applyFont="1" applyFill="1" applyBorder="1" applyAlignment="1">
      <alignment horizontal="center" vertical="center"/>
    </xf>
    <xf numFmtId="0" fontId="19" fillId="5" borderId="12" xfId="0" applyFont="1" applyFill="1" applyBorder="1" applyAlignment="1">
      <alignment horizontal="center" vertical="center" wrapText="1"/>
    </xf>
    <xf numFmtId="165" fontId="6" fillId="0" borderId="0" xfId="0" applyNumberFormat="1" applyFont="1" applyAlignment="1">
      <alignment horizontal="center" vertical="center"/>
    </xf>
    <xf numFmtId="2" fontId="22" fillId="0" borderId="1" xfId="0" applyNumberFormat="1" applyFont="1" applyBorder="1" applyAlignment="1">
      <alignment horizontal="center" vertical="center"/>
    </xf>
    <xf numFmtId="2" fontId="22" fillId="0" borderId="5" xfId="0" applyNumberFormat="1" applyFont="1" applyBorder="1" applyAlignment="1">
      <alignment horizontal="center" vertical="center"/>
    </xf>
    <xf numFmtId="2" fontId="22" fillId="0" borderId="2" xfId="0" applyNumberFormat="1" applyFont="1" applyBorder="1" applyAlignment="1">
      <alignment horizontal="center" vertical="center"/>
    </xf>
    <xf numFmtId="2" fontId="22" fillId="0" borderId="7" xfId="0" applyNumberFormat="1" applyFont="1" applyBorder="1" applyAlignment="1">
      <alignment horizontal="center" vertical="center"/>
    </xf>
    <xf numFmtId="2" fontId="22" fillId="0" borderId="30" xfId="0" applyNumberFormat="1" applyFont="1" applyBorder="1" applyAlignment="1">
      <alignment horizontal="center" vertical="center"/>
    </xf>
    <xf numFmtId="2" fontId="22" fillId="0" borderId="9" xfId="0" applyNumberFormat="1" applyFont="1" applyBorder="1" applyAlignment="1">
      <alignment horizontal="center" vertical="center"/>
    </xf>
    <xf numFmtId="2" fontId="22" fillId="0" borderId="12" xfId="0" applyNumberFormat="1" applyFont="1" applyBorder="1" applyAlignment="1">
      <alignment horizontal="center" vertical="center"/>
    </xf>
    <xf numFmtId="2" fontId="22" fillId="0" borderId="73" xfId="0" applyNumberFormat="1" applyFont="1" applyBorder="1" applyAlignment="1">
      <alignment horizontal="center" vertical="center"/>
    </xf>
    <xf numFmtId="0" fontId="8" fillId="0" borderId="0" xfId="5" applyAlignment="1">
      <alignment horizontal="left"/>
    </xf>
    <xf numFmtId="0" fontId="19" fillId="5" borderId="66" xfId="0" applyFont="1" applyFill="1" applyBorder="1" applyAlignment="1">
      <alignment horizontal="center" vertical="center" wrapText="1"/>
    </xf>
    <xf numFmtId="0" fontId="14" fillId="0" borderId="0" xfId="0" applyFont="1"/>
    <xf numFmtId="0" fontId="1" fillId="0" borderId="2" xfId="0" applyFont="1" applyBorder="1" applyAlignment="1">
      <alignment horizontal="center" vertical="center" wrapText="1"/>
    </xf>
    <xf numFmtId="0" fontId="6" fillId="0" borderId="50" xfId="0" applyFont="1" applyBorder="1"/>
    <xf numFmtId="0" fontId="17" fillId="0" borderId="50" xfId="0" applyFont="1" applyBorder="1" applyAlignment="1">
      <alignment horizontal="right" vertical="center" wrapText="1"/>
    </xf>
    <xf numFmtId="0" fontId="17" fillId="0" borderId="51" xfId="0" applyFont="1" applyBorder="1" applyAlignment="1">
      <alignment horizontal="right" vertical="center" wrapText="1"/>
    </xf>
    <xf numFmtId="0" fontId="26" fillId="0" borderId="0" xfId="0" applyFont="1" applyAlignment="1">
      <alignment vertical="center"/>
    </xf>
    <xf numFmtId="3" fontId="6" fillId="0" borderId="55" xfId="2" applyNumberFormat="1" applyFont="1" applyFill="1" applyBorder="1" applyAlignment="1">
      <alignment horizontal="center" vertical="center"/>
    </xf>
    <xf numFmtId="10" fontId="6" fillId="0" borderId="55" xfId="2" applyNumberFormat="1" applyFont="1" applyFill="1" applyBorder="1" applyAlignment="1">
      <alignment horizontal="center" vertical="center"/>
    </xf>
    <xf numFmtId="0" fontId="6" fillId="0" borderId="55" xfId="0" applyFont="1" applyBorder="1" applyAlignment="1">
      <alignment vertical="center"/>
    </xf>
    <xf numFmtId="0" fontId="12" fillId="0" borderId="0" xfId="0" applyFont="1" applyAlignment="1">
      <alignment vertical="center"/>
    </xf>
    <xf numFmtId="3" fontId="6" fillId="0" borderId="55" xfId="6" applyNumberFormat="1" applyFont="1" applyFill="1" applyBorder="1" applyAlignment="1">
      <alignment horizontal="center" vertical="center"/>
    </xf>
    <xf numFmtId="0" fontId="23" fillId="0" borderId="0" xfId="0" applyFont="1" applyAlignment="1">
      <alignment wrapText="1"/>
    </xf>
    <xf numFmtId="0" fontId="8" fillId="0" borderId="0" xfId="5" applyAlignment="1">
      <alignment horizontal="left" vertical="top"/>
    </xf>
    <xf numFmtId="1" fontId="11" fillId="0" borderId="66" xfId="3" applyNumberFormat="1" applyFont="1" applyBorder="1" applyAlignment="1">
      <alignment horizontal="center" vertical="center" wrapText="1"/>
    </xf>
    <xf numFmtId="168" fontId="6" fillId="0" borderId="66" xfId="6" applyNumberFormat="1" applyFont="1" applyBorder="1" applyAlignment="1">
      <alignment horizontal="center" vertical="center" wrapText="1"/>
    </xf>
    <xf numFmtId="168" fontId="6" fillId="0" borderId="66" xfId="6" applyNumberFormat="1" applyFont="1" applyBorder="1" applyAlignment="1">
      <alignment horizontal="center" vertical="center"/>
    </xf>
    <xf numFmtId="0" fontId="6" fillId="0" borderId="66" xfId="0" applyFont="1" applyBorder="1" applyAlignment="1">
      <alignment horizontal="center" vertical="center" wrapText="1"/>
    </xf>
    <xf numFmtId="168" fontId="6" fillId="0" borderId="66" xfId="0" applyNumberFormat="1" applyFont="1" applyBorder="1" applyAlignment="1">
      <alignment horizontal="center" vertical="center"/>
    </xf>
    <xf numFmtId="0" fontId="11" fillId="0" borderId="66" xfId="3" applyFont="1" applyBorder="1" applyAlignment="1">
      <alignment horizontal="center" vertical="center" wrapText="1"/>
    </xf>
    <xf numFmtId="0" fontId="6" fillId="0" borderId="2" xfId="0" applyFont="1" applyBorder="1" applyAlignment="1">
      <alignment horizontal="left" vertical="center"/>
    </xf>
    <xf numFmtId="0" fontId="8" fillId="0" borderId="0" xfId="5" applyBorder="1" applyAlignment="1">
      <alignment horizontal="left"/>
    </xf>
    <xf numFmtId="9" fontId="6" fillId="0" borderId="0" xfId="0" applyNumberFormat="1" applyFont="1" applyAlignment="1">
      <alignment horizontal="center" vertical="center"/>
    </xf>
    <xf numFmtId="0" fontId="8" fillId="0" borderId="0" xfId="5" applyBorder="1" applyAlignment="1">
      <alignment horizontal="left" vertical="top"/>
    </xf>
    <xf numFmtId="168" fontId="6" fillId="0" borderId="0" xfId="6" applyNumberFormat="1" applyFont="1" applyBorder="1" applyAlignment="1">
      <alignment horizontal="left" vertical="center"/>
    </xf>
    <xf numFmtId="168" fontId="6" fillId="0" borderId="0" xfId="0" applyNumberFormat="1" applyFont="1"/>
    <xf numFmtId="2" fontId="6" fillId="0" borderId="0" xfId="0" applyNumberFormat="1" applyFont="1" applyAlignment="1">
      <alignment horizontal="left"/>
    </xf>
    <xf numFmtId="0" fontId="1" fillId="0" borderId="11" xfId="0" applyFont="1" applyBorder="1" applyAlignment="1">
      <alignment horizontal="right" vertical="center"/>
    </xf>
    <xf numFmtId="0" fontId="19" fillId="5" borderId="64" xfId="0" applyFont="1" applyFill="1" applyBorder="1" applyAlignment="1">
      <alignment horizontal="center" vertical="center" wrapText="1"/>
    </xf>
    <xf numFmtId="1" fontId="6" fillId="0" borderId="74" xfId="0" applyNumberFormat="1" applyFont="1" applyBorder="1" applyAlignment="1">
      <alignment horizontal="center" vertical="center"/>
    </xf>
    <xf numFmtId="0" fontId="19" fillId="5" borderId="75" xfId="0" applyFont="1" applyFill="1" applyBorder="1" applyAlignment="1">
      <alignment horizontal="center" vertical="center" wrapText="1"/>
    </xf>
    <xf numFmtId="1" fontId="6" fillId="0" borderId="66" xfId="6" applyNumberFormat="1" applyFont="1" applyBorder="1" applyAlignment="1">
      <alignment horizontal="center" vertical="center"/>
    </xf>
    <xf numFmtId="1" fontId="6" fillId="0" borderId="2" xfId="0" applyNumberFormat="1" applyFont="1" applyBorder="1" applyAlignment="1">
      <alignment horizontal="center" vertical="center"/>
    </xf>
    <xf numFmtId="3" fontId="6" fillId="0" borderId="66" xfId="0" applyNumberFormat="1" applyFont="1" applyBorder="1" applyAlignment="1">
      <alignment horizontal="center"/>
    </xf>
    <xf numFmtId="3" fontId="6" fillId="0" borderId="66" xfId="6" applyNumberFormat="1" applyFont="1" applyBorder="1" applyAlignment="1">
      <alignment horizontal="center" vertical="center" wrapText="1"/>
    </xf>
    <xf numFmtId="4" fontId="6" fillId="0" borderId="66" xfId="6" applyNumberFormat="1" applyFont="1" applyBorder="1" applyAlignment="1">
      <alignment horizontal="center" vertical="center" wrapText="1"/>
    </xf>
    <xf numFmtId="3" fontId="6" fillId="0" borderId="66" xfId="6" applyNumberFormat="1" applyFont="1" applyBorder="1" applyAlignment="1">
      <alignment horizontal="center" vertical="center"/>
    </xf>
    <xf numFmtId="4" fontId="6" fillId="0" borderId="66" xfId="0" applyNumberFormat="1" applyFont="1" applyBorder="1" applyAlignment="1">
      <alignment horizontal="center"/>
    </xf>
    <xf numFmtId="0" fontId="7" fillId="5" borderId="46" xfId="0" applyFont="1" applyFill="1" applyBorder="1" applyAlignment="1">
      <alignment horizontal="center" vertical="center"/>
    </xf>
    <xf numFmtId="0" fontId="7" fillId="5" borderId="41" xfId="0" applyFont="1" applyFill="1" applyBorder="1" applyAlignment="1">
      <alignment horizontal="center" vertical="center"/>
    </xf>
    <xf numFmtId="0" fontId="1" fillId="0" borderId="0" xfId="0" applyFont="1" applyAlignment="1">
      <alignment horizontal="center" vertical="center"/>
    </xf>
    <xf numFmtId="0" fontId="15" fillId="2" borderId="0" xfId="0" applyFont="1" applyFill="1"/>
    <xf numFmtId="0" fontId="15" fillId="2" borderId="0" xfId="0" applyFont="1" applyFill="1" applyAlignment="1">
      <alignment wrapText="1"/>
    </xf>
    <xf numFmtId="0" fontId="15" fillId="2" borderId="0" xfId="0" applyFont="1" applyFill="1" applyAlignment="1">
      <alignment horizontal="left"/>
    </xf>
    <xf numFmtId="0" fontId="15" fillId="2" borderId="0" xfId="0" applyFont="1" applyFill="1" applyAlignment="1">
      <alignment horizontal="center"/>
    </xf>
    <xf numFmtId="0" fontId="12" fillId="0" borderId="0" xfId="0" applyFont="1" applyAlignment="1">
      <alignment wrapText="1"/>
    </xf>
    <xf numFmtId="0" fontId="12" fillId="0" borderId="0" xfId="0" applyFont="1" applyAlignment="1">
      <alignment horizontal="center"/>
    </xf>
    <xf numFmtId="0" fontId="11" fillId="0" borderId="2" xfId="3" applyFont="1" applyBorder="1" applyAlignment="1">
      <alignment horizontal="center" vertical="center" wrapText="1"/>
    </xf>
    <xf numFmtId="0" fontId="11" fillId="0" borderId="2" xfId="3" applyFont="1" applyFill="1" applyBorder="1" applyAlignment="1">
      <alignment horizontal="center" vertical="center" wrapText="1"/>
    </xf>
    <xf numFmtId="0" fontId="11" fillId="0" borderId="2" xfId="3" applyFont="1" applyFill="1" applyBorder="1" applyAlignment="1">
      <alignment horizontal="left" vertical="center" wrapText="1"/>
    </xf>
    <xf numFmtId="167" fontId="6" fillId="0" borderId="76" xfId="0" applyNumberFormat="1" applyFont="1" applyBorder="1" applyAlignment="1">
      <alignment horizontal="center" vertical="center"/>
    </xf>
    <xf numFmtId="0" fontId="6" fillId="6" borderId="76" xfId="0" applyFont="1" applyFill="1" applyBorder="1" applyAlignment="1">
      <alignment horizontal="center" vertical="center"/>
    </xf>
    <xf numFmtId="0" fontId="7" fillId="5" borderId="55" xfId="0" applyFont="1" applyFill="1" applyBorder="1" applyAlignment="1">
      <alignment horizontal="center" vertical="center" wrapText="1"/>
    </xf>
    <xf numFmtId="0" fontId="6" fillId="4" borderId="76" xfId="0" applyFont="1" applyFill="1" applyBorder="1" applyAlignment="1">
      <alignment horizontal="center" vertical="center"/>
    </xf>
    <xf numFmtId="167" fontId="6" fillId="4" borderId="76" xfId="0" applyNumberFormat="1" applyFont="1" applyFill="1" applyBorder="1" applyAlignment="1">
      <alignment horizontal="center" vertical="center"/>
    </xf>
    <xf numFmtId="0" fontId="6" fillId="13" borderId="76" xfId="0" applyFont="1" applyFill="1" applyBorder="1" applyAlignment="1">
      <alignment horizontal="center" vertical="center"/>
    </xf>
    <xf numFmtId="167" fontId="6" fillId="13" borderId="76" xfId="0" applyNumberFormat="1" applyFont="1" applyFill="1" applyBorder="1" applyAlignment="1">
      <alignment horizontal="center" vertical="center"/>
    </xf>
    <xf numFmtId="0" fontId="1" fillId="13" borderId="76" xfId="0" applyFont="1" applyFill="1" applyBorder="1" applyAlignment="1">
      <alignment horizontal="center" vertical="center"/>
    </xf>
    <xf numFmtId="0" fontId="7" fillId="5" borderId="24" xfId="0" applyFont="1" applyFill="1" applyBorder="1" applyAlignment="1">
      <alignment horizontal="center" vertical="center" wrapText="1"/>
    </xf>
    <xf numFmtId="0" fontId="22" fillId="0" borderId="80" xfId="0" applyFont="1" applyBorder="1" applyAlignment="1">
      <alignment horizontal="center" vertical="center"/>
    </xf>
    <xf numFmtId="0" fontId="22" fillId="0" borderId="11" xfId="0" applyFont="1" applyBorder="1" applyAlignment="1">
      <alignment horizontal="center" vertical="center"/>
    </xf>
    <xf numFmtId="0" fontId="22" fillId="0" borderId="81" xfId="0" applyFont="1" applyBorder="1" applyAlignment="1">
      <alignment horizontal="center" vertical="center"/>
    </xf>
    <xf numFmtId="0" fontId="22" fillId="0" borderId="15" xfId="0" applyFont="1" applyBorder="1" applyAlignment="1">
      <alignment horizontal="center" vertical="center"/>
    </xf>
    <xf numFmtId="0" fontId="6" fillId="0" borderId="55" xfId="4" applyBorder="1" applyAlignment="1">
      <alignment horizontal="center" vertical="center"/>
    </xf>
    <xf numFmtId="9" fontId="6" fillId="0" borderId="55" xfId="2" applyFont="1" applyFill="1" applyBorder="1" applyAlignment="1">
      <alignment horizontal="center" vertical="center"/>
    </xf>
    <xf numFmtId="9" fontId="6" fillId="0" borderId="55" xfId="0" applyNumberFormat="1" applyFont="1" applyBorder="1" applyAlignment="1">
      <alignment horizontal="center"/>
    </xf>
    <xf numFmtId="0" fontId="7" fillId="5" borderId="91" xfId="0" applyFont="1" applyFill="1" applyBorder="1" applyAlignment="1">
      <alignment horizontal="center" vertical="center"/>
    </xf>
    <xf numFmtId="0" fontId="6" fillId="0" borderId="90" xfId="0" applyFont="1" applyBorder="1" applyAlignment="1">
      <alignment horizontal="center" vertical="center" wrapText="1"/>
    </xf>
    <xf numFmtId="0" fontId="6" fillId="6" borderId="90" xfId="0" applyFont="1" applyFill="1" applyBorder="1" applyAlignment="1">
      <alignment horizontal="center" vertical="center" wrapText="1"/>
    </xf>
    <xf numFmtId="0" fontId="6" fillId="4" borderId="90" xfId="0" applyFont="1" applyFill="1" applyBorder="1" applyAlignment="1">
      <alignment horizontal="center" vertical="center"/>
    </xf>
    <xf numFmtId="0" fontId="6" fillId="13" borderId="90" xfId="0" applyFont="1" applyFill="1" applyBorder="1" applyAlignment="1">
      <alignment horizontal="center" vertical="center"/>
    </xf>
    <xf numFmtId="0" fontId="1" fillId="13" borderId="90" xfId="0" applyFont="1" applyFill="1" applyBorder="1" applyAlignment="1">
      <alignment horizontal="center" vertical="center" wrapText="1"/>
    </xf>
    <xf numFmtId="0" fontId="6" fillId="13" borderId="90" xfId="0" applyFont="1" applyFill="1" applyBorder="1" applyAlignment="1">
      <alignment horizontal="center" vertical="center" wrapText="1"/>
    </xf>
    <xf numFmtId="0" fontId="1" fillId="4" borderId="90" xfId="0" applyFont="1" applyFill="1" applyBorder="1" applyAlignment="1">
      <alignment horizontal="center" vertical="center" wrapText="1"/>
    </xf>
    <xf numFmtId="2" fontId="6" fillId="0" borderId="2" xfId="0" applyNumberFormat="1" applyFont="1" applyBorder="1" applyAlignment="1">
      <alignment horizontal="center" vertical="center" wrapText="1"/>
    </xf>
    <xf numFmtId="0" fontId="19" fillId="5" borderId="2" xfId="0" applyFont="1" applyFill="1" applyBorder="1" applyAlignment="1">
      <alignment horizontal="center" vertical="center" wrapText="1"/>
    </xf>
    <xf numFmtId="167" fontId="6" fillId="0" borderId="55" xfId="0" applyNumberFormat="1" applyFont="1" applyBorder="1" applyAlignment="1">
      <alignment horizontal="center" vertical="center"/>
    </xf>
    <xf numFmtId="167" fontId="1" fillId="4" borderId="55" xfId="0" applyNumberFormat="1" applyFont="1" applyFill="1" applyBorder="1" applyAlignment="1">
      <alignment horizontal="center" vertical="center" wrapText="1"/>
    </xf>
    <xf numFmtId="1" fontId="6" fillId="0" borderId="0" xfId="0" applyNumberFormat="1" applyFont="1" applyAlignment="1">
      <alignment horizontal="left" vertical="center"/>
    </xf>
    <xf numFmtId="0" fontId="7" fillId="5" borderId="12" xfId="0" applyFont="1" applyFill="1" applyBorder="1" applyAlignment="1">
      <alignment vertical="center"/>
    </xf>
    <xf numFmtId="0" fontId="22" fillId="0" borderId="21" xfId="0" applyFont="1" applyBorder="1" applyAlignment="1">
      <alignment horizontal="center" vertical="center"/>
    </xf>
    <xf numFmtId="2" fontId="22" fillId="0" borderId="19" xfId="0" applyNumberFormat="1" applyFont="1" applyBorder="1" applyAlignment="1">
      <alignment horizontal="center" vertical="center"/>
    </xf>
    <xf numFmtId="2" fontId="22" fillId="0" borderId="105" xfId="0" applyNumberFormat="1" applyFont="1" applyBorder="1" applyAlignment="1">
      <alignment horizontal="center" vertical="center"/>
    </xf>
    <xf numFmtId="0" fontId="22" fillId="0" borderId="108" xfId="0" applyFont="1" applyBorder="1" applyAlignment="1">
      <alignment horizontal="center" vertical="center"/>
    </xf>
    <xf numFmtId="165" fontId="39" fillId="0" borderId="95" xfId="0" applyNumberFormat="1" applyFont="1" applyBorder="1" applyAlignment="1">
      <alignment horizontal="center" vertical="center"/>
    </xf>
    <xf numFmtId="165" fontId="39" fillId="0" borderId="109" xfId="0" applyNumberFormat="1" applyFont="1" applyBorder="1" applyAlignment="1">
      <alignment horizontal="center" vertical="center"/>
    </xf>
    <xf numFmtId="0" fontId="22" fillId="0" borderId="65" xfId="0" applyFont="1" applyBorder="1" applyAlignment="1">
      <alignment horizontal="center" vertical="center"/>
    </xf>
    <xf numFmtId="165" fontId="39" fillId="0" borderId="55" xfId="0" applyNumberFormat="1" applyFont="1" applyBorder="1" applyAlignment="1">
      <alignment horizontal="center" vertical="center"/>
    </xf>
    <xf numFmtId="165" fontId="39" fillId="0" borderId="111" xfId="0" applyNumberFormat="1" applyFont="1" applyBorder="1" applyAlignment="1">
      <alignment horizontal="center" vertical="center"/>
    </xf>
    <xf numFmtId="0" fontId="22" fillId="0" borderId="115" xfId="0" applyFont="1" applyBorder="1" applyAlignment="1">
      <alignment horizontal="center" vertical="center"/>
    </xf>
    <xf numFmtId="165" fontId="39" fillId="0" borderId="96" xfId="0" applyNumberFormat="1" applyFont="1" applyBorder="1" applyAlignment="1">
      <alignment horizontal="center" vertical="center"/>
    </xf>
    <xf numFmtId="165" fontId="39" fillId="0" borderId="116" xfId="0" applyNumberFormat="1" applyFont="1" applyBorder="1" applyAlignment="1">
      <alignment horizontal="center" vertical="center"/>
    </xf>
    <xf numFmtId="0" fontId="22" fillId="0" borderId="119" xfId="0" applyFont="1" applyBorder="1" applyAlignment="1">
      <alignment horizontal="center" vertical="center"/>
    </xf>
    <xf numFmtId="1" fontId="39" fillId="0" borderId="58" xfId="0" applyNumberFormat="1" applyFont="1" applyBorder="1" applyAlignment="1">
      <alignment horizontal="center" vertical="center"/>
    </xf>
    <xf numFmtId="1" fontId="39" fillId="0" borderId="87" xfId="0" applyNumberFormat="1" applyFont="1" applyBorder="1" applyAlignment="1">
      <alignment horizontal="center" vertical="center"/>
    </xf>
    <xf numFmtId="1" fontId="39" fillId="0" borderId="55" xfId="0" applyNumberFormat="1" applyFont="1" applyBorder="1" applyAlignment="1">
      <alignment horizontal="center" vertical="center"/>
    </xf>
    <xf numFmtId="1" fontId="39" fillId="0" borderId="84" xfId="0" applyNumberFormat="1" applyFont="1" applyBorder="1" applyAlignment="1">
      <alignment horizontal="center" vertical="center"/>
    </xf>
    <xf numFmtId="0" fontId="22" fillId="0" borderId="93" xfId="0" applyFont="1" applyBorder="1" applyAlignment="1">
      <alignment horizontal="center" vertical="center"/>
    </xf>
    <xf numFmtId="1" fontId="39" fillId="0" borderId="85" xfId="0" applyNumberFormat="1" applyFont="1" applyBorder="1" applyAlignment="1">
      <alignment horizontal="center" vertical="center"/>
    </xf>
    <xf numFmtId="1" fontId="39" fillId="0" borderId="86" xfId="0" applyNumberFormat="1" applyFont="1" applyBorder="1" applyAlignment="1">
      <alignment horizontal="center" vertical="center"/>
    </xf>
    <xf numFmtId="0" fontId="22" fillId="0" borderId="92" xfId="0" applyFont="1" applyBorder="1" applyAlignment="1">
      <alignment horizontal="center" vertical="center"/>
    </xf>
    <xf numFmtId="1" fontId="39" fillId="0" borderId="82" xfId="0" applyNumberFormat="1" applyFont="1" applyBorder="1" applyAlignment="1">
      <alignment horizontal="center" vertical="center"/>
    </xf>
    <xf numFmtId="1" fontId="39" fillId="0" borderId="83" xfId="0" applyNumberFormat="1" applyFont="1" applyBorder="1" applyAlignment="1">
      <alignment horizontal="center" vertical="center"/>
    </xf>
    <xf numFmtId="0" fontId="6" fillId="0" borderId="20" xfId="0" applyFont="1" applyBorder="1" applyAlignment="1">
      <alignment horizontal="center" vertical="center"/>
    </xf>
    <xf numFmtId="0" fontId="6" fillId="0" borderId="0" xfId="0" quotePrefix="1" applyFont="1" applyAlignment="1">
      <alignment horizontal="center" vertical="center"/>
    </xf>
    <xf numFmtId="0" fontId="7" fillId="5" borderId="37" xfId="0" applyFont="1" applyFill="1" applyBorder="1" applyAlignment="1">
      <alignment horizontal="center" vertical="center" wrapText="1"/>
    </xf>
    <xf numFmtId="0" fontId="6" fillId="0" borderId="90" xfId="0" applyFont="1" applyBorder="1" applyAlignment="1">
      <alignment horizontal="center" vertical="center"/>
    </xf>
    <xf numFmtId="0" fontId="6" fillId="6" borderId="90" xfId="0" applyFont="1" applyFill="1" applyBorder="1" applyAlignment="1">
      <alignment horizontal="center" vertical="center"/>
    </xf>
    <xf numFmtId="0" fontId="1" fillId="13" borderId="90" xfId="0" applyFont="1" applyFill="1" applyBorder="1" applyAlignment="1">
      <alignment horizontal="center" vertical="center"/>
    </xf>
    <xf numFmtId="0" fontId="30" fillId="0" borderId="0" xfId="0" applyFont="1" applyAlignment="1">
      <alignment horizontal="center" vertical="center"/>
    </xf>
    <xf numFmtId="0" fontId="24" fillId="10" borderId="2" xfId="0" applyFont="1" applyFill="1" applyBorder="1" applyAlignment="1">
      <alignment horizontal="center" vertical="center"/>
    </xf>
    <xf numFmtId="0" fontId="22" fillId="0" borderId="18" xfId="0" applyFont="1" applyBorder="1" applyAlignment="1">
      <alignment horizontal="center" vertical="center"/>
    </xf>
    <xf numFmtId="2" fontId="22" fillId="0" borderId="16" xfId="0" applyNumberFormat="1" applyFont="1" applyBorder="1" applyAlignment="1">
      <alignment horizontal="center" vertical="center"/>
    </xf>
    <xf numFmtId="2" fontId="22" fillId="0" borderId="130" xfId="0" applyNumberFormat="1" applyFont="1" applyBorder="1" applyAlignment="1">
      <alignment horizontal="center" vertical="center"/>
    </xf>
    <xf numFmtId="165" fontId="22" fillId="3" borderId="0" xfId="0" applyNumberFormat="1" applyFont="1" applyFill="1" applyAlignment="1">
      <alignment horizontal="center" vertical="center"/>
    </xf>
    <xf numFmtId="2" fontId="22" fillId="0" borderId="79" xfId="0" applyNumberFormat="1" applyFont="1" applyBorder="1" applyAlignment="1">
      <alignment horizontal="center" vertical="center"/>
    </xf>
    <xf numFmtId="2" fontId="22" fillId="0" borderId="134" xfId="0" applyNumberFormat="1" applyFont="1" applyBorder="1" applyAlignment="1">
      <alignment horizontal="center" vertical="center"/>
    </xf>
    <xf numFmtId="167" fontId="22" fillId="0" borderId="0" xfId="0" applyNumberFormat="1" applyFont="1" applyAlignment="1">
      <alignment horizontal="center" vertical="center"/>
    </xf>
    <xf numFmtId="2" fontId="22" fillId="0" borderId="76" xfId="0" applyNumberFormat="1" applyFont="1" applyBorder="1" applyAlignment="1">
      <alignment horizontal="center" vertical="center"/>
    </xf>
    <xf numFmtId="2" fontId="22" fillId="0" borderId="136" xfId="0" applyNumberFormat="1" applyFont="1" applyBorder="1" applyAlignment="1">
      <alignment horizontal="center" vertical="center"/>
    </xf>
    <xf numFmtId="2" fontId="22" fillId="0" borderId="77" xfId="0" applyNumberFormat="1" applyFont="1" applyBorder="1" applyAlignment="1">
      <alignment horizontal="center" vertical="center"/>
    </xf>
    <xf numFmtId="2" fontId="22" fillId="0" borderId="138" xfId="0" applyNumberFormat="1" applyFont="1" applyBorder="1" applyAlignment="1">
      <alignment horizontal="center" vertical="center"/>
    </xf>
    <xf numFmtId="2" fontId="22" fillId="0" borderId="140" xfId="0" applyNumberFormat="1" applyFont="1" applyBorder="1" applyAlignment="1">
      <alignment horizontal="center" vertical="center"/>
    </xf>
    <xf numFmtId="2" fontId="22" fillId="0" borderId="141" xfId="0" applyNumberFormat="1" applyFont="1" applyBorder="1" applyAlignment="1">
      <alignment horizontal="center" vertical="center"/>
    </xf>
    <xf numFmtId="2" fontId="22" fillId="0" borderId="142" xfId="0" applyNumberFormat="1" applyFont="1" applyBorder="1" applyAlignment="1">
      <alignment horizontal="center" vertical="center"/>
    </xf>
    <xf numFmtId="2" fontId="22" fillId="0" borderId="143" xfId="0" applyNumberFormat="1" applyFont="1" applyBorder="1" applyAlignment="1">
      <alignment horizontal="center" vertical="center"/>
    </xf>
    <xf numFmtId="0" fontId="22" fillId="0" borderId="144" xfId="0" applyFont="1" applyBorder="1" applyAlignment="1">
      <alignment horizontal="center" vertical="center"/>
    </xf>
    <xf numFmtId="2" fontId="22" fillId="0" borderId="82" xfId="0" applyNumberFormat="1" applyFont="1" applyBorder="1" applyAlignment="1">
      <alignment horizontal="center" vertical="center"/>
    </xf>
    <xf numFmtId="2" fontId="22" fillId="0" borderId="83" xfId="0" applyNumberFormat="1" applyFont="1" applyBorder="1" applyAlignment="1">
      <alignment horizontal="center" vertical="center"/>
    </xf>
    <xf numFmtId="0" fontId="22" fillId="0" borderId="145" xfId="0" applyFont="1" applyBorder="1" applyAlignment="1">
      <alignment horizontal="center" vertical="center"/>
    </xf>
    <xf numFmtId="2" fontId="22" fillId="0" borderId="55" xfId="0" applyNumberFormat="1" applyFont="1" applyBorder="1" applyAlignment="1">
      <alignment horizontal="center" vertical="center"/>
    </xf>
    <xf numFmtId="2" fontId="22" fillId="0" borderId="84" xfId="0" applyNumberFormat="1" applyFont="1" applyBorder="1" applyAlignment="1">
      <alignment horizontal="center" vertical="center"/>
    </xf>
    <xf numFmtId="0" fontId="22" fillId="0" borderId="146" xfId="0" applyFont="1" applyBorder="1" applyAlignment="1">
      <alignment horizontal="center" vertical="center"/>
    </xf>
    <xf numFmtId="2" fontId="22" fillId="0" borderId="85" xfId="0" applyNumberFormat="1" applyFont="1" applyBorder="1" applyAlignment="1">
      <alignment horizontal="center" vertical="center"/>
    </xf>
    <xf numFmtId="2" fontId="22" fillId="0" borderId="86" xfId="0" applyNumberFormat="1" applyFont="1" applyBorder="1" applyAlignment="1">
      <alignment horizontal="center" vertical="center"/>
    </xf>
    <xf numFmtId="0" fontId="22" fillId="0" borderId="149" xfId="0" applyFont="1" applyBorder="1" applyAlignment="1">
      <alignment horizontal="center" vertical="center"/>
    </xf>
    <xf numFmtId="0" fontId="22" fillId="0" borderId="152" xfId="0" applyFont="1" applyBorder="1" applyAlignment="1">
      <alignment horizontal="center" vertical="center"/>
    </xf>
    <xf numFmtId="0" fontId="22" fillId="0" borderId="154" xfId="0" applyFont="1" applyBorder="1" applyAlignment="1">
      <alignment horizontal="center" vertical="center"/>
    </xf>
    <xf numFmtId="0" fontId="22" fillId="0" borderId="157" xfId="0" applyFont="1" applyBorder="1" applyAlignment="1">
      <alignment horizontal="center" vertical="center"/>
    </xf>
    <xf numFmtId="1" fontId="22" fillId="0" borderId="1" xfId="0" applyNumberFormat="1" applyFont="1" applyBorder="1" applyAlignment="1">
      <alignment horizontal="center" vertical="center"/>
    </xf>
    <xf numFmtId="1" fontId="22" fillId="0" borderId="82" xfId="0" applyNumberFormat="1" applyFont="1" applyBorder="1" applyAlignment="1">
      <alignment horizontal="center" vertical="center"/>
    </xf>
    <xf numFmtId="1" fontId="22" fillId="0" borderId="83" xfId="0" applyNumberFormat="1" applyFont="1" applyBorder="1" applyAlignment="1">
      <alignment horizontal="center" vertical="center"/>
    </xf>
    <xf numFmtId="1" fontId="22" fillId="0" borderId="55" xfId="0" applyNumberFormat="1" applyFont="1" applyBorder="1" applyAlignment="1">
      <alignment horizontal="center" vertical="center"/>
    </xf>
    <xf numFmtId="1" fontId="22" fillId="0" borderId="84" xfId="0" applyNumberFormat="1" applyFont="1" applyBorder="1" applyAlignment="1">
      <alignment horizontal="center" vertical="center"/>
    </xf>
    <xf numFmtId="1" fontId="22" fillId="0" borderId="85" xfId="0" applyNumberFormat="1" applyFont="1" applyBorder="1" applyAlignment="1">
      <alignment horizontal="center" vertical="center"/>
    </xf>
    <xf numFmtId="1" fontId="22" fillId="0" borderId="86" xfId="0" applyNumberFormat="1" applyFont="1" applyBorder="1" applyAlignment="1">
      <alignment horizontal="center" vertical="center"/>
    </xf>
    <xf numFmtId="1" fontId="22" fillId="0" borderId="2" xfId="0" applyNumberFormat="1" applyFont="1" applyBorder="1" applyAlignment="1">
      <alignment horizontal="center" vertical="center"/>
    </xf>
    <xf numFmtId="0" fontId="22" fillId="0" borderId="4" xfId="0" applyFont="1" applyBorder="1" applyAlignment="1">
      <alignment horizontal="center" vertical="center"/>
    </xf>
    <xf numFmtId="1" fontId="22" fillId="0" borderId="5" xfId="0" applyNumberFormat="1" applyFont="1" applyBorder="1" applyAlignment="1">
      <alignment horizontal="center" vertical="center"/>
    </xf>
    <xf numFmtId="0" fontId="22" fillId="0" borderId="6" xfId="0" applyFont="1" applyBorder="1" applyAlignment="1">
      <alignment horizontal="center" vertical="center"/>
    </xf>
    <xf numFmtId="1" fontId="22" fillId="0" borderId="7" xfId="0" applyNumberFormat="1" applyFont="1" applyBorder="1" applyAlignment="1">
      <alignment horizontal="center" vertical="center"/>
    </xf>
    <xf numFmtId="0" fontId="22" fillId="0" borderId="8" xfId="0" applyFont="1" applyBorder="1" applyAlignment="1">
      <alignment horizontal="center" vertical="center"/>
    </xf>
    <xf numFmtId="1" fontId="22" fillId="0" borderId="30" xfId="0" applyNumberFormat="1" applyFont="1" applyBorder="1" applyAlignment="1">
      <alignment horizontal="center" vertical="center"/>
    </xf>
    <xf numFmtId="1" fontId="22" fillId="0" borderId="9" xfId="0" applyNumberFormat="1" applyFont="1" applyBorder="1" applyAlignment="1">
      <alignment horizontal="center" vertical="center"/>
    </xf>
    <xf numFmtId="0" fontId="22" fillId="0" borderId="172" xfId="0" applyFont="1" applyBorder="1" applyAlignment="1">
      <alignment horizontal="center" vertical="center"/>
    </xf>
    <xf numFmtId="1" fontId="22" fillId="0" borderId="12" xfId="0" applyNumberFormat="1" applyFont="1" applyBorder="1" applyAlignment="1">
      <alignment horizontal="center" vertical="center"/>
    </xf>
    <xf numFmtId="1" fontId="22" fillId="0" borderId="73" xfId="0" applyNumberFormat="1" applyFont="1" applyBorder="1" applyAlignment="1">
      <alignment horizontal="center" vertical="center"/>
    </xf>
    <xf numFmtId="0" fontId="0" fillId="2" borderId="0" xfId="0" applyFill="1"/>
    <xf numFmtId="0" fontId="22" fillId="2" borderId="0" xfId="0" applyFont="1" applyFill="1" applyAlignment="1">
      <alignment horizontal="center" vertical="center"/>
    </xf>
    <xf numFmtId="0" fontId="6" fillId="0" borderId="2" xfId="0" applyFont="1" applyBorder="1" applyAlignment="1">
      <alignment horizontal="left" vertical="center" wrapText="1"/>
    </xf>
    <xf numFmtId="3" fontId="12" fillId="0" borderId="2" xfId="0" applyNumberFormat="1" applyFont="1" applyBorder="1" applyAlignment="1">
      <alignment horizontal="center" vertical="center"/>
    </xf>
    <xf numFmtId="165" fontId="6" fillId="0" borderId="55" xfId="0" applyNumberFormat="1" applyFont="1" applyBorder="1" applyAlignment="1">
      <alignment horizontal="center" vertical="center"/>
    </xf>
    <xf numFmtId="165" fontId="6" fillId="0" borderId="2" xfId="0" applyNumberFormat="1" applyFont="1" applyBorder="1" applyAlignment="1">
      <alignment horizontal="center" vertical="center" wrapText="1"/>
    </xf>
    <xf numFmtId="165" fontId="6" fillId="0" borderId="2" xfId="7" applyNumberFormat="1" applyFont="1" applyBorder="1" applyAlignment="1">
      <alignment horizontal="center" vertical="center"/>
    </xf>
    <xf numFmtId="0" fontId="19" fillId="5" borderId="55" xfId="0" applyFont="1" applyFill="1" applyBorder="1" applyAlignment="1">
      <alignment vertical="center" wrapText="1"/>
    </xf>
    <xf numFmtId="9" fontId="6" fillId="0" borderId="2" xfId="2" applyFont="1" applyBorder="1" applyAlignment="1">
      <alignment horizontal="center" vertical="center" wrapText="1"/>
    </xf>
    <xf numFmtId="3" fontId="6" fillId="0" borderId="2" xfId="0" applyNumberFormat="1" applyFont="1" applyBorder="1" applyAlignment="1">
      <alignment horizontal="center" vertical="center" wrapText="1"/>
    </xf>
    <xf numFmtId="9" fontId="6" fillId="0" borderId="2" xfId="0" applyNumberFormat="1" applyFont="1" applyBorder="1" applyAlignment="1">
      <alignment horizontal="center" vertical="center" wrapText="1"/>
    </xf>
    <xf numFmtId="0" fontId="6" fillId="0" borderId="0" xfId="0" applyFont="1" applyAlignment="1">
      <alignment horizontal="left" vertical="top"/>
    </xf>
    <xf numFmtId="0" fontId="24" fillId="14" borderId="0" xfId="0" applyFont="1" applyFill="1"/>
    <xf numFmtId="0" fontId="6" fillId="0" borderId="19" xfId="0" applyFont="1" applyBorder="1" applyAlignment="1">
      <alignment horizontal="center" vertical="center" wrapText="1"/>
    </xf>
    <xf numFmtId="0" fontId="6" fillId="0" borderId="0" xfId="0" applyFont="1" applyAlignment="1">
      <alignment horizontal="left" vertical="center"/>
    </xf>
    <xf numFmtId="0" fontId="6" fillId="0" borderId="0" xfId="0" applyFont="1" applyAlignment="1">
      <alignment horizontal="left"/>
    </xf>
    <xf numFmtId="0" fontId="6" fillId="0" borderId="0" xfId="0" applyFont="1" applyAlignment="1">
      <alignment vertical="center" wrapText="1"/>
    </xf>
    <xf numFmtId="0" fontId="7" fillId="0" borderId="0" xfId="0" applyFont="1" applyAlignment="1">
      <alignment horizontal="center" vertical="center"/>
    </xf>
    <xf numFmtId="0" fontId="6" fillId="0" borderId="76" xfId="0" applyFont="1" applyBorder="1" applyAlignment="1">
      <alignment horizontal="center" vertical="center"/>
    </xf>
    <xf numFmtId="0" fontId="6" fillId="0" borderId="55" xfId="0" applyFont="1" applyBorder="1" applyAlignment="1">
      <alignment horizontal="center" vertical="center" wrapText="1"/>
    </xf>
    <xf numFmtId="0" fontId="6" fillId="0" borderId="56" xfId="0" applyFont="1" applyBorder="1" applyAlignment="1">
      <alignment horizontal="center" vertical="center"/>
    </xf>
    <xf numFmtId="0" fontId="6" fillId="0" borderId="2" xfId="0" applyFont="1" applyBorder="1" applyAlignment="1">
      <alignment horizontal="center" vertical="center"/>
    </xf>
    <xf numFmtId="2" fontId="6" fillId="0" borderId="2" xfId="0" applyNumberFormat="1" applyFont="1" applyBorder="1" applyAlignment="1">
      <alignment horizontal="center" vertical="center"/>
    </xf>
    <xf numFmtId="0" fontId="6" fillId="0" borderId="2" xfId="0" applyFont="1" applyBorder="1" applyAlignment="1">
      <alignment horizontal="center" vertical="center" wrapText="1"/>
    </xf>
    <xf numFmtId="0" fontId="6" fillId="0" borderId="12" xfId="0" applyFont="1" applyBorder="1" applyAlignment="1">
      <alignment horizontal="center" vertical="center"/>
    </xf>
    <xf numFmtId="0" fontId="21" fillId="0" borderId="0" xfId="0" applyFont="1" applyAlignment="1">
      <alignment horizontal="left" vertical="center" wrapText="1"/>
    </xf>
    <xf numFmtId="0" fontId="1" fillId="0" borderId="2" xfId="0" applyFont="1" applyBorder="1" applyAlignment="1">
      <alignment horizontal="center" vertical="center"/>
    </xf>
    <xf numFmtId="0" fontId="6" fillId="0" borderId="56" xfId="0" applyFont="1" applyBorder="1" applyAlignment="1">
      <alignment horizontal="center" vertical="center" wrapText="1"/>
    </xf>
    <xf numFmtId="0" fontId="6" fillId="0" borderId="55" xfId="0" applyFont="1" applyBorder="1" applyAlignment="1">
      <alignment horizontal="center" vertical="center"/>
    </xf>
    <xf numFmtId="0" fontId="6" fillId="0" borderId="12" xfId="0" applyFont="1" applyBorder="1" applyAlignment="1">
      <alignment horizontal="center" vertical="center" wrapText="1"/>
    </xf>
    <xf numFmtId="0" fontId="7" fillId="5" borderId="2" xfId="0" applyFont="1" applyFill="1" applyBorder="1" applyAlignment="1">
      <alignment horizontal="center" vertical="center" wrapText="1"/>
    </xf>
    <xf numFmtId="0" fontId="7" fillId="5" borderId="2" xfId="0" applyFont="1" applyFill="1" applyBorder="1" applyAlignment="1">
      <alignment horizontal="center" vertical="center"/>
    </xf>
    <xf numFmtId="0" fontId="7" fillId="5" borderId="0" xfId="0" applyFont="1" applyFill="1" applyAlignment="1">
      <alignment horizontal="center" vertical="center"/>
    </xf>
    <xf numFmtId="0" fontId="7" fillId="5" borderId="12" xfId="0" applyFont="1" applyFill="1" applyBorder="1" applyAlignment="1">
      <alignment horizontal="center" vertical="center"/>
    </xf>
    <xf numFmtId="0" fontId="24" fillId="5" borderId="12" xfId="0" applyFont="1" applyFill="1" applyBorder="1" applyAlignment="1">
      <alignment horizontal="center" vertical="center"/>
    </xf>
    <xf numFmtId="0" fontId="39" fillId="0" borderId="133" xfId="0" applyFont="1" applyBorder="1" applyAlignment="1">
      <alignment horizontal="center" vertical="center"/>
    </xf>
    <xf numFmtId="2" fontId="39" fillId="0" borderId="79" xfId="0" applyNumberFormat="1" applyFont="1" applyBorder="1" applyAlignment="1">
      <alignment horizontal="center" vertical="center"/>
    </xf>
    <xf numFmtId="0" fontId="39" fillId="0" borderId="135" xfId="0" applyFont="1" applyBorder="1" applyAlignment="1">
      <alignment horizontal="center" vertical="center"/>
    </xf>
    <xf numFmtId="2" fontId="39" fillId="0" borderId="76" xfId="0" applyNumberFormat="1" applyFont="1" applyBorder="1" applyAlignment="1">
      <alignment horizontal="center" vertical="center"/>
    </xf>
    <xf numFmtId="0" fontId="39" fillId="0" borderId="137" xfId="0" applyFont="1" applyBorder="1" applyAlignment="1">
      <alignment horizontal="center" vertical="center"/>
    </xf>
    <xf numFmtId="2" fontId="39" fillId="0" borderId="77" xfId="0" applyNumberFormat="1" applyFont="1" applyBorder="1" applyAlignment="1">
      <alignment horizontal="center" vertical="center"/>
    </xf>
    <xf numFmtId="0" fontId="39" fillId="0" borderId="139" xfId="0" applyFont="1" applyBorder="1" applyAlignment="1">
      <alignment horizontal="center" vertical="center"/>
    </xf>
    <xf numFmtId="2" fontId="39" fillId="0" borderId="140" xfId="0" applyNumberFormat="1" applyFont="1" applyBorder="1" applyAlignment="1">
      <alignment horizontal="center" vertical="center"/>
    </xf>
    <xf numFmtId="2" fontId="39" fillId="0" borderId="2" xfId="0" applyNumberFormat="1" applyFont="1" applyBorder="1" applyAlignment="1">
      <alignment horizontal="center" vertical="center"/>
    </xf>
    <xf numFmtId="2" fontId="39" fillId="0" borderId="12" xfId="0" applyNumberFormat="1" applyFont="1" applyBorder="1" applyAlignment="1">
      <alignment horizontal="center" vertical="center"/>
    </xf>
    <xf numFmtId="0" fontId="39" fillId="0" borderId="144" xfId="0" applyFont="1" applyBorder="1" applyAlignment="1">
      <alignment horizontal="center" vertical="center"/>
    </xf>
    <xf numFmtId="2" fontId="39" fillId="0" borderId="82" xfId="0" applyNumberFormat="1" applyFont="1" applyBorder="1" applyAlignment="1">
      <alignment horizontal="center" vertical="center"/>
    </xf>
    <xf numFmtId="0" fontId="39" fillId="0" borderId="145" xfId="0" applyFont="1" applyBorder="1" applyAlignment="1">
      <alignment horizontal="center" vertical="center"/>
    </xf>
    <xf numFmtId="2" fontId="39" fillId="0" borderId="55" xfId="0" applyNumberFormat="1" applyFont="1" applyBorder="1" applyAlignment="1">
      <alignment horizontal="center" vertical="center"/>
    </xf>
    <xf numFmtId="0" fontId="39" fillId="0" borderId="146" xfId="0" applyFont="1" applyBorder="1" applyAlignment="1">
      <alignment horizontal="center" vertical="center"/>
    </xf>
    <xf numFmtId="2" fontId="39" fillId="0" borderId="85" xfId="0" applyNumberFormat="1" applyFont="1" applyBorder="1" applyAlignment="1">
      <alignment horizontal="center" vertical="center"/>
    </xf>
    <xf numFmtId="0" fontId="6" fillId="0" borderId="1" xfId="0" applyFont="1" applyBorder="1" applyAlignment="1">
      <alignment horizontal="center" vertical="center" wrapText="1"/>
    </xf>
    <xf numFmtId="0" fontId="1" fillId="0" borderId="175" xfId="0" applyFont="1" applyBorder="1" applyAlignment="1">
      <alignment horizontal="center" vertical="center" wrapText="1"/>
    </xf>
    <xf numFmtId="0" fontId="6" fillId="0" borderId="1" xfId="0" applyFont="1" applyBorder="1" applyAlignment="1">
      <alignment horizontal="center" vertical="center"/>
    </xf>
    <xf numFmtId="0" fontId="1" fillId="0" borderId="5" xfId="0" applyFont="1" applyBorder="1" applyAlignment="1">
      <alignment horizontal="center" vertical="center"/>
    </xf>
    <xf numFmtId="0" fontId="6" fillId="0" borderId="30" xfId="0" applyFont="1" applyBorder="1" applyAlignment="1">
      <alignment horizontal="center" vertical="center" wrapText="1"/>
    </xf>
    <xf numFmtId="0" fontId="1" fillId="0" borderId="30" xfId="0" applyFont="1" applyBorder="1" applyAlignment="1">
      <alignment horizontal="center" vertical="center" wrapText="1"/>
    </xf>
    <xf numFmtId="0" fontId="6" fillId="0" borderId="30" xfId="0" applyFont="1" applyBorder="1" applyAlignment="1">
      <alignment horizontal="center" vertical="center"/>
    </xf>
    <xf numFmtId="0" fontId="1" fillId="0" borderId="9" xfId="0" applyFont="1" applyBorder="1" applyAlignment="1">
      <alignment horizontal="center" vertical="center"/>
    </xf>
    <xf numFmtId="0" fontId="6" fillId="0" borderId="176" xfId="0" applyFont="1" applyBorder="1" applyAlignment="1">
      <alignment horizontal="center" vertical="center" wrapText="1"/>
    </xf>
    <xf numFmtId="0" fontId="6" fillId="0" borderId="0" xfId="0" applyFont="1" applyAlignment="1">
      <alignment horizontal="left" vertical="center"/>
    </xf>
    <xf numFmtId="0" fontId="13" fillId="7" borderId="0" xfId="0" applyFont="1" applyFill="1" applyAlignment="1">
      <alignment horizontal="center" vertical="center"/>
    </xf>
    <xf numFmtId="0" fontId="6" fillId="0" borderId="0" xfId="0" applyFont="1" applyAlignment="1">
      <alignment horizontal="left"/>
    </xf>
    <xf numFmtId="0" fontId="6" fillId="0" borderId="0" xfId="0" applyFont="1" applyAlignment="1">
      <alignment vertical="center" wrapText="1"/>
    </xf>
    <xf numFmtId="0" fontId="13" fillId="7" borderId="0" xfId="0" applyFont="1" applyFill="1" applyAlignment="1">
      <alignment horizontal="left" vertical="center"/>
    </xf>
    <xf numFmtId="0" fontId="18" fillId="0" borderId="20" xfId="0" applyFont="1" applyBorder="1" applyAlignment="1">
      <alignment horizontal="left" vertical="center"/>
    </xf>
    <xf numFmtId="0" fontId="13" fillId="7" borderId="3" xfId="1" applyFont="1" applyFill="1" applyBorder="1" applyAlignment="1">
      <alignment horizontal="center" vertical="center" wrapText="1"/>
    </xf>
    <xf numFmtId="0" fontId="13" fillId="7" borderId="10" xfId="1" applyFont="1" applyFill="1" applyBorder="1" applyAlignment="1">
      <alignment horizontal="center" vertical="center" wrapText="1"/>
    </xf>
    <xf numFmtId="0" fontId="6" fillId="0" borderId="12" xfId="0" applyFont="1" applyBorder="1" applyAlignment="1">
      <alignment horizontal="left" vertical="center" wrapText="1"/>
    </xf>
    <xf numFmtId="0" fontId="6" fillId="0" borderId="16" xfId="0" applyFont="1" applyBorder="1" applyAlignment="1">
      <alignment horizontal="left" vertical="center" wrapText="1"/>
    </xf>
    <xf numFmtId="0" fontId="6" fillId="0" borderId="19" xfId="0" applyFont="1" applyBorder="1" applyAlignment="1">
      <alignment horizontal="left" vertical="center" wrapText="1"/>
    </xf>
    <xf numFmtId="0" fontId="13" fillId="7" borderId="3" xfId="0" applyFont="1" applyFill="1" applyBorder="1" applyAlignment="1">
      <alignment horizontal="center" vertical="center"/>
    </xf>
    <xf numFmtId="0" fontId="13" fillId="7" borderId="10" xfId="0" applyFont="1" applyFill="1" applyBorder="1" applyAlignment="1">
      <alignment horizontal="center" vertical="center"/>
    </xf>
    <xf numFmtId="0" fontId="7" fillId="0" borderId="33" xfId="0" applyFont="1" applyBorder="1" applyAlignment="1">
      <alignment horizontal="center" vertical="center"/>
    </xf>
    <xf numFmtId="0" fontId="7" fillId="0" borderId="34" xfId="0" applyFont="1" applyBorder="1" applyAlignment="1">
      <alignment horizontal="center" vertical="center"/>
    </xf>
    <xf numFmtId="0" fontId="7" fillId="0" borderId="35" xfId="0" applyFont="1" applyBorder="1" applyAlignment="1">
      <alignment horizontal="center" vertical="center"/>
    </xf>
    <xf numFmtId="0" fontId="7" fillId="0" borderId="23" xfId="0" applyFont="1" applyBorder="1" applyAlignment="1">
      <alignment horizontal="center" vertical="center"/>
    </xf>
    <xf numFmtId="0" fontId="7" fillId="0" borderId="0" xfId="0" applyFont="1" applyAlignment="1">
      <alignment horizontal="center" vertical="center"/>
    </xf>
    <xf numFmtId="0" fontId="7" fillId="0" borderId="22" xfId="0" applyFont="1" applyBorder="1" applyAlignment="1">
      <alignment horizontal="center" vertical="center"/>
    </xf>
    <xf numFmtId="0" fontId="7" fillId="0" borderId="36" xfId="0" applyFont="1" applyBorder="1" applyAlignment="1">
      <alignment horizontal="center" vertical="center"/>
    </xf>
    <xf numFmtId="0" fontId="7" fillId="0" borderId="31" xfId="0" applyFont="1" applyBorder="1" applyAlignment="1">
      <alignment horizontal="center" vertical="center"/>
    </xf>
    <xf numFmtId="0" fontId="7" fillId="0" borderId="32" xfId="0" applyFont="1" applyBorder="1" applyAlignment="1">
      <alignment horizontal="center" vertical="center"/>
    </xf>
    <xf numFmtId="0" fontId="6" fillId="0" borderId="77" xfId="0" applyFont="1" applyBorder="1" applyAlignment="1">
      <alignment horizontal="center" vertical="center"/>
    </xf>
    <xf numFmtId="0" fontId="6" fillId="0" borderId="78" xfId="0" applyFont="1" applyBorder="1" applyAlignment="1">
      <alignment horizontal="center" vertical="center"/>
    </xf>
    <xf numFmtId="0" fontId="6" fillId="0" borderId="79" xfId="0" applyFont="1" applyBorder="1" applyAlignment="1">
      <alignment horizontal="center" vertical="center"/>
    </xf>
    <xf numFmtId="0" fontId="6" fillId="0" borderId="76" xfId="0" applyFont="1" applyBorder="1" applyAlignment="1">
      <alignment horizontal="center" vertical="center" wrapText="1"/>
    </xf>
    <xf numFmtId="0" fontId="6" fillId="6" borderId="76" xfId="0" applyFont="1" applyFill="1" applyBorder="1" applyAlignment="1">
      <alignment horizontal="center" vertical="center" wrapText="1"/>
    </xf>
    <xf numFmtId="0" fontId="6" fillId="0" borderId="76" xfId="0" applyFont="1" applyBorder="1" applyAlignment="1">
      <alignment horizontal="center" vertical="center"/>
    </xf>
    <xf numFmtId="0" fontId="13" fillId="7" borderId="33" xfId="0" applyFont="1" applyFill="1" applyBorder="1" applyAlignment="1">
      <alignment horizontal="center" vertical="center" wrapText="1"/>
    </xf>
    <xf numFmtId="0" fontId="13" fillId="7" borderId="34" xfId="0" applyFont="1" applyFill="1" applyBorder="1" applyAlignment="1">
      <alignment horizontal="center" vertical="center" wrapText="1"/>
    </xf>
    <xf numFmtId="0" fontId="13" fillId="7" borderId="35" xfId="0" applyFont="1" applyFill="1" applyBorder="1" applyAlignment="1">
      <alignment horizontal="center" vertical="center" wrapText="1"/>
    </xf>
    <xf numFmtId="0" fontId="1" fillId="0" borderId="76" xfId="0" applyFont="1" applyBorder="1" applyAlignment="1">
      <alignment horizontal="center" vertical="center" wrapText="1"/>
    </xf>
    <xf numFmtId="0" fontId="30" fillId="0" borderId="33" xfId="0" applyFont="1" applyBorder="1" applyAlignment="1">
      <alignment horizontal="center" vertical="center"/>
    </xf>
    <xf numFmtId="0" fontId="30" fillId="0" borderId="35" xfId="0" applyFont="1" applyBorder="1" applyAlignment="1">
      <alignment horizontal="center" vertical="center"/>
    </xf>
    <xf numFmtId="0" fontId="30" fillId="0" borderId="23" xfId="0" applyFont="1" applyBorder="1" applyAlignment="1">
      <alignment horizontal="center" vertical="center"/>
    </xf>
    <xf numFmtId="0" fontId="30" fillId="0" borderId="22" xfId="0" applyFont="1" applyBorder="1" applyAlignment="1">
      <alignment horizontal="center" vertical="center"/>
    </xf>
    <xf numFmtId="0" fontId="30" fillId="0" borderId="36" xfId="0" applyFont="1" applyBorder="1" applyAlignment="1">
      <alignment horizontal="center" vertical="center"/>
    </xf>
    <xf numFmtId="0" fontId="30" fillId="0" borderId="32" xfId="0" applyFont="1" applyBorder="1" applyAlignment="1">
      <alignment horizontal="center" vertical="center"/>
    </xf>
    <xf numFmtId="0" fontId="6" fillId="0" borderId="55" xfId="0" applyFont="1" applyBorder="1" applyAlignment="1">
      <alignment horizontal="center" vertical="center" wrapText="1"/>
    </xf>
    <xf numFmtId="0" fontId="8" fillId="0" borderId="55" xfId="5" applyBorder="1" applyAlignment="1">
      <alignment horizontal="center" vertical="center" wrapText="1"/>
    </xf>
    <xf numFmtId="0" fontId="12" fillId="0" borderId="0" xfId="0" applyFont="1" applyAlignment="1">
      <alignment horizontal="center" vertical="center" wrapText="1"/>
    </xf>
    <xf numFmtId="0" fontId="6" fillId="0" borderId="56" xfId="0" applyFont="1" applyBorder="1" applyAlignment="1">
      <alignment horizontal="center" vertical="center"/>
    </xf>
    <xf numFmtId="0" fontId="6" fillId="0" borderId="57" xfId="0" applyFont="1" applyBorder="1" applyAlignment="1">
      <alignment horizontal="center" vertical="center"/>
    </xf>
    <xf numFmtId="0" fontId="6" fillId="0" borderId="58" xfId="0" applyFont="1" applyBorder="1" applyAlignment="1">
      <alignment horizontal="center" vertical="center"/>
    </xf>
    <xf numFmtId="0" fontId="8" fillId="0" borderId="56" xfId="5" applyBorder="1" applyAlignment="1">
      <alignment horizontal="center" vertical="center" wrapText="1"/>
    </xf>
    <xf numFmtId="0" fontId="8" fillId="0" borderId="58" xfId="5" applyBorder="1" applyAlignment="1">
      <alignment horizontal="center" vertical="center" wrapText="1"/>
    </xf>
    <xf numFmtId="0" fontId="13" fillId="7" borderId="64" xfId="0" applyFont="1" applyFill="1" applyBorder="1" applyAlignment="1">
      <alignment horizontal="center" vertical="center"/>
    </xf>
    <xf numFmtId="0" fontId="13" fillId="7" borderId="128" xfId="0" applyFont="1" applyFill="1" applyBorder="1" applyAlignment="1">
      <alignment horizontal="center" vertical="center"/>
    </xf>
    <xf numFmtId="0" fontId="13" fillId="7" borderId="65" xfId="0" applyFont="1" applyFill="1" applyBorder="1" applyAlignment="1">
      <alignment horizontal="center" vertical="center"/>
    </xf>
    <xf numFmtId="0" fontId="30" fillId="0" borderId="39" xfId="0" applyFont="1" applyBorder="1" applyAlignment="1">
      <alignment horizontal="center" vertical="center" wrapText="1"/>
    </xf>
    <xf numFmtId="0" fontId="30" fillId="0" borderId="37" xfId="0" applyFont="1" applyBorder="1" applyAlignment="1">
      <alignment horizontal="center" vertical="center" wrapText="1"/>
    </xf>
    <xf numFmtId="0" fontId="30" fillId="0" borderId="43" xfId="0" applyFont="1" applyBorder="1" applyAlignment="1">
      <alignment horizontal="center" vertical="center" wrapText="1"/>
    </xf>
    <xf numFmtId="0" fontId="30" fillId="0" borderId="53" xfId="0" applyFont="1" applyBorder="1" applyAlignment="1">
      <alignment horizontal="center" vertical="center" wrapText="1"/>
    </xf>
    <xf numFmtId="0" fontId="30" fillId="0" borderId="47" xfId="0" applyFont="1" applyBorder="1" applyAlignment="1">
      <alignment horizontal="center" vertical="center" wrapText="1"/>
    </xf>
    <xf numFmtId="0" fontId="30" fillId="0" borderId="48" xfId="0" applyFont="1" applyBorder="1" applyAlignment="1">
      <alignment horizontal="center" vertical="center" wrapText="1"/>
    </xf>
    <xf numFmtId="0" fontId="30" fillId="0" borderId="53" xfId="0" applyFont="1" applyBorder="1" applyAlignment="1">
      <alignment horizontal="center" vertical="center"/>
    </xf>
    <xf numFmtId="0" fontId="30" fillId="0" borderId="47" xfId="0" applyFont="1" applyBorder="1" applyAlignment="1">
      <alignment horizontal="center" vertical="center"/>
    </xf>
    <xf numFmtId="0" fontId="30" fillId="0" borderId="48" xfId="0" applyFont="1" applyBorder="1" applyAlignment="1">
      <alignment horizontal="center" vertical="center"/>
    </xf>
    <xf numFmtId="0" fontId="30" fillId="0" borderId="38" xfId="0" applyFont="1" applyBorder="1" applyAlignment="1">
      <alignment horizontal="center" vertical="center"/>
    </xf>
    <xf numFmtId="0" fontId="30" fillId="0" borderId="25" xfId="0" applyFont="1" applyBorder="1" applyAlignment="1">
      <alignment horizontal="center" vertical="center"/>
    </xf>
    <xf numFmtId="0" fontId="30" fillId="0" borderId="42" xfId="0" applyFont="1" applyBorder="1" applyAlignment="1">
      <alignment horizontal="center" vertical="center"/>
    </xf>
    <xf numFmtId="0" fontId="6" fillId="0" borderId="2" xfId="0" applyFont="1" applyBorder="1" applyAlignment="1">
      <alignment horizontal="center" vertical="center"/>
    </xf>
    <xf numFmtId="2" fontId="6" fillId="0" borderId="2" xfId="0" applyNumberFormat="1" applyFont="1" applyBorder="1" applyAlignment="1">
      <alignment horizontal="center" vertical="center"/>
    </xf>
    <xf numFmtId="0" fontId="13" fillId="7" borderId="20" xfId="0" applyFont="1" applyFill="1" applyBorder="1" applyAlignment="1">
      <alignment horizontal="center" vertical="center" wrapText="1"/>
    </xf>
    <xf numFmtId="0" fontId="6" fillId="0" borderId="2" xfId="0" applyFont="1" applyBorder="1" applyAlignment="1">
      <alignment horizontal="center" vertical="center" wrapText="1"/>
    </xf>
    <xf numFmtId="0" fontId="13" fillId="7" borderId="0" xfId="0" applyFont="1" applyFill="1" applyAlignment="1">
      <alignment horizontal="center" vertical="center" wrapText="1"/>
    </xf>
    <xf numFmtId="0" fontId="6" fillId="0" borderId="4" xfId="0" applyFont="1" applyBorder="1" applyAlignment="1">
      <alignment horizontal="center" vertical="center" wrapText="1"/>
    </xf>
    <xf numFmtId="0" fontId="6" fillId="0" borderId="8" xfId="0" applyFont="1" applyBorder="1" applyAlignment="1">
      <alignment horizontal="center" vertical="center" wrapText="1"/>
    </xf>
    <xf numFmtId="0" fontId="6" fillId="0" borderId="177" xfId="0" applyFont="1" applyBorder="1" applyAlignment="1">
      <alignment horizontal="center" vertical="center"/>
    </xf>
    <xf numFmtId="0" fontId="6" fillId="0" borderId="178" xfId="0" applyFont="1" applyBorder="1" applyAlignment="1">
      <alignment horizontal="center" vertical="center"/>
    </xf>
    <xf numFmtId="0" fontId="21" fillId="0" borderId="0" xfId="0" applyFont="1" applyAlignment="1">
      <alignment horizontal="left" vertical="center" wrapText="1"/>
    </xf>
    <xf numFmtId="0" fontId="1" fillId="0" borderId="2" xfId="0" applyFont="1" applyBorder="1" applyAlignment="1">
      <alignment horizontal="center" vertical="center"/>
    </xf>
    <xf numFmtId="0" fontId="6" fillId="0" borderId="56" xfId="0" applyFont="1" applyBorder="1" applyAlignment="1">
      <alignment horizontal="center" vertical="center" wrapText="1"/>
    </xf>
    <xf numFmtId="0" fontId="6" fillId="0" borderId="57" xfId="0" applyFont="1" applyBorder="1" applyAlignment="1">
      <alignment horizontal="center" vertical="center" wrapText="1"/>
    </xf>
    <xf numFmtId="0" fontId="6" fillId="0" borderId="58" xfId="0" applyFont="1" applyBorder="1" applyAlignment="1">
      <alignment horizontal="center" vertical="center" wrapText="1"/>
    </xf>
    <xf numFmtId="0" fontId="28" fillId="9" borderId="54" xfId="0" applyFont="1" applyFill="1" applyBorder="1" applyAlignment="1">
      <alignment horizontal="center" vertical="center"/>
    </xf>
    <xf numFmtId="0" fontId="6" fillId="0" borderId="55" xfId="0" applyFont="1" applyBorder="1" applyAlignment="1">
      <alignment horizontal="center" vertical="center"/>
    </xf>
    <xf numFmtId="0" fontId="6" fillId="12" borderId="56" xfId="0" quotePrefix="1" applyFont="1" applyFill="1" applyBorder="1" applyAlignment="1">
      <alignment horizontal="center" vertical="center" wrapText="1"/>
    </xf>
    <xf numFmtId="0" fontId="6" fillId="12" borderId="57" xfId="0" quotePrefix="1" applyFont="1" applyFill="1" applyBorder="1" applyAlignment="1">
      <alignment horizontal="center" vertical="center" wrapText="1"/>
    </xf>
    <xf numFmtId="0" fontId="6" fillId="0" borderId="56" xfId="0" applyFont="1" applyBorder="1" applyAlignment="1">
      <alignment horizontal="center"/>
    </xf>
    <xf numFmtId="0" fontId="6" fillId="0" borderId="58" xfId="0" applyFont="1" applyBorder="1" applyAlignment="1">
      <alignment horizontal="center"/>
    </xf>
    <xf numFmtId="0" fontId="6" fillId="0" borderId="64" xfId="0" applyFont="1" applyBorder="1" applyAlignment="1">
      <alignment horizontal="center" vertical="center"/>
    </xf>
    <xf numFmtId="0" fontId="0" fillId="0" borderId="2" xfId="0" applyBorder="1" applyAlignment="1">
      <alignment horizontal="center" vertical="center" wrapText="1"/>
    </xf>
    <xf numFmtId="0" fontId="13" fillId="7" borderId="2" xfId="0" applyFont="1" applyFill="1" applyBorder="1" applyAlignment="1">
      <alignment horizontal="center" vertical="center" wrapText="1"/>
    </xf>
    <xf numFmtId="0" fontId="13" fillId="7" borderId="17" xfId="0" applyFont="1" applyFill="1" applyBorder="1" applyAlignment="1">
      <alignment horizontal="center" vertical="center" wrapText="1"/>
    </xf>
    <xf numFmtId="0" fontId="6" fillId="0" borderId="12" xfId="0" applyFont="1" applyBorder="1" applyAlignment="1">
      <alignment horizontal="center" vertical="center" wrapText="1"/>
    </xf>
    <xf numFmtId="0" fontId="6" fillId="0" borderId="127" xfId="0" applyFont="1" applyBorder="1" applyAlignment="1">
      <alignment horizontal="center" vertical="center" wrapText="1"/>
    </xf>
    <xf numFmtId="0" fontId="6" fillId="0" borderId="0" xfId="0" applyFont="1" applyAlignment="1">
      <alignment horizontal="left" wrapText="1"/>
    </xf>
    <xf numFmtId="0" fontId="19" fillId="5" borderId="13" xfId="0" applyFont="1" applyFill="1" applyBorder="1" applyAlignment="1">
      <alignment horizontal="center" vertical="center" wrapText="1"/>
    </xf>
    <xf numFmtId="0" fontId="19" fillId="5" borderId="15" xfId="0" applyFont="1" applyFill="1" applyBorder="1" applyAlignment="1">
      <alignment horizontal="center" vertical="center" wrapText="1"/>
    </xf>
    <xf numFmtId="0" fontId="6" fillId="0" borderId="12" xfId="0" applyFont="1" applyBorder="1" applyAlignment="1">
      <alignment horizontal="center"/>
    </xf>
    <xf numFmtId="0" fontId="6" fillId="0" borderId="19" xfId="0" applyFont="1" applyBorder="1" applyAlignment="1">
      <alignment horizontal="center"/>
    </xf>
    <xf numFmtId="0" fontId="7" fillId="5" borderId="2" xfId="0" applyFont="1" applyFill="1" applyBorder="1" applyAlignment="1">
      <alignment horizontal="center" vertical="center" wrapText="1"/>
    </xf>
    <xf numFmtId="0" fontId="7" fillId="5" borderId="2" xfId="0" applyFont="1" applyFill="1" applyBorder="1" applyAlignment="1">
      <alignment horizontal="center" vertical="center"/>
    </xf>
    <xf numFmtId="0" fontId="1" fillId="0" borderId="12" xfId="0" applyFont="1" applyBorder="1" applyAlignment="1">
      <alignment horizontal="center" vertical="center" wrapText="1"/>
    </xf>
    <xf numFmtId="0" fontId="1" fillId="0" borderId="16" xfId="0" applyFont="1" applyBorder="1" applyAlignment="1">
      <alignment horizontal="center" vertical="center" wrapText="1"/>
    </xf>
    <xf numFmtId="0" fontId="1" fillId="0" borderId="12" xfId="0" applyFont="1" applyBorder="1" applyAlignment="1">
      <alignment horizontal="center" vertical="center"/>
    </xf>
    <xf numFmtId="0" fontId="1" fillId="0" borderId="16" xfId="0" applyFont="1" applyBorder="1" applyAlignment="1">
      <alignment horizontal="center" vertical="center"/>
    </xf>
    <xf numFmtId="0" fontId="1" fillId="0" borderId="19" xfId="0" applyFont="1" applyBorder="1" applyAlignment="1">
      <alignment horizontal="center" vertical="center"/>
    </xf>
    <xf numFmtId="0" fontId="1" fillId="0" borderId="19" xfId="0" applyFont="1" applyBorder="1" applyAlignment="1">
      <alignment horizontal="center" vertical="center" wrapText="1"/>
    </xf>
    <xf numFmtId="0" fontId="6" fillId="6" borderId="2" xfId="0" applyFont="1" applyFill="1" applyBorder="1" applyAlignment="1">
      <alignment horizontal="left" vertical="center"/>
    </xf>
    <xf numFmtId="0" fontId="35" fillId="8" borderId="67" xfId="0" applyFont="1" applyFill="1" applyBorder="1" applyAlignment="1">
      <alignment horizontal="center"/>
    </xf>
    <xf numFmtId="0" fontId="35" fillId="8" borderId="68" xfId="0" applyFont="1" applyFill="1" applyBorder="1" applyAlignment="1">
      <alignment horizontal="center"/>
    </xf>
    <xf numFmtId="0" fontId="13" fillId="7" borderId="20" xfId="0" applyFont="1" applyFill="1" applyBorder="1" applyAlignment="1">
      <alignment horizontal="center" vertical="center"/>
    </xf>
    <xf numFmtId="0" fontId="24" fillId="5" borderId="64" xfId="0" applyFont="1" applyFill="1" applyBorder="1" applyAlignment="1">
      <alignment horizontal="center" vertical="center" wrapText="1"/>
    </xf>
    <xf numFmtId="0" fontId="24" fillId="5" borderId="65" xfId="0" applyFont="1" applyFill="1" applyBorder="1" applyAlignment="1">
      <alignment horizontal="center" vertical="center" wrapText="1"/>
    </xf>
    <xf numFmtId="0" fontId="13" fillId="7" borderId="2" xfId="0" applyFont="1" applyFill="1" applyBorder="1" applyAlignment="1">
      <alignment horizontal="center" vertical="center"/>
    </xf>
    <xf numFmtId="2" fontId="6" fillId="0" borderId="12" xfId="0" applyNumberFormat="1" applyFont="1" applyBorder="1" applyAlignment="1">
      <alignment horizontal="center" vertical="center" wrapText="1"/>
    </xf>
    <xf numFmtId="2" fontId="6" fillId="0" borderId="127" xfId="0" applyNumberFormat="1" applyFont="1" applyBorder="1" applyAlignment="1">
      <alignment horizontal="center" vertical="center" wrapText="1"/>
    </xf>
    <xf numFmtId="0" fontId="1" fillId="0" borderId="127" xfId="0" applyFont="1" applyBorder="1" applyAlignment="1">
      <alignment horizontal="center" vertical="center" wrapText="1"/>
    </xf>
    <xf numFmtId="0" fontId="7" fillId="0" borderId="0" xfId="0" applyFont="1" applyAlignment="1">
      <alignment horizontal="left" vertical="center"/>
    </xf>
    <xf numFmtId="0" fontId="6" fillId="0" borderId="126" xfId="0" applyFont="1" applyBorder="1" applyAlignment="1">
      <alignment horizontal="center" vertical="center"/>
    </xf>
    <xf numFmtId="0" fontId="6" fillId="0" borderId="0" xfId="0" applyFont="1" applyAlignment="1">
      <alignment horizontal="left" vertical="center" wrapText="1"/>
    </xf>
    <xf numFmtId="0" fontId="8" fillId="0" borderId="0" xfId="5" applyBorder="1" applyAlignment="1">
      <alignment horizontal="center" vertical="center"/>
    </xf>
    <xf numFmtId="0" fontId="22" fillId="0" borderId="88" xfId="0" applyFont="1" applyBorder="1" applyAlignment="1">
      <alignment horizontal="center" vertical="center" wrapText="1"/>
    </xf>
    <xf numFmtId="0" fontId="22" fillId="0" borderId="120" xfId="0" applyFont="1" applyBorder="1" applyAlignment="1">
      <alignment horizontal="center" vertical="center" wrapText="1"/>
    </xf>
    <xf numFmtId="0" fontId="22" fillId="0" borderId="89" xfId="0" applyFont="1" applyBorder="1" applyAlignment="1">
      <alignment horizontal="center" vertical="center" wrapText="1"/>
    </xf>
    <xf numFmtId="0" fontId="22" fillId="0" borderId="82" xfId="0" applyFont="1" applyBorder="1" applyAlignment="1">
      <alignment horizontal="center" vertical="center"/>
    </xf>
    <xf numFmtId="0" fontId="22" fillId="0" borderId="55" xfId="0" applyFont="1" applyBorder="1" applyAlignment="1">
      <alignment horizontal="center" vertical="center"/>
    </xf>
    <xf numFmtId="0" fontId="22" fillId="0" borderId="85" xfId="0" applyFont="1" applyBorder="1" applyAlignment="1">
      <alignment horizontal="center" vertical="center"/>
    </xf>
    <xf numFmtId="0" fontId="39" fillId="0" borderId="82" xfId="0" applyFont="1" applyBorder="1" applyAlignment="1">
      <alignment horizontal="center" vertical="center" wrapText="1"/>
    </xf>
    <xf numFmtId="0" fontId="39" fillId="0" borderId="57" xfId="0" applyFont="1" applyBorder="1" applyAlignment="1">
      <alignment horizontal="center" vertical="center" wrapText="1"/>
    </xf>
    <xf numFmtId="0" fontId="39" fillId="0" borderId="98" xfId="0" applyFont="1" applyBorder="1" applyAlignment="1">
      <alignment horizontal="center" vertical="center" wrapText="1"/>
    </xf>
    <xf numFmtId="0" fontId="22" fillId="0" borderId="122" xfId="0" applyFont="1" applyBorder="1" applyAlignment="1">
      <alignment horizontal="center" vertical="center" wrapText="1"/>
    </xf>
    <xf numFmtId="0" fontId="22" fillId="0" borderId="118" xfId="0" applyFont="1" applyBorder="1" applyAlignment="1">
      <alignment horizontal="center" vertical="center" wrapText="1"/>
    </xf>
    <xf numFmtId="0" fontId="22" fillId="0" borderId="121" xfId="0" applyFont="1" applyBorder="1" applyAlignment="1">
      <alignment horizontal="center" vertical="center" wrapText="1"/>
    </xf>
    <xf numFmtId="0" fontId="22" fillId="0" borderId="123" xfId="0" applyFont="1" applyBorder="1" applyAlignment="1">
      <alignment horizontal="center" vertical="center" wrapText="1"/>
    </xf>
    <xf numFmtId="0" fontId="22" fillId="0" borderId="124" xfId="0" applyFont="1" applyBorder="1" applyAlignment="1">
      <alignment horizontal="center" vertical="center" wrapText="1"/>
    </xf>
    <xf numFmtId="0" fontId="22" fillId="0" borderId="125" xfId="0" applyFont="1" applyBorder="1" applyAlignment="1">
      <alignment horizontal="center" vertical="center" wrapText="1"/>
    </xf>
    <xf numFmtId="0" fontId="22" fillId="0" borderId="97" xfId="0" applyFont="1" applyBorder="1" applyAlignment="1">
      <alignment horizontal="center" vertical="center"/>
    </xf>
    <xf numFmtId="0" fontId="22" fillId="0" borderId="57" xfId="0" applyFont="1" applyBorder="1" applyAlignment="1">
      <alignment horizontal="center" vertical="center"/>
    </xf>
    <xf numFmtId="0" fontId="22" fillId="0" borderId="98" xfId="0" applyFont="1" applyBorder="1" applyAlignment="1">
      <alignment horizontal="center" vertical="center"/>
    </xf>
    <xf numFmtId="0" fontId="39" fillId="0" borderId="97" xfId="0" applyFont="1" applyBorder="1" applyAlignment="1">
      <alignment horizontal="center" vertical="center" wrapText="1"/>
    </xf>
    <xf numFmtId="0" fontId="39" fillId="0" borderId="82" xfId="0" applyFont="1" applyBorder="1" applyAlignment="1">
      <alignment horizontal="center" vertical="center"/>
    </xf>
    <xf numFmtId="0" fontId="39" fillId="0" borderId="55" xfId="0" applyFont="1" applyBorder="1" applyAlignment="1">
      <alignment horizontal="center" vertical="center"/>
    </xf>
    <xf numFmtId="0" fontId="39" fillId="0" borderId="56" xfId="0" applyFont="1" applyBorder="1" applyAlignment="1">
      <alignment horizontal="center" vertical="center"/>
    </xf>
    <xf numFmtId="0" fontId="39" fillId="0" borderId="83" xfId="0" applyFont="1" applyBorder="1" applyAlignment="1">
      <alignment horizontal="center" vertical="center" wrapText="1"/>
    </xf>
    <xf numFmtId="0" fontId="39" fillId="0" borderId="84" xfId="0" applyFont="1" applyBorder="1" applyAlignment="1">
      <alignment horizontal="center" vertical="center" wrapText="1"/>
    </xf>
    <xf numFmtId="0" fontId="39" fillId="0" borderId="132" xfId="0" applyFont="1" applyBorder="1" applyAlignment="1">
      <alignment horizontal="center" vertical="center" wrapText="1"/>
    </xf>
    <xf numFmtId="0" fontId="39" fillId="0" borderId="85" xfId="0" applyFont="1" applyBorder="1" applyAlignment="1">
      <alignment horizontal="center" vertical="center"/>
    </xf>
    <xf numFmtId="0" fontId="39" fillId="0" borderId="55" xfId="0" applyFont="1" applyBorder="1" applyAlignment="1">
      <alignment horizontal="center" vertical="center" wrapText="1"/>
    </xf>
    <xf numFmtId="0" fontId="39" fillId="0" borderId="56" xfId="0" applyFont="1" applyBorder="1" applyAlignment="1">
      <alignment horizontal="center" vertical="center" wrapText="1"/>
    </xf>
    <xf numFmtId="0" fontId="39" fillId="0" borderId="86" xfId="0" applyFont="1" applyBorder="1" applyAlignment="1">
      <alignment horizontal="center" vertical="center" wrapText="1"/>
    </xf>
    <xf numFmtId="0" fontId="39" fillId="0" borderId="85" xfId="0" applyFont="1" applyBorder="1" applyAlignment="1">
      <alignment horizontal="center" vertical="center" wrapText="1"/>
    </xf>
    <xf numFmtId="0" fontId="22" fillId="0" borderId="58" xfId="0" applyFont="1" applyBorder="1" applyAlignment="1">
      <alignment horizontal="center" vertical="center" wrapText="1"/>
    </xf>
    <xf numFmtId="0" fontId="22" fillId="0" borderId="55" xfId="0" applyFont="1" applyBorder="1" applyAlignment="1">
      <alignment horizontal="center" vertical="center" wrapText="1"/>
    </xf>
    <xf numFmtId="0" fontId="22" fillId="0" borderId="56" xfId="0" applyFont="1" applyBorder="1" applyAlignment="1">
      <alignment horizontal="center" vertical="center" wrapText="1"/>
    </xf>
    <xf numFmtId="0" fontId="22" fillId="0" borderId="83" xfId="0" applyFont="1" applyBorder="1" applyAlignment="1">
      <alignment horizontal="center" vertical="center" wrapText="1"/>
    </xf>
    <xf numFmtId="0" fontId="22" fillId="0" borderId="84" xfId="0" applyFont="1" applyBorder="1" applyAlignment="1">
      <alignment horizontal="center" vertical="center" wrapText="1"/>
    </xf>
    <xf numFmtId="0" fontId="22" fillId="0" borderId="132" xfId="0" applyFont="1" applyBorder="1" applyAlignment="1">
      <alignment horizontal="center" vertical="center" wrapText="1"/>
    </xf>
    <xf numFmtId="0" fontId="22" fillId="0" borderId="150" xfId="0" applyFont="1" applyBorder="1" applyAlignment="1">
      <alignment horizontal="center" vertical="center" wrapText="1"/>
    </xf>
    <xf numFmtId="0" fontId="22" fillId="0" borderId="155" xfId="0" applyFont="1" applyBorder="1" applyAlignment="1">
      <alignment horizontal="center" vertical="center" wrapText="1"/>
    </xf>
    <xf numFmtId="0" fontId="22" fillId="0" borderId="151" xfId="0" applyFont="1" applyBorder="1" applyAlignment="1">
      <alignment horizontal="center" vertical="center" wrapText="1"/>
    </xf>
    <xf numFmtId="0" fontId="22" fillId="0" borderId="153" xfId="0" applyFont="1" applyBorder="1" applyAlignment="1">
      <alignment horizontal="center" vertical="center" wrapText="1"/>
    </xf>
    <xf numFmtId="0" fontId="22" fillId="0" borderId="156" xfId="0" applyFont="1" applyBorder="1" applyAlignment="1">
      <alignment horizontal="center" vertical="center" wrapText="1"/>
    </xf>
    <xf numFmtId="0" fontId="22" fillId="0" borderId="171" xfId="0" applyFont="1" applyBorder="1" applyAlignment="1">
      <alignment horizontal="center" vertical="center" wrapText="1"/>
    </xf>
    <xf numFmtId="0" fontId="22" fillId="0" borderId="161" xfId="0" applyFont="1" applyBorder="1" applyAlignment="1">
      <alignment horizontal="center" vertical="center" wrapText="1"/>
    </xf>
    <xf numFmtId="0" fontId="22" fillId="0" borderId="170" xfId="0" applyFont="1" applyBorder="1" applyAlignment="1">
      <alignment horizontal="center" vertical="center" wrapText="1"/>
    </xf>
    <xf numFmtId="0" fontId="22" fillId="0" borderId="158" xfId="0" applyFont="1" applyBorder="1" applyAlignment="1">
      <alignment horizontal="center" vertical="center" wrapText="1"/>
    </xf>
    <xf numFmtId="0" fontId="22" fillId="0" borderId="162" xfId="0" applyFont="1" applyBorder="1" applyAlignment="1">
      <alignment horizontal="center" vertical="center" wrapText="1"/>
    </xf>
    <xf numFmtId="0" fontId="22" fillId="0" borderId="165" xfId="0" applyFont="1" applyBorder="1" applyAlignment="1">
      <alignment horizontal="center" vertical="center" wrapText="1"/>
    </xf>
    <xf numFmtId="0" fontId="22" fillId="0" borderId="167" xfId="0" applyFont="1" applyBorder="1" applyAlignment="1">
      <alignment horizontal="center" vertical="center" wrapText="1"/>
    </xf>
    <xf numFmtId="0" fontId="22" fillId="0" borderId="168" xfId="0" applyFont="1" applyBorder="1" applyAlignment="1">
      <alignment horizontal="center" vertical="center" wrapText="1"/>
    </xf>
    <xf numFmtId="0" fontId="22" fillId="0" borderId="58" xfId="0" applyFont="1" applyBorder="1" applyAlignment="1">
      <alignment horizontal="center" vertical="center"/>
    </xf>
    <xf numFmtId="0" fontId="22" fillId="0" borderId="159" xfId="0" applyFont="1" applyBorder="1" applyAlignment="1">
      <alignment horizontal="center" vertical="center"/>
    </xf>
    <xf numFmtId="0" fontId="22" fillId="0" borderId="76" xfId="0" applyFont="1" applyBorder="1" applyAlignment="1">
      <alignment horizontal="center" vertical="center"/>
    </xf>
    <xf numFmtId="0" fontId="22" fillId="0" borderId="163" xfId="0" applyFont="1" applyBorder="1" applyAlignment="1">
      <alignment horizontal="center" vertical="center"/>
    </xf>
    <xf numFmtId="0" fontId="7" fillId="5" borderId="62" xfId="0" applyFont="1" applyFill="1" applyBorder="1" applyAlignment="1">
      <alignment horizontal="center" vertical="center"/>
    </xf>
    <xf numFmtId="0" fontId="7" fillId="5" borderId="0" xfId="0" applyFont="1" applyFill="1" applyAlignment="1">
      <alignment horizontal="center" vertical="center"/>
    </xf>
    <xf numFmtId="0" fontId="7" fillId="5" borderId="63" xfId="0" applyFont="1" applyFill="1" applyBorder="1" applyAlignment="1">
      <alignment horizontal="center" vertical="center"/>
    </xf>
    <xf numFmtId="0" fontId="22" fillId="0" borderId="106" xfId="0" applyFont="1" applyBorder="1" applyAlignment="1">
      <alignment horizontal="center" vertical="center" wrapText="1"/>
    </xf>
    <xf numFmtId="0" fontId="22" fillId="0" borderId="110" xfId="0" applyFont="1" applyBorder="1" applyAlignment="1">
      <alignment horizontal="center" vertical="center" wrapText="1"/>
    </xf>
    <xf numFmtId="0" fontId="22" fillId="0" borderId="112" xfId="0" applyFont="1" applyBorder="1" applyAlignment="1">
      <alignment horizontal="center" vertical="center" wrapText="1"/>
    </xf>
    <xf numFmtId="0" fontId="22" fillId="0" borderId="95" xfId="0" applyFont="1" applyBorder="1" applyAlignment="1">
      <alignment horizontal="center" vertical="center"/>
    </xf>
    <xf numFmtId="0" fontId="22" fillId="0" borderId="96" xfId="0" applyFont="1" applyBorder="1" applyAlignment="1">
      <alignment horizontal="center" vertical="center"/>
    </xf>
    <xf numFmtId="0" fontId="39" fillId="0" borderId="95" xfId="0" applyFont="1" applyBorder="1" applyAlignment="1">
      <alignment horizontal="center" vertical="center" wrapText="1"/>
    </xf>
    <xf numFmtId="0" fontId="39" fillId="0" borderId="113" xfId="0" applyFont="1" applyBorder="1" applyAlignment="1">
      <alignment horizontal="center" vertical="center" wrapText="1"/>
    </xf>
    <xf numFmtId="0" fontId="22" fillId="0" borderId="107" xfId="0" applyFont="1" applyBorder="1" applyAlignment="1">
      <alignment horizontal="center" vertical="center" wrapText="1"/>
    </xf>
    <xf numFmtId="0" fontId="22" fillId="0" borderId="7" xfId="0" applyFont="1" applyBorder="1" applyAlignment="1">
      <alignment horizontal="center" vertical="center" wrapText="1"/>
    </xf>
    <xf numFmtId="0" fontId="22" fillId="0" borderId="114" xfId="0" applyFont="1" applyBorder="1" applyAlignment="1">
      <alignment horizontal="center" vertical="center" wrapText="1"/>
    </xf>
    <xf numFmtId="0" fontId="22" fillId="0" borderId="117" xfId="0" applyFont="1" applyBorder="1" applyAlignment="1">
      <alignment horizontal="center" vertical="center" wrapText="1"/>
    </xf>
    <xf numFmtId="0" fontId="39" fillId="0" borderId="58" xfId="0" applyFont="1" applyBorder="1" applyAlignment="1">
      <alignment horizontal="center" vertical="center" wrapText="1"/>
    </xf>
    <xf numFmtId="0" fontId="39" fillId="0" borderId="17" xfId="0" applyFont="1" applyBorder="1" applyAlignment="1">
      <alignment horizontal="center" vertical="center"/>
    </xf>
    <xf numFmtId="0" fontId="22" fillId="0" borderId="99" xfId="0" applyFont="1" applyBorder="1" applyAlignment="1">
      <alignment horizontal="center" vertical="center" wrapText="1"/>
    </xf>
    <xf numFmtId="0" fontId="22" fillId="0" borderId="101" xfId="0" applyFont="1" applyBorder="1" applyAlignment="1">
      <alignment horizontal="center" vertical="center" wrapText="1"/>
    </xf>
    <xf numFmtId="0" fontId="22" fillId="0" borderId="103" xfId="0" applyFont="1" applyBorder="1" applyAlignment="1">
      <alignment horizontal="center" vertical="center" wrapText="1"/>
    </xf>
    <xf numFmtId="0" fontId="22" fillId="0" borderId="4" xfId="0" applyFont="1" applyBorder="1" applyAlignment="1">
      <alignment horizontal="center" vertical="center" wrapText="1"/>
    </xf>
    <xf numFmtId="0" fontId="22" fillId="0" borderId="6" xfId="0" applyFont="1" applyBorder="1" applyAlignment="1">
      <alignment horizontal="center" vertical="center" wrapText="1"/>
    </xf>
    <xf numFmtId="0" fontId="22" fillId="0" borderId="173" xfId="0" applyFont="1" applyBorder="1" applyAlignment="1">
      <alignment horizontal="center" vertical="center" wrapText="1"/>
    </xf>
    <xf numFmtId="0" fontId="22" fillId="0" borderId="8" xfId="0" applyFont="1" applyBorder="1" applyAlignment="1">
      <alignment horizontal="center" vertical="center" wrapText="1"/>
    </xf>
    <xf numFmtId="0" fontId="7" fillId="5" borderId="12" xfId="0" applyFont="1" applyFill="1" applyBorder="1" applyAlignment="1">
      <alignment horizontal="center" vertical="center"/>
    </xf>
    <xf numFmtId="0" fontId="22" fillId="0" borderId="5" xfId="0" applyFont="1" applyBorder="1" applyAlignment="1">
      <alignment horizontal="center" vertical="center" wrapText="1"/>
    </xf>
    <xf numFmtId="0" fontId="22" fillId="0" borderId="130" xfId="0" applyFont="1" applyBorder="1" applyAlignment="1">
      <alignment horizontal="center" vertical="center" wrapText="1"/>
    </xf>
    <xf numFmtId="0" fontId="22" fillId="0" borderId="9" xfId="0" applyFont="1" applyBorder="1" applyAlignment="1">
      <alignment horizontal="center" vertical="center"/>
    </xf>
    <xf numFmtId="0" fontId="22" fillId="0" borderId="94" xfId="0" applyFont="1" applyBorder="1" applyAlignment="1">
      <alignment horizontal="center" vertical="center"/>
    </xf>
    <xf numFmtId="0" fontId="22" fillId="0" borderId="2" xfId="0" applyFont="1" applyBorder="1" applyAlignment="1">
      <alignment horizontal="center" vertical="center"/>
    </xf>
    <xf numFmtId="0" fontId="22" fillId="0" borderId="12" xfId="0" applyFont="1" applyBorder="1" applyAlignment="1">
      <alignment horizontal="center" vertical="center"/>
    </xf>
    <xf numFmtId="0" fontId="22" fillId="0" borderId="1" xfId="0" applyFont="1" applyBorder="1" applyAlignment="1">
      <alignment horizontal="center" vertical="center"/>
    </xf>
    <xf numFmtId="0" fontId="22" fillId="0" borderId="19" xfId="0" applyFont="1" applyBorder="1" applyAlignment="1">
      <alignment horizontal="center" vertical="center"/>
    </xf>
    <xf numFmtId="0" fontId="22" fillId="0" borderId="30" xfId="0" applyFont="1" applyBorder="1" applyAlignment="1">
      <alignment horizontal="center" vertical="center"/>
    </xf>
    <xf numFmtId="0" fontId="22" fillId="0" borderId="100" xfId="0" applyFont="1" applyBorder="1" applyAlignment="1">
      <alignment horizontal="center" vertical="center" wrapText="1"/>
    </xf>
    <xf numFmtId="0" fontId="22" fillId="0" borderId="102" xfId="0" applyFont="1" applyBorder="1" applyAlignment="1">
      <alignment horizontal="center" vertical="center" wrapText="1"/>
    </xf>
    <xf numFmtId="0" fontId="22" fillId="0" borderId="174" xfId="0" applyFont="1" applyBorder="1" applyAlignment="1">
      <alignment horizontal="center" vertical="center" wrapText="1"/>
    </xf>
    <xf numFmtId="0" fontId="22" fillId="0" borderId="3" xfId="0" applyFont="1" applyBorder="1" applyAlignment="1">
      <alignment horizontal="center" vertical="center" wrapText="1"/>
    </xf>
    <xf numFmtId="0" fontId="39" fillId="0" borderId="147" xfId="0" applyFont="1" applyBorder="1" applyAlignment="1">
      <alignment horizontal="center" vertical="center"/>
    </xf>
    <xf numFmtId="0" fontId="39" fillId="0" borderId="148" xfId="0" applyFont="1" applyBorder="1" applyAlignment="1">
      <alignment horizontal="center" vertical="center"/>
    </xf>
    <xf numFmtId="0" fontId="13" fillId="7" borderId="21" xfId="0" applyFont="1" applyFill="1" applyBorder="1" applyAlignment="1">
      <alignment horizontal="center" vertical="center" wrapText="1"/>
    </xf>
    <xf numFmtId="0" fontId="7" fillId="5" borderId="3" xfId="0" applyFont="1" applyFill="1" applyBorder="1" applyAlignment="1">
      <alignment horizontal="center" vertical="center"/>
    </xf>
    <xf numFmtId="0" fontId="7" fillId="5" borderId="10" xfId="0" applyFont="1" applyFill="1" applyBorder="1" applyAlignment="1">
      <alignment horizontal="center" vertical="center"/>
    </xf>
    <xf numFmtId="3" fontId="22" fillId="0" borderId="159" xfId="0" applyNumberFormat="1" applyFont="1" applyBorder="1" applyAlignment="1">
      <alignment horizontal="center" vertical="center" wrapText="1"/>
    </xf>
    <xf numFmtId="0" fontId="22" fillId="0" borderId="76" xfId="0" applyFont="1" applyBorder="1" applyAlignment="1">
      <alignment horizontal="center" vertical="center" wrapText="1"/>
    </xf>
    <xf numFmtId="0" fontId="22" fillId="0" borderId="163" xfId="0" applyFont="1" applyBorder="1" applyAlignment="1">
      <alignment horizontal="center" vertical="center" wrapText="1"/>
    </xf>
    <xf numFmtId="0" fontId="22" fillId="0" borderId="79" xfId="0" applyFont="1" applyBorder="1" applyAlignment="1">
      <alignment horizontal="center" vertical="center"/>
    </xf>
    <xf numFmtId="0" fontId="22" fillId="0" borderId="129" xfId="0" applyFont="1" applyBorder="1" applyAlignment="1">
      <alignment horizontal="center" vertical="center" wrapText="1"/>
    </xf>
    <xf numFmtId="0" fontId="22" fillId="0" borderId="104" xfId="0" applyFont="1" applyBorder="1" applyAlignment="1">
      <alignment horizontal="center" vertical="center" wrapText="1"/>
    </xf>
    <xf numFmtId="0" fontId="22" fillId="0" borderId="9" xfId="0" applyFont="1" applyBorder="1" applyAlignment="1">
      <alignment horizontal="center" vertical="center" wrapText="1"/>
    </xf>
    <xf numFmtId="0" fontId="22" fillId="0" borderId="160" xfId="0" applyFont="1" applyBorder="1" applyAlignment="1">
      <alignment horizontal="center" vertical="center" wrapText="1"/>
    </xf>
    <xf numFmtId="0" fontId="22" fillId="0" borderId="136" xfId="0" applyFont="1" applyBorder="1" applyAlignment="1">
      <alignment horizontal="center" vertical="center"/>
    </xf>
    <xf numFmtId="0" fontId="22" fillId="0" borderId="164" xfId="0" applyFont="1" applyBorder="1" applyAlignment="1">
      <alignment horizontal="center" vertical="center"/>
    </xf>
    <xf numFmtId="0" fontId="22" fillId="0" borderId="134" xfId="0" applyFont="1" applyBorder="1" applyAlignment="1">
      <alignment horizontal="center" vertical="center" wrapText="1"/>
    </xf>
    <xf numFmtId="0" fontId="22" fillId="0" borderId="138" xfId="0" applyFont="1" applyBorder="1" applyAlignment="1">
      <alignment horizontal="center" vertical="center"/>
    </xf>
    <xf numFmtId="0" fontId="22" fillId="0" borderId="131" xfId="0" applyFont="1" applyBorder="1" applyAlignment="1">
      <alignment horizontal="center" vertical="center" wrapText="1"/>
    </xf>
    <xf numFmtId="3" fontId="22" fillId="0" borderId="82" xfId="0" applyNumberFormat="1" applyFont="1" applyBorder="1" applyAlignment="1">
      <alignment horizontal="center" vertical="center"/>
    </xf>
    <xf numFmtId="0" fontId="22" fillId="0" borderId="56" xfId="0" applyFont="1" applyBorder="1" applyAlignment="1">
      <alignment horizontal="center" vertical="center"/>
    </xf>
    <xf numFmtId="0" fontId="22" fillId="0" borderId="105" xfId="0" applyFont="1" applyBorder="1" applyAlignment="1">
      <alignment horizontal="center" vertical="center" wrapText="1"/>
    </xf>
    <xf numFmtId="0" fontId="22" fillId="0" borderId="7" xfId="0" applyFont="1" applyBorder="1" applyAlignment="1">
      <alignment horizontal="center" vertical="center"/>
    </xf>
    <xf numFmtId="0" fontId="22" fillId="0" borderId="73" xfId="0" applyFont="1" applyBorder="1" applyAlignment="1">
      <alignment horizontal="center" vertical="center"/>
    </xf>
    <xf numFmtId="0" fontId="22" fillId="0" borderId="77" xfId="0" applyFont="1" applyBorder="1" applyAlignment="1">
      <alignment horizontal="center" vertical="center"/>
    </xf>
    <xf numFmtId="0" fontId="22" fillId="0" borderId="147" xfId="0" applyFont="1" applyBorder="1" applyAlignment="1">
      <alignment horizontal="center" vertical="center"/>
    </xf>
    <xf numFmtId="0" fontId="22" fillId="0" borderId="17" xfId="0" applyFont="1" applyBorder="1" applyAlignment="1">
      <alignment horizontal="center" vertical="center"/>
    </xf>
    <xf numFmtId="0" fontId="22" fillId="0" borderId="148" xfId="0" applyFont="1" applyBorder="1" applyAlignment="1">
      <alignment horizontal="center" vertical="center"/>
    </xf>
    <xf numFmtId="0" fontId="22" fillId="0" borderId="13" xfId="0" applyFont="1" applyBorder="1" applyAlignment="1">
      <alignment horizontal="center" vertical="center" wrapText="1"/>
    </xf>
    <xf numFmtId="0" fontId="22" fillId="0" borderId="16" xfId="0" applyFont="1" applyBorder="1" applyAlignment="1">
      <alignment horizontal="center" vertical="center"/>
    </xf>
    <xf numFmtId="0" fontId="22" fillId="0" borderId="19" xfId="0" applyFont="1" applyBorder="1" applyAlignment="1">
      <alignment horizontal="center" vertical="center" wrapText="1"/>
    </xf>
    <xf numFmtId="0" fontId="22" fillId="0" borderId="2" xfId="0" applyFont="1" applyBorder="1" applyAlignment="1">
      <alignment horizontal="center" vertical="center" wrapText="1"/>
    </xf>
    <xf numFmtId="0" fontId="22" fillId="0" borderId="12" xfId="0" applyFont="1" applyBorder="1" applyAlignment="1">
      <alignment horizontal="center" vertical="center" wrapText="1"/>
    </xf>
    <xf numFmtId="0" fontId="22" fillId="0" borderId="166" xfId="0" applyFont="1" applyBorder="1" applyAlignment="1">
      <alignment horizontal="center" vertical="center"/>
    </xf>
    <xf numFmtId="0" fontId="22" fillId="0" borderId="78" xfId="0" applyFont="1" applyBorder="1" applyAlignment="1">
      <alignment horizontal="center" vertical="center"/>
    </xf>
    <xf numFmtId="0" fontId="22" fillId="0" borderId="169" xfId="0" applyFont="1" applyBorder="1" applyAlignment="1">
      <alignment horizontal="center" vertical="center"/>
    </xf>
    <xf numFmtId="0" fontId="6" fillId="0" borderId="29" xfId="0" applyFont="1" applyBorder="1" applyAlignment="1">
      <alignment horizontal="center" vertical="center"/>
    </xf>
    <xf numFmtId="0" fontId="6" fillId="0" borderId="25" xfId="0" applyFont="1" applyBorder="1" applyAlignment="1">
      <alignment horizontal="center" vertical="center"/>
    </xf>
    <xf numFmtId="0" fontId="6" fillId="0" borderId="26" xfId="0" applyFont="1" applyBorder="1" applyAlignment="1">
      <alignment horizontal="center" vertical="center"/>
    </xf>
    <xf numFmtId="0" fontId="24" fillId="5" borderId="2" xfId="0" applyFont="1" applyFill="1" applyBorder="1" applyAlignment="1">
      <alignment horizontal="center" vertical="center"/>
    </xf>
    <xf numFmtId="0" fontId="24" fillId="5" borderId="12" xfId="0" applyFont="1" applyFill="1" applyBorder="1" applyAlignment="1">
      <alignment horizontal="center" vertical="center"/>
    </xf>
    <xf numFmtId="0" fontId="10" fillId="7" borderId="0" xfId="0" applyFont="1" applyFill="1" applyAlignment="1">
      <alignment horizontal="center" vertical="center" wrapText="1"/>
    </xf>
    <xf numFmtId="0" fontId="0" fillId="0" borderId="0" xfId="0" applyAlignment="1">
      <alignment horizontal="center"/>
    </xf>
  </cellXfs>
  <cellStyles count="13">
    <cellStyle name="Comma" xfId="6" builtinId="3"/>
    <cellStyle name="Hyperlink" xfId="5" builtinId="8"/>
    <cellStyle name="Hyperlink 2" xfId="10" xr:uid="{10C1E3C0-F46B-4E25-BD9A-EE5D62F88FF2}"/>
    <cellStyle name="Normal" xfId="0" builtinId="0"/>
    <cellStyle name="Normal 2" xfId="3" xr:uid="{E38C2638-0821-4BB2-9C33-A89D3950ADA6}"/>
    <cellStyle name="Normal 2 2" xfId="4" xr:uid="{7604919E-E68F-4366-A693-6A7B8B8DA661}"/>
    <cellStyle name="Normal 2 3" xfId="9" xr:uid="{8A1E39CD-7ABA-4D79-A464-67010D1209C1}"/>
    <cellStyle name="Normal 3" xfId="7" xr:uid="{1C10DAE4-4F9C-4E19-81E4-5574511A6741}"/>
    <cellStyle name="Normal 4" xfId="11" xr:uid="{43272557-B37F-4996-BC18-AA3EDEAFA379}"/>
    <cellStyle name="Normal 5" xfId="12" xr:uid="{642BE191-BE2F-4847-8420-1C59B95E270E}"/>
    <cellStyle name="Normal_Prototype_Scorecard-LgOffice-2008-03-13" xfId="1" xr:uid="{F839F8A1-86E5-4008-9801-0F032E8A3317}"/>
    <cellStyle name="Percent" xfId="2" builtinId="5"/>
    <cellStyle name="Percent 2" xfId="8" xr:uid="{CB789C3E-741F-4464-8065-385A956411E6}"/>
  </cellStyles>
  <dxfs count="7">
    <dxf>
      <font>
        <b/>
        <i val="0"/>
      </font>
      <fill>
        <patternFill>
          <bgColor theme="0" tint="-0.14996795556505021"/>
        </patternFill>
      </fill>
      <border>
        <left style="thin">
          <color auto="1"/>
        </left>
        <right style="thin">
          <color auto="1"/>
        </right>
        <top style="thin">
          <color auto="1"/>
        </top>
        <bottom style="thin">
          <color auto="1"/>
        </bottom>
        <vertical/>
        <horizontal style="thin">
          <color auto="1"/>
        </horizontal>
      </border>
    </dxf>
    <dxf>
      <font>
        <b/>
        <i val="0"/>
      </font>
      <fill>
        <patternFill>
          <bgColor theme="0" tint="-0.14996795556505021"/>
        </patternFill>
      </fill>
      <border>
        <left style="thin">
          <color auto="1"/>
        </left>
        <right style="thin">
          <color auto="1"/>
        </right>
        <top style="thin">
          <color auto="1"/>
        </top>
        <bottom style="thin">
          <color auto="1"/>
        </bottom>
        <vertical style="thin">
          <color auto="1"/>
        </vertical>
        <horizontal style="thin">
          <color auto="1"/>
        </horizontal>
      </border>
    </dxf>
    <dxf>
      <font>
        <b/>
        <i val="0"/>
      </font>
    </dxf>
    <dxf>
      <font>
        <b/>
        <i val="0"/>
      </font>
    </dxf>
    <dxf>
      <font>
        <b/>
        <i val="0"/>
      </font>
      <border diagonalDown="1">
        <left style="thin">
          <color auto="1"/>
        </left>
        <right style="thin">
          <color auto="1"/>
        </right>
        <top style="thin">
          <color auto="1"/>
        </top>
        <bottom style="thin">
          <color auto="1"/>
        </bottom>
        <diagonal style="thin">
          <color auto="1"/>
        </diagonal>
        <vertical style="thin">
          <color auto="1"/>
        </vertical>
        <horizontal style="thin">
          <color auto="1"/>
        </horizontal>
      </border>
    </dxf>
    <dxf>
      <font>
        <b/>
        <i val="0"/>
      </font>
      <fill>
        <patternFill>
          <bgColor theme="0" tint="-0.14996795556505021"/>
        </patternFill>
      </fill>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border>
    </dxf>
  </dxfs>
  <tableStyles count="1" defaultTableStyle="TableStyleMedium2" defaultPivotStyle="PivotStyleLight16">
    <tableStyle name="PivotTable Style_MFA1" table="0" count="7" xr9:uid="{14E84246-083A-4927-8273-A88944943105}">
      <tableStyleElement type="wholeTable" dxfId="6"/>
      <tableStyleElement type="headerRow" dxfId="5"/>
      <tableStyleElement type="totalRow" dxfId="4"/>
      <tableStyleElement type="firstColumn" dxfId="3"/>
      <tableStyleElement type="lastColumn" dxfId="2"/>
      <tableStyleElement type="pageFieldLabels" dxfId="1"/>
      <tableStyleElement type="pageFieldValues" dxfId="0"/>
    </tableStyle>
  </tableStyles>
  <colors>
    <mruColors>
      <color rgb="FFFF9900"/>
      <color rgb="FFCCCCFF"/>
      <color rgb="FF8238BA"/>
      <color rgb="FFFFEBCD"/>
      <color rgb="FF002F8E"/>
      <color rgb="FF0000CC"/>
      <color rgb="FF2E9F17"/>
      <color rgb="FFFFFAF3"/>
      <color rgb="FF2DC8FF"/>
      <color rgb="FF00113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21" Type="http://schemas.microsoft.com/office/2017/10/relationships/person" Target="persons/perso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2.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ustomXml" Target="../customXml/item1.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1.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sz="1000" b="1" i="0" u="none" strike="noStrike" kern="1200" spc="0" baseline="0">
                <a:solidFill>
                  <a:sysClr val="windowText" lastClr="000000"/>
                </a:solidFill>
                <a:latin typeface="Arial" panose="020B0604020202020204" pitchFamily="34" charset="0"/>
                <a:cs typeface="Arial" panose="020B0604020202020204" pitchFamily="34" charset="0"/>
              </a:rPr>
              <a:t>Occupancy (Living Area)</a:t>
            </a:r>
          </a:p>
        </c:rich>
      </c:tx>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strRef>
              <c:f>Schedules!$E$4</c:f>
              <c:strCache>
                <c:ptCount val="1"/>
                <c:pt idx="0">
                  <c:v>Weekday</c:v>
                </c:pt>
              </c:strCache>
            </c:strRef>
          </c:tx>
          <c:spPr>
            <a:ln w="28575" cap="rnd">
              <a:solidFill>
                <a:schemeClr val="accent1"/>
              </a:solidFill>
              <a:round/>
            </a:ln>
            <a:effectLst/>
          </c:spPr>
          <c:marker>
            <c:symbol val="none"/>
          </c:marker>
          <c:val>
            <c:numRef>
              <c:f>Schedules!$F$4:$AC$4</c:f>
              <c:numCache>
                <c:formatCode>0.00</c:formatCode>
                <c:ptCount val="24"/>
                <c:pt idx="0">
                  <c:v>0.9</c:v>
                </c:pt>
                <c:pt idx="1">
                  <c:v>0.9</c:v>
                </c:pt>
                <c:pt idx="2">
                  <c:v>0.9</c:v>
                </c:pt>
                <c:pt idx="3">
                  <c:v>0.9</c:v>
                </c:pt>
                <c:pt idx="4">
                  <c:v>0.9</c:v>
                </c:pt>
                <c:pt idx="5">
                  <c:v>0.9</c:v>
                </c:pt>
                <c:pt idx="6">
                  <c:v>0.7</c:v>
                </c:pt>
                <c:pt idx="7">
                  <c:v>0.4</c:v>
                </c:pt>
                <c:pt idx="8">
                  <c:v>0.4</c:v>
                </c:pt>
                <c:pt idx="9">
                  <c:v>0.2</c:v>
                </c:pt>
                <c:pt idx="10">
                  <c:v>0.2</c:v>
                </c:pt>
                <c:pt idx="11">
                  <c:v>0.2</c:v>
                </c:pt>
                <c:pt idx="12">
                  <c:v>0.2</c:v>
                </c:pt>
                <c:pt idx="13">
                  <c:v>0.2</c:v>
                </c:pt>
                <c:pt idx="14">
                  <c:v>0.2</c:v>
                </c:pt>
                <c:pt idx="15">
                  <c:v>0.3</c:v>
                </c:pt>
                <c:pt idx="16">
                  <c:v>0.5</c:v>
                </c:pt>
                <c:pt idx="17">
                  <c:v>0.5</c:v>
                </c:pt>
                <c:pt idx="18">
                  <c:v>0.5</c:v>
                </c:pt>
                <c:pt idx="19">
                  <c:v>0.7</c:v>
                </c:pt>
                <c:pt idx="20">
                  <c:v>0.7</c:v>
                </c:pt>
                <c:pt idx="21">
                  <c:v>0.8</c:v>
                </c:pt>
                <c:pt idx="22">
                  <c:v>0.9</c:v>
                </c:pt>
                <c:pt idx="23">
                  <c:v>0.9</c:v>
                </c:pt>
              </c:numCache>
            </c:numRef>
          </c:val>
          <c:smooth val="0"/>
          <c:extLst>
            <c:ext xmlns:c16="http://schemas.microsoft.com/office/drawing/2014/chart" uri="{C3380CC4-5D6E-409C-BE32-E72D297353CC}">
              <c16:uniqueId val="{00000000-35CE-4624-B9A9-6B1BB2CB425F}"/>
            </c:ext>
          </c:extLst>
        </c:ser>
        <c:ser>
          <c:idx val="1"/>
          <c:order val="1"/>
          <c:tx>
            <c:strRef>
              <c:f>Schedules!$E$5</c:f>
              <c:strCache>
                <c:ptCount val="1"/>
                <c:pt idx="0">
                  <c:v>Saturday</c:v>
                </c:pt>
              </c:strCache>
            </c:strRef>
          </c:tx>
          <c:spPr>
            <a:ln w="28575" cap="rnd">
              <a:solidFill>
                <a:schemeClr val="accent2"/>
              </a:solidFill>
              <a:round/>
            </a:ln>
            <a:effectLst/>
          </c:spPr>
          <c:marker>
            <c:symbol val="none"/>
          </c:marker>
          <c:val>
            <c:numRef>
              <c:f>Schedules!$F$5:$AC$5</c:f>
              <c:numCache>
                <c:formatCode>0.00</c:formatCode>
                <c:ptCount val="24"/>
                <c:pt idx="0">
                  <c:v>0.9</c:v>
                </c:pt>
                <c:pt idx="1">
                  <c:v>0.9</c:v>
                </c:pt>
                <c:pt idx="2">
                  <c:v>0.9</c:v>
                </c:pt>
                <c:pt idx="3">
                  <c:v>0.9</c:v>
                </c:pt>
                <c:pt idx="4">
                  <c:v>0.9</c:v>
                </c:pt>
                <c:pt idx="5">
                  <c:v>0.9</c:v>
                </c:pt>
                <c:pt idx="6">
                  <c:v>0.7</c:v>
                </c:pt>
                <c:pt idx="7">
                  <c:v>0.4</c:v>
                </c:pt>
                <c:pt idx="8">
                  <c:v>0.4</c:v>
                </c:pt>
                <c:pt idx="9">
                  <c:v>0.2</c:v>
                </c:pt>
                <c:pt idx="10">
                  <c:v>0.2</c:v>
                </c:pt>
                <c:pt idx="11">
                  <c:v>0.2</c:v>
                </c:pt>
                <c:pt idx="12">
                  <c:v>0.2</c:v>
                </c:pt>
                <c:pt idx="13">
                  <c:v>0.2</c:v>
                </c:pt>
                <c:pt idx="14">
                  <c:v>0.2</c:v>
                </c:pt>
                <c:pt idx="15">
                  <c:v>0.3</c:v>
                </c:pt>
                <c:pt idx="16">
                  <c:v>0.5</c:v>
                </c:pt>
                <c:pt idx="17">
                  <c:v>0.5</c:v>
                </c:pt>
                <c:pt idx="18">
                  <c:v>0.5</c:v>
                </c:pt>
                <c:pt idx="19">
                  <c:v>0.7</c:v>
                </c:pt>
                <c:pt idx="20">
                  <c:v>0.7</c:v>
                </c:pt>
                <c:pt idx="21">
                  <c:v>0.8</c:v>
                </c:pt>
                <c:pt idx="22">
                  <c:v>0.9</c:v>
                </c:pt>
                <c:pt idx="23">
                  <c:v>0.9</c:v>
                </c:pt>
              </c:numCache>
            </c:numRef>
          </c:val>
          <c:smooth val="0"/>
          <c:extLst>
            <c:ext xmlns:c16="http://schemas.microsoft.com/office/drawing/2014/chart" uri="{C3380CC4-5D6E-409C-BE32-E72D297353CC}">
              <c16:uniqueId val="{00000001-35CE-4624-B9A9-6B1BB2CB425F}"/>
            </c:ext>
          </c:extLst>
        </c:ser>
        <c:ser>
          <c:idx val="2"/>
          <c:order val="2"/>
          <c:tx>
            <c:strRef>
              <c:f>Schedules!$E$6</c:f>
              <c:strCache>
                <c:ptCount val="1"/>
                <c:pt idx="0">
                  <c:v>Sunday</c:v>
                </c:pt>
              </c:strCache>
            </c:strRef>
          </c:tx>
          <c:spPr>
            <a:ln w="28575" cap="rnd">
              <a:solidFill>
                <a:schemeClr val="accent3"/>
              </a:solidFill>
              <a:round/>
            </a:ln>
            <a:effectLst/>
          </c:spPr>
          <c:marker>
            <c:symbol val="none"/>
          </c:marker>
          <c:val>
            <c:numRef>
              <c:f>Schedules!$F$6:$AC$6</c:f>
              <c:numCache>
                <c:formatCode>0.00</c:formatCode>
                <c:ptCount val="24"/>
                <c:pt idx="0">
                  <c:v>0.9</c:v>
                </c:pt>
                <c:pt idx="1">
                  <c:v>0.9</c:v>
                </c:pt>
                <c:pt idx="2">
                  <c:v>0.9</c:v>
                </c:pt>
                <c:pt idx="3">
                  <c:v>0.9</c:v>
                </c:pt>
                <c:pt idx="4">
                  <c:v>0.9</c:v>
                </c:pt>
                <c:pt idx="5">
                  <c:v>0.9</c:v>
                </c:pt>
                <c:pt idx="6">
                  <c:v>0.7</c:v>
                </c:pt>
                <c:pt idx="7">
                  <c:v>0.4</c:v>
                </c:pt>
                <c:pt idx="8">
                  <c:v>0.4</c:v>
                </c:pt>
                <c:pt idx="9">
                  <c:v>0.2</c:v>
                </c:pt>
                <c:pt idx="10">
                  <c:v>0.2</c:v>
                </c:pt>
                <c:pt idx="11">
                  <c:v>0.2</c:v>
                </c:pt>
                <c:pt idx="12">
                  <c:v>0.2</c:v>
                </c:pt>
                <c:pt idx="13">
                  <c:v>0.2</c:v>
                </c:pt>
                <c:pt idx="14">
                  <c:v>0.2</c:v>
                </c:pt>
                <c:pt idx="15">
                  <c:v>0.3</c:v>
                </c:pt>
                <c:pt idx="16">
                  <c:v>0.5</c:v>
                </c:pt>
                <c:pt idx="17">
                  <c:v>0.5</c:v>
                </c:pt>
                <c:pt idx="18">
                  <c:v>0.5</c:v>
                </c:pt>
                <c:pt idx="19">
                  <c:v>0.7</c:v>
                </c:pt>
                <c:pt idx="20">
                  <c:v>0.7</c:v>
                </c:pt>
                <c:pt idx="21">
                  <c:v>0.8</c:v>
                </c:pt>
                <c:pt idx="22">
                  <c:v>0.9</c:v>
                </c:pt>
                <c:pt idx="23">
                  <c:v>0.9</c:v>
                </c:pt>
              </c:numCache>
            </c:numRef>
          </c:val>
          <c:smooth val="0"/>
          <c:extLst>
            <c:ext xmlns:c16="http://schemas.microsoft.com/office/drawing/2014/chart" uri="{C3380CC4-5D6E-409C-BE32-E72D297353CC}">
              <c16:uniqueId val="{00000002-35CE-4624-B9A9-6B1BB2CB425F}"/>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0.2"/>
        <c:minorUnit val="0.1"/>
      </c:valAx>
      <c:spPr>
        <a:noFill/>
        <a:ln>
          <a:noFill/>
        </a:ln>
        <a:effectLst/>
      </c:spPr>
    </c:plotArea>
    <c:legend>
      <c:legendPos val="b"/>
      <c:layout>
        <c:manualLayout>
          <c:xMode val="edge"/>
          <c:yMode val="edge"/>
          <c:x val="0.69237621385546944"/>
          <c:y val="3.6261079321075841E-2"/>
          <c:w val="0.28941482691935089"/>
          <c:h val="0.3139894781608833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sz="1000" b="1" i="0" u="none" strike="noStrike" kern="1200" spc="0" baseline="0">
                <a:solidFill>
                  <a:sysClr val="windowText" lastClr="000000"/>
                </a:solidFill>
                <a:latin typeface="Arial" panose="020B0604020202020204" pitchFamily="34" charset="0"/>
                <a:cs typeface="Arial" panose="020B0604020202020204" pitchFamily="34" charset="0"/>
              </a:rPr>
              <a:t>Lighting (Living Area)</a:t>
            </a:r>
          </a:p>
        </c:rich>
      </c:tx>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strRef>
              <c:f>Schedules!$E$7</c:f>
              <c:strCache>
                <c:ptCount val="1"/>
                <c:pt idx="0">
                  <c:v>Weekday</c:v>
                </c:pt>
              </c:strCache>
            </c:strRef>
          </c:tx>
          <c:spPr>
            <a:ln w="28575" cap="rnd">
              <a:solidFill>
                <a:schemeClr val="accent1"/>
              </a:solidFill>
              <a:round/>
            </a:ln>
            <a:effectLst/>
          </c:spPr>
          <c:marker>
            <c:symbol val="none"/>
          </c:marker>
          <c:val>
            <c:numRef>
              <c:f>Schedules!$F$7:$AC$7</c:f>
              <c:numCache>
                <c:formatCode>0.00</c:formatCode>
                <c:ptCount val="24"/>
                <c:pt idx="0">
                  <c:v>0.1</c:v>
                </c:pt>
                <c:pt idx="1">
                  <c:v>0.1</c:v>
                </c:pt>
                <c:pt idx="2">
                  <c:v>0.1</c:v>
                </c:pt>
                <c:pt idx="3">
                  <c:v>0.1</c:v>
                </c:pt>
                <c:pt idx="4">
                  <c:v>0.1</c:v>
                </c:pt>
                <c:pt idx="5">
                  <c:v>0.3</c:v>
                </c:pt>
                <c:pt idx="6">
                  <c:v>0.45</c:v>
                </c:pt>
                <c:pt idx="7">
                  <c:v>0.45</c:v>
                </c:pt>
                <c:pt idx="8">
                  <c:v>0.45</c:v>
                </c:pt>
                <c:pt idx="9">
                  <c:v>0.45</c:v>
                </c:pt>
                <c:pt idx="10">
                  <c:v>0.3</c:v>
                </c:pt>
                <c:pt idx="11">
                  <c:v>0.3</c:v>
                </c:pt>
                <c:pt idx="12">
                  <c:v>0.3</c:v>
                </c:pt>
                <c:pt idx="13">
                  <c:v>0.3</c:v>
                </c:pt>
                <c:pt idx="14">
                  <c:v>0.3</c:v>
                </c:pt>
                <c:pt idx="15">
                  <c:v>0.3</c:v>
                </c:pt>
                <c:pt idx="16">
                  <c:v>0.3</c:v>
                </c:pt>
                <c:pt idx="17">
                  <c:v>0.3</c:v>
                </c:pt>
                <c:pt idx="18">
                  <c:v>0.6</c:v>
                </c:pt>
                <c:pt idx="19">
                  <c:v>0.8</c:v>
                </c:pt>
                <c:pt idx="20">
                  <c:v>0.9</c:v>
                </c:pt>
                <c:pt idx="21">
                  <c:v>0.8</c:v>
                </c:pt>
                <c:pt idx="22">
                  <c:v>0.6</c:v>
                </c:pt>
                <c:pt idx="23">
                  <c:v>0.3</c:v>
                </c:pt>
              </c:numCache>
            </c:numRef>
          </c:val>
          <c:smooth val="0"/>
          <c:extLst>
            <c:ext xmlns:c16="http://schemas.microsoft.com/office/drawing/2014/chart" uri="{C3380CC4-5D6E-409C-BE32-E72D297353CC}">
              <c16:uniqueId val="{00000000-D720-48B4-A768-12220D08ABB2}"/>
            </c:ext>
          </c:extLst>
        </c:ser>
        <c:ser>
          <c:idx val="1"/>
          <c:order val="1"/>
          <c:tx>
            <c:strRef>
              <c:f>Schedules!$E$8</c:f>
              <c:strCache>
                <c:ptCount val="1"/>
                <c:pt idx="0">
                  <c:v>Saturday</c:v>
                </c:pt>
              </c:strCache>
            </c:strRef>
          </c:tx>
          <c:spPr>
            <a:ln w="28575" cap="rnd">
              <a:solidFill>
                <a:schemeClr val="accent2"/>
              </a:solidFill>
              <a:round/>
            </a:ln>
            <a:effectLst/>
          </c:spPr>
          <c:marker>
            <c:symbol val="none"/>
          </c:marker>
          <c:val>
            <c:numRef>
              <c:f>Schedules!$F$8:$AC$8</c:f>
              <c:numCache>
                <c:formatCode>0.00</c:formatCode>
                <c:ptCount val="24"/>
                <c:pt idx="0">
                  <c:v>0.1</c:v>
                </c:pt>
                <c:pt idx="1">
                  <c:v>0.1</c:v>
                </c:pt>
                <c:pt idx="2">
                  <c:v>0.1</c:v>
                </c:pt>
                <c:pt idx="3">
                  <c:v>0.1</c:v>
                </c:pt>
                <c:pt idx="4">
                  <c:v>0.1</c:v>
                </c:pt>
                <c:pt idx="5">
                  <c:v>0.3</c:v>
                </c:pt>
                <c:pt idx="6">
                  <c:v>0.45</c:v>
                </c:pt>
                <c:pt idx="7">
                  <c:v>0.45</c:v>
                </c:pt>
                <c:pt idx="8">
                  <c:v>0.45</c:v>
                </c:pt>
                <c:pt idx="9">
                  <c:v>0.45</c:v>
                </c:pt>
                <c:pt idx="10">
                  <c:v>0.3</c:v>
                </c:pt>
                <c:pt idx="11">
                  <c:v>0.3</c:v>
                </c:pt>
                <c:pt idx="12">
                  <c:v>0.3</c:v>
                </c:pt>
                <c:pt idx="13">
                  <c:v>0.3</c:v>
                </c:pt>
                <c:pt idx="14">
                  <c:v>0.3</c:v>
                </c:pt>
                <c:pt idx="15">
                  <c:v>0.3</c:v>
                </c:pt>
                <c:pt idx="16">
                  <c:v>0.3</c:v>
                </c:pt>
                <c:pt idx="17">
                  <c:v>0.3</c:v>
                </c:pt>
                <c:pt idx="18">
                  <c:v>0.6</c:v>
                </c:pt>
                <c:pt idx="19">
                  <c:v>0.8</c:v>
                </c:pt>
                <c:pt idx="20">
                  <c:v>0.9</c:v>
                </c:pt>
                <c:pt idx="21">
                  <c:v>0.8</c:v>
                </c:pt>
                <c:pt idx="22">
                  <c:v>0.6</c:v>
                </c:pt>
                <c:pt idx="23">
                  <c:v>0.3</c:v>
                </c:pt>
              </c:numCache>
            </c:numRef>
          </c:val>
          <c:smooth val="0"/>
          <c:extLst>
            <c:ext xmlns:c16="http://schemas.microsoft.com/office/drawing/2014/chart" uri="{C3380CC4-5D6E-409C-BE32-E72D297353CC}">
              <c16:uniqueId val="{00000001-D720-48B4-A768-12220D08ABB2}"/>
            </c:ext>
          </c:extLst>
        </c:ser>
        <c:ser>
          <c:idx val="2"/>
          <c:order val="2"/>
          <c:tx>
            <c:strRef>
              <c:f>Schedules!$E$9</c:f>
              <c:strCache>
                <c:ptCount val="1"/>
                <c:pt idx="0">
                  <c:v>Sunday</c:v>
                </c:pt>
              </c:strCache>
            </c:strRef>
          </c:tx>
          <c:spPr>
            <a:ln w="28575" cap="rnd">
              <a:solidFill>
                <a:schemeClr val="accent3"/>
              </a:solidFill>
              <a:round/>
            </a:ln>
            <a:effectLst/>
          </c:spPr>
          <c:marker>
            <c:symbol val="none"/>
          </c:marker>
          <c:val>
            <c:numRef>
              <c:f>Schedules!$F$9:$AC$9</c:f>
              <c:numCache>
                <c:formatCode>0.00</c:formatCode>
                <c:ptCount val="24"/>
                <c:pt idx="0">
                  <c:v>0.1</c:v>
                </c:pt>
                <c:pt idx="1">
                  <c:v>0.1</c:v>
                </c:pt>
                <c:pt idx="2">
                  <c:v>0.1</c:v>
                </c:pt>
                <c:pt idx="3">
                  <c:v>0.1</c:v>
                </c:pt>
                <c:pt idx="4">
                  <c:v>0.1</c:v>
                </c:pt>
                <c:pt idx="5">
                  <c:v>0.3</c:v>
                </c:pt>
                <c:pt idx="6">
                  <c:v>0.45</c:v>
                </c:pt>
                <c:pt idx="7">
                  <c:v>0.45</c:v>
                </c:pt>
                <c:pt idx="8">
                  <c:v>0.45</c:v>
                </c:pt>
                <c:pt idx="9">
                  <c:v>0.45</c:v>
                </c:pt>
                <c:pt idx="10">
                  <c:v>0.3</c:v>
                </c:pt>
                <c:pt idx="11">
                  <c:v>0.3</c:v>
                </c:pt>
                <c:pt idx="12">
                  <c:v>0.3</c:v>
                </c:pt>
                <c:pt idx="13">
                  <c:v>0.3</c:v>
                </c:pt>
                <c:pt idx="14">
                  <c:v>0.3</c:v>
                </c:pt>
                <c:pt idx="15">
                  <c:v>0.3</c:v>
                </c:pt>
                <c:pt idx="16">
                  <c:v>0.3</c:v>
                </c:pt>
                <c:pt idx="17">
                  <c:v>0.3</c:v>
                </c:pt>
                <c:pt idx="18">
                  <c:v>0.6</c:v>
                </c:pt>
                <c:pt idx="19">
                  <c:v>0.8</c:v>
                </c:pt>
                <c:pt idx="20">
                  <c:v>0.9</c:v>
                </c:pt>
                <c:pt idx="21">
                  <c:v>0.8</c:v>
                </c:pt>
                <c:pt idx="22">
                  <c:v>0.6</c:v>
                </c:pt>
                <c:pt idx="23">
                  <c:v>0.3</c:v>
                </c:pt>
              </c:numCache>
            </c:numRef>
          </c:val>
          <c:smooth val="0"/>
          <c:extLst>
            <c:ext xmlns:c16="http://schemas.microsoft.com/office/drawing/2014/chart" uri="{C3380CC4-5D6E-409C-BE32-E72D297353CC}">
              <c16:uniqueId val="{00000002-D720-48B4-A768-12220D08ABB2}"/>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0.2"/>
        <c:minorUnit val="0.1"/>
      </c:valAx>
      <c:spPr>
        <a:noFill/>
        <a:ln>
          <a:noFill/>
        </a:ln>
        <a:effectLst/>
      </c:spPr>
    </c:plotArea>
    <c:legend>
      <c:legendPos val="b"/>
      <c:layout>
        <c:manualLayout>
          <c:xMode val="edge"/>
          <c:yMode val="edge"/>
          <c:x val="0.69237621385546944"/>
          <c:y val="3.6261079321075841E-2"/>
          <c:w val="0.28941482691935089"/>
          <c:h val="0.3139894781608833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sz="1000" b="1" i="0" u="none" strike="noStrike" kern="1200" spc="0" baseline="0">
                <a:solidFill>
                  <a:sysClr val="windowText" lastClr="000000"/>
                </a:solidFill>
                <a:latin typeface="Arial" panose="020B0604020202020204" pitchFamily="34" charset="0"/>
                <a:cs typeface="Arial" panose="020B0604020202020204" pitchFamily="34" charset="0"/>
              </a:rPr>
              <a:t>Equipment (Living Area)</a:t>
            </a:r>
          </a:p>
        </c:rich>
      </c:tx>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strRef>
              <c:f>Schedules!$E$10</c:f>
              <c:strCache>
                <c:ptCount val="1"/>
                <c:pt idx="0">
                  <c:v>Weekday</c:v>
                </c:pt>
              </c:strCache>
            </c:strRef>
          </c:tx>
          <c:spPr>
            <a:ln w="28575" cap="rnd">
              <a:solidFill>
                <a:schemeClr val="accent1"/>
              </a:solidFill>
              <a:round/>
            </a:ln>
            <a:effectLst/>
          </c:spPr>
          <c:marker>
            <c:symbol val="none"/>
          </c:marker>
          <c:val>
            <c:numRef>
              <c:f>Schedules!$F$10:$AC$10</c:f>
              <c:numCache>
                <c:formatCode>0.00</c:formatCode>
                <c:ptCount val="24"/>
                <c:pt idx="0">
                  <c:v>0.1</c:v>
                </c:pt>
                <c:pt idx="1">
                  <c:v>0.1</c:v>
                </c:pt>
                <c:pt idx="2">
                  <c:v>0.1</c:v>
                </c:pt>
                <c:pt idx="3">
                  <c:v>0.1</c:v>
                </c:pt>
                <c:pt idx="4">
                  <c:v>0.1</c:v>
                </c:pt>
                <c:pt idx="5">
                  <c:v>0.3</c:v>
                </c:pt>
                <c:pt idx="6">
                  <c:v>0.45</c:v>
                </c:pt>
                <c:pt idx="7">
                  <c:v>0.45</c:v>
                </c:pt>
                <c:pt idx="8">
                  <c:v>0.45</c:v>
                </c:pt>
                <c:pt idx="9">
                  <c:v>0.45</c:v>
                </c:pt>
                <c:pt idx="10">
                  <c:v>0.3</c:v>
                </c:pt>
                <c:pt idx="11">
                  <c:v>0.3</c:v>
                </c:pt>
                <c:pt idx="12">
                  <c:v>0.3</c:v>
                </c:pt>
                <c:pt idx="13">
                  <c:v>0.3</c:v>
                </c:pt>
                <c:pt idx="14">
                  <c:v>0.3</c:v>
                </c:pt>
                <c:pt idx="15">
                  <c:v>0.3</c:v>
                </c:pt>
                <c:pt idx="16">
                  <c:v>0.3</c:v>
                </c:pt>
                <c:pt idx="17">
                  <c:v>0.3</c:v>
                </c:pt>
                <c:pt idx="18">
                  <c:v>0.6</c:v>
                </c:pt>
                <c:pt idx="19">
                  <c:v>0.8</c:v>
                </c:pt>
                <c:pt idx="20">
                  <c:v>0.9</c:v>
                </c:pt>
                <c:pt idx="21">
                  <c:v>0.8</c:v>
                </c:pt>
                <c:pt idx="22">
                  <c:v>0.6</c:v>
                </c:pt>
                <c:pt idx="23">
                  <c:v>0.3</c:v>
                </c:pt>
              </c:numCache>
            </c:numRef>
          </c:val>
          <c:smooth val="0"/>
          <c:extLst>
            <c:ext xmlns:c16="http://schemas.microsoft.com/office/drawing/2014/chart" uri="{C3380CC4-5D6E-409C-BE32-E72D297353CC}">
              <c16:uniqueId val="{00000000-CC0F-487F-8F48-A509A6006EE5}"/>
            </c:ext>
          </c:extLst>
        </c:ser>
        <c:ser>
          <c:idx val="1"/>
          <c:order val="1"/>
          <c:tx>
            <c:strRef>
              <c:f>Schedules!$E$11</c:f>
              <c:strCache>
                <c:ptCount val="1"/>
                <c:pt idx="0">
                  <c:v>Saturday</c:v>
                </c:pt>
              </c:strCache>
            </c:strRef>
          </c:tx>
          <c:spPr>
            <a:ln w="28575" cap="rnd">
              <a:solidFill>
                <a:schemeClr val="accent2"/>
              </a:solidFill>
              <a:round/>
            </a:ln>
            <a:effectLst/>
          </c:spPr>
          <c:marker>
            <c:symbol val="none"/>
          </c:marker>
          <c:val>
            <c:numRef>
              <c:f>Schedules!$F$11:$AC$11</c:f>
              <c:numCache>
                <c:formatCode>0.00</c:formatCode>
                <c:ptCount val="24"/>
                <c:pt idx="0">
                  <c:v>0.1</c:v>
                </c:pt>
                <c:pt idx="1">
                  <c:v>0.1</c:v>
                </c:pt>
                <c:pt idx="2">
                  <c:v>0.1</c:v>
                </c:pt>
                <c:pt idx="3">
                  <c:v>0.1</c:v>
                </c:pt>
                <c:pt idx="4">
                  <c:v>0.1</c:v>
                </c:pt>
                <c:pt idx="5">
                  <c:v>0.3</c:v>
                </c:pt>
                <c:pt idx="6">
                  <c:v>0.45</c:v>
                </c:pt>
                <c:pt idx="7">
                  <c:v>0.45</c:v>
                </c:pt>
                <c:pt idx="8">
                  <c:v>0.45</c:v>
                </c:pt>
                <c:pt idx="9">
                  <c:v>0.45</c:v>
                </c:pt>
                <c:pt idx="10">
                  <c:v>0.3</c:v>
                </c:pt>
                <c:pt idx="11">
                  <c:v>0.3</c:v>
                </c:pt>
                <c:pt idx="12">
                  <c:v>0.3</c:v>
                </c:pt>
                <c:pt idx="13">
                  <c:v>0.3</c:v>
                </c:pt>
                <c:pt idx="14">
                  <c:v>0.3</c:v>
                </c:pt>
                <c:pt idx="15">
                  <c:v>0.3</c:v>
                </c:pt>
                <c:pt idx="16">
                  <c:v>0.3</c:v>
                </c:pt>
                <c:pt idx="17">
                  <c:v>0.3</c:v>
                </c:pt>
                <c:pt idx="18">
                  <c:v>0.6</c:v>
                </c:pt>
                <c:pt idx="19">
                  <c:v>0.8</c:v>
                </c:pt>
                <c:pt idx="20">
                  <c:v>0.9</c:v>
                </c:pt>
                <c:pt idx="21">
                  <c:v>0.8</c:v>
                </c:pt>
                <c:pt idx="22">
                  <c:v>0.6</c:v>
                </c:pt>
                <c:pt idx="23">
                  <c:v>0.3</c:v>
                </c:pt>
              </c:numCache>
            </c:numRef>
          </c:val>
          <c:smooth val="0"/>
          <c:extLst>
            <c:ext xmlns:c16="http://schemas.microsoft.com/office/drawing/2014/chart" uri="{C3380CC4-5D6E-409C-BE32-E72D297353CC}">
              <c16:uniqueId val="{00000001-CC0F-487F-8F48-A509A6006EE5}"/>
            </c:ext>
          </c:extLst>
        </c:ser>
        <c:ser>
          <c:idx val="2"/>
          <c:order val="2"/>
          <c:tx>
            <c:strRef>
              <c:f>Schedules!$E$12</c:f>
              <c:strCache>
                <c:ptCount val="1"/>
                <c:pt idx="0">
                  <c:v>Sunday</c:v>
                </c:pt>
              </c:strCache>
            </c:strRef>
          </c:tx>
          <c:spPr>
            <a:ln w="28575" cap="rnd">
              <a:solidFill>
                <a:schemeClr val="accent3"/>
              </a:solidFill>
              <a:prstDash val="dash"/>
              <a:round/>
            </a:ln>
            <a:effectLst/>
          </c:spPr>
          <c:marker>
            <c:symbol val="none"/>
          </c:marker>
          <c:val>
            <c:numRef>
              <c:f>Schedules!$F$12:$AC$12</c:f>
              <c:numCache>
                <c:formatCode>0.00</c:formatCode>
                <c:ptCount val="24"/>
                <c:pt idx="0">
                  <c:v>0.1</c:v>
                </c:pt>
                <c:pt idx="1">
                  <c:v>0.1</c:v>
                </c:pt>
                <c:pt idx="2">
                  <c:v>0.1</c:v>
                </c:pt>
                <c:pt idx="3">
                  <c:v>0.1</c:v>
                </c:pt>
                <c:pt idx="4">
                  <c:v>0.1</c:v>
                </c:pt>
                <c:pt idx="5">
                  <c:v>0.3</c:v>
                </c:pt>
                <c:pt idx="6">
                  <c:v>0.45</c:v>
                </c:pt>
                <c:pt idx="7">
                  <c:v>0.45</c:v>
                </c:pt>
                <c:pt idx="8">
                  <c:v>0.45</c:v>
                </c:pt>
                <c:pt idx="9">
                  <c:v>0.45</c:v>
                </c:pt>
                <c:pt idx="10">
                  <c:v>0.3</c:v>
                </c:pt>
                <c:pt idx="11">
                  <c:v>0.3</c:v>
                </c:pt>
                <c:pt idx="12">
                  <c:v>0.3</c:v>
                </c:pt>
                <c:pt idx="13">
                  <c:v>0.3</c:v>
                </c:pt>
                <c:pt idx="14">
                  <c:v>0.3</c:v>
                </c:pt>
                <c:pt idx="15">
                  <c:v>0.3</c:v>
                </c:pt>
                <c:pt idx="16">
                  <c:v>0.3</c:v>
                </c:pt>
                <c:pt idx="17">
                  <c:v>0.3</c:v>
                </c:pt>
                <c:pt idx="18">
                  <c:v>0.6</c:v>
                </c:pt>
                <c:pt idx="19">
                  <c:v>0.8</c:v>
                </c:pt>
                <c:pt idx="20">
                  <c:v>0.9</c:v>
                </c:pt>
                <c:pt idx="21">
                  <c:v>0.8</c:v>
                </c:pt>
                <c:pt idx="22">
                  <c:v>0.6</c:v>
                </c:pt>
                <c:pt idx="23">
                  <c:v>0.3</c:v>
                </c:pt>
              </c:numCache>
            </c:numRef>
          </c:val>
          <c:smooth val="0"/>
          <c:extLst>
            <c:ext xmlns:c16="http://schemas.microsoft.com/office/drawing/2014/chart" uri="{C3380CC4-5D6E-409C-BE32-E72D297353CC}">
              <c16:uniqueId val="{00000002-CC0F-487F-8F48-A509A6006EE5}"/>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0.2"/>
        <c:minorUnit val="0.1"/>
      </c:valAx>
      <c:spPr>
        <a:noFill/>
        <a:ln>
          <a:noFill/>
        </a:ln>
        <a:effectLst/>
      </c:spPr>
    </c:plotArea>
    <c:legend>
      <c:legendPos val="b"/>
      <c:layout>
        <c:manualLayout>
          <c:xMode val="edge"/>
          <c:yMode val="edge"/>
          <c:x val="0.69237621385546944"/>
          <c:y val="3.6261079321075841E-2"/>
          <c:w val="0.28941482691935089"/>
          <c:h val="0.3139894781608833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sz="1000" b="1" i="0" u="none" strike="noStrike" kern="1200" spc="0" baseline="0">
                <a:solidFill>
                  <a:sysClr val="windowText" lastClr="000000"/>
                </a:solidFill>
                <a:latin typeface="Arial" panose="020B0604020202020204" pitchFamily="34" charset="0"/>
                <a:cs typeface="Arial" panose="020B0604020202020204" pitchFamily="34" charset="0"/>
              </a:rPr>
              <a:t>HVAC System Availability (Living Area) </a:t>
            </a:r>
          </a:p>
        </c:rich>
      </c:tx>
      <c:layout>
        <c:manualLayout>
          <c:xMode val="edge"/>
          <c:yMode val="edge"/>
          <c:x val="6.5630326543619541E-2"/>
          <c:y val="4.6774493537201374E-2"/>
        </c:manualLayout>
      </c:layout>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strRef>
              <c:f>Schedules!$E$13</c:f>
              <c:strCache>
                <c:ptCount val="1"/>
                <c:pt idx="0">
                  <c:v>Weekday</c:v>
                </c:pt>
              </c:strCache>
            </c:strRef>
          </c:tx>
          <c:spPr>
            <a:ln w="28575" cap="rnd">
              <a:solidFill>
                <a:schemeClr val="accent1"/>
              </a:solidFill>
              <a:round/>
            </a:ln>
            <a:effectLst/>
          </c:spPr>
          <c:marker>
            <c:symbol val="none"/>
          </c:marker>
          <c:val>
            <c:numRef>
              <c:f>Schedules!$F$13:$AC$13</c:f>
              <c:numCache>
                <c:formatCode>0.00</c:formatCode>
                <c:ptCount val="24"/>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pt idx="21">
                  <c:v>1</c:v>
                </c:pt>
                <c:pt idx="22">
                  <c:v>1</c:v>
                </c:pt>
                <c:pt idx="23">
                  <c:v>1</c:v>
                </c:pt>
              </c:numCache>
            </c:numRef>
          </c:val>
          <c:smooth val="0"/>
          <c:extLst>
            <c:ext xmlns:c16="http://schemas.microsoft.com/office/drawing/2014/chart" uri="{C3380CC4-5D6E-409C-BE32-E72D297353CC}">
              <c16:uniqueId val="{00000000-11CF-4EFB-9CAD-7A35548D2F16}"/>
            </c:ext>
          </c:extLst>
        </c:ser>
        <c:ser>
          <c:idx val="1"/>
          <c:order val="1"/>
          <c:tx>
            <c:strRef>
              <c:f>Schedules!$E$14</c:f>
              <c:strCache>
                <c:ptCount val="1"/>
                <c:pt idx="0">
                  <c:v>Saturday</c:v>
                </c:pt>
              </c:strCache>
            </c:strRef>
          </c:tx>
          <c:spPr>
            <a:ln w="28575" cap="rnd">
              <a:solidFill>
                <a:schemeClr val="accent2"/>
              </a:solidFill>
              <a:round/>
            </a:ln>
            <a:effectLst/>
          </c:spPr>
          <c:marker>
            <c:symbol val="none"/>
          </c:marker>
          <c:val>
            <c:numRef>
              <c:f>Schedules!$F$14:$AC$14</c:f>
              <c:numCache>
                <c:formatCode>0.00</c:formatCode>
                <c:ptCount val="24"/>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pt idx="21">
                  <c:v>1</c:v>
                </c:pt>
                <c:pt idx="22">
                  <c:v>1</c:v>
                </c:pt>
                <c:pt idx="23">
                  <c:v>1</c:v>
                </c:pt>
              </c:numCache>
            </c:numRef>
          </c:val>
          <c:smooth val="0"/>
          <c:extLst>
            <c:ext xmlns:c16="http://schemas.microsoft.com/office/drawing/2014/chart" uri="{C3380CC4-5D6E-409C-BE32-E72D297353CC}">
              <c16:uniqueId val="{00000001-11CF-4EFB-9CAD-7A35548D2F16}"/>
            </c:ext>
          </c:extLst>
        </c:ser>
        <c:ser>
          <c:idx val="2"/>
          <c:order val="2"/>
          <c:tx>
            <c:strRef>
              <c:f>Schedules!$E$15</c:f>
              <c:strCache>
                <c:ptCount val="1"/>
                <c:pt idx="0">
                  <c:v>Sunday</c:v>
                </c:pt>
              </c:strCache>
            </c:strRef>
          </c:tx>
          <c:spPr>
            <a:ln w="28575" cap="rnd">
              <a:solidFill>
                <a:schemeClr val="accent3"/>
              </a:solidFill>
              <a:round/>
            </a:ln>
            <a:effectLst/>
          </c:spPr>
          <c:marker>
            <c:symbol val="none"/>
          </c:marker>
          <c:val>
            <c:numRef>
              <c:f>Schedules!$F$15:$AC$15</c:f>
              <c:numCache>
                <c:formatCode>0.00</c:formatCode>
                <c:ptCount val="24"/>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pt idx="21">
                  <c:v>1</c:v>
                </c:pt>
                <c:pt idx="22">
                  <c:v>1</c:v>
                </c:pt>
                <c:pt idx="23">
                  <c:v>1</c:v>
                </c:pt>
              </c:numCache>
            </c:numRef>
          </c:val>
          <c:smooth val="0"/>
          <c:extLst>
            <c:ext xmlns:c16="http://schemas.microsoft.com/office/drawing/2014/chart" uri="{C3380CC4-5D6E-409C-BE32-E72D297353CC}">
              <c16:uniqueId val="{00000000-C3C8-4DC9-9C20-B69064837B95}"/>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0.2"/>
        <c:minorUnit val="0.1"/>
      </c:valAx>
      <c:spPr>
        <a:noFill/>
        <a:ln>
          <a:noFill/>
        </a:ln>
        <a:effectLst/>
      </c:spPr>
    </c:plotArea>
    <c:legend>
      <c:legendPos val="b"/>
      <c:layout>
        <c:manualLayout>
          <c:xMode val="edge"/>
          <c:yMode val="edge"/>
          <c:x val="0.6238276965537467"/>
          <c:y val="3.6261079321075841E-2"/>
          <c:w val="0.37617230344625335"/>
          <c:h val="0.2100917504402756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sz="1000" b="1" i="0" u="none" strike="noStrike" kern="1200" spc="0" baseline="0">
                <a:solidFill>
                  <a:sysClr val="windowText" lastClr="000000"/>
                </a:solidFill>
                <a:latin typeface="Arial" panose="020B0604020202020204" pitchFamily="34" charset="0"/>
                <a:cs typeface="Arial" panose="020B0604020202020204" pitchFamily="34" charset="0"/>
              </a:rPr>
              <a:t>Domestic Hot Water (Living Area)</a:t>
            </a:r>
          </a:p>
        </c:rich>
      </c:tx>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strRef>
              <c:f>Schedules!$E$16</c:f>
              <c:strCache>
                <c:ptCount val="1"/>
                <c:pt idx="0">
                  <c:v>Weekday</c:v>
                </c:pt>
              </c:strCache>
            </c:strRef>
          </c:tx>
          <c:spPr>
            <a:ln w="28575" cap="rnd">
              <a:solidFill>
                <a:schemeClr val="accent1"/>
              </a:solidFill>
              <a:round/>
            </a:ln>
            <a:effectLst/>
          </c:spPr>
          <c:marker>
            <c:symbol val="none"/>
          </c:marker>
          <c:val>
            <c:numRef>
              <c:f>Schedules!$F$16:$AC$16</c:f>
              <c:numCache>
                <c:formatCode>0.00</c:formatCode>
                <c:ptCount val="24"/>
                <c:pt idx="0">
                  <c:v>0.13100000000000001</c:v>
                </c:pt>
                <c:pt idx="1">
                  <c:v>7.4999999999999997E-2</c:v>
                </c:pt>
                <c:pt idx="2">
                  <c:v>8.4000000000000005E-2</c:v>
                </c:pt>
                <c:pt idx="3">
                  <c:v>0.10299999999999999</c:v>
                </c:pt>
                <c:pt idx="4">
                  <c:v>0.187</c:v>
                </c:pt>
                <c:pt idx="5">
                  <c:v>0.41099999999999998</c:v>
                </c:pt>
                <c:pt idx="6">
                  <c:v>0.83199999999999996</c:v>
                </c:pt>
                <c:pt idx="7">
                  <c:v>1</c:v>
                </c:pt>
                <c:pt idx="8">
                  <c:v>0.83199999999999996</c:v>
                </c:pt>
                <c:pt idx="9">
                  <c:v>0.61699999999999999</c:v>
                </c:pt>
                <c:pt idx="10">
                  <c:v>0.48599999999999999</c:v>
                </c:pt>
                <c:pt idx="11">
                  <c:v>0.35499999999999998</c:v>
                </c:pt>
                <c:pt idx="12">
                  <c:v>0.33600000000000002</c:v>
                </c:pt>
                <c:pt idx="13">
                  <c:v>0.308</c:v>
                </c:pt>
                <c:pt idx="14">
                  <c:v>0.29899999999999999</c:v>
                </c:pt>
                <c:pt idx="15">
                  <c:v>0.24299999999999999</c:v>
                </c:pt>
                <c:pt idx="16">
                  <c:v>0.39300000000000002</c:v>
                </c:pt>
                <c:pt idx="17">
                  <c:v>0.44900000000000001</c:v>
                </c:pt>
                <c:pt idx="18">
                  <c:v>0.48599999999999999</c:v>
                </c:pt>
                <c:pt idx="19">
                  <c:v>0.439</c:v>
                </c:pt>
                <c:pt idx="20">
                  <c:v>0.39300000000000002</c:v>
                </c:pt>
                <c:pt idx="21">
                  <c:v>0.36399999999999999</c:v>
                </c:pt>
                <c:pt idx="22">
                  <c:v>0.33600000000000002</c:v>
                </c:pt>
                <c:pt idx="23">
                  <c:v>0.20599999999999999</c:v>
                </c:pt>
              </c:numCache>
            </c:numRef>
          </c:val>
          <c:smooth val="0"/>
          <c:extLst>
            <c:ext xmlns:c16="http://schemas.microsoft.com/office/drawing/2014/chart" uri="{C3380CC4-5D6E-409C-BE32-E72D297353CC}">
              <c16:uniqueId val="{00000000-32A6-4561-915A-799ACC6B30A7}"/>
            </c:ext>
          </c:extLst>
        </c:ser>
        <c:ser>
          <c:idx val="1"/>
          <c:order val="1"/>
          <c:tx>
            <c:strRef>
              <c:f>Schedules!$E$17</c:f>
              <c:strCache>
                <c:ptCount val="1"/>
                <c:pt idx="0">
                  <c:v>Saturday</c:v>
                </c:pt>
              </c:strCache>
            </c:strRef>
          </c:tx>
          <c:spPr>
            <a:ln w="28575" cap="rnd">
              <a:solidFill>
                <a:schemeClr val="accent2"/>
              </a:solidFill>
              <a:round/>
            </a:ln>
            <a:effectLst/>
          </c:spPr>
          <c:marker>
            <c:symbol val="none"/>
          </c:marker>
          <c:val>
            <c:numRef>
              <c:f>Schedules!$F$17:$AC$17</c:f>
              <c:numCache>
                <c:formatCode>0.00</c:formatCode>
                <c:ptCount val="24"/>
                <c:pt idx="0">
                  <c:v>0.217</c:v>
                </c:pt>
                <c:pt idx="1">
                  <c:v>0.12</c:v>
                </c:pt>
                <c:pt idx="2">
                  <c:v>0.108</c:v>
                </c:pt>
                <c:pt idx="3">
                  <c:v>9.6000000000000002E-2</c:v>
                </c:pt>
                <c:pt idx="4">
                  <c:v>0.18099999999999999</c:v>
                </c:pt>
                <c:pt idx="5">
                  <c:v>0.27700000000000002</c:v>
                </c:pt>
                <c:pt idx="6">
                  <c:v>0.313</c:v>
                </c:pt>
                <c:pt idx="7">
                  <c:v>0.56599999999999995</c:v>
                </c:pt>
                <c:pt idx="8">
                  <c:v>0.92800000000000005</c:v>
                </c:pt>
                <c:pt idx="9">
                  <c:v>1</c:v>
                </c:pt>
                <c:pt idx="10">
                  <c:v>0.89200000000000002</c:v>
                </c:pt>
                <c:pt idx="11">
                  <c:v>0.73499999999999999</c:v>
                </c:pt>
                <c:pt idx="12">
                  <c:v>0.61399999999999999</c:v>
                </c:pt>
                <c:pt idx="13">
                  <c:v>0.51800000000000002</c:v>
                </c:pt>
                <c:pt idx="14">
                  <c:v>0.47</c:v>
                </c:pt>
                <c:pt idx="15">
                  <c:v>0.47</c:v>
                </c:pt>
                <c:pt idx="16">
                  <c:v>0.627</c:v>
                </c:pt>
                <c:pt idx="17">
                  <c:v>0.69899999999999995</c:v>
                </c:pt>
                <c:pt idx="18">
                  <c:v>0.67500000000000004</c:v>
                </c:pt>
                <c:pt idx="19">
                  <c:v>0.627</c:v>
                </c:pt>
                <c:pt idx="20">
                  <c:v>0.56599999999999995</c:v>
                </c:pt>
                <c:pt idx="21">
                  <c:v>0.53</c:v>
                </c:pt>
                <c:pt idx="22">
                  <c:v>0.48199999999999998</c:v>
                </c:pt>
                <c:pt idx="23">
                  <c:v>0.33700000000000002</c:v>
                </c:pt>
              </c:numCache>
            </c:numRef>
          </c:val>
          <c:smooth val="0"/>
          <c:extLst>
            <c:ext xmlns:c16="http://schemas.microsoft.com/office/drawing/2014/chart" uri="{C3380CC4-5D6E-409C-BE32-E72D297353CC}">
              <c16:uniqueId val="{00000001-32A6-4561-915A-799ACC6B30A7}"/>
            </c:ext>
          </c:extLst>
        </c:ser>
        <c:ser>
          <c:idx val="2"/>
          <c:order val="2"/>
          <c:tx>
            <c:strRef>
              <c:f>Schedules!$E$18</c:f>
              <c:strCache>
                <c:ptCount val="1"/>
                <c:pt idx="0">
                  <c:v>Sunday</c:v>
                </c:pt>
              </c:strCache>
            </c:strRef>
          </c:tx>
          <c:spPr>
            <a:ln w="28575" cap="rnd">
              <a:solidFill>
                <a:schemeClr val="accent3"/>
              </a:solidFill>
              <a:round/>
            </a:ln>
            <a:effectLst/>
          </c:spPr>
          <c:marker>
            <c:symbol val="none"/>
          </c:marker>
          <c:val>
            <c:numRef>
              <c:f>Schedules!$F$18:$AC$18</c:f>
              <c:numCache>
                <c:formatCode>0.00</c:formatCode>
                <c:ptCount val="24"/>
                <c:pt idx="0">
                  <c:v>0.217</c:v>
                </c:pt>
                <c:pt idx="1">
                  <c:v>0.12</c:v>
                </c:pt>
                <c:pt idx="2">
                  <c:v>0.108</c:v>
                </c:pt>
                <c:pt idx="3">
                  <c:v>9.6000000000000002E-2</c:v>
                </c:pt>
                <c:pt idx="4">
                  <c:v>0.18099999999999999</c:v>
                </c:pt>
                <c:pt idx="5">
                  <c:v>0.27700000000000002</c:v>
                </c:pt>
                <c:pt idx="6">
                  <c:v>0.313</c:v>
                </c:pt>
                <c:pt idx="7">
                  <c:v>0.56599999999999995</c:v>
                </c:pt>
                <c:pt idx="8">
                  <c:v>0.92800000000000005</c:v>
                </c:pt>
                <c:pt idx="9">
                  <c:v>1</c:v>
                </c:pt>
                <c:pt idx="10">
                  <c:v>0.89200000000000002</c:v>
                </c:pt>
                <c:pt idx="11">
                  <c:v>0.73499999999999999</c:v>
                </c:pt>
                <c:pt idx="12">
                  <c:v>0.61399999999999999</c:v>
                </c:pt>
                <c:pt idx="13">
                  <c:v>0.51800000000000002</c:v>
                </c:pt>
                <c:pt idx="14">
                  <c:v>0.47</c:v>
                </c:pt>
                <c:pt idx="15">
                  <c:v>0.47</c:v>
                </c:pt>
                <c:pt idx="16">
                  <c:v>0.627</c:v>
                </c:pt>
                <c:pt idx="17">
                  <c:v>0.69899999999999995</c:v>
                </c:pt>
                <c:pt idx="18">
                  <c:v>0.67500000000000004</c:v>
                </c:pt>
                <c:pt idx="19">
                  <c:v>0.627</c:v>
                </c:pt>
                <c:pt idx="20">
                  <c:v>0.56599999999999995</c:v>
                </c:pt>
                <c:pt idx="21">
                  <c:v>0.53</c:v>
                </c:pt>
                <c:pt idx="22">
                  <c:v>0.48199999999999998</c:v>
                </c:pt>
                <c:pt idx="23">
                  <c:v>0.33700000000000002</c:v>
                </c:pt>
              </c:numCache>
            </c:numRef>
          </c:val>
          <c:smooth val="0"/>
          <c:extLst>
            <c:ext xmlns:c16="http://schemas.microsoft.com/office/drawing/2014/chart" uri="{C3380CC4-5D6E-409C-BE32-E72D297353CC}">
              <c16:uniqueId val="{00000002-32A6-4561-915A-799ACC6B30A7}"/>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0.2"/>
        <c:minorUnit val="0.1"/>
      </c:valAx>
      <c:spPr>
        <a:noFill/>
        <a:ln>
          <a:noFill/>
        </a:ln>
        <a:effectLst/>
      </c:spPr>
    </c:plotArea>
    <c:legend>
      <c:legendPos val="b"/>
      <c:layout>
        <c:manualLayout>
          <c:xMode val="edge"/>
          <c:yMode val="edge"/>
          <c:x val="0.69237621385546944"/>
          <c:y val="3.6261079321075841E-2"/>
          <c:w val="0.28941482691935089"/>
          <c:h val="0.3139894781608833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sz="1000" b="1" i="0" u="none" strike="noStrike" kern="1200" spc="0" baseline="0">
                <a:solidFill>
                  <a:sysClr val="windowText" lastClr="000000"/>
                </a:solidFill>
                <a:latin typeface="Arial" panose="020B0604020202020204" pitchFamily="34" charset="0"/>
                <a:cs typeface="Arial" panose="020B0604020202020204" pitchFamily="34" charset="0"/>
              </a:rPr>
              <a:t>Gas Equipment (Living Area)</a:t>
            </a:r>
          </a:p>
        </c:rich>
      </c:tx>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strRef>
              <c:f>Schedules!$E$19</c:f>
              <c:strCache>
                <c:ptCount val="1"/>
                <c:pt idx="0">
                  <c:v>Weekday</c:v>
                </c:pt>
              </c:strCache>
            </c:strRef>
          </c:tx>
          <c:spPr>
            <a:ln w="28575" cap="rnd">
              <a:solidFill>
                <a:schemeClr val="accent1"/>
              </a:solidFill>
              <a:round/>
            </a:ln>
            <a:effectLst/>
          </c:spPr>
          <c:marker>
            <c:symbol val="none"/>
          </c:marker>
          <c:val>
            <c:numRef>
              <c:f>Schedules!$F$19:$AC$19</c:f>
              <c:numCache>
                <c:formatCode>0.00</c:formatCode>
                <c:ptCount val="24"/>
                <c:pt idx="0">
                  <c:v>0</c:v>
                </c:pt>
                <c:pt idx="1">
                  <c:v>0</c:v>
                </c:pt>
                <c:pt idx="2">
                  <c:v>0</c:v>
                </c:pt>
                <c:pt idx="3">
                  <c:v>0</c:v>
                </c:pt>
                <c:pt idx="4">
                  <c:v>0</c:v>
                </c:pt>
                <c:pt idx="5">
                  <c:v>0</c:v>
                </c:pt>
                <c:pt idx="6">
                  <c:v>0.5</c:v>
                </c:pt>
                <c:pt idx="7">
                  <c:v>0.5</c:v>
                </c:pt>
                <c:pt idx="8">
                  <c:v>0</c:v>
                </c:pt>
                <c:pt idx="9">
                  <c:v>0</c:v>
                </c:pt>
                <c:pt idx="10">
                  <c:v>0</c:v>
                </c:pt>
                <c:pt idx="11">
                  <c:v>0.2</c:v>
                </c:pt>
                <c:pt idx="12">
                  <c:v>0.2</c:v>
                </c:pt>
                <c:pt idx="13">
                  <c:v>0</c:v>
                </c:pt>
                <c:pt idx="14">
                  <c:v>0</c:v>
                </c:pt>
                <c:pt idx="15">
                  <c:v>0</c:v>
                </c:pt>
                <c:pt idx="16">
                  <c:v>0.5</c:v>
                </c:pt>
                <c:pt idx="17">
                  <c:v>0.5</c:v>
                </c:pt>
                <c:pt idx="18">
                  <c:v>0.5</c:v>
                </c:pt>
                <c:pt idx="19">
                  <c:v>0</c:v>
                </c:pt>
                <c:pt idx="20">
                  <c:v>0</c:v>
                </c:pt>
                <c:pt idx="21">
                  <c:v>0</c:v>
                </c:pt>
                <c:pt idx="22">
                  <c:v>0</c:v>
                </c:pt>
                <c:pt idx="23">
                  <c:v>0</c:v>
                </c:pt>
              </c:numCache>
            </c:numRef>
          </c:val>
          <c:smooth val="0"/>
          <c:extLst>
            <c:ext xmlns:c16="http://schemas.microsoft.com/office/drawing/2014/chart" uri="{C3380CC4-5D6E-409C-BE32-E72D297353CC}">
              <c16:uniqueId val="{00000000-4744-440A-89C4-312D4CC7F10C}"/>
            </c:ext>
          </c:extLst>
        </c:ser>
        <c:ser>
          <c:idx val="1"/>
          <c:order val="1"/>
          <c:tx>
            <c:strRef>
              <c:f>Schedules!$E$20</c:f>
              <c:strCache>
                <c:ptCount val="1"/>
                <c:pt idx="0">
                  <c:v>Saturday</c:v>
                </c:pt>
              </c:strCache>
            </c:strRef>
          </c:tx>
          <c:spPr>
            <a:ln w="28575" cap="rnd">
              <a:solidFill>
                <a:schemeClr val="accent2"/>
              </a:solidFill>
              <a:round/>
            </a:ln>
            <a:effectLst/>
          </c:spPr>
          <c:marker>
            <c:symbol val="none"/>
          </c:marker>
          <c:val>
            <c:numRef>
              <c:f>Schedules!$F$20:$AC$20</c:f>
              <c:numCache>
                <c:formatCode>0.00</c:formatCode>
                <c:ptCount val="24"/>
                <c:pt idx="0">
                  <c:v>0</c:v>
                </c:pt>
                <c:pt idx="1">
                  <c:v>0</c:v>
                </c:pt>
                <c:pt idx="2">
                  <c:v>0</c:v>
                </c:pt>
                <c:pt idx="3">
                  <c:v>0</c:v>
                </c:pt>
                <c:pt idx="4">
                  <c:v>0</c:v>
                </c:pt>
                <c:pt idx="5">
                  <c:v>0</c:v>
                </c:pt>
                <c:pt idx="6">
                  <c:v>0.5</c:v>
                </c:pt>
                <c:pt idx="7">
                  <c:v>0.5</c:v>
                </c:pt>
                <c:pt idx="8">
                  <c:v>0</c:v>
                </c:pt>
                <c:pt idx="9">
                  <c:v>0</c:v>
                </c:pt>
                <c:pt idx="10">
                  <c:v>0</c:v>
                </c:pt>
                <c:pt idx="11">
                  <c:v>0.2</c:v>
                </c:pt>
                <c:pt idx="12">
                  <c:v>0.2</c:v>
                </c:pt>
                <c:pt idx="13">
                  <c:v>0</c:v>
                </c:pt>
                <c:pt idx="14">
                  <c:v>0</c:v>
                </c:pt>
                <c:pt idx="15">
                  <c:v>0</c:v>
                </c:pt>
                <c:pt idx="16">
                  <c:v>0.5</c:v>
                </c:pt>
                <c:pt idx="17">
                  <c:v>0.5</c:v>
                </c:pt>
                <c:pt idx="18">
                  <c:v>0.5</c:v>
                </c:pt>
                <c:pt idx="19">
                  <c:v>0</c:v>
                </c:pt>
                <c:pt idx="20">
                  <c:v>0</c:v>
                </c:pt>
                <c:pt idx="21">
                  <c:v>0</c:v>
                </c:pt>
                <c:pt idx="22">
                  <c:v>0</c:v>
                </c:pt>
                <c:pt idx="23">
                  <c:v>0</c:v>
                </c:pt>
              </c:numCache>
            </c:numRef>
          </c:val>
          <c:smooth val="0"/>
          <c:extLst>
            <c:ext xmlns:c16="http://schemas.microsoft.com/office/drawing/2014/chart" uri="{C3380CC4-5D6E-409C-BE32-E72D297353CC}">
              <c16:uniqueId val="{00000001-4744-440A-89C4-312D4CC7F10C}"/>
            </c:ext>
          </c:extLst>
        </c:ser>
        <c:ser>
          <c:idx val="2"/>
          <c:order val="2"/>
          <c:tx>
            <c:strRef>
              <c:f>Schedules!$E$21</c:f>
              <c:strCache>
                <c:ptCount val="1"/>
                <c:pt idx="0">
                  <c:v>Sunday</c:v>
                </c:pt>
              </c:strCache>
            </c:strRef>
          </c:tx>
          <c:spPr>
            <a:ln w="28575" cap="rnd">
              <a:solidFill>
                <a:schemeClr val="accent3"/>
              </a:solidFill>
              <a:round/>
            </a:ln>
            <a:effectLst/>
          </c:spPr>
          <c:marker>
            <c:symbol val="none"/>
          </c:marker>
          <c:val>
            <c:numRef>
              <c:f>Schedules!$F$21:$AC$21</c:f>
              <c:numCache>
                <c:formatCode>0.00</c:formatCode>
                <c:ptCount val="24"/>
                <c:pt idx="0">
                  <c:v>0</c:v>
                </c:pt>
                <c:pt idx="1">
                  <c:v>0</c:v>
                </c:pt>
                <c:pt idx="2">
                  <c:v>0</c:v>
                </c:pt>
                <c:pt idx="3">
                  <c:v>0</c:v>
                </c:pt>
                <c:pt idx="4">
                  <c:v>0</c:v>
                </c:pt>
                <c:pt idx="5">
                  <c:v>0</c:v>
                </c:pt>
                <c:pt idx="6">
                  <c:v>0.5</c:v>
                </c:pt>
                <c:pt idx="7">
                  <c:v>0.5</c:v>
                </c:pt>
                <c:pt idx="8">
                  <c:v>0</c:v>
                </c:pt>
                <c:pt idx="9">
                  <c:v>0</c:v>
                </c:pt>
                <c:pt idx="10">
                  <c:v>0</c:v>
                </c:pt>
                <c:pt idx="11">
                  <c:v>0.2</c:v>
                </c:pt>
                <c:pt idx="12">
                  <c:v>0.2</c:v>
                </c:pt>
                <c:pt idx="13">
                  <c:v>0</c:v>
                </c:pt>
                <c:pt idx="14">
                  <c:v>0</c:v>
                </c:pt>
                <c:pt idx="15">
                  <c:v>0</c:v>
                </c:pt>
                <c:pt idx="16">
                  <c:v>0.5</c:v>
                </c:pt>
                <c:pt idx="17">
                  <c:v>0.5</c:v>
                </c:pt>
                <c:pt idx="18">
                  <c:v>0.5</c:v>
                </c:pt>
                <c:pt idx="19">
                  <c:v>0</c:v>
                </c:pt>
                <c:pt idx="20">
                  <c:v>0</c:v>
                </c:pt>
                <c:pt idx="21">
                  <c:v>0</c:v>
                </c:pt>
                <c:pt idx="22">
                  <c:v>0</c:v>
                </c:pt>
                <c:pt idx="23">
                  <c:v>0</c:v>
                </c:pt>
              </c:numCache>
            </c:numRef>
          </c:val>
          <c:smooth val="0"/>
          <c:extLst>
            <c:ext xmlns:c16="http://schemas.microsoft.com/office/drawing/2014/chart" uri="{C3380CC4-5D6E-409C-BE32-E72D297353CC}">
              <c16:uniqueId val="{00000002-4744-440A-89C4-312D4CC7F10C}"/>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0.2"/>
        <c:minorUnit val="0.1"/>
      </c:valAx>
      <c:spPr>
        <a:noFill/>
        <a:ln>
          <a:noFill/>
        </a:ln>
        <a:effectLst/>
      </c:spPr>
    </c:plotArea>
    <c:legend>
      <c:legendPos val="b"/>
      <c:layout>
        <c:manualLayout>
          <c:xMode val="edge"/>
          <c:yMode val="edge"/>
          <c:x val="0.69237621385546944"/>
          <c:y val="3.6261079321075841E-2"/>
          <c:w val="0.28941482691935089"/>
          <c:h val="0.3139894781608833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sz="1000" b="1" i="0" u="none" strike="noStrike" kern="1200" spc="0" baseline="0">
                <a:solidFill>
                  <a:sysClr val="windowText" lastClr="000000"/>
                </a:solidFill>
                <a:latin typeface="Arial" panose="020B0604020202020204" pitchFamily="34" charset="0"/>
                <a:cs typeface="Arial" panose="020B0604020202020204" pitchFamily="34" charset="0"/>
              </a:rPr>
              <a:t>Heating Setpoint (Living Area)</a:t>
            </a:r>
          </a:p>
        </c:rich>
      </c:tx>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strRef>
              <c:f>Schedules!$E$22</c:f>
              <c:strCache>
                <c:ptCount val="1"/>
                <c:pt idx="0">
                  <c:v>Weekday</c:v>
                </c:pt>
              </c:strCache>
            </c:strRef>
          </c:tx>
          <c:spPr>
            <a:ln w="28575" cap="rnd">
              <a:solidFill>
                <a:schemeClr val="accent1"/>
              </a:solidFill>
              <a:round/>
            </a:ln>
            <a:effectLst/>
          </c:spPr>
          <c:marker>
            <c:symbol val="none"/>
          </c:marker>
          <c:val>
            <c:numRef>
              <c:f>Schedules!$F$22:$AC$22</c:f>
              <c:numCache>
                <c:formatCode>0</c:formatCode>
                <c:ptCount val="24"/>
                <c:pt idx="0">
                  <c:v>68</c:v>
                </c:pt>
                <c:pt idx="1">
                  <c:v>68</c:v>
                </c:pt>
                <c:pt idx="2">
                  <c:v>68</c:v>
                </c:pt>
                <c:pt idx="3">
                  <c:v>68</c:v>
                </c:pt>
                <c:pt idx="4">
                  <c:v>68</c:v>
                </c:pt>
                <c:pt idx="5">
                  <c:v>68</c:v>
                </c:pt>
                <c:pt idx="6">
                  <c:v>68</c:v>
                </c:pt>
                <c:pt idx="7">
                  <c:v>68</c:v>
                </c:pt>
                <c:pt idx="8">
                  <c:v>68</c:v>
                </c:pt>
                <c:pt idx="9">
                  <c:v>68</c:v>
                </c:pt>
                <c:pt idx="10">
                  <c:v>68</c:v>
                </c:pt>
                <c:pt idx="11">
                  <c:v>68</c:v>
                </c:pt>
                <c:pt idx="12">
                  <c:v>68</c:v>
                </c:pt>
                <c:pt idx="13">
                  <c:v>68</c:v>
                </c:pt>
                <c:pt idx="14">
                  <c:v>68</c:v>
                </c:pt>
                <c:pt idx="15">
                  <c:v>68</c:v>
                </c:pt>
                <c:pt idx="16">
                  <c:v>68</c:v>
                </c:pt>
                <c:pt idx="17">
                  <c:v>68</c:v>
                </c:pt>
                <c:pt idx="18">
                  <c:v>68</c:v>
                </c:pt>
                <c:pt idx="19">
                  <c:v>68</c:v>
                </c:pt>
                <c:pt idx="20">
                  <c:v>68</c:v>
                </c:pt>
                <c:pt idx="21">
                  <c:v>68</c:v>
                </c:pt>
                <c:pt idx="22">
                  <c:v>68</c:v>
                </c:pt>
                <c:pt idx="23">
                  <c:v>68</c:v>
                </c:pt>
              </c:numCache>
            </c:numRef>
          </c:val>
          <c:smooth val="0"/>
          <c:extLst>
            <c:ext xmlns:c16="http://schemas.microsoft.com/office/drawing/2014/chart" uri="{C3380CC4-5D6E-409C-BE32-E72D297353CC}">
              <c16:uniqueId val="{00000000-C264-4C05-B8D9-3DAA8E0FE88B}"/>
            </c:ext>
          </c:extLst>
        </c:ser>
        <c:ser>
          <c:idx val="1"/>
          <c:order val="1"/>
          <c:tx>
            <c:strRef>
              <c:f>Schedules!$E$23</c:f>
              <c:strCache>
                <c:ptCount val="1"/>
                <c:pt idx="0">
                  <c:v>Saturday</c:v>
                </c:pt>
              </c:strCache>
            </c:strRef>
          </c:tx>
          <c:spPr>
            <a:ln w="28575" cap="rnd">
              <a:solidFill>
                <a:schemeClr val="accent2"/>
              </a:solidFill>
              <a:round/>
            </a:ln>
            <a:effectLst/>
          </c:spPr>
          <c:marker>
            <c:symbol val="none"/>
          </c:marker>
          <c:val>
            <c:numRef>
              <c:f>Schedules!$F$23:$AC$23</c:f>
              <c:numCache>
                <c:formatCode>0</c:formatCode>
                <c:ptCount val="24"/>
                <c:pt idx="0">
                  <c:v>68</c:v>
                </c:pt>
                <c:pt idx="1">
                  <c:v>68</c:v>
                </c:pt>
                <c:pt idx="2">
                  <c:v>68</c:v>
                </c:pt>
                <c:pt idx="3">
                  <c:v>68</c:v>
                </c:pt>
                <c:pt idx="4">
                  <c:v>68</c:v>
                </c:pt>
                <c:pt idx="5">
                  <c:v>68</c:v>
                </c:pt>
                <c:pt idx="6">
                  <c:v>68</c:v>
                </c:pt>
                <c:pt idx="7">
                  <c:v>68</c:v>
                </c:pt>
                <c:pt idx="8">
                  <c:v>68</c:v>
                </c:pt>
                <c:pt idx="9">
                  <c:v>68</c:v>
                </c:pt>
                <c:pt idx="10">
                  <c:v>68</c:v>
                </c:pt>
                <c:pt idx="11">
                  <c:v>68</c:v>
                </c:pt>
                <c:pt idx="12">
                  <c:v>68</c:v>
                </c:pt>
                <c:pt idx="13">
                  <c:v>68</c:v>
                </c:pt>
                <c:pt idx="14">
                  <c:v>68</c:v>
                </c:pt>
                <c:pt idx="15">
                  <c:v>68</c:v>
                </c:pt>
                <c:pt idx="16">
                  <c:v>68</c:v>
                </c:pt>
                <c:pt idx="17">
                  <c:v>68</c:v>
                </c:pt>
                <c:pt idx="18">
                  <c:v>68</c:v>
                </c:pt>
                <c:pt idx="19">
                  <c:v>68</c:v>
                </c:pt>
                <c:pt idx="20">
                  <c:v>68</c:v>
                </c:pt>
                <c:pt idx="21">
                  <c:v>68</c:v>
                </c:pt>
                <c:pt idx="22">
                  <c:v>68</c:v>
                </c:pt>
                <c:pt idx="23">
                  <c:v>68</c:v>
                </c:pt>
              </c:numCache>
            </c:numRef>
          </c:val>
          <c:smooth val="0"/>
          <c:extLst>
            <c:ext xmlns:c16="http://schemas.microsoft.com/office/drawing/2014/chart" uri="{C3380CC4-5D6E-409C-BE32-E72D297353CC}">
              <c16:uniqueId val="{00000001-C264-4C05-B8D9-3DAA8E0FE88B}"/>
            </c:ext>
          </c:extLst>
        </c:ser>
        <c:ser>
          <c:idx val="2"/>
          <c:order val="2"/>
          <c:tx>
            <c:strRef>
              <c:f>Schedules!$E$24</c:f>
              <c:strCache>
                <c:ptCount val="1"/>
                <c:pt idx="0">
                  <c:v>Sunday</c:v>
                </c:pt>
              </c:strCache>
            </c:strRef>
          </c:tx>
          <c:spPr>
            <a:ln w="28575" cap="rnd">
              <a:solidFill>
                <a:schemeClr val="accent3"/>
              </a:solidFill>
              <a:round/>
            </a:ln>
            <a:effectLst/>
          </c:spPr>
          <c:marker>
            <c:symbol val="none"/>
          </c:marker>
          <c:val>
            <c:numRef>
              <c:f>Schedules!$F$24:$AC$24</c:f>
              <c:numCache>
                <c:formatCode>0</c:formatCode>
                <c:ptCount val="24"/>
                <c:pt idx="0">
                  <c:v>68</c:v>
                </c:pt>
                <c:pt idx="1">
                  <c:v>68</c:v>
                </c:pt>
                <c:pt idx="2">
                  <c:v>68</c:v>
                </c:pt>
                <c:pt idx="3">
                  <c:v>68</c:v>
                </c:pt>
                <c:pt idx="4">
                  <c:v>68</c:v>
                </c:pt>
                <c:pt idx="5">
                  <c:v>68</c:v>
                </c:pt>
                <c:pt idx="6">
                  <c:v>68</c:v>
                </c:pt>
                <c:pt idx="7">
                  <c:v>68</c:v>
                </c:pt>
                <c:pt idx="8">
                  <c:v>68</c:v>
                </c:pt>
                <c:pt idx="9">
                  <c:v>68</c:v>
                </c:pt>
                <c:pt idx="10">
                  <c:v>68</c:v>
                </c:pt>
                <c:pt idx="11">
                  <c:v>68</c:v>
                </c:pt>
                <c:pt idx="12">
                  <c:v>68</c:v>
                </c:pt>
                <c:pt idx="13">
                  <c:v>68</c:v>
                </c:pt>
                <c:pt idx="14">
                  <c:v>68</c:v>
                </c:pt>
                <c:pt idx="15">
                  <c:v>68</c:v>
                </c:pt>
                <c:pt idx="16">
                  <c:v>68</c:v>
                </c:pt>
                <c:pt idx="17">
                  <c:v>68</c:v>
                </c:pt>
                <c:pt idx="18">
                  <c:v>68</c:v>
                </c:pt>
                <c:pt idx="19">
                  <c:v>68</c:v>
                </c:pt>
                <c:pt idx="20">
                  <c:v>68</c:v>
                </c:pt>
                <c:pt idx="21">
                  <c:v>68</c:v>
                </c:pt>
                <c:pt idx="22">
                  <c:v>68</c:v>
                </c:pt>
                <c:pt idx="23">
                  <c:v>68</c:v>
                </c:pt>
              </c:numCache>
            </c:numRef>
          </c:val>
          <c:smooth val="0"/>
          <c:extLst>
            <c:ext xmlns:c16="http://schemas.microsoft.com/office/drawing/2014/chart" uri="{C3380CC4-5D6E-409C-BE32-E72D297353CC}">
              <c16:uniqueId val="{00000002-C264-4C05-B8D9-3DAA8E0FE88B}"/>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10"/>
      </c:valAx>
      <c:spPr>
        <a:noFill/>
        <a:ln>
          <a:noFill/>
        </a:ln>
        <a:effectLst/>
      </c:spPr>
    </c:plotArea>
    <c:legend>
      <c:legendPos val="b"/>
      <c:layout>
        <c:manualLayout>
          <c:xMode val="edge"/>
          <c:yMode val="edge"/>
          <c:x val="0.69237621385546944"/>
          <c:y val="3.6261079321075841E-2"/>
          <c:w val="0.30762375107760692"/>
          <c:h val="0.1476808107319918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sz="1000" b="1" i="0" u="none" strike="noStrike" kern="1200" spc="0" baseline="0">
                <a:solidFill>
                  <a:sysClr val="windowText" lastClr="000000"/>
                </a:solidFill>
                <a:latin typeface="Arial" panose="020B0604020202020204" pitchFamily="34" charset="0"/>
                <a:cs typeface="Arial" panose="020B0604020202020204" pitchFamily="34" charset="0"/>
              </a:rPr>
              <a:t>Cooling Setpoint (Living Area)</a:t>
            </a:r>
          </a:p>
        </c:rich>
      </c:tx>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strRef>
              <c:f>Schedules!$E$25</c:f>
              <c:strCache>
                <c:ptCount val="1"/>
                <c:pt idx="0">
                  <c:v>Weekday</c:v>
                </c:pt>
              </c:strCache>
            </c:strRef>
          </c:tx>
          <c:spPr>
            <a:ln w="28575" cap="rnd">
              <a:solidFill>
                <a:schemeClr val="accent1"/>
              </a:solidFill>
              <a:round/>
            </a:ln>
            <a:effectLst/>
          </c:spPr>
          <c:marker>
            <c:symbol val="none"/>
          </c:marker>
          <c:val>
            <c:numRef>
              <c:f>Schedules!$F$25:$AC$25</c:f>
              <c:numCache>
                <c:formatCode>0</c:formatCode>
                <c:ptCount val="24"/>
                <c:pt idx="0">
                  <c:v>78</c:v>
                </c:pt>
                <c:pt idx="1">
                  <c:v>78</c:v>
                </c:pt>
                <c:pt idx="2">
                  <c:v>78</c:v>
                </c:pt>
                <c:pt idx="3">
                  <c:v>78</c:v>
                </c:pt>
                <c:pt idx="4">
                  <c:v>78</c:v>
                </c:pt>
                <c:pt idx="5">
                  <c:v>78</c:v>
                </c:pt>
                <c:pt idx="6">
                  <c:v>78</c:v>
                </c:pt>
                <c:pt idx="7">
                  <c:v>78</c:v>
                </c:pt>
                <c:pt idx="8">
                  <c:v>78</c:v>
                </c:pt>
                <c:pt idx="9">
                  <c:v>78</c:v>
                </c:pt>
                <c:pt idx="10">
                  <c:v>78</c:v>
                </c:pt>
                <c:pt idx="11">
                  <c:v>78</c:v>
                </c:pt>
                <c:pt idx="12">
                  <c:v>78</c:v>
                </c:pt>
                <c:pt idx="13">
                  <c:v>78</c:v>
                </c:pt>
                <c:pt idx="14">
                  <c:v>78</c:v>
                </c:pt>
                <c:pt idx="15">
                  <c:v>78</c:v>
                </c:pt>
                <c:pt idx="16">
                  <c:v>78</c:v>
                </c:pt>
                <c:pt idx="17">
                  <c:v>78</c:v>
                </c:pt>
                <c:pt idx="18">
                  <c:v>78</c:v>
                </c:pt>
                <c:pt idx="19">
                  <c:v>78</c:v>
                </c:pt>
                <c:pt idx="20">
                  <c:v>78</c:v>
                </c:pt>
                <c:pt idx="21">
                  <c:v>78</c:v>
                </c:pt>
                <c:pt idx="22">
                  <c:v>78</c:v>
                </c:pt>
                <c:pt idx="23">
                  <c:v>78</c:v>
                </c:pt>
              </c:numCache>
            </c:numRef>
          </c:val>
          <c:smooth val="0"/>
          <c:extLst>
            <c:ext xmlns:c16="http://schemas.microsoft.com/office/drawing/2014/chart" uri="{C3380CC4-5D6E-409C-BE32-E72D297353CC}">
              <c16:uniqueId val="{00000000-1C97-42C3-84D7-66A9294A5C8F}"/>
            </c:ext>
          </c:extLst>
        </c:ser>
        <c:ser>
          <c:idx val="1"/>
          <c:order val="1"/>
          <c:tx>
            <c:strRef>
              <c:f>Schedules!$E$26</c:f>
              <c:strCache>
                <c:ptCount val="1"/>
                <c:pt idx="0">
                  <c:v>Saturday</c:v>
                </c:pt>
              </c:strCache>
            </c:strRef>
          </c:tx>
          <c:spPr>
            <a:ln w="28575" cap="rnd">
              <a:solidFill>
                <a:schemeClr val="accent2"/>
              </a:solidFill>
              <a:round/>
            </a:ln>
            <a:effectLst/>
          </c:spPr>
          <c:marker>
            <c:symbol val="none"/>
          </c:marker>
          <c:val>
            <c:numRef>
              <c:f>Schedules!$F$26:$AC$26</c:f>
              <c:numCache>
                <c:formatCode>0</c:formatCode>
                <c:ptCount val="24"/>
                <c:pt idx="0">
                  <c:v>78</c:v>
                </c:pt>
                <c:pt idx="1">
                  <c:v>78</c:v>
                </c:pt>
                <c:pt idx="2">
                  <c:v>78</c:v>
                </c:pt>
                <c:pt idx="3">
                  <c:v>78</c:v>
                </c:pt>
                <c:pt idx="4">
                  <c:v>78</c:v>
                </c:pt>
                <c:pt idx="5">
                  <c:v>78</c:v>
                </c:pt>
                <c:pt idx="6">
                  <c:v>78</c:v>
                </c:pt>
                <c:pt idx="7">
                  <c:v>78</c:v>
                </c:pt>
                <c:pt idx="8">
                  <c:v>78</c:v>
                </c:pt>
                <c:pt idx="9">
                  <c:v>78</c:v>
                </c:pt>
                <c:pt idx="10">
                  <c:v>78</c:v>
                </c:pt>
                <c:pt idx="11">
                  <c:v>78</c:v>
                </c:pt>
                <c:pt idx="12">
                  <c:v>78</c:v>
                </c:pt>
                <c:pt idx="13">
                  <c:v>78</c:v>
                </c:pt>
                <c:pt idx="14">
                  <c:v>78</c:v>
                </c:pt>
                <c:pt idx="15">
                  <c:v>78</c:v>
                </c:pt>
                <c:pt idx="16">
                  <c:v>78</c:v>
                </c:pt>
                <c:pt idx="17">
                  <c:v>78</c:v>
                </c:pt>
                <c:pt idx="18">
                  <c:v>78</c:v>
                </c:pt>
                <c:pt idx="19">
                  <c:v>78</c:v>
                </c:pt>
                <c:pt idx="20">
                  <c:v>78</c:v>
                </c:pt>
                <c:pt idx="21">
                  <c:v>78</c:v>
                </c:pt>
                <c:pt idx="22">
                  <c:v>78</c:v>
                </c:pt>
                <c:pt idx="23">
                  <c:v>78</c:v>
                </c:pt>
              </c:numCache>
            </c:numRef>
          </c:val>
          <c:smooth val="0"/>
          <c:extLst>
            <c:ext xmlns:c16="http://schemas.microsoft.com/office/drawing/2014/chart" uri="{C3380CC4-5D6E-409C-BE32-E72D297353CC}">
              <c16:uniqueId val="{00000001-1C97-42C3-84D7-66A9294A5C8F}"/>
            </c:ext>
          </c:extLst>
        </c:ser>
        <c:ser>
          <c:idx val="2"/>
          <c:order val="2"/>
          <c:tx>
            <c:strRef>
              <c:f>Schedules!$E$27</c:f>
              <c:strCache>
                <c:ptCount val="1"/>
                <c:pt idx="0">
                  <c:v>Sunday</c:v>
                </c:pt>
              </c:strCache>
            </c:strRef>
          </c:tx>
          <c:spPr>
            <a:ln w="28575" cap="rnd">
              <a:solidFill>
                <a:schemeClr val="accent3"/>
              </a:solidFill>
              <a:round/>
            </a:ln>
            <a:effectLst/>
          </c:spPr>
          <c:marker>
            <c:symbol val="none"/>
          </c:marker>
          <c:val>
            <c:numRef>
              <c:f>Schedules!$F$27:$AC$27</c:f>
              <c:numCache>
                <c:formatCode>0</c:formatCode>
                <c:ptCount val="24"/>
                <c:pt idx="0">
                  <c:v>78</c:v>
                </c:pt>
                <c:pt idx="1">
                  <c:v>78</c:v>
                </c:pt>
                <c:pt idx="2">
                  <c:v>78</c:v>
                </c:pt>
                <c:pt idx="3">
                  <c:v>78</c:v>
                </c:pt>
                <c:pt idx="4">
                  <c:v>78</c:v>
                </c:pt>
                <c:pt idx="5">
                  <c:v>78</c:v>
                </c:pt>
                <c:pt idx="6">
                  <c:v>78</c:v>
                </c:pt>
                <c:pt idx="7">
                  <c:v>78</c:v>
                </c:pt>
                <c:pt idx="8">
                  <c:v>78</c:v>
                </c:pt>
                <c:pt idx="9">
                  <c:v>78</c:v>
                </c:pt>
                <c:pt idx="10">
                  <c:v>78</c:v>
                </c:pt>
                <c:pt idx="11">
                  <c:v>78</c:v>
                </c:pt>
                <c:pt idx="12">
                  <c:v>78</c:v>
                </c:pt>
                <c:pt idx="13">
                  <c:v>78</c:v>
                </c:pt>
                <c:pt idx="14">
                  <c:v>78</c:v>
                </c:pt>
                <c:pt idx="15">
                  <c:v>78</c:v>
                </c:pt>
                <c:pt idx="16">
                  <c:v>78</c:v>
                </c:pt>
                <c:pt idx="17">
                  <c:v>78</c:v>
                </c:pt>
                <c:pt idx="18">
                  <c:v>78</c:v>
                </c:pt>
                <c:pt idx="19">
                  <c:v>78</c:v>
                </c:pt>
                <c:pt idx="20">
                  <c:v>78</c:v>
                </c:pt>
                <c:pt idx="21">
                  <c:v>78</c:v>
                </c:pt>
                <c:pt idx="22">
                  <c:v>78</c:v>
                </c:pt>
                <c:pt idx="23">
                  <c:v>78</c:v>
                </c:pt>
              </c:numCache>
            </c:numRef>
          </c:val>
          <c:smooth val="0"/>
          <c:extLst>
            <c:ext xmlns:c16="http://schemas.microsoft.com/office/drawing/2014/chart" uri="{C3380CC4-5D6E-409C-BE32-E72D297353CC}">
              <c16:uniqueId val="{00000002-1C97-42C3-84D7-66A9294A5C8F}"/>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40"/>
      </c:valAx>
      <c:spPr>
        <a:noFill/>
        <a:ln>
          <a:noFill/>
        </a:ln>
        <a:effectLst/>
      </c:spPr>
    </c:plotArea>
    <c:legend>
      <c:legendPos val="b"/>
      <c:layout>
        <c:manualLayout>
          <c:xMode val="edge"/>
          <c:yMode val="edge"/>
          <c:x val="0.69237621385546944"/>
          <c:y val="3.6261079321075841E-2"/>
          <c:w val="0.28941482691935089"/>
          <c:h val="0.3139894781608833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sz="1000" b="1" i="0" u="none" strike="noStrike" kern="1200" spc="0" baseline="0">
                <a:solidFill>
                  <a:sysClr val="windowText" lastClr="000000"/>
                </a:solidFill>
                <a:latin typeface="Arial" panose="020B0604020202020204" pitchFamily="34" charset="0"/>
                <a:cs typeface="Arial" panose="020B0604020202020204" pitchFamily="34" charset="0"/>
              </a:rPr>
              <a:t>Infiltration (Living Area)</a:t>
            </a:r>
          </a:p>
        </c:rich>
      </c:tx>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strRef>
              <c:f>Schedules!$E$28</c:f>
              <c:strCache>
                <c:ptCount val="1"/>
                <c:pt idx="0">
                  <c:v>Weekday</c:v>
                </c:pt>
              </c:strCache>
            </c:strRef>
          </c:tx>
          <c:spPr>
            <a:ln w="28575" cap="rnd">
              <a:solidFill>
                <a:schemeClr val="accent1"/>
              </a:solidFill>
              <a:round/>
            </a:ln>
            <a:effectLst/>
          </c:spPr>
          <c:marker>
            <c:symbol val="none"/>
          </c:marker>
          <c:val>
            <c:numRef>
              <c:f>Schedules!$F$28:$AC$28</c:f>
              <c:numCache>
                <c:formatCode>0.00</c:formatCode>
                <c:ptCount val="24"/>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pt idx="21">
                  <c:v>1</c:v>
                </c:pt>
                <c:pt idx="22">
                  <c:v>1</c:v>
                </c:pt>
                <c:pt idx="23">
                  <c:v>1</c:v>
                </c:pt>
              </c:numCache>
            </c:numRef>
          </c:val>
          <c:smooth val="0"/>
          <c:extLst>
            <c:ext xmlns:c16="http://schemas.microsoft.com/office/drawing/2014/chart" uri="{C3380CC4-5D6E-409C-BE32-E72D297353CC}">
              <c16:uniqueId val="{00000000-7DE4-4FE9-8BAD-218E0FB6FE12}"/>
            </c:ext>
          </c:extLst>
        </c:ser>
        <c:ser>
          <c:idx val="1"/>
          <c:order val="1"/>
          <c:tx>
            <c:strRef>
              <c:f>Schedules!$E$29</c:f>
              <c:strCache>
                <c:ptCount val="1"/>
                <c:pt idx="0">
                  <c:v>Saturday</c:v>
                </c:pt>
              </c:strCache>
            </c:strRef>
          </c:tx>
          <c:spPr>
            <a:ln w="28575" cap="rnd">
              <a:solidFill>
                <a:schemeClr val="accent2"/>
              </a:solidFill>
              <a:round/>
            </a:ln>
            <a:effectLst/>
          </c:spPr>
          <c:marker>
            <c:symbol val="none"/>
          </c:marker>
          <c:val>
            <c:numRef>
              <c:f>Schedules!$F$29:$AC$29</c:f>
              <c:numCache>
                <c:formatCode>0.00</c:formatCode>
                <c:ptCount val="24"/>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pt idx="21">
                  <c:v>1</c:v>
                </c:pt>
                <c:pt idx="22">
                  <c:v>1</c:v>
                </c:pt>
                <c:pt idx="23">
                  <c:v>1</c:v>
                </c:pt>
              </c:numCache>
            </c:numRef>
          </c:val>
          <c:smooth val="0"/>
          <c:extLst>
            <c:ext xmlns:c16="http://schemas.microsoft.com/office/drawing/2014/chart" uri="{C3380CC4-5D6E-409C-BE32-E72D297353CC}">
              <c16:uniqueId val="{00000001-7DE4-4FE9-8BAD-218E0FB6FE12}"/>
            </c:ext>
          </c:extLst>
        </c:ser>
        <c:ser>
          <c:idx val="2"/>
          <c:order val="2"/>
          <c:tx>
            <c:strRef>
              <c:f>Schedules!$E$30</c:f>
              <c:strCache>
                <c:ptCount val="1"/>
                <c:pt idx="0">
                  <c:v>Sunday</c:v>
                </c:pt>
              </c:strCache>
            </c:strRef>
          </c:tx>
          <c:spPr>
            <a:ln w="28575" cap="rnd">
              <a:solidFill>
                <a:schemeClr val="accent3"/>
              </a:solidFill>
              <a:round/>
            </a:ln>
            <a:effectLst/>
          </c:spPr>
          <c:marker>
            <c:symbol val="none"/>
          </c:marker>
          <c:val>
            <c:numRef>
              <c:f>Schedules!$F$30:$AC$30</c:f>
              <c:numCache>
                <c:formatCode>0.00</c:formatCode>
                <c:ptCount val="24"/>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pt idx="21">
                  <c:v>1</c:v>
                </c:pt>
                <c:pt idx="22">
                  <c:v>1</c:v>
                </c:pt>
                <c:pt idx="23">
                  <c:v>1</c:v>
                </c:pt>
              </c:numCache>
            </c:numRef>
          </c:val>
          <c:smooth val="0"/>
          <c:extLst>
            <c:ext xmlns:c16="http://schemas.microsoft.com/office/drawing/2014/chart" uri="{C3380CC4-5D6E-409C-BE32-E72D297353CC}">
              <c16:uniqueId val="{00000002-7DE4-4FE9-8BAD-218E0FB6FE12}"/>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in val="0.2"/>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0.2"/>
      </c:valAx>
      <c:spPr>
        <a:noFill/>
        <a:ln>
          <a:noFill/>
        </a:ln>
        <a:effectLst/>
      </c:spPr>
    </c:plotArea>
    <c:legend>
      <c:legendPos val="b"/>
      <c:layout>
        <c:manualLayout>
          <c:xMode val="edge"/>
          <c:yMode val="edge"/>
          <c:x val="0.69237621385546944"/>
          <c:y val="3.6261079321075841E-2"/>
          <c:w val="0.28941482691935089"/>
          <c:h val="0.3139894781608833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sz="1000" b="1" i="0" u="none" strike="noStrike" kern="1200" spc="0" baseline="0">
                <a:solidFill>
                  <a:sysClr val="windowText" lastClr="000000"/>
                </a:solidFill>
                <a:latin typeface="Arial" panose="020B0604020202020204" pitchFamily="34" charset="0"/>
                <a:cs typeface="Arial" panose="020B0604020202020204" pitchFamily="34" charset="0"/>
              </a:rPr>
              <a:t>Refrigeration (Living Area)</a:t>
            </a:r>
          </a:p>
        </c:rich>
      </c:tx>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strRef>
              <c:f>Schedules!$E$31</c:f>
              <c:strCache>
                <c:ptCount val="1"/>
                <c:pt idx="0">
                  <c:v>Weekday</c:v>
                </c:pt>
              </c:strCache>
            </c:strRef>
          </c:tx>
          <c:spPr>
            <a:ln w="28575" cap="rnd">
              <a:solidFill>
                <a:schemeClr val="accent1"/>
              </a:solidFill>
              <a:round/>
            </a:ln>
            <a:effectLst/>
          </c:spPr>
          <c:marker>
            <c:symbol val="none"/>
          </c:marker>
          <c:val>
            <c:numRef>
              <c:f>Schedules!$F$31:$AC$31</c:f>
              <c:numCache>
                <c:formatCode>0.00</c:formatCode>
                <c:ptCount val="24"/>
                <c:pt idx="0">
                  <c:v>0.9</c:v>
                </c:pt>
                <c:pt idx="1">
                  <c:v>0.9</c:v>
                </c:pt>
                <c:pt idx="2">
                  <c:v>0.9</c:v>
                </c:pt>
                <c:pt idx="3">
                  <c:v>0.9</c:v>
                </c:pt>
                <c:pt idx="4">
                  <c:v>0.9</c:v>
                </c:pt>
                <c:pt idx="5">
                  <c:v>0.9</c:v>
                </c:pt>
                <c:pt idx="6">
                  <c:v>0.9</c:v>
                </c:pt>
                <c:pt idx="7">
                  <c:v>0.9</c:v>
                </c:pt>
                <c:pt idx="8">
                  <c:v>0.9</c:v>
                </c:pt>
                <c:pt idx="9">
                  <c:v>0.9</c:v>
                </c:pt>
                <c:pt idx="10">
                  <c:v>0.9</c:v>
                </c:pt>
                <c:pt idx="11">
                  <c:v>0.9</c:v>
                </c:pt>
                <c:pt idx="12">
                  <c:v>0.9</c:v>
                </c:pt>
                <c:pt idx="13">
                  <c:v>0.9</c:v>
                </c:pt>
                <c:pt idx="14">
                  <c:v>0.9</c:v>
                </c:pt>
                <c:pt idx="15">
                  <c:v>0.9</c:v>
                </c:pt>
                <c:pt idx="16">
                  <c:v>0.9</c:v>
                </c:pt>
                <c:pt idx="17">
                  <c:v>0.9</c:v>
                </c:pt>
                <c:pt idx="18">
                  <c:v>0.9</c:v>
                </c:pt>
                <c:pt idx="19">
                  <c:v>0.9</c:v>
                </c:pt>
                <c:pt idx="20">
                  <c:v>0.9</c:v>
                </c:pt>
                <c:pt idx="21">
                  <c:v>0.9</c:v>
                </c:pt>
                <c:pt idx="22">
                  <c:v>0.9</c:v>
                </c:pt>
                <c:pt idx="23">
                  <c:v>0.9</c:v>
                </c:pt>
              </c:numCache>
            </c:numRef>
          </c:val>
          <c:smooth val="0"/>
          <c:extLst>
            <c:ext xmlns:c16="http://schemas.microsoft.com/office/drawing/2014/chart" uri="{C3380CC4-5D6E-409C-BE32-E72D297353CC}">
              <c16:uniqueId val="{00000000-350F-4592-8E02-EC4A0F4B5006}"/>
            </c:ext>
          </c:extLst>
        </c:ser>
        <c:ser>
          <c:idx val="1"/>
          <c:order val="1"/>
          <c:tx>
            <c:strRef>
              <c:f>Schedules!$E$32</c:f>
              <c:strCache>
                <c:ptCount val="1"/>
                <c:pt idx="0">
                  <c:v>Saturday</c:v>
                </c:pt>
              </c:strCache>
            </c:strRef>
          </c:tx>
          <c:spPr>
            <a:ln w="28575" cap="rnd">
              <a:solidFill>
                <a:schemeClr val="accent2"/>
              </a:solidFill>
              <a:round/>
            </a:ln>
            <a:effectLst/>
          </c:spPr>
          <c:marker>
            <c:symbol val="none"/>
          </c:marker>
          <c:val>
            <c:numRef>
              <c:f>Schedules!$F$32:$AC$32</c:f>
              <c:numCache>
                <c:formatCode>0.00</c:formatCode>
                <c:ptCount val="24"/>
                <c:pt idx="0">
                  <c:v>0.9</c:v>
                </c:pt>
                <c:pt idx="1">
                  <c:v>0.9</c:v>
                </c:pt>
                <c:pt idx="2">
                  <c:v>0.9</c:v>
                </c:pt>
                <c:pt idx="3">
                  <c:v>0.9</c:v>
                </c:pt>
                <c:pt idx="4">
                  <c:v>0.9</c:v>
                </c:pt>
                <c:pt idx="5">
                  <c:v>0.9</c:v>
                </c:pt>
                <c:pt idx="6">
                  <c:v>0.9</c:v>
                </c:pt>
                <c:pt idx="7">
                  <c:v>0.9</c:v>
                </c:pt>
                <c:pt idx="8">
                  <c:v>0.9</c:v>
                </c:pt>
                <c:pt idx="9">
                  <c:v>0.9</c:v>
                </c:pt>
                <c:pt idx="10">
                  <c:v>0.9</c:v>
                </c:pt>
                <c:pt idx="11">
                  <c:v>0.9</c:v>
                </c:pt>
                <c:pt idx="12">
                  <c:v>0.9</c:v>
                </c:pt>
                <c:pt idx="13">
                  <c:v>0.9</c:v>
                </c:pt>
                <c:pt idx="14">
                  <c:v>0.9</c:v>
                </c:pt>
                <c:pt idx="15">
                  <c:v>0.9</c:v>
                </c:pt>
                <c:pt idx="16">
                  <c:v>0.9</c:v>
                </c:pt>
                <c:pt idx="17">
                  <c:v>0.9</c:v>
                </c:pt>
                <c:pt idx="18">
                  <c:v>0.9</c:v>
                </c:pt>
                <c:pt idx="19">
                  <c:v>0.9</c:v>
                </c:pt>
                <c:pt idx="20">
                  <c:v>0.9</c:v>
                </c:pt>
                <c:pt idx="21">
                  <c:v>0.9</c:v>
                </c:pt>
                <c:pt idx="22">
                  <c:v>0.9</c:v>
                </c:pt>
                <c:pt idx="23">
                  <c:v>0.9</c:v>
                </c:pt>
              </c:numCache>
            </c:numRef>
          </c:val>
          <c:smooth val="0"/>
          <c:extLst>
            <c:ext xmlns:c16="http://schemas.microsoft.com/office/drawing/2014/chart" uri="{C3380CC4-5D6E-409C-BE32-E72D297353CC}">
              <c16:uniqueId val="{00000001-350F-4592-8E02-EC4A0F4B5006}"/>
            </c:ext>
          </c:extLst>
        </c:ser>
        <c:ser>
          <c:idx val="2"/>
          <c:order val="2"/>
          <c:tx>
            <c:strRef>
              <c:f>Schedules!$E$33</c:f>
              <c:strCache>
                <c:ptCount val="1"/>
                <c:pt idx="0">
                  <c:v>Sunday</c:v>
                </c:pt>
              </c:strCache>
            </c:strRef>
          </c:tx>
          <c:spPr>
            <a:ln w="28575" cap="rnd">
              <a:solidFill>
                <a:schemeClr val="accent3"/>
              </a:solidFill>
              <a:round/>
            </a:ln>
            <a:effectLst/>
          </c:spPr>
          <c:marker>
            <c:symbol val="none"/>
          </c:marker>
          <c:val>
            <c:numRef>
              <c:f>Schedules!$F$33:$AC$33</c:f>
              <c:numCache>
                <c:formatCode>0.00</c:formatCode>
                <c:ptCount val="24"/>
                <c:pt idx="0">
                  <c:v>0.9</c:v>
                </c:pt>
                <c:pt idx="1">
                  <c:v>0.9</c:v>
                </c:pt>
                <c:pt idx="2">
                  <c:v>0.9</c:v>
                </c:pt>
                <c:pt idx="3">
                  <c:v>0.9</c:v>
                </c:pt>
                <c:pt idx="4">
                  <c:v>0.9</c:v>
                </c:pt>
                <c:pt idx="5">
                  <c:v>0.9</c:v>
                </c:pt>
                <c:pt idx="6">
                  <c:v>0.9</c:v>
                </c:pt>
                <c:pt idx="7">
                  <c:v>0.9</c:v>
                </c:pt>
                <c:pt idx="8">
                  <c:v>0.9</c:v>
                </c:pt>
                <c:pt idx="9">
                  <c:v>0.9</c:v>
                </c:pt>
                <c:pt idx="10">
                  <c:v>0.9</c:v>
                </c:pt>
                <c:pt idx="11">
                  <c:v>0.9</c:v>
                </c:pt>
                <c:pt idx="12">
                  <c:v>0.9</c:v>
                </c:pt>
                <c:pt idx="13">
                  <c:v>0.9</c:v>
                </c:pt>
                <c:pt idx="14">
                  <c:v>0.9</c:v>
                </c:pt>
                <c:pt idx="15">
                  <c:v>0.9</c:v>
                </c:pt>
                <c:pt idx="16">
                  <c:v>0.9</c:v>
                </c:pt>
                <c:pt idx="17">
                  <c:v>0.9</c:v>
                </c:pt>
                <c:pt idx="18">
                  <c:v>0.9</c:v>
                </c:pt>
                <c:pt idx="19">
                  <c:v>0.9</c:v>
                </c:pt>
                <c:pt idx="20">
                  <c:v>0.9</c:v>
                </c:pt>
                <c:pt idx="21">
                  <c:v>0.9</c:v>
                </c:pt>
                <c:pt idx="22">
                  <c:v>0.9</c:v>
                </c:pt>
                <c:pt idx="23">
                  <c:v>0.9</c:v>
                </c:pt>
              </c:numCache>
            </c:numRef>
          </c:val>
          <c:smooth val="0"/>
          <c:extLst>
            <c:ext xmlns:c16="http://schemas.microsoft.com/office/drawing/2014/chart" uri="{C3380CC4-5D6E-409C-BE32-E72D297353CC}">
              <c16:uniqueId val="{00000002-350F-4592-8E02-EC4A0F4B5006}"/>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0.2"/>
      </c:valAx>
      <c:spPr>
        <a:noFill/>
        <a:ln>
          <a:noFill/>
        </a:ln>
        <a:effectLst/>
      </c:spPr>
    </c:plotArea>
    <c:legend>
      <c:legendPos val="b"/>
      <c:layout>
        <c:manualLayout>
          <c:xMode val="edge"/>
          <c:yMode val="edge"/>
          <c:x val="0.69237621385546944"/>
          <c:y val="3.6261079321075841E-2"/>
          <c:w val="0.28941482691935089"/>
          <c:h val="0.3139894781608833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sz="1000" b="1" i="0" u="none" strike="noStrike" kern="1200" spc="0" baseline="0">
                <a:solidFill>
                  <a:sysClr val="windowText" lastClr="000000"/>
                </a:solidFill>
                <a:latin typeface="Arial" panose="020B0604020202020204" pitchFamily="34" charset="0"/>
                <a:cs typeface="Arial" panose="020B0604020202020204" pitchFamily="34" charset="0"/>
              </a:rPr>
              <a:t>Occupancy (Common Use Area)</a:t>
            </a:r>
          </a:p>
        </c:rich>
      </c:tx>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strRef>
              <c:f>Schedules!$E$35</c:f>
              <c:strCache>
                <c:ptCount val="1"/>
                <c:pt idx="0">
                  <c:v>Weekday</c:v>
                </c:pt>
              </c:strCache>
            </c:strRef>
          </c:tx>
          <c:spPr>
            <a:ln w="28575" cap="rnd">
              <a:solidFill>
                <a:schemeClr val="accent1"/>
              </a:solidFill>
              <a:round/>
            </a:ln>
            <a:effectLst/>
          </c:spPr>
          <c:marker>
            <c:symbol val="none"/>
          </c:marker>
          <c:val>
            <c:numRef>
              <c:f>Schedules!$F$35:$AC$35</c:f>
              <c:numCache>
                <c:formatCode>0.00</c:formatCode>
                <c:ptCount val="24"/>
                <c:pt idx="0">
                  <c:v>0.1</c:v>
                </c:pt>
                <c:pt idx="1">
                  <c:v>0.1</c:v>
                </c:pt>
                <c:pt idx="2">
                  <c:v>0.1</c:v>
                </c:pt>
                <c:pt idx="3">
                  <c:v>0.1</c:v>
                </c:pt>
                <c:pt idx="4">
                  <c:v>0.1</c:v>
                </c:pt>
                <c:pt idx="5">
                  <c:v>0.3</c:v>
                </c:pt>
                <c:pt idx="6">
                  <c:v>0.45</c:v>
                </c:pt>
                <c:pt idx="7">
                  <c:v>0.45</c:v>
                </c:pt>
                <c:pt idx="8">
                  <c:v>0.45</c:v>
                </c:pt>
                <c:pt idx="9">
                  <c:v>0.45</c:v>
                </c:pt>
                <c:pt idx="10">
                  <c:v>0.3</c:v>
                </c:pt>
                <c:pt idx="11">
                  <c:v>0.3</c:v>
                </c:pt>
                <c:pt idx="12">
                  <c:v>0.3</c:v>
                </c:pt>
                <c:pt idx="13">
                  <c:v>0.3</c:v>
                </c:pt>
                <c:pt idx="14">
                  <c:v>0.3</c:v>
                </c:pt>
                <c:pt idx="15">
                  <c:v>0.3</c:v>
                </c:pt>
                <c:pt idx="16">
                  <c:v>0.3</c:v>
                </c:pt>
                <c:pt idx="17">
                  <c:v>0.3</c:v>
                </c:pt>
                <c:pt idx="18">
                  <c:v>0.6</c:v>
                </c:pt>
                <c:pt idx="19">
                  <c:v>0.8</c:v>
                </c:pt>
                <c:pt idx="20">
                  <c:v>0.9</c:v>
                </c:pt>
                <c:pt idx="21">
                  <c:v>0.8</c:v>
                </c:pt>
                <c:pt idx="22">
                  <c:v>0.6</c:v>
                </c:pt>
                <c:pt idx="23">
                  <c:v>0.3</c:v>
                </c:pt>
              </c:numCache>
            </c:numRef>
          </c:val>
          <c:smooth val="0"/>
          <c:extLst>
            <c:ext xmlns:c16="http://schemas.microsoft.com/office/drawing/2014/chart" uri="{C3380CC4-5D6E-409C-BE32-E72D297353CC}">
              <c16:uniqueId val="{00000000-32C7-42B5-9CE7-4880AE620BC6}"/>
            </c:ext>
          </c:extLst>
        </c:ser>
        <c:ser>
          <c:idx val="1"/>
          <c:order val="1"/>
          <c:tx>
            <c:strRef>
              <c:f>Schedules!$E$36</c:f>
              <c:strCache>
                <c:ptCount val="1"/>
                <c:pt idx="0">
                  <c:v>Saturday</c:v>
                </c:pt>
              </c:strCache>
            </c:strRef>
          </c:tx>
          <c:spPr>
            <a:ln w="28575" cap="rnd">
              <a:solidFill>
                <a:schemeClr val="accent2"/>
              </a:solidFill>
              <a:round/>
            </a:ln>
            <a:effectLst/>
          </c:spPr>
          <c:marker>
            <c:symbol val="none"/>
          </c:marker>
          <c:val>
            <c:numRef>
              <c:f>Schedules!$F$36:$AC$36</c:f>
              <c:numCache>
                <c:formatCode>0.00</c:formatCode>
                <c:ptCount val="24"/>
                <c:pt idx="0">
                  <c:v>0.1</c:v>
                </c:pt>
                <c:pt idx="1">
                  <c:v>0.1</c:v>
                </c:pt>
                <c:pt idx="2">
                  <c:v>0.1</c:v>
                </c:pt>
                <c:pt idx="3">
                  <c:v>0.1</c:v>
                </c:pt>
                <c:pt idx="4">
                  <c:v>0.1</c:v>
                </c:pt>
                <c:pt idx="5">
                  <c:v>0.3</c:v>
                </c:pt>
                <c:pt idx="6">
                  <c:v>0.45</c:v>
                </c:pt>
                <c:pt idx="7">
                  <c:v>0.45</c:v>
                </c:pt>
                <c:pt idx="8">
                  <c:v>0.45</c:v>
                </c:pt>
                <c:pt idx="9">
                  <c:v>0.45</c:v>
                </c:pt>
                <c:pt idx="10">
                  <c:v>0.3</c:v>
                </c:pt>
                <c:pt idx="11">
                  <c:v>0.3</c:v>
                </c:pt>
                <c:pt idx="12">
                  <c:v>0.3</c:v>
                </c:pt>
                <c:pt idx="13">
                  <c:v>0.3</c:v>
                </c:pt>
                <c:pt idx="14">
                  <c:v>0.3</c:v>
                </c:pt>
                <c:pt idx="15">
                  <c:v>0.3</c:v>
                </c:pt>
                <c:pt idx="16">
                  <c:v>0.3</c:v>
                </c:pt>
                <c:pt idx="17">
                  <c:v>0.3</c:v>
                </c:pt>
                <c:pt idx="18">
                  <c:v>0.6</c:v>
                </c:pt>
                <c:pt idx="19">
                  <c:v>0.8</c:v>
                </c:pt>
                <c:pt idx="20">
                  <c:v>0.9</c:v>
                </c:pt>
                <c:pt idx="21">
                  <c:v>0.8</c:v>
                </c:pt>
                <c:pt idx="22">
                  <c:v>0.6</c:v>
                </c:pt>
                <c:pt idx="23">
                  <c:v>0.3</c:v>
                </c:pt>
              </c:numCache>
            </c:numRef>
          </c:val>
          <c:smooth val="0"/>
          <c:extLst>
            <c:ext xmlns:c16="http://schemas.microsoft.com/office/drawing/2014/chart" uri="{C3380CC4-5D6E-409C-BE32-E72D297353CC}">
              <c16:uniqueId val="{00000001-32C7-42B5-9CE7-4880AE620BC6}"/>
            </c:ext>
          </c:extLst>
        </c:ser>
        <c:ser>
          <c:idx val="2"/>
          <c:order val="2"/>
          <c:tx>
            <c:strRef>
              <c:f>Schedules!$E$37</c:f>
              <c:strCache>
                <c:ptCount val="1"/>
                <c:pt idx="0">
                  <c:v>Sunday</c:v>
                </c:pt>
              </c:strCache>
            </c:strRef>
          </c:tx>
          <c:spPr>
            <a:ln w="28575" cap="rnd">
              <a:solidFill>
                <a:schemeClr val="accent3"/>
              </a:solidFill>
              <a:round/>
            </a:ln>
            <a:effectLst/>
          </c:spPr>
          <c:marker>
            <c:symbol val="none"/>
          </c:marker>
          <c:val>
            <c:numRef>
              <c:f>Schedules!$F$37:$AC$37</c:f>
              <c:numCache>
                <c:formatCode>0.00</c:formatCode>
                <c:ptCount val="24"/>
                <c:pt idx="0">
                  <c:v>0.1</c:v>
                </c:pt>
                <c:pt idx="1">
                  <c:v>0.1</c:v>
                </c:pt>
                <c:pt idx="2">
                  <c:v>0.1</c:v>
                </c:pt>
                <c:pt idx="3">
                  <c:v>0.1</c:v>
                </c:pt>
                <c:pt idx="4">
                  <c:v>0.1</c:v>
                </c:pt>
                <c:pt idx="5">
                  <c:v>0.3</c:v>
                </c:pt>
                <c:pt idx="6">
                  <c:v>0.45</c:v>
                </c:pt>
                <c:pt idx="7">
                  <c:v>0.45</c:v>
                </c:pt>
                <c:pt idx="8">
                  <c:v>0.45</c:v>
                </c:pt>
                <c:pt idx="9">
                  <c:v>0.45</c:v>
                </c:pt>
                <c:pt idx="10">
                  <c:v>0.3</c:v>
                </c:pt>
                <c:pt idx="11">
                  <c:v>0.3</c:v>
                </c:pt>
                <c:pt idx="12">
                  <c:v>0.3</c:v>
                </c:pt>
                <c:pt idx="13">
                  <c:v>0.3</c:v>
                </c:pt>
                <c:pt idx="14">
                  <c:v>0.3</c:v>
                </c:pt>
                <c:pt idx="15">
                  <c:v>0.3</c:v>
                </c:pt>
                <c:pt idx="16">
                  <c:v>0.3</c:v>
                </c:pt>
                <c:pt idx="17">
                  <c:v>0.3</c:v>
                </c:pt>
                <c:pt idx="18">
                  <c:v>0.6</c:v>
                </c:pt>
                <c:pt idx="19">
                  <c:v>0.8</c:v>
                </c:pt>
                <c:pt idx="20">
                  <c:v>0.9</c:v>
                </c:pt>
                <c:pt idx="21">
                  <c:v>0.8</c:v>
                </c:pt>
                <c:pt idx="22">
                  <c:v>0.6</c:v>
                </c:pt>
                <c:pt idx="23">
                  <c:v>0.3</c:v>
                </c:pt>
              </c:numCache>
            </c:numRef>
          </c:val>
          <c:smooth val="0"/>
          <c:extLst>
            <c:ext xmlns:c16="http://schemas.microsoft.com/office/drawing/2014/chart" uri="{C3380CC4-5D6E-409C-BE32-E72D297353CC}">
              <c16:uniqueId val="{00000002-32C7-42B5-9CE7-4880AE620BC6}"/>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0.2"/>
        <c:minorUnit val="0.1"/>
      </c:valAx>
      <c:spPr>
        <a:noFill/>
        <a:ln>
          <a:noFill/>
        </a:ln>
        <a:effectLst/>
      </c:spPr>
    </c:plotArea>
    <c:legend>
      <c:legendPos val="b"/>
      <c:layout>
        <c:manualLayout>
          <c:xMode val="edge"/>
          <c:yMode val="edge"/>
          <c:x val="0.69237621385546944"/>
          <c:y val="3.6261079321075841E-2"/>
          <c:w val="0.28941482691935089"/>
          <c:h val="0.3139894781608833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sz="1000" b="1" i="0" u="none" strike="noStrike" kern="1200" spc="0" baseline="0">
                <a:solidFill>
                  <a:sysClr val="windowText" lastClr="000000"/>
                </a:solidFill>
                <a:latin typeface="Arial" panose="020B0604020202020204" pitchFamily="34" charset="0"/>
                <a:cs typeface="Arial" panose="020B0604020202020204" pitchFamily="34" charset="0"/>
              </a:rPr>
              <a:t>Lighting (Common Use Area)</a:t>
            </a:r>
          </a:p>
        </c:rich>
      </c:tx>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strRef>
              <c:f>Schedules!$E$38</c:f>
              <c:strCache>
                <c:ptCount val="1"/>
                <c:pt idx="0">
                  <c:v>Weekday</c:v>
                </c:pt>
              </c:strCache>
            </c:strRef>
          </c:tx>
          <c:spPr>
            <a:ln w="28575" cap="rnd">
              <a:solidFill>
                <a:schemeClr val="accent1"/>
              </a:solidFill>
              <a:round/>
            </a:ln>
            <a:effectLst/>
          </c:spPr>
          <c:marker>
            <c:symbol val="none"/>
          </c:marker>
          <c:val>
            <c:numRef>
              <c:f>Schedules!$F$38:$AC$38</c:f>
              <c:numCache>
                <c:formatCode>0.00</c:formatCode>
                <c:ptCount val="24"/>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pt idx="21">
                  <c:v>1</c:v>
                </c:pt>
                <c:pt idx="22">
                  <c:v>1</c:v>
                </c:pt>
                <c:pt idx="23">
                  <c:v>1</c:v>
                </c:pt>
              </c:numCache>
            </c:numRef>
          </c:val>
          <c:smooth val="0"/>
          <c:extLst>
            <c:ext xmlns:c16="http://schemas.microsoft.com/office/drawing/2014/chart" uri="{C3380CC4-5D6E-409C-BE32-E72D297353CC}">
              <c16:uniqueId val="{00000000-8A82-4DBB-9A8A-435382D0828C}"/>
            </c:ext>
          </c:extLst>
        </c:ser>
        <c:ser>
          <c:idx val="1"/>
          <c:order val="1"/>
          <c:tx>
            <c:strRef>
              <c:f>Schedules!$E$39</c:f>
              <c:strCache>
                <c:ptCount val="1"/>
                <c:pt idx="0">
                  <c:v>Saturday</c:v>
                </c:pt>
              </c:strCache>
            </c:strRef>
          </c:tx>
          <c:spPr>
            <a:ln w="28575" cap="rnd">
              <a:solidFill>
                <a:schemeClr val="accent2"/>
              </a:solidFill>
              <a:round/>
            </a:ln>
            <a:effectLst/>
          </c:spPr>
          <c:marker>
            <c:symbol val="none"/>
          </c:marker>
          <c:val>
            <c:numRef>
              <c:f>Schedules!$F$39:$AC$39</c:f>
              <c:numCache>
                <c:formatCode>0.00</c:formatCode>
                <c:ptCount val="24"/>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pt idx="21">
                  <c:v>1</c:v>
                </c:pt>
                <c:pt idx="22">
                  <c:v>1</c:v>
                </c:pt>
                <c:pt idx="23">
                  <c:v>1</c:v>
                </c:pt>
              </c:numCache>
            </c:numRef>
          </c:val>
          <c:smooth val="0"/>
          <c:extLst>
            <c:ext xmlns:c16="http://schemas.microsoft.com/office/drawing/2014/chart" uri="{C3380CC4-5D6E-409C-BE32-E72D297353CC}">
              <c16:uniqueId val="{00000001-8A82-4DBB-9A8A-435382D0828C}"/>
            </c:ext>
          </c:extLst>
        </c:ser>
        <c:ser>
          <c:idx val="2"/>
          <c:order val="2"/>
          <c:tx>
            <c:strRef>
              <c:f>Schedules!$E$40</c:f>
              <c:strCache>
                <c:ptCount val="1"/>
                <c:pt idx="0">
                  <c:v>Sunday</c:v>
                </c:pt>
              </c:strCache>
            </c:strRef>
          </c:tx>
          <c:spPr>
            <a:ln w="28575" cap="rnd">
              <a:solidFill>
                <a:schemeClr val="accent3"/>
              </a:solidFill>
              <a:round/>
            </a:ln>
            <a:effectLst/>
          </c:spPr>
          <c:marker>
            <c:symbol val="none"/>
          </c:marker>
          <c:val>
            <c:numRef>
              <c:f>Schedules!$F$40:$AC$40</c:f>
              <c:numCache>
                <c:formatCode>0.00</c:formatCode>
                <c:ptCount val="24"/>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pt idx="21">
                  <c:v>1</c:v>
                </c:pt>
                <c:pt idx="22">
                  <c:v>1</c:v>
                </c:pt>
                <c:pt idx="23">
                  <c:v>1</c:v>
                </c:pt>
              </c:numCache>
            </c:numRef>
          </c:val>
          <c:smooth val="0"/>
          <c:extLst>
            <c:ext xmlns:c16="http://schemas.microsoft.com/office/drawing/2014/chart" uri="{C3380CC4-5D6E-409C-BE32-E72D297353CC}">
              <c16:uniqueId val="{00000002-8A82-4DBB-9A8A-435382D0828C}"/>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0.2"/>
        <c:minorUnit val="0.1"/>
      </c:valAx>
      <c:spPr>
        <a:noFill/>
        <a:ln>
          <a:noFill/>
        </a:ln>
        <a:effectLst/>
      </c:spPr>
    </c:plotArea>
    <c:legend>
      <c:legendPos val="b"/>
      <c:layout>
        <c:manualLayout>
          <c:xMode val="edge"/>
          <c:yMode val="edge"/>
          <c:x val="0.69237621385546944"/>
          <c:y val="3.6261079321075841E-2"/>
          <c:w val="0.28941482691935089"/>
          <c:h val="0.3139894781608833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sz="1000" b="1" i="0" u="none" strike="noStrike" kern="1200" spc="0" baseline="0">
                <a:solidFill>
                  <a:sysClr val="windowText" lastClr="000000"/>
                </a:solidFill>
                <a:latin typeface="Arial" panose="020B0604020202020204" pitchFamily="34" charset="0"/>
                <a:cs typeface="Arial" panose="020B0604020202020204" pitchFamily="34" charset="0"/>
              </a:rPr>
              <a:t>Equipment (Common Use Area)</a:t>
            </a:r>
          </a:p>
        </c:rich>
      </c:tx>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strRef>
              <c:f>Schedules!$E$41</c:f>
              <c:strCache>
                <c:ptCount val="1"/>
                <c:pt idx="0">
                  <c:v>Weekday</c:v>
                </c:pt>
              </c:strCache>
            </c:strRef>
          </c:tx>
          <c:spPr>
            <a:ln w="28575" cap="rnd">
              <a:solidFill>
                <a:schemeClr val="accent1"/>
              </a:solidFill>
              <a:round/>
            </a:ln>
            <a:effectLst/>
          </c:spPr>
          <c:marker>
            <c:symbol val="none"/>
          </c:marker>
          <c:val>
            <c:numRef>
              <c:f>Schedules!$F$41:$AC$41</c:f>
              <c:numCache>
                <c:formatCode>0.00</c:formatCode>
                <c:ptCount val="24"/>
                <c:pt idx="0">
                  <c:v>0.1</c:v>
                </c:pt>
                <c:pt idx="1">
                  <c:v>0.1</c:v>
                </c:pt>
                <c:pt idx="2">
                  <c:v>0.1</c:v>
                </c:pt>
                <c:pt idx="3">
                  <c:v>0.1</c:v>
                </c:pt>
                <c:pt idx="4">
                  <c:v>0.1</c:v>
                </c:pt>
                <c:pt idx="5">
                  <c:v>0.3</c:v>
                </c:pt>
                <c:pt idx="6">
                  <c:v>0.45</c:v>
                </c:pt>
                <c:pt idx="7">
                  <c:v>0.45</c:v>
                </c:pt>
                <c:pt idx="8">
                  <c:v>0.45</c:v>
                </c:pt>
                <c:pt idx="9">
                  <c:v>0.45</c:v>
                </c:pt>
                <c:pt idx="10">
                  <c:v>0.3</c:v>
                </c:pt>
                <c:pt idx="11">
                  <c:v>0.3</c:v>
                </c:pt>
                <c:pt idx="12">
                  <c:v>0.3</c:v>
                </c:pt>
                <c:pt idx="13">
                  <c:v>0.3</c:v>
                </c:pt>
                <c:pt idx="14">
                  <c:v>0.3</c:v>
                </c:pt>
                <c:pt idx="15">
                  <c:v>0.3</c:v>
                </c:pt>
                <c:pt idx="16">
                  <c:v>0.3</c:v>
                </c:pt>
                <c:pt idx="17">
                  <c:v>0.3</c:v>
                </c:pt>
                <c:pt idx="18">
                  <c:v>0.6</c:v>
                </c:pt>
                <c:pt idx="19">
                  <c:v>0.8</c:v>
                </c:pt>
                <c:pt idx="20">
                  <c:v>0.9</c:v>
                </c:pt>
                <c:pt idx="21">
                  <c:v>0.8</c:v>
                </c:pt>
                <c:pt idx="22">
                  <c:v>0.6</c:v>
                </c:pt>
                <c:pt idx="23">
                  <c:v>0.3</c:v>
                </c:pt>
              </c:numCache>
            </c:numRef>
          </c:val>
          <c:smooth val="0"/>
          <c:extLst>
            <c:ext xmlns:c16="http://schemas.microsoft.com/office/drawing/2014/chart" uri="{C3380CC4-5D6E-409C-BE32-E72D297353CC}">
              <c16:uniqueId val="{00000000-6866-49E7-B3BF-1C615A834F79}"/>
            </c:ext>
          </c:extLst>
        </c:ser>
        <c:ser>
          <c:idx val="1"/>
          <c:order val="1"/>
          <c:tx>
            <c:strRef>
              <c:f>Schedules!$E$42</c:f>
              <c:strCache>
                <c:ptCount val="1"/>
                <c:pt idx="0">
                  <c:v>Saturday</c:v>
                </c:pt>
              </c:strCache>
            </c:strRef>
          </c:tx>
          <c:spPr>
            <a:ln w="28575" cap="rnd">
              <a:solidFill>
                <a:schemeClr val="accent2"/>
              </a:solidFill>
              <a:round/>
            </a:ln>
            <a:effectLst/>
          </c:spPr>
          <c:marker>
            <c:symbol val="none"/>
          </c:marker>
          <c:val>
            <c:numRef>
              <c:f>Schedules!$F$42:$AC$42</c:f>
              <c:numCache>
                <c:formatCode>0.00</c:formatCode>
                <c:ptCount val="24"/>
                <c:pt idx="0">
                  <c:v>0.1</c:v>
                </c:pt>
                <c:pt idx="1">
                  <c:v>0.1</c:v>
                </c:pt>
                <c:pt idx="2">
                  <c:v>0.1</c:v>
                </c:pt>
                <c:pt idx="3">
                  <c:v>0.1</c:v>
                </c:pt>
                <c:pt idx="4">
                  <c:v>0.1</c:v>
                </c:pt>
                <c:pt idx="5">
                  <c:v>0.3</c:v>
                </c:pt>
                <c:pt idx="6">
                  <c:v>0.45</c:v>
                </c:pt>
                <c:pt idx="7">
                  <c:v>0.45</c:v>
                </c:pt>
                <c:pt idx="8">
                  <c:v>0.45</c:v>
                </c:pt>
                <c:pt idx="9">
                  <c:v>0.45</c:v>
                </c:pt>
                <c:pt idx="10">
                  <c:v>0.3</c:v>
                </c:pt>
                <c:pt idx="11">
                  <c:v>0.3</c:v>
                </c:pt>
                <c:pt idx="12">
                  <c:v>0.3</c:v>
                </c:pt>
                <c:pt idx="13">
                  <c:v>0.3</c:v>
                </c:pt>
                <c:pt idx="14">
                  <c:v>0.3</c:v>
                </c:pt>
                <c:pt idx="15">
                  <c:v>0.3</c:v>
                </c:pt>
                <c:pt idx="16">
                  <c:v>0.3</c:v>
                </c:pt>
                <c:pt idx="17">
                  <c:v>0.3</c:v>
                </c:pt>
                <c:pt idx="18">
                  <c:v>0.6</c:v>
                </c:pt>
                <c:pt idx="19">
                  <c:v>0.8</c:v>
                </c:pt>
                <c:pt idx="20">
                  <c:v>0.9</c:v>
                </c:pt>
                <c:pt idx="21">
                  <c:v>0.8</c:v>
                </c:pt>
                <c:pt idx="22">
                  <c:v>0.6</c:v>
                </c:pt>
                <c:pt idx="23">
                  <c:v>0.3</c:v>
                </c:pt>
              </c:numCache>
            </c:numRef>
          </c:val>
          <c:smooth val="0"/>
          <c:extLst>
            <c:ext xmlns:c16="http://schemas.microsoft.com/office/drawing/2014/chart" uri="{C3380CC4-5D6E-409C-BE32-E72D297353CC}">
              <c16:uniqueId val="{00000001-6866-49E7-B3BF-1C615A834F79}"/>
            </c:ext>
          </c:extLst>
        </c:ser>
        <c:ser>
          <c:idx val="2"/>
          <c:order val="2"/>
          <c:tx>
            <c:strRef>
              <c:f>Schedules!$E$43</c:f>
              <c:strCache>
                <c:ptCount val="1"/>
                <c:pt idx="0">
                  <c:v>Sunday</c:v>
                </c:pt>
              </c:strCache>
            </c:strRef>
          </c:tx>
          <c:spPr>
            <a:ln w="28575" cap="rnd">
              <a:solidFill>
                <a:schemeClr val="accent3"/>
              </a:solidFill>
              <a:round/>
            </a:ln>
            <a:effectLst/>
          </c:spPr>
          <c:marker>
            <c:symbol val="none"/>
          </c:marker>
          <c:val>
            <c:numRef>
              <c:f>Schedules!$F$43:$AC$43</c:f>
              <c:numCache>
                <c:formatCode>0.00</c:formatCode>
                <c:ptCount val="24"/>
                <c:pt idx="0">
                  <c:v>0.1</c:v>
                </c:pt>
                <c:pt idx="1">
                  <c:v>0.1</c:v>
                </c:pt>
                <c:pt idx="2">
                  <c:v>0.1</c:v>
                </c:pt>
                <c:pt idx="3">
                  <c:v>0.1</c:v>
                </c:pt>
                <c:pt idx="4">
                  <c:v>0.1</c:v>
                </c:pt>
                <c:pt idx="5">
                  <c:v>0.3</c:v>
                </c:pt>
                <c:pt idx="6">
                  <c:v>0.45</c:v>
                </c:pt>
                <c:pt idx="7">
                  <c:v>0.45</c:v>
                </c:pt>
                <c:pt idx="8">
                  <c:v>0.45</c:v>
                </c:pt>
                <c:pt idx="9">
                  <c:v>0.45</c:v>
                </c:pt>
                <c:pt idx="10">
                  <c:v>0.3</c:v>
                </c:pt>
                <c:pt idx="11">
                  <c:v>0.3</c:v>
                </c:pt>
                <c:pt idx="12">
                  <c:v>0.3</c:v>
                </c:pt>
                <c:pt idx="13">
                  <c:v>0.3</c:v>
                </c:pt>
                <c:pt idx="14">
                  <c:v>0.3</c:v>
                </c:pt>
                <c:pt idx="15">
                  <c:v>0.3</c:v>
                </c:pt>
                <c:pt idx="16">
                  <c:v>0.3</c:v>
                </c:pt>
                <c:pt idx="17">
                  <c:v>0.3</c:v>
                </c:pt>
                <c:pt idx="18">
                  <c:v>0.6</c:v>
                </c:pt>
                <c:pt idx="19">
                  <c:v>0.8</c:v>
                </c:pt>
                <c:pt idx="20">
                  <c:v>0.9</c:v>
                </c:pt>
                <c:pt idx="21">
                  <c:v>0.8</c:v>
                </c:pt>
                <c:pt idx="22">
                  <c:v>0.6</c:v>
                </c:pt>
                <c:pt idx="23">
                  <c:v>0.3</c:v>
                </c:pt>
              </c:numCache>
            </c:numRef>
          </c:val>
          <c:smooth val="0"/>
          <c:extLst>
            <c:ext xmlns:c16="http://schemas.microsoft.com/office/drawing/2014/chart" uri="{C3380CC4-5D6E-409C-BE32-E72D297353CC}">
              <c16:uniqueId val="{00000002-6866-49E7-B3BF-1C615A834F79}"/>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0.2"/>
        <c:minorUnit val="0.1"/>
      </c:valAx>
      <c:spPr>
        <a:noFill/>
        <a:ln>
          <a:noFill/>
        </a:ln>
        <a:effectLst/>
      </c:spPr>
    </c:plotArea>
    <c:legend>
      <c:legendPos val="b"/>
      <c:layout>
        <c:manualLayout>
          <c:xMode val="edge"/>
          <c:yMode val="edge"/>
          <c:x val="0.69237621385546944"/>
          <c:y val="3.6261079321075841E-2"/>
          <c:w val="0.28941482691935089"/>
          <c:h val="0.3139894781608833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sz="1000" b="1" i="0" u="none" strike="noStrike" kern="1200" spc="0" baseline="0">
                <a:solidFill>
                  <a:sysClr val="windowText" lastClr="000000"/>
                </a:solidFill>
                <a:latin typeface="Arial" panose="020B0604020202020204" pitchFamily="34" charset="0"/>
                <a:cs typeface="Arial" panose="020B0604020202020204" pitchFamily="34" charset="0"/>
              </a:rPr>
              <a:t>Domestic Hot Water (Common Use Area)</a:t>
            </a:r>
          </a:p>
        </c:rich>
      </c:tx>
      <c:layout>
        <c:manualLayout>
          <c:xMode val="edge"/>
          <c:yMode val="edge"/>
          <c:x val="0.15287702683311813"/>
          <c:y val="5.5077462620328352E-2"/>
        </c:manualLayout>
      </c:layout>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strRef>
              <c:f>Schedules!$E$44</c:f>
              <c:strCache>
                <c:ptCount val="1"/>
                <c:pt idx="0">
                  <c:v>Weekday</c:v>
                </c:pt>
              </c:strCache>
            </c:strRef>
          </c:tx>
          <c:spPr>
            <a:ln w="28575" cap="rnd">
              <a:solidFill>
                <a:schemeClr val="accent1"/>
              </a:solidFill>
              <a:round/>
            </a:ln>
            <a:effectLst/>
          </c:spPr>
          <c:marker>
            <c:symbol val="none"/>
          </c:marker>
          <c:val>
            <c:numRef>
              <c:f>Schedules!$F$44:$AC$44</c:f>
              <c:numCache>
                <c:formatCode>0.00</c:formatCode>
                <c:ptCount val="24"/>
                <c:pt idx="0">
                  <c:v>0</c:v>
                </c:pt>
                <c:pt idx="1">
                  <c:v>0</c:v>
                </c:pt>
                <c:pt idx="2">
                  <c:v>0</c:v>
                </c:pt>
                <c:pt idx="3">
                  <c:v>0.05</c:v>
                </c:pt>
                <c:pt idx="4">
                  <c:v>0.05</c:v>
                </c:pt>
                <c:pt idx="5">
                  <c:v>0.05</c:v>
                </c:pt>
                <c:pt idx="6">
                  <c:v>0.8</c:v>
                </c:pt>
                <c:pt idx="7">
                  <c:v>0.7</c:v>
                </c:pt>
                <c:pt idx="8">
                  <c:v>0.5</c:v>
                </c:pt>
                <c:pt idx="9">
                  <c:v>0.4</c:v>
                </c:pt>
                <c:pt idx="10">
                  <c:v>0.25</c:v>
                </c:pt>
                <c:pt idx="11">
                  <c:v>0.25</c:v>
                </c:pt>
                <c:pt idx="12">
                  <c:v>0.25</c:v>
                </c:pt>
                <c:pt idx="13">
                  <c:v>0.25</c:v>
                </c:pt>
                <c:pt idx="14">
                  <c:v>0.5</c:v>
                </c:pt>
                <c:pt idx="15">
                  <c:v>0.6</c:v>
                </c:pt>
                <c:pt idx="16">
                  <c:v>0.7</c:v>
                </c:pt>
                <c:pt idx="17">
                  <c:v>0.7</c:v>
                </c:pt>
                <c:pt idx="18">
                  <c:v>0.4</c:v>
                </c:pt>
                <c:pt idx="19">
                  <c:v>0.25</c:v>
                </c:pt>
                <c:pt idx="20">
                  <c:v>0.2</c:v>
                </c:pt>
                <c:pt idx="21">
                  <c:v>0.2</c:v>
                </c:pt>
                <c:pt idx="22">
                  <c:v>0.05</c:v>
                </c:pt>
                <c:pt idx="23">
                  <c:v>0.05</c:v>
                </c:pt>
              </c:numCache>
            </c:numRef>
          </c:val>
          <c:smooth val="0"/>
          <c:extLst>
            <c:ext xmlns:c16="http://schemas.microsoft.com/office/drawing/2014/chart" uri="{C3380CC4-5D6E-409C-BE32-E72D297353CC}">
              <c16:uniqueId val="{00000000-8F66-414C-8C73-2505538CF4D2}"/>
            </c:ext>
          </c:extLst>
        </c:ser>
        <c:ser>
          <c:idx val="1"/>
          <c:order val="1"/>
          <c:tx>
            <c:strRef>
              <c:f>Schedules!$E$45</c:f>
              <c:strCache>
                <c:ptCount val="1"/>
                <c:pt idx="0">
                  <c:v>Saturday</c:v>
                </c:pt>
              </c:strCache>
            </c:strRef>
          </c:tx>
          <c:spPr>
            <a:ln w="28575" cap="rnd">
              <a:solidFill>
                <a:schemeClr val="accent2"/>
              </a:solidFill>
              <a:round/>
            </a:ln>
            <a:effectLst/>
          </c:spPr>
          <c:marker>
            <c:symbol val="none"/>
          </c:marker>
          <c:val>
            <c:numRef>
              <c:f>Schedules!$F$45:$AC$45</c:f>
              <c:numCache>
                <c:formatCode>0.00</c:formatCode>
                <c:ptCount val="24"/>
                <c:pt idx="0">
                  <c:v>0</c:v>
                </c:pt>
                <c:pt idx="1">
                  <c:v>0</c:v>
                </c:pt>
                <c:pt idx="2">
                  <c:v>0</c:v>
                </c:pt>
                <c:pt idx="3">
                  <c:v>0.05</c:v>
                </c:pt>
                <c:pt idx="4">
                  <c:v>0.05</c:v>
                </c:pt>
                <c:pt idx="5">
                  <c:v>0.05</c:v>
                </c:pt>
                <c:pt idx="6">
                  <c:v>0.8</c:v>
                </c:pt>
                <c:pt idx="7">
                  <c:v>0.7</c:v>
                </c:pt>
                <c:pt idx="8">
                  <c:v>0.5</c:v>
                </c:pt>
                <c:pt idx="9">
                  <c:v>0.4</c:v>
                </c:pt>
                <c:pt idx="10">
                  <c:v>0.25</c:v>
                </c:pt>
                <c:pt idx="11">
                  <c:v>0.25</c:v>
                </c:pt>
                <c:pt idx="12">
                  <c:v>0.25</c:v>
                </c:pt>
                <c:pt idx="13">
                  <c:v>0.25</c:v>
                </c:pt>
                <c:pt idx="14">
                  <c:v>0.5</c:v>
                </c:pt>
                <c:pt idx="15">
                  <c:v>0.6</c:v>
                </c:pt>
                <c:pt idx="16">
                  <c:v>0.7</c:v>
                </c:pt>
                <c:pt idx="17">
                  <c:v>0.7</c:v>
                </c:pt>
                <c:pt idx="18">
                  <c:v>0.4</c:v>
                </c:pt>
                <c:pt idx="19">
                  <c:v>0.25</c:v>
                </c:pt>
                <c:pt idx="20">
                  <c:v>0.2</c:v>
                </c:pt>
                <c:pt idx="21">
                  <c:v>0.2</c:v>
                </c:pt>
                <c:pt idx="22">
                  <c:v>0.05</c:v>
                </c:pt>
                <c:pt idx="23">
                  <c:v>0.05</c:v>
                </c:pt>
              </c:numCache>
            </c:numRef>
          </c:val>
          <c:smooth val="0"/>
          <c:extLst>
            <c:ext xmlns:c16="http://schemas.microsoft.com/office/drawing/2014/chart" uri="{C3380CC4-5D6E-409C-BE32-E72D297353CC}">
              <c16:uniqueId val="{00000001-8F66-414C-8C73-2505538CF4D2}"/>
            </c:ext>
          </c:extLst>
        </c:ser>
        <c:ser>
          <c:idx val="2"/>
          <c:order val="2"/>
          <c:tx>
            <c:strRef>
              <c:f>Schedules!$E$46</c:f>
              <c:strCache>
                <c:ptCount val="1"/>
                <c:pt idx="0">
                  <c:v>Sunday</c:v>
                </c:pt>
              </c:strCache>
            </c:strRef>
          </c:tx>
          <c:spPr>
            <a:ln w="28575" cap="rnd">
              <a:solidFill>
                <a:schemeClr val="accent3"/>
              </a:solidFill>
              <a:round/>
            </a:ln>
            <a:effectLst/>
          </c:spPr>
          <c:marker>
            <c:symbol val="none"/>
          </c:marker>
          <c:val>
            <c:numRef>
              <c:f>Schedules!$F$46:$AC$46</c:f>
              <c:numCache>
                <c:formatCode>0.00</c:formatCode>
                <c:ptCount val="24"/>
                <c:pt idx="0">
                  <c:v>0</c:v>
                </c:pt>
                <c:pt idx="1">
                  <c:v>0</c:v>
                </c:pt>
                <c:pt idx="2">
                  <c:v>0</c:v>
                </c:pt>
                <c:pt idx="3">
                  <c:v>0.05</c:v>
                </c:pt>
                <c:pt idx="4">
                  <c:v>0.05</c:v>
                </c:pt>
                <c:pt idx="5">
                  <c:v>0.05</c:v>
                </c:pt>
                <c:pt idx="6">
                  <c:v>0.8</c:v>
                </c:pt>
                <c:pt idx="7">
                  <c:v>0.7</c:v>
                </c:pt>
                <c:pt idx="8">
                  <c:v>0.5</c:v>
                </c:pt>
                <c:pt idx="9">
                  <c:v>0.4</c:v>
                </c:pt>
                <c:pt idx="10">
                  <c:v>0.25</c:v>
                </c:pt>
                <c:pt idx="11">
                  <c:v>0.25</c:v>
                </c:pt>
                <c:pt idx="12">
                  <c:v>0.25</c:v>
                </c:pt>
                <c:pt idx="13">
                  <c:v>0.25</c:v>
                </c:pt>
                <c:pt idx="14">
                  <c:v>0.5</c:v>
                </c:pt>
                <c:pt idx="15">
                  <c:v>0.6</c:v>
                </c:pt>
                <c:pt idx="16">
                  <c:v>0.7</c:v>
                </c:pt>
                <c:pt idx="17">
                  <c:v>0.7</c:v>
                </c:pt>
                <c:pt idx="18">
                  <c:v>0.4</c:v>
                </c:pt>
                <c:pt idx="19">
                  <c:v>0.25</c:v>
                </c:pt>
                <c:pt idx="20">
                  <c:v>0.2</c:v>
                </c:pt>
                <c:pt idx="21">
                  <c:v>0.2</c:v>
                </c:pt>
                <c:pt idx="22">
                  <c:v>0.05</c:v>
                </c:pt>
                <c:pt idx="23">
                  <c:v>0.05</c:v>
                </c:pt>
              </c:numCache>
            </c:numRef>
          </c:val>
          <c:smooth val="0"/>
          <c:extLst>
            <c:ext xmlns:c16="http://schemas.microsoft.com/office/drawing/2014/chart" uri="{C3380CC4-5D6E-409C-BE32-E72D297353CC}">
              <c16:uniqueId val="{00000002-8F66-414C-8C73-2505538CF4D2}"/>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0.2"/>
        <c:minorUnit val="0.1"/>
      </c:valAx>
      <c:spPr>
        <a:noFill/>
        <a:ln>
          <a:noFill/>
        </a:ln>
        <a:effectLst/>
      </c:spPr>
    </c:plotArea>
    <c:legend>
      <c:legendPos val="b"/>
      <c:layout>
        <c:manualLayout>
          <c:xMode val="edge"/>
          <c:yMode val="edge"/>
          <c:x val="0.69237621385546944"/>
          <c:y val="3.6261079321075841E-2"/>
          <c:w val="0.28941482691935089"/>
          <c:h val="0.3139894781608833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sz="1000" b="1" i="0" u="none" strike="noStrike" kern="1200" spc="0" baseline="0">
                <a:solidFill>
                  <a:sysClr val="windowText" lastClr="000000"/>
                </a:solidFill>
                <a:latin typeface="Arial" panose="020B0604020202020204" pitchFamily="34" charset="0"/>
                <a:cs typeface="Arial" panose="020B0604020202020204" pitchFamily="34" charset="0"/>
              </a:rPr>
              <a:t>Gas Equipment (Common Use Area)</a:t>
            </a:r>
          </a:p>
        </c:rich>
      </c:tx>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strRef>
              <c:f>Schedules!$E$47</c:f>
              <c:strCache>
                <c:ptCount val="1"/>
                <c:pt idx="0">
                  <c:v>Weekday</c:v>
                </c:pt>
              </c:strCache>
            </c:strRef>
          </c:tx>
          <c:spPr>
            <a:ln w="28575" cap="rnd">
              <a:solidFill>
                <a:schemeClr val="accent1"/>
              </a:solidFill>
              <a:round/>
            </a:ln>
            <a:effectLst/>
          </c:spPr>
          <c:marker>
            <c:symbol val="none"/>
          </c:marker>
          <c:val>
            <c:numRef>
              <c:f>Schedules!$F$47:$AC$47</c:f>
              <c:numCache>
                <c:formatCode>0.00</c:formatCode>
                <c:ptCount val="24"/>
                <c:pt idx="0">
                  <c:v>0</c:v>
                </c:pt>
                <c:pt idx="1">
                  <c:v>0</c:v>
                </c:pt>
                <c:pt idx="2">
                  <c:v>0</c:v>
                </c:pt>
                <c:pt idx="3">
                  <c:v>0</c:v>
                </c:pt>
                <c:pt idx="4">
                  <c:v>0</c:v>
                </c:pt>
                <c:pt idx="5">
                  <c:v>0.5</c:v>
                </c:pt>
                <c:pt idx="6">
                  <c:v>0.5</c:v>
                </c:pt>
                <c:pt idx="7">
                  <c:v>0.1</c:v>
                </c:pt>
                <c:pt idx="8">
                  <c:v>0.1</c:v>
                </c:pt>
                <c:pt idx="9">
                  <c:v>0.1</c:v>
                </c:pt>
                <c:pt idx="10">
                  <c:v>0.1</c:v>
                </c:pt>
                <c:pt idx="11">
                  <c:v>0.5</c:v>
                </c:pt>
                <c:pt idx="12">
                  <c:v>0.5</c:v>
                </c:pt>
                <c:pt idx="13">
                  <c:v>0.1</c:v>
                </c:pt>
                <c:pt idx="14">
                  <c:v>0.1</c:v>
                </c:pt>
                <c:pt idx="15">
                  <c:v>0.1</c:v>
                </c:pt>
                <c:pt idx="16">
                  <c:v>0.5</c:v>
                </c:pt>
                <c:pt idx="17">
                  <c:v>0.5</c:v>
                </c:pt>
                <c:pt idx="18">
                  <c:v>0.5</c:v>
                </c:pt>
                <c:pt idx="19">
                  <c:v>0.1</c:v>
                </c:pt>
                <c:pt idx="20">
                  <c:v>0</c:v>
                </c:pt>
                <c:pt idx="21">
                  <c:v>0</c:v>
                </c:pt>
                <c:pt idx="22">
                  <c:v>0</c:v>
                </c:pt>
                <c:pt idx="23">
                  <c:v>0</c:v>
                </c:pt>
              </c:numCache>
            </c:numRef>
          </c:val>
          <c:smooth val="0"/>
          <c:extLst>
            <c:ext xmlns:c16="http://schemas.microsoft.com/office/drawing/2014/chart" uri="{C3380CC4-5D6E-409C-BE32-E72D297353CC}">
              <c16:uniqueId val="{00000000-4827-4A9D-AF3A-BF483E00E64A}"/>
            </c:ext>
          </c:extLst>
        </c:ser>
        <c:ser>
          <c:idx val="1"/>
          <c:order val="1"/>
          <c:tx>
            <c:strRef>
              <c:f>Schedules!$E$48</c:f>
              <c:strCache>
                <c:ptCount val="1"/>
                <c:pt idx="0">
                  <c:v>Saturday</c:v>
                </c:pt>
              </c:strCache>
            </c:strRef>
          </c:tx>
          <c:spPr>
            <a:ln w="28575" cap="rnd">
              <a:solidFill>
                <a:schemeClr val="accent2"/>
              </a:solidFill>
              <a:round/>
            </a:ln>
            <a:effectLst/>
          </c:spPr>
          <c:marker>
            <c:symbol val="none"/>
          </c:marker>
          <c:val>
            <c:numRef>
              <c:f>Schedules!$F$48:$AC$48</c:f>
              <c:numCache>
                <c:formatCode>0.00</c:formatCode>
                <c:ptCount val="24"/>
                <c:pt idx="0">
                  <c:v>0</c:v>
                </c:pt>
                <c:pt idx="1">
                  <c:v>0</c:v>
                </c:pt>
                <c:pt idx="2">
                  <c:v>0</c:v>
                </c:pt>
                <c:pt idx="3">
                  <c:v>0</c:v>
                </c:pt>
                <c:pt idx="4">
                  <c:v>0</c:v>
                </c:pt>
                <c:pt idx="5">
                  <c:v>0.5</c:v>
                </c:pt>
                <c:pt idx="6">
                  <c:v>0.5</c:v>
                </c:pt>
                <c:pt idx="7">
                  <c:v>0.1</c:v>
                </c:pt>
                <c:pt idx="8">
                  <c:v>0.1</c:v>
                </c:pt>
                <c:pt idx="9">
                  <c:v>0.1</c:v>
                </c:pt>
                <c:pt idx="10">
                  <c:v>0.1</c:v>
                </c:pt>
                <c:pt idx="11">
                  <c:v>0.5</c:v>
                </c:pt>
                <c:pt idx="12">
                  <c:v>0.5</c:v>
                </c:pt>
                <c:pt idx="13">
                  <c:v>0.1</c:v>
                </c:pt>
                <c:pt idx="14">
                  <c:v>0.1</c:v>
                </c:pt>
                <c:pt idx="15">
                  <c:v>0.1</c:v>
                </c:pt>
                <c:pt idx="16">
                  <c:v>0.5</c:v>
                </c:pt>
                <c:pt idx="17">
                  <c:v>0.5</c:v>
                </c:pt>
                <c:pt idx="18">
                  <c:v>0.5</c:v>
                </c:pt>
                <c:pt idx="19">
                  <c:v>0.1</c:v>
                </c:pt>
                <c:pt idx="20">
                  <c:v>0</c:v>
                </c:pt>
                <c:pt idx="21">
                  <c:v>0</c:v>
                </c:pt>
                <c:pt idx="22">
                  <c:v>0</c:v>
                </c:pt>
                <c:pt idx="23">
                  <c:v>0</c:v>
                </c:pt>
              </c:numCache>
            </c:numRef>
          </c:val>
          <c:smooth val="0"/>
          <c:extLst>
            <c:ext xmlns:c16="http://schemas.microsoft.com/office/drawing/2014/chart" uri="{C3380CC4-5D6E-409C-BE32-E72D297353CC}">
              <c16:uniqueId val="{00000001-4827-4A9D-AF3A-BF483E00E64A}"/>
            </c:ext>
          </c:extLst>
        </c:ser>
        <c:ser>
          <c:idx val="2"/>
          <c:order val="2"/>
          <c:tx>
            <c:strRef>
              <c:f>Schedules!$E$49</c:f>
              <c:strCache>
                <c:ptCount val="1"/>
                <c:pt idx="0">
                  <c:v>Sunday</c:v>
                </c:pt>
              </c:strCache>
            </c:strRef>
          </c:tx>
          <c:spPr>
            <a:ln w="28575" cap="rnd">
              <a:solidFill>
                <a:schemeClr val="accent3"/>
              </a:solidFill>
              <a:round/>
            </a:ln>
            <a:effectLst/>
          </c:spPr>
          <c:marker>
            <c:symbol val="none"/>
          </c:marker>
          <c:val>
            <c:numRef>
              <c:f>Schedules!$F$49:$AC$49</c:f>
              <c:numCache>
                <c:formatCode>0.00</c:formatCode>
                <c:ptCount val="24"/>
                <c:pt idx="0">
                  <c:v>0</c:v>
                </c:pt>
                <c:pt idx="1">
                  <c:v>0</c:v>
                </c:pt>
                <c:pt idx="2">
                  <c:v>0</c:v>
                </c:pt>
                <c:pt idx="3">
                  <c:v>0</c:v>
                </c:pt>
                <c:pt idx="4">
                  <c:v>0</c:v>
                </c:pt>
                <c:pt idx="5">
                  <c:v>0.5</c:v>
                </c:pt>
                <c:pt idx="6">
                  <c:v>0.5</c:v>
                </c:pt>
                <c:pt idx="7">
                  <c:v>0.1</c:v>
                </c:pt>
                <c:pt idx="8">
                  <c:v>0.1</c:v>
                </c:pt>
                <c:pt idx="9">
                  <c:v>0.1</c:v>
                </c:pt>
                <c:pt idx="10">
                  <c:v>0.1</c:v>
                </c:pt>
                <c:pt idx="11">
                  <c:v>0.5</c:v>
                </c:pt>
                <c:pt idx="12">
                  <c:v>0.5</c:v>
                </c:pt>
                <c:pt idx="13">
                  <c:v>0.1</c:v>
                </c:pt>
                <c:pt idx="14">
                  <c:v>0.1</c:v>
                </c:pt>
                <c:pt idx="15">
                  <c:v>0.1</c:v>
                </c:pt>
                <c:pt idx="16">
                  <c:v>0.5</c:v>
                </c:pt>
                <c:pt idx="17">
                  <c:v>0.5</c:v>
                </c:pt>
                <c:pt idx="18">
                  <c:v>0.5</c:v>
                </c:pt>
                <c:pt idx="19">
                  <c:v>0.1</c:v>
                </c:pt>
                <c:pt idx="20">
                  <c:v>0</c:v>
                </c:pt>
                <c:pt idx="21">
                  <c:v>0</c:v>
                </c:pt>
                <c:pt idx="22">
                  <c:v>0</c:v>
                </c:pt>
                <c:pt idx="23">
                  <c:v>0</c:v>
                </c:pt>
              </c:numCache>
            </c:numRef>
          </c:val>
          <c:smooth val="0"/>
          <c:extLst>
            <c:ext xmlns:c16="http://schemas.microsoft.com/office/drawing/2014/chart" uri="{C3380CC4-5D6E-409C-BE32-E72D297353CC}">
              <c16:uniqueId val="{00000002-4827-4A9D-AF3A-BF483E00E64A}"/>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0.2"/>
        <c:minorUnit val="0.1"/>
      </c:valAx>
      <c:spPr>
        <a:noFill/>
        <a:ln>
          <a:noFill/>
        </a:ln>
        <a:effectLst/>
      </c:spPr>
    </c:plotArea>
    <c:legend>
      <c:legendPos val="b"/>
      <c:layout>
        <c:manualLayout>
          <c:xMode val="edge"/>
          <c:yMode val="edge"/>
          <c:x val="0.69237621385546944"/>
          <c:y val="3.6261079321075841E-2"/>
          <c:w val="0.28941482691935089"/>
          <c:h val="0.3139894781608833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sz="1000" b="1" i="0" u="none" strike="noStrike" kern="1200" spc="0" baseline="0">
                <a:solidFill>
                  <a:sysClr val="windowText" lastClr="000000"/>
                </a:solidFill>
                <a:latin typeface="Arial" panose="020B0604020202020204" pitchFamily="34" charset="0"/>
                <a:cs typeface="Arial" panose="020B0604020202020204" pitchFamily="34" charset="0"/>
              </a:rPr>
              <a:t>Heating Setpoint (Common Use Area)</a:t>
            </a:r>
          </a:p>
        </c:rich>
      </c:tx>
      <c:layout>
        <c:manualLayout>
          <c:xMode val="edge"/>
          <c:yMode val="edge"/>
          <c:x val="0.20964270340077487"/>
          <c:y val="5.5077462620328352E-2"/>
        </c:manualLayout>
      </c:layout>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strRef>
              <c:f>Schedules!$E$53</c:f>
              <c:strCache>
                <c:ptCount val="1"/>
                <c:pt idx="0">
                  <c:v>Weekday</c:v>
                </c:pt>
              </c:strCache>
            </c:strRef>
          </c:tx>
          <c:spPr>
            <a:ln w="28575" cap="rnd">
              <a:solidFill>
                <a:schemeClr val="accent1"/>
              </a:solidFill>
              <a:round/>
            </a:ln>
            <a:effectLst/>
          </c:spPr>
          <c:marker>
            <c:symbol val="none"/>
          </c:marker>
          <c:val>
            <c:numRef>
              <c:f>Schedules!$F$53:$AC$53</c:f>
              <c:numCache>
                <c:formatCode>0</c:formatCode>
                <c:ptCount val="24"/>
                <c:pt idx="0">
                  <c:v>68</c:v>
                </c:pt>
                <c:pt idx="1">
                  <c:v>68</c:v>
                </c:pt>
                <c:pt idx="2">
                  <c:v>68</c:v>
                </c:pt>
                <c:pt idx="3">
                  <c:v>68</c:v>
                </c:pt>
                <c:pt idx="4">
                  <c:v>68</c:v>
                </c:pt>
                <c:pt idx="5">
                  <c:v>68</c:v>
                </c:pt>
                <c:pt idx="6">
                  <c:v>68</c:v>
                </c:pt>
                <c:pt idx="7">
                  <c:v>68</c:v>
                </c:pt>
                <c:pt idx="8">
                  <c:v>68</c:v>
                </c:pt>
                <c:pt idx="9">
                  <c:v>68</c:v>
                </c:pt>
                <c:pt idx="10">
                  <c:v>68</c:v>
                </c:pt>
                <c:pt idx="11">
                  <c:v>68</c:v>
                </c:pt>
                <c:pt idx="12">
                  <c:v>68</c:v>
                </c:pt>
                <c:pt idx="13">
                  <c:v>68</c:v>
                </c:pt>
                <c:pt idx="14">
                  <c:v>68</c:v>
                </c:pt>
                <c:pt idx="15">
                  <c:v>68</c:v>
                </c:pt>
                <c:pt idx="16">
                  <c:v>68</c:v>
                </c:pt>
                <c:pt idx="17">
                  <c:v>68</c:v>
                </c:pt>
                <c:pt idx="18">
                  <c:v>68</c:v>
                </c:pt>
                <c:pt idx="19">
                  <c:v>68</c:v>
                </c:pt>
                <c:pt idx="20">
                  <c:v>68</c:v>
                </c:pt>
                <c:pt idx="21">
                  <c:v>68</c:v>
                </c:pt>
                <c:pt idx="22">
                  <c:v>68</c:v>
                </c:pt>
                <c:pt idx="23">
                  <c:v>68</c:v>
                </c:pt>
              </c:numCache>
            </c:numRef>
          </c:val>
          <c:smooth val="0"/>
          <c:extLst>
            <c:ext xmlns:c16="http://schemas.microsoft.com/office/drawing/2014/chart" uri="{C3380CC4-5D6E-409C-BE32-E72D297353CC}">
              <c16:uniqueId val="{00000000-3467-480F-86E6-CBB8FF907A4A}"/>
            </c:ext>
          </c:extLst>
        </c:ser>
        <c:ser>
          <c:idx val="1"/>
          <c:order val="1"/>
          <c:tx>
            <c:strRef>
              <c:f>Schedules!$E$54</c:f>
              <c:strCache>
                <c:ptCount val="1"/>
                <c:pt idx="0">
                  <c:v>Saturday</c:v>
                </c:pt>
              </c:strCache>
            </c:strRef>
          </c:tx>
          <c:spPr>
            <a:ln w="28575" cap="rnd">
              <a:solidFill>
                <a:schemeClr val="accent2"/>
              </a:solidFill>
              <a:round/>
            </a:ln>
            <a:effectLst/>
          </c:spPr>
          <c:marker>
            <c:symbol val="none"/>
          </c:marker>
          <c:val>
            <c:numRef>
              <c:f>Schedules!$F$54:$AC$54</c:f>
              <c:numCache>
                <c:formatCode>0</c:formatCode>
                <c:ptCount val="24"/>
                <c:pt idx="0">
                  <c:v>68</c:v>
                </c:pt>
                <c:pt idx="1">
                  <c:v>68</c:v>
                </c:pt>
                <c:pt idx="2">
                  <c:v>68</c:v>
                </c:pt>
                <c:pt idx="3">
                  <c:v>68</c:v>
                </c:pt>
                <c:pt idx="4">
                  <c:v>68</c:v>
                </c:pt>
                <c:pt idx="5">
                  <c:v>68</c:v>
                </c:pt>
                <c:pt idx="6">
                  <c:v>68</c:v>
                </c:pt>
                <c:pt idx="7">
                  <c:v>68</c:v>
                </c:pt>
                <c:pt idx="8">
                  <c:v>68</c:v>
                </c:pt>
                <c:pt idx="9">
                  <c:v>68</c:v>
                </c:pt>
                <c:pt idx="10">
                  <c:v>68</c:v>
                </c:pt>
                <c:pt idx="11">
                  <c:v>68</c:v>
                </c:pt>
                <c:pt idx="12">
                  <c:v>68</c:v>
                </c:pt>
                <c:pt idx="13">
                  <c:v>68</c:v>
                </c:pt>
                <c:pt idx="14">
                  <c:v>68</c:v>
                </c:pt>
                <c:pt idx="15">
                  <c:v>68</c:v>
                </c:pt>
                <c:pt idx="16">
                  <c:v>68</c:v>
                </c:pt>
                <c:pt idx="17">
                  <c:v>68</c:v>
                </c:pt>
                <c:pt idx="18">
                  <c:v>68</c:v>
                </c:pt>
                <c:pt idx="19">
                  <c:v>68</c:v>
                </c:pt>
                <c:pt idx="20">
                  <c:v>68</c:v>
                </c:pt>
                <c:pt idx="21">
                  <c:v>68</c:v>
                </c:pt>
                <c:pt idx="22">
                  <c:v>68</c:v>
                </c:pt>
                <c:pt idx="23">
                  <c:v>68</c:v>
                </c:pt>
              </c:numCache>
            </c:numRef>
          </c:val>
          <c:smooth val="0"/>
          <c:extLst>
            <c:ext xmlns:c16="http://schemas.microsoft.com/office/drawing/2014/chart" uri="{C3380CC4-5D6E-409C-BE32-E72D297353CC}">
              <c16:uniqueId val="{00000001-3467-480F-86E6-CBB8FF907A4A}"/>
            </c:ext>
          </c:extLst>
        </c:ser>
        <c:ser>
          <c:idx val="2"/>
          <c:order val="2"/>
          <c:tx>
            <c:strRef>
              <c:f>Schedules!$E$55</c:f>
              <c:strCache>
                <c:ptCount val="1"/>
                <c:pt idx="0">
                  <c:v>Sunday</c:v>
                </c:pt>
              </c:strCache>
            </c:strRef>
          </c:tx>
          <c:spPr>
            <a:ln w="28575" cap="rnd">
              <a:solidFill>
                <a:schemeClr val="accent3"/>
              </a:solidFill>
              <a:round/>
            </a:ln>
            <a:effectLst/>
          </c:spPr>
          <c:marker>
            <c:symbol val="none"/>
          </c:marker>
          <c:val>
            <c:numRef>
              <c:f>Schedules!$F$55:$AC$55</c:f>
              <c:numCache>
                <c:formatCode>0</c:formatCode>
                <c:ptCount val="24"/>
                <c:pt idx="0">
                  <c:v>68</c:v>
                </c:pt>
                <c:pt idx="1">
                  <c:v>68</c:v>
                </c:pt>
                <c:pt idx="2">
                  <c:v>68</c:v>
                </c:pt>
                <c:pt idx="3">
                  <c:v>68</c:v>
                </c:pt>
                <c:pt idx="4">
                  <c:v>68</c:v>
                </c:pt>
                <c:pt idx="5">
                  <c:v>68</c:v>
                </c:pt>
                <c:pt idx="6">
                  <c:v>68</c:v>
                </c:pt>
                <c:pt idx="7">
                  <c:v>68</c:v>
                </c:pt>
                <c:pt idx="8">
                  <c:v>68</c:v>
                </c:pt>
                <c:pt idx="9">
                  <c:v>68</c:v>
                </c:pt>
                <c:pt idx="10">
                  <c:v>68</c:v>
                </c:pt>
                <c:pt idx="11">
                  <c:v>68</c:v>
                </c:pt>
                <c:pt idx="12">
                  <c:v>68</c:v>
                </c:pt>
                <c:pt idx="13">
                  <c:v>68</c:v>
                </c:pt>
                <c:pt idx="14">
                  <c:v>68</c:v>
                </c:pt>
                <c:pt idx="15">
                  <c:v>68</c:v>
                </c:pt>
                <c:pt idx="16">
                  <c:v>68</c:v>
                </c:pt>
                <c:pt idx="17">
                  <c:v>68</c:v>
                </c:pt>
                <c:pt idx="18">
                  <c:v>68</c:v>
                </c:pt>
                <c:pt idx="19">
                  <c:v>68</c:v>
                </c:pt>
                <c:pt idx="20">
                  <c:v>68</c:v>
                </c:pt>
                <c:pt idx="21">
                  <c:v>68</c:v>
                </c:pt>
                <c:pt idx="22">
                  <c:v>68</c:v>
                </c:pt>
                <c:pt idx="23">
                  <c:v>68</c:v>
                </c:pt>
              </c:numCache>
            </c:numRef>
          </c:val>
          <c:smooth val="0"/>
          <c:extLst>
            <c:ext xmlns:c16="http://schemas.microsoft.com/office/drawing/2014/chart" uri="{C3380CC4-5D6E-409C-BE32-E72D297353CC}">
              <c16:uniqueId val="{00000002-3467-480F-86E6-CBB8FF907A4A}"/>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20"/>
      </c:valAx>
      <c:spPr>
        <a:noFill/>
        <a:ln>
          <a:noFill/>
        </a:ln>
        <a:effectLst/>
      </c:spPr>
    </c:plotArea>
    <c:legend>
      <c:legendPos val="b"/>
      <c:layout>
        <c:manualLayout>
          <c:xMode val="edge"/>
          <c:yMode val="edge"/>
          <c:x val="0.69237621385546944"/>
          <c:y val="3.6261079321075841E-2"/>
          <c:w val="0.30762375107760692"/>
          <c:h val="0.1476808107319918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sz="1000" b="1" i="0" u="none" strike="noStrike" kern="1200" spc="0" baseline="0">
                <a:solidFill>
                  <a:sysClr val="windowText" lastClr="000000"/>
                </a:solidFill>
                <a:latin typeface="Arial" panose="020B0604020202020204" pitchFamily="34" charset="0"/>
                <a:cs typeface="Arial" panose="020B0604020202020204" pitchFamily="34" charset="0"/>
              </a:rPr>
              <a:t>Cooling Setpoint (Common Use Area)</a:t>
            </a:r>
          </a:p>
        </c:rich>
      </c:tx>
      <c:layout>
        <c:manualLayout>
          <c:xMode val="edge"/>
          <c:yMode val="edge"/>
          <c:x val="0.19163426784308008"/>
          <c:y val="5.5077462620328352E-2"/>
        </c:manualLayout>
      </c:layout>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strRef>
              <c:f>Schedules!$E$56</c:f>
              <c:strCache>
                <c:ptCount val="1"/>
                <c:pt idx="0">
                  <c:v>Weekday</c:v>
                </c:pt>
              </c:strCache>
            </c:strRef>
          </c:tx>
          <c:spPr>
            <a:ln w="28575" cap="rnd">
              <a:solidFill>
                <a:schemeClr val="accent1"/>
              </a:solidFill>
              <a:round/>
            </a:ln>
            <a:effectLst/>
          </c:spPr>
          <c:marker>
            <c:symbol val="none"/>
          </c:marker>
          <c:val>
            <c:numRef>
              <c:f>Schedules!$F$56:$AC$56</c:f>
              <c:numCache>
                <c:formatCode>0</c:formatCode>
                <c:ptCount val="24"/>
                <c:pt idx="0">
                  <c:v>78</c:v>
                </c:pt>
                <c:pt idx="1">
                  <c:v>78</c:v>
                </c:pt>
                <c:pt idx="2">
                  <c:v>78</c:v>
                </c:pt>
                <c:pt idx="3">
                  <c:v>78</c:v>
                </c:pt>
                <c:pt idx="4">
                  <c:v>78</c:v>
                </c:pt>
                <c:pt idx="5">
                  <c:v>78</c:v>
                </c:pt>
                <c:pt idx="6">
                  <c:v>78</c:v>
                </c:pt>
                <c:pt idx="7">
                  <c:v>78</c:v>
                </c:pt>
                <c:pt idx="8">
                  <c:v>78</c:v>
                </c:pt>
                <c:pt idx="9">
                  <c:v>78</c:v>
                </c:pt>
                <c:pt idx="10">
                  <c:v>78</c:v>
                </c:pt>
                <c:pt idx="11">
                  <c:v>78</c:v>
                </c:pt>
                <c:pt idx="12">
                  <c:v>78</c:v>
                </c:pt>
                <c:pt idx="13">
                  <c:v>78</c:v>
                </c:pt>
                <c:pt idx="14">
                  <c:v>78</c:v>
                </c:pt>
                <c:pt idx="15">
                  <c:v>78</c:v>
                </c:pt>
                <c:pt idx="16">
                  <c:v>78</c:v>
                </c:pt>
                <c:pt idx="17">
                  <c:v>78</c:v>
                </c:pt>
                <c:pt idx="18">
                  <c:v>78</c:v>
                </c:pt>
                <c:pt idx="19">
                  <c:v>78</c:v>
                </c:pt>
                <c:pt idx="20">
                  <c:v>78</c:v>
                </c:pt>
                <c:pt idx="21">
                  <c:v>78</c:v>
                </c:pt>
                <c:pt idx="22">
                  <c:v>78</c:v>
                </c:pt>
                <c:pt idx="23">
                  <c:v>78</c:v>
                </c:pt>
              </c:numCache>
            </c:numRef>
          </c:val>
          <c:smooth val="0"/>
          <c:extLst>
            <c:ext xmlns:c16="http://schemas.microsoft.com/office/drawing/2014/chart" uri="{C3380CC4-5D6E-409C-BE32-E72D297353CC}">
              <c16:uniqueId val="{00000000-2770-4DD0-BF38-77646011A652}"/>
            </c:ext>
          </c:extLst>
        </c:ser>
        <c:ser>
          <c:idx val="1"/>
          <c:order val="1"/>
          <c:tx>
            <c:strRef>
              <c:f>Schedules!$E$57</c:f>
              <c:strCache>
                <c:ptCount val="1"/>
                <c:pt idx="0">
                  <c:v>Saturday</c:v>
                </c:pt>
              </c:strCache>
            </c:strRef>
          </c:tx>
          <c:spPr>
            <a:ln w="28575" cap="rnd">
              <a:solidFill>
                <a:schemeClr val="accent2"/>
              </a:solidFill>
              <a:round/>
            </a:ln>
            <a:effectLst/>
          </c:spPr>
          <c:marker>
            <c:symbol val="none"/>
          </c:marker>
          <c:val>
            <c:numRef>
              <c:f>Schedules!$F$57:$AC$57</c:f>
              <c:numCache>
                <c:formatCode>0</c:formatCode>
                <c:ptCount val="24"/>
                <c:pt idx="0">
                  <c:v>78</c:v>
                </c:pt>
                <c:pt idx="1">
                  <c:v>78</c:v>
                </c:pt>
                <c:pt idx="2">
                  <c:v>78</c:v>
                </c:pt>
                <c:pt idx="3">
                  <c:v>78</c:v>
                </c:pt>
                <c:pt idx="4">
                  <c:v>78</c:v>
                </c:pt>
                <c:pt idx="5">
                  <c:v>78</c:v>
                </c:pt>
                <c:pt idx="6">
                  <c:v>78</c:v>
                </c:pt>
                <c:pt idx="7">
                  <c:v>78</c:v>
                </c:pt>
                <c:pt idx="8">
                  <c:v>78</c:v>
                </c:pt>
                <c:pt idx="9">
                  <c:v>78</c:v>
                </c:pt>
                <c:pt idx="10">
                  <c:v>78</c:v>
                </c:pt>
                <c:pt idx="11">
                  <c:v>78</c:v>
                </c:pt>
                <c:pt idx="12">
                  <c:v>78</c:v>
                </c:pt>
                <c:pt idx="13">
                  <c:v>78</c:v>
                </c:pt>
                <c:pt idx="14">
                  <c:v>78</c:v>
                </c:pt>
                <c:pt idx="15">
                  <c:v>78</c:v>
                </c:pt>
                <c:pt idx="16">
                  <c:v>78</c:v>
                </c:pt>
                <c:pt idx="17">
                  <c:v>78</c:v>
                </c:pt>
                <c:pt idx="18">
                  <c:v>78</c:v>
                </c:pt>
                <c:pt idx="19">
                  <c:v>78</c:v>
                </c:pt>
                <c:pt idx="20">
                  <c:v>78</c:v>
                </c:pt>
                <c:pt idx="21">
                  <c:v>78</c:v>
                </c:pt>
                <c:pt idx="22">
                  <c:v>78</c:v>
                </c:pt>
                <c:pt idx="23">
                  <c:v>78</c:v>
                </c:pt>
              </c:numCache>
            </c:numRef>
          </c:val>
          <c:smooth val="0"/>
          <c:extLst>
            <c:ext xmlns:c16="http://schemas.microsoft.com/office/drawing/2014/chart" uri="{C3380CC4-5D6E-409C-BE32-E72D297353CC}">
              <c16:uniqueId val="{00000001-2770-4DD0-BF38-77646011A652}"/>
            </c:ext>
          </c:extLst>
        </c:ser>
        <c:ser>
          <c:idx val="2"/>
          <c:order val="2"/>
          <c:tx>
            <c:strRef>
              <c:f>Schedules!$E$58</c:f>
              <c:strCache>
                <c:ptCount val="1"/>
                <c:pt idx="0">
                  <c:v>Sunday</c:v>
                </c:pt>
              </c:strCache>
            </c:strRef>
          </c:tx>
          <c:spPr>
            <a:ln w="28575" cap="rnd">
              <a:solidFill>
                <a:schemeClr val="accent3"/>
              </a:solidFill>
              <a:round/>
            </a:ln>
            <a:effectLst/>
          </c:spPr>
          <c:marker>
            <c:symbol val="none"/>
          </c:marker>
          <c:val>
            <c:numRef>
              <c:f>Schedules!$F$58:$AC$58</c:f>
              <c:numCache>
                <c:formatCode>0</c:formatCode>
                <c:ptCount val="24"/>
                <c:pt idx="0">
                  <c:v>78</c:v>
                </c:pt>
                <c:pt idx="1">
                  <c:v>78</c:v>
                </c:pt>
                <c:pt idx="2">
                  <c:v>78</c:v>
                </c:pt>
                <c:pt idx="3">
                  <c:v>78</c:v>
                </c:pt>
                <c:pt idx="4">
                  <c:v>78</c:v>
                </c:pt>
                <c:pt idx="5">
                  <c:v>78</c:v>
                </c:pt>
                <c:pt idx="6">
                  <c:v>78</c:v>
                </c:pt>
                <c:pt idx="7">
                  <c:v>78</c:v>
                </c:pt>
                <c:pt idx="8">
                  <c:v>78</c:v>
                </c:pt>
                <c:pt idx="9">
                  <c:v>78</c:v>
                </c:pt>
                <c:pt idx="10">
                  <c:v>78</c:v>
                </c:pt>
                <c:pt idx="11">
                  <c:v>78</c:v>
                </c:pt>
                <c:pt idx="12">
                  <c:v>78</c:v>
                </c:pt>
                <c:pt idx="13">
                  <c:v>78</c:v>
                </c:pt>
                <c:pt idx="14">
                  <c:v>78</c:v>
                </c:pt>
                <c:pt idx="15">
                  <c:v>78</c:v>
                </c:pt>
                <c:pt idx="16">
                  <c:v>78</c:v>
                </c:pt>
                <c:pt idx="17">
                  <c:v>78</c:v>
                </c:pt>
                <c:pt idx="18">
                  <c:v>78</c:v>
                </c:pt>
                <c:pt idx="19">
                  <c:v>78</c:v>
                </c:pt>
                <c:pt idx="20">
                  <c:v>78</c:v>
                </c:pt>
                <c:pt idx="21">
                  <c:v>78</c:v>
                </c:pt>
                <c:pt idx="22">
                  <c:v>78</c:v>
                </c:pt>
                <c:pt idx="23">
                  <c:v>78</c:v>
                </c:pt>
              </c:numCache>
            </c:numRef>
          </c:val>
          <c:smooth val="0"/>
          <c:extLst>
            <c:ext xmlns:c16="http://schemas.microsoft.com/office/drawing/2014/chart" uri="{C3380CC4-5D6E-409C-BE32-E72D297353CC}">
              <c16:uniqueId val="{00000002-2770-4DD0-BF38-77646011A652}"/>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40"/>
      </c:valAx>
      <c:spPr>
        <a:noFill/>
        <a:ln>
          <a:noFill/>
        </a:ln>
        <a:effectLst/>
      </c:spPr>
    </c:plotArea>
    <c:legend>
      <c:legendPos val="b"/>
      <c:layout>
        <c:manualLayout>
          <c:xMode val="edge"/>
          <c:yMode val="edge"/>
          <c:x val="0.69237621385546944"/>
          <c:y val="3.6261079321075841E-2"/>
          <c:w val="0.28941482691935089"/>
          <c:h val="0.3139894781608833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sz="1000" b="1" i="0" u="none" strike="noStrike" kern="1200" spc="0" baseline="0">
                <a:solidFill>
                  <a:sysClr val="windowText" lastClr="000000"/>
                </a:solidFill>
                <a:latin typeface="Arial" panose="020B0604020202020204" pitchFamily="34" charset="0"/>
                <a:cs typeface="Arial" panose="020B0604020202020204" pitchFamily="34" charset="0"/>
              </a:rPr>
              <a:t>Infiltration (Common Use Area)</a:t>
            </a:r>
          </a:p>
        </c:rich>
      </c:tx>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strRef>
              <c:f>Schedules!$E$59</c:f>
              <c:strCache>
                <c:ptCount val="1"/>
                <c:pt idx="0">
                  <c:v>Weekday</c:v>
                </c:pt>
              </c:strCache>
            </c:strRef>
          </c:tx>
          <c:spPr>
            <a:ln w="28575" cap="rnd">
              <a:solidFill>
                <a:schemeClr val="accent1"/>
              </a:solidFill>
              <a:round/>
            </a:ln>
            <a:effectLst/>
          </c:spPr>
          <c:marker>
            <c:symbol val="none"/>
          </c:marker>
          <c:val>
            <c:numRef>
              <c:f>Schedules!$F$59:$AC$59</c:f>
              <c:numCache>
                <c:formatCode>0.00</c:formatCode>
                <c:ptCount val="24"/>
                <c:pt idx="0">
                  <c:v>0.25</c:v>
                </c:pt>
                <c:pt idx="1">
                  <c:v>0.25</c:v>
                </c:pt>
                <c:pt idx="2">
                  <c:v>0.25</c:v>
                </c:pt>
                <c:pt idx="3">
                  <c:v>0.25</c:v>
                </c:pt>
                <c:pt idx="4">
                  <c:v>0.25</c:v>
                </c:pt>
                <c:pt idx="5">
                  <c:v>0.25</c:v>
                </c:pt>
                <c:pt idx="6">
                  <c:v>0.25</c:v>
                </c:pt>
                <c:pt idx="7">
                  <c:v>0.25</c:v>
                </c:pt>
                <c:pt idx="8">
                  <c:v>0.25</c:v>
                </c:pt>
                <c:pt idx="9">
                  <c:v>0.25</c:v>
                </c:pt>
                <c:pt idx="10">
                  <c:v>0.25</c:v>
                </c:pt>
                <c:pt idx="11">
                  <c:v>0.25</c:v>
                </c:pt>
                <c:pt idx="12">
                  <c:v>0.25</c:v>
                </c:pt>
                <c:pt idx="13">
                  <c:v>0.25</c:v>
                </c:pt>
                <c:pt idx="14">
                  <c:v>0.25</c:v>
                </c:pt>
                <c:pt idx="15">
                  <c:v>0.25</c:v>
                </c:pt>
                <c:pt idx="16">
                  <c:v>0.25</c:v>
                </c:pt>
                <c:pt idx="17">
                  <c:v>0.25</c:v>
                </c:pt>
                <c:pt idx="18">
                  <c:v>0.25</c:v>
                </c:pt>
                <c:pt idx="19">
                  <c:v>0.25</c:v>
                </c:pt>
                <c:pt idx="20">
                  <c:v>0.25</c:v>
                </c:pt>
                <c:pt idx="21">
                  <c:v>0.25</c:v>
                </c:pt>
                <c:pt idx="22">
                  <c:v>0.25</c:v>
                </c:pt>
                <c:pt idx="23">
                  <c:v>0.25</c:v>
                </c:pt>
              </c:numCache>
            </c:numRef>
          </c:val>
          <c:smooth val="0"/>
          <c:extLst>
            <c:ext xmlns:c16="http://schemas.microsoft.com/office/drawing/2014/chart" uri="{C3380CC4-5D6E-409C-BE32-E72D297353CC}">
              <c16:uniqueId val="{00000000-F647-45F3-8E03-DF5CBA6E730C}"/>
            </c:ext>
          </c:extLst>
        </c:ser>
        <c:ser>
          <c:idx val="1"/>
          <c:order val="1"/>
          <c:tx>
            <c:strRef>
              <c:f>Schedules!$E$60</c:f>
              <c:strCache>
                <c:ptCount val="1"/>
                <c:pt idx="0">
                  <c:v>Saturday</c:v>
                </c:pt>
              </c:strCache>
            </c:strRef>
          </c:tx>
          <c:spPr>
            <a:ln w="28575" cap="rnd">
              <a:solidFill>
                <a:schemeClr val="accent2"/>
              </a:solidFill>
              <a:round/>
            </a:ln>
            <a:effectLst/>
          </c:spPr>
          <c:marker>
            <c:symbol val="none"/>
          </c:marker>
          <c:val>
            <c:numRef>
              <c:f>Schedules!$F$60:$AC$60</c:f>
              <c:numCache>
                <c:formatCode>0.00</c:formatCode>
                <c:ptCount val="24"/>
                <c:pt idx="0">
                  <c:v>0.25</c:v>
                </c:pt>
                <c:pt idx="1">
                  <c:v>0.25</c:v>
                </c:pt>
                <c:pt idx="2">
                  <c:v>0.25</c:v>
                </c:pt>
                <c:pt idx="3">
                  <c:v>0.25</c:v>
                </c:pt>
                <c:pt idx="4">
                  <c:v>0.25</c:v>
                </c:pt>
                <c:pt idx="5">
                  <c:v>0.25</c:v>
                </c:pt>
                <c:pt idx="6">
                  <c:v>0.25</c:v>
                </c:pt>
                <c:pt idx="7">
                  <c:v>0.25</c:v>
                </c:pt>
                <c:pt idx="8">
                  <c:v>0.25</c:v>
                </c:pt>
                <c:pt idx="9">
                  <c:v>0.25</c:v>
                </c:pt>
                <c:pt idx="10">
                  <c:v>0.25</c:v>
                </c:pt>
                <c:pt idx="11">
                  <c:v>0.25</c:v>
                </c:pt>
                <c:pt idx="12">
                  <c:v>0.25</c:v>
                </c:pt>
                <c:pt idx="13">
                  <c:v>0.25</c:v>
                </c:pt>
                <c:pt idx="14">
                  <c:v>0.25</c:v>
                </c:pt>
                <c:pt idx="15">
                  <c:v>0.25</c:v>
                </c:pt>
                <c:pt idx="16">
                  <c:v>0.25</c:v>
                </c:pt>
                <c:pt idx="17">
                  <c:v>0.25</c:v>
                </c:pt>
                <c:pt idx="18">
                  <c:v>0.25</c:v>
                </c:pt>
                <c:pt idx="19">
                  <c:v>0.25</c:v>
                </c:pt>
                <c:pt idx="20">
                  <c:v>0.25</c:v>
                </c:pt>
                <c:pt idx="21">
                  <c:v>0.25</c:v>
                </c:pt>
                <c:pt idx="22">
                  <c:v>0.25</c:v>
                </c:pt>
                <c:pt idx="23">
                  <c:v>0.25</c:v>
                </c:pt>
              </c:numCache>
            </c:numRef>
          </c:val>
          <c:smooth val="0"/>
          <c:extLst>
            <c:ext xmlns:c16="http://schemas.microsoft.com/office/drawing/2014/chart" uri="{C3380CC4-5D6E-409C-BE32-E72D297353CC}">
              <c16:uniqueId val="{00000001-F647-45F3-8E03-DF5CBA6E730C}"/>
            </c:ext>
          </c:extLst>
        </c:ser>
        <c:ser>
          <c:idx val="2"/>
          <c:order val="2"/>
          <c:tx>
            <c:strRef>
              <c:f>Schedules!$E$61</c:f>
              <c:strCache>
                <c:ptCount val="1"/>
                <c:pt idx="0">
                  <c:v>Sunday</c:v>
                </c:pt>
              </c:strCache>
            </c:strRef>
          </c:tx>
          <c:spPr>
            <a:ln w="28575" cap="rnd">
              <a:solidFill>
                <a:schemeClr val="accent3"/>
              </a:solidFill>
              <a:round/>
            </a:ln>
            <a:effectLst/>
          </c:spPr>
          <c:marker>
            <c:symbol val="none"/>
          </c:marker>
          <c:val>
            <c:numRef>
              <c:f>Schedules!$F$61:$AC$61</c:f>
              <c:numCache>
                <c:formatCode>0.00</c:formatCode>
                <c:ptCount val="24"/>
                <c:pt idx="0">
                  <c:v>0.25</c:v>
                </c:pt>
                <c:pt idx="1">
                  <c:v>0.25</c:v>
                </c:pt>
                <c:pt idx="2">
                  <c:v>0.25</c:v>
                </c:pt>
                <c:pt idx="3">
                  <c:v>0.25</c:v>
                </c:pt>
                <c:pt idx="4">
                  <c:v>0.25</c:v>
                </c:pt>
                <c:pt idx="5">
                  <c:v>0.25</c:v>
                </c:pt>
                <c:pt idx="6">
                  <c:v>0.25</c:v>
                </c:pt>
                <c:pt idx="7">
                  <c:v>0.25</c:v>
                </c:pt>
                <c:pt idx="8">
                  <c:v>0.25</c:v>
                </c:pt>
                <c:pt idx="9">
                  <c:v>0.25</c:v>
                </c:pt>
                <c:pt idx="10">
                  <c:v>0.25</c:v>
                </c:pt>
                <c:pt idx="11">
                  <c:v>0.25</c:v>
                </c:pt>
                <c:pt idx="12">
                  <c:v>0.25</c:v>
                </c:pt>
                <c:pt idx="13">
                  <c:v>0.25</c:v>
                </c:pt>
                <c:pt idx="14">
                  <c:v>0.25</c:v>
                </c:pt>
                <c:pt idx="15">
                  <c:v>0.25</c:v>
                </c:pt>
                <c:pt idx="16">
                  <c:v>0.25</c:v>
                </c:pt>
                <c:pt idx="17">
                  <c:v>0.25</c:v>
                </c:pt>
                <c:pt idx="18">
                  <c:v>0.25</c:v>
                </c:pt>
                <c:pt idx="19">
                  <c:v>0.25</c:v>
                </c:pt>
                <c:pt idx="20">
                  <c:v>0.25</c:v>
                </c:pt>
                <c:pt idx="21">
                  <c:v>0.25</c:v>
                </c:pt>
                <c:pt idx="22">
                  <c:v>0.25</c:v>
                </c:pt>
                <c:pt idx="23">
                  <c:v>0.25</c:v>
                </c:pt>
              </c:numCache>
            </c:numRef>
          </c:val>
          <c:smooth val="0"/>
          <c:extLst>
            <c:ext xmlns:c16="http://schemas.microsoft.com/office/drawing/2014/chart" uri="{C3380CC4-5D6E-409C-BE32-E72D297353CC}">
              <c16:uniqueId val="{00000002-F647-45F3-8E03-DF5CBA6E730C}"/>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5.000000000000001E-2"/>
      </c:valAx>
      <c:spPr>
        <a:noFill/>
        <a:ln>
          <a:noFill/>
        </a:ln>
        <a:effectLst/>
      </c:spPr>
    </c:plotArea>
    <c:legend>
      <c:legendPos val="b"/>
      <c:layout>
        <c:manualLayout>
          <c:xMode val="edge"/>
          <c:yMode val="edge"/>
          <c:x val="0.69237621385546944"/>
          <c:y val="3.6261079321075841E-2"/>
          <c:w val="0.28941482691935089"/>
          <c:h val="0.3139894781608833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sz="1000" b="1" i="0" u="none" strike="noStrike" kern="1200" spc="0" baseline="0">
                <a:solidFill>
                  <a:sysClr val="windowText" lastClr="000000"/>
                </a:solidFill>
                <a:latin typeface="Arial" panose="020B0604020202020204" pitchFamily="34" charset="0"/>
                <a:cs typeface="Arial" panose="020B0604020202020204" pitchFamily="34" charset="0"/>
              </a:rPr>
              <a:t>Refrigeration (Common Use Area)</a:t>
            </a:r>
          </a:p>
        </c:rich>
      </c:tx>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strRef>
              <c:f>Schedules!$E$62</c:f>
              <c:strCache>
                <c:ptCount val="1"/>
                <c:pt idx="0">
                  <c:v>Weekday</c:v>
                </c:pt>
              </c:strCache>
            </c:strRef>
          </c:tx>
          <c:spPr>
            <a:ln w="28575" cap="rnd">
              <a:solidFill>
                <a:schemeClr val="accent1"/>
              </a:solidFill>
              <a:round/>
            </a:ln>
            <a:effectLst/>
          </c:spPr>
          <c:marker>
            <c:symbol val="none"/>
          </c:marker>
          <c:val>
            <c:numRef>
              <c:f>Schedules!$F$62:$AC$62</c:f>
              <c:numCache>
                <c:formatCode>0.00</c:formatCode>
                <c:ptCount val="24"/>
                <c:pt idx="0">
                  <c:v>0.9</c:v>
                </c:pt>
                <c:pt idx="1">
                  <c:v>0.9</c:v>
                </c:pt>
                <c:pt idx="2">
                  <c:v>0.9</c:v>
                </c:pt>
                <c:pt idx="3">
                  <c:v>0.9</c:v>
                </c:pt>
                <c:pt idx="4">
                  <c:v>0.9</c:v>
                </c:pt>
                <c:pt idx="5">
                  <c:v>0.9</c:v>
                </c:pt>
                <c:pt idx="6">
                  <c:v>0.9</c:v>
                </c:pt>
                <c:pt idx="7">
                  <c:v>0.9</c:v>
                </c:pt>
                <c:pt idx="8">
                  <c:v>0.9</c:v>
                </c:pt>
                <c:pt idx="9">
                  <c:v>0.9</c:v>
                </c:pt>
                <c:pt idx="10">
                  <c:v>0.9</c:v>
                </c:pt>
                <c:pt idx="11">
                  <c:v>0.9</c:v>
                </c:pt>
                <c:pt idx="12">
                  <c:v>0.9</c:v>
                </c:pt>
                <c:pt idx="13">
                  <c:v>0.9</c:v>
                </c:pt>
                <c:pt idx="14">
                  <c:v>0.9</c:v>
                </c:pt>
                <c:pt idx="15">
                  <c:v>0.9</c:v>
                </c:pt>
                <c:pt idx="16">
                  <c:v>0.9</c:v>
                </c:pt>
                <c:pt idx="17">
                  <c:v>0.9</c:v>
                </c:pt>
                <c:pt idx="18">
                  <c:v>0.9</c:v>
                </c:pt>
                <c:pt idx="19">
                  <c:v>0.9</c:v>
                </c:pt>
                <c:pt idx="20">
                  <c:v>0.9</c:v>
                </c:pt>
                <c:pt idx="21">
                  <c:v>0.9</c:v>
                </c:pt>
                <c:pt idx="22">
                  <c:v>0.9</c:v>
                </c:pt>
                <c:pt idx="23">
                  <c:v>0.9</c:v>
                </c:pt>
              </c:numCache>
            </c:numRef>
          </c:val>
          <c:smooth val="0"/>
          <c:extLst>
            <c:ext xmlns:c16="http://schemas.microsoft.com/office/drawing/2014/chart" uri="{C3380CC4-5D6E-409C-BE32-E72D297353CC}">
              <c16:uniqueId val="{00000000-2DDD-4968-9FD4-4256393A051B}"/>
            </c:ext>
          </c:extLst>
        </c:ser>
        <c:ser>
          <c:idx val="1"/>
          <c:order val="1"/>
          <c:tx>
            <c:strRef>
              <c:f>Schedules!$E$63</c:f>
              <c:strCache>
                <c:ptCount val="1"/>
                <c:pt idx="0">
                  <c:v>Saturday</c:v>
                </c:pt>
              </c:strCache>
            </c:strRef>
          </c:tx>
          <c:spPr>
            <a:ln w="28575" cap="rnd">
              <a:solidFill>
                <a:schemeClr val="accent2"/>
              </a:solidFill>
              <a:round/>
            </a:ln>
            <a:effectLst/>
          </c:spPr>
          <c:marker>
            <c:symbol val="none"/>
          </c:marker>
          <c:val>
            <c:numRef>
              <c:f>Schedules!$F$63:$AC$63</c:f>
              <c:numCache>
                <c:formatCode>0.00</c:formatCode>
                <c:ptCount val="24"/>
                <c:pt idx="0">
                  <c:v>0.9</c:v>
                </c:pt>
                <c:pt idx="1">
                  <c:v>0.9</c:v>
                </c:pt>
                <c:pt idx="2">
                  <c:v>0.9</c:v>
                </c:pt>
                <c:pt idx="3">
                  <c:v>0.9</c:v>
                </c:pt>
                <c:pt idx="4">
                  <c:v>0.9</c:v>
                </c:pt>
                <c:pt idx="5">
                  <c:v>0.9</c:v>
                </c:pt>
                <c:pt idx="6">
                  <c:v>0.9</c:v>
                </c:pt>
                <c:pt idx="7">
                  <c:v>0.9</c:v>
                </c:pt>
                <c:pt idx="8">
                  <c:v>0.9</c:v>
                </c:pt>
                <c:pt idx="9">
                  <c:v>0.9</c:v>
                </c:pt>
                <c:pt idx="10">
                  <c:v>0.9</c:v>
                </c:pt>
                <c:pt idx="11">
                  <c:v>0.9</c:v>
                </c:pt>
                <c:pt idx="12">
                  <c:v>0.9</c:v>
                </c:pt>
                <c:pt idx="13">
                  <c:v>0.9</c:v>
                </c:pt>
                <c:pt idx="14">
                  <c:v>0.9</c:v>
                </c:pt>
                <c:pt idx="15">
                  <c:v>0.9</c:v>
                </c:pt>
                <c:pt idx="16">
                  <c:v>0.9</c:v>
                </c:pt>
                <c:pt idx="17">
                  <c:v>0.9</c:v>
                </c:pt>
                <c:pt idx="18">
                  <c:v>0.9</c:v>
                </c:pt>
                <c:pt idx="19">
                  <c:v>0.9</c:v>
                </c:pt>
                <c:pt idx="20">
                  <c:v>0.9</c:v>
                </c:pt>
                <c:pt idx="21">
                  <c:v>0.9</c:v>
                </c:pt>
                <c:pt idx="22">
                  <c:v>0.9</c:v>
                </c:pt>
                <c:pt idx="23">
                  <c:v>0.9</c:v>
                </c:pt>
              </c:numCache>
            </c:numRef>
          </c:val>
          <c:smooth val="0"/>
          <c:extLst>
            <c:ext xmlns:c16="http://schemas.microsoft.com/office/drawing/2014/chart" uri="{C3380CC4-5D6E-409C-BE32-E72D297353CC}">
              <c16:uniqueId val="{00000001-2DDD-4968-9FD4-4256393A051B}"/>
            </c:ext>
          </c:extLst>
        </c:ser>
        <c:ser>
          <c:idx val="2"/>
          <c:order val="2"/>
          <c:tx>
            <c:strRef>
              <c:f>Schedules!$E$64</c:f>
              <c:strCache>
                <c:ptCount val="1"/>
                <c:pt idx="0">
                  <c:v>Sunday</c:v>
                </c:pt>
              </c:strCache>
            </c:strRef>
          </c:tx>
          <c:spPr>
            <a:ln w="28575" cap="rnd">
              <a:solidFill>
                <a:schemeClr val="accent3"/>
              </a:solidFill>
              <a:round/>
            </a:ln>
            <a:effectLst/>
          </c:spPr>
          <c:marker>
            <c:symbol val="none"/>
          </c:marker>
          <c:val>
            <c:numRef>
              <c:f>Schedules!$F$64:$AC$64</c:f>
              <c:numCache>
                <c:formatCode>0.00</c:formatCode>
                <c:ptCount val="24"/>
                <c:pt idx="0">
                  <c:v>0.9</c:v>
                </c:pt>
                <c:pt idx="1">
                  <c:v>0.9</c:v>
                </c:pt>
                <c:pt idx="2">
                  <c:v>0.9</c:v>
                </c:pt>
                <c:pt idx="3">
                  <c:v>0.9</c:v>
                </c:pt>
                <c:pt idx="4">
                  <c:v>0.9</c:v>
                </c:pt>
                <c:pt idx="5">
                  <c:v>0.9</c:v>
                </c:pt>
                <c:pt idx="6">
                  <c:v>0.9</c:v>
                </c:pt>
                <c:pt idx="7">
                  <c:v>0.9</c:v>
                </c:pt>
                <c:pt idx="8">
                  <c:v>0.9</c:v>
                </c:pt>
                <c:pt idx="9">
                  <c:v>0.9</c:v>
                </c:pt>
                <c:pt idx="10">
                  <c:v>0.9</c:v>
                </c:pt>
                <c:pt idx="11">
                  <c:v>0.9</c:v>
                </c:pt>
                <c:pt idx="12">
                  <c:v>0.9</c:v>
                </c:pt>
                <c:pt idx="13">
                  <c:v>0.9</c:v>
                </c:pt>
                <c:pt idx="14">
                  <c:v>0.9</c:v>
                </c:pt>
                <c:pt idx="15">
                  <c:v>0.9</c:v>
                </c:pt>
                <c:pt idx="16">
                  <c:v>0.9</c:v>
                </c:pt>
                <c:pt idx="17">
                  <c:v>0.9</c:v>
                </c:pt>
                <c:pt idx="18">
                  <c:v>0.9</c:v>
                </c:pt>
                <c:pt idx="19">
                  <c:v>0.9</c:v>
                </c:pt>
                <c:pt idx="20">
                  <c:v>0.9</c:v>
                </c:pt>
                <c:pt idx="21">
                  <c:v>0.9</c:v>
                </c:pt>
                <c:pt idx="22">
                  <c:v>0.9</c:v>
                </c:pt>
                <c:pt idx="23">
                  <c:v>0.9</c:v>
                </c:pt>
              </c:numCache>
            </c:numRef>
          </c:val>
          <c:smooth val="0"/>
          <c:extLst>
            <c:ext xmlns:c16="http://schemas.microsoft.com/office/drawing/2014/chart" uri="{C3380CC4-5D6E-409C-BE32-E72D297353CC}">
              <c16:uniqueId val="{00000002-2DDD-4968-9FD4-4256393A051B}"/>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0.2"/>
      </c:valAx>
      <c:spPr>
        <a:noFill/>
        <a:ln>
          <a:noFill/>
        </a:ln>
        <a:effectLst/>
      </c:spPr>
    </c:plotArea>
    <c:legend>
      <c:legendPos val="b"/>
      <c:layout>
        <c:manualLayout>
          <c:xMode val="edge"/>
          <c:yMode val="edge"/>
          <c:x val="0.69237621385546944"/>
          <c:y val="3.6261079321075841E-2"/>
          <c:w val="0.28941482691935089"/>
          <c:h val="0.3139894781608833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"Elevator"</c:f>
          <c:strCache>
            <c:ptCount val="1"/>
            <c:pt idx="0">
              <c:v>Elevator</c:v>
            </c:pt>
          </c:strCache>
        </c:strRef>
      </c:tx>
      <c:overlay val="0"/>
      <c:spPr>
        <a:noFill/>
        <a:ln>
          <a:noFill/>
        </a:ln>
        <a:effectLst/>
      </c:spPr>
      <c:txPr>
        <a:bodyPr rot="0" spcFirstLastPara="1" vertOverflow="ellipsis" vert="horz" wrap="square" anchor="ctr" anchorCtr="1"/>
        <a:lstStyle/>
        <a:p>
          <a:pPr>
            <a:defRPr sz="1000" b="1" i="0" u="none" strike="noStrike" kern="1200" spc="0" baseline="0">
              <a:solidFill>
                <a:sysClr val="windowText" lastClr="000000"/>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strRef>
              <c:f>Schedules!$E$94</c:f>
              <c:strCache>
                <c:ptCount val="1"/>
                <c:pt idx="0">
                  <c:v>Weekday</c:v>
                </c:pt>
              </c:strCache>
            </c:strRef>
          </c:tx>
          <c:spPr>
            <a:ln w="28575" cap="rnd">
              <a:solidFill>
                <a:schemeClr val="accent1"/>
              </a:solidFill>
              <a:round/>
            </a:ln>
            <a:effectLst/>
          </c:spPr>
          <c:marker>
            <c:symbol val="none"/>
          </c:marker>
          <c:val>
            <c:numRef>
              <c:f>Schedules!$F$94:$AC$94</c:f>
              <c:numCache>
                <c:formatCode>0.0</c:formatCode>
                <c:ptCount val="24"/>
                <c:pt idx="0">
                  <c:v>0</c:v>
                </c:pt>
                <c:pt idx="1">
                  <c:v>0</c:v>
                </c:pt>
                <c:pt idx="2">
                  <c:v>0</c:v>
                </c:pt>
                <c:pt idx="3">
                  <c:v>0</c:v>
                </c:pt>
                <c:pt idx="4">
                  <c:v>0</c:v>
                </c:pt>
                <c:pt idx="5">
                  <c:v>0</c:v>
                </c:pt>
                <c:pt idx="6">
                  <c:v>0</c:v>
                </c:pt>
                <c:pt idx="7">
                  <c:v>0.35</c:v>
                </c:pt>
                <c:pt idx="8">
                  <c:v>0.69</c:v>
                </c:pt>
                <c:pt idx="9">
                  <c:v>0.43</c:v>
                </c:pt>
                <c:pt idx="10">
                  <c:v>0.37</c:v>
                </c:pt>
                <c:pt idx="11">
                  <c:v>0.43</c:v>
                </c:pt>
                <c:pt idx="12">
                  <c:v>0.57999999999999996</c:v>
                </c:pt>
                <c:pt idx="13">
                  <c:v>0.48</c:v>
                </c:pt>
                <c:pt idx="14">
                  <c:v>0.37</c:v>
                </c:pt>
                <c:pt idx="15">
                  <c:v>0.37</c:v>
                </c:pt>
                <c:pt idx="16">
                  <c:v>0.46</c:v>
                </c:pt>
                <c:pt idx="17">
                  <c:v>0.62</c:v>
                </c:pt>
                <c:pt idx="18">
                  <c:v>0.2</c:v>
                </c:pt>
                <c:pt idx="19">
                  <c:v>0.12</c:v>
                </c:pt>
                <c:pt idx="20">
                  <c:v>0.04</c:v>
                </c:pt>
                <c:pt idx="21">
                  <c:v>0.04</c:v>
                </c:pt>
                <c:pt idx="22">
                  <c:v>0</c:v>
                </c:pt>
                <c:pt idx="23">
                  <c:v>0</c:v>
                </c:pt>
              </c:numCache>
            </c:numRef>
          </c:val>
          <c:smooth val="0"/>
          <c:extLst>
            <c:ext xmlns:c16="http://schemas.microsoft.com/office/drawing/2014/chart" uri="{C3380CC4-5D6E-409C-BE32-E72D297353CC}">
              <c16:uniqueId val="{00000000-F0D4-4051-97B4-30D05BB3FF0D}"/>
            </c:ext>
          </c:extLst>
        </c:ser>
        <c:ser>
          <c:idx val="1"/>
          <c:order val="1"/>
          <c:tx>
            <c:strRef>
              <c:f>Schedules!$E$95</c:f>
              <c:strCache>
                <c:ptCount val="1"/>
                <c:pt idx="0">
                  <c:v>Saturday</c:v>
                </c:pt>
              </c:strCache>
            </c:strRef>
          </c:tx>
          <c:spPr>
            <a:ln w="28575" cap="rnd">
              <a:solidFill>
                <a:schemeClr val="accent2"/>
              </a:solidFill>
              <a:round/>
            </a:ln>
            <a:effectLst/>
          </c:spPr>
          <c:marker>
            <c:symbol val="none"/>
          </c:marker>
          <c:val>
            <c:numRef>
              <c:f>Schedules!$F$95:$AC$95</c:f>
              <c:numCache>
                <c:formatCode>0.0</c:formatCode>
                <c:ptCount val="24"/>
                <c:pt idx="0">
                  <c:v>0</c:v>
                </c:pt>
                <c:pt idx="1">
                  <c:v>0</c:v>
                </c:pt>
                <c:pt idx="2">
                  <c:v>0</c:v>
                </c:pt>
                <c:pt idx="3">
                  <c:v>0</c:v>
                </c:pt>
                <c:pt idx="4">
                  <c:v>0</c:v>
                </c:pt>
                <c:pt idx="5">
                  <c:v>0</c:v>
                </c:pt>
                <c:pt idx="6">
                  <c:v>0</c:v>
                </c:pt>
                <c:pt idx="7">
                  <c:v>0.35</c:v>
                </c:pt>
                <c:pt idx="8">
                  <c:v>0.69</c:v>
                </c:pt>
                <c:pt idx="9">
                  <c:v>0.43</c:v>
                </c:pt>
                <c:pt idx="10">
                  <c:v>0.37</c:v>
                </c:pt>
                <c:pt idx="11">
                  <c:v>0.43</c:v>
                </c:pt>
                <c:pt idx="12">
                  <c:v>0.57999999999999996</c:v>
                </c:pt>
                <c:pt idx="13">
                  <c:v>0.48</c:v>
                </c:pt>
                <c:pt idx="14">
                  <c:v>0.37</c:v>
                </c:pt>
                <c:pt idx="15">
                  <c:v>0.37</c:v>
                </c:pt>
                <c:pt idx="16">
                  <c:v>0.46</c:v>
                </c:pt>
                <c:pt idx="17">
                  <c:v>0.62</c:v>
                </c:pt>
                <c:pt idx="18">
                  <c:v>0.2</c:v>
                </c:pt>
                <c:pt idx="19">
                  <c:v>0.12</c:v>
                </c:pt>
                <c:pt idx="20">
                  <c:v>0.04</c:v>
                </c:pt>
                <c:pt idx="21">
                  <c:v>0.04</c:v>
                </c:pt>
                <c:pt idx="22">
                  <c:v>0</c:v>
                </c:pt>
                <c:pt idx="23">
                  <c:v>0</c:v>
                </c:pt>
              </c:numCache>
            </c:numRef>
          </c:val>
          <c:smooth val="0"/>
          <c:extLst>
            <c:ext xmlns:c16="http://schemas.microsoft.com/office/drawing/2014/chart" uri="{C3380CC4-5D6E-409C-BE32-E72D297353CC}">
              <c16:uniqueId val="{00000001-F0D4-4051-97B4-30D05BB3FF0D}"/>
            </c:ext>
          </c:extLst>
        </c:ser>
        <c:ser>
          <c:idx val="2"/>
          <c:order val="2"/>
          <c:tx>
            <c:strRef>
              <c:f>Schedules!$E$96</c:f>
              <c:strCache>
                <c:ptCount val="1"/>
                <c:pt idx="0">
                  <c:v>Sunday</c:v>
                </c:pt>
              </c:strCache>
            </c:strRef>
          </c:tx>
          <c:spPr>
            <a:ln w="28575" cap="rnd">
              <a:solidFill>
                <a:schemeClr val="accent3"/>
              </a:solidFill>
              <a:round/>
            </a:ln>
            <a:effectLst/>
          </c:spPr>
          <c:marker>
            <c:symbol val="none"/>
          </c:marker>
          <c:val>
            <c:numRef>
              <c:f>Schedules!$F$96:$AC$96</c:f>
              <c:numCache>
                <c:formatCode>0.0</c:formatCode>
                <c:ptCount val="24"/>
                <c:pt idx="0">
                  <c:v>0</c:v>
                </c:pt>
                <c:pt idx="1">
                  <c:v>0</c:v>
                </c:pt>
                <c:pt idx="2">
                  <c:v>0</c:v>
                </c:pt>
                <c:pt idx="3">
                  <c:v>0</c:v>
                </c:pt>
                <c:pt idx="4">
                  <c:v>0</c:v>
                </c:pt>
                <c:pt idx="5">
                  <c:v>0</c:v>
                </c:pt>
                <c:pt idx="6">
                  <c:v>0</c:v>
                </c:pt>
                <c:pt idx="7">
                  <c:v>0.35</c:v>
                </c:pt>
                <c:pt idx="8">
                  <c:v>0.69</c:v>
                </c:pt>
                <c:pt idx="9">
                  <c:v>0.43</c:v>
                </c:pt>
                <c:pt idx="10">
                  <c:v>0.37</c:v>
                </c:pt>
                <c:pt idx="11">
                  <c:v>0.43</c:v>
                </c:pt>
                <c:pt idx="12">
                  <c:v>0.57999999999999996</c:v>
                </c:pt>
                <c:pt idx="13">
                  <c:v>0.48</c:v>
                </c:pt>
                <c:pt idx="14">
                  <c:v>0.37</c:v>
                </c:pt>
                <c:pt idx="15">
                  <c:v>0.37</c:v>
                </c:pt>
                <c:pt idx="16">
                  <c:v>0.46</c:v>
                </c:pt>
                <c:pt idx="17">
                  <c:v>0.62</c:v>
                </c:pt>
                <c:pt idx="18">
                  <c:v>0.2</c:v>
                </c:pt>
                <c:pt idx="19">
                  <c:v>0.12</c:v>
                </c:pt>
                <c:pt idx="20">
                  <c:v>0.04</c:v>
                </c:pt>
                <c:pt idx="21">
                  <c:v>0.04</c:v>
                </c:pt>
                <c:pt idx="22">
                  <c:v>0</c:v>
                </c:pt>
                <c:pt idx="23">
                  <c:v>0</c:v>
                </c:pt>
              </c:numCache>
            </c:numRef>
          </c:val>
          <c:smooth val="0"/>
          <c:extLst>
            <c:ext xmlns:c16="http://schemas.microsoft.com/office/drawing/2014/chart" uri="{C3380CC4-5D6E-409C-BE32-E72D297353CC}">
              <c16:uniqueId val="{00000002-F0D4-4051-97B4-30D05BB3FF0D}"/>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0.5"/>
      </c:valAx>
      <c:spPr>
        <a:noFill/>
        <a:ln>
          <a:noFill/>
        </a:ln>
        <a:effectLst/>
      </c:spPr>
    </c:plotArea>
    <c:legend>
      <c:legendPos val="b"/>
      <c:layout>
        <c:manualLayout>
          <c:xMode val="edge"/>
          <c:yMode val="edge"/>
          <c:x val="0.69237621385546944"/>
          <c:y val="3.6261079321075841E-2"/>
          <c:w val="0.28941482691935089"/>
          <c:h val="0.41225542009028143"/>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sz="1000" b="1" i="0" u="none" strike="noStrike" kern="1200" spc="0" baseline="0">
                <a:solidFill>
                  <a:sysClr val="windowText" lastClr="000000"/>
                </a:solidFill>
                <a:latin typeface="Arial" panose="020B0604020202020204" pitchFamily="34" charset="0"/>
                <a:cs typeface="Arial" panose="020B0604020202020204" pitchFamily="34" charset="0"/>
              </a:rPr>
              <a:t>HVAC System Availability (Common Living </a:t>
            </a:r>
          </a:p>
        </c:rich>
      </c:tx>
      <c:layout>
        <c:manualLayout>
          <c:xMode val="edge"/>
          <c:yMode val="edge"/>
          <c:x val="0.14378764951200443"/>
          <c:y val="4.7207479349825388E-2"/>
        </c:manualLayout>
      </c:layout>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v>Weekday</c:v>
          </c:tx>
          <c:spPr>
            <a:ln w="28575" cap="rnd">
              <a:solidFill>
                <a:schemeClr val="accent1"/>
              </a:solidFill>
              <a:round/>
            </a:ln>
            <a:effectLst/>
          </c:spPr>
          <c:marker>
            <c:symbol val="none"/>
          </c:marker>
          <c:val>
            <c:numLit>
              <c:formatCode>0.00</c:formatCode>
              <c:ptCount val="24"/>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pt idx="21">
                <c:v>1</c:v>
              </c:pt>
              <c:pt idx="22">
                <c:v>1</c:v>
              </c:pt>
              <c:pt idx="23">
                <c:v>1</c:v>
              </c:pt>
            </c:numLit>
          </c:val>
          <c:smooth val="0"/>
          <c:extLst>
            <c:ext xmlns:c16="http://schemas.microsoft.com/office/drawing/2014/chart" uri="{C3380CC4-5D6E-409C-BE32-E72D297353CC}">
              <c16:uniqueId val="{00000000-A639-4E4D-9CAB-72DA500401B3}"/>
            </c:ext>
          </c:extLst>
        </c:ser>
        <c:ser>
          <c:idx val="1"/>
          <c:order val="1"/>
          <c:tx>
            <c:v>Sunday</c:v>
          </c:tx>
          <c:spPr>
            <a:ln w="28575" cap="rnd">
              <a:solidFill>
                <a:schemeClr val="accent2"/>
              </a:solidFill>
              <a:round/>
            </a:ln>
            <a:effectLst/>
          </c:spPr>
          <c:marker>
            <c:symbol val="none"/>
          </c:marker>
          <c:val>
            <c:numLit>
              <c:formatCode>0.00</c:formatCode>
              <c:ptCount val="24"/>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pt idx="21">
                <c:v>1</c:v>
              </c:pt>
              <c:pt idx="22">
                <c:v>1</c:v>
              </c:pt>
              <c:pt idx="23">
                <c:v>1</c:v>
              </c:pt>
            </c:numLit>
          </c:val>
          <c:smooth val="0"/>
          <c:extLst>
            <c:ext xmlns:c16="http://schemas.microsoft.com/office/drawing/2014/chart" uri="{C3380CC4-5D6E-409C-BE32-E72D297353CC}">
              <c16:uniqueId val="{00000001-A639-4E4D-9CAB-72DA500401B3}"/>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0.2"/>
        <c:minorUnit val="0.1"/>
      </c:valAx>
      <c:spPr>
        <a:noFill/>
        <a:ln>
          <a:noFill/>
        </a:ln>
        <a:effectLst/>
      </c:spPr>
    </c:plotArea>
    <c:legend>
      <c:legendPos val="b"/>
      <c:layout>
        <c:manualLayout>
          <c:xMode val="edge"/>
          <c:yMode val="edge"/>
          <c:x val="0.69237621385546944"/>
          <c:y val="3.6261079321075841E-2"/>
          <c:w val="0.28941482691935089"/>
          <c:h val="0.3139894781608833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3.png"/></Relationships>
</file>

<file path=xl/drawings/_rels/drawing4.xml.rels><?xml version="1.0" encoding="UTF-8" standalone="yes"?>
<Relationships xmlns="http://schemas.openxmlformats.org/package/2006/relationships"><Relationship Id="rId1" Type="http://schemas.openxmlformats.org/officeDocument/2006/relationships/image" Target="../media/image5.png"/></Relationships>
</file>

<file path=xl/drawings/_rels/drawing5.xml.rels><?xml version="1.0" encoding="UTF-8" standalone="yes"?>
<Relationships xmlns="http://schemas.openxmlformats.org/package/2006/relationships"><Relationship Id="rId8" Type="http://schemas.openxmlformats.org/officeDocument/2006/relationships/chart" Target="../charts/chart8.xml"/><Relationship Id="rId13" Type="http://schemas.openxmlformats.org/officeDocument/2006/relationships/chart" Target="../charts/chart13.xml"/><Relationship Id="rId18" Type="http://schemas.openxmlformats.org/officeDocument/2006/relationships/chart" Target="../charts/chart18.xml"/><Relationship Id="rId3" Type="http://schemas.openxmlformats.org/officeDocument/2006/relationships/chart" Target="../charts/chart3.xml"/><Relationship Id="rId21" Type="http://schemas.openxmlformats.org/officeDocument/2006/relationships/chart" Target="../charts/chart21.xml"/><Relationship Id="rId7" Type="http://schemas.openxmlformats.org/officeDocument/2006/relationships/chart" Target="../charts/chart7.xml"/><Relationship Id="rId12" Type="http://schemas.openxmlformats.org/officeDocument/2006/relationships/chart" Target="../charts/chart12.xml"/><Relationship Id="rId17" Type="http://schemas.openxmlformats.org/officeDocument/2006/relationships/chart" Target="../charts/chart17.xml"/><Relationship Id="rId2" Type="http://schemas.openxmlformats.org/officeDocument/2006/relationships/chart" Target="../charts/chart2.xml"/><Relationship Id="rId16" Type="http://schemas.openxmlformats.org/officeDocument/2006/relationships/chart" Target="../charts/chart16.xml"/><Relationship Id="rId20" Type="http://schemas.openxmlformats.org/officeDocument/2006/relationships/chart" Target="../charts/chart20.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chart" Target="../charts/chart11.xml"/><Relationship Id="rId5" Type="http://schemas.openxmlformats.org/officeDocument/2006/relationships/chart" Target="../charts/chart5.xml"/><Relationship Id="rId15" Type="http://schemas.openxmlformats.org/officeDocument/2006/relationships/chart" Target="../charts/chart15.xml"/><Relationship Id="rId10" Type="http://schemas.openxmlformats.org/officeDocument/2006/relationships/chart" Target="../charts/chart10.xml"/><Relationship Id="rId19" Type="http://schemas.openxmlformats.org/officeDocument/2006/relationships/chart" Target="../charts/chart19.xml"/><Relationship Id="rId4" Type="http://schemas.openxmlformats.org/officeDocument/2006/relationships/chart" Target="../charts/chart4.xml"/><Relationship Id="rId9" Type="http://schemas.openxmlformats.org/officeDocument/2006/relationships/chart" Target="../charts/chart9.xml"/><Relationship Id="rId14" Type="http://schemas.openxmlformats.org/officeDocument/2006/relationships/chart" Target="../charts/chart14.xml"/></Relationships>
</file>

<file path=xl/drawings/drawing1.xml><?xml version="1.0" encoding="utf-8"?>
<xdr:wsDr xmlns:xdr="http://schemas.openxmlformats.org/drawingml/2006/spreadsheetDrawing" xmlns:a="http://schemas.openxmlformats.org/drawingml/2006/main">
  <xdr:twoCellAnchor editAs="oneCell">
    <xdr:from>
      <xdr:col>1</xdr:col>
      <xdr:colOff>9526</xdr:colOff>
      <xdr:row>19</xdr:row>
      <xdr:rowOff>1</xdr:rowOff>
    </xdr:from>
    <xdr:to>
      <xdr:col>2</xdr:col>
      <xdr:colOff>1725931</xdr:colOff>
      <xdr:row>29</xdr:row>
      <xdr:rowOff>65697</xdr:rowOff>
    </xdr:to>
    <xdr:pic>
      <xdr:nvPicPr>
        <xdr:cNvPr id="2" name="Picture 1">
          <a:extLst>
            <a:ext uri="{FF2B5EF4-FFF2-40B4-BE49-F238E27FC236}">
              <a16:creationId xmlns:a16="http://schemas.microsoft.com/office/drawing/2014/main" id="{7290D6DB-8D82-BEB1-2190-56592FACB1D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90601" y="3190876"/>
          <a:ext cx="7467600" cy="171352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1133475</xdr:colOff>
      <xdr:row>6</xdr:row>
      <xdr:rowOff>9526</xdr:rowOff>
    </xdr:from>
    <xdr:to>
      <xdr:col>1</xdr:col>
      <xdr:colOff>3200400</xdr:colOff>
      <xdr:row>6</xdr:row>
      <xdr:rowOff>1191310</xdr:rowOff>
    </xdr:to>
    <xdr:pic>
      <xdr:nvPicPr>
        <xdr:cNvPr id="2" name="Picture 1">
          <a:extLst>
            <a:ext uri="{FF2B5EF4-FFF2-40B4-BE49-F238E27FC236}">
              <a16:creationId xmlns:a16="http://schemas.microsoft.com/office/drawing/2014/main" id="{43F0D6AD-D735-55CF-B151-B173A16DEF94}"/>
            </a:ext>
          </a:extLst>
        </xdr:cNvPr>
        <xdr:cNvPicPr>
          <a:picLocks noChangeAspect="1"/>
        </xdr:cNvPicPr>
      </xdr:nvPicPr>
      <xdr:blipFill>
        <a:blip xmlns:r="http://schemas.openxmlformats.org/officeDocument/2006/relationships" r:embed="rId1"/>
        <a:stretch>
          <a:fillRect/>
        </a:stretch>
      </xdr:blipFill>
      <xdr:spPr>
        <a:xfrm>
          <a:off x="2800350" y="1571626"/>
          <a:ext cx="2066925" cy="1181784"/>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16</xdr:col>
      <xdr:colOff>1282561</xdr:colOff>
      <xdr:row>0</xdr:row>
      <xdr:rowOff>35035</xdr:rowOff>
    </xdr:from>
    <xdr:to>
      <xdr:col>16</xdr:col>
      <xdr:colOff>1282561</xdr:colOff>
      <xdr:row>0</xdr:row>
      <xdr:rowOff>321779</xdr:rowOff>
    </xdr:to>
    <xdr:cxnSp macro="">
      <xdr:nvCxnSpPr>
        <xdr:cNvPr id="2" name="Straight Arrow Connector 1">
          <a:extLst>
            <a:ext uri="{FF2B5EF4-FFF2-40B4-BE49-F238E27FC236}">
              <a16:creationId xmlns:a16="http://schemas.microsoft.com/office/drawing/2014/main" id="{57A09474-B727-4412-883A-CCC09F77E525}"/>
            </a:ext>
          </a:extLst>
        </xdr:cNvPr>
        <xdr:cNvCxnSpPr/>
      </xdr:nvCxnSpPr>
      <xdr:spPr>
        <a:xfrm flipV="1">
          <a:off x="24514036" y="35035"/>
          <a:ext cx="0" cy="286744"/>
        </a:xfrm>
        <a:prstGeom prst="straightConnector1">
          <a:avLst/>
        </a:prstGeom>
        <a:ln w="38100">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16</xdr:col>
      <xdr:colOff>1325218</xdr:colOff>
      <xdr:row>0</xdr:row>
      <xdr:rowOff>67505</xdr:rowOff>
    </xdr:from>
    <xdr:to>
      <xdr:col>16</xdr:col>
      <xdr:colOff>1565412</xdr:colOff>
      <xdr:row>1</xdr:row>
      <xdr:rowOff>103203</xdr:rowOff>
    </xdr:to>
    <xdr:sp macro="" textlink="">
      <xdr:nvSpPr>
        <xdr:cNvPr id="3" name="TextBox 2">
          <a:extLst>
            <a:ext uri="{FF2B5EF4-FFF2-40B4-BE49-F238E27FC236}">
              <a16:creationId xmlns:a16="http://schemas.microsoft.com/office/drawing/2014/main" id="{72BED0B5-9B9A-420A-8B77-7C2E22A3B296}"/>
            </a:ext>
          </a:extLst>
        </xdr:cNvPr>
        <xdr:cNvSpPr txBox="1"/>
      </xdr:nvSpPr>
      <xdr:spPr>
        <a:xfrm>
          <a:off x="24556693" y="67505"/>
          <a:ext cx="240194" cy="3595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solidFill>
                <a:schemeClr val="tx1"/>
              </a:solidFill>
            </a:rPr>
            <a:t>N</a:t>
          </a:r>
        </a:p>
      </xdr:txBody>
    </xdr:sp>
    <xdr:clientData/>
  </xdr:twoCellAnchor>
  <xdr:twoCellAnchor editAs="oneCell">
    <xdr:from>
      <xdr:col>15</xdr:col>
      <xdr:colOff>257175</xdr:colOff>
      <xdr:row>1</xdr:row>
      <xdr:rowOff>28575</xdr:rowOff>
    </xdr:from>
    <xdr:to>
      <xdr:col>18</xdr:col>
      <xdr:colOff>986953</xdr:colOff>
      <xdr:row>16</xdr:row>
      <xdr:rowOff>170561</xdr:rowOff>
    </xdr:to>
    <xdr:pic>
      <xdr:nvPicPr>
        <xdr:cNvPr id="4" name="Picture 3">
          <a:extLst>
            <a:ext uri="{FF2B5EF4-FFF2-40B4-BE49-F238E27FC236}">
              <a16:creationId xmlns:a16="http://schemas.microsoft.com/office/drawing/2014/main" id="{2EA8EFE1-C12D-4A75-8FCE-88C641481902}"/>
            </a:ext>
          </a:extLst>
        </xdr:cNvPr>
        <xdr:cNvPicPr>
          <a:picLocks noChangeAspect="1"/>
        </xdr:cNvPicPr>
      </xdr:nvPicPr>
      <xdr:blipFill>
        <a:blip xmlns:r="http://schemas.openxmlformats.org/officeDocument/2006/relationships" r:embed="rId1"/>
        <a:stretch>
          <a:fillRect/>
        </a:stretch>
      </xdr:blipFill>
      <xdr:spPr>
        <a:xfrm>
          <a:off x="22640925" y="352425"/>
          <a:ext cx="4749328" cy="3710051"/>
        </a:xfrm>
        <a:prstGeom prst="rect">
          <a:avLst/>
        </a:prstGeom>
      </xdr:spPr>
    </xdr:pic>
    <xdr:clientData/>
  </xdr:twoCellAnchor>
  <xdr:twoCellAnchor>
    <xdr:from>
      <xdr:col>20</xdr:col>
      <xdr:colOff>1325218</xdr:colOff>
      <xdr:row>0</xdr:row>
      <xdr:rowOff>67505</xdr:rowOff>
    </xdr:from>
    <xdr:to>
      <xdr:col>20</xdr:col>
      <xdr:colOff>1565412</xdr:colOff>
      <xdr:row>1</xdr:row>
      <xdr:rowOff>103203</xdr:rowOff>
    </xdr:to>
    <xdr:sp macro="" textlink="">
      <xdr:nvSpPr>
        <xdr:cNvPr id="5" name="TextBox 4">
          <a:extLst>
            <a:ext uri="{FF2B5EF4-FFF2-40B4-BE49-F238E27FC236}">
              <a16:creationId xmlns:a16="http://schemas.microsoft.com/office/drawing/2014/main" id="{3FB75409-64E2-4051-B208-580A3374A284}"/>
            </a:ext>
          </a:extLst>
        </xdr:cNvPr>
        <xdr:cNvSpPr txBox="1"/>
      </xdr:nvSpPr>
      <xdr:spPr>
        <a:xfrm>
          <a:off x="30662218" y="67505"/>
          <a:ext cx="192569" cy="3595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solidFill>
                <a:schemeClr val="tx1"/>
              </a:solidFill>
            </a:rPr>
            <a:t>N</a:t>
          </a:r>
        </a:p>
      </xdr:txBody>
    </xdr:sp>
    <xdr:clientData/>
  </xdr:twoCellAnchor>
  <xdr:twoCellAnchor editAs="oneCell">
    <xdr:from>
      <xdr:col>19</xdr:col>
      <xdr:colOff>0</xdr:colOff>
      <xdr:row>1</xdr:row>
      <xdr:rowOff>1</xdr:rowOff>
    </xdr:from>
    <xdr:to>
      <xdr:col>23</xdr:col>
      <xdr:colOff>72390</xdr:colOff>
      <xdr:row>16</xdr:row>
      <xdr:rowOff>194202</xdr:rowOff>
    </xdr:to>
    <xdr:pic>
      <xdr:nvPicPr>
        <xdr:cNvPr id="6" name="Picture 5">
          <a:extLst>
            <a:ext uri="{FF2B5EF4-FFF2-40B4-BE49-F238E27FC236}">
              <a16:creationId xmlns:a16="http://schemas.microsoft.com/office/drawing/2014/main" id="{EDF4D46D-690A-4EB2-ADE4-301AAC4A29C7}"/>
            </a:ext>
          </a:extLst>
        </xdr:cNvPr>
        <xdr:cNvPicPr>
          <a:picLocks noChangeAspect="1"/>
        </xdr:cNvPicPr>
      </xdr:nvPicPr>
      <xdr:blipFill>
        <a:blip xmlns:r="http://schemas.openxmlformats.org/officeDocument/2006/relationships" r:embed="rId2"/>
        <a:stretch>
          <a:fillRect/>
        </a:stretch>
      </xdr:blipFill>
      <xdr:spPr>
        <a:xfrm>
          <a:off x="27622500" y="323851"/>
          <a:ext cx="4834890" cy="3747026"/>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0</xdr:col>
      <xdr:colOff>1</xdr:colOff>
      <xdr:row>39</xdr:row>
      <xdr:rowOff>129540</xdr:rowOff>
    </xdr:from>
    <xdr:to>
      <xdr:col>2</xdr:col>
      <xdr:colOff>335487</xdr:colOff>
      <xdr:row>58</xdr:row>
      <xdr:rowOff>45719</xdr:rowOff>
    </xdr:to>
    <xdr:pic>
      <xdr:nvPicPr>
        <xdr:cNvPr id="2" name="Picture 1">
          <a:extLst>
            <a:ext uri="{FF2B5EF4-FFF2-40B4-BE49-F238E27FC236}">
              <a16:creationId xmlns:a16="http://schemas.microsoft.com/office/drawing/2014/main" id="{B1A3928C-5FF9-41A7-A9DE-D6280AE8FDF9}"/>
            </a:ext>
          </a:extLst>
        </xdr:cNvPr>
        <xdr:cNvPicPr>
          <a:picLocks noChangeAspect="1"/>
        </xdr:cNvPicPr>
      </xdr:nvPicPr>
      <xdr:blipFill>
        <a:blip xmlns:r="http://schemas.openxmlformats.org/officeDocument/2006/relationships" r:embed="rId1"/>
        <a:stretch>
          <a:fillRect/>
        </a:stretch>
      </xdr:blipFill>
      <xdr:spPr>
        <a:xfrm>
          <a:off x="1" y="7410450"/>
          <a:ext cx="5498036" cy="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xdr:from>
      <xdr:col>29</xdr:col>
      <xdr:colOff>110966</xdr:colOff>
      <xdr:row>3</xdr:row>
      <xdr:rowOff>25572</xdr:rowOff>
    </xdr:from>
    <xdr:to>
      <xdr:col>35</xdr:col>
      <xdr:colOff>440531</xdr:colOff>
      <xdr:row>5</xdr:row>
      <xdr:rowOff>397047</xdr:rowOff>
    </xdr:to>
    <xdr:graphicFrame macro="">
      <xdr:nvGraphicFramePr>
        <xdr:cNvPr id="2" name="Chart 5">
          <a:extLst>
            <a:ext uri="{FF2B5EF4-FFF2-40B4-BE49-F238E27FC236}">
              <a16:creationId xmlns:a16="http://schemas.microsoft.com/office/drawing/2014/main" id="{F4FDF5B2-7907-4F50-9F15-6D0549249492}"/>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29</xdr:col>
      <xdr:colOff>122872</xdr:colOff>
      <xdr:row>5</xdr:row>
      <xdr:rowOff>464342</xdr:rowOff>
    </xdr:from>
    <xdr:to>
      <xdr:col>35</xdr:col>
      <xdr:colOff>452437</xdr:colOff>
      <xdr:row>8</xdr:row>
      <xdr:rowOff>335755</xdr:rowOff>
    </xdr:to>
    <xdr:graphicFrame macro="">
      <xdr:nvGraphicFramePr>
        <xdr:cNvPr id="3" name="Chart 5">
          <a:extLst>
            <a:ext uri="{FF2B5EF4-FFF2-40B4-BE49-F238E27FC236}">
              <a16:creationId xmlns:a16="http://schemas.microsoft.com/office/drawing/2014/main" id="{54DF0B20-C772-4D21-BA0A-4367186CBF19}"/>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29</xdr:col>
      <xdr:colOff>125185</xdr:colOff>
      <xdr:row>8</xdr:row>
      <xdr:rowOff>464343</xdr:rowOff>
    </xdr:from>
    <xdr:to>
      <xdr:col>35</xdr:col>
      <xdr:colOff>454750</xdr:colOff>
      <xdr:row>11</xdr:row>
      <xdr:rowOff>335755</xdr:rowOff>
    </xdr:to>
    <xdr:graphicFrame macro="">
      <xdr:nvGraphicFramePr>
        <xdr:cNvPr id="4" name="Chart 5">
          <a:extLst>
            <a:ext uri="{FF2B5EF4-FFF2-40B4-BE49-F238E27FC236}">
              <a16:creationId xmlns:a16="http://schemas.microsoft.com/office/drawing/2014/main" id="{05C35631-C217-430B-846E-6508F920CE63}"/>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29</xdr:col>
      <xdr:colOff>136070</xdr:colOff>
      <xdr:row>11</xdr:row>
      <xdr:rowOff>411618</xdr:rowOff>
    </xdr:from>
    <xdr:to>
      <xdr:col>35</xdr:col>
      <xdr:colOff>465635</xdr:colOff>
      <xdr:row>15</xdr:row>
      <xdr:rowOff>8711</xdr:rowOff>
    </xdr:to>
    <xdr:graphicFrame macro="">
      <xdr:nvGraphicFramePr>
        <xdr:cNvPr id="5" name="Chart 5">
          <a:extLst>
            <a:ext uri="{FF2B5EF4-FFF2-40B4-BE49-F238E27FC236}">
              <a16:creationId xmlns:a16="http://schemas.microsoft.com/office/drawing/2014/main" id="{C1F85458-EF6D-445D-8AEA-9DF421882C79}"/>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29</xdr:col>
      <xdr:colOff>130969</xdr:colOff>
      <xdr:row>15</xdr:row>
      <xdr:rowOff>119062</xdr:rowOff>
    </xdr:from>
    <xdr:to>
      <xdr:col>35</xdr:col>
      <xdr:colOff>460534</xdr:colOff>
      <xdr:row>17</xdr:row>
      <xdr:rowOff>490537</xdr:rowOff>
    </xdr:to>
    <xdr:graphicFrame macro="">
      <xdr:nvGraphicFramePr>
        <xdr:cNvPr id="6" name="Chart 5">
          <a:extLst>
            <a:ext uri="{FF2B5EF4-FFF2-40B4-BE49-F238E27FC236}">
              <a16:creationId xmlns:a16="http://schemas.microsoft.com/office/drawing/2014/main" id="{8F080AF2-3EBF-4EBF-9486-C0F5D77BC860}"/>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29</xdr:col>
      <xdr:colOff>130969</xdr:colOff>
      <xdr:row>18</xdr:row>
      <xdr:rowOff>95250</xdr:rowOff>
    </xdr:from>
    <xdr:to>
      <xdr:col>35</xdr:col>
      <xdr:colOff>460534</xdr:colOff>
      <xdr:row>20</xdr:row>
      <xdr:rowOff>466725</xdr:rowOff>
    </xdr:to>
    <xdr:graphicFrame macro="">
      <xdr:nvGraphicFramePr>
        <xdr:cNvPr id="7" name="Chart 5">
          <a:extLst>
            <a:ext uri="{FF2B5EF4-FFF2-40B4-BE49-F238E27FC236}">
              <a16:creationId xmlns:a16="http://schemas.microsoft.com/office/drawing/2014/main" id="{0622B128-D1C1-4A10-A798-366B31CE6485}"/>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29</xdr:col>
      <xdr:colOff>142876</xdr:colOff>
      <xdr:row>21</xdr:row>
      <xdr:rowOff>71439</xdr:rowOff>
    </xdr:from>
    <xdr:to>
      <xdr:col>35</xdr:col>
      <xdr:colOff>472441</xdr:colOff>
      <xdr:row>23</xdr:row>
      <xdr:rowOff>442914</xdr:rowOff>
    </xdr:to>
    <xdr:graphicFrame macro="">
      <xdr:nvGraphicFramePr>
        <xdr:cNvPr id="8" name="Chart 5">
          <a:extLst>
            <a:ext uri="{FF2B5EF4-FFF2-40B4-BE49-F238E27FC236}">
              <a16:creationId xmlns:a16="http://schemas.microsoft.com/office/drawing/2014/main" id="{5B15D24D-5A96-472C-B38C-D2D52296370A}"/>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29</xdr:col>
      <xdr:colOff>142876</xdr:colOff>
      <xdr:row>24</xdr:row>
      <xdr:rowOff>35718</xdr:rowOff>
    </xdr:from>
    <xdr:to>
      <xdr:col>35</xdr:col>
      <xdr:colOff>472441</xdr:colOff>
      <xdr:row>26</xdr:row>
      <xdr:rowOff>407193</xdr:rowOff>
    </xdr:to>
    <xdr:graphicFrame macro="">
      <xdr:nvGraphicFramePr>
        <xdr:cNvPr id="9" name="Chart 5">
          <a:extLst>
            <a:ext uri="{FF2B5EF4-FFF2-40B4-BE49-F238E27FC236}">
              <a16:creationId xmlns:a16="http://schemas.microsoft.com/office/drawing/2014/main" id="{5F2A9EA0-F32F-43B9-B230-00B8CA63516C}"/>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29</xdr:col>
      <xdr:colOff>142875</xdr:colOff>
      <xdr:row>27</xdr:row>
      <xdr:rowOff>11907</xdr:rowOff>
    </xdr:from>
    <xdr:to>
      <xdr:col>35</xdr:col>
      <xdr:colOff>472440</xdr:colOff>
      <xdr:row>29</xdr:row>
      <xdr:rowOff>383382</xdr:rowOff>
    </xdr:to>
    <xdr:graphicFrame macro="">
      <xdr:nvGraphicFramePr>
        <xdr:cNvPr id="10" name="Chart 5">
          <a:extLst>
            <a:ext uri="{FF2B5EF4-FFF2-40B4-BE49-F238E27FC236}">
              <a16:creationId xmlns:a16="http://schemas.microsoft.com/office/drawing/2014/main" id="{79927674-C2DC-4235-9420-778BC6DB656D}"/>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29</xdr:col>
      <xdr:colOff>130969</xdr:colOff>
      <xdr:row>30</xdr:row>
      <xdr:rowOff>23812</xdr:rowOff>
    </xdr:from>
    <xdr:to>
      <xdr:col>35</xdr:col>
      <xdr:colOff>460534</xdr:colOff>
      <xdr:row>32</xdr:row>
      <xdr:rowOff>395287</xdr:rowOff>
    </xdr:to>
    <xdr:graphicFrame macro="">
      <xdr:nvGraphicFramePr>
        <xdr:cNvPr id="13" name="Chart 5">
          <a:extLst>
            <a:ext uri="{FF2B5EF4-FFF2-40B4-BE49-F238E27FC236}">
              <a16:creationId xmlns:a16="http://schemas.microsoft.com/office/drawing/2014/main" id="{1980748D-5DD0-4A8A-81C0-2256A850E88C}"/>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29</xdr:col>
      <xdr:colOff>122873</xdr:colOff>
      <xdr:row>34</xdr:row>
      <xdr:rowOff>0</xdr:rowOff>
    </xdr:from>
    <xdr:to>
      <xdr:col>35</xdr:col>
      <xdr:colOff>452438</xdr:colOff>
      <xdr:row>36</xdr:row>
      <xdr:rowOff>347663</xdr:rowOff>
    </xdr:to>
    <xdr:graphicFrame macro="">
      <xdr:nvGraphicFramePr>
        <xdr:cNvPr id="14" name="Chart 5">
          <a:extLst>
            <a:ext uri="{FF2B5EF4-FFF2-40B4-BE49-F238E27FC236}">
              <a16:creationId xmlns:a16="http://schemas.microsoft.com/office/drawing/2014/main" id="{EA190C8D-50E8-48B2-8686-6CD4FAC6C96A}"/>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29</xdr:col>
      <xdr:colOff>122873</xdr:colOff>
      <xdr:row>36</xdr:row>
      <xdr:rowOff>486396</xdr:rowOff>
    </xdr:from>
    <xdr:to>
      <xdr:col>35</xdr:col>
      <xdr:colOff>452438</xdr:colOff>
      <xdr:row>39</xdr:row>
      <xdr:rowOff>357809</xdr:rowOff>
    </xdr:to>
    <xdr:graphicFrame macro="">
      <xdr:nvGraphicFramePr>
        <xdr:cNvPr id="15" name="Chart 5">
          <a:extLst>
            <a:ext uri="{FF2B5EF4-FFF2-40B4-BE49-F238E27FC236}">
              <a16:creationId xmlns:a16="http://schemas.microsoft.com/office/drawing/2014/main" id="{1232B6B2-09BB-463D-9F68-7B0A4F05FD63}"/>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29</xdr:col>
      <xdr:colOff>113280</xdr:colOff>
      <xdr:row>39</xdr:row>
      <xdr:rowOff>450678</xdr:rowOff>
    </xdr:from>
    <xdr:to>
      <xdr:col>35</xdr:col>
      <xdr:colOff>442845</xdr:colOff>
      <xdr:row>42</xdr:row>
      <xdr:rowOff>322090</xdr:rowOff>
    </xdr:to>
    <xdr:graphicFrame macro="">
      <xdr:nvGraphicFramePr>
        <xdr:cNvPr id="16" name="Chart 5">
          <a:extLst>
            <a:ext uri="{FF2B5EF4-FFF2-40B4-BE49-F238E27FC236}">
              <a16:creationId xmlns:a16="http://schemas.microsoft.com/office/drawing/2014/main" id="{4256543C-163D-4CAD-94E5-89BB3E5B07C3}"/>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29</xdr:col>
      <xdr:colOff>107157</xdr:colOff>
      <xdr:row>43</xdr:row>
      <xdr:rowOff>81584</xdr:rowOff>
    </xdr:from>
    <xdr:to>
      <xdr:col>35</xdr:col>
      <xdr:colOff>436722</xdr:colOff>
      <xdr:row>45</xdr:row>
      <xdr:rowOff>453059</xdr:rowOff>
    </xdr:to>
    <xdr:graphicFrame macro="">
      <xdr:nvGraphicFramePr>
        <xdr:cNvPr id="18" name="Chart 5">
          <a:extLst>
            <a:ext uri="{FF2B5EF4-FFF2-40B4-BE49-F238E27FC236}">
              <a16:creationId xmlns:a16="http://schemas.microsoft.com/office/drawing/2014/main" id="{274E7DD8-8C55-46EB-A664-100EC33AB4F6}"/>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29</xdr:col>
      <xdr:colOff>107157</xdr:colOff>
      <xdr:row>46</xdr:row>
      <xdr:rowOff>45866</xdr:rowOff>
    </xdr:from>
    <xdr:to>
      <xdr:col>35</xdr:col>
      <xdr:colOff>436722</xdr:colOff>
      <xdr:row>48</xdr:row>
      <xdr:rowOff>417341</xdr:rowOff>
    </xdr:to>
    <xdr:graphicFrame macro="">
      <xdr:nvGraphicFramePr>
        <xdr:cNvPr id="19" name="Chart 5">
          <a:extLst>
            <a:ext uri="{FF2B5EF4-FFF2-40B4-BE49-F238E27FC236}">
              <a16:creationId xmlns:a16="http://schemas.microsoft.com/office/drawing/2014/main" id="{05F43322-84E0-46C7-BD11-DC7B9E0B95D3}"/>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29</xdr:col>
      <xdr:colOff>107157</xdr:colOff>
      <xdr:row>52</xdr:row>
      <xdr:rowOff>22055</xdr:rowOff>
    </xdr:from>
    <xdr:to>
      <xdr:col>35</xdr:col>
      <xdr:colOff>436722</xdr:colOff>
      <xdr:row>54</xdr:row>
      <xdr:rowOff>393530</xdr:rowOff>
    </xdr:to>
    <xdr:graphicFrame macro="">
      <xdr:nvGraphicFramePr>
        <xdr:cNvPr id="20" name="Chart 5">
          <a:extLst>
            <a:ext uri="{FF2B5EF4-FFF2-40B4-BE49-F238E27FC236}">
              <a16:creationId xmlns:a16="http://schemas.microsoft.com/office/drawing/2014/main" id="{3B5A78B3-DE2D-410D-8550-407E057DD3C4}"/>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29</xdr:col>
      <xdr:colOff>83345</xdr:colOff>
      <xdr:row>55</xdr:row>
      <xdr:rowOff>33959</xdr:rowOff>
    </xdr:from>
    <xdr:to>
      <xdr:col>35</xdr:col>
      <xdr:colOff>412910</xdr:colOff>
      <xdr:row>57</xdr:row>
      <xdr:rowOff>405434</xdr:rowOff>
    </xdr:to>
    <xdr:graphicFrame macro="">
      <xdr:nvGraphicFramePr>
        <xdr:cNvPr id="21" name="Chart 5">
          <a:extLst>
            <a:ext uri="{FF2B5EF4-FFF2-40B4-BE49-F238E27FC236}">
              <a16:creationId xmlns:a16="http://schemas.microsoft.com/office/drawing/2014/main" id="{9A2D8071-CB02-4AF4-9C38-C97FB370AE81}"/>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29</xdr:col>
      <xdr:colOff>83343</xdr:colOff>
      <xdr:row>58</xdr:row>
      <xdr:rowOff>33959</xdr:rowOff>
    </xdr:from>
    <xdr:to>
      <xdr:col>35</xdr:col>
      <xdr:colOff>412908</xdr:colOff>
      <xdr:row>60</xdr:row>
      <xdr:rowOff>405434</xdr:rowOff>
    </xdr:to>
    <xdr:graphicFrame macro="">
      <xdr:nvGraphicFramePr>
        <xdr:cNvPr id="22" name="Chart 5">
          <a:extLst>
            <a:ext uri="{FF2B5EF4-FFF2-40B4-BE49-F238E27FC236}">
              <a16:creationId xmlns:a16="http://schemas.microsoft.com/office/drawing/2014/main" id="{FDEA3D6F-BC2A-4751-A000-54018981EE1F}"/>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29</xdr:col>
      <xdr:colOff>83344</xdr:colOff>
      <xdr:row>61</xdr:row>
      <xdr:rowOff>33959</xdr:rowOff>
    </xdr:from>
    <xdr:to>
      <xdr:col>35</xdr:col>
      <xdr:colOff>412909</xdr:colOff>
      <xdr:row>63</xdr:row>
      <xdr:rowOff>405434</xdr:rowOff>
    </xdr:to>
    <xdr:graphicFrame macro="">
      <xdr:nvGraphicFramePr>
        <xdr:cNvPr id="25" name="Chart 5">
          <a:extLst>
            <a:ext uri="{FF2B5EF4-FFF2-40B4-BE49-F238E27FC236}">
              <a16:creationId xmlns:a16="http://schemas.microsoft.com/office/drawing/2014/main" id="{543C7151-1BFB-4B91-AFCC-A9CB4E38FF4D}"/>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xdr:from>
      <xdr:col>29</xdr:col>
      <xdr:colOff>116312</xdr:colOff>
      <xdr:row>93</xdr:row>
      <xdr:rowOff>10583</xdr:rowOff>
    </xdr:from>
    <xdr:to>
      <xdr:col>35</xdr:col>
      <xdr:colOff>463552</xdr:colOff>
      <xdr:row>96</xdr:row>
      <xdr:rowOff>78210</xdr:rowOff>
    </xdr:to>
    <xdr:graphicFrame macro="">
      <xdr:nvGraphicFramePr>
        <xdr:cNvPr id="26" name="Chart 5">
          <a:extLst>
            <a:ext uri="{FF2B5EF4-FFF2-40B4-BE49-F238E27FC236}">
              <a16:creationId xmlns:a16="http://schemas.microsoft.com/office/drawing/2014/main" id="{92DEBCA2-EC2E-40CE-B89F-8A5B1EBFB670}"/>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0"/>
        </a:graphicData>
      </a:graphic>
    </xdr:graphicFrame>
    <xdr:clientData/>
  </xdr:twoCellAnchor>
  <xdr:twoCellAnchor>
    <xdr:from>
      <xdr:col>29</xdr:col>
      <xdr:colOff>113658</xdr:colOff>
      <xdr:row>48</xdr:row>
      <xdr:rowOff>456441</xdr:rowOff>
    </xdr:from>
    <xdr:to>
      <xdr:col>35</xdr:col>
      <xdr:colOff>443223</xdr:colOff>
      <xdr:row>52</xdr:row>
      <xdr:rowOff>53534</xdr:rowOff>
    </xdr:to>
    <xdr:graphicFrame macro="">
      <xdr:nvGraphicFramePr>
        <xdr:cNvPr id="27" name="Chart 26">
          <a:extLst>
            <a:ext uri="{FF2B5EF4-FFF2-40B4-BE49-F238E27FC236}">
              <a16:creationId xmlns:a16="http://schemas.microsoft.com/office/drawing/2014/main" id="{BF0E9577-5D03-456E-880C-06D05BF21EB8}"/>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1"/>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title24stakeholders.com/wp-content/uploads/2020/09/2022_T24_Final-CASE-Report-MF-DHW-Dist.pdf" TargetMode="External"/><Relationship Id="rId3" Type="http://schemas.openxmlformats.org/officeDocument/2006/relationships/hyperlink" Target="https://github.com/sound-data/DEER-Prototypes-EnergyPlus" TargetMode="External"/><Relationship Id="rId7" Type="http://schemas.openxmlformats.org/officeDocument/2006/relationships/hyperlink" Target="https://www.energy.ca.gov/sites/default/files/2024-06/CEC-500-2024-054.pdf" TargetMode="External"/><Relationship Id="rId2" Type="http://schemas.openxmlformats.org/officeDocument/2006/relationships/hyperlink" Target="https://www.energycodes.gov/prototype-building-models" TargetMode="External"/><Relationship Id="rId1" Type="http://schemas.openxmlformats.org/officeDocument/2006/relationships/hyperlink" Target="https://bees.noresco.com/software2022.html" TargetMode="External"/><Relationship Id="rId6" Type="http://schemas.openxmlformats.org/officeDocument/2006/relationships/hyperlink" Target="https://title24stakeholders.com/wp-content/uploads/2016/10/T24-2019-CASE-Study-Results-Report-Outdoor-Sources_Final_with-Attachments.pdf" TargetMode="External"/><Relationship Id="rId5" Type="http://schemas.openxmlformats.org/officeDocument/2006/relationships/hyperlink" Target="https://www.pnnl.gov/main/publications/external/technical_reports/PNNL-20405.pdf" TargetMode="External"/><Relationship Id="rId4" Type="http://schemas.openxmlformats.org/officeDocument/2006/relationships/hyperlink" Target="https://title24stakeholders.com/wp-content/uploads/2020/10/2022-T24-Final-CASE-Report_Reduce-Infiltration.pdf" TargetMode="External"/><Relationship Id="rId9"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1.bin"/><Relationship Id="rId1" Type="http://schemas.openxmlformats.org/officeDocument/2006/relationships/hyperlink" Target="https://2050partners.sharepoint.com/:w:/r/sites/CalBEMCollaborativeEfforts/Shared%20Documents/Working%20Group%201%20-%20Streamlined%20Process/D%20-%20Complexity%20of%20Compliance/Prototype%20Unification/Project%20Development/Phase%202%20(Collect%20Inputs)%20Development/NonRes-Vintage%20bins-Draft%20Report-30Nov2023-Final.docx?d=w8560be34ea9744e086bccf7767b0a3cf&amp;csf=1&amp;web=1&amp;e=tpxacv" TargetMode="Externa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hyperlink" Target="https://www.energy.ca.gov/sites/default/files/2025-07/CEC-400-2025-007.pdf" TargetMode="Externa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3" Type="http://schemas.openxmlformats.org/officeDocument/2006/relationships/hyperlink" Target="https://caenergywise.com/design-guides/Advanced-Water-Heating-Design-Guide.pdf" TargetMode="External"/><Relationship Id="rId2" Type="http://schemas.openxmlformats.org/officeDocument/2006/relationships/hyperlink" Target="https://title24stakeholders.com/wp-content/uploads/2020/09/2022_T24_Final-CASE-Report-MF-DHW-Dist.pdf" TargetMode="External"/><Relationship Id="rId1" Type="http://schemas.openxmlformats.org/officeDocument/2006/relationships/hyperlink" Target="https://www.energy.ca.gov/sites/default/files/2024-06/CEC-500-2024-054.pdf" TargetMode="External"/><Relationship Id="rId4" Type="http://schemas.openxmlformats.org/officeDocument/2006/relationships/printerSettings" Target="../printerSettings/printerSettings4.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1.xml.rels><?xml version="1.0" encoding="UTF-8" standalone="yes"?>
<Relationships xmlns="http://schemas.openxmlformats.org/package/2006/relationships"><Relationship Id="rId1" Type="http://schemas.openxmlformats.org/officeDocument/2006/relationships/hyperlink" Target="https://buildingandinteriors.com/find-the-magic-number-elevators-per-building/" TargetMode="Externa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D65BDF-3C17-4869-B954-111AEEDC46EB}">
  <sheetPr codeName="Sheet4"/>
  <dimension ref="A1:G35"/>
  <sheetViews>
    <sheetView zoomScaleNormal="100" workbookViewId="0">
      <selection sqref="A1:C1"/>
    </sheetView>
  </sheetViews>
  <sheetFormatPr defaultColWidth="9.28515625" defaultRowHeight="12.75" x14ac:dyDescent="0.2"/>
  <cols>
    <col min="1" max="1" width="14.7109375" style="4" customWidth="1"/>
    <col min="2" max="2" width="86.28515625" style="4" customWidth="1"/>
    <col min="3" max="3" width="41.28515625" style="4" customWidth="1"/>
    <col min="4" max="4" width="21.7109375" style="4" customWidth="1"/>
    <col min="5" max="5" width="10.7109375" style="4" customWidth="1"/>
    <col min="6" max="6" width="9.7109375" style="4" customWidth="1"/>
    <col min="7" max="7" width="9.7109375" style="4" bestFit="1" customWidth="1"/>
    <col min="8" max="16384" width="9.28515625" style="4"/>
  </cols>
  <sheetData>
    <row r="1" spans="1:4" ht="20.45" customHeight="1" x14ac:dyDescent="0.2">
      <c r="A1" s="401" t="s">
        <v>0</v>
      </c>
      <c r="B1" s="401"/>
      <c r="C1" s="401"/>
    </row>
    <row r="2" spans="1:4" x14ac:dyDescent="0.2">
      <c r="A2" s="400" t="s">
        <v>1</v>
      </c>
      <c r="B2" s="4" t="s">
        <v>2</v>
      </c>
      <c r="C2" s="5"/>
    </row>
    <row r="3" spans="1:4" x14ac:dyDescent="0.2">
      <c r="A3" s="400"/>
      <c r="B3" s="4" t="s">
        <v>3</v>
      </c>
      <c r="C3" s="5"/>
    </row>
    <row r="4" spans="1:4" x14ac:dyDescent="0.2">
      <c r="A4" s="400"/>
      <c r="B4" s="4" t="s">
        <v>4</v>
      </c>
      <c r="C4" s="5"/>
    </row>
    <row r="5" spans="1:4" x14ac:dyDescent="0.2">
      <c r="A5" s="400"/>
      <c r="B5" s="4" t="s">
        <v>5</v>
      </c>
      <c r="C5" s="5"/>
    </row>
    <row r="6" spans="1:4" ht="15" x14ac:dyDescent="0.25">
      <c r="A6" s="400" t="s">
        <v>6</v>
      </c>
      <c r="B6" s="4" t="s">
        <v>7</v>
      </c>
      <c r="C6" s="182" t="s">
        <v>8</v>
      </c>
    </row>
    <row r="7" spans="1:4" ht="15" x14ac:dyDescent="0.25">
      <c r="A7" s="400"/>
      <c r="B7" s="4" t="s">
        <v>9</v>
      </c>
      <c r="C7" s="182" t="s">
        <v>10</v>
      </c>
      <c r="D7" s="4" t="s">
        <v>11</v>
      </c>
    </row>
    <row r="8" spans="1:4" ht="15" x14ac:dyDescent="0.25">
      <c r="A8" s="400"/>
      <c r="B8" s="4" t="s">
        <v>12</v>
      </c>
      <c r="C8" s="182" t="s">
        <v>13</v>
      </c>
      <c r="D8" s="4" t="s">
        <v>11</v>
      </c>
    </row>
    <row r="9" spans="1:4" ht="15" x14ac:dyDescent="0.25">
      <c r="A9" s="400"/>
      <c r="C9" s="182"/>
    </row>
    <row r="10" spans="1:4" x14ac:dyDescent="0.2">
      <c r="A10" s="400" t="s">
        <v>14</v>
      </c>
      <c r="B10" s="4" t="s">
        <v>15</v>
      </c>
      <c r="C10" s="5"/>
    </row>
    <row r="11" spans="1:4" x14ac:dyDescent="0.2">
      <c r="A11" s="400"/>
      <c r="B11" s="4" t="s">
        <v>16</v>
      </c>
      <c r="C11" s="5"/>
      <c r="D11" s="4" t="s">
        <v>11</v>
      </c>
    </row>
    <row r="12" spans="1:4" x14ac:dyDescent="0.2">
      <c r="A12" s="400"/>
      <c r="B12" s="4" t="s">
        <v>17</v>
      </c>
      <c r="C12" s="5"/>
      <c r="D12" s="4" t="s">
        <v>11</v>
      </c>
    </row>
    <row r="13" spans="1:4" ht="12.75" customHeight="1" x14ac:dyDescent="0.25">
      <c r="A13" s="4" t="s">
        <v>18</v>
      </c>
      <c r="B13" s="195" t="s">
        <v>19</v>
      </c>
      <c r="C13" s="182" t="s">
        <v>20</v>
      </c>
      <c r="D13" s="4" t="s">
        <v>11</v>
      </c>
    </row>
    <row r="14" spans="1:4" ht="12.75" customHeight="1" x14ac:dyDescent="0.25">
      <c r="B14" s="4" t="s">
        <v>21</v>
      </c>
      <c r="C14" s="182" t="s">
        <v>22</v>
      </c>
      <c r="D14" s="4" t="s">
        <v>11</v>
      </c>
    </row>
    <row r="15" spans="1:4" ht="12.75" customHeight="1" x14ac:dyDescent="0.25">
      <c r="B15" s="4" t="s">
        <v>23</v>
      </c>
      <c r="C15" s="182" t="s">
        <v>24</v>
      </c>
      <c r="D15" s="4" t="s">
        <v>11</v>
      </c>
    </row>
    <row r="16" spans="1:4" ht="15" x14ac:dyDescent="0.25">
      <c r="B16" s="4" t="s">
        <v>25</v>
      </c>
      <c r="C16" s="182" t="s">
        <v>26</v>
      </c>
      <c r="D16" s="4" t="s">
        <v>11</v>
      </c>
    </row>
    <row r="17" spans="1:7" ht="15" x14ac:dyDescent="0.2">
      <c r="B17" s="4" t="s">
        <v>27</v>
      </c>
      <c r="C17" s="196" t="s">
        <v>28</v>
      </c>
      <c r="D17" s="4" t="s">
        <v>11</v>
      </c>
    </row>
    <row r="18" spans="1:7" ht="18.600000000000001" customHeight="1" x14ac:dyDescent="0.2">
      <c r="A18" s="404" t="s">
        <v>29</v>
      </c>
      <c r="B18" s="404"/>
      <c r="C18" s="404"/>
    </row>
    <row r="19" spans="1:7" x14ac:dyDescent="0.2">
      <c r="C19" s="5"/>
    </row>
    <row r="20" spans="1:7" x14ac:dyDescent="0.2">
      <c r="C20" s="5"/>
    </row>
    <row r="21" spans="1:7" x14ac:dyDescent="0.2">
      <c r="C21" s="5"/>
    </row>
    <row r="22" spans="1:7" ht="15" x14ac:dyDescent="0.25">
      <c r="B22"/>
      <c r="C22" s="5"/>
    </row>
    <row r="23" spans="1:7" x14ac:dyDescent="0.2">
      <c r="C23" s="5"/>
    </row>
    <row r="24" spans="1:7" x14ac:dyDescent="0.2">
      <c r="C24" s="5"/>
    </row>
    <row r="25" spans="1:7" x14ac:dyDescent="0.2">
      <c r="C25" s="5"/>
    </row>
    <row r="26" spans="1:7" x14ac:dyDescent="0.2">
      <c r="C26" s="5"/>
    </row>
    <row r="27" spans="1:7" x14ac:dyDescent="0.2">
      <c r="C27" s="5"/>
    </row>
    <row r="28" spans="1:7" x14ac:dyDescent="0.2">
      <c r="C28" s="5"/>
    </row>
    <row r="29" spans="1:7" x14ac:dyDescent="0.2">
      <c r="C29" s="5"/>
    </row>
    <row r="30" spans="1:7" x14ac:dyDescent="0.2">
      <c r="C30" s="5"/>
    </row>
    <row r="31" spans="1:7" ht="19.149999999999999" customHeight="1" x14ac:dyDescent="0.2">
      <c r="A31" s="401" t="s">
        <v>30</v>
      </c>
      <c r="B31" s="401"/>
      <c r="C31" s="401"/>
    </row>
    <row r="32" spans="1:7" ht="14.65" customHeight="1" x14ac:dyDescent="0.2">
      <c r="B32" s="402"/>
      <c r="C32" s="402"/>
      <c r="D32" s="356"/>
      <c r="E32" s="7"/>
      <c r="F32" s="7"/>
      <c r="G32" s="7"/>
    </row>
    <row r="33" spans="1:7" x14ac:dyDescent="0.2">
      <c r="A33" s="9"/>
      <c r="B33" s="403"/>
      <c r="C33" s="403"/>
      <c r="D33" s="356"/>
      <c r="E33" s="32"/>
      <c r="F33" s="32"/>
      <c r="G33" s="32"/>
    </row>
    <row r="34" spans="1:7" x14ac:dyDescent="0.2">
      <c r="A34" s="9"/>
      <c r="B34" s="403"/>
      <c r="C34" s="403"/>
    </row>
    <row r="35" spans="1:7" x14ac:dyDescent="0.2">
      <c r="A35" s="9"/>
      <c r="B35" s="403"/>
      <c r="C35" s="403"/>
    </row>
  </sheetData>
  <mergeCells count="10">
    <mergeCell ref="B33:C33"/>
    <mergeCell ref="B34:C34"/>
    <mergeCell ref="B35:C35"/>
    <mergeCell ref="A31:C31"/>
    <mergeCell ref="A18:C18"/>
    <mergeCell ref="A2:A5"/>
    <mergeCell ref="A6:A9"/>
    <mergeCell ref="A10:A12"/>
    <mergeCell ref="A1:C1"/>
    <mergeCell ref="B32:C32"/>
  </mergeCells>
  <hyperlinks>
    <hyperlink ref="C6" r:id="rId1" xr:uid="{BE11EEF8-3AF7-48F0-A38B-7309CE5A9491}"/>
    <hyperlink ref="C7" r:id="rId2" location="Commercial" xr:uid="{626A4776-C2FA-489E-88C0-BC9C7C8EA36F}"/>
    <hyperlink ref="C8" r:id="rId3" xr:uid="{0DEB00BB-3A26-4527-9ED4-40D17F93A579}"/>
    <hyperlink ref="C13" r:id="rId4" xr:uid="{5814AF80-D2B1-423C-9148-8871BBDE5F13}"/>
    <hyperlink ref="C15" r:id="rId5" xr:uid="{87573880-884C-4373-BE74-6BDCB4E6ECFE}"/>
    <hyperlink ref="C14" r:id="rId6" xr:uid="{80103BCF-A0A0-4443-9C93-CCC3DE7FE740}"/>
    <hyperlink ref="C16" r:id="rId7" xr:uid="{9E33D5AE-0A12-4206-B2DC-E90EDEBFDEB9}"/>
    <hyperlink ref="C17" r:id="rId8" xr:uid="{FA052917-CE06-4AA6-9849-CB04F5014A4A}"/>
  </hyperlinks>
  <pageMargins left="0.7" right="0.7" top="0.75" bottom="0.75" header="0.3" footer="0.3"/>
  <drawing r:id="rId9"/>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EA2FF8-E67F-4AF9-A6F9-E2B7AE862021}">
  <sheetPr codeName="Sheet1"/>
  <dimension ref="A1:I29"/>
  <sheetViews>
    <sheetView tabSelected="1" zoomScaleNormal="100" workbookViewId="0">
      <selection sqref="A1:C1"/>
    </sheetView>
  </sheetViews>
  <sheetFormatPr defaultColWidth="9.28515625" defaultRowHeight="14.25" x14ac:dyDescent="0.2"/>
  <cols>
    <col min="1" max="1" width="25" style="2" customWidth="1"/>
    <col min="2" max="2" width="65.85546875" style="2" customWidth="1"/>
    <col min="3" max="3" width="49.7109375" style="2" customWidth="1"/>
    <col min="4" max="9" width="8.7109375" style="2" customWidth="1"/>
    <col min="10" max="16384" width="9.28515625" style="2"/>
  </cols>
  <sheetData>
    <row r="1" spans="1:9" ht="18" x14ac:dyDescent="0.2">
      <c r="A1" s="405" t="s">
        <v>698</v>
      </c>
      <c r="B1" s="405"/>
      <c r="C1" s="405"/>
      <c r="D1" s="11"/>
      <c r="E1" s="11"/>
      <c r="F1" s="11"/>
    </row>
    <row r="2" spans="1:9" ht="25.15" customHeight="1" x14ac:dyDescent="0.2">
      <c r="A2" s="406" t="s">
        <v>31</v>
      </c>
      <c r="B2" s="407"/>
      <c r="C2" s="407"/>
      <c r="D2" s="11"/>
      <c r="E2" s="11"/>
      <c r="F2" s="11"/>
    </row>
    <row r="3" spans="1:9" ht="20.45" customHeight="1" x14ac:dyDescent="0.2">
      <c r="A3" s="17" t="s">
        <v>32</v>
      </c>
      <c r="B3" s="372" t="s">
        <v>33</v>
      </c>
      <c r="C3" s="18" t="s">
        <v>0</v>
      </c>
    </row>
    <row r="4" spans="1:9" ht="16.149999999999999" customHeight="1" x14ac:dyDescent="0.2">
      <c r="A4" s="15" t="s">
        <v>34</v>
      </c>
      <c r="B4" s="361" t="s">
        <v>35</v>
      </c>
      <c r="C4" s="15"/>
    </row>
    <row r="5" spans="1:9" ht="16.149999999999999" customHeight="1" x14ac:dyDescent="0.2">
      <c r="A5" s="15" t="s">
        <v>36</v>
      </c>
      <c r="B5" s="361" t="s">
        <v>37</v>
      </c>
      <c r="C5" s="15"/>
    </row>
    <row r="6" spans="1:9" ht="28.9" customHeight="1" x14ac:dyDescent="0.2">
      <c r="A6" s="15" t="s">
        <v>38</v>
      </c>
      <c r="B6" s="363" t="s">
        <v>39</v>
      </c>
      <c r="C6" s="16" t="s">
        <v>40</v>
      </c>
      <c r="D6" s="64" t="s">
        <v>41</v>
      </c>
    </row>
    <row r="7" spans="1:9" ht="97.15" customHeight="1" x14ac:dyDescent="0.2">
      <c r="A7" s="15" t="s">
        <v>42</v>
      </c>
      <c r="B7" s="361"/>
      <c r="C7" s="16" t="s">
        <v>43</v>
      </c>
      <c r="I7" s="3"/>
    </row>
    <row r="8" spans="1:9" ht="38.25" customHeight="1" x14ac:dyDescent="0.2">
      <c r="A8" s="12" t="s">
        <v>44</v>
      </c>
      <c r="B8" s="13">
        <f>Zones!J40</f>
        <v>141013.76000000001</v>
      </c>
      <c r="C8" s="408" t="s">
        <v>43</v>
      </c>
    </row>
    <row r="9" spans="1:9" ht="16.149999999999999" customHeight="1" x14ac:dyDescent="0.2">
      <c r="A9" s="12" t="s">
        <v>45</v>
      </c>
      <c r="B9" s="63">
        <f>180/155</f>
        <v>1.1612903225806452</v>
      </c>
      <c r="C9" s="409"/>
    </row>
    <row r="10" spans="1:9" x14ac:dyDescent="0.2">
      <c r="A10" s="14" t="s">
        <v>46</v>
      </c>
      <c r="B10" s="361" t="s">
        <v>47</v>
      </c>
      <c r="C10" s="409"/>
    </row>
    <row r="11" spans="1:9" x14ac:dyDescent="0.2">
      <c r="A11" s="14" t="s">
        <v>48</v>
      </c>
      <c r="B11" s="361" t="s">
        <v>49</v>
      </c>
      <c r="C11" s="409"/>
    </row>
    <row r="12" spans="1:9" ht="25.5" x14ac:dyDescent="0.2">
      <c r="A12" s="14" t="s">
        <v>50</v>
      </c>
      <c r="B12" s="69" t="s">
        <v>51</v>
      </c>
      <c r="C12" s="409"/>
    </row>
    <row r="13" spans="1:9" x14ac:dyDescent="0.2">
      <c r="A13" s="12" t="s">
        <v>52</v>
      </c>
      <c r="B13" s="361" t="s">
        <v>53</v>
      </c>
      <c r="C13" s="409"/>
    </row>
    <row r="14" spans="1:9" ht="21.6" customHeight="1" x14ac:dyDescent="0.2">
      <c r="A14" s="12" t="s">
        <v>54</v>
      </c>
      <c r="B14" s="164" t="s">
        <v>55</v>
      </c>
      <c r="C14" s="409"/>
    </row>
    <row r="15" spans="1:9" ht="48" customHeight="1" x14ac:dyDescent="0.2">
      <c r="A15" s="12" t="s">
        <v>56</v>
      </c>
      <c r="B15" s="363" t="s">
        <v>57</v>
      </c>
      <c r="C15" s="409"/>
    </row>
    <row r="16" spans="1:9" ht="39.6" customHeight="1" x14ac:dyDescent="0.2">
      <c r="A16" s="12" t="s">
        <v>58</v>
      </c>
      <c r="B16" s="363" t="s">
        <v>59</v>
      </c>
      <c r="C16" s="409"/>
    </row>
    <row r="17" spans="1:3" ht="20.45" customHeight="1" x14ac:dyDescent="0.2">
      <c r="A17" s="12" t="s">
        <v>60</v>
      </c>
      <c r="B17" s="363" t="s">
        <v>61</v>
      </c>
      <c r="C17" s="410"/>
    </row>
    <row r="20" spans="1:3" ht="14.65" customHeight="1" x14ac:dyDescent="0.2"/>
    <row r="21" spans="1:3" ht="14.65" customHeight="1" x14ac:dyDescent="0.2">
      <c r="A21" s="165" t="s">
        <v>62</v>
      </c>
      <c r="B21" s="166">
        <v>42304.13</v>
      </c>
    </row>
    <row r="22" spans="1:3" x14ac:dyDescent="0.2">
      <c r="A22" s="165" t="s">
        <v>63</v>
      </c>
      <c r="B22" s="166">
        <v>51685.04</v>
      </c>
    </row>
    <row r="23" spans="1:3" ht="14.65" customHeight="1" x14ac:dyDescent="0.2">
      <c r="A23" s="165" t="s">
        <v>64</v>
      </c>
      <c r="B23" s="166">
        <v>27902.720000000001</v>
      </c>
    </row>
    <row r="24" spans="1:3" ht="14.65" customHeight="1" x14ac:dyDescent="0.2">
      <c r="A24" s="165" t="s">
        <v>65</v>
      </c>
      <c r="B24" s="166">
        <f>B22-B21</f>
        <v>9380.9100000000035</v>
      </c>
    </row>
    <row r="25" spans="1:3" ht="14.65" customHeight="1" x14ac:dyDescent="0.2"/>
    <row r="28" spans="1:3" ht="14.65" customHeight="1" x14ac:dyDescent="0.2"/>
    <row r="29" spans="1:3" ht="14.65" customHeight="1" x14ac:dyDescent="0.2"/>
  </sheetData>
  <mergeCells count="3">
    <mergeCell ref="A1:C1"/>
    <mergeCell ref="A2:C2"/>
    <mergeCell ref="C8:C17"/>
  </mergeCells>
  <hyperlinks>
    <hyperlink ref="D6" r:id="rId1" display="https://2050partners.sharepoint.com/:w:/r/sites/CalBEMCollaborativeEfforts/Shared Documents/Working Group 1 - Streamlined Process/D - Complexity of Compliance/Prototype Unification/Project Development/Phase 2 (Collect Inputs) Development/NonRes-Vintage bins-Draft Report-30Nov2023-Final.docx?d=w8560be34ea9744e086bccf7767b0a3cf&amp;csf=1&amp;web=1&amp;e=tpxacv" xr:uid="{9B264631-F0F0-4192-B5C5-F574CB46B1DA}"/>
  </hyperlinks>
  <pageMargins left="0.7" right="0.7" top="0.75" bottom="0.75" header="0.3" footer="0.3"/>
  <pageSetup orientation="portrait" r:id="rId2"/>
  <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AEFA7E-5301-47EF-897F-A5F351FF4E73}">
  <sheetPr codeName="Sheet12"/>
  <dimension ref="A1:W140"/>
  <sheetViews>
    <sheetView zoomScaleNormal="100" workbookViewId="0">
      <selection sqref="A1:N1"/>
    </sheetView>
  </sheetViews>
  <sheetFormatPr defaultColWidth="8.7109375" defaultRowHeight="12.75" x14ac:dyDescent="0.2"/>
  <cols>
    <col min="1" max="1" width="50" style="4" bestFit="1" customWidth="1"/>
    <col min="2" max="2" width="22.28515625" style="4" bestFit="1" customWidth="1"/>
    <col min="3" max="3" width="12.42578125" style="4" customWidth="1"/>
    <col min="4" max="4" width="22.28515625" style="4" customWidth="1"/>
    <col min="5" max="7" width="31.7109375" style="4" customWidth="1"/>
    <col min="8" max="8" width="19" style="4" customWidth="1"/>
    <col min="9" max="9" width="14.7109375" style="4" customWidth="1"/>
    <col min="10" max="10" width="12.7109375" style="4" customWidth="1"/>
    <col min="11" max="11" width="12" style="4" customWidth="1"/>
    <col min="12" max="13" width="11.28515625" style="4" customWidth="1"/>
    <col min="14" max="14" width="32.5703125" style="4" customWidth="1"/>
    <col min="15" max="15" width="10.140625" style="4" customWidth="1"/>
    <col min="16" max="16" width="12.7109375" style="4" customWidth="1"/>
    <col min="17" max="17" width="25.28515625" style="4" customWidth="1"/>
    <col min="18" max="18" width="22.28515625" style="4" bestFit="1" customWidth="1"/>
    <col min="19" max="19" width="18.28515625" style="4" customWidth="1"/>
    <col min="20" max="20" width="25.7109375" style="4" customWidth="1"/>
    <col min="21" max="21" width="22.7109375" style="4" customWidth="1"/>
    <col min="22" max="22" width="16.28515625" style="4" customWidth="1"/>
    <col min="23" max="23" width="6.7109375" style="4" bestFit="1" customWidth="1"/>
    <col min="24" max="28" width="17.28515625" style="4" customWidth="1"/>
    <col min="29" max="16384" width="8.7109375" style="4"/>
  </cols>
  <sheetData>
    <row r="1" spans="1:23" ht="25.9" customHeight="1" thickBot="1" x14ac:dyDescent="0.25">
      <c r="A1" s="411" t="str">
        <f>"Proposed Layout - "&amp;Prototype!A2</f>
        <v xml:space="preserve">Proposed Layout - ApartmentMidRise </v>
      </c>
      <c r="B1" s="412"/>
      <c r="C1" s="412"/>
      <c r="D1" s="412"/>
      <c r="E1" s="412"/>
      <c r="F1" s="412"/>
      <c r="G1" s="412"/>
      <c r="H1" s="412"/>
      <c r="I1" s="412"/>
      <c r="J1" s="412"/>
      <c r="K1" s="412"/>
      <c r="L1" s="412"/>
      <c r="M1" s="412"/>
      <c r="N1" s="412"/>
    </row>
    <row r="2" spans="1:23" ht="38.25" x14ac:dyDescent="0.2">
      <c r="A2" s="31" t="s">
        <v>66</v>
      </c>
      <c r="B2" s="31" t="s">
        <v>67</v>
      </c>
      <c r="C2" s="31" t="s">
        <v>68</v>
      </c>
      <c r="D2" s="31" t="s">
        <v>69</v>
      </c>
      <c r="E2" s="31" t="s">
        <v>70</v>
      </c>
      <c r="F2" s="31" t="s">
        <v>71</v>
      </c>
      <c r="G2" s="31" t="s">
        <v>72</v>
      </c>
      <c r="H2" s="30" t="s">
        <v>73</v>
      </c>
      <c r="I2" s="31" t="s">
        <v>74</v>
      </c>
      <c r="J2" s="31" t="s">
        <v>75</v>
      </c>
      <c r="K2" s="30" t="s">
        <v>76</v>
      </c>
      <c r="L2" s="30" t="s">
        <v>77</v>
      </c>
      <c r="M2" s="30" t="s">
        <v>78</v>
      </c>
      <c r="N2" s="30" t="s">
        <v>79</v>
      </c>
      <c r="P2" s="413" t="s">
        <v>80</v>
      </c>
      <c r="Q2" s="414"/>
      <c r="R2" s="414"/>
      <c r="S2" s="415"/>
      <c r="T2" s="413" t="s">
        <v>80</v>
      </c>
      <c r="U2" s="414"/>
      <c r="V2" s="414"/>
      <c r="W2" s="415"/>
    </row>
    <row r="3" spans="1:23" ht="17.850000000000001" customHeight="1" x14ac:dyDescent="0.2">
      <c r="A3" s="70" t="s">
        <v>81</v>
      </c>
      <c r="B3" s="70" t="s">
        <v>82</v>
      </c>
      <c r="C3" s="366" t="s">
        <v>83</v>
      </c>
      <c r="D3" s="366" t="s">
        <v>84</v>
      </c>
      <c r="E3" s="366" t="s">
        <v>85</v>
      </c>
      <c r="F3" s="366" t="s">
        <v>85</v>
      </c>
      <c r="G3" s="366" t="s">
        <v>86</v>
      </c>
      <c r="H3" s="68" t="s">
        <v>87</v>
      </c>
      <c r="I3" s="72">
        <f t="shared" ref="I3:I39" si="0">J3*L3/$J$40</f>
        <v>2.5532260114190276E-3</v>
      </c>
      <c r="J3" s="75">
        <v>360.04</v>
      </c>
      <c r="K3" s="74">
        <v>3600.53</v>
      </c>
      <c r="L3" s="68">
        <v>1</v>
      </c>
      <c r="M3" s="19">
        <f t="shared" ref="M3:M28" si="1">N3*J3/1000</f>
        <v>24.003866800000004</v>
      </c>
      <c r="N3" s="345">
        <v>66.67</v>
      </c>
      <c r="P3" s="416"/>
      <c r="Q3" s="417"/>
      <c r="R3" s="417"/>
      <c r="S3" s="418"/>
      <c r="T3" s="416"/>
      <c r="U3" s="417"/>
      <c r="V3" s="417"/>
      <c r="W3" s="418"/>
    </row>
    <row r="4" spans="1:23" ht="17.850000000000001" customHeight="1" x14ac:dyDescent="0.2">
      <c r="A4" s="70" t="s">
        <v>88</v>
      </c>
      <c r="B4" s="70" t="s">
        <v>89</v>
      </c>
      <c r="C4" s="366" t="s">
        <v>83</v>
      </c>
      <c r="D4" s="366" t="s">
        <v>84</v>
      </c>
      <c r="E4" s="366" t="s">
        <v>85</v>
      </c>
      <c r="F4" s="366" t="s">
        <v>85</v>
      </c>
      <c r="G4" s="366" t="s">
        <v>90</v>
      </c>
      <c r="H4" s="68" t="s">
        <v>87</v>
      </c>
      <c r="I4" s="72">
        <f t="shared" si="0"/>
        <v>1.3617039925749089E-2</v>
      </c>
      <c r="J4" s="75">
        <v>1920.19</v>
      </c>
      <c r="K4" s="74">
        <v>19202.810000000001</v>
      </c>
      <c r="L4" s="68">
        <v>1</v>
      </c>
      <c r="M4" s="19">
        <f t="shared" si="1"/>
        <v>19.201900000000002</v>
      </c>
      <c r="N4" s="345">
        <v>10</v>
      </c>
      <c r="P4" s="416"/>
      <c r="Q4" s="417"/>
      <c r="R4" s="417"/>
      <c r="S4" s="418"/>
      <c r="T4" s="416"/>
      <c r="U4" s="417"/>
      <c r="V4" s="417"/>
      <c r="W4" s="418"/>
    </row>
    <row r="5" spans="1:23" ht="17.850000000000001" customHeight="1" x14ac:dyDescent="0.2">
      <c r="A5" s="70" t="s">
        <v>91</v>
      </c>
      <c r="B5" s="70" t="s">
        <v>92</v>
      </c>
      <c r="C5" s="366" t="s">
        <v>83</v>
      </c>
      <c r="D5" s="366" t="s">
        <v>84</v>
      </c>
      <c r="E5" s="366" t="s">
        <v>85</v>
      </c>
      <c r="F5" s="366" t="s">
        <v>85</v>
      </c>
      <c r="G5" s="366" t="s">
        <v>93</v>
      </c>
      <c r="H5" s="68" t="s">
        <v>87</v>
      </c>
      <c r="I5" s="72">
        <f t="shared" si="0"/>
        <v>6.3829941134822587E-3</v>
      </c>
      <c r="J5" s="75">
        <v>900.09</v>
      </c>
      <c r="K5" s="74">
        <v>9001.32</v>
      </c>
      <c r="L5" s="68">
        <v>1</v>
      </c>
      <c r="M5" s="19">
        <f t="shared" si="1"/>
        <v>18.001799999999999</v>
      </c>
      <c r="N5" s="345">
        <v>20</v>
      </c>
      <c r="O5" s="57"/>
      <c r="P5" s="416"/>
      <c r="Q5" s="417"/>
      <c r="R5" s="417"/>
      <c r="S5" s="418"/>
      <c r="T5" s="416"/>
      <c r="U5" s="417"/>
      <c r="V5" s="417"/>
      <c r="W5" s="418"/>
    </row>
    <row r="6" spans="1:23" ht="17.850000000000001" customHeight="1" x14ac:dyDescent="0.2">
      <c r="A6" s="70" t="s">
        <v>94</v>
      </c>
      <c r="B6" s="70" t="s">
        <v>95</v>
      </c>
      <c r="C6" s="366" t="s">
        <v>83</v>
      </c>
      <c r="D6" s="366" t="s">
        <v>84</v>
      </c>
      <c r="E6" s="366" t="s">
        <v>85</v>
      </c>
      <c r="F6" s="366" t="s">
        <v>85</v>
      </c>
      <c r="G6" s="366" t="s">
        <v>96</v>
      </c>
      <c r="H6" s="68" t="s">
        <v>87</v>
      </c>
      <c r="I6" s="72">
        <f t="shared" si="0"/>
        <v>2.4467824983888092E-3</v>
      </c>
      <c r="J6" s="75">
        <v>345.03</v>
      </c>
      <c r="K6" s="74">
        <v>3450.51</v>
      </c>
      <c r="L6" s="68">
        <v>1</v>
      </c>
      <c r="M6" s="19">
        <f t="shared" si="1"/>
        <v>3.4502999999999999</v>
      </c>
      <c r="N6" s="345">
        <v>10</v>
      </c>
      <c r="P6" s="416"/>
      <c r="Q6" s="417"/>
      <c r="R6" s="417"/>
      <c r="S6" s="418"/>
      <c r="T6" s="416"/>
      <c r="U6" s="417"/>
      <c r="V6" s="417"/>
      <c r="W6" s="418"/>
    </row>
    <row r="7" spans="1:23" ht="17.850000000000001" customHeight="1" x14ac:dyDescent="0.2">
      <c r="A7" s="70" t="s">
        <v>97</v>
      </c>
      <c r="B7" s="70" t="s">
        <v>98</v>
      </c>
      <c r="C7" s="366" t="s">
        <v>83</v>
      </c>
      <c r="D7" s="366" t="s">
        <v>84</v>
      </c>
      <c r="E7" s="366" t="s">
        <v>85</v>
      </c>
      <c r="F7" s="366" t="s">
        <v>85</v>
      </c>
      <c r="G7" s="366" t="s">
        <v>99</v>
      </c>
      <c r="H7" s="68" t="s">
        <v>87</v>
      </c>
      <c r="I7" s="72">
        <f t="shared" si="0"/>
        <v>7.446791008196646E-3</v>
      </c>
      <c r="J7" s="75">
        <v>1050.0999999999999</v>
      </c>
      <c r="K7" s="74">
        <v>10501.54</v>
      </c>
      <c r="L7" s="68">
        <v>1</v>
      </c>
      <c r="M7" s="19">
        <f t="shared" si="1"/>
        <v>70.041669999999996</v>
      </c>
      <c r="N7" s="345">
        <v>66.7</v>
      </c>
      <c r="P7" s="416"/>
      <c r="Q7" s="417"/>
      <c r="R7" s="417"/>
      <c r="S7" s="418"/>
      <c r="T7" s="416"/>
      <c r="U7" s="417"/>
      <c r="V7" s="417"/>
      <c r="W7" s="418"/>
    </row>
    <row r="8" spans="1:23" ht="17.850000000000001" customHeight="1" x14ac:dyDescent="0.2">
      <c r="A8" s="70" t="s">
        <v>100</v>
      </c>
      <c r="B8" s="70" t="s">
        <v>101</v>
      </c>
      <c r="C8" s="366" t="s">
        <v>83</v>
      </c>
      <c r="D8" s="366" t="s">
        <v>84</v>
      </c>
      <c r="E8" s="366" t="s">
        <v>85</v>
      </c>
      <c r="F8" s="366" t="s">
        <v>85</v>
      </c>
      <c r="G8" s="366" t="s">
        <v>102</v>
      </c>
      <c r="H8" s="68" t="s">
        <v>87</v>
      </c>
      <c r="I8" s="72">
        <f t="shared" si="0"/>
        <v>3.0638144816505851E-3</v>
      </c>
      <c r="J8" s="75">
        <v>432.04</v>
      </c>
      <c r="K8" s="74">
        <v>4320.63</v>
      </c>
      <c r="L8" s="68">
        <v>1</v>
      </c>
      <c r="M8" s="19">
        <f t="shared" si="1"/>
        <v>1.2961200000000002</v>
      </c>
      <c r="N8" s="345">
        <v>3</v>
      </c>
      <c r="P8" s="416"/>
      <c r="Q8" s="417"/>
      <c r="R8" s="417"/>
      <c r="S8" s="418"/>
      <c r="T8" s="416"/>
      <c r="U8" s="417"/>
      <c r="V8" s="417"/>
      <c r="W8" s="418"/>
    </row>
    <row r="9" spans="1:23" ht="17.850000000000001" customHeight="1" x14ac:dyDescent="0.2">
      <c r="A9" s="70" t="s">
        <v>103</v>
      </c>
      <c r="B9" s="70" t="s">
        <v>104</v>
      </c>
      <c r="C9" s="366" t="s">
        <v>83</v>
      </c>
      <c r="D9" s="366" t="s">
        <v>105</v>
      </c>
      <c r="E9" s="366" t="s">
        <v>85</v>
      </c>
      <c r="F9" s="366" t="s">
        <v>85</v>
      </c>
      <c r="G9" s="366" t="s">
        <v>106</v>
      </c>
      <c r="H9" s="68" t="s">
        <v>87</v>
      </c>
      <c r="I9" s="72">
        <f t="shared" si="0"/>
        <v>4.2446779661786192E-2</v>
      </c>
      <c r="J9" s="75">
        <v>5985.58</v>
      </c>
      <c r="K9" s="74">
        <v>59858.76</v>
      </c>
      <c r="L9" s="68">
        <v>1</v>
      </c>
      <c r="M9" s="19">
        <f t="shared" si="1"/>
        <v>99.75966666666686</v>
      </c>
      <c r="N9" s="345">
        <v>16.6666666666667</v>
      </c>
      <c r="P9" s="416"/>
      <c r="Q9" s="417"/>
      <c r="R9" s="417"/>
      <c r="S9" s="418"/>
      <c r="T9" s="416"/>
      <c r="U9" s="417"/>
      <c r="V9" s="417"/>
      <c r="W9" s="418"/>
    </row>
    <row r="10" spans="1:23" ht="17.850000000000001" customHeight="1" x14ac:dyDescent="0.2">
      <c r="A10" s="70" t="s">
        <v>103</v>
      </c>
      <c r="B10" s="70" t="s">
        <v>107</v>
      </c>
      <c r="C10" s="366" t="s">
        <v>83</v>
      </c>
      <c r="D10" s="366" t="s">
        <v>105</v>
      </c>
      <c r="E10" s="366" t="s">
        <v>85</v>
      </c>
      <c r="F10" s="366" t="s">
        <v>85</v>
      </c>
      <c r="G10" s="366" t="s">
        <v>108</v>
      </c>
      <c r="H10" s="68" t="s">
        <v>87</v>
      </c>
      <c r="I10" s="72">
        <f t="shared" si="0"/>
        <v>3.0638286646636467E-2</v>
      </c>
      <c r="J10" s="75">
        <v>4320.42</v>
      </c>
      <c r="K10" s="74">
        <v>43206.32</v>
      </c>
      <c r="L10" s="68">
        <v>1</v>
      </c>
      <c r="M10" s="19">
        <f t="shared" si="1"/>
        <v>72.007000000000147</v>
      </c>
      <c r="N10" s="345">
        <v>16.6666666666667</v>
      </c>
      <c r="P10" s="416"/>
      <c r="Q10" s="417"/>
      <c r="R10" s="417"/>
      <c r="S10" s="418"/>
      <c r="T10" s="416"/>
      <c r="U10" s="417"/>
      <c r="V10" s="417"/>
      <c r="W10" s="418"/>
    </row>
    <row r="11" spans="1:23" ht="17.850000000000001" customHeight="1" x14ac:dyDescent="0.2">
      <c r="A11" s="70" t="s">
        <v>103</v>
      </c>
      <c r="B11" s="70" t="s">
        <v>109</v>
      </c>
      <c r="C11" s="366" t="s">
        <v>83</v>
      </c>
      <c r="D11" s="366" t="s">
        <v>105</v>
      </c>
      <c r="E11" s="366" t="s">
        <v>85</v>
      </c>
      <c r="F11" s="366" t="s">
        <v>85</v>
      </c>
      <c r="G11" s="366" t="s">
        <v>110</v>
      </c>
      <c r="H11" s="68" t="s">
        <v>87</v>
      </c>
      <c r="I11" s="72">
        <f t="shared" si="0"/>
        <v>2.0425524431090979E-2</v>
      </c>
      <c r="J11" s="75">
        <v>2880.28</v>
      </c>
      <c r="K11" s="74">
        <v>28804.22</v>
      </c>
      <c r="L11" s="68">
        <v>1</v>
      </c>
      <c r="M11" s="19">
        <f t="shared" si="1"/>
        <v>48.004666666666765</v>
      </c>
      <c r="N11" s="345">
        <v>16.6666666666667</v>
      </c>
      <c r="P11" s="416"/>
      <c r="Q11" s="417"/>
      <c r="R11" s="417"/>
      <c r="S11" s="418"/>
      <c r="T11" s="416"/>
      <c r="U11" s="417"/>
      <c r="V11" s="417"/>
      <c r="W11" s="418"/>
    </row>
    <row r="12" spans="1:23" ht="17.850000000000001" customHeight="1" x14ac:dyDescent="0.2">
      <c r="A12" s="70" t="s">
        <v>103</v>
      </c>
      <c r="B12" s="70" t="s">
        <v>111</v>
      </c>
      <c r="C12" s="366" t="s">
        <v>83</v>
      </c>
      <c r="D12" s="366" t="s">
        <v>105</v>
      </c>
      <c r="E12" s="366" t="s">
        <v>85</v>
      </c>
      <c r="F12" s="366" t="s">
        <v>85</v>
      </c>
      <c r="G12" s="366" t="s">
        <v>112</v>
      </c>
      <c r="H12" s="68" t="s">
        <v>87</v>
      </c>
      <c r="I12" s="72">
        <f t="shared" si="0"/>
        <v>3.1404240267049119E-2</v>
      </c>
      <c r="J12" s="75">
        <v>4428.43</v>
      </c>
      <c r="K12" s="74">
        <v>44286.48</v>
      </c>
      <c r="L12" s="68">
        <v>1</v>
      </c>
      <c r="M12" s="19">
        <f t="shared" si="1"/>
        <v>73.807166666666816</v>
      </c>
      <c r="N12" s="345">
        <v>16.6666666666667</v>
      </c>
      <c r="P12" s="416"/>
      <c r="Q12" s="417"/>
      <c r="R12" s="417"/>
      <c r="S12" s="418"/>
      <c r="T12" s="416"/>
      <c r="U12" s="417"/>
      <c r="V12" s="417"/>
      <c r="W12" s="418"/>
    </row>
    <row r="13" spans="1:23" ht="17.850000000000001" customHeight="1" x14ac:dyDescent="0.2">
      <c r="A13" s="70" t="s">
        <v>113</v>
      </c>
      <c r="B13" s="70" t="s">
        <v>114</v>
      </c>
      <c r="C13" s="366" t="s">
        <v>115</v>
      </c>
      <c r="D13" s="366" t="s">
        <v>693</v>
      </c>
      <c r="E13" s="366">
        <f>L13</f>
        <v>3</v>
      </c>
      <c r="F13" s="366" t="s">
        <v>117</v>
      </c>
      <c r="G13" s="366" t="s">
        <v>118</v>
      </c>
      <c r="H13" s="68" t="s">
        <v>87</v>
      </c>
      <c r="I13" s="72">
        <f t="shared" si="0"/>
        <v>3.0638286646636467E-2</v>
      </c>
      <c r="J13" s="75">
        <v>1440.14</v>
      </c>
      <c r="K13" s="74">
        <v>14402.11</v>
      </c>
      <c r="L13" s="68">
        <v>3</v>
      </c>
      <c r="M13" s="19">
        <f t="shared" si="1"/>
        <v>7.2007000000000003</v>
      </c>
      <c r="N13" s="345">
        <v>5</v>
      </c>
      <c r="P13" s="416"/>
      <c r="Q13" s="417"/>
      <c r="R13" s="417"/>
      <c r="S13" s="418"/>
      <c r="T13" s="416"/>
      <c r="U13" s="417"/>
      <c r="V13" s="417"/>
      <c r="W13" s="418"/>
    </row>
    <row r="14" spans="1:23" ht="17.850000000000001" customHeight="1" x14ac:dyDescent="0.2">
      <c r="A14" s="70" t="s">
        <v>113</v>
      </c>
      <c r="B14" s="70" t="s">
        <v>119</v>
      </c>
      <c r="C14" s="366" t="s">
        <v>115</v>
      </c>
      <c r="D14" s="366" t="s">
        <v>693</v>
      </c>
      <c r="E14" s="366">
        <f t="shared" ref="E14:E21" si="2">L14</f>
        <v>3</v>
      </c>
      <c r="F14" s="366" t="s">
        <v>117</v>
      </c>
      <c r="G14" s="366" t="s">
        <v>120</v>
      </c>
      <c r="H14" s="68" t="s">
        <v>87</v>
      </c>
      <c r="I14" s="72">
        <f t="shared" si="0"/>
        <v>1.5319143323318234E-2</v>
      </c>
      <c r="J14" s="75">
        <v>720.07</v>
      </c>
      <c r="K14" s="74">
        <v>7201.05</v>
      </c>
      <c r="L14" s="68">
        <v>3</v>
      </c>
      <c r="M14" s="19">
        <f t="shared" si="1"/>
        <v>3.6003500000000002</v>
      </c>
      <c r="N14" s="345">
        <v>5</v>
      </c>
      <c r="P14" s="416"/>
      <c r="Q14" s="417"/>
      <c r="R14" s="417"/>
      <c r="S14" s="418"/>
      <c r="T14" s="416"/>
      <c r="U14" s="417"/>
      <c r="V14" s="417"/>
      <c r="W14" s="418"/>
    </row>
    <row r="15" spans="1:23" ht="17.850000000000001" customHeight="1" x14ac:dyDescent="0.2">
      <c r="A15" s="70" t="s">
        <v>113</v>
      </c>
      <c r="B15" s="70" t="s">
        <v>121</v>
      </c>
      <c r="C15" s="366" t="s">
        <v>115</v>
      </c>
      <c r="D15" s="366" t="s">
        <v>693</v>
      </c>
      <c r="E15" s="366">
        <f t="shared" si="2"/>
        <v>3</v>
      </c>
      <c r="F15" s="366" t="s">
        <v>117</v>
      </c>
      <c r="G15" s="366" t="s">
        <v>122</v>
      </c>
      <c r="H15" s="68" t="s">
        <v>87</v>
      </c>
      <c r="I15" s="72">
        <f t="shared" si="0"/>
        <v>3.0638286646636467E-2</v>
      </c>
      <c r="J15" s="75">
        <v>1440.14</v>
      </c>
      <c r="K15" s="74">
        <v>14402.11</v>
      </c>
      <c r="L15" s="68">
        <v>3</v>
      </c>
      <c r="M15" s="19">
        <f t="shared" si="1"/>
        <v>7.2007000000000003</v>
      </c>
      <c r="N15" s="345">
        <v>5</v>
      </c>
      <c r="P15" s="416"/>
      <c r="Q15" s="417"/>
      <c r="R15" s="417"/>
      <c r="S15" s="418"/>
      <c r="T15" s="416"/>
      <c r="U15" s="417"/>
      <c r="V15" s="417"/>
      <c r="W15" s="418"/>
    </row>
    <row r="16" spans="1:23" ht="17.850000000000001" customHeight="1" x14ac:dyDescent="0.2">
      <c r="A16" s="70" t="s">
        <v>113</v>
      </c>
      <c r="B16" s="70" t="s">
        <v>123</v>
      </c>
      <c r="C16" s="366" t="s">
        <v>115</v>
      </c>
      <c r="D16" s="366" t="s">
        <v>693</v>
      </c>
      <c r="E16" s="366">
        <f t="shared" si="2"/>
        <v>3</v>
      </c>
      <c r="F16" s="366" t="s">
        <v>117</v>
      </c>
      <c r="G16" s="366" t="s">
        <v>124</v>
      </c>
      <c r="H16" s="68" t="s">
        <v>87</v>
      </c>
      <c r="I16" s="72">
        <f t="shared" si="0"/>
        <v>7.9148871712944893E-2</v>
      </c>
      <c r="J16" s="75">
        <v>3720.36</v>
      </c>
      <c r="K16" s="74">
        <v>37205.449999999997</v>
      </c>
      <c r="L16" s="68">
        <v>3</v>
      </c>
      <c r="M16" s="19">
        <f t="shared" si="1"/>
        <v>18.601800000000001</v>
      </c>
      <c r="N16" s="345">
        <v>5</v>
      </c>
      <c r="P16" s="416"/>
      <c r="Q16" s="417"/>
      <c r="R16" s="417"/>
      <c r="S16" s="418"/>
      <c r="T16" s="416"/>
      <c r="U16" s="417"/>
      <c r="V16" s="417"/>
      <c r="W16" s="418"/>
    </row>
    <row r="17" spans="1:23" ht="17.850000000000001" customHeight="1" thickBot="1" x14ac:dyDescent="0.25">
      <c r="A17" s="70" t="s">
        <v>113</v>
      </c>
      <c r="B17" s="70" t="s">
        <v>125</v>
      </c>
      <c r="C17" s="366" t="s">
        <v>115</v>
      </c>
      <c r="D17" s="366" t="s">
        <v>693</v>
      </c>
      <c r="E17" s="366">
        <f t="shared" si="2"/>
        <v>3</v>
      </c>
      <c r="F17" s="366" t="s">
        <v>126</v>
      </c>
      <c r="G17" s="366" t="s">
        <v>127</v>
      </c>
      <c r="H17" s="68" t="s">
        <v>87</v>
      </c>
      <c r="I17" s="72">
        <f t="shared" si="0"/>
        <v>4.5957429969954701E-2</v>
      </c>
      <c r="J17" s="75">
        <v>2160.21</v>
      </c>
      <c r="K17" s="74">
        <v>21603.16</v>
      </c>
      <c r="L17" s="68">
        <v>3</v>
      </c>
      <c r="M17" s="19">
        <f t="shared" si="1"/>
        <v>10.80105</v>
      </c>
      <c r="N17" s="345">
        <v>5</v>
      </c>
      <c r="P17" s="419"/>
      <c r="Q17" s="420"/>
      <c r="R17" s="420"/>
      <c r="S17" s="421"/>
      <c r="T17" s="419"/>
      <c r="U17" s="420"/>
      <c r="V17" s="420"/>
      <c r="W17" s="421"/>
    </row>
    <row r="18" spans="1:23" ht="17.850000000000001" customHeight="1" x14ac:dyDescent="0.2">
      <c r="A18" s="70" t="s">
        <v>113</v>
      </c>
      <c r="B18" s="70" t="s">
        <v>128</v>
      </c>
      <c r="C18" s="366" t="s">
        <v>115</v>
      </c>
      <c r="D18" s="366" t="s">
        <v>693</v>
      </c>
      <c r="E18" s="366">
        <f t="shared" si="2"/>
        <v>3</v>
      </c>
      <c r="F18" s="366" t="s">
        <v>126</v>
      </c>
      <c r="G18" s="366" t="s">
        <v>129</v>
      </c>
      <c r="H18" s="68" t="s">
        <v>87</v>
      </c>
      <c r="I18" s="72">
        <f t="shared" si="0"/>
        <v>6.8936251327530021E-2</v>
      </c>
      <c r="J18" s="75">
        <v>3240.32</v>
      </c>
      <c r="K18" s="74">
        <v>32404.74</v>
      </c>
      <c r="L18" s="68">
        <v>3</v>
      </c>
      <c r="M18" s="19">
        <f t="shared" si="1"/>
        <v>16.201599999999999</v>
      </c>
      <c r="N18" s="345">
        <v>5</v>
      </c>
    </row>
    <row r="19" spans="1:23" ht="17.850000000000001" customHeight="1" x14ac:dyDescent="0.2">
      <c r="A19" s="70" t="s">
        <v>113</v>
      </c>
      <c r="B19" s="70" t="s">
        <v>130</v>
      </c>
      <c r="C19" s="366" t="s">
        <v>115</v>
      </c>
      <c r="D19" s="366" t="s">
        <v>693</v>
      </c>
      <c r="E19" s="366">
        <f t="shared" si="2"/>
        <v>3</v>
      </c>
      <c r="F19" s="366" t="s">
        <v>126</v>
      </c>
      <c r="G19" s="366" t="s">
        <v>131</v>
      </c>
      <c r="H19" s="68" t="s">
        <v>87</v>
      </c>
      <c r="I19" s="72">
        <f t="shared" si="0"/>
        <v>6.8936251327530021E-2</v>
      </c>
      <c r="J19" s="75">
        <v>3240.32</v>
      </c>
      <c r="K19" s="74">
        <v>32404.74</v>
      </c>
      <c r="L19" s="68">
        <v>3</v>
      </c>
      <c r="M19" s="19">
        <f t="shared" si="1"/>
        <v>16.201599999999999</v>
      </c>
      <c r="N19" s="345">
        <v>5</v>
      </c>
    </row>
    <row r="20" spans="1:23" ht="17.850000000000001" customHeight="1" x14ac:dyDescent="0.2">
      <c r="A20" s="70" t="s">
        <v>113</v>
      </c>
      <c r="B20" s="70" t="s">
        <v>132</v>
      </c>
      <c r="C20" s="366" t="s">
        <v>115</v>
      </c>
      <c r="D20" s="366" t="s">
        <v>693</v>
      </c>
      <c r="E20" s="366">
        <f t="shared" si="2"/>
        <v>3</v>
      </c>
      <c r="F20" s="366" t="s">
        <v>133</v>
      </c>
      <c r="G20" s="366" t="s">
        <v>134</v>
      </c>
      <c r="H20" s="68" t="s">
        <v>87</v>
      </c>
      <c r="I20" s="72">
        <f t="shared" si="0"/>
        <v>3.0000051058847021E-2</v>
      </c>
      <c r="J20" s="75">
        <v>1410.14</v>
      </c>
      <c r="K20" s="74">
        <v>14102.06</v>
      </c>
      <c r="L20" s="68">
        <v>3</v>
      </c>
      <c r="M20" s="19">
        <f t="shared" si="1"/>
        <v>7.0507000000000009</v>
      </c>
      <c r="N20" s="345">
        <v>5</v>
      </c>
    </row>
    <row r="21" spans="1:23" ht="17.850000000000001" customHeight="1" x14ac:dyDescent="0.2">
      <c r="A21" s="70" t="s">
        <v>113</v>
      </c>
      <c r="B21" s="70" t="s">
        <v>135</v>
      </c>
      <c r="C21" s="366" t="s">
        <v>115</v>
      </c>
      <c r="D21" s="366" t="s">
        <v>693</v>
      </c>
      <c r="E21" s="366">
        <f t="shared" si="2"/>
        <v>3</v>
      </c>
      <c r="F21" s="366" t="s">
        <v>133</v>
      </c>
      <c r="G21" s="366" t="s">
        <v>136</v>
      </c>
      <c r="H21" s="68" t="s">
        <v>87</v>
      </c>
      <c r="I21" s="72">
        <f t="shared" si="0"/>
        <v>3.0000051058847021E-2</v>
      </c>
      <c r="J21" s="75">
        <v>1410.14</v>
      </c>
      <c r="K21" s="74">
        <v>14102.06</v>
      </c>
      <c r="L21" s="68">
        <v>3</v>
      </c>
      <c r="M21" s="19">
        <f t="shared" si="1"/>
        <v>7.0507000000000009</v>
      </c>
      <c r="N21" s="345">
        <v>5</v>
      </c>
    </row>
    <row r="22" spans="1:23" ht="17.850000000000001" customHeight="1" x14ac:dyDescent="0.2">
      <c r="A22" s="70" t="s">
        <v>88</v>
      </c>
      <c r="B22" s="70" t="s">
        <v>137</v>
      </c>
      <c r="C22" s="366" t="s">
        <v>83</v>
      </c>
      <c r="D22" s="366" t="s">
        <v>84</v>
      </c>
      <c r="E22" s="366" t="s">
        <v>85</v>
      </c>
      <c r="F22" s="366" t="s">
        <v>85</v>
      </c>
      <c r="G22" s="366" t="s">
        <v>138</v>
      </c>
      <c r="H22" s="68" t="s">
        <v>87</v>
      </c>
      <c r="I22" s="72">
        <f t="shared" si="0"/>
        <v>5.489357917979068E-2</v>
      </c>
      <c r="J22" s="75">
        <v>2580.25</v>
      </c>
      <c r="K22" s="74">
        <v>25803.78</v>
      </c>
      <c r="L22" s="68">
        <v>3</v>
      </c>
      <c r="M22" s="19">
        <f t="shared" si="1"/>
        <v>25.802499999999998</v>
      </c>
      <c r="N22" s="345">
        <v>10</v>
      </c>
    </row>
    <row r="23" spans="1:23" ht="17.850000000000001" customHeight="1" x14ac:dyDescent="0.2">
      <c r="A23" s="70" t="s">
        <v>139</v>
      </c>
      <c r="B23" s="70" t="s">
        <v>140</v>
      </c>
      <c r="C23" s="366" t="s">
        <v>83</v>
      </c>
      <c r="D23" s="366" t="s">
        <v>84</v>
      </c>
      <c r="E23" s="366" t="s">
        <v>85</v>
      </c>
      <c r="F23" s="366" t="s">
        <v>85</v>
      </c>
      <c r="G23" s="366" t="s">
        <v>141</v>
      </c>
      <c r="H23" s="68" t="s">
        <v>87</v>
      </c>
      <c r="I23" s="72">
        <f t="shared" si="0"/>
        <v>3.8298390171285415E-3</v>
      </c>
      <c r="J23" s="75">
        <v>180.02</v>
      </c>
      <c r="K23" s="74">
        <v>1800.26</v>
      </c>
      <c r="L23" s="68">
        <v>3</v>
      </c>
      <c r="M23" s="19">
        <f t="shared" si="1"/>
        <v>1.8002</v>
      </c>
      <c r="N23" s="345">
        <v>10</v>
      </c>
    </row>
    <row r="24" spans="1:23" ht="17.850000000000001" customHeight="1" x14ac:dyDescent="0.2">
      <c r="A24" s="70" t="s">
        <v>113</v>
      </c>
      <c r="B24" s="70" t="s">
        <v>142</v>
      </c>
      <c r="C24" s="366" t="s">
        <v>115</v>
      </c>
      <c r="D24" s="366" t="s">
        <v>693</v>
      </c>
      <c r="E24" s="366">
        <f t="shared" ref="E24:E34" si="3">L24</f>
        <v>3</v>
      </c>
      <c r="F24" s="366" t="s">
        <v>117</v>
      </c>
      <c r="G24" s="366" t="s">
        <v>143</v>
      </c>
      <c r="H24" s="68" t="s">
        <v>87</v>
      </c>
      <c r="I24" s="72">
        <f t="shared" si="0"/>
        <v>1.1489304306189692E-2</v>
      </c>
      <c r="J24" s="75">
        <v>540.04999999999995</v>
      </c>
      <c r="K24" s="74">
        <v>5400.79</v>
      </c>
      <c r="L24" s="68">
        <v>3</v>
      </c>
      <c r="M24" s="19">
        <f t="shared" si="1"/>
        <v>2.70025</v>
      </c>
      <c r="N24" s="345">
        <v>5</v>
      </c>
    </row>
    <row r="25" spans="1:23" ht="17.850000000000001" customHeight="1" x14ac:dyDescent="0.2">
      <c r="A25" s="70" t="s">
        <v>113</v>
      </c>
      <c r="B25" s="70" t="s">
        <v>144</v>
      </c>
      <c r="C25" s="366" t="s">
        <v>115</v>
      </c>
      <c r="D25" s="366" t="s">
        <v>693</v>
      </c>
      <c r="E25" s="366">
        <f t="shared" si="3"/>
        <v>3</v>
      </c>
      <c r="F25" s="366" t="s">
        <v>145</v>
      </c>
      <c r="G25" s="366" t="s">
        <v>146</v>
      </c>
      <c r="H25" s="68" t="s">
        <v>87</v>
      </c>
      <c r="I25" s="72">
        <f t="shared" si="0"/>
        <v>1.1489304306189692E-2</v>
      </c>
      <c r="J25" s="75">
        <v>540.04999999999995</v>
      </c>
      <c r="K25" s="74">
        <v>5400.79</v>
      </c>
      <c r="L25" s="68">
        <v>3</v>
      </c>
      <c r="M25" s="19">
        <f t="shared" si="1"/>
        <v>2.70025</v>
      </c>
      <c r="N25" s="345">
        <v>5</v>
      </c>
    </row>
    <row r="26" spans="1:23" ht="17.850000000000001" customHeight="1" x14ac:dyDescent="0.2">
      <c r="A26" s="70" t="s">
        <v>113</v>
      </c>
      <c r="B26" s="70" t="s">
        <v>147</v>
      </c>
      <c r="C26" s="366" t="s">
        <v>115</v>
      </c>
      <c r="D26" s="366" t="s">
        <v>693</v>
      </c>
      <c r="E26" s="366">
        <f t="shared" si="3"/>
        <v>1</v>
      </c>
      <c r="F26" s="366" t="s">
        <v>117</v>
      </c>
      <c r="G26" s="366" t="s">
        <v>148</v>
      </c>
      <c r="H26" s="68" t="s">
        <v>87</v>
      </c>
      <c r="I26" s="72">
        <f t="shared" si="0"/>
        <v>1.021276221554549E-2</v>
      </c>
      <c r="J26" s="75">
        <v>1440.14</v>
      </c>
      <c r="K26" s="74">
        <v>14402.11</v>
      </c>
      <c r="L26" s="68">
        <v>1</v>
      </c>
      <c r="M26" s="19">
        <f t="shared" si="1"/>
        <v>7.2007000000000003</v>
      </c>
      <c r="N26" s="345">
        <v>5</v>
      </c>
    </row>
    <row r="27" spans="1:23" ht="17.850000000000001" customHeight="1" x14ac:dyDescent="0.2">
      <c r="A27" s="70" t="s">
        <v>113</v>
      </c>
      <c r="B27" s="70" t="s">
        <v>149</v>
      </c>
      <c r="C27" s="366" t="s">
        <v>115</v>
      </c>
      <c r="D27" s="366" t="s">
        <v>693</v>
      </c>
      <c r="E27" s="366">
        <f t="shared" si="3"/>
        <v>1</v>
      </c>
      <c r="F27" s="366" t="s">
        <v>117</v>
      </c>
      <c r="G27" s="366" t="s">
        <v>150</v>
      </c>
      <c r="H27" s="68" t="s">
        <v>87</v>
      </c>
      <c r="I27" s="72">
        <f t="shared" si="0"/>
        <v>5.1063811077727448E-3</v>
      </c>
      <c r="J27" s="75">
        <v>720.07</v>
      </c>
      <c r="K27" s="74">
        <v>7201.05</v>
      </c>
      <c r="L27" s="68">
        <v>1</v>
      </c>
      <c r="M27" s="19">
        <f t="shared" si="1"/>
        <v>3.6003500000000002</v>
      </c>
      <c r="N27" s="345">
        <v>5</v>
      </c>
    </row>
    <row r="28" spans="1:23" ht="17.850000000000001" customHeight="1" x14ac:dyDescent="0.2">
      <c r="A28" s="70" t="s">
        <v>113</v>
      </c>
      <c r="B28" s="70" t="s">
        <v>151</v>
      </c>
      <c r="C28" s="366" t="s">
        <v>115</v>
      </c>
      <c r="D28" s="366" t="s">
        <v>693</v>
      </c>
      <c r="E28" s="366">
        <f t="shared" si="3"/>
        <v>1</v>
      </c>
      <c r="F28" s="366" t="s">
        <v>117</v>
      </c>
      <c r="G28" s="366" t="s">
        <v>152</v>
      </c>
      <c r="H28" s="68" t="s">
        <v>87</v>
      </c>
      <c r="I28" s="72">
        <f t="shared" si="0"/>
        <v>1.021276221554549E-2</v>
      </c>
      <c r="J28" s="75">
        <v>1440.14</v>
      </c>
      <c r="K28" s="74">
        <v>14402.11</v>
      </c>
      <c r="L28" s="68">
        <v>1</v>
      </c>
      <c r="M28" s="19">
        <f t="shared" si="1"/>
        <v>7.2007000000000003</v>
      </c>
      <c r="N28" s="345">
        <v>5</v>
      </c>
    </row>
    <row r="29" spans="1:23" s="26" customFormat="1" ht="17.850000000000001" customHeight="1" x14ac:dyDescent="0.2">
      <c r="A29" s="70" t="s">
        <v>113</v>
      </c>
      <c r="B29" s="232" t="s">
        <v>153</v>
      </c>
      <c r="C29" s="366" t="s">
        <v>115</v>
      </c>
      <c r="D29" s="366" t="s">
        <v>693</v>
      </c>
      <c r="E29" s="366">
        <f t="shared" si="3"/>
        <v>1</v>
      </c>
      <c r="F29" s="366" t="s">
        <v>117</v>
      </c>
      <c r="G29" s="366" t="s">
        <v>154</v>
      </c>
      <c r="H29" s="68" t="s">
        <v>87</v>
      </c>
      <c r="I29" s="72">
        <f t="shared" si="0"/>
        <v>2.6382957237648295E-2</v>
      </c>
      <c r="J29" s="19">
        <v>3720.36</v>
      </c>
      <c r="K29" s="74">
        <v>37205.449999999997</v>
      </c>
      <c r="L29" s="68">
        <v>1</v>
      </c>
      <c r="M29" s="19">
        <f>N29*J29/1000</f>
        <v>18.601800000000001</v>
      </c>
      <c r="N29" s="345">
        <v>5</v>
      </c>
    </row>
    <row r="30" spans="1:23" ht="17.850000000000001" customHeight="1" x14ac:dyDescent="0.2">
      <c r="A30" s="70" t="s">
        <v>113</v>
      </c>
      <c r="B30" s="232" t="s">
        <v>155</v>
      </c>
      <c r="C30" s="366" t="s">
        <v>115</v>
      </c>
      <c r="D30" s="366" t="s">
        <v>693</v>
      </c>
      <c r="E30" s="366">
        <f t="shared" si="3"/>
        <v>1</v>
      </c>
      <c r="F30" s="366" t="s">
        <v>126</v>
      </c>
      <c r="G30" s="366" t="s">
        <v>156</v>
      </c>
      <c r="H30" s="68" t="s">
        <v>87</v>
      </c>
      <c r="I30" s="72">
        <f t="shared" si="0"/>
        <v>1.5319143323318234E-2</v>
      </c>
      <c r="J30" s="19">
        <v>2160.21</v>
      </c>
      <c r="K30" s="74">
        <v>21603.16</v>
      </c>
      <c r="L30" s="68">
        <v>1</v>
      </c>
      <c r="M30" s="19">
        <f>N30*J30/1000</f>
        <v>10.80105</v>
      </c>
      <c r="N30" s="345">
        <v>5</v>
      </c>
    </row>
    <row r="31" spans="1:23" ht="17.850000000000001" customHeight="1" x14ac:dyDescent="0.2">
      <c r="A31" s="70" t="s">
        <v>113</v>
      </c>
      <c r="B31" s="232" t="s">
        <v>157</v>
      </c>
      <c r="C31" s="366" t="s">
        <v>115</v>
      </c>
      <c r="D31" s="366" t="s">
        <v>693</v>
      </c>
      <c r="E31" s="366">
        <f t="shared" si="3"/>
        <v>1</v>
      </c>
      <c r="F31" s="366" t="s">
        <v>126</v>
      </c>
      <c r="G31" s="366" t="s">
        <v>158</v>
      </c>
      <c r="H31" s="68" t="s">
        <v>87</v>
      </c>
      <c r="I31" s="72">
        <f t="shared" si="0"/>
        <v>2.2978750442510007E-2</v>
      </c>
      <c r="J31" s="19">
        <v>3240.32</v>
      </c>
      <c r="K31" s="74">
        <v>32404.74</v>
      </c>
      <c r="L31" s="68">
        <v>1</v>
      </c>
      <c r="M31" s="19">
        <f>N31*J31/1000</f>
        <v>16.201599999999999</v>
      </c>
      <c r="N31" s="345">
        <v>5</v>
      </c>
    </row>
    <row r="32" spans="1:23" ht="17.850000000000001" customHeight="1" x14ac:dyDescent="0.2">
      <c r="A32" s="70" t="s">
        <v>113</v>
      </c>
      <c r="B32" s="232" t="s">
        <v>159</v>
      </c>
      <c r="C32" s="366" t="s">
        <v>115</v>
      </c>
      <c r="D32" s="366" t="s">
        <v>693</v>
      </c>
      <c r="E32" s="366">
        <f t="shared" si="3"/>
        <v>1</v>
      </c>
      <c r="F32" s="366" t="s">
        <v>126</v>
      </c>
      <c r="G32" s="366" t="s">
        <v>160</v>
      </c>
      <c r="H32" s="68" t="s">
        <v>87</v>
      </c>
      <c r="I32" s="72">
        <f t="shared" si="0"/>
        <v>2.2978750442510007E-2</v>
      </c>
      <c r="J32" s="19">
        <v>3240.32</v>
      </c>
      <c r="K32" s="74">
        <v>32404.74</v>
      </c>
      <c r="L32" s="68">
        <v>1</v>
      </c>
      <c r="M32" s="19">
        <f>N32*J32/1000</f>
        <v>16.201599999999999</v>
      </c>
      <c r="N32" s="345">
        <v>5</v>
      </c>
    </row>
    <row r="33" spans="1:14" ht="17.850000000000001" customHeight="1" x14ac:dyDescent="0.2">
      <c r="A33" s="70" t="s">
        <v>113</v>
      </c>
      <c r="B33" s="232" t="s">
        <v>161</v>
      </c>
      <c r="C33" s="366" t="s">
        <v>115</v>
      </c>
      <c r="D33" s="366" t="s">
        <v>693</v>
      </c>
      <c r="E33" s="366">
        <f t="shared" si="3"/>
        <v>1</v>
      </c>
      <c r="F33" s="366" t="s">
        <v>133</v>
      </c>
      <c r="G33" s="366" t="s">
        <v>162</v>
      </c>
      <c r="H33" s="68" t="s">
        <v>87</v>
      </c>
      <c r="I33" s="72">
        <f t="shared" si="0"/>
        <v>1.0000017019615674E-2</v>
      </c>
      <c r="J33" s="19">
        <v>1410.14</v>
      </c>
      <c r="K33" s="74">
        <v>14102.06</v>
      </c>
      <c r="L33" s="68">
        <v>1</v>
      </c>
      <c r="M33" s="19">
        <f>N33*J33/1000</f>
        <v>7.0507000000000009</v>
      </c>
      <c r="N33" s="345">
        <v>5</v>
      </c>
    </row>
    <row r="34" spans="1:14" ht="17.850000000000001" customHeight="1" x14ac:dyDescent="0.2">
      <c r="A34" s="70" t="s">
        <v>113</v>
      </c>
      <c r="B34" s="232" t="s">
        <v>163</v>
      </c>
      <c r="C34" s="366" t="s">
        <v>115</v>
      </c>
      <c r="D34" s="366" t="s">
        <v>693</v>
      </c>
      <c r="E34" s="366">
        <f t="shared" si="3"/>
        <v>1</v>
      </c>
      <c r="F34" s="366" t="s">
        <v>133</v>
      </c>
      <c r="G34" s="366" t="s">
        <v>164</v>
      </c>
      <c r="H34" s="68" t="s">
        <v>87</v>
      </c>
      <c r="I34" s="72">
        <f t="shared" si="0"/>
        <v>1.0000017019615674E-2</v>
      </c>
      <c r="J34" s="19">
        <v>1410.14</v>
      </c>
      <c r="K34" s="74">
        <v>14102.06</v>
      </c>
      <c r="L34" s="68">
        <v>1</v>
      </c>
      <c r="M34" s="19">
        <f t="shared" ref="M34:M39" si="4">N34*J34/1000</f>
        <v>7.0507000000000009</v>
      </c>
      <c r="N34" s="345">
        <v>5</v>
      </c>
    </row>
    <row r="35" spans="1:14" ht="17.850000000000001" customHeight="1" x14ac:dyDescent="0.2">
      <c r="A35" s="70" t="s">
        <v>88</v>
      </c>
      <c r="B35" s="232" t="s">
        <v>165</v>
      </c>
      <c r="C35" s="366" t="s">
        <v>83</v>
      </c>
      <c r="D35" s="366" t="s">
        <v>84</v>
      </c>
      <c r="E35" s="366" t="s">
        <v>85</v>
      </c>
      <c r="F35" s="366" t="s">
        <v>85</v>
      </c>
      <c r="G35" s="366" t="s">
        <v>166</v>
      </c>
      <c r="H35" s="68" t="s">
        <v>87</v>
      </c>
      <c r="I35" s="72">
        <f t="shared" si="0"/>
        <v>1.8297859726596893E-2</v>
      </c>
      <c r="J35" s="19">
        <v>2580.25</v>
      </c>
      <c r="K35" s="74">
        <v>25803.78</v>
      </c>
      <c r="L35" s="68">
        <v>1</v>
      </c>
      <c r="M35" s="19">
        <f t="shared" si="4"/>
        <v>25.802499999999998</v>
      </c>
      <c r="N35" s="345">
        <v>10</v>
      </c>
    </row>
    <row r="36" spans="1:14" ht="17.850000000000001" customHeight="1" x14ac:dyDescent="0.2">
      <c r="A36" s="232" t="s">
        <v>139</v>
      </c>
      <c r="B36" s="232" t="s">
        <v>167</v>
      </c>
      <c r="C36" s="366" t="s">
        <v>83</v>
      </c>
      <c r="D36" s="366" t="s">
        <v>84</v>
      </c>
      <c r="E36" s="366" t="s">
        <v>85</v>
      </c>
      <c r="F36" s="366" t="s">
        <v>85</v>
      </c>
      <c r="G36" s="366" t="s">
        <v>168</v>
      </c>
      <c r="H36" s="68" t="s">
        <v>87</v>
      </c>
      <c r="I36" s="72">
        <f t="shared" si="0"/>
        <v>1.2766130057095138E-3</v>
      </c>
      <c r="J36" s="19">
        <v>180.02</v>
      </c>
      <c r="K36" s="74">
        <v>1800.26</v>
      </c>
      <c r="L36" s="68">
        <v>1</v>
      </c>
      <c r="M36" s="19">
        <f t="shared" si="4"/>
        <v>1.8002</v>
      </c>
      <c r="N36" s="345">
        <v>10</v>
      </c>
    </row>
    <row r="37" spans="1:14" ht="17.850000000000001" customHeight="1" x14ac:dyDescent="0.2">
      <c r="A37" s="70" t="s">
        <v>113</v>
      </c>
      <c r="B37" s="232" t="s">
        <v>169</v>
      </c>
      <c r="C37" s="366" t="s">
        <v>115</v>
      </c>
      <c r="D37" s="366" t="s">
        <v>693</v>
      </c>
      <c r="E37" s="366">
        <f t="shared" ref="E37:E38" si="5">L37</f>
        <v>1</v>
      </c>
      <c r="F37" s="366" t="s">
        <v>145</v>
      </c>
      <c r="G37" s="366" t="s">
        <v>170</v>
      </c>
      <c r="H37" s="68" t="s">
        <v>87</v>
      </c>
      <c r="I37" s="72">
        <f t="shared" si="0"/>
        <v>3.8297681020632306E-3</v>
      </c>
      <c r="J37" s="19">
        <v>540.04999999999995</v>
      </c>
      <c r="K37" s="74">
        <v>5400.79</v>
      </c>
      <c r="L37" s="68">
        <v>1</v>
      </c>
      <c r="M37" s="19">
        <f t="shared" si="4"/>
        <v>2.70025</v>
      </c>
      <c r="N37" s="345">
        <v>5</v>
      </c>
    </row>
    <row r="38" spans="1:14" ht="17.850000000000001" customHeight="1" x14ac:dyDescent="0.2">
      <c r="A38" s="70" t="s">
        <v>113</v>
      </c>
      <c r="B38" s="232" t="s">
        <v>171</v>
      </c>
      <c r="C38" s="366" t="s">
        <v>115</v>
      </c>
      <c r="D38" s="366" t="s">
        <v>693</v>
      </c>
      <c r="E38" s="366">
        <f t="shared" si="5"/>
        <v>1</v>
      </c>
      <c r="F38" s="366" t="s">
        <v>145</v>
      </c>
      <c r="G38" s="366" t="s">
        <v>172</v>
      </c>
      <c r="H38" s="68" t="s">
        <v>87</v>
      </c>
      <c r="I38" s="72">
        <f t="shared" si="0"/>
        <v>3.8297681020632306E-3</v>
      </c>
      <c r="J38" s="19">
        <v>540.04999999999995</v>
      </c>
      <c r="K38" s="74">
        <v>5400.79</v>
      </c>
      <c r="L38" s="68">
        <v>1</v>
      </c>
      <c r="M38" s="19">
        <f t="shared" si="4"/>
        <v>2.70025</v>
      </c>
      <c r="N38" s="345">
        <v>5</v>
      </c>
    </row>
    <row r="39" spans="1:14" ht="17.850000000000001" customHeight="1" x14ac:dyDescent="0.2">
      <c r="A39" s="232" t="s">
        <v>173</v>
      </c>
      <c r="B39" s="232" t="s">
        <v>174</v>
      </c>
      <c r="C39" s="366" t="s">
        <v>83</v>
      </c>
      <c r="D39" s="366" t="s">
        <v>84</v>
      </c>
      <c r="E39" s="366" t="s">
        <v>85</v>
      </c>
      <c r="F39" s="366" t="s">
        <v>85</v>
      </c>
      <c r="G39" s="231" t="s">
        <v>175</v>
      </c>
      <c r="H39" s="19" t="s">
        <v>176</v>
      </c>
      <c r="I39" s="72">
        <f t="shared" si="0"/>
        <v>0.19787232111249284</v>
      </c>
      <c r="J39" s="19">
        <v>27902.720000000001</v>
      </c>
      <c r="K39" s="74">
        <v>390657.19</v>
      </c>
      <c r="L39" s="68">
        <v>1</v>
      </c>
      <c r="M39" s="19">
        <f t="shared" si="4"/>
        <v>139.5136</v>
      </c>
      <c r="N39" s="346">
        <v>5</v>
      </c>
    </row>
    <row r="40" spans="1:14" ht="50.25" customHeight="1" x14ac:dyDescent="0.2">
      <c r="A40" s="71" t="s">
        <v>177</v>
      </c>
      <c r="B40" s="232" t="s">
        <v>178</v>
      </c>
      <c r="C40" s="232"/>
      <c r="D40" s="232"/>
      <c r="E40" s="231" t="s">
        <v>179</v>
      </c>
      <c r="F40" s="231" t="s">
        <v>180</v>
      </c>
      <c r="G40" s="231" t="s">
        <v>181</v>
      </c>
      <c r="H40" s="22" t="s">
        <v>182</v>
      </c>
      <c r="I40" s="73">
        <f>SUM(I3:I39)</f>
        <v>0.99999999999999989</v>
      </c>
      <c r="J40" s="21">
        <f>SUMPRODUCT(J3:J39,L3:L39)</f>
        <v>141013.76000000001</v>
      </c>
      <c r="K40" s="19">
        <f>SUM(K3:K39)</f>
        <v>1069356.5100000002</v>
      </c>
      <c r="L40" s="19"/>
      <c r="M40" s="21">
        <f>SUM(M3:M39)</f>
        <v>822.91255680000052</v>
      </c>
      <c r="N40" s="20"/>
    </row>
    <row r="41" spans="1:14" x14ac:dyDescent="0.2">
      <c r="J41" s="24"/>
      <c r="K41" s="24"/>
      <c r="L41" s="24"/>
      <c r="M41" s="24"/>
      <c r="N41" s="25"/>
    </row>
    <row r="42" spans="1:14" x14ac:dyDescent="0.2">
      <c r="A42" s="26" t="s">
        <v>183</v>
      </c>
      <c r="B42" s="26"/>
      <c r="C42" s="26"/>
      <c r="D42" s="26"/>
      <c r="E42" s="26"/>
      <c r="F42" s="26"/>
      <c r="G42" s="26"/>
      <c r="H42" s="26"/>
      <c r="I42" s="26"/>
      <c r="J42" s="27"/>
      <c r="K42" s="29"/>
      <c r="L42" s="26"/>
      <c r="M42" s="26"/>
      <c r="N42" s="26"/>
    </row>
    <row r="43" spans="1:14" x14ac:dyDescent="0.2">
      <c r="A43" s="23"/>
      <c r="B43" s="23"/>
      <c r="C43" s="23"/>
      <c r="D43" s="23"/>
      <c r="E43" s="23"/>
      <c r="F43" s="23"/>
      <c r="G43" s="23"/>
      <c r="H43" s="23"/>
      <c r="I43" s="23"/>
    </row>
    <row r="49" spans="2:17" ht="15" x14ac:dyDescent="0.25">
      <c r="B49"/>
      <c r="C49"/>
      <c r="D49"/>
      <c r="E49"/>
      <c r="F49"/>
      <c r="G49"/>
      <c r="H49"/>
      <c r="I49"/>
      <c r="J49"/>
    </row>
    <row r="50" spans="2:17" ht="15" x14ac:dyDescent="0.25">
      <c r="B50"/>
      <c r="C50"/>
      <c r="D50"/>
      <c r="E50"/>
      <c r="F50"/>
      <c r="G50"/>
      <c r="H50"/>
      <c r="I50"/>
      <c r="J50"/>
    </row>
    <row r="51" spans="2:17" ht="15" x14ac:dyDescent="0.25">
      <c r="B51"/>
      <c r="C51"/>
      <c r="D51"/>
      <c r="E51"/>
      <c r="F51"/>
      <c r="G51"/>
      <c r="H51"/>
      <c r="I51"/>
      <c r="J51"/>
    </row>
    <row r="52" spans="2:17" ht="15" x14ac:dyDescent="0.25">
      <c r="B52"/>
      <c r="C52"/>
      <c r="D52"/>
      <c r="E52"/>
      <c r="F52"/>
      <c r="G52"/>
      <c r="H52"/>
      <c r="I52"/>
      <c r="J52"/>
    </row>
    <row r="53" spans="2:17" ht="15" x14ac:dyDescent="0.25">
      <c r="B53"/>
      <c r="C53" t="s">
        <v>184</v>
      </c>
      <c r="D53"/>
      <c r="E53"/>
      <c r="F53"/>
      <c r="G53"/>
      <c r="H53"/>
      <c r="I53"/>
      <c r="J53"/>
    </row>
    <row r="54" spans="2:17" ht="15" x14ac:dyDescent="0.25">
      <c r="B54"/>
      <c r="C54"/>
      <c r="D54"/>
      <c r="E54"/>
      <c r="F54"/>
      <c r="G54"/>
      <c r="H54"/>
      <c r="I54"/>
      <c r="J54"/>
    </row>
    <row r="55" spans="2:17" ht="15" x14ac:dyDescent="0.25">
      <c r="B55"/>
      <c r="C55"/>
      <c r="D55" t="s">
        <v>185</v>
      </c>
      <c r="E55" t="s">
        <v>186</v>
      </c>
      <c r="F55" t="s">
        <v>187</v>
      </c>
      <c r="G55" t="s">
        <v>188</v>
      </c>
      <c r="H55" t="s">
        <v>77</v>
      </c>
      <c r="I55" t="s">
        <v>189</v>
      </c>
      <c r="J55" t="s">
        <v>190</v>
      </c>
      <c r="K55" s="4" t="s">
        <v>191</v>
      </c>
      <c r="L55" s="4" t="s">
        <v>192</v>
      </c>
      <c r="M55" s="4" t="s">
        <v>193</v>
      </c>
      <c r="N55" s="4" t="s">
        <v>194</v>
      </c>
      <c r="O55" s="4" t="s">
        <v>195</v>
      </c>
    </row>
    <row r="56" spans="2:17" ht="15" x14ac:dyDescent="0.25">
      <c r="B56"/>
      <c r="C56" t="s">
        <v>196</v>
      </c>
      <c r="D56">
        <v>360.04</v>
      </c>
      <c r="E56" t="s">
        <v>197</v>
      </c>
      <c r="F56" t="s">
        <v>197</v>
      </c>
      <c r="G56">
        <v>3600.53</v>
      </c>
      <c r="H56">
        <v>1</v>
      </c>
      <c r="I56">
        <v>150.01</v>
      </c>
      <c r="J56">
        <v>0</v>
      </c>
      <c r="K56" s="4">
        <v>15</v>
      </c>
      <c r="L56" s="4">
        <v>15</v>
      </c>
      <c r="M56" s="4">
        <v>2.8999000000000001</v>
      </c>
      <c r="N56" s="4">
        <v>30</v>
      </c>
      <c r="O56" s="4">
        <v>3.4117000000000002</v>
      </c>
      <c r="Q56" s="4">
        <f>1/N56</f>
        <v>3.3333333333333333E-2</v>
      </c>
    </row>
    <row r="57" spans="2:17" ht="15" x14ac:dyDescent="0.25">
      <c r="B57"/>
      <c r="C57" t="s">
        <v>198</v>
      </c>
      <c r="D57">
        <v>1920.19</v>
      </c>
      <c r="E57" t="s">
        <v>197</v>
      </c>
      <c r="F57" t="s">
        <v>197</v>
      </c>
      <c r="G57">
        <v>19202.810000000001</v>
      </c>
      <c r="H57">
        <v>1</v>
      </c>
      <c r="I57">
        <v>870.08</v>
      </c>
      <c r="J57">
        <v>0</v>
      </c>
      <c r="K57" s="4">
        <v>87.01</v>
      </c>
      <c r="L57" s="4">
        <v>87.01</v>
      </c>
      <c r="M57" s="4">
        <v>1.9563999999999999</v>
      </c>
      <c r="N57" s="4">
        <v>205.64</v>
      </c>
      <c r="O57" s="4">
        <v>0.39979999999999999</v>
      </c>
      <c r="Q57" s="4">
        <f t="shared" ref="Q57:Q92" si="6">N57/L4</f>
        <v>205.64</v>
      </c>
    </row>
    <row r="58" spans="2:17" ht="15" x14ac:dyDescent="0.25">
      <c r="B58"/>
      <c r="C58" t="s">
        <v>199</v>
      </c>
      <c r="D58">
        <v>900.09</v>
      </c>
      <c r="E58" t="s">
        <v>197</v>
      </c>
      <c r="F58" t="s">
        <v>197</v>
      </c>
      <c r="G58">
        <v>9001.32</v>
      </c>
      <c r="H58">
        <v>1</v>
      </c>
      <c r="I58">
        <v>300.02999999999997</v>
      </c>
      <c r="J58">
        <v>0</v>
      </c>
      <c r="K58" s="4">
        <v>30</v>
      </c>
      <c r="L58" s="4">
        <v>30</v>
      </c>
      <c r="M58" s="4">
        <v>1.7058</v>
      </c>
      <c r="N58" s="4">
        <v>100.01</v>
      </c>
      <c r="O58" s="4">
        <v>1.7058</v>
      </c>
      <c r="Q58" s="4">
        <f t="shared" si="6"/>
        <v>100.01</v>
      </c>
    </row>
    <row r="59" spans="2:17" ht="15" x14ac:dyDescent="0.25">
      <c r="B59"/>
      <c r="C59" t="s">
        <v>200</v>
      </c>
      <c r="D59">
        <v>345.03</v>
      </c>
      <c r="E59" t="s">
        <v>197</v>
      </c>
      <c r="F59" t="s">
        <v>197</v>
      </c>
      <c r="G59">
        <v>3450.51</v>
      </c>
      <c r="H59">
        <v>1</v>
      </c>
      <c r="I59">
        <v>230.02</v>
      </c>
      <c r="J59">
        <v>0</v>
      </c>
      <c r="K59" s="4">
        <v>23</v>
      </c>
      <c r="L59" s="4">
        <v>23</v>
      </c>
      <c r="M59" s="4">
        <v>2.2176</v>
      </c>
      <c r="N59" s="4">
        <v>200.02</v>
      </c>
      <c r="O59" s="4">
        <v>5.1174999999999997</v>
      </c>
      <c r="Q59" s="4">
        <f t="shared" si="6"/>
        <v>200.02</v>
      </c>
    </row>
    <row r="60" spans="2:17" ht="15" x14ac:dyDescent="0.25">
      <c r="B60"/>
      <c r="C60" t="s">
        <v>201</v>
      </c>
      <c r="D60">
        <v>1050.0999999999999</v>
      </c>
      <c r="E60" t="s">
        <v>197</v>
      </c>
      <c r="F60" t="s">
        <v>197</v>
      </c>
      <c r="G60">
        <v>10501.54</v>
      </c>
      <c r="H60">
        <v>1</v>
      </c>
      <c r="I60">
        <v>320.02999999999997</v>
      </c>
      <c r="J60">
        <v>0</v>
      </c>
      <c r="K60" s="4">
        <v>32</v>
      </c>
      <c r="L60" s="4">
        <v>32</v>
      </c>
      <c r="M60" s="4">
        <v>2.2176</v>
      </c>
      <c r="N60" s="4">
        <v>30</v>
      </c>
      <c r="O60" s="4">
        <v>3.4117000000000002</v>
      </c>
      <c r="Q60" s="4">
        <f t="shared" si="6"/>
        <v>30</v>
      </c>
    </row>
    <row r="61" spans="2:17" ht="15" x14ac:dyDescent="0.25">
      <c r="B61"/>
      <c r="C61" t="s">
        <v>202</v>
      </c>
      <c r="D61">
        <v>432.04</v>
      </c>
      <c r="E61" t="s">
        <v>197</v>
      </c>
      <c r="F61" t="s">
        <v>197</v>
      </c>
      <c r="G61">
        <v>4320.63</v>
      </c>
      <c r="H61">
        <v>1</v>
      </c>
      <c r="I61">
        <v>0</v>
      </c>
      <c r="J61">
        <v>0</v>
      </c>
      <c r="K61" s="4">
        <v>0</v>
      </c>
      <c r="L61" s="4">
        <v>0</v>
      </c>
      <c r="M61" s="4">
        <v>1.3647</v>
      </c>
      <c r="N61" s="4">
        <v>666.73</v>
      </c>
      <c r="O61" s="4">
        <v>10.234999999999999</v>
      </c>
      <c r="Q61" s="4">
        <f t="shared" si="6"/>
        <v>666.73</v>
      </c>
    </row>
    <row r="62" spans="2:17" ht="15" x14ac:dyDescent="0.25">
      <c r="B62"/>
      <c r="C62" t="s">
        <v>203</v>
      </c>
      <c r="D62">
        <v>5985.58</v>
      </c>
      <c r="E62" t="s">
        <v>197</v>
      </c>
      <c r="F62" t="s">
        <v>197</v>
      </c>
      <c r="G62">
        <v>59858.76</v>
      </c>
      <c r="H62">
        <v>1</v>
      </c>
      <c r="I62">
        <v>1610.16</v>
      </c>
      <c r="J62">
        <v>0</v>
      </c>
      <c r="K62" s="4">
        <v>161.02000000000001</v>
      </c>
      <c r="L62" s="4">
        <v>161.02000000000001</v>
      </c>
      <c r="M62" s="4">
        <v>3.4117000000000002</v>
      </c>
      <c r="N62" s="4">
        <v>119.99</v>
      </c>
      <c r="O62" s="4">
        <v>3.4117000000000002</v>
      </c>
      <c r="Q62" s="4">
        <f t="shared" si="6"/>
        <v>119.99</v>
      </c>
    </row>
    <row r="63" spans="2:17" ht="15" x14ac:dyDescent="0.25">
      <c r="B63"/>
      <c r="C63" t="s">
        <v>204</v>
      </c>
      <c r="D63">
        <v>4320.42</v>
      </c>
      <c r="E63" t="s">
        <v>197</v>
      </c>
      <c r="F63" t="s">
        <v>197</v>
      </c>
      <c r="G63">
        <v>43206.32</v>
      </c>
      <c r="H63">
        <v>1</v>
      </c>
      <c r="I63">
        <v>1320.13</v>
      </c>
      <c r="J63">
        <v>0</v>
      </c>
      <c r="K63" s="4">
        <v>132.01</v>
      </c>
      <c r="L63" s="4">
        <v>132.01</v>
      </c>
      <c r="M63" s="4">
        <v>3.4117000000000002</v>
      </c>
      <c r="N63" s="4">
        <v>119.99</v>
      </c>
      <c r="O63" s="4">
        <v>3.4117000000000002</v>
      </c>
      <c r="Q63" s="4">
        <f t="shared" si="6"/>
        <v>119.99</v>
      </c>
    </row>
    <row r="64" spans="2:17" ht="15" x14ac:dyDescent="0.25">
      <c r="B64"/>
      <c r="C64" t="s">
        <v>205</v>
      </c>
      <c r="D64">
        <v>2880.28</v>
      </c>
      <c r="E64" t="s">
        <v>197</v>
      </c>
      <c r="F64" t="s">
        <v>197</v>
      </c>
      <c r="G64">
        <v>28804.22</v>
      </c>
      <c r="H64">
        <v>1</v>
      </c>
      <c r="I64">
        <v>1560.15</v>
      </c>
      <c r="J64">
        <v>0</v>
      </c>
      <c r="K64" s="4">
        <v>156.02000000000001</v>
      </c>
      <c r="L64" s="4">
        <v>156.02000000000001</v>
      </c>
      <c r="M64" s="4">
        <v>3.4117000000000002</v>
      </c>
      <c r="N64" s="4">
        <v>119.99</v>
      </c>
      <c r="O64" s="4">
        <v>3.4117000000000002</v>
      </c>
      <c r="Q64" s="4">
        <f t="shared" si="6"/>
        <v>119.99</v>
      </c>
    </row>
    <row r="65" spans="2:17" ht="15" x14ac:dyDescent="0.25">
      <c r="B65"/>
      <c r="C65" t="s">
        <v>206</v>
      </c>
      <c r="D65">
        <v>4428.43</v>
      </c>
      <c r="E65" t="s">
        <v>197</v>
      </c>
      <c r="F65" t="s">
        <v>197</v>
      </c>
      <c r="G65">
        <v>44286.48</v>
      </c>
      <c r="H65">
        <v>1</v>
      </c>
      <c r="I65">
        <v>2100.1999999999998</v>
      </c>
      <c r="J65">
        <v>0</v>
      </c>
      <c r="K65" s="4">
        <v>210.02</v>
      </c>
      <c r="L65" s="4">
        <v>210.02</v>
      </c>
      <c r="M65" s="4">
        <v>3.4117000000000002</v>
      </c>
      <c r="N65" s="4">
        <v>119.99</v>
      </c>
      <c r="O65" s="4">
        <v>3.4117000000000002</v>
      </c>
      <c r="Q65" s="4">
        <f t="shared" si="6"/>
        <v>119.99</v>
      </c>
    </row>
    <row r="66" spans="2:17" ht="15" x14ac:dyDescent="0.25">
      <c r="B66"/>
      <c r="C66" t="s">
        <v>207</v>
      </c>
      <c r="D66">
        <v>1440.14</v>
      </c>
      <c r="E66" t="s">
        <v>197</v>
      </c>
      <c r="F66" t="s">
        <v>197</v>
      </c>
      <c r="G66">
        <v>14402.11</v>
      </c>
      <c r="H66">
        <v>3</v>
      </c>
      <c r="I66">
        <v>600.05999999999995</v>
      </c>
      <c r="J66">
        <v>0</v>
      </c>
      <c r="K66" s="4">
        <v>150.22</v>
      </c>
      <c r="L66" s="4">
        <v>150.22</v>
      </c>
      <c r="M66" s="4">
        <v>2.9573</v>
      </c>
      <c r="N66" s="4">
        <v>360.03</v>
      </c>
      <c r="O66" s="4">
        <v>37.078800000000001</v>
      </c>
      <c r="Q66" s="4">
        <f t="shared" si="6"/>
        <v>120.00999999999999</v>
      </c>
    </row>
    <row r="67" spans="2:17" ht="15" x14ac:dyDescent="0.25">
      <c r="B67"/>
      <c r="C67" t="s">
        <v>208</v>
      </c>
      <c r="D67">
        <v>720.07</v>
      </c>
      <c r="E67" t="s">
        <v>197</v>
      </c>
      <c r="F67" t="s">
        <v>197</v>
      </c>
      <c r="G67">
        <v>7201.05</v>
      </c>
      <c r="H67">
        <v>3</v>
      </c>
      <c r="I67">
        <v>240.02</v>
      </c>
      <c r="J67">
        <v>0</v>
      </c>
      <c r="K67" s="4">
        <v>60</v>
      </c>
      <c r="L67" s="4">
        <v>60</v>
      </c>
      <c r="M67" s="4">
        <v>2.9573</v>
      </c>
      <c r="N67" s="4">
        <v>360.03</v>
      </c>
      <c r="O67" s="4">
        <v>37.078800000000001</v>
      </c>
      <c r="Q67" s="4">
        <f t="shared" si="6"/>
        <v>120.00999999999999</v>
      </c>
    </row>
    <row r="68" spans="2:17" ht="15" x14ac:dyDescent="0.25">
      <c r="B68"/>
      <c r="C68" t="s">
        <v>209</v>
      </c>
      <c r="D68">
        <v>1440.14</v>
      </c>
      <c r="E68" t="s">
        <v>197</v>
      </c>
      <c r="F68" t="s">
        <v>197</v>
      </c>
      <c r="G68">
        <v>14402.11</v>
      </c>
      <c r="H68">
        <v>3</v>
      </c>
      <c r="I68">
        <v>600.05999999999995</v>
      </c>
      <c r="J68">
        <v>0</v>
      </c>
      <c r="K68" s="4">
        <v>150.22</v>
      </c>
      <c r="L68" s="4">
        <v>150.22</v>
      </c>
      <c r="M68" s="4">
        <v>2.9573</v>
      </c>
      <c r="N68" s="4">
        <v>360.03</v>
      </c>
      <c r="O68" s="4">
        <v>37.078800000000001</v>
      </c>
      <c r="Q68" s="4">
        <f t="shared" si="6"/>
        <v>120.00999999999999</v>
      </c>
    </row>
    <row r="69" spans="2:17" ht="15" x14ac:dyDescent="0.25">
      <c r="B69"/>
      <c r="C69" t="s">
        <v>210</v>
      </c>
      <c r="D69">
        <v>3720.36</v>
      </c>
      <c r="E69" t="s">
        <v>197</v>
      </c>
      <c r="F69" t="s">
        <v>197</v>
      </c>
      <c r="G69">
        <v>37205.449999999997</v>
      </c>
      <c r="H69">
        <v>3</v>
      </c>
      <c r="I69">
        <v>1200.1199999999999</v>
      </c>
      <c r="J69">
        <v>0</v>
      </c>
      <c r="K69" s="4">
        <v>300.02</v>
      </c>
      <c r="L69" s="4">
        <v>300.02</v>
      </c>
      <c r="M69" s="4">
        <v>2.9154</v>
      </c>
      <c r="N69" s="4">
        <v>372.04</v>
      </c>
      <c r="O69" s="4">
        <v>35.8827</v>
      </c>
      <c r="Q69" s="4">
        <f t="shared" si="6"/>
        <v>124.01333333333334</v>
      </c>
    </row>
    <row r="70" spans="2:17" ht="15" x14ac:dyDescent="0.25">
      <c r="B70"/>
      <c r="C70" t="s">
        <v>211</v>
      </c>
      <c r="D70">
        <v>2160.21</v>
      </c>
      <c r="E70" t="s">
        <v>197</v>
      </c>
      <c r="F70" t="s">
        <v>197</v>
      </c>
      <c r="G70">
        <v>21603.16</v>
      </c>
      <c r="H70">
        <v>3</v>
      </c>
      <c r="I70">
        <v>240.02</v>
      </c>
      <c r="J70">
        <v>0</v>
      </c>
      <c r="K70" s="4">
        <v>59.25</v>
      </c>
      <c r="L70" s="4">
        <v>59.25</v>
      </c>
      <c r="M70" s="4">
        <v>2.5246</v>
      </c>
      <c r="N70" s="4">
        <v>360.03</v>
      </c>
      <c r="O70" s="4">
        <v>29.6617</v>
      </c>
      <c r="Q70" s="4">
        <f t="shared" si="6"/>
        <v>120.00999999999999</v>
      </c>
    </row>
    <row r="71" spans="2:17" ht="15" x14ac:dyDescent="0.25">
      <c r="B71"/>
      <c r="C71" t="s">
        <v>212</v>
      </c>
      <c r="D71">
        <v>3240.32</v>
      </c>
      <c r="E71" t="s">
        <v>197</v>
      </c>
      <c r="F71" t="s">
        <v>197</v>
      </c>
      <c r="G71">
        <v>32404.74</v>
      </c>
      <c r="H71">
        <v>3</v>
      </c>
      <c r="I71">
        <v>1380.13</v>
      </c>
      <c r="J71">
        <v>0</v>
      </c>
      <c r="K71" s="4">
        <v>345.76</v>
      </c>
      <c r="L71" s="4">
        <v>345.76</v>
      </c>
      <c r="M71" s="4">
        <v>2.5246</v>
      </c>
      <c r="N71" s="4">
        <v>360.03</v>
      </c>
      <c r="O71" s="4">
        <v>29.6617</v>
      </c>
      <c r="Q71" s="4">
        <f t="shared" si="6"/>
        <v>120.00999999999999</v>
      </c>
    </row>
    <row r="72" spans="2:17" ht="15" x14ac:dyDescent="0.25">
      <c r="B72"/>
      <c r="C72" t="s">
        <v>213</v>
      </c>
      <c r="D72">
        <v>3240.32</v>
      </c>
      <c r="E72" t="s">
        <v>197</v>
      </c>
      <c r="F72" t="s">
        <v>197</v>
      </c>
      <c r="G72">
        <v>32404.74</v>
      </c>
      <c r="H72">
        <v>3</v>
      </c>
      <c r="I72">
        <v>1380.13</v>
      </c>
      <c r="J72">
        <v>0</v>
      </c>
      <c r="K72" s="4">
        <v>345.76</v>
      </c>
      <c r="L72" s="4">
        <v>345.76</v>
      </c>
      <c r="M72" s="4">
        <v>2.5246</v>
      </c>
      <c r="N72" s="4">
        <v>360.03</v>
      </c>
      <c r="O72" s="4">
        <v>29.6617</v>
      </c>
      <c r="Q72" s="4">
        <f t="shared" si="6"/>
        <v>120.00999999999999</v>
      </c>
    </row>
    <row r="73" spans="2:17" ht="15" x14ac:dyDescent="0.25">
      <c r="B73"/>
      <c r="C73" t="s">
        <v>214</v>
      </c>
      <c r="D73">
        <v>1410.14</v>
      </c>
      <c r="E73" t="s">
        <v>197</v>
      </c>
      <c r="F73" t="s">
        <v>197</v>
      </c>
      <c r="G73">
        <v>14102.06</v>
      </c>
      <c r="H73">
        <v>3</v>
      </c>
      <c r="I73">
        <v>770.08</v>
      </c>
      <c r="J73">
        <v>0</v>
      </c>
      <c r="K73" s="4">
        <v>193.02</v>
      </c>
      <c r="L73" s="4">
        <v>193.02</v>
      </c>
      <c r="M73" s="4">
        <v>2.3220000000000001</v>
      </c>
      <c r="N73" s="4">
        <v>352.53</v>
      </c>
      <c r="O73" s="4">
        <v>26.505500000000001</v>
      </c>
      <c r="Q73" s="4">
        <f t="shared" si="6"/>
        <v>117.50999999999999</v>
      </c>
    </row>
    <row r="74" spans="2:17" ht="15" x14ac:dyDescent="0.25">
      <c r="B74"/>
      <c r="C74" t="s">
        <v>215</v>
      </c>
      <c r="D74">
        <v>1410.14</v>
      </c>
      <c r="E74" t="s">
        <v>197</v>
      </c>
      <c r="F74" t="s">
        <v>197</v>
      </c>
      <c r="G74">
        <v>14102.06</v>
      </c>
      <c r="H74">
        <v>3</v>
      </c>
      <c r="I74">
        <v>770.08</v>
      </c>
      <c r="J74">
        <v>0</v>
      </c>
      <c r="K74" s="4">
        <v>193.02</v>
      </c>
      <c r="L74" s="4">
        <v>193.02</v>
      </c>
      <c r="M74" s="4">
        <v>2.3220000000000001</v>
      </c>
      <c r="N74" s="4">
        <v>352.53</v>
      </c>
      <c r="O74" s="4">
        <v>26.505500000000001</v>
      </c>
      <c r="Q74" s="4">
        <f t="shared" si="6"/>
        <v>117.50999999999999</v>
      </c>
    </row>
    <row r="75" spans="2:17" ht="15" x14ac:dyDescent="0.25">
      <c r="B75"/>
      <c r="C75" t="s">
        <v>216</v>
      </c>
      <c r="D75">
        <v>2580.25</v>
      </c>
      <c r="E75" t="s">
        <v>197</v>
      </c>
      <c r="F75" t="s">
        <v>197</v>
      </c>
      <c r="G75">
        <v>25803.78</v>
      </c>
      <c r="H75">
        <v>3</v>
      </c>
      <c r="I75">
        <v>200.02</v>
      </c>
      <c r="J75">
        <v>0</v>
      </c>
      <c r="K75" s="4">
        <v>49.51</v>
      </c>
      <c r="L75" s="4">
        <v>49.51</v>
      </c>
      <c r="M75" s="4">
        <v>1.9796</v>
      </c>
      <c r="N75" s="4">
        <v>204.17</v>
      </c>
      <c r="O75" s="4">
        <v>0.29749999999999999</v>
      </c>
      <c r="Q75" s="4">
        <f t="shared" si="6"/>
        <v>68.056666666666658</v>
      </c>
    </row>
    <row r="76" spans="2:17" ht="15" x14ac:dyDescent="0.25">
      <c r="B76"/>
      <c r="C76" t="s">
        <v>217</v>
      </c>
      <c r="D76">
        <v>180.02</v>
      </c>
      <c r="E76" t="s">
        <v>197</v>
      </c>
      <c r="F76" t="s">
        <v>197</v>
      </c>
      <c r="G76">
        <v>1800.26</v>
      </c>
      <c r="H76">
        <v>3</v>
      </c>
      <c r="I76">
        <v>120.01</v>
      </c>
      <c r="J76">
        <v>0</v>
      </c>
      <c r="K76" s="4">
        <v>29.63</v>
      </c>
      <c r="L76" s="4">
        <v>29.63</v>
      </c>
      <c r="M76" s="4">
        <v>1.5353000000000001</v>
      </c>
      <c r="N76" s="4">
        <v>200.02</v>
      </c>
      <c r="O76" s="4">
        <v>10.9855</v>
      </c>
      <c r="Q76" s="4">
        <f t="shared" si="6"/>
        <v>66.673333333333332</v>
      </c>
    </row>
    <row r="77" spans="2:17" ht="15" x14ac:dyDescent="0.25">
      <c r="B77"/>
      <c r="C77" t="s">
        <v>218</v>
      </c>
      <c r="D77">
        <v>540.04999999999995</v>
      </c>
      <c r="E77" t="s">
        <v>197</v>
      </c>
      <c r="F77" t="s">
        <v>197</v>
      </c>
      <c r="G77">
        <v>5400.79</v>
      </c>
      <c r="H77">
        <v>3</v>
      </c>
      <c r="I77">
        <v>480.05</v>
      </c>
      <c r="J77">
        <v>0</v>
      </c>
      <c r="K77" s="4">
        <v>120.01</v>
      </c>
      <c r="L77" s="4">
        <v>120.01</v>
      </c>
      <c r="M77" s="4">
        <v>3.39</v>
      </c>
      <c r="N77" s="4">
        <v>270.02999999999997</v>
      </c>
      <c r="O77" s="4">
        <v>39.553199999999997</v>
      </c>
      <c r="Q77" s="4">
        <f t="shared" si="6"/>
        <v>90.009999999999991</v>
      </c>
    </row>
    <row r="78" spans="2:17" ht="15" x14ac:dyDescent="0.25">
      <c r="B78"/>
      <c r="C78" t="s">
        <v>219</v>
      </c>
      <c r="D78">
        <v>540.04999999999995</v>
      </c>
      <c r="E78" t="s">
        <v>197</v>
      </c>
      <c r="F78" t="s">
        <v>197</v>
      </c>
      <c r="G78">
        <v>5400.79</v>
      </c>
      <c r="H78">
        <v>3</v>
      </c>
      <c r="I78">
        <v>480.05</v>
      </c>
      <c r="J78">
        <v>0</v>
      </c>
      <c r="K78" s="4">
        <v>120.01</v>
      </c>
      <c r="L78" s="4">
        <v>120.01</v>
      </c>
      <c r="M78" s="4">
        <v>3.39</v>
      </c>
      <c r="N78" s="4">
        <v>270.02999999999997</v>
      </c>
      <c r="O78" s="4">
        <v>39.553199999999997</v>
      </c>
      <c r="Q78" s="4">
        <f t="shared" si="6"/>
        <v>90.009999999999991</v>
      </c>
    </row>
    <row r="79" spans="2:17" ht="15" x14ac:dyDescent="0.25">
      <c r="B79"/>
      <c r="C79" t="s">
        <v>220</v>
      </c>
      <c r="D79">
        <v>1440.14</v>
      </c>
      <c r="E79" t="s">
        <v>197</v>
      </c>
      <c r="F79" t="s">
        <v>197</v>
      </c>
      <c r="G79">
        <v>14402.11</v>
      </c>
      <c r="H79">
        <v>1</v>
      </c>
      <c r="I79">
        <v>600.05999999999995</v>
      </c>
      <c r="J79">
        <v>0</v>
      </c>
      <c r="K79" s="4">
        <v>150.22</v>
      </c>
      <c r="L79" s="4">
        <v>150.22</v>
      </c>
      <c r="M79" s="4">
        <v>2.9573</v>
      </c>
      <c r="N79" s="4">
        <v>360.03</v>
      </c>
      <c r="O79" s="4">
        <v>37.078800000000001</v>
      </c>
      <c r="Q79" s="4">
        <f t="shared" si="6"/>
        <v>360.03</v>
      </c>
    </row>
    <row r="80" spans="2:17" ht="15" x14ac:dyDescent="0.25">
      <c r="B80"/>
      <c r="C80" t="s">
        <v>221</v>
      </c>
      <c r="D80">
        <v>720.07</v>
      </c>
      <c r="E80" t="s">
        <v>197</v>
      </c>
      <c r="F80" t="s">
        <v>197</v>
      </c>
      <c r="G80">
        <v>7201.05</v>
      </c>
      <c r="H80">
        <v>1</v>
      </c>
      <c r="I80">
        <v>240.02</v>
      </c>
      <c r="J80">
        <v>0</v>
      </c>
      <c r="K80" s="4">
        <v>60</v>
      </c>
      <c r="L80" s="4">
        <v>60</v>
      </c>
      <c r="M80" s="4">
        <v>2.9573</v>
      </c>
      <c r="N80" s="4">
        <v>360.03</v>
      </c>
      <c r="O80" s="4">
        <v>37.078800000000001</v>
      </c>
      <c r="Q80" s="4">
        <f t="shared" si="6"/>
        <v>360.03</v>
      </c>
    </row>
    <row r="81" spans="2:17" ht="15" x14ac:dyDescent="0.25">
      <c r="B81"/>
      <c r="C81" t="s">
        <v>222</v>
      </c>
      <c r="D81">
        <v>1440.14</v>
      </c>
      <c r="E81" t="s">
        <v>197</v>
      </c>
      <c r="F81" t="s">
        <v>197</v>
      </c>
      <c r="G81">
        <v>14402.11</v>
      </c>
      <c r="H81">
        <v>1</v>
      </c>
      <c r="I81">
        <v>600.05999999999995</v>
      </c>
      <c r="J81">
        <v>0</v>
      </c>
      <c r="K81" s="4">
        <v>150.22</v>
      </c>
      <c r="L81" s="4">
        <v>150.22</v>
      </c>
      <c r="M81" s="4">
        <v>2.9573</v>
      </c>
      <c r="N81" s="4">
        <v>360.03</v>
      </c>
      <c r="O81" s="4">
        <v>37.078800000000001</v>
      </c>
      <c r="Q81" s="4">
        <f t="shared" si="6"/>
        <v>360.03</v>
      </c>
    </row>
    <row r="82" spans="2:17" ht="15" x14ac:dyDescent="0.25">
      <c r="B82"/>
      <c r="C82" t="s">
        <v>223</v>
      </c>
      <c r="D82">
        <v>3720.36</v>
      </c>
      <c r="E82" t="s">
        <v>197</v>
      </c>
      <c r="F82" t="s">
        <v>197</v>
      </c>
      <c r="G82">
        <v>37205.449999999997</v>
      </c>
      <c r="H82">
        <v>1</v>
      </c>
      <c r="I82">
        <v>1200.1199999999999</v>
      </c>
      <c r="J82">
        <v>0</v>
      </c>
      <c r="K82" s="4">
        <v>300.02</v>
      </c>
      <c r="L82" s="4">
        <v>300.02</v>
      </c>
      <c r="M82" s="4">
        <v>2.9154</v>
      </c>
      <c r="N82" s="4">
        <v>372.04</v>
      </c>
      <c r="O82" s="4">
        <v>35.8827</v>
      </c>
      <c r="Q82" s="4">
        <f t="shared" si="6"/>
        <v>372.04</v>
      </c>
    </row>
    <row r="83" spans="2:17" ht="15" x14ac:dyDescent="0.25">
      <c r="B83"/>
      <c r="C83" t="s">
        <v>224</v>
      </c>
      <c r="D83">
        <v>2160.21</v>
      </c>
      <c r="E83" t="s">
        <v>197</v>
      </c>
      <c r="F83" t="s">
        <v>197</v>
      </c>
      <c r="G83">
        <v>21603.16</v>
      </c>
      <c r="H83">
        <v>1</v>
      </c>
      <c r="I83">
        <v>240.02</v>
      </c>
      <c r="J83">
        <v>0</v>
      </c>
      <c r="K83" s="4">
        <v>59.25</v>
      </c>
      <c r="L83" s="4">
        <v>59.25</v>
      </c>
      <c r="M83" s="4">
        <v>2.5246</v>
      </c>
      <c r="N83" s="4">
        <v>360.03</v>
      </c>
      <c r="O83" s="4">
        <v>29.6617</v>
      </c>
      <c r="Q83" s="4">
        <f t="shared" si="6"/>
        <v>360.03</v>
      </c>
    </row>
    <row r="84" spans="2:17" ht="15" x14ac:dyDescent="0.25">
      <c r="B84"/>
      <c r="C84" t="s">
        <v>225</v>
      </c>
      <c r="D84">
        <v>3240.32</v>
      </c>
      <c r="E84" t="s">
        <v>197</v>
      </c>
      <c r="F84" t="s">
        <v>197</v>
      </c>
      <c r="G84">
        <v>32404.74</v>
      </c>
      <c r="H84">
        <v>1</v>
      </c>
      <c r="I84">
        <v>1380.13</v>
      </c>
      <c r="J84">
        <v>0</v>
      </c>
      <c r="K84" s="4">
        <v>345.76</v>
      </c>
      <c r="L84" s="4">
        <v>345.76</v>
      </c>
      <c r="M84" s="4">
        <v>2.5246</v>
      </c>
      <c r="N84" s="4">
        <v>360.03</v>
      </c>
      <c r="O84" s="4">
        <v>29.6617</v>
      </c>
      <c r="Q84" s="4">
        <f t="shared" si="6"/>
        <v>360.03</v>
      </c>
    </row>
    <row r="85" spans="2:17" ht="15" x14ac:dyDescent="0.25">
      <c r="B85"/>
      <c r="C85" t="s">
        <v>226</v>
      </c>
      <c r="D85">
        <v>3240.32</v>
      </c>
      <c r="E85" t="s">
        <v>197</v>
      </c>
      <c r="F85" t="s">
        <v>197</v>
      </c>
      <c r="G85">
        <v>32404.74</v>
      </c>
      <c r="H85">
        <v>1</v>
      </c>
      <c r="I85">
        <v>1380.13</v>
      </c>
      <c r="J85">
        <v>0</v>
      </c>
      <c r="K85" s="4">
        <v>345.76</v>
      </c>
      <c r="L85" s="4">
        <v>345.76</v>
      </c>
      <c r="M85" s="4">
        <v>2.5246</v>
      </c>
      <c r="N85" s="4">
        <v>360.03</v>
      </c>
      <c r="O85" s="4">
        <v>29.6617</v>
      </c>
      <c r="Q85" s="4">
        <f t="shared" si="6"/>
        <v>360.03</v>
      </c>
    </row>
    <row r="86" spans="2:17" ht="15" x14ac:dyDescent="0.25">
      <c r="B86"/>
      <c r="C86" t="s">
        <v>227</v>
      </c>
      <c r="D86">
        <v>1410.14</v>
      </c>
      <c r="E86" t="s">
        <v>197</v>
      </c>
      <c r="F86" t="s">
        <v>197</v>
      </c>
      <c r="G86">
        <v>14102.06</v>
      </c>
      <c r="H86">
        <v>1</v>
      </c>
      <c r="I86">
        <v>770.08</v>
      </c>
      <c r="J86">
        <v>0</v>
      </c>
      <c r="K86" s="4">
        <v>193.02</v>
      </c>
      <c r="L86" s="4">
        <v>193.02</v>
      </c>
      <c r="M86" s="4">
        <v>2.3220000000000001</v>
      </c>
      <c r="N86" s="4">
        <v>352.53</v>
      </c>
      <c r="O86" s="4">
        <v>26.505500000000001</v>
      </c>
      <c r="Q86" s="4">
        <f t="shared" si="6"/>
        <v>352.53</v>
      </c>
    </row>
    <row r="87" spans="2:17" ht="15" x14ac:dyDescent="0.25">
      <c r="B87"/>
      <c r="C87" t="s">
        <v>228</v>
      </c>
      <c r="D87">
        <v>1410.14</v>
      </c>
      <c r="E87" t="s">
        <v>197</v>
      </c>
      <c r="F87" t="s">
        <v>197</v>
      </c>
      <c r="G87">
        <v>14102.06</v>
      </c>
      <c r="H87">
        <v>1</v>
      </c>
      <c r="I87">
        <v>770.08</v>
      </c>
      <c r="J87">
        <v>0</v>
      </c>
      <c r="K87" s="4">
        <v>193.02</v>
      </c>
      <c r="L87" s="4">
        <v>193.02</v>
      </c>
      <c r="M87" s="4">
        <v>2.3220000000000001</v>
      </c>
      <c r="N87" s="4">
        <v>352.53</v>
      </c>
      <c r="O87" s="4">
        <v>26.505500000000001</v>
      </c>
      <c r="Q87" s="4">
        <f t="shared" si="6"/>
        <v>352.53</v>
      </c>
    </row>
    <row r="88" spans="2:17" ht="15" x14ac:dyDescent="0.25">
      <c r="B88"/>
      <c r="C88" t="s">
        <v>229</v>
      </c>
      <c r="D88">
        <v>2580.25</v>
      </c>
      <c r="E88" t="s">
        <v>197</v>
      </c>
      <c r="F88" t="s">
        <v>197</v>
      </c>
      <c r="G88">
        <v>25803.78</v>
      </c>
      <c r="H88">
        <v>1</v>
      </c>
      <c r="I88">
        <v>200.02</v>
      </c>
      <c r="J88">
        <v>0</v>
      </c>
      <c r="K88" s="4">
        <v>49.51</v>
      </c>
      <c r="L88" s="4">
        <v>49.51</v>
      </c>
      <c r="M88" s="4">
        <v>1.9796</v>
      </c>
      <c r="N88" s="4">
        <v>204.17</v>
      </c>
      <c r="O88" s="4">
        <v>0.29749999999999999</v>
      </c>
      <c r="Q88" s="4">
        <f t="shared" si="6"/>
        <v>204.17</v>
      </c>
    </row>
    <row r="89" spans="2:17" ht="15" x14ac:dyDescent="0.25">
      <c r="B89"/>
      <c r="C89" t="s">
        <v>230</v>
      </c>
      <c r="D89">
        <v>180.02</v>
      </c>
      <c r="E89" t="s">
        <v>197</v>
      </c>
      <c r="F89" t="s">
        <v>197</v>
      </c>
      <c r="G89">
        <v>1800.26</v>
      </c>
      <c r="H89">
        <v>1</v>
      </c>
      <c r="I89">
        <v>120.01</v>
      </c>
      <c r="J89">
        <v>0</v>
      </c>
      <c r="K89" s="4">
        <v>29.63</v>
      </c>
      <c r="L89" s="4">
        <v>29.63</v>
      </c>
      <c r="M89" s="4">
        <v>1.5353000000000001</v>
      </c>
      <c r="N89" s="4">
        <v>200.02</v>
      </c>
      <c r="O89" s="4">
        <v>10.9855</v>
      </c>
      <c r="Q89" s="4">
        <f t="shared" si="6"/>
        <v>200.02</v>
      </c>
    </row>
    <row r="90" spans="2:17" ht="15" x14ac:dyDescent="0.25">
      <c r="B90"/>
      <c r="C90" t="s">
        <v>231</v>
      </c>
      <c r="D90">
        <v>540.04999999999995</v>
      </c>
      <c r="E90" t="s">
        <v>197</v>
      </c>
      <c r="F90" t="s">
        <v>197</v>
      </c>
      <c r="G90">
        <v>5400.79</v>
      </c>
      <c r="H90">
        <v>1</v>
      </c>
      <c r="I90">
        <v>480.05</v>
      </c>
      <c r="J90">
        <v>0</v>
      </c>
      <c r="K90" s="4">
        <v>120.01</v>
      </c>
      <c r="L90" s="4">
        <v>120.01</v>
      </c>
      <c r="M90" s="4">
        <v>3.39</v>
      </c>
      <c r="N90" s="4">
        <v>270.02999999999997</v>
      </c>
      <c r="O90" s="4">
        <v>39.553199999999997</v>
      </c>
      <c r="Q90" s="4">
        <f t="shared" si="6"/>
        <v>270.02999999999997</v>
      </c>
    </row>
    <row r="91" spans="2:17" ht="15" x14ac:dyDescent="0.25">
      <c r="B91"/>
      <c r="C91" t="s">
        <v>232</v>
      </c>
      <c r="D91">
        <v>540.04999999999995</v>
      </c>
      <c r="E91" t="s">
        <v>197</v>
      </c>
      <c r="F91" t="s">
        <v>197</v>
      </c>
      <c r="G91">
        <v>5400.79</v>
      </c>
      <c r="H91">
        <v>1</v>
      </c>
      <c r="I91">
        <v>480.05</v>
      </c>
      <c r="J91">
        <v>0</v>
      </c>
      <c r="K91" s="4">
        <v>120.01</v>
      </c>
      <c r="L91" s="4">
        <v>120.01</v>
      </c>
      <c r="M91" s="4">
        <v>3.39</v>
      </c>
      <c r="N91" s="4">
        <v>270.02999999999997</v>
      </c>
      <c r="O91" s="4">
        <v>39.553199999999997</v>
      </c>
      <c r="Q91" s="4">
        <f t="shared" si="6"/>
        <v>270.02999999999997</v>
      </c>
    </row>
    <row r="92" spans="2:17" ht="15" x14ac:dyDescent="0.25">
      <c r="B92"/>
      <c r="C92" t="s">
        <v>233</v>
      </c>
      <c r="D92">
        <v>27902.720000000001</v>
      </c>
      <c r="E92" t="s">
        <v>197</v>
      </c>
      <c r="F92" t="s">
        <v>197</v>
      </c>
      <c r="G92">
        <v>390657.19</v>
      </c>
      <c r="H92">
        <v>1</v>
      </c>
      <c r="I92">
        <v>0</v>
      </c>
      <c r="J92">
        <v>9380.92</v>
      </c>
      <c r="K92" s="4">
        <v>0</v>
      </c>
      <c r="L92" s="4">
        <v>0</v>
      </c>
      <c r="M92" s="4">
        <v>0.3412</v>
      </c>
      <c r="N92" s="4">
        <v>400.04</v>
      </c>
      <c r="O92" s="4">
        <v>0</v>
      </c>
      <c r="Q92" s="4">
        <f t="shared" si="6"/>
        <v>400.04</v>
      </c>
    </row>
    <row r="93" spans="2:17" ht="15" x14ac:dyDescent="0.25">
      <c r="B93"/>
      <c r="C93" t="s">
        <v>234</v>
      </c>
      <c r="D93">
        <v>141013.76000000001</v>
      </c>
      <c r="E93"/>
      <c r="F93"/>
      <c r="G93">
        <v>1521822.77</v>
      </c>
      <c r="H93"/>
      <c r="I93">
        <v>42304.13</v>
      </c>
      <c r="J93">
        <v>9380.92</v>
      </c>
      <c r="K93" s="4">
        <v>9311.83</v>
      </c>
      <c r="L93" s="4">
        <v>9311.83</v>
      </c>
      <c r="M93" s="4">
        <v>2.2355999999999998</v>
      </c>
      <c r="N93" s="4">
        <v>250.73</v>
      </c>
      <c r="O93" s="4">
        <v>18.7745</v>
      </c>
    </row>
    <row r="94" spans="2:17" ht="15" x14ac:dyDescent="0.25">
      <c r="B94"/>
      <c r="C94" t="s">
        <v>235</v>
      </c>
      <c r="D94">
        <v>141013.76000000001</v>
      </c>
      <c r="E94"/>
      <c r="F94"/>
      <c r="G94">
        <v>1521822.77</v>
      </c>
      <c r="H94"/>
      <c r="I94">
        <v>42304.13</v>
      </c>
      <c r="J94">
        <v>9380.92</v>
      </c>
      <c r="K94" s="4">
        <v>9311.83</v>
      </c>
      <c r="L94" s="4">
        <v>9311.83</v>
      </c>
      <c r="M94" s="4">
        <v>2.2355999999999998</v>
      </c>
      <c r="N94" s="4">
        <v>250.73</v>
      </c>
      <c r="O94" s="4">
        <v>18.7745</v>
      </c>
    </row>
    <row r="95" spans="2:17" ht="15" x14ac:dyDescent="0.25">
      <c r="B95"/>
      <c r="C95" t="s">
        <v>236</v>
      </c>
      <c r="D95">
        <v>0</v>
      </c>
      <c r="E95"/>
      <c r="F95"/>
      <c r="G95">
        <v>0</v>
      </c>
      <c r="H95"/>
      <c r="I95">
        <v>0</v>
      </c>
      <c r="J95">
        <v>0</v>
      </c>
      <c r="K95" s="4">
        <v>0</v>
      </c>
      <c r="L95" s="4">
        <v>0</v>
      </c>
    </row>
    <row r="96" spans="2:17" ht="15" x14ac:dyDescent="0.25">
      <c r="B96"/>
      <c r="C96" t="s">
        <v>237</v>
      </c>
      <c r="D96">
        <v>0</v>
      </c>
      <c r="E96"/>
      <c r="F96"/>
      <c r="G96">
        <v>0</v>
      </c>
      <c r="H96"/>
      <c r="I96">
        <v>0</v>
      </c>
      <c r="J96">
        <v>0</v>
      </c>
      <c r="K96" s="4">
        <v>0</v>
      </c>
      <c r="L96" s="4">
        <v>0</v>
      </c>
    </row>
    <row r="97" spans="2:11" ht="15" x14ac:dyDescent="0.25">
      <c r="B97"/>
      <c r="C97"/>
      <c r="D97"/>
      <c r="E97"/>
      <c r="F97"/>
      <c r="G97"/>
      <c r="H97"/>
      <c r="I97"/>
      <c r="J97"/>
    </row>
    <row r="98" spans="2:11" ht="15" x14ac:dyDescent="0.25">
      <c r="B98"/>
      <c r="C98"/>
      <c r="D98"/>
      <c r="E98"/>
      <c r="F98"/>
      <c r="G98"/>
      <c r="H98"/>
      <c r="I98"/>
      <c r="J98"/>
    </row>
    <row r="99" spans="2:11" ht="15" x14ac:dyDescent="0.25">
      <c r="B99"/>
      <c r="C99"/>
      <c r="D99"/>
      <c r="E99"/>
      <c r="F99"/>
      <c r="G99"/>
      <c r="H99"/>
      <c r="I99"/>
      <c r="J99"/>
    </row>
    <row r="100" spans="2:11" ht="15" x14ac:dyDescent="0.25">
      <c r="B100"/>
      <c r="C100"/>
      <c r="D100"/>
      <c r="E100"/>
      <c r="F100"/>
      <c r="G100"/>
      <c r="H100"/>
      <c r="I100"/>
      <c r="J100"/>
    </row>
    <row r="101" spans="2:11" ht="15" x14ac:dyDescent="0.25">
      <c r="B101"/>
      <c r="C101"/>
      <c r="D101"/>
      <c r="E101"/>
      <c r="F101"/>
      <c r="G101"/>
      <c r="H101"/>
      <c r="I101"/>
      <c r="J101"/>
    </row>
    <row r="102" spans="2:11" ht="15" x14ac:dyDescent="0.25">
      <c r="B102"/>
      <c r="C102" t="s">
        <v>238</v>
      </c>
      <c r="D102"/>
      <c r="E102"/>
      <c r="F102"/>
      <c r="G102"/>
      <c r="H102"/>
      <c r="I102"/>
      <c r="J102"/>
    </row>
    <row r="103" spans="2:11" ht="15" x14ac:dyDescent="0.25">
      <c r="B103"/>
      <c r="C103"/>
      <c r="D103"/>
      <c r="E103"/>
      <c r="F103"/>
      <c r="G103"/>
      <c r="H103"/>
      <c r="I103"/>
      <c r="J103"/>
    </row>
    <row r="104" spans="2:11" x14ac:dyDescent="0.2">
      <c r="D104" s="4" t="s">
        <v>239</v>
      </c>
      <c r="E104" s="4" t="s">
        <v>240</v>
      </c>
      <c r="F104" s="4" t="s">
        <v>241</v>
      </c>
      <c r="G104" s="4" t="s">
        <v>242</v>
      </c>
      <c r="H104" s="4" t="s">
        <v>243</v>
      </c>
      <c r="I104" s="4" t="s">
        <v>244</v>
      </c>
      <c r="J104" s="4" t="s">
        <v>245</v>
      </c>
      <c r="K104" s="4" t="s">
        <v>246</v>
      </c>
    </row>
    <row r="105" spans="2:11" x14ac:dyDescent="0.2">
      <c r="C105" s="4" t="s">
        <v>247</v>
      </c>
      <c r="D105" s="4">
        <v>359.96</v>
      </c>
      <c r="E105" s="4">
        <v>359.96</v>
      </c>
      <c r="F105" s="4">
        <v>359.96</v>
      </c>
      <c r="G105" s="4">
        <v>359.96</v>
      </c>
      <c r="H105" s="4">
        <v>445.96</v>
      </c>
      <c r="I105" s="4">
        <v>445.96</v>
      </c>
      <c r="J105" s="4">
        <v>1</v>
      </c>
      <c r="K105" s="4">
        <v>0.80715099999999995</v>
      </c>
    </row>
    <row r="106" spans="2:11" x14ac:dyDescent="0.2">
      <c r="C106" s="4" t="s">
        <v>248</v>
      </c>
      <c r="D106" s="4">
        <v>1919.79</v>
      </c>
      <c r="E106" s="4">
        <v>1919.79</v>
      </c>
      <c r="F106" s="4">
        <v>1919.79</v>
      </c>
      <c r="G106" s="4">
        <v>1919.79</v>
      </c>
      <c r="H106" s="4">
        <v>1919.79</v>
      </c>
      <c r="I106" s="4">
        <v>1919.79</v>
      </c>
      <c r="J106" s="4">
        <v>1</v>
      </c>
      <c r="K106" s="4">
        <v>1</v>
      </c>
    </row>
    <row r="107" spans="2:11" x14ac:dyDescent="0.2">
      <c r="C107" s="4" t="s">
        <v>249</v>
      </c>
      <c r="D107" s="4">
        <v>431.95</v>
      </c>
      <c r="E107" s="4">
        <v>431.95</v>
      </c>
      <c r="F107" s="4">
        <v>431.95</v>
      </c>
      <c r="G107" s="4">
        <v>431.95</v>
      </c>
      <c r="H107" s="4">
        <v>440.98</v>
      </c>
      <c r="I107" s="4">
        <v>440.98</v>
      </c>
      <c r="J107" s="4">
        <v>1</v>
      </c>
      <c r="K107" s="4">
        <v>0.97953699999999999</v>
      </c>
    </row>
    <row r="108" spans="2:11" x14ac:dyDescent="0.2">
      <c r="C108" s="4" t="s">
        <v>250</v>
      </c>
      <c r="D108" s="4">
        <v>7739.14</v>
      </c>
      <c r="E108" s="4">
        <v>7739.14</v>
      </c>
      <c r="F108" s="4">
        <v>7739.14</v>
      </c>
      <c r="G108" s="4">
        <v>7739.14</v>
      </c>
      <c r="H108" s="4">
        <v>7739.14</v>
      </c>
      <c r="I108" s="4">
        <v>7739.14</v>
      </c>
      <c r="J108" s="4">
        <v>1</v>
      </c>
      <c r="K108" s="4">
        <v>1</v>
      </c>
    </row>
    <row r="109" spans="2:11" x14ac:dyDescent="0.2">
      <c r="C109" s="4" t="s">
        <v>251</v>
      </c>
      <c r="D109" s="4">
        <v>539.94000000000005</v>
      </c>
      <c r="E109" s="4">
        <v>539.94000000000005</v>
      </c>
      <c r="F109" s="4">
        <v>539.94000000000005</v>
      </c>
      <c r="G109" s="4">
        <v>539.94000000000005</v>
      </c>
      <c r="H109" s="4">
        <v>547.71</v>
      </c>
      <c r="I109" s="4">
        <v>547.71</v>
      </c>
      <c r="J109" s="4">
        <v>1</v>
      </c>
      <c r="K109" s="4">
        <v>0.98581700000000005</v>
      </c>
    </row>
    <row r="110" spans="2:11" x14ac:dyDescent="0.2">
      <c r="C110" s="4" t="s">
        <v>252</v>
      </c>
      <c r="D110" s="4">
        <v>2579.71</v>
      </c>
      <c r="E110" s="4">
        <v>2579.71</v>
      </c>
      <c r="F110" s="4">
        <v>2579.71</v>
      </c>
      <c r="G110" s="4">
        <v>2579.71</v>
      </c>
      <c r="H110" s="4">
        <v>2579.71</v>
      </c>
      <c r="I110" s="4">
        <v>2579.71</v>
      </c>
      <c r="J110" s="4">
        <v>1</v>
      </c>
      <c r="K110" s="4">
        <v>1</v>
      </c>
    </row>
    <row r="111" spans="2:11" x14ac:dyDescent="0.2">
      <c r="C111" s="4" t="s">
        <v>253</v>
      </c>
      <c r="D111" s="4">
        <v>179.98</v>
      </c>
      <c r="E111" s="4">
        <v>179.98</v>
      </c>
      <c r="F111" s="4">
        <v>179.98</v>
      </c>
      <c r="G111" s="4">
        <v>179.98</v>
      </c>
      <c r="H111" s="4">
        <v>194.75</v>
      </c>
      <c r="I111" s="4">
        <v>194.75</v>
      </c>
      <c r="J111" s="4">
        <v>1</v>
      </c>
      <c r="K111" s="4">
        <v>0.92417000000000005</v>
      </c>
    </row>
    <row r="112" spans="2:11" x14ac:dyDescent="0.2">
      <c r="C112" s="4" t="s">
        <v>254</v>
      </c>
      <c r="D112" s="4">
        <v>899.9</v>
      </c>
      <c r="E112" s="4">
        <v>899.9</v>
      </c>
      <c r="F112" s="4">
        <v>899.9</v>
      </c>
      <c r="G112" s="4">
        <v>899.9</v>
      </c>
      <c r="H112" s="4">
        <v>899.9</v>
      </c>
      <c r="I112" s="4">
        <v>899.9</v>
      </c>
      <c r="J112" s="4">
        <v>1</v>
      </c>
      <c r="K112" s="4">
        <v>1</v>
      </c>
    </row>
    <row r="113" spans="3:11" x14ac:dyDescent="0.2">
      <c r="C113" s="4" t="s">
        <v>255</v>
      </c>
      <c r="D113" s="4">
        <v>344.96</v>
      </c>
      <c r="E113" s="4">
        <v>344.96</v>
      </c>
      <c r="F113" s="4">
        <v>344.96</v>
      </c>
      <c r="G113" s="4">
        <v>344.96</v>
      </c>
      <c r="H113" s="4">
        <v>344.96</v>
      </c>
      <c r="I113" s="4">
        <v>344.96</v>
      </c>
      <c r="J113" s="4">
        <v>1</v>
      </c>
      <c r="K113" s="4">
        <v>1</v>
      </c>
    </row>
    <row r="114" spans="3:11" x14ac:dyDescent="0.2">
      <c r="C114" s="4" t="s">
        <v>256</v>
      </c>
      <c r="D114" s="4">
        <v>1049.8800000000001</v>
      </c>
      <c r="E114" s="4">
        <v>1049.8800000000001</v>
      </c>
      <c r="F114" s="4">
        <v>1049.8800000000001</v>
      </c>
      <c r="G114" s="4">
        <v>1049.8800000000001</v>
      </c>
      <c r="H114" s="4">
        <v>1153.08</v>
      </c>
      <c r="I114" s="4">
        <v>1153.08</v>
      </c>
      <c r="J114" s="4">
        <v>1</v>
      </c>
      <c r="K114" s="4">
        <v>0.91050600000000004</v>
      </c>
    </row>
    <row r="115" spans="3:11" x14ac:dyDescent="0.2">
      <c r="C115" s="4" t="s">
        <v>257</v>
      </c>
      <c r="D115" s="4">
        <v>109.79</v>
      </c>
      <c r="E115" s="4">
        <v>109.79</v>
      </c>
      <c r="F115" s="4">
        <v>109.79</v>
      </c>
      <c r="G115" s="4">
        <v>540</v>
      </c>
      <c r="H115" s="4">
        <v>644.95000000000005</v>
      </c>
      <c r="I115" s="4">
        <v>644.95000000000005</v>
      </c>
      <c r="J115" s="4">
        <v>1</v>
      </c>
      <c r="K115" s="4">
        <v>0.83728100000000005</v>
      </c>
    </row>
    <row r="116" spans="3:11" x14ac:dyDescent="0.2">
      <c r="C116" s="4" t="s">
        <v>258</v>
      </c>
      <c r="D116" s="4">
        <v>93.59</v>
      </c>
      <c r="E116" s="4">
        <v>93.59</v>
      </c>
      <c r="F116" s="4">
        <v>93.59</v>
      </c>
      <c r="G116" s="4">
        <v>653.88</v>
      </c>
      <c r="H116" s="4">
        <v>1052.51</v>
      </c>
      <c r="I116" s="4">
        <v>1052.51</v>
      </c>
      <c r="J116" s="4">
        <v>1</v>
      </c>
      <c r="K116" s="4">
        <v>0.62125699999999995</v>
      </c>
    </row>
    <row r="117" spans="3:11" x14ac:dyDescent="0.2">
      <c r="C117" s="4" t="s">
        <v>259</v>
      </c>
      <c r="D117" s="4">
        <v>93.59</v>
      </c>
      <c r="E117" s="4">
        <v>93.59</v>
      </c>
      <c r="F117" s="4">
        <v>93.59</v>
      </c>
      <c r="G117" s="4">
        <v>653.67999999999995</v>
      </c>
      <c r="H117" s="4">
        <v>929.45</v>
      </c>
      <c r="I117" s="4">
        <v>929.45</v>
      </c>
      <c r="J117" s="4">
        <v>1</v>
      </c>
      <c r="K117" s="4">
        <v>0.70329900000000001</v>
      </c>
    </row>
    <row r="118" spans="3:11" x14ac:dyDescent="0.2">
      <c r="C118" s="4" t="s">
        <v>260</v>
      </c>
      <c r="D118" s="4">
        <v>36.6</v>
      </c>
      <c r="E118" s="4">
        <v>36.6</v>
      </c>
      <c r="F118" s="4">
        <v>36.6</v>
      </c>
      <c r="G118" s="4">
        <v>249.7</v>
      </c>
      <c r="H118" s="4">
        <v>295.47000000000003</v>
      </c>
      <c r="I118" s="4">
        <v>295.47000000000003</v>
      </c>
      <c r="J118" s="4">
        <v>1</v>
      </c>
      <c r="K118" s="4">
        <v>0.84509500000000004</v>
      </c>
    </row>
    <row r="119" spans="3:11" x14ac:dyDescent="0.2">
      <c r="C119" s="4" t="s">
        <v>261</v>
      </c>
      <c r="D119" s="4">
        <v>73.19</v>
      </c>
      <c r="E119" s="4">
        <v>73.19</v>
      </c>
      <c r="F119" s="4">
        <v>73.19</v>
      </c>
      <c r="G119" s="4">
        <v>527.70000000000005</v>
      </c>
      <c r="H119" s="4">
        <v>605.98</v>
      </c>
      <c r="I119" s="4">
        <v>605.98</v>
      </c>
      <c r="J119" s="4">
        <v>1</v>
      </c>
      <c r="K119" s="4">
        <v>0.87082099999999996</v>
      </c>
    </row>
    <row r="120" spans="3:11" x14ac:dyDescent="0.2">
      <c r="C120" s="4" t="s">
        <v>262</v>
      </c>
      <c r="D120" s="4">
        <v>73.19</v>
      </c>
      <c r="E120" s="4">
        <v>73.19</v>
      </c>
      <c r="F120" s="4">
        <v>73.19</v>
      </c>
      <c r="G120" s="4">
        <v>527.70000000000005</v>
      </c>
      <c r="H120" s="4">
        <v>786.95</v>
      </c>
      <c r="I120" s="4">
        <v>786.95</v>
      </c>
      <c r="J120" s="4">
        <v>1</v>
      </c>
      <c r="K120" s="4">
        <v>0.670566</v>
      </c>
    </row>
    <row r="121" spans="3:11" x14ac:dyDescent="0.2">
      <c r="C121" s="4" t="s">
        <v>263</v>
      </c>
      <c r="D121" s="4">
        <v>186.58</v>
      </c>
      <c r="E121" s="4">
        <v>186.58</v>
      </c>
      <c r="F121" s="4">
        <v>186.58</v>
      </c>
      <c r="G121" s="4">
        <v>1315.84</v>
      </c>
      <c r="H121" s="4">
        <v>1109.32</v>
      </c>
      <c r="I121" s="4">
        <v>1315.84</v>
      </c>
      <c r="J121" s="4">
        <v>1</v>
      </c>
      <c r="K121" s="4">
        <v>1</v>
      </c>
    </row>
    <row r="122" spans="3:11" x14ac:dyDescent="0.2">
      <c r="C122" s="4" t="s">
        <v>264</v>
      </c>
      <c r="D122" s="4">
        <v>109.79</v>
      </c>
      <c r="E122" s="4">
        <v>109.79</v>
      </c>
      <c r="F122" s="4">
        <v>109.79</v>
      </c>
      <c r="G122" s="4">
        <v>621.75</v>
      </c>
      <c r="H122" s="4">
        <v>508.81</v>
      </c>
      <c r="I122" s="4">
        <v>621.75</v>
      </c>
      <c r="J122" s="4">
        <v>1</v>
      </c>
      <c r="K122" s="4">
        <v>1</v>
      </c>
    </row>
    <row r="123" spans="3:11" x14ac:dyDescent="0.2">
      <c r="C123" s="4" t="s">
        <v>265</v>
      </c>
      <c r="D123" s="4">
        <v>164.68</v>
      </c>
      <c r="E123" s="4">
        <v>164.68</v>
      </c>
      <c r="F123" s="4">
        <v>164.68</v>
      </c>
      <c r="G123" s="4">
        <v>1197.44</v>
      </c>
      <c r="H123" s="4">
        <v>1272.0899999999999</v>
      </c>
      <c r="I123" s="4">
        <v>1272.0899999999999</v>
      </c>
      <c r="J123" s="4">
        <v>1</v>
      </c>
      <c r="K123" s="4">
        <v>0.94131100000000001</v>
      </c>
    </row>
    <row r="124" spans="3:11" x14ac:dyDescent="0.2">
      <c r="C124" s="4" t="s">
        <v>266</v>
      </c>
      <c r="D124" s="4">
        <v>164.68</v>
      </c>
      <c r="E124" s="4">
        <v>164.68</v>
      </c>
      <c r="F124" s="4">
        <v>164.68</v>
      </c>
      <c r="G124" s="4">
        <v>1197.32</v>
      </c>
      <c r="H124" s="4">
        <v>1612.62</v>
      </c>
      <c r="I124" s="4">
        <v>1612.62</v>
      </c>
      <c r="J124" s="4">
        <v>1</v>
      </c>
      <c r="K124" s="4">
        <v>0.74246999999999996</v>
      </c>
    </row>
    <row r="125" spans="3:11" x14ac:dyDescent="0.2">
      <c r="C125" s="4" t="s">
        <v>267</v>
      </c>
      <c r="D125" s="4">
        <v>72.290000000000006</v>
      </c>
      <c r="E125" s="4">
        <v>72.290000000000006</v>
      </c>
      <c r="F125" s="4">
        <v>72.290000000000006</v>
      </c>
      <c r="G125" s="4">
        <v>572.53</v>
      </c>
      <c r="H125" s="4">
        <v>569.05999999999995</v>
      </c>
      <c r="I125" s="4">
        <v>572.53</v>
      </c>
      <c r="J125" s="4">
        <v>1</v>
      </c>
      <c r="K125" s="4">
        <v>1</v>
      </c>
    </row>
    <row r="126" spans="3:11" x14ac:dyDescent="0.2">
      <c r="C126" s="4" t="s">
        <v>268</v>
      </c>
      <c r="D126" s="4">
        <v>219.58</v>
      </c>
      <c r="E126" s="4">
        <v>219.58</v>
      </c>
      <c r="F126" s="4">
        <v>219.58</v>
      </c>
      <c r="G126" s="4">
        <v>1138.1400000000001</v>
      </c>
      <c r="H126" s="4">
        <v>1433.1</v>
      </c>
      <c r="I126" s="4">
        <v>1433.1</v>
      </c>
      <c r="J126" s="4">
        <v>1</v>
      </c>
      <c r="K126" s="4">
        <v>0.794184</v>
      </c>
    </row>
    <row r="127" spans="3:11" x14ac:dyDescent="0.2">
      <c r="C127" s="4" t="s">
        <v>269</v>
      </c>
      <c r="D127" s="4">
        <v>72.290000000000006</v>
      </c>
      <c r="E127" s="4">
        <v>72.290000000000006</v>
      </c>
      <c r="F127" s="4">
        <v>72.290000000000006</v>
      </c>
      <c r="G127" s="4">
        <v>572.49</v>
      </c>
      <c r="H127" s="4">
        <v>739.77</v>
      </c>
      <c r="I127" s="4">
        <v>739.77</v>
      </c>
      <c r="J127" s="4">
        <v>1</v>
      </c>
      <c r="K127" s="4">
        <v>0.77386900000000003</v>
      </c>
    </row>
    <row r="128" spans="3:11" x14ac:dyDescent="0.2">
      <c r="C128" s="4" t="s">
        <v>270</v>
      </c>
      <c r="D128" s="4">
        <v>31.2</v>
      </c>
      <c r="E128" s="4">
        <v>31.2</v>
      </c>
      <c r="F128" s="4">
        <v>31.2</v>
      </c>
      <c r="G128" s="4">
        <v>276.92</v>
      </c>
      <c r="H128" s="4">
        <v>413.37</v>
      </c>
      <c r="I128" s="4">
        <v>413.37</v>
      </c>
      <c r="J128" s="4">
        <v>1</v>
      </c>
      <c r="K128" s="4">
        <v>0.66991699999999998</v>
      </c>
    </row>
    <row r="129" spans="3:11" x14ac:dyDescent="0.2">
      <c r="C129" s="4" t="s">
        <v>271</v>
      </c>
      <c r="D129" s="4">
        <v>31.2</v>
      </c>
      <c r="E129" s="4">
        <v>31.2</v>
      </c>
      <c r="F129" s="4">
        <v>31.2</v>
      </c>
      <c r="G129" s="4">
        <v>276.94</v>
      </c>
      <c r="H129" s="4">
        <v>370.04</v>
      </c>
      <c r="I129" s="4">
        <v>370.04</v>
      </c>
      <c r="J129" s="4">
        <v>1</v>
      </c>
      <c r="K129" s="4">
        <v>0.74838400000000005</v>
      </c>
    </row>
    <row r="130" spans="3:11" x14ac:dyDescent="0.2">
      <c r="C130" s="4" t="s">
        <v>272</v>
      </c>
      <c r="D130" s="4">
        <v>219.58</v>
      </c>
      <c r="E130" s="4">
        <v>219.58</v>
      </c>
      <c r="F130" s="4">
        <v>219.58</v>
      </c>
      <c r="G130" s="4">
        <v>1141.71</v>
      </c>
      <c r="H130" s="4">
        <v>1776.53</v>
      </c>
      <c r="I130" s="4">
        <v>1776.53</v>
      </c>
      <c r="J130" s="4">
        <v>1</v>
      </c>
      <c r="K130" s="4">
        <v>0.64266400000000001</v>
      </c>
    </row>
    <row r="131" spans="3:11" x14ac:dyDescent="0.2">
      <c r="C131" s="4" t="s">
        <v>273</v>
      </c>
      <c r="D131" s="4">
        <v>559.74</v>
      </c>
      <c r="E131" s="4">
        <v>559.74</v>
      </c>
      <c r="F131" s="4">
        <v>559.74</v>
      </c>
      <c r="G131" s="4">
        <v>2775.72</v>
      </c>
      <c r="H131" s="4">
        <v>2139.91</v>
      </c>
      <c r="I131" s="4">
        <v>2775.72</v>
      </c>
      <c r="J131" s="4">
        <v>1</v>
      </c>
      <c r="K131" s="4">
        <v>1</v>
      </c>
    </row>
    <row r="132" spans="3:11" x14ac:dyDescent="0.2">
      <c r="C132" s="4" t="s">
        <v>274</v>
      </c>
      <c r="D132" s="4">
        <v>329.36</v>
      </c>
      <c r="E132" s="4">
        <v>329.36</v>
      </c>
      <c r="F132" s="4">
        <v>329.36</v>
      </c>
      <c r="G132" s="4">
        <v>1063.96</v>
      </c>
      <c r="H132" s="4">
        <v>932.05</v>
      </c>
      <c r="I132" s="4">
        <v>1063.96</v>
      </c>
      <c r="J132" s="4">
        <v>1</v>
      </c>
      <c r="K132" s="4">
        <v>1</v>
      </c>
    </row>
    <row r="133" spans="3:11" x14ac:dyDescent="0.2">
      <c r="C133" s="4" t="s">
        <v>275</v>
      </c>
      <c r="D133" s="4">
        <v>494.04</v>
      </c>
      <c r="E133" s="4">
        <v>494.04</v>
      </c>
      <c r="F133" s="4">
        <v>494.04</v>
      </c>
      <c r="G133" s="4">
        <v>2597.48</v>
      </c>
      <c r="H133" s="4">
        <v>3022.42</v>
      </c>
      <c r="I133" s="4">
        <v>3022.42</v>
      </c>
      <c r="J133" s="4">
        <v>1</v>
      </c>
      <c r="K133" s="4">
        <v>0.85940300000000003</v>
      </c>
    </row>
    <row r="134" spans="3:11" x14ac:dyDescent="0.2">
      <c r="C134" s="4" t="s">
        <v>276</v>
      </c>
      <c r="D134" s="4">
        <v>494.04</v>
      </c>
      <c r="E134" s="4">
        <v>494.04</v>
      </c>
      <c r="F134" s="4">
        <v>494.04</v>
      </c>
      <c r="G134" s="4">
        <v>2597</v>
      </c>
      <c r="H134" s="4">
        <v>3777.33</v>
      </c>
      <c r="I134" s="4">
        <v>3777.33</v>
      </c>
      <c r="J134" s="4">
        <v>1</v>
      </c>
      <c r="K134" s="4">
        <v>0.68752199999999997</v>
      </c>
    </row>
    <row r="135" spans="3:11" x14ac:dyDescent="0.2">
      <c r="C135" s="4" t="s">
        <v>277</v>
      </c>
      <c r="D135" s="4">
        <v>216.88</v>
      </c>
      <c r="E135" s="4">
        <v>216.88</v>
      </c>
      <c r="F135" s="4">
        <v>216.88</v>
      </c>
      <c r="G135" s="4">
        <v>1270.22</v>
      </c>
      <c r="H135" s="4">
        <v>1362.3</v>
      </c>
      <c r="I135" s="4">
        <v>1362.3</v>
      </c>
      <c r="J135" s="4">
        <v>1</v>
      </c>
      <c r="K135" s="4">
        <v>0.93240800000000001</v>
      </c>
    </row>
    <row r="136" spans="3:11" x14ac:dyDescent="0.2">
      <c r="C136" s="4" t="s">
        <v>278</v>
      </c>
      <c r="D136" s="4">
        <v>216.88</v>
      </c>
      <c r="E136" s="4">
        <v>216.88</v>
      </c>
      <c r="F136" s="4">
        <v>216.88</v>
      </c>
      <c r="G136" s="4">
        <v>1270.02</v>
      </c>
      <c r="H136" s="4">
        <v>1748.76</v>
      </c>
      <c r="I136" s="4">
        <v>1748.76</v>
      </c>
      <c r="J136" s="4">
        <v>1</v>
      </c>
      <c r="K136" s="4">
        <v>0.72623800000000005</v>
      </c>
    </row>
    <row r="137" spans="3:11" x14ac:dyDescent="0.2">
      <c r="C137" s="4" t="s">
        <v>279</v>
      </c>
      <c r="D137" s="4">
        <v>5984.33</v>
      </c>
      <c r="E137" s="4">
        <v>5984.33</v>
      </c>
      <c r="F137" s="4">
        <v>5984.33</v>
      </c>
      <c r="G137" s="4">
        <v>5984.33</v>
      </c>
      <c r="H137" s="4">
        <v>5984.33</v>
      </c>
      <c r="I137" s="4">
        <v>5984.33</v>
      </c>
      <c r="J137" s="4">
        <v>1</v>
      </c>
      <c r="K137" s="4">
        <v>1</v>
      </c>
    </row>
    <row r="138" spans="3:11" x14ac:dyDescent="0.2">
      <c r="C138" s="4" t="s">
        <v>280</v>
      </c>
      <c r="D138" s="4">
        <v>4319.5200000000004</v>
      </c>
      <c r="E138" s="4">
        <v>4319.5200000000004</v>
      </c>
      <c r="F138" s="4">
        <v>4319.5200000000004</v>
      </c>
      <c r="G138" s="4">
        <v>4319.5200000000004</v>
      </c>
      <c r="H138" s="4">
        <v>4319.5200000000004</v>
      </c>
      <c r="I138" s="4">
        <v>4319.5200000000004</v>
      </c>
      <c r="J138" s="4">
        <v>1</v>
      </c>
      <c r="K138" s="4">
        <v>1</v>
      </c>
    </row>
    <row r="139" spans="3:11" x14ac:dyDescent="0.2">
      <c r="C139" s="4" t="s">
        <v>281</v>
      </c>
      <c r="D139" s="4">
        <v>2879.68</v>
      </c>
      <c r="E139" s="4">
        <v>2879.68</v>
      </c>
      <c r="F139" s="4">
        <v>2879.68</v>
      </c>
      <c r="G139" s="4">
        <v>2879.68</v>
      </c>
      <c r="H139" s="4">
        <v>2879.68</v>
      </c>
      <c r="I139" s="4">
        <v>2879.68</v>
      </c>
      <c r="J139" s="4">
        <v>1</v>
      </c>
      <c r="K139" s="4">
        <v>1</v>
      </c>
    </row>
    <row r="140" spans="3:11" x14ac:dyDescent="0.2">
      <c r="C140" s="4" t="s">
        <v>282</v>
      </c>
      <c r="D140" s="4">
        <v>4427.51</v>
      </c>
      <c r="E140" s="4">
        <v>4427.51</v>
      </c>
      <c r="F140" s="4">
        <v>4427.51</v>
      </c>
      <c r="G140" s="4">
        <v>4427.51</v>
      </c>
      <c r="H140" s="4">
        <v>4427.51</v>
      </c>
      <c r="I140" s="4">
        <v>4427.51</v>
      </c>
      <c r="J140" s="4">
        <v>1</v>
      </c>
      <c r="K140" s="4">
        <v>1</v>
      </c>
    </row>
  </sheetData>
  <autoFilter ref="A2:AB40" xr:uid="{2E9DC9C1-ABE9-4C74-8C0A-F769CBEC5074}">
    <filterColumn colId="15" showButton="0"/>
    <filterColumn colId="16" showButton="0"/>
    <filterColumn colId="17" showButton="0"/>
    <filterColumn colId="19" showButton="0"/>
    <filterColumn colId="20" showButton="0"/>
    <filterColumn colId="21" showButton="0"/>
  </autoFilter>
  <mergeCells count="3">
    <mergeCell ref="A1:N1"/>
    <mergeCell ref="P2:S17"/>
    <mergeCell ref="T2:W17"/>
  </mergeCells>
  <phoneticPr fontId="5" type="noConversion"/>
  <pageMargins left="0.7" right="0.7" top="0.75" bottom="0.75" header="0.3" footer="0.3"/>
  <pageSetup orientation="portrait" r:id="rId1"/>
  <drawing r:id="rId2"/>
  <extLst>
    <ext xmlns:x14="http://schemas.microsoft.com/office/spreadsheetml/2009/9/main" uri="{CCE6A557-97BC-4b89-ADB6-D9C93CAAB3DF}">
      <x14:dataValidations xmlns:xm="http://schemas.microsoft.com/office/excel/2006/main" count="1">
        <x14:dataValidation type="list" allowBlank="1" showInputMessage="1" showErrorMessage="1" xr:uid="{C7793A55-DBAB-44CE-A6FE-B4281E53FAF8}">
          <x14:formula1>
            <xm:f>Data!$A$2:$A$200</xm:f>
          </x14:formula1>
          <xm:sqref>A3:A39</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3093AA-CE58-48DD-B4C9-82527CB4498E}">
  <sheetPr codeName="Sheet2"/>
  <dimension ref="A1:AU178"/>
  <sheetViews>
    <sheetView zoomScale="90" zoomScaleNormal="90" workbookViewId="0">
      <selection sqref="A1:Y1"/>
    </sheetView>
  </sheetViews>
  <sheetFormatPr defaultColWidth="9.28515625" defaultRowHeight="14.25" x14ac:dyDescent="0.2"/>
  <cols>
    <col min="1" max="1" width="25.5703125" style="59" customWidth="1"/>
    <col min="2" max="2" width="17.7109375" style="61" bestFit="1" customWidth="1"/>
    <col min="3" max="3" width="36.42578125" style="59" customWidth="1"/>
    <col min="4" max="4" width="42.5703125" style="59" customWidth="1"/>
    <col min="5" max="5" width="22.7109375" style="59" customWidth="1"/>
    <col min="6" max="6" width="21.7109375" style="59" customWidth="1"/>
    <col min="7" max="8" width="32.5703125" style="62" customWidth="1"/>
    <col min="9" max="9" width="67.7109375" style="59" customWidth="1"/>
    <col min="10" max="10" width="12.140625" style="59" customWidth="1"/>
    <col min="11" max="11" width="14.140625" style="59" customWidth="1"/>
    <col min="12" max="12" width="7" style="59" customWidth="1"/>
    <col min="13" max="13" width="7.85546875" style="59" customWidth="1"/>
    <col min="14" max="14" width="8.7109375" style="59" customWidth="1"/>
    <col min="15" max="15" width="7" style="59" customWidth="1"/>
    <col min="16" max="16" width="10.7109375" style="59" customWidth="1"/>
    <col min="17" max="17" width="7.5703125" style="59" customWidth="1"/>
    <col min="18" max="21" width="7" style="59" customWidth="1"/>
    <col min="22" max="22" width="7.7109375" style="59" customWidth="1"/>
    <col min="23" max="24" width="7" style="59" customWidth="1"/>
    <col min="25" max="26" width="9.28515625" style="59"/>
    <col min="27" max="30" width="7.7109375" style="59" customWidth="1"/>
    <col min="31" max="31" width="9.7109375" style="59" customWidth="1"/>
    <col min="32" max="32" width="7.5703125" style="59" customWidth="1"/>
    <col min="33" max="33" width="11.42578125" style="59" customWidth="1"/>
    <col min="34" max="36" width="7.7109375" style="59" customWidth="1"/>
    <col min="37" max="37" width="13.7109375" style="59" customWidth="1"/>
    <col min="38" max="41" width="7.42578125" style="59" customWidth="1"/>
    <col min="42" max="43" width="9.7109375" style="59" bestFit="1" customWidth="1"/>
    <col min="44" max="16384" width="9.28515625" style="59"/>
  </cols>
  <sheetData>
    <row r="1" spans="1:47" ht="31.9" customHeight="1" x14ac:dyDescent="0.2">
      <c r="A1" s="428" t="str">
        <f>"Envelope - "&amp;Prototype!A2</f>
        <v xml:space="preserve">Envelope - ApartmentMidRise </v>
      </c>
      <c r="B1" s="429"/>
      <c r="C1" s="429"/>
      <c r="D1" s="429"/>
      <c r="E1" s="429"/>
      <c r="F1" s="429"/>
      <c r="G1" s="429"/>
      <c r="H1" s="429"/>
      <c r="I1" s="429"/>
      <c r="J1" s="429"/>
      <c r="K1" s="429"/>
      <c r="L1" s="429"/>
      <c r="M1" s="429"/>
      <c r="N1" s="429"/>
      <c r="O1" s="429"/>
      <c r="P1" s="429"/>
      <c r="Q1" s="429"/>
      <c r="R1" s="429"/>
      <c r="S1" s="429"/>
      <c r="T1" s="429"/>
      <c r="U1" s="429"/>
      <c r="V1" s="429"/>
      <c r="W1" s="429"/>
      <c r="X1" s="429"/>
      <c r="Y1" s="430"/>
      <c r="Z1" s="2"/>
      <c r="AA1" s="2"/>
      <c r="AB1" s="2"/>
      <c r="AC1" s="2"/>
      <c r="AD1" s="2"/>
      <c r="AE1" s="2"/>
      <c r="AF1" s="2"/>
      <c r="AG1" s="2"/>
      <c r="AH1" s="2"/>
      <c r="AI1" s="2"/>
      <c r="AJ1" s="2"/>
      <c r="AK1" s="2"/>
      <c r="AL1" s="2"/>
      <c r="AM1" s="2"/>
      <c r="AN1" s="2"/>
      <c r="AO1" s="2"/>
      <c r="AP1" s="2"/>
      <c r="AQ1" s="2"/>
      <c r="AR1" s="2"/>
      <c r="AS1" s="2"/>
      <c r="AT1" s="2"/>
      <c r="AU1" s="2"/>
    </row>
    <row r="2" spans="1:47" ht="22.5" customHeight="1" x14ac:dyDescent="0.2">
      <c r="A2" s="221" t="s">
        <v>283</v>
      </c>
      <c r="B2" s="171" t="s">
        <v>6</v>
      </c>
      <c r="C2" s="171" t="s">
        <v>284</v>
      </c>
      <c r="D2" s="171" t="s">
        <v>285</v>
      </c>
      <c r="E2" s="241" t="s">
        <v>286</v>
      </c>
      <c r="F2" s="171" t="s">
        <v>287</v>
      </c>
      <c r="G2" s="79" t="s">
        <v>288</v>
      </c>
      <c r="H2" s="288"/>
      <c r="I2" s="249" t="s">
        <v>289</v>
      </c>
      <c r="J2" s="171" t="s">
        <v>290</v>
      </c>
      <c r="K2" s="171" t="s">
        <v>291</v>
      </c>
      <c r="L2" s="171" t="s">
        <v>292</v>
      </c>
      <c r="M2" s="171" t="s">
        <v>293</v>
      </c>
      <c r="N2" s="171" t="s">
        <v>294</v>
      </c>
      <c r="O2" s="171" t="s">
        <v>295</v>
      </c>
      <c r="P2" s="171" t="s">
        <v>296</v>
      </c>
      <c r="Q2" s="171" t="s">
        <v>297</v>
      </c>
      <c r="R2" s="171" t="s">
        <v>298</v>
      </c>
      <c r="S2" s="171" t="s">
        <v>299</v>
      </c>
      <c r="T2" s="171" t="s">
        <v>300</v>
      </c>
      <c r="U2" s="171" t="s">
        <v>301</v>
      </c>
      <c r="V2" s="171" t="s">
        <v>302</v>
      </c>
      <c r="W2" s="171" t="s">
        <v>303</v>
      </c>
      <c r="X2" s="171" t="s">
        <v>304</v>
      </c>
      <c r="Y2" s="222" t="s">
        <v>305</v>
      </c>
      <c r="Z2" s="2"/>
      <c r="AA2" s="2"/>
      <c r="AB2" s="2"/>
      <c r="AC2" s="2"/>
      <c r="AD2" s="2"/>
      <c r="AE2" s="2"/>
      <c r="AF2" s="2"/>
      <c r="AG2" s="2"/>
      <c r="AH2" s="2"/>
      <c r="AI2" s="2"/>
      <c r="AJ2" s="2"/>
      <c r="AK2" s="2"/>
      <c r="AL2" s="2"/>
      <c r="AM2" s="2"/>
      <c r="AN2" s="2"/>
      <c r="AO2" s="2"/>
      <c r="AP2" s="2"/>
      <c r="AQ2" s="2"/>
      <c r="AR2" s="2"/>
      <c r="AS2" s="2"/>
      <c r="AT2" s="2"/>
      <c r="AU2" s="2"/>
    </row>
    <row r="3" spans="1:47" ht="55.9" customHeight="1" x14ac:dyDescent="0.2">
      <c r="A3" s="427" t="s">
        <v>306</v>
      </c>
      <c r="B3" s="422" t="str">
        <f>Prototype!$A$2</f>
        <v xml:space="preserve">ApartmentMidRise </v>
      </c>
      <c r="C3" s="425" t="s">
        <v>307</v>
      </c>
      <c r="D3" s="425" t="s">
        <v>308</v>
      </c>
      <c r="E3" s="427" t="s">
        <v>309</v>
      </c>
      <c r="F3" s="358" t="s">
        <v>310</v>
      </c>
      <c r="G3" s="358" t="s">
        <v>311</v>
      </c>
      <c r="H3" s="289"/>
      <c r="I3" s="250" t="s">
        <v>694</v>
      </c>
      <c r="J3" s="233">
        <v>0.35199999999999998</v>
      </c>
      <c r="K3" s="233">
        <v>0.35199999999999998</v>
      </c>
      <c r="L3" s="233">
        <v>0.35199999999999998</v>
      </c>
      <c r="M3" s="233">
        <v>0.35199999999999998</v>
      </c>
      <c r="N3" s="233">
        <v>0.35199999999999998</v>
      </c>
      <c r="O3" s="233">
        <v>0.35199999999999998</v>
      </c>
      <c r="P3" s="233">
        <v>0.35199999999999998</v>
      </c>
      <c r="Q3" s="233">
        <v>0.35199999999999998</v>
      </c>
      <c r="R3" s="233">
        <v>0.35199999999999998</v>
      </c>
      <c r="S3" s="233">
        <v>0.35199999999999998</v>
      </c>
      <c r="T3" s="233">
        <v>0.35199999999999998</v>
      </c>
      <c r="U3" s="233">
        <v>0.35199999999999998</v>
      </c>
      <c r="V3" s="233">
        <v>0.35199999999999998</v>
      </c>
      <c r="W3" s="233">
        <v>0.35199999999999998</v>
      </c>
      <c r="X3" s="233">
        <v>0.35199999999999998</v>
      </c>
      <c r="Y3" s="233">
        <v>0.35199999999999998</v>
      </c>
      <c r="Z3" s="2"/>
      <c r="AA3" s="2"/>
      <c r="AB3" s="2"/>
      <c r="AC3" s="2"/>
      <c r="AD3" s="2"/>
      <c r="AE3" s="2"/>
      <c r="AF3" s="2"/>
      <c r="AG3" s="2"/>
      <c r="AH3" s="2"/>
      <c r="AI3" s="2"/>
      <c r="AJ3" s="2"/>
      <c r="AK3" s="2"/>
      <c r="AL3" s="2"/>
      <c r="AM3" s="2"/>
      <c r="AN3" s="2"/>
      <c r="AO3" s="2"/>
      <c r="AP3" s="2"/>
      <c r="AQ3" s="2"/>
      <c r="AR3" s="2"/>
      <c r="AS3" s="2"/>
      <c r="AT3" s="2"/>
      <c r="AU3" s="2"/>
    </row>
    <row r="4" spans="1:47" ht="25.5" x14ac:dyDescent="0.2">
      <c r="A4" s="427"/>
      <c r="B4" s="423"/>
      <c r="C4" s="425"/>
      <c r="D4" s="425"/>
      <c r="E4" s="427"/>
      <c r="F4" s="234" t="s">
        <v>312</v>
      </c>
      <c r="G4" s="234">
        <v>1986</v>
      </c>
      <c r="H4" s="290"/>
      <c r="I4" s="251" t="s">
        <v>695</v>
      </c>
      <c r="J4" s="234">
        <v>0.21299999999999999</v>
      </c>
      <c r="K4" s="234">
        <v>0.22700000000000001</v>
      </c>
      <c r="L4" s="234">
        <v>0.22700000000000001</v>
      </c>
      <c r="M4" s="234">
        <v>0.217</v>
      </c>
      <c r="N4" s="234">
        <v>0.217</v>
      </c>
      <c r="O4" s="234">
        <v>0.25600000000000001</v>
      </c>
      <c r="P4" s="234">
        <v>0.25600000000000001</v>
      </c>
      <c r="Q4" s="234">
        <v>0.25600000000000001</v>
      </c>
      <c r="R4" s="234">
        <v>0.25600000000000001</v>
      </c>
      <c r="S4" s="234">
        <v>0.25600000000000001</v>
      </c>
      <c r="T4" s="234">
        <v>0.23799999999999999</v>
      </c>
      <c r="U4" s="234">
        <v>0.23799999999999999</v>
      </c>
      <c r="V4" s="234">
        <v>0.23799999999999999</v>
      </c>
      <c r="W4" s="234">
        <v>0.20799999999999999</v>
      </c>
      <c r="X4" s="234">
        <v>0.20799999999999999</v>
      </c>
      <c r="Y4" s="234">
        <v>0.21299999999999999</v>
      </c>
      <c r="Z4" s="2"/>
      <c r="AA4" s="2"/>
      <c r="AB4" s="2"/>
      <c r="AC4" s="2"/>
      <c r="AD4" s="2"/>
      <c r="AE4" s="2"/>
      <c r="AF4" s="2"/>
      <c r="AG4" s="2"/>
      <c r="AH4" s="2"/>
      <c r="AI4" s="2"/>
      <c r="AJ4" s="2"/>
      <c r="AK4" s="2"/>
      <c r="AL4" s="2"/>
      <c r="AM4" s="2"/>
      <c r="AN4" s="2"/>
      <c r="AO4" s="2"/>
      <c r="AP4" s="2"/>
      <c r="AQ4" s="2"/>
      <c r="AR4" s="2"/>
      <c r="AS4" s="2"/>
      <c r="AT4" s="2"/>
      <c r="AU4" s="2"/>
    </row>
    <row r="5" spans="1:47" ht="15" customHeight="1" x14ac:dyDescent="0.2">
      <c r="A5" s="427"/>
      <c r="B5" s="423"/>
      <c r="C5" s="425"/>
      <c r="D5" s="425"/>
      <c r="E5" s="427"/>
      <c r="F5" s="236" t="s">
        <v>313</v>
      </c>
      <c r="G5" s="236">
        <v>2001</v>
      </c>
      <c r="H5" s="252"/>
      <c r="I5" s="252" t="s">
        <v>696</v>
      </c>
      <c r="J5" s="236">
        <v>0.182</v>
      </c>
      <c r="K5" s="236">
        <v>0.182</v>
      </c>
      <c r="L5" s="236">
        <v>0.189</v>
      </c>
      <c r="M5" s="236">
        <v>0.189</v>
      </c>
      <c r="N5" s="236">
        <v>0.189</v>
      </c>
      <c r="O5" s="236">
        <v>0.189</v>
      </c>
      <c r="P5" s="236">
        <v>0.189</v>
      </c>
      <c r="Q5" s="236">
        <v>0.189</v>
      </c>
      <c r="R5" s="236">
        <v>0.189</v>
      </c>
      <c r="S5" s="236">
        <v>0.182</v>
      </c>
      <c r="T5" s="236">
        <v>0.182</v>
      </c>
      <c r="U5" s="236">
        <v>0.182</v>
      </c>
      <c r="V5" s="236">
        <v>0.182</v>
      </c>
      <c r="W5" s="236">
        <v>0.182</v>
      </c>
      <c r="X5" s="236">
        <v>0.182</v>
      </c>
      <c r="Y5" s="236">
        <v>0.182</v>
      </c>
      <c r="Z5" s="2"/>
      <c r="AA5" s="2"/>
      <c r="AB5" s="2"/>
      <c r="AC5" s="2"/>
      <c r="AD5" s="2"/>
      <c r="AE5" s="2"/>
      <c r="AF5" s="2"/>
      <c r="AG5" s="2"/>
      <c r="AH5" s="2"/>
      <c r="AI5" s="2"/>
      <c r="AJ5" s="2"/>
      <c r="AK5" s="2"/>
      <c r="AL5" s="2"/>
      <c r="AM5" s="2"/>
      <c r="AN5" s="2"/>
      <c r="AO5" s="2"/>
      <c r="AP5" s="2"/>
      <c r="AQ5" s="2"/>
      <c r="AR5" s="2"/>
      <c r="AS5" s="2"/>
      <c r="AT5" s="2"/>
      <c r="AU5" s="2"/>
    </row>
    <row r="6" spans="1:47" ht="15" x14ac:dyDescent="0.25">
      <c r="A6" s="427"/>
      <c r="B6" s="423"/>
      <c r="C6" s="425"/>
      <c r="D6" s="425"/>
      <c r="E6" s="427"/>
      <c r="F6" s="238" t="s">
        <v>315</v>
      </c>
      <c r="G6" s="238">
        <v>2013</v>
      </c>
      <c r="H6" s="253"/>
      <c r="I6" s="253" t="s">
        <v>348</v>
      </c>
      <c r="J6" s="239">
        <v>9.8000000000000004E-2</v>
      </c>
      <c r="K6" s="239">
        <v>6.2E-2</v>
      </c>
      <c r="L6" s="239">
        <v>8.2000000000000003E-2</v>
      </c>
      <c r="M6" s="239">
        <v>6.2E-2</v>
      </c>
      <c r="N6" s="239">
        <v>6.2E-2</v>
      </c>
      <c r="O6" s="239">
        <v>9.8000000000000004E-2</v>
      </c>
      <c r="P6" s="239">
        <v>9.8000000000000004E-2</v>
      </c>
      <c r="Q6" s="239">
        <v>6.2E-2</v>
      </c>
      <c r="R6" s="239">
        <v>6.2E-2</v>
      </c>
      <c r="S6" s="239">
        <v>6.2E-2</v>
      </c>
      <c r="T6" s="239">
        <v>6.2E-2</v>
      </c>
      <c r="U6" s="239">
        <v>6.2E-2</v>
      </c>
      <c r="V6" s="239">
        <v>6.2E-2</v>
      </c>
      <c r="W6" s="239">
        <v>6.2E-2</v>
      </c>
      <c r="X6" s="239">
        <v>6.2E-2</v>
      </c>
      <c r="Y6" s="239">
        <v>6.2E-2</v>
      </c>
      <c r="Z6" s="2"/>
      <c r="AA6" s="2"/>
      <c r="AB6" s="2"/>
      <c r="AC6" s="2"/>
      <c r="AD6" s="2"/>
      <c r="AE6" s="2"/>
      <c r="AF6" s="2"/>
      <c r="AG6" s="2"/>
      <c r="AH6" s="2"/>
      <c r="AI6" s="2"/>
      <c r="AJ6" s="2"/>
      <c r="AK6"/>
      <c r="AL6"/>
      <c r="AM6"/>
      <c r="AN6"/>
      <c r="AO6"/>
      <c r="AP6"/>
      <c r="AQ6"/>
      <c r="AR6"/>
      <c r="AS6"/>
      <c r="AT6"/>
      <c r="AU6"/>
    </row>
    <row r="7" spans="1:47" ht="37.9" customHeight="1" x14ac:dyDescent="0.25">
      <c r="A7" s="427"/>
      <c r="B7" s="424"/>
      <c r="C7" s="425"/>
      <c r="D7" s="425"/>
      <c r="E7" s="427"/>
      <c r="F7" s="238" t="s">
        <v>317</v>
      </c>
      <c r="G7" s="240">
        <v>2025</v>
      </c>
      <c r="H7" s="291"/>
      <c r="I7" s="254" t="s">
        <v>697</v>
      </c>
      <c r="J7" s="240">
        <v>0.06</v>
      </c>
      <c r="K7" s="240">
        <v>5.5E-2</v>
      </c>
      <c r="L7" s="240">
        <v>7.0999999999999994E-2</v>
      </c>
      <c r="M7" s="240">
        <v>5.5E-2</v>
      </c>
      <c r="N7" s="240">
        <v>5.5E-2</v>
      </c>
      <c r="O7" s="240">
        <v>0.06</v>
      </c>
      <c r="P7" s="240">
        <v>0.06</v>
      </c>
      <c r="Q7" s="240">
        <v>5.5E-2</v>
      </c>
      <c r="R7" s="240">
        <v>5.5E-2</v>
      </c>
      <c r="S7" s="240">
        <v>5.5E-2</v>
      </c>
      <c r="T7" s="240">
        <v>5.5E-2</v>
      </c>
      <c r="U7" s="240">
        <v>5.5E-2</v>
      </c>
      <c r="V7" s="240">
        <v>5.5E-2</v>
      </c>
      <c r="W7" s="240">
        <v>5.5E-2</v>
      </c>
      <c r="X7" s="240">
        <v>5.5E-2</v>
      </c>
      <c r="Y7" s="240">
        <v>5.5E-2</v>
      </c>
      <c r="Z7" s="2"/>
      <c r="AA7" s="2"/>
      <c r="AB7" s="2"/>
      <c r="AC7" s="2"/>
      <c r="AD7" s="2"/>
      <c r="AE7" s="2"/>
      <c r="AF7" s="2"/>
      <c r="AG7" s="2"/>
      <c r="AH7" s="2"/>
      <c r="AI7" s="2"/>
      <c r="AJ7" s="2"/>
      <c r="AK7"/>
      <c r="AL7"/>
      <c r="AM7"/>
      <c r="AN7"/>
      <c r="AO7"/>
      <c r="AP7"/>
      <c r="AQ7"/>
      <c r="AR7"/>
      <c r="AS7"/>
      <c r="AT7"/>
      <c r="AU7"/>
    </row>
    <row r="8" spans="1:47" ht="15" x14ac:dyDescent="0.25">
      <c r="A8" s="427" t="s">
        <v>318</v>
      </c>
      <c r="B8" s="422" t="str">
        <f>Prototype!$A$2</f>
        <v xml:space="preserve">ApartmentMidRise </v>
      </c>
      <c r="C8" s="425" t="s">
        <v>319</v>
      </c>
      <c r="D8" s="425" t="s">
        <v>320</v>
      </c>
      <c r="E8" s="427" t="s">
        <v>309</v>
      </c>
      <c r="F8" s="358" t="s">
        <v>310</v>
      </c>
      <c r="G8" s="358" t="s">
        <v>311</v>
      </c>
      <c r="H8" s="289"/>
      <c r="I8" s="250" t="s">
        <v>321</v>
      </c>
      <c r="J8" s="233">
        <v>0.29199999999999998</v>
      </c>
      <c r="K8" s="233">
        <v>0.29199999999999998</v>
      </c>
      <c r="L8" s="233">
        <v>0.29199999999999998</v>
      </c>
      <c r="M8" s="233">
        <v>0.29199999999999998</v>
      </c>
      <c r="N8" s="233">
        <v>0.29199999999999998</v>
      </c>
      <c r="O8" s="233">
        <v>0.29199999999999998</v>
      </c>
      <c r="P8" s="233">
        <v>0.29199999999999998</v>
      </c>
      <c r="Q8" s="233">
        <v>0.29199999999999998</v>
      </c>
      <c r="R8" s="233">
        <v>0.29199999999999998</v>
      </c>
      <c r="S8" s="233">
        <v>0.29199999999999998</v>
      </c>
      <c r="T8" s="233">
        <v>0.29199999999999998</v>
      </c>
      <c r="U8" s="233">
        <v>0.29199999999999998</v>
      </c>
      <c r="V8" s="233">
        <v>0.29199999999999998</v>
      </c>
      <c r="W8" s="233">
        <v>0.29199999999999998</v>
      </c>
      <c r="X8" s="233">
        <v>0.29199999999999998</v>
      </c>
      <c r="Y8" s="233">
        <v>0.29199999999999998</v>
      </c>
      <c r="Z8" s="2"/>
      <c r="AA8" s="2"/>
      <c r="AB8"/>
      <c r="AC8"/>
      <c r="AD8"/>
      <c r="AE8"/>
      <c r="AF8"/>
      <c r="AG8"/>
      <c r="AH8"/>
      <c r="AI8"/>
      <c r="AJ8"/>
      <c r="AK8"/>
      <c r="AL8"/>
      <c r="AM8"/>
      <c r="AN8"/>
      <c r="AO8"/>
      <c r="AP8"/>
      <c r="AQ8"/>
      <c r="AR8"/>
      <c r="AS8"/>
      <c r="AT8"/>
      <c r="AU8"/>
    </row>
    <row r="9" spans="1:47" ht="15" x14ac:dyDescent="0.25">
      <c r="A9" s="427"/>
      <c r="B9" s="423"/>
      <c r="C9" s="425"/>
      <c r="D9" s="425"/>
      <c r="E9" s="427"/>
      <c r="F9" s="234" t="s">
        <v>312</v>
      </c>
      <c r="G9" s="234">
        <v>1986</v>
      </c>
      <c r="H9" s="290"/>
      <c r="I9" s="251" t="s">
        <v>322</v>
      </c>
      <c r="J9" s="234">
        <v>9.5000000000000001E-2</v>
      </c>
      <c r="K9" s="234">
        <v>9.5000000000000001E-2</v>
      </c>
      <c r="L9" s="234">
        <v>9.5000000000000001E-2</v>
      </c>
      <c r="M9" s="234">
        <v>9.5000000000000001E-2</v>
      </c>
      <c r="N9" s="234">
        <v>9.5000000000000001E-2</v>
      </c>
      <c r="O9" s="234">
        <v>9.5000000000000001E-2</v>
      </c>
      <c r="P9" s="234">
        <v>9.5000000000000001E-2</v>
      </c>
      <c r="Q9" s="234">
        <v>9.5000000000000001E-2</v>
      </c>
      <c r="R9" s="234">
        <v>9.5000000000000001E-2</v>
      </c>
      <c r="S9" s="234">
        <v>9.5000000000000001E-2</v>
      </c>
      <c r="T9" s="234">
        <v>9.5000000000000001E-2</v>
      </c>
      <c r="U9" s="234">
        <v>9.5000000000000001E-2</v>
      </c>
      <c r="V9" s="234">
        <v>9.5000000000000001E-2</v>
      </c>
      <c r="W9" s="234">
        <v>9.5000000000000001E-2</v>
      </c>
      <c r="X9" s="234">
        <v>9.5000000000000001E-2</v>
      </c>
      <c r="Y9" s="234">
        <v>9.5000000000000001E-2</v>
      </c>
      <c r="Z9" s="2"/>
      <c r="AA9" s="2"/>
      <c r="AB9"/>
      <c r="AC9"/>
      <c r="AD9"/>
      <c r="AE9"/>
      <c r="AF9"/>
      <c r="AG9"/>
      <c r="AH9"/>
      <c r="AI9"/>
      <c r="AJ9"/>
      <c r="AK9"/>
      <c r="AL9"/>
      <c r="AM9"/>
      <c r="AN9"/>
      <c r="AO9"/>
      <c r="AP9"/>
      <c r="AQ9"/>
      <c r="AR9"/>
      <c r="AS9"/>
      <c r="AT9"/>
      <c r="AU9"/>
    </row>
    <row r="10" spans="1:47" ht="15" x14ac:dyDescent="0.25">
      <c r="A10" s="427"/>
      <c r="B10" s="423"/>
      <c r="C10" s="425"/>
      <c r="D10" s="425"/>
      <c r="E10" s="427"/>
      <c r="F10" s="236" t="s">
        <v>313</v>
      </c>
      <c r="G10" s="236">
        <v>2001</v>
      </c>
      <c r="H10" s="252"/>
      <c r="I10" s="252" t="s">
        <v>323</v>
      </c>
      <c r="J10" s="236">
        <v>8.4000000000000005E-2</v>
      </c>
      <c r="K10" s="236">
        <v>8.4000000000000005E-2</v>
      </c>
      <c r="L10" s="236">
        <v>9.1999999999999998E-2</v>
      </c>
      <c r="M10" s="236">
        <v>9.1999999999999998E-2</v>
      </c>
      <c r="N10" s="236">
        <v>9.1999999999999998E-2</v>
      </c>
      <c r="O10" s="236">
        <v>9.1999999999999998E-2</v>
      </c>
      <c r="P10" s="236">
        <v>9.1999999999999998E-2</v>
      </c>
      <c r="Q10" s="236">
        <v>9.1999999999999998E-2</v>
      </c>
      <c r="R10" s="236">
        <v>9.1999999999999998E-2</v>
      </c>
      <c r="S10" s="236">
        <v>8.4000000000000005E-2</v>
      </c>
      <c r="T10" s="236">
        <v>8.4000000000000005E-2</v>
      </c>
      <c r="U10" s="236">
        <v>8.4000000000000005E-2</v>
      </c>
      <c r="V10" s="236">
        <v>8.4000000000000005E-2</v>
      </c>
      <c r="W10" s="236">
        <v>8.4000000000000005E-2</v>
      </c>
      <c r="X10" s="236">
        <v>8.4000000000000005E-2</v>
      </c>
      <c r="Y10" s="236">
        <v>8.4000000000000005E-2</v>
      </c>
      <c r="Z10" s="2"/>
      <c r="AA10" s="2"/>
      <c r="AB10"/>
      <c r="AC10"/>
      <c r="AD10"/>
      <c r="AE10"/>
      <c r="AF10"/>
      <c r="AG10"/>
      <c r="AH10"/>
      <c r="AI10"/>
      <c r="AJ10"/>
      <c r="AK10"/>
      <c r="AL10"/>
      <c r="AM10"/>
      <c r="AN10"/>
      <c r="AO10"/>
      <c r="AP10"/>
      <c r="AQ10"/>
      <c r="AR10"/>
      <c r="AS10"/>
      <c r="AT10"/>
      <c r="AU10"/>
    </row>
    <row r="11" spans="1:47" ht="15" x14ac:dyDescent="0.25">
      <c r="A11" s="427"/>
      <c r="B11" s="423"/>
      <c r="C11" s="425"/>
      <c r="D11" s="425"/>
      <c r="E11" s="427"/>
      <c r="F11" s="238" t="s">
        <v>315</v>
      </c>
      <c r="G11" s="238">
        <v>2013</v>
      </c>
      <c r="H11" s="253"/>
      <c r="I11" s="253" t="s">
        <v>324</v>
      </c>
      <c r="J11" s="239">
        <v>0.10199999999999999</v>
      </c>
      <c r="K11" s="239">
        <v>5.8999999999999997E-2</v>
      </c>
      <c r="L11" s="239">
        <v>0.11</v>
      </c>
      <c r="M11" s="239">
        <v>5.8999999999999997E-2</v>
      </c>
      <c r="N11" s="239">
        <v>0.10199999999999999</v>
      </c>
      <c r="O11" s="239">
        <v>0.11</v>
      </c>
      <c r="P11" s="239">
        <v>0.11</v>
      </c>
      <c r="Q11" s="239">
        <v>0.10199999999999999</v>
      </c>
      <c r="R11" s="239">
        <v>5.8999999999999997E-2</v>
      </c>
      <c r="S11" s="239">
        <v>5.8999999999999997E-2</v>
      </c>
      <c r="T11" s="239">
        <v>5.8999999999999997E-2</v>
      </c>
      <c r="U11" s="239">
        <v>5.8999999999999997E-2</v>
      </c>
      <c r="V11" s="239">
        <v>5.8999999999999997E-2</v>
      </c>
      <c r="W11" s="239">
        <v>5.8999999999999997E-2</v>
      </c>
      <c r="X11" s="239">
        <v>4.2000000000000003E-2</v>
      </c>
      <c r="Y11" s="239">
        <v>5.8999999999999997E-2</v>
      </c>
      <c r="Z11" s="2"/>
      <c r="AA11" s="2"/>
      <c r="AB11"/>
      <c r="AC11"/>
      <c r="AD11"/>
      <c r="AE11"/>
      <c r="AF11"/>
      <c r="AG11"/>
      <c r="AH11"/>
      <c r="AI11"/>
      <c r="AJ11"/>
      <c r="AK11"/>
      <c r="AL11"/>
      <c r="AM11"/>
      <c r="AN11"/>
      <c r="AO11"/>
      <c r="AP11"/>
      <c r="AQ11"/>
      <c r="AR11"/>
      <c r="AS11"/>
      <c r="AT11"/>
      <c r="AU11"/>
    </row>
    <row r="12" spans="1:47" ht="38.25" customHeight="1" x14ac:dyDescent="0.25">
      <c r="A12" s="427"/>
      <c r="B12" s="424"/>
      <c r="C12" s="425"/>
      <c r="D12" s="425"/>
      <c r="E12" s="427"/>
      <c r="F12" s="238" t="s">
        <v>317</v>
      </c>
      <c r="G12" s="240">
        <v>2025</v>
      </c>
      <c r="H12" s="291"/>
      <c r="I12" s="255" t="s">
        <v>325</v>
      </c>
      <c r="J12" s="239">
        <v>5.0999999999999997E-2</v>
      </c>
      <c r="K12" s="239">
        <v>5.0999999999999997E-2</v>
      </c>
      <c r="L12" s="239">
        <v>5.0999999999999997E-2</v>
      </c>
      <c r="M12" s="239">
        <v>5.0999999999999997E-2</v>
      </c>
      <c r="N12" s="239">
        <v>5.0999999999999997E-2</v>
      </c>
      <c r="O12" s="239">
        <v>6.5000000000000002E-2</v>
      </c>
      <c r="P12" s="239">
        <v>6.5000000000000002E-2</v>
      </c>
      <c r="Q12" s="239">
        <v>5.0999999999999997E-2</v>
      </c>
      <c r="R12" s="239">
        <v>5.0999999999999997E-2</v>
      </c>
      <c r="S12" s="239">
        <v>5.0999999999999997E-2</v>
      </c>
      <c r="T12" s="239">
        <v>5.0999999999999997E-2</v>
      </c>
      <c r="U12" s="239">
        <v>5.0999999999999997E-2</v>
      </c>
      <c r="V12" s="239">
        <v>5.0999999999999997E-2</v>
      </c>
      <c r="W12" s="239">
        <v>5.0999999999999997E-2</v>
      </c>
      <c r="X12" s="239">
        <v>5.0999999999999997E-2</v>
      </c>
      <c r="Y12" s="239">
        <v>5.0999999999999997E-2</v>
      </c>
      <c r="Z12" s="2"/>
      <c r="AA12" s="2"/>
      <c r="AB12"/>
      <c r="AC12"/>
      <c r="AD12"/>
      <c r="AE12"/>
      <c r="AF12"/>
      <c r="AG12"/>
      <c r="AH12"/>
      <c r="AI12"/>
      <c r="AJ12"/>
      <c r="AK12"/>
      <c r="AL12"/>
      <c r="AM12"/>
      <c r="AN12"/>
      <c r="AO12"/>
      <c r="AP12"/>
      <c r="AQ12"/>
      <c r="AR12"/>
      <c r="AS12"/>
      <c r="AT12"/>
      <c r="AU12"/>
    </row>
    <row r="13" spans="1:47" ht="15" x14ac:dyDescent="0.25">
      <c r="A13" s="427" t="s">
        <v>326</v>
      </c>
      <c r="B13" s="422" t="str">
        <f>Prototype!$A$2</f>
        <v xml:space="preserve">ApartmentMidRise </v>
      </c>
      <c r="C13" s="425" t="s">
        <v>327</v>
      </c>
      <c r="D13" s="431" t="s">
        <v>328</v>
      </c>
      <c r="E13" s="427" t="s">
        <v>309</v>
      </c>
      <c r="F13" s="358" t="s">
        <v>310</v>
      </c>
      <c r="G13" s="358" t="s">
        <v>311</v>
      </c>
      <c r="H13" s="358"/>
      <c r="I13" s="425" t="s">
        <v>329</v>
      </c>
      <c r="J13" s="233">
        <v>3.6999999999999998E-2</v>
      </c>
      <c r="K13" s="233">
        <v>5.0999999999999997E-2</v>
      </c>
      <c r="L13" s="233">
        <v>5.0999999999999997E-2</v>
      </c>
      <c r="M13" s="233">
        <v>5.0999999999999997E-2</v>
      </c>
      <c r="N13" s="233">
        <v>5.0999999999999997E-2</v>
      </c>
      <c r="O13" s="233">
        <v>5.0999999999999997E-2</v>
      </c>
      <c r="P13" s="233">
        <v>5.0999999999999997E-2</v>
      </c>
      <c r="Q13" s="233">
        <v>5.0999999999999997E-2</v>
      </c>
      <c r="R13" s="233">
        <v>5.0999999999999997E-2</v>
      </c>
      <c r="S13" s="233">
        <v>5.0999999999999997E-2</v>
      </c>
      <c r="T13" s="233">
        <v>3.6999999999999998E-2</v>
      </c>
      <c r="U13" s="233">
        <v>3.6999999999999998E-2</v>
      </c>
      <c r="V13" s="233">
        <v>3.6999999999999998E-2</v>
      </c>
      <c r="W13" s="233">
        <v>3.6999999999999998E-2</v>
      </c>
      <c r="X13" s="233">
        <v>3.6999999999999998E-2</v>
      </c>
      <c r="Y13" s="233">
        <v>3.6999999999999998E-2</v>
      </c>
      <c r="Z13" s="2"/>
      <c r="AA13" s="2"/>
      <c r="AB13" s="2"/>
      <c r="AC13" s="2"/>
      <c r="AD13" s="2"/>
      <c r="AE13" s="2"/>
      <c r="AF13" s="2"/>
      <c r="AG13" s="2"/>
      <c r="AH13" s="2"/>
      <c r="AI13" s="2"/>
      <c r="AJ13" s="2"/>
      <c r="AK13"/>
      <c r="AL13"/>
      <c r="AM13"/>
      <c r="AN13"/>
      <c r="AO13"/>
      <c r="AP13"/>
      <c r="AQ13"/>
      <c r="AR13"/>
      <c r="AS13"/>
      <c r="AT13"/>
      <c r="AU13"/>
    </row>
    <row r="14" spans="1:47" ht="18" customHeight="1" x14ac:dyDescent="0.25">
      <c r="A14" s="427"/>
      <c r="B14" s="423"/>
      <c r="C14" s="425"/>
      <c r="D14" s="431"/>
      <c r="E14" s="427"/>
      <c r="F14" s="358" t="s">
        <v>312</v>
      </c>
      <c r="G14" s="358" t="s">
        <v>311</v>
      </c>
      <c r="H14" s="358"/>
      <c r="I14" s="426"/>
      <c r="J14" s="233">
        <v>3.6999999999999998E-2</v>
      </c>
      <c r="K14" s="233">
        <v>5.0999999999999997E-2</v>
      </c>
      <c r="L14" s="233">
        <v>5.0999999999999997E-2</v>
      </c>
      <c r="M14" s="233">
        <v>5.0999999999999997E-2</v>
      </c>
      <c r="N14" s="233">
        <v>5.0999999999999997E-2</v>
      </c>
      <c r="O14" s="233">
        <v>5.0999999999999997E-2</v>
      </c>
      <c r="P14" s="233">
        <v>5.0999999999999997E-2</v>
      </c>
      <c r="Q14" s="233">
        <v>5.0999999999999997E-2</v>
      </c>
      <c r="R14" s="233">
        <v>5.0999999999999997E-2</v>
      </c>
      <c r="S14" s="233">
        <v>5.0999999999999997E-2</v>
      </c>
      <c r="T14" s="233">
        <v>3.6999999999999998E-2</v>
      </c>
      <c r="U14" s="233">
        <v>3.6999999999999998E-2</v>
      </c>
      <c r="V14" s="233">
        <v>3.6999999999999998E-2</v>
      </c>
      <c r="W14" s="233">
        <v>3.6999999999999998E-2</v>
      </c>
      <c r="X14" s="233">
        <v>3.6999999999999998E-2</v>
      </c>
      <c r="Y14" s="233">
        <v>3.6999999999999998E-2</v>
      </c>
      <c r="Z14" s="2"/>
      <c r="AA14" s="2"/>
      <c r="AB14" s="2"/>
      <c r="AC14" s="2"/>
      <c r="AD14" s="2"/>
      <c r="AE14" s="2"/>
      <c r="AF14" s="2"/>
      <c r="AG14" s="2"/>
      <c r="AH14" s="2"/>
      <c r="AI14" s="2"/>
      <c r="AJ14" s="2"/>
      <c r="AK14"/>
      <c r="AL14"/>
      <c r="AM14"/>
      <c r="AN14"/>
      <c r="AO14"/>
      <c r="AP14"/>
      <c r="AQ14"/>
      <c r="AR14"/>
      <c r="AS14"/>
      <c r="AT14"/>
      <c r="AU14"/>
    </row>
    <row r="15" spans="1:47" ht="15" x14ac:dyDescent="0.25">
      <c r="A15" s="427"/>
      <c r="B15" s="423"/>
      <c r="C15" s="425"/>
      <c r="D15" s="431"/>
      <c r="E15" s="427"/>
      <c r="F15" s="236" t="s">
        <v>313</v>
      </c>
      <c r="G15" s="236">
        <v>2001</v>
      </c>
      <c r="H15" s="252"/>
      <c r="I15" s="252" t="s">
        <v>314</v>
      </c>
      <c r="J15" s="237">
        <v>3.6999999999999998E-2</v>
      </c>
      <c r="K15" s="237">
        <v>3.6999999999999998E-2</v>
      </c>
      <c r="L15" s="237">
        <v>5.0999999999999997E-2</v>
      </c>
      <c r="M15" s="237">
        <v>5.0999999999999997E-2</v>
      </c>
      <c r="N15" s="237">
        <v>5.0999999999999997E-2</v>
      </c>
      <c r="O15" s="237">
        <v>5.0999999999999997E-2</v>
      </c>
      <c r="P15" s="237">
        <v>5.0999999999999997E-2</v>
      </c>
      <c r="Q15" s="237">
        <v>5.0999999999999997E-2</v>
      </c>
      <c r="R15" s="237">
        <v>5.0999999999999997E-2</v>
      </c>
      <c r="S15" s="237">
        <v>3.6999999999999998E-2</v>
      </c>
      <c r="T15" s="237">
        <v>3.6999999999999998E-2</v>
      </c>
      <c r="U15" s="237">
        <v>3.6999999999999998E-2</v>
      </c>
      <c r="V15" s="237">
        <v>3.6999999999999998E-2</v>
      </c>
      <c r="W15" s="237">
        <v>3.6999999999999998E-2</v>
      </c>
      <c r="X15" s="237">
        <v>3.6999999999999998E-2</v>
      </c>
      <c r="Y15" s="237">
        <v>3.6999999999999998E-2</v>
      </c>
      <c r="Z15" s="2"/>
      <c r="AA15" s="2"/>
      <c r="AB15" s="2"/>
      <c r="AC15" s="2"/>
      <c r="AD15" s="2"/>
      <c r="AE15" s="2"/>
      <c r="AF15" s="2"/>
      <c r="AG15" s="2"/>
      <c r="AH15" s="2"/>
      <c r="AI15" s="2"/>
      <c r="AJ15" s="2"/>
      <c r="AK15"/>
      <c r="AL15"/>
      <c r="AM15"/>
      <c r="AN15"/>
      <c r="AO15"/>
      <c r="AP15"/>
      <c r="AQ15"/>
      <c r="AR15"/>
      <c r="AS15"/>
      <c r="AT15"/>
      <c r="AU15"/>
    </row>
    <row r="16" spans="1:47" ht="15" x14ac:dyDescent="0.25">
      <c r="A16" s="427"/>
      <c r="B16" s="423"/>
      <c r="C16" s="425"/>
      <c r="D16" s="431"/>
      <c r="E16" s="427"/>
      <c r="F16" s="238" t="s">
        <v>315</v>
      </c>
      <c r="G16" s="238">
        <v>2013</v>
      </c>
      <c r="H16" s="253"/>
      <c r="I16" s="253" t="s">
        <v>316</v>
      </c>
      <c r="J16" s="239">
        <v>3.4000000000000002E-2</v>
      </c>
      <c r="K16" s="239">
        <v>2.8000000000000001E-2</v>
      </c>
      <c r="L16" s="239">
        <v>3.9E-2</v>
      </c>
      <c r="M16" s="239">
        <v>2.8000000000000001E-2</v>
      </c>
      <c r="N16" s="239">
        <v>3.9E-2</v>
      </c>
      <c r="O16" s="239">
        <v>3.9E-2</v>
      </c>
      <c r="P16" s="239">
        <v>3.9E-2</v>
      </c>
      <c r="Q16" s="239">
        <v>2.8000000000000001E-2</v>
      </c>
      <c r="R16" s="239">
        <v>2.8000000000000001E-2</v>
      </c>
      <c r="S16" s="239">
        <v>2.8000000000000001E-2</v>
      </c>
      <c r="T16" s="239">
        <v>2.8000000000000001E-2</v>
      </c>
      <c r="U16" s="239">
        <v>2.8000000000000001E-2</v>
      </c>
      <c r="V16" s="239">
        <v>2.8000000000000001E-2</v>
      </c>
      <c r="W16" s="239">
        <v>2.8000000000000001E-2</v>
      </c>
      <c r="X16" s="239">
        <v>2.8000000000000001E-2</v>
      </c>
      <c r="Y16" s="239">
        <v>2.8000000000000001E-2</v>
      </c>
      <c r="Z16" s="2"/>
      <c r="AA16" s="2"/>
      <c r="AB16" s="2"/>
      <c r="AC16" s="2"/>
      <c r="AD16" s="2"/>
      <c r="AE16" s="2"/>
      <c r="AF16" s="2"/>
      <c r="AG16" s="2"/>
      <c r="AH16" s="2"/>
      <c r="AI16" s="2"/>
      <c r="AJ16" s="2"/>
      <c r="AK16"/>
      <c r="AL16"/>
      <c r="AM16"/>
      <c r="AN16"/>
      <c r="AO16"/>
      <c r="AP16"/>
      <c r="AQ16"/>
      <c r="AR16"/>
      <c r="AS16"/>
      <c r="AT16"/>
      <c r="AU16"/>
    </row>
    <row r="17" spans="1:47" ht="43.5" customHeight="1" x14ac:dyDescent="0.25">
      <c r="A17" s="427"/>
      <c r="B17" s="424"/>
      <c r="C17" s="425"/>
      <c r="D17" s="431"/>
      <c r="E17" s="427"/>
      <c r="F17" s="238" t="s">
        <v>317</v>
      </c>
      <c r="G17" s="240">
        <v>2025</v>
      </c>
      <c r="H17" s="291"/>
      <c r="I17" s="254" t="s">
        <v>330</v>
      </c>
      <c r="J17" s="239">
        <v>2.8000000000000001E-2</v>
      </c>
      <c r="K17" s="239">
        <v>2.8000000000000001E-2</v>
      </c>
      <c r="L17" s="239">
        <v>3.4000000000000002E-2</v>
      </c>
      <c r="M17" s="239">
        <v>2.8000000000000001E-2</v>
      </c>
      <c r="N17" s="239">
        <v>3.4000000000000002E-2</v>
      </c>
      <c r="O17" s="239">
        <v>3.4000000000000002E-2</v>
      </c>
      <c r="P17" s="239">
        <v>3.9E-2</v>
      </c>
      <c r="Q17" s="239">
        <v>2.8000000000000001E-2</v>
      </c>
      <c r="R17" s="239">
        <v>2.8000000000000001E-2</v>
      </c>
      <c r="S17" s="239">
        <v>2.8000000000000001E-2</v>
      </c>
      <c r="T17" s="239">
        <v>2.8000000000000001E-2</v>
      </c>
      <c r="U17" s="239">
        <v>2.8000000000000001E-2</v>
      </c>
      <c r="V17" s="239">
        <v>2.8000000000000001E-2</v>
      </c>
      <c r="W17" s="239">
        <v>2.8000000000000001E-2</v>
      </c>
      <c r="X17" s="239">
        <v>2.8000000000000001E-2</v>
      </c>
      <c r="Y17" s="239">
        <v>2.8000000000000001E-2</v>
      </c>
      <c r="Z17" s="2"/>
      <c r="AA17" s="2"/>
      <c r="AB17" s="2"/>
      <c r="AC17" s="2"/>
      <c r="AD17" s="2"/>
      <c r="AE17" s="2"/>
      <c r="AF17" s="2"/>
      <c r="AG17" s="2"/>
      <c r="AH17" s="2"/>
      <c r="AI17" s="2"/>
      <c r="AJ17" s="2"/>
      <c r="AK17"/>
      <c r="AL17"/>
      <c r="AM17"/>
      <c r="AN17"/>
      <c r="AO17"/>
      <c r="AP17"/>
      <c r="AQ17"/>
      <c r="AR17"/>
      <c r="AS17"/>
      <c r="AT17"/>
      <c r="AU17"/>
    </row>
    <row r="18" spans="1:47" s="2" customFormat="1" ht="15" customHeight="1" x14ac:dyDescent="0.2">
      <c r="A18" s="425" t="s">
        <v>331</v>
      </c>
      <c r="B18" s="422" t="str">
        <f>Prototype!$A$2</f>
        <v xml:space="preserve">ApartmentMidRise </v>
      </c>
      <c r="C18" s="425" t="s">
        <v>332</v>
      </c>
      <c r="D18" s="425" t="s">
        <v>333</v>
      </c>
      <c r="E18" s="427" t="s">
        <v>334</v>
      </c>
      <c r="F18" s="358" t="s">
        <v>310</v>
      </c>
      <c r="G18" s="358" t="s">
        <v>311</v>
      </c>
      <c r="H18" s="358"/>
      <c r="I18" s="425" t="s">
        <v>335</v>
      </c>
      <c r="J18" s="259">
        <f>0.42*J21+0.58*((1-$C$56)*1.12+$C$56*1.23)</f>
        <v>0.82725000000000004</v>
      </c>
      <c r="K18" s="259">
        <f t="shared" ref="K18:Y18" si="0">0.42*K21+0.58*((1-$C$56)*1.12+$C$56*1.23)</f>
        <v>0.82725000000000004</v>
      </c>
      <c r="L18" s="259">
        <f t="shared" si="0"/>
        <v>0.82725000000000004</v>
      </c>
      <c r="M18" s="259">
        <f t="shared" si="0"/>
        <v>0.82725000000000004</v>
      </c>
      <c r="N18" s="259">
        <f t="shared" si="0"/>
        <v>0.82725000000000004</v>
      </c>
      <c r="O18" s="259">
        <f t="shared" si="0"/>
        <v>0.82725000000000004</v>
      </c>
      <c r="P18" s="259">
        <f t="shared" si="0"/>
        <v>0.82725000000000004</v>
      </c>
      <c r="Q18" s="259">
        <f t="shared" si="0"/>
        <v>0.82725000000000004</v>
      </c>
      <c r="R18" s="259">
        <f t="shared" si="0"/>
        <v>0.82725000000000004</v>
      </c>
      <c r="S18" s="259">
        <f t="shared" si="0"/>
        <v>0.82725000000000004</v>
      </c>
      <c r="T18" s="259">
        <f t="shared" si="0"/>
        <v>0.82725000000000004</v>
      </c>
      <c r="U18" s="259">
        <f t="shared" si="0"/>
        <v>0.82725000000000004</v>
      </c>
      <c r="V18" s="259">
        <f t="shared" si="0"/>
        <v>0.82725000000000004</v>
      </c>
      <c r="W18" s="259">
        <f t="shared" si="0"/>
        <v>0.82725000000000004</v>
      </c>
      <c r="X18" s="259">
        <f t="shared" si="0"/>
        <v>0.82725000000000004</v>
      </c>
      <c r="Y18" s="259">
        <f t="shared" si="0"/>
        <v>0.82725000000000004</v>
      </c>
    </row>
    <row r="19" spans="1:47" s="2" customFormat="1" ht="15" customHeight="1" x14ac:dyDescent="0.2">
      <c r="A19" s="425"/>
      <c r="B19" s="423"/>
      <c r="C19" s="425"/>
      <c r="D19" s="425"/>
      <c r="E19" s="427"/>
      <c r="F19" s="358" t="s">
        <v>312</v>
      </c>
      <c r="G19" s="358" t="s">
        <v>311</v>
      </c>
      <c r="H19" s="358"/>
      <c r="I19" s="426"/>
      <c r="J19" s="259">
        <f>0.42*J21+0.58*((1-$C$56)*1.12+$C$56*1.23)</f>
        <v>0.82725000000000004</v>
      </c>
      <c r="K19" s="259">
        <f t="shared" ref="K19:Y19" si="1">0.42*K21+0.58*((1-$C$56)*1.12+$C$56*1.23)</f>
        <v>0.82725000000000004</v>
      </c>
      <c r="L19" s="259">
        <f t="shared" si="1"/>
        <v>0.82725000000000004</v>
      </c>
      <c r="M19" s="259">
        <f t="shared" si="1"/>
        <v>0.82725000000000004</v>
      </c>
      <c r="N19" s="259">
        <f t="shared" si="1"/>
        <v>0.82725000000000004</v>
      </c>
      <c r="O19" s="259">
        <f t="shared" si="1"/>
        <v>0.82725000000000004</v>
      </c>
      <c r="P19" s="259">
        <f t="shared" si="1"/>
        <v>0.82725000000000004</v>
      </c>
      <c r="Q19" s="259">
        <f t="shared" si="1"/>
        <v>0.82725000000000004</v>
      </c>
      <c r="R19" s="259">
        <f t="shared" si="1"/>
        <v>0.82725000000000004</v>
      </c>
      <c r="S19" s="259">
        <f t="shared" si="1"/>
        <v>0.82725000000000004</v>
      </c>
      <c r="T19" s="259">
        <f t="shared" si="1"/>
        <v>0.82725000000000004</v>
      </c>
      <c r="U19" s="259">
        <f t="shared" si="1"/>
        <v>0.82725000000000004</v>
      </c>
      <c r="V19" s="259">
        <f t="shared" si="1"/>
        <v>0.82725000000000004</v>
      </c>
      <c r="W19" s="259">
        <f t="shared" si="1"/>
        <v>0.82725000000000004</v>
      </c>
      <c r="X19" s="259">
        <f t="shared" si="1"/>
        <v>0.82725000000000004</v>
      </c>
      <c r="Y19" s="259">
        <f t="shared" si="1"/>
        <v>0.82725000000000004</v>
      </c>
    </row>
    <row r="20" spans="1:47" s="2" customFormat="1" ht="15" customHeight="1" x14ac:dyDescent="0.2">
      <c r="A20" s="425"/>
      <c r="B20" s="423"/>
      <c r="C20" s="425"/>
      <c r="D20" s="427" t="s">
        <v>336</v>
      </c>
      <c r="E20" s="427"/>
      <c r="F20" s="236" t="s">
        <v>313</v>
      </c>
      <c r="G20" s="236">
        <v>2001</v>
      </c>
      <c r="H20" s="252"/>
      <c r="I20" s="256" t="s">
        <v>337</v>
      </c>
      <c r="J20" s="260">
        <f t="shared" ref="J20:Y20" si="2">(1-$C$56)*J75+$C$56*J95</f>
        <v>0.49</v>
      </c>
      <c r="K20" s="260">
        <f t="shared" si="2"/>
        <v>0.49</v>
      </c>
      <c r="L20" s="260">
        <f t="shared" si="2"/>
        <v>0.49</v>
      </c>
      <c r="M20" s="260">
        <f t="shared" si="2"/>
        <v>0.49</v>
      </c>
      <c r="N20" s="260">
        <f t="shared" si="2"/>
        <v>0.49</v>
      </c>
      <c r="O20" s="260">
        <f t="shared" si="2"/>
        <v>0.49</v>
      </c>
      <c r="P20" s="260">
        <f t="shared" si="2"/>
        <v>0.49</v>
      </c>
      <c r="Q20" s="260">
        <f t="shared" si="2"/>
        <v>0.49</v>
      </c>
      <c r="R20" s="260">
        <f t="shared" si="2"/>
        <v>0.49</v>
      </c>
      <c r="S20" s="260">
        <f t="shared" si="2"/>
        <v>0.49</v>
      </c>
      <c r="T20" s="260">
        <f t="shared" si="2"/>
        <v>0.49</v>
      </c>
      <c r="U20" s="260">
        <f t="shared" si="2"/>
        <v>0.49</v>
      </c>
      <c r="V20" s="260">
        <f t="shared" si="2"/>
        <v>0.49</v>
      </c>
      <c r="W20" s="260">
        <f t="shared" si="2"/>
        <v>0.49</v>
      </c>
      <c r="X20" s="260">
        <f t="shared" si="2"/>
        <v>0.49</v>
      </c>
      <c r="Y20" s="260">
        <f t="shared" si="2"/>
        <v>0.49</v>
      </c>
    </row>
    <row r="21" spans="1:47" s="2" customFormat="1" ht="15" customHeight="1" x14ac:dyDescent="0.2">
      <c r="A21" s="425"/>
      <c r="B21" s="423"/>
      <c r="C21" s="425"/>
      <c r="D21" s="427"/>
      <c r="E21" s="427"/>
      <c r="F21" s="238" t="s">
        <v>315</v>
      </c>
      <c r="G21" s="238">
        <v>2013</v>
      </c>
      <c r="H21" s="253"/>
      <c r="I21" s="254" t="s">
        <v>338</v>
      </c>
      <c r="J21" s="239">
        <f>(1-$C$56)*J76+$C$56*J96</f>
        <v>0.38500000000000001</v>
      </c>
      <c r="K21" s="239">
        <f t="shared" ref="K21:Y21" si="3">(1-$C$56)*K76+$C$56*K96</f>
        <v>0.38500000000000001</v>
      </c>
      <c r="L21" s="239">
        <f t="shared" si="3"/>
        <v>0.38500000000000001</v>
      </c>
      <c r="M21" s="239">
        <f>(1-$C$56)*M76+$C$56*M96</f>
        <v>0.38500000000000001</v>
      </c>
      <c r="N21" s="239">
        <f t="shared" si="3"/>
        <v>0.38500000000000001</v>
      </c>
      <c r="O21" s="239">
        <f t="shared" si="3"/>
        <v>0.38500000000000001</v>
      </c>
      <c r="P21" s="239">
        <f t="shared" si="3"/>
        <v>0.38500000000000001</v>
      </c>
      <c r="Q21" s="239">
        <f t="shared" si="3"/>
        <v>0.38500000000000001</v>
      </c>
      <c r="R21" s="239">
        <f t="shared" si="3"/>
        <v>0.38500000000000001</v>
      </c>
      <c r="S21" s="239">
        <f t="shared" si="3"/>
        <v>0.38500000000000001</v>
      </c>
      <c r="T21" s="239">
        <f t="shared" si="3"/>
        <v>0.38500000000000001</v>
      </c>
      <c r="U21" s="239">
        <f t="shared" si="3"/>
        <v>0.38500000000000001</v>
      </c>
      <c r="V21" s="239">
        <f t="shared" si="3"/>
        <v>0.38500000000000001</v>
      </c>
      <c r="W21" s="239">
        <f t="shared" si="3"/>
        <v>0.38500000000000001</v>
      </c>
      <c r="X21" s="239">
        <f t="shared" si="3"/>
        <v>0.38500000000000001</v>
      </c>
      <c r="Y21" s="239">
        <f t="shared" si="3"/>
        <v>0.38500000000000001</v>
      </c>
      <c r="Z21" s="77"/>
      <c r="AA21" s="77"/>
      <c r="AB21" s="77"/>
      <c r="AC21" s="77"/>
      <c r="AD21" s="77"/>
      <c r="AE21" s="77"/>
      <c r="AF21" s="77"/>
      <c r="AG21" s="77"/>
      <c r="AH21" s="77"/>
      <c r="AI21" s="77"/>
      <c r="AJ21" s="77"/>
    </row>
    <row r="22" spans="1:47" s="2" customFormat="1" ht="15" customHeight="1" x14ac:dyDescent="0.2">
      <c r="A22" s="425"/>
      <c r="B22" s="423"/>
      <c r="C22" s="425"/>
      <c r="D22" s="427"/>
      <c r="E22" s="427"/>
      <c r="F22" s="238" t="s">
        <v>317</v>
      </c>
      <c r="G22" s="240">
        <v>2025</v>
      </c>
      <c r="H22" s="291"/>
      <c r="I22" s="254" t="s">
        <v>339</v>
      </c>
      <c r="J22" s="239">
        <f t="shared" ref="J22:Y22" si="4">(1-$C$56)*J77+$C$56*J97</f>
        <v>0.32500000000000001</v>
      </c>
      <c r="K22" s="239">
        <f t="shared" si="4"/>
        <v>0.33999999999999997</v>
      </c>
      <c r="L22" s="239">
        <f t="shared" si="4"/>
        <v>0.32500000000000001</v>
      </c>
      <c r="M22" s="239">
        <f t="shared" si="4"/>
        <v>0.32500000000000001</v>
      </c>
      <c r="N22" s="239">
        <f t="shared" si="4"/>
        <v>0.32500000000000001</v>
      </c>
      <c r="O22" s="239">
        <f t="shared" si="4"/>
        <v>0.37</v>
      </c>
      <c r="P22" s="239">
        <f t="shared" si="4"/>
        <v>0.37</v>
      </c>
      <c r="Q22" s="239">
        <f t="shared" si="4"/>
        <v>0.33999999999999997</v>
      </c>
      <c r="R22" s="239">
        <f t="shared" si="4"/>
        <v>0.33999999999999997</v>
      </c>
      <c r="S22" s="239">
        <f t="shared" si="4"/>
        <v>0.33999999999999997</v>
      </c>
      <c r="T22" s="239">
        <f t="shared" si="4"/>
        <v>0.32500000000000001</v>
      </c>
      <c r="U22" s="239">
        <f t="shared" si="4"/>
        <v>0.33999999999999997</v>
      </c>
      <c r="V22" s="239">
        <f t="shared" si="4"/>
        <v>0.32500000000000001</v>
      </c>
      <c r="W22" s="239">
        <f t="shared" si="4"/>
        <v>0.32500000000000001</v>
      </c>
      <c r="X22" s="239">
        <f t="shared" si="4"/>
        <v>0.32500000000000001</v>
      </c>
      <c r="Y22" s="239">
        <f t="shared" si="4"/>
        <v>0.32500000000000001</v>
      </c>
      <c r="Z22" s="78"/>
      <c r="AA22" s="78"/>
      <c r="AB22" s="78"/>
      <c r="AC22" s="78"/>
      <c r="AD22" s="78"/>
      <c r="AE22" s="78"/>
      <c r="AF22" s="78"/>
      <c r="AG22" s="78"/>
      <c r="AH22" s="78"/>
      <c r="AI22" s="78"/>
      <c r="AJ22" s="78"/>
    </row>
    <row r="23" spans="1:47" s="2" customFormat="1" ht="15" customHeight="1" x14ac:dyDescent="0.2">
      <c r="A23" s="425"/>
      <c r="B23" s="423"/>
      <c r="C23" s="425"/>
      <c r="D23" s="425" t="s">
        <v>333</v>
      </c>
      <c r="E23" s="427" t="s">
        <v>340</v>
      </c>
      <c r="F23" s="358" t="s">
        <v>310</v>
      </c>
      <c r="G23" s="358" t="s">
        <v>311</v>
      </c>
      <c r="H23" s="358"/>
      <c r="I23" s="425" t="str">
        <f>I18</f>
        <v>ASHRAE Handbook of Fundamentals for single pane &amp; T24, 2013  for double pane (58%-42%)</v>
      </c>
      <c r="J23" s="233">
        <f>0.42*J26+0.58*((1-$C$56)*0.79+$C$56*0.78)</f>
        <v>0.55859999999999999</v>
      </c>
      <c r="K23" s="233">
        <f t="shared" ref="K23:Y23" si="5">0.42*K26+0.58*((1-$C$56)*0.79+$C$56*0.78)</f>
        <v>0.55859999999999999</v>
      </c>
      <c r="L23" s="233">
        <f t="shared" si="5"/>
        <v>0.55859999999999999</v>
      </c>
      <c r="M23" s="233">
        <f t="shared" si="5"/>
        <v>0.55859999999999999</v>
      </c>
      <c r="N23" s="233">
        <f t="shared" si="5"/>
        <v>0.55859999999999999</v>
      </c>
      <c r="O23" s="233">
        <f t="shared" si="5"/>
        <v>0.55859999999999999</v>
      </c>
      <c r="P23" s="233">
        <f t="shared" si="5"/>
        <v>0.55859999999999999</v>
      </c>
      <c r="Q23" s="233">
        <f t="shared" si="5"/>
        <v>0.55859999999999999</v>
      </c>
      <c r="R23" s="233">
        <f t="shared" si="5"/>
        <v>0.55859999999999999</v>
      </c>
      <c r="S23" s="233">
        <f t="shared" si="5"/>
        <v>0.55859999999999999</v>
      </c>
      <c r="T23" s="233">
        <f t="shared" si="5"/>
        <v>0.55859999999999999</v>
      </c>
      <c r="U23" s="233">
        <f t="shared" si="5"/>
        <v>0.55859999999999999</v>
      </c>
      <c r="V23" s="233">
        <f t="shared" si="5"/>
        <v>0.55859999999999999</v>
      </c>
      <c r="W23" s="233">
        <f t="shared" si="5"/>
        <v>0.55859999999999999</v>
      </c>
      <c r="X23" s="233">
        <f t="shared" si="5"/>
        <v>0.55859999999999999</v>
      </c>
      <c r="Y23" s="233">
        <f t="shared" si="5"/>
        <v>0.55859999999999999</v>
      </c>
      <c r="Z23" s="77"/>
      <c r="AA23" s="77"/>
      <c r="AB23" s="77"/>
      <c r="AC23" s="77"/>
      <c r="AD23" s="77"/>
      <c r="AE23" s="77"/>
      <c r="AF23" s="77"/>
      <c r="AG23" s="77"/>
      <c r="AH23" s="77"/>
      <c r="AI23" s="77"/>
      <c r="AJ23" s="77"/>
    </row>
    <row r="24" spans="1:47" s="2" customFormat="1" ht="15" customHeight="1" x14ac:dyDescent="0.2">
      <c r="A24" s="425"/>
      <c r="B24" s="423"/>
      <c r="C24" s="425"/>
      <c r="D24" s="425"/>
      <c r="E24" s="427"/>
      <c r="F24" s="358" t="s">
        <v>312</v>
      </c>
      <c r="G24" s="358" t="s">
        <v>311</v>
      </c>
      <c r="H24" s="358"/>
      <c r="I24" s="426"/>
      <c r="J24" s="233">
        <f>0.42*J26+0.58*((1-$C$56)*0.79+$C$56*0.78)</f>
        <v>0.55859999999999999</v>
      </c>
      <c r="K24" s="233">
        <f t="shared" ref="K24:Y24" si="6">0.42*K26+0.58*((1-$C$56)*0.79+$C$56*0.78)</f>
        <v>0.55859999999999999</v>
      </c>
      <c r="L24" s="233">
        <f t="shared" si="6"/>
        <v>0.55859999999999999</v>
      </c>
      <c r="M24" s="233">
        <f t="shared" si="6"/>
        <v>0.55859999999999999</v>
      </c>
      <c r="N24" s="233">
        <f t="shared" si="6"/>
        <v>0.55859999999999999</v>
      </c>
      <c r="O24" s="233">
        <f t="shared" si="6"/>
        <v>0.55859999999999999</v>
      </c>
      <c r="P24" s="233">
        <f t="shared" si="6"/>
        <v>0.55859999999999999</v>
      </c>
      <c r="Q24" s="233">
        <f t="shared" si="6"/>
        <v>0.55859999999999999</v>
      </c>
      <c r="R24" s="233">
        <f t="shared" si="6"/>
        <v>0.55859999999999999</v>
      </c>
      <c r="S24" s="233">
        <f t="shared" si="6"/>
        <v>0.55859999999999999</v>
      </c>
      <c r="T24" s="233">
        <f t="shared" si="6"/>
        <v>0.55859999999999999</v>
      </c>
      <c r="U24" s="233">
        <f t="shared" si="6"/>
        <v>0.55859999999999999</v>
      </c>
      <c r="V24" s="233">
        <f t="shared" si="6"/>
        <v>0.55859999999999999</v>
      </c>
      <c r="W24" s="233">
        <f t="shared" si="6"/>
        <v>0.55859999999999999</v>
      </c>
      <c r="X24" s="233">
        <f t="shared" si="6"/>
        <v>0.55859999999999999</v>
      </c>
      <c r="Y24" s="233">
        <f t="shared" si="6"/>
        <v>0.55859999999999999</v>
      </c>
      <c r="Z24" s="77"/>
      <c r="AA24" s="77"/>
      <c r="AB24" s="77"/>
      <c r="AC24" s="77"/>
      <c r="AD24" s="77"/>
      <c r="AE24" s="77"/>
      <c r="AF24" s="77"/>
      <c r="AG24" s="77"/>
      <c r="AH24" s="77"/>
      <c r="AI24" s="77"/>
      <c r="AJ24" s="77"/>
    </row>
    <row r="25" spans="1:47" s="2" customFormat="1" ht="15" customHeight="1" x14ac:dyDescent="0.2">
      <c r="A25" s="425"/>
      <c r="B25" s="423"/>
      <c r="C25" s="425"/>
      <c r="D25" s="427" t="s">
        <v>336</v>
      </c>
      <c r="E25" s="427"/>
      <c r="F25" s="236" t="s">
        <v>313</v>
      </c>
      <c r="G25" s="236">
        <v>2001</v>
      </c>
      <c r="H25" s="252"/>
      <c r="I25" s="256" t="s">
        <v>341</v>
      </c>
      <c r="J25" s="237">
        <f t="shared" ref="J25:Y25" si="7">J118</f>
        <v>0.3</v>
      </c>
      <c r="K25" s="237">
        <f t="shared" si="7"/>
        <v>0.26</v>
      </c>
      <c r="L25" s="237">
        <f t="shared" si="7"/>
        <v>0.26</v>
      </c>
      <c r="M25" s="237">
        <f t="shared" si="7"/>
        <v>0.26</v>
      </c>
      <c r="N25" s="237">
        <f t="shared" si="7"/>
        <v>0.26</v>
      </c>
      <c r="O25" s="237">
        <f t="shared" si="7"/>
        <v>0.31</v>
      </c>
      <c r="P25" s="237">
        <f t="shared" si="7"/>
        <v>0.31</v>
      </c>
      <c r="Q25" s="237">
        <f t="shared" si="7"/>
        <v>0.31</v>
      </c>
      <c r="R25" s="237">
        <f t="shared" si="7"/>
        <v>0.31</v>
      </c>
      <c r="S25" s="237">
        <f t="shared" si="7"/>
        <v>0.26</v>
      </c>
      <c r="T25" s="237">
        <f t="shared" si="7"/>
        <v>0.26</v>
      </c>
      <c r="U25" s="237">
        <f t="shared" si="7"/>
        <v>0.26</v>
      </c>
      <c r="V25" s="237">
        <f t="shared" si="7"/>
        <v>0.26</v>
      </c>
      <c r="W25" s="237">
        <f t="shared" si="7"/>
        <v>0.26</v>
      </c>
      <c r="X25" s="237">
        <f t="shared" si="7"/>
        <v>0.26</v>
      </c>
      <c r="Y25" s="237">
        <f t="shared" si="7"/>
        <v>0.3</v>
      </c>
      <c r="Z25" s="77"/>
      <c r="AA25" s="77"/>
      <c r="AB25" s="77"/>
      <c r="AC25" s="77"/>
      <c r="AD25" s="77"/>
      <c r="AE25" s="77"/>
      <c r="AF25" s="77"/>
      <c r="AG25" s="77"/>
      <c r="AH25" s="77"/>
      <c r="AI25" s="77"/>
      <c r="AJ25" s="77"/>
    </row>
    <row r="26" spans="1:47" s="2" customFormat="1" ht="15" customHeight="1" x14ac:dyDescent="0.2">
      <c r="A26" s="425"/>
      <c r="B26" s="423"/>
      <c r="C26" s="425"/>
      <c r="D26" s="427"/>
      <c r="E26" s="427"/>
      <c r="F26" s="238" t="s">
        <v>315</v>
      </c>
      <c r="G26" s="238">
        <v>2013</v>
      </c>
      <c r="H26" s="253"/>
      <c r="I26" s="254" t="s">
        <v>342</v>
      </c>
      <c r="J26" s="239">
        <f t="shared" ref="J26:Y26" si="8">(1-$C$56)*J81+$C$56*J101</f>
        <v>0.24249999999999999</v>
      </c>
      <c r="K26" s="239">
        <f t="shared" si="8"/>
        <v>0.24249999999999999</v>
      </c>
      <c r="L26" s="239">
        <f t="shared" si="8"/>
        <v>0.24249999999999999</v>
      </c>
      <c r="M26" s="239">
        <f t="shared" si="8"/>
        <v>0.24249999999999999</v>
      </c>
      <c r="N26" s="239">
        <f t="shared" si="8"/>
        <v>0.24249999999999999</v>
      </c>
      <c r="O26" s="239">
        <f t="shared" si="8"/>
        <v>0.24249999999999999</v>
      </c>
      <c r="P26" s="239">
        <f t="shared" si="8"/>
        <v>0.24249999999999999</v>
      </c>
      <c r="Q26" s="239">
        <f t="shared" si="8"/>
        <v>0.24249999999999999</v>
      </c>
      <c r="R26" s="239">
        <f t="shared" si="8"/>
        <v>0.24249999999999999</v>
      </c>
      <c r="S26" s="239">
        <f t="shared" si="8"/>
        <v>0.24249999999999999</v>
      </c>
      <c r="T26" s="239">
        <f t="shared" si="8"/>
        <v>0.24249999999999999</v>
      </c>
      <c r="U26" s="239">
        <f t="shared" si="8"/>
        <v>0.24249999999999999</v>
      </c>
      <c r="V26" s="239">
        <f t="shared" si="8"/>
        <v>0.24249999999999999</v>
      </c>
      <c r="W26" s="239">
        <f t="shared" si="8"/>
        <v>0.24249999999999999</v>
      </c>
      <c r="X26" s="239">
        <f t="shared" si="8"/>
        <v>0.24249999999999999</v>
      </c>
      <c r="Y26" s="239">
        <f t="shared" si="8"/>
        <v>0.24249999999999999</v>
      </c>
      <c r="Z26" s="77"/>
      <c r="AA26" s="77"/>
      <c r="AB26" s="77"/>
      <c r="AC26" s="77"/>
      <c r="AD26" s="77"/>
      <c r="AE26" s="77"/>
      <c r="AF26" s="77"/>
      <c r="AG26" s="77"/>
      <c r="AH26" s="77"/>
      <c r="AI26" s="77"/>
      <c r="AJ26" s="77"/>
    </row>
    <row r="27" spans="1:47" s="2" customFormat="1" ht="36" customHeight="1" x14ac:dyDescent="0.2">
      <c r="A27" s="425"/>
      <c r="B27" s="424"/>
      <c r="C27" s="425"/>
      <c r="D27" s="427"/>
      <c r="E27" s="427"/>
      <c r="F27" s="238" t="s">
        <v>317</v>
      </c>
      <c r="G27" s="240">
        <v>2025</v>
      </c>
      <c r="H27" s="291"/>
      <c r="I27" s="254" t="s">
        <v>343</v>
      </c>
      <c r="J27" s="239">
        <f t="shared" ref="J27:Y27" si="9">(1-$C$56)*J82+$C$56*J102</f>
        <v>0.52750000000000008</v>
      </c>
      <c r="K27" s="239">
        <f t="shared" si="9"/>
        <v>0.22750000000000001</v>
      </c>
      <c r="L27" s="239">
        <f t="shared" si="9"/>
        <v>0.52750000000000008</v>
      </c>
      <c r="M27" s="239">
        <f t="shared" si="9"/>
        <v>0.22750000000000001</v>
      </c>
      <c r="N27" s="239">
        <f t="shared" si="9"/>
        <v>0.52750000000000008</v>
      </c>
      <c r="O27" s="239">
        <f t="shared" si="9"/>
        <v>0.22750000000000001</v>
      </c>
      <c r="P27" s="239">
        <f t="shared" si="9"/>
        <v>0.22750000000000001</v>
      </c>
      <c r="Q27" s="239">
        <f t="shared" si="9"/>
        <v>0.22750000000000001</v>
      </c>
      <c r="R27" s="239">
        <f t="shared" si="9"/>
        <v>0.22750000000000001</v>
      </c>
      <c r="S27" s="239">
        <f t="shared" si="9"/>
        <v>0.22750000000000001</v>
      </c>
      <c r="T27" s="239">
        <f t="shared" si="9"/>
        <v>0.22750000000000001</v>
      </c>
      <c r="U27" s="239">
        <f t="shared" si="9"/>
        <v>0.22750000000000001</v>
      </c>
      <c r="V27" s="239">
        <f t="shared" si="9"/>
        <v>0.22750000000000001</v>
      </c>
      <c r="W27" s="239">
        <f t="shared" si="9"/>
        <v>0.22750000000000001</v>
      </c>
      <c r="X27" s="239">
        <f t="shared" si="9"/>
        <v>0.22750000000000001</v>
      </c>
      <c r="Y27" s="239">
        <f t="shared" si="9"/>
        <v>0.52750000000000008</v>
      </c>
      <c r="Z27" s="78"/>
      <c r="AA27" s="78"/>
      <c r="AB27" s="78"/>
      <c r="AC27" s="78"/>
      <c r="AD27" s="78"/>
      <c r="AE27" s="78"/>
      <c r="AF27" s="78"/>
      <c r="AG27" s="78"/>
      <c r="AH27" s="78"/>
      <c r="AI27" s="78"/>
      <c r="AJ27" s="78"/>
    </row>
    <row r="28" spans="1:47" s="2" customFormat="1" ht="15" customHeight="1" x14ac:dyDescent="0.2">
      <c r="A28" s="425" t="s">
        <v>344</v>
      </c>
      <c r="B28" s="422" t="str">
        <f>Prototype!$A$2</f>
        <v xml:space="preserve">ApartmentMidRise </v>
      </c>
      <c r="C28" s="425" t="s">
        <v>345</v>
      </c>
      <c r="D28" s="425" t="s">
        <v>333</v>
      </c>
      <c r="E28" s="427" t="s">
        <v>334</v>
      </c>
      <c r="F28" s="358" t="s">
        <v>310</v>
      </c>
      <c r="G28" s="358" t="s">
        <v>311</v>
      </c>
      <c r="H28" s="358"/>
      <c r="I28" s="425" t="str">
        <f>I18</f>
        <v>ASHRAE Handbook of Fundamentals for single pane &amp; T24, 2013  for double pane (58%-42%)</v>
      </c>
      <c r="J28" s="233">
        <f t="shared" ref="J28:Y29" si="10">1.12*0.58+J$31*0.42</f>
        <v>0.80080000000000007</v>
      </c>
      <c r="K28" s="233">
        <f t="shared" si="10"/>
        <v>0.80080000000000007</v>
      </c>
      <c r="L28" s="233">
        <f t="shared" si="10"/>
        <v>0.80080000000000007</v>
      </c>
      <c r="M28" s="233">
        <f t="shared" si="10"/>
        <v>0.80080000000000007</v>
      </c>
      <c r="N28" s="233">
        <f t="shared" si="10"/>
        <v>0.80080000000000007</v>
      </c>
      <c r="O28" s="233">
        <f t="shared" si="10"/>
        <v>0.80080000000000007</v>
      </c>
      <c r="P28" s="233">
        <f t="shared" si="10"/>
        <v>0.80080000000000007</v>
      </c>
      <c r="Q28" s="233">
        <f t="shared" si="10"/>
        <v>0.80080000000000007</v>
      </c>
      <c r="R28" s="233">
        <f t="shared" si="10"/>
        <v>0.80080000000000007</v>
      </c>
      <c r="S28" s="233">
        <f t="shared" si="10"/>
        <v>0.80080000000000007</v>
      </c>
      <c r="T28" s="233">
        <f t="shared" si="10"/>
        <v>0.80080000000000007</v>
      </c>
      <c r="U28" s="233">
        <f t="shared" si="10"/>
        <v>0.80080000000000007</v>
      </c>
      <c r="V28" s="233">
        <f t="shared" si="10"/>
        <v>0.80080000000000007</v>
      </c>
      <c r="W28" s="233">
        <f t="shared" si="10"/>
        <v>0.80080000000000007</v>
      </c>
      <c r="X28" s="233">
        <f t="shared" si="10"/>
        <v>0.80080000000000007</v>
      </c>
      <c r="Y28" s="233">
        <f t="shared" si="10"/>
        <v>0.80080000000000007</v>
      </c>
      <c r="Z28" s="77"/>
      <c r="AA28" s="77"/>
      <c r="AB28" s="77"/>
      <c r="AC28" s="77"/>
      <c r="AD28" s="77"/>
      <c r="AE28" s="77"/>
      <c r="AF28" s="77"/>
      <c r="AG28" s="77"/>
      <c r="AH28" s="77"/>
      <c r="AI28" s="77"/>
      <c r="AJ28" s="77"/>
    </row>
    <row r="29" spans="1:47" s="2" customFormat="1" ht="15" customHeight="1" x14ac:dyDescent="0.2">
      <c r="A29" s="425"/>
      <c r="B29" s="423"/>
      <c r="C29" s="425"/>
      <c r="D29" s="425"/>
      <c r="E29" s="427"/>
      <c r="F29" s="358" t="s">
        <v>312</v>
      </c>
      <c r="G29" s="358" t="s">
        <v>311</v>
      </c>
      <c r="H29" s="358"/>
      <c r="I29" s="426"/>
      <c r="J29" s="233">
        <f t="shared" si="10"/>
        <v>0.80080000000000007</v>
      </c>
      <c r="K29" s="233">
        <f t="shared" si="10"/>
        <v>0.80080000000000007</v>
      </c>
      <c r="L29" s="233">
        <f t="shared" si="10"/>
        <v>0.80080000000000007</v>
      </c>
      <c r="M29" s="233">
        <f t="shared" si="10"/>
        <v>0.80080000000000007</v>
      </c>
      <c r="N29" s="233">
        <f t="shared" si="10"/>
        <v>0.80080000000000007</v>
      </c>
      <c r="O29" s="233">
        <f t="shared" si="10"/>
        <v>0.80080000000000007</v>
      </c>
      <c r="P29" s="233">
        <f t="shared" si="10"/>
        <v>0.80080000000000007</v>
      </c>
      <c r="Q29" s="233">
        <f t="shared" si="10"/>
        <v>0.80080000000000007</v>
      </c>
      <c r="R29" s="233">
        <f t="shared" si="10"/>
        <v>0.80080000000000007</v>
      </c>
      <c r="S29" s="233">
        <f t="shared" si="10"/>
        <v>0.80080000000000007</v>
      </c>
      <c r="T29" s="233">
        <f t="shared" si="10"/>
        <v>0.80080000000000007</v>
      </c>
      <c r="U29" s="233">
        <f t="shared" si="10"/>
        <v>0.80080000000000007</v>
      </c>
      <c r="V29" s="233">
        <f t="shared" si="10"/>
        <v>0.80080000000000007</v>
      </c>
      <c r="W29" s="233">
        <f t="shared" si="10"/>
        <v>0.80080000000000007</v>
      </c>
      <c r="X29" s="233">
        <f t="shared" si="10"/>
        <v>0.80080000000000007</v>
      </c>
      <c r="Y29" s="233">
        <f t="shared" si="10"/>
        <v>0.80080000000000007</v>
      </c>
      <c r="Z29" s="77"/>
      <c r="AA29" s="77"/>
      <c r="AB29" s="77"/>
      <c r="AC29" s="77"/>
      <c r="AD29" s="77"/>
      <c r="AE29" s="77"/>
      <c r="AF29" s="77"/>
      <c r="AG29" s="77"/>
      <c r="AH29" s="77"/>
      <c r="AI29" s="77"/>
      <c r="AJ29" s="77"/>
    </row>
    <row r="30" spans="1:47" s="2" customFormat="1" ht="15" customHeight="1" x14ac:dyDescent="0.2">
      <c r="A30" s="425"/>
      <c r="B30" s="423"/>
      <c r="C30" s="425"/>
      <c r="D30" s="427" t="s">
        <v>336</v>
      </c>
      <c r="E30" s="427"/>
      <c r="F30" s="236" t="s">
        <v>313</v>
      </c>
      <c r="G30" s="236">
        <v>2001</v>
      </c>
      <c r="H30" s="252"/>
      <c r="I30" s="256" t="s">
        <v>346</v>
      </c>
      <c r="J30" s="237">
        <v>0.49</v>
      </c>
      <c r="K30" s="237">
        <v>0.49</v>
      </c>
      <c r="L30" s="237">
        <v>0.49</v>
      </c>
      <c r="M30" s="237">
        <v>0.49</v>
      </c>
      <c r="N30" s="237">
        <v>0.49</v>
      </c>
      <c r="O30" s="237">
        <v>0.49</v>
      </c>
      <c r="P30" s="237">
        <v>0.49</v>
      </c>
      <c r="Q30" s="237">
        <v>0.49</v>
      </c>
      <c r="R30" s="237">
        <v>0.49</v>
      </c>
      <c r="S30" s="237">
        <v>0.49</v>
      </c>
      <c r="T30" s="237">
        <v>0.49</v>
      </c>
      <c r="U30" s="237">
        <v>0.49</v>
      </c>
      <c r="V30" s="237">
        <v>0.49</v>
      </c>
      <c r="W30" s="237">
        <v>0.49</v>
      </c>
      <c r="X30" s="237">
        <v>0.49</v>
      </c>
      <c r="Y30" s="237">
        <v>0.49</v>
      </c>
      <c r="Z30" s="77"/>
      <c r="AA30" s="77"/>
      <c r="AB30" s="77"/>
      <c r="AC30" s="77"/>
      <c r="AD30" s="77"/>
      <c r="AE30" s="77"/>
      <c r="AF30" s="77"/>
      <c r="AG30" s="77"/>
      <c r="AH30" s="77"/>
      <c r="AI30" s="77"/>
      <c r="AJ30" s="77"/>
    </row>
    <row r="31" spans="1:47" s="2" customFormat="1" ht="15" customHeight="1" x14ac:dyDescent="0.2">
      <c r="A31" s="425"/>
      <c r="B31" s="423"/>
      <c r="C31" s="425"/>
      <c r="D31" s="427"/>
      <c r="E31" s="427"/>
      <c r="F31" s="238" t="s">
        <v>315</v>
      </c>
      <c r="G31" s="238">
        <v>2013</v>
      </c>
      <c r="H31" s="253"/>
      <c r="I31" s="254" t="s">
        <v>347</v>
      </c>
      <c r="J31" s="239">
        <f>J86</f>
        <v>0.36</v>
      </c>
      <c r="K31" s="239">
        <f t="shared" ref="K31:Y31" si="11">K86</f>
        <v>0.36</v>
      </c>
      <c r="L31" s="239">
        <f t="shared" si="11"/>
        <v>0.36</v>
      </c>
      <c r="M31" s="239">
        <f t="shared" si="11"/>
        <v>0.36</v>
      </c>
      <c r="N31" s="239">
        <f t="shared" si="11"/>
        <v>0.36</v>
      </c>
      <c r="O31" s="239">
        <f t="shared" si="11"/>
        <v>0.36</v>
      </c>
      <c r="P31" s="239">
        <f t="shared" si="11"/>
        <v>0.36</v>
      </c>
      <c r="Q31" s="239">
        <f t="shared" si="11"/>
        <v>0.36</v>
      </c>
      <c r="R31" s="239">
        <f t="shared" si="11"/>
        <v>0.36</v>
      </c>
      <c r="S31" s="239">
        <f t="shared" si="11"/>
        <v>0.36</v>
      </c>
      <c r="T31" s="239">
        <f t="shared" si="11"/>
        <v>0.36</v>
      </c>
      <c r="U31" s="239">
        <f t="shared" si="11"/>
        <v>0.36</v>
      </c>
      <c r="V31" s="239">
        <f t="shared" si="11"/>
        <v>0.36</v>
      </c>
      <c r="W31" s="239">
        <f t="shared" si="11"/>
        <v>0.36</v>
      </c>
      <c r="X31" s="239">
        <f t="shared" si="11"/>
        <v>0.36</v>
      </c>
      <c r="Y31" s="239">
        <f t="shared" si="11"/>
        <v>0.36</v>
      </c>
      <c r="Z31" s="77"/>
      <c r="AA31" s="77"/>
      <c r="AB31" s="77"/>
      <c r="AC31" s="77"/>
      <c r="AD31" s="77"/>
      <c r="AE31" s="77"/>
      <c r="AF31" s="77"/>
      <c r="AG31" s="77"/>
      <c r="AH31" s="77"/>
      <c r="AI31" s="77"/>
      <c r="AJ31" s="77"/>
    </row>
    <row r="32" spans="1:47" s="2" customFormat="1" ht="15" customHeight="1" x14ac:dyDescent="0.2">
      <c r="A32" s="425"/>
      <c r="B32" s="423"/>
      <c r="C32" s="425"/>
      <c r="D32" s="427"/>
      <c r="E32" s="427"/>
      <c r="F32" s="238" t="s">
        <v>317</v>
      </c>
      <c r="G32" s="240">
        <v>2025</v>
      </c>
      <c r="H32" s="291"/>
      <c r="I32" s="254" t="s">
        <v>348</v>
      </c>
      <c r="J32" s="239">
        <f>J87</f>
        <v>0.36</v>
      </c>
      <c r="K32" s="239">
        <f t="shared" ref="K32:Y32" si="12">K87</f>
        <v>0.36</v>
      </c>
      <c r="L32" s="239">
        <f t="shared" si="12"/>
        <v>0.36</v>
      </c>
      <c r="M32" s="239">
        <f t="shared" si="12"/>
        <v>0.36</v>
      </c>
      <c r="N32" s="239">
        <f t="shared" si="12"/>
        <v>0.36</v>
      </c>
      <c r="O32" s="239">
        <f t="shared" si="12"/>
        <v>0.36</v>
      </c>
      <c r="P32" s="239">
        <f t="shared" si="12"/>
        <v>0.36</v>
      </c>
      <c r="Q32" s="239">
        <f t="shared" si="12"/>
        <v>0.36</v>
      </c>
      <c r="R32" s="239">
        <f t="shared" si="12"/>
        <v>0.34</v>
      </c>
      <c r="S32" s="239">
        <f t="shared" si="12"/>
        <v>0.36</v>
      </c>
      <c r="T32" s="239">
        <f t="shared" si="12"/>
        <v>0.34</v>
      </c>
      <c r="U32" s="239">
        <f t="shared" si="12"/>
        <v>0.34</v>
      </c>
      <c r="V32" s="239">
        <f t="shared" si="12"/>
        <v>0.34</v>
      </c>
      <c r="W32" s="239">
        <f t="shared" si="12"/>
        <v>0.34</v>
      </c>
      <c r="X32" s="239">
        <f t="shared" si="12"/>
        <v>0.34</v>
      </c>
      <c r="Y32" s="239">
        <f t="shared" si="12"/>
        <v>0.36</v>
      </c>
      <c r="Z32" s="77"/>
      <c r="AA32" s="77"/>
      <c r="AB32" s="77"/>
      <c r="AC32" s="77"/>
      <c r="AD32" s="77"/>
      <c r="AE32" s="77"/>
      <c r="AF32" s="77"/>
      <c r="AG32" s="77"/>
      <c r="AH32" s="77"/>
      <c r="AI32" s="77"/>
      <c r="AJ32" s="77"/>
    </row>
    <row r="33" spans="1:28" s="2" customFormat="1" ht="15" customHeight="1" x14ac:dyDescent="0.2">
      <c r="A33" s="425"/>
      <c r="B33" s="423"/>
      <c r="C33" s="425"/>
      <c r="D33" s="425" t="s">
        <v>333</v>
      </c>
      <c r="E33" s="427" t="s">
        <v>340</v>
      </c>
      <c r="F33" s="358" t="s">
        <v>310</v>
      </c>
      <c r="G33" s="358" t="s">
        <v>311</v>
      </c>
      <c r="H33" s="358"/>
      <c r="I33" s="425" t="str">
        <f>I18</f>
        <v>ASHRAE Handbook of Fundamentals for single pane &amp; T24, 2013  for double pane (58%-42%)</v>
      </c>
      <c r="J33" s="233">
        <f t="shared" ref="J33:Y34" si="13">0.79*0.58+J$36*0.42</f>
        <v>0.56320000000000003</v>
      </c>
      <c r="K33" s="233">
        <f t="shared" si="13"/>
        <v>0.56320000000000003</v>
      </c>
      <c r="L33" s="233">
        <f t="shared" si="13"/>
        <v>0.56320000000000003</v>
      </c>
      <c r="M33" s="233">
        <f t="shared" si="13"/>
        <v>0.56320000000000003</v>
      </c>
      <c r="N33" s="233">
        <f t="shared" si="13"/>
        <v>0.56320000000000003</v>
      </c>
      <c r="O33" s="233">
        <f t="shared" si="13"/>
        <v>0.56320000000000003</v>
      </c>
      <c r="P33" s="233">
        <f t="shared" si="13"/>
        <v>0.56320000000000003</v>
      </c>
      <c r="Q33" s="233">
        <f t="shared" si="13"/>
        <v>0.56320000000000003</v>
      </c>
      <c r="R33" s="233">
        <f t="shared" si="13"/>
        <v>0.56320000000000003</v>
      </c>
      <c r="S33" s="233">
        <f t="shared" si="13"/>
        <v>0.56320000000000003</v>
      </c>
      <c r="T33" s="233">
        <f t="shared" si="13"/>
        <v>0.56320000000000003</v>
      </c>
      <c r="U33" s="233">
        <f t="shared" si="13"/>
        <v>0.56320000000000003</v>
      </c>
      <c r="V33" s="233">
        <f t="shared" si="13"/>
        <v>0.56320000000000003</v>
      </c>
      <c r="W33" s="233">
        <f t="shared" si="13"/>
        <v>0.56320000000000003</v>
      </c>
      <c r="X33" s="233">
        <f t="shared" si="13"/>
        <v>0.56320000000000003</v>
      </c>
      <c r="Y33" s="233">
        <f t="shared" si="13"/>
        <v>0.56320000000000003</v>
      </c>
    </row>
    <row r="34" spans="1:28" s="2" customFormat="1" ht="15" customHeight="1" x14ac:dyDescent="0.2">
      <c r="A34" s="425"/>
      <c r="B34" s="423"/>
      <c r="C34" s="425"/>
      <c r="D34" s="425"/>
      <c r="E34" s="427"/>
      <c r="F34" s="358" t="s">
        <v>312</v>
      </c>
      <c r="G34" s="358" t="s">
        <v>311</v>
      </c>
      <c r="H34" s="358"/>
      <c r="I34" s="426"/>
      <c r="J34" s="233">
        <f t="shared" si="13"/>
        <v>0.56320000000000003</v>
      </c>
      <c r="K34" s="233">
        <f t="shared" si="13"/>
        <v>0.56320000000000003</v>
      </c>
      <c r="L34" s="233">
        <f t="shared" si="13"/>
        <v>0.56320000000000003</v>
      </c>
      <c r="M34" s="233">
        <f t="shared" si="13"/>
        <v>0.56320000000000003</v>
      </c>
      <c r="N34" s="233">
        <f t="shared" si="13"/>
        <v>0.56320000000000003</v>
      </c>
      <c r="O34" s="233">
        <f t="shared" si="13"/>
        <v>0.56320000000000003</v>
      </c>
      <c r="P34" s="233">
        <f t="shared" si="13"/>
        <v>0.56320000000000003</v>
      </c>
      <c r="Q34" s="233">
        <f t="shared" si="13"/>
        <v>0.56320000000000003</v>
      </c>
      <c r="R34" s="233">
        <f t="shared" si="13"/>
        <v>0.56320000000000003</v>
      </c>
      <c r="S34" s="233">
        <f t="shared" si="13"/>
        <v>0.56320000000000003</v>
      </c>
      <c r="T34" s="233">
        <f t="shared" si="13"/>
        <v>0.56320000000000003</v>
      </c>
      <c r="U34" s="233">
        <f t="shared" si="13"/>
        <v>0.56320000000000003</v>
      </c>
      <c r="V34" s="233">
        <f t="shared" si="13"/>
        <v>0.56320000000000003</v>
      </c>
      <c r="W34" s="233">
        <f t="shared" si="13"/>
        <v>0.56320000000000003</v>
      </c>
      <c r="X34" s="233">
        <f t="shared" si="13"/>
        <v>0.56320000000000003</v>
      </c>
      <c r="Y34" s="233">
        <f t="shared" si="13"/>
        <v>0.56320000000000003</v>
      </c>
    </row>
    <row r="35" spans="1:28" s="2" customFormat="1" ht="15" customHeight="1" x14ac:dyDescent="0.2">
      <c r="A35" s="425"/>
      <c r="B35" s="423"/>
      <c r="C35" s="425"/>
      <c r="D35" s="427" t="s">
        <v>336</v>
      </c>
      <c r="E35" s="427"/>
      <c r="F35" s="236" t="s">
        <v>313</v>
      </c>
      <c r="G35" s="236">
        <v>2001</v>
      </c>
      <c r="H35" s="252"/>
      <c r="I35" s="256" t="s">
        <v>349</v>
      </c>
      <c r="J35" s="237">
        <f t="shared" ref="J35:Y35" si="14">J122</f>
        <v>0.43</v>
      </c>
      <c r="K35" s="237">
        <f t="shared" si="14"/>
        <v>0.31</v>
      </c>
      <c r="L35" s="237">
        <f t="shared" si="14"/>
        <v>0.41</v>
      </c>
      <c r="M35" s="237">
        <f t="shared" si="14"/>
        <v>0.41</v>
      </c>
      <c r="N35" s="237">
        <f t="shared" si="14"/>
        <v>0.41</v>
      </c>
      <c r="O35" s="237">
        <f t="shared" si="14"/>
        <v>0.34</v>
      </c>
      <c r="P35" s="237">
        <f t="shared" si="14"/>
        <v>0.34</v>
      </c>
      <c r="Q35" s="237">
        <f t="shared" si="14"/>
        <v>0.34</v>
      </c>
      <c r="R35" s="237">
        <f t="shared" si="14"/>
        <v>0.34</v>
      </c>
      <c r="S35" s="237">
        <f t="shared" si="14"/>
        <v>0.31</v>
      </c>
      <c r="T35" s="237">
        <f t="shared" si="14"/>
        <v>0.31</v>
      </c>
      <c r="U35" s="237">
        <f t="shared" si="14"/>
        <v>0.31</v>
      </c>
      <c r="V35" s="237">
        <f t="shared" si="14"/>
        <v>0.31</v>
      </c>
      <c r="W35" s="237">
        <f t="shared" si="14"/>
        <v>0.31</v>
      </c>
      <c r="X35" s="237">
        <f t="shared" si="14"/>
        <v>0.31</v>
      </c>
      <c r="Y35" s="237">
        <f t="shared" si="14"/>
        <v>0.43</v>
      </c>
    </row>
    <row r="36" spans="1:28" s="2" customFormat="1" ht="15" customHeight="1" x14ac:dyDescent="0.2">
      <c r="A36" s="425"/>
      <c r="B36" s="423"/>
      <c r="C36" s="425"/>
      <c r="D36" s="427"/>
      <c r="E36" s="427"/>
      <c r="F36" s="238" t="s">
        <v>315</v>
      </c>
      <c r="G36" s="238">
        <v>2013</v>
      </c>
      <c r="H36" s="253"/>
      <c r="I36" s="254" t="s">
        <v>350</v>
      </c>
      <c r="J36" s="239">
        <f>J91</f>
        <v>0.25</v>
      </c>
      <c r="K36" s="239">
        <f t="shared" ref="K36:Y36" si="15">K91</f>
        <v>0.25</v>
      </c>
      <c r="L36" s="239">
        <f t="shared" si="15"/>
        <v>0.25</v>
      </c>
      <c r="M36" s="239">
        <f t="shared" si="15"/>
        <v>0.25</v>
      </c>
      <c r="N36" s="239">
        <f t="shared" si="15"/>
        <v>0.25</v>
      </c>
      <c r="O36" s="239">
        <f t="shared" si="15"/>
        <v>0.25</v>
      </c>
      <c r="P36" s="239">
        <f t="shared" si="15"/>
        <v>0.25</v>
      </c>
      <c r="Q36" s="239">
        <f t="shared" si="15"/>
        <v>0.25</v>
      </c>
      <c r="R36" s="239">
        <f t="shared" si="15"/>
        <v>0.25</v>
      </c>
      <c r="S36" s="239">
        <f t="shared" si="15"/>
        <v>0.25</v>
      </c>
      <c r="T36" s="239">
        <f t="shared" si="15"/>
        <v>0.25</v>
      </c>
      <c r="U36" s="239">
        <f t="shared" si="15"/>
        <v>0.25</v>
      </c>
      <c r="V36" s="239">
        <f t="shared" si="15"/>
        <v>0.25</v>
      </c>
      <c r="W36" s="239">
        <f t="shared" si="15"/>
        <v>0.25</v>
      </c>
      <c r="X36" s="239">
        <f t="shared" si="15"/>
        <v>0.25</v>
      </c>
      <c r="Y36" s="239">
        <f t="shared" si="15"/>
        <v>0.25</v>
      </c>
    </row>
    <row r="37" spans="1:28" s="2" customFormat="1" ht="15.75" customHeight="1" x14ac:dyDescent="0.2">
      <c r="A37" s="425"/>
      <c r="B37" s="424"/>
      <c r="C37" s="425"/>
      <c r="D37" s="427"/>
      <c r="E37" s="427"/>
      <c r="F37" s="238" t="s">
        <v>317</v>
      </c>
      <c r="G37" s="240">
        <v>2025</v>
      </c>
      <c r="H37" s="291"/>
      <c r="I37" s="254" t="s">
        <v>350</v>
      </c>
      <c r="J37" s="239">
        <f>J92</f>
        <v>0.25</v>
      </c>
      <c r="K37" s="239">
        <f t="shared" ref="K37:Y37" si="16">K92</f>
        <v>0.25</v>
      </c>
      <c r="L37" s="239">
        <f t="shared" si="16"/>
        <v>0.25</v>
      </c>
      <c r="M37" s="239">
        <f t="shared" si="16"/>
        <v>0.25</v>
      </c>
      <c r="N37" s="239">
        <f t="shared" si="16"/>
        <v>0.25</v>
      </c>
      <c r="O37" s="239">
        <f t="shared" si="16"/>
        <v>0.25</v>
      </c>
      <c r="P37" s="239">
        <f t="shared" si="16"/>
        <v>0.25</v>
      </c>
      <c r="Q37" s="239">
        <f t="shared" si="16"/>
        <v>0.25</v>
      </c>
      <c r="R37" s="239">
        <f t="shared" si="16"/>
        <v>0.22</v>
      </c>
      <c r="S37" s="239">
        <f t="shared" si="16"/>
        <v>0.25</v>
      </c>
      <c r="T37" s="239">
        <f t="shared" si="16"/>
        <v>0.22</v>
      </c>
      <c r="U37" s="239">
        <f t="shared" si="16"/>
        <v>0.22</v>
      </c>
      <c r="V37" s="239">
        <f t="shared" si="16"/>
        <v>0.22</v>
      </c>
      <c r="W37" s="239">
        <f t="shared" si="16"/>
        <v>0.22</v>
      </c>
      <c r="X37" s="239">
        <f t="shared" si="16"/>
        <v>0.22</v>
      </c>
      <c r="Y37" s="239">
        <f t="shared" si="16"/>
        <v>0.25</v>
      </c>
    </row>
    <row r="38" spans="1:28" customFormat="1" ht="30.75" customHeight="1" x14ac:dyDescent="0.25">
      <c r="A38" t="s">
        <v>351</v>
      </c>
      <c r="C38" s="2"/>
    </row>
    <row r="39" spans="1:28" customFormat="1" ht="30.75" customHeight="1" x14ac:dyDescent="0.25">
      <c r="C39" s="2"/>
    </row>
    <row r="40" spans="1:28" customFormat="1" ht="30.75" customHeight="1" x14ac:dyDescent="0.25">
      <c r="C40" s="2"/>
    </row>
    <row r="41" spans="1:28" customFormat="1" ht="26.25" customHeight="1" x14ac:dyDescent="0.25">
      <c r="E41" s="446" t="s">
        <v>352</v>
      </c>
      <c r="F41" s="447"/>
      <c r="G41" s="447"/>
      <c r="H41" s="447"/>
      <c r="I41" s="448"/>
    </row>
    <row r="42" spans="1:28" customFormat="1" ht="55.5" customHeight="1" x14ac:dyDescent="0.25">
      <c r="E42" s="235"/>
      <c r="F42" s="112" t="s">
        <v>287</v>
      </c>
      <c r="G42" s="235" t="s">
        <v>353</v>
      </c>
      <c r="H42" s="235" t="s">
        <v>68</v>
      </c>
      <c r="I42" s="235" t="s">
        <v>354</v>
      </c>
    </row>
    <row r="43" spans="1:28" customFormat="1" ht="15" customHeight="1" x14ac:dyDescent="0.25">
      <c r="E43" s="441" t="s">
        <v>352</v>
      </c>
      <c r="F43" s="368" t="s">
        <v>310</v>
      </c>
      <c r="G43" s="439" t="s">
        <v>355</v>
      </c>
      <c r="H43" s="441" t="s">
        <v>356</v>
      </c>
      <c r="I43" s="438">
        <v>3.97</v>
      </c>
    </row>
    <row r="44" spans="1:28" customFormat="1" ht="15" x14ac:dyDescent="0.25">
      <c r="E44" s="442"/>
      <c r="F44" s="368" t="s">
        <v>312</v>
      </c>
      <c r="G44" s="439"/>
      <c r="H44" s="442"/>
      <c r="I44" s="438"/>
    </row>
    <row r="45" spans="1:28" customFormat="1" ht="15" x14ac:dyDescent="0.25">
      <c r="E45" s="442"/>
      <c r="F45" s="368" t="s">
        <v>313</v>
      </c>
      <c r="G45" s="439"/>
      <c r="H45" s="442"/>
      <c r="I45" s="438"/>
    </row>
    <row r="46" spans="1:28" customFormat="1" ht="15" x14ac:dyDescent="0.25">
      <c r="E46" s="442"/>
      <c r="F46" s="368" t="s">
        <v>315</v>
      </c>
      <c r="G46" s="439"/>
      <c r="H46" s="443"/>
      <c r="I46" s="438"/>
    </row>
    <row r="47" spans="1:28" customFormat="1" ht="45" customHeight="1" x14ac:dyDescent="0.25">
      <c r="E47" s="442"/>
      <c r="F47" s="360" t="s">
        <v>317</v>
      </c>
      <c r="G47" s="444" t="s">
        <v>357</v>
      </c>
      <c r="H47" s="368" t="s">
        <v>115</v>
      </c>
      <c r="I47" s="359">
        <v>2.2999999999999998</v>
      </c>
    </row>
    <row r="48" spans="1:28" ht="50.25" customHeight="1" x14ac:dyDescent="0.25">
      <c r="A48" s="7"/>
      <c r="B48" s="7"/>
      <c r="C48" s="7"/>
      <c r="D48" s="76"/>
      <c r="E48" s="443"/>
      <c r="F48" s="368" t="s">
        <v>317</v>
      </c>
      <c r="G48" s="445"/>
      <c r="H48" s="368" t="s">
        <v>83</v>
      </c>
      <c r="I48" s="359">
        <v>7</v>
      </c>
      <c r="J48"/>
      <c r="K48"/>
      <c r="L48"/>
      <c r="M48"/>
      <c r="N48"/>
      <c r="O48"/>
      <c r="P48"/>
      <c r="Q48"/>
      <c r="R48"/>
      <c r="S48"/>
      <c r="T48"/>
      <c r="U48"/>
      <c r="V48"/>
      <c r="W48"/>
      <c r="X48"/>
      <c r="Y48"/>
      <c r="Z48"/>
      <c r="AA48"/>
      <c r="AB48"/>
    </row>
    <row r="49" spans="1:28" ht="15" customHeight="1" x14ac:dyDescent="0.25">
      <c r="A49" s="7"/>
      <c r="B49" s="7"/>
      <c r="C49" s="7"/>
      <c r="D49" s="76"/>
      <c r="E49" s="354" t="s">
        <v>358</v>
      </c>
      <c r="F49" s="7"/>
      <c r="G49" s="223"/>
      <c r="H49" s="223"/>
      <c r="I49" s="76"/>
      <c r="J49"/>
      <c r="K49"/>
      <c r="L49"/>
      <c r="M49"/>
      <c r="N49"/>
      <c r="O49"/>
      <c r="P49"/>
      <c r="Q49"/>
      <c r="R49"/>
      <c r="S49"/>
      <c r="T49"/>
      <c r="U49"/>
      <c r="V49"/>
      <c r="W49"/>
      <c r="X49"/>
      <c r="Y49"/>
      <c r="Z49"/>
      <c r="AA49"/>
      <c r="AB49"/>
    </row>
    <row r="50" spans="1:28" ht="15" customHeight="1" x14ac:dyDescent="0.25">
      <c r="A50" s="7"/>
      <c r="B50" s="7"/>
      <c r="C50" s="7"/>
      <c r="D50" s="76"/>
      <c r="E50" s="287" t="s">
        <v>55</v>
      </c>
      <c r="F50" s="7"/>
      <c r="G50" s="223"/>
      <c r="H50" s="223"/>
      <c r="I50" s="76"/>
      <c r="J50"/>
      <c r="K50"/>
      <c r="L50"/>
      <c r="M50"/>
      <c r="N50"/>
      <c r="O50"/>
      <c r="P50"/>
      <c r="Q50"/>
      <c r="R50"/>
      <c r="S50"/>
      <c r="T50"/>
      <c r="U50"/>
      <c r="V50"/>
      <c r="W50"/>
      <c r="X50"/>
      <c r="Y50"/>
      <c r="Z50"/>
      <c r="AA50"/>
      <c r="AB50"/>
    </row>
    <row r="51" spans="1:28" ht="15" customHeight="1" x14ac:dyDescent="0.25">
      <c r="A51" s="7"/>
      <c r="B51" s="7"/>
      <c r="C51" s="7"/>
      <c r="D51" s="76"/>
      <c r="E51" s="7"/>
      <c r="F51" s="7"/>
      <c r="G51" s="223"/>
      <c r="H51" s="223"/>
      <c r="I51" s="76"/>
      <c r="J51"/>
      <c r="K51"/>
      <c r="L51"/>
      <c r="M51"/>
      <c r="N51"/>
      <c r="O51"/>
      <c r="P51"/>
      <c r="Q51"/>
      <c r="R51"/>
      <c r="S51"/>
      <c r="T51"/>
      <c r="U51"/>
      <c r="V51"/>
      <c r="W51"/>
      <c r="X51"/>
      <c r="Y51"/>
      <c r="Z51"/>
      <c r="AA51"/>
      <c r="AB51"/>
    </row>
    <row r="52" spans="1:28" x14ac:dyDescent="0.2">
      <c r="A52" s="2"/>
      <c r="B52" s="228"/>
      <c r="C52" s="2"/>
      <c r="D52" s="2"/>
      <c r="E52" s="2"/>
      <c r="F52" s="2"/>
      <c r="G52" s="229"/>
      <c r="H52" s="229"/>
      <c r="I52" s="2"/>
      <c r="J52" s="2"/>
      <c r="K52" s="2"/>
      <c r="L52" s="2"/>
      <c r="M52" s="2"/>
      <c r="N52" s="2"/>
      <c r="O52" s="2"/>
      <c r="P52" s="2"/>
      <c r="Q52" s="2"/>
      <c r="R52" s="2"/>
      <c r="S52" s="2"/>
      <c r="T52" s="2"/>
      <c r="U52" s="2"/>
      <c r="V52" s="2"/>
      <c r="W52" s="2"/>
      <c r="X52" s="2"/>
      <c r="Y52" s="2"/>
      <c r="Z52" s="2"/>
      <c r="AA52" s="2"/>
      <c r="AB52" s="2"/>
    </row>
    <row r="53" spans="1:28" s="60" customFormat="1" ht="18" x14ac:dyDescent="0.25">
      <c r="A53" s="26" t="s">
        <v>183</v>
      </c>
      <c r="B53" s="224"/>
      <c r="C53" s="224"/>
      <c r="D53" s="224"/>
      <c r="E53" s="225"/>
      <c r="F53" s="226"/>
      <c r="G53" s="227"/>
      <c r="H53" s="227"/>
      <c r="I53" s="224"/>
      <c r="J53" s="224"/>
      <c r="K53" s="224"/>
      <c r="L53" s="224"/>
      <c r="M53" s="224"/>
      <c r="N53" s="224"/>
      <c r="O53" s="224"/>
      <c r="P53" s="224"/>
      <c r="Q53" s="224"/>
      <c r="R53" s="224"/>
      <c r="S53" s="224"/>
      <c r="T53" s="224"/>
      <c r="U53" s="224"/>
      <c r="V53" s="224"/>
      <c r="W53" s="224"/>
      <c r="X53" s="224"/>
      <c r="Y53" s="224"/>
      <c r="Z53" s="224"/>
      <c r="AA53" s="224"/>
      <c r="AB53" s="224"/>
    </row>
    <row r="54" spans="1:28" x14ac:dyDescent="0.2">
      <c r="A54" s="2"/>
      <c r="B54" s="228"/>
      <c r="C54" s="2"/>
      <c r="D54" s="2"/>
      <c r="E54" s="2"/>
      <c r="F54" s="2"/>
      <c r="G54" s="229"/>
      <c r="H54" s="229"/>
      <c r="I54" s="229"/>
      <c r="J54" s="2"/>
      <c r="K54" s="2"/>
      <c r="L54" s="2"/>
      <c r="M54" s="2"/>
      <c r="N54" s="2"/>
      <c r="O54" s="2"/>
      <c r="P54" s="2"/>
      <c r="Q54" s="2"/>
      <c r="R54" s="2"/>
      <c r="S54" s="2"/>
      <c r="T54" s="2"/>
      <c r="U54" s="2"/>
      <c r="V54" s="2"/>
      <c r="W54" s="2"/>
      <c r="X54" s="2"/>
      <c r="Y54" s="2"/>
      <c r="Z54" s="2"/>
      <c r="AA54" s="2"/>
      <c r="AB54" s="2"/>
    </row>
    <row r="55" spans="1:28" ht="15" x14ac:dyDescent="0.25">
      <c r="A55" s="2"/>
      <c r="B55" s="228"/>
      <c r="C55" s="2"/>
      <c r="D55"/>
      <c r="E55" s="2"/>
      <c r="F55" s="2"/>
      <c r="G55" s="229"/>
      <c r="H55" s="229"/>
      <c r="I55" s="2"/>
      <c r="J55" s="2"/>
      <c r="K55" s="2"/>
      <c r="L55" s="2"/>
      <c r="M55" s="2"/>
      <c r="N55" s="2"/>
      <c r="O55" s="2"/>
      <c r="P55" s="2"/>
      <c r="Q55" s="2"/>
      <c r="R55" s="2"/>
      <c r="S55" s="2"/>
      <c r="T55" s="2"/>
      <c r="U55" s="2"/>
      <c r="V55" s="2"/>
      <c r="W55" s="2"/>
      <c r="X55" s="2"/>
      <c r="Y55" s="2"/>
      <c r="Z55" s="2"/>
      <c r="AA55" s="2"/>
      <c r="AB55" s="2"/>
    </row>
    <row r="56" spans="1:28" ht="15" x14ac:dyDescent="0.25">
      <c r="A56" s="81" t="s">
        <v>359</v>
      </c>
      <c r="B56" s="82"/>
      <c r="C56" s="80">
        <v>0.25</v>
      </c>
      <c r="D56"/>
      <c r="E56" s="2"/>
      <c r="F56" s="2"/>
      <c r="G56" s="229"/>
      <c r="H56" s="229"/>
      <c r="I56" s="2"/>
      <c r="J56" s="2"/>
      <c r="K56" s="2"/>
      <c r="L56" s="2"/>
      <c r="M56" s="2"/>
      <c r="N56" s="2"/>
      <c r="O56" s="2"/>
      <c r="P56" s="2"/>
      <c r="Q56" s="2"/>
      <c r="R56" s="2"/>
      <c r="S56" s="2"/>
      <c r="T56" s="2"/>
      <c r="U56" s="2"/>
      <c r="V56" s="2"/>
      <c r="W56" s="2"/>
      <c r="X56" s="2"/>
      <c r="Y56" s="2"/>
      <c r="Z56" s="2"/>
      <c r="AA56" s="2"/>
      <c r="AB56" s="2"/>
    </row>
    <row r="57" spans="1:28" ht="15" customHeight="1" x14ac:dyDescent="0.25">
      <c r="A57" s="2"/>
      <c r="B57" s="228"/>
      <c r="C57" s="2"/>
      <c r="D57"/>
      <c r="E57" s="440" t="s">
        <v>360</v>
      </c>
      <c r="F57" s="2" t="s">
        <v>361</v>
      </c>
      <c r="G57" s="229">
        <f>(180+155)*2+(88*2)</f>
        <v>846</v>
      </c>
      <c r="H57" s="229"/>
      <c r="I57" s="2" t="s">
        <v>362</v>
      </c>
      <c r="J57" s="2"/>
      <c r="K57" s="2"/>
      <c r="L57" s="2"/>
      <c r="M57" s="2"/>
      <c r="N57" s="2"/>
      <c r="O57" s="2"/>
      <c r="P57" s="2"/>
      <c r="Q57" s="2"/>
      <c r="R57" s="2"/>
      <c r="S57" s="2"/>
      <c r="T57" s="2"/>
      <c r="U57" s="2"/>
      <c r="V57" s="2"/>
      <c r="W57" s="2"/>
      <c r="X57" s="2"/>
      <c r="Y57" s="2"/>
      <c r="Z57" s="2"/>
      <c r="AA57" s="2"/>
      <c r="AB57" s="2"/>
    </row>
    <row r="58" spans="1:28" ht="15" x14ac:dyDescent="0.25">
      <c r="A58" s="2"/>
      <c r="B58" s="228"/>
      <c r="C58" s="2"/>
      <c r="D58"/>
      <c r="E58" s="440"/>
      <c r="F58" s="2" t="s">
        <v>363</v>
      </c>
      <c r="G58" s="229">
        <f>(67*180)+(88*60*2)</f>
        <v>22620</v>
      </c>
      <c r="H58" s="229"/>
      <c r="I58" s="2" t="s">
        <v>364</v>
      </c>
      <c r="J58" s="2"/>
      <c r="K58" s="2"/>
      <c r="L58" s="2"/>
      <c r="M58" s="2"/>
      <c r="N58" s="2"/>
      <c r="O58" s="2"/>
      <c r="P58" s="2"/>
      <c r="Q58" s="2"/>
      <c r="R58" s="2"/>
      <c r="S58" s="2"/>
      <c r="T58" s="2"/>
      <c r="U58" s="2"/>
      <c r="V58" s="2"/>
      <c r="W58" s="2"/>
      <c r="X58" s="2"/>
      <c r="Y58" s="2"/>
      <c r="Z58" s="2"/>
      <c r="AA58" s="2"/>
      <c r="AB58" s="2"/>
    </row>
    <row r="59" spans="1:28" ht="15" x14ac:dyDescent="0.25">
      <c r="A59" s="2"/>
      <c r="B59" s="228"/>
      <c r="C59" s="2"/>
      <c r="D59" s="2"/>
      <c r="E59" s="440"/>
      <c r="F59" t="s">
        <v>365</v>
      </c>
      <c r="G59" s="229"/>
      <c r="H59" s="229"/>
      <c r="I59" s="2"/>
      <c r="J59" s="2"/>
      <c r="K59" s="2"/>
      <c r="L59" s="2"/>
      <c r="M59" s="2"/>
      <c r="N59" s="2"/>
      <c r="O59" s="2"/>
      <c r="P59" s="2"/>
      <c r="Q59" s="2"/>
      <c r="R59" s="2"/>
      <c r="S59" s="2"/>
      <c r="T59" s="2"/>
      <c r="U59" s="2"/>
      <c r="V59" s="2"/>
      <c r="W59" s="2"/>
      <c r="X59" s="2"/>
      <c r="Y59" s="2"/>
      <c r="Z59" s="2"/>
      <c r="AA59" s="2"/>
      <c r="AB59" s="2"/>
    </row>
    <row r="60" spans="1:28" ht="15" x14ac:dyDescent="0.25">
      <c r="A60" s="2"/>
      <c r="B60" s="228"/>
      <c r="C60" s="2"/>
      <c r="D60" s="2"/>
      <c r="E60" s="440"/>
      <c r="F60" t="s">
        <v>366</v>
      </c>
      <c r="G60" s="229"/>
      <c r="H60" s="229"/>
      <c r="I60" s="2"/>
      <c r="J60" s="2"/>
      <c r="K60" s="2"/>
      <c r="L60" s="2"/>
      <c r="M60" s="2"/>
      <c r="N60" s="2"/>
      <c r="O60" s="2"/>
      <c r="P60" s="2"/>
      <c r="Q60" s="2"/>
      <c r="R60" s="2"/>
      <c r="S60" s="2"/>
      <c r="T60" s="2"/>
      <c r="U60" s="2"/>
      <c r="V60" s="2"/>
      <c r="W60" s="2"/>
      <c r="X60" s="2"/>
      <c r="Y60" s="2"/>
      <c r="Z60" s="2"/>
      <c r="AA60" s="2"/>
      <c r="AB60" s="2"/>
    </row>
    <row r="61" spans="1:28" ht="15" x14ac:dyDescent="0.25">
      <c r="A61" s="2"/>
      <c r="B61" s="228"/>
      <c r="C61" s="2"/>
      <c r="D61" s="2"/>
      <c r="E61" s="440"/>
      <c r="F61" t="s">
        <v>367</v>
      </c>
      <c r="G61" s="229"/>
      <c r="H61" s="229"/>
      <c r="I61" s="2"/>
      <c r="J61" s="2"/>
      <c r="K61" s="2"/>
      <c r="L61" s="2"/>
      <c r="M61" s="2"/>
      <c r="N61" s="2"/>
      <c r="O61" s="2"/>
      <c r="P61" s="2"/>
      <c r="Q61" s="2"/>
      <c r="R61" s="2"/>
      <c r="S61" s="2"/>
      <c r="T61" s="2"/>
      <c r="U61" s="2"/>
      <c r="V61" s="2"/>
      <c r="W61" s="2"/>
      <c r="X61" s="2"/>
      <c r="Y61" s="2"/>
      <c r="Z61" s="2"/>
      <c r="AA61" s="2"/>
      <c r="AB61" s="2"/>
    </row>
    <row r="62" spans="1:28" ht="15" x14ac:dyDescent="0.25">
      <c r="A62" s="2"/>
      <c r="B62" s="228"/>
      <c r="C62" s="2"/>
      <c r="D62" s="2"/>
      <c r="E62" s="440"/>
      <c r="F62" t="s">
        <v>368</v>
      </c>
      <c r="G62" s="229"/>
      <c r="H62" s="229"/>
      <c r="I62" s="2"/>
      <c r="J62" s="2"/>
      <c r="K62" s="2"/>
      <c r="L62" s="2"/>
      <c r="M62" s="2"/>
      <c r="N62" s="2"/>
      <c r="O62" s="2"/>
      <c r="P62" s="2"/>
      <c r="Q62" s="2"/>
      <c r="R62" s="2"/>
      <c r="S62" s="2"/>
      <c r="T62" s="2"/>
      <c r="U62" s="2"/>
      <c r="V62" s="2"/>
      <c r="W62" s="2"/>
      <c r="X62" s="2"/>
      <c r="Y62" s="2"/>
      <c r="Z62" s="2"/>
      <c r="AA62" s="2"/>
      <c r="AB62" s="2"/>
    </row>
    <row r="63" spans="1:28" ht="15" x14ac:dyDescent="0.25">
      <c r="A63" s="2"/>
      <c r="B63" s="228"/>
      <c r="C63" s="2"/>
      <c r="D63" s="2"/>
      <c r="E63" s="440"/>
      <c r="F63" t="s">
        <v>369</v>
      </c>
      <c r="G63" s="229"/>
      <c r="H63" s="229"/>
      <c r="I63" s="2"/>
      <c r="J63" s="2"/>
      <c r="K63" s="2"/>
      <c r="L63" s="2"/>
      <c r="M63" s="2"/>
      <c r="N63" s="2"/>
      <c r="O63" s="2"/>
      <c r="P63" s="2"/>
      <c r="Q63" s="2"/>
      <c r="R63" s="2"/>
      <c r="S63" s="2"/>
      <c r="T63" s="2"/>
      <c r="U63" s="2"/>
      <c r="V63" s="2"/>
      <c r="W63" s="2"/>
      <c r="X63" s="2"/>
      <c r="Y63" s="2"/>
      <c r="Z63" s="2"/>
      <c r="AA63" s="2"/>
      <c r="AB63" s="2"/>
    </row>
    <row r="64" spans="1:28" ht="15" x14ac:dyDescent="0.25">
      <c r="A64" s="2"/>
      <c r="B64" s="228"/>
      <c r="C64" s="2"/>
      <c r="D64" s="2"/>
      <c r="E64" s="440"/>
      <c r="F64" s="184" t="s">
        <v>370</v>
      </c>
      <c r="G64" s="229"/>
      <c r="H64" s="229"/>
      <c r="I64" s="2" t="s">
        <v>371</v>
      </c>
      <c r="J64" s="2"/>
      <c r="K64" s="2"/>
      <c r="L64" s="2"/>
      <c r="M64" s="2"/>
      <c r="N64" s="2"/>
      <c r="O64" s="2"/>
      <c r="P64" s="2"/>
      <c r="Q64" s="2"/>
      <c r="R64" s="2"/>
      <c r="S64" s="2"/>
      <c r="T64" s="2"/>
      <c r="U64" s="2"/>
      <c r="V64" s="2"/>
      <c r="W64" s="2"/>
      <c r="X64" s="2"/>
      <c r="Y64" s="2"/>
      <c r="Z64" s="2"/>
      <c r="AA64" s="2"/>
      <c r="AB64" s="2"/>
    </row>
    <row r="65" spans="1:27" ht="15.75" x14ac:dyDescent="0.25">
      <c r="A65" s="2"/>
      <c r="B65" s="228"/>
      <c r="C65" s="2"/>
      <c r="D65" s="2"/>
      <c r="E65" s="440"/>
      <c r="F65" s="132" t="s">
        <v>372</v>
      </c>
      <c r="G65" t="s">
        <v>373</v>
      </c>
      <c r="H65"/>
      <c r="I65" s="132" t="s">
        <v>374</v>
      </c>
      <c r="J65" s="2"/>
      <c r="K65" s="2"/>
      <c r="L65" s="2"/>
      <c r="M65" s="2"/>
      <c r="N65" s="2"/>
      <c r="O65" s="2"/>
      <c r="P65" s="2"/>
      <c r="Q65" s="2"/>
      <c r="R65" s="2"/>
      <c r="S65" s="2"/>
      <c r="T65" s="2"/>
      <c r="U65" s="2"/>
      <c r="V65" s="2"/>
      <c r="W65" s="2"/>
      <c r="X65" s="2"/>
      <c r="Y65" s="2"/>
      <c r="Z65" s="2"/>
      <c r="AA65" s="2"/>
    </row>
    <row r="66" spans="1:27" ht="15.75" x14ac:dyDescent="0.25">
      <c r="A66" s="2"/>
      <c r="B66" s="228"/>
      <c r="C66" s="2"/>
      <c r="D66" s="2"/>
      <c r="E66" s="440"/>
      <c r="F66" s="132" t="s">
        <v>375</v>
      </c>
      <c r="G66" t="s">
        <v>376</v>
      </c>
      <c r="H66"/>
      <c r="I66" s="2" t="s">
        <v>377</v>
      </c>
      <c r="J66" s="2"/>
      <c r="K66" s="2"/>
      <c r="L66" s="2"/>
      <c r="M66" s="2"/>
      <c r="N66" s="2"/>
      <c r="O66" s="2"/>
      <c r="P66" s="2"/>
      <c r="Q66" s="2"/>
      <c r="R66" s="2"/>
      <c r="S66" s="2"/>
      <c r="T66" s="2"/>
      <c r="U66" s="2"/>
      <c r="V66" s="2"/>
      <c r="W66" s="2"/>
      <c r="X66" s="2"/>
      <c r="Y66" s="2"/>
      <c r="Z66" s="2"/>
      <c r="AA66" s="2"/>
    </row>
    <row r="67" spans="1:27" x14ac:dyDescent="0.2">
      <c r="A67" s="2"/>
      <c r="B67" s="228"/>
      <c r="C67" s="2"/>
      <c r="D67" s="2"/>
      <c r="E67" s="133"/>
      <c r="F67" s="2"/>
      <c r="G67" s="229"/>
      <c r="H67" s="229"/>
      <c r="I67" s="2"/>
      <c r="J67" s="2"/>
      <c r="K67" s="2"/>
      <c r="L67" s="2"/>
      <c r="M67" s="2"/>
      <c r="N67" s="2"/>
      <c r="O67" s="2"/>
      <c r="P67" s="2"/>
      <c r="Q67" s="2"/>
      <c r="R67" s="2"/>
      <c r="S67" s="2"/>
      <c r="T67" s="2"/>
      <c r="U67" s="2"/>
      <c r="V67" s="2"/>
      <c r="W67" s="2"/>
      <c r="X67" s="2"/>
      <c r="Y67" s="2"/>
      <c r="Z67" s="2"/>
      <c r="AA67" s="2"/>
    </row>
    <row r="68" spans="1:27" x14ac:dyDescent="0.2">
      <c r="A68" s="2"/>
      <c r="B68" s="228"/>
      <c r="C68" s="2"/>
      <c r="D68" s="2"/>
      <c r="E68" s="133"/>
      <c r="F68" s="2"/>
      <c r="G68" s="229"/>
      <c r="H68" s="229"/>
      <c r="I68" s="2"/>
      <c r="J68" s="2"/>
      <c r="K68" s="2"/>
      <c r="L68" s="2"/>
      <c r="M68" s="2"/>
      <c r="N68" s="2"/>
      <c r="O68" s="2"/>
      <c r="P68" s="2"/>
      <c r="Q68" s="2"/>
      <c r="R68" s="2"/>
      <c r="S68" s="2"/>
      <c r="T68" s="2"/>
      <c r="U68" s="2"/>
      <c r="V68" s="2"/>
      <c r="W68" s="2"/>
      <c r="X68" s="2"/>
      <c r="Y68" s="2"/>
      <c r="Z68" s="2"/>
      <c r="AA68" s="2"/>
    </row>
    <row r="69" spans="1:27" x14ac:dyDescent="0.2">
      <c r="A69" s="2"/>
      <c r="B69" s="228"/>
      <c r="C69" s="2"/>
      <c r="D69" s="2"/>
      <c r="E69" s="2"/>
      <c r="F69" s="2"/>
      <c r="G69" s="229"/>
      <c r="H69" s="229"/>
      <c r="I69" s="2"/>
      <c r="J69" s="2"/>
      <c r="K69" s="2"/>
      <c r="L69" s="2"/>
      <c r="M69" s="2"/>
      <c r="N69" s="2"/>
      <c r="O69" s="2"/>
      <c r="P69" s="2"/>
      <c r="Q69" s="2"/>
      <c r="R69" s="2"/>
      <c r="S69" s="2"/>
      <c r="T69" s="2"/>
      <c r="U69" s="2"/>
      <c r="V69" s="2"/>
      <c r="W69" s="2"/>
      <c r="X69" s="2"/>
      <c r="Y69" s="2"/>
      <c r="Z69" s="2"/>
      <c r="AA69" s="2"/>
    </row>
    <row r="70" spans="1:27" x14ac:dyDescent="0.2">
      <c r="A70" s="2"/>
      <c r="B70" s="228"/>
      <c r="C70" s="2"/>
      <c r="D70" s="2"/>
      <c r="E70" s="2"/>
      <c r="F70" s="2"/>
      <c r="G70" s="229"/>
      <c r="H70" s="229"/>
      <c r="I70" s="2"/>
      <c r="J70" s="2"/>
      <c r="K70" s="2"/>
      <c r="L70" s="2"/>
      <c r="M70" s="2"/>
      <c r="N70" s="2"/>
      <c r="O70" s="2"/>
      <c r="P70" s="2"/>
      <c r="Q70" s="2"/>
      <c r="R70" s="2"/>
      <c r="S70" s="2"/>
      <c r="T70" s="2"/>
      <c r="U70" s="2"/>
      <c r="V70" s="2"/>
      <c r="W70" s="2"/>
      <c r="X70" s="2"/>
      <c r="Y70" s="2"/>
      <c r="Z70" s="2"/>
      <c r="AA70" s="2"/>
    </row>
    <row r="71" spans="1:27" ht="15" x14ac:dyDescent="0.25">
      <c r="A71" s="2"/>
      <c r="B71" s="228"/>
      <c r="C71" s="2"/>
      <c r="D71" s="2"/>
      <c r="E71" s="2"/>
      <c r="F71"/>
      <c r="G71" s="229"/>
      <c r="H71" s="229"/>
      <c r="I71" s="2"/>
      <c r="J71" s="2"/>
      <c r="K71" s="2"/>
      <c r="L71" s="2"/>
      <c r="M71" s="2"/>
      <c r="N71" s="2"/>
      <c r="O71" s="2"/>
      <c r="P71" s="2"/>
      <c r="Q71" s="2"/>
      <c r="R71" s="2"/>
      <c r="S71" s="2"/>
      <c r="T71" s="2"/>
      <c r="U71" s="2"/>
      <c r="V71" s="2"/>
      <c r="W71" s="2"/>
      <c r="X71" s="2"/>
      <c r="Y71" s="2"/>
      <c r="Z71" s="2"/>
      <c r="AA71" s="2"/>
    </row>
    <row r="72" spans="1:27" ht="15" thickBot="1" x14ac:dyDescent="0.25">
      <c r="A72" s="2"/>
      <c r="B72" s="228"/>
      <c r="C72" s="2"/>
      <c r="D72" s="2"/>
      <c r="E72" s="2"/>
      <c r="F72" s="2"/>
      <c r="G72" s="229"/>
      <c r="H72" s="229"/>
      <c r="I72" s="2"/>
      <c r="J72" s="2"/>
      <c r="K72" s="2"/>
      <c r="L72" s="2"/>
      <c r="M72" s="2"/>
      <c r="N72" s="2"/>
      <c r="O72" s="2"/>
      <c r="P72" s="2"/>
      <c r="Q72" s="2"/>
      <c r="R72" s="2"/>
      <c r="S72" s="2"/>
      <c r="T72" s="2"/>
      <c r="U72" s="2"/>
      <c r="V72" s="2"/>
      <c r="W72" s="2"/>
      <c r="X72" s="2"/>
      <c r="Y72" s="2"/>
      <c r="Z72" s="2"/>
      <c r="AA72" s="2"/>
    </row>
    <row r="73" spans="1:27" x14ac:dyDescent="0.2">
      <c r="A73" s="452" t="s">
        <v>378</v>
      </c>
      <c r="B73" s="458" t="s">
        <v>35</v>
      </c>
      <c r="C73" s="449" t="s">
        <v>379</v>
      </c>
      <c r="D73" s="432" t="s">
        <v>334</v>
      </c>
      <c r="E73" s="433"/>
      <c r="F73" s="167" t="s">
        <v>310</v>
      </c>
      <c r="G73" s="106" t="s">
        <v>311</v>
      </c>
      <c r="H73" s="292"/>
      <c r="I73" s="96"/>
      <c r="J73" s="96"/>
      <c r="K73" s="96"/>
      <c r="L73" s="96"/>
      <c r="M73" s="96"/>
      <c r="N73" s="96"/>
      <c r="O73" s="96"/>
      <c r="P73" s="96"/>
      <c r="Q73" s="96"/>
      <c r="R73" s="96"/>
      <c r="S73" s="96"/>
      <c r="T73" s="96"/>
      <c r="U73" s="96"/>
      <c r="V73" s="96"/>
      <c r="W73" s="96"/>
      <c r="X73" s="96"/>
      <c r="Y73" s="97"/>
      <c r="Z73" s="2"/>
      <c r="AA73" s="2"/>
    </row>
    <row r="74" spans="1:27" ht="15" customHeight="1" x14ac:dyDescent="0.2">
      <c r="A74" s="453"/>
      <c r="B74" s="459"/>
      <c r="C74" s="450"/>
      <c r="D74" s="434"/>
      <c r="E74" s="435"/>
      <c r="F74" s="168" t="s">
        <v>312</v>
      </c>
      <c r="G74" s="107">
        <v>1984</v>
      </c>
      <c r="H74" s="292"/>
      <c r="I74" s="84"/>
      <c r="J74" s="84"/>
      <c r="K74" s="84"/>
      <c r="L74" s="84"/>
      <c r="M74" s="84"/>
      <c r="N74" s="84"/>
      <c r="O74" s="84"/>
      <c r="P74" s="84"/>
      <c r="Q74" s="84"/>
      <c r="R74" s="84"/>
      <c r="S74" s="84"/>
      <c r="T74" s="84"/>
      <c r="U74" s="84"/>
      <c r="V74" s="84"/>
      <c r="W74" s="84"/>
      <c r="X74" s="84"/>
      <c r="Y74" s="98"/>
      <c r="Z74" s="2"/>
      <c r="AA74" s="2"/>
    </row>
    <row r="75" spans="1:27" ht="15" customHeight="1" x14ac:dyDescent="0.2">
      <c r="A75" s="453"/>
      <c r="B75" s="459"/>
      <c r="C75" s="450"/>
      <c r="D75" s="434"/>
      <c r="E75" s="435"/>
      <c r="F75" s="168" t="s">
        <v>313</v>
      </c>
      <c r="G75" s="107">
        <v>2001</v>
      </c>
      <c r="H75" s="292"/>
      <c r="I75" s="84"/>
      <c r="J75" s="84">
        <v>0.49</v>
      </c>
      <c r="K75" s="84">
        <v>0.49</v>
      </c>
      <c r="L75" s="84">
        <v>0.49</v>
      </c>
      <c r="M75" s="84">
        <v>0.49</v>
      </c>
      <c r="N75" s="84">
        <v>0.49</v>
      </c>
      <c r="O75" s="84">
        <v>0.49</v>
      </c>
      <c r="P75" s="84">
        <v>0.49</v>
      </c>
      <c r="Q75" s="84">
        <v>0.49</v>
      </c>
      <c r="R75" s="84">
        <v>0.49</v>
      </c>
      <c r="S75" s="84">
        <v>0.49</v>
      </c>
      <c r="T75" s="84">
        <v>0.49</v>
      </c>
      <c r="U75" s="84">
        <v>0.49</v>
      </c>
      <c r="V75" s="84">
        <v>0.49</v>
      </c>
      <c r="W75" s="84">
        <v>0.49</v>
      </c>
      <c r="X75" s="84">
        <v>0.49</v>
      </c>
      <c r="Y75" s="98">
        <v>0.49</v>
      </c>
      <c r="Z75" s="2"/>
      <c r="AA75" s="2"/>
    </row>
    <row r="76" spans="1:27" ht="15" customHeight="1" x14ac:dyDescent="0.2">
      <c r="A76" s="453"/>
      <c r="B76" s="459"/>
      <c r="C76" s="450"/>
      <c r="D76" s="434"/>
      <c r="E76" s="435"/>
      <c r="F76" s="168" t="s">
        <v>315</v>
      </c>
      <c r="G76" s="107">
        <v>2013</v>
      </c>
      <c r="H76" s="292"/>
      <c r="I76" s="84"/>
      <c r="J76" s="84">
        <v>0.36</v>
      </c>
      <c r="K76" s="84">
        <v>0.36</v>
      </c>
      <c r="L76" s="84">
        <v>0.36</v>
      </c>
      <c r="M76" s="84">
        <v>0.36</v>
      </c>
      <c r="N76" s="84">
        <v>0.36</v>
      </c>
      <c r="O76" s="84">
        <v>0.36</v>
      </c>
      <c r="P76" s="84">
        <v>0.36</v>
      </c>
      <c r="Q76" s="84">
        <v>0.36</v>
      </c>
      <c r="R76" s="84">
        <v>0.36</v>
      </c>
      <c r="S76" s="84">
        <v>0.36</v>
      </c>
      <c r="T76" s="84">
        <v>0.36</v>
      </c>
      <c r="U76" s="84">
        <v>0.36</v>
      </c>
      <c r="V76" s="84">
        <v>0.36</v>
      </c>
      <c r="W76" s="84">
        <v>0.36</v>
      </c>
      <c r="X76" s="84">
        <v>0.36</v>
      </c>
      <c r="Y76" s="98">
        <v>0.36</v>
      </c>
      <c r="Z76" s="2"/>
      <c r="AA76" s="2"/>
    </row>
    <row r="77" spans="1:27" ht="15.75" customHeight="1" thickBot="1" x14ac:dyDescent="0.25">
      <c r="A77" s="453"/>
      <c r="B77" s="459"/>
      <c r="C77" s="450"/>
      <c r="D77" s="436"/>
      <c r="E77" s="437"/>
      <c r="F77" s="169" t="s">
        <v>317</v>
      </c>
      <c r="G77" s="108">
        <v>2025</v>
      </c>
      <c r="H77" s="292"/>
      <c r="I77" s="105"/>
      <c r="J77" s="85">
        <v>0.28000000000000003</v>
      </c>
      <c r="K77" s="85">
        <v>0.3</v>
      </c>
      <c r="L77" s="85">
        <v>0.28000000000000003</v>
      </c>
      <c r="M77" s="85">
        <v>0.28000000000000003</v>
      </c>
      <c r="N77" s="85">
        <v>0.28000000000000003</v>
      </c>
      <c r="O77" s="85">
        <v>0.34</v>
      </c>
      <c r="P77" s="85">
        <v>0.34</v>
      </c>
      <c r="Q77" s="85">
        <v>0.3</v>
      </c>
      <c r="R77" s="85">
        <v>0.3</v>
      </c>
      <c r="S77" s="85">
        <v>0.3</v>
      </c>
      <c r="T77" s="85">
        <v>0.28000000000000003</v>
      </c>
      <c r="U77" s="85">
        <v>0.3</v>
      </c>
      <c r="V77" s="85">
        <v>0.28000000000000003</v>
      </c>
      <c r="W77" s="85">
        <v>0.28000000000000003</v>
      </c>
      <c r="X77" s="85">
        <v>0.28000000000000003</v>
      </c>
      <c r="Y77" s="99">
        <v>0.28000000000000003</v>
      </c>
      <c r="Z77" s="2"/>
      <c r="AA77" s="2"/>
    </row>
    <row r="78" spans="1:27" ht="15" customHeight="1" x14ac:dyDescent="0.2">
      <c r="A78" s="453"/>
      <c r="B78" s="459"/>
      <c r="C78" s="450"/>
      <c r="D78" s="432" t="s">
        <v>340</v>
      </c>
      <c r="E78" s="433"/>
      <c r="F78" s="167" t="s">
        <v>310</v>
      </c>
      <c r="G78" s="106" t="s">
        <v>311</v>
      </c>
      <c r="H78" s="292"/>
      <c r="I78" s="83"/>
      <c r="J78" s="83"/>
      <c r="K78" s="83"/>
      <c r="L78" s="83"/>
      <c r="M78" s="83"/>
      <c r="N78" s="83"/>
      <c r="O78" s="83"/>
      <c r="P78" s="83"/>
      <c r="Q78" s="83"/>
      <c r="R78" s="83"/>
      <c r="S78" s="83"/>
      <c r="T78" s="83"/>
      <c r="U78" s="83"/>
      <c r="V78" s="83"/>
      <c r="W78" s="83"/>
      <c r="X78" s="83"/>
      <c r="Y78" s="100"/>
      <c r="Z78" s="2"/>
      <c r="AA78" s="2"/>
    </row>
    <row r="79" spans="1:27" ht="15" customHeight="1" x14ac:dyDescent="0.2">
      <c r="A79" s="453"/>
      <c r="B79" s="459"/>
      <c r="C79" s="450"/>
      <c r="D79" s="434"/>
      <c r="E79" s="435"/>
      <c r="F79" s="168" t="s">
        <v>312</v>
      </c>
      <c r="G79" s="107">
        <v>1984</v>
      </c>
      <c r="H79" s="292"/>
      <c r="I79" s="84"/>
      <c r="J79" s="84"/>
      <c r="K79" s="84"/>
      <c r="L79" s="84"/>
      <c r="M79" s="84"/>
      <c r="N79" s="84"/>
      <c r="O79" s="84"/>
      <c r="P79" s="84"/>
      <c r="Q79" s="84"/>
      <c r="R79" s="84"/>
      <c r="S79" s="84"/>
      <c r="T79" s="84"/>
      <c r="U79" s="84"/>
      <c r="V79" s="84"/>
      <c r="W79" s="84"/>
      <c r="X79" s="84"/>
      <c r="Y79" s="98"/>
      <c r="Z79" s="2"/>
      <c r="AA79" s="2"/>
    </row>
    <row r="80" spans="1:27" ht="25.5" x14ac:dyDescent="0.2">
      <c r="A80" s="453"/>
      <c r="B80" s="459"/>
      <c r="C80" s="450"/>
      <c r="D80" s="434"/>
      <c r="E80" s="435"/>
      <c r="F80" s="170" t="s">
        <v>313</v>
      </c>
      <c r="G80" s="110">
        <v>2001</v>
      </c>
      <c r="H80" s="292"/>
      <c r="I80" s="109" t="s">
        <v>380</v>
      </c>
      <c r="J80" s="103">
        <f>0.5*J116+0.5*J118</f>
        <v>0.38500000000000001</v>
      </c>
      <c r="K80" s="103">
        <f t="shared" ref="K80:Y80" si="17">0.5*K116+0.5*K118</f>
        <v>0.33</v>
      </c>
      <c r="L80" s="103">
        <f t="shared" si="17"/>
        <v>0.435</v>
      </c>
      <c r="M80" s="103">
        <f t="shared" si="17"/>
        <v>0.435</v>
      </c>
      <c r="N80" s="103">
        <f t="shared" si="17"/>
        <v>0.435</v>
      </c>
      <c r="O80" s="103">
        <f t="shared" si="17"/>
        <v>0.45999999999999996</v>
      </c>
      <c r="P80" s="103">
        <f t="shared" si="17"/>
        <v>0.45999999999999996</v>
      </c>
      <c r="Q80" s="103">
        <f t="shared" si="17"/>
        <v>0.45999999999999996</v>
      </c>
      <c r="R80" s="103">
        <f t="shared" si="17"/>
        <v>0.45999999999999996</v>
      </c>
      <c r="S80" s="103">
        <f t="shared" si="17"/>
        <v>0.33</v>
      </c>
      <c r="T80" s="103">
        <f t="shared" si="17"/>
        <v>0.33</v>
      </c>
      <c r="U80" s="103">
        <f t="shared" si="17"/>
        <v>0.33</v>
      </c>
      <c r="V80" s="103">
        <f t="shared" si="17"/>
        <v>0.33</v>
      </c>
      <c r="W80" s="103">
        <f t="shared" si="17"/>
        <v>0.34499999999999997</v>
      </c>
      <c r="X80" s="103">
        <f t="shared" si="17"/>
        <v>0.34499999999999997</v>
      </c>
      <c r="Y80" s="104">
        <f t="shared" si="17"/>
        <v>0.38500000000000001</v>
      </c>
      <c r="Z80" s="2"/>
      <c r="AA80" s="2"/>
    </row>
    <row r="81" spans="1:27" ht="15" customHeight="1" x14ac:dyDescent="0.2">
      <c r="A81" s="453"/>
      <c r="B81" s="459"/>
      <c r="C81" s="450"/>
      <c r="D81" s="434"/>
      <c r="E81" s="435"/>
      <c r="F81" s="168" t="s">
        <v>315</v>
      </c>
      <c r="G81" s="107">
        <v>2013</v>
      </c>
      <c r="H81" s="292"/>
      <c r="I81" s="84"/>
      <c r="J81" s="84">
        <v>0.25</v>
      </c>
      <c r="K81" s="84">
        <v>0.25</v>
      </c>
      <c r="L81" s="84">
        <v>0.25</v>
      </c>
      <c r="M81" s="84">
        <v>0.25</v>
      </c>
      <c r="N81" s="84">
        <v>0.25</v>
      </c>
      <c r="O81" s="84">
        <v>0.25</v>
      </c>
      <c r="P81" s="84">
        <v>0.25</v>
      </c>
      <c r="Q81" s="84">
        <v>0.25</v>
      </c>
      <c r="R81" s="84">
        <v>0.25</v>
      </c>
      <c r="S81" s="84">
        <v>0.25</v>
      </c>
      <c r="T81" s="84">
        <v>0.25</v>
      </c>
      <c r="U81" s="84">
        <v>0.25</v>
      </c>
      <c r="V81" s="84">
        <v>0.25</v>
      </c>
      <c r="W81" s="84">
        <v>0.25</v>
      </c>
      <c r="X81" s="84">
        <v>0.25</v>
      </c>
      <c r="Y81" s="98">
        <v>0.25</v>
      </c>
      <c r="Z81" s="2"/>
      <c r="AA81" s="2"/>
    </row>
    <row r="82" spans="1:27" ht="15.75" customHeight="1" thickBot="1" x14ac:dyDescent="0.25">
      <c r="A82" s="454"/>
      <c r="B82" s="459"/>
      <c r="C82" s="450"/>
      <c r="D82" s="436"/>
      <c r="E82" s="437"/>
      <c r="F82" s="169" t="s">
        <v>317</v>
      </c>
      <c r="G82" s="108">
        <v>2025</v>
      </c>
      <c r="H82" s="292"/>
      <c r="I82" s="186"/>
      <c r="J82" s="187">
        <v>0.63</v>
      </c>
      <c r="K82" s="187">
        <v>0.23</v>
      </c>
      <c r="L82" s="187">
        <v>0.63</v>
      </c>
      <c r="M82" s="187">
        <v>0.23</v>
      </c>
      <c r="N82" s="187">
        <v>0.63</v>
      </c>
      <c r="O82" s="187">
        <v>0.23</v>
      </c>
      <c r="P82" s="187">
        <v>0.23</v>
      </c>
      <c r="Q82" s="187">
        <v>0.23</v>
      </c>
      <c r="R82" s="187">
        <v>0.23</v>
      </c>
      <c r="S82" s="187">
        <v>0.23</v>
      </c>
      <c r="T82" s="187">
        <v>0.23</v>
      </c>
      <c r="U82" s="187">
        <v>0.23</v>
      </c>
      <c r="V82" s="187">
        <v>0.23</v>
      </c>
      <c r="W82" s="187">
        <v>0.23</v>
      </c>
      <c r="X82" s="187">
        <v>0.23</v>
      </c>
      <c r="Y82" s="188">
        <v>0.63</v>
      </c>
      <c r="Z82" s="2"/>
      <c r="AA82" s="2"/>
    </row>
    <row r="83" spans="1:27" ht="15" customHeight="1" x14ac:dyDescent="0.2">
      <c r="A83" s="455" t="s">
        <v>381</v>
      </c>
      <c r="B83" s="459"/>
      <c r="C83" s="450"/>
      <c r="D83" s="432" t="s">
        <v>334</v>
      </c>
      <c r="E83" s="433"/>
      <c r="F83" s="167" t="s">
        <v>310</v>
      </c>
      <c r="G83" s="106" t="s">
        <v>311</v>
      </c>
      <c r="H83" s="292"/>
      <c r="I83" s="83"/>
      <c r="J83" s="83"/>
      <c r="K83" s="83"/>
      <c r="L83" s="83"/>
      <c r="M83" s="83"/>
      <c r="N83" s="83"/>
      <c r="O83" s="83"/>
      <c r="P83" s="83"/>
      <c r="Q83" s="83"/>
      <c r="R83" s="83"/>
      <c r="S83" s="83"/>
      <c r="T83" s="83"/>
      <c r="U83" s="83"/>
      <c r="V83" s="83"/>
      <c r="W83" s="83"/>
      <c r="X83" s="83"/>
      <c r="Y83" s="100"/>
      <c r="Z83" s="2"/>
      <c r="AA83" s="2"/>
    </row>
    <row r="84" spans="1:27" ht="15" customHeight="1" x14ac:dyDescent="0.2">
      <c r="A84" s="456"/>
      <c r="B84" s="459"/>
      <c r="C84" s="450"/>
      <c r="D84" s="434"/>
      <c r="E84" s="435"/>
      <c r="F84" s="168" t="s">
        <v>312</v>
      </c>
      <c r="G84" s="107">
        <v>1984</v>
      </c>
      <c r="H84" s="292"/>
      <c r="I84" s="84"/>
      <c r="J84" s="84"/>
      <c r="K84" s="84"/>
      <c r="L84" s="84"/>
      <c r="M84" s="84"/>
      <c r="N84" s="84"/>
      <c r="O84" s="84"/>
      <c r="P84" s="84"/>
      <c r="Q84" s="84"/>
      <c r="R84" s="84"/>
      <c r="S84" s="84"/>
      <c r="T84" s="84"/>
      <c r="U84" s="84"/>
      <c r="V84" s="84"/>
      <c r="W84" s="84"/>
      <c r="X84" s="84"/>
      <c r="Y84" s="98"/>
      <c r="Z84" s="2"/>
      <c r="AA84" s="2"/>
    </row>
    <row r="85" spans="1:27" ht="15" customHeight="1" x14ac:dyDescent="0.2">
      <c r="A85" s="456"/>
      <c r="B85" s="459"/>
      <c r="C85" s="450"/>
      <c r="D85" s="434"/>
      <c r="E85" s="435"/>
      <c r="F85" s="168" t="s">
        <v>313</v>
      </c>
      <c r="G85" s="107">
        <v>2001</v>
      </c>
      <c r="H85" s="292"/>
      <c r="I85" s="84"/>
      <c r="J85" s="84">
        <v>0.49</v>
      </c>
      <c r="K85" s="84">
        <v>0.49</v>
      </c>
      <c r="L85" s="84">
        <v>0.81</v>
      </c>
      <c r="M85" s="84">
        <v>0.81</v>
      </c>
      <c r="N85" s="84">
        <v>0.81</v>
      </c>
      <c r="O85" s="84">
        <v>0.81</v>
      </c>
      <c r="P85" s="84">
        <v>0.81</v>
      </c>
      <c r="Q85" s="84">
        <v>0.81</v>
      </c>
      <c r="R85" s="84">
        <v>0.81</v>
      </c>
      <c r="S85" s="84">
        <v>0.49</v>
      </c>
      <c r="T85" s="84">
        <v>0.49</v>
      </c>
      <c r="U85" s="84">
        <v>0.49</v>
      </c>
      <c r="V85" s="84">
        <v>0.49</v>
      </c>
      <c r="W85" s="84">
        <v>0.49</v>
      </c>
      <c r="X85" s="84">
        <v>0.49</v>
      </c>
      <c r="Y85" s="98">
        <v>0.49</v>
      </c>
      <c r="Z85" s="2"/>
      <c r="AA85" s="2"/>
    </row>
    <row r="86" spans="1:27" ht="15" customHeight="1" x14ac:dyDescent="0.2">
      <c r="A86" s="456"/>
      <c r="B86" s="459"/>
      <c r="C86" s="450"/>
      <c r="D86" s="434"/>
      <c r="E86" s="435"/>
      <c r="F86" s="168" t="s">
        <v>315</v>
      </c>
      <c r="G86" s="107">
        <v>2013</v>
      </c>
      <c r="H86" s="292"/>
      <c r="I86" s="84"/>
      <c r="J86" s="84">
        <v>0.36</v>
      </c>
      <c r="K86" s="84">
        <v>0.36</v>
      </c>
      <c r="L86" s="84">
        <v>0.36</v>
      </c>
      <c r="M86" s="84">
        <v>0.36</v>
      </c>
      <c r="N86" s="84">
        <v>0.36</v>
      </c>
      <c r="O86" s="84">
        <v>0.36</v>
      </c>
      <c r="P86" s="84">
        <v>0.36</v>
      </c>
      <c r="Q86" s="84">
        <v>0.36</v>
      </c>
      <c r="R86" s="84">
        <v>0.36</v>
      </c>
      <c r="S86" s="84">
        <v>0.36</v>
      </c>
      <c r="T86" s="84">
        <v>0.36</v>
      </c>
      <c r="U86" s="84">
        <v>0.36</v>
      </c>
      <c r="V86" s="84">
        <v>0.36</v>
      </c>
      <c r="W86" s="84">
        <v>0.36</v>
      </c>
      <c r="X86" s="84">
        <v>0.36</v>
      </c>
      <c r="Y86" s="98">
        <v>0.36</v>
      </c>
      <c r="Z86" s="2"/>
      <c r="AA86" s="2"/>
    </row>
    <row r="87" spans="1:27" ht="15.75" customHeight="1" thickBot="1" x14ac:dyDescent="0.25">
      <c r="A87" s="456"/>
      <c r="B87" s="459"/>
      <c r="C87" s="450"/>
      <c r="D87" s="436"/>
      <c r="E87" s="437"/>
      <c r="F87" s="169" t="s">
        <v>317</v>
      </c>
      <c r="G87" s="108">
        <v>2025</v>
      </c>
      <c r="H87" s="292"/>
      <c r="I87" s="105"/>
      <c r="J87" s="85">
        <v>0.36</v>
      </c>
      <c r="K87" s="85">
        <v>0.36</v>
      </c>
      <c r="L87" s="85">
        <v>0.36</v>
      </c>
      <c r="M87" s="85">
        <v>0.36</v>
      </c>
      <c r="N87" s="85">
        <v>0.36</v>
      </c>
      <c r="O87" s="85">
        <v>0.36</v>
      </c>
      <c r="P87" s="85">
        <v>0.36</v>
      </c>
      <c r="Q87" s="85">
        <v>0.36</v>
      </c>
      <c r="R87" s="85">
        <v>0.34</v>
      </c>
      <c r="S87" s="85">
        <v>0.36</v>
      </c>
      <c r="T87" s="85">
        <v>0.34</v>
      </c>
      <c r="U87" s="85">
        <v>0.34</v>
      </c>
      <c r="V87" s="85">
        <v>0.34</v>
      </c>
      <c r="W87" s="85">
        <v>0.34</v>
      </c>
      <c r="X87" s="85">
        <v>0.34</v>
      </c>
      <c r="Y87" s="99">
        <v>0.36</v>
      </c>
      <c r="Z87" s="2"/>
      <c r="AA87" s="2"/>
    </row>
    <row r="88" spans="1:27" ht="15" customHeight="1" x14ac:dyDescent="0.2">
      <c r="A88" s="456"/>
      <c r="B88" s="459"/>
      <c r="C88" s="450"/>
      <c r="D88" s="432" t="s">
        <v>340</v>
      </c>
      <c r="E88" s="433"/>
      <c r="F88" s="167" t="s">
        <v>310</v>
      </c>
      <c r="G88" s="106" t="s">
        <v>311</v>
      </c>
      <c r="H88" s="292"/>
      <c r="I88" s="83"/>
      <c r="J88" s="83"/>
      <c r="K88" s="83"/>
      <c r="L88" s="83"/>
      <c r="M88" s="83"/>
      <c r="N88" s="83"/>
      <c r="O88" s="83"/>
      <c r="P88" s="83"/>
      <c r="Q88" s="83"/>
      <c r="R88" s="83"/>
      <c r="S88" s="83"/>
      <c r="T88" s="83"/>
      <c r="U88" s="83"/>
      <c r="V88" s="83"/>
      <c r="W88" s="83"/>
      <c r="X88" s="83"/>
      <c r="Y88" s="100"/>
      <c r="Z88" s="2"/>
      <c r="AA88" s="2"/>
    </row>
    <row r="89" spans="1:27" ht="15" customHeight="1" x14ac:dyDescent="0.2">
      <c r="A89" s="456"/>
      <c r="B89" s="459"/>
      <c r="C89" s="450"/>
      <c r="D89" s="434"/>
      <c r="E89" s="435"/>
      <c r="F89" s="168" t="s">
        <v>312</v>
      </c>
      <c r="G89" s="107">
        <v>1984</v>
      </c>
      <c r="H89" s="292"/>
      <c r="I89" s="84"/>
      <c r="J89" s="84"/>
      <c r="K89" s="84"/>
      <c r="L89" s="84"/>
      <c r="M89" s="84"/>
      <c r="N89" s="84"/>
      <c r="O89" s="84"/>
      <c r="P89" s="84"/>
      <c r="Q89" s="84"/>
      <c r="R89" s="84"/>
      <c r="S89" s="84"/>
      <c r="T89" s="84"/>
      <c r="U89" s="84"/>
      <c r="V89" s="84"/>
      <c r="W89" s="84"/>
      <c r="X89" s="84"/>
      <c r="Y89" s="98"/>
      <c r="Z89" s="2"/>
      <c r="AA89" s="2"/>
    </row>
    <row r="90" spans="1:27" ht="15" customHeight="1" x14ac:dyDescent="0.2">
      <c r="A90" s="456"/>
      <c r="B90" s="459"/>
      <c r="C90" s="450"/>
      <c r="D90" s="434"/>
      <c r="E90" s="435"/>
      <c r="F90" s="170" t="s">
        <v>313</v>
      </c>
      <c r="G90" s="110">
        <v>2001</v>
      </c>
      <c r="H90" s="292"/>
      <c r="I90" s="84"/>
      <c r="J90" s="84">
        <f>0.5*J120+0.5*J122</f>
        <v>0.44999999999999996</v>
      </c>
      <c r="K90" s="84">
        <f t="shared" ref="K90:Y90" si="18">0.5*K120+0.5*K122</f>
        <v>0.39</v>
      </c>
      <c r="L90" s="84">
        <f t="shared" si="18"/>
        <v>0.51</v>
      </c>
      <c r="M90" s="84">
        <f t="shared" si="18"/>
        <v>0.51</v>
      </c>
      <c r="N90" s="84">
        <f t="shared" si="18"/>
        <v>0.51</v>
      </c>
      <c r="O90" s="84">
        <f t="shared" si="18"/>
        <v>0.47499999999999998</v>
      </c>
      <c r="P90" s="84">
        <f t="shared" si="18"/>
        <v>0.47499999999999998</v>
      </c>
      <c r="Q90" s="84">
        <f t="shared" si="18"/>
        <v>0.47499999999999998</v>
      </c>
      <c r="R90" s="84">
        <f t="shared" si="18"/>
        <v>0.47499999999999998</v>
      </c>
      <c r="S90" s="84">
        <f t="shared" si="18"/>
        <v>0.39</v>
      </c>
      <c r="T90" s="84">
        <f t="shared" si="18"/>
        <v>0.39</v>
      </c>
      <c r="U90" s="84">
        <f t="shared" si="18"/>
        <v>0.39</v>
      </c>
      <c r="V90" s="84">
        <f t="shared" si="18"/>
        <v>0.39</v>
      </c>
      <c r="W90" s="84">
        <f t="shared" si="18"/>
        <v>0.39</v>
      </c>
      <c r="X90" s="84">
        <f t="shared" si="18"/>
        <v>0.39</v>
      </c>
      <c r="Y90" s="98">
        <f t="shared" si="18"/>
        <v>0.44999999999999996</v>
      </c>
      <c r="Z90" s="2"/>
      <c r="AA90" s="2"/>
    </row>
    <row r="91" spans="1:27" ht="15" customHeight="1" x14ac:dyDescent="0.2">
      <c r="A91" s="456"/>
      <c r="B91" s="459"/>
      <c r="C91" s="450"/>
      <c r="D91" s="434"/>
      <c r="E91" s="435"/>
      <c r="F91" s="168" t="s">
        <v>315</v>
      </c>
      <c r="G91" s="107">
        <v>2013</v>
      </c>
      <c r="H91" s="292"/>
      <c r="I91" s="84"/>
      <c r="J91" s="84">
        <v>0.25</v>
      </c>
      <c r="K91" s="84">
        <v>0.25</v>
      </c>
      <c r="L91" s="84">
        <v>0.25</v>
      </c>
      <c r="M91" s="84">
        <v>0.25</v>
      </c>
      <c r="N91" s="84">
        <v>0.25</v>
      </c>
      <c r="O91" s="84">
        <v>0.25</v>
      </c>
      <c r="P91" s="84">
        <v>0.25</v>
      </c>
      <c r="Q91" s="84">
        <v>0.25</v>
      </c>
      <c r="R91" s="84">
        <v>0.25</v>
      </c>
      <c r="S91" s="84">
        <v>0.25</v>
      </c>
      <c r="T91" s="84">
        <v>0.25</v>
      </c>
      <c r="U91" s="84">
        <v>0.25</v>
      </c>
      <c r="V91" s="84">
        <v>0.25</v>
      </c>
      <c r="W91" s="84">
        <v>0.25</v>
      </c>
      <c r="X91" s="84">
        <v>0.25</v>
      </c>
      <c r="Y91" s="98">
        <v>0.25</v>
      </c>
      <c r="Z91" s="2"/>
      <c r="AA91" s="2"/>
    </row>
    <row r="92" spans="1:27" ht="15.75" customHeight="1" thickBot="1" x14ac:dyDescent="0.25">
      <c r="A92" s="457"/>
      <c r="B92" s="459"/>
      <c r="C92" s="451"/>
      <c r="D92" s="436"/>
      <c r="E92" s="437"/>
      <c r="F92" s="169" t="s">
        <v>317</v>
      </c>
      <c r="G92" s="108">
        <v>2025</v>
      </c>
      <c r="H92" s="292"/>
      <c r="I92" s="105"/>
      <c r="J92" s="85">
        <v>0.25</v>
      </c>
      <c r="K92" s="85">
        <v>0.25</v>
      </c>
      <c r="L92" s="85">
        <v>0.25</v>
      </c>
      <c r="M92" s="85">
        <v>0.25</v>
      </c>
      <c r="N92" s="85">
        <v>0.25</v>
      </c>
      <c r="O92" s="85">
        <v>0.25</v>
      </c>
      <c r="P92" s="85">
        <v>0.25</v>
      </c>
      <c r="Q92" s="85">
        <v>0.25</v>
      </c>
      <c r="R92" s="85">
        <v>0.22</v>
      </c>
      <c r="S92" s="85">
        <v>0.25</v>
      </c>
      <c r="T92" s="85">
        <v>0.22</v>
      </c>
      <c r="U92" s="85">
        <v>0.22</v>
      </c>
      <c r="V92" s="85">
        <v>0.22</v>
      </c>
      <c r="W92" s="85">
        <v>0.22</v>
      </c>
      <c r="X92" s="85">
        <v>0.22</v>
      </c>
      <c r="Y92" s="99">
        <v>0.25</v>
      </c>
      <c r="Z92" s="2"/>
      <c r="AA92" s="2"/>
    </row>
    <row r="93" spans="1:27" ht="15" customHeight="1" x14ac:dyDescent="0.2">
      <c r="A93" s="452" t="s">
        <v>378</v>
      </c>
      <c r="B93" s="459"/>
      <c r="C93" s="449" t="s">
        <v>382</v>
      </c>
      <c r="D93" s="432" t="s">
        <v>334</v>
      </c>
      <c r="E93" s="433"/>
      <c r="F93" s="167" t="s">
        <v>310</v>
      </c>
      <c r="G93" s="106" t="s">
        <v>311</v>
      </c>
      <c r="H93" s="292"/>
      <c r="I93" s="83"/>
      <c r="J93" s="83"/>
      <c r="K93" s="83"/>
      <c r="L93" s="83"/>
      <c r="M93" s="83"/>
      <c r="N93" s="83"/>
      <c r="O93" s="83"/>
      <c r="P93" s="83"/>
      <c r="Q93" s="83"/>
      <c r="R93" s="83"/>
      <c r="S93" s="83"/>
      <c r="T93" s="83"/>
      <c r="U93" s="83"/>
      <c r="V93" s="83"/>
      <c r="W93" s="83"/>
      <c r="X93" s="83"/>
      <c r="Y93" s="100"/>
      <c r="Z93" s="2"/>
      <c r="AA93" s="2"/>
    </row>
    <row r="94" spans="1:27" ht="15" customHeight="1" x14ac:dyDescent="0.2">
      <c r="A94" s="453"/>
      <c r="B94" s="459"/>
      <c r="C94" s="450"/>
      <c r="D94" s="434"/>
      <c r="E94" s="435"/>
      <c r="F94" s="168" t="s">
        <v>312</v>
      </c>
      <c r="G94" s="107">
        <v>1984</v>
      </c>
      <c r="H94" s="292"/>
      <c r="I94" s="84"/>
      <c r="J94" s="84"/>
      <c r="K94" s="84"/>
      <c r="L94" s="84"/>
      <c r="M94" s="84"/>
      <c r="N94" s="84"/>
      <c r="O94" s="84"/>
      <c r="P94" s="84"/>
      <c r="Q94" s="84"/>
      <c r="R94" s="84"/>
      <c r="S94" s="84"/>
      <c r="T94" s="84"/>
      <c r="U94" s="84"/>
      <c r="V94" s="84"/>
      <c r="W94" s="84"/>
      <c r="X94" s="84"/>
      <c r="Y94" s="98"/>
      <c r="Z94" s="2"/>
      <c r="AA94" s="2"/>
    </row>
    <row r="95" spans="1:27" ht="15" customHeight="1" x14ac:dyDescent="0.2">
      <c r="A95" s="453"/>
      <c r="B95" s="459"/>
      <c r="C95" s="450"/>
      <c r="D95" s="434"/>
      <c r="E95" s="435"/>
      <c r="F95" s="168" t="s">
        <v>313</v>
      </c>
      <c r="G95" s="107">
        <v>2001</v>
      </c>
      <c r="H95" s="292"/>
      <c r="I95" s="84"/>
      <c r="J95" s="84">
        <f>J75</f>
        <v>0.49</v>
      </c>
      <c r="K95" s="84">
        <f t="shared" ref="K95:Y95" si="19">K75</f>
        <v>0.49</v>
      </c>
      <c r="L95" s="84">
        <f t="shared" si="19"/>
        <v>0.49</v>
      </c>
      <c r="M95" s="84">
        <f t="shared" si="19"/>
        <v>0.49</v>
      </c>
      <c r="N95" s="84">
        <f t="shared" si="19"/>
        <v>0.49</v>
      </c>
      <c r="O95" s="84">
        <f t="shared" si="19"/>
        <v>0.49</v>
      </c>
      <c r="P95" s="84">
        <f t="shared" si="19"/>
        <v>0.49</v>
      </c>
      <c r="Q95" s="84">
        <f t="shared" si="19"/>
        <v>0.49</v>
      </c>
      <c r="R95" s="84">
        <f t="shared" si="19"/>
        <v>0.49</v>
      </c>
      <c r="S95" s="84">
        <f t="shared" si="19"/>
        <v>0.49</v>
      </c>
      <c r="T95" s="84">
        <f t="shared" si="19"/>
        <v>0.49</v>
      </c>
      <c r="U95" s="84">
        <f t="shared" si="19"/>
        <v>0.49</v>
      </c>
      <c r="V95" s="84">
        <f t="shared" si="19"/>
        <v>0.49</v>
      </c>
      <c r="W95" s="84">
        <f t="shared" si="19"/>
        <v>0.49</v>
      </c>
      <c r="X95" s="84">
        <f t="shared" si="19"/>
        <v>0.49</v>
      </c>
      <c r="Y95" s="98">
        <f t="shared" si="19"/>
        <v>0.49</v>
      </c>
      <c r="Z95" s="2"/>
      <c r="AA95" s="2"/>
    </row>
    <row r="96" spans="1:27" ht="15" customHeight="1" x14ac:dyDescent="0.2">
      <c r="A96" s="453"/>
      <c r="B96" s="459"/>
      <c r="C96" s="450"/>
      <c r="D96" s="434"/>
      <c r="E96" s="435"/>
      <c r="F96" s="168" t="s">
        <v>315</v>
      </c>
      <c r="G96" s="107">
        <v>2013</v>
      </c>
      <c r="H96" s="292"/>
      <c r="I96" s="84"/>
      <c r="J96" s="84">
        <v>0.46</v>
      </c>
      <c r="K96" s="84">
        <v>0.46</v>
      </c>
      <c r="L96" s="84">
        <v>0.46</v>
      </c>
      <c r="M96" s="84">
        <v>0.46</v>
      </c>
      <c r="N96" s="84">
        <v>0.46</v>
      </c>
      <c r="O96" s="84">
        <v>0.46</v>
      </c>
      <c r="P96" s="84">
        <v>0.46</v>
      </c>
      <c r="Q96" s="84">
        <v>0.46</v>
      </c>
      <c r="R96" s="84">
        <v>0.46</v>
      </c>
      <c r="S96" s="84">
        <v>0.46</v>
      </c>
      <c r="T96" s="84">
        <v>0.46</v>
      </c>
      <c r="U96" s="84">
        <v>0.46</v>
      </c>
      <c r="V96" s="84">
        <v>0.46</v>
      </c>
      <c r="W96" s="84">
        <v>0.46</v>
      </c>
      <c r="X96" s="84">
        <v>0.46</v>
      </c>
      <c r="Y96" s="98">
        <v>0.46</v>
      </c>
      <c r="Z96" s="2"/>
      <c r="AA96" s="2"/>
    </row>
    <row r="97" spans="1:26" ht="15.75" customHeight="1" thickBot="1" x14ac:dyDescent="0.25">
      <c r="A97" s="453"/>
      <c r="B97" s="459"/>
      <c r="C97" s="450"/>
      <c r="D97" s="436"/>
      <c r="E97" s="437"/>
      <c r="F97" s="169" t="s">
        <v>317</v>
      </c>
      <c r="G97" s="108">
        <v>2025</v>
      </c>
      <c r="H97" s="292"/>
      <c r="I97" s="105"/>
      <c r="J97" s="85">
        <v>0.46</v>
      </c>
      <c r="K97" s="85">
        <v>0.46</v>
      </c>
      <c r="L97" s="85">
        <v>0.46</v>
      </c>
      <c r="M97" s="85">
        <v>0.46</v>
      </c>
      <c r="N97" s="85">
        <v>0.46</v>
      </c>
      <c r="O97" s="85">
        <v>0.46</v>
      </c>
      <c r="P97" s="85">
        <v>0.46</v>
      </c>
      <c r="Q97" s="85">
        <v>0.46</v>
      </c>
      <c r="R97" s="85">
        <v>0.46</v>
      </c>
      <c r="S97" s="85">
        <v>0.46</v>
      </c>
      <c r="T97" s="85">
        <v>0.46</v>
      </c>
      <c r="U97" s="85">
        <v>0.46</v>
      </c>
      <c r="V97" s="85">
        <v>0.46</v>
      </c>
      <c r="W97" s="85">
        <v>0.46</v>
      </c>
      <c r="X97" s="85">
        <v>0.46</v>
      </c>
      <c r="Y97" s="99">
        <v>0.46</v>
      </c>
      <c r="Z97" s="2"/>
    </row>
    <row r="98" spans="1:26" ht="15" customHeight="1" x14ac:dyDescent="0.2">
      <c r="A98" s="453"/>
      <c r="B98" s="459"/>
      <c r="C98" s="450"/>
      <c r="D98" s="432" t="s">
        <v>340</v>
      </c>
      <c r="E98" s="433"/>
      <c r="F98" s="167" t="s">
        <v>310</v>
      </c>
      <c r="G98" s="106" t="s">
        <v>311</v>
      </c>
      <c r="H98" s="292"/>
      <c r="I98" s="83"/>
      <c r="J98" s="83"/>
      <c r="K98" s="83"/>
      <c r="L98" s="83"/>
      <c r="M98" s="83"/>
      <c r="N98" s="83"/>
      <c r="O98" s="83"/>
      <c r="P98" s="83"/>
      <c r="Q98" s="83"/>
      <c r="R98" s="83"/>
      <c r="S98" s="83"/>
      <c r="T98" s="83"/>
      <c r="U98" s="83"/>
      <c r="V98" s="83"/>
      <c r="W98" s="83"/>
      <c r="X98" s="83"/>
      <c r="Y98" s="100"/>
      <c r="Z98" s="2"/>
    </row>
    <row r="99" spans="1:26" ht="15" customHeight="1" x14ac:dyDescent="0.2">
      <c r="A99" s="453"/>
      <c r="B99" s="459"/>
      <c r="C99" s="450"/>
      <c r="D99" s="434"/>
      <c r="E99" s="435"/>
      <c r="F99" s="168" t="s">
        <v>312</v>
      </c>
      <c r="G99" s="107">
        <v>1984</v>
      </c>
      <c r="H99" s="292"/>
      <c r="I99" s="84"/>
      <c r="J99" s="84"/>
      <c r="K99" s="84"/>
      <c r="L99" s="84"/>
      <c r="M99" s="84"/>
      <c r="N99" s="84"/>
      <c r="O99" s="84"/>
      <c r="P99" s="84"/>
      <c r="Q99" s="84"/>
      <c r="R99" s="84"/>
      <c r="S99" s="84"/>
      <c r="T99" s="84"/>
      <c r="U99" s="84"/>
      <c r="V99" s="84"/>
      <c r="W99" s="84"/>
      <c r="X99" s="84"/>
      <c r="Y99" s="98"/>
      <c r="Z99" s="2"/>
    </row>
    <row r="100" spans="1:26" ht="25.5" x14ac:dyDescent="0.2">
      <c r="A100" s="453"/>
      <c r="B100" s="459"/>
      <c r="C100" s="450"/>
      <c r="D100" s="434"/>
      <c r="E100" s="435"/>
      <c r="F100" s="170" t="s">
        <v>313</v>
      </c>
      <c r="G100" s="110">
        <v>2001</v>
      </c>
      <c r="H100" s="292"/>
      <c r="I100" s="109" t="s">
        <v>383</v>
      </c>
      <c r="J100" s="103">
        <f t="shared" ref="J100:Y100" si="20">J80</f>
        <v>0.38500000000000001</v>
      </c>
      <c r="K100" s="103">
        <f t="shared" si="20"/>
        <v>0.33</v>
      </c>
      <c r="L100" s="103">
        <f t="shared" si="20"/>
        <v>0.435</v>
      </c>
      <c r="M100" s="103">
        <f t="shared" si="20"/>
        <v>0.435</v>
      </c>
      <c r="N100" s="103">
        <f t="shared" si="20"/>
        <v>0.435</v>
      </c>
      <c r="O100" s="103">
        <f t="shared" si="20"/>
        <v>0.45999999999999996</v>
      </c>
      <c r="P100" s="103">
        <f t="shared" si="20"/>
        <v>0.45999999999999996</v>
      </c>
      <c r="Q100" s="103">
        <f t="shared" si="20"/>
        <v>0.45999999999999996</v>
      </c>
      <c r="R100" s="103">
        <f t="shared" si="20"/>
        <v>0.45999999999999996</v>
      </c>
      <c r="S100" s="103">
        <f t="shared" si="20"/>
        <v>0.33</v>
      </c>
      <c r="T100" s="103">
        <f t="shared" si="20"/>
        <v>0.33</v>
      </c>
      <c r="U100" s="103">
        <f t="shared" si="20"/>
        <v>0.33</v>
      </c>
      <c r="V100" s="103">
        <f t="shared" si="20"/>
        <v>0.33</v>
      </c>
      <c r="W100" s="103">
        <f t="shared" si="20"/>
        <v>0.34499999999999997</v>
      </c>
      <c r="X100" s="103">
        <f t="shared" si="20"/>
        <v>0.34499999999999997</v>
      </c>
      <c r="Y100" s="104">
        <f t="shared" si="20"/>
        <v>0.38500000000000001</v>
      </c>
      <c r="Z100" s="2"/>
    </row>
    <row r="101" spans="1:26" ht="15" customHeight="1" x14ac:dyDescent="0.2">
      <c r="A101" s="453"/>
      <c r="B101" s="459"/>
      <c r="C101" s="450"/>
      <c r="D101" s="434"/>
      <c r="E101" s="435"/>
      <c r="F101" s="168" t="s">
        <v>315</v>
      </c>
      <c r="G101" s="107">
        <v>2013</v>
      </c>
      <c r="H101" s="292"/>
      <c r="I101" s="84"/>
      <c r="J101" s="84">
        <v>0.22</v>
      </c>
      <c r="K101" s="84">
        <v>0.22</v>
      </c>
      <c r="L101" s="84">
        <v>0.22</v>
      </c>
      <c r="M101" s="84">
        <v>0.22</v>
      </c>
      <c r="N101" s="84">
        <v>0.22</v>
      </c>
      <c r="O101" s="84">
        <v>0.22</v>
      </c>
      <c r="P101" s="84">
        <v>0.22</v>
      </c>
      <c r="Q101" s="84">
        <v>0.22</v>
      </c>
      <c r="R101" s="84">
        <v>0.22</v>
      </c>
      <c r="S101" s="84">
        <v>0.22</v>
      </c>
      <c r="T101" s="84">
        <v>0.22</v>
      </c>
      <c r="U101" s="84">
        <v>0.22</v>
      </c>
      <c r="V101" s="84">
        <v>0.22</v>
      </c>
      <c r="W101" s="84">
        <v>0.22</v>
      </c>
      <c r="X101" s="84">
        <v>0.22</v>
      </c>
      <c r="Y101" s="98">
        <v>0.22</v>
      </c>
      <c r="Z101" s="2"/>
    </row>
    <row r="102" spans="1:26" ht="15.75" customHeight="1" thickBot="1" x14ac:dyDescent="0.25">
      <c r="A102" s="454"/>
      <c r="B102" s="459"/>
      <c r="C102" s="450"/>
      <c r="D102" s="436"/>
      <c r="E102" s="437"/>
      <c r="F102" s="169" t="s">
        <v>317</v>
      </c>
      <c r="G102" s="108">
        <v>2025</v>
      </c>
      <c r="H102" s="292"/>
      <c r="I102" s="105"/>
      <c r="J102" s="85">
        <v>0.22</v>
      </c>
      <c r="K102" s="85">
        <v>0.22</v>
      </c>
      <c r="L102" s="85">
        <v>0.22</v>
      </c>
      <c r="M102" s="85">
        <v>0.22</v>
      </c>
      <c r="N102" s="85">
        <v>0.22</v>
      </c>
      <c r="O102" s="85">
        <v>0.22</v>
      </c>
      <c r="P102" s="85">
        <v>0.22</v>
      </c>
      <c r="Q102" s="85">
        <v>0.22</v>
      </c>
      <c r="R102" s="85">
        <v>0.22</v>
      </c>
      <c r="S102" s="85">
        <v>0.22</v>
      </c>
      <c r="T102" s="85">
        <v>0.22</v>
      </c>
      <c r="U102" s="85">
        <v>0.22</v>
      </c>
      <c r="V102" s="85">
        <v>0.22</v>
      </c>
      <c r="W102" s="85">
        <v>0.22</v>
      </c>
      <c r="X102" s="85">
        <v>0.22</v>
      </c>
      <c r="Y102" s="99">
        <v>0.22</v>
      </c>
      <c r="Z102" s="2"/>
    </row>
    <row r="103" spans="1:26" ht="15" customHeight="1" x14ac:dyDescent="0.2">
      <c r="A103" s="455" t="s">
        <v>381</v>
      </c>
      <c r="B103" s="459"/>
      <c r="C103" s="450"/>
      <c r="D103" s="432" t="s">
        <v>334</v>
      </c>
      <c r="E103" s="433"/>
      <c r="F103" s="167" t="s">
        <v>310</v>
      </c>
      <c r="G103" s="106" t="s">
        <v>311</v>
      </c>
      <c r="H103" s="292"/>
      <c r="I103" s="83"/>
      <c r="J103" s="83"/>
      <c r="K103" s="83"/>
      <c r="L103" s="83"/>
      <c r="M103" s="83"/>
      <c r="N103" s="83"/>
      <c r="O103" s="83"/>
      <c r="P103" s="83"/>
      <c r="Q103" s="83"/>
      <c r="R103" s="83"/>
      <c r="S103" s="83"/>
      <c r="T103" s="83"/>
      <c r="U103" s="83"/>
      <c r="V103" s="83"/>
      <c r="W103" s="83"/>
      <c r="X103" s="83"/>
      <c r="Y103" s="100"/>
      <c r="Z103" s="2"/>
    </row>
    <row r="104" spans="1:26" ht="15" customHeight="1" x14ac:dyDescent="0.2">
      <c r="A104" s="456"/>
      <c r="B104" s="459"/>
      <c r="C104" s="450"/>
      <c r="D104" s="434"/>
      <c r="E104" s="435"/>
      <c r="F104" s="168" t="s">
        <v>312</v>
      </c>
      <c r="G104" s="107">
        <v>1984</v>
      </c>
      <c r="H104" s="292"/>
      <c r="I104" s="84"/>
      <c r="J104" s="84"/>
      <c r="K104" s="84"/>
      <c r="L104" s="84"/>
      <c r="M104" s="84"/>
      <c r="N104" s="84"/>
      <c r="O104" s="84"/>
      <c r="P104" s="84"/>
      <c r="Q104" s="84"/>
      <c r="R104" s="84"/>
      <c r="S104" s="84"/>
      <c r="T104" s="84"/>
      <c r="U104" s="84"/>
      <c r="V104" s="84"/>
      <c r="W104" s="84"/>
      <c r="X104" s="84"/>
      <c r="Y104" s="98"/>
      <c r="Z104" s="2"/>
    </row>
    <row r="105" spans="1:26" ht="25.5" x14ac:dyDescent="0.2">
      <c r="A105" s="456"/>
      <c r="B105" s="459"/>
      <c r="C105" s="450"/>
      <c r="D105" s="434"/>
      <c r="E105" s="435"/>
      <c r="F105" s="168" t="s">
        <v>313</v>
      </c>
      <c r="G105" s="107">
        <v>2001</v>
      </c>
      <c r="H105" s="292"/>
      <c r="I105" s="109" t="s">
        <v>384</v>
      </c>
      <c r="J105" s="84">
        <v>0.49</v>
      </c>
      <c r="K105" s="84">
        <v>0.49</v>
      </c>
      <c r="L105" s="84">
        <v>0.81</v>
      </c>
      <c r="M105" s="84">
        <v>0.81</v>
      </c>
      <c r="N105" s="84">
        <v>0.81</v>
      </c>
      <c r="O105" s="84">
        <v>0.81</v>
      </c>
      <c r="P105" s="84">
        <v>0.81</v>
      </c>
      <c r="Q105" s="84">
        <v>0.81</v>
      </c>
      <c r="R105" s="84">
        <v>0.81</v>
      </c>
      <c r="S105" s="84">
        <v>0.49</v>
      </c>
      <c r="T105" s="84">
        <v>0.49</v>
      </c>
      <c r="U105" s="84">
        <v>0.49</v>
      </c>
      <c r="V105" s="84">
        <v>0.49</v>
      </c>
      <c r="W105" s="84">
        <v>0.49</v>
      </c>
      <c r="X105" s="84">
        <v>0.49</v>
      </c>
      <c r="Y105" s="98">
        <v>0.49</v>
      </c>
      <c r="Z105" s="2"/>
    </row>
    <row r="106" spans="1:26" ht="15" customHeight="1" x14ac:dyDescent="0.2">
      <c r="A106" s="456"/>
      <c r="B106" s="459"/>
      <c r="C106" s="450"/>
      <c r="D106" s="434"/>
      <c r="E106" s="435"/>
      <c r="F106" s="168" t="s">
        <v>315</v>
      </c>
      <c r="G106" s="107">
        <v>2013</v>
      </c>
      <c r="H106" s="292"/>
      <c r="I106" s="84"/>
      <c r="J106" s="84">
        <v>0.46</v>
      </c>
      <c r="K106" s="84">
        <v>0.46</v>
      </c>
      <c r="L106" s="84">
        <v>0.46</v>
      </c>
      <c r="M106" s="84">
        <v>0.46</v>
      </c>
      <c r="N106" s="84">
        <v>0.46</v>
      </c>
      <c r="O106" s="84">
        <v>0.46</v>
      </c>
      <c r="P106" s="84">
        <v>0.46</v>
      </c>
      <c r="Q106" s="84">
        <v>0.46</v>
      </c>
      <c r="R106" s="84">
        <v>0.46</v>
      </c>
      <c r="S106" s="84">
        <v>0.46</v>
      </c>
      <c r="T106" s="84">
        <v>0.46</v>
      </c>
      <c r="U106" s="84">
        <v>0.46</v>
      </c>
      <c r="V106" s="84">
        <v>0.46</v>
      </c>
      <c r="W106" s="84">
        <v>0.46</v>
      </c>
      <c r="X106" s="84">
        <v>0.46</v>
      </c>
      <c r="Y106" s="98">
        <v>0.46</v>
      </c>
      <c r="Z106" s="2"/>
    </row>
    <row r="107" spans="1:26" ht="15.75" customHeight="1" thickBot="1" x14ac:dyDescent="0.25">
      <c r="A107" s="456"/>
      <c r="B107" s="459"/>
      <c r="C107" s="450"/>
      <c r="D107" s="436"/>
      <c r="E107" s="437"/>
      <c r="F107" s="169" t="s">
        <v>317</v>
      </c>
      <c r="G107" s="108">
        <v>2025</v>
      </c>
      <c r="H107" s="292"/>
      <c r="I107" s="105"/>
      <c r="J107" s="85">
        <v>0.46</v>
      </c>
      <c r="K107" s="85">
        <v>0.46</v>
      </c>
      <c r="L107" s="85">
        <v>0.46</v>
      </c>
      <c r="M107" s="85">
        <v>0.46</v>
      </c>
      <c r="N107" s="85">
        <v>0.46</v>
      </c>
      <c r="O107" s="85">
        <v>0.46</v>
      </c>
      <c r="P107" s="85">
        <v>0.46</v>
      </c>
      <c r="Q107" s="85">
        <v>0.46</v>
      </c>
      <c r="R107" s="85">
        <v>0.46</v>
      </c>
      <c r="S107" s="85">
        <v>0.46</v>
      </c>
      <c r="T107" s="85">
        <v>0.46</v>
      </c>
      <c r="U107" s="85">
        <v>0.46</v>
      </c>
      <c r="V107" s="85">
        <v>0.46</v>
      </c>
      <c r="W107" s="85">
        <v>0.46</v>
      </c>
      <c r="X107" s="85">
        <v>0.46</v>
      </c>
      <c r="Y107" s="99">
        <v>0.46</v>
      </c>
      <c r="Z107" s="2"/>
    </row>
    <row r="108" spans="1:26" ht="15" customHeight="1" x14ac:dyDescent="0.2">
      <c r="A108" s="456"/>
      <c r="B108" s="459"/>
      <c r="C108" s="450"/>
      <c r="D108" s="432" t="s">
        <v>340</v>
      </c>
      <c r="E108" s="433"/>
      <c r="F108" s="167" t="s">
        <v>310</v>
      </c>
      <c r="G108" s="106" t="s">
        <v>311</v>
      </c>
      <c r="H108" s="292"/>
      <c r="I108" s="83"/>
      <c r="J108" s="83"/>
      <c r="K108" s="83"/>
      <c r="L108" s="83"/>
      <c r="M108" s="83"/>
      <c r="N108" s="83"/>
      <c r="O108" s="83"/>
      <c r="P108" s="83"/>
      <c r="Q108" s="83"/>
      <c r="R108" s="83"/>
      <c r="S108" s="83"/>
      <c r="T108" s="83"/>
      <c r="U108" s="83"/>
      <c r="V108" s="83"/>
      <c r="W108" s="83"/>
      <c r="X108" s="83"/>
      <c r="Y108" s="100"/>
      <c r="Z108" s="2"/>
    </row>
    <row r="109" spans="1:26" ht="15" customHeight="1" x14ac:dyDescent="0.2">
      <c r="A109" s="456"/>
      <c r="B109" s="459"/>
      <c r="C109" s="450"/>
      <c r="D109" s="434"/>
      <c r="E109" s="435"/>
      <c r="F109" s="168" t="s">
        <v>312</v>
      </c>
      <c r="G109" s="107">
        <v>1984</v>
      </c>
      <c r="H109" s="292"/>
      <c r="I109" s="84"/>
      <c r="J109" s="84"/>
      <c r="K109" s="84"/>
      <c r="L109" s="84"/>
      <c r="M109" s="84"/>
      <c r="N109" s="84"/>
      <c r="O109" s="84"/>
      <c r="P109" s="84"/>
      <c r="Q109" s="84"/>
      <c r="R109" s="84"/>
      <c r="S109" s="84"/>
      <c r="T109" s="84"/>
      <c r="U109" s="84"/>
      <c r="V109" s="84"/>
      <c r="W109" s="84"/>
      <c r="X109" s="84"/>
      <c r="Y109" s="98"/>
      <c r="Z109" s="2"/>
    </row>
    <row r="110" spans="1:26" ht="25.5" x14ac:dyDescent="0.2">
      <c r="A110" s="456"/>
      <c r="B110" s="459"/>
      <c r="C110" s="450"/>
      <c r="D110" s="434"/>
      <c r="E110" s="435"/>
      <c r="F110" s="170" t="s">
        <v>313</v>
      </c>
      <c r="G110" s="110">
        <v>2001</v>
      </c>
      <c r="H110" s="292"/>
      <c r="I110" s="109" t="s">
        <v>384</v>
      </c>
      <c r="J110" s="84">
        <f>J90</f>
        <v>0.44999999999999996</v>
      </c>
      <c r="K110" s="84">
        <f t="shared" ref="K110:Y110" si="21">K90</f>
        <v>0.39</v>
      </c>
      <c r="L110" s="84">
        <f t="shared" si="21"/>
        <v>0.51</v>
      </c>
      <c r="M110" s="84">
        <f t="shared" si="21"/>
        <v>0.51</v>
      </c>
      <c r="N110" s="84">
        <f t="shared" si="21"/>
        <v>0.51</v>
      </c>
      <c r="O110" s="84">
        <f t="shared" si="21"/>
        <v>0.47499999999999998</v>
      </c>
      <c r="P110" s="84">
        <f t="shared" si="21"/>
        <v>0.47499999999999998</v>
      </c>
      <c r="Q110" s="84">
        <f t="shared" si="21"/>
        <v>0.47499999999999998</v>
      </c>
      <c r="R110" s="84">
        <f t="shared" si="21"/>
        <v>0.47499999999999998</v>
      </c>
      <c r="S110" s="84">
        <f t="shared" si="21"/>
        <v>0.39</v>
      </c>
      <c r="T110" s="84">
        <f t="shared" si="21"/>
        <v>0.39</v>
      </c>
      <c r="U110" s="84">
        <f t="shared" si="21"/>
        <v>0.39</v>
      </c>
      <c r="V110" s="84">
        <f t="shared" si="21"/>
        <v>0.39</v>
      </c>
      <c r="W110" s="84">
        <f t="shared" si="21"/>
        <v>0.39</v>
      </c>
      <c r="X110" s="84">
        <f t="shared" si="21"/>
        <v>0.39</v>
      </c>
      <c r="Y110" s="98">
        <f t="shared" si="21"/>
        <v>0.44999999999999996</v>
      </c>
      <c r="Z110" s="2"/>
    </row>
    <row r="111" spans="1:26" ht="15" customHeight="1" x14ac:dyDescent="0.2">
      <c r="A111" s="456"/>
      <c r="B111" s="459"/>
      <c r="C111" s="450"/>
      <c r="D111" s="434"/>
      <c r="E111" s="435"/>
      <c r="F111" s="168" t="s">
        <v>315</v>
      </c>
      <c r="G111" s="107">
        <v>2013</v>
      </c>
      <c r="H111" s="292"/>
      <c r="I111" s="84"/>
      <c r="J111" s="84">
        <v>0.22</v>
      </c>
      <c r="K111" s="84">
        <v>0.22</v>
      </c>
      <c r="L111" s="84">
        <v>0.22</v>
      </c>
      <c r="M111" s="84">
        <v>0.22</v>
      </c>
      <c r="N111" s="84">
        <v>0.22</v>
      </c>
      <c r="O111" s="84">
        <v>0.22</v>
      </c>
      <c r="P111" s="84">
        <v>0.22</v>
      </c>
      <c r="Q111" s="84">
        <v>0.22</v>
      </c>
      <c r="R111" s="84">
        <v>0.22</v>
      </c>
      <c r="S111" s="84">
        <v>0.22</v>
      </c>
      <c r="T111" s="84">
        <v>0.22</v>
      </c>
      <c r="U111" s="84">
        <v>0.22</v>
      </c>
      <c r="V111" s="84">
        <v>0.22</v>
      </c>
      <c r="W111" s="84">
        <v>0.22</v>
      </c>
      <c r="X111" s="84">
        <v>0.22</v>
      </c>
      <c r="Y111" s="98">
        <v>0.22</v>
      </c>
      <c r="Z111" s="2"/>
    </row>
    <row r="112" spans="1:26" ht="15.75" customHeight="1" thickBot="1" x14ac:dyDescent="0.25">
      <c r="A112" s="457"/>
      <c r="B112" s="460"/>
      <c r="C112" s="451"/>
      <c r="D112" s="436"/>
      <c r="E112" s="437"/>
      <c r="F112" s="169" t="s">
        <v>317</v>
      </c>
      <c r="G112" s="108">
        <v>2025</v>
      </c>
      <c r="H112" s="292"/>
      <c r="I112" s="111"/>
      <c r="J112" s="101">
        <v>0.22</v>
      </c>
      <c r="K112" s="101">
        <v>0.22</v>
      </c>
      <c r="L112" s="101">
        <v>0.22</v>
      </c>
      <c r="M112" s="101">
        <v>0.22</v>
      </c>
      <c r="N112" s="101">
        <v>0.22</v>
      </c>
      <c r="O112" s="101">
        <v>0.22</v>
      </c>
      <c r="P112" s="101">
        <v>0.22</v>
      </c>
      <c r="Q112" s="101">
        <v>0.22</v>
      </c>
      <c r="R112" s="101">
        <v>0.22</v>
      </c>
      <c r="S112" s="101">
        <v>0.22</v>
      </c>
      <c r="T112" s="101">
        <v>0.22</v>
      </c>
      <c r="U112" s="101">
        <v>0.22</v>
      </c>
      <c r="V112" s="101">
        <v>0.22</v>
      </c>
      <c r="W112" s="101">
        <v>0.22</v>
      </c>
      <c r="X112" s="101">
        <v>0.22</v>
      </c>
      <c r="Y112" s="102">
        <v>0.22</v>
      </c>
      <c r="Z112" s="2"/>
    </row>
    <row r="113" spans="1:26" x14ac:dyDescent="0.2">
      <c r="A113" s="86"/>
      <c r="B113" s="84"/>
      <c r="C113" s="84"/>
      <c r="D113" s="84"/>
      <c r="E113" s="84"/>
      <c r="F113" s="87"/>
      <c r="G113" s="84"/>
      <c r="H113" s="84"/>
      <c r="I113" s="84"/>
      <c r="J113" s="84"/>
      <c r="K113" s="84"/>
      <c r="L113" s="84"/>
      <c r="M113" s="84"/>
      <c r="N113" s="84"/>
      <c r="O113" s="84"/>
      <c r="P113" s="84"/>
      <c r="Q113" s="84"/>
      <c r="R113" s="84"/>
      <c r="S113" s="84"/>
      <c r="T113" s="84"/>
      <c r="U113" s="84"/>
      <c r="V113" s="84"/>
      <c r="W113" s="84"/>
      <c r="X113" s="84"/>
      <c r="Y113" s="84"/>
      <c r="Z113" s="2"/>
    </row>
    <row r="114" spans="1:26" x14ac:dyDescent="0.2">
      <c r="A114" s="86"/>
      <c r="B114" s="84"/>
      <c r="C114" s="84"/>
      <c r="D114" s="84"/>
      <c r="E114" s="84"/>
      <c r="F114" s="87"/>
      <c r="G114" s="84"/>
      <c r="H114" s="84"/>
      <c r="I114" s="84"/>
      <c r="J114" s="84"/>
      <c r="K114" s="84"/>
      <c r="L114" s="84"/>
      <c r="M114" s="84"/>
      <c r="N114" s="84"/>
      <c r="O114" s="84"/>
      <c r="P114" s="84"/>
      <c r="Q114" s="84"/>
      <c r="R114" s="84"/>
      <c r="S114" s="84"/>
      <c r="T114" s="84"/>
      <c r="U114" s="84"/>
      <c r="V114" s="84"/>
      <c r="W114" s="84"/>
      <c r="X114" s="84"/>
      <c r="Y114" s="84"/>
      <c r="Z114" s="2"/>
    </row>
    <row r="115" spans="1:26" x14ac:dyDescent="0.2">
      <c r="A115" s="86"/>
      <c r="B115" s="84"/>
      <c r="C115" s="84"/>
      <c r="D115" s="84"/>
      <c r="E115" s="84"/>
      <c r="F115" s="87"/>
      <c r="G115" s="84"/>
      <c r="H115" s="84"/>
      <c r="I115" s="84"/>
      <c r="J115" s="84"/>
      <c r="K115" s="84"/>
      <c r="L115" s="84"/>
      <c r="M115" s="84"/>
      <c r="N115" s="84"/>
      <c r="O115" s="84"/>
      <c r="P115" s="84"/>
      <c r="Q115" s="84"/>
      <c r="R115" s="84"/>
      <c r="S115" s="84"/>
      <c r="T115" s="84"/>
      <c r="U115" s="84"/>
      <c r="V115" s="84"/>
      <c r="W115" s="84"/>
      <c r="X115" s="84"/>
      <c r="Y115" s="84"/>
      <c r="Z115" s="2"/>
    </row>
    <row r="116" spans="1:26" x14ac:dyDescent="0.2">
      <c r="A116" s="88" t="s">
        <v>385</v>
      </c>
      <c r="B116" s="88">
        <v>2001</v>
      </c>
      <c r="C116" s="89" t="s">
        <v>386</v>
      </c>
      <c r="D116" s="88" t="s">
        <v>387</v>
      </c>
      <c r="E116" s="90" t="s">
        <v>388</v>
      </c>
      <c r="F116" s="91" t="s">
        <v>389</v>
      </c>
      <c r="G116" s="87">
        <v>2001</v>
      </c>
      <c r="H116" s="87"/>
      <c r="I116" s="91" t="s">
        <v>314</v>
      </c>
      <c r="J116" s="91">
        <v>0.47</v>
      </c>
      <c r="K116" s="93">
        <v>0.4</v>
      </c>
      <c r="L116" s="93">
        <v>0.61</v>
      </c>
      <c r="M116" s="90">
        <v>0.61</v>
      </c>
      <c r="N116" s="91">
        <v>0.61</v>
      </c>
      <c r="O116" s="91">
        <v>0.61</v>
      </c>
      <c r="P116" s="91">
        <v>0.61</v>
      </c>
      <c r="Q116" s="91">
        <v>0.61</v>
      </c>
      <c r="R116" s="91">
        <v>0.61</v>
      </c>
      <c r="S116" s="91">
        <v>0.4</v>
      </c>
      <c r="T116" s="91">
        <v>0.4</v>
      </c>
      <c r="U116" s="91">
        <v>0.4</v>
      </c>
      <c r="V116" s="91">
        <v>0.4</v>
      </c>
      <c r="W116" s="91">
        <v>0.43</v>
      </c>
      <c r="X116" s="91">
        <v>0.43</v>
      </c>
      <c r="Y116" s="91">
        <v>0.47</v>
      </c>
      <c r="Z116" s="91"/>
    </row>
    <row r="117" spans="1:26" x14ac:dyDescent="0.2">
      <c r="A117" s="88" t="s">
        <v>385</v>
      </c>
      <c r="B117" s="88">
        <v>2001</v>
      </c>
      <c r="C117" s="89" t="s">
        <v>386</v>
      </c>
      <c r="D117" s="88" t="s">
        <v>390</v>
      </c>
      <c r="E117" s="90" t="s">
        <v>388</v>
      </c>
      <c r="F117" s="91" t="s">
        <v>389</v>
      </c>
      <c r="G117" s="87">
        <v>2001</v>
      </c>
      <c r="H117" s="87"/>
      <c r="I117" s="91" t="s">
        <v>314</v>
      </c>
      <c r="J117" s="91">
        <v>0.36</v>
      </c>
      <c r="K117" s="93">
        <v>0.31</v>
      </c>
      <c r="L117" s="93">
        <v>0.31</v>
      </c>
      <c r="M117" s="90">
        <v>0.31</v>
      </c>
      <c r="N117" s="91">
        <v>0.31</v>
      </c>
      <c r="O117" s="91">
        <v>0.36</v>
      </c>
      <c r="P117" s="91">
        <v>0.36</v>
      </c>
      <c r="Q117" s="91">
        <v>0.36</v>
      </c>
      <c r="R117" s="91">
        <v>0.36</v>
      </c>
      <c r="S117" s="91">
        <v>0.31</v>
      </c>
      <c r="T117" s="91">
        <v>0.31</v>
      </c>
      <c r="U117" s="91">
        <v>0.31</v>
      </c>
      <c r="V117" s="91">
        <v>0.31</v>
      </c>
      <c r="W117" s="91">
        <v>0.26</v>
      </c>
      <c r="X117" s="91">
        <v>0.26</v>
      </c>
      <c r="Y117" s="91">
        <v>0.36</v>
      </c>
      <c r="Z117" s="91"/>
    </row>
    <row r="118" spans="1:26" x14ac:dyDescent="0.2">
      <c r="A118" s="88" t="s">
        <v>385</v>
      </c>
      <c r="B118" s="88">
        <v>2001</v>
      </c>
      <c r="C118" s="89" t="s">
        <v>386</v>
      </c>
      <c r="D118" s="88" t="s">
        <v>390</v>
      </c>
      <c r="E118" s="90" t="s">
        <v>391</v>
      </c>
      <c r="F118" s="91" t="s">
        <v>389</v>
      </c>
      <c r="G118" s="87">
        <v>2001</v>
      </c>
      <c r="H118" s="87"/>
      <c r="I118" s="91" t="s">
        <v>314</v>
      </c>
      <c r="J118" s="91">
        <v>0.3</v>
      </c>
      <c r="K118" s="93">
        <v>0.26</v>
      </c>
      <c r="L118" s="93">
        <v>0.26</v>
      </c>
      <c r="M118" s="90">
        <v>0.26</v>
      </c>
      <c r="N118" s="91">
        <v>0.26</v>
      </c>
      <c r="O118" s="91">
        <v>0.31</v>
      </c>
      <c r="P118" s="91">
        <v>0.31</v>
      </c>
      <c r="Q118" s="91">
        <v>0.31</v>
      </c>
      <c r="R118" s="91">
        <v>0.31</v>
      </c>
      <c r="S118" s="91">
        <v>0.26</v>
      </c>
      <c r="T118" s="91">
        <v>0.26</v>
      </c>
      <c r="U118" s="91">
        <v>0.26</v>
      </c>
      <c r="V118" s="91">
        <v>0.26</v>
      </c>
      <c r="W118" s="91">
        <v>0.26</v>
      </c>
      <c r="X118" s="91">
        <v>0.26</v>
      </c>
      <c r="Y118" s="91">
        <v>0.3</v>
      </c>
      <c r="Z118" s="91"/>
    </row>
    <row r="119" spans="1:26" x14ac:dyDescent="0.2">
      <c r="A119" s="84"/>
      <c r="B119" s="86"/>
      <c r="C119" s="84"/>
      <c r="D119" s="84"/>
      <c r="E119" s="84"/>
      <c r="F119" s="84"/>
      <c r="G119" s="87"/>
      <c r="H119" s="87"/>
      <c r="I119" s="84"/>
      <c r="J119" s="84"/>
      <c r="K119" s="84"/>
      <c r="L119" s="84"/>
      <c r="M119" s="84"/>
      <c r="N119" s="84"/>
      <c r="O119" s="84"/>
      <c r="P119" s="84"/>
      <c r="Q119" s="84"/>
      <c r="R119" s="84"/>
      <c r="S119" s="84"/>
      <c r="T119" s="84"/>
      <c r="U119" s="84"/>
      <c r="V119" s="84"/>
      <c r="W119" s="84"/>
      <c r="X119" s="84"/>
      <c r="Y119" s="84"/>
      <c r="Z119" s="84"/>
    </row>
    <row r="120" spans="1:26" x14ac:dyDescent="0.2">
      <c r="A120" s="88" t="s">
        <v>392</v>
      </c>
      <c r="B120" s="88">
        <v>2001</v>
      </c>
      <c r="C120" s="89" t="s">
        <v>386</v>
      </c>
      <c r="D120" s="88" t="s">
        <v>387</v>
      </c>
      <c r="E120" s="92" t="s">
        <v>388</v>
      </c>
      <c r="F120" s="88" t="s">
        <v>389</v>
      </c>
      <c r="G120" s="87">
        <v>2001</v>
      </c>
      <c r="H120" s="87"/>
      <c r="I120" s="91" t="s">
        <v>323</v>
      </c>
      <c r="J120" s="91">
        <v>0.47</v>
      </c>
      <c r="K120" s="94">
        <v>0.47</v>
      </c>
      <c r="L120" s="94">
        <v>0.61</v>
      </c>
      <c r="M120" s="94">
        <v>0.61</v>
      </c>
      <c r="N120" s="95">
        <v>0.61</v>
      </c>
      <c r="O120" s="95">
        <v>0.61</v>
      </c>
      <c r="P120" s="91">
        <v>0.61</v>
      </c>
      <c r="Q120" s="91">
        <v>0.61</v>
      </c>
      <c r="R120" s="91">
        <v>0.61</v>
      </c>
      <c r="S120" s="91">
        <v>0.47</v>
      </c>
      <c r="T120" s="91">
        <v>0.47</v>
      </c>
      <c r="U120" s="91">
        <v>0.47</v>
      </c>
      <c r="V120" s="91">
        <v>0.47</v>
      </c>
      <c r="W120" s="91">
        <v>0.47</v>
      </c>
      <c r="X120" s="91">
        <v>0.47</v>
      </c>
      <c r="Y120" s="91">
        <v>0.47</v>
      </c>
      <c r="Z120" s="88"/>
    </row>
    <row r="121" spans="1:26" x14ac:dyDescent="0.2">
      <c r="A121" s="88" t="s">
        <v>392</v>
      </c>
      <c r="B121" s="88">
        <v>2001</v>
      </c>
      <c r="C121" s="89" t="s">
        <v>386</v>
      </c>
      <c r="D121" s="88" t="s">
        <v>390</v>
      </c>
      <c r="E121" s="92" t="s">
        <v>388</v>
      </c>
      <c r="F121" s="88" t="s">
        <v>389</v>
      </c>
      <c r="G121" s="87">
        <v>2001</v>
      </c>
      <c r="H121" s="87"/>
      <c r="I121" s="91" t="s">
        <v>323</v>
      </c>
      <c r="J121" s="91">
        <v>0.43</v>
      </c>
      <c r="K121" s="94">
        <v>0.36</v>
      </c>
      <c r="L121" s="94">
        <v>0.41</v>
      </c>
      <c r="M121" s="94">
        <v>0.41</v>
      </c>
      <c r="N121" s="95">
        <v>0.41</v>
      </c>
      <c r="O121" s="95">
        <v>0.39</v>
      </c>
      <c r="P121" s="91">
        <v>0.39</v>
      </c>
      <c r="Q121" s="91">
        <v>0.39</v>
      </c>
      <c r="R121" s="91">
        <v>0.39</v>
      </c>
      <c r="S121" s="91">
        <v>0.36</v>
      </c>
      <c r="T121" s="91">
        <v>0.36</v>
      </c>
      <c r="U121" s="91">
        <v>0.36</v>
      </c>
      <c r="V121" s="91">
        <v>0.36</v>
      </c>
      <c r="W121" s="91">
        <v>0.36</v>
      </c>
      <c r="X121" s="91">
        <v>0.36</v>
      </c>
      <c r="Y121" s="91">
        <v>0.43</v>
      </c>
      <c r="Z121" s="88"/>
    </row>
    <row r="122" spans="1:26" x14ac:dyDescent="0.2">
      <c r="A122" s="88" t="s">
        <v>392</v>
      </c>
      <c r="B122" s="88">
        <v>2001</v>
      </c>
      <c r="C122" s="89" t="s">
        <v>386</v>
      </c>
      <c r="D122" s="88" t="s">
        <v>390</v>
      </c>
      <c r="E122" s="92" t="s">
        <v>391</v>
      </c>
      <c r="F122" s="88" t="s">
        <v>389</v>
      </c>
      <c r="G122" s="87">
        <v>2001</v>
      </c>
      <c r="H122" s="87"/>
      <c r="I122" s="91" t="s">
        <v>323</v>
      </c>
      <c r="J122" s="91">
        <v>0.43</v>
      </c>
      <c r="K122" s="94">
        <v>0.31</v>
      </c>
      <c r="L122" s="94">
        <v>0.41</v>
      </c>
      <c r="M122" s="94">
        <v>0.41</v>
      </c>
      <c r="N122" s="95">
        <v>0.41</v>
      </c>
      <c r="O122" s="95">
        <v>0.34</v>
      </c>
      <c r="P122" s="91">
        <v>0.34</v>
      </c>
      <c r="Q122" s="91">
        <v>0.34</v>
      </c>
      <c r="R122" s="91">
        <v>0.34</v>
      </c>
      <c r="S122" s="91">
        <v>0.31</v>
      </c>
      <c r="T122" s="91">
        <v>0.31</v>
      </c>
      <c r="U122" s="91">
        <v>0.31</v>
      </c>
      <c r="V122" s="91">
        <v>0.31</v>
      </c>
      <c r="W122" s="91">
        <v>0.31</v>
      </c>
      <c r="X122" s="91">
        <v>0.31</v>
      </c>
      <c r="Y122" s="91">
        <v>0.43</v>
      </c>
      <c r="Z122" s="88"/>
    </row>
    <row r="123" spans="1:26" x14ac:dyDescent="0.2">
      <c r="A123" s="84"/>
      <c r="B123" s="86"/>
      <c r="C123" s="84"/>
      <c r="D123" s="84"/>
      <c r="E123" s="84"/>
      <c r="F123" s="84"/>
      <c r="G123" s="87"/>
      <c r="H123" s="87"/>
      <c r="I123" s="84"/>
      <c r="J123" s="84"/>
      <c r="K123" s="84"/>
      <c r="L123" s="84"/>
      <c r="M123" s="84"/>
      <c r="N123" s="84"/>
      <c r="O123" s="84"/>
      <c r="P123" s="84"/>
      <c r="Q123" s="84"/>
      <c r="R123" s="84"/>
      <c r="S123" s="84"/>
      <c r="T123" s="84"/>
      <c r="U123" s="84"/>
      <c r="V123" s="84"/>
      <c r="W123" s="84"/>
      <c r="X123" s="84"/>
      <c r="Y123" s="84"/>
      <c r="Z123" s="84"/>
    </row>
    <row r="124" spans="1:26" x14ac:dyDescent="0.2">
      <c r="A124" s="84"/>
      <c r="B124" s="86"/>
      <c r="C124" s="84"/>
      <c r="D124" s="84"/>
      <c r="E124" s="84"/>
      <c r="F124" s="84"/>
      <c r="G124" s="87"/>
      <c r="H124" s="87"/>
      <c r="I124" s="84"/>
      <c r="J124" s="84"/>
      <c r="K124" s="84"/>
      <c r="L124" s="84"/>
      <c r="M124" s="84"/>
      <c r="N124" s="84"/>
      <c r="O124" s="84"/>
      <c r="P124" s="84"/>
      <c r="Q124" s="84"/>
      <c r="R124" s="84"/>
      <c r="S124" s="84"/>
      <c r="T124" s="84"/>
      <c r="U124" s="84"/>
      <c r="V124" s="84"/>
      <c r="W124" s="84"/>
      <c r="X124" s="84"/>
      <c r="Y124" s="84"/>
      <c r="Z124" s="84"/>
    </row>
    <row r="125" spans="1:26" x14ac:dyDescent="0.2">
      <c r="A125" s="84"/>
      <c r="B125" s="86"/>
      <c r="C125" s="84"/>
      <c r="D125" s="84"/>
      <c r="E125" s="84"/>
      <c r="F125" s="84"/>
      <c r="G125" s="87"/>
      <c r="H125" s="87"/>
      <c r="I125" s="84"/>
      <c r="J125" s="84"/>
      <c r="K125" s="84"/>
      <c r="L125" s="84"/>
      <c r="M125" s="84"/>
      <c r="N125" s="84"/>
      <c r="O125" s="84"/>
      <c r="P125" s="84"/>
      <c r="Q125" s="84"/>
      <c r="R125" s="84"/>
      <c r="S125" s="84"/>
      <c r="T125" s="84"/>
      <c r="U125" s="84"/>
      <c r="V125" s="84"/>
      <c r="W125" s="84"/>
      <c r="X125" s="84"/>
      <c r="Y125" s="84"/>
      <c r="Z125" s="84"/>
    </row>
    <row r="126" spans="1:26" x14ac:dyDescent="0.2">
      <c r="A126" s="84" t="s">
        <v>393</v>
      </c>
      <c r="B126" s="86"/>
      <c r="C126" s="84"/>
      <c r="D126" s="84"/>
      <c r="E126" s="84"/>
      <c r="F126" s="84" t="s">
        <v>340</v>
      </c>
      <c r="G126" s="87">
        <v>2001</v>
      </c>
      <c r="H126" s="87"/>
      <c r="I126" s="84" t="s">
        <v>394</v>
      </c>
      <c r="J126" s="84">
        <f>J116*0.45+0.1*J117+0.45*J118</f>
        <v>0.38250000000000001</v>
      </c>
      <c r="K126" s="84">
        <f t="shared" ref="K126:Y126" si="22">K116*0.45+0.1*K117+0.45*K118</f>
        <v>0.32800000000000001</v>
      </c>
      <c r="L126" s="84">
        <f t="shared" si="22"/>
        <v>0.42249999999999999</v>
      </c>
      <c r="M126" s="84">
        <f t="shared" si="22"/>
        <v>0.42249999999999999</v>
      </c>
      <c r="N126" s="84">
        <f t="shared" si="22"/>
        <v>0.42249999999999999</v>
      </c>
      <c r="O126" s="84">
        <f t="shared" si="22"/>
        <v>0.45</v>
      </c>
      <c r="P126" s="84">
        <f t="shared" si="22"/>
        <v>0.45</v>
      </c>
      <c r="Q126" s="84">
        <f t="shared" si="22"/>
        <v>0.45</v>
      </c>
      <c r="R126" s="84">
        <f t="shared" si="22"/>
        <v>0.45</v>
      </c>
      <c r="S126" s="84">
        <f t="shared" si="22"/>
        <v>0.32800000000000001</v>
      </c>
      <c r="T126" s="84">
        <f t="shared" si="22"/>
        <v>0.32800000000000001</v>
      </c>
      <c r="U126" s="84">
        <f t="shared" si="22"/>
        <v>0.32800000000000001</v>
      </c>
      <c r="V126" s="84">
        <f t="shared" si="22"/>
        <v>0.32800000000000001</v>
      </c>
      <c r="W126" s="84">
        <f t="shared" si="22"/>
        <v>0.33650000000000002</v>
      </c>
      <c r="X126" s="84">
        <f t="shared" si="22"/>
        <v>0.33650000000000002</v>
      </c>
      <c r="Y126" s="84">
        <f t="shared" si="22"/>
        <v>0.38250000000000001</v>
      </c>
      <c r="Z126" s="84"/>
    </row>
    <row r="127" spans="1:26" x14ac:dyDescent="0.2">
      <c r="A127" s="84" t="s">
        <v>393</v>
      </c>
      <c r="B127" s="86"/>
      <c r="C127" s="84"/>
      <c r="D127" s="84"/>
      <c r="E127" s="84"/>
      <c r="F127" s="84" t="s">
        <v>340</v>
      </c>
      <c r="G127" s="87">
        <v>2001</v>
      </c>
      <c r="H127" s="87"/>
      <c r="I127" s="84" t="s">
        <v>394</v>
      </c>
      <c r="J127" s="84">
        <f>J120*0.45+0.1*J121+0.45*J122</f>
        <v>0.44800000000000001</v>
      </c>
      <c r="K127" s="84">
        <f t="shared" ref="K127:Y127" si="23">K120*0.45+0.1*K121+0.45*K122</f>
        <v>0.38700000000000001</v>
      </c>
      <c r="L127" s="84">
        <f t="shared" si="23"/>
        <v>0.5</v>
      </c>
      <c r="M127" s="84">
        <f t="shared" si="23"/>
        <v>0.5</v>
      </c>
      <c r="N127" s="84">
        <f t="shared" si="23"/>
        <v>0.5</v>
      </c>
      <c r="O127" s="84">
        <f t="shared" si="23"/>
        <v>0.46650000000000003</v>
      </c>
      <c r="P127" s="84">
        <f t="shared" si="23"/>
        <v>0.46650000000000003</v>
      </c>
      <c r="Q127" s="84">
        <f t="shared" si="23"/>
        <v>0.46650000000000003</v>
      </c>
      <c r="R127" s="84">
        <f t="shared" si="23"/>
        <v>0.46650000000000003</v>
      </c>
      <c r="S127" s="84">
        <f t="shared" si="23"/>
        <v>0.38700000000000001</v>
      </c>
      <c r="T127" s="84">
        <f t="shared" si="23"/>
        <v>0.38700000000000001</v>
      </c>
      <c r="U127" s="84">
        <f t="shared" si="23"/>
        <v>0.38700000000000001</v>
      </c>
      <c r="V127" s="84">
        <f t="shared" si="23"/>
        <v>0.38700000000000001</v>
      </c>
      <c r="W127" s="84">
        <f t="shared" si="23"/>
        <v>0.38700000000000001</v>
      </c>
      <c r="X127" s="84">
        <f t="shared" si="23"/>
        <v>0.38700000000000001</v>
      </c>
      <c r="Y127" s="84">
        <f t="shared" si="23"/>
        <v>0.44800000000000001</v>
      </c>
      <c r="Z127" s="84"/>
    </row>
    <row r="128" spans="1:26" x14ac:dyDescent="0.2">
      <c r="A128" s="2"/>
      <c r="B128" s="2"/>
      <c r="C128" s="2"/>
      <c r="D128" s="2"/>
      <c r="E128" s="229"/>
      <c r="F128" s="2"/>
      <c r="G128" s="2"/>
      <c r="H128" s="2"/>
      <c r="I128" s="2"/>
      <c r="J128" s="2"/>
      <c r="K128" s="2"/>
      <c r="L128" s="2"/>
      <c r="M128" s="2"/>
      <c r="N128" s="2"/>
      <c r="O128" s="2"/>
      <c r="P128" s="2"/>
      <c r="Q128" s="2"/>
      <c r="R128" s="2"/>
      <c r="S128" s="2"/>
      <c r="T128" s="2"/>
      <c r="U128" s="2"/>
      <c r="V128" s="2"/>
      <c r="W128" s="2"/>
      <c r="X128" s="2"/>
      <c r="Y128" s="2"/>
      <c r="Z128" s="2"/>
    </row>
    <row r="129" spans="1:26" x14ac:dyDescent="0.2">
      <c r="A129" s="2"/>
      <c r="B129" s="2"/>
      <c r="C129" s="2"/>
      <c r="D129" s="2"/>
      <c r="E129" s="229"/>
      <c r="F129" s="2"/>
      <c r="G129" s="2"/>
      <c r="H129" s="2"/>
      <c r="I129" s="2"/>
      <c r="J129" s="2"/>
      <c r="K129" s="2"/>
      <c r="L129" s="2"/>
      <c r="M129" s="2"/>
      <c r="N129" s="2"/>
      <c r="O129" s="2"/>
      <c r="P129" s="2"/>
      <c r="Q129" s="2"/>
      <c r="R129" s="2"/>
      <c r="S129" s="2"/>
      <c r="T129" s="2"/>
      <c r="U129" s="2"/>
      <c r="V129" s="2"/>
      <c r="W129" s="2"/>
      <c r="X129" s="2"/>
      <c r="Y129" s="2"/>
      <c r="Z129" s="2"/>
    </row>
    <row r="130" spans="1:26" x14ac:dyDescent="0.2">
      <c r="A130" s="2"/>
      <c r="B130" s="2"/>
      <c r="C130" s="2"/>
      <c r="D130" s="2"/>
      <c r="E130" s="229"/>
      <c r="F130" s="2"/>
      <c r="G130" s="2"/>
      <c r="H130" s="2"/>
      <c r="I130" s="2"/>
      <c r="J130" s="2"/>
      <c r="K130" s="2"/>
      <c r="L130" s="2"/>
      <c r="M130" s="2"/>
      <c r="N130" s="2"/>
      <c r="O130" s="2"/>
      <c r="P130" s="2"/>
      <c r="Q130" s="2"/>
      <c r="R130" s="2"/>
      <c r="S130" s="2"/>
      <c r="T130" s="2"/>
      <c r="U130" s="2"/>
      <c r="V130" s="2"/>
      <c r="W130" s="2"/>
      <c r="X130" s="2"/>
      <c r="Y130" s="2"/>
      <c r="Z130" s="2"/>
    </row>
    <row r="131" spans="1:26" x14ac:dyDescent="0.2">
      <c r="A131" s="2"/>
      <c r="B131" s="2"/>
      <c r="C131" s="2"/>
      <c r="D131" s="2"/>
      <c r="E131" s="229"/>
      <c r="F131" s="2"/>
      <c r="G131" s="2"/>
      <c r="H131" s="2"/>
      <c r="I131" s="2"/>
      <c r="J131" s="2"/>
      <c r="K131" s="2"/>
      <c r="L131" s="2"/>
      <c r="M131" s="2"/>
      <c r="N131" s="2"/>
      <c r="O131" s="2"/>
      <c r="P131" s="2"/>
      <c r="Q131" s="2"/>
      <c r="R131" s="2"/>
      <c r="S131" s="2"/>
      <c r="T131" s="2"/>
      <c r="U131" s="2"/>
      <c r="V131" s="2"/>
      <c r="W131" s="2"/>
      <c r="X131" s="2"/>
      <c r="Y131" s="2"/>
      <c r="Z131" s="2"/>
    </row>
    <row r="132" spans="1:26" x14ac:dyDescent="0.2">
      <c r="A132" s="2"/>
      <c r="B132" s="2"/>
      <c r="C132" s="2"/>
      <c r="D132" s="2"/>
      <c r="E132" s="229"/>
      <c r="F132" s="2"/>
      <c r="G132" s="2"/>
      <c r="H132" s="2"/>
      <c r="I132" s="2"/>
      <c r="J132" s="2"/>
      <c r="K132" s="2"/>
      <c r="L132" s="2"/>
      <c r="M132" s="2"/>
      <c r="N132" s="2"/>
      <c r="O132" s="2"/>
      <c r="P132" s="2"/>
      <c r="Q132" s="2"/>
      <c r="R132" s="2"/>
      <c r="S132" s="2"/>
      <c r="T132" s="2"/>
      <c r="U132" s="2"/>
      <c r="V132" s="2"/>
      <c r="W132" s="2"/>
      <c r="X132" s="2"/>
      <c r="Y132" s="2"/>
      <c r="Z132" s="2"/>
    </row>
    <row r="133" spans="1:26" x14ac:dyDescent="0.2">
      <c r="A133" s="2"/>
      <c r="B133" s="2"/>
      <c r="C133" s="2"/>
      <c r="D133" s="2"/>
      <c r="E133" s="229"/>
      <c r="F133" s="2"/>
      <c r="G133" s="2"/>
      <c r="H133" s="2"/>
      <c r="I133" s="2"/>
      <c r="J133" s="2"/>
      <c r="K133" s="2"/>
      <c r="L133" s="2"/>
      <c r="M133" s="2"/>
      <c r="N133" s="2"/>
      <c r="O133" s="2"/>
      <c r="P133" s="2"/>
      <c r="Q133" s="2"/>
      <c r="R133" s="2"/>
      <c r="S133" s="2"/>
      <c r="T133" s="2"/>
      <c r="U133" s="2"/>
      <c r="V133" s="2"/>
      <c r="W133" s="2"/>
      <c r="X133" s="2"/>
      <c r="Y133" s="2"/>
      <c r="Z133" s="2"/>
    </row>
    <row r="134" spans="1:26" x14ac:dyDescent="0.2">
      <c r="A134" s="2"/>
      <c r="B134" s="2"/>
      <c r="C134" s="2"/>
      <c r="D134" s="2"/>
      <c r="E134" s="229"/>
      <c r="F134" s="2"/>
      <c r="G134" s="2"/>
      <c r="H134" s="2"/>
      <c r="I134" s="2"/>
      <c r="J134" s="2"/>
      <c r="K134" s="2"/>
      <c r="L134" s="2"/>
      <c r="M134" s="2"/>
      <c r="N134" s="2"/>
      <c r="O134" s="2"/>
      <c r="P134" s="2"/>
      <c r="Q134" s="2"/>
      <c r="R134" s="2"/>
      <c r="S134" s="2"/>
      <c r="T134" s="2"/>
      <c r="U134" s="2"/>
      <c r="V134" s="2"/>
      <c r="W134" s="2"/>
      <c r="X134" s="2"/>
      <c r="Y134" s="2"/>
      <c r="Z134" s="2"/>
    </row>
    <row r="135" spans="1:26" x14ac:dyDescent="0.2">
      <c r="A135" s="2"/>
      <c r="B135" s="2"/>
      <c r="C135" s="2"/>
      <c r="D135" s="2"/>
      <c r="E135" s="229"/>
      <c r="F135" s="2"/>
      <c r="G135" s="2"/>
      <c r="H135" s="2"/>
      <c r="I135" s="2"/>
      <c r="J135" s="2"/>
      <c r="K135" s="2"/>
      <c r="L135" s="2"/>
      <c r="M135" s="2"/>
      <c r="N135" s="2"/>
      <c r="O135" s="2"/>
      <c r="P135" s="2"/>
      <c r="Q135" s="2"/>
      <c r="R135" s="2"/>
      <c r="S135" s="2"/>
      <c r="T135" s="2"/>
      <c r="U135" s="2"/>
      <c r="V135" s="2"/>
      <c r="W135" s="2"/>
      <c r="X135" s="2"/>
      <c r="Y135" s="2"/>
      <c r="Z135" s="2"/>
    </row>
    <row r="136" spans="1:26" x14ac:dyDescent="0.2">
      <c r="A136" s="2"/>
      <c r="B136" s="2"/>
      <c r="C136" s="2"/>
      <c r="D136" s="2"/>
      <c r="E136" s="229"/>
      <c r="F136" s="2"/>
      <c r="G136" s="2"/>
      <c r="H136" s="2"/>
      <c r="I136" s="2"/>
      <c r="J136" s="2"/>
      <c r="K136" s="2"/>
      <c r="L136" s="2"/>
      <c r="M136" s="2"/>
      <c r="N136" s="2"/>
      <c r="O136" s="2"/>
      <c r="P136" s="2"/>
      <c r="Q136" s="2"/>
      <c r="R136" s="2"/>
      <c r="S136" s="2"/>
      <c r="T136" s="2"/>
      <c r="U136" s="2"/>
      <c r="V136" s="2"/>
      <c r="W136" s="2"/>
      <c r="X136" s="2"/>
      <c r="Y136" s="2"/>
      <c r="Z136" s="2"/>
    </row>
    <row r="137" spans="1:26" x14ac:dyDescent="0.2">
      <c r="A137" s="2"/>
      <c r="B137" s="2"/>
      <c r="C137" s="2"/>
      <c r="D137" s="2"/>
      <c r="E137" s="229"/>
      <c r="F137" s="2"/>
      <c r="G137" s="2"/>
      <c r="H137" s="2"/>
      <c r="I137" s="2"/>
      <c r="J137" s="2"/>
      <c r="K137" s="2"/>
      <c r="L137" s="2"/>
      <c r="M137" s="2"/>
      <c r="N137" s="2"/>
      <c r="O137" s="2"/>
      <c r="P137" s="2"/>
      <c r="Q137" s="2"/>
      <c r="R137" s="2"/>
      <c r="S137" s="2"/>
      <c r="T137" s="2"/>
      <c r="U137" s="2"/>
      <c r="V137" s="2"/>
      <c r="W137" s="2"/>
      <c r="X137" s="2"/>
      <c r="Y137" s="2"/>
      <c r="Z137" s="2"/>
    </row>
    <row r="138" spans="1:26" x14ac:dyDescent="0.2">
      <c r="A138" s="2"/>
      <c r="B138" s="2"/>
      <c r="C138" s="2"/>
      <c r="D138" s="2"/>
      <c r="E138" s="229"/>
      <c r="F138" s="2"/>
      <c r="G138" s="2"/>
      <c r="H138" s="2"/>
      <c r="I138" s="2"/>
      <c r="J138" s="2"/>
      <c r="K138" s="2"/>
      <c r="L138" s="2"/>
      <c r="M138" s="2"/>
      <c r="N138" s="2"/>
      <c r="O138" s="2"/>
      <c r="P138" s="2"/>
      <c r="Q138" s="2"/>
      <c r="R138" s="2"/>
      <c r="S138" s="2"/>
      <c r="T138" s="2"/>
      <c r="U138" s="2"/>
      <c r="V138" s="2"/>
      <c r="W138" s="2"/>
      <c r="X138" s="2"/>
      <c r="Y138" s="2"/>
      <c r="Z138" s="2"/>
    </row>
    <row r="139" spans="1:26" x14ac:dyDescent="0.2">
      <c r="A139" s="2"/>
      <c r="B139" s="2"/>
      <c r="C139" s="2"/>
      <c r="D139" s="2"/>
      <c r="E139" s="229"/>
      <c r="F139" s="2"/>
      <c r="G139" s="2"/>
      <c r="H139" s="2"/>
      <c r="I139" s="2"/>
      <c r="J139" s="2"/>
      <c r="K139" s="2"/>
      <c r="L139" s="2"/>
      <c r="M139" s="2"/>
      <c r="N139" s="2"/>
      <c r="O139" s="2"/>
      <c r="P139" s="2"/>
      <c r="Q139" s="2"/>
      <c r="R139" s="2"/>
      <c r="S139" s="2"/>
      <c r="T139" s="2"/>
      <c r="U139" s="2"/>
      <c r="V139" s="2"/>
      <c r="W139" s="2"/>
      <c r="X139" s="2"/>
      <c r="Y139" s="2"/>
      <c r="Z139" s="2"/>
    </row>
    <row r="140" spans="1:26" x14ac:dyDescent="0.2">
      <c r="A140" s="2"/>
      <c r="B140" s="2"/>
      <c r="C140" s="2"/>
      <c r="D140" s="2"/>
      <c r="E140" s="229"/>
      <c r="F140" s="2"/>
      <c r="G140" s="2"/>
      <c r="H140" s="2"/>
      <c r="I140" s="2"/>
      <c r="J140" s="2"/>
      <c r="K140" s="2"/>
      <c r="L140" s="2"/>
      <c r="M140" s="2"/>
      <c r="N140" s="2"/>
      <c r="O140" s="2"/>
      <c r="P140" s="2"/>
      <c r="Q140" s="2"/>
      <c r="R140" s="2"/>
      <c r="S140" s="2"/>
      <c r="T140" s="2"/>
      <c r="U140" s="2"/>
      <c r="V140" s="2"/>
      <c r="W140" s="2"/>
      <c r="X140" s="2"/>
      <c r="Y140" s="2"/>
      <c r="Z140" s="2"/>
    </row>
    <row r="141" spans="1:26" x14ac:dyDescent="0.2">
      <c r="A141" s="2"/>
      <c r="B141" s="2"/>
      <c r="C141" s="2"/>
      <c r="D141" s="2"/>
      <c r="E141" s="229"/>
      <c r="F141" s="2"/>
      <c r="G141" s="2"/>
      <c r="H141" s="2"/>
      <c r="I141" s="2"/>
      <c r="J141" s="2"/>
      <c r="K141" s="2"/>
      <c r="L141" s="2"/>
      <c r="M141" s="2"/>
      <c r="N141" s="2"/>
      <c r="O141" s="2"/>
      <c r="P141" s="2"/>
      <c r="Q141" s="2"/>
      <c r="R141" s="2"/>
      <c r="S141" s="2"/>
      <c r="T141" s="2"/>
      <c r="U141" s="2"/>
      <c r="V141" s="2"/>
      <c r="W141" s="2"/>
      <c r="X141" s="2"/>
      <c r="Y141" s="2"/>
      <c r="Z141" s="2"/>
    </row>
    <row r="142" spans="1:26" x14ac:dyDescent="0.2">
      <c r="A142" s="2"/>
      <c r="B142" s="2"/>
      <c r="C142" s="2"/>
      <c r="D142" s="2"/>
      <c r="E142" s="229"/>
      <c r="F142" s="2"/>
      <c r="G142" s="2"/>
      <c r="H142" s="2"/>
      <c r="I142" s="2"/>
      <c r="J142" s="2"/>
      <c r="K142" s="2"/>
      <c r="L142" s="2"/>
      <c r="M142" s="2"/>
      <c r="N142" s="2"/>
      <c r="O142" s="2"/>
      <c r="P142" s="2"/>
      <c r="Q142" s="2"/>
      <c r="R142" s="2"/>
      <c r="S142" s="2"/>
      <c r="T142" s="2"/>
      <c r="U142" s="2"/>
      <c r="V142" s="2"/>
      <c r="W142" s="2"/>
      <c r="X142" s="2"/>
      <c r="Y142" s="2"/>
      <c r="Z142" s="2"/>
    </row>
    <row r="143" spans="1:26" x14ac:dyDescent="0.2">
      <c r="A143" s="2"/>
      <c r="B143" s="2"/>
      <c r="C143" s="2"/>
      <c r="D143" s="2"/>
      <c r="E143" s="229"/>
      <c r="F143" s="2"/>
      <c r="G143" s="2"/>
      <c r="H143" s="2"/>
      <c r="I143" s="2"/>
      <c r="J143" s="2"/>
      <c r="K143" s="2"/>
      <c r="L143" s="2"/>
      <c r="M143" s="2"/>
      <c r="N143" s="2"/>
      <c r="O143" s="2"/>
      <c r="P143" s="2"/>
      <c r="Q143" s="2"/>
      <c r="R143" s="2"/>
      <c r="S143" s="2"/>
      <c r="T143" s="2"/>
      <c r="U143" s="2"/>
      <c r="V143" s="2"/>
      <c r="W143" s="2"/>
      <c r="X143" s="2"/>
      <c r="Y143" s="2"/>
      <c r="Z143" s="2"/>
    </row>
    <row r="144" spans="1:26" x14ac:dyDescent="0.2">
      <c r="A144" s="2"/>
      <c r="B144" s="2"/>
      <c r="C144" s="2"/>
      <c r="D144" s="2"/>
      <c r="E144" s="229"/>
      <c r="F144" s="2"/>
      <c r="G144" s="2"/>
      <c r="H144" s="2"/>
      <c r="I144" s="2"/>
      <c r="J144" s="2"/>
      <c r="K144" s="2"/>
      <c r="L144" s="2"/>
      <c r="M144" s="2"/>
      <c r="N144" s="2"/>
      <c r="O144" s="2"/>
      <c r="P144" s="2"/>
      <c r="Q144" s="2"/>
      <c r="R144" s="2"/>
      <c r="S144" s="2"/>
      <c r="T144" s="2"/>
      <c r="U144" s="2"/>
      <c r="V144" s="2"/>
      <c r="W144" s="2"/>
      <c r="X144" s="2"/>
      <c r="Y144" s="2"/>
      <c r="Z144" s="2"/>
    </row>
    <row r="145" spans="2:8" x14ac:dyDescent="0.2">
      <c r="B145" s="2"/>
      <c r="C145" s="2"/>
      <c r="D145" s="2"/>
      <c r="E145" s="229"/>
      <c r="F145" s="2"/>
      <c r="G145" s="2"/>
      <c r="H145" s="2"/>
    </row>
    <row r="146" spans="2:8" x14ac:dyDescent="0.2">
      <c r="B146" s="2"/>
      <c r="C146" s="2"/>
      <c r="D146" s="2"/>
      <c r="E146" s="229"/>
      <c r="F146" s="2"/>
      <c r="G146" s="2"/>
      <c r="H146" s="2"/>
    </row>
    <row r="147" spans="2:8" x14ac:dyDescent="0.2">
      <c r="B147" s="2"/>
      <c r="C147" s="2"/>
      <c r="D147" s="2"/>
      <c r="E147" s="229"/>
      <c r="F147" s="2"/>
      <c r="G147" s="2"/>
      <c r="H147" s="2"/>
    </row>
    <row r="148" spans="2:8" x14ac:dyDescent="0.2">
      <c r="B148" s="2"/>
      <c r="C148" s="2"/>
      <c r="D148" s="2"/>
      <c r="E148" s="229"/>
      <c r="F148" s="2"/>
      <c r="G148" s="2"/>
      <c r="H148" s="2"/>
    </row>
    <row r="149" spans="2:8" x14ac:dyDescent="0.2">
      <c r="B149" s="2"/>
      <c r="C149" s="2"/>
      <c r="D149" s="2"/>
      <c r="E149" s="229"/>
      <c r="F149" s="2"/>
      <c r="G149" s="2"/>
      <c r="H149" s="2"/>
    </row>
    <row r="150" spans="2:8" x14ac:dyDescent="0.2">
      <c r="B150" s="2"/>
      <c r="C150" s="2"/>
      <c r="D150" s="2"/>
      <c r="E150" s="229"/>
      <c r="F150" s="2"/>
      <c r="G150" s="2"/>
      <c r="H150" s="2"/>
    </row>
    <row r="151" spans="2:8" x14ac:dyDescent="0.2">
      <c r="B151" s="2"/>
      <c r="C151" s="2"/>
      <c r="D151" s="2"/>
      <c r="E151" s="229"/>
      <c r="F151" s="2"/>
      <c r="G151" s="2"/>
      <c r="H151" s="2"/>
    </row>
    <row r="152" spans="2:8" x14ac:dyDescent="0.2">
      <c r="B152" s="2"/>
      <c r="C152" s="2"/>
      <c r="D152" s="2"/>
      <c r="E152" s="229"/>
      <c r="F152" s="2"/>
      <c r="G152" s="2"/>
      <c r="H152" s="2"/>
    </row>
    <row r="153" spans="2:8" x14ac:dyDescent="0.2">
      <c r="B153" s="2"/>
      <c r="C153" s="2"/>
      <c r="D153" s="2"/>
      <c r="E153" s="229"/>
      <c r="F153" s="2"/>
      <c r="G153" s="2"/>
      <c r="H153" s="2"/>
    </row>
    <row r="154" spans="2:8" x14ac:dyDescent="0.2">
      <c r="B154" s="2"/>
      <c r="C154" s="2"/>
      <c r="D154" s="2"/>
      <c r="E154" s="229"/>
      <c r="F154" s="2"/>
      <c r="G154" s="2"/>
      <c r="H154" s="2"/>
    </row>
    <row r="155" spans="2:8" x14ac:dyDescent="0.2">
      <c r="B155" s="2"/>
      <c r="C155" s="2"/>
      <c r="D155" s="2"/>
      <c r="E155" s="229"/>
      <c r="F155" s="2"/>
      <c r="G155" s="2"/>
      <c r="H155" s="2"/>
    </row>
    <row r="156" spans="2:8" x14ac:dyDescent="0.2">
      <c r="B156" s="2"/>
      <c r="C156" s="2"/>
      <c r="D156" s="2"/>
      <c r="E156" s="229"/>
      <c r="F156" s="2"/>
      <c r="G156" s="2"/>
      <c r="H156" s="2"/>
    </row>
    <row r="157" spans="2:8" x14ac:dyDescent="0.2">
      <c r="B157" s="2"/>
      <c r="C157" s="2"/>
      <c r="D157" s="2"/>
      <c r="E157" s="229"/>
      <c r="F157" s="2"/>
      <c r="G157" s="2"/>
      <c r="H157" s="2"/>
    </row>
    <row r="158" spans="2:8" x14ac:dyDescent="0.2">
      <c r="B158" s="2"/>
      <c r="C158" s="2"/>
      <c r="D158" s="2"/>
      <c r="E158" s="229"/>
      <c r="F158" s="2"/>
      <c r="G158" s="2"/>
      <c r="H158" s="2"/>
    </row>
    <row r="159" spans="2:8" x14ac:dyDescent="0.2">
      <c r="B159" s="2"/>
      <c r="C159" s="2"/>
      <c r="D159" s="2"/>
      <c r="E159" s="229"/>
      <c r="F159" s="2"/>
      <c r="G159" s="2"/>
      <c r="H159" s="2"/>
    </row>
    <row r="160" spans="2:8" x14ac:dyDescent="0.2">
      <c r="B160" s="2"/>
      <c r="C160" s="2"/>
      <c r="D160" s="2"/>
      <c r="E160" s="229"/>
      <c r="F160" s="2"/>
      <c r="G160" s="2"/>
      <c r="H160" s="2"/>
    </row>
    <row r="161" spans="2:8" x14ac:dyDescent="0.2">
      <c r="B161" s="2"/>
      <c r="C161" s="2"/>
      <c r="D161" s="2"/>
      <c r="E161" s="229"/>
      <c r="F161" s="2"/>
      <c r="G161" s="2"/>
      <c r="H161" s="2"/>
    </row>
    <row r="162" spans="2:8" x14ac:dyDescent="0.2">
      <c r="B162" s="2"/>
      <c r="C162" s="2"/>
      <c r="D162" s="2"/>
      <c r="E162" s="229"/>
      <c r="F162" s="2"/>
      <c r="G162" s="2"/>
      <c r="H162" s="2"/>
    </row>
    <row r="163" spans="2:8" x14ac:dyDescent="0.2">
      <c r="B163" s="2"/>
      <c r="C163" s="2"/>
      <c r="D163" s="2"/>
      <c r="E163" s="229"/>
      <c r="F163" s="2"/>
      <c r="G163" s="2"/>
      <c r="H163" s="2"/>
    </row>
    <row r="164" spans="2:8" x14ac:dyDescent="0.2">
      <c r="B164" s="2"/>
      <c r="C164" s="2"/>
      <c r="D164" s="2"/>
      <c r="E164" s="229"/>
      <c r="F164" s="2"/>
      <c r="G164" s="2"/>
      <c r="H164" s="2"/>
    </row>
    <row r="165" spans="2:8" x14ac:dyDescent="0.2">
      <c r="B165" s="2"/>
      <c r="C165" s="2"/>
      <c r="D165" s="2"/>
      <c r="E165" s="229"/>
      <c r="F165" s="2"/>
      <c r="G165" s="2"/>
      <c r="H165" s="2"/>
    </row>
    <row r="166" spans="2:8" x14ac:dyDescent="0.2">
      <c r="B166" s="2"/>
      <c r="C166" s="2"/>
      <c r="D166" s="2"/>
      <c r="E166" s="229"/>
      <c r="F166" s="2"/>
      <c r="G166" s="2"/>
      <c r="H166" s="2"/>
    </row>
    <row r="167" spans="2:8" x14ac:dyDescent="0.2">
      <c r="B167" s="2"/>
      <c r="C167" s="2"/>
      <c r="D167" s="2"/>
      <c r="E167" s="229"/>
      <c r="F167" s="2"/>
      <c r="G167" s="2"/>
      <c r="H167" s="2"/>
    </row>
    <row r="168" spans="2:8" x14ac:dyDescent="0.2">
      <c r="B168" s="2"/>
      <c r="C168" s="2"/>
      <c r="D168" s="2"/>
      <c r="E168" s="229"/>
      <c r="F168" s="2"/>
      <c r="G168" s="2"/>
      <c r="H168" s="2"/>
    </row>
    <row r="169" spans="2:8" x14ac:dyDescent="0.2">
      <c r="B169" s="2"/>
      <c r="C169" s="2"/>
      <c r="D169" s="2"/>
      <c r="E169" s="229"/>
      <c r="F169" s="2"/>
      <c r="G169" s="2"/>
      <c r="H169" s="2"/>
    </row>
    <row r="170" spans="2:8" x14ac:dyDescent="0.2">
      <c r="B170" s="2"/>
      <c r="C170" s="2"/>
      <c r="D170" s="2"/>
      <c r="E170" s="229"/>
      <c r="F170" s="2"/>
      <c r="G170" s="2"/>
      <c r="H170" s="2"/>
    </row>
    <row r="171" spans="2:8" x14ac:dyDescent="0.2">
      <c r="B171" s="2"/>
      <c r="C171" s="2"/>
      <c r="D171" s="2"/>
      <c r="E171" s="229"/>
      <c r="F171" s="2"/>
      <c r="G171" s="2"/>
      <c r="H171" s="2"/>
    </row>
    <row r="172" spans="2:8" x14ac:dyDescent="0.2">
      <c r="B172" s="2"/>
      <c r="C172" s="2"/>
      <c r="D172" s="2"/>
      <c r="E172" s="229"/>
      <c r="F172" s="2"/>
      <c r="G172" s="2"/>
      <c r="H172" s="2"/>
    </row>
    <row r="173" spans="2:8" x14ac:dyDescent="0.2">
      <c r="B173" s="2"/>
      <c r="C173" s="2"/>
      <c r="D173" s="2"/>
      <c r="E173" s="229"/>
      <c r="F173" s="2"/>
      <c r="G173" s="2"/>
      <c r="H173" s="2"/>
    </row>
    <row r="174" spans="2:8" x14ac:dyDescent="0.2">
      <c r="B174" s="2"/>
      <c r="C174" s="2"/>
      <c r="D174" s="2"/>
      <c r="E174" s="229"/>
      <c r="F174" s="2"/>
      <c r="G174" s="2"/>
      <c r="H174" s="2"/>
    </row>
    <row r="175" spans="2:8" x14ac:dyDescent="0.2">
      <c r="B175" s="2"/>
      <c r="C175" s="2"/>
      <c r="D175" s="2"/>
      <c r="E175" s="229"/>
      <c r="F175" s="2"/>
      <c r="G175" s="2"/>
      <c r="H175" s="2"/>
    </row>
    <row r="176" spans="2:8" x14ac:dyDescent="0.2">
      <c r="B176" s="2"/>
      <c r="C176" s="2"/>
      <c r="D176" s="2"/>
      <c r="E176" s="229"/>
      <c r="F176" s="2"/>
      <c r="G176" s="2"/>
      <c r="H176" s="2"/>
    </row>
    <row r="177" spans="2:8" x14ac:dyDescent="0.2">
      <c r="B177" s="2"/>
      <c r="C177" s="2"/>
      <c r="D177" s="2"/>
      <c r="E177" s="229"/>
      <c r="F177" s="2"/>
      <c r="G177" s="2"/>
      <c r="H177" s="2"/>
    </row>
    <row r="178" spans="2:8" x14ac:dyDescent="0.2">
      <c r="B178" s="2"/>
      <c r="C178" s="2"/>
      <c r="D178" s="2"/>
      <c r="E178" s="229"/>
      <c r="F178" s="2"/>
      <c r="G178" s="2"/>
      <c r="H178" s="2"/>
    </row>
  </sheetData>
  <mergeCells count="61">
    <mergeCell ref="H43:H46"/>
    <mergeCell ref="C93:C112"/>
    <mergeCell ref="C73:C92"/>
    <mergeCell ref="A73:A82"/>
    <mergeCell ref="A83:A92"/>
    <mergeCell ref="A93:A102"/>
    <mergeCell ref="A103:A112"/>
    <mergeCell ref="B73:B112"/>
    <mergeCell ref="I28:I29"/>
    <mergeCell ref="I33:I34"/>
    <mergeCell ref="D108:E112"/>
    <mergeCell ref="I43:I46"/>
    <mergeCell ref="G43:G46"/>
    <mergeCell ref="E57:E66"/>
    <mergeCell ref="D73:E77"/>
    <mergeCell ref="D78:E82"/>
    <mergeCell ref="D83:E87"/>
    <mergeCell ref="D88:E92"/>
    <mergeCell ref="D93:E97"/>
    <mergeCell ref="D98:E102"/>
    <mergeCell ref="D103:E107"/>
    <mergeCell ref="E43:E48"/>
    <mergeCell ref="G47:G48"/>
    <mergeCell ref="E41:I41"/>
    <mergeCell ref="C28:C37"/>
    <mergeCell ref="A28:A37"/>
    <mergeCell ref="D33:D34"/>
    <mergeCell ref="E33:E37"/>
    <mergeCell ref="D35:D37"/>
    <mergeCell ref="D28:D29"/>
    <mergeCell ref="E28:E32"/>
    <mergeCell ref="D30:D32"/>
    <mergeCell ref="B28:B37"/>
    <mergeCell ref="A1:Y1"/>
    <mergeCell ref="D13:D17"/>
    <mergeCell ref="D18:D19"/>
    <mergeCell ref="C13:C17"/>
    <mergeCell ref="I18:I19"/>
    <mergeCell ref="A8:A12"/>
    <mergeCell ref="A13:A17"/>
    <mergeCell ref="E13:E17"/>
    <mergeCell ref="E3:E7"/>
    <mergeCell ref="A3:A7"/>
    <mergeCell ref="D3:D7"/>
    <mergeCell ref="C3:C7"/>
    <mergeCell ref="C18:C27"/>
    <mergeCell ref="A18:A27"/>
    <mergeCell ref="E18:E22"/>
    <mergeCell ref="D20:D22"/>
    <mergeCell ref="B18:B27"/>
    <mergeCell ref="B3:B7"/>
    <mergeCell ref="B8:B12"/>
    <mergeCell ref="B13:B17"/>
    <mergeCell ref="I13:I14"/>
    <mergeCell ref="C8:C12"/>
    <mergeCell ref="D8:D12"/>
    <mergeCell ref="E8:E12"/>
    <mergeCell ref="I23:I24"/>
    <mergeCell ref="D23:D24"/>
    <mergeCell ref="E23:E27"/>
    <mergeCell ref="D25:D27"/>
  </mergeCells>
  <phoneticPr fontId="5" type="noConversion"/>
  <hyperlinks>
    <hyperlink ref="G47" r:id="rId1" display="2025 Nonresidential and Multifamily ACM" xr:uid="{029B0ABD-A94E-4A5B-AB20-0C4161223775}"/>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0C1672-9EE3-40E4-AB75-7F6046861D1F}">
  <sheetPr codeName="Sheet6"/>
  <dimension ref="A1:AL55"/>
  <sheetViews>
    <sheetView zoomScaleNormal="100" workbookViewId="0">
      <selection sqref="A1:F1"/>
    </sheetView>
  </sheetViews>
  <sheetFormatPr defaultColWidth="8.7109375" defaultRowHeight="12.75" x14ac:dyDescent="0.2"/>
  <cols>
    <col min="1" max="1" width="32.140625" style="4" customWidth="1"/>
    <col min="2" max="2" width="29.5703125" style="4" customWidth="1"/>
    <col min="3" max="3" width="30.42578125" style="4" customWidth="1"/>
    <col min="4" max="4" width="32.7109375" style="4" customWidth="1"/>
    <col min="5" max="5" width="35.42578125" style="4" customWidth="1"/>
    <col min="6" max="6" width="32.85546875" style="4" bestFit="1" customWidth="1"/>
    <col min="7" max="7" width="20.5703125" style="4" customWidth="1"/>
    <col min="8" max="8" width="12.7109375" style="4" customWidth="1"/>
    <col min="9" max="9" width="22.5703125" style="4" customWidth="1"/>
    <col min="10" max="11" width="12.7109375" style="4" customWidth="1"/>
    <col min="12" max="19" width="15.28515625" style="4" customWidth="1"/>
    <col min="20" max="20" width="14.7109375" style="4" customWidth="1"/>
    <col min="21" max="21" width="13.5703125" style="4" customWidth="1"/>
    <col min="22" max="22" width="15.7109375" style="4" customWidth="1"/>
    <col min="23" max="29" width="11" style="4" customWidth="1"/>
    <col min="30" max="38" width="6.5703125" style="4" customWidth="1"/>
    <col min="39" max="39" width="8.7109375" style="4" customWidth="1"/>
    <col min="40" max="16384" width="8.7109375" style="4"/>
  </cols>
  <sheetData>
    <row r="1" spans="1:10" ht="27" customHeight="1" x14ac:dyDescent="0.2">
      <c r="A1" s="463" t="str">
        <f>"HVAC system - "&amp;Prototype!A2</f>
        <v xml:space="preserve">HVAC system - ApartmentMidRise </v>
      </c>
      <c r="B1" s="463"/>
      <c r="C1" s="463"/>
      <c r="D1" s="463"/>
      <c r="E1" s="463"/>
      <c r="F1" s="463"/>
    </row>
    <row r="2" spans="1:10" ht="19.149999999999999" customHeight="1" thickBot="1" x14ac:dyDescent="0.25">
      <c r="A2" s="172" t="s">
        <v>287</v>
      </c>
      <c r="B2" s="172" t="s">
        <v>66</v>
      </c>
      <c r="C2" s="172" t="s">
        <v>395</v>
      </c>
      <c r="D2" s="172" t="s">
        <v>396</v>
      </c>
      <c r="E2" s="172" t="s">
        <v>397</v>
      </c>
      <c r="F2" s="172" t="s">
        <v>353</v>
      </c>
    </row>
    <row r="3" spans="1:10" ht="27.6" customHeight="1" x14ac:dyDescent="0.2">
      <c r="A3" s="466" t="s">
        <v>398</v>
      </c>
      <c r="B3" s="391" t="s">
        <v>399</v>
      </c>
      <c r="C3" s="392" t="s">
        <v>400</v>
      </c>
      <c r="D3" s="392" t="s">
        <v>401</v>
      </c>
      <c r="E3" s="393" t="s">
        <v>402</v>
      </c>
      <c r="F3" s="394" t="s">
        <v>403</v>
      </c>
      <c r="G3" s="354"/>
      <c r="H3" s="354"/>
      <c r="I3" s="354"/>
      <c r="J3" s="354"/>
    </row>
    <row r="4" spans="1:10" ht="27.6" customHeight="1" thickBot="1" x14ac:dyDescent="0.25">
      <c r="A4" s="467"/>
      <c r="B4" s="395" t="s">
        <v>404</v>
      </c>
      <c r="C4" s="396" t="s">
        <v>405</v>
      </c>
      <c r="D4" s="395" t="s">
        <v>406</v>
      </c>
      <c r="E4" s="397" t="s">
        <v>407</v>
      </c>
      <c r="F4" s="398" t="s">
        <v>403</v>
      </c>
      <c r="G4" s="354"/>
      <c r="H4" s="354"/>
      <c r="I4" s="354"/>
      <c r="J4" s="354"/>
    </row>
    <row r="5" spans="1:10" ht="25.9" customHeight="1" x14ac:dyDescent="0.2">
      <c r="A5" s="466" t="s">
        <v>408</v>
      </c>
      <c r="B5" s="391" t="s">
        <v>409</v>
      </c>
      <c r="C5" s="399" t="s">
        <v>699</v>
      </c>
      <c r="D5" s="399" t="s">
        <v>699</v>
      </c>
      <c r="E5" s="393" t="s">
        <v>402</v>
      </c>
      <c r="F5" s="468" t="s">
        <v>410</v>
      </c>
      <c r="G5" s="470"/>
      <c r="H5" s="470"/>
      <c r="I5" s="470"/>
      <c r="J5" s="470"/>
    </row>
    <row r="6" spans="1:10" ht="27" customHeight="1" thickBot="1" x14ac:dyDescent="0.25">
      <c r="A6" s="467"/>
      <c r="B6" s="395" t="s">
        <v>404</v>
      </c>
      <c r="C6" s="396" t="s">
        <v>405</v>
      </c>
      <c r="D6" s="395" t="s">
        <v>406</v>
      </c>
      <c r="E6" s="397" t="s">
        <v>407</v>
      </c>
      <c r="F6" s="469"/>
      <c r="G6" s="365"/>
      <c r="H6" s="365"/>
      <c r="I6" s="365"/>
      <c r="J6" s="365"/>
    </row>
    <row r="7" spans="1:10" ht="15.6" customHeight="1" x14ac:dyDescent="0.2">
      <c r="A7" s="354" t="s">
        <v>411</v>
      </c>
      <c r="B7" s="7"/>
      <c r="C7" s="7"/>
      <c r="D7" s="7"/>
      <c r="E7" s="7"/>
    </row>
    <row r="8" spans="1:10" ht="15.6" customHeight="1" x14ac:dyDescent="0.2">
      <c r="A8" s="7"/>
      <c r="B8" s="7"/>
      <c r="C8" s="7"/>
      <c r="D8" s="7"/>
      <c r="E8" s="7"/>
    </row>
    <row r="9" spans="1:10" x14ac:dyDescent="0.2">
      <c r="A9" s="7"/>
      <c r="B9" s="7"/>
      <c r="C9" s="7"/>
      <c r="D9" s="7"/>
      <c r="E9" s="7"/>
    </row>
    <row r="10" spans="1:10" ht="25.9" customHeight="1" x14ac:dyDescent="0.2">
      <c r="A10" s="463" t="s">
        <v>412</v>
      </c>
      <c r="B10" s="463"/>
      <c r="C10" s="463"/>
      <c r="D10" s="463"/>
      <c r="E10" s="465"/>
    </row>
    <row r="11" spans="1:10" ht="17.649999999999999" customHeight="1" x14ac:dyDescent="0.2">
      <c r="A11" s="171" t="s">
        <v>287</v>
      </c>
      <c r="B11" s="171" t="s">
        <v>413</v>
      </c>
      <c r="C11" s="48" t="s">
        <v>395</v>
      </c>
      <c r="D11" s="48" t="s">
        <v>396</v>
      </c>
      <c r="E11" s="172" t="s">
        <v>353</v>
      </c>
    </row>
    <row r="12" spans="1:10" ht="17.649999999999999" customHeight="1" x14ac:dyDescent="0.2">
      <c r="A12" s="361" t="s">
        <v>310</v>
      </c>
      <c r="B12" s="461">
        <v>2008</v>
      </c>
      <c r="C12" s="461" t="s">
        <v>414</v>
      </c>
      <c r="D12" s="464" t="s">
        <v>415</v>
      </c>
      <c r="E12" s="461" t="s">
        <v>416</v>
      </c>
    </row>
    <row r="13" spans="1:10" ht="17.649999999999999" customHeight="1" x14ac:dyDescent="0.2">
      <c r="A13" s="361" t="s">
        <v>312</v>
      </c>
      <c r="B13" s="461"/>
      <c r="C13" s="461"/>
      <c r="D13" s="461"/>
      <c r="E13" s="461"/>
    </row>
    <row r="14" spans="1:10" ht="17.649999999999999" customHeight="1" x14ac:dyDescent="0.2">
      <c r="A14" s="361" t="s">
        <v>313</v>
      </c>
      <c r="B14" s="461"/>
      <c r="C14" s="461"/>
      <c r="D14" s="461"/>
      <c r="E14" s="461"/>
    </row>
    <row r="15" spans="1:10" ht="38.25" customHeight="1" x14ac:dyDescent="0.2">
      <c r="A15" s="361" t="s">
        <v>315</v>
      </c>
      <c r="B15" s="366">
        <v>2013</v>
      </c>
      <c r="C15" s="361" t="s">
        <v>414</v>
      </c>
      <c r="D15" s="363" t="s">
        <v>417</v>
      </c>
      <c r="E15" s="361" t="s">
        <v>418</v>
      </c>
    </row>
    <row r="16" spans="1:10" ht="73.5" customHeight="1" x14ac:dyDescent="0.2">
      <c r="A16" s="461" t="s">
        <v>408</v>
      </c>
      <c r="B16" s="471">
        <v>2025</v>
      </c>
      <c r="C16" s="363" t="s">
        <v>419</v>
      </c>
      <c r="D16" s="361" t="s">
        <v>420</v>
      </c>
      <c r="E16" s="363" t="s">
        <v>421</v>
      </c>
    </row>
    <row r="17" spans="1:38" ht="46.5" customHeight="1" x14ac:dyDescent="0.2">
      <c r="A17" s="461"/>
      <c r="B17" s="471"/>
      <c r="C17" s="363" t="s">
        <v>422</v>
      </c>
      <c r="D17" s="363" t="s">
        <v>423</v>
      </c>
      <c r="E17" s="361" t="s">
        <v>424</v>
      </c>
      <c r="F17" s="9"/>
    </row>
    <row r="18" spans="1:38" ht="13.9" customHeight="1" x14ac:dyDescent="0.2">
      <c r="A18" s="10"/>
      <c r="D18" s="36"/>
    </row>
    <row r="20" spans="1:38" ht="13.9" customHeight="1" x14ac:dyDescent="0.2">
      <c r="A20" s="475" t="s">
        <v>425</v>
      </c>
      <c r="B20" s="475"/>
      <c r="C20" s="475"/>
      <c r="D20" s="475"/>
      <c r="E20" s="475"/>
      <c r="F20" s="475"/>
      <c r="G20" s="475"/>
      <c r="H20" s="475"/>
      <c r="I20" s="475"/>
    </row>
    <row r="21" spans="1:38" ht="43.5" customHeight="1" x14ac:dyDescent="0.2">
      <c r="A21" s="112" t="s">
        <v>287</v>
      </c>
      <c r="B21" s="112" t="s">
        <v>426</v>
      </c>
      <c r="C21" s="112" t="s">
        <v>427</v>
      </c>
      <c r="D21" s="113" t="s">
        <v>428</v>
      </c>
      <c r="E21" s="113" t="s">
        <v>429</v>
      </c>
      <c r="F21" s="113" t="s">
        <v>430</v>
      </c>
      <c r="G21" s="113" t="s">
        <v>431</v>
      </c>
      <c r="H21" s="114" t="s">
        <v>432</v>
      </c>
      <c r="I21" s="115" t="s">
        <v>289</v>
      </c>
    </row>
    <row r="22" spans="1:38" ht="32.25" customHeight="1" x14ac:dyDescent="0.2">
      <c r="A22" s="476" t="s">
        <v>433</v>
      </c>
      <c r="B22" s="476" t="s">
        <v>434</v>
      </c>
      <c r="C22" s="359" t="s">
        <v>435</v>
      </c>
      <c r="D22" s="359">
        <v>5.58</v>
      </c>
      <c r="E22" s="359">
        <v>0.65</v>
      </c>
      <c r="F22" s="438" t="s">
        <v>436</v>
      </c>
      <c r="G22" s="477"/>
      <c r="H22" s="472" t="s">
        <v>437</v>
      </c>
      <c r="I22" s="479"/>
    </row>
    <row r="23" spans="1:38" ht="21.6" customHeight="1" x14ac:dyDescent="0.2">
      <c r="A23" s="441"/>
      <c r="B23" s="441"/>
      <c r="C23" s="367" t="s">
        <v>438</v>
      </c>
      <c r="D23" s="367">
        <v>1.33</v>
      </c>
      <c r="E23" s="367">
        <v>0.65</v>
      </c>
      <c r="F23" s="472"/>
      <c r="G23" s="478"/>
      <c r="H23" s="474"/>
      <c r="I23" s="480"/>
    </row>
    <row r="24" spans="1:38" ht="16.149999999999999" customHeight="1" x14ac:dyDescent="0.2">
      <c r="A24" s="116" t="s">
        <v>439</v>
      </c>
      <c r="B24" s="117"/>
      <c r="C24" s="118"/>
      <c r="D24" s="118"/>
      <c r="E24" s="119"/>
      <c r="F24" s="120"/>
      <c r="G24" s="120"/>
      <c r="H24" s="120"/>
      <c r="I24" s="121"/>
    </row>
    <row r="25" spans="1:38" ht="13.9" customHeight="1" x14ac:dyDescent="0.2">
      <c r="A25" s="122" t="s">
        <v>440</v>
      </c>
      <c r="B25" s="123"/>
      <c r="C25" s="123"/>
      <c r="D25" s="124"/>
      <c r="E25" s="123"/>
      <c r="F25" s="123"/>
      <c r="G25" s="123"/>
      <c r="H25" s="123"/>
      <c r="I25" s="125"/>
    </row>
    <row r="26" spans="1:38" ht="18.75" customHeight="1" x14ac:dyDescent="0.2">
      <c r="A26" s="476" t="s">
        <v>408</v>
      </c>
      <c r="B26" s="481" t="s">
        <v>441</v>
      </c>
      <c r="C26" s="369" t="s">
        <v>435</v>
      </c>
      <c r="D26" s="362">
        <f>G26*F26*E26/746*6356</f>
        <v>5.0490581501340479</v>
      </c>
      <c r="E26" s="461">
        <v>0.65</v>
      </c>
      <c r="F26" s="462">
        <v>0.9</v>
      </c>
      <c r="G26" s="359">
        <v>1.0129999999999999</v>
      </c>
      <c r="H26" s="438" t="s">
        <v>442</v>
      </c>
      <c r="I26" s="472" t="s">
        <v>443</v>
      </c>
    </row>
    <row r="27" spans="1:38" ht="18.75" customHeight="1" x14ac:dyDescent="0.2">
      <c r="A27" s="476"/>
      <c r="B27" s="481"/>
      <c r="C27" s="363" t="s">
        <v>444</v>
      </c>
      <c r="D27" s="362">
        <f>G27*F26*E26/746*6356</f>
        <v>3.8877249329758712</v>
      </c>
      <c r="E27" s="461"/>
      <c r="F27" s="462"/>
      <c r="G27" s="359">
        <v>0.78</v>
      </c>
      <c r="H27" s="438"/>
      <c r="I27" s="473"/>
    </row>
    <row r="28" spans="1:38" ht="18.75" customHeight="1" x14ac:dyDescent="0.2">
      <c r="A28" s="476"/>
      <c r="B28" s="481"/>
      <c r="C28" s="363" t="s">
        <v>445</v>
      </c>
      <c r="D28" s="362">
        <f>G28*F26*E26/746*6356</f>
        <v>3.5886691689008043</v>
      </c>
      <c r="E28" s="461"/>
      <c r="F28" s="462"/>
      <c r="G28" s="359">
        <v>0.72</v>
      </c>
      <c r="H28" s="438"/>
      <c r="I28" s="474"/>
    </row>
    <row r="29" spans="1:38" ht="18" customHeight="1" x14ac:dyDescent="0.2">
      <c r="A29" s="10"/>
      <c r="D29" s="36"/>
    </row>
    <row r="30" spans="1:38" x14ac:dyDescent="0.2">
      <c r="D30" s="36"/>
    </row>
    <row r="31" spans="1:38" s="26" customFormat="1" hidden="1" x14ac:dyDescent="0.2">
      <c r="A31" s="26" t="s">
        <v>183</v>
      </c>
    </row>
    <row r="32" spans="1:38" x14ac:dyDescent="0.2">
      <c r="U32" s="33"/>
      <c r="V32" s="33"/>
      <c r="W32" s="55"/>
      <c r="X32" s="55"/>
      <c r="Y32" s="55"/>
      <c r="Z32" s="55"/>
      <c r="AA32" s="55"/>
      <c r="AB32" s="55"/>
      <c r="AC32" s="55"/>
      <c r="AD32" s="55"/>
      <c r="AE32" s="55"/>
      <c r="AF32" s="55"/>
      <c r="AG32" s="55"/>
      <c r="AH32" s="55"/>
      <c r="AI32" s="55"/>
      <c r="AJ32" s="55"/>
      <c r="AK32" s="55"/>
      <c r="AL32" s="55"/>
    </row>
    <row r="33" spans="21:22" x14ac:dyDescent="0.2">
      <c r="V33" s="38"/>
    </row>
    <row r="34" spans="21:22" x14ac:dyDescent="0.2">
      <c r="U34" s="35"/>
      <c r="V34" s="38"/>
    </row>
    <row r="35" spans="21:22" x14ac:dyDescent="0.2">
      <c r="U35" s="35"/>
      <c r="V35" s="38"/>
    </row>
    <row r="36" spans="21:22" x14ac:dyDescent="0.2">
      <c r="U36" s="35"/>
      <c r="V36" s="38"/>
    </row>
    <row r="37" spans="21:22" x14ac:dyDescent="0.2">
      <c r="U37" s="35"/>
      <c r="V37" s="38"/>
    </row>
    <row r="38" spans="21:22" x14ac:dyDescent="0.2">
      <c r="U38" s="35"/>
      <c r="V38" s="38"/>
    </row>
    <row r="39" spans="21:22" x14ac:dyDescent="0.2">
      <c r="U39" s="35"/>
      <c r="V39" s="38"/>
    </row>
    <row r="40" spans="21:22" x14ac:dyDescent="0.2">
      <c r="U40" s="35"/>
      <c r="V40" s="38"/>
    </row>
    <row r="41" spans="21:22" x14ac:dyDescent="0.2">
      <c r="U41" s="35"/>
      <c r="V41" s="38"/>
    </row>
    <row r="42" spans="21:22" x14ac:dyDescent="0.2">
      <c r="U42" s="35"/>
      <c r="V42" s="38"/>
    </row>
    <row r="43" spans="21:22" x14ac:dyDescent="0.2">
      <c r="U43" s="35"/>
      <c r="V43" s="38"/>
    </row>
    <row r="44" spans="21:22" x14ac:dyDescent="0.2">
      <c r="U44" s="35"/>
      <c r="V44" s="38"/>
    </row>
    <row r="45" spans="21:22" x14ac:dyDescent="0.2">
      <c r="U45" s="35"/>
      <c r="V45" s="38"/>
    </row>
    <row r="46" spans="21:22" x14ac:dyDescent="0.2">
      <c r="U46" s="35"/>
      <c r="V46" s="38"/>
    </row>
    <row r="47" spans="21:22" x14ac:dyDescent="0.2">
      <c r="U47" s="35"/>
      <c r="V47" s="38"/>
    </row>
    <row r="48" spans="21:22" x14ac:dyDescent="0.2">
      <c r="U48" s="35"/>
      <c r="V48" s="38"/>
    </row>
    <row r="49" spans="21:38" x14ac:dyDescent="0.2">
      <c r="U49" s="35"/>
      <c r="V49" s="38"/>
    </row>
    <row r="50" spans="21:38" x14ac:dyDescent="0.2">
      <c r="U50" s="35"/>
      <c r="V50" s="38"/>
    </row>
    <row r="51" spans="21:38" x14ac:dyDescent="0.2">
      <c r="U51" s="35"/>
      <c r="V51" s="38"/>
    </row>
    <row r="52" spans="21:38" x14ac:dyDescent="0.2">
      <c r="U52" s="35"/>
      <c r="V52" s="38"/>
    </row>
    <row r="53" spans="21:38" x14ac:dyDescent="0.2">
      <c r="U53" s="35"/>
      <c r="V53" s="38"/>
    </row>
    <row r="54" spans="21:38" x14ac:dyDescent="0.2">
      <c r="U54" s="35"/>
      <c r="W54" s="34"/>
      <c r="X54" s="34"/>
      <c r="Y54" s="34"/>
      <c r="Z54" s="34"/>
      <c r="AA54" s="34"/>
      <c r="AB54" s="34"/>
      <c r="AC54" s="34"/>
      <c r="AD54" s="34"/>
      <c r="AE54" s="34"/>
      <c r="AF54" s="34"/>
      <c r="AG54" s="34"/>
      <c r="AH54" s="34"/>
      <c r="AI54" s="34"/>
      <c r="AJ54" s="34"/>
      <c r="AK54" s="34"/>
      <c r="AL54" s="34"/>
    </row>
    <row r="55" spans="21:38" x14ac:dyDescent="0.2">
      <c r="U55" s="37"/>
      <c r="W55" s="35"/>
      <c r="X55" s="35"/>
      <c r="Y55" s="35"/>
      <c r="Z55" s="35"/>
      <c r="AA55" s="35"/>
      <c r="AB55" s="35"/>
      <c r="AC55" s="35"/>
      <c r="AD55" s="35"/>
      <c r="AE55" s="35"/>
      <c r="AF55" s="35"/>
      <c r="AG55" s="35"/>
      <c r="AH55" s="35"/>
      <c r="AI55" s="35"/>
      <c r="AJ55" s="35"/>
      <c r="AK55" s="35"/>
      <c r="AL55" s="35"/>
    </row>
  </sheetData>
  <mergeCells count="25">
    <mergeCell ref="G5:J5"/>
    <mergeCell ref="A16:A17"/>
    <mergeCell ref="B16:B17"/>
    <mergeCell ref="E12:E14"/>
    <mergeCell ref="H26:H28"/>
    <mergeCell ref="I26:I28"/>
    <mergeCell ref="B12:B14"/>
    <mergeCell ref="A20:I20"/>
    <mergeCell ref="A22:A23"/>
    <mergeCell ref="B22:B23"/>
    <mergeCell ref="F22:F23"/>
    <mergeCell ref="G22:G23"/>
    <mergeCell ref="H22:H23"/>
    <mergeCell ref="I22:I23"/>
    <mergeCell ref="A26:A28"/>
    <mergeCell ref="B26:B28"/>
    <mergeCell ref="E26:E28"/>
    <mergeCell ref="F26:F28"/>
    <mergeCell ref="A1:F1"/>
    <mergeCell ref="D12:D14"/>
    <mergeCell ref="C12:C14"/>
    <mergeCell ref="A10:E10"/>
    <mergeCell ref="A3:A4"/>
    <mergeCell ref="A5:A6"/>
    <mergeCell ref="F5:F6"/>
  </mergeCells>
  <phoneticPr fontId="5" type="noConversion"/>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1A39FB-0FF3-4EE1-BBDF-BEA1AF34949F}">
  <sheetPr codeName="Sheet9"/>
  <dimension ref="A1:R13"/>
  <sheetViews>
    <sheetView workbookViewId="0">
      <selection sqref="A1:R1"/>
    </sheetView>
  </sheetViews>
  <sheetFormatPr defaultRowHeight="15" x14ac:dyDescent="0.25"/>
  <cols>
    <col min="1" max="1" width="24.28515625" bestFit="1" customWidth="1"/>
    <col min="18" max="18" width="23.5703125" customWidth="1"/>
  </cols>
  <sheetData>
    <row r="1" spans="1:18" ht="24" customHeight="1" x14ac:dyDescent="0.25">
      <c r="A1" s="483" t="str">
        <f>"Thermostat Setpoints - "&amp;Prototype!A2  &amp; ":ResidentialLiving &amp; ResidentialCommon"</f>
        <v>Thermostat Setpoints - ApartmentMidRise :ResidentialLiving &amp; ResidentialCommon</v>
      </c>
      <c r="B1" s="483"/>
      <c r="C1" s="483"/>
      <c r="D1" s="483"/>
      <c r="E1" s="483"/>
      <c r="F1" s="483"/>
      <c r="G1" s="483"/>
      <c r="H1" s="483"/>
      <c r="I1" s="483"/>
      <c r="J1" s="483"/>
      <c r="K1" s="483"/>
      <c r="L1" s="483"/>
      <c r="M1" s="483"/>
      <c r="N1" s="483"/>
      <c r="O1" s="483"/>
      <c r="P1" s="483"/>
      <c r="Q1" s="483"/>
      <c r="R1" s="483"/>
    </row>
    <row r="2" spans="1:18" ht="21.6" customHeight="1" x14ac:dyDescent="0.25">
      <c r="A2" s="258" t="s">
        <v>446</v>
      </c>
      <c r="B2" s="371" t="s">
        <v>290</v>
      </c>
      <c r="C2" s="371" t="s">
        <v>291</v>
      </c>
      <c r="D2" s="371" t="s">
        <v>292</v>
      </c>
      <c r="E2" s="371" t="s">
        <v>293</v>
      </c>
      <c r="F2" s="371" t="s">
        <v>294</v>
      </c>
      <c r="G2" s="371" t="s">
        <v>295</v>
      </c>
      <c r="H2" s="371" t="s">
        <v>296</v>
      </c>
      <c r="I2" s="371" t="s">
        <v>297</v>
      </c>
      <c r="J2" s="371" t="s">
        <v>298</v>
      </c>
      <c r="K2" s="371" t="s">
        <v>299</v>
      </c>
      <c r="L2" s="371" t="s">
        <v>300</v>
      </c>
      <c r="M2" s="371" t="s">
        <v>301</v>
      </c>
      <c r="N2" s="371" t="s">
        <v>302</v>
      </c>
      <c r="O2" s="371" t="s">
        <v>303</v>
      </c>
      <c r="P2" s="371" t="s">
        <v>304</v>
      </c>
      <c r="Q2" s="371" t="s">
        <v>305</v>
      </c>
      <c r="R2" s="293" t="s">
        <v>353</v>
      </c>
    </row>
    <row r="3" spans="1:18" ht="26.45" customHeight="1" x14ac:dyDescent="0.25">
      <c r="A3" s="203" t="s">
        <v>447</v>
      </c>
      <c r="B3" s="361">
        <v>68</v>
      </c>
      <c r="C3" s="361">
        <v>68</v>
      </c>
      <c r="D3" s="361">
        <v>68</v>
      </c>
      <c r="E3" s="361">
        <v>68</v>
      </c>
      <c r="F3" s="361">
        <v>68</v>
      </c>
      <c r="G3" s="361">
        <v>68</v>
      </c>
      <c r="H3" s="361">
        <v>68</v>
      </c>
      <c r="I3" s="361">
        <v>68</v>
      </c>
      <c r="J3" s="361">
        <v>68</v>
      </c>
      <c r="K3" s="361">
        <v>68</v>
      </c>
      <c r="L3" s="361">
        <v>68</v>
      </c>
      <c r="M3" s="361">
        <v>68</v>
      </c>
      <c r="N3" s="361">
        <v>68</v>
      </c>
      <c r="O3" s="361">
        <v>68</v>
      </c>
      <c r="P3" s="361">
        <v>68</v>
      </c>
      <c r="Q3" s="361">
        <v>68</v>
      </c>
      <c r="R3" s="482" t="s">
        <v>448</v>
      </c>
    </row>
    <row r="4" spans="1:18" ht="26.45" customHeight="1" x14ac:dyDescent="0.25">
      <c r="A4" s="203" t="s">
        <v>449</v>
      </c>
      <c r="B4" s="361">
        <v>60</v>
      </c>
      <c r="C4" s="361">
        <v>60</v>
      </c>
      <c r="D4" s="361">
        <v>60</v>
      </c>
      <c r="E4" s="361">
        <v>60</v>
      </c>
      <c r="F4" s="361">
        <v>60</v>
      </c>
      <c r="G4" s="361">
        <v>60</v>
      </c>
      <c r="H4" s="361">
        <v>60</v>
      </c>
      <c r="I4" s="361">
        <v>60</v>
      </c>
      <c r="J4" s="361">
        <v>60</v>
      </c>
      <c r="K4" s="361">
        <v>60</v>
      </c>
      <c r="L4" s="361">
        <v>60</v>
      </c>
      <c r="M4" s="361">
        <v>60</v>
      </c>
      <c r="N4" s="361">
        <v>60</v>
      </c>
      <c r="O4" s="361">
        <v>60</v>
      </c>
      <c r="P4" s="361">
        <v>60</v>
      </c>
      <c r="Q4" s="361">
        <v>60</v>
      </c>
      <c r="R4" s="482"/>
    </row>
    <row r="5" spans="1:18" ht="22.9" customHeight="1" x14ac:dyDescent="0.25">
      <c r="A5" s="203" t="s">
        <v>450</v>
      </c>
      <c r="B5" s="361">
        <v>78</v>
      </c>
      <c r="C5" s="361">
        <v>78</v>
      </c>
      <c r="D5" s="361">
        <v>78</v>
      </c>
      <c r="E5" s="361">
        <v>78</v>
      </c>
      <c r="F5" s="361">
        <v>78</v>
      </c>
      <c r="G5" s="361">
        <v>78</v>
      </c>
      <c r="H5" s="361">
        <v>78</v>
      </c>
      <c r="I5" s="361">
        <v>78</v>
      </c>
      <c r="J5" s="361">
        <v>78</v>
      </c>
      <c r="K5" s="361">
        <v>78</v>
      </c>
      <c r="L5" s="361">
        <v>78</v>
      </c>
      <c r="M5" s="361">
        <v>78</v>
      </c>
      <c r="N5" s="361">
        <v>78</v>
      </c>
      <c r="O5" s="361">
        <v>78</v>
      </c>
      <c r="P5" s="361">
        <v>78</v>
      </c>
      <c r="Q5" s="361">
        <v>78</v>
      </c>
      <c r="R5" s="482" t="s">
        <v>448</v>
      </c>
    </row>
    <row r="6" spans="1:18" ht="22.9" customHeight="1" x14ac:dyDescent="0.25">
      <c r="A6" s="203" t="s">
        <v>451</v>
      </c>
      <c r="B6" s="361">
        <v>78</v>
      </c>
      <c r="C6" s="361">
        <v>78</v>
      </c>
      <c r="D6" s="361">
        <v>78</v>
      </c>
      <c r="E6" s="361">
        <v>78</v>
      </c>
      <c r="F6" s="361">
        <v>78</v>
      </c>
      <c r="G6" s="361">
        <v>78</v>
      </c>
      <c r="H6" s="361">
        <v>78</v>
      </c>
      <c r="I6" s="361">
        <v>78</v>
      </c>
      <c r="J6" s="361">
        <v>78</v>
      </c>
      <c r="K6" s="361">
        <v>78</v>
      </c>
      <c r="L6" s="361">
        <v>78</v>
      </c>
      <c r="M6" s="361">
        <v>78</v>
      </c>
      <c r="N6" s="361">
        <v>78</v>
      </c>
      <c r="O6" s="361">
        <v>78</v>
      </c>
      <c r="P6" s="361">
        <v>78</v>
      </c>
      <c r="Q6" s="361">
        <v>78</v>
      </c>
      <c r="R6" s="482"/>
    </row>
    <row r="8" spans="1:18" ht="24" customHeight="1" x14ac:dyDescent="0.25">
      <c r="A8" s="483" t="str">
        <f>"Thermostat Setpoints - "&amp;Prototype!A2  &amp; ":Retail"</f>
        <v>Thermostat Setpoints - ApartmentMidRise :Retail</v>
      </c>
      <c r="B8" s="483"/>
      <c r="C8" s="483"/>
      <c r="D8" s="483"/>
      <c r="E8" s="483"/>
      <c r="F8" s="483"/>
      <c r="G8" s="483"/>
      <c r="H8" s="483"/>
      <c r="I8" s="483"/>
      <c r="J8" s="483"/>
      <c r="K8" s="483"/>
      <c r="L8" s="483"/>
      <c r="M8" s="483"/>
      <c r="N8" s="483"/>
      <c r="O8" s="483"/>
      <c r="P8" s="483"/>
      <c r="Q8" s="483"/>
      <c r="R8" s="483"/>
    </row>
    <row r="9" spans="1:18" ht="21.6" customHeight="1" x14ac:dyDescent="0.25">
      <c r="A9" s="258" t="s">
        <v>446</v>
      </c>
      <c r="B9" s="371" t="s">
        <v>290</v>
      </c>
      <c r="C9" s="371" t="s">
        <v>291</v>
      </c>
      <c r="D9" s="371" t="s">
        <v>292</v>
      </c>
      <c r="E9" s="371" t="s">
        <v>293</v>
      </c>
      <c r="F9" s="371" t="s">
        <v>294</v>
      </c>
      <c r="G9" s="371" t="s">
        <v>295</v>
      </c>
      <c r="H9" s="371" t="s">
        <v>296</v>
      </c>
      <c r="I9" s="371" t="s">
        <v>297</v>
      </c>
      <c r="J9" s="371" t="s">
        <v>298</v>
      </c>
      <c r="K9" s="371" t="s">
        <v>299</v>
      </c>
      <c r="L9" s="371" t="s">
        <v>300</v>
      </c>
      <c r="M9" s="371" t="s">
        <v>301</v>
      </c>
      <c r="N9" s="371" t="s">
        <v>302</v>
      </c>
      <c r="O9" s="371" t="s">
        <v>303</v>
      </c>
      <c r="P9" s="371" t="s">
        <v>304</v>
      </c>
      <c r="Q9" s="371" t="s">
        <v>305</v>
      </c>
      <c r="R9" s="293" t="s">
        <v>353</v>
      </c>
    </row>
    <row r="10" spans="1:18" ht="26.45" customHeight="1" x14ac:dyDescent="0.25">
      <c r="A10" s="203" t="s">
        <v>452</v>
      </c>
      <c r="B10" s="361">
        <v>70</v>
      </c>
      <c r="C10" s="361">
        <v>70</v>
      </c>
      <c r="D10" s="361">
        <v>70</v>
      </c>
      <c r="E10" s="361">
        <v>70</v>
      </c>
      <c r="F10" s="361">
        <v>70</v>
      </c>
      <c r="G10" s="361">
        <v>70</v>
      </c>
      <c r="H10" s="361">
        <v>70</v>
      </c>
      <c r="I10" s="361">
        <v>70</v>
      </c>
      <c r="J10" s="361">
        <v>70</v>
      </c>
      <c r="K10" s="361">
        <v>70</v>
      </c>
      <c r="L10" s="361">
        <v>70</v>
      </c>
      <c r="M10" s="361">
        <v>70</v>
      </c>
      <c r="N10" s="361">
        <v>70</v>
      </c>
      <c r="O10" s="361">
        <v>70</v>
      </c>
      <c r="P10" s="361">
        <v>70</v>
      </c>
      <c r="Q10" s="361">
        <v>70</v>
      </c>
      <c r="R10" s="482" t="s">
        <v>453</v>
      </c>
    </row>
    <row r="11" spans="1:18" ht="26.45" customHeight="1" x14ac:dyDescent="0.25">
      <c r="A11" s="203" t="s">
        <v>454</v>
      </c>
      <c r="B11" s="361">
        <v>60</v>
      </c>
      <c r="C11" s="361">
        <v>60</v>
      </c>
      <c r="D11" s="361">
        <v>60</v>
      </c>
      <c r="E11" s="361">
        <v>60</v>
      </c>
      <c r="F11" s="361">
        <v>60</v>
      </c>
      <c r="G11" s="361">
        <v>60</v>
      </c>
      <c r="H11" s="361">
        <v>60</v>
      </c>
      <c r="I11" s="361">
        <v>60</v>
      </c>
      <c r="J11" s="361">
        <v>60</v>
      </c>
      <c r="K11" s="361">
        <v>60</v>
      </c>
      <c r="L11" s="361">
        <v>60</v>
      </c>
      <c r="M11" s="361">
        <v>60</v>
      </c>
      <c r="N11" s="361">
        <v>60</v>
      </c>
      <c r="O11" s="361">
        <v>60</v>
      </c>
      <c r="P11" s="361">
        <v>60</v>
      </c>
      <c r="Q11" s="361">
        <v>60</v>
      </c>
      <c r="R11" s="482"/>
    </row>
    <row r="12" spans="1:18" ht="22.9" customHeight="1" x14ac:dyDescent="0.25">
      <c r="A12" s="203" t="s">
        <v>455</v>
      </c>
      <c r="B12" s="361">
        <v>75</v>
      </c>
      <c r="C12" s="361">
        <v>75</v>
      </c>
      <c r="D12" s="361">
        <v>75</v>
      </c>
      <c r="E12" s="361">
        <v>75</v>
      </c>
      <c r="F12" s="361">
        <v>75</v>
      </c>
      <c r="G12" s="361">
        <v>75</v>
      </c>
      <c r="H12" s="361">
        <v>75</v>
      </c>
      <c r="I12" s="361">
        <v>75</v>
      </c>
      <c r="J12" s="361">
        <v>75</v>
      </c>
      <c r="K12" s="361">
        <v>75</v>
      </c>
      <c r="L12" s="361">
        <v>75</v>
      </c>
      <c r="M12" s="361">
        <v>75</v>
      </c>
      <c r="N12" s="361">
        <v>75</v>
      </c>
      <c r="O12" s="361">
        <v>75</v>
      </c>
      <c r="P12" s="361">
        <v>75</v>
      </c>
      <c r="Q12" s="361">
        <v>75</v>
      </c>
      <c r="R12" s="482"/>
    </row>
    <row r="13" spans="1:18" ht="22.9" customHeight="1" x14ac:dyDescent="0.25">
      <c r="A13" s="203" t="s">
        <v>456</v>
      </c>
      <c r="B13" s="361">
        <v>85</v>
      </c>
      <c r="C13" s="361">
        <v>85</v>
      </c>
      <c r="D13" s="361">
        <v>85</v>
      </c>
      <c r="E13" s="361">
        <v>85</v>
      </c>
      <c r="F13" s="361">
        <v>85</v>
      </c>
      <c r="G13" s="361">
        <v>85</v>
      </c>
      <c r="H13" s="361">
        <v>85</v>
      </c>
      <c r="I13" s="361">
        <v>85</v>
      </c>
      <c r="J13" s="361">
        <v>85</v>
      </c>
      <c r="K13" s="361">
        <v>85</v>
      </c>
      <c r="L13" s="361">
        <v>85</v>
      </c>
      <c r="M13" s="361">
        <v>85</v>
      </c>
      <c r="N13" s="361">
        <v>85</v>
      </c>
      <c r="O13" s="361">
        <v>85</v>
      </c>
      <c r="P13" s="361">
        <v>85</v>
      </c>
      <c r="Q13" s="361">
        <v>85</v>
      </c>
      <c r="R13" s="482"/>
    </row>
  </sheetData>
  <mergeCells count="6">
    <mergeCell ref="R12:R13"/>
    <mergeCell ref="A1:R1"/>
    <mergeCell ref="R3:R4"/>
    <mergeCell ref="R5:R6"/>
    <mergeCell ref="A8:R8"/>
    <mergeCell ref="R10:R11"/>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1730C9-5C61-418E-9D38-D82374F9BCB6}">
  <sheetPr codeName="Sheet15"/>
  <dimension ref="A1:L98"/>
  <sheetViews>
    <sheetView zoomScale="80" zoomScaleNormal="80" workbookViewId="0">
      <selection sqref="A1:L1"/>
    </sheetView>
  </sheetViews>
  <sheetFormatPr defaultColWidth="9.28515625" defaultRowHeight="14.25" x14ac:dyDescent="0.25"/>
  <cols>
    <col min="1" max="1" width="26.85546875" style="189" customWidth="1"/>
    <col min="2" max="2" width="20.28515625" style="189" customWidth="1"/>
    <col min="3" max="3" width="23.42578125" style="189" customWidth="1"/>
    <col min="4" max="5" width="25.7109375" style="193" customWidth="1"/>
    <col min="6" max="6" width="27.85546875" style="193" customWidth="1"/>
    <col min="7" max="7" width="26.42578125" style="193" bestFit="1" customWidth="1"/>
    <col min="8" max="8" width="17.85546875" style="193" customWidth="1"/>
    <col min="9" max="9" width="17.42578125" style="193" customWidth="1"/>
    <col min="10" max="10" width="15.28515625" style="193" customWidth="1"/>
    <col min="11" max="11" width="12.140625" style="193" customWidth="1"/>
    <col min="12" max="12" width="47.7109375" style="193" bestFit="1" customWidth="1"/>
    <col min="13" max="13" width="13.7109375" style="189" customWidth="1"/>
    <col min="14" max="14" width="11.7109375" style="189" customWidth="1"/>
    <col min="15" max="15" width="13.7109375" style="189" customWidth="1"/>
    <col min="16" max="16" width="12.28515625" style="189" customWidth="1"/>
    <col min="17" max="17" width="13.7109375" style="189" customWidth="1"/>
    <col min="18" max="18" width="12.28515625" style="189" customWidth="1"/>
    <col min="19" max="19" width="13.7109375" style="189" customWidth="1"/>
    <col min="20" max="20" width="11.7109375" style="189" customWidth="1"/>
    <col min="21" max="22" width="10.7109375" style="189" customWidth="1"/>
    <col min="23" max="23" width="9.28515625" style="189"/>
    <col min="24" max="28" width="11.28515625" style="189" customWidth="1"/>
    <col min="29" max="16384" width="9.28515625" style="189"/>
  </cols>
  <sheetData>
    <row r="1" spans="1:12" ht="24.6" customHeight="1" x14ac:dyDescent="0.25">
      <c r="A1" s="484" t="str">
        <f>"Outdoor Airflow Rate - "&amp;Prototype!A2</f>
        <v xml:space="preserve">Outdoor Airflow Rate - ApartmentMidRise </v>
      </c>
      <c r="B1" s="465"/>
      <c r="C1" s="465"/>
      <c r="D1" s="465"/>
      <c r="E1" s="465"/>
      <c r="F1" s="465"/>
      <c r="G1" s="465"/>
      <c r="H1" s="465"/>
      <c r="I1" s="465"/>
      <c r="J1" s="465"/>
      <c r="K1" s="465"/>
      <c r="L1" s="465"/>
    </row>
    <row r="2" spans="1:12" ht="65.25" customHeight="1" x14ac:dyDescent="0.25">
      <c r="A2" s="371" t="s">
        <v>457</v>
      </c>
      <c r="B2" s="371" t="s">
        <v>458</v>
      </c>
      <c r="C2" s="370" t="s">
        <v>459</v>
      </c>
      <c r="D2" s="126" t="s">
        <v>460</v>
      </c>
      <c r="E2" s="126" t="s">
        <v>461</v>
      </c>
      <c r="F2" s="126" t="s">
        <v>462</v>
      </c>
      <c r="G2" s="126" t="s">
        <v>463</v>
      </c>
      <c r="H2" s="126" t="s">
        <v>464</v>
      </c>
      <c r="I2" s="126" t="s">
        <v>465</v>
      </c>
      <c r="J2" s="126" t="s">
        <v>466</v>
      </c>
      <c r="K2" s="127" t="s">
        <v>467</v>
      </c>
      <c r="L2" s="127" t="s">
        <v>289</v>
      </c>
    </row>
    <row r="3" spans="1:12" ht="20.85" customHeight="1" x14ac:dyDescent="0.25">
      <c r="A3" s="230" t="str">
        <f>Zones!B3</f>
        <v>F1 BUSINESS CENTER</v>
      </c>
      <c r="B3" s="21">
        <f>Zones!M3</f>
        <v>24.003866800000004</v>
      </c>
      <c r="C3" s="343">
        <f>Zones!J3</f>
        <v>360.04</v>
      </c>
      <c r="D3" s="368">
        <v>15</v>
      </c>
      <c r="E3" s="368"/>
      <c r="F3" s="368">
        <v>0.15</v>
      </c>
      <c r="G3" s="190"/>
      <c r="H3" s="128">
        <f t="shared" ref="H3:H39" si="0">B3*D3</f>
        <v>360.05800200000004</v>
      </c>
      <c r="I3" s="128">
        <f t="shared" ref="I3:I36" si="1">C3*F3</f>
        <v>54.006</v>
      </c>
      <c r="J3" s="129"/>
      <c r="K3" s="194">
        <f>MAX(H3:J3)</f>
        <v>360.05800200000004</v>
      </c>
      <c r="L3" s="191"/>
    </row>
    <row r="4" spans="1:12" ht="20.85" customHeight="1" x14ac:dyDescent="0.25">
      <c r="A4" s="230" t="str">
        <f>Zones!B4</f>
        <v>F1 CORRIDOR</v>
      </c>
      <c r="B4" s="21">
        <f>Zones!M4</f>
        <v>19.201900000000002</v>
      </c>
      <c r="C4" s="343">
        <f>Zones!J4</f>
        <v>1920.19</v>
      </c>
      <c r="D4" s="368">
        <v>15</v>
      </c>
      <c r="E4" s="368"/>
      <c r="F4" s="368">
        <v>0.15</v>
      </c>
      <c r="G4" s="190"/>
      <c r="H4" s="128">
        <f t="shared" si="0"/>
        <v>288.02850000000001</v>
      </c>
      <c r="I4" s="128">
        <f t="shared" si="1"/>
        <v>288.02850000000001</v>
      </c>
      <c r="J4" s="129"/>
      <c r="K4" s="194">
        <f t="shared" ref="K4:K38" si="2">MAX(H4:J4)</f>
        <v>288.02850000000001</v>
      </c>
      <c r="L4" s="191"/>
    </row>
    <row r="5" spans="1:12" ht="20.85" customHeight="1" x14ac:dyDescent="0.25">
      <c r="A5" s="230" t="str">
        <f>Zones!B5</f>
        <v>F1 FITNESS CENTER</v>
      </c>
      <c r="B5" s="21">
        <f>Zones!M5</f>
        <v>18.001799999999999</v>
      </c>
      <c r="C5" s="343">
        <f>Zones!J5</f>
        <v>900.09</v>
      </c>
      <c r="D5" s="368">
        <v>15</v>
      </c>
      <c r="E5" s="368"/>
      <c r="F5" s="368">
        <v>0.15</v>
      </c>
      <c r="G5" s="190"/>
      <c r="H5" s="128">
        <f t="shared" si="0"/>
        <v>270.02699999999999</v>
      </c>
      <c r="I5" s="128">
        <f t="shared" si="1"/>
        <v>135.01349999999999</v>
      </c>
      <c r="J5" s="129"/>
      <c r="K5" s="194">
        <f t="shared" si="2"/>
        <v>270.02699999999999</v>
      </c>
      <c r="L5" s="191"/>
    </row>
    <row r="6" spans="1:12" ht="20.85" customHeight="1" x14ac:dyDescent="0.25">
      <c r="A6" s="230" t="str">
        <f>Zones!B6</f>
        <v>F1 LEASING OFFICE</v>
      </c>
      <c r="B6" s="21">
        <f>Zones!M6</f>
        <v>3.4502999999999999</v>
      </c>
      <c r="C6" s="343">
        <f>Zones!J6</f>
        <v>345.03</v>
      </c>
      <c r="D6" s="368">
        <v>15</v>
      </c>
      <c r="E6" s="368"/>
      <c r="F6" s="368">
        <v>0.15</v>
      </c>
      <c r="G6" s="190"/>
      <c r="H6" s="128">
        <f t="shared" si="0"/>
        <v>51.7545</v>
      </c>
      <c r="I6" s="128">
        <f t="shared" si="1"/>
        <v>51.754499999999993</v>
      </c>
      <c r="J6" s="129"/>
      <c r="K6" s="194">
        <f t="shared" si="2"/>
        <v>51.7545</v>
      </c>
      <c r="L6" s="191"/>
    </row>
    <row r="7" spans="1:12" ht="20.85" customHeight="1" x14ac:dyDescent="0.25">
      <c r="A7" s="230" t="str">
        <f>Zones!B7</f>
        <v>F1 LOUNGE</v>
      </c>
      <c r="B7" s="21">
        <f>Zones!M7</f>
        <v>70.041669999999996</v>
      </c>
      <c r="C7" s="343">
        <f>Zones!J7</f>
        <v>1050.0999999999999</v>
      </c>
      <c r="D7" s="368">
        <v>15</v>
      </c>
      <c r="E7" s="368"/>
      <c r="F7" s="368">
        <v>0.15</v>
      </c>
      <c r="G7" s="190"/>
      <c r="H7" s="128">
        <f t="shared" si="0"/>
        <v>1050.6250499999999</v>
      </c>
      <c r="I7" s="128">
        <f t="shared" si="1"/>
        <v>157.51499999999999</v>
      </c>
      <c r="J7" s="129"/>
      <c r="K7" s="194">
        <f t="shared" si="2"/>
        <v>1050.6250499999999</v>
      </c>
      <c r="L7" s="191"/>
    </row>
    <row r="8" spans="1:12" ht="20.85" customHeight="1" x14ac:dyDescent="0.25">
      <c r="A8" s="230" t="str">
        <f>Zones!B8</f>
        <v>F1 MECHANICAL ROOM</v>
      </c>
      <c r="B8" s="21">
        <f>Zones!M8</f>
        <v>1.2961200000000002</v>
      </c>
      <c r="C8" s="343">
        <f>Zones!J8</f>
        <v>432.04</v>
      </c>
      <c r="D8" s="368">
        <v>15</v>
      </c>
      <c r="E8" s="368"/>
      <c r="F8" s="368">
        <v>0.15</v>
      </c>
      <c r="G8" s="190"/>
      <c r="H8" s="128">
        <f t="shared" si="0"/>
        <v>19.441800000000001</v>
      </c>
      <c r="I8" s="128">
        <f t="shared" si="1"/>
        <v>64.805999999999997</v>
      </c>
      <c r="J8" s="129"/>
      <c r="K8" s="194">
        <f t="shared" si="2"/>
        <v>64.805999999999997</v>
      </c>
      <c r="L8" s="191"/>
    </row>
    <row r="9" spans="1:12" ht="20.85" customHeight="1" x14ac:dyDescent="0.25">
      <c r="A9" s="230" t="str">
        <f>Zones!B9</f>
        <v>F1 RETAIL N-NW</v>
      </c>
      <c r="B9" s="21">
        <f>Zones!M9</f>
        <v>99.75966666666686</v>
      </c>
      <c r="C9" s="343">
        <f>Zones!J9</f>
        <v>5985.58</v>
      </c>
      <c r="D9" s="368">
        <v>15</v>
      </c>
      <c r="E9" s="368"/>
      <c r="F9" s="368">
        <v>0.15</v>
      </c>
      <c r="G9" s="190"/>
      <c r="H9" s="128">
        <f t="shared" si="0"/>
        <v>1496.3950000000029</v>
      </c>
      <c r="I9" s="128">
        <f t="shared" si="1"/>
        <v>897.83699999999999</v>
      </c>
      <c r="J9" s="129"/>
      <c r="K9" s="194">
        <f t="shared" si="2"/>
        <v>1496.3950000000029</v>
      </c>
      <c r="L9" s="191"/>
    </row>
    <row r="10" spans="1:12" ht="20.85" customHeight="1" x14ac:dyDescent="0.25">
      <c r="A10" s="230" t="str">
        <f>Zones!B10</f>
        <v>F1 RETAIL NE</v>
      </c>
      <c r="B10" s="21">
        <f>Zones!M10</f>
        <v>72.007000000000147</v>
      </c>
      <c r="C10" s="343">
        <f>Zones!J10</f>
        <v>4320.42</v>
      </c>
      <c r="D10" s="368">
        <v>15</v>
      </c>
      <c r="E10" s="368"/>
      <c r="F10" s="368">
        <v>0.15</v>
      </c>
      <c r="G10" s="190"/>
      <c r="H10" s="128">
        <f t="shared" si="0"/>
        <v>1080.1050000000023</v>
      </c>
      <c r="I10" s="128">
        <f t="shared" si="1"/>
        <v>648.06299999999999</v>
      </c>
      <c r="J10" s="129"/>
      <c r="K10" s="194">
        <f t="shared" si="2"/>
        <v>1080.1050000000023</v>
      </c>
      <c r="L10" s="191"/>
    </row>
    <row r="11" spans="1:12" ht="20.85" customHeight="1" x14ac:dyDescent="0.25">
      <c r="A11" s="230" t="str">
        <f>Zones!B11</f>
        <v>F1 RETAIL SE</v>
      </c>
      <c r="B11" s="21">
        <f>Zones!M11</f>
        <v>48.004666666666765</v>
      </c>
      <c r="C11" s="343">
        <f>Zones!J11</f>
        <v>2880.28</v>
      </c>
      <c r="D11" s="368">
        <v>15</v>
      </c>
      <c r="E11" s="368"/>
      <c r="F11" s="368">
        <v>0.15</v>
      </c>
      <c r="G11" s="190"/>
      <c r="H11" s="128">
        <f t="shared" si="0"/>
        <v>720.07000000000153</v>
      </c>
      <c r="I11" s="128">
        <f t="shared" si="1"/>
        <v>432.04200000000003</v>
      </c>
      <c r="J11" s="129"/>
      <c r="K11" s="194">
        <f t="shared" si="2"/>
        <v>720.07000000000153</v>
      </c>
      <c r="L11" s="191"/>
    </row>
    <row r="12" spans="1:12" ht="20.85" customHeight="1" x14ac:dyDescent="0.25">
      <c r="A12" s="230" t="str">
        <f>Zones!B12</f>
        <v>F1 RETAIL SW</v>
      </c>
      <c r="B12" s="21">
        <f>Zones!M12</f>
        <v>73.807166666666816</v>
      </c>
      <c r="C12" s="343">
        <f>Zones!J12</f>
        <v>4428.43</v>
      </c>
      <c r="D12" s="368">
        <v>15</v>
      </c>
      <c r="E12" s="368"/>
      <c r="F12" s="368">
        <v>0.15</v>
      </c>
      <c r="G12" s="190"/>
      <c r="H12" s="128">
        <f t="shared" si="0"/>
        <v>1107.1075000000023</v>
      </c>
      <c r="I12" s="128">
        <f t="shared" si="1"/>
        <v>664.2645</v>
      </c>
      <c r="J12" s="129"/>
      <c r="K12" s="194">
        <f t="shared" si="2"/>
        <v>1107.1075000000023</v>
      </c>
      <c r="L12" s="191"/>
    </row>
    <row r="13" spans="1:12" ht="20.85" customHeight="1" x14ac:dyDescent="0.25">
      <c r="A13" s="230" t="str">
        <f>Zones!B13</f>
        <v>F2-4 1-BED CORE EAST</v>
      </c>
      <c r="B13" s="21">
        <f>Zones!M13</f>
        <v>7.2007000000000003</v>
      </c>
      <c r="C13" s="343">
        <f>Zones!J13</f>
        <v>1440.14</v>
      </c>
      <c r="D13" s="368" t="s">
        <v>85</v>
      </c>
      <c r="E13" s="344">
        <f>0.03*C13+7.5*(1+Zones!E13)</f>
        <v>73.2042</v>
      </c>
      <c r="G13" s="190"/>
      <c r="H13" s="128"/>
      <c r="I13" s="128">
        <f>E13</f>
        <v>73.2042</v>
      </c>
      <c r="J13" s="129">
        <f>I13</f>
        <v>73.2042</v>
      </c>
      <c r="K13" s="194">
        <f t="shared" si="2"/>
        <v>73.2042</v>
      </c>
      <c r="L13" s="130" t="s">
        <v>468</v>
      </c>
    </row>
    <row r="14" spans="1:12" ht="20.85" customHeight="1" x14ac:dyDescent="0.25">
      <c r="A14" s="230" t="str">
        <f>Zones!B14</f>
        <v>F2-4 1-BED CORE N</v>
      </c>
      <c r="B14" s="21">
        <f>Zones!M14</f>
        <v>3.6003500000000002</v>
      </c>
      <c r="C14" s="343">
        <f>Zones!J14</f>
        <v>720.07</v>
      </c>
      <c r="D14" s="368" t="s">
        <v>85</v>
      </c>
      <c r="E14" s="344">
        <f>0.03*C14+7.5*(1+Zones!E14)</f>
        <v>51.6021</v>
      </c>
      <c r="F14" s="368"/>
      <c r="G14" s="192"/>
      <c r="H14" s="128"/>
      <c r="I14" s="128">
        <f>E14</f>
        <v>51.6021</v>
      </c>
      <c r="J14" s="129">
        <f t="shared" ref="J14:J21" si="3">I14</f>
        <v>51.6021</v>
      </c>
      <c r="K14" s="194">
        <f t="shared" si="2"/>
        <v>51.6021</v>
      </c>
      <c r="L14" s="130" t="s">
        <v>468</v>
      </c>
    </row>
    <row r="15" spans="1:12" ht="20.85" customHeight="1" x14ac:dyDescent="0.25">
      <c r="A15" s="230" t="str">
        <f>Zones!B15</f>
        <v>F2-4 1-BED CORE WEST</v>
      </c>
      <c r="B15" s="21">
        <f>Zones!M15</f>
        <v>7.2007000000000003</v>
      </c>
      <c r="C15" s="343">
        <f>Zones!J15</f>
        <v>1440.14</v>
      </c>
      <c r="D15" s="368" t="s">
        <v>85</v>
      </c>
      <c r="E15" s="344">
        <f>0.03*C15+7.5*(1+Zones!E15)</f>
        <v>73.2042</v>
      </c>
      <c r="F15" s="368"/>
      <c r="G15" s="192"/>
      <c r="H15" s="128"/>
      <c r="I15" s="128">
        <f t="shared" ref="I15:I21" si="4">E15</f>
        <v>73.2042</v>
      </c>
      <c r="J15" s="129">
        <f t="shared" si="3"/>
        <v>73.2042</v>
      </c>
      <c r="K15" s="194">
        <f t="shared" si="2"/>
        <v>73.2042</v>
      </c>
      <c r="L15" s="130" t="s">
        <v>468</v>
      </c>
    </row>
    <row r="16" spans="1:12" ht="20.85" customHeight="1" x14ac:dyDescent="0.25">
      <c r="A16" s="230" t="str">
        <f>Zones!B16</f>
        <v>F2-4 1-BED NORTH</v>
      </c>
      <c r="B16" s="21">
        <f>Zones!M16</f>
        <v>18.601800000000001</v>
      </c>
      <c r="C16" s="343">
        <f>Zones!J16</f>
        <v>3720.36</v>
      </c>
      <c r="D16" s="368" t="s">
        <v>85</v>
      </c>
      <c r="E16" s="344">
        <f>0.03*C16+7.5*(1+Zones!E16)</f>
        <v>141.61079999999998</v>
      </c>
      <c r="F16" s="368"/>
      <c r="G16" s="130"/>
      <c r="H16" s="128"/>
      <c r="I16" s="128">
        <f t="shared" si="4"/>
        <v>141.61079999999998</v>
      </c>
      <c r="J16" s="129">
        <f t="shared" si="3"/>
        <v>141.61079999999998</v>
      </c>
      <c r="K16" s="194">
        <f t="shared" si="2"/>
        <v>141.61079999999998</v>
      </c>
      <c r="L16" s="130" t="s">
        <v>468</v>
      </c>
    </row>
    <row r="17" spans="1:12" ht="20.85" customHeight="1" x14ac:dyDescent="0.25">
      <c r="A17" s="230" t="str">
        <f>Zones!B17</f>
        <v>F2-4 2-BED CORE NE-NW</v>
      </c>
      <c r="B17" s="21">
        <f>Zones!M17</f>
        <v>10.80105</v>
      </c>
      <c r="C17" s="343">
        <f>Zones!J17</f>
        <v>2160.21</v>
      </c>
      <c r="D17" s="368" t="s">
        <v>85</v>
      </c>
      <c r="E17" s="344">
        <f>0.03*C17+7.5*(1+Zones!E17)</f>
        <v>94.806299999999993</v>
      </c>
      <c r="F17" s="368"/>
      <c r="G17" s="130"/>
      <c r="H17" s="128"/>
      <c r="I17" s="128">
        <f t="shared" si="4"/>
        <v>94.806299999999993</v>
      </c>
      <c r="J17" s="129">
        <f t="shared" si="3"/>
        <v>94.806299999999993</v>
      </c>
      <c r="K17" s="194">
        <f t="shared" si="2"/>
        <v>94.806299999999993</v>
      </c>
      <c r="L17" s="130" t="s">
        <v>468</v>
      </c>
    </row>
    <row r="18" spans="1:12" ht="20.85" customHeight="1" x14ac:dyDescent="0.25">
      <c r="A18" s="230" t="str">
        <f>Zones!B18</f>
        <v>F2-4 2-BED EAST</v>
      </c>
      <c r="B18" s="21">
        <f>Zones!M18</f>
        <v>16.201599999999999</v>
      </c>
      <c r="C18" s="343">
        <f>Zones!J18</f>
        <v>3240.32</v>
      </c>
      <c r="D18" s="368" t="s">
        <v>85</v>
      </c>
      <c r="E18" s="344">
        <f>0.03*C18+7.5*(1+Zones!E18)</f>
        <v>127.20959999999999</v>
      </c>
      <c r="F18" s="368"/>
      <c r="G18" s="130"/>
      <c r="H18" s="128"/>
      <c r="I18" s="128">
        <f t="shared" si="4"/>
        <v>127.20959999999999</v>
      </c>
      <c r="J18" s="129">
        <f t="shared" si="3"/>
        <v>127.20959999999999</v>
      </c>
      <c r="K18" s="194">
        <f t="shared" si="2"/>
        <v>127.20959999999999</v>
      </c>
      <c r="L18" s="130" t="s">
        <v>468</v>
      </c>
    </row>
    <row r="19" spans="1:12" ht="20.85" customHeight="1" x14ac:dyDescent="0.25">
      <c r="A19" s="230" t="str">
        <f>Zones!B19</f>
        <v>F2-4 2-BED WEST</v>
      </c>
      <c r="B19" s="21">
        <f>Zones!M19</f>
        <v>16.201599999999999</v>
      </c>
      <c r="C19" s="343">
        <f>Zones!J19</f>
        <v>3240.32</v>
      </c>
      <c r="D19" s="368" t="s">
        <v>85</v>
      </c>
      <c r="E19" s="344">
        <f>0.03*C19+7.5*(1+Zones!E19)</f>
        <v>127.20959999999999</v>
      </c>
      <c r="F19" s="368"/>
      <c r="G19" s="130"/>
      <c r="H19" s="128"/>
      <c r="I19" s="128">
        <f t="shared" si="4"/>
        <v>127.20959999999999</v>
      </c>
      <c r="J19" s="129">
        <f t="shared" si="3"/>
        <v>127.20959999999999</v>
      </c>
      <c r="K19" s="194">
        <f t="shared" si="2"/>
        <v>127.20959999999999</v>
      </c>
      <c r="L19" s="130" t="s">
        <v>468</v>
      </c>
    </row>
    <row r="20" spans="1:12" ht="20.85" customHeight="1" x14ac:dyDescent="0.25">
      <c r="A20" s="230" t="str">
        <f>Zones!B20</f>
        <v>F2-4 3-BED NE</v>
      </c>
      <c r="B20" s="21">
        <f>Zones!M20</f>
        <v>7.0507000000000009</v>
      </c>
      <c r="C20" s="343">
        <f>Zones!J20</f>
        <v>1410.14</v>
      </c>
      <c r="D20" s="368" t="s">
        <v>85</v>
      </c>
      <c r="E20" s="344">
        <f>0.03*C20+7.5*(1+Zones!E20)</f>
        <v>72.304200000000009</v>
      </c>
      <c r="F20" s="368"/>
      <c r="G20" s="130"/>
      <c r="H20" s="128"/>
      <c r="I20" s="128">
        <f t="shared" si="4"/>
        <v>72.304200000000009</v>
      </c>
      <c r="J20" s="129">
        <f t="shared" si="3"/>
        <v>72.304200000000009</v>
      </c>
      <c r="K20" s="194">
        <f t="shared" si="2"/>
        <v>72.304200000000009</v>
      </c>
      <c r="L20" s="130" t="s">
        <v>468</v>
      </c>
    </row>
    <row r="21" spans="1:12" ht="20.85" customHeight="1" x14ac:dyDescent="0.25">
      <c r="A21" s="230" t="str">
        <f>Zones!B21</f>
        <v>F2-4 3-BED NW</v>
      </c>
      <c r="B21" s="21">
        <f>Zones!M21</f>
        <v>7.0507000000000009</v>
      </c>
      <c r="C21" s="343">
        <f>Zones!J21</f>
        <v>1410.14</v>
      </c>
      <c r="D21" s="368" t="s">
        <v>85</v>
      </c>
      <c r="E21" s="344">
        <f>0.03*C21+7.5*(1+Zones!E21)</f>
        <v>72.304200000000009</v>
      </c>
      <c r="F21" s="368"/>
      <c r="G21" s="130"/>
      <c r="H21" s="128"/>
      <c r="I21" s="128">
        <f t="shared" si="4"/>
        <v>72.304200000000009</v>
      </c>
      <c r="J21" s="129">
        <f t="shared" si="3"/>
        <v>72.304200000000009</v>
      </c>
      <c r="K21" s="194">
        <f t="shared" si="2"/>
        <v>72.304200000000009</v>
      </c>
      <c r="L21" s="130" t="s">
        <v>468</v>
      </c>
    </row>
    <row r="22" spans="1:12" ht="20.85" customHeight="1" x14ac:dyDescent="0.25">
      <c r="A22" s="230" t="str">
        <f>Zones!B22</f>
        <v>F2-4 CORRIDOR</v>
      </c>
      <c r="B22" s="21">
        <f>Zones!M22</f>
        <v>25.802499999999998</v>
      </c>
      <c r="C22" s="343">
        <f>Zones!J22</f>
        <v>2580.25</v>
      </c>
      <c r="D22" s="368">
        <v>15</v>
      </c>
      <c r="E22" s="368"/>
      <c r="F22" s="368">
        <v>0.15</v>
      </c>
      <c r="G22" s="130"/>
      <c r="H22" s="128">
        <f t="shared" si="0"/>
        <v>387.03749999999997</v>
      </c>
      <c r="I22" s="128">
        <f t="shared" si="1"/>
        <v>387.03749999999997</v>
      </c>
      <c r="J22" s="129"/>
      <c r="K22" s="194">
        <f t="shared" si="2"/>
        <v>387.03749999999997</v>
      </c>
      <c r="L22" s="130"/>
    </row>
    <row r="23" spans="1:12" ht="20.85" customHeight="1" x14ac:dyDescent="0.25">
      <c r="A23" s="230" t="str">
        <f>Zones!B23</f>
        <v>F2-4 LAUNDRY</v>
      </c>
      <c r="B23" s="21">
        <f>Zones!M23</f>
        <v>1.8002</v>
      </c>
      <c r="C23" s="343">
        <f>Zones!J23</f>
        <v>180.02</v>
      </c>
      <c r="D23" s="368">
        <v>15</v>
      </c>
      <c r="E23" s="368"/>
      <c r="F23" s="368">
        <v>0.15</v>
      </c>
      <c r="G23" s="130"/>
      <c r="H23" s="128">
        <f t="shared" si="0"/>
        <v>27.003</v>
      </c>
      <c r="I23" s="128">
        <f t="shared" si="1"/>
        <v>27.003</v>
      </c>
      <c r="J23" s="129"/>
      <c r="K23" s="194">
        <f t="shared" si="2"/>
        <v>27.003</v>
      </c>
      <c r="L23" s="130"/>
    </row>
    <row r="24" spans="1:12" ht="20.85" customHeight="1" x14ac:dyDescent="0.25">
      <c r="A24" s="230" t="str">
        <f>Zones!B24</f>
        <v>F2-4 STUDIO SE</v>
      </c>
      <c r="B24" s="21">
        <f>Zones!M24</f>
        <v>2.70025</v>
      </c>
      <c r="C24" s="343">
        <f>Zones!J24</f>
        <v>540.04999999999995</v>
      </c>
      <c r="D24" s="368" t="s">
        <v>85</v>
      </c>
      <c r="E24" s="344">
        <f>0.03*C24+7.5*(1+Zones!E24)</f>
        <v>46.201499999999996</v>
      </c>
      <c r="F24" s="368"/>
      <c r="G24" s="130"/>
      <c r="H24" s="128"/>
      <c r="I24" s="128">
        <f t="shared" ref="I24:I34" si="5">E24</f>
        <v>46.201499999999996</v>
      </c>
      <c r="J24" s="129">
        <f t="shared" ref="J24:J34" si="6">I24</f>
        <v>46.201499999999996</v>
      </c>
      <c r="K24" s="194">
        <f t="shared" si="2"/>
        <v>46.201499999999996</v>
      </c>
      <c r="L24" s="130" t="s">
        <v>468</v>
      </c>
    </row>
    <row r="25" spans="1:12" ht="20.85" customHeight="1" x14ac:dyDescent="0.25">
      <c r="A25" s="230" t="str">
        <f>Zones!B25</f>
        <v>F2-4 STUDIO SW</v>
      </c>
      <c r="B25" s="21">
        <f>Zones!M25</f>
        <v>2.70025</v>
      </c>
      <c r="C25" s="343">
        <f>Zones!J25</f>
        <v>540.04999999999995</v>
      </c>
      <c r="D25" s="368" t="s">
        <v>85</v>
      </c>
      <c r="E25" s="344">
        <f>0.03*C25+7.5*(1+Zones!E25)</f>
        <v>46.201499999999996</v>
      </c>
      <c r="F25" s="368"/>
      <c r="G25" s="130"/>
      <c r="H25" s="128"/>
      <c r="I25" s="128">
        <f t="shared" si="5"/>
        <v>46.201499999999996</v>
      </c>
      <c r="J25" s="129">
        <f t="shared" si="6"/>
        <v>46.201499999999996</v>
      </c>
      <c r="K25" s="194">
        <f t="shared" si="2"/>
        <v>46.201499999999996</v>
      </c>
      <c r="L25" s="130" t="s">
        <v>468</v>
      </c>
    </row>
    <row r="26" spans="1:12" ht="20.85" customHeight="1" x14ac:dyDescent="0.25">
      <c r="A26" s="230" t="str">
        <f>Zones!B26</f>
        <v>F5 1-BED CORE EAST</v>
      </c>
      <c r="B26" s="21">
        <f>Zones!M26</f>
        <v>7.2007000000000003</v>
      </c>
      <c r="C26" s="343">
        <f>Zones!J26</f>
        <v>1440.14</v>
      </c>
      <c r="D26" s="368" t="s">
        <v>85</v>
      </c>
      <c r="E26" s="344">
        <f>0.03*C26+7.5*(1+Zones!E26)</f>
        <v>58.2042</v>
      </c>
      <c r="F26" s="368"/>
      <c r="G26" s="130"/>
      <c r="H26" s="128"/>
      <c r="I26" s="128">
        <f t="shared" si="5"/>
        <v>58.2042</v>
      </c>
      <c r="J26" s="129">
        <f t="shared" si="6"/>
        <v>58.2042</v>
      </c>
      <c r="K26" s="194">
        <f t="shared" si="2"/>
        <v>58.2042</v>
      </c>
      <c r="L26" s="130" t="s">
        <v>468</v>
      </c>
    </row>
    <row r="27" spans="1:12" ht="20.85" customHeight="1" x14ac:dyDescent="0.25">
      <c r="A27" s="230" t="str">
        <f>Zones!B27</f>
        <v>F5 1-BED CORE N</v>
      </c>
      <c r="B27" s="21">
        <f>Zones!M27</f>
        <v>3.6003500000000002</v>
      </c>
      <c r="C27" s="343">
        <f>Zones!J27</f>
        <v>720.07</v>
      </c>
      <c r="D27" s="368" t="s">
        <v>85</v>
      </c>
      <c r="E27" s="344">
        <f>0.03*C27+7.5*(1+Zones!E27)</f>
        <v>36.6021</v>
      </c>
      <c r="F27" s="368"/>
      <c r="G27" s="130"/>
      <c r="H27" s="128"/>
      <c r="I27" s="128">
        <f t="shared" si="5"/>
        <v>36.6021</v>
      </c>
      <c r="J27" s="129">
        <f t="shared" si="6"/>
        <v>36.6021</v>
      </c>
      <c r="K27" s="194">
        <f t="shared" si="2"/>
        <v>36.6021</v>
      </c>
      <c r="L27" s="130" t="s">
        <v>468</v>
      </c>
    </row>
    <row r="28" spans="1:12" ht="20.85" customHeight="1" x14ac:dyDescent="0.25">
      <c r="A28" s="230" t="str">
        <f>Zones!B28</f>
        <v>F5 1-BED CORE WEST</v>
      </c>
      <c r="B28" s="21">
        <f>Zones!M28</f>
        <v>7.2007000000000003</v>
      </c>
      <c r="C28" s="343">
        <f>Zones!J28</f>
        <v>1440.14</v>
      </c>
      <c r="D28" s="368" t="s">
        <v>85</v>
      </c>
      <c r="E28" s="344">
        <f>0.03*C28+7.5*(1+Zones!E28)</f>
        <v>58.2042</v>
      </c>
      <c r="F28" s="368"/>
      <c r="G28" s="130"/>
      <c r="H28" s="128"/>
      <c r="I28" s="128">
        <f t="shared" si="5"/>
        <v>58.2042</v>
      </c>
      <c r="J28" s="129">
        <f t="shared" si="6"/>
        <v>58.2042</v>
      </c>
      <c r="K28" s="194">
        <f t="shared" si="2"/>
        <v>58.2042</v>
      </c>
      <c r="L28" s="130" t="s">
        <v>468</v>
      </c>
    </row>
    <row r="29" spans="1:12" ht="20.85" customHeight="1" x14ac:dyDescent="0.25">
      <c r="A29" s="230" t="str">
        <f>Zones!B29</f>
        <v>F5 1-BED NORTH</v>
      </c>
      <c r="B29" s="21">
        <f>Zones!M29</f>
        <v>18.601800000000001</v>
      </c>
      <c r="C29" s="343">
        <f>Zones!J29</f>
        <v>3720.36</v>
      </c>
      <c r="D29" s="368" t="s">
        <v>85</v>
      </c>
      <c r="E29" s="344">
        <f>0.03*C29+7.5*(1+Zones!E29)</f>
        <v>126.6108</v>
      </c>
      <c r="F29" s="368"/>
      <c r="G29" s="130"/>
      <c r="H29" s="128"/>
      <c r="I29" s="128">
        <f t="shared" si="5"/>
        <v>126.6108</v>
      </c>
      <c r="J29" s="129">
        <f t="shared" si="6"/>
        <v>126.6108</v>
      </c>
      <c r="K29" s="194">
        <f t="shared" si="2"/>
        <v>126.6108</v>
      </c>
      <c r="L29" s="130" t="s">
        <v>468</v>
      </c>
    </row>
    <row r="30" spans="1:12" ht="20.85" customHeight="1" x14ac:dyDescent="0.25">
      <c r="A30" s="230" t="str">
        <f>Zones!B30</f>
        <v>F5 2-BED CORE NE-NW</v>
      </c>
      <c r="B30" s="21">
        <f>Zones!M30</f>
        <v>10.80105</v>
      </c>
      <c r="C30" s="343">
        <f>Zones!J30</f>
        <v>2160.21</v>
      </c>
      <c r="D30" s="368" t="s">
        <v>85</v>
      </c>
      <c r="E30" s="344">
        <f>0.03*C30+7.5*(1+Zones!E30)</f>
        <v>79.806299999999993</v>
      </c>
      <c r="F30" s="368"/>
      <c r="G30" s="130"/>
      <c r="H30" s="128"/>
      <c r="I30" s="128">
        <f t="shared" si="5"/>
        <v>79.806299999999993</v>
      </c>
      <c r="J30" s="129">
        <f t="shared" si="6"/>
        <v>79.806299999999993</v>
      </c>
      <c r="K30" s="194">
        <f t="shared" si="2"/>
        <v>79.806299999999993</v>
      </c>
      <c r="L30" s="130" t="s">
        <v>468</v>
      </c>
    </row>
    <row r="31" spans="1:12" ht="20.85" customHeight="1" x14ac:dyDescent="0.25">
      <c r="A31" s="230" t="str">
        <f>Zones!B31</f>
        <v>F5 2-BED EAST</v>
      </c>
      <c r="B31" s="21">
        <f>Zones!M31</f>
        <v>16.201599999999999</v>
      </c>
      <c r="C31" s="343">
        <f>Zones!J31</f>
        <v>3240.32</v>
      </c>
      <c r="D31" s="368" t="s">
        <v>85</v>
      </c>
      <c r="E31" s="344">
        <f>0.03*C31+7.5*(1+Zones!E31)</f>
        <v>112.20959999999999</v>
      </c>
      <c r="F31" s="368"/>
      <c r="G31" s="130"/>
      <c r="H31" s="128"/>
      <c r="I31" s="128">
        <f t="shared" si="5"/>
        <v>112.20959999999999</v>
      </c>
      <c r="J31" s="129">
        <f t="shared" si="6"/>
        <v>112.20959999999999</v>
      </c>
      <c r="K31" s="194">
        <f t="shared" si="2"/>
        <v>112.20959999999999</v>
      </c>
      <c r="L31" s="130" t="s">
        <v>468</v>
      </c>
    </row>
    <row r="32" spans="1:12" ht="20.85" customHeight="1" x14ac:dyDescent="0.25">
      <c r="A32" s="230" t="str">
        <f>Zones!B32</f>
        <v>F5 2-BED WEST</v>
      </c>
      <c r="B32" s="21">
        <f>Zones!M32</f>
        <v>16.201599999999999</v>
      </c>
      <c r="C32" s="343">
        <f>Zones!J32</f>
        <v>3240.32</v>
      </c>
      <c r="D32" s="368" t="s">
        <v>85</v>
      </c>
      <c r="E32" s="344">
        <f>0.03*C32+7.5*(1+Zones!E32)</f>
        <v>112.20959999999999</v>
      </c>
      <c r="F32" s="368"/>
      <c r="G32" s="130"/>
      <c r="H32" s="128"/>
      <c r="I32" s="128">
        <f t="shared" si="5"/>
        <v>112.20959999999999</v>
      </c>
      <c r="J32" s="129">
        <f t="shared" si="6"/>
        <v>112.20959999999999</v>
      </c>
      <c r="K32" s="194">
        <f t="shared" si="2"/>
        <v>112.20959999999999</v>
      </c>
      <c r="L32" s="130" t="s">
        <v>468</v>
      </c>
    </row>
    <row r="33" spans="1:12" ht="20.85" customHeight="1" x14ac:dyDescent="0.25">
      <c r="A33" s="230" t="str">
        <f>Zones!B33</f>
        <v>F5 3-BED NE</v>
      </c>
      <c r="B33" s="21">
        <f>Zones!M33</f>
        <v>7.0507000000000009</v>
      </c>
      <c r="C33" s="343">
        <f>Zones!J33</f>
        <v>1410.14</v>
      </c>
      <c r="D33" s="368" t="s">
        <v>85</v>
      </c>
      <c r="E33" s="344">
        <f>0.03*C33+7.5*(1+Zones!E33)</f>
        <v>57.304200000000002</v>
      </c>
      <c r="F33" s="368"/>
      <c r="G33" s="130"/>
      <c r="H33" s="128"/>
      <c r="I33" s="128">
        <f t="shared" si="5"/>
        <v>57.304200000000002</v>
      </c>
      <c r="J33" s="129">
        <f t="shared" si="6"/>
        <v>57.304200000000002</v>
      </c>
      <c r="K33" s="194">
        <f t="shared" si="2"/>
        <v>57.304200000000002</v>
      </c>
      <c r="L33" s="130" t="s">
        <v>468</v>
      </c>
    </row>
    <row r="34" spans="1:12" ht="20.85" customHeight="1" x14ac:dyDescent="0.25">
      <c r="A34" s="230" t="str">
        <f>Zones!B34</f>
        <v>F5 3-BED NW</v>
      </c>
      <c r="B34" s="21">
        <f>Zones!M34</f>
        <v>7.0507000000000009</v>
      </c>
      <c r="C34" s="343">
        <f>Zones!J34</f>
        <v>1410.14</v>
      </c>
      <c r="D34" s="368" t="s">
        <v>85</v>
      </c>
      <c r="E34" s="344">
        <f>0.03*C34+7.5*(1+Zones!E34)</f>
        <v>57.304200000000002</v>
      </c>
      <c r="F34" s="368"/>
      <c r="G34" s="130"/>
      <c r="H34" s="128"/>
      <c r="I34" s="128">
        <f t="shared" si="5"/>
        <v>57.304200000000002</v>
      </c>
      <c r="J34" s="129">
        <f t="shared" si="6"/>
        <v>57.304200000000002</v>
      </c>
      <c r="K34" s="194">
        <f t="shared" si="2"/>
        <v>57.304200000000002</v>
      </c>
      <c r="L34" s="130" t="s">
        <v>468</v>
      </c>
    </row>
    <row r="35" spans="1:12" ht="20.85" customHeight="1" x14ac:dyDescent="0.25">
      <c r="A35" s="230" t="str">
        <f>Zones!B35</f>
        <v>F5 CORRIDOR</v>
      </c>
      <c r="B35" s="21">
        <f>Zones!M35</f>
        <v>25.802499999999998</v>
      </c>
      <c r="C35" s="343">
        <f>Zones!J35</f>
        <v>2580.25</v>
      </c>
      <c r="D35" s="368">
        <v>15</v>
      </c>
      <c r="E35" s="368"/>
      <c r="F35" s="368">
        <v>0.15</v>
      </c>
      <c r="G35" s="130"/>
      <c r="H35" s="128">
        <f t="shared" si="0"/>
        <v>387.03749999999997</v>
      </c>
      <c r="I35" s="128">
        <f t="shared" si="1"/>
        <v>387.03749999999997</v>
      </c>
      <c r="J35" s="129"/>
      <c r="K35" s="194">
        <f t="shared" si="2"/>
        <v>387.03749999999997</v>
      </c>
      <c r="L35" s="130"/>
    </row>
    <row r="36" spans="1:12" ht="20.85" customHeight="1" x14ac:dyDescent="0.25">
      <c r="A36" s="230" t="str">
        <f>Zones!B36</f>
        <v>F5 LAUNDRY</v>
      </c>
      <c r="B36" s="21">
        <f>Zones!M36</f>
        <v>1.8002</v>
      </c>
      <c r="C36" s="343">
        <f>Zones!J36</f>
        <v>180.02</v>
      </c>
      <c r="D36" s="368">
        <v>15</v>
      </c>
      <c r="E36" s="368"/>
      <c r="F36" s="368">
        <v>0.15</v>
      </c>
      <c r="G36" s="130"/>
      <c r="H36" s="128">
        <f t="shared" si="0"/>
        <v>27.003</v>
      </c>
      <c r="I36" s="128">
        <f t="shared" si="1"/>
        <v>27.003</v>
      </c>
      <c r="J36" s="129"/>
      <c r="K36" s="194">
        <f t="shared" si="2"/>
        <v>27.003</v>
      </c>
      <c r="L36" s="130"/>
    </row>
    <row r="37" spans="1:12" ht="20.85" customHeight="1" x14ac:dyDescent="0.25">
      <c r="A37" s="230" t="str">
        <f>Zones!B37</f>
        <v>F5 STUDIO SE</v>
      </c>
      <c r="B37" s="21">
        <f>Zones!M37</f>
        <v>2.70025</v>
      </c>
      <c r="C37" s="343">
        <f>Zones!J37</f>
        <v>540.04999999999995</v>
      </c>
      <c r="D37" s="368" t="s">
        <v>85</v>
      </c>
      <c r="E37" s="344">
        <f>0.03*C37+7.5*(1+Zones!E37)</f>
        <v>31.201499999999999</v>
      </c>
      <c r="F37" s="368"/>
      <c r="G37" s="130"/>
      <c r="H37" s="128"/>
      <c r="I37" s="128">
        <f t="shared" ref="I37:I38" si="7">E37</f>
        <v>31.201499999999999</v>
      </c>
      <c r="J37" s="129">
        <f t="shared" ref="J37:J38" si="8">I37</f>
        <v>31.201499999999999</v>
      </c>
      <c r="K37" s="194">
        <f t="shared" si="2"/>
        <v>31.201499999999999</v>
      </c>
      <c r="L37" s="130" t="s">
        <v>468</v>
      </c>
    </row>
    <row r="38" spans="1:12" ht="20.85" customHeight="1" x14ac:dyDescent="0.25">
      <c r="A38" s="230" t="str">
        <f>Zones!B38</f>
        <v>F5 STUDIO SW</v>
      </c>
      <c r="B38" s="21">
        <f>Zones!M38</f>
        <v>2.70025</v>
      </c>
      <c r="C38" s="343">
        <f>Zones!J38</f>
        <v>540.04999999999995</v>
      </c>
      <c r="D38" s="368" t="s">
        <v>85</v>
      </c>
      <c r="E38" s="344">
        <f>0.03*C38+7.5*(1+Zones!E38)</f>
        <v>31.201499999999999</v>
      </c>
      <c r="F38" s="368"/>
      <c r="G38" s="130"/>
      <c r="H38" s="128"/>
      <c r="I38" s="128">
        <f t="shared" si="7"/>
        <v>31.201499999999999</v>
      </c>
      <c r="J38" s="129">
        <f t="shared" si="8"/>
        <v>31.201499999999999</v>
      </c>
      <c r="K38" s="194">
        <f t="shared" si="2"/>
        <v>31.201499999999999</v>
      </c>
      <c r="L38" s="130" t="s">
        <v>468</v>
      </c>
    </row>
    <row r="39" spans="1:12" ht="20.85" customHeight="1" x14ac:dyDescent="0.25">
      <c r="A39" s="230" t="str">
        <f>Zones!B39</f>
        <v>PARKING GARAGE</v>
      </c>
      <c r="B39" s="21">
        <f>Zones!M39</f>
        <v>139.5136</v>
      </c>
      <c r="C39" s="343">
        <f>Zones!J39</f>
        <v>27902.720000000001</v>
      </c>
      <c r="D39" s="368">
        <v>15</v>
      </c>
      <c r="E39" s="368"/>
      <c r="F39" s="368">
        <v>0.15</v>
      </c>
      <c r="G39" s="359">
        <v>0.75</v>
      </c>
      <c r="H39" s="128">
        <f t="shared" si="0"/>
        <v>2092.7039999999997</v>
      </c>
      <c r="I39" s="128">
        <f>C39*F39</f>
        <v>4185.4080000000004</v>
      </c>
      <c r="J39" s="129">
        <f>C39*G39</f>
        <v>20927.04</v>
      </c>
      <c r="K39" s="194">
        <f>MAX(H39:J39)</f>
        <v>20927.04</v>
      </c>
      <c r="L39" s="130"/>
    </row>
    <row r="40" spans="1:12" customFormat="1" ht="24" customHeight="1" x14ac:dyDescent="0.25"/>
    <row r="41" spans="1:12" customFormat="1" ht="15" x14ac:dyDescent="0.25"/>
    <row r="42" spans="1:12" customFormat="1" ht="15" x14ac:dyDescent="0.25"/>
    <row r="43" spans="1:12" customFormat="1" ht="15" x14ac:dyDescent="0.25"/>
    <row r="44" spans="1:12" customFormat="1" ht="15" x14ac:dyDescent="0.25"/>
    <row r="45" spans="1:12" customFormat="1" ht="15" x14ac:dyDescent="0.25"/>
    <row r="46" spans="1:12" customFormat="1" ht="15" x14ac:dyDescent="0.25"/>
    <row r="47" spans="1:12" customFormat="1" ht="15" x14ac:dyDescent="0.25"/>
    <row r="48" spans="1:12" customFormat="1" ht="15" x14ac:dyDescent="0.25"/>
    <row r="49" customFormat="1" ht="15" x14ac:dyDescent="0.25"/>
    <row r="50" customFormat="1" ht="15" x14ac:dyDescent="0.25"/>
    <row r="51" customFormat="1" ht="15" x14ac:dyDescent="0.25"/>
    <row r="52" customFormat="1" ht="15" x14ac:dyDescent="0.25"/>
    <row r="53" customFormat="1" ht="15" x14ac:dyDescent="0.25"/>
    <row r="54" customFormat="1" ht="15" x14ac:dyDescent="0.25"/>
    <row r="55" customFormat="1" ht="15" x14ac:dyDescent="0.25"/>
    <row r="56" customFormat="1" ht="15" x14ac:dyDescent="0.25"/>
    <row r="57" customFormat="1" ht="15" x14ac:dyDescent="0.25"/>
    <row r="58" customFormat="1" ht="15" x14ac:dyDescent="0.25"/>
    <row r="59" customFormat="1" ht="15" x14ac:dyDescent="0.25"/>
    <row r="60" customFormat="1" ht="15" x14ac:dyDescent="0.25"/>
    <row r="61" customFormat="1" ht="15" x14ac:dyDescent="0.25"/>
    <row r="62" customFormat="1" ht="15" x14ac:dyDescent="0.25"/>
    <row r="63" customFormat="1" ht="15" x14ac:dyDescent="0.25"/>
    <row r="64" customFormat="1" ht="15" x14ac:dyDescent="0.25"/>
    <row r="65" customFormat="1" ht="15" x14ac:dyDescent="0.25"/>
    <row r="66" customFormat="1" ht="15" x14ac:dyDescent="0.25"/>
    <row r="67" customFormat="1" ht="15" x14ac:dyDescent="0.25"/>
    <row r="68" customFormat="1" ht="15" x14ac:dyDescent="0.25"/>
    <row r="69" customFormat="1" ht="15" x14ac:dyDescent="0.25"/>
    <row r="70" customFormat="1" ht="15" x14ac:dyDescent="0.25"/>
    <row r="71" customFormat="1" ht="15" x14ac:dyDescent="0.25"/>
    <row r="72" customFormat="1" ht="15" x14ac:dyDescent="0.25"/>
    <row r="73" customFormat="1" ht="15" x14ac:dyDescent="0.25"/>
    <row r="74" customFormat="1" ht="15" x14ac:dyDescent="0.25"/>
    <row r="75" customFormat="1" ht="15" x14ac:dyDescent="0.25"/>
    <row r="76" customFormat="1" ht="15" x14ac:dyDescent="0.25"/>
    <row r="77" customFormat="1" ht="15" x14ac:dyDescent="0.25"/>
    <row r="78" customFormat="1" ht="15" x14ac:dyDescent="0.25"/>
    <row r="79" customFormat="1" ht="15" x14ac:dyDescent="0.25"/>
    <row r="80" customFormat="1" ht="15" x14ac:dyDescent="0.25"/>
    <row r="81" customFormat="1" ht="15" x14ac:dyDescent="0.25"/>
    <row r="82" customFormat="1" ht="15" x14ac:dyDescent="0.25"/>
    <row r="83" customFormat="1" ht="15" x14ac:dyDescent="0.25"/>
    <row r="84" customFormat="1" ht="15" x14ac:dyDescent="0.25"/>
    <row r="85" customFormat="1" ht="15" x14ac:dyDescent="0.25"/>
    <row r="86" customFormat="1" ht="15" x14ac:dyDescent="0.25"/>
    <row r="87" customFormat="1" ht="15" x14ac:dyDescent="0.25"/>
    <row r="88" customFormat="1" ht="15" x14ac:dyDescent="0.25"/>
    <row r="89" customFormat="1" ht="15" x14ac:dyDescent="0.25"/>
    <row r="90" customFormat="1" ht="15" x14ac:dyDescent="0.25"/>
    <row r="91" customFormat="1" ht="15" x14ac:dyDescent="0.25"/>
    <row r="92" customFormat="1" ht="20.85" customHeight="1" x14ac:dyDescent="0.25"/>
    <row r="93" customFormat="1" ht="15" x14ac:dyDescent="0.25"/>
    <row r="94" customFormat="1" ht="15" x14ac:dyDescent="0.25"/>
    <row r="95" customFormat="1" ht="15" x14ac:dyDescent="0.25"/>
    <row r="96" customFormat="1" ht="15" x14ac:dyDescent="0.25"/>
    <row r="97" customFormat="1" ht="15" x14ac:dyDescent="0.25"/>
    <row r="98" customFormat="1" ht="15" x14ac:dyDescent="0.25"/>
  </sheetData>
  <mergeCells count="1">
    <mergeCell ref="A1:L1"/>
  </mergeCells>
  <phoneticPr fontId="5" type="noConversion"/>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93AA08-0AC5-4FCC-829D-381EF7CA031C}">
  <sheetPr codeName="Sheet10"/>
  <dimension ref="A1:AJ73"/>
  <sheetViews>
    <sheetView zoomScaleNormal="100" workbookViewId="0">
      <selection sqref="A1:G1"/>
    </sheetView>
  </sheetViews>
  <sheetFormatPr defaultColWidth="8.7109375" defaultRowHeight="12.75" x14ac:dyDescent="0.25"/>
  <cols>
    <col min="1" max="1" width="25.28515625" style="7" customWidth="1"/>
    <col min="2" max="4" width="22.5703125" style="7" customWidth="1"/>
    <col min="5" max="5" width="21.42578125" style="7" customWidth="1"/>
    <col min="6" max="6" width="35.140625" style="7" customWidth="1"/>
    <col min="7" max="7" width="50.85546875" style="7" customWidth="1"/>
    <col min="8" max="8" width="48.42578125" style="7" customWidth="1"/>
    <col min="9" max="10" width="15.28515625" style="7" customWidth="1"/>
    <col min="11" max="11" width="12.28515625" style="7" customWidth="1"/>
    <col min="12" max="12" width="13.28515625" style="7" customWidth="1"/>
    <col min="13" max="13" width="15.28515625" style="7" customWidth="1"/>
    <col min="14" max="14" width="11" style="7" customWidth="1"/>
    <col min="15" max="18" width="15.28515625" style="7" customWidth="1"/>
    <col min="19" max="19" width="7.7109375" style="7" hidden="1" customWidth="1"/>
    <col min="20" max="20" width="12.42578125" style="7" hidden="1" customWidth="1"/>
    <col min="21" max="36" width="6.5703125" style="7" hidden="1" customWidth="1"/>
    <col min="37" max="37" width="15.28515625" style="7" customWidth="1"/>
    <col min="38" max="38" width="11.28515625" style="7" customWidth="1"/>
    <col min="39" max="39" width="6.28515625" style="7" customWidth="1"/>
    <col min="40" max="43" width="4.7109375" style="7" customWidth="1"/>
    <col min="44" max="44" width="6.28515625" style="7" customWidth="1"/>
    <col min="45" max="59" width="4.7109375" style="7" customWidth="1"/>
    <col min="60" max="16384" width="8.7109375" style="7"/>
  </cols>
  <sheetData>
    <row r="1" spans="1:8" ht="24" customHeight="1" x14ac:dyDescent="0.25">
      <c r="A1" s="484" t="str">
        <f>"Water Heater - "&amp;Prototype!A2</f>
        <v xml:space="preserve">Water Heater - ApartmentMidRise </v>
      </c>
      <c r="B1" s="465"/>
      <c r="C1" s="465"/>
      <c r="D1" s="465"/>
      <c r="E1" s="465"/>
      <c r="F1" s="465"/>
      <c r="G1" s="465"/>
      <c r="H1"/>
    </row>
    <row r="2" spans="1:8" ht="36" customHeight="1" x14ac:dyDescent="0.25">
      <c r="A2" s="347" t="s">
        <v>287</v>
      </c>
      <c r="B2" s="258" t="s">
        <v>469</v>
      </c>
      <c r="C2" s="258" t="s">
        <v>470</v>
      </c>
      <c r="D2" s="258" t="s">
        <v>471</v>
      </c>
      <c r="E2" s="258" t="s">
        <v>472</v>
      </c>
      <c r="F2" s="258" t="s">
        <v>353</v>
      </c>
      <c r="G2" s="258" t="s">
        <v>289</v>
      </c>
    </row>
    <row r="3" spans="1:8" ht="57.75" customHeight="1" x14ac:dyDescent="0.25">
      <c r="A3" s="353" t="s">
        <v>433</v>
      </c>
      <c r="B3" s="363" t="s">
        <v>473</v>
      </c>
      <c r="C3" s="348">
        <v>0.8</v>
      </c>
      <c r="D3" s="349">
        <f>D4</f>
        <v>46.320847689600043</v>
      </c>
      <c r="E3" s="349">
        <f>G54</f>
        <v>816.13487183068855</v>
      </c>
      <c r="F3" s="485" t="s">
        <v>474</v>
      </c>
      <c r="G3" s="490"/>
    </row>
    <row r="4" spans="1:8" ht="60.75" customHeight="1" x14ac:dyDescent="0.25">
      <c r="A4" s="353" t="s">
        <v>408</v>
      </c>
      <c r="B4" s="363" t="s">
        <v>473</v>
      </c>
      <c r="C4" s="350">
        <v>0.8</v>
      </c>
      <c r="D4" s="349">
        <f>F52</f>
        <v>46.320847689600043</v>
      </c>
      <c r="E4" s="349">
        <f>G52</f>
        <v>816.13487183068855</v>
      </c>
      <c r="F4" s="486"/>
      <c r="G4" s="491"/>
    </row>
    <row r="5" spans="1:8" x14ac:dyDescent="0.25">
      <c r="A5" s="351" t="s">
        <v>475</v>
      </c>
      <c r="B5" s="9"/>
      <c r="C5" s="9"/>
      <c r="D5" s="9"/>
      <c r="E5" s="9"/>
    </row>
    <row r="6" spans="1:8" ht="14.65" customHeight="1" x14ac:dyDescent="0.25"/>
    <row r="8" spans="1:8" ht="22.9" customHeight="1" x14ac:dyDescent="0.25">
      <c r="A8" s="465" t="s">
        <v>476</v>
      </c>
      <c r="B8" s="465"/>
      <c r="C8" s="465"/>
      <c r="D8" s="465"/>
      <c r="E8" s="465"/>
      <c r="F8" s="465"/>
      <c r="G8" s="465"/>
    </row>
    <row r="9" spans="1:8" ht="89.25" x14ac:dyDescent="0.25">
      <c r="A9" s="131" t="s">
        <v>477</v>
      </c>
      <c r="B9" s="131" t="s">
        <v>478</v>
      </c>
      <c r="C9" s="131" t="s">
        <v>479</v>
      </c>
      <c r="D9" s="131" t="s">
        <v>458</v>
      </c>
      <c r="E9" s="131" t="s">
        <v>480</v>
      </c>
      <c r="F9" s="131" t="s">
        <v>481</v>
      </c>
      <c r="G9" s="131" t="s">
        <v>482</v>
      </c>
    </row>
    <row r="10" spans="1:8" x14ac:dyDescent="0.2">
      <c r="A10" s="197" t="str">
        <f>Zones!B3</f>
        <v>F1 BUSINESS CENTER</v>
      </c>
      <c r="B10" s="198" t="s">
        <v>473</v>
      </c>
      <c r="C10" s="216">
        <f>Zones!J3*Zones!L3</f>
        <v>360.04</v>
      </c>
      <c r="D10" s="217">
        <f>Zones!M3*Zones!L3</f>
        <v>24.003866800000004</v>
      </c>
      <c r="E10" s="218">
        <v>0.18</v>
      </c>
      <c r="F10" s="219">
        <f>D10*E10</f>
        <v>4.320696024000001</v>
      </c>
      <c r="G10" s="220">
        <f>F10/60</f>
        <v>7.2011600400000014E-2</v>
      </c>
    </row>
    <row r="11" spans="1:8" x14ac:dyDescent="0.2">
      <c r="A11" s="197" t="str">
        <f>Zones!B4</f>
        <v>F1 CORRIDOR</v>
      </c>
      <c r="B11" s="198" t="s">
        <v>473</v>
      </c>
      <c r="C11" s="216">
        <f>Zones!J4*Zones!L4</f>
        <v>1920.19</v>
      </c>
      <c r="D11" s="217">
        <f>Zones!M4* Zones!L4</f>
        <v>19.201900000000002</v>
      </c>
      <c r="E11" s="218">
        <v>0.18</v>
      </c>
      <c r="F11" s="219">
        <f t="shared" ref="F11:F46" si="0">D11*E11</f>
        <v>3.4563420000000002</v>
      </c>
      <c r="G11" s="220">
        <f t="shared" ref="G11:G46" si="1">F11/60</f>
        <v>5.7605700000000003E-2</v>
      </c>
    </row>
    <row r="12" spans="1:8" x14ac:dyDescent="0.2">
      <c r="A12" s="197" t="str">
        <f>Zones!B5</f>
        <v>F1 FITNESS CENTER</v>
      </c>
      <c r="B12" s="198" t="s">
        <v>473</v>
      </c>
      <c r="C12" s="216">
        <f>Zones!J5*Zones!L5</f>
        <v>900.09</v>
      </c>
      <c r="D12" s="217">
        <f>Zones!M5* Zones!L5</f>
        <v>18.001799999999999</v>
      </c>
      <c r="E12" s="218">
        <v>0.18</v>
      </c>
      <c r="F12" s="219">
        <f t="shared" si="0"/>
        <v>3.2403239999999998</v>
      </c>
      <c r="G12" s="220">
        <f t="shared" si="1"/>
        <v>5.4005399999999995E-2</v>
      </c>
    </row>
    <row r="13" spans="1:8" x14ac:dyDescent="0.2">
      <c r="A13" s="197" t="str">
        <f>Zones!B6</f>
        <v>F1 LEASING OFFICE</v>
      </c>
      <c r="B13" s="198" t="s">
        <v>473</v>
      </c>
      <c r="C13" s="216">
        <f>Zones!J6*Zones!L6</f>
        <v>345.03</v>
      </c>
      <c r="D13" s="217">
        <f>Zones!M6* Zones!L6</f>
        <v>3.4502999999999999</v>
      </c>
      <c r="E13" s="218">
        <v>0.18</v>
      </c>
      <c r="F13" s="219">
        <f t="shared" si="0"/>
        <v>0.62105399999999999</v>
      </c>
      <c r="G13" s="220">
        <f t="shared" si="1"/>
        <v>1.03509E-2</v>
      </c>
    </row>
    <row r="14" spans="1:8" x14ac:dyDescent="0.2">
      <c r="A14" s="197" t="str">
        <f>Zones!B7</f>
        <v>F1 LOUNGE</v>
      </c>
      <c r="B14" s="198" t="s">
        <v>473</v>
      </c>
      <c r="C14" s="216">
        <f>Zones!J7*Zones!L7</f>
        <v>1050.0999999999999</v>
      </c>
      <c r="D14" s="217">
        <f>Zones!M7* Zones!L7</f>
        <v>70.041669999999996</v>
      </c>
      <c r="E14" s="218">
        <v>0.18</v>
      </c>
      <c r="F14" s="219">
        <f t="shared" si="0"/>
        <v>12.607500599999998</v>
      </c>
      <c r="G14" s="220">
        <f t="shared" si="1"/>
        <v>0.21012500999999997</v>
      </c>
    </row>
    <row r="15" spans="1:8" x14ac:dyDescent="0.2">
      <c r="A15" s="197" t="str">
        <f>Zones!B8</f>
        <v>F1 MECHANICAL ROOM</v>
      </c>
      <c r="B15" s="198" t="s">
        <v>473</v>
      </c>
      <c r="C15" s="216">
        <f>Zones!J8*Zones!L8</f>
        <v>432.04</v>
      </c>
      <c r="D15" s="217">
        <f>Zones!M8* Zones!L8</f>
        <v>1.2961200000000002</v>
      </c>
      <c r="E15" s="218">
        <v>0.18</v>
      </c>
      <c r="F15" s="219">
        <f t="shared" si="0"/>
        <v>0.23330160000000003</v>
      </c>
      <c r="G15" s="220">
        <f t="shared" si="1"/>
        <v>3.8883600000000004E-3</v>
      </c>
    </row>
    <row r="16" spans="1:8" x14ac:dyDescent="0.2">
      <c r="A16" s="197" t="str">
        <f>Zones!B9</f>
        <v>F1 RETAIL N-NW</v>
      </c>
      <c r="B16" s="198" t="s">
        <v>473</v>
      </c>
      <c r="C16" s="216">
        <f>Zones!J9*Zones!L9</f>
        <v>5985.58</v>
      </c>
      <c r="D16" s="217">
        <f>Zones!M9* Zones!L9</f>
        <v>99.75966666666686</v>
      </c>
      <c r="E16" s="218">
        <v>0.18</v>
      </c>
      <c r="F16" s="219">
        <f t="shared" si="0"/>
        <v>17.956740000000035</v>
      </c>
      <c r="G16" s="220">
        <f t="shared" si="1"/>
        <v>0.29927900000000057</v>
      </c>
    </row>
    <row r="17" spans="1:7" x14ac:dyDescent="0.2">
      <c r="A17" s="197" t="str">
        <f>Zones!B10</f>
        <v>F1 RETAIL NE</v>
      </c>
      <c r="B17" s="198" t="s">
        <v>473</v>
      </c>
      <c r="C17" s="216">
        <f>Zones!J10*Zones!L10</f>
        <v>4320.42</v>
      </c>
      <c r="D17" s="217">
        <f>Zones!M10* Zones!L10</f>
        <v>72.007000000000147</v>
      </c>
      <c r="E17" s="218">
        <v>0.18</v>
      </c>
      <c r="F17" s="219">
        <f t="shared" si="0"/>
        <v>12.961260000000026</v>
      </c>
      <c r="G17" s="220">
        <f t="shared" si="1"/>
        <v>0.21602100000000043</v>
      </c>
    </row>
    <row r="18" spans="1:7" x14ac:dyDescent="0.2">
      <c r="A18" s="197" t="str">
        <f>Zones!B11</f>
        <v>F1 RETAIL SE</v>
      </c>
      <c r="B18" s="198" t="s">
        <v>473</v>
      </c>
      <c r="C18" s="216">
        <f>Zones!J11*Zones!L11</f>
        <v>2880.28</v>
      </c>
      <c r="D18" s="217">
        <f>Zones!M11* Zones!L11</f>
        <v>48.004666666666765</v>
      </c>
      <c r="E18" s="218">
        <v>0.18</v>
      </c>
      <c r="F18" s="219">
        <f t="shared" si="0"/>
        <v>8.6408400000000167</v>
      </c>
      <c r="G18" s="220">
        <f t="shared" si="1"/>
        <v>0.14401400000000028</v>
      </c>
    </row>
    <row r="19" spans="1:7" x14ac:dyDescent="0.2">
      <c r="A19" s="197" t="str">
        <f>Zones!B12</f>
        <v>F1 RETAIL SW</v>
      </c>
      <c r="B19" s="198" t="s">
        <v>473</v>
      </c>
      <c r="C19" s="216">
        <f>Zones!J12*Zones!L12</f>
        <v>4428.43</v>
      </c>
      <c r="D19" s="217">
        <f>Zones!M12* Zones!L12</f>
        <v>73.807166666666816</v>
      </c>
      <c r="E19" s="218">
        <v>0.18</v>
      </c>
      <c r="F19" s="219">
        <f t="shared" si="0"/>
        <v>13.285290000000026</v>
      </c>
      <c r="G19" s="220">
        <f t="shared" si="1"/>
        <v>0.22142150000000044</v>
      </c>
    </row>
    <row r="20" spans="1:7" x14ac:dyDescent="0.2">
      <c r="A20" s="197" t="str">
        <f>Zones!B13</f>
        <v>F2-4 1-BED CORE EAST</v>
      </c>
      <c r="B20" s="198" t="s">
        <v>473</v>
      </c>
      <c r="C20" s="216">
        <f>Zones!J13*Zones!L13</f>
        <v>4320.42</v>
      </c>
      <c r="D20" s="217">
        <f>Zones!M13* Zones!L13</f>
        <v>21.6021</v>
      </c>
      <c r="E20" s="218">
        <v>0.18</v>
      </c>
      <c r="F20" s="219">
        <f t="shared" si="0"/>
        <v>3.8883779999999999</v>
      </c>
      <c r="G20" s="220">
        <f t="shared" si="1"/>
        <v>6.4806299999999997E-2</v>
      </c>
    </row>
    <row r="21" spans="1:7" x14ac:dyDescent="0.2">
      <c r="A21" s="197" t="str">
        <f>Zones!B14</f>
        <v>F2-4 1-BED CORE N</v>
      </c>
      <c r="B21" s="198" t="s">
        <v>473</v>
      </c>
      <c r="C21" s="216">
        <f>Zones!J14*Zones!L14</f>
        <v>2160.21</v>
      </c>
      <c r="D21" s="217">
        <f>Zones!M14* Zones!L14</f>
        <v>10.80105</v>
      </c>
      <c r="E21" s="218">
        <v>0.18</v>
      </c>
      <c r="F21" s="219">
        <f t="shared" si="0"/>
        <v>1.9441889999999999</v>
      </c>
      <c r="G21" s="220">
        <f t="shared" si="1"/>
        <v>3.2403149999999999E-2</v>
      </c>
    </row>
    <row r="22" spans="1:7" x14ac:dyDescent="0.2">
      <c r="A22" s="197" t="str">
        <f>Zones!B15</f>
        <v>F2-4 1-BED CORE WEST</v>
      </c>
      <c r="B22" s="198" t="s">
        <v>473</v>
      </c>
      <c r="C22" s="216">
        <f>Zones!J15*Zones!L15</f>
        <v>4320.42</v>
      </c>
      <c r="D22" s="217">
        <f>Zones!M15* Zones!L15</f>
        <v>21.6021</v>
      </c>
      <c r="E22" s="218">
        <v>0.18</v>
      </c>
      <c r="F22" s="219">
        <f t="shared" si="0"/>
        <v>3.8883779999999999</v>
      </c>
      <c r="G22" s="220">
        <f t="shared" si="1"/>
        <v>6.4806299999999997E-2</v>
      </c>
    </row>
    <row r="23" spans="1:7" x14ac:dyDescent="0.2">
      <c r="A23" s="197" t="str">
        <f>Zones!B16</f>
        <v>F2-4 1-BED NORTH</v>
      </c>
      <c r="B23" s="198" t="s">
        <v>473</v>
      </c>
      <c r="C23" s="216">
        <f>Zones!J16*Zones!L16</f>
        <v>11161.08</v>
      </c>
      <c r="D23" s="217">
        <f>Zones!M16* Zones!L16</f>
        <v>55.805400000000006</v>
      </c>
      <c r="E23" s="218">
        <v>0</v>
      </c>
      <c r="F23" s="219">
        <f t="shared" si="0"/>
        <v>0</v>
      </c>
      <c r="G23" s="220">
        <f t="shared" si="1"/>
        <v>0</v>
      </c>
    </row>
    <row r="24" spans="1:7" x14ac:dyDescent="0.2">
      <c r="A24" s="197" t="str">
        <f>Zones!B17</f>
        <v>F2-4 2-BED CORE NE-NW</v>
      </c>
      <c r="B24" s="198" t="s">
        <v>473</v>
      </c>
      <c r="C24" s="216">
        <f>Zones!J17*Zones!L17</f>
        <v>6480.63</v>
      </c>
      <c r="D24" s="217">
        <f>Zones!M17* Zones!L17</f>
        <v>32.403149999999997</v>
      </c>
      <c r="E24" s="218">
        <v>0.18</v>
      </c>
      <c r="F24" s="219">
        <f t="shared" si="0"/>
        <v>5.8325669999999992</v>
      </c>
      <c r="G24" s="220">
        <f t="shared" si="1"/>
        <v>9.7209449999999989E-2</v>
      </c>
    </row>
    <row r="25" spans="1:7" x14ac:dyDescent="0.2">
      <c r="A25" s="197" t="str">
        <f>Zones!B18</f>
        <v>F2-4 2-BED EAST</v>
      </c>
      <c r="B25" s="198" t="s">
        <v>473</v>
      </c>
      <c r="C25" s="216">
        <f>Zones!J18*Zones!L18</f>
        <v>9720.9600000000009</v>
      </c>
      <c r="D25" s="217">
        <f>Zones!M18* Zones!L18</f>
        <v>48.604799999999997</v>
      </c>
      <c r="E25" s="218">
        <v>0.18</v>
      </c>
      <c r="F25" s="219">
        <f t="shared" si="0"/>
        <v>8.7488639999999993</v>
      </c>
      <c r="G25" s="220">
        <f t="shared" si="1"/>
        <v>0.14581439999999998</v>
      </c>
    </row>
    <row r="26" spans="1:7" x14ac:dyDescent="0.2">
      <c r="A26" s="197" t="str">
        <f>Zones!B19</f>
        <v>F2-4 2-BED WEST</v>
      </c>
      <c r="B26" s="198" t="s">
        <v>473</v>
      </c>
      <c r="C26" s="216">
        <f>Zones!J19*Zones!L19</f>
        <v>9720.9600000000009</v>
      </c>
      <c r="D26" s="217">
        <f>Zones!M19* Zones!L19</f>
        <v>48.604799999999997</v>
      </c>
      <c r="E26" s="218">
        <v>0.09</v>
      </c>
      <c r="F26" s="219">
        <f t="shared" si="0"/>
        <v>4.3744319999999997</v>
      </c>
      <c r="G26" s="220">
        <f t="shared" si="1"/>
        <v>7.2907199999999991E-2</v>
      </c>
    </row>
    <row r="27" spans="1:7" x14ac:dyDescent="0.2">
      <c r="A27" s="197" t="str">
        <f>Zones!B20</f>
        <v>F2-4 3-BED NE</v>
      </c>
      <c r="B27" s="198" t="s">
        <v>473</v>
      </c>
      <c r="C27" s="216">
        <f>Zones!J20*Zones!L20</f>
        <v>4230.42</v>
      </c>
      <c r="D27" s="217">
        <f>Zones!M20* Zones!L20</f>
        <v>21.152100000000004</v>
      </c>
      <c r="E27" s="218">
        <v>0.18</v>
      </c>
      <c r="F27" s="219">
        <f t="shared" si="0"/>
        <v>3.8073780000000008</v>
      </c>
      <c r="G27" s="220">
        <f t="shared" si="1"/>
        <v>6.3456300000000007E-2</v>
      </c>
    </row>
    <row r="28" spans="1:7" x14ac:dyDescent="0.2">
      <c r="A28" s="197" t="str">
        <f>Zones!B21</f>
        <v>F2-4 3-BED NW</v>
      </c>
      <c r="B28" s="198" t="s">
        <v>473</v>
      </c>
      <c r="C28" s="216">
        <f>Zones!J21*Zones!L21</f>
        <v>4230.42</v>
      </c>
      <c r="D28" s="217">
        <f>Zones!M21* Zones!L21</f>
        <v>21.152100000000004</v>
      </c>
      <c r="E28" s="218">
        <v>0</v>
      </c>
      <c r="F28" s="219">
        <f t="shared" si="0"/>
        <v>0</v>
      </c>
      <c r="G28" s="220">
        <f t="shared" si="1"/>
        <v>0</v>
      </c>
    </row>
    <row r="29" spans="1:7" x14ac:dyDescent="0.2">
      <c r="A29" s="197" t="str">
        <f>Zones!B22</f>
        <v>F2-4 CORRIDOR</v>
      </c>
      <c r="B29" s="198"/>
      <c r="C29" s="216">
        <f>Zones!J22*Zones!L22</f>
        <v>7740.75</v>
      </c>
      <c r="D29" s="217">
        <f>Zones!M22* Zones!L22</f>
        <v>77.407499999999999</v>
      </c>
      <c r="E29" s="218">
        <v>0</v>
      </c>
      <c r="F29" s="219">
        <f t="shared" si="0"/>
        <v>0</v>
      </c>
      <c r="G29" s="220">
        <f t="shared" si="1"/>
        <v>0</v>
      </c>
    </row>
    <row r="30" spans="1:7" x14ac:dyDescent="0.2">
      <c r="A30" s="197" t="str">
        <f>Zones!B23</f>
        <v>F2-4 LAUNDRY</v>
      </c>
      <c r="B30" s="198" t="s">
        <v>473</v>
      </c>
      <c r="C30" s="216">
        <f>Zones!J23*Zones!L23</f>
        <v>540.06000000000006</v>
      </c>
      <c r="D30" s="217">
        <f>Zones!M23* Zones!L23</f>
        <v>5.4005999999999998</v>
      </c>
      <c r="E30" s="218">
        <v>0</v>
      </c>
      <c r="F30" s="219">
        <f t="shared" si="0"/>
        <v>0</v>
      </c>
      <c r="G30" s="220">
        <f t="shared" si="1"/>
        <v>0</v>
      </c>
    </row>
    <row r="31" spans="1:7" x14ac:dyDescent="0.2">
      <c r="A31" s="197" t="str">
        <f>Zones!B24</f>
        <v>F2-4 STUDIO SE</v>
      </c>
      <c r="B31" s="198" t="s">
        <v>473</v>
      </c>
      <c r="C31" s="216">
        <f>Zones!J24*Zones!L24</f>
        <v>1620.1499999999999</v>
      </c>
      <c r="D31" s="217">
        <f>Zones!M24* Zones!L24</f>
        <v>8.1007499999999997</v>
      </c>
      <c r="E31" s="218">
        <v>0.18</v>
      </c>
      <c r="F31" s="219">
        <f t="shared" si="0"/>
        <v>1.458135</v>
      </c>
      <c r="G31" s="220">
        <f t="shared" si="1"/>
        <v>2.4302250000000001E-2</v>
      </c>
    </row>
    <row r="32" spans="1:7" x14ac:dyDescent="0.2">
      <c r="A32" s="197" t="str">
        <f>Zones!B25</f>
        <v>F2-4 STUDIO SW</v>
      </c>
      <c r="B32" s="198" t="s">
        <v>473</v>
      </c>
      <c r="C32" s="216">
        <f>Zones!J25*Zones!L25</f>
        <v>1620.1499999999999</v>
      </c>
      <c r="D32" s="217">
        <f>Zones!M25* Zones!L25</f>
        <v>8.1007499999999997</v>
      </c>
      <c r="E32" s="218">
        <v>0</v>
      </c>
      <c r="F32" s="219">
        <f t="shared" si="0"/>
        <v>0</v>
      </c>
      <c r="G32" s="220">
        <f t="shared" si="1"/>
        <v>0</v>
      </c>
    </row>
    <row r="33" spans="1:7" x14ac:dyDescent="0.2">
      <c r="A33" s="197" t="str">
        <f>Zones!B26</f>
        <v>F5 1-BED CORE EAST</v>
      </c>
      <c r="B33" s="198" t="s">
        <v>473</v>
      </c>
      <c r="C33" s="216">
        <f>Zones!J26*Zones!L26</f>
        <v>1440.14</v>
      </c>
      <c r="D33" s="217">
        <f>Zones!M26* Zones!L26</f>
        <v>7.2007000000000003</v>
      </c>
      <c r="E33" s="218">
        <v>0</v>
      </c>
      <c r="F33" s="219">
        <f t="shared" si="0"/>
        <v>0</v>
      </c>
      <c r="G33" s="220">
        <f t="shared" si="1"/>
        <v>0</v>
      </c>
    </row>
    <row r="34" spans="1:7" x14ac:dyDescent="0.2">
      <c r="A34" s="197" t="str">
        <f>Zones!B27</f>
        <v>F5 1-BED CORE N</v>
      </c>
      <c r="B34" s="198" t="s">
        <v>473</v>
      </c>
      <c r="C34" s="216">
        <f>Zones!J27*Zones!L27</f>
        <v>720.07</v>
      </c>
      <c r="D34" s="217">
        <f>Zones!M27* Zones!L27</f>
        <v>3.6003500000000002</v>
      </c>
      <c r="E34" s="218">
        <v>0</v>
      </c>
      <c r="F34" s="219">
        <f t="shared" si="0"/>
        <v>0</v>
      </c>
      <c r="G34" s="220">
        <f t="shared" si="1"/>
        <v>0</v>
      </c>
    </row>
    <row r="35" spans="1:7" x14ac:dyDescent="0.2">
      <c r="A35" s="197" t="str">
        <f>Zones!B28</f>
        <v>F5 1-BED CORE WEST</v>
      </c>
      <c r="B35" s="198" t="s">
        <v>473</v>
      </c>
      <c r="C35" s="216">
        <f>Zones!J28*Zones!L28</f>
        <v>1440.14</v>
      </c>
      <c r="D35" s="217">
        <f>Zones!M28* Zones!L28</f>
        <v>7.2007000000000003</v>
      </c>
      <c r="E35" s="218">
        <v>0.18</v>
      </c>
      <c r="F35" s="219">
        <f t="shared" si="0"/>
        <v>1.2961260000000001</v>
      </c>
      <c r="G35" s="220">
        <f t="shared" si="1"/>
        <v>2.1602100000000003E-2</v>
      </c>
    </row>
    <row r="36" spans="1:7" x14ac:dyDescent="0.2">
      <c r="A36" s="197" t="str">
        <f>Zones!B29</f>
        <v>F5 1-BED NORTH</v>
      </c>
      <c r="B36" s="198" t="s">
        <v>473</v>
      </c>
      <c r="C36" s="216">
        <f>Zones!J29*Zones!L29</f>
        <v>3720.36</v>
      </c>
      <c r="D36" s="217">
        <f>Zones!M29* Zones!L29</f>
        <v>18.601800000000001</v>
      </c>
      <c r="E36" s="218">
        <v>0</v>
      </c>
      <c r="F36" s="219">
        <f t="shared" si="0"/>
        <v>0</v>
      </c>
      <c r="G36" s="220">
        <f t="shared" si="1"/>
        <v>0</v>
      </c>
    </row>
    <row r="37" spans="1:7" x14ac:dyDescent="0.2">
      <c r="A37" s="197" t="str">
        <f>Zones!B30</f>
        <v>F5 2-BED CORE NE-NW</v>
      </c>
      <c r="B37" s="198" t="s">
        <v>473</v>
      </c>
      <c r="C37" s="216">
        <f>Zones!J30*Zones!L30</f>
        <v>2160.21</v>
      </c>
      <c r="D37" s="217">
        <f>Zones!M30* Zones!L30</f>
        <v>10.80105</v>
      </c>
      <c r="E37" s="218">
        <v>0</v>
      </c>
      <c r="F37" s="219">
        <f t="shared" si="0"/>
        <v>0</v>
      </c>
      <c r="G37" s="220">
        <f t="shared" si="1"/>
        <v>0</v>
      </c>
    </row>
    <row r="38" spans="1:7" x14ac:dyDescent="0.2">
      <c r="A38" s="197" t="str">
        <f>Zones!B31</f>
        <v>F5 2-BED EAST</v>
      </c>
      <c r="B38" s="198" t="s">
        <v>473</v>
      </c>
      <c r="C38" s="216">
        <f>Zones!J31*Zones!L31</f>
        <v>3240.32</v>
      </c>
      <c r="D38" s="217">
        <f>Zones!M31* Zones!L31</f>
        <v>16.201599999999999</v>
      </c>
      <c r="E38" s="218">
        <v>0</v>
      </c>
      <c r="F38" s="219">
        <f t="shared" si="0"/>
        <v>0</v>
      </c>
      <c r="G38" s="220">
        <f t="shared" si="1"/>
        <v>0</v>
      </c>
    </row>
    <row r="39" spans="1:7" x14ac:dyDescent="0.2">
      <c r="A39" s="197" t="str">
        <f>Zones!B32</f>
        <v>F5 2-BED WEST</v>
      </c>
      <c r="B39" s="198" t="s">
        <v>473</v>
      </c>
      <c r="C39" s="216">
        <f>Zones!J32*Zones!L32</f>
        <v>3240.32</v>
      </c>
      <c r="D39" s="217">
        <f>Zones!M32* Zones!L32</f>
        <v>16.201599999999999</v>
      </c>
      <c r="E39" s="218">
        <v>0.18</v>
      </c>
      <c r="F39" s="219">
        <f t="shared" si="0"/>
        <v>2.9162879999999998</v>
      </c>
      <c r="G39" s="220">
        <f t="shared" si="1"/>
        <v>4.8604799999999997E-2</v>
      </c>
    </row>
    <row r="40" spans="1:7" x14ac:dyDescent="0.2">
      <c r="A40" s="197" t="str">
        <f>Zones!B33</f>
        <v>F5 3-BED NE</v>
      </c>
      <c r="B40" s="198" t="s">
        <v>473</v>
      </c>
      <c r="C40" s="216">
        <f>Zones!J33*Zones!L33</f>
        <v>1410.14</v>
      </c>
      <c r="D40" s="217">
        <f>Zones!M33* Zones!L33</f>
        <v>7.0507000000000009</v>
      </c>
      <c r="E40" s="218">
        <v>0</v>
      </c>
      <c r="F40" s="219">
        <f t="shared" si="0"/>
        <v>0</v>
      </c>
      <c r="G40" s="220">
        <f t="shared" si="1"/>
        <v>0</v>
      </c>
    </row>
    <row r="41" spans="1:7" x14ac:dyDescent="0.2">
      <c r="A41" s="197" t="str">
        <f>Zones!B34</f>
        <v>F5 3-BED NW</v>
      </c>
      <c r="B41" s="198" t="s">
        <v>473</v>
      </c>
      <c r="C41" s="216">
        <f>Zones!J34*Zones!L34</f>
        <v>1410.14</v>
      </c>
      <c r="D41" s="217">
        <f>Zones!M34* Zones!L34</f>
        <v>7.0507000000000009</v>
      </c>
      <c r="E41" s="218">
        <v>0</v>
      </c>
      <c r="F41" s="219">
        <f t="shared" si="0"/>
        <v>0</v>
      </c>
      <c r="G41" s="220">
        <f t="shared" si="1"/>
        <v>0</v>
      </c>
    </row>
    <row r="42" spans="1:7" x14ac:dyDescent="0.2">
      <c r="A42" s="197" t="str">
        <f>Zones!B35</f>
        <v>F5 CORRIDOR</v>
      </c>
      <c r="B42" s="198"/>
      <c r="C42" s="216">
        <f>Zones!J35*Zones!L35</f>
        <v>2580.25</v>
      </c>
      <c r="D42" s="217">
        <f>Zones!M35* Zones!L35</f>
        <v>25.802499999999998</v>
      </c>
      <c r="E42" s="218">
        <v>0</v>
      </c>
      <c r="F42" s="219">
        <f t="shared" si="0"/>
        <v>0</v>
      </c>
      <c r="G42" s="220">
        <f t="shared" si="1"/>
        <v>0</v>
      </c>
    </row>
    <row r="43" spans="1:7" x14ac:dyDescent="0.2">
      <c r="A43" s="197" t="str">
        <f>Zones!B36</f>
        <v>F5 LAUNDRY</v>
      </c>
      <c r="B43" s="198" t="s">
        <v>473</v>
      </c>
      <c r="C43" s="216">
        <f>Zones!J36*Zones!L36</f>
        <v>180.02</v>
      </c>
      <c r="D43" s="217">
        <f>Zones!M36* Zones!L36</f>
        <v>1.8002</v>
      </c>
      <c r="E43" s="218">
        <v>0.18</v>
      </c>
      <c r="F43" s="219">
        <f t="shared" si="0"/>
        <v>0.32403599999999999</v>
      </c>
      <c r="G43" s="220">
        <f t="shared" si="1"/>
        <v>5.4006000000000002E-3</v>
      </c>
    </row>
    <row r="44" spans="1:7" x14ac:dyDescent="0.2">
      <c r="A44" s="197" t="str">
        <f>Zones!B37</f>
        <v>F5 STUDIO SE</v>
      </c>
      <c r="B44" s="198" t="s">
        <v>473</v>
      </c>
      <c r="C44" s="216">
        <f>Zones!J37*Zones!L37</f>
        <v>540.04999999999995</v>
      </c>
      <c r="D44" s="217">
        <f>Zones!M37* Zones!L37</f>
        <v>2.70025</v>
      </c>
      <c r="E44" s="218">
        <v>0</v>
      </c>
      <c r="F44" s="219">
        <f t="shared" si="0"/>
        <v>0</v>
      </c>
      <c r="G44" s="220">
        <f t="shared" si="1"/>
        <v>0</v>
      </c>
    </row>
    <row r="45" spans="1:7" x14ac:dyDescent="0.2">
      <c r="A45" s="197" t="str">
        <f>Zones!B38</f>
        <v>F5 STUDIO SW</v>
      </c>
      <c r="B45" s="198" t="s">
        <v>473</v>
      </c>
      <c r="C45" s="216">
        <f>Zones!J38*Zones!L38</f>
        <v>540.04999999999995</v>
      </c>
      <c r="D45" s="217">
        <f>Zones!M38* Zones!L38</f>
        <v>2.70025</v>
      </c>
      <c r="E45" s="218">
        <v>0</v>
      </c>
      <c r="F45" s="219">
        <f t="shared" si="0"/>
        <v>0</v>
      </c>
      <c r="G45" s="220">
        <f t="shared" si="1"/>
        <v>0</v>
      </c>
    </row>
    <row r="46" spans="1:7" x14ac:dyDescent="0.2">
      <c r="A46" s="197" t="str">
        <f>Zones!B39</f>
        <v>PARKING GARAGE</v>
      </c>
      <c r="B46" s="198"/>
      <c r="C46" s="216">
        <f>Zones!J39*Zones!L39</f>
        <v>27902.720000000001</v>
      </c>
      <c r="D46" s="217">
        <f>Zones!M39* Zones!L39</f>
        <v>139.5136</v>
      </c>
      <c r="E46" s="218">
        <v>0</v>
      </c>
      <c r="F46" s="219">
        <f t="shared" si="0"/>
        <v>0</v>
      </c>
      <c r="G46" s="220">
        <f t="shared" si="1"/>
        <v>0</v>
      </c>
    </row>
    <row r="49" spans="1:10" ht="18" customHeight="1" x14ac:dyDescent="0.25">
      <c r="A49" s="465" t="s">
        <v>483</v>
      </c>
      <c r="B49" s="465"/>
      <c r="C49" s="465"/>
      <c r="D49" s="465"/>
      <c r="E49" s="465"/>
      <c r="F49" s="465"/>
      <c r="G49" s="465"/>
      <c r="H49" s="465"/>
      <c r="I49" s="465"/>
      <c r="J49"/>
    </row>
    <row r="50" spans="1:10" ht="73.5" customHeight="1" x14ac:dyDescent="0.25">
      <c r="A50" s="183" t="s">
        <v>469</v>
      </c>
      <c r="B50" s="131" t="s">
        <v>481</v>
      </c>
      <c r="C50" s="131" t="s">
        <v>484</v>
      </c>
      <c r="D50" s="131" t="s">
        <v>485</v>
      </c>
      <c r="E50" s="131" t="s">
        <v>486</v>
      </c>
      <c r="F50" s="211" t="s">
        <v>487</v>
      </c>
      <c r="G50" s="488" t="s">
        <v>488</v>
      </c>
      <c r="H50" s="489"/>
      <c r="I50" s="213" t="s">
        <v>489</v>
      </c>
    </row>
    <row r="51" spans="1:10" ht="30.75" customHeight="1" x14ac:dyDescent="0.25">
      <c r="A51" s="200" t="s">
        <v>490</v>
      </c>
      <c r="B51" s="201">
        <f>SUMIFS(F10:F46,B10:B46,"Gas")</f>
        <v>115.80211922400009</v>
      </c>
      <c r="C51" s="201">
        <f>B51*($B$64-B65)*8.2877*1</f>
        <v>71979.991761955913</v>
      </c>
      <c r="D51" s="201">
        <f>C51*B66</f>
        <v>43187.995057173546</v>
      </c>
      <c r="E51" s="199">
        <f>D51/C3</f>
        <v>53984.993821466931</v>
      </c>
      <c r="F51" s="212">
        <f>ROUNDUP((B51*F52)/B52,0)</f>
        <v>47</v>
      </c>
      <c r="G51" s="212">
        <f>(E51/800)+110*SQRT(F51)</f>
        <v>821.60324832094852</v>
      </c>
      <c r="H51" s="212" t="s">
        <v>491</v>
      </c>
      <c r="I51" s="214">
        <f>G51/B61</f>
        <v>13.251665295499169</v>
      </c>
    </row>
    <row r="52" spans="1:10" ht="27" customHeight="1" x14ac:dyDescent="0.25">
      <c r="A52" s="202" t="s">
        <v>234</v>
      </c>
      <c r="B52" s="201">
        <f>B51</f>
        <v>115.80211922400009</v>
      </c>
      <c r="C52" s="201">
        <f>C51</f>
        <v>71979.991761955913</v>
      </c>
      <c r="D52" s="201">
        <f>C52*B66</f>
        <v>43187.995057173546</v>
      </c>
      <c r="E52" s="199">
        <f>D52/C4</f>
        <v>53984.993821466931</v>
      </c>
      <c r="F52" s="212">
        <f>B52*1*B57</f>
        <v>46.320847689600043</v>
      </c>
      <c r="G52" s="212">
        <f>(E52/800)+110*SQRT(F52)</f>
        <v>816.13487183068855</v>
      </c>
      <c r="H52" s="212"/>
      <c r="I52" s="199"/>
    </row>
    <row r="54" spans="1:10" x14ac:dyDescent="0.25">
      <c r="A54" s="7" t="s">
        <v>492</v>
      </c>
      <c r="B54" s="7">
        <v>135</v>
      </c>
      <c r="C54" s="354" t="s">
        <v>493</v>
      </c>
      <c r="F54" s="258" t="s">
        <v>494</v>
      </c>
      <c r="G54" s="43">
        <f>(E52/800)+110*SQRT(F52)</f>
        <v>816.13487183068855</v>
      </c>
      <c r="H54" s="215" t="s">
        <v>491</v>
      </c>
      <c r="I54" s="43">
        <f>G54/B61</f>
        <v>13.163465674688526</v>
      </c>
    </row>
    <row r="55" spans="1:10" x14ac:dyDescent="0.25">
      <c r="A55" s="7" t="s">
        <v>495</v>
      </c>
      <c r="B55" s="7">
        <v>55</v>
      </c>
      <c r="C55" s="354" t="s">
        <v>496</v>
      </c>
    </row>
    <row r="56" spans="1:10" ht="15" x14ac:dyDescent="0.25">
      <c r="A56" s="1" t="s">
        <v>497</v>
      </c>
      <c r="B56" s="7">
        <v>0.6</v>
      </c>
      <c r="C56" s="354" t="s">
        <v>496</v>
      </c>
    </row>
    <row r="57" spans="1:10" x14ac:dyDescent="0.25">
      <c r="A57" s="7" t="s">
        <v>498</v>
      </c>
      <c r="B57" s="7">
        <v>0.4</v>
      </c>
    </row>
    <row r="58" spans="1:10" ht="24.6" customHeight="1" x14ac:dyDescent="0.25">
      <c r="A58" s="400" t="s">
        <v>499</v>
      </c>
      <c r="B58" s="400"/>
      <c r="C58" s="400"/>
      <c r="D58" s="400"/>
      <c r="E58" s="400"/>
      <c r="F58" s="400"/>
      <c r="G58" s="400"/>
    </row>
    <row r="59" spans="1:10" ht="24.6" customHeight="1" x14ac:dyDescent="0.2">
      <c r="A59" s="4" t="s">
        <v>500</v>
      </c>
      <c r="B59" s="4"/>
      <c r="C59" s="9"/>
      <c r="D59" s="9"/>
      <c r="E59" s="9"/>
      <c r="F59" s="9"/>
      <c r="G59" s="9"/>
    </row>
    <row r="60" spans="1:10" x14ac:dyDescent="0.2">
      <c r="A60" s="4" t="s">
        <v>501</v>
      </c>
      <c r="B60" s="4">
        <v>68</v>
      </c>
      <c r="C60" s="9"/>
      <c r="D60" s="9"/>
      <c r="E60" s="9"/>
      <c r="F60" s="9"/>
      <c r="G60" s="9"/>
    </row>
    <row r="61" spans="1:10" x14ac:dyDescent="0.2">
      <c r="A61" s="4" t="s">
        <v>502</v>
      </c>
      <c r="B61" s="4">
        <f>B64-B60</f>
        <v>62</v>
      </c>
      <c r="C61" s="9"/>
      <c r="D61" s="9"/>
      <c r="E61" s="9"/>
      <c r="F61" s="9"/>
      <c r="G61" s="9"/>
    </row>
    <row r="62" spans="1:10" x14ac:dyDescent="0.2">
      <c r="A62" s="4" t="s">
        <v>503</v>
      </c>
      <c r="B62" s="4"/>
      <c r="C62" s="9"/>
      <c r="D62" s="9"/>
      <c r="E62" s="9"/>
      <c r="F62" s="9"/>
      <c r="G62" s="9"/>
    </row>
    <row r="63" spans="1:10" s="4" customFormat="1" x14ac:dyDescent="0.2">
      <c r="F63" s="10" t="s">
        <v>504</v>
      </c>
    </row>
    <row r="64" spans="1:10" s="4" customFormat="1" x14ac:dyDescent="0.2">
      <c r="A64" s="4" t="s">
        <v>492</v>
      </c>
      <c r="B64" s="355">
        <v>130</v>
      </c>
      <c r="C64" s="4" t="s">
        <v>493</v>
      </c>
    </row>
    <row r="65" spans="1:9" s="4" customFormat="1" x14ac:dyDescent="0.2">
      <c r="A65" s="4" t="s">
        <v>495</v>
      </c>
      <c r="B65" s="355">
        <v>55</v>
      </c>
      <c r="C65" s="4" t="s">
        <v>496</v>
      </c>
      <c r="E65" s="207"/>
      <c r="F65" s="208"/>
      <c r="I65" s="355"/>
    </row>
    <row r="66" spans="1:9" s="4" customFormat="1" x14ac:dyDescent="0.2">
      <c r="A66" s="4" t="s">
        <v>497</v>
      </c>
      <c r="B66" s="355">
        <v>0.6</v>
      </c>
      <c r="C66" s="4" t="s">
        <v>496</v>
      </c>
      <c r="F66" s="208"/>
      <c r="I66" s="355"/>
    </row>
    <row r="67" spans="1:9" s="4" customFormat="1" x14ac:dyDescent="0.2">
      <c r="A67" s="4" t="s">
        <v>498</v>
      </c>
      <c r="B67" s="209">
        <v>0.4</v>
      </c>
      <c r="C67" s="4" t="s">
        <v>496</v>
      </c>
      <c r="F67" s="208"/>
      <c r="I67" s="355"/>
    </row>
    <row r="68" spans="1:9" s="4" customFormat="1" ht="25.9" customHeight="1" x14ac:dyDescent="0.2">
      <c r="A68" s="487" t="s">
        <v>499</v>
      </c>
      <c r="B68" s="487"/>
      <c r="C68" s="487"/>
      <c r="D68" s="487"/>
      <c r="E68" s="487"/>
      <c r="F68" s="487"/>
      <c r="G68" s="487"/>
      <c r="H68" s="487"/>
      <c r="I68" s="487"/>
    </row>
    <row r="71" spans="1:9" s="26" customFormat="1" x14ac:dyDescent="0.2">
      <c r="A71" s="26" t="s">
        <v>183</v>
      </c>
    </row>
    <row r="72" spans="1:9" ht="15" x14ac:dyDescent="0.25">
      <c r="A72" s="4" t="s">
        <v>25</v>
      </c>
      <c r="B72" s="204" t="s">
        <v>26</v>
      </c>
      <c r="C72" s="205" t="s">
        <v>505</v>
      </c>
    </row>
    <row r="73" spans="1:9" ht="15" x14ac:dyDescent="0.2">
      <c r="A73" s="4" t="s">
        <v>27</v>
      </c>
      <c r="B73" s="206" t="s">
        <v>28</v>
      </c>
      <c r="C73" s="8" t="s">
        <v>506</v>
      </c>
    </row>
  </sheetData>
  <mergeCells count="8">
    <mergeCell ref="A1:G1"/>
    <mergeCell ref="F3:F4"/>
    <mergeCell ref="A68:I68"/>
    <mergeCell ref="A49:I49"/>
    <mergeCell ref="A58:G58"/>
    <mergeCell ref="A8:G8"/>
    <mergeCell ref="G50:H50"/>
    <mergeCell ref="G3:G4"/>
  </mergeCells>
  <hyperlinks>
    <hyperlink ref="B72" r:id="rId1" xr:uid="{153F2F63-657F-41C1-B571-9E3D32D5AC5B}"/>
    <hyperlink ref="B73" r:id="rId2" xr:uid="{2FDB1417-03FF-4124-B628-70945CC504D8}"/>
    <hyperlink ref="F63" r:id="rId3" xr:uid="{84C05F19-22FC-438E-A473-84B6621B9D9B}"/>
  </hyperlinks>
  <pageMargins left="0.7" right="0.7" top="0.75" bottom="0.75" header="0.3" footer="0.3"/>
  <pageSetup orientation="portrait" r:id="rId4"/>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F6AAB3-37D4-40C4-AD32-87DEB55DC747}">
  <sheetPr codeName="Sheet17"/>
  <dimension ref="A1:H92"/>
  <sheetViews>
    <sheetView zoomScale="80" zoomScaleNormal="80" workbookViewId="0">
      <pane ySplit="3" topLeftCell="A4" activePane="bottomLeft" state="frozen"/>
      <selection pane="bottomLeft" sqref="A1:G1"/>
    </sheetView>
  </sheetViews>
  <sheetFormatPr defaultColWidth="8.7109375" defaultRowHeight="12.75" x14ac:dyDescent="0.2"/>
  <cols>
    <col min="1" max="1" width="50.140625" style="4" customWidth="1"/>
    <col min="2" max="2" width="20.5703125" style="4" customWidth="1"/>
    <col min="3" max="3" width="22.7109375" style="4" customWidth="1"/>
    <col min="4" max="4" width="39.5703125" style="4" customWidth="1"/>
    <col min="5" max="5" width="20.28515625" style="4" customWidth="1"/>
    <col min="6" max="6" width="22.140625" style="4" customWidth="1"/>
    <col min="7" max="7" width="42.28515625" style="4" customWidth="1"/>
    <col min="8" max="8" width="9.7109375" style="4" customWidth="1"/>
    <col min="9" max="9" width="13.28515625" style="4" customWidth="1"/>
    <col min="10" max="10" width="24" style="4" customWidth="1"/>
    <col min="11" max="11" width="10.5703125" style="4" customWidth="1"/>
    <col min="12" max="12" width="11.42578125" style="4" customWidth="1"/>
    <col min="13" max="13" width="10.5703125" style="4" customWidth="1"/>
    <col min="14" max="14" width="13.28515625" style="4" customWidth="1"/>
    <col min="15" max="15" width="9.7109375" style="4" customWidth="1"/>
    <col min="16" max="16" width="9.42578125" style="4" customWidth="1"/>
    <col min="17" max="17" width="12.7109375" style="4" customWidth="1"/>
    <col min="18" max="18" width="14.7109375" style="4" customWidth="1"/>
    <col min="19" max="19" width="20.7109375" style="4" customWidth="1"/>
    <col min="20" max="20" width="19.7109375" style="4" customWidth="1"/>
    <col min="21" max="26" width="8.7109375" style="4"/>
    <col min="27" max="27" width="13.7109375" style="4" bestFit="1" customWidth="1"/>
    <col min="28" max="16384" width="8.7109375" style="4"/>
  </cols>
  <sheetData>
    <row r="1" spans="1:8" ht="25.9" customHeight="1" x14ac:dyDescent="0.2">
      <c r="A1" s="483" t="str">
        <f>"Interior Lighting - "&amp;Prototype!A2</f>
        <v xml:space="preserve">Interior Lighting - ApartmentMidRise </v>
      </c>
      <c r="B1" s="483"/>
      <c r="C1" s="483"/>
      <c r="D1" s="483"/>
      <c r="E1" s="483"/>
      <c r="F1" s="483"/>
      <c r="G1" s="483"/>
    </row>
    <row r="2" spans="1:8" ht="45.75" customHeight="1" x14ac:dyDescent="0.2">
      <c r="A2" s="493" t="s">
        <v>66</v>
      </c>
      <c r="B2" s="492" t="s">
        <v>507</v>
      </c>
      <c r="C2" s="492"/>
      <c r="D2" s="492"/>
      <c r="E2" s="492" t="s">
        <v>433</v>
      </c>
      <c r="F2" s="492"/>
      <c r="G2" s="492"/>
    </row>
    <row r="3" spans="1:8" ht="50.25" customHeight="1" x14ac:dyDescent="0.2">
      <c r="A3" s="493"/>
      <c r="B3" s="370" t="s">
        <v>508</v>
      </c>
      <c r="C3" s="370" t="s">
        <v>509</v>
      </c>
      <c r="D3" s="370" t="s">
        <v>353</v>
      </c>
      <c r="E3" s="370" t="s">
        <v>510</v>
      </c>
      <c r="F3" s="370" t="s">
        <v>509</v>
      </c>
      <c r="G3" s="370" t="s">
        <v>353</v>
      </c>
    </row>
    <row r="4" spans="1:8" ht="24.95" customHeight="1" x14ac:dyDescent="0.2">
      <c r="A4" s="342" t="str">
        <f>Zones!A3</f>
        <v>Convention, Conference, Multipurpose and Meeting Area</v>
      </c>
      <c r="B4" s="257">
        <v>0.75</v>
      </c>
      <c r="C4" s="494" t="s">
        <v>85</v>
      </c>
      <c r="D4" s="494" t="s">
        <v>511</v>
      </c>
      <c r="E4" s="257">
        <v>0.85</v>
      </c>
      <c r="F4" s="496" t="s">
        <v>85</v>
      </c>
      <c r="G4" s="494" t="s">
        <v>512</v>
      </c>
    </row>
    <row r="5" spans="1:8" ht="24.95" customHeight="1" x14ac:dyDescent="0.2">
      <c r="A5" s="342" t="str">
        <f>Zones!A4</f>
        <v>Corridor Area</v>
      </c>
      <c r="B5" s="257">
        <v>0.4</v>
      </c>
      <c r="C5" s="495"/>
      <c r="D5" s="495"/>
      <c r="E5" s="139">
        <v>0.6</v>
      </c>
      <c r="F5" s="497"/>
      <c r="G5" s="495"/>
      <c r="H5" s="40"/>
    </row>
    <row r="6" spans="1:8" ht="24.95" customHeight="1" x14ac:dyDescent="0.2">
      <c r="A6" s="342" t="str">
        <f>Zones!A5</f>
        <v>Exercise/Fitness Center and Gymnasium Areas</v>
      </c>
      <c r="B6" s="257">
        <v>0.5</v>
      </c>
      <c r="C6" s="495"/>
      <c r="D6" s="495"/>
      <c r="E6" s="139">
        <v>1</v>
      </c>
      <c r="F6" s="497"/>
      <c r="G6" s="495"/>
      <c r="H6" s="40"/>
    </row>
    <row r="7" spans="1:8" ht="24.95" customHeight="1" x14ac:dyDescent="0.2">
      <c r="A7" s="342" t="str">
        <f>Zones!A6</f>
        <v>Office Area (&gt;250 square feet)</v>
      </c>
      <c r="B7" s="257">
        <v>0.65</v>
      </c>
      <c r="C7" s="495"/>
      <c r="D7" s="495"/>
      <c r="E7" s="139">
        <v>0.65</v>
      </c>
      <c r="F7" s="497"/>
      <c r="G7" s="495"/>
      <c r="H7" s="40"/>
    </row>
    <row r="8" spans="1:8" ht="24.95" customHeight="1" x14ac:dyDescent="0.2">
      <c r="A8" s="342" t="str">
        <f>Zones!A7</f>
        <v>Lobby, Main Entry</v>
      </c>
      <c r="B8" s="257">
        <v>0.7</v>
      </c>
      <c r="C8" s="495"/>
      <c r="D8" s="495"/>
      <c r="E8" s="139">
        <v>0.95</v>
      </c>
      <c r="F8" s="497"/>
      <c r="G8" s="495"/>
      <c r="H8" s="40"/>
    </row>
    <row r="9" spans="1:8" ht="24.95" customHeight="1" x14ac:dyDescent="0.2">
      <c r="A9" s="342" t="str">
        <f>Zones!A8</f>
        <v>Electrical, Mechanical, Telephone Rooms</v>
      </c>
      <c r="B9" s="257">
        <v>0.4</v>
      </c>
      <c r="C9" s="495"/>
      <c r="D9" s="495"/>
      <c r="E9" s="139">
        <v>0.4</v>
      </c>
      <c r="F9" s="497"/>
      <c r="G9" s="495"/>
      <c r="H9" s="40"/>
    </row>
    <row r="10" spans="1:8" ht="24.95" customHeight="1" x14ac:dyDescent="0.2">
      <c r="A10" s="342" t="str">
        <f>Zones!A9</f>
        <v>Retail Sales Area (Retail Merchandise Sales)</v>
      </c>
      <c r="B10" s="257">
        <v>0.95</v>
      </c>
      <c r="C10" s="495"/>
      <c r="D10" s="495"/>
      <c r="E10" s="139">
        <v>1</v>
      </c>
      <c r="F10" s="497"/>
      <c r="G10" s="495"/>
      <c r="H10" s="40"/>
    </row>
    <row r="11" spans="1:8" ht="24.95" customHeight="1" x14ac:dyDescent="0.2">
      <c r="A11" s="342" t="str">
        <f>Zones!A23</f>
        <v xml:space="preserve">Laundry Area </v>
      </c>
      <c r="B11" s="257">
        <v>0.45</v>
      </c>
      <c r="C11" s="495"/>
      <c r="D11" s="495"/>
      <c r="E11" s="257">
        <v>0.45</v>
      </c>
      <c r="F11" s="497"/>
      <c r="G11" s="495"/>
      <c r="H11" s="40"/>
    </row>
    <row r="12" spans="1:8" ht="24.95" customHeight="1" x14ac:dyDescent="0.2">
      <c r="A12" s="342" t="str">
        <f>Zones!A39</f>
        <v>Parking Garage Area (Parking Zone and Ramps)</v>
      </c>
      <c r="B12" s="257">
        <v>0.1</v>
      </c>
      <c r="C12" s="495"/>
      <c r="D12" s="495"/>
      <c r="E12" s="257">
        <v>0.14000000000000001</v>
      </c>
      <c r="F12" s="497"/>
      <c r="G12" s="495"/>
    </row>
    <row r="13" spans="1:8" ht="57" customHeight="1" x14ac:dyDescent="0.2">
      <c r="A13" s="342" t="str">
        <f>Zones!A13</f>
        <v>High-Rise Residential Living Spaces</v>
      </c>
      <c r="B13" s="257">
        <v>0.79</v>
      </c>
      <c r="C13" s="499"/>
      <c r="D13" s="185" t="s">
        <v>513</v>
      </c>
      <c r="E13" s="257">
        <v>0.79</v>
      </c>
      <c r="F13" s="498"/>
      <c r="G13" s="185" t="s">
        <v>514</v>
      </c>
    </row>
    <row r="14" spans="1:8" ht="16.899999999999999" customHeight="1" x14ac:dyDescent="0.2">
      <c r="A14" s="9"/>
      <c r="B14" s="134"/>
      <c r="C14" s="76"/>
      <c r="D14" s="76"/>
      <c r="E14" s="134"/>
      <c r="G14" s="76"/>
    </row>
    <row r="15" spans="1:8" ht="16.899999999999999" customHeight="1" x14ac:dyDescent="0.2">
      <c r="A15" s="135" t="s">
        <v>515</v>
      </c>
      <c r="B15" s="136"/>
      <c r="C15" s="136"/>
      <c r="D15" s="136"/>
      <c r="E15" s="136"/>
      <c r="F15" s="137"/>
      <c r="G15" s="137"/>
    </row>
    <row r="16" spans="1:8" ht="13.15" customHeight="1" x14ac:dyDescent="0.2">
      <c r="B16" s="24"/>
      <c r="C16" s="24"/>
      <c r="D16" s="24"/>
      <c r="E16" s="24"/>
    </row>
    <row r="17" spans="1:7" s="26" customFormat="1" ht="13.15" customHeight="1" x14ac:dyDescent="0.2">
      <c r="A17" s="26" t="s">
        <v>183</v>
      </c>
      <c r="F17" s="27"/>
      <c r="G17" s="28"/>
    </row>
    <row r="18" spans="1:7" ht="13.15" customHeight="1" x14ac:dyDescent="0.2"/>
    <row r="20" spans="1:7" ht="15.75" x14ac:dyDescent="0.25">
      <c r="A20" s="138"/>
      <c r="G20" s="138"/>
    </row>
    <row r="36" customFormat="1" ht="15" x14ac:dyDescent="0.25"/>
    <row r="37" customFormat="1" ht="15" x14ac:dyDescent="0.25"/>
    <row r="38" customFormat="1" ht="15" x14ac:dyDescent="0.25"/>
    <row r="39" customFormat="1" ht="15" x14ac:dyDescent="0.25"/>
    <row r="40" customFormat="1" ht="15" x14ac:dyDescent="0.25"/>
    <row r="41" customFormat="1" ht="15" x14ac:dyDescent="0.25"/>
    <row r="42" customFormat="1" ht="15" x14ac:dyDescent="0.25"/>
    <row r="43" customFormat="1" ht="15" x14ac:dyDescent="0.25"/>
    <row r="44" customFormat="1" ht="15" x14ac:dyDescent="0.25"/>
    <row r="45" customFormat="1" ht="15" x14ac:dyDescent="0.25"/>
    <row r="46" customFormat="1" ht="15" x14ac:dyDescent="0.25"/>
    <row r="47" customFormat="1" ht="15" x14ac:dyDescent="0.25"/>
    <row r="48" customFormat="1" ht="15" x14ac:dyDescent="0.25"/>
    <row r="49" customFormat="1" ht="15" x14ac:dyDescent="0.25"/>
    <row r="50" customFormat="1" ht="15" x14ac:dyDescent="0.25"/>
    <row r="51" customFormat="1" ht="15" x14ac:dyDescent="0.25"/>
    <row r="52" customFormat="1" ht="15" x14ac:dyDescent="0.25"/>
    <row r="53" customFormat="1" ht="15" x14ac:dyDescent="0.25"/>
    <row r="54" customFormat="1" ht="15" x14ac:dyDescent="0.25"/>
    <row r="55" customFormat="1" ht="15" x14ac:dyDescent="0.25"/>
    <row r="56" customFormat="1" ht="15" x14ac:dyDescent="0.25"/>
    <row r="57" customFormat="1" ht="15" x14ac:dyDescent="0.25"/>
    <row r="58" customFormat="1" ht="15" x14ac:dyDescent="0.25"/>
    <row r="59" customFormat="1" ht="15" x14ac:dyDescent="0.25"/>
    <row r="60" customFormat="1" ht="15" x14ac:dyDescent="0.25"/>
    <row r="61" customFormat="1" ht="15" x14ac:dyDescent="0.25"/>
    <row r="62" customFormat="1" ht="15" x14ac:dyDescent="0.25"/>
    <row r="63" customFormat="1" ht="15" x14ac:dyDescent="0.25"/>
    <row r="64" customFormat="1" ht="15" x14ac:dyDescent="0.25"/>
    <row r="65" customFormat="1" ht="15" x14ac:dyDescent="0.25"/>
    <row r="66" customFormat="1" ht="15" x14ac:dyDescent="0.25"/>
    <row r="67" customFormat="1" ht="15" x14ac:dyDescent="0.25"/>
    <row r="68" customFormat="1" ht="15" x14ac:dyDescent="0.25"/>
    <row r="69" customFormat="1" ht="15" x14ac:dyDescent="0.25"/>
    <row r="70" customFormat="1" ht="15" x14ac:dyDescent="0.25"/>
    <row r="71" customFormat="1" ht="15" x14ac:dyDescent="0.25"/>
    <row r="72" customFormat="1" ht="15" x14ac:dyDescent="0.25"/>
    <row r="73" customFormat="1" ht="15" x14ac:dyDescent="0.25"/>
    <row r="74" customFormat="1" ht="15" x14ac:dyDescent="0.25"/>
    <row r="75" customFormat="1" ht="15" x14ac:dyDescent="0.25"/>
    <row r="76" customFormat="1" ht="15" x14ac:dyDescent="0.25"/>
    <row r="77" customFormat="1" ht="15" x14ac:dyDescent="0.25"/>
    <row r="78" customFormat="1" ht="15" x14ac:dyDescent="0.25"/>
    <row r="79" customFormat="1" ht="15" x14ac:dyDescent="0.25"/>
    <row r="80" customFormat="1" ht="15" x14ac:dyDescent="0.25"/>
    <row r="81" customFormat="1" ht="15" x14ac:dyDescent="0.25"/>
    <row r="82" customFormat="1" ht="15" x14ac:dyDescent="0.25"/>
    <row r="83" customFormat="1" ht="15" x14ac:dyDescent="0.25"/>
    <row r="84" customFormat="1" ht="15" x14ac:dyDescent="0.25"/>
    <row r="85" customFormat="1" ht="15" x14ac:dyDescent="0.25"/>
    <row r="86" customFormat="1" ht="15" x14ac:dyDescent="0.25"/>
    <row r="87" customFormat="1" ht="15" x14ac:dyDescent="0.25"/>
    <row r="88" customFormat="1" ht="15" x14ac:dyDescent="0.25"/>
    <row r="89" customFormat="1" ht="15" x14ac:dyDescent="0.25"/>
    <row r="90" customFormat="1" ht="15" x14ac:dyDescent="0.25"/>
    <row r="91" customFormat="1" ht="15" x14ac:dyDescent="0.25"/>
    <row r="92" customFormat="1" ht="15" x14ac:dyDescent="0.25"/>
  </sheetData>
  <mergeCells count="8">
    <mergeCell ref="E2:G2"/>
    <mergeCell ref="A1:G1"/>
    <mergeCell ref="A2:A3"/>
    <mergeCell ref="B2:D2"/>
    <mergeCell ref="G4:G12"/>
    <mergeCell ref="D4:D12"/>
    <mergeCell ref="F4:F13"/>
    <mergeCell ref="C4:C13"/>
  </mergeCells>
  <phoneticPr fontId="5" type="noConversion"/>
  <pageMargins left="0.7" right="0.7" top="0.75" bottom="0.75" header="0.3" footer="0.3"/>
  <pageSetup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A98FA8-1D97-4D12-96EB-6911ACEC625A}">
  <sheetPr codeName="Sheet18"/>
  <dimension ref="A1:G60"/>
  <sheetViews>
    <sheetView zoomScaleNormal="100" workbookViewId="0">
      <selection sqref="A1:D1"/>
    </sheetView>
  </sheetViews>
  <sheetFormatPr defaultColWidth="8.7109375" defaultRowHeight="12.75" x14ac:dyDescent="0.2"/>
  <cols>
    <col min="1" max="1" width="35.7109375" style="4" customWidth="1"/>
    <col min="2" max="2" width="41.7109375" style="4" customWidth="1"/>
    <col min="3" max="3" width="17.85546875" style="4" customWidth="1"/>
    <col min="4" max="4" width="34.28515625" style="4" customWidth="1"/>
    <col min="5" max="5" width="31.28515625" style="4" customWidth="1"/>
    <col min="6" max="6" width="19.28515625" style="4" customWidth="1"/>
    <col min="7" max="7" width="21.28515625" style="4" customWidth="1"/>
    <col min="8" max="8" width="15.5703125" style="4" customWidth="1"/>
    <col min="9" max="9" width="13.28515625" style="4" customWidth="1"/>
    <col min="10" max="16384" width="8.7109375" style="4"/>
  </cols>
  <sheetData>
    <row r="1" spans="1:7" ht="25.15" customHeight="1" x14ac:dyDescent="0.2">
      <c r="A1" s="503" t="str">
        <f>"Exterior Lighting - "&amp;Prototype!A2</f>
        <v xml:space="preserve">Exterior Lighting - ApartmentMidRise </v>
      </c>
      <c r="B1" s="503"/>
      <c r="C1" s="503"/>
      <c r="D1" s="503"/>
    </row>
    <row r="2" spans="1:7" ht="37.15" customHeight="1" x14ac:dyDescent="0.2">
      <c r="A2" s="42" t="s">
        <v>516</v>
      </c>
      <c r="B2" s="42" t="s">
        <v>517</v>
      </c>
      <c r="C2" s="42" t="s">
        <v>518</v>
      </c>
      <c r="D2" s="42" t="s">
        <v>353</v>
      </c>
    </row>
    <row r="3" spans="1:7" ht="50.25" customHeight="1" x14ac:dyDescent="0.2">
      <c r="A3" s="43">
        <f>G16</f>
        <v>2229.9691335111111</v>
      </c>
      <c r="B3" s="43">
        <f>G17</f>
        <v>1367.7096320000001</v>
      </c>
      <c r="C3" s="43">
        <f>B3+A3</f>
        <v>3597.6787655111111</v>
      </c>
      <c r="D3" s="363" t="s">
        <v>519</v>
      </c>
    </row>
    <row r="4" spans="1:7" ht="22.15" customHeight="1" x14ac:dyDescent="0.2">
      <c r="A4" s="56"/>
      <c r="B4" s="56"/>
      <c r="C4" s="56"/>
      <c r="D4" s="56"/>
    </row>
    <row r="5" spans="1:7" ht="15.6" customHeight="1" x14ac:dyDescent="0.2">
      <c r="A5" s="140"/>
      <c r="B5" s="140"/>
      <c r="C5" s="140"/>
      <c r="D5" s="140"/>
      <c r="E5" s="140"/>
    </row>
    <row r="6" spans="1:7" ht="15.6" customHeight="1" x14ac:dyDescent="0.2">
      <c r="A6" s="141"/>
      <c r="B6" s="141"/>
      <c r="C6" s="141"/>
      <c r="D6" s="141"/>
      <c r="E6" s="142"/>
    </row>
    <row r="7" spans="1:7" ht="15.6" customHeight="1" x14ac:dyDescent="0.2"/>
    <row r="8" spans="1:7" ht="15.75" x14ac:dyDescent="0.2">
      <c r="A8" s="503" t="str">
        <f xml:space="preserve"> "Exterior Lighting - "&amp; Prototype!A2</f>
        <v xml:space="preserve">Exterior Lighting - ApartmentMidRise </v>
      </c>
      <c r="B8" s="503"/>
      <c r="C8" s="503"/>
      <c r="D8" s="503"/>
      <c r="E8" s="503"/>
      <c r="F8" s="503"/>
      <c r="G8" s="503"/>
    </row>
    <row r="9" spans="1:7" ht="38.25" x14ac:dyDescent="0.2">
      <c r="A9" s="143" t="s">
        <v>520</v>
      </c>
      <c r="B9" s="504" t="s">
        <v>521</v>
      </c>
      <c r="C9" s="505"/>
      <c r="D9" s="144" t="s">
        <v>522</v>
      </c>
      <c r="E9" s="144" t="s">
        <v>523</v>
      </c>
      <c r="F9" s="144" t="s">
        <v>522</v>
      </c>
      <c r="G9" s="144" t="s">
        <v>524</v>
      </c>
    </row>
    <row r="10" spans="1:7" ht="24" customHeight="1" x14ac:dyDescent="0.2">
      <c r="A10" s="15" t="s">
        <v>525</v>
      </c>
      <c r="B10" s="15"/>
      <c r="C10" s="145"/>
      <c r="D10" s="361"/>
      <c r="E10" s="361">
        <v>200</v>
      </c>
      <c r="F10" s="361" t="s">
        <v>526</v>
      </c>
      <c r="G10" s="146">
        <f>$E10</f>
        <v>200</v>
      </c>
    </row>
    <row r="11" spans="1:7" ht="51" x14ac:dyDescent="0.2">
      <c r="A11" s="16" t="s">
        <v>527</v>
      </c>
      <c r="B11" s="16" t="s">
        <v>528</v>
      </c>
      <c r="C11" s="163">
        <f>400*B25*1.5+B23/B24/360*400</f>
        <v>84136.391111111108</v>
      </c>
      <c r="D11" s="361" t="s">
        <v>529</v>
      </c>
      <c r="E11" s="361">
        <v>1.9E-2</v>
      </c>
      <c r="F11" s="361" t="s">
        <v>530</v>
      </c>
      <c r="G11" s="146">
        <f>$E11*C11</f>
        <v>1598.591431111111</v>
      </c>
    </row>
    <row r="12" spans="1:7" ht="28.5" customHeight="1" x14ac:dyDescent="0.2">
      <c r="A12" s="15" t="s">
        <v>531</v>
      </c>
      <c r="B12" s="147" t="s">
        <v>532</v>
      </c>
      <c r="C12" s="210">
        <v>3</v>
      </c>
      <c r="D12" s="361" t="s">
        <v>533</v>
      </c>
      <c r="E12" s="361">
        <v>15</v>
      </c>
      <c r="F12" s="361" t="s">
        <v>534</v>
      </c>
      <c r="G12" s="146">
        <f>E12*C12</f>
        <v>45</v>
      </c>
    </row>
    <row r="13" spans="1:7" ht="25.5" x14ac:dyDescent="0.2">
      <c r="A13" s="15" t="s">
        <v>535</v>
      </c>
      <c r="B13" s="147" t="s">
        <v>536</v>
      </c>
      <c r="C13" s="148">
        <f>B23*0.1</f>
        <v>14101.376000000002</v>
      </c>
      <c r="D13" s="361" t="s">
        <v>529</v>
      </c>
      <c r="E13" s="361">
        <v>7.0000000000000001E-3</v>
      </c>
      <c r="F13" s="361" t="s">
        <v>530</v>
      </c>
      <c r="G13" s="149">
        <f>E13*C13</f>
        <v>98.709632000000013</v>
      </c>
    </row>
    <row r="14" spans="1:7" ht="94.5" customHeight="1" x14ac:dyDescent="0.2">
      <c r="A14" s="15" t="s">
        <v>537</v>
      </c>
      <c r="B14" s="147" t="s">
        <v>538</v>
      </c>
      <c r="C14" s="148">
        <f>B22*0.5*30</f>
        <v>12690</v>
      </c>
      <c r="D14" s="361" t="s">
        <v>529</v>
      </c>
      <c r="E14" s="361">
        <v>0.1</v>
      </c>
      <c r="F14" s="361" t="s">
        <v>530</v>
      </c>
      <c r="G14" s="149">
        <f>E14*C14</f>
        <v>1269</v>
      </c>
    </row>
    <row r="15" spans="1:7" x14ac:dyDescent="0.2">
      <c r="A15" s="150" t="s">
        <v>539</v>
      </c>
      <c r="B15" s="151" t="s">
        <v>540</v>
      </c>
      <c r="C15" s="152">
        <f>(B23/B24)*0.1</f>
        <v>2820.2752</v>
      </c>
      <c r="D15" s="364" t="s">
        <v>529</v>
      </c>
      <c r="E15" s="364">
        <v>0.13700000000000001</v>
      </c>
      <c r="F15" s="364" t="s">
        <v>530</v>
      </c>
      <c r="G15" s="149">
        <f>E15*C15</f>
        <v>386.37770240000003</v>
      </c>
    </row>
    <row r="16" spans="1:7" x14ac:dyDescent="0.2">
      <c r="A16" s="500" t="s">
        <v>541</v>
      </c>
      <c r="B16" s="500"/>
      <c r="C16" s="500"/>
      <c r="D16" s="500"/>
      <c r="E16" s="500"/>
      <c r="F16" s="500"/>
      <c r="G16" s="153">
        <f>G11+G10+G15+G12</f>
        <v>2229.9691335111111</v>
      </c>
    </row>
    <row r="17" spans="1:7" customFormat="1" ht="15" x14ac:dyDescent="0.25">
      <c r="A17" s="500" t="s">
        <v>542</v>
      </c>
      <c r="B17" s="500"/>
      <c r="C17" s="500"/>
      <c r="D17" s="500"/>
      <c r="E17" s="500"/>
      <c r="F17" s="500"/>
      <c r="G17" s="153">
        <f>G13+G14</f>
        <v>1367.7096320000001</v>
      </c>
    </row>
    <row r="18" spans="1:7" x14ac:dyDescent="0.2">
      <c r="A18" s="500" t="s">
        <v>234</v>
      </c>
      <c r="B18" s="500"/>
      <c r="C18" s="500"/>
      <c r="D18" s="500"/>
      <c r="E18" s="500"/>
      <c r="F18" s="500"/>
      <c r="G18" s="153">
        <f>G16+G17</f>
        <v>3597.6787655111111</v>
      </c>
    </row>
    <row r="19" spans="1:7" ht="15" x14ac:dyDescent="0.2">
      <c r="A19" s="154"/>
      <c r="B19" s="154"/>
      <c r="C19" s="154"/>
      <c r="D19" s="154"/>
      <c r="E19" s="154"/>
      <c r="F19" s="154"/>
      <c r="G19" s="155"/>
    </row>
    <row r="20" spans="1:7" ht="15" x14ac:dyDescent="0.25">
      <c r="C20" s="5"/>
      <c r="D20" s="156"/>
      <c r="F20" s="157"/>
    </row>
    <row r="21" spans="1:7" ht="15" x14ac:dyDescent="0.25">
      <c r="C21" s="5"/>
      <c r="D21" s="156"/>
      <c r="F21" s="157"/>
    </row>
    <row r="22" spans="1:7" ht="15" x14ac:dyDescent="0.25">
      <c r="A22" s="4" t="s">
        <v>543</v>
      </c>
      <c r="B22" s="355">
        <f>(180+155)*2+(88*2)</f>
        <v>846</v>
      </c>
      <c r="C22" s="5"/>
      <c r="D22" s="156"/>
      <c r="F22" s="157"/>
    </row>
    <row r="23" spans="1:7" ht="15" x14ac:dyDescent="0.25">
      <c r="A23" s="4" t="s">
        <v>544</v>
      </c>
      <c r="B23" s="158">
        <f>Zones!J40</f>
        <v>141013.76000000001</v>
      </c>
      <c r="D23" s="156"/>
      <c r="F23" s="157"/>
    </row>
    <row r="24" spans="1:7" ht="15" x14ac:dyDescent="0.25">
      <c r="A24" s="4" t="s">
        <v>545</v>
      </c>
      <c r="B24" s="355">
        <v>5</v>
      </c>
      <c r="D24" s="156"/>
      <c r="F24" s="157"/>
    </row>
    <row r="25" spans="1:7" ht="15" x14ac:dyDescent="0.25">
      <c r="A25" s="4" t="s">
        <v>546</v>
      </c>
      <c r="B25" s="355">
        <v>88</v>
      </c>
      <c r="D25" s="156"/>
      <c r="F25" s="157"/>
    </row>
    <row r="26" spans="1:7" ht="15" x14ac:dyDescent="0.25">
      <c r="A26"/>
      <c r="B26"/>
      <c r="D26" s="156"/>
      <c r="F26" s="157"/>
    </row>
    <row r="28" spans="1:7" s="26" customFormat="1" hidden="1" x14ac:dyDescent="0.2">
      <c r="A28" s="26" t="s">
        <v>183</v>
      </c>
      <c r="F28" s="27"/>
      <c r="G28" s="28"/>
    </row>
    <row r="29" spans="1:7" hidden="1" x14ac:dyDescent="0.2"/>
    <row r="30" spans="1:7" hidden="1" x14ac:dyDescent="0.2"/>
    <row r="31" spans="1:7" hidden="1" x14ac:dyDescent="0.2">
      <c r="A31" s="159" t="s">
        <v>547</v>
      </c>
    </row>
    <row r="32" spans="1:7" hidden="1" x14ac:dyDescent="0.2">
      <c r="A32" s="501" t="s">
        <v>548</v>
      </c>
      <c r="B32" s="502"/>
    </row>
    <row r="33" spans="1:3" hidden="1" x14ac:dyDescent="0.2">
      <c r="A33" s="160" t="s">
        <v>549</v>
      </c>
      <c r="B33" s="161" t="s">
        <v>550</v>
      </c>
    </row>
    <row r="34" spans="1:3" hidden="1" x14ac:dyDescent="0.2">
      <c r="A34" s="162">
        <v>9571</v>
      </c>
      <c r="B34" s="162" t="s">
        <v>551</v>
      </c>
    </row>
    <row r="35" spans="1:3" hidden="1" x14ac:dyDescent="0.2">
      <c r="A35" s="5"/>
      <c r="B35" s="5"/>
    </row>
    <row r="36" spans="1:3" hidden="1" x14ac:dyDescent="0.2">
      <c r="B36" s="5"/>
      <c r="C36" s="5"/>
    </row>
    <row r="37" spans="1:3" hidden="1" x14ac:dyDescent="0.2"/>
    <row r="38" spans="1:3" hidden="1" x14ac:dyDescent="0.2"/>
    <row r="39" spans="1:3" hidden="1" x14ac:dyDescent="0.2">
      <c r="A39" s="6" t="s">
        <v>552</v>
      </c>
    </row>
    <row r="40" spans="1:3" hidden="1" x14ac:dyDescent="0.2"/>
    <row r="41" spans="1:3" hidden="1" x14ac:dyDescent="0.2"/>
    <row r="42" spans="1:3" hidden="1" x14ac:dyDescent="0.2"/>
    <row r="43" spans="1:3" hidden="1" x14ac:dyDescent="0.2"/>
    <row r="44" spans="1:3" hidden="1" x14ac:dyDescent="0.2"/>
    <row r="45" spans="1:3" hidden="1" x14ac:dyDescent="0.2"/>
    <row r="46" spans="1:3" hidden="1" x14ac:dyDescent="0.2"/>
    <row r="47" spans="1:3" hidden="1" x14ac:dyDescent="0.2"/>
    <row r="48" spans="1:3" hidden="1" x14ac:dyDescent="0.2"/>
    <row r="49" hidden="1" x14ac:dyDescent="0.2"/>
    <row r="50" hidden="1" x14ac:dyDescent="0.2"/>
    <row r="51" hidden="1" x14ac:dyDescent="0.2"/>
    <row r="52" hidden="1" x14ac:dyDescent="0.2"/>
    <row r="53" hidden="1" x14ac:dyDescent="0.2"/>
    <row r="54" hidden="1" x14ac:dyDescent="0.2"/>
    <row r="55" hidden="1" x14ac:dyDescent="0.2"/>
    <row r="56" hidden="1" x14ac:dyDescent="0.2"/>
    <row r="57" hidden="1" x14ac:dyDescent="0.2"/>
    <row r="58" hidden="1" x14ac:dyDescent="0.2"/>
    <row r="59" hidden="1" x14ac:dyDescent="0.2"/>
    <row r="60" hidden="1" x14ac:dyDescent="0.2"/>
  </sheetData>
  <mergeCells count="7">
    <mergeCell ref="A17:F17"/>
    <mergeCell ref="A18:F18"/>
    <mergeCell ref="A32:B32"/>
    <mergeCell ref="A1:D1"/>
    <mergeCell ref="A8:G8"/>
    <mergeCell ref="B9:C9"/>
    <mergeCell ref="A16:F16"/>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519C81-B0B9-4AE9-9154-3628732CA590}">
  <sheetPr codeName="Sheet3"/>
  <dimension ref="A1:J28"/>
  <sheetViews>
    <sheetView workbookViewId="0">
      <selection sqref="A1:D1"/>
    </sheetView>
  </sheetViews>
  <sheetFormatPr defaultColWidth="8.7109375" defaultRowHeight="12.75" x14ac:dyDescent="0.2"/>
  <cols>
    <col min="1" max="1" width="28.5703125" style="4" customWidth="1"/>
    <col min="2" max="2" width="55.140625" style="4" customWidth="1"/>
    <col min="3" max="3" width="31.42578125" style="4" customWidth="1"/>
    <col min="4" max="4" width="41.85546875" style="4" customWidth="1"/>
    <col min="5" max="5" width="35.28515625" style="4" customWidth="1"/>
    <col min="6" max="6" width="18.7109375" style="4" customWidth="1"/>
    <col min="7" max="7" width="14.28515625" style="4" customWidth="1"/>
    <col min="8" max="8" width="8.7109375" style="4"/>
    <col min="9" max="9" width="10.5703125" style="4" bestFit="1" customWidth="1"/>
    <col min="10" max="10" width="16.28515625" style="4" customWidth="1"/>
    <col min="11" max="11" width="10.7109375" style="4" bestFit="1" customWidth="1"/>
    <col min="12" max="12" width="10.5703125" style="4" bestFit="1" customWidth="1"/>
    <col min="13" max="16384" width="8.7109375" style="4"/>
  </cols>
  <sheetData>
    <row r="1" spans="1:9" ht="23.45" customHeight="1" x14ac:dyDescent="0.2">
      <c r="A1" s="506" t="str">
        <f>"Equipment - "&amp;Prototype!A2</f>
        <v xml:space="preserve">Equipment - ApartmentMidRise </v>
      </c>
      <c r="B1" s="506"/>
      <c r="C1" s="506"/>
      <c r="D1" s="506"/>
      <c r="E1" s="58"/>
    </row>
    <row r="2" spans="1:9" ht="21" customHeight="1" x14ac:dyDescent="0.2">
      <c r="A2" s="373" t="s">
        <v>287</v>
      </c>
      <c r="B2" s="373" t="s">
        <v>66</v>
      </c>
      <c r="C2" s="373" t="s">
        <v>553</v>
      </c>
      <c r="D2" s="373" t="s">
        <v>353</v>
      </c>
      <c r="E2" s="7"/>
    </row>
    <row r="3" spans="1:9" ht="15.75" customHeight="1" x14ac:dyDescent="0.25">
      <c r="A3" s="461" t="s">
        <v>554</v>
      </c>
      <c r="B3" s="369" t="str">
        <f>Zones!A3</f>
        <v>Convention, Conference, Multipurpose and Meeting Area</v>
      </c>
      <c r="C3" s="257">
        <v>1</v>
      </c>
      <c r="D3" s="494" t="s">
        <v>555</v>
      </c>
      <c r="E3"/>
      <c r="F3"/>
      <c r="G3"/>
      <c r="H3"/>
    </row>
    <row r="4" spans="1:9" ht="16.899999999999999" customHeight="1" x14ac:dyDescent="0.25">
      <c r="A4" s="461"/>
      <c r="B4" s="369" t="str">
        <f>Zones!A4</f>
        <v>Corridor Area</v>
      </c>
      <c r="C4" s="257">
        <v>0</v>
      </c>
      <c r="D4" s="495"/>
      <c r="E4"/>
      <c r="F4"/>
      <c r="G4"/>
      <c r="H4"/>
      <c r="I4" s="40"/>
    </row>
    <row r="5" spans="1:9" ht="16.899999999999999" customHeight="1" x14ac:dyDescent="0.25">
      <c r="A5" s="461"/>
      <c r="B5" s="369" t="str">
        <f>Zones!A5</f>
        <v>Exercise/Fitness Center and Gymnasium Areas</v>
      </c>
      <c r="C5" s="257">
        <v>0.5</v>
      </c>
      <c r="D5" s="495"/>
      <c r="E5"/>
      <c r="F5"/>
      <c r="G5"/>
      <c r="H5"/>
      <c r="I5" s="40"/>
    </row>
    <row r="6" spans="1:9" ht="16.899999999999999" customHeight="1" x14ac:dyDescent="0.25">
      <c r="A6" s="461"/>
      <c r="B6" s="369" t="str">
        <f>Zones!A6</f>
        <v>Office Area (&gt;250 square feet)</v>
      </c>
      <c r="C6" s="257">
        <v>1.5</v>
      </c>
      <c r="D6" s="495"/>
      <c r="E6"/>
      <c r="F6"/>
      <c r="G6"/>
      <c r="H6"/>
      <c r="I6" s="40"/>
    </row>
    <row r="7" spans="1:9" ht="17.25" customHeight="1" x14ac:dyDescent="0.25">
      <c r="A7" s="461"/>
      <c r="B7" s="369" t="str">
        <f>Zones!A7</f>
        <v>Lobby, Main Entry</v>
      </c>
      <c r="C7" s="257">
        <v>0.5</v>
      </c>
      <c r="D7" s="495"/>
      <c r="E7"/>
      <c r="F7"/>
      <c r="G7"/>
      <c r="H7"/>
      <c r="I7" s="40"/>
    </row>
    <row r="8" spans="1:9" ht="16.899999999999999" customHeight="1" x14ac:dyDescent="0.25">
      <c r="A8" s="461"/>
      <c r="B8" s="369" t="str">
        <f>Zones!A8</f>
        <v>Electrical, Mechanical, Telephone Rooms</v>
      </c>
      <c r="C8" s="257">
        <v>3</v>
      </c>
      <c r="D8" s="495"/>
      <c r="E8"/>
      <c r="F8"/>
      <c r="G8"/>
      <c r="H8"/>
      <c r="I8" s="40"/>
    </row>
    <row r="9" spans="1:9" ht="16.899999999999999" customHeight="1" x14ac:dyDescent="0.25">
      <c r="A9" s="461"/>
      <c r="B9" s="369" t="str">
        <f>Zones!A9</f>
        <v>Retail Sales Area (Retail Merchandise Sales)</v>
      </c>
      <c r="C9" s="257">
        <v>0.7</v>
      </c>
      <c r="D9" s="495"/>
      <c r="E9"/>
      <c r="F9"/>
      <c r="G9"/>
      <c r="H9"/>
      <c r="I9" s="40"/>
    </row>
    <row r="10" spans="1:9" ht="16.899999999999999" customHeight="1" x14ac:dyDescent="0.25">
      <c r="A10" s="461"/>
      <c r="B10" s="369" t="str">
        <f>Zones!A23</f>
        <v xml:space="preserve">Laundry Area </v>
      </c>
      <c r="C10" s="257">
        <v>3</v>
      </c>
      <c r="D10" s="495"/>
      <c r="E10"/>
      <c r="F10"/>
      <c r="G10"/>
      <c r="H10"/>
      <c r="I10" s="40"/>
    </row>
    <row r="11" spans="1:9" ht="16.899999999999999" customHeight="1" x14ac:dyDescent="0.25">
      <c r="A11" s="461"/>
      <c r="B11" s="363" t="str">
        <f>Zones!A39</f>
        <v>Parking Garage Area (Parking Zone and Ramps)</v>
      </c>
      <c r="C11" s="139">
        <v>0</v>
      </c>
      <c r="D11" s="499"/>
      <c r="E11"/>
      <c r="F11"/>
      <c r="G11"/>
      <c r="H11"/>
    </row>
    <row r="12" spans="1:9" ht="16.899999999999999" customHeight="1" x14ac:dyDescent="0.25">
      <c r="A12" s="461"/>
      <c r="B12" s="485" t="str">
        <f>Zones!A34</f>
        <v>High-Rise Residential Living Spaces</v>
      </c>
      <c r="C12" s="507">
        <v>0.5</v>
      </c>
      <c r="D12" s="494" t="s">
        <v>556</v>
      </c>
      <c r="E12"/>
      <c r="F12"/>
      <c r="G12"/>
      <c r="H12"/>
    </row>
    <row r="13" spans="1:9" ht="16.899999999999999" customHeight="1" x14ac:dyDescent="0.25">
      <c r="A13" s="511"/>
      <c r="B13" s="486"/>
      <c r="C13" s="508"/>
      <c r="D13" s="509"/>
      <c r="E13"/>
      <c r="F13"/>
      <c r="G13"/>
      <c r="H13"/>
    </row>
    <row r="14" spans="1:9" customFormat="1" ht="16.899999999999999" customHeight="1" x14ac:dyDescent="0.25"/>
    <row r="15" spans="1:9" ht="16.899999999999999" customHeight="1" x14ac:dyDescent="0.25">
      <c r="A15" s="286"/>
      <c r="B15" s="9"/>
      <c r="C15" s="134"/>
      <c r="D15" s="76"/>
      <c r="E15"/>
      <c r="F15"/>
      <c r="G15"/>
      <c r="H15"/>
    </row>
    <row r="16" spans="1:9" ht="18" customHeight="1" x14ac:dyDescent="0.2">
      <c r="A16" s="503" t="s">
        <v>557</v>
      </c>
      <c r="B16" s="503"/>
      <c r="C16" s="503"/>
      <c r="D16" s="503"/>
      <c r="E16" s="8"/>
      <c r="F16" s="8"/>
      <c r="G16" s="173"/>
    </row>
    <row r="17" spans="1:10" ht="18" customHeight="1" x14ac:dyDescent="0.2">
      <c r="A17" s="371" t="s">
        <v>38</v>
      </c>
      <c r="B17" s="371" t="s">
        <v>558</v>
      </c>
      <c r="C17" s="371" t="s">
        <v>559</v>
      </c>
      <c r="D17" s="371" t="s">
        <v>353</v>
      </c>
      <c r="E17" s="357"/>
      <c r="F17" s="8"/>
      <c r="G17" s="173"/>
    </row>
    <row r="18" spans="1:10" ht="45.75" customHeight="1" x14ac:dyDescent="0.2">
      <c r="A18" s="363" t="s">
        <v>560</v>
      </c>
      <c r="B18" s="361">
        <f>ROUND((Prototype!B8*0.7/50000)+ROUND(5/2,0),0)</f>
        <v>5</v>
      </c>
      <c r="C18" s="43">
        <v>4360.8999999999996</v>
      </c>
      <c r="D18" s="363" t="s">
        <v>561</v>
      </c>
      <c r="F18" s="8"/>
      <c r="G18" s="173"/>
    </row>
    <row r="19" spans="1:10" ht="15" x14ac:dyDescent="0.25">
      <c r="E19"/>
      <c r="F19"/>
      <c r="G19"/>
      <c r="H19"/>
    </row>
    <row r="20" spans="1:10" ht="15" x14ac:dyDescent="0.25">
      <c r="E20"/>
      <c r="F20"/>
      <c r="G20"/>
      <c r="H20"/>
    </row>
    <row r="21" spans="1:10" x14ac:dyDescent="0.2">
      <c r="A21" s="510" t="s">
        <v>562</v>
      </c>
      <c r="B21" s="510"/>
      <c r="C21" s="510"/>
      <c r="D21" s="510"/>
      <c r="E21" s="510"/>
      <c r="F21" s="8"/>
      <c r="G21" s="173"/>
    </row>
    <row r="22" spans="1:10" ht="43.9" customHeight="1" x14ac:dyDescent="0.2">
      <c r="A22" s="512" t="s">
        <v>563</v>
      </c>
      <c r="B22" s="512"/>
      <c r="C22" s="512"/>
      <c r="D22" s="512"/>
      <c r="E22" s="512"/>
      <c r="F22" s="513" t="s">
        <v>564</v>
      </c>
      <c r="G22" s="513"/>
      <c r="H22" s="513"/>
      <c r="I22" s="513"/>
      <c r="J22" s="513"/>
    </row>
    <row r="23" spans="1:10" x14ac:dyDescent="0.2">
      <c r="A23" s="512" t="s">
        <v>565</v>
      </c>
      <c r="B23" s="512"/>
      <c r="C23" s="512"/>
      <c r="D23" s="512"/>
      <c r="E23" s="512"/>
      <c r="F23" s="513"/>
      <c r="G23" s="513"/>
      <c r="H23" s="513"/>
      <c r="I23" s="513"/>
      <c r="J23" s="513"/>
    </row>
    <row r="24" spans="1:10" x14ac:dyDescent="0.2">
      <c r="A24" s="400" t="s">
        <v>566</v>
      </c>
      <c r="B24" s="400"/>
      <c r="C24" s="400"/>
      <c r="D24" s="400"/>
      <c r="E24" s="400"/>
      <c r="F24" s="8"/>
      <c r="G24" s="173"/>
    </row>
    <row r="25" spans="1:10" x14ac:dyDescent="0.2">
      <c r="A25" s="400" t="s">
        <v>567</v>
      </c>
      <c r="B25" s="400"/>
      <c r="C25" s="7">
        <f>ROUND((Prototype!B8*0.7/50000)+ROUND(5/2,0),0)</f>
        <v>5</v>
      </c>
      <c r="D25" s="512" t="s">
        <v>568</v>
      </c>
      <c r="E25" s="512"/>
      <c r="F25" s="8"/>
      <c r="G25" s="173"/>
    </row>
    <row r="26" spans="1:10" x14ac:dyDescent="0.2">
      <c r="A26" s="400" t="s">
        <v>569</v>
      </c>
      <c r="B26" s="400"/>
      <c r="C26" s="7">
        <f>C25*C27</f>
        <v>50</v>
      </c>
      <c r="D26" s="512" t="s">
        <v>570</v>
      </c>
      <c r="E26" s="512"/>
      <c r="F26" s="261">
        <f>4360.9/1000</f>
        <v>4.3609</v>
      </c>
      <c r="G26" s="173"/>
    </row>
    <row r="27" spans="1:10" x14ac:dyDescent="0.2">
      <c r="A27" s="400" t="s">
        <v>571</v>
      </c>
      <c r="B27" s="400"/>
      <c r="C27" s="7">
        <v>10</v>
      </c>
      <c r="D27" s="512"/>
      <c r="E27" s="512"/>
      <c r="F27" s="8"/>
      <c r="G27" s="173"/>
    </row>
    <row r="28" spans="1:10" x14ac:dyDescent="0.2">
      <c r="A28" s="402" t="s">
        <v>572</v>
      </c>
      <c r="B28" s="402"/>
      <c r="C28" s="402"/>
      <c r="D28" s="402"/>
      <c r="E28" s="402"/>
      <c r="F28" s="8"/>
      <c r="G28" s="173"/>
    </row>
  </sheetData>
  <mergeCells count="19">
    <mergeCell ref="F22:J23"/>
    <mergeCell ref="A26:B26"/>
    <mergeCell ref="D26:E26"/>
    <mergeCell ref="A27:B27"/>
    <mergeCell ref="D27:E27"/>
    <mergeCell ref="A28:E28"/>
    <mergeCell ref="A22:E22"/>
    <mergeCell ref="A23:E23"/>
    <mergeCell ref="A24:E24"/>
    <mergeCell ref="A25:B25"/>
    <mergeCell ref="D25:E25"/>
    <mergeCell ref="A1:D1"/>
    <mergeCell ref="C12:C13"/>
    <mergeCell ref="D12:D13"/>
    <mergeCell ref="D3:D11"/>
    <mergeCell ref="A21:E21"/>
    <mergeCell ref="A3:A13"/>
    <mergeCell ref="A16:D16"/>
    <mergeCell ref="B12:B13"/>
  </mergeCells>
  <hyperlinks>
    <hyperlink ref="F22" r:id="rId1" xr:uid="{C6D2B842-2C6E-43FB-B1E3-81DDCCAAFA10}"/>
  </hyperlink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3EF2FF-2B6F-4A27-8A54-7B571ED83A7C}">
  <sheetPr codeName="Sheet7"/>
  <dimension ref="A1:BE125"/>
  <sheetViews>
    <sheetView zoomScale="90" zoomScaleNormal="90" workbookViewId="0">
      <selection sqref="A1:AC1"/>
    </sheetView>
  </sheetViews>
  <sheetFormatPr defaultColWidth="9.28515625" defaultRowHeight="15" x14ac:dyDescent="0.25"/>
  <cols>
    <col min="1" max="1" width="28" style="45" customWidth="1"/>
    <col min="2" max="2" width="19" style="45" bestFit="1" customWidth="1"/>
    <col min="3" max="3" width="28.28515625" style="45" bestFit="1" customWidth="1"/>
    <col min="4" max="4" width="24.42578125" style="45" customWidth="1"/>
    <col min="5" max="5" width="15.28515625" style="45" customWidth="1"/>
    <col min="6" max="6" width="11" style="45" customWidth="1"/>
    <col min="7" max="7" width="8.140625" style="45" bestFit="1" customWidth="1"/>
    <col min="8" max="29" width="6.5703125" style="45" bestFit="1" customWidth="1"/>
    <col min="30" max="30" width="11.85546875" customWidth="1"/>
    <col min="31" max="31" width="12.42578125" customWidth="1"/>
    <col min="32" max="37" width="9.28515625" style="45"/>
    <col min="57" max="16384" width="9.28515625" style="45"/>
  </cols>
  <sheetData>
    <row r="1" spans="1:57" customFormat="1" ht="31.5" customHeight="1" x14ac:dyDescent="0.25">
      <c r="A1" s="463" t="str">
        <f>"Schedules - "&amp;Prototype!A2</f>
        <v xml:space="preserve">Schedules - ApartmentMidRise </v>
      </c>
      <c r="B1" s="463"/>
      <c r="C1" s="463"/>
      <c r="D1" s="463"/>
      <c r="E1" s="463"/>
      <c r="F1" s="463"/>
      <c r="G1" s="463"/>
      <c r="H1" s="463"/>
      <c r="I1" s="463"/>
      <c r="J1" s="463"/>
      <c r="K1" s="463"/>
      <c r="L1" s="463"/>
      <c r="M1" s="463"/>
      <c r="N1" s="463"/>
      <c r="O1" s="463"/>
      <c r="P1" s="463"/>
      <c r="Q1" s="463"/>
      <c r="R1" s="463"/>
      <c r="S1" s="463"/>
      <c r="T1" s="463"/>
      <c r="U1" s="463"/>
      <c r="V1" s="463"/>
      <c r="W1" s="463"/>
      <c r="X1" s="463"/>
      <c r="Y1" s="463"/>
      <c r="Z1" s="463"/>
      <c r="AA1" s="463"/>
      <c r="AB1" s="463"/>
      <c r="AC1" s="606"/>
    </row>
    <row r="2" spans="1:57" ht="24" customHeight="1" x14ac:dyDescent="0.25">
      <c r="A2" s="493" t="s">
        <v>573</v>
      </c>
      <c r="B2" s="493" t="s">
        <v>69</v>
      </c>
      <c r="C2" s="493" t="s">
        <v>574</v>
      </c>
      <c r="D2" s="493" t="s">
        <v>353</v>
      </c>
      <c r="E2" s="493" t="s">
        <v>575</v>
      </c>
      <c r="F2" s="607" t="s">
        <v>576</v>
      </c>
      <c r="G2" s="608"/>
      <c r="H2" s="608"/>
      <c r="I2" s="608"/>
      <c r="J2" s="608"/>
      <c r="K2" s="608"/>
      <c r="L2" s="608"/>
      <c r="M2" s="608"/>
      <c r="N2" s="608"/>
      <c r="O2" s="608"/>
      <c r="P2" s="608"/>
      <c r="Q2" s="608"/>
      <c r="R2" s="608"/>
      <c r="S2" s="608"/>
      <c r="T2" s="608"/>
      <c r="U2" s="608"/>
      <c r="V2" s="608"/>
      <c r="W2" s="608"/>
      <c r="X2" s="608"/>
      <c r="Y2" s="608"/>
      <c r="Z2" s="608"/>
      <c r="AA2" s="608"/>
      <c r="AB2" s="608"/>
      <c r="AC2" s="608"/>
      <c r="AE2" s="46"/>
      <c r="AF2" s="46"/>
      <c r="AG2" s="46"/>
      <c r="AH2" s="46"/>
      <c r="AI2" s="46"/>
      <c r="AJ2" s="47"/>
      <c r="AK2" s="47"/>
      <c r="AL2" s="47"/>
      <c r="AM2" s="47"/>
      <c r="AN2" s="47"/>
      <c r="AO2" s="47"/>
      <c r="AP2" s="47"/>
      <c r="AQ2" s="47"/>
      <c r="AR2" s="47"/>
      <c r="AS2" s="47"/>
      <c r="AT2" s="47"/>
      <c r="AU2" s="47"/>
      <c r="AV2" s="47"/>
      <c r="AW2" s="47"/>
      <c r="AX2" s="47"/>
      <c r="AY2" s="47"/>
      <c r="BE2"/>
    </row>
    <row r="3" spans="1:57" ht="25.15" customHeight="1" thickBot="1" x14ac:dyDescent="0.3">
      <c r="A3" s="590"/>
      <c r="B3" s="590"/>
      <c r="C3" s="590"/>
      <c r="D3" s="590"/>
      <c r="E3" s="590"/>
      <c r="F3" s="262">
        <v>1</v>
      </c>
      <c r="G3" s="373">
        <v>2</v>
      </c>
      <c r="H3" s="373">
        <v>3</v>
      </c>
      <c r="I3" s="373">
        <v>4</v>
      </c>
      <c r="J3" s="373">
        <v>5</v>
      </c>
      <c r="K3" s="373">
        <v>6</v>
      </c>
      <c r="L3" s="373">
        <v>7</v>
      </c>
      <c r="M3" s="373">
        <v>8</v>
      </c>
      <c r="N3" s="373">
        <v>9</v>
      </c>
      <c r="O3" s="373">
        <v>10</v>
      </c>
      <c r="P3" s="373">
        <v>11</v>
      </c>
      <c r="Q3" s="373">
        <v>12</v>
      </c>
      <c r="R3" s="373">
        <v>13</v>
      </c>
      <c r="S3" s="373">
        <v>14</v>
      </c>
      <c r="T3" s="373">
        <v>15</v>
      </c>
      <c r="U3" s="373">
        <v>16</v>
      </c>
      <c r="V3" s="373">
        <v>17</v>
      </c>
      <c r="W3" s="373">
        <v>18</v>
      </c>
      <c r="X3" s="373">
        <v>19</v>
      </c>
      <c r="Y3" s="373">
        <v>20</v>
      </c>
      <c r="Z3" s="373">
        <v>21</v>
      </c>
      <c r="AA3" s="373">
        <v>22</v>
      </c>
      <c r="AB3" s="373">
        <v>23</v>
      </c>
      <c r="AC3" s="373">
        <v>24</v>
      </c>
      <c r="AE3" s="47"/>
      <c r="AF3" s="47"/>
      <c r="AG3" s="47"/>
      <c r="AH3" s="47"/>
      <c r="AI3" s="47"/>
      <c r="AJ3" s="47"/>
      <c r="AK3" s="47"/>
      <c r="AL3" s="47"/>
      <c r="AM3" s="47"/>
      <c r="AN3" s="47"/>
      <c r="AO3" s="47"/>
      <c r="AP3" s="47"/>
      <c r="AQ3" s="47"/>
      <c r="AR3" s="47"/>
      <c r="AS3" s="47"/>
      <c r="AT3" s="47"/>
      <c r="AU3" s="47"/>
      <c r="AV3" s="47"/>
      <c r="AW3" s="47"/>
      <c r="AX3" s="47"/>
      <c r="AY3" s="47"/>
      <c r="BE3"/>
    </row>
    <row r="4" spans="1:57" ht="39.950000000000003" customHeight="1" x14ac:dyDescent="0.25">
      <c r="A4" s="583" t="s">
        <v>577</v>
      </c>
      <c r="B4" s="594" t="s">
        <v>693</v>
      </c>
      <c r="C4" s="594" t="s">
        <v>578</v>
      </c>
      <c r="D4" s="600" t="s">
        <v>579</v>
      </c>
      <c r="E4" s="242" t="s">
        <v>580</v>
      </c>
      <c r="F4" s="174">
        <v>0.9</v>
      </c>
      <c r="G4" s="174">
        <v>0.9</v>
      </c>
      <c r="H4" s="174">
        <v>0.9</v>
      </c>
      <c r="I4" s="174">
        <v>0.9</v>
      </c>
      <c r="J4" s="174">
        <v>0.9</v>
      </c>
      <c r="K4" s="174">
        <v>0.9</v>
      </c>
      <c r="L4" s="174">
        <v>0.7</v>
      </c>
      <c r="M4" s="174">
        <v>0.4</v>
      </c>
      <c r="N4" s="174">
        <v>0.4</v>
      </c>
      <c r="O4" s="174">
        <v>0.2</v>
      </c>
      <c r="P4" s="174">
        <v>0.2</v>
      </c>
      <c r="Q4" s="174">
        <v>0.2</v>
      </c>
      <c r="R4" s="174">
        <v>0.2</v>
      </c>
      <c r="S4" s="174">
        <v>0.2</v>
      </c>
      <c r="T4" s="174">
        <v>0.2</v>
      </c>
      <c r="U4" s="174">
        <v>0.3</v>
      </c>
      <c r="V4" s="174">
        <v>0.5</v>
      </c>
      <c r="W4" s="174">
        <v>0.5</v>
      </c>
      <c r="X4" s="174">
        <v>0.5</v>
      </c>
      <c r="Y4" s="174">
        <v>0.7</v>
      </c>
      <c r="Z4" s="174">
        <v>0.7</v>
      </c>
      <c r="AA4" s="174">
        <v>0.8</v>
      </c>
      <c r="AB4" s="174">
        <v>0.9</v>
      </c>
      <c r="AC4" s="175">
        <v>0.9</v>
      </c>
      <c r="AE4" s="47"/>
      <c r="AF4" s="47"/>
      <c r="AG4" s="47"/>
      <c r="AH4" s="47"/>
      <c r="AI4" s="47"/>
      <c r="AJ4" s="47"/>
      <c r="AK4" s="47"/>
      <c r="AL4" s="47"/>
      <c r="AM4" s="47"/>
      <c r="AN4" s="47"/>
      <c r="AO4" s="47"/>
      <c r="AP4" s="47"/>
      <c r="AQ4" s="47"/>
      <c r="AR4" s="47"/>
      <c r="AS4" s="47"/>
      <c r="AT4" s="47"/>
      <c r="AU4" s="47"/>
      <c r="AV4" s="47"/>
      <c r="AW4" s="47"/>
      <c r="AX4" s="47"/>
    </row>
    <row r="5" spans="1:57" ht="39.950000000000003" customHeight="1" x14ac:dyDescent="0.25">
      <c r="A5" s="584"/>
      <c r="B5" s="595"/>
      <c r="C5" s="595"/>
      <c r="D5" s="601"/>
      <c r="E5" s="243" t="s">
        <v>581</v>
      </c>
      <c r="F5" s="176">
        <v>0.9</v>
      </c>
      <c r="G5" s="176">
        <v>0.9</v>
      </c>
      <c r="H5" s="176">
        <v>0.9</v>
      </c>
      <c r="I5" s="176">
        <v>0.9</v>
      </c>
      <c r="J5" s="176">
        <v>0.9</v>
      </c>
      <c r="K5" s="176">
        <v>0.9</v>
      </c>
      <c r="L5" s="176">
        <v>0.7</v>
      </c>
      <c r="M5" s="176">
        <v>0.4</v>
      </c>
      <c r="N5" s="176">
        <v>0.4</v>
      </c>
      <c r="O5" s="176">
        <v>0.2</v>
      </c>
      <c r="P5" s="176">
        <v>0.2</v>
      </c>
      <c r="Q5" s="176">
        <v>0.2</v>
      </c>
      <c r="R5" s="176">
        <v>0.2</v>
      </c>
      <c r="S5" s="176">
        <v>0.2</v>
      </c>
      <c r="T5" s="176">
        <v>0.2</v>
      </c>
      <c r="U5" s="176">
        <v>0.3</v>
      </c>
      <c r="V5" s="176">
        <v>0.5</v>
      </c>
      <c r="W5" s="176">
        <v>0.5</v>
      </c>
      <c r="X5" s="176">
        <v>0.5</v>
      </c>
      <c r="Y5" s="176">
        <v>0.7</v>
      </c>
      <c r="Z5" s="176">
        <v>0.7</v>
      </c>
      <c r="AA5" s="176">
        <v>0.8</v>
      </c>
      <c r="AB5" s="176">
        <v>0.9</v>
      </c>
      <c r="AC5" s="177">
        <v>0.9</v>
      </c>
      <c r="AE5" s="47"/>
      <c r="AF5" s="47"/>
      <c r="AG5" s="47"/>
      <c r="AH5" s="47"/>
      <c r="AI5" s="47"/>
      <c r="AJ5" s="47"/>
      <c r="AK5" s="47"/>
      <c r="AL5" s="47"/>
      <c r="AM5" s="47"/>
      <c r="AN5" s="47"/>
      <c r="AO5" s="47"/>
      <c r="AP5" s="47"/>
      <c r="AQ5" s="47"/>
      <c r="AR5" s="47"/>
      <c r="AS5" s="47"/>
      <c r="AT5" s="47"/>
      <c r="AU5" s="47"/>
      <c r="AV5" s="47"/>
      <c r="AW5" s="47"/>
      <c r="AX5" s="47"/>
    </row>
    <row r="6" spans="1:57" ht="39.950000000000003" customHeight="1" thickBot="1" x14ac:dyDescent="0.3">
      <c r="A6" s="584"/>
      <c r="B6" s="595"/>
      <c r="C6" s="595"/>
      <c r="D6" s="601"/>
      <c r="E6" s="244" t="s">
        <v>582</v>
      </c>
      <c r="F6" s="178">
        <v>0.9</v>
      </c>
      <c r="G6" s="178">
        <v>0.9</v>
      </c>
      <c r="H6" s="178">
        <v>0.9</v>
      </c>
      <c r="I6" s="178">
        <v>0.9</v>
      </c>
      <c r="J6" s="178">
        <v>0.9</v>
      </c>
      <c r="K6" s="178">
        <v>0.9</v>
      </c>
      <c r="L6" s="178">
        <v>0.7</v>
      </c>
      <c r="M6" s="178">
        <v>0.4</v>
      </c>
      <c r="N6" s="178">
        <v>0.4</v>
      </c>
      <c r="O6" s="178">
        <v>0.2</v>
      </c>
      <c r="P6" s="178">
        <v>0.2</v>
      </c>
      <c r="Q6" s="178">
        <v>0.2</v>
      </c>
      <c r="R6" s="178">
        <v>0.2</v>
      </c>
      <c r="S6" s="178">
        <v>0.2</v>
      </c>
      <c r="T6" s="178">
        <v>0.2</v>
      </c>
      <c r="U6" s="178">
        <v>0.3</v>
      </c>
      <c r="V6" s="178">
        <v>0.5</v>
      </c>
      <c r="W6" s="178">
        <v>0.5</v>
      </c>
      <c r="X6" s="178">
        <v>0.5</v>
      </c>
      <c r="Y6" s="178">
        <v>0.7</v>
      </c>
      <c r="Z6" s="178">
        <v>0.7</v>
      </c>
      <c r="AA6" s="178">
        <v>0.8</v>
      </c>
      <c r="AB6" s="178">
        <v>0.9</v>
      </c>
      <c r="AC6" s="179">
        <v>0.9</v>
      </c>
      <c r="AE6" s="47"/>
      <c r="AF6" s="47"/>
      <c r="AG6" s="47"/>
      <c r="AH6" s="47"/>
      <c r="AI6" s="47"/>
      <c r="AJ6" s="47"/>
      <c r="AK6" s="47"/>
      <c r="AL6" s="47"/>
      <c r="AM6" s="47"/>
      <c r="AN6" s="47"/>
      <c r="AO6" s="47"/>
      <c r="AP6" s="47"/>
      <c r="AQ6" s="47"/>
      <c r="AR6" s="47"/>
      <c r="AS6" s="47"/>
      <c r="AT6" s="47"/>
      <c r="AU6" s="47"/>
      <c r="AV6" s="47"/>
      <c r="AW6" s="47"/>
      <c r="AX6" s="47"/>
    </row>
    <row r="7" spans="1:57" ht="39.950000000000003" customHeight="1" x14ac:dyDescent="0.25">
      <c r="A7" s="583" t="s">
        <v>577</v>
      </c>
      <c r="B7" s="594" t="str">
        <f>B4</f>
        <v>ResidentialLiving</v>
      </c>
      <c r="C7" s="594" t="s">
        <v>583</v>
      </c>
      <c r="D7" s="600" t="s">
        <v>579</v>
      </c>
      <c r="E7" s="242" t="s">
        <v>580</v>
      </c>
      <c r="F7" s="174">
        <v>0.1</v>
      </c>
      <c r="G7" s="174">
        <v>0.1</v>
      </c>
      <c r="H7" s="174">
        <v>0.1</v>
      </c>
      <c r="I7" s="174">
        <v>0.1</v>
      </c>
      <c r="J7" s="174">
        <v>0.1</v>
      </c>
      <c r="K7" s="174">
        <v>0.3</v>
      </c>
      <c r="L7" s="174">
        <v>0.45</v>
      </c>
      <c r="M7" s="174">
        <v>0.45</v>
      </c>
      <c r="N7" s="174">
        <v>0.45</v>
      </c>
      <c r="O7" s="174">
        <v>0.45</v>
      </c>
      <c r="P7" s="174">
        <v>0.3</v>
      </c>
      <c r="Q7" s="174">
        <v>0.3</v>
      </c>
      <c r="R7" s="174">
        <v>0.3</v>
      </c>
      <c r="S7" s="174">
        <v>0.3</v>
      </c>
      <c r="T7" s="174">
        <v>0.3</v>
      </c>
      <c r="U7" s="174">
        <v>0.3</v>
      </c>
      <c r="V7" s="174">
        <v>0.3</v>
      </c>
      <c r="W7" s="174">
        <v>0.3</v>
      </c>
      <c r="X7" s="174">
        <v>0.6</v>
      </c>
      <c r="Y7" s="174">
        <v>0.8</v>
      </c>
      <c r="Z7" s="174">
        <v>0.9</v>
      </c>
      <c r="AA7" s="174">
        <v>0.8</v>
      </c>
      <c r="AB7" s="174">
        <v>0.6</v>
      </c>
      <c r="AC7" s="175">
        <v>0.3</v>
      </c>
      <c r="AE7" s="47"/>
      <c r="AF7" s="47"/>
      <c r="AG7" s="47"/>
      <c r="AH7" s="47"/>
      <c r="AI7" s="47"/>
      <c r="AJ7" s="47"/>
      <c r="AK7" s="47"/>
      <c r="AL7" s="47"/>
      <c r="AM7" s="47"/>
      <c r="AN7" s="47"/>
      <c r="AO7" s="47"/>
      <c r="AP7" s="47"/>
      <c r="AQ7" s="47"/>
      <c r="AR7" s="47"/>
      <c r="AS7" s="47"/>
      <c r="AT7" s="47"/>
      <c r="AU7" s="47"/>
      <c r="AV7" s="47"/>
      <c r="AW7" s="47"/>
      <c r="AX7" s="47"/>
    </row>
    <row r="8" spans="1:57" ht="39.950000000000003" customHeight="1" x14ac:dyDescent="0.25">
      <c r="A8" s="584"/>
      <c r="B8" s="595"/>
      <c r="C8" s="595"/>
      <c r="D8" s="601"/>
      <c r="E8" s="243" t="s">
        <v>581</v>
      </c>
      <c r="F8" s="176">
        <v>0.1</v>
      </c>
      <c r="G8" s="176">
        <v>0.1</v>
      </c>
      <c r="H8" s="176">
        <v>0.1</v>
      </c>
      <c r="I8" s="176">
        <v>0.1</v>
      </c>
      <c r="J8" s="176">
        <v>0.1</v>
      </c>
      <c r="K8" s="176">
        <v>0.3</v>
      </c>
      <c r="L8" s="176">
        <v>0.45</v>
      </c>
      <c r="M8" s="176">
        <v>0.45</v>
      </c>
      <c r="N8" s="176">
        <v>0.45</v>
      </c>
      <c r="O8" s="176">
        <v>0.45</v>
      </c>
      <c r="P8" s="176">
        <v>0.3</v>
      </c>
      <c r="Q8" s="176">
        <v>0.3</v>
      </c>
      <c r="R8" s="176">
        <v>0.3</v>
      </c>
      <c r="S8" s="176">
        <v>0.3</v>
      </c>
      <c r="T8" s="176">
        <v>0.3</v>
      </c>
      <c r="U8" s="176">
        <v>0.3</v>
      </c>
      <c r="V8" s="176">
        <v>0.3</v>
      </c>
      <c r="W8" s="176">
        <v>0.3</v>
      </c>
      <c r="X8" s="176">
        <v>0.6</v>
      </c>
      <c r="Y8" s="176">
        <v>0.8</v>
      </c>
      <c r="Z8" s="176">
        <v>0.9</v>
      </c>
      <c r="AA8" s="176">
        <v>0.8</v>
      </c>
      <c r="AB8" s="176">
        <v>0.6</v>
      </c>
      <c r="AC8" s="177">
        <v>0.3</v>
      </c>
      <c r="AE8" s="47"/>
      <c r="AF8" s="47"/>
      <c r="AG8" s="47"/>
      <c r="AH8" s="47"/>
      <c r="AI8" s="47"/>
      <c r="AJ8" s="47"/>
      <c r="AK8" s="47"/>
      <c r="AL8" s="47"/>
      <c r="AM8" s="47"/>
      <c r="AN8" s="47"/>
      <c r="AO8" s="47"/>
      <c r="AP8" s="47"/>
      <c r="AQ8" s="47"/>
      <c r="AR8" s="47"/>
      <c r="AS8" s="47"/>
      <c r="AT8" s="47"/>
      <c r="AU8" s="47"/>
      <c r="AV8" s="47"/>
      <c r="AW8" s="47"/>
      <c r="AX8" s="47"/>
    </row>
    <row r="9" spans="1:57" ht="39.950000000000003" customHeight="1" thickBot="1" x14ac:dyDescent="0.3">
      <c r="A9" s="584"/>
      <c r="B9" s="595"/>
      <c r="C9" s="595"/>
      <c r="D9" s="601"/>
      <c r="E9" s="244" t="s">
        <v>582</v>
      </c>
      <c r="F9" s="178">
        <v>0.1</v>
      </c>
      <c r="G9" s="178">
        <v>0.1</v>
      </c>
      <c r="H9" s="178">
        <v>0.1</v>
      </c>
      <c r="I9" s="178">
        <v>0.1</v>
      </c>
      <c r="J9" s="178">
        <v>0.1</v>
      </c>
      <c r="K9" s="178">
        <v>0.3</v>
      </c>
      <c r="L9" s="178">
        <v>0.45</v>
      </c>
      <c r="M9" s="178">
        <v>0.45</v>
      </c>
      <c r="N9" s="178">
        <v>0.45</v>
      </c>
      <c r="O9" s="178">
        <v>0.45</v>
      </c>
      <c r="P9" s="178">
        <v>0.3</v>
      </c>
      <c r="Q9" s="178">
        <v>0.3</v>
      </c>
      <c r="R9" s="178">
        <v>0.3</v>
      </c>
      <c r="S9" s="178">
        <v>0.3</v>
      </c>
      <c r="T9" s="178">
        <v>0.3</v>
      </c>
      <c r="U9" s="178">
        <v>0.3</v>
      </c>
      <c r="V9" s="178">
        <v>0.3</v>
      </c>
      <c r="W9" s="178">
        <v>0.3</v>
      </c>
      <c r="X9" s="178">
        <v>0.6</v>
      </c>
      <c r="Y9" s="178">
        <v>0.8</v>
      </c>
      <c r="Z9" s="178">
        <v>0.9</v>
      </c>
      <c r="AA9" s="178">
        <v>0.8</v>
      </c>
      <c r="AB9" s="178">
        <v>0.6</v>
      </c>
      <c r="AC9" s="179">
        <v>0.3</v>
      </c>
      <c r="AE9" s="47"/>
      <c r="AF9" s="47"/>
      <c r="AG9" s="47"/>
      <c r="AH9" s="47"/>
      <c r="AI9" s="47"/>
      <c r="AJ9" s="47"/>
      <c r="AK9" s="47"/>
      <c r="AL9" s="47"/>
      <c r="AM9" s="47"/>
      <c r="AN9" s="47"/>
      <c r="AO9" s="47"/>
      <c r="AP9" s="47"/>
      <c r="AQ9" s="47"/>
      <c r="AR9" s="47"/>
      <c r="AS9" s="47"/>
      <c r="AT9" s="47"/>
      <c r="AU9" s="47"/>
      <c r="AV9" s="47"/>
      <c r="AW9" s="47"/>
      <c r="AX9" s="47"/>
    </row>
    <row r="10" spans="1:57" ht="39.950000000000003" customHeight="1" x14ac:dyDescent="0.25">
      <c r="A10" s="583" t="s">
        <v>577</v>
      </c>
      <c r="B10" s="594" t="str">
        <f>B4</f>
        <v>ResidentialLiving</v>
      </c>
      <c r="C10" s="594" t="s">
        <v>584</v>
      </c>
      <c r="D10" s="600" t="s">
        <v>579</v>
      </c>
      <c r="E10" s="242" t="s">
        <v>580</v>
      </c>
      <c r="F10" s="174">
        <v>0.1</v>
      </c>
      <c r="G10" s="174">
        <v>0.1</v>
      </c>
      <c r="H10" s="174">
        <v>0.1</v>
      </c>
      <c r="I10" s="174">
        <v>0.1</v>
      </c>
      <c r="J10" s="174">
        <v>0.1</v>
      </c>
      <c r="K10" s="174">
        <v>0.3</v>
      </c>
      <c r="L10" s="174">
        <v>0.45</v>
      </c>
      <c r="M10" s="174">
        <v>0.45</v>
      </c>
      <c r="N10" s="174">
        <v>0.45</v>
      </c>
      <c r="O10" s="174">
        <v>0.45</v>
      </c>
      <c r="P10" s="174">
        <v>0.3</v>
      </c>
      <c r="Q10" s="174">
        <v>0.3</v>
      </c>
      <c r="R10" s="174">
        <v>0.3</v>
      </c>
      <c r="S10" s="174">
        <v>0.3</v>
      </c>
      <c r="T10" s="174">
        <v>0.3</v>
      </c>
      <c r="U10" s="174">
        <v>0.3</v>
      </c>
      <c r="V10" s="174">
        <v>0.3</v>
      </c>
      <c r="W10" s="174">
        <v>0.3</v>
      </c>
      <c r="X10" s="174">
        <v>0.6</v>
      </c>
      <c r="Y10" s="174">
        <v>0.8</v>
      </c>
      <c r="Z10" s="174">
        <v>0.9</v>
      </c>
      <c r="AA10" s="174">
        <v>0.8</v>
      </c>
      <c r="AB10" s="174">
        <v>0.6</v>
      </c>
      <c r="AC10" s="175">
        <v>0.3</v>
      </c>
      <c r="AE10" s="47"/>
      <c r="AF10" s="47"/>
      <c r="AG10" s="47"/>
      <c r="AH10" s="47"/>
      <c r="AI10" s="47"/>
      <c r="AJ10" s="47"/>
      <c r="AK10" s="47"/>
      <c r="AL10" s="47"/>
      <c r="AM10" s="47"/>
      <c r="AN10" s="47"/>
      <c r="AO10" s="47"/>
      <c r="AP10" s="47"/>
      <c r="AQ10" s="47"/>
      <c r="AR10" s="47"/>
      <c r="AS10" s="47"/>
      <c r="AT10" s="47"/>
      <c r="AU10" s="47"/>
      <c r="AV10" s="47"/>
      <c r="AW10" s="47"/>
      <c r="AX10" s="47"/>
    </row>
    <row r="11" spans="1:57" ht="39.950000000000003" customHeight="1" x14ac:dyDescent="0.25">
      <c r="A11" s="584"/>
      <c r="B11" s="595"/>
      <c r="C11" s="595"/>
      <c r="D11" s="601"/>
      <c r="E11" s="243" t="s">
        <v>581</v>
      </c>
      <c r="F11" s="176">
        <v>0.1</v>
      </c>
      <c r="G11" s="176">
        <v>0.1</v>
      </c>
      <c r="H11" s="176">
        <v>0.1</v>
      </c>
      <c r="I11" s="176">
        <v>0.1</v>
      </c>
      <c r="J11" s="176">
        <v>0.1</v>
      </c>
      <c r="K11" s="176">
        <v>0.3</v>
      </c>
      <c r="L11" s="176">
        <v>0.45</v>
      </c>
      <c r="M11" s="176">
        <v>0.45</v>
      </c>
      <c r="N11" s="176">
        <v>0.45</v>
      </c>
      <c r="O11" s="176">
        <v>0.45</v>
      </c>
      <c r="P11" s="176">
        <v>0.3</v>
      </c>
      <c r="Q11" s="176">
        <v>0.3</v>
      </c>
      <c r="R11" s="176">
        <v>0.3</v>
      </c>
      <c r="S11" s="176">
        <v>0.3</v>
      </c>
      <c r="T11" s="176">
        <v>0.3</v>
      </c>
      <c r="U11" s="176">
        <v>0.3</v>
      </c>
      <c r="V11" s="176">
        <v>0.3</v>
      </c>
      <c r="W11" s="176">
        <v>0.3</v>
      </c>
      <c r="X11" s="176">
        <v>0.6</v>
      </c>
      <c r="Y11" s="176">
        <v>0.8</v>
      </c>
      <c r="Z11" s="176">
        <v>0.9</v>
      </c>
      <c r="AA11" s="176">
        <v>0.8</v>
      </c>
      <c r="AB11" s="176">
        <v>0.6</v>
      </c>
      <c r="AC11" s="177">
        <v>0.3</v>
      </c>
      <c r="AE11" s="47"/>
      <c r="AF11" s="47"/>
      <c r="AG11" s="47"/>
      <c r="AH11" s="47"/>
      <c r="AI11" s="47"/>
      <c r="AJ11" s="47"/>
      <c r="AK11" s="47"/>
      <c r="AL11" s="47"/>
      <c r="AM11" s="47"/>
      <c r="AN11" s="47"/>
      <c r="AO11" s="47"/>
      <c r="AP11" s="47"/>
      <c r="AQ11" s="47"/>
      <c r="AR11" s="47"/>
      <c r="AS11" s="47"/>
      <c r="AT11" s="47"/>
      <c r="AU11" s="47"/>
      <c r="AV11" s="47"/>
      <c r="AW11" s="47"/>
      <c r="AX11" s="47"/>
    </row>
    <row r="12" spans="1:57" ht="39.950000000000003" customHeight="1" thickBot="1" x14ac:dyDescent="0.3">
      <c r="A12" s="585"/>
      <c r="B12" s="596"/>
      <c r="C12" s="596"/>
      <c r="D12" s="601"/>
      <c r="E12" s="244" t="s">
        <v>582</v>
      </c>
      <c r="F12" s="178">
        <v>0.1</v>
      </c>
      <c r="G12" s="178">
        <v>0.1</v>
      </c>
      <c r="H12" s="178">
        <v>0.1</v>
      </c>
      <c r="I12" s="178">
        <v>0.1</v>
      </c>
      <c r="J12" s="178">
        <v>0.1</v>
      </c>
      <c r="K12" s="178">
        <v>0.3</v>
      </c>
      <c r="L12" s="178">
        <v>0.45</v>
      </c>
      <c r="M12" s="178">
        <v>0.45</v>
      </c>
      <c r="N12" s="178">
        <v>0.45</v>
      </c>
      <c r="O12" s="178">
        <v>0.45</v>
      </c>
      <c r="P12" s="178">
        <v>0.3</v>
      </c>
      <c r="Q12" s="178">
        <v>0.3</v>
      </c>
      <c r="R12" s="178">
        <v>0.3</v>
      </c>
      <c r="S12" s="178">
        <v>0.3</v>
      </c>
      <c r="T12" s="178">
        <v>0.3</v>
      </c>
      <c r="U12" s="178">
        <v>0.3</v>
      </c>
      <c r="V12" s="178">
        <v>0.3</v>
      </c>
      <c r="W12" s="178">
        <v>0.3</v>
      </c>
      <c r="X12" s="178">
        <v>0.6</v>
      </c>
      <c r="Y12" s="178">
        <v>0.8</v>
      </c>
      <c r="Z12" s="178">
        <v>0.9</v>
      </c>
      <c r="AA12" s="178">
        <v>0.8</v>
      </c>
      <c r="AB12" s="178">
        <v>0.6</v>
      </c>
      <c r="AC12" s="179">
        <v>0.3</v>
      </c>
      <c r="AE12" s="47"/>
      <c r="AF12" s="47"/>
      <c r="AG12" s="47"/>
      <c r="AH12" s="47"/>
      <c r="AI12" s="47"/>
      <c r="AJ12" s="47"/>
      <c r="AK12" s="47"/>
      <c r="AL12" s="47"/>
      <c r="AM12" s="47"/>
      <c r="AN12" s="47"/>
      <c r="AO12" s="47"/>
      <c r="AP12" s="47"/>
      <c r="AQ12" s="47"/>
      <c r="AR12" s="47"/>
      <c r="AS12" s="47"/>
      <c r="AT12" s="47"/>
      <c r="AU12" s="47"/>
      <c r="AV12" s="47"/>
      <c r="AW12" s="47"/>
      <c r="AX12" s="47"/>
    </row>
    <row r="13" spans="1:57" ht="39.950000000000003" customHeight="1" x14ac:dyDescent="0.25">
      <c r="A13" s="586" t="s">
        <v>577</v>
      </c>
      <c r="B13" s="597" t="str">
        <f>B4</f>
        <v>ResidentialLiving</v>
      </c>
      <c r="C13" s="594" t="s">
        <v>585</v>
      </c>
      <c r="D13" s="591" t="s">
        <v>586</v>
      </c>
      <c r="E13" s="242" t="s">
        <v>580</v>
      </c>
      <c r="F13" s="174">
        <v>1</v>
      </c>
      <c r="G13" s="174">
        <v>1</v>
      </c>
      <c r="H13" s="174">
        <v>1</v>
      </c>
      <c r="I13" s="174">
        <v>1</v>
      </c>
      <c r="J13" s="174">
        <v>1</v>
      </c>
      <c r="K13" s="174">
        <v>1</v>
      </c>
      <c r="L13" s="174">
        <v>1</v>
      </c>
      <c r="M13" s="174">
        <v>1</v>
      </c>
      <c r="N13" s="174">
        <v>1</v>
      </c>
      <c r="O13" s="174">
        <v>1</v>
      </c>
      <c r="P13" s="174">
        <v>1</v>
      </c>
      <c r="Q13" s="174">
        <v>1</v>
      </c>
      <c r="R13" s="174">
        <v>1</v>
      </c>
      <c r="S13" s="174">
        <v>1</v>
      </c>
      <c r="T13" s="174">
        <v>1</v>
      </c>
      <c r="U13" s="174">
        <v>1</v>
      </c>
      <c r="V13" s="174">
        <v>1</v>
      </c>
      <c r="W13" s="174">
        <v>1</v>
      </c>
      <c r="X13" s="174">
        <v>1</v>
      </c>
      <c r="Y13" s="174">
        <v>1</v>
      </c>
      <c r="Z13" s="174">
        <v>1</v>
      </c>
      <c r="AA13" s="174">
        <v>1</v>
      </c>
      <c r="AB13" s="174">
        <v>1</v>
      </c>
      <c r="AC13" s="175">
        <v>1</v>
      </c>
      <c r="AE13" s="47"/>
      <c r="AF13" s="47"/>
      <c r="AG13" s="47"/>
      <c r="AH13" s="47"/>
      <c r="AI13" s="47"/>
      <c r="AJ13" s="47"/>
      <c r="AK13" s="47"/>
      <c r="AL13" s="47"/>
      <c r="AM13" s="47"/>
      <c r="AN13" s="47"/>
      <c r="AO13" s="47"/>
      <c r="AP13" s="47"/>
      <c r="AQ13" s="47"/>
      <c r="AR13" s="47"/>
      <c r="AS13" s="47"/>
      <c r="AT13" s="47"/>
      <c r="AU13" s="47"/>
      <c r="AV13" s="47"/>
      <c r="AW13" s="47"/>
      <c r="AX13" s="47"/>
    </row>
    <row r="14" spans="1:57" ht="39.950000000000003" customHeight="1" x14ac:dyDescent="0.25">
      <c r="A14" s="613"/>
      <c r="B14" s="632"/>
      <c r="C14" s="598"/>
      <c r="D14" s="592"/>
      <c r="E14" s="294" t="s">
        <v>581</v>
      </c>
      <c r="F14" s="295">
        <v>1</v>
      </c>
      <c r="G14" s="295">
        <v>1</v>
      </c>
      <c r="H14" s="295">
        <v>1</v>
      </c>
      <c r="I14" s="295">
        <v>1</v>
      </c>
      <c r="J14" s="295">
        <v>1</v>
      </c>
      <c r="K14" s="295">
        <v>1</v>
      </c>
      <c r="L14" s="295">
        <v>1</v>
      </c>
      <c r="M14" s="295">
        <v>1</v>
      </c>
      <c r="N14" s="295">
        <v>1</v>
      </c>
      <c r="O14" s="295">
        <v>1</v>
      </c>
      <c r="P14" s="295">
        <v>1</v>
      </c>
      <c r="Q14" s="295">
        <v>1</v>
      </c>
      <c r="R14" s="295">
        <v>1</v>
      </c>
      <c r="S14" s="295">
        <v>1</v>
      </c>
      <c r="T14" s="295">
        <v>1</v>
      </c>
      <c r="U14" s="295">
        <v>1</v>
      </c>
      <c r="V14" s="295">
        <v>1</v>
      </c>
      <c r="W14" s="295">
        <v>1</v>
      </c>
      <c r="X14" s="295">
        <v>1</v>
      </c>
      <c r="Y14" s="295">
        <v>1</v>
      </c>
      <c r="Z14" s="295">
        <v>1</v>
      </c>
      <c r="AA14" s="295">
        <v>1</v>
      </c>
      <c r="AB14" s="295">
        <v>1</v>
      </c>
      <c r="AC14" s="296">
        <v>1</v>
      </c>
      <c r="AE14" s="47"/>
      <c r="AF14" s="47"/>
      <c r="AG14" s="47"/>
      <c r="AH14" s="47"/>
      <c r="AI14" s="47"/>
      <c r="AJ14" s="47"/>
      <c r="AK14" s="47"/>
      <c r="AL14" s="47"/>
      <c r="AM14" s="47"/>
      <c r="AN14" s="47"/>
      <c r="AO14" s="47"/>
      <c r="AP14" s="47"/>
      <c r="AQ14" s="47"/>
      <c r="AR14" s="47"/>
      <c r="AS14" s="47"/>
      <c r="AT14" s="47"/>
      <c r="AU14" s="47"/>
      <c r="AV14" s="47"/>
      <c r="AW14" s="47"/>
      <c r="AX14" s="47"/>
    </row>
    <row r="15" spans="1:57" ht="39.950000000000003" customHeight="1" thickBot="1" x14ac:dyDescent="0.3">
      <c r="A15" s="589"/>
      <c r="B15" s="599"/>
      <c r="C15" s="595"/>
      <c r="D15" s="593"/>
      <c r="E15" s="245" t="s">
        <v>582</v>
      </c>
      <c r="F15" s="180">
        <v>1</v>
      </c>
      <c r="G15" s="180">
        <v>1</v>
      </c>
      <c r="H15" s="180">
        <v>1</v>
      </c>
      <c r="I15" s="180">
        <v>1</v>
      </c>
      <c r="J15" s="180">
        <v>1</v>
      </c>
      <c r="K15" s="180">
        <v>1</v>
      </c>
      <c r="L15" s="180">
        <v>1</v>
      </c>
      <c r="M15" s="180">
        <v>1</v>
      </c>
      <c r="N15" s="180">
        <v>1</v>
      </c>
      <c r="O15" s="180">
        <v>1</v>
      </c>
      <c r="P15" s="180">
        <v>1</v>
      </c>
      <c r="Q15" s="180">
        <v>1</v>
      </c>
      <c r="R15" s="180">
        <v>1</v>
      </c>
      <c r="S15" s="180">
        <v>1</v>
      </c>
      <c r="T15" s="180">
        <v>1</v>
      </c>
      <c r="U15" s="180">
        <v>1</v>
      </c>
      <c r="V15" s="180">
        <v>1</v>
      </c>
      <c r="W15" s="180">
        <v>1</v>
      </c>
      <c r="X15" s="180">
        <v>1</v>
      </c>
      <c r="Y15" s="180">
        <v>1</v>
      </c>
      <c r="Z15" s="180">
        <v>1</v>
      </c>
      <c r="AA15" s="180">
        <v>1</v>
      </c>
      <c r="AB15" s="180">
        <v>1</v>
      </c>
      <c r="AC15" s="181">
        <v>1</v>
      </c>
      <c r="AE15" s="47"/>
      <c r="AF15" s="47"/>
      <c r="AG15" s="47"/>
      <c r="AH15" s="47"/>
      <c r="AI15" s="47"/>
      <c r="AJ15" s="47"/>
      <c r="AK15" s="47"/>
      <c r="AL15" s="47"/>
      <c r="AM15" s="47"/>
      <c r="AN15" s="47"/>
      <c r="AO15" s="47"/>
      <c r="AP15" s="47"/>
      <c r="AQ15" s="47"/>
      <c r="AR15" s="47"/>
      <c r="AS15" s="47"/>
      <c r="AT15" s="47"/>
      <c r="AU15" s="47"/>
      <c r="AV15" s="47"/>
      <c r="AW15" s="47"/>
      <c r="AX15" s="47"/>
    </row>
    <row r="16" spans="1:57" ht="39.950000000000003" customHeight="1" x14ac:dyDescent="0.25">
      <c r="A16" s="614" t="s">
        <v>577</v>
      </c>
      <c r="B16" s="598" t="str">
        <f>B4</f>
        <v>ResidentialLiving</v>
      </c>
      <c r="C16" s="594" t="s">
        <v>587</v>
      </c>
      <c r="D16" s="600" t="s">
        <v>579</v>
      </c>
      <c r="E16" s="242" t="s">
        <v>580</v>
      </c>
      <c r="F16" s="174">
        <v>0.13100000000000001</v>
      </c>
      <c r="G16" s="174">
        <v>7.4999999999999997E-2</v>
      </c>
      <c r="H16" s="174">
        <v>8.4000000000000005E-2</v>
      </c>
      <c r="I16" s="174">
        <v>0.10299999999999999</v>
      </c>
      <c r="J16" s="174">
        <v>0.187</v>
      </c>
      <c r="K16" s="174">
        <v>0.41099999999999998</v>
      </c>
      <c r="L16" s="174">
        <v>0.83199999999999996</v>
      </c>
      <c r="M16" s="174">
        <v>1</v>
      </c>
      <c r="N16" s="174">
        <v>0.83199999999999996</v>
      </c>
      <c r="O16" s="174">
        <v>0.61699999999999999</v>
      </c>
      <c r="P16" s="174">
        <v>0.48599999999999999</v>
      </c>
      <c r="Q16" s="174">
        <v>0.35499999999999998</v>
      </c>
      <c r="R16" s="174">
        <v>0.33600000000000002</v>
      </c>
      <c r="S16" s="174">
        <v>0.308</v>
      </c>
      <c r="T16" s="174">
        <v>0.29899999999999999</v>
      </c>
      <c r="U16" s="174">
        <v>0.24299999999999999</v>
      </c>
      <c r="V16" s="174">
        <v>0.39300000000000002</v>
      </c>
      <c r="W16" s="174">
        <v>0.44900000000000001</v>
      </c>
      <c r="X16" s="174">
        <v>0.48599999999999999</v>
      </c>
      <c r="Y16" s="174">
        <v>0.439</v>
      </c>
      <c r="Z16" s="174">
        <v>0.39300000000000002</v>
      </c>
      <c r="AA16" s="174">
        <v>0.36399999999999999</v>
      </c>
      <c r="AB16" s="174">
        <v>0.33600000000000002</v>
      </c>
      <c r="AC16" s="175">
        <v>0.20599999999999999</v>
      </c>
      <c r="AE16" s="47"/>
      <c r="AF16" s="47"/>
      <c r="AG16" s="47"/>
      <c r="AH16" s="47"/>
      <c r="AI16" s="47"/>
      <c r="AJ16" s="47"/>
      <c r="AK16" s="47"/>
      <c r="AL16" s="47"/>
      <c r="AM16" s="47"/>
      <c r="AN16" s="47"/>
      <c r="AO16" s="47"/>
      <c r="AP16" s="47"/>
      <c r="AQ16" s="47"/>
      <c r="AR16" s="47"/>
      <c r="AS16" s="47"/>
      <c r="AT16" s="47"/>
      <c r="AU16" s="47"/>
      <c r="AV16" s="47"/>
      <c r="AW16" s="47"/>
      <c r="AX16" s="47"/>
    </row>
    <row r="17" spans="1:50" ht="39.950000000000003" customHeight="1" x14ac:dyDescent="0.25">
      <c r="A17" s="584"/>
      <c r="B17" s="595"/>
      <c r="C17" s="595"/>
      <c r="D17" s="601"/>
      <c r="E17" s="243" t="s">
        <v>581</v>
      </c>
      <c r="F17" s="176">
        <v>0.217</v>
      </c>
      <c r="G17" s="176">
        <v>0.12</v>
      </c>
      <c r="H17" s="176">
        <v>0.108</v>
      </c>
      <c r="I17" s="176">
        <v>9.6000000000000002E-2</v>
      </c>
      <c r="J17" s="176">
        <v>0.18099999999999999</v>
      </c>
      <c r="K17" s="176">
        <v>0.27700000000000002</v>
      </c>
      <c r="L17" s="176">
        <v>0.313</v>
      </c>
      <c r="M17" s="176">
        <v>0.56599999999999995</v>
      </c>
      <c r="N17" s="176">
        <v>0.92800000000000005</v>
      </c>
      <c r="O17" s="176">
        <v>1</v>
      </c>
      <c r="P17" s="176">
        <v>0.89200000000000002</v>
      </c>
      <c r="Q17" s="176">
        <v>0.73499999999999999</v>
      </c>
      <c r="R17" s="176">
        <v>0.61399999999999999</v>
      </c>
      <c r="S17" s="176">
        <v>0.51800000000000002</v>
      </c>
      <c r="T17" s="176">
        <v>0.47</v>
      </c>
      <c r="U17" s="176">
        <v>0.47</v>
      </c>
      <c r="V17" s="176">
        <v>0.627</v>
      </c>
      <c r="W17" s="176">
        <v>0.69899999999999995</v>
      </c>
      <c r="X17" s="176">
        <v>0.67500000000000004</v>
      </c>
      <c r="Y17" s="176">
        <v>0.627</v>
      </c>
      <c r="Z17" s="176">
        <v>0.56599999999999995</v>
      </c>
      <c r="AA17" s="176">
        <v>0.53</v>
      </c>
      <c r="AB17" s="176">
        <v>0.48199999999999998</v>
      </c>
      <c r="AC17" s="177">
        <v>0.33700000000000002</v>
      </c>
      <c r="AE17" s="47"/>
      <c r="AF17" s="47"/>
      <c r="AG17" s="47"/>
      <c r="AH17" s="47"/>
      <c r="AI17" s="47"/>
      <c r="AJ17" s="47"/>
      <c r="AK17" s="47"/>
      <c r="AL17" s="47"/>
      <c r="AM17" s="47"/>
      <c r="AN17" s="47"/>
      <c r="AO17" s="47"/>
      <c r="AP17" s="47"/>
      <c r="AQ17" s="47"/>
      <c r="AR17" s="47"/>
      <c r="AS17" s="47"/>
      <c r="AT17" s="47"/>
      <c r="AU17" s="47"/>
      <c r="AV17" s="47"/>
      <c r="AW17" s="47"/>
      <c r="AX17" s="47"/>
    </row>
    <row r="18" spans="1:50" ht="39.950000000000003" customHeight="1" thickBot="1" x14ac:dyDescent="0.3">
      <c r="A18" s="585"/>
      <c r="B18" s="596"/>
      <c r="C18" s="596"/>
      <c r="D18" s="601"/>
      <c r="E18" s="244" t="s">
        <v>582</v>
      </c>
      <c r="F18" s="178">
        <v>0.217</v>
      </c>
      <c r="G18" s="178">
        <v>0.12</v>
      </c>
      <c r="H18" s="178">
        <v>0.108</v>
      </c>
      <c r="I18" s="178">
        <v>9.6000000000000002E-2</v>
      </c>
      <c r="J18" s="178">
        <v>0.18099999999999999</v>
      </c>
      <c r="K18" s="178">
        <v>0.27700000000000002</v>
      </c>
      <c r="L18" s="178">
        <v>0.313</v>
      </c>
      <c r="M18" s="178">
        <v>0.56599999999999995</v>
      </c>
      <c r="N18" s="178">
        <v>0.92800000000000005</v>
      </c>
      <c r="O18" s="178">
        <v>1</v>
      </c>
      <c r="P18" s="178">
        <v>0.89200000000000002</v>
      </c>
      <c r="Q18" s="178">
        <v>0.73499999999999999</v>
      </c>
      <c r="R18" s="178">
        <v>0.61399999999999999</v>
      </c>
      <c r="S18" s="178">
        <v>0.51800000000000002</v>
      </c>
      <c r="T18" s="178">
        <v>0.47</v>
      </c>
      <c r="U18" s="178">
        <v>0.47</v>
      </c>
      <c r="V18" s="178">
        <v>0.627</v>
      </c>
      <c r="W18" s="178">
        <v>0.69899999999999995</v>
      </c>
      <c r="X18" s="178">
        <v>0.67500000000000004</v>
      </c>
      <c r="Y18" s="178">
        <v>0.627</v>
      </c>
      <c r="Z18" s="178">
        <v>0.56599999999999995</v>
      </c>
      <c r="AA18" s="178">
        <v>0.53</v>
      </c>
      <c r="AB18" s="178">
        <v>0.48199999999999998</v>
      </c>
      <c r="AC18" s="179">
        <v>0.33700000000000002</v>
      </c>
      <c r="AE18" s="47"/>
      <c r="AF18" s="47"/>
      <c r="AG18" s="47"/>
      <c r="AH18" s="47"/>
      <c r="AI18" s="47"/>
      <c r="AJ18" s="47"/>
      <c r="AK18" s="47"/>
      <c r="AL18" s="47"/>
      <c r="AM18" s="47"/>
      <c r="AN18" s="47"/>
      <c r="AO18" s="47"/>
      <c r="AP18" s="47"/>
      <c r="AQ18" s="47"/>
      <c r="AR18" s="47"/>
      <c r="AS18" s="47"/>
      <c r="AT18" s="47"/>
      <c r="AU18" s="47"/>
      <c r="AV18" s="47"/>
      <c r="AW18" s="47"/>
      <c r="AX18" s="47"/>
    </row>
    <row r="19" spans="1:50" ht="39.950000000000003" customHeight="1" x14ac:dyDescent="0.25">
      <c r="A19" s="586" t="s">
        <v>577</v>
      </c>
      <c r="B19" s="597" t="str">
        <f>B4</f>
        <v>ResidentialLiving</v>
      </c>
      <c r="C19" s="597" t="s">
        <v>588</v>
      </c>
      <c r="D19" s="600" t="s">
        <v>579</v>
      </c>
      <c r="E19" s="242" t="s">
        <v>580</v>
      </c>
      <c r="F19" s="174">
        <v>0</v>
      </c>
      <c r="G19" s="174">
        <v>0</v>
      </c>
      <c r="H19" s="174">
        <v>0</v>
      </c>
      <c r="I19" s="174">
        <v>0</v>
      </c>
      <c r="J19" s="174">
        <v>0</v>
      </c>
      <c r="K19" s="174">
        <v>0</v>
      </c>
      <c r="L19" s="174">
        <v>0.5</v>
      </c>
      <c r="M19" s="174">
        <v>0.5</v>
      </c>
      <c r="N19" s="174">
        <v>0</v>
      </c>
      <c r="O19" s="174">
        <v>0</v>
      </c>
      <c r="P19" s="174">
        <v>0</v>
      </c>
      <c r="Q19" s="174">
        <v>0.2</v>
      </c>
      <c r="R19" s="174">
        <v>0.2</v>
      </c>
      <c r="S19" s="174">
        <v>0</v>
      </c>
      <c r="T19" s="174">
        <v>0</v>
      </c>
      <c r="U19" s="174">
        <v>0</v>
      </c>
      <c r="V19" s="174">
        <v>0.5</v>
      </c>
      <c r="W19" s="174">
        <v>0.5</v>
      </c>
      <c r="X19" s="174">
        <v>0.5</v>
      </c>
      <c r="Y19" s="174">
        <v>0</v>
      </c>
      <c r="Z19" s="174">
        <v>0</v>
      </c>
      <c r="AA19" s="174">
        <v>0</v>
      </c>
      <c r="AB19" s="174">
        <v>0</v>
      </c>
      <c r="AC19" s="175">
        <v>0</v>
      </c>
      <c r="AE19" s="47"/>
      <c r="AF19" s="47"/>
      <c r="AG19" s="47"/>
      <c r="AH19" s="47"/>
      <c r="AI19" s="47"/>
      <c r="AJ19" s="47"/>
      <c r="AK19" s="47"/>
      <c r="AL19" s="47"/>
      <c r="AM19" s="47"/>
      <c r="AN19" s="47"/>
      <c r="AO19" s="47"/>
      <c r="AP19" s="47"/>
      <c r="AQ19" s="47"/>
      <c r="AR19" s="47"/>
      <c r="AS19" s="47"/>
      <c r="AT19" s="47"/>
      <c r="AU19" s="47"/>
      <c r="AV19" s="47"/>
      <c r="AW19" s="47"/>
      <c r="AX19" s="47"/>
    </row>
    <row r="20" spans="1:50" ht="39.950000000000003" customHeight="1" x14ac:dyDescent="0.25">
      <c r="A20" s="587"/>
      <c r="B20" s="595"/>
      <c r="C20" s="595"/>
      <c r="D20" s="601"/>
      <c r="E20" s="243" t="s">
        <v>581</v>
      </c>
      <c r="F20" s="176">
        <v>0</v>
      </c>
      <c r="G20" s="176">
        <v>0</v>
      </c>
      <c r="H20" s="176">
        <v>0</v>
      </c>
      <c r="I20" s="176">
        <v>0</v>
      </c>
      <c r="J20" s="176">
        <v>0</v>
      </c>
      <c r="K20" s="176">
        <v>0</v>
      </c>
      <c r="L20" s="176">
        <v>0.5</v>
      </c>
      <c r="M20" s="176">
        <v>0.5</v>
      </c>
      <c r="N20" s="176">
        <v>0</v>
      </c>
      <c r="O20" s="176">
        <v>0</v>
      </c>
      <c r="P20" s="176">
        <v>0</v>
      </c>
      <c r="Q20" s="176">
        <v>0.2</v>
      </c>
      <c r="R20" s="176">
        <v>0.2</v>
      </c>
      <c r="S20" s="176">
        <v>0</v>
      </c>
      <c r="T20" s="176">
        <v>0</v>
      </c>
      <c r="U20" s="176">
        <v>0</v>
      </c>
      <c r="V20" s="176">
        <v>0.5</v>
      </c>
      <c r="W20" s="176">
        <v>0.5</v>
      </c>
      <c r="X20" s="176">
        <v>0.5</v>
      </c>
      <c r="Y20" s="176">
        <v>0</v>
      </c>
      <c r="Z20" s="176">
        <v>0</v>
      </c>
      <c r="AA20" s="176">
        <v>0</v>
      </c>
      <c r="AB20" s="176">
        <v>0</v>
      </c>
      <c r="AC20" s="177">
        <v>0</v>
      </c>
      <c r="AE20" s="47"/>
      <c r="AF20" s="47"/>
      <c r="AG20" s="47"/>
      <c r="AH20" s="47"/>
      <c r="AI20" s="47"/>
      <c r="AJ20" s="47"/>
      <c r="AK20" s="47"/>
      <c r="AL20" s="47"/>
      <c r="AM20" s="47"/>
      <c r="AN20" s="47"/>
      <c r="AO20" s="47"/>
      <c r="AP20" s="47"/>
      <c r="AQ20" s="47"/>
      <c r="AR20" s="47"/>
      <c r="AS20" s="47"/>
      <c r="AT20" s="47"/>
      <c r="AU20" s="47"/>
      <c r="AV20" s="47"/>
      <c r="AW20" s="47"/>
      <c r="AX20" s="47"/>
    </row>
    <row r="21" spans="1:50" ht="39.950000000000003" customHeight="1" thickBot="1" x14ac:dyDescent="0.3">
      <c r="A21" s="589"/>
      <c r="B21" s="599"/>
      <c r="C21" s="599"/>
      <c r="D21" s="601"/>
      <c r="E21" s="245" t="s">
        <v>582</v>
      </c>
      <c r="F21" s="180">
        <v>0</v>
      </c>
      <c r="G21" s="180">
        <v>0</v>
      </c>
      <c r="H21" s="180">
        <v>0</v>
      </c>
      <c r="I21" s="180">
        <v>0</v>
      </c>
      <c r="J21" s="180">
        <v>0</v>
      </c>
      <c r="K21" s="180">
        <v>0</v>
      </c>
      <c r="L21" s="180">
        <v>0.5</v>
      </c>
      <c r="M21" s="180">
        <v>0.5</v>
      </c>
      <c r="N21" s="180">
        <v>0</v>
      </c>
      <c r="O21" s="180">
        <v>0</v>
      </c>
      <c r="P21" s="180">
        <v>0</v>
      </c>
      <c r="Q21" s="180">
        <v>0.2</v>
      </c>
      <c r="R21" s="180">
        <v>0.2</v>
      </c>
      <c r="S21" s="180">
        <v>0</v>
      </c>
      <c r="T21" s="180">
        <v>0</v>
      </c>
      <c r="U21" s="180">
        <v>0</v>
      </c>
      <c r="V21" s="180">
        <v>0.5</v>
      </c>
      <c r="W21" s="180">
        <v>0.5</v>
      </c>
      <c r="X21" s="180">
        <v>0.5</v>
      </c>
      <c r="Y21" s="180">
        <v>0</v>
      </c>
      <c r="Z21" s="180">
        <v>0</v>
      </c>
      <c r="AA21" s="180">
        <v>0</v>
      </c>
      <c r="AB21" s="180">
        <v>0</v>
      </c>
      <c r="AC21" s="181">
        <v>0</v>
      </c>
      <c r="AE21" s="47"/>
      <c r="AF21" s="47"/>
      <c r="AG21" s="47"/>
      <c r="AH21" s="47"/>
      <c r="AI21" s="47"/>
      <c r="AJ21" s="47"/>
      <c r="AK21" s="47"/>
      <c r="AL21" s="47"/>
      <c r="AM21" s="47"/>
      <c r="AN21" s="47"/>
      <c r="AO21" s="47"/>
      <c r="AP21" s="47"/>
      <c r="AQ21" s="47"/>
      <c r="AR21" s="47"/>
      <c r="AS21" s="47"/>
      <c r="AT21" s="47"/>
      <c r="AU21" s="47"/>
      <c r="AV21" s="47"/>
      <c r="AW21" s="47"/>
      <c r="AX21" s="47"/>
    </row>
    <row r="22" spans="1:50" ht="39.950000000000003" customHeight="1" x14ac:dyDescent="0.25">
      <c r="A22" s="614" t="s">
        <v>577</v>
      </c>
      <c r="B22" s="598" t="str">
        <f>B4</f>
        <v>ResidentialLiving</v>
      </c>
      <c r="C22" s="598" t="s">
        <v>589</v>
      </c>
      <c r="D22" s="602" t="s">
        <v>579</v>
      </c>
      <c r="E22" s="330" t="s">
        <v>580</v>
      </c>
      <c r="F22" s="322">
        <f>IF(F13=0,Thermostat!$B$4,Thermostat!$B$3)</f>
        <v>68</v>
      </c>
      <c r="G22" s="322">
        <f>IF(G13=0,Thermostat!$B$4,Thermostat!$B$3)</f>
        <v>68</v>
      </c>
      <c r="H22" s="322">
        <f>IF(H13=0,Thermostat!$B$4,Thermostat!$B$3)</f>
        <v>68</v>
      </c>
      <c r="I22" s="322">
        <f>IF(I13=0,Thermostat!$B$4,Thermostat!$B$3)</f>
        <v>68</v>
      </c>
      <c r="J22" s="322">
        <f>IF(J13=0,Thermostat!$B$4,Thermostat!$B$3)</f>
        <v>68</v>
      </c>
      <c r="K22" s="322">
        <f>IF(K13=0,Thermostat!$B$4,Thermostat!$B$3)</f>
        <v>68</v>
      </c>
      <c r="L22" s="322">
        <f>IF(L13=0,Thermostat!$B$4,Thermostat!$B$3)</f>
        <v>68</v>
      </c>
      <c r="M22" s="322">
        <f>IF(M13=0,Thermostat!$B$4,Thermostat!$B$3)</f>
        <v>68</v>
      </c>
      <c r="N22" s="322">
        <f>IF(N13=0,Thermostat!$B$4,Thermostat!$B$3)</f>
        <v>68</v>
      </c>
      <c r="O22" s="322">
        <f>IF(O13=0,Thermostat!$B$4,Thermostat!$B$3)</f>
        <v>68</v>
      </c>
      <c r="P22" s="322">
        <f>IF(P13=0,Thermostat!$B$4,Thermostat!$B$3)</f>
        <v>68</v>
      </c>
      <c r="Q22" s="322">
        <f>IF(Q13=0,Thermostat!$B$4,Thermostat!$B$3)</f>
        <v>68</v>
      </c>
      <c r="R22" s="322">
        <f>IF(R13=0,Thermostat!$B$4,Thermostat!$B$3)</f>
        <v>68</v>
      </c>
      <c r="S22" s="322">
        <f>IF(S13=0,Thermostat!$B$4,Thermostat!$B$3)</f>
        <v>68</v>
      </c>
      <c r="T22" s="322">
        <f>IF(T13=0,Thermostat!$B$4,Thermostat!$B$3)</f>
        <v>68</v>
      </c>
      <c r="U22" s="322">
        <f>IF(U13=0,Thermostat!$B$4,Thermostat!$B$3)</f>
        <v>68</v>
      </c>
      <c r="V22" s="322">
        <f>IF(V13=0,Thermostat!$B$4,Thermostat!$B$3)</f>
        <v>68</v>
      </c>
      <c r="W22" s="322">
        <f>IF(W13=0,Thermostat!$B$4,Thermostat!$B$3)</f>
        <v>68</v>
      </c>
      <c r="X22" s="322">
        <f>IF(X13=0,Thermostat!$B$4,Thermostat!$B$3)</f>
        <v>68</v>
      </c>
      <c r="Y22" s="322">
        <f>IF(Y13=0,Thermostat!$B$4,Thermostat!$B$3)</f>
        <v>68</v>
      </c>
      <c r="Z22" s="322">
        <f>IF(Z13=0,Thermostat!$B$4,Thermostat!$B$3)</f>
        <v>68</v>
      </c>
      <c r="AA22" s="322">
        <f>IF(AA13=0,Thermostat!$B$4,Thermostat!$B$3)</f>
        <v>68</v>
      </c>
      <c r="AB22" s="322">
        <f>IF(AB13=0,Thermostat!$B$4,Thermostat!$B$3)</f>
        <v>68</v>
      </c>
      <c r="AC22" s="331">
        <f>IF(AC13=0,Thermostat!$B$4,Thermostat!$B$3)</f>
        <v>68</v>
      </c>
      <c r="AE22" s="47"/>
      <c r="AF22" s="47"/>
      <c r="AG22" s="47"/>
      <c r="AH22" s="47"/>
      <c r="AI22" s="47"/>
      <c r="AJ22" s="47"/>
      <c r="AK22" s="47"/>
      <c r="AL22" s="47"/>
      <c r="AM22" s="47"/>
      <c r="AN22" s="47"/>
      <c r="AO22" s="47"/>
      <c r="AP22" s="47"/>
      <c r="AQ22" s="47"/>
      <c r="AR22" s="47"/>
      <c r="AS22" s="47"/>
      <c r="AT22" s="47"/>
      <c r="AU22" s="47"/>
      <c r="AV22" s="47"/>
      <c r="AW22" s="47"/>
      <c r="AX22" s="47"/>
    </row>
    <row r="23" spans="1:50" ht="39.950000000000003" customHeight="1" x14ac:dyDescent="0.25">
      <c r="A23" s="584"/>
      <c r="B23" s="595"/>
      <c r="C23" s="595"/>
      <c r="D23" s="603"/>
      <c r="E23" s="332" t="s">
        <v>581</v>
      </c>
      <c r="F23" s="329">
        <f>IF(F14=0,Thermostat!$B$4,Thermostat!$B$3)</f>
        <v>68</v>
      </c>
      <c r="G23" s="329">
        <f>IF(G14=0,Thermostat!$B$4,Thermostat!$B$3)</f>
        <v>68</v>
      </c>
      <c r="H23" s="329">
        <f>IF(H14=0,Thermostat!$B$4,Thermostat!$B$3)</f>
        <v>68</v>
      </c>
      <c r="I23" s="329">
        <f>IF(I14=0,Thermostat!$B$4,Thermostat!$B$3)</f>
        <v>68</v>
      </c>
      <c r="J23" s="329">
        <f>IF(J14=0,Thermostat!$B$4,Thermostat!$B$3)</f>
        <v>68</v>
      </c>
      <c r="K23" s="329">
        <f>IF(K14=0,Thermostat!$B$4,Thermostat!$B$3)</f>
        <v>68</v>
      </c>
      <c r="L23" s="329">
        <f>IF(L14=0,Thermostat!$B$4,Thermostat!$B$3)</f>
        <v>68</v>
      </c>
      <c r="M23" s="329">
        <f>IF(M14=0,Thermostat!$B$4,Thermostat!$B$3)</f>
        <v>68</v>
      </c>
      <c r="N23" s="329">
        <f>IF(N14=0,Thermostat!$B$4,Thermostat!$B$3)</f>
        <v>68</v>
      </c>
      <c r="O23" s="329">
        <f>IF(O14=0,Thermostat!$B$4,Thermostat!$B$3)</f>
        <v>68</v>
      </c>
      <c r="P23" s="329">
        <f>IF(P14=0,Thermostat!$B$4,Thermostat!$B$3)</f>
        <v>68</v>
      </c>
      <c r="Q23" s="329">
        <f>IF(Q14=0,Thermostat!$B$4,Thermostat!$B$3)</f>
        <v>68</v>
      </c>
      <c r="R23" s="329">
        <f>IF(R14=0,Thermostat!$B$4,Thermostat!$B$3)</f>
        <v>68</v>
      </c>
      <c r="S23" s="329">
        <f>IF(S14=0,Thermostat!$B$4,Thermostat!$B$3)</f>
        <v>68</v>
      </c>
      <c r="T23" s="329">
        <f>IF(T14=0,Thermostat!$B$4,Thermostat!$B$3)</f>
        <v>68</v>
      </c>
      <c r="U23" s="329">
        <f>IF(U14=0,Thermostat!$B$4,Thermostat!$B$3)</f>
        <v>68</v>
      </c>
      <c r="V23" s="329">
        <f>IF(V14=0,Thermostat!$B$4,Thermostat!$B$3)</f>
        <v>68</v>
      </c>
      <c r="W23" s="329">
        <f>IF(W14=0,Thermostat!$B$4,Thermostat!$B$3)</f>
        <v>68</v>
      </c>
      <c r="X23" s="329">
        <f>IF(X14=0,Thermostat!$B$4,Thermostat!$B$3)</f>
        <v>68</v>
      </c>
      <c r="Y23" s="329">
        <f>IF(Y14=0,Thermostat!$B$4,Thermostat!$B$3)</f>
        <v>68</v>
      </c>
      <c r="Z23" s="329">
        <f>IF(Z14=0,Thermostat!$B$4,Thermostat!$B$3)</f>
        <v>68</v>
      </c>
      <c r="AA23" s="329">
        <f>IF(AA14=0,Thermostat!$B$4,Thermostat!$B$3)</f>
        <v>68</v>
      </c>
      <c r="AB23" s="329">
        <f>IF(AB14=0,Thermostat!$B$4,Thermostat!$B$3)</f>
        <v>68</v>
      </c>
      <c r="AC23" s="333">
        <f>IF(AC14=0,Thermostat!$B$4,Thermostat!$B$3)</f>
        <v>68</v>
      </c>
      <c r="AE23" s="47"/>
      <c r="AF23" s="47"/>
      <c r="AG23" s="47"/>
      <c r="AH23" s="47"/>
      <c r="AI23" s="47"/>
      <c r="AJ23" s="47"/>
      <c r="AK23" s="47"/>
      <c r="AL23" s="47"/>
      <c r="AM23" s="47"/>
      <c r="AN23" s="47"/>
      <c r="AO23" s="47"/>
      <c r="AP23" s="47"/>
      <c r="AQ23" s="47"/>
      <c r="AR23" s="47"/>
      <c r="AS23" s="47"/>
      <c r="AT23" s="47"/>
      <c r="AU23" s="47"/>
      <c r="AV23" s="47"/>
      <c r="AW23" s="47"/>
      <c r="AX23" s="47"/>
    </row>
    <row r="24" spans="1:50" ht="39.950000000000003" customHeight="1" thickBot="1" x14ac:dyDescent="0.3">
      <c r="A24" s="584"/>
      <c r="B24" s="595"/>
      <c r="C24" s="595"/>
      <c r="D24" s="603"/>
      <c r="E24" s="337" t="s">
        <v>582</v>
      </c>
      <c r="F24" s="335">
        <f>IF(F15=0,Thermostat!$B$4,Thermostat!$B$3)</f>
        <v>68</v>
      </c>
      <c r="G24" s="335">
        <f>IF(G15=0,Thermostat!$B$4,Thermostat!$B$3)</f>
        <v>68</v>
      </c>
      <c r="H24" s="335">
        <f>IF(H15=0,Thermostat!$B$4,Thermostat!$B$3)</f>
        <v>68</v>
      </c>
      <c r="I24" s="335">
        <f>IF(I15=0,Thermostat!$B$4,Thermostat!$B$3)</f>
        <v>68</v>
      </c>
      <c r="J24" s="335">
        <f>IF(J15=0,Thermostat!$B$4,Thermostat!$B$3)</f>
        <v>68</v>
      </c>
      <c r="K24" s="335">
        <f>IF(K15=0,Thermostat!$B$4,Thermostat!$B$3)</f>
        <v>68</v>
      </c>
      <c r="L24" s="335">
        <f>IF(L15=0,Thermostat!$B$4,Thermostat!$B$3)</f>
        <v>68</v>
      </c>
      <c r="M24" s="335">
        <f>IF(M15=0,Thermostat!$B$4,Thermostat!$B$3)</f>
        <v>68</v>
      </c>
      <c r="N24" s="335">
        <f>IF(N15=0,Thermostat!$B$4,Thermostat!$B$3)</f>
        <v>68</v>
      </c>
      <c r="O24" s="335">
        <f>IF(O15=0,Thermostat!$B$4,Thermostat!$B$3)</f>
        <v>68</v>
      </c>
      <c r="P24" s="335">
        <f>IF(P15=0,Thermostat!$B$4,Thermostat!$B$3)</f>
        <v>68</v>
      </c>
      <c r="Q24" s="335">
        <f>IF(Q15=0,Thermostat!$B$4,Thermostat!$B$3)</f>
        <v>68</v>
      </c>
      <c r="R24" s="335">
        <f>IF(R15=0,Thermostat!$B$4,Thermostat!$B$3)</f>
        <v>68</v>
      </c>
      <c r="S24" s="335">
        <f>IF(S15=0,Thermostat!$B$4,Thermostat!$B$3)</f>
        <v>68</v>
      </c>
      <c r="T24" s="335">
        <f>IF(T15=0,Thermostat!$B$4,Thermostat!$B$3)</f>
        <v>68</v>
      </c>
      <c r="U24" s="335">
        <f>IF(U15=0,Thermostat!$B$4,Thermostat!$B$3)</f>
        <v>68</v>
      </c>
      <c r="V24" s="335">
        <f>IF(V15=0,Thermostat!$B$4,Thermostat!$B$3)</f>
        <v>68</v>
      </c>
      <c r="W24" s="335">
        <f>IF(W15=0,Thermostat!$B$4,Thermostat!$B$3)</f>
        <v>68</v>
      </c>
      <c r="X24" s="335">
        <f>IF(X15=0,Thermostat!$B$4,Thermostat!$B$3)</f>
        <v>68</v>
      </c>
      <c r="Y24" s="335">
        <f>IF(Y15=0,Thermostat!$B$4,Thermostat!$B$3)</f>
        <v>68</v>
      </c>
      <c r="Z24" s="335">
        <f>IF(Z15=0,Thermostat!$B$4,Thermostat!$B$3)</f>
        <v>68</v>
      </c>
      <c r="AA24" s="335">
        <f>IF(AA15=0,Thermostat!$B$4,Thermostat!$B$3)</f>
        <v>68</v>
      </c>
      <c r="AB24" s="335">
        <f>IF(AB15=0,Thermostat!$B$4,Thermostat!$B$3)</f>
        <v>68</v>
      </c>
      <c r="AC24" s="336">
        <f>IF(AC15=0,Thermostat!$B$4,Thermostat!$B$3)</f>
        <v>68</v>
      </c>
      <c r="AE24" s="47"/>
      <c r="AF24" s="47"/>
      <c r="AG24" s="47"/>
      <c r="AH24" s="47"/>
      <c r="AI24" s="47"/>
      <c r="AJ24" s="47"/>
      <c r="AK24" s="47"/>
      <c r="AL24" s="47"/>
      <c r="AM24" s="47"/>
      <c r="AN24" s="47"/>
      <c r="AO24" s="47"/>
      <c r="AP24" s="47"/>
      <c r="AQ24" s="47"/>
      <c r="AR24" s="47"/>
      <c r="AS24" s="47"/>
      <c r="AT24" s="47"/>
      <c r="AU24" s="47"/>
      <c r="AV24" s="47"/>
      <c r="AW24" s="47"/>
      <c r="AX24" s="47"/>
    </row>
    <row r="25" spans="1:50" ht="39.950000000000003" customHeight="1" x14ac:dyDescent="0.25">
      <c r="A25" s="583" t="s">
        <v>577</v>
      </c>
      <c r="B25" s="594" t="str">
        <f>B4</f>
        <v>ResidentialLiving</v>
      </c>
      <c r="C25" s="594" t="s">
        <v>590</v>
      </c>
      <c r="D25" s="602" t="s">
        <v>579</v>
      </c>
      <c r="E25" s="330" t="s">
        <v>580</v>
      </c>
      <c r="F25" s="322">
        <f>IF(F16=0,Thermostat!$B$6,Thermostat!$B$5)</f>
        <v>78</v>
      </c>
      <c r="G25" s="322">
        <f>IF(G16=0,Thermostat!$B$6,Thermostat!$B$5)</f>
        <v>78</v>
      </c>
      <c r="H25" s="322">
        <f>IF(H16=0,Thermostat!$B$6,Thermostat!$B$5)</f>
        <v>78</v>
      </c>
      <c r="I25" s="322">
        <f>IF(I16=0,Thermostat!$B$6,Thermostat!$B$5)</f>
        <v>78</v>
      </c>
      <c r="J25" s="322">
        <f>IF(J16=0,Thermostat!$B$6,Thermostat!$B$5)</f>
        <v>78</v>
      </c>
      <c r="K25" s="322">
        <f>IF(K16=0,Thermostat!$B$6,Thermostat!$B$5)</f>
        <v>78</v>
      </c>
      <c r="L25" s="322">
        <f>IF(L16=0,Thermostat!$B$6,Thermostat!$B$5)</f>
        <v>78</v>
      </c>
      <c r="M25" s="322">
        <f>IF(M16=0,Thermostat!$B$6,Thermostat!$B$5)</f>
        <v>78</v>
      </c>
      <c r="N25" s="322">
        <f>IF(N16=0,Thermostat!$B$6,Thermostat!$B$5)</f>
        <v>78</v>
      </c>
      <c r="O25" s="322">
        <f>IF(O16=0,Thermostat!$B$6,Thermostat!$B$5)</f>
        <v>78</v>
      </c>
      <c r="P25" s="322">
        <f>IF(P16=0,Thermostat!$B$6,Thermostat!$B$5)</f>
        <v>78</v>
      </c>
      <c r="Q25" s="322">
        <f>IF(Q16=0,Thermostat!$B$6,Thermostat!$B$5)</f>
        <v>78</v>
      </c>
      <c r="R25" s="322">
        <f>IF(R16=0,Thermostat!$B$6,Thermostat!$B$5)</f>
        <v>78</v>
      </c>
      <c r="S25" s="322">
        <f>IF(S16=0,Thermostat!$B$6,Thermostat!$B$5)</f>
        <v>78</v>
      </c>
      <c r="T25" s="322">
        <f>IF(T16=0,Thermostat!$B$6,Thermostat!$B$5)</f>
        <v>78</v>
      </c>
      <c r="U25" s="322">
        <f>IF(U16=0,Thermostat!$B$6,Thermostat!$B$5)</f>
        <v>78</v>
      </c>
      <c r="V25" s="322">
        <f>IF(V16=0,Thermostat!$B$6,Thermostat!$B$5)</f>
        <v>78</v>
      </c>
      <c r="W25" s="322">
        <f>IF(W16=0,Thermostat!$B$6,Thermostat!$B$5)</f>
        <v>78</v>
      </c>
      <c r="X25" s="322">
        <f>IF(X16=0,Thermostat!$B$6,Thermostat!$B$5)</f>
        <v>78</v>
      </c>
      <c r="Y25" s="322">
        <f>IF(Y16=0,Thermostat!$B$6,Thermostat!$B$5)</f>
        <v>78</v>
      </c>
      <c r="Z25" s="322">
        <f>IF(Z16=0,Thermostat!$B$6,Thermostat!$B$5)</f>
        <v>78</v>
      </c>
      <c r="AA25" s="322">
        <f>IF(AA16=0,Thermostat!$B$6,Thermostat!$B$5)</f>
        <v>78</v>
      </c>
      <c r="AB25" s="322">
        <f>IF(AB16=0,Thermostat!$B$6,Thermostat!$B$5)</f>
        <v>78</v>
      </c>
      <c r="AC25" s="331">
        <f>IF(AC16=0,Thermostat!$B$6,Thermostat!$B$5)</f>
        <v>78</v>
      </c>
      <c r="AE25" s="47"/>
      <c r="AF25" s="47"/>
      <c r="AG25" s="47"/>
      <c r="AH25" s="47"/>
      <c r="AI25" s="47"/>
      <c r="AJ25" s="47"/>
      <c r="AK25" s="47"/>
      <c r="AL25" s="47"/>
      <c r="AM25" s="47"/>
      <c r="AN25" s="47"/>
      <c r="AO25" s="47"/>
      <c r="AP25" s="47"/>
      <c r="AQ25" s="47"/>
      <c r="AR25" s="47"/>
      <c r="AS25" s="47"/>
      <c r="AT25" s="47"/>
      <c r="AU25" s="47"/>
      <c r="AV25" s="47"/>
      <c r="AW25" s="47"/>
      <c r="AX25" s="47"/>
    </row>
    <row r="26" spans="1:50" ht="39.950000000000003" customHeight="1" x14ac:dyDescent="0.25">
      <c r="A26" s="584"/>
      <c r="B26" s="595"/>
      <c r="C26" s="595"/>
      <c r="D26" s="603"/>
      <c r="E26" s="332" t="s">
        <v>581</v>
      </c>
      <c r="F26" s="329">
        <f>IF(F17=0,Thermostat!$B$6,Thermostat!$B$5)</f>
        <v>78</v>
      </c>
      <c r="G26" s="329">
        <f>IF(G17=0,Thermostat!$B$6,Thermostat!$B$5)</f>
        <v>78</v>
      </c>
      <c r="H26" s="329">
        <f>IF(H17=0,Thermostat!$B$6,Thermostat!$B$5)</f>
        <v>78</v>
      </c>
      <c r="I26" s="329">
        <f>IF(I17=0,Thermostat!$B$6,Thermostat!$B$5)</f>
        <v>78</v>
      </c>
      <c r="J26" s="329">
        <f>IF(J17=0,Thermostat!$B$6,Thermostat!$B$5)</f>
        <v>78</v>
      </c>
      <c r="K26" s="329">
        <f>IF(K17=0,Thermostat!$B$6,Thermostat!$B$5)</f>
        <v>78</v>
      </c>
      <c r="L26" s="329">
        <f>IF(L17=0,Thermostat!$B$6,Thermostat!$B$5)</f>
        <v>78</v>
      </c>
      <c r="M26" s="329">
        <f>IF(M17=0,Thermostat!$B$6,Thermostat!$B$5)</f>
        <v>78</v>
      </c>
      <c r="N26" s="329">
        <f>IF(N17=0,Thermostat!$B$6,Thermostat!$B$5)</f>
        <v>78</v>
      </c>
      <c r="O26" s="329">
        <f>IF(O17=0,Thermostat!$B$6,Thermostat!$B$5)</f>
        <v>78</v>
      </c>
      <c r="P26" s="329">
        <f>IF(P17=0,Thermostat!$B$6,Thermostat!$B$5)</f>
        <v>78</v>
      </c>
      <c r="Q26" s="329">
        <f>IF(Q17=0,Thermostat!$B$6,Thermostat!$B$5)</f>
        <v>78</v>
      </c>
      <c r="R26" s="329">
        <f>IF(R17=0,Thermostat!$B$6,Thermostat!$B$5)</f>
        <v>78</v>
      </c>
      <c r="S26" s="329">
        <f>IF(S17=0,Thermostat!$B$6,Thermostat!$B$5)</f>
        <v>78</v>
      </c>
      <c r="T26" s="329">
        <f>IF(T17=0,Thermostat!$B$6,Thermostat!$B$5)</f>
        <v>78</v>
      </c>
      <c r="U26" s="329">
        <f>IF(U17=0,Thermostat!$B$6,Thermostat!$B$5)</f>
        <v>78</v>
      </c>
      <c r="V26" s="329">
        <f>IF(V17=0,Thermostat!$B$6,Thermostat!$B$5)</f>
        <v>78</v>
      </c>
      <c r="W26" s="329">
        <f>IF(W17=0,Thermostat!$B$6,Thermostat!$B$5)</f>
        <v>78</v>
      </c>
      <c r="X26" s="329">
        <f>IF(X17=0,Thermostat!$B$6,Thermostat!$B$5)</f>
        <v>78</v>
      </c>
      <c r="Y26" s="329">
        <f>IF(Y17=0,Thermostat!$B$6,Thermostat!$B$5)</f>
        <v>78</v>
      </c>
      <c r="Z26" s="329">
        <f>IF(Z17=0,Thermostat!$B$6,Thermostat!$B$5)</f>
        <v>78</v>
      </c>
      <c r="AA26" s="329">
        <f>IF(AA17=0,Thermostat!$B$6,Thermostat!$B$5)</f>
        <v>78</v>
      </c>
      <c r="AB26" s="329">
        <f>IF(AB17=0,Thermostat!$B$6,Thermostat!$B$5)</f>
        <v>78</v>
      </c>
      <c r="AC26" s="333">
        <f>IF(AC17=0,Thermostat!$B$6,Thermostat!$B$5)</f>
        <v>78</v>
      </c>
      <c r="AE26" s="47"/>
      <c r="AF26" s="47"/>
      <c r="AG26" s="47"/>
      <c r="AH26" s="47"/>
      <c r="AI26" s="47"/>
      <c r="AJ26" s="47"/>
      <c r="AK26" s="47"/>
      <c r="AL26" s="47"/>
      <c r="AM26" s="47"/>
      <c r="AN26" s="47"/>
      <c r="AO26" s="47"/>
      <c r="AP26" s="47"/>
      <c r="AQ26" s="47"/>
      <c r="AR26" s="47"/>
      <c r="AS26" s="47"/>
      <c r="AT26" s="47"/>
      <c r="AU26" s="47"/>
      <c r="AV26" s="47"/>
      <c r="AW26" s="47"/>
      <c r="AX26" s="47"/>
    </row>
    <row r="27" spans="1:50" ht="39.950000000000003" customHeight="1" thickBot="1" x14ac:dyDescent="0.3">
      <c r="A27" s="585"/>
      <c r="B27" s="596"/>
      <c r="C27" s="596"/>
      <c r="D27" s="631"/>
      <c r="E27" s="334" t="s">
        <v>582</v>
      </c>
      <c r="F27" s="335">
        <f>IF(F18=0,Thermostat!$B$6,Thermostat!$B$5)</f>
        <v>78</v>
      </c>
      <c r="G27" s="335">
        <f>IF(G18=0,Thermostat!$B$6,Thermostat!$B$5)</f>
        <v>78</v>
      </c>
      <c r="H27" s="335">
        <f>IF(H18=0,Thermostat!$B$6,Thermostat!$B$5)</f>
        <v>78</v>
      </c>
      <c r="I27" s="335">
        <f>IF(I18=0,Thermostat!$B$6,Thermostat!$B$5)</f>
        <v>78</v>
      </c>
      <c r="J27" s="335">
        <f>IF(J18=0,Thermostat!$B$6,Thermostat!$B$5)</f>
        <v>78</v>
      </c>
      <c r="K27" s="335">
        <f>IF(K18=0,Thermostat!$B$6,Thermostat!$B$5)</f>
        <v>78</v>
      </c>
      <c r="L27" s="335">
        <f>IF(L18=0,Thermostat!$B$6,Thermostat!$B$5)</f>
        <v>78</v>
      </c>
      <c r="M27" s="335">
        <f>IF(M18=0,Thermostat!$B$6,Thermostat!$B$5)</f>
        <v>78</v>
      </c>
      <c r="N27" s="335">
        <f>IF(N18=0,Thermostat!$B$6,Thermostat!$B$5)</f>
        <v>78</v>
      </c>
      <c r="O27" s="335">
        <f>IF(O18=0,Thermostat!$B$6,Thermostat!$B$5)</f>
        <v>78</v>
      </c>
      <c r="P27" s="335">
        <f>IF(P18=0,Thermostat!$B$6,Thermostat!$B$5)</f>
        <v>78</v>
      </c>
      <c r="Q27" s="335">
        <f>IF(Q18=0,Thermostat!$B$6,Thermostat!$B$5)</f>
        <v>78</v>
      </c>
      <c r="R27" s="335">
        <f>IF(R18=0,Thermostat!$B$6,Thermostat!$B$5)</f>
        <v>78</v>
      </c>
      <c r="S27" s="335">
        <f>IF(S18=0,Thermostat!$B$6,Thermostat!$B$5)</f>
        <v>78</v>
      </c>
      <c r="T27" s="335">
        <f>IF(T18=0,Thermostat!$B$6,Thermostat!$B$5)</f>
        <v>78</v>
      </c>
      <c r="U27" s="335">
        <f>IF(U18=0,Thermostat!$B$6,Thermostat!$B$5)</f>
        <v>78</v>
      </c>
      <c r="V27" s="335">
        <f>IF(V18=0,Thermostat!$B$6,Thermostat!$B$5)</f>
        <v>78</v>
      </c>
      <c r="W27" s="335">
        <f>IF(W18=0,Thermostat!$B$6,Thermostat!$B$5)</f>
        <v>78</v>
      </c>
      <c r="X27" s="335">
        <f>IF(X18=0,Thermostat!$B$6,Thermostat!$B$5)</f>
        <v>78</v>
      </c>
      <c r="Y27" s="335">
        <f>IF(Y18=0,Thermostat!$B$6,Thermostat!$B$5)</f>
        <v>78</v>
      </c>
      <c r="Z27" s="335">
        <f>IF(Z18=0,Thermostat!$B$6,Thermostat!$B$5)</f>
        <v>78</v>
      </c>
      <c r="AA27" s="335">
        <f>IF(AA18=0,Thermostat!$B$6,Thermostat!$B$5)</f>
        <v>78</v>
      </c>
      <c r="AB27" s="335">
        <f>IF(AB18=0,Thermostat!$B$6,Thermostat!$B$5)</f>
        <v>78</v>
      </c>
      <c r="AC27" s="336">
        <f>IF(AC18=0,Thermostat!$B$6,Thermostat!$B$5)</f>
        <v>78</v>
      </c>
      <c r="AE27" s="47"/>
      <c r="AF27" s="47"/>
      <c r="AG27" s="47"/>
      <c r="AH27" s="47"/>
      <c r="AI27" s="47"/>
      <c r="AJ27" s="47"/>
      <c r="AK27" s="47"/>
      <c r="AL27" s="47"/>
      <c r="AM27" s="47"/>
      <c r="AN27" s="47"/>
      <c r="AO27" s="47"/>
      <c r="AP27" s="47"/>
      <c r="AQ27" s="47"/>
      <c r="AR27" s="47"/>
      <c r="AS27" s="47"/>
      <c r="AT27" s="47"/>
      <c r="AU27" s="47"/>
      <c r="AV27" s="47"/>
      <c r="AW27" s="47"/>
      <c r="AX27" s="47"/>
    </row>
    <row r="28" spans="1:50" ht="39.950000000000003" customHeight="1" x14ac:dyDescent="0.25">
      <c r="A28" s="586" t="s">
        <v>577</v>
      </c>
      <c r="B28" s="597" t="str">
        <f>B4</f>
        <v>ResidentialLiving</v>
      </c>
      <c r="C28" s="597" t="s">
        <v>352</v>
      </c>
      <c r="D28" s="591" t="s">
        <v>579</v>
      </c>
      <c r="E28" s="263" t="s">
        <v>580</v>
      </c>
      <c r="F28" s="264">
        <v>1</v>
      </c>
      <c r="G28" s="264">
        <v>1</v>
      </c>
      <c r="H28" s="264">
        <v>1</v>
      </c>
      <c r="I28" s="264">
        <v>1</v>
      </c>
      <c r="J28" s="264">
        <v>1</v>
      </c>
      <c r="K28" s="264">
        <v>1</v>
      </c>
      <c r="L28" s="264">
        <v>1</v>
      </c>
      <c r="M28" s="264">
        <v>1</v>
      </c>
      <c r="N28" s="264">
        <v>1</v>
      </c>
      <c r="O28" s="264">
        <v>1</v>
      </c>
      <c r="P28" s="264">
        <v>1</v>
      </c>
      <c r="Q28" s="264">
        <v>1</v>
      </c>
      <c r="R28" s="264">
        <v>1</v>
      </c>
      <c r="S28" s="264">
        <v>1</v>
      </c>
      <c r="T28" s="264">
        <v>1</v>
      </c>
      <c r="U28" s="264">
        <v>1</v>
      </c>
      <c r="V28" s="264">
        <v>1</v>
      </c>
      <c r="W28" s="264">
        <v>1</v>
      </c>
      <c r="X28" s="264">
        <v>1</v>
      </c>
      <c r="Y28" s="264">
        <v>1</v>
      </c>
      <c r="Z28" s="264">
        <v>1</v>
      </c>
      <c r="AA28" s="264">
        <v>1</v>
      </c>
      <c r="AB28" s="264">
        <v>1</v>
      </c>
      <c r="AC28" s="265">
        <v>1</v>
      </c>
      <c r="AE28" s="47"/>
      <c r="AF28" s="47"/>
      <c r="AG28" s="47"/>
      <c r="AH28" s="47"/>
      <c r="AI28" s="47"/>
      <c r="AJ28" s="47"/>
      <c r="AK28" s="47"/>
      <c r="AL28" s="47"/>
      <c r="AM28" s="47"/>
      <c r="AN28" s="47"/>
      <c r="AO28" s="47"/>
      <c r="AP28" s="47"/>
      <c r="AQ28" s="47"/>
      <c r="AR28" s="47"/>
      <c r="AS28" s="47"/>
      <c r="AT28" s="47"/>
      <c r="AU28" s="47"/>
      <c r="AV28" s="47"/>
      <c r="AW28" s="47"/>
      <c r="AX28" s="47"/>
    </row>
    <row r="29" spans="1:50" ht="39.950000000000003" customHeight="1" x14ac:dyDescent="0.25">
      <c r="A29" s="587"/>
      <c r="B29" s="595"/>
      <c r="C29" s="595"/>
      <c r="D29" s="578"/>
      <c r="E29" s="243" t="s">
        <v>581</v>
      </c>
      <c r="F29" s="176">
        <v>1</v>
      </c>
      <c r="G29" s="176">
        <v>1</v>
      </c>
      <c r="H29" s="176">
        <v>1</v>
      </c>
      <c r="I29" s="176">
        <v>1</v>
      </c>
      <c r="J29" s="176">
        <v>1</v>
      </c>
      <c r="K29" s="176">
        <v>1</v>
      </c>
      <c r="L29" s="176">
        <v>1</v>
      </c>
      <c r="M29" s="176">
        <v>1</v>
      </c>
      <c r="N29" s="176">
        <v>1</v>
      </c>
      <c r="O29" s="176">
        <v>1</v>
      </c>
      <c r="P29" s="176">
        <v>1</v>
      </c>
      <c r="Q29" s="176">
        <v>1</v>
      </c>
      <c r="R29" s="176">
        <v>1</v>
      </c>
      <c r="S29" s="176">
        <v>1</v>
      </c>
      <c r="T29" s="176">
        <v>1</v>
      </c>
      <c r="U29" s="176">
        <v>1</v>
      </c>
      <c r="V29" s="176">
        <v>1</v>
      </c>
      <c r="W29" s="176">
        <v>1</v>
      </c>
      <c r="X29" s="176">
        <v>1</v>
      </c>
      <c r="Y29" s="176">
        <v>1</v>
      </c>
      <c r="Z29" s="176">
        <v>1</v>
      </c>
      <c r="AA29" s="176">
        <v>1</v>
      </c>
      <c r="AB29" s="176">
        <v>1</v>
      </c>
      <c r="AC29" s="177">
        <v>1</v>
      </c>
      <c r="AE29" s="47"/>
      <c r="AF29" s="47"/>
      <c r="AG29" s="47"/>
      <c r="AH29" s="47"/>
      <c r="AI29" s="47"/>
      <c r="AJ29" s="47"/>
      <c r="AK29" s="47"/>
      <c r="AL29" s="47"/>
      <c r="AM29" s="47"/>
      <c r="AN29" s="47"/>
      <c r="AO29" s="47"/>
      <c r="AP29" s="47"/>
      <c r="AQ29" s="47"/>
      <c r="AR29" s="47"/>
      <c r="AS29" s="47"/>
      <c r="AT29" s="47"/>
      <c r="AU29" s="47"/>
      <c r="AV29" s="47"/>
      <c r="AW29" s="47"/>
      <c r="AX29" s="47"/>
    </row>
    <row r="30" spans="1:50" ht="39.950000000000003" customHeight="1" thickBot="1" x14ac:dyDescent="0.3">
      <c r="A30" s="587"/>
      <c r="B30" s="595"/>
      <c r="C30" s="595"/>
      <c r="D30" s="578"/>
      <c r="E30" s="244" t="s">
        <v>582</v>
      </c>
      <c r="F30" s="178">
        <v>1</v>
      </c>
      <c r="G30" s="178">
        <v>1</v>
      </c>
      <c r="H30" s="178">
        <v>1</v>
      </c>
      <c r="I30" s="178">
        <v>1</v>
      </c>
      <c r="J30" s="178">
        <v>1</v>
      </c>
      <c r="K30" s="178">
        <v>1</v>
      </c>
      <c r="L30" s="178">
        <v>1</v>
      </c>
      <c r="M30" s="178">
        <v>1</v>
      </c>
      <c r="N30" s="178">
        <v>1</v>
      </c>
      <c r="O30" s="178">
        <v>1</v>
      </c>
      <c r="P30" s="178">
        <v>1</v>
      </c>
      <c r="Q30" s="178">
        <v>1</v>
      </c>
      <c r="R30" s="178">
        <v>1</v>
      </c>
      <c r="S30" s="178">
        <v>1</v>
      </c>
      <c r="T30" s="178">
        <v>1</v>
      </c>
      <c r="U30" s="178">
        <v>1</v>
      </c>
      <c r="V30" s="178">
        <v>1</v>
      </c>
      <c r="W30" s="178">
        <v>1</v>
      </c>
      <c r="X30" s="178">
        <v>1</v>
      </c>
      <c r="Y30" s="178">
        <v>1</v>
      </c>
      <c r="Z30" s="178">
        <v>1</v>
      </c>
      <c r="AA30" s="178">
        <v>1</v>
      </c>
      <c r="AB30" s="178">
        <v>1</v>
      </c>
      <c r="AC30" s="179">
        <v>1</v>
      </c>
      <c r="AE30" s="47"/>
      <c r="AF30" s="47"/>
      <c r="AG30" s="47"/>
      <c r="AH30" s="47"/>
      <c r="AI30" s="47"/>
      <c r="AJ30" s="47"/>
      <c r="AK30" s="47"/>
      <c r="AL30" s="47"/>
      <c r="AM30" s="47"/>
      <c r="AN30" s="47"/>
      <c r="AO30" s="47"/>
      <c r="AP30" s="47"/>
      <c r="AQ30" s="47"/>
      <c r="AR30" s="47"/>
      <c r="AS30" s="47"/>
      <c r="AT30" s="47"/>
      <c r="AU30" s="47"/>
      <c r="AV30" s="47"/>
      <c r="AW30" s="47"/>
      <c r="AX30" s="47"/>
    </row>
    <row r="31" spans="1:50" ht="39.950000000000003" customHeight="1" x14ac:dyDescent="0.25">
      <c r="A31" s="588" t="s">
        <v>577</v>
      </c>
      <c r="B31" s="594" t="str">
        <f>B4</f>
        <v>ResidentialLiving</v>
      </c>
      <c r="C31" s="594" t="s">
        <v>591</v>
      </c>
      <c r="D31" s="577" t="s">
        <v>579</v>
      </c>
      <c r="E31" s="242" t="s">
        <v>580</v>
      </c>
      <c r="F31" s="174">
        <v>0.9</v>
      </c>
      <c r="G31" s="174">
        <v>0.9</v>
      </c>
      <c r="H31" s="174">
        <v>0.9</v>
      </c>
      <c r="I31" s="174">
        <v>0.9</v>
      </c>
      <c r="J31" s="174">
        <v>0.9</v>
      </c>
      <c r="K31" s="174">
        <v>0.9</v>
      </c>
      <c r="L31" s="174">
        <v>0.9</v>
      </c>
      <c r="M31" s="174">
        <v>0.9</v>
      </c>
      <c r="N31" s="174">
        <v>0.9</v>
      </c>
      <c r="O31" s="174">
        <v>0.9</v>
      </c>
      <c r="P31" s="174">
        <v>0.9</v>
      </c>
      <c r="Q31" s="174">
        <v>0.9</v>
      </c>
      <c r="R31" s="174">
        <v>0.9</v>
      </c>
      <c r="S31" s="174">
        <v>0.9</v>
      </c>
      <c r="T31" s="174">
        <v>0.9</v>
      </c>
      <c r="U31" s="174">
        <v>0.9</v>
      </c>
      <c r="V31" s="174">
        <v>0.9</v>
      </c>
      <c r="W31" s="174">
        <v>0.9</v>
      </c>
      <c r="X31" s="174">
        <v>0.9</v>
      </c>
      <c r="Y31" s="174">
        <v>0.9</v>
      </c>
      <c r="Z31" s="174">
        <v>0.9</v>
      </c>
      <c r="AA31" s="174">
        <v>0.9</v>
      </c>
      <c r="AB31" s="174">
        <v>0.9</v>
      </c>
      <c r="AC31" s="175">
        <v>0.9</v>
      </c>
      <c r="AE31" s="47"/>
      <c r="AF31" s="47"/>
      <c r="AG31" s="47"/>
      <c r="AH31" s="47"/>
      <c r="AI31" s="47"/>
      <c r="AJ31" s="47"/>
      <c r="AK31" s="47"/>
      <c r="AL31" s="47"/>
      <c r="AM31" s="47"/>
      <c r="AN31" s="47"/>
      <c r="AO31" s="47"/>
      <c r="AP31" s="47"/>
      <c r="AQ31" s="47"/>
      <c r="AR31" s="47"/>
      <c r="AS31" s="47"/>
      <c r="AT31" s="47"/>
      <c r="AU31" s="47"/>
      <c r="AV31" s="47"/>
      <c r="AW31" s="47"/>
      <c r="AX31" s="47"/>
    </row>
    <row r="32" spans="1:50" ht="39.950000000000003" customHeight="1" x14ac:dyDescent="0.25">
      <c r="A32" s="587"/>
      <c r="B32" s="595"/>
      <c r="C32" s="595"/>
      <c r="D32" s="578"/>
      <c r="E32" s="243" t="s">
        <v>581</v>
      </c>
      <c r="F32" s="176">
        <v>0.9</v>
      </c>
      <c r="G32" s="176">
        <v>0.9</v>
      </c>
      <c r="H32" s="176">
        <v>0.9</v>
      </c>
      <c r="I32" s="176">
        <v>0.9</v>
      </c>
      <c r="J32" s="176">
        <v>0.9</v>
      </c>
      <c r="K32" s="176">
        <v>0.9</v>
      </c>
      <c r="L32" s="176">
        <v>0.9</v>
      </c>
      <c r="M32" s="176">
        <v>0.9</v>
      </c>
      <c r="N32" s="176">
        <v>0.9</v>
      </c>
      <c r="O32" s="176">
        <v>0.9</v>
      </c>
      <c r="P32" s="176">
        <v>0.9</v>
      </c>
      <c r="Q32" s="176">
        <v>0.9</v>
      </c>
      <c r="R32" s="176">
        <v>0.9</v>
      </c>
      <c r="S32" s="176">
        <v>0.9</v>
      </c>
      <c r="T32" s="176">
        <v>0.9</v>
      </c>
      <c r="U32" s="176">
        <v>0.9</v>
      </c>
      <c r="V32" s="176">
        <v>0.9</v>
      </c>
      <c r="W32" s="176">
        <v>0.9</v>
      </c>
      <c r="X32" s="176">
        <v>0.9</v>
      </c>
      <c r="Y32" s="176">
        <v>0.9</v>
      </c>
      <c r="Z32" s="176">
        <v>0.9</v>
      </c>
      <c r="AA32" s="176">
        <v>0.9</v>
      </c>
      <c r="AB32" s="176">
        <v>0.9</v>
      </c>
      <c r="AC32" s="177">
        <v>0.9</v>
      </c>
      <c r="AE32" s="47"/>
      <c r="AF32" s="47"/>
      <c r="AG32" s="47"/>
      <c r="AH32" s="47"/>
      <c r="AI32" s="47"/>
      <c r="AJ32" s="47"/>
      <c r="AK32" s="47"/>
      <c r="AL32" s="47"/>
      <c r="AM32" s="47"/>
      <c r="AN32" s="47"/>
      <c r="AO32" s="47"/>
      <c r="AP32" s="47"/>
      <c r="AQ32" s="47"/>
      <c r="AR32" s="47"/>
      <c r="AS32" s="47"/>
      <c r="AT32" s="47"/>
      <c r="AU32" s="47"/>
      <c r="AV32" s="47"/>
      <c r="AW32" s="47"/>
      <c r="AX32" s="47"/>
    </row>
    <row r="33" spans="1:50" ht="39.75" customHeight="1" thickBot="1" x14ac:dyDescent="0.3">
      <c r="A33" s="589"/>
      <c r="B33" s="599"/>
      <c r="C33" s="599"/>
      <c r="D33" s="615"/>
      <c r="E33" s="244" t="s">
        <v>582</v>
      </c>
      <c r="F33" s="178">
        <v>0.9</v>
      </c>
      <c r="G33" s="178">
        <v>0.9</v>
      </c>
      <c r="H33" s="178">
        <v>0.9</v>
      </c>
      <c r="I33" s="178">
        <v>0.9</v>
      </c>
      <c r="J33" s="178">
        <v>0.9</v>
      </c>
      <c r="K33" s="178">
        <v>0.9</v>
      </c>
      <c r="L33" s="178">
        <v>0.9</v>
      </c>
      <c r="M33" s="178">
        <v>0.9</v>
      </c>
      <c r="N33" s="178">
        <v>0.9</v>
      </c>
      <c r="O33" s="178">
        <v>0.9</v>
      </c>
      <c r="P33" s="178">
        <v>0.9</v>
      </c>
      <c r="Q33" s="178">
        <v>0.9</v>
      </c>
      <c r="R33" s="178">
        <v>0.9</v>
      </c>
      <c r="S33" s="178">
        <v>0.9</v>
      </c>
      <c r="T33" s="178">
        <v>0.9</v>
      </c>
      <c r="U33" s="178">
        <v>0.9</v>
      </c>
      <c r="V33" s="178">
        <v>0.9</v>
      </c>
      <c r="W33" s="178">
        <v>0.9</v>
      </c>
      <c r="X33" s="178">
        <v>0.9</v>
      </c>
      <c r="Y33" s="178">
        <v>0.9</v>
      </c>
      <c r="Z33" s="178">
        <v>0.9</v>
      </c>
      <c r="AA33" s="178">
        <v>0.9</v>
      </c>
      <c r="AB33" s="178">
        <v>0.9</v>
      </c>
      <c r="AC33" s="179">
        <v>0.9</v>
      </c>
      <c r="AE33" s="47"/>
      <c r="AF33" s="47"/>
      <c r="AG33" s="47"/>
      <c r="AH33" s="47"/>
      <c r="AI33" s="47"/>
      <c r="AJ33" s="47"/>
      <c r="AK33" s="47"/>
      <c r="AL33" s="47"/>
      <c r="AM33" s="47"/>
      <c r="AN33" s="47"/>
      <c r="AO33" s="47"/>
      <c r="AP33" s="47"/>
      <c r="AQ33" s="47"/>
      <c r="AR33" s="47"/>
      <c r="AS33" s="47"/>
      <c r="AT33" s="47"/>
      <c r="AU33" s="47"/>
      <c r="AV33" s="47"/>
      <c r="AW33" s="47"/>
      <c r="AX33" s="47"/>
    </row>
    <row r="34" spans="1:50" ht="29.25" customHeight="1" thickBot="1" x14ac:dyDescent="0.3">
      <c r="A34" s="567" t="s">
        <v>592</v>
      </c>
      <c r="B34" s="568"/>
      <c r="C34" s="568"/>
      <c r="D34" s="568"/>
      <c r="E34" s="568"/>
      <c r="F34" s="568"/>
      <c r="G34" s="568"/>
      <c r="H34" s="568"/>
      <c r="I34" s="568"/>
      <c r="J34" s="568"/>
      <c r="K34" s="568"/>
      <c r="L34" s="568"/>
      <c r="M34" s="568"/>
      <c r="N34" s="568"/>
      <c r="O34" s="568"/>
      <c r="P34" s="568"/>
      <c r="Q34" s="568"/>
      <c r="R34" s="568"/>
      <c r="S34" s="568"/>
      <c r="T34" s="568"/>
      <c r="U34" s="568"/>
      <c r="V34" s="568"/>
      <c r="W34" s="568"/>
      <c r="X34" s="568"/>
      <c r="Y34" s="568"/>
      <c r="Z34" s="568"/>
      <c r="AA34" s="568"/>
      <c r="AB34" s="568"/>
      <c r="AC34" s="569"/>
      <c r="AD34" s="47"/>
      <c r="AE34" s="47"/>
      <c r="AF34" s="47"/>
      <c r="AG34" s="47"/>
      <c r="AH34" s="47"/>
      <c r="AI34" s="47"/>
      <c r="AJ34" s="47"/>
      <c r="AK34" s="47"/>
      <c r="AL34" s="47"/>
      <c r="AM34" s="47"/>
      <c r="AN34" s="47"/>
      <c r="AO34" s="47"/>
      <c r="AP34" s="47"/>
      <c r="AQ34" s="47"/>
      <c r="AR34" s="47"/>
      <c r="AS34" s="47"/>
      <c r="AT34" s="47"/>
      <c r="AU34" s="47"/>
      <c r="AV34" s="47"/>
      <c r="AW34" s="47"/>
      <c r="AX34" s="47"/>
    </row>
    <row r="35" spans="1:50" ht="39.950000000000003" customHeight="1" x14ac:dyDescent="0.25">
      <c r="A35" s="558" t="s">
        <v>593</v>
      </c>
      <c r="B35" s="609" t="s">
        <v>84</v>
      </c>
      <c r="C35" s="564" t="s">
        <v>578</v>
      </c>
      <c r="D35" s="616" t="s">
        <v>594</v>
      </c>
      <c r="E35" s="242" t="s">
        <v>580</v>
      </c>
      <c r="F35" s="174">
        <v>0.1</v>
      </c>
      <c r="G35" s="174">
        <v>0.1</v>
      </c>
      <c r="H35" s="174">
        <v>0.1</v>
      </c>
      <c r="I35" s="174">
        <v>0.1</v>
      </c>
      <c r="J35" s="174">
        <v>0.1</v>
      </c>
      <c r="K35" s="174">
        <v>0.3</v>
      </c>
      <c r="L35" s="174">
        <v>0.45</v>
      </c>
      <c r="M35" s="174">
        <v>0.45</v>
      </c>
      <c r="N35" s="174">
        <v>0.45</v>
      </c>
      <c r="O35" s="174">
        <v>0.45</v>
      </c>
      <c r="P35" s="174">
        <v>0.3</v>
      </c>
      <c r="Q35" s="174">
        <v>0.3</v>
      </c>
      <c r="R35" s="174">
        <v>0.3</v>
      </c>
      <c r="S35" s="174">
        <v>0.3</v>
      </c>
      <c r="T35" s="174">
        <v>0.3</v>
      </c>
      <c r="U35" s="174">
        <v>0.3</v>
      </c>
      <c r="V35" s="174">
        <v>0.3</v>
      </c>
      <c r="W35" s="174">
        <v>0.3</v>
      </c>
      <c r="X35" s="174">
        <v>0.6</v>
      </c>
      <c r="Y35" s="174">
        <v>0.8</v>
      </c>
      <c r="Z35" s="174">
        <v>0.9</v>
      </c>
      <c r="AA35" s="174">
        <v>0.8</v>
      </c>
      <c r="AB35" s="174">
        <v>0.6</v>
      </c>
      <c r="AC35" s="175">
        <v>0.3</v>
      </c>
      <c r="AE35" s="47"/>
      <c r="AF35" s="47"/>
      <c r="AG35" s="47"/>
      <c r="AH35" s="47"/>
      <c r="AI35" s="47"/>
      <c r="AJ35" s="47"/>
      <c r="AK35" s="47"/>
      <c r="AL35" s="47"/>
      <c r="AM35" s="47"/>
      <c r="AN35" s="47"/>
      <c r="AO35" s="47"/>
      <c r="AP35" s="47"/>
      <c r="AQ35" s="47"/>
      <c r="AR35" s="47"/>
      <c r="AS35" s="47"/>
      <c r="AT35" s="47"/>
      <c r="AU35" s="47"/>
      <c r="AV35" s="47"/>
      <c r="AW35" s="47"/>
      <c r="AX35" s="47"/>
    </row>
    <row r="36" spans="1:50" ht="39.950000000000003" customHeight="1" x14ac:dyDescent="0.25">
      <c r="A36" s="556"/>
      <c r="B36" s="610"/>
      <c r="C36" s="565"/>
      <c r="D36" s="617"/>
      <c r="E36" s="243" t="s">
        <v>581</v>
      </c>
      <c r="F36" s="176">
        <v>0.1</v>
      </c>
      <c r="G36" s="176">
        <v>0.1</v>
      </c>
      <c r="H36" s="176">
        <v>0.1</v>
      </c>
      <c r="I36" s="176">
        <v>0.1</v>
      </c>
      <c r="J36" s="176">
        <v>0.1</v>
      </c>
      <c r="K36" s="176">
        <v>0.3</v>
      </c>
      <c r="L36" s="176">
        <v>0.45</v>
      </c>
      <c r="M36" s="176">
        <v>0.45</v>
      </c>
      <c r="N36" s="176">
        <v>0.45</v>
      </c>
      <c r="O36" s="176">
        <v>0.45</v>
      </c>
      <c r="P36" s="176">
        <v>0.3</v>
      </c>
      <c r="Q36" s="176">
        <v>0.3</v>
      </c>
      <c r="R36" s="176">
        <v>0.3</v>
      </c>
      <c r="S36" s="176">
        <v>0.3</v>
      </c>
      <c r="T36" s="176">
        <v>0.3</v>
      </c>
      <c r="U36" s="176">
        <v>0.3</v>
      </c>
      <c r="V36" s="176">
        <v>0.3</v>
      </c>
      <c r="W36" s="176">
        <v>0.3</v>
      </c>
      <c r="X36" s="176">
        <v>0.6</v>
      </c>
      <c r="Y36" s="176">
        <v>0.8</v>
      </c>
      <c r="Z36" s="176">
        <v>0.9</v>
      </c>
      <c r="AA36" s="176">
        <v>0.8</v>
      </c>
      <c r="AB36" s="176">
        <v>0.6</v>
      </c>
      <c r="AC36" s="177">
        <v>0.3</v>
      </c>
      <c r="AE36" s="47"/>
      <c r="AF36" s="47"/>
      <c r="AG36" s="47"/>
      <c r="AH36" s="47"/>
      <c r="AI36" s="47"/>
      <c r="AJ36" s="47"/>
      <c r="AK36" s="47"/>
      <c r="AL36" s="47"/>
      <c r="AM36" s="47"/>
      <c r="AN36" s="47"/>
      <c r="AO36" s="47"/>
      <c r="AP36" s="47"/>
      <c r="AQ36" s="47"/>
      <c r="AR36" s="47"/>
      <c r="AS36" s="47"/>
      <c r="AT36" s="47"/>
      <c r="AU36" s="47"/>
      <c r="AV36" s="47"/>
      <c r="AW36" s="47"/>
      <c r="AX36" s="47"/>
    </row>
    <row r="37" spans="1:50" ht="39.950000000000003" customHeight="1" thickBot="1" x14ac:dyDescent="0.3">
      <c r="A37" s="559"/>
      <c r="B37" s="611"/>
      <c r="C37" s="566"/>
      <c r="D37" s="618"/>
      <c r="E37" s="244" t="s">
        <v>582</v>
      </c>
      <c r="F37" s="178">
        <v>0.1</v>
      </c>
      <c r="G37" s="178">
        <v>0.1</v>
      </c>
      <c r="H37" s="178">
        <v>0.1</v>
      </c>
      <c r="I37" s="178">
        <v>0.1</v>
      </c>
      <c r="J37" s="178">
        <v>0.1</v>
      </c>
      <c r="K37" s="178">
        <v>0.3</v>
      </c>
      <c r="L37" s="178">
        <v>0.45</v>
      </c>
      <c r="M37" s="178">
        <v>0.45</v>
      </c>
      <c r="N37" s="178">
        <v>0.45</v>
      </c>
      <c r="O37" s="178">
        <v>0.45</v>
      </c>
      <c r="P37" s="178">
        <v>0.3</v>
      </c>
      <c r="Q37" s="178">
        <v>0.3</v>
      </c>
      <c r="R37" s="178">
        <v>0.3</v>
      </c>
      <c r="S37" s="178">
        <v>0.3</v>
      </c>
      <c r="T37" s="178">
        <v>0.3</v>
      </c>
      <c r="U37" s="178">
        <v>0.3</v>
      </c>
      <c r="V37" s="178">
        <v>0.3</v>
      </c>
      <c r="W37" s="178">
        <v>0.3</v>
      </c>
      <c r="X37" s="178">
        <v>0.6</v>
      </c>
      <c r="Y37" s="178">
        <v>0.8</v>
      </c>
      <c r="Z37" s="178">
        <v>0.9</v>
      </c>
      <c r="AA37" s="178">
        <v>0.8</v>
      </c>
      <c r="AB37" s="178">
        <v>0.6</v>
      </c>
      <c r="AC37" s="179">
        <v>0.3</v>
      </c>
      <c r="AE37" s="47"/>
      <c r="AF37" s="47"/>
      <c r="AG37" s="47"/>
      <c r="AH37" s="47"/>
      <c r="AI37" s="47"/>
      <c r="AJ37" s="47"/>
      <c r="AK37" s="47"/>
      <c r="AL37" s="47"/>
      <c r="AM37" s="47"/>
      <c r="AN37" s="47"/>
      <c r="AO37" s="47"/>
      <c r="AP37" s="47"/>
      <c r="AQ37" s="47"/>
      <c r="AR37" s="47"/>
      <c r="AS37" s="47"/>
      <c r="AT37" s="47"/>
      <c r="AU37" s="47"/>
      <c r="AV37" s="47"/>
      <c r="AW37" s="47"/>
      <c r="AX37" s="47"/>
    </row>
    <row r="38" spans="1:50" ht="39.950000000000003" customHeight="1" x14ac:dyDescent="0.25">
      <c r="A38" s="555" t="s">
        <v>593</v>
      </c>
      <c r="B38" s="612" t="s">
        <v>84</v>
      </c>
      <c r="C38" s="612" t="s">
        <v>583</v>
      </c>
      <c r="D38" s="619" t="s">
        <v>594</v>
      </c>
      <c r="E38" s="263" t="s">
        <v>580</v>
      </c>
      <c r="F38" s="264">
        <v>1</v>
      </c>
      <c r="G38" s="264">
        <v>1</v>
      </c>
      <c r="H38" s="264">
        <v>1</v>
      </c>
      <c r="I38" s="264">
        <v>1</v>
      </c>
      <c r="J38" s="264">
        <v>1</v>
      </c>
      <c r="K38" s="264">
        <v>1</v>
      </c>
      <c r="L38" s="264">
        <v>1</v>
      </c>
      <c r="M38" s="264">
        <v>1</v>
      </c>
      <c r="N38" s="264">
        <v>1</v>
      </c>
      <c r="O38" s="264">
        <v>1</v>
      </c>
      <c r="P38" s="264">
        <v>1</v>
      </c>
      <c r="Q38" s="264">
        <v>1</v>
      </c>
      <c r="R38" s="264">
        <v>1</v>
      </c>
      <c r="S38" s="264">
        <v>1</v>
      </c>
      <c r="T38" s="264">
        <v>1</v>
      </c>
      <c r="U38" s="264">
        <v>1</v>
      </c>
      <c r="V38" s="264">
        <v>1</v>
      </c>
      <c r="W38" s="264">
        <v>1</v>
      </c>
      <c r="X38" s="264">
        <v>1</v>
      </c>
      <c r="Y38" s="264">
        <v>1</v>
      </c>
      <c r="Z38" s="264">
        <v>1</v>
      </c>
      <c r="AA38" s="264">
        <v>1</v>
      </c>
      <c r="AB38" s="264">
        <v>1</v>
      </c>
      <c r="AC38" s="265">
        <v>1</v>
      </c>
      <c r="AE38" s="47"/>
      <c r="AF38" s="47"/>
      <c r="AG38" s="47"/>
      <c r="AH38" s="47"/>
      <c r="AI38" s="47"/>
      <c r="AJ38" s="47"/>
      <c r="AK38" s="47"/>
      <c r="AL38" s="47"/>
      <c r="AM38" s="47"/>
      <c r="AN38" s="47"/>
      <c r="AO38" s="47"/>
      <c r="AP38" s="47"/>
      <c r="AQ38" s="47"/>
      <c r="AR38" s="47"/>
      <c r="AS38" s="47"/>
      <c r="AT38" s="47"/>
      <c r="AU38" s="47"/>
      <c r="AV38" s="47"/>
      <c r="AW38" s="47"/>
      <c r="AX38" s="47"/>
    </row>
    <row r="39" spans="1:50" ht="39.950000000000003" customHeight="1" x14ac:dyDescent="0.25">
      <c r="A39" s="556"/>
      <c r="B39" s="565"/>
      <c r="C39" s="565"/>
      <c r="D39" s="617"/>
      <c r="E39" s="243" t="s">
        <v>581</v>
      </c>
      <c r="F39" s="176">
        <v>1</v>
      </c>
      <c r="G39" s="176">
        <v>1</v>
      </c>
      <c r="H39" s="176">
        <v>1</v>
      </c>
      <c r="I39" s="176">
        <v>1</v>
      </c>
      <c r="J39" s="176">
        <v>1</v>
      </c>
      <c r="K39" s="176">
        <v>1</v>
      </c>
      <c r="L39" s="176">
        <v>1</v>
      </c>
      <c r="M39" s="176">
        <v>1</v>
      </c>
      <c r="N39" s="176">
        <v>1</v>
      </c>
      <c r="O39" s="176">
        <v>1</v>
      </c>
      <c r="P39" s="176">
        <v>1</v>
      </c>
      <c r="Q39" s="176">
        <v>1</v>
      </c>
      <c r="R39" s="176">
        <v>1</v>
      </c>
      <c r="S39" s="176">
        <v>1</v>
      </c>
      <c r="T39" s="176">
        <v>1</v>
      </c>
      <c r="U39" s="176">
        <v>1</v>
      </c>
      <c r="V39" s="176">
        <v>1</v>
      </c>
      <c r="W39" s="176">
        <v>1</v>
      </c>
      <c r="X39" s="176">
        <v>1</v>
      </c>
      <c r="Y39" s="176">
        <v>1</v>
      </c>
      <c r="Z39" s="176">
        <v>1</v>
      </c>
      <c r="AA39" s="176">
        <v>1</v>
      </c>
      <c r="AB39" s="176">
        <v>1</v>
      </c>
      <c r="AC39" s="177">
        <v>1</v>
      </c>
      <c r="AE39" s="47"/>
      <c r="AF39" s="47"/>
      <c r="AG39" s="47"/>
      <c r="AH39" s="47"/>
      <c r="AI39" s="47"/>
      <c r="AJ39" s="47"/>
      <c r="AK39" s="47"/>
      <c r="AL39" s="47"/>
      <c r="AM39" s="47"/>
      <c r="AN39" s="47"/>
      <c r="AO39" s="47"/>
      <c r="AP39" s="47"/>
      <c r="AQ39" s="47"/>
      <c r="AR39" s="47"/>
      <c r="AS39" s="47"/>
      <c r="AT39" s="47"/>
      <c r="AU39" s="47"/>
      <c r="AV39" s="47"/>
      <c r="AW39" s="47"/>
      <c r="AX39" s="47"/>
    </row>
    <row r="40" spans="1:50" ht="39.950000000000003" customHeight="1" x14ac:dyDescent="0.25">
      <c r="A40" s="559"/>
      <c r="B40" s="566"/>
      <c r="C40" s="566"/>
      <c r="D40" s="618"/>
      <c r="E40" s="244" t="s">
        <v>582</v>
      </c>
      <c r="F40" s="178">
        <v>1</v>
      </c>
      <c r="G40" s="178">
        <v>1</v>
      </c>
      <c r="H40" s="178">
        <v>1</v>
      </c>
      <c r="I40" s="178">
        <v>1</v>
      </c>
      <c r="J40" s="178">
        <v>1</v>
      </c>
      <c r="K40" s="178">
        <v>1</v>
      </c>
      <c r="L40" s="178">
        <v>1</v>
      </c>
      <c r="M40" s="178">
        <v>1</v>
      </c>
      <c r="N40" s="178">
        <v>1</v>
      </c>
      <c r="O40" s="178">
        <v>1</v>
      </c>
      <c r="P40" s="178">
        <v>1</v>
      </c>
      <c r="Q40" s="178">
        <v>1</v>
      </c>
      <c r="R40" s="178">
        <v>1</v>
      </c>
      <c r="S40" s="178">
        <v>1</v>
      </c>
      <c r="T40" s="178">
        <v>1</v>
      </c>
      <c r="U40" s="178">
        <v>1</v>
      </c>
      <c r="V40" s="178">
        <v>1</v>
      </c>
      <c r="W40" s="178">
        <v>1</v>
      </c>
      <c r="X40" s="178">
        <v>1</v>
      </c>
      <c r="Y40" s="178">
        <v>1</v>
      </c>
      <c r="Z40" s="178">
        <v>1</v>
      </c>
      <c r="AA40" s="178">
        <v>1</v>
      </c>
      <c r="AB40" s="178">
        <v>1</v>
      </c>
      <c r="AC40" s="179">
        <v>1</v>
      </c>
      <c r="AE40" s="47"/>
      <c r="AF40" s="47"/>
      <c r="AG40" s="47"/>
      <c r="AH40" s="47"/>
      <c r="AI40" s="47"/>
      <c r="AJ40" s="47"/>
      <c r="AK40" s="47"/>
      <c r="AL40" s="47"/>
      <c r="AM40" s="47"/>
      <c r="AN40" s="47"/>
      <c r="AO40" s="47"/>
      <c r="AP40" s="47"/>
      <c r="AQ40" s="47"/>
      <c r="AR40" s="47"/>
      <c r="AS40" s="47"/>
      <c r="AT40" s="47"/>
      <c r="AU40" s="47"/>
      <c r="AV40" s="47"/>
      <c r="AW40" s="47"/>
      <c r="AX40" s="47"/>
    </row>
    <row r="41" spans="1:50" ht="39.950000000000003" customHeight="1" x14ac:dyDescent="0.25">
      <c r="A41" s="555" t="s">
        <v>593</v>
      </c>
      <c r="B41" s="612" t="s">
        <v>84</v>
      </c>
      <c r="C41" s="612" t="s">
        <v>584</v>
      </c>
      <c r="D41" s="619" t="s">
        <v>594</v>
      </c>
      <c r="E41" s="242" t="s">
        <v>580</v>
      </c>
      <c r="F41" s="174">
        <v>0.1</v>
      </c>
      <c r="G41" s="174">
        <v>0.1</v>
      </c>
      <c r="H41" s="174">
        <v>0.1</v>
      </c>
      <c r="I41" s="174">
        <v>0.1</v>
      </c>
      <c r="J41" s="174">
        <v>0.1</v>
      </c>
      <c r="K41" s="174">
        <v>0.3</v>
      </c>
      <c r="L41" s="174">
        <v>0.45</v>
      </c>
      <c r="M41" s="174">
        <v>0.45</v>
      </c>
      <c r="N41" s="174">
        <v>0.45</v>
      </c>
      <c r="O41" s="174">
        <v>0.45</v>
      </c>
      <c r="P41" s="174">
        <v>0.3</v>
      </c>
      <c r="Q41" s="174">
        <v>0.3</v>
      </c>
      <c r="R41" s="174">
        <v>0.3</v>
      </c>
      <c r="S41" s="174">
        <v>0.3</v>
      </c>
      <c r="T41" s="174">
        <v>0.3</v>
      </c>
      <c r="U41" s="174">
        <v>0.3</v>
      </c>
      <c r="V41" s="174">
        <v>0.3</v>
      </c>
      <c r="W41" s="174">
        <v>0.3</v>
      </c>
      <c r="X41" s="174">
        <v>0.6</v>
      </c>
      <c r="Y41" s="174">
        <v>0.8</v>
      </c>
      <c r="Z41" s="174">
        <v>0.9</v>
      </c>
      <c r="AA41" s="174">
        <v>0.8</v>
      </c>
      <c r="AB41" s="174">
        <v>0.6</v>
      </c>
      <c r="AC41" s="175">
        <v>0.3</v>
      </c>
      <c r="AE41" s="47"/>
      <c r="AF41" s="47"/>
      <c r="AG41" s="47"/>
      <c r="AH41" s="47"/>
      <c r="AI41" s="47"/>
      <c r="AJ41" s="47"/>
      <c r="AK41" s="47"/>
      <c r="AL41" s="47"/>
      <c r="AM41" s="47"/>
      <c r="AN41" s="47"/>
      <c r="AO41" s="47"/>
      <c r="AP41" s="47"/>
      <c r="AQ41" s="47"/>
      <c r="AR41" s="47"/>
      <c r="AS41" s="47"/>
      <c r="AT41" s="47"/>
      <c r="AU41" s="47"/>
      <c r="AV41" s="47"/>
      <c r="AW41" s="47"/>
      <c r="AX41" s="47"/>
    </row>
    <row r="42" spans="1:50" ht="39.950000000000003" customHeight="1" x14ac:dyDescent="0.25">
      <c r="A42" s="556"/>
      <c r="B42" s="565"/>
      <c r="C42" s="565"/>
      <c r="D42" s="617"/>
      <c r="E42" s="243" t="s">
        <v>581</v>
      </c>
      <c r="F42" s="176">
        <v>0.1</v>
      </c>
      <c r="G42" s="176">
        <v>0.1</v>
      </c>
      <c r="H42" s="176">
        <v>0.1</v>
      </c>
      <c r="I42" s="176">
        <v>0.1</v>
      </c>
      <c r="J42" s="176">
        <v>0.1</v>
      </c>
      <c r="K42" s="176">
        <v>0.3</v>
      </c>
      <c r="L42" s="176">
        <v>0.45</v>
      </c>
      <c r="M42" s="176">
        <v>0.45</v>
      </c>
      <c r="N42" s="176">
        <v>0.45</v>
      </c>
      <c r="O42" s="176">
        <v>0.45</v>
      </c>
      <c r="P42" s="176">
        <v>0.3</v>
      </c>
      <c r="Q42" s="176">
        <v>0.3</v>
      </c>
      <c r="R42" s="176">
        <v>0.3</v>
      </c>
      <c r="S42" s="176">
        <v>0.3</v>
      </c>
      <c r="T42" s="176">
        <v>0.3</v>
      </c>
      <c r="U42" s="176">
        <v>0.3</v>
      </c>
      <c r="V42" s="176">
        <v>0.3</v>
      </c>
      <c r="W42" s="176">
        <v>0.3</v>
      </c>
      <c r="X42" s="176">
        <v>0.6</v>
      </c>
      <c r="Y42" s="176">
        <v>0.8</v>
      </c>
      <c r="Z42" s="176">
        <v>0.9</v>
      </c>
      <c r="AA42" s="176">
        <v>0.8</v>
      </c>
      <c r="AB42" s="176">
        <v>0.6</v>
      </c>
      <c r="AC42" s="177">
        <v>0.3</v>
      </c>
      <c r="AE42" s="47"/>
      <c r="AF42" s="47"/>
      <c r="AG42" s="47"/>
      <c r="AH42" s="47"/>
      <c r="AI42" s="47"/>
      <c r="AJ42" s="47"/>
      <c r="AK42" s="47"/>
      <c r="AL42" s="47"/>
      <c r="AM42" s="47"/>
      <c r="AN42" s="47"/>
      <c r="AO42" s="47"/>
      <c r="AP42" s="47"/>
      <c r="AQ42" s="47"/>
      <c r="AR42" s="47"/>
      <c r="AS42" s="47"/>
      <c r="AT42" s="47"/>
      <c r="AU42" s="47"/>
      <c r="AV42" s="47"/>
      <c r="AW42" s="47"/>
      <c r="AX42" s="47"/>
    </row>
    <row r="43" spans="1:50" ht="39.950000000000003" customHeight="1" x14ac:dyDescent="0.25">
      <c r="A43" s="557"/>
      <c r="B43" s="566"/>
      <c r="C43" s="627"/>
      <c r="D43" s="620"/>
      <c r="E43" s="245" t="s">
        <v>582</v>
      </c>
      <c r="F43" s="180">
        <v>0.1</v>
      </c>
      <c r="G43" s="180">
        <v>0.1</v>
      </c>
      <c r="H43" s="180">
        <v>0.1</v>
      </c>
      <c r="I43" s="180">
        <v>0.1</v>
      </c>
      <c r="J43" s="180">
        <v>0.1</v>
      </c>
      <c r="K43" s="180">
        <v>0.3</v>
      </c>
      <c r="L43" s="180">
        <v>0.45</v>
      </c>
      <c r="M43" s="180">
        <v>0.45</v>
      </c>
      <c r="N43" s="180">
        <v>0.45</v>
      </c>
      <c r="O43" s="180">
        <v>0.45</v>
      </c>
      <c r="P43" s="180">
        <v>0.3</v>
      </c>
      <c r="Q43" s="180">
        <v>0.3</v>
      </c>
      <c r="R43" s="180">
        <v>0.3</v>
      </c>
      <c r="S43" s="180">
        <v>0.3</v>
      </c>
      <c r="T43" s="180">
        <v>0.3</v>
      </c>
      <c r="U43" s="180">
        <v>0.3</v>
      </c>
      <c r="V43" s="180">
        <v>0.3</v>
      </c>
      <c r="W43" s="180">
        <v>0.3</v>
      </c>
      <c r="X43" s="180">
        <v>0.6</v>
      </c>
      <c r="Y43" s="180">
        <v>0.8</v>
      </c>
      <c r="Z43" s="180">
        <v>0.9</v>
      </c>
      <c r="AA43" s="180">
        <v>0.8</v>
      </c>
      <c r="AB43" s="180">
        <v>0.6</v>
      </c>
      <c r="AC43" s="181">
        <v>0.3</v>
      </c>
      <c r="AE43" s="47"/>
      <c r="AF43" s="47"/>
      <c r="AG43" s="47"/>
      <c r="AH43" s="47"/>
      <c r="AI43" s="47"/>
      <c r="AJ43" s="47"/>
      <c r="AK43" s="47"/>
      <c r="AL43" s="47"/>
      <c r="AM43" s="47"/>
      <c r="AN43" s="47"/>
      <c r="AO43" s="47"/>
      <c r="AP43" s="47"/>
      <c r="AQ43" s="47"/>
      <c r="AR43" s="47"/>
      <c r="AS43" s="47"/>
      <c r="AT43" s="47"/>
      <c r="AU43" s="47"/>
      <c r="AV43" s="47"/>
      <c r="AW43" s="47"/>
      <c r="AX43" s="47"/>
    </row>
    <row r="44" spans="1:50" ht="39.950000000000003" customHeight="1" x14ac:dyDescent="0.25">
      <c r="A44" s="560" t="s">
        <v>593</v>
      </c>
      <c r="B44" s="612" t="s">
        <v>84</v>
      </c>
      <c r="C44" s="636" t="s">
        <v>587</v>
      </c>
      <c r="D44" s="616" t="s">
        <v>594</v>
      </c>
      <c r="E44" s="242" t="s">
        <v>580</v>
      </c>
      <c r="F44" s="174">
        <v>0</v>
      </c>
      <c r="G44" s="174">
        <v>0</v>
      </c>
      <c r="H44" s="174">
        <v>0</v>
      </c>
      <c r="I44" s="174">
        <v>0.05</v>
      </c>
      <c r="J44" s="174">
        <v>0.05</v>
      </c>
      <c r="K44" s="174">
        <v>0.05</v>
      </c>
      <c r="L44" s="174">
        <v>0.8</v>
      </c>
      <c r="M44" s="174">
        <v>0.7</v>
      </c>
      <c r="N44" s="174">
        <v>0.5</v>
      </c>
      <c r="O44" s="174">
        <v>0.4</v>
      </c>
      <c r="P44" s="174">
        <v>0.25</v>
      </c>
      <c r="Q44" s="174">
        <v>0.25</v>
      </c>
      <c r="R44" s="174">
        <v>0.25</v>
      </c>
      <c r="S44" s="174">
        <v>0.25</v>
      </c>
      <c r="T44" s="174">
        <v>0.5</v>
      </c>
      <c r="U44" s="174">
        <v>0.6</v>
      </c>
      <c r="V44" s="174">
        <v>0.7</v>
      </c>
      <c r="W44" s="174">
        <v>0.7</v>
      </c>
      <c r="X44" s="174">
        <v>0.4</v>
      </c>
      <c r="Y44" s="174">
        <v>0.25</v>
      </c>
      <c r="Z44" s="174">
        <v>0.2</v>
      </c>
      <c r="AA44" s="174">
        <v>0.2</v>
      </c>
      <c r="AB44" s="174">
        <v>0.05</v>
      </c>
      <c r="AC44" s="175">
        <v>0.05</v>
      </c>
      <c r="AE44" s="47"/>
      <c r="AF44" s="47"/>
      <c r="AG44" s="47"/>
      <c r="AH44" s="47"/>
      <c r="AI44" s="47"/>
      <c r="AJ44" s="47"/>
      <c r="AK44" s="47"/>
      <c r="AL44" s="47"/>
      <c r="AM44" s="47"/>
      <c r="AN44" s="47"/>
      <c r="AO44" s="47"/>
      <c r="AP44" s="47"/>
      <c r="AQ44" s="47"/>
      <c r="AR44" s="47"/>
      <c r="AS44" s="47"/>
      <c r="AT44" s="47"/>
      <c r="AU44" s="47"/>
      <c r="AV44" s="47"/>
      <c r="AW44" s="47"/>
      <c r="AX44" s="47"/>
    </row>
    <row r="45" spans="1:50" ht="39.950000000000003" customHeight="1" x14ac:dyDescent="0.25">
      <c r="A45" s="561"/>
      <c r="B45" s="565"/>
      <c r="C45" s="637"/>
      <c r="D45" s="617"/>
      <c r="E45" s="243" t="s">
        <v>581</v>
      </c>
      <c r="F45" s="176">
        <v>0</v>
      </c>
      <c r="G45" s="176">
        <v>0</v>
      </c>
      <c r="H45" s="176">
        <v>0</v>
      </c>
      <c r="I45" s="176">
        <v>0.05</v>
      </c>
      <c r="J45" s="176">
        <v>0.05</v>
      </c>
      <c r="K45" s="176">
        <v>0.05</v>
      </c>
      <c r="L45" s="176">
        <v>0.8</v>
      </c>
      <c r="M45" s="176">
        <v>0.7</v>
      </c>
      <c r="N45" s="176">
        <v>0.5</v>
      </c>
      <c r="O45" s="176">
        <v>0.4</v>
      </c>
      <c r="P45" s="176">
        <v>0.25</v>
      </c>
      <c r="Q45" s="176">
        <v>0.25</v>
      </c>
      <c r="R45" s="176">
        <v>0.25</v>
      </c>
      <c r="S45" s="176">
        <v>0.25</v>
      </c>
      <c r="T45" s="176">
        <v>0.5</v>
      </c>
      <c r="U45" s="176">
        <v>0.6</v>
      </c>
      <c r="V45" s="176">
        <v>0.7</v>
      </c>
      <c r="W45" s="176">
        <v>0.7</v>
      </c>
      <c r="X45" s="176">
        <v>0.4</v>
      </c>
      <c r="Y45" s="176">
        <v>0.25</v>
      </c>
      <c r="Z45" s="176">
        <v>0.2</v>
      </c>
      <c r="AA45" s="176">
        <v>0.2</v>
      </c>
      <c r="AB45" s="176">
        <v>0.05</v>
      </c>
      <c r="AC45" s="177">
        <v>0.05</v>
      </c>
      <c r="AE45" s="47"/>
      <c r="AF45" s="47"/>
      <c r="AG45" s="47"/>
      <c r="AH45" s="47"/>
      <c r="AI45" s="47"/>
      <c r="AJ45" s="47"/>
      <c r="AK45" s="47"/>
      <c r="AL45" s="47"/>
      <c r="AM45" s="47"/>
      <c r="AN45" s="47"/>
      <c r="AO45" s="47"/>
      <c r="AP45" s="47"/>
      <c r="AQ45" s="47"/>
      <c r="AR45" s="47"/>
      <c r="AS45" s="47"/>
      <c r="AT45" s="47"/>
      <c r="AU45" s="47"/>
      <c r="AV45" s="47"/>
      <c r="AW45" s="47"/>
      <c r="AX45" s="47"/>
    </row>
    <row r="46" spans="1:50" ht="39.950000000000003" customHeight="1" x14ac:dyDescent="0.25">
      <c r="A46" s="562"/>
      <c r="B46" s="566"/>
      <c r="C46" s="638"/>
      <c r="D46" s="618"/>
      <c r="E46" s="244" t="s">
        <v>582</v>
      </c>
      <c r="F46" s="178">
        <v>0</v>
      </c>
      <c r="G46" s="178">
        <v>0</v>
      </c>
      <c r="H46" s="178">
        <v>0</v>
      </c>
      <c r="I46" s="178">
        <v>0.05</v>
      </c>
      <c r="J46" s="178">
        <v>0.05</v>
      </c>
      <c r="K46" s="178">
        <v>0.05</v>
      </c>
      <c r="L46" s="178">
        <v>0.8</v>
      </c>
      <c r="M46" s="178">
        <v>0.7</v>
      </c>
      <c r="N46" s="178">
        <v>0.5</v>
      </c>
      <c r="O46" s="178">
        <v>0.4</v>
      </c>
      <c r="P46" s="178">
        <v>0.25</v>
      </c>
      <c r="Q46" s="178">
        <v>0.25</v>
      </c>
      <c r="R46" s="178">
        <v>0.25</v>
      </c>
      <c r="S46" s="178">
        <v>0.25</v>
      </c>
      <c r="T46" s="178">
        <v>0.5</v>
      </c>
      <c r="U46" s="178">
        <v>0.6</v>
      </c>
      <c r="V46" s="178">
        <v>0.7</v>
      </c>
      <c r="W46" s="178">
        <v>0.7</v>
      </c>
      <c r="X46" s="178">
        <v>0.4</v>
      </c>
      <c r="Y46" s="178">
        <v>0.25</v>
      </c>
      <c r="Z46" s="178">
        <v>0.2</v>
      </c>
      <c r="AA46" s="178">
        <v>0.2</v>
      </c>
      <c r="AB46" s="178">
        <v>0.05</v>
      </c>
      <c r="AC46" s="179">
        <v>0.05</v>
      </c>
      <c r="AE46" s="47"/>
      <c r="AF46" s="47"/>
      <c r="AG46" s="47"/>
      <c r="AH46" s="47"/>
      <c r="AI46" s="47"/>
      <c r="AJ46" s="47"/>
      <c r="AK46" s="47"/>
      <c r="AL46" s="47"/>
      <c r="AM46" s="47"/>
      <c r="AN46" s="47"/>
      <c r="AO46" s="47"/>
      <c r="AP46" s="47"/>
      <c r="AQ46" s="47"/>
      <c r="AR46" s="47"/>
      <c r="AS46" s="47"/>
      <c r="AT46" s="47"/>
      <c r="AU46" s="47"/>
      <c r="AV46" s="47"/>
      <c r="AW46" s="47"/>
      <c r="AX46" s="47"/>
    </row>
    <row r="47" spans="1:50" ht="39.950000000000003" customHeight="1" x14ac:dyDescent="0.25">
      <c r="A47" s="558" t="s">
        <v>593</v>
      </c>
      <c r="B47" s="564" t="s">
        <v>84</v>
      </c>
      <c r="C47" s="564" t="s">
        <v>588</v>
      </c>
      <c r="D47" s="616" t="s">
        <v>594</v>
      </c>
      <c r="E47" s="242" t="s">
        <v>580</v>
      </c>
      <c r="F47" s="174">
        <v>0</v>
      </c>
      <c r="G47" s="174">
        <v>0</v>
      </c>
      <c r="H47" s="174">
        <v>0</v>
      </c>
      <c r="I47" s="174">
        <v>0</v>
      </c>
      <c r="J47" s="174">
        <v>0</v>
      </c>
      <c r="K47" s="174">
        <v>0.5</v>
      </c>
      <c r="L47" s="174">
        <v>0.5</v>
      </c>
      <c r="M47" s="174">
        <v>0.1</v>
      </c>
      <c r="N47" s="174">
        <v>0.1</v>
      </c>
      <c r="O47" s="174">
        <v>0.1</v>
      </c>
      <c r="P47" s="174">
        <v>0.1</v>
      </c>
      <c r="Q47" s="174">
        <v>0.5</v>
      </c>
      <c r="R47" s="174">
        <v>0.5</v>
      </c>
      <c r="S47" s="174">
        <v>0.1</v>
      </c>
      <c r="T47" s="174">
        <v>0.1</v>
      </c>
      <c r="U47" s="174">
        <v>0.1</v>
      </c>
      <c r="V47" s="174">
        <v>0.5</v>
      </c>
      <c r="W47" s="174">
        <v>0.5</v>
      </c>
      <c r="X47" s="174">
        <v>0.5</v>
      </c>
      <c r="Y47" s="174">
        <v>0.1</v>
      </c>
      <c r="Z47" s="174">
        <v>0</v>
      </c>
      <c r="AA47" s="174">
        <v>0</v>
      </c>
      <c r="AB47" s="174">
        <v>0</v>
      </c>
      <c r="AC47" s="175">
        <v>0</v>
      </c>
      <c r="AE47" s="47"/>
      <c r="AF47" s="47"/>
      <c r="AG47" s="47"/>
      <c r="AH47" s="47"/>
      <c r="AI47" s="47"/>
      <c r="AJ47" s="47"/>
      <c r="AK47" s="47"/>
      <c r="AL47" s="47"/>
      <c r="AM47" s="47"/>
      <c r="AN47" s="47"/>
      <c r="AO47" s="47"/>
      <c r="AP47" s="47"/>
      <c r="AQ47" s="47"/>
      <c r="AR47" s="47"/>
      <c r="AS47" s="47"/>
      <c r="AT47" s="47"/>
      <c r="AU47" s="47"/>
      <c r="AV47" s="47"/>
      <c r="AW47" s="47"/>
      <c r="AX47" s="47"/>
    </row>
    <row r="48" spans="1:50" ht="39.950000000000003" customHeight="1" x14ac:dyDescent="0.25">
      <c r="A48" s="556"/>
      <c r="B48" s="565"/>
      <c r="C48" s="565"/>
      <c r="D48" s="617"/>
      <c r="E48" s="243" t="s">
        <v>581</v>
      </c>
      <c r="F48" s="176">
        <v>0</v>
      </c>
      <c r="G48" s="176">
        <v>0</v>
      </c>
      <c r="H48" s="176">
        <v>0</v>
      </c>
      <c r="I48" s="176">
        <v>0</v>
      </c>
      <c r="J48" s="176">
        <v>0</v>
      </c>
      <c r="K48" s="176">
        <v>0.5</v>
      </c>
      <c r="L48" s="176">
        <v>0.5</v>
      </c>
      <c r="M48" s="176">
        <v>0.1</v>
      </c>
      <c r="N48" s="176">
        <v>0.1</v>
      </c>
      <c r="O48" s="176">
        <v>0.1</v>
      </c>
      <c r="P48" s="176">
        <v>0.1</v>
      </c>
      <c r="Q48" s="176">
        <v>0.5</v>
      </c>
      <c r="R48" s="176">
        <v>0.5</v>
      </c>
      <c r="S48" s="176">
        <v>0.1</v>
      </c>
      <c r="T48" s="176">
        <v>0.1</v>
      </c>
      <c r="U48" s="176">
        <v>0.1</v>
      </c>
      <c r="V48" s="176">
        <v>0.5</v>
      </c>
      <c r="W48" s="176">
        <v>0.5</v>
      </c>
      <c r="X48" s="176">
        <v>0.5</v>
      </c>
      <c r="Y48" s="176">
        <v>0.1</v>
      </c>
      <c r="Z48" s="176">
        <v>0</v>
      </c>
      <c r="AA48" s="176">
        <v>0</v>
      </c>
      <c r="AB48" s="176">
        <v>0</v>
      </c>
      <c r="AC48" s="177">
        <v>0</v>
      </c>
      <c r="AE48" s="47"/>
      <c r="AF48" s="47"/>
      <c r="AG48" s="47"/>
      <c r="AH48" s="47"/>
      <c r="AI48" s="47"/>
      <c r="AJ48" s="47"/>
      <c r="AK48" s="47"/>
      <c r="AL48" s="47"/>
      <c r="AM48" s="47"/>
      <c r="AN48" s="47"/>
      <c r="AO48" s="47"/>
      <c r="AP48" s="47"/>
      <c r="AQ48" s="47"/>
      <c r="AR48" s="47"/>
      <c r="AS48" s="47"/>
      <c r="AT48" s="47"/>
      <c r="AU48" s="47"/>
      <c r="AV48" s="47"/>
      <c r="AW48" s="47"/>
      <c r="AX48" s="47"/>
    </row>
    <row r="49" spans="1:50" ht="39.950000000000003" customHeight="1" thickBot="1" x14ac:dyDescent="0.3">
      <c r="A49" s="559"/>
      <c r="B49" s="566"/>
      <c r="C49" s="566"/>
      <c r="D49" s="618"/>
      <c r="E49" s="244" t="s">
        <v>582</v>
      </c>
      <c r="F49" s="180">
        <v>0</v>
      </c>
      <c r="G49" s="180">
        <v>0</v>
      </c>
      <c r="H49" s="180">
        <v>0</v>
      </c>
      <c r="I49" s="180">
        <v>0</v>
      </c>
      <c r="J49" s="180">
        <v>0</v>
      </c>
      <c r="K49" s="180">
        <v>0.5</v>
      </c>
      <c r="L49" s="180">
        <v>0.5</v>
      </c>
      <c r="M49" s="180">
        <v>0.1</v>
      </c>
      <c r="N49" s="180">
        <v>0.1</v>
      </c>
      <c r="O49" s="180">
        <v>0.1</v>
      </c>
      <c r="P49" s="180">
        <v>0.1</v>
      </c>
      <c r="Q49" s="180">
        <v>0.5</v>
      </c>
      <c r="R49" s="180">
        <v>0.5</v>
      </c>
      <c r="S49" s="180">
        <v>0.1</v>
      </c>
      <c r="T49" s="180">
        <v>0.1</v>
      </c>
      <c r="U49" s="180">
        <v>0.1</v>
      </c>
      <c r="V49" s="180">
        <v>0.5</v>
      </c>
      <c r="W49" s="180">
        <v>0.5</v>
      </c>
      <c r="X49" s="180">
        <v>0.5</v>
      </c>
      <c r="Y49" s="180">
        <v>0.1</v>
      </c>
      <c r="Z49" s="180">
        <v>0</v>
      </c>
      <c r="AA49" s="180">
        <v>0</v>
      </c>
      <c r="AB49" s="180">
        <v>0</v>
      </c>
      <c r="AC49" s="181">
        <v>0</v>
      </c>
      <c r="AE49" s="47"/>
      <c r="AF49" s="47"/>
      <c r="AG49" s="47"/>
      <c r="AH49" s="47"/>
      <c r="AI49" s="47"/>
      <c r="AJ49" s="47"/>
      <c r="AK49" s="47"/>
      <c r="AL49" s="47"/>
      <c r="AM49" s="47"/>
      <c r="AN49" s="47"/>
      <c r="AO49" s="47"/>
      <c r="AP49" s="47"/>
      <c r="AQ49" s="47"/>
      <c r="AR49" s="47"/>
      <c r="AS49" s="47"/>
      <c r="AT49" s="47"/>
      <c r="AU49" s="47"/>
      <c r="AV49" s="47"/>
      <c r="AW49" s="47"/>
      <c r="AX49" s="47"/>
    </row>
    <row r="50" spans="1:50" ht="39.950000000000003" customHeight="1" x14ac:dyDescent="0.25">
      <c r="A50" s="555" t="s">
        <v>593</v>
      </c>
      <c r="B50" s="598" t="str">
        <f>B41</f>
        <v>ResidentialCommon</v>
      </c>
      <c r="C50" s="633" t="s">
        <v>585</v>
      </c>
      <c r="D50" s="624" t="s">
        <v>594</v>
      </c>
      <c r="E50" s="242" t="s">
        <v>580</v>
      </c>
      <c r="F50" s="174">
        <v>1</v>
      </c>
      <c r="G50" s="174">
        <v>1</v>
      </c>
      <c r="H50" s="174">
        <v>1</v>
      </c>
      <c r="I50" s="174">
        <v>1</v>
      </c>
      <c r="J50" s="174">
        <v>1</v>
      </c>
      <c r="K50" s="174">
        <v>1</v>
      </c>
      <c r="L50" s="174">
        <v>1</v>
      </c>
      <c r="M50" s="174">
        <v>1</v>
      </c>
      <c r="N50" s="174">
        <v>1</v>
      </c>
      <c r="O50" s="174">
        <v>1</v>
      </c>
      <c r="P50" s="174">
        <v>1</v>
      </c>
      <c r="Q50" s="174">
        <v>1</v>
      </c>
      <c r="R50" s="174">
        <v>1</v>
      </c>
      <c r="S50" s="174">
        <v>1</v>
      </c>
      <c r="T50" s="174">
        <v>1</v>
      </c>
      <c r="U50" s="174">
        <v>1</v>
      </c>
      <c r="V50" s="174">
        <v>1</v>
      </c>
      <c r="W50" s="174">
        <v>1</v>
      </c>
      <c r="X50" s="174">
        <v>1</v>
      </c>
      <c r="Y50" s="174">
        <v>1</v>
      </c>
      <c r="Z50" s="174">
        <v>1</v>
      </c>
      <c r="AA50" s="174">
        <v>1</v>
      </c>
      <c r="AB50" s="174">
        <v>1</v>
      </c>
      <c r="AC50" s="175">
        <v>1</v>
      </c>
      <c r="AD50" s="297"/>
      <c r="AE50" s="47"/>
      <c r="AF50" s="47"/>
      <c r="AG50" s="47"/>
      <c r="AH50" s="47"/>
      <c r="AI50" s="47"/>
      <c r="AJ50" s="47"/>
      <c r="AK50" s="47"/>
      <c r="AL50" s="47"/>
      <c r="AM50" s="47"/>
      <c r="AN50" s="47"/>
      <c r="AO50" s="47"/>
      <c r="AP50" s="47"/>
      <c r="AQ50" s="47"/>
      <c r="AR50" s="47"/>
      <c r="AS50" s="47"/>
      <c r="AT50" s="47"/>
      <c r="AU50" s="47"/>
      <c r="AV50" s="47"/>
      <c r="AW50" s="47"/>
      <c r="AX50" s="47"/>
    </row>
    <row r="51" spans="1:50" ht="39.950000000000003" customHeight="1" x14ac:dyDescent="0.25">
      <c r="A51" s="556"/>
      <c r="B51" s="595"/>
      <c r="C51" s="634"/>
      <c r="D51" s="625"/>
      <c r="E51" s="294" t="s">
        <v>581</v>
      </c>
      <c r="F51" s="295">
        <v>1</v>
      </c>
      <c r="G51" s="295">
        <v>1</v>
      </c>
      <c r="H51" s="295">
        <v>1</v>
      </c>
      <c r="I51" s="295">
        <v>1</v>
      </c>
      <c r="J51" s="295">
        <v>1</v>
      </c>
      <c r="K51" s="295">
        <v>1</v>
      </c>
      <c r="L51" s="295">
        <v>1</v>
      </c>
      <c r="M51" s="295">
        <v>1</v>
      </c>
      <c r="N51" s="295">
        <v>1</v>
      </c>
      <c r="O51" s="295">
        <v>1</v>
      </c>
      <c r="P51" s="295">
        <v>1</v>
      </c>
      <c r="Q51" s="295">
        <v>1</v>
      </c>
      <c r="R51" s="295">
        <v>1</v>
      </c>
      <c r="S51" s="295">
        <v>1</v>
      </c>
      <c r="T51" s="295">
        <v>1</v>
      </c>
      <c r="U51" s="295">
        <v>1</v>
      </c>
      <c r="V51" s="295">
        <v>1</v>
      </c>
      <c r="W51" s="295">
        <v>1</v>
      </c>
      <c r="X51" s="295">
        <v>1</v>
      </c>
      <c r="Y51" s="295">
        <v>1</v>
      </c>
      <c r="Z51" s="295">
        <v>1</v>
      </c>
      <c r="AA51" s="295">
        <v>1</v>
      </c>
      <c r="AB51" s="295">
        <v>1</v>
      </c>
      <c r="AC51" s="296">
        <v>1</v>
      </c>
      <c r="AD51" s="297"/>
      <c r="AE51" s="47"/>
      <c r="AF51" s="47"/>
      <c r="AG51" s="47"/>
      <c r="AH51" s="47"/>
      <c r="AI51" s="47"/>
      <c r="AJ51" s="47"/>
      <c r="AK51" s="47"/>
      <c r="AL51" s="47"/>
      <c r="AM51" s="47"/>
      <c r="AN51" s="47"/>
      <c r="AO51" s="47"/>
      <c r="AP51" s="47"/>
      <c r="AQ51" s="47"/>
      <c r="AR51" s="47"/>
      <c r="AS51" s="47"/>
      <c r="AT51" s="47"/>
      <c r="AU51" s="47"/>
      <c r="AV51" s="47"/>
      <c r="AW51" s="47"/>
      <c r="AX51" s="47"/>
    </row>
    <row r="52" spans="1:50" ht="39.950000000000003" customHeight="1" thickBot="1" x14ac:dyDescent="0.3">
      <c r="A52" s="557"/>
      <c r="B52" s="596"/>
      <c r="C52" s="635"/>
      <c r="D52" s="626"/>
      <c r="E52" s="245" t="s">
        <v>582</v>
      </c>
      <c r="F52" s="180">
        <v>1</v>
      </c>
      <c r="G52" s="180">
        <v>1</v>
      </c>
      <c r="H52" s="180">
        <v>1</v>
      </c>
      <c r="I52" s="180">
        <v>1</v>
      </c>
      <c r="J52" s="180">
        <v>1</v>
      </c>
      <c r="K52" s="180">
        <v>1</v>
      </c>
      <c r="L52" s="180">
        <v>1</v>
      </c>
      <c r="M52" s="180">
        <v>1</v>
      </c>
      <c r="N52" s="180">
        <v>1</v>
      </c>
      <c r="O52" s="180">
        <v>1</v>
      </c>
      <c r="P52" s="180">
        <v>1</v>
      </c>
      <c r="Q52" s="180">
        <v>1</v>
      </c>
      <c r="R52" s="180">
        <v>1</v>
      </c>
      <c r="S52" s="180">
        <v>1</v>
      </c>
      <c r="T52" s="180">
        <v>1</v>
      </c>
      <c r="U52" s="180">
        <v>1</v>
      </c>
      <c r="V52" s="180">
        <v>1</v>
      </c>
      <c r="W52" s="180">
        <v>1</v>
      </c>
      <c r="X52" s="180">
        <v>1</v>
      </c>
      <c r="Y52" s="180">
        <v>1</v>
      </c>
      <c r="Z52" s="180">
        <v>1</v>
      </c>
      <c r="AA52" s="180">
        <v>1</v>
      </c>
      <c r="AB52" s="180">
        <v>1</v>
      </c>
      <c r="AC52" s="181">
        <v>1</v>
      </c>
      <c r="AD52" s="47"/>
      <c r="AE52" s="47"/>
      <c r="AF52" s="47"/>
      <c r="AG52" s="47"/>
      <c r="AH52" s="47"/>
      <c r="AI52" s="47"/>
      <c r="AJ52" s="47"/>
      <c r="AK52" s="47"/>
      <c r="AL52" s="47"/>
      <c r="AM52" s="47"/>
      <c r="AN52" s="47"/>
      <c r="AO52" s="47"/>
      <c r="AP52" s="47"/>
      <c r="AQ52" s="47"/>
      <c r="AR52" s="47"/>
      <c r="AS52" s="47"/>
      <c r="AT52" s="47"/>
      <c r="AU52" s="47"/>
      <c r="AV52" s="47"/>
      <c r="AW52" s="47"/>
      <c r="AX52" s="47"/>
    </row>
    <row r="53" spans="1:50" ht="39.950000000000003" customHeight="1" x14ac:dyDescent="0.25">
      <c r="A53" s="558" t="s">
        <v>593</v>
      </c>
      <c r="B53" s="564" t="s">
        <v>84</v>
      </c>
      <c r="C53" s="564" t="s">
        <v>589</v>
      </c>
      <c r="D53" s="616" t="s">
        <v>594</v>
      </c>
      <c r="E53" s="242" t="s">
        <v>580</v>
      </c>
      <c r="F53" s="322">
        <f>IF(F50=0,Thermostat!$B$4,Thermostat!$B$3)</f>
        <v>68</v>
      </c>
      <c r="G53" s="322">
        <f>IF(G50=0,Thermostat!$B$4,Thermostat!$B$3)</f>
        <v>68</v>
      </c>
      <c r="H53" s="322">
        <f>IF(H50=0,Thermostat!$B$4,Thermostat!$B$3)</f>
        <v>68</v>
      </c>
      <c r="I53" s="322">
        <f>IF(I50=0,Thermostat!$B$4,Thermostat!$B$3)</f>
        <v>68</v>
      </c>
      <c r="J53" s="322">
        <f>IF(J50=0,Thermostat!$B$4,Thermostat!$B$3)</f>
        <v>68</v>
      </c>
      <c r="K53" s="322">
        <f>IF(K50=0,Thermostat!$B$4,Thermostat!$B$3)</f>
        <v>68</v>
      </c>
      <c r="L53" s="322">
        <f>IF(L50=0,Thermostat!$B$4,Thermostat!$B$3)</f>
        <v>68</v>
      </c>
      <c r="M53" s="322">
        <f>IF(M50=0,Thermostat!$B$4,Thermostat!$B$3)</f>
        <v>68</v>
      </c>
      <c r="N53" s="322">
        <f>IF(N50=0,Thermostat!$B$4,Thermostat!$B$3)</f>
        <v>68</v>
      </c>
      <c r="O53" s="322">
        <f>IF(O50=0,Thermostat!$B$4,Thermostat!$B$3)</f>
        <v>68</v>
      </c>
      <c r="P53" s="322">
        <f>IF(P50=0,Thermostat!$B$4,Thermostat!$B$3)</f>
        <v>68</v>
      </c>
      <c r="Q53" s="322">
        <f>IF(Q50=0,Thermostat!$B$4,Thermostat!$B$3)</f>
        <v>68</v>
      </c>
      <c r="R53" s="322">
        <f>IF(R50=0,Thermostat!$B$4,Thermostat!$B$3)</f>
        <v>68</v>
      </c>
      <c r="S53" s="322">
        <f>IF(S50=0,Thermostat!$B$4,Thermostat!$B$3)</f>
        <v>68</v>
      </c>
      <c r="T53" s="322">
        <f>IF(T50=0,Thermostat!$B$4,Thermostat!$B$3)</f>
        <v>68</v>
      </c>
      <c r="U53" s="322">
        <f>IF(U50=0,Thermostat!$B$4,Thermostat!$B$3)</f>
        <v>68</v>
      </c>
      <c r="V53" s="322">
        <f>IF(V50=0,Thermostat!$B$4,Thermostat!$B$3)</f>
        <v>68</v>
      </c>
      <c r="W53" s="322">
        <f>IF(W50=0,Thermostat!$B$4,Thermostat!$B$3)</f>
        <v>68</v>
      </c>
      <c r="X53" s="322">
        <f>IF(X50=0,Thermostat!$B$4,Thermostat!$B$3)</f>
        <v>68</v>
      </c>
      <c r="Y53" s="322">
        <f>IF(Y50=0,Thermostat!$B$4,Thermostat!$B$3)</f>
        <v>68</v>
      </c>
      <c r="Z53" s="322">
        <f>IF(Z50=0,Thermostat!$B$4,Thermostat!$B$3)</f>
        <v>68</v>
      </c>
      <c r="AA53" s="322">
        <f>IF(AA50=0,Thermostat!$B$4,Thermostat!$B$3)</f>
        <v>68</v>
      </c>
      <c r="AB53" s="322">
        <f>IF(AB50=0,Thermostat!$B$4,Thermostat!$B$3)</f>
        <v>68</v>
      </c>
      <c r="AC53" s="331">
        <f>IF(AC50=0,Thermostat!$B$4,Thermostat!$B$3)</f>
        <v>68</v>
      </c>
      <c r="AE53" s="47"/>
      <c r="AF53" s="47"/>
      <c r="AG53" s="47"/>
      <c r="AH53" s="47"/>
      <c r="AI53" s="47"/>
      <c r="AJ53" s="47"/>
      <c r="AK53" s="47"/>
      <c r="AL53" s="47"/>
      <c r="AM53" s="47"/>
      <c r="AN53" s="47"/>
      <c r="AO53" s="47"/>
      <c r="AP53" s="47"/>
      <c r="AQ53" s="47"/>
      <c r="AR53" s="47"/>
      <c r="AS53" s="47"/>
      <c r="AT53" s="47"/>
      <c r="AU53" s="47"/>
      <c r="AV53" s="47"/>
      <c r="AW53" s="47"/>
      <c r="AX53" s="47"/>
    </row>
    <row r="54" spans="1:50" ht="39.950000000000003" customHeight="1" x14ac:dyDescent="0.25">
      <c r="A54" s="556"/>
      <c r="B54" s="565"/>
      <c r="C54" s="565"/>
      <c r="D54" s="617"/>
      <c r="E54" s="243" t="s">
        <v>581</v>
      </c>
      <c r="F54" s="329">
        <f>IF(F51=0,Thermostat!$B$4,Thermostat!$B$3)</f>
        <v>68</v>
      </c>
      <c r="G54" s="329">
        <f>IF(G51=0,Thermostat!$B$4,Thermostat!$B$3)</f>
        <v>68</v>
      </c>
      <c r="H54" s="329">
        <f>IF(H51=0,Thermostat!$B$4,Thermostat!$B$3)</f>
        <v>68</v>
      </c>
      <c r="I54" s="329">
        <f>IF(I51=0,Thermostat!$B$4,Thermostat!$B$3)</f>
        <v>68</v>
      </c>
      <c r="J54" s="329">
        <f>IF(J51=0,Thermostat!$B$4,Thermostat!$B$3)</f>
        <v>68</v>
      </c>
      <c r="K54" s="329">
        <f>IF(K51=0,Thermostat!$B$4,Thermostat!$B$3)</f>
        <v>68</v>
      </c>
      <c r="L54" s="329">
        <f>IF(L51=0,Thermostat!$B$4,Thermostat!$B$3)</f>
        <v>68</v>
      </c>
      <c r="M54" s="329">
        <f>IF(M51=0,Thermostat!$B$4,Thermostat!$B$3)</f>
        <v>68</v>
      </c>
      <c r="N54" s="329">
        <f>IF(N51=0,Thermostat!$B$4,Thermostat!$B$3)</f>
        <v>68</v>
      </c>
      <c r="O54" s="329">
        <f>IF(O51=0,Thermostat!$B$4,Thermostat!$B$3)</f>
        <v>68</v>
      </c>
      <c r="P54" s="329">
        <f>IF(P51=0,Thermostat!$B$4,Thermostat!$B$3)</f>
        <v>68</v>
      </c>
      <c r="Q54" s="329">
        <f>IF(Q51=0,Thermostat!$B$4,Thermostat!$B$3)</f>
        <v>68</v>
      </c>
      <c r="R54" s="329">
        <f>IF(R51=0,Thermostat!$B$4,Thermostat!$B$3)</f>
        <v>68</v>
      </c>
      <c r="S54" s="329">
        <f>IF(S51=0,Thermostat!$B$4,Thermostat!$B$3)</f>
        <v>68</v>
      </c>
      <c r="T54" s="329">
        <f>IF(T51=0,Thermostat!$B$4,Thermostat!$B$3)</f>
        <v>68</v>
      </c>
      <c r="U54" s="329">
        <f>IF(U51=0,Thermostat!$B$4,Thermostat!$B$3)</f>
        <v>68</v>
      </c>
      <c r="V54" s="329">
        <f>IF(V51=0,Thermostat!$B$4,Thermostat!$B$3)</f>
        <v>68</v>
      </c>
      <c r="W54" s="329">
        <f>IF(W51=0,Thermostat!$B$4,Thermostat!$B$3)</f>
        <v>68</v>
      </c>
      <c r="X54" s="329">
        <f>IF(X51=0,Thermostat!$B$4,Thermostat!$B$3)</f>
        <v>68</v>
      </c>
      <c r="Y54" s="329">
        <f>IF(Y51=0,Thermostat!$B$4,Thermostat!$B$3)</f>
        <v>68</v>
      </c>
      <c r="Z54" s="329">
        <f>IF(Z51=0,Thermostat!$B$4,Thermostat!$B$3)</f>
        <v>68</v>
      </c>
      <c r="AA54" s="329">
        <f>IF(AA51=0,Thermostat!$B$4,Thermostat!$B$3)</f>
        <v>68</v>
      </c>
      <c r="AB54" s="329">
        <f>IF(AB51=0,Thermostat!$B$4,Thermostat!$B$3)</f>
        <v>68</v>
      </c>
      <c r="AC54" s="333">
        <f>IF(AC51=0,Thermostat!$B$4,Thermostat!$B$3)</f>
        <v>68</v>
      </c>
      <c r="AE54" s="47"/>
      <c r="AF54" s="47"/>
      <c r="AG54" s="47"/>
      <c r="AH54" s="47"/>
      <c r="AI54" s="47"/>
      <c r="AJ54" s="47"/>
      <c r="AK54" s="47"/>
      <c r="AL54" s="47"/>
      <c r="AM54" s="47"/>
      <c r="AN54" s="47"/>
      <c r="AO54" s="47"/>
      <c r="AP54" s="47"/>
      <c r="AQ54" s="47"/>
      <c r="AR54" s="47"/>
      <c r="AS54" s="47"/>
      <c r="AT54" s="47"/>
      <c r="AU54" s="47"/>
      <c r="AV54" s="47"/>
      <c r="AW54" s="47"/>
      <c r="AX54" s="47"/>
    </row>
    <row r="55" spans="1:50" ht="39.950000000000003" customHeight="1" thickBot="1" x14ac:dyDescent="0.3">
      <c r="A55" s="559"/>
      <c r="B55" s="566"/>
      <c r="C55" s="566"/>
      <c r="D55" s="618"/>
      <c r="E55" s="245" t="s">
        <v>582</v>
      </c>
      <c r="F55" s="338">
        <f>IF(F52=0,Thermostat!$B$4,Thermostat!$B$3)</f>
        <v>68</v>
      </c>
      <c r="G55" s="338">
        <f>IF(G52=0,Thermostat!$B$4,Thermostat!$B$3)</f>
        <v>68</v>
      </c>
      <c r="H55" s="338">
        <f>IF(H52=0,Thermostat!$B$4,Thermostat!$B$3)</f>
        <v>68</v>
      </c>
      <c r="I55" s="338">
        <f>IF(I52=0,Thermostat!$B$4,Thermostat!$B$3)</f>
        <v>68</v>
      </c>
      <c r="J55" s="338">
        <f>IF(J52=0,Thermostat!$B$4,Thermostat!$B$3)</f>
        <v>68</v>
      </c>
      <c r="K55" s="338">
        <f>IF(K52=0,Thermostat!$B$4,Thermostat!$B$3)</f>
        <v>68</v>
      </c>
      <c r="L55" s="338">
        <f>IF(L52=0,Thermostat!$B$4,Thermostat!$B$3)</f>
        <v>68</v>
      </c>
      <c r="M55" s="338">
        <f>IF(M52=0,Thermostat!$B$4,Thermostat!$B$3)</f>
        <v>68</v>
      </c>
      <c r="N55" s="338">
        <f>IF(N52=0,Thermostat!$B$4,Thermostat!$B$3)</f>
        <v>68</v>
      </c>
      <c r="O55" s="338">
        <f>IF(O52=0,Thermostat!$B$4,Thermostat!$B$3)</f>
        <v>68</v>
      </c>
      <c r="P55" s="338">
        <f>IF(P52=0,Thermostat!$B$4,Thermostat!$B$3)</f>
        <v>68</v>
      </c>
      <c r="Q55" s="338">
        <f>IF(Q52=0,Thermostat!$B$4,Thermostat!$B$3)</f>
        <v>68</v>
      </c>
      <c r="R55" s="338">
        <f>IF(R52=0,Thermostat!$B$4,Thermostat!$B$3)</f>
        <v>68</v>
      </c>
      <c r="S55" s="338">
        <f>IF(S52=0,Thermostat!$B$4,Thermostat!$B$3)</f>
        <v>68</v>
      </c>
      <c r="T55" s="338">
        <f>IF(T52=0,Thermostat!$B$4,Thermostat!$B$3)</f>
        <v>68</v>
      </c>
      <c r="U55" s="338">
        <f>IF(U52=0,Thermostat!$B$4,Thermostat!$B$3)</f>
        <v>68</v>
      </c>
      <c r="V55" s="338">
        <f>IF(V52=0,Thermostat!$B$4,Thermostat!$B$3)</f>
        <v>68</v>
      </c>
      <c r="W55" s="338">
        <f>IF(W52=0,Thermostat!$B$4,Thermostat!$B$3)</f>
        <v>68</v>
      </c>
      <c r="X55" s="338">
        <f>IF(X52=0,Thermostat!$B$4,Thermostat!$B$3)</f>
        <v>68</v>
      </c>
      <c r="Y55" s="338">
        <f>IF(Y52=0,Thermostat!$B$4,Thermostat!$B$3)</f>
        <v>68</v>
      </c>
      <c r="Z55" s="338">
        <f>IF(Z52=0,Thermostat!$B$4,Thermostat!$B$3)</f>
        <v>68</v>
      </c>
      <c r="AA55" s="338">
        <f>IF(AA52=0,Thermostat!$B$4,Thermostat!$B$3)</f>
        <v>68</v>
      </c>
      <c r="AB55" s="338">
        <f>IF(AB52=0,Thermostat!$B$4,Thermostat!$B$3)</f>
        <v>68</v>
      </c>
      <c r="AC55" s="339">
        <f>IF(AC52=0,Thermostat!$B$4,Thermostat!$B$3)</f>
        <v>68</v>
      </c>
      <c r="AE55" s="47"/>
      <c r="AF55" s="47"/>
      <c r="AG55" s="47"/>
      <c r="AH55" s="47"/>
      <c r="AI55" s="47"/>
      <c r="AJ55" s="47"/>
      <c r="AK55" s="47"/>
      <c r="AL55" s="47"/>
      <c r="AM55" s="47"/>
      <c r="AN55" s="47"/>
      <c r="AO55" s="47"/>
      <c r="AP55" s="47"/>
      <c r="AQ55" s="47"/>
      <c r="AR55" s="47"/>
      <c r="AS55" s="47"/>
      <c r="AT55" s="47"/>
      <c r="AU55" s="47"/>
      <c r="AV55" s="47"/>
      <c r="AW55" s="47"/>
      <c r="AX55" s="47"/>
    </row>
    <row r="56" spans="1:50" ht="39.950000000000003" customHeight="1" x14ac:dyDescent="0.25">
      <c r="A56" s="558" t="s">
        <v>593</v>
      </c>
      <c r="B56" s="564" t="s">
        <v>84</v>
      </c>
      <c r="C56" s="564" t="s">
        <v>590</v>
      </c>
      <c r="D56" s="616" t="s">
        <v>594</v>
      </c>
      <c r="E56" s="242" t="s">
        <v>580</v>
      </c>
      <c r="F56" s="322">
        <f>IF(F50=0,Thermostat!$B$6,Thermostat!$B$5)</f>
        <v>78</v>
      </c>
      <c r="G56" s="322">
        <f>IF(G50=0,Thermostat!$B$6,Thermostat!$B$5)</f>
        <v>78</v>
      </c>
      <c r="H56" s="322">
        <f>IF(H50=0,Thermostat!$B$6,Thermostat!$B$5)</f>
        <v>78</v>
      </c>
      <c r="I56" s="322">
        <f>IF(I50=0,Thermostat!$B$6,Thermostat!$B$5)</f>
        <v>78</v>
      </c>
      <c r="J56" s="322">
        <f>IF(J50=0,Thermostat!$B$6,Thermostat!$B$5)</f>
        <v>78</v>
      </c>
      <c r="K56" s="322">
        <f>IF(K50=0,Thermostat!$B$6,Thermostat!$B$5)</f>
        <v>78</v>
      </c>
      <c r="L56" s="322">
        <f>IF(L50=0,Thermostat!$B$6,Thermostat!$B$5)</f>
        <v>78</v>
      </c>
      <c r="M56" s="322">
        <f>IF(M50=0,Thermostat!$B$6,Thermostat!$B$5)</f>
        <v>78</v>
      </c>
      <c r="N56" s="322">
        <f>IF(N50=0,Thermostat!$B$6,Thermostat!$B$5)</f>
        <v>78</v>
      </c>
      <c r="O56" s="322">
        <f>IF(O50=0,Thermostat!$B$6,Thermostat!$B$5)</f>
        <v>78</v>
      </c>
      <c r="P56" s="322">
        <f>IF(P50=0,Thermostat!$B$6,Thermostat!$B$5)</f>
        <v>78</v>
      </c>
      <c r="Q56" s="322">
        <f>IF(Q50=0,Thermostat!$B$6,Thermostat!$B$5)</f>
        <v>78</v>
      </c>
      <c r="R56" s="322">
        <f>IF(R50=0,Thermostat!$B$6,Thermostat!$B$5)</f>
        <v>78</v>
      </c>
      <c r="S56" s="322">
        <f>IF(S50=0,Thermostat!$B$6,Thermostat!$B$5)</f>
        <v>78</v>
      </c>
      <c r="T56" s="322">
        <f>IF(T50=0,Thermostat!$B$6,Thermostat!$B$5)</f>
        <v>78</v>
      </c>
      <c r="U56" s="322">
        <f>IF(U50=0,Thermostat!$B$6,Thermostat!$B$5)</f>
        <v>78</v>
      </c>
      <c r="V56" s="322">
        <f>IF(V50=0,Thermostat!$B$6,Thermostat!$B$5)</f>
        <v>78</v>
      </c>
      <c r="W56" s="322">
        <f>IF(W50=0,Thermostat!$B$6,Thermostat!$B$5)</f>
        <v>78</v>
      </c>
      <c r="X56" s="322">
        <f>IF(X50=0,Thermostat!$B$6,Thermostat!$B$5)</f>
        <v>78</v>
      </c>
      <c r="Y56" s="322">
        <f>IF(Y50=0,Thermostat!$B$6,Thermostat!$B$5)</f>
        <v>78</v>
      </c>
      <c r="Z56" s="322">
        <f>IF(Z50=0,Thermostat!$B$6,Thermostat!$B$5)</f>
        <v>78</v>
      </c>
      <c r="AA56" s="322">
        <f>IF(AA50=0,Thermostat!$B$6,Thermostat!$B$5)</f>
        <v>78</v>
      </c>
      <c r="AB56" s="322">
        <f>IF(AB50=0,Thermostat!$B$6,Thermostat!$B$5)</f>
        <v>78</v>
      </c>
      <c r="AC56" s="331">
        <f>IF(AC50=0,Thermostat!$B$6,Thermostat!$B$5)</f>
        <v>78</v>
      </c>
      <c r="AE56" s="47"/>
      <c r="AF56" s="47"/>
      <c r="AG56" s="47"/>
      <c r="AH56" s="47"/>
      <c r="AI56" s="47"/>
      <c r="AJ56" s="47"/>
      <c r="AK56" s="47"/>
      <c r="AL56" s="47"/>
      <c r="AM56" s="47"/>
      <c r="AN56" s="47"/>
      <c r="AO56" s="47"/>
      <c r="AP56" s="47"/>
      <c r="AQ56" s="47"/>
      <c r="AR56" s="47"/>
      <c r="AS56" s="47"/>
      <c r="AT56" s="47"/>
      <c r="AU56" s="47"/>
      <c r="AV56" s="47"/>
      <c r="AW56" s="47"/>
      <c r="AX56" s="47"/>
    </row>
    <row r="57" spans="1:50" ht="39.950000000000003" customHeight="1" x14ac:dyDescent="0.25">
      <c r="A57" s="556"/>
      <c r="B57" s="565"/>
      <c r="C57" s="565"/>
      <c r="D57" s="617"/>
      <c r="E57" s="243" t="s">
        <v>581</v>
      </c>
      <c r="F57" s="329">
        <f>IF(F51=0,Thermostat!$B$6,Thermostat!$B$5)</f>
        <v>78</v>
      </c>
      <c r="G57" s="329">
        <f>IF(G51=0,Thermostat!$B$6,Thermostat!$B$5)</f>
        <v>78</v>
      </c>
      <c r="H57" s="329">
        <f>IF(H51=0,Thermostat!$B$6,Thermostat!$B$5)</f>
        <v>78</v>
      </c>
      <c r="I57" s="329">
        <f>IF(I51=0,Thermostat!$B$6,Thermostat!$B$5)</f>
        <v>78</v>
      </c>
      <c r="J57" s="329">
        <f>IF(J51=0,Thermostat!$B$6,Thermostat!$B$5)</f>
        <v>78</v>
      </c>
      <c r="K57" s="329">
        <f>IF(K51=0,Thermostat!$B$6,Thermostat!$B$5)</f>
        <v>78</v>
      </c>
      <c r="L57" s="329">
        <f>IF(L51=0,Thermostat!$B$6,Thermostat!$B$5)</f>
        <v>78</v>
      </c>
      <c r="M57" s="329">
        <f>IF(M51=0,Thermostat!$B$6,Thermostat!$B$5)</f>
        <v>78</v>
      </c>
      <c r="N57" s="329">
        <f>IF(N51=0,Thermostat!$B$6,Thermostat!$B$5)</f>
        <v>78</v>
      </c>
      <c r="O57" s="329">
        <f>IF(O51=0,Thermostat!$B$6,Thermostat!$B$5)</f>
        <v>78</v>
      </c>
      <c r="P57" s="329">
        <f>IF(P51=0,Thermostat!$B$6,Thermostat!$B$5)</f>
        <v>78</v>
      </c>
      <c r="Q57" s="329">
        <f>IF(Q51=0,Thermostat!$B$6,Thermostat!$B$5)</f>
        <v>78</v>
      </c>
      <c r="R57" s="329">
        <f>IF(R51=0,Thermostat!$B$6,Thermostat!$B$5)</f>
        <v>78</v>
      </c>
      <c r="S57" s="329">
        <f>IF(S51=0,Thermostat!$B$6,Thermostat!$B$5)</f>
        <v>78</v>
      </c>
      <c r="T57" s="329">
        <f>IF(T51=0,Thermostat!$B$6,Thermostat!$B$5)</f>
        <v>78</v>
      </c>
      <c r="U57" s="329">
        <f>IF(U51=0,Thermostat!$B$6,Thermostat!$B$5)</f>
        <v>78</v>
      </c>
      <c r="V57" s="329">
        <f>IF(V51=0,Thermostat!$B$6,Thermostat!$B$5)</f>
        <v>78</v>
      </c>
      <c r="W57" s="329">
        <f>IF(W51=0,Thermostat!$B$6,Thermostat!$B$5)</f>
        <v>78</v>
      </c>
      <c r="X57" s="329">
        <f>IF(X51=0,Thermostat!$B$6,Thermostat!$B$5)</f>
        <v>78</v>
      </c>
      <c r="Y57" s="329">
        <f>IF(Y51=0,Thermostat!$B$6,Thermostat!$B$5)</f>
        <v>78</v>
      </c>
      <c r="Z57" s="329">
        <f>IF(Z51=0,Thermostat!$B$6,Thermostat!$B$5)</f>
        <v>78</v>
      </c>
      <c r="AA57" s="329">
        <f>IF(AA51=0,Thermostat!$B$6,Thermostat!$B$5)</f>
        <v>78</v>
      </c>
      <c r="AB57" s="329">
        <f>IF(AB51=0,Thermostat!$B$6,Thermostat!$B$5)</f>
        <v>78</v>
      </c>
      <c r="AC57" s="333">
        <f>IF(AC51=0,Thermostat!$B$6,Thermostat!$B$5)</f>
        <v>78</v>
      </c>
      <c r="AE57" s="47"/>
      <c r="AF57" s="47"/>
      <c r="AG57" s="47"/>
      <c r="AH57" s="47"/>
      <c r="AI57" s="47"/>
      <c r="AJ57" s="47"/>
      <c r="AK57" s="47"/>
      <c r="AL57" s="47"/>
      <c r="AM57" s="47"/>
      <c r="AN57" s="47"/>
      <c r="AO57" s="47"/>
      <c r="AP57" s="47"/>
      <c r="AQ57" s="47"/>
      <c r="AR57" s="47"/>
      <c r="AS57" s="47"/>
      <c r="AT57" s="47"/>
      <c r="AU57" s="47"/>
      <c r="AV57" s="47"/>
      <c r="AW57" s="47"/>
      <c r="AX57" s="47"/>
    </row>
    <row r="58" spans="1:50" ht="39.950000000000003" customHeight="1" thickBot="1" x14ac:dyDescent="0.3">
      <c r="A58" s="559"/>
      <c r="B58" s="566"/>
      <c r="C58" s="566"/>
      <c r="D58" s="618"/>
      <c r="E58" s="244" t="s">
        <v>582</v>
      </c>
      <c r="F58" s="335">
        <f>IF(F52=0,Thermostat!$B$6,Thermostat!$B$5)</f>
        <v>78</v>
      </c>
      <c r="G58" s="335">
        <f>IF(G52=0,Thermostat!$B$6,Thermostat!$B$5)</f>
        <v>78</v>
      </c>
      <c r="H58" s="335">
        <f>IF(H52=0,Thermostat!$B$6,Thermostat!$B$5)</f>
        <v>78</v>
      </c>
      <c r="I58" s="335">
        <f>IF(I52=0,Thermostat!$B$6,Thermostat!$B$5)</f>
        <v>78</v>
      </c>
      <c r="J58" s="335">
        <f>IF(J52=0,Thermostat!$B$6,Thermostat!$B$5)</f>
        <v>78</v>
      </c>
      <c r="K58" s="335">
        <f>IF(K52=0,Thermostat!$B$6,Thermostat!$B$5)</f>
        <v>78</v>
      </c>
      <c r="L58" s="335">
        <f>IF(L52=0,Thermostat!$B$6,Thermostat!$B$5)</f>
        <v>78</v>
      </c>
      <c r="M58" s="335">
        <f>IF(M52=0,Thermostat!$B$6,Thermostat!$B$5)</f>
        <v>78</v>
      </c>
      <c r="N58" s="335">
        <f>IF(N52=0,Thermostat!$B$6,Thermostat!$B$5)</f>
        <v>78</v>
      </c>
      <c r="O58" s="335">
        <f>IF(O52=0,Thermostat!$B$6,Thermostat!$B$5)</f>
        <v>78</v>
      </c>
      <c r="P58" s="335">
        <f>IF(P52=0,Thermostat!$B$6,Thermostat!$B$5)</f>
        <v>78</v>
      </c>
      <c r="Q58" s="335">
        <f>IF(Q52=0,Thermostat!$B$6,Thermostat!$B$5)</f>
        <v>78</v>
      </c>
      <c r="R58" s="335">
        <f>IF(R52=0,Thermostat!$B$6,Thermostat!$B$5)</f>
        <v>78</v>
      </c>
      <c r="S58" s="335">
        <f>IF(S52=0,Thermostat!$B$6,Thermostat!$B$5)</f>
        <v>78</v>
      </c>
      <c r="T58" s="335">
        <f>IF(T52=0,Thermostat!$B$6,Thermostat!$B$5)</f>
        <v>78</v>
      </c>
      <c r="U58" s="335">
        <f>IF(U52=0,Thermostat!$B$6,Thermostat!$B$5)</f>
        <v>78</v>
      </c>
      <c r="V58" s="335">
        <f>IF(V52=0,Thermostat!$B$6,Thermostat!$B$5)</f>
        <v>78</v>
      </c>
      <c r="W58" s="335">
        <f>IF(W52=0,Thermostat!$B$6,Thermostat!$B$5)</f>
        <v>78</v>
      </c>
      <c r="X58" s="335">
        <f>IF(X52=0,Thermostat!$B$6,Thermostat!$B$5)</f>
        <v>78</v>
      </c>
      <c r="Y58" s="335">
        <f>IF(Y52=0,Thermostat!$B$6,Thermostat!$B$5)</f>
        <v>78</v>
      </c>
      <c r="Z58" s="335">
        <f>IF(Z52=0,Thermostat!$B$6,Thermostat!$B$5)</f>
        <v>78</v>
      </c>
      <c r="AA58" s="335">
        <f>IF(AA52=0,Thermostat!$B$6,Thermostat!$B$5)</f>
        <v>78</v>
      </c>
      <c r="AB58" s="335">
        <f>IF(AB52=0,Thermostat!$B$6,Thermostat!$B$5)</f>
        <v>78</v>
      </c>
      <c r="AC58" s="336">
        <f>IF(AC52=0,Thermostat!$B$6,Thermostat!$B$5)</f>
        <v>78</v>
      </c>
      <c r="AE58" s="47"/>
      <c r="AF58" s="47"/>
      <c r="AG58" s="47"/>
      <c r="AH58" s="47"/>
      <c r="AI58" s="47"/>
      <c r="AJ58" s="47"/>
      <c r="AK58" s="47"/>
      <c r="AL58" s="47"/>
      <c r="AM58" s="47"/>
      <c r="AN58" s="47"/>
      <c r="AO58" s="47"/>
      <c r="AP58" s="47"/>
      <c r="AQ58" s="47"/>
      <c r="AR58" s="47"/>
      <c r="AS58" s="47"/>
      <c r="AT58" s="47"/>
      <c r="AU58" s="47"/>
      <c r="AV58" s="47"/>
      <c r="AW58" s="47"/>
      <c r="AX58" s="47"/>
    </row>
    <row r="59" spans="1:50" ht="39.950000000000003" customHeight="1" x14ac:dyDescent="0.25">
      <c r="A59" s="555" t="s">
        <v>593</v>
      </c>
      <c r="B59" s="612" t="s">
        <v>84</v>
      </c>
      <c r="C59" s="612" t="s">
        <v>352</v>
      </c>
      <c r="D59" s="619" t="s">
        <v>594</v>
      </c>
      <c r="E59" s="263" t="s">
        <v>580</v>
      </c>
      <c r="F59" s="264">
        <v>0.25</v>
      </c>
      <c r="G59" s="264">
        <v>0.25</v>
      </c>
      <c r="H59" s="264">
        <v>0.25</v>
      </c>
      <c r="I59" s="264">
        <v>0.25</v>
      </c>
      <c r="J59" s="264">
        <v>0.25</v>
      </c>
      <c r="K59" s="264">
        <v>0.25</v>
      </c>
      <c r="L59" s="264">
        <v>0.25</v>
      </c>
      <c r="M59" s="264">
        <v>0.25</v>
      </c>
      <c r="N59" s="264">
        <v>0.25</v>
      </c>
      <c r="O59" s="264">
        <v>0.25</v>
      </c>
      <c r="P59" s="264">
        <v>0.25</v>
      </c>
      <c r="Q59" s="264">
        <v>0.25</v>
      </c>
      <c r="R59" s="264">
        <v>0.25</v>
      </c>
      <c r="S59" s="264">
        <v>0.25</v>
      </c>
      <c r="T59" s="264">
        <v>0.25</v>
      </c>
      <c r="U59" s="264">
        <v>0.25</v>
      </c>
      <c r="V59" s="264">
        <v>0.25</v>
      </c>
      <c r="W59" s="264">
        <v>0.25</v>
      </c>
      <c r="X59" s="264">
        <v>0.25</v>
      </c>
      <c r="Y59" s="264">
        <v>0.25</v>
      </c>
      <c r="Z59" s="264">
        <v>0.25</v>
      </c>
      <c r="AA59" s="264">
        <v>0.25</v>
      </c>
      <c r="AB59" s="264">
        <v>0.25</v>
      </c>
      <c r="AC59" s="265">
        <v>0.25</v>
      </c>
      <c r="AE59" s="47"/>
      <c r="AF59" s="47"/>
      <c r="AG59" s="47"/>
      <c r="AH59" s="47"/>
      <c r="AI59" s="47"/>
      <c r="AJ59" s="47"/>
      <c r="AK59" s="47"/>
      <c r="AL59" s="47"/>
      <c r="AM59" s="47"/>
      <c r="AN59" s="47"/>
      <c r="AO59" s="47"/>
      <c r="AP59" s="47"/>
      <c r="AQ59" s="47"/>
      <c r="AR59" s="47"/>
      <c r="AS59" s="47"/>
      <c r="AT59" s="47"/>
      <c r="AU59" s="47"/>
      <c r="AV59" s="47"/>
      <c r="AW59" s="47"/>
      <c r="AX59" s="47"/>
    </row>
    <row r="60" spans="1:50" ht="39.950000000000003" customHeight="1" x14ac:dyDescent="0.25">
      <c r="A60" s="556"/>
      <c r="B60" s="565"/>
      <c r="C60" s="565"/>
      <c r="D60" s="617"/>
      <c r="E60" s="243" t="s">
        <v>581</v>
      </c>
      <c r="F60" s="176">
        <v>0.25</v>
      </c>
      <c r="G60" s="176">
        <v>0.25</v>
      </c>
      <c r="H60" s="176">
        <v>0.25</v>
      </c>
      <c r="I60" s="176">
        <v>0.25</v>
      </c>
      <c r="J60" s="176">
        <v>0.25</v>
      </c>
      <c r="K60" s="176">
        <v>0.25</v>
      </c>
      <c r="L60" s="176">
        <v>0.25</v>
      </c>
      <c r="M60" s="176">
        <v>0.25</v>
      </c>
      <c r="N60" s="176">
        <v>0.25</v>
      </c>
      <c r="O60" s="176">
        <v>0.25</v>
      </c>
      <c r="P60" s="176">
        <v>0.25</v>
      </c>
      <c r="Q60" s="176">
        <v>0.25</v>
      </c>
      <c r="R60" s="176">
        <v>0.25</v>
      </c>
      <c r="S60" s="176">
        <v>0.25</v>
      </c>
      <c r="T60" s="176">
        <v>0.25</v>
      </c>
      <c r="U60" s="176">
        <v>0.25</v>
      </c>
      <c r="V60" s="176">
        <v>0.25</v>
      </c>
      <c r="W60" s="176">
        <v>0.25</v>
      </c>
      <c r="X60" s="176">
        <v>0.25</v>
      </c>
      <c r="Y60" s="176">
        <v>0.25</v>
      </c>
      <c r="Z60" s="176">
        <v>0.25</v>
      </c>
      <c r="AA60" s="176">
        <v>0.25</v>
      </c>
      <c r="AB60" s="176">
        <v>0.25</v>
      </c>
      <c r="AC60" s="177">
        <v>0.25</v>
      </c>
      <c r="AE60" s="47"/>
      <c r="AF60" s="47"/>
      <c r="AG60" s="47"/>
      <c r="AH60" s="47"/>
      <c r="AI60" s="47"/>
      <c r="AJ60" s="47"/>
      <c r="AK60" s="47"/>
      <c r="AL60" s="47"/>
      <c r="AM60" s="47"/>
      <c r="AN60" s="47"/>
      <c r="AO60" s="47"/>
      <c r="AP60" s="47"/>
      <c r="AQ60" s="47"/>
      <c r="AR60" s="47"/>
      <c r="AS60" s="47"/>
      <c r="AT60" s="47"/>
      <c r="AU60" s="47"/>
      <c r="AV60" s="47"/>
      <c r="AW60" s="47"/>
      <c r="AX60" s="47"/>
    </row>
    <row r="61" spans="1:50" ht="39.950000000000003" customHeight="1" thickBot="1" x14ac:dyDescent="0.3">
      <c r="A61" s="557"/>
      <c r="B61" s="627"/>
      <c r="C61" s="627"/>
      <c r="D61" s="620"/>
      <c r="E61" s="244" t="s">
        <v>582</v>
      </c>
      <c r="F61" s="180">
        <v>0.25</v>
      </c>
      <c r="G61" s="180">
        <v>0.25</v>
      </c>
      <c r="H61" s="180">
        <v>0.25</v>
      </c>
      <c r="I61" s="180">
        <v>0.25</v>
      </c>
      <c r="J61" s="180">
        <v>0.25</v>
      </c>
      <c r="K61" s="180">
        <v>0.25</v>
      </c>
      <c r="L61" s="180">
        <v>0.25</v>
      </c>
      <c r="M61" s="180">
        <v>0.25</v>
      </c>
      <c r="N61" s="180">
        <v>0.25</v>
      </c>
      <c r="O61" s="180">
        <v>0.25</v>
      </c>
      <c r="P61" s="180">
        <v>0.25</v>
      </c>
      <c r="Q61" s="180">
        <v>0.25</v>
      </c>
      <c r="R61" s="180">
        <v>0.25</v>
      </c>
      <c r="S61" s="180">
        <v>0.25</v>
      </c>
      <c r="T61" s="180">
        <v>0.25</v>
      </c>
      <c r="U61" s="180">
        <v>0.25</v>
      </c>
      <c r="V61" s="180">
        <v>0.25</v>
      </c>
      <c r="W61" s="180">
        <v>0.25</v>
      </c>
      <c r="X61" s="180">
        <v>0.25</v>
      </c>
      <c r="Y61" s="180">
        <v>0.25</v>
      </c>
      <c r="Z61" s="180">
        <v>0.25</v>
      </c>
      <c r="AA61" s="180">
        <v>0.25</v>
      </c>
      <c r="AB61" s="180">
        <v>0.25</v>
      </c>
      <c r="AC61" s="181">
        <v>0.25</v>
      </c>
      <c r="AE61" s="47"/>
      <c r="AF61" s="47"/>
      <c r="AG61" s="47"/>
      <c r="AH61" s="47"/>
      <c r="AI61" s="47"/>
      <c r="AJ61" s="47"/>
      <c r="AK61" s="47"/>
      <c r="AL61" s="47"/>
      <c r="AM61" s="47"/>
      <c r="AN61" s="47"/>
      <c r="AO61" s="47"/>
      <c r="AP61" s="47"/>
      <c r="AQ61" s="47"/>
      <c r="AR61" s="47"/>
      <c r="AS61" s="47"/>
      <c r="AT61" s="47"/>
      <c r="AU61" s="47"/>
      <c r="AV61" s="47"/>
      <c r="AW61" s="47"/>
      <c r="AX61" s="47"/>
    </row>
    <row r="62" spans="1:50" ht="39.950000000000003" customHeight="1" x14ac:dyDescent="0.25">
      <c r="A62" s="558" t="s">
        <v>593</v>
      </c>
      <c r="B62" s="564" t="s">
        <v>84</v>
      </c>
      <c r="C62" s="564" t="s">
        <v>591</v>
      </c>
      <c r="D62" s="616" t="s">
        <v>594</v>
      </c>
      <c r="E62" s="242" t="s">
        <v>580</v>
      </c>
      <c r="F62" s="174">
        <v>0.9</v>
      </c>
      <c r="G62" s="174">
        <v>0.9</v>
      </c>
      <c r="H62" s="174">
        <v>0.9</v>
      </c>
      <c r="I62" s="174">
        <v>0.9</v>
      </c>
      <c r="J62" s="174">
        <v>0.9</v>
      </c>
      <c r="K62" s="174">
        <v>0.9</v>
      </c>
      <c r="L62" s="174">
        <v>0.9</v>
      </c>
      <c r="M62" s="174">
        <v>0.9</v>
      </c>
      <c r="N62" s="174">
        <v>0.9</v>
      </c>
      <c r="O62" s="174">
        <v>0.9</v>
      </c>
      <c r="P62" s="174">
        <v>0.9</v>
      </c>
      <c r="Q62" s="174">
        <v>0.9</v>
      </c>
      <c r="R62" s="174">
        <v>0.9</v>
      </c>
      <c r="S62" s="174">
        <v>0.9</v>
      </c>
      <c r="T62" s="174">
        <v>0.9</v>
      </c>
      <c r="U62" s="174">
        <v>0.9</v>
      </c>
      <c r="V62" s="174">
        <v>0.9</v>
      </c>
      <c r="W62" s="174">
        <v>0.9</v>
      </c>
      <c r="X62" s="174">
        <v>0.9</v>
      </c>
      <c r="Y62" s="174">
        <v>0.9</v>
      </c>
      <c r="Z62" s="174">
        <v>0.9</v>
      </c>
      <c r="AA62" s="174">
        <v>0.9</v>
      </c>
      <c r="AB62" s="174">
        <v>0.9</v>
      </c>
      <c r="AC62" s="175">
        <v>0.9</v>
      </c>
      <c r="AE62" s="47"/>
      <c r="AF62" s="47"/>
      <c r="AG62" s="47"/>
      <c r="AH62" s="47"/>
      <c r="AI62" s="47"/>
      <c r="AJ62" s="47"/>
      <c r="AK62" s="47"/>
      <c r="AL62" s="47"/>
      <c r="AM62" s="47"/>
      <c r="AN62" s="47"/>
      <c r="AO62" s="47"/>
      <c r="AP62" s="47"/>
      <c r="AQ62" s="47"/>
      <c r="AR62" s="47"/>
      <c r="AS62" s="47"/>
      <c r="AT62" s="47"/>
      <c r="AU62" s="47"/>
      <c r="AV62" s="47"/>
      <c r="AW62" s="47"/>
      <c r="AX62" s="47"/>
    </row>
    <row r="63" spans="1:50" ht="39.950000000000003" customHeight="1" x14ac:dyDescent="0.25">
      <c r="A63" s="556"/>
      <c r="B63" s="565"/>
      <c r="C63" s="565"/>
      <c r="D63" s="617"/>
      <c r="E63" s="243" t="s">
        <v>581</v>
      </c>
      <c r="F63" s="176">
        <v>0.9</v>
      </c>
      <c r="G63" s="176">
        <v>0.9</v>
      </c>
      <c r="H63" s="176">
        <v>0.9</v>
      </c>
      <c r="I63" s="176">
        <v>0.9</v>
      </c>
      <c r="J63" s="176">
        <v>0.9</v>
      </c>
      <c r="K63" s="176">
        <v>0.9</v>
      </c>
      <c r="L63" s="176">
        <v>0.9</v>
      </c>
      <c r="M63" s="176">
        <v>0.9</v>
      </c>
      <c r="N63" s="176">
        <v>0.9</v>
      </c>
      <c r="O63" s="176">
        <v>0.9</v>
      </c>
      <c r="P63" s="176">
        <v>0.9</v>
      </c>
      <c r="Q63" s="176">
        <v>0.9</v>
      </c>
      <c r="R63" s="176">
        <v>0.9</v>
      </c>
      <c r="S63" s="176">
        <v>0.9</v>
      </c>
      <c r="T63" s="176">
        <v>0.9</v>
      </c>
      <c r="U63" s="176">
        <v>0.9</v>
      </c>
      <c r="V63" s="176">
        <v>0.9</v>
      </c>
      <c r="W63" s="176">
        <v>0.9</v>
      </c>
      <c r="X63" s="176">
        <v>0.9</v>
      </c>
      <c r="Y63" s="176">
        <v>0.9</v>
      </c>
      <c r="Z63" s="176">
        <v>0.9</v>
      </c>
      <c r="AA63" s="176">
        <v>0.9</v>
      </c>
      <c r="AB63" s="176">
        <v>0.9</v>
      </c>
      <c r="AC63" s="177">
        <v>0.9</v>
      </c>
      <c r="AE63" s="47"/>
      <c r="AF63" s="47"/>
      <c r="AG63" s="47"/>
      <c r="AH63" s="47"/>
      <c r="AI63" s="47"/>
      <c r="AJ63" s="47"/>
      <c r="AK63" s="47"/>
      <c r="AL63" s="47"/>
      <c r="AM63" s="47"/>
      <c r="AN63" s="47"/>
      <c r="AO63" s="47"/>
      <c r="AP63" s="47"/>
      <c r="AQ63" s="47"/>
      <c r="AR63" s="47"/>
      <c r="AS63" s="47"/>
      <c r="AT63" s="47"/>
      <c r="AU63" s="47"/>
      <c r="AV63" s="47"/>
      <c r="AW63" s="47"/>
      <c r="AX63" s="47"/>
    </row>
    <row r="64" spans="1:50" ht="39.950000000000003" customHeight="1" thickBot="1" x14ac:dyDescent="0.3">
      <c r="A64" s="559"/>
      <c r="B64" s="566"/>
      <c r="C64" s="566"/>
      <c r="D64" s="618"/>
      <c r="E64" s="244" t="s">
        <v>582</v>
      </c>
      <c r="F64" s="178">
        <v>0.9</v>
      </c>
      <c r="G64" s="178">
        <v>0.9</v>
      </c>
      <c r="H64" s="178">
        <v>0.9</v>
      </c>
      <c r="I64" s="178">
        <v>0.9</v>
      </c>
      <c r="J64" s="178">
        <v>0.9</v>
      </c>
      <c r="K64" s="178">
        <v>0.9</v>
      </c>
      <c r="L64" s="178">
        <v>0.9</v>
      </c>
      <c r="M64" s="178">
        <v>0.9</v>
      </c>
      <c r="N64" s="178">
        <v>0.9</v>
      </c>
      <c r="O64" s="178">
        <v>0.9</v>
      </c>
      <c r="P64" s="178">
        <v>0.9</v>
      </c>
      <c r="Q64" s="178">
        <v>0.9</v>
      </c>
      <c r="R64" s="178">
        <v>0.9</v>
      </c>
      <c r="S64" s="178">
        <v>0.9</v>
      </c>
      <c r="T64" s="178">
        <v>0.9</v>
      </c>
      <c r="U64" s="178">
        <v>0.9</v>
      </c>
      <c r="V64" s="178">
        <v>0.9</v>
      </c>
      <c r="W64" s="178">
        <v>0.9</v>
      </c>
      <c r="X64" s="178">
        <v>0.9</v>
      </c>
      <c r="Y64" s="178">
        <v>0.9</v>
      </c>
      <c r="Z64" s="178">
        <v>0.9</v>
      </c>
      <c r="AA64" s="178">
        <v>0.9</v>
      </c>
      <c r="AB64" s="178">
        <v>0.9</v>
      </c>
      <c r="AC64" s="179">
        <v>0.9</v>
      </c>
      <c r="AE64" s="47"/>
      <c r="AF64" s="47"/>
      <c r="AG64" s="47"/>
      <c r="AH64" s="47"/>
      <c r="AI64" s="47"/>
      <c r="AJ64" s="47"/>
      <c r="AK64" s="47"/>
      <c r="AL64" s="47"/>
      <c r="AM64" s="47"/>
      <c r="AN64" s="47"/>
      <c r="AO64" s="47"/>
      <c r="AP64" s="47"/>
      <c r="AQ64" s="47"/>
      <c r="AR64" s="47"/>
      <c r="AS64" s="47"/>
      <c r="AT64" s="47"/>
      <c r="AU64" s="47"/>
      <c r="AV64" s="47"/>
      <c r="AW64" s="47"/>
      <c r="AX64" s="47"/>
    </row>
    <row r="65" spans="1:56" ht="29.25" customHeight="1" thickBot="1" x14ac:dyDescent="0.3">
      <c r="A65" s="567" t="s">
        <v>105</v>
      </c>
      <c r="B65" s="568"/>
      <c r="C65" s="568"/>
      <c r="D65" s="568"/>
      <c r="E65" s="568"/>
      <c r="F65" s="568"/>
      <c r="G65" s="568"/>
      <c r="H65" s="568"/>
      <c r="I65" s="568"/>
      <c r="J65" s="568"/>
      <c r="K65" s="568"/>
      <c r="L65" s="568"/>
      <c r="M65" s="568"/>
      <c r="N65" s="568"/>
      <c r="O65" s="568"/>
      <c r="P65" s="568"/>
      <c r="Q65" s="568"/>
      <c r="R65" s="568"/>
      <c r="S65" s="568"/>
      <c r="T65" s="568"/>
      <c r="U65" s="568"/>
      <c r="V65" s="568"/>
      <c r="W65" s="568"/>
      <c r="X65" s="568"/>
      <c r="Y65" s="568"/>
      <c r="Z65" s="568"/>
      <c r="AA65" s="568"/>
      <c r="AB65" s="568"/>
      <c r="AC65" s="569"/>
      <c r="AD65" s="47"/>
      <c r="AE65" s="47"/>
      <c r="AF65" s="47"/>
      <c r="AG65" s="47"/>
      <c r="AH65" s="47"/>
      <c r="AI65" s="47"/>
      <c r="AJ65" s="47"/>
      <c r="AK65" s="47"/>
      <c r="AL65" s="47"/>
      <c r="AM65" s="47"/>
      <c r="AN65" s="47"/>
      <c r="AO65" s="47"/>
      <c r="AP65" s="47"/>
      <c r="AQ65" s="47"/>
      <c r="AR65" s="47"/>
      <c r="AS65" s="47"/>
      <c r="AT65" s="47"/>
      <c r="AU65" s="47"/>
      <c r="AV65" s="47"/>
      <c r="AW65" s="47"/>
      <c r="AX65" s="47"/>
    </row>
    <row r="66" spans="1:56" ht="25.15" customHeight="1" x14ac:dyDescent="0.25">
      <c r="A66" s="514" t="s">
        <v>105</v>
      </c>
      <c r="B66" s="622" t="s">
        <v>105</v>
      </c>
      <c r="C66" s="517" t="s">
        <v>578</v>
      </c>
      <c r="D66" s="547" t="s">
        <v>595</v>
      </c>
      <c r="E66" s="242" t="s">
        <v>580</v>
      </c>
      <c r="F66" s="174">
        <v>0</v>
      </c>
      <c r="G66" s="174">
        <v>0</v>
      </c>
      <c r="H66" s="174">
        <v>0</v>
      </c>
      <c r="I66" s="174">
        <v>0</v>
      </c>
      <c r="J66" s="174">
        <v>0</v>
      </c>
      <c r="K66" s="174">
        <v>0</v>
      </c>
      <c r="L66" s="174">
        <v>0</v>
      </c>
      <c r="M66" s="174">
        <v>0.1</v>
      </c>
      <c r="N66" s="174">
        <v>0.2</v>
      </c>
      <c r="O66" s="174">
        <v>0.5</v>
      </c>
      <c r="P66" s="174">
        <v>0.5</v>
      </c>
      <c r="Q66" s="174">
        <v>0.7</v>
      </c>
      <c r="R66" s="174">
        <v>0.7</v>
      </c>
      <c r="S66" s="174">
        <v>0.7</v>
      </c>
      <c r="T66" s="174">
        <v>0.7</v>
      </c>
      <c r="U66" s="174">
        <v>0.8</v>
      </c>
      <c r="V66" s="174">
        <v>0.7</v>
      </c>
      <c r="W66" s="174">
        <v>0.5</v>
      </c>
      <c r="X66" s="174">
        <v>0.5</v>
      </c>
      <c r="Y66" s="174">
        <v>0.3</v>
      </c>
      <c r="Z66" s="174">
        <v>0.3</v>
      </c>
      <c r="AA66" s="174">
        <v>0</v>
      </c>
      <c r="AB66" s="174">
        <v>0</v>
      </c>
      <c r="AC66" s="175">
        <v>0</v>
      </c>
      <c r="AD66" s="47"/>
      <c r="AE66" s="47"/>
      <c r="AF66" s="47"/>
      <c r="AG66" s="47"/>
      <c r="AH66" s="47"/>
      <c r="AI66" s="47"/>
      <c r="AJ66" s="47"/>
      <c r="AK66" s="47"/>
      <c r="AL66" s="45"/>
      <c r="AM66" s="45"/>
      <c r="AN66" s="45"/>
      <c r="AO66" s="45"/>
      <c r="AP66" s="45"/>
      <c r="AQ66" s="45"/>
      <c r="AR66" s="45"/>
      <c r="AS66" s="45"/>
      <c r="AT66" s="45"/>
      <c r="AU66" s="45"/>
      <c r="AV66" s="45"/>
      <c r="AW66" s="45"/>
      <c r="AX66" s="45"/>
      <c r="AY66" s="45"/>
      <c r="AZ66" s="45"/>
      <c r="BA66" s="45"/>
      <c r="BB66" s="45"/>
      <c r="BC66" s="45"/>
      <c r="BD66" s="45"/>
    </row>
    <row r="67" spans="1:56" ht="33" customHeight="1" x14ac:dyDescent="0.25">
      <c r="A67" s="515"/>
      <c r="B67" s="518"/>
      <c r="C67" s="518"/>
      <c r="D67" s="548"/>
      <c r="E67" s="243" t="s">
        <v>581</v>
      </c>
      <c r="F67" s="176">
        <v>0</v>
      </c>
      <c r="G67" s="176">
        <v>0</v>
      </c>
      <c r="H67" s="176">
        <v>0</v>
      </c>
      <c r="I67" s="176">
        <v>0</v>
      </c>
      <c r="J67" s="176">
        <v>0</v>
      </c>
      <c r="K67" s="176">
        <v>0</v>
      </c>
      <c r="L67" s="176">
        <v>0</v>
      </c>
      <c r="M67" s="176">
        <v>0.1</v>
      </c>
      <c r="N67" s="176">
        <v>0.2</v>
      </c>
      <c r="O67" s="176">
        <v>0.5</v>
      </c>
      <c r="P67" s="176">
        <v>0.6</v>
      </c>
      <c r="Q67" s="176">
        <v>0.8</v>
      </c>
      <c r="R67" s="176">
        <v>0.8</v>
      </c>
      <c r="S67" s="176">
        <v>0.8</v>
      </c>
      <c r="T67" s="176">
        <v>0.8</v>
      </c>
      <c r="U67" s="176">
        <v>0.8</v>
      </c>
      <c r="V67" s="176">
        <v>0.8</v>
      </c>
      <c r="W67" s="176">
        <v>0.6</v>
      </c>
      <c r="X67" s="176">
        <v>0.2</v>
      </c>
      <c r="Y67" s="176">
        <v>0.2</v>
      </c>
      <c r="Z67" s="176">
        <v>0.2</v>
      </c>
      <c r="AA67" s="176">
        <v>0.1</v>
      </c>
      <c r="AB67" s="176">
        <v>0</v>
      </c>
      <c r="AC67" s="177">
        <v>0</v>
      </c>
      <c r="AD67" s="47"/>
      <c r="AE67" s="47"/>
      <c r="AF67" s="47"/>
      <c r="AG67" s="47"/>
      <c r="AH67" s="47"/>
      <c r="AI67" s="47"/>
      <c r="AJ67" s="47"/>
      <c r="AK67" s="47"/>
      <c r="AL67" s="45"/>
      <c r="AM67" s="45"/>
      <c r="AN67" s="45"/>
      <c r="AO67" s="45"/>
      <c r="AP67" s="45"/>
      <c r="AQ67" s="45"/>
      <c r="AR67" s="45"/>
      <c r="AS67" s="45"/>
      <c r="AT67" s="45"/>
      <c r="AU67" s="45"/>
      <c r="AV67" s="45"/>
      <c r="AW67" s="45"/>
      <c r="AX67" s="45"/>
      <c r="AY67" s="45"/>
      <c r="AZ67" s="45"/>
      <c r="BA67" s="45"/>
      <c r="BB67" s="45"/>
      <c r="BC67" s="45"/>
      <c r="BD67" s="45"/>
    </row>
    <row r="68" spans="1:56" ht="33" customHeight="1" thickBot="1" x14ac:dyDescent="0.3">
      <c r="A68" s="621"/>
      <c r="B68" s="623"/>
      <c r="C68" s="623"/>
      <c r="D68" s="549"/>
      <c r="E68" s="244" t="s">
        <v>582</v>
      </c>
      <c r="F68" s="178">
        <v>0</v>
      </c>
      <c r="G68" s="178">
        <v>0</v>
      </c>
      <c r="H68" s="178">
        <v>0</v>
      </c>
      <c r="I68" s="178">
        <v>0</v>
      </c>
      <c r="J68" s="178">
        <v>0</v>
      </c>
      <c r="K68" s="178">
        <v>0</v>
      </c>
      <c r="L68" s="178">
        <v>0</v>
      </c>
      <c r="M68" s="178">
        <v>0</v>
      </c>
      <c r="N68" s="178">
        <v>0</v>
      </c>
      <c r="O68" s="178">
        <v>0.1</v>
      </c>
      <c r="P68" s="178">
        <v>0.2</v>
      </c>
      <c r="Q68" s="178">
        <v>0.2</v>
      </c>
      <c r="R68" s="178">
        <v>0.4</v>
      </c>
      <c r="S68" s="178">
        <v>0.4</v>
      </c>
      <c r="T68" s="178">
        <v>0.4</v>
      </c>
      <c r="U68" s="178">
        <v>0.4</v>
      </c>
      <c r="V68" s="178">
        <v>0.4</v>
      </c>
      <c r="W68" s="178">
        <v>0.2</v>
      </c>
      <c r="X68" s="178">
        <v>0.1</v>
      </c>
      <c r="Y68" s="178">
        <v>0</v>
      </c>
      <c r="Z68" s="178">
        <v>0</v>
      </c>
      <c r="AA68" s="178">
        <v>0</v>
      </c>
      <c r="AB68" s="178">
        <v>0</v>
      </c>
      <c r="AC68" s="179">
        <v>0</v>
      </c>
      <c r="AD68" s="47"/>
      <c r="AE68" s="47"/>
      <c r="AF68" s="47"/>
      <c r="AG68" s="47"/>
      <c r="AH68" s="47"/>
      <c r="AI68" s="47"/>
      <c r="AJ68" s="47"/>
      <c r="AK68" s="47"/>
      <c r="AL68" s="45"/>
      <c r="AM68" s="45"/>
      <c r="AN68" s="45"/>
      <c r="AO68" s="45"/>
      <c r="AP68" s="45"/>
      <c r="AQ68" s="45"/>
      <c r="AR68" s="45"/>
      <c r="AS68" s="45"/>
      <c r="AT68" s="45"/>
      <c r="AU68" s="45"/>
      <c r="AV68" s="45"/>
      <c r="AW68" s="45"/>
      <c r="AX68" s="45"/>
      <c r="AY68" s="45"/>
      <c r="AZ68" s="45"/>
      <c r="BA68" s="45"/>
      <c r="BB68" s="45"/>
      <c r="BC68" s="45"/>
      <c r="BD68" s="45"/>
    </row>
    <row r="69" spans="1:56" ht="38.65" customHeight="1" x14ac:dyDescent="0.25">
      <c r="A69" s="526" t="str">
        <f>A66</f>
        <v>Retail</v>
      </c>
      <c r="B69" s="533" t="str">
        <f>B66</f>
        <v>Retail</v>
      </c>
      <c r="C69" s="533" t="s">
        <v>583</v>
      </c>
      <c r="D69" s="536" t="s">
        <v>595</v>
      </c>
      <c r="E69" s="375" t="s">
        <v>580</v>
      </c>
      <c r="F69" s="376">
        <v>0.05</v>
      </c>
      <c r="G69" s="298">
        <v>0.05</v>
      </c>
      <c r="H69" s="298">
        <v>0.05</v>
      </c>
      <c r="I69" s="298">
        <v>0.05</v>
      </c>
      <c r="J69" s="298">
        <v>0.05</v>
      </c>
      <c r="K69" s="298">
        <v>0.05</v>
      </c>
      <c r="L69" s="298">
        <v>0.05</v>
      </c>
      <c r="M69" s="298">
        <v>0.2</v>
      </c>
      <c r="N69" s="298">
        <v>0.5</v>
      </c>
      <c r="O69" s="298">
        <v>0.85</v>
      </c>
      <c r="P69" s="298">
        <v>0.85</v>
      </c>
      <c r="Q69" s="298">
        <v>0.85</v>
      </c>
      <c r="R69" s="298">
        <v>0.85</v>
      </c>
      <c r="S69" s="298">
        <v>0.85</v>
      </c>
      <c r="T69" s="298">
        <v>0.85</v>
      </c>
      <c r="U69" s="298">
        <v>0.85</v>
      </c>
      <c r="V69" s="298">
        <v>0.85</v>
      </c>
      <c r="W69" s="298">
        <v>0.85</v>
      </c>
      <c r="X69" s="298">
        <v>0.55000000000000004</v>
      </c>
      <c r="Y69" s="298">
        <v>0.55000000000000004</v>
      </c>
      <c r="Z69" s="298">
        <v>0.5</v>
      </c>
      <c r="AA69" s="298">
        <v>0.2</v>
      </c>
      <c r="AB69" s="298">
        <v>0.05</v>
      </c>
      <c r="AC69" s="299">
        <v>0.05</v>
      </c>
      <c r="AD69" s="47"/>
      <c r="AE69" s="47"/>
      <c r="AF69" s="47"/>
      <c r="AG69" s="47"/>
      <c r="AH69" s="47"/>
      <c r="AI69" s="47"/>
      <c r="AJ69" s="47"/>
      <c r="AK69" s="47"/>
      <c r="AL69" s="45"/>
      <c r="AM69" s="300"/>
      <c r="AN69" s="45"/>
      <c r="AO69" s="45"/>
      <c r="AP69" s="45"/>
      <c r="AQ69" s="45"/>
      <c r="AR69" s="45"/>
      <c r="AS69" s="45"/>
      <c r="AT69" s="45"/>
      <c r="AU69" s="45"/>
      <c r="AV69" s="45"/>
      <c r="AW69" s="45"/>
      <c r="AX69" s="45"/>
      <c r="AY69" s="45"/>
      <c r="AZ69" s="45"/>
      <c r="BA69" s="45"/>
      <c r="BB69" s="45"/>
      <c r="BC69" s="45"/>
      <c r="BD69" s="45"/>
    </row>
    <row r="70" spans="1:56" ht="38.65" customHeight="1" x14ac:dyDescent="0.25">
      <c r="A70" s="527"/>
      <c r="B70" s="534"/>
      <c r="C70" s="534"/>
      <c r="D70" s="537"/>
      <c r="E70" s="377" t="s">
        <v>581</v>
      </c>
      <c r="F70" s="378">
        <v>0.05</v>
      </c>
      <c r="G70" s="301">
        <v>0.05</v>
      </c>
      <c r="H70" s="301">
        <v>0.05</v>
      </c>
      <c r="I70" s="301">
        <v>0.05</v>
      </c>
      <c r="J70" s="301">
        <v>0.05</v>
      </c>
      <c r="K70" s="301">
        <v>0.05</v>
      </c>
      <c r="L70" s="301">
        <v>0.05</v>
      </c>
      <c r="M70" s="301">
        <v>0.1</v>
      </c>
      <c r="N70" s="301">
        <v>0.3</v>
      </c>
      <c r="O70" s="301">
        <v>0.55000000000000004</v>
      </c>
      <c r="P70" s="301">
        <v>0.85</v>
      </c>
      <c r="Q70" s="301">
        <v>0.85</v>
      </c>
      <c r="R70" s="301">
        <v>0.85</v>
      </c>
      <c r="S70" s="301">
        <v>0.85</v>
      </c>
      <c r="T70" s="301">
        <v>0.85</v>
      </c>
      <c r="U70" s="301">
        <v>0.85</v>
      </c>
      <c r="V70" s="301">
        <v>0.85</v>
      </c>
      <c r="W70" s="301">
        <v>0.85</v>
      </c>
      <c r="X70" s="301">
        <v>0.5</v>
      </c>
      <c r="Y70" s="301">
        <v>0.3</v>
      </c>
      <c r="Z70" s="301">
        <v>0.3</v>
      </c>
      <c r="AA70" s="301">
        <v>0.1</v>
      </c>
      <c r="AB70" s="301">
        <v>0.05</v>
      </c>
      <c r="AC70" s="302">
        <v>0.05</v>
      </c>
      <c r="AD70" s="47"/>
      <c r="AE70" s="47"/>
      <c r="AF70" s="47"/>
      <c r="AG70" s="47"/>
      <c r="AH70" s="47"/>
      <c r="AI70" s="47"/>
      <c r="AJ70" s="47"/>
      <c r="AK70" s="47"/>
      <c r="AL70" s="45"/>
      <c r="AM70" s="300"/>
      <c r="AN70" s="45"/>
      <c r="AO70" s="45"/>
      <c r="AP70" s="45"/>
      <c r="AQ70" s="45"/>
      <c r="AR70" s="45"/>
      <c r="AS70" s="45"/>
      <c r="AT70" s="45"/>
      <c r="AU70" s="45"/>
      <c r="AV70" s="45"/>
      <c r="AW70" s="45"/>
      <c r="AX70" s="45"/>
      <c r="AY70" s="45"/>
      <c r="AZ70" s="45"/>
      <c r="BA70" s="45"/>
      <c r="BB70" s="45"/>
      <c r="BC70" s="45"/>
      <c r="BD70" s="45"/>
    </row>
    <row r="71" spans="1:56" ht="38.65" customHeight="1" thickBot="1" x14ac:dyDescent="0.3">
      <c r="A71" s="528"/>
      <c r="B71" s="535"/>
      <c r="C71" s="535"/>
      <c r="D71" s="538"/>
      <c r="E71" s="379" t="s">
        <v>582</v>
      </c>
      <c r="F71" s="380">
        <v>0.05</v>
      </c>
      <c r="G71" s="303">
        <v>0.05</v>
      </c>
      <c r="H71" s="303">
        <v>0.05</v>
      </c>
      <c r="I71" s="303">
        <v>0.05</v>
      </c>
      <c r="J71" s="303">
        <v>0.05</v>
      </c>
      <c r="K71" s="303">
        <v>0.05</v>
      </c>
      <c r="L71" s="303">
        <v>0.05</v>
      </c>
      <c r="M71" s="303">
        <v>0.05</v>
      </c>
      <c r="N71" s="303">
        <v>0.1</v>
      </c>
      <c r="O71" s="303">
        <v>0.1</v>
      </c>
      <c r="P71" s="303">
        <v>0.4</v>
      </c>
      <c r="Q71" s="303">
        <v>0.4</v>
      </c>
      <c r="R71" s="303">
        <v>0.55000000000000004</v>
      </c>
      <c r="S71" s="303">
        <v>0.55000000000000004</v>
      </c>
      <c r="T71" s="303">
        <v>0.55000000000000004</v>
      </c>
      <c r="U71" s="303">
        <v>0.55000000000000004</v>
      </c>
      <c r="V71" s="303">
        <v>0.55000000000000004</v>
      </c>
      <c r="W71" s="303">
        <v>0.4</v>
      </c>
      <c r="X71" s="303">
        <v>0.2</v>
      </c>
      <c r="Y71" s="303">
        <v>0.05</v>
      </c>
      <c r="Z71" s="303">
        <v>0.05</v>
      </c>
      <c r="AA71" s="303">
        <v>0.05</v>
      </c>
      <c r="AB71" s="303">
        <v>0.05</v>
      </c>
      <c r="AC71" s="304">
        <v>0.05</v>
      </c>
      <c r="AD71" s="47"/>
      <c r="AE71" s="47"/>
      <c r="AF71" s="47"/>
      <c r="AG71" s="47"/>
      <c r="AH71" s="47"/>
      <c r="AI71" s="47"/>
      <c r="AJ71" s="47"/>
      <c r="AK71" s="47"/>
      <c r="AL71" s="45"/>
      <c r="AM71" s="300"/>
      <c r="AN71" s="45"/>
      <c r="AO71" s="45"/>
      <c r="AP71" s="45"/>
      <c r="AQ71" s="45"/>
      <c r="AR71" s="45"/>
      <c r="AS71" s="45"/>
      <c r="AT71" s="45"/>
      <c r="AU71" s="45"/>
      <c r="AV71" s="45"/>
      <c r="AW71" s="45"/>
      <c r="AX71" s="45"/>
      <c r="AY71" s="45"/>
      <c r="AZ71" s="45"/>
      <c r="BA71" s="45"/>
      <c r="BB71" s="45"/>
      <c r="BC71" s="45"/>
      <c r="BD71" s="45"/>
    </row>
    <row r="72" spans="1:56" ht="36" customHeight="1" x14ac:dyDescent="0.25">
      <c r="A72" s="526" t="str">
        <f>A66</f>
        <v>Retail</v>
      </c>
      <c r="B72" s="533" t="str">
        <f>B66</f>
        <v>Retail</v>
      </c>
      <c r="C72" s="520" t="s">
        <v>584</v>
      </c>
      <c r="D72" s="536" t="s">
        <v>555</v>
      </c>
      <c r="E72" s="381" t="s">
        <v>580</v>
      </c>
      <c r="F72" s="382">
        <v>0.4</v>
      </c>
      <c r="G72" s="305">
        <v>0.4</v>
      </c>
      <c r="H72" s="305">
        <v>0.4</v>
      </c>
      <c r="I72" s="305">
        <v>0.4</v>
      </c>
      <c r="J72" s="305">
        <v>0.4</v>
      </c>
      <c r="K72" s="305">
        <v>0.4</v>
      </c>
      <c r="L72" s="305">
        <v>0.6</v>
      </c>
      <c r="M72" s="305">
        <v>0.6</v>
      </c>
      <c r="N72" s="305">
        <v>0.9</v>
      </c>
      <c r="O72" s="305">
        <v>0.9</v>
      </c>
      <c r="P72" s="305">
        <v>0.9</v>
      </c>
      <c r="Q72" s="305">
        <v>0.9</v>
      </c>
      <c r="R72" s="305">
        <v>0.9</v>
      </c>
      <c r="S72" s="305">
        <v>0.9</v>
      </c>
      <c r="T72" s="305">
        <v>0.9</v>
      </c>
      <c r="U72" s="305">
        <v>0.9</v>
      </c>
      <c r="V72" s="305">
        <v>0.9</v>
      </c>
      <c r="W72" s="305">
        <v>0.9</v>
      </c>
      <c r="X72" s="305">
        <v>0.9</v>
      </c>
      <c r="Y72" s="305">
        <v>0.6</v>
      </c>
      <c r="Z72" s="305">
        <v>0.6</v>
      </c>
      <c r="AA72" s="305">
        <v>0.4</v>
      </c>
      <c r="AB72" s="305">
        <v>0.4</v>
      </c>
      <c r="AC72" s="306">
        <v>0.4</v>
      </c>
      <c r="AD72" s="297"/>
      <c r="AE72" s="47"/>
      <c r="AF72" s="47"/>
      <c r="AG72" s="47"/>
      <c r="AH72" s="47"/>
      <c r="AI72" s="47"/>
      <c r="AJ72" s="47"/>
      <c r="AK72" s="47"/>
      <c r="AL72" s="45"/>
      <c r="AM72" s="300"/>
      <c r="AN72" s="45"/>
      <c r="AO72" s="45"/>
      <c r="AP72" s="45"/>
      <c r="AQ72" s="45"/>
      <c r="AR72" s="45"/>
      <c r="AS72" s="45"/>
      <c r="AT72" s="45"/>
      <c r="AU72" s="45"/>
      <c r="AV72" s="45"/>
      <c r="AW72" s="45"/>
      <c r="AX72" s="45"/>
      <c r="AY72" s="45"/>
      <c r="AZ72" s="45"/>
      <c r="BA72" s="45"/>
      <c r="BB72" s="45"/>
      <c r="BC72" s="45"/>
      <c r="BD72" s="45"/>
    </row>
    <row r="73" spans="1:56" ht="36" customHeight="1" x14ac:dyDescent="0.25">
      <c r="A73" s="527"/>
      <c r="B73" s="534"/>
      <c r="C73" s="540"/>
      <c r="D73" s="537"/>
      <c r="E73" s="377" t="s">
        <v>581</v>
      </c>
      <c r="F73" s="383">
        <v>0.4</v>
      </c>
      <c r="G73" s="176">
        <v>0.4</v>
      </c>
      <c r="H73" s="176">
        <v>0.4</v>
      </c>
      <c r="I73" s="176">
        <v>0.4</v>
      </c>
      <c r="J73" s="176">
        <v>0.4</v>
      </c>
      <c r="K73" s="176">
        <v>0.4</v>
      </c>
      <c r="L73" s="176">
        <v>0.6</v>
      </c>
      <c r="M73" s="176">
        <v>0.6</v>
      </c>
      <c r="N73" s="176">
        <v>0.9</v>
      </c>
      <c r="O73" s="176">
        <v>0.9</v>
      </c>
      <c r="P73" s="176">
        <v>0.9</v>
      </c>
      <c r="Q73" s="176">
        <v>0.9</v>
      </c>
      <c r="R73" s="176">
        <v>0.9</v>
      </c>
      <c r="S73" s="176">
        <v>0.9</v>
      </c>
      <c r="T73" s="176">
        <v>0.9</v>
      </c>
      <c r="U73" s="176">
        <v>0.9</v>
      </c>
      <c r="V73" s="176">
        <v>0.9</v>
      </c>
      <c r="W73" s="176">
        <v>0.9</v>
      </c>
      <c r="X73" s="176">
        <v>0.9</v>
      </c>
      <c r="Y73" s="176">
        <v>0.6</v>
      </c>
      <c r="Z73" s="176">
        <v>0.6</v>
      </c>
      <c r="AA73" s="176">
        <v>0.4</v>
      </c>
      <c r="AB73" s="176">
        <v>0.4</v>
      </c>
      <c r="AC73" s="307">
        <v>0.4</v>
      </c>
      <c r="AD73" s="297"/>
      <c r="AE73" s="47"/>
      <c r="AF73" s="47"/>
      <c r="AG73" s="47"/>
      <c r="AH73" s="47"/>
      <c r="AI73" s="47"/>
      <c r="AJ73" s="47"/>
      <c r="AK73" s="47"/>
      <c r="AL73" s="45"/>
      <c r="AM73" s="300"/>
      <c r="AN73" s="45"/>
      <c r="AO73" s="45"/>
      <c r="AP73" s="45"/>
      <c r="AQ73" s="45"/>
      <c r="AR73" s="45"/>
      <c r="AS73" s="45"/>
      <c r="AT73" s="45"/>
      <c r="AU73" s="45"/>
      <c r="AV73" s="45"/>
      <c r="AW73" s="45"/>
      <c r="AX73" s="45"/>
      <c r="AY73" s="45"/>
      <c r="AZ73" s="45"/>
      <c r="BA73" s="45"/>
      <c r="BB73" s="45"/>
      <c r="BC73" s="45"/>
      <c r="BD73" s="45"/>
    </row>
    <row r="74" spans="1:56" ht="36" customHeight="1" thickBot="1" x14ac:dyDescent="0.3">
      <c r="A74" s="528"/>
      <c r="B74" s="539"/>
      <c r="C74" s="541"/>
      <c r="D74" s="542"/>
      <c r="E74" s="379" t="s">
        <v>582</v>
      </c>
      <c r="F74" s="384">
        <v>0.4</v>
      </c>
      <c r="G74" s="180">
        <v>0.4</v>
      </c>
      <c r="H74" s="180">
        <v>0.4</v>
      </c>
      <c r="I74" s="180">
        <v>0.4</v>
      </c>
      <c r="J74" s="180">
        <v>0.4</v>
      </c>
      <c r="K74" s="180">
        <v>0.4</v>
      </c>
      <c r="L74" s="180">
        <v>0.4</v>
      </c>
      <c r="M74" s="180">
        <v>0.4</v>
      </c>
      <c r="N74" s="180">
        <v>0.6</v>
      </c>
      <c r="O74" s="180">
        <v>0.6</v>
      </c>
      <c r="P74" s="180">
        <v>0.6</v>
      </c>
      <c r="Q74" s="180">
        <v>0.9</v>
      </c>
      <c r="R74" s="180">
        <v>0.9</v>
      </c>
      <c r="S74" s="180">
        <v>0.9</v>
      </c>
      <c r="T74" s="180">
        <v>0.9</v>
      </c>
      <c r="U74" s="180">
        <v>0.9</v>
      </c>
      <c r="V74" s="180">
        <v>0.9</v>
      </c>
      <c r="W74" s="180">
        <v>0.6</v>
      </c>
      <c r="X74" s="180">
        <v>0.6</v>
      </c>
      <c r="Y74" s="180">
        <v>0.4</v>
      </c>
      <c r="Z74" s="180">
        <v>0.4</v>
      </c>
      <c r="AA74" s="180">
        <v>0.4</v>
      </c>
      <c r="AB74" s="180">
        <v>0.4</v>
      </c>
      <c r="AC74" s="308">
        <v>0.4</v>
      </c>
      <c r="AD74" s="297"/>
      <c r="AE74" s="47"/>
      <c r="AF74" s="47"/>
      <c r="AG74" s="47"/>
      <c r="AH74" s="47"/>
      <c r="AI74" s="47"/>
      <c r="AJ74" s="47"/>
      <c r="AK74" s="47"/>
      <c r="AL74" s="45"/>
      <c r="AM74" s="300"/>
      <c r="AN74" s="45"/>
      <c r="AO74" s="45"/>
      <c r="AP74" s="45"/>
      <c r="AQ74" s="45"/>
      <c r="AR74" s="45"/>
      <c r="AS74" s="45"/>
      <c r="AT74" s="45"/>
      <c r="AU74" s="45"/>
      <c r="AV74" s="45"/>
      <c r="AW74" s="45"/>
      <c r="AX74" s="45"/>
      <c r="AY74" s="45"/>
      <c r="AZ74" s="45"/>
      <c r="BA74" s="45"/>
      <c r="BB74" s="45"/>
      <c r="BC74" s="45"/>
      <c r="BD74" s="45"/>
    </row>
    <row r="75" spans="1:56" ht="26.45" customHeight="1" x14ac:dyDescent="0.25">
      <c r="A75" s="526" t="str">
        <f t="shared" ref="A75:B75" si="0">A69</f>
        <v>Retail</v>
      </c>
      <c r="B75" s="533" t="str">
        <f t="shared" si="0"/>
        <v>Retail</v>
      </c>
      <c r="C75" s="520" t="s">
        <v>585</v>
      </c>
      <c r="D75" s="536" t="s">
        <v>595</v>
      </c>
      <c r="E75" s="385" t="s">
        <v>580</v>
      </c>
      <c r="F75" s="386">
        <v>0</v>
      </c>
      <c r="G75" s="310">
        <v>0</v>
      </c>
      <c r="H75" s="310">
        <v>0</v>
      </c>
      <c r="I75" s="310">
        <v>0</v>
      </c>
      <c r="J75" s="310">
        <v>0</v>
      </c>
      <c r="K75" s="310">
        <v>0</v>
      </c>
      <c r="L75" s="310">
        <v>1</v>
      </c>
      <c r="M75" s="310">
        <v>1</v>
      </c>
      <c r="N75" s="310">
        <v>1</v>
      </c>
      <c r="O75" s="310">
        <v>1</v>
      </c>
      <c r="P75" s="310">
        <v>1</v>
      </c>
      <c r="Q75" s="310">
        <v>1</v>
      </c>
      <c r="R75" s="310">
        <v>1</v>
      </c>
      <c r="S75" s="310">
        <v>1</v>
      </c>
      <c r="T75" s="310">
        <v>1</v>
      </c>
      <c r="U75" s="310">
        <v>1</v>
      </c>
      <c r="V75" s="310">
        <v>1</v>
      </c>
      <c r="W75" s="310">
        <v>1</v>
      </c>
      <c r="X75" s="310">
        <v>1</v>
      </c>
      <c r="Y75" s="310">
        <v>1</v>
      </c>
      <c r="Z75" s="310">
        <v>1</v>
      </c>
      <c r="AA75" s="310">
        <v>0</v>
      </c>
      <c r="AB75" s="310">
        <v>0</v>
      </c>
      <c r="AC75" s="311">
        <v>0</v>
      </c>
      <c r="AD75" s="45"/>
      <c r="AE75" s="45"/>
      <c r="AL75" s="45"/>
      <c r="AM75" s="45"/>
      <c r="AN75" s="45"/>
      <c r="AO75" s="45"/>
      <c r="AP75" s="45"/>
      <c r="AQ75" s="45"/>
      <c r="AR75" s="45"/>
      <c r="AS75" s="45"/>
      <c r="AT75" s="45"/>
      <c r="AU75" s="45"/>
      <c r="AV75" s="45"/>
      <c r="AW75" s="45"/>
      <c r="AX75" s="45"/>
      <c r="AY75" s="45"/>
      <c r="AZ75" s="45"/>
      <c r="BA75" s="45"/>
      <c r="BB75" s="45"/>
      <c r="BC75" s="45"/>
      <c r="BD75" s="45"/>
    </row>
    <row r="76" spans="1:56" ht="26.45" customHeight="1" x14ac:dyDescent="0.25">
      <c r="A76" s="527"/>
      <c r="B76" s="534"/>
      <c r="C76" s="540"/>
      <c r="D76" s="537"/>
      <c r="E76" s="387" t="s">
        <v>581</v>
      </c>
      <c r="F76" s="388">
        <v>0</v>
      </c>
      <c r="G76" s="313">
        <v>0</v>
      </c>
      <c r="H76" s="313">
        <v>0</v>
      </c>
      <c r="I76" s="313">
        <v>0</v>
      </c>
      <c r="J76" s="313">
        <v>0</v>
      </c>
      <c r="K76" s="313">
        <v>0</v>
      </c>
      <c r="L76" s="313">
        <v>1</v>
      </c>
      <c r="M76" s="313">
        <v>1</v>
      </c>
      <c r="N76" s="313">
        <v>1</v>
      </c>
      <c r="O76" s="313">
        <v>1</v>
      </c>
      <c r="P76" s="313">
        <v>1</v>
      </c>
      <c r="Q76" s="313">
        <v>1</v>
      </c>
      <c r="R76" s="313">
        <v>1</v>
      </c>
      <c r="S76" s="313">
        <v>1</v>
      </c>
      <c r="T76" s="313">
        <v>1</v>
      </c>
      <c r="U76" s="313">
        <v>1</v>
      </c>
      <c r="V76" s="313">
        <v>1</v>
      </c>
      <c r="W76" s="313">
        <v>1</v>
      </c>
      <c r="X76" s="313">
        <v>1</v>
      </c>
      <c r="Y76" s="313">
        <v>1</v>
      </c>
      <c r="Z76" s="313">
        <v>1</v>
      </c>
      <c r="AA76" s="313">
        <v>1</v>
      </c>
      <c r="AB76" s="313">
        <v>0</v>
      </c>
      <c r="AC76" s="314">
        <v>0</v>
      </c>
      <c r="AD76" s="45"/>
      <c r="AE76" s="45"/>
      <c r="AL76" s="45"/>
      <c r="AM76" s="45"/>
      <c r="AN76" s="45"/>
      <c r="AO76" s="45"/>
      <c r="AP76" s="45"/>
      <c r="AQ76" s="45"/>
      <c r="AR76" s="45"/>
      <c r="AS76" s="45"/>
      <c r="AT76" s="45"/>
      <c r="AU76" s="45"/>
      <c r="AV76" s="45"/>
      <c r="AW76" s="45"/>
      <c r="AX76" s="45"/>
      <c r="AY76" s="45"/>
      <c r="AZ76" s="45"/>
      <c r="BA76" s="45"/>
      <c r="BB76" s="45"/>
      <c r="BC76" s="45"/>
      <c r="BD76" s="45"/>
    </row>
    <row r="77" spans="1:56" ht="26.45" customHeight="1" thickBot="1" x14ac:dyDescent="0.3">
      <c r="A77" s="528"/>
      <c r="B77" s="539"/>
      <c r="C77" s="543"/>
      <c r="D77" s="538"/>
      <c r="E77" s="389" t="s">
        <v>582</v>
      </c>
      <c r="F77" s="390">
        <v>0</v>
      </c>
      <c r="G77" s="316">
        <v>0</v>
      </c>
      <c r="H77" s="316">
        <v>0</v>
      </c>
      <c r="I77" s="316">
        <v>0</v>
      </c>
      <c r="J77" s="316">
        <v>0</v>
      </c>
      <c r="K77" s="316">
        <v>0</v>
      </c>
      <c r="L77" s="316">
        <v>0</v>
      </c>
      <c r="M77" s="316">
        <v>0</v>
      </c>
      <c r="N77" s="316">
        <v>1</v>
      </c>
      <c r="O77" s="316">
        <v>1</v>
      </c>
      <c r="P77" s="316">
        <v>1</v>
      </c>
      <c r="Q77" s="316">
        <v>1</v>
      </c>
      <c r="R77" s="316">
        <v>1</v>
      </c>
      <c r="S77" s="316">
        <v>1</v>
      </c>
      <c r="T77" s="316">
        <v>1</v>
      </c>
      <c r="U77" s="316">
        <v>1</v>
      </c>
      <c r="V77" s="316">
        <v>1</v>
      </c>
      <c r="W77" s="316">
        <v>1</v>
      </c>
      <c r="X77" s="316">
        <v>1</v>
      </c>
      <c r="Y77" s="316">
        <v>0</v>
      </c>
      <c r="Z77" s="316">
        <v>0</v>
      </c>
      <c r="AA77" s="316">
        <v>0</v>
      </c>
      <c r="AB77" s="316">
        <v>0</v>
      </c>
      <c r="AC77" s="317">
        <v>0</v>
      </c>
      <c r="AD77" s="45"/>
      <c r="AE77" s="45"/>
      <c r="AL77" s="45"/>
      <c r="AM77" s="45"/>
      <c r="AN77" s="45"/>
      <c r="AO77" s="45"/>
      <c r="AP77" s="45"/>
      <c r="AQ77" s="45"/>
      <c r="AR77" s="45"/>
      <c r="AS77" s="45"/>
      <c r="AT77" s="45"/>
      <c r="AU77" s="45"/>
      <c r="AV77" s="45"/>
      <c r="AW77" s="45"/>
      <c r="AX77" s="45"/>
      <c r="AY77" s="45"/>
      <c r="AZ77" s="45"/>
      <c r="BA77" s="45"/>
      <c r="BB77" s="45"/>
      <c r="BC77" s="45"/>
      <c r="BD77" s="45"/>
    </row>
    <row r="78" spans="1:56" ht="26.45" customHeight="1" x14ac:dyDescent="0.25">
      <c r="A78" s="526" t="str">
        <f t="shared" ref="A78:B78" si="1">A72</f>
        <v>Retail</v>
      </c>
      <c r="B78" s="533" t="str">
        <f t="shared" si="1"/>
        <v>Retail</v>
      </c>
      <c r="C78" s="582" t="s">
        <v>587</v>
      </c>
      <c r="D78" s="536" t="s">
        <v>595</v>
      </c>
      <c r="E78" s="385" t="s">
        <v>580</v>
      </c>
      <c r="F78" s="386">
        <v>0.04</v>
      </c>
      <c r="G78" s="310">
        <v>0.05</v>
      </c>
      <c r="H78" s="310">
        <v>0.05</v>
      </c>
      <c r="I78" s="310">
        <v>0.04</v>
      </c>
      <c r="J78" s="310">
        <v>0.04</v>
      </c>
      <c r="K78" s="310">
        <v>0.04</v>
      </c>
      <c r="L78" s="310">
        <v>0.04</v>
      </c>
      <c r="M78" s="310">
        <v>0.15</v>
      </c>
      <c r="N78" s="310">
        <v>0.23</v>
      </c>
      <c r="O78" s="310">
        <v>0.32</v>
      </c>
      <c r="P78" s="310">
        <v>0.41</v>
      </c>
      <c r="Q78" s="310">
        <v>0.56999999999999995</v>
      </c>
      <c r="R78" s="310">
        <v>0.62</v>
      </c>
      <c r="S78" s="310">
        <v>0.61</v>
      </c>
      <c r="T78" s="310">
        <v>0.5</v>
      </c>
      <c r="U78" s="310">
        <v>0.45</v>
      </c>
      <c r="V78" s="310">
        <v>0.46</v>
      </c>
      <c r="W78" s="310">
        <v>0.47</v>
      </c>
      <c r="X78" s="310">
        <v>0.42</v>
      </c>
      <c r="Y78" s="310">
        <v>0.34</v>
      </c>
      <c r="Z78" s="310">
        <v>0.33</v>
      </c>
      <c r="AA78" s="310">
        <v>0.23</v>
      </c>
      <c r="AB78" s="310">
        <v>0.13</v>
      </c>
      <c r="AC78" s="311">
        <v>0.08</v>
      </c>
      <c r="AD78" s="45"/>
      <c r="AE78" s="45"/>
      <c r="AL78" s="45"/>
      <c r="AM78" s="45"/>
      <c r="AN78" s="45"/>
      <c r="AO78" s="45"/>
      <c r="AP78" s="45"/>
      <c r="AQ78" s="45"/>
      <c r="AR78" s="45"/>
      <c r="AS78" s="45"/>
      <c r="AT78" s="45"/>
      <c r="AU78" s="45"/>
      <c r="AV78" s="45"/>
      <c r="AW78" s="45"/>
      <c r="AX78" s="45"/>
      <c r="AY78" s="45"/>
      <c r="AZ78" s="45"/>
      <c r="BA78" s="45"/>
      <c r="BB78" s="45"/>
      <c r="BC78" s="45"/>
      <c r="BD78" s="45"/>
    </row>
    <row r="79" spans="1:56" ht="26.45" customHeight="1" x14ac:dyDescent="0.25">
      <c r="A79" s="527"/>
      <c r="B79" s="534"/>
      <c r="C79" s="582"/>
      <c r="D79" s="537"/>
      <c r="E79" s="387" t="s">
        <v>581</v>
      </c>
      <c r="F79" s="388">
        <v>0.11</v>
      </c>
      <c r="G79" s="313">
        <v>0.1</v>
      </c>
      <c r="H79" s="313">
        <v>0.08</v>
      </c>
      <c r="I79" s="313">
        <v>0.06</v>
      </c>
      <c r="J79" s="313">
        <v>0.06</v>
      </c>
      <c r="K79" s="313">
        <v>0.06</v>
      </c>
      <c r="L79" s="313">
        <v>7.0000000000000007E-2</v>
      </c>
      <c r="M79" s="313">
        <v>0.2</v>
      </c>
      <c r="N79" s="313">
        <v>0.24</v>
      </c>
      <c r="O79" s="313">
        <v>0.27</v>
      </c>
      <c r="P79" s="313">
        <v>0.42</v>
      </c>
      <c r="Q79" s="313">
        <v>0.54</v>
      </c>
      <c r="R79" s="313">
        <v>0.59</v>
      </c>
      <c r="S79" s="313">
        <v>0.6</v>
      </c>
      <c r="T79" s="313">
        <v>0.49</v>
      </c>
      <c r="U79" s="313">
        <v>0.48</v>
      </c>
      <c r="V79" s="313">
        <v>0.47</v>
      </c>
      <c r="W79" s="313">
        <v>0.46</v>
      </c>
      <c r="X79" s="313">
        <v>0.44</v>
      </c>
      <c r="Y79" s="313">
        <v>0.36</v>
      </c>
      <c r="Z79" s="313">
        <v>0.28999999999999998</v>
      </c>
      <c r="AA79" s="313">
        <v>0.22</v>
      </c>
      <c r="AB79" s="313">
        <v>0.16</v>
      </c>
      <c r="AC79" s="314">
        <v>0.13</v>
      </c>
      <c r="AD79" s="45"/>
      <c r="AE79" s="45"/>
      <c r="AL79" s="45"/>
      <c r="AM79" s="45"/>
      <c r="AN79" s="45"/>
      <c r="AO79" s="45"/>
      <c r="AP79" s="45"/>
      <c r="AQ79" s="45"/>
      <c r="AR79" s="45"/>
      <c r="AS79" s="45"/>
      <c r="AT79" s="45"/>
      <c r="AU79" s="45"/>
      <c r="AV79" s="45"/>
      <c r="AW79" s="45"/>
      <c r="AX79" s="45"/>
      <c r="AY79" s="45"/>
      <c r="AZ79" s="45"/>
      <c r="BA79" s="45"/>
      <c r="BB79" s="45"/>
      <c r="BC79" s="45"/>
      <c r="BD79" s="45"/>
    </row>
    <row r="80" spans="1:56" ht="26.45" customHeight="1" thickBot="1" x14ac:dyDescent="0.3">
      <c r="A80" s="528"/>
      <c r="B80" s="539"/>
      <c r="C80" s="582"/>
      <c r="D80" s="538"/>
      <c r="E80" s="389" t="s">
        <v>582</v>
      </c>
      <c r="F80" s="390">
        <v>7.0000000000000007E-2</v>
      </c>
      <c r="G80" s="316">
        <v>7.0000000000000007E-2</v>
      </c>
      <c r="H80" s="316">
        <v>7.0000000000000007E-2</v>
      </c>
      <c r="I80" s="316">
        <v>0.06</v>
      </c>
      <c r="J80" s="316">
        <v>0.06</v>
      </c>
      <c r="K80" s="316">
        <v>0.06</v>
      </c>
      <c r="L80" s="316">
        <v>7.0000000000000007E-2</v>
      </c>
      <c r="M80" s="316">
        <v>0.1</v>
      </c>
      <c r="N80" s="316">
        <v>0.12</v>
      </c>
      <c r="O80" s="316">
        <v>0.14000000000000001</v>
      </c>
      <c r="P80" s="316">
        <v>0.28999999999999998</v>
      </c>
      <c r="Q80" s="316">
        <v>0.31</v>
      </c>
      <c r="R80" s="316">
        <v>0.36</v>
      </c>
      <c r="S80" s="316">
        <v>0.36</v>
      </c>
      <c r="T80" s="316">
        <v>0.34</v>
      </c>
      <c r="U80" s="316">
        <v>0.35</v>
      </c>
      <c r="V80" s="316">
        <v>0.37</v>
      </c>
      <c r="W80" s="316">
        <v>0.34</v>
      </c>
      <c r="X80" s="316">
        <v>0.25</v>
      </c>
      <c r="Y80" s="316">
        <v>0.27</v>
      </c>
      <c r="Z80" s="316">
        <v>0.21</v>
      </c>
      <c r="AA80" s="316">
        <v>0.16</v>
      </c>
      <c r="AB80" s="316">
        <v>0.1</v>
      </c>
      <c r="AC80" s="317">
        <v>0.06</v>
      </c>
      <c r="AD80" s="45"/>
      <c r="AE80" s="45"/>
      <c r="AL80" s="45"/>
      <c r="AM80" s="45"/>
      <c r="AN80" s="45"/>
      <c r="AO80" s="45"/>
      <c r="AP80" s="45"/>
      <c r="AQ80" s="45"/>
      <c r="AR80" s="45"/>
      <c r="AS80" s="45"/>
      <c r="AT80" s="45"/>
      <c r="AU80" s="45"/>
      <c r="AV80" s="45"/>
      <c r="AW80" s="45"/>
      <c r="AX80" s="45"/>
      <c r="AY80" s="45"/>
      <c r="AZ80" s="45"/>
      <c r="BA80" s="45"/>
      <c r="BB80" s="45"/>
      <c r="BC80" s="45"/>
      <c r="BD80" s="45"/>
    </row>
    <row r="81" spans="1:56" ht="26.45" customHeight="1" x14ac:dyDescent="0.25">
      <c r="A81" s="526" t="str">
        <f t="shared" ref="A81:B81" si="2">A75</f>
        <v>Retail</v>
      </c>
      <c r="B81" s="533" t="str">
        <f t="shared" si="2"/>
        <v>Retail</v>
      </c>
      <c r="C81" s="604" t="s">
        <v>352</v>
      </c>
      <c r="D81" s="536" t="s">
        <v>595</v>
      </c>
      <c r="E81" s="385" t="s">
        <v>580</v>
      </c>
      <c r="F81" s="386">
        <v>1</v>
      </c>
      <c r="G81" s="310">
        <v>1</v>
      </c>
      <c r="H81" s="310">
        <v>1</v>
      </c>
      <c r="I81" s="310">
        <v>1</v>
      </c>
      <c r="J81" s="310">
        <v>1</v>
      </c>
      <c r="K81" s="310">
        <v>1</v>
      </c>
      <c r="L81" s="310">
        <v>0.25</v>
      </c>
      <c r="M81" s="310">
        <v>0.25</v>
      </c>
      <c r="N81" s="310">
        <v>0.25</v>
      </c>
      <c r="O81" s="310">
        <v>0.25</v>
      </c>
      <c r="P81" s="310">
        <v>0.25</v>
      </c>
      <c r="Q81" s="310">
        <v>0.25</v>
      </c>
      <c r="R81" s="310">
        <v>0.25</v>
      </c>
      <c r="S81" s="310">
        <v>0.25</v>
      </c>
      <c r="T81" s="310">
        <v>0.25</v>
      </c>
      <c r="U81" s="310">
        <v>0.25</v>
      </c>
      <c r="V81" s="310">
        <v>0.25</v>
      </c>
      <c r="W81" s="310">
        <v>0.25</v>
      </c>
      <c r="X81" s="310">
        <v>0.25</v>
      </c>
      <c r="Y81" s="310">
        <v>0.25</v>
      </c>
      <c r="Z81" s="310">
        <v>0.25</v>
      </c>
      <c r="AA81" s="310">
        <v>1</v>
      </c>
      <c r="AB81" s="310">
        <v>1</v>
      </c>
      <c r="AC81" s="311">
        <v>1</v>
      </c>
      <c r="AD81" s="45"/>
      <c r="AE81" s="45"/>
      <c r="AL81" s="45"/>
      <c r="AM81" s="45"/>
      <c r="AN81" s="45"/>
      <c r="AO81" s="45"/>
      <c r="AP81" s="45"/>
      <c r="AQ81" s="45"/>
      <c r="AR81" s="45"/>
      <c r="AS81" s="45"/>
      <c r="AT81" s="45"/>
      <c r="AU81" s="45"/>
      <c r="AV81" s="45"/>
      <c r="AW81" s="45"/>
      <c r="AX81" s="45"/>
      <c r="AY81" s="45"/>
      <c r="AZ81" s="45"/>
      <c r="BA81" s="45"/>
      <c r="BB81" s="45"/>
      <c r="BC81" s="45"/>
      <c r="BD81" s="45"/>
    </row>
    <row r="82" spans="1:56" ht="26.45" customHeight="1" x14ac:dyDescent="0.25">
      <c r="A82" s="527"/>
      <c r="B82" s="534"/>
      <c r="C82" s="582"/>
      <c r="D82" s="537"/>
      <c r="E82" s="387" t="s">
        <v>581</v>
      </c>
      <c r="F82" s="388">
        <v>1</v>
      </c>
      <c r="G82" s="313">
        <v>1</v>
      </c>
      <c r="H82" s="313">
        <v>1</v>
      </c>
      <c r="I82" s="313">
        <v>1</v>
      </c>
      <c r="J82" s="313">
        <v>1</v>
      </c>
      <c r="K82" s="313">
        <v>1</v>
      </c>
      <c r="L82" s="313">
        <v>0.25</v>
      </c>
      <c r="M82" s="313">
        <v>0.25</v>
      </c>
      <c r="N82" s="313">
        <v>0.25</v>
      </c>
      <c r="O82" s="313">
        <v>0.25</v>
      </c>
      <c r="P82" s="313">
        <v>0.25</v>
      </c>
      <c r="Q82" s="313">
        <v>0.25</v>
      </c>
      <c r="R82" s="313">
        <v>0.25</v>
      </c>
      <c r="S82" s="313">
        <v>0.25</v>
      </c>
      <c r="T82" s="313">
        <v>0.25</v>
      </c>
      <c r="U82" s="313">
        <v>0.25</v>
      </c>
      <c r="V82" s="313">
        <v>0.25</v>
      </c>
      <c r="W82" s="313">
        <v>0.25</v>
      </c>
      <c r="X82" s="313">
        <v>0.25</v>
      </c>
      <c r="Y82" s="313">
        <v>0.25</v>
      </c>
      <c r="Z82" s="313">
        <v>0.25</v>
      </c>
      <c r="AA82" s="313">
        <v>0.25</v>
      </c>
      <c r="AB82" s="313">
        <v>1</v>
      </c>
      <c r="AC82" s="314">
        <v>1</v>
      </c>
      <c r="AD82" s="45"/>
      <c r="AE82" s="45"/>
      <c r="AL82" s="45"/>
      <c r="AM82" s="45"/>
      <c r="AN82" s="45"/>
      <c r="AO82" s="45"/>
      <c r="AP82" s="45"/>
      <c r="AQ82" s="45"/>
      <c r="AR82" s="45"/>
      <c r="AS82" s="45"/>
      <c r="AT82" s="45"/>
      <c r="AU82" s="45"/>
      <c r="AV82" s="45"/>
      <c r="AW82" s="45"/>
      <c r="AX82" s="45"/>
      <c r="AY82" s="45"/>
      <c r="AZ82" s="45"/>
      <c r="BA82" s="45"/>
      <c r="BB82" s="45"/>
      <c r="BC82" s="45"/>
      <c r="BD82" s="45"/>
    </row>
    <row r="83" spans="1:56" ht="26.45" customHeight="1" thickBot="1" x14ac:dyDescent="0.3">
      <c r="A83" s="528"/>
      <c r="B83" s="539"/>
      <c r="C83" s="605"/>
      <c r="D83" s="538"/>
      <c r="E83" s="389" t="s">
        <v>582</v>
      </c>
      <c r="F83" s="390">
        <v>1</v>
      </c>
      <c r="G83" s="316">
        <v>1</v>
      </c>
      <c r="H83" s="316">
        <v>1</v>
      </c>
      <c r="I83" s="316">
        <v>1</v>
      </c>
      <c r="J83" s="316">
        <v>1</v>
      </c>
      <c r="K83" s="316">
        <v>1</v>
      </c>
      <c r="L83" s="316">
        <v>1</v>
      </c>
      <c r="M83" s="316">
        <v>1</v>
      </c>
      <c r="N83" s="316">
        <v>0.25</v>
      </c>
      <c r="O83" s="316">
        <v>0.25</v>
      </c>
      <c r="P83" s="316">
        <v>0.25</v>
      </c>
      <c r="Q83" s="316">
        <v>0.25</v>
      </c>
      <c r="R83" s="316">
        <v>0.25</v>
      </c>
      <c r="S83" s="316">
        <v>0.25</v>
      </c>
      <c r="T83" s="316">
        <v>0.25</v>
      </c>
      <c r="U83" s="316">
        <v>0.25</v>
      </c>
      <c r="V83" s="316">
        <v>0.25</v>
      </c>
      <c r="W83" s="316">
        <v>0.25</v>
      </c>
      <c r="X83" s="316">
        <v>0.25</v>
      </c>
      <c r="Y83" s="316">
        <v>1</v>
      </c>
      <c r="Z83" s="316">
        <v>1</v>
      </c>
      <c r="AA83" s="316">
        <v>1</v>
      </c>
      <c r="AB83" s="316">
        <v>1</v>
      </c>
      <c r="AC83" s="317">
        <v>1</v>
      </c>
      <c r="AD83" s="45"/>
      <c r="AE83" s="45"/>
      <c r="AL83" s="45"/>
      <c r="AM83" s="45"/>
      <c r="AN83" s="45"/>
      <c r="AO83" s="45"/>
      <c r="AP83" s="45"/>
      <c r="AQ83" s="45"/>
      <c r="AR83" s="45"/>
      <c r="AS83" s="45"/>
      <c r="AT83" s="45"/>
      <c r="AU83" s="45"/>
      <c r="AV83" s="45"/>
      <c r="AW83" s="45"/>
      <c r="AX83" s="45"/>
      <c r="AY83" s="45"/>
      <c r="AZ83" s="45"/>
      <c r="BA83" s="45"/>
      <c r="BB83" s="45"/>
      <c r="BC83" s="45"/>
      <c r="BD83" s="45"/>
    </row>
    <row r="84" spans="1:56" ht="26.45" customHeight="1" x14ac:dyDescent="0.25">
      <c r="A84" s="526" t="str">
        <f>A78</f>
        <v>Retail</v>
      </c>
      <c r="B84" s="533" t="str">
        <f>B78</f>
        <v>Retail</v>
      </c>
      <c r="C84" s="628" t="s">
        <v>591</v>
      </c>
      <c r="D84" s="547" t="s">
        <v>595</v>
      </c>
      <c r="E84" s="309" t="s">
        <v>580</v>
      </c>
      <c r="F84" s="310">
        <v>0.9</v>
      </c>
      <c r="G84" s="310">
        <v>0.9</v>
      </c>
      <c r="H84" s="310">
        <v>0.9</v>
      </c>
      <c r="I84" s="310">
        <v>0.9</v>
      </c>
      <c r="J84" s="310">
        <v>0.9</v>
      </c>
      <c r="K84" s="310">
        <v>0.9</v>
      </c>
      <c r="L84" s="310">
        <v>0.9</v>
      </c>
      <c r="M84" s="310">
        <v>0.9</v>
      </c>
      <c r="N84" s="310">
        <v>0.9</v>
      </c>
      <c r="O84" s="310">
        <v>0.9</v>
      </c>
      <c r="P84" s="310">
        <v>0.9</v>
      </c>
      <c r="Q84" s="310">
        <v>0.9</v>
      </c>
      <c r="R84" s="310">
        <v>0.9</v>
      </c>
      <c r="S84" s="310">
        <v>0.9</v>
      </c>
      <c r="T84" s="310">
        <v>0.9</v>
      </c>
      <c r="U84" s="310">
        <v>0.9</v>
      </c>
      <c r="V84" s="310">
        <v>0.9</v>
      </c>
      <c r="W84" s="310">
        <v>0.9</v>
      </c>
      <c r="X84" s="310">
        <v>0.9</v>
      </c>
      <c r="Y84" s="310">
        <v>0.9</v>
      </c>
      <c r="Z84" s="310">
        <v>0.9</v>
      </c>
      <c r="AA84" s="310">
        <v>0.9</v>
      </c>
      <c r="AB84" s="310">
        <v>0.9</v>
      </c>
      <c r="AC84" s="311">
        <v>0.9</v>
      </c>
      <c r="AD84" s="45"/>
      <c r="AE84" s="45"/>
      <c r="AL84" s="45"/>
      <c r="AM84" s="45"/>
      <c r="AN84" s="45"/>
      <c r="AO84" s="45"/>
      <c r="AP84" s="45"/>
      <c r="AQ84" s="45"/>
      <c r="AR84" s="45"/>
      <c r="AS84" s="45"/>
      <c r="AT84" s="45"/>
      <c r="AU84" s="45"/>
      <c r="AV84" s="45"/>
      <c r="AW84" s="45"/>
      <c r="AX84" s="45"/>
      <c r="AY84" s="45"/>
      <c r="AZ84" s="45"/>
      <c r="BA84" s="45"/>
      <c r="BB84" s="45"/>
      <c r="BC84" s="45"/>
      <c r="BD84" s="45"/>
    </row>
    <row r="85" spans="1:56" ht="26.45" customHeight="1" x14ac:dyDescent="0.25">
      <c r="A85" s="527"/>
      <c r="B85" s="534"/>
      <c r="C85" s="629"/>
      <c r="D85" s="548"/>
      <c r="E85" s="312" t="s">
        <v>581</v>
      </c>
      <c r="F85" s="313">
        <v>0.9</v>
      </c>
      <c r="G85" s="313">
        <v>0.9</v>
      </c>
      <c r="H85" s="313">
        <v>0.9</v>
      </c>
      <c r="I85" s="313">
        <v>0.9</v>
      </c>
      <c r="J85" s="313">
        <v>0.9</v>
      </c>
      <c r="K85" s="313">
        <v>0.9</v>
      </c>
      <c r="L85" s="313">
        <v>0.9</v>
      </c>
      <c r="M85" s="313">
        <v>0.9</v>
      </c>
      <c r="N85" s="313">
        <v>0.9</v>
      </c>
      <c r="O85" s="313">
        <v>0.9</v>
      </c>
      <c r="P85" s="313">
        <v>0.9</v>
      </c>
      <c r="Q85" s="313">
        <v>0.9</v>
      </c>
      <c r="R85" s="313">
        <v>0.9</v>
      </c>
      <c r="S85" s="313">
        <v>0.9</v>
      </c>
      <c r="T85" s="313">
        <v>0.9</v>
      </c>
      <c r="U85" s="313">
        <v>0.9</v>
      </c>
      <c r="V85" s="313">
        <v>0.9</v>
      </c>
      <c r="W85" s="313">
        <v>0.9</v>
      </c>
      <c r="X85" s="313">
        <v>0.9</v>
      </c>
      <c r="Y85" s="313">
        <v>0.9</v>
      </c>
      <c r="Z85" s="313">
        <v>0.9</v>
      </c>
      <c r="AA85" s="313">
        <v>0.9</v>
      </c>
      <c r="AB85" s="313">
        <v>0.9</v>
      </c>
      <c r="AC85" s="314">
        <v>0.9</v>
      </c>
      <c r="AD85" s="45"/>
      <c r="AE85" s="45"/>
      <c r="AL85" s="45"/>
      <c r="AM85" s="45"/>
      <c r="AN85" s="45"/>
      <c r="AO85" s="45"/>
      <c r="AP85" s="45"/>
      <c r="AQ85" s="45"/>
      <c r="AR85" s="45"/>
      <c r="AS85" s="45"/>
      <c r="AT85" s="45"/>
      <c r="AU85" s="45"/>
      <c r="AV85" s="45"/>
      <c r="AW85" s="45"/>
      <c r="AX85" s="45"/>
      <c r="AY85" s="45"/>
      <c r="AZ85" s="45"/>
      <c r="BA85" s="45"/>
      <c r="BB85" s="45"/>
      <c r="BC85" s="45"/>
      <c r="BD85" s="45"/>
    </row>
    <row r="86" spans="1:56" ht="26.45" customHeight="1" thickBot="1" x14ac:dyDescent="0.3">
      <c r="A86" s="528"/>
      <c r="B86" s="539"/>
      <c r="C86" s="630"/>
      <c r="D86" s="549"/>
      <c r="E86" s="315" t="s">
        <v>582</v>
      </c>
      <c r="F86" s="316">
        <v>0.9</v>
      </c>
      <c r="G86" s="316">
        <v>0.9</v>
      </c>
      <c r="H86" s="316">
        <v>0.9</v>
      </c>
      <c r="I86" s="316">
        <v>0.9</v>
      </c>
      <c r="J86" s="316">
        <v>0.9</v>
      </c>
      <c r="K86" s="316">
        <v>0.9</v>
      </c>
      <c r="L86" s="316">
        <v>0.9</v>
      </c>
      <c r="M86" s="316">
        <v>0.9</v>
      </c>
      <c r="N86" s="316">
        <v>0.9</v>
      </c>
      <c r="O86" s="316">
        <v>0.9</v>
      </c>
      <c r="P86" s="316">
        <v>0.9</v>
      </c>
      <c r="Q86" s="316">
        <v>0.9</v>
      </c>
      <c r="R86" s="316">
        <v>0.9</v>
      </c>
      <c r="S86" s="316">
        <v>0.9</v>
      </c>
      <c r="T86" s="316">
        <v>0.9</v>
      </c>
      <c r="U86" s="316">
        <v>0.9</v>
      </c>
      <c r="V86" s="316">
        <v>0.9</v>
      </c>
      <c r="W86" s="316">
        <v>0.9</v>
      </c>
      <c r="X86" s="316">
        <v>0.9</v>
      </c>
      <c r="Y86" s="316">
        <v>0.9</v>
      </c>
      <c r="Z86" s="316">
        <v>0.9</v>
      </c>
      <c r="AA86" s="316">
        <v>0.9</v>
      </c>
      <c r="AB86" s="316">
        <v>0.9</v>
      </c>
      <c r="AC86" s="317">
        <v>0.9</v>
      </c>
      <c r="AD86" s="45"/>
      <c r="AE86" s="45"/>
      <c r="AL86" s="45"/>
      <c r="AM86" s="45"/>
      <c r="AN86" s="45"/>
      <c r="AO86" s="45"/>
      <c r="AP86" s="45"/>
      <c r="AQ86" s="45"/>
      <c r="AR86" s="45"/>
      <c r="AS86" s="45"/>
      <c r="AT86" s="45"/>
      <c r="AU86" s="45"/>
      <c r="AV86" s="45"/>
      <c r="AW86" s="45"/>
      <c r="AX86" s="45"/>
      <c r="AY86" s="45"/>
      <c r="AZ86" s="45"/>
      <c r="BA86" s="45"/>
      <c r="BB86" s="45"/>
      <c r="BC86" s="45"/>
      <c r="BD86" s="45"/>
    </row>
    <row r="87" spans="1:56" ht="26.45" customHeight="1" x14ac:dyDescent="0.25">
      <c r="A87" s="514" t="str">
        <f t="shared" ref="A87:B87" si="3">A78</f>
        <v>Retail</v>
      </c>
      <c r="B87" s="533" t="str">
        <f t="shared" si="3"/>
        <v>Retail</v>
      </c>
      <c r="C87" s="544" t="s">
        <v>589</v>
      </c>
      <c r="D87" s="547" t="s">
        <v>595</v>
      </c>
      <c r="E87" s="309" t="s">
        <v>580</v>
      </c>
      <c r="F87" s="323">
        <f>IF(F75=0,Thermostat!$B$11,Thermostat!$B$10)</f>
        <v>60</v>
      </c>
      <c r="G87" s="323">
        <f>IF(G75=0,Thermostat!$B$11,Thermostat!$B$10)</f>
        <v>60</v>
      </c>
      <c r="H87" s="323">
        <f>IF(H75=0,Thermostat!$B$11,Thermostat!$B$10)</f>
        <v>60</v>
      </c>
      <c r="I87" s="323">
        <f>IF(I75=0,Thermostat!$B$11,Thermostat!$B$10)</f>
        <v>60</v>
      </c>
      <c r="J87" s="323">
        <f>IF(J75=0,Thermostat!$B$11,Thermostat!$B$10)</f>
        <v>60</v>
      </c>
      <c r="K87" s="323">
        <f>IF(K75=0,Thermostat!$B$11,Thermostat!$B$10)</f>
        <v>60</v>
      </c>
      <c r="L87" s="323">
        <f>IF(L75=0,Thermostat!$B$11,Thermostat!$B$10)</f>
        <v>70</v>
      </c>
      <c r="M87" s="323">
        <f>IF(M75=0,Thermostat!$B$11,Thermostat!$B$10)</f>
        <v>70</v>
      </c>
      <c r="N87" s="323">
        <f>IF(N75=0,Thermostat!$B$11,Thermostat!$B$10)</f>
        <v>70</v>
      </c>
      <c r="O87" s="323">
        <f>IF(O75=0,Thermostat!$B$11,Thermostat!$B$10)</f>
        <v>70</v>
      </c>
      <c r="P87" s="323">
        <f>IF(P75=0,Thermostat!$B$11,Thermostat!$B$10)</f>
        <v>70</v>
      </c>
      <c r="Q87" s="323">
        <f>IF(Q75=0,Thermostat!$B$11,Thermostat!$B$10)</f>
        <v>70</v>
      </c>
      <c r="R87" s="323">
        <f>IF(R75=0,Thermostat!$B$11,Thermostat!$B$10)</f>
        <v>70</v>
      </c>
      <c r="S87" s="323">
        <f>IF(S75=0,Thermostat!$B$11,Thermostat!$B$10)</f>
        <v>70</v>
      </c>
      <c r="T87" s="323">
        <f>IF(T75=0,Thermostat!$B$11,Thermostat!$B$10)</f>
        <v>70</v>
      </c>
      <c r="U87" s="323">
        <f>IF(U75=0,Thermostat!$B$11,Thermostat!$B$10)</f>
        <v>70</v>
      </c>
      <c r="V87" s="323">
        <f>IF(V75=0,Thermostat!$B$11,Thermostat!$B$10)</f>
        <v>70</v>
      </c>
      <c r="W87" s="323">
        <f>IF(W75=0,Thermostat!$B$11,Thermostat!$B$10)</f>
        <v>70</v>
      </c>
      <c r="X87" s="323">
        <f>IF(X75=0,Thermostat!$B$11,Thermostat!$B$10)</f>
        <v>70</v>
      </c>
      <c r="Y87" s="323">
        <f>IF(Y75=0,Thermostat!$B$11,Thermostat!$B$10)</f>
        <v>70</v>
      </c>
      <c r="Z87" s="323">
        <f>IF(Z75=0,Thermostat!$B$11,Thermostat!$B$10)</f>
        <v>70</v>
      </c>
      <c r="AA87" s="323">
        <f>IF(AA75=0,Thermostat!$B$11,Thermostat!$B$10)</f>
        <v>60</v>
      </c>
      <c r="AB87" s="323">
        <f>IF(AB75=0,Thermostat!$B$11,Thermostat!$B$10)</f>
        <v>60</v>
      </c>
      <c r="AC87" s="324">
        <f>IF(AC75=0,Thermostat!$B$11,Thermostat!$B$10)</f>
        <v>60</v>
      </c>
      <c r="AD87" s="45"/>
      <c r="AE87" s="45"/>
      <c r="AL87" s="45"/>
      <c r="AM87" s="45"/>
      <c r="AN87" s="45"/>
      <c r="AO87" s="45"/>
      <c r="AP87" s="45"/>
      <c r="AQ87" s="45"/>
      <c r="AR87" s="45"/>
      <c r="AS87" s="45"/>
      <c r="AT87" s="45"/>
      <c r="AU87" s="45"/>
      <c r="AV87" s="45"/>
      <c r="AW87" s="45"/>
      <c r="AX87" s="45"/>
      <c r="AY87" s="45"/>
      <c r="AZ87" s="45"/>
      <c r="BA87" s="45"/>
      <c r="BB87" s="45"/>
      <c r="BC87" s="45"/>
      <c r="BD87" s="45"/>
    </row>
    <row r="88" spans="1:56" ht="26.45" customHeight="1" x14ac:dyDescent="0.25">
      <c r="A88" s="515"/>
      <c r="B88" s="534"/>
      <c r="C88" s="545"/>
      <c r="D88" s="548"/>
      <c r="E88" s="312" t="s">
        <v>581</v>
      </c>
      <c r="F88" s="325">
        <f>IF(F76=0,Thermostat!$B$11,Thermostat!$B$10)</f>
        <v>60</v>
      </c>
      <c r="G88" s="325">
        <f>IF(G76=0,Thermostat!$B$11,Thermostat!$B$10)</f>
        <v>60</v>
      </c>
      <c r="H88" s="325">
        <f>IF(H76=0,Thermostat!$B$11,Thermostat!$B$10)</f>
        <v>60</v>
      </c>
      <c r="I88" s="325">
        <f>IF(I76=0,Thermostat!$B$11,Thermostat!$B$10)</f>
        <v>60</v>
      </c>
      <c r="J88" s="325">
        <f>IF(J76=0,Thermostat!$B$11,Thermostat!$B$10)</f>
        <v>60</v>
      </c>
      <c r="K88" s="325">
        <f>IF(K76=0,Thermostat!$B$11,Thermostat!$B$10)</f>
        <v>60</v>
      </c>
      <c r="L88" s="325">
        <f>IF(L76=0,Thermostat!$B$11,Thermostat!$B$10)</f>
        <v>70</v>
      </c>
      <c r="M88" s="325">
        <f>IF(M76=0,Thermostat!$B$11,Thermostat!$B$10)</f>
        <v>70</v>
      </c>
      <c r="N88" s="325">
        <f>IF(N76=0,Thermostat!$B$11,Thermostat!$B$10)</f>
        <v>70</v>
      </c>
      <c r="O88" s="325">
        <f>IF(O76=0,Thermostat!$B$11,Thermostat!$B$10)</f>
        <v>70</v>
      </c>
      <c r="P88" s="325">
        <f>IF(P76=0,Thermostat!$B$11,Thermostat!$B$10)</f>
        <v>70</v>
      </c>
      <c r="Q88" s="325">
        <f>IF(Q76=0,Thermostat!$B$11,Thermostat!$B$10)</f>
        <v>70</v>
      </c>
      <c r="R88" s="325">
        <f>IF(R76=0,Thermostat!$B$11,Thermostat!$B$10)</f>
        <v>70</v>
      </c>
      <c r="S88" s="325">
        <f>IF(S76=0,Thermostat!$B$11,Thermostat!$B$10)</f>
        <v>70</v>
      </c>
      <c r="T88" s="325">
        <f>IF(T76=0,Thermostat!$B$11,Thermostat!$B$10)</f>
        <v>70</v>
      </c>
      <c r="U88" s="325">
        <f>IF(U76=0,Thermostat!$B$11,Thermostat!$B$10)</f>
        <v>70</v>
      </c>
      <c r="V88" s="325">
        <f>IF(V76=0,Thermostat!$B$11,Thermostat!$B$10)</f>
        <v>70</v>
      </c>
      <c r="W88" s="325">
        <f>IF(W76=0,Thermostat!$B$11,Thermostat!$B$10)</f>
        <v>70</v>
      </c>
      <c r="X88" s="325">
        <f>IF(X76=0,Thermostat!$B$11,Thermostat!$B$10)</f>
        <v>70</v>
      </c>
      <c r="Y88" s="325">
        <f>IF(Y76=0,Thermostat!$B$11,Thermostat!$B$10)</f>
        <v>70</v>
      </c>
      <c r="Z88" s="325">
        <f>IF(Z76=0,Thermostat!$B$11,Thermostat!$B$10)</f>
        <v>70</v>
      </c>
      <c r="AA88" s="325">
        <f>IF(AA76=0,Thermostat!$B$11,Thermostat!$B$10)</f>
        <v>70</v>
      </c>
      <c r="AB88" s="325">
        <f>IF(AB76=0,Thermostat!$B$11,Thermostat!$B$10)</f>
        <v>60</v>
      </c>
      <c r="AC88" s="326">
        <f>IF(AC76=0,Thermostat!$B$11,Thermostat!$B$10)</f>
        <v>60</v>
      </c>
      <c r="AD88" s="45"/>
      <c r="AE88" s="45"/>
      <c r="AL88" s="45"/>
      <c r="AM88" s="45"/>
      <c r="AN88" s="45"/>
      <c r="AO88" s="45"/>
      <c r="AP88" s="45"/>
      <c r="AQ88" s="45"/>
      <c r="AR88" s="45"/>
      <c r="AS88" s="45"/>
      <c r="AT88" s="45"/>
      <c r="AU88" s="45"/>
      <c r="AV88" s="45"/>
      <c r="AW88" s="45"/>
      <c r="AX88" s="45"/>
      <c r="AY88" s="45"/>
      <c r="AZ88" s="45"/>
      <c r="BA88" s="45"/>
      <c r="BB88" s="45"/>
      <c r="BC88" s="45"/>
      <c r="BD88" s="45"/>
    </row>
    <row r="89" spans="1:56" ht="26.45" customHeight="1" thickBot="1" x14ac:dyDescent="0.3">
      <c r="A89" s="516"/>
      <c r="B89" s="539"/>
      <c r="C89" s="546"/>
      <c r="D89" s="549"/>
      <c r="E89" s="318" t="s">
        <v>582</v>
      </c>
      <c r="F89" s="327">
        <f>IF(F77=0,Thermostat!$B$11,Thermostat!$B$10)</f>
        <v>60</v>
      </c>
      <c r="G89" s="327">
        <f>IF(G77=0,Thermostat!$B$11,Thermostat!$B$10)</f>
        <v>60</v>
      </c>
      <c r="H89" s="327">
        <f>IF(H77=0,Thermostat!$B$11,Thermostat!$B$10)</f>
        <v>60</v>
      </c>
      <c r="I89" s="327">
        <f>IF(I77=0,Thermostat!$B$11,Thermostat!$B$10)</f>
        <v>60</v>
      </c>
      <c r="J89" s="327">
        <f>IF(J77=0,Thermostat!$B$11,Thermostat!$B$10)</f>
        <v>60</v>
      </c>
      <c r="K89" s="327">
        <f>IF(K77=0,Thermostat!$B$11,Thermostat!$B$10)</f>
        <v>60</v>
      </c>
      <c r="L89" s="327">
        <f>IF(L77=0,Thermostat!$B$11,Thermostat!$B$10)</f>
        <v>60</v>
      </c>
      <c r="M89" s="327">
        <f>IF(M77=0,Thermostat!$B$11,Thermostat!$B$10)</f>
        <v>60</v>
      </c>
      <c r="N89" s="327">
        <f>IF(N77=0,Thermostat!$B$11,Thermostat!$B$10)</f>
        <v>70</v>
      </c>
      <c r="O89" s="327">
        <f>IF(O77=0,Thermostat!$B$11,Thermostat!$B$10)</f>
        <v>70</v>
      </c>
      <c r="P89" s="327">
        <f>IF(P77=0,Thermostat!$B$11,Thermostat!$B$10)</f>
        <v>70</v>
      </c>
      <c r="Q89" s="327">
        <f>IF(Q77=0,Thermostat!$B$11,Thermostat!$B$10)</f>
        <v>70</v>
      </c>
      <c r="R89" s="327">
        <f>IF(R77=0,Thermostat!$B$11,Thermostat!$B$10)</f>
        <v>70</v>
      </c>
      <c r="S89" s="327">
        <f>IF(S77=0,Thermostat!$B$11,Thermostat!$B$10)</f>
        <v>70</v>
      </c>
      <c r="T89" s="327">
        <f>IF(T77=0,Thermostat!$B$11,Thermostat!$B$10)</f>
        <v>70</v>
      </c>
      <c r="U89" s="327">
        <f>IF(U77=0,Thermostat!$B$11,Thermostat!$B$10)</f>
        <v>70</v>
      </c>
      <c r="V89" s="327">
        <f>IF(V77=0,Thermostat!$B$11,Thermostat!$B$10)</f>
        <v>70</v>
      </c>
      <c r="W89" s="327">
        <f>IF(W77=0,Thermostat!$B$11,Thermostat!$B$10)</f>
        <v>70</v>
      </c>
      <c r="X89" s="327">
        <f>IF(X77=0,Thermostat!$B$11,Thermostat!$B$10)</f>
        <v>70</v>
      </c>
      <c r="Y89" s="327">
        <f>IF(Y77=0,Thermostat!$B$11,Thermostat!$B$10)</f>
        <v>60</v>
      </c>
      <c r="Z89" s="327">
        <f>IF(Z77=0,Thermostat!$B$11,Thermostat!$B$10)</f>
        <v>60</v>
      </c>
      <c r="AA89" s="327">
        <f>IF(AA77=0,Thermostat!$B$11,Thermostat!$B$10)</f>
        <v>60</v>
      </c>
      <c r="AB89" s="327">
        <f>IF(AB77=0,Thermostat!$B$11,Thermostat!$B$10)</f>
        <v>60</v>
      </c>
      <c r="AC89" s="328">
        <f>IF(AC77=0,Thermostat!$B$11,Thermostat!$B$10)</f>
        <v>60</v>
      </c>
      <c r="AD89" s="45"/>
      <c r="AE89" s="45"/>
      <c r="AL89" s="45"/>
      <c r="AM89" s="45"/>
      <c r="AN89" s="45"/>
      <c r="AO89" s="45"/>
      <c r="AP89" s="45"/>
      <c r="AQ89" s="45"/>
      <c r="AR89" s="45"/>
      <c r="AS89" s="45"/>
      <c r="AT89" s="45"/>
      <c r="AU89" s="45"/>
      <c r="AV89" s="45"/>
      <c r="AW89" s="45"/>
      <c r="AX89" s="45"/>
      <c r="AY89" s="45"/>
      <c r="AZ89" s="45"/>
      <c r="BA89" s="45"/>
      <c r="BB89" s="45"/>
      <c r="BC89" s="45"/>
      <c r="BD89" s="45"/>
    </row>
    <row r="90" spans="1:56" ht="26.45" customHeight="1" x14ac:dyDescent="0.25">
      <c r="A90" s="514" t="str">
        <f t="shared" ref="A90:B90" si="4">A81</f>
        <v>Retail</v>
      </c>
      <c r="B90" s="533" t="str">
        <f t="shared" si="4"/>
        <v>Retail</v>
      </c>
      <c r="C90" s="550" t="s">
        <v>590</v>
      </c>
      <c r="D90" s="552" t="s">
        <v>595</v>
      </c>
      <c r="E90" s="319" t="s">
        <v>580</v>
      </c>
      <c r="F90" s="323">
        <f>IF(F75=0,Thermostat!$B$13,Thermostat!$B$12)</f>
        <v>85</v>
      </c>
      <c r="G90" s="323">
        <f>IF(G75=0,Thermostat!$B$13,Thermostat!$B$12)</f>
        <v>85</v>
      </c>
      <c r="H90" s="323">
        <f>IF(H75=0,Thermostat!$B$13,Thermostat!$B$12)</f>
        <v>85</v>
      </c>
      <c r="I90" s="323">
        <f>IF(I75=0,Thermostat!$B$13,Thermostat!$B$12)</f>
        <v>85</v>
      </c>
      <c r="J90" s="323">
        <f>IF(J75=0,Thermostat!$B$13,Thermostat!$B$12)</f>
        <v>85</v>
      </c>
      <c r="K90" s="323">
        <f>IF(K75=0,Thermostat!$B$13,Thermostat!$B$12)</f>
        <v>85</v>
      </c>
      <c r="L90" s="323">
        <f>IF(L75=0,Thermostat!$B$13,Thermostat!$B$12)</f>
        <v>75</v>
      </c>
      <c r="M90" s="323">
        <f>IF(M75=0,Thermostat!$B$13,Thermostat!$B$12)</f>
        <v>75</v>
      </c>
      <c r="N90" s="323">
        <f>IF(N75=0,Thermostat!$B$13,Thermostat!$B$12)</f>
        <v>75</v>
      </c>
      <c r="O90" s="323">
        <f>IF(O75=0,Thermostat!$B$13,Thermostat!$B$12)</f>
        <v>75</v>
      </c>
      <c r="P90" s="323">
        <f>IF(P75=0,Thermostat!$B$13,Thermostat!$B$12)</f>
        <v>75</v>
      </c>
      <c r="Q90" s="323">
        <f>IF(Q75=0,Thermostat!$B$13,Thermostat!$B$12)</f>
        <v>75</v>
      </c>
      <c r="R90" s="323">
        <f>IF(R75=0,Thermostat!$B$13,Thermostat!$B$12)</f>
        <v>75</v>
      </c>
      <c r="S90" s="323">
        <f>IF(S75=0,Thermostat!$B$13,Thermostat!$B$12)</f>
        <v>75</v>
      </c>
      <c r="T90" s="323">
        <f>IF(T75=0,Thermostat!$B$13,Thermostat!$B$12)</f>
        <v>75</v>
      </c>
      <c r="U90" s="323">
        <f>IF(U75=0,Thermostat!$B$13,Thermostat!$B$12)</f>
        <v>75</v>
      </c>
      <c r="V90" s="323">
        <f>IF(V75=0,Thermostat!$B$13,Thermostat!$B$12)</f>
        <v>75</v>
      </c>
      <c r="W90" s="323">
        <f>IF(W75=0,Thermostat!$B$13,Thermostat!$B$12)</f>
        <v>75</v>
      </c>
      <c r="X90" s="323">
        <f>IF(X75=0,Thermostat!$B$13,Thermostat!$B$12)</f>
        <v>75</v>
      </c>
      <c r="Y90" s="323">
        <f>IF(Y75=0,Thermostat!$B$13,Thermostat!$B$12)</f>
        <v>75</v>
      </c>
      <c r="Z90" s="323">
        <f>IF(Z75=0,Thermostat!$B$13,Thermostat!$B$12)</f>
        <v>75</v>
      </c>
      <c r="AA90" s="323">
        <f>IF(AA75=0,Thermostat!$B$13,Thermostat!$B$12)</f>
        <v>85</v>
      </c>
      <c r="AB90" s="323">
        <f>IF(AB75=0,Thermostat!$B$13,Thermostat!$B$12)</f>
        <v>85</v>
      </c>
      <c r="AC90" s="324">
        <f>IF(AC75=0,Thermostat!$B$13,Thermostat!$B$12)</f>
        <v>85</v>
      </c>
      <c r="AD90" s="45"/>
      <c r="AE90" s="45"/>
      <c r="AL90" s="45"/>
      <c r="AM90" s="45"/>
      <c r="AN90" s="45"/>
      <c r="AO90" s="45"/>
      <c r="AP90" s="45"/>
      <c r="AQ90" s="45"/>
      <c r="AR90" s="45"/>
      <c r="AS90" s="45"/>
      <c r="AT90" s="45"/>
      <c r="AU90" s="45"/>
      <c r="AV90" s="45"/>
      <c r="AW90" s="45"/>
      <c r="AX90" s="45"/>
      <c r="AY90" s="45"/>
      <c r="AZ90" s="45"/>
      <c r="BA90" s="45"/>
      <c r="BB90" s="45"/>
      <c r="BC90" s="45"/>
      <c r="BD90" s="45"/>
    </row>
    <row r="91" spans="1:56" ht="26.45" customHeight="1" x14ac:dyDescent="0.25">
      <c r="A91" s="515"/>
      <c r="B91" s="534"/>
      <c r="C91" s="545"/>
      <c r="D91" s="553"/>
      <c r="E91" s="320" t="s">
        <v>581</v>
      </c>
      <c r="F91" s="325">
        <f>IF(F76=0,Thermostat!$B$13,Thermostat!$B$12)</f>
        <v>85</v>
      </c>
      <c r="G91" s="325">
        <f>IF(G76=0,Thermostat!$B$13,Thermostat!$B$12)</f>
        <v>85</v>
      </c>
      <c r="H91" s="325">
        <f>IF(H76=0,Thermostat!$B$13,Thermostat!$B$12)</f>
        <v>85</v>
      </c>
      <c r="I91" s="325">
        <f>IF(I76=0,Thermostat!$B$13,Thermostat!$B$12)</f>
        <v>85</v>
      </c>
      <c r="J91" s="325">
        <f>IF(J76=0,Thermostat!$B$13,Thermostat!$B$12)</f>
        <v>85</v>
      </c>
      <c r="K91" s="325">
        <f>IF(K76=0,Thermostat!$B$13,Thermostat!$B$12)</f>
        <v>85</v>
      </c>
      <c r="L91" s="325">
        <f>IF(L76=0,Thermostat!$B$13,Thermostat!$B$12)</f>
        <v>75</v>
      </c>
      <c r="M91" s="325">
        <f>IF(M76=0,Thermostat!$B$13,Thermostat!$B$12)</f>
        <v>75</v>
      </c>
      <c r="N91" s="325">
        <f>IF(N76=0,Thermostat!$B$13,Thermostat!$B$12)</f>
        <v>75</v>
      </c>
      <c r="O91" s="325">
        <f>IF(O76=0,Thermostat!$B$13,Thermostat!$B$12)</f>
        <v>75</v>
      </c>
      <c r="P91" s="325">
        <f>IF(P76=0,Thermostat!$B$13,Thermostat!$B$12)</f>
        <v>75</v>
      </c>
      <c r="Q91" s="325">
        <f>IF(Q76=0,Thermostat!$B$13,Thermostat!$B$12)</f>
        <v>75</v>
      </c>
      <c r="R91" s="325">
        <f>IF(R76=0,Thermostat!$B$13,Thermostat!$B$12)</f>
        <v>75</v>
      </c>
      <c r="S91" s="325">
        <f>IF(S76=0,Thermostat!$B$13,Thermostat!$B$12)</f>
        <v>75</v>
      </c>
      <c r="T91" s="325">
        <f>IF(T76=0,Thermostat!$B$13,Thermostat!$B$12)</f>
        <v>75</v>
      </c>
      <c r="U91" s="325">
        <f>IF(U76=0,Thermostat!$B$13,Thermostat!$B$12)</f>
        <v>75</v>
      </c>
      <c r="V91" s="325">
        <f>IF(V76=0,Thermostat!$B$13,Thermostat!$B$12)</f>
        <v>75</v>
      </c>
      <c r="W91" s="325">
        <f>IF(W76=0,Thermostat!$B$13,Thermostat!$B$12)</f>
        <v>75</v>
      </c>
      <c r="X91" s="325">
        <f>IF(X76=0,Thermostat!$B$13,Thermostat!$B$12)</f>
        <v>75</v>
      </c>
      <c r="Y91" s="325">
        <f>IF(Y76=0,Thermostat!$B$13,Thermostat!$B$12)</f>
        <v>75</v>
      </c>
      <c r="Z91" s="325">
        <f>IF(Z76=0,Thermostat!$B$13,Thermostat!$B$12)</f>
        <v>75</v>
      </c>
      <c r="AA91" s="325">
        <f>IF(AA76=0,Thermostat!$B$13,Thermostat!$B$12)</f>
        <v>75</v>
      </c>
      <c r="AB91" s="325">
        <f>IF(AB76=0,Thermostat!$B$13,Thermostat!$B$12)</f>
        <v>85</v>
      </c>
      <c r="AC91" s="326">
        <f>IF(AC76=0,Thermostat!$B$13,Thermostat!$B$12)</f>
        <v>85</v>
      </c>
      <c r="AD91" s="45"/>
      <c r="AE91" s="45"/>
      <c r="AL91" s="45"/>
      <c r="AM91" s="45"/>
      <c r="AN91" s="45"/>
      <c r="AO91" s="45"/>
      <c r="AP91" s="45"/>
      <c r="AQ91" s="45"/>
      <c r="AR91" s="45"/>
      <c r="AS91" s="45"/>
      <c r="AT91" s="45"/>
      <c r="AU91" s="45"/>
      <c r="AV91" s="45"/>
      <c r="AW91" s="45"/>
      <c r="AX91" s="45"/>
      <c r="AY91" s="45"/>
      <c r="AZ91" s="45"/>
      <c r="BA91" s="45"/>
      <c r="BB91" s="45"/>
      <c r="BC91" s="45"/>
      <c r="BD91" s="45"/>
    </row>
    <row r="92" spans="1:56" ht="26.45" customHeight="1" thickBot="1" x14ac:dyDescent="0.3">
      <c r="A92" s="516"/>
      <c r="B92" s="539"/>
      <c r="C92" s="551"/>
      <c r="D92" s="554"/>
      <c r="E92" s="321" t="s">
        <v>582</v>
      </c>
      <c r="F92" s="327">
        <f>IF(F77=0,Thermostat!$B$13,Thermostat!$B$12)</f>
        <v>85</v>
      </c>
      <c r="G92" s="327">
        <f>IF(G77=0,Thermostat!$B$13,Thermostat!$B$12)</f>
        <v>85</v>
      </c>
      <c r="H92" s="327">
        <f>IF(H77=0,Thermostat!$B$13,Thermostat!$B$12)</f>
        <v>85</v>
      </c>
      <c r="I92" s="327">
        <f>IF(I77=0,Thermostat!$B$13,Thermostat!$B$12)</f>
        <v>85</v>
      </c>
      <c r="J92" s="327">
        <f>IF(J77=0,Thermostat!$B$13,Thermostat!$B$12)</f>
        <v>85</v>
      </c>
      <c r="K92" s="327">
        <f>IF(K77=0,Thermostat!$B$13,Thermostat!$B$12)</f>
        <v>85</v>
      </c>
      <c r="L92" s="327">
        <f>IF(L77=0,Thermostat!$B$13,Thermostat!$B$12)</f>
        <v>85</v>
      </c>
      <c r="M92" s="327">
        <f>IF(M77=0,Thermostat!$B$13,Thermostat!$B$12)</f>
        <v>85</v>
      </c>
      <c r="N92" s="327">
        <f>IF(N77=0,Thermostat!$B$13,Thermostat!$B$12)</f>
        <v>75</v>
      </c>
      <c r="O92" s="327">
        <f>IF(O77=0,Thermostat!$B$13,Thermostat!$B$12)</f>
        <v>75</v>
      </c>
      <c r="P92" s="327">
        <f>IF(P77=0,Thermostat!$B$13,Thermostat!$B$12)</f>
        <v>75</v>
      </c>
      <c r="Q92" s="327">
        <f>IF(Q77=0,Thermostat!$B$13,Thermostat!$B$12)</f>
        <v>75</v>
      </c>
      <c r="R92" s="327">
        <f>IF(R77=0,Thermostat!$B$13,Thermostat!$B$12)</f>
        <v>75</v>
      </c>
      <c r="S92" s="327">
        <f>IF(S77=0,Thermostat!$B$13,Thermostat!$B$12)</f>
        <v>75</v>
      </c>
      <c r="T92" s="327">
        <f>IF(T77=0,Thermostat!$B$13,Thermostat!$B$12)</f>
        <v>75</v>
      </c>
      <c r="U92" s="327">
        <f>IF(U77=0,Thermostat!$B$13,Thermostat!$B$12)</f>
        <v>75</v>
      </c>
      <c r="V92" s="327">
        <f>IF(V77=0,Thermostat!$B$13,Thermostat!$B$12)</f>
        <v>75</v>
      </c>
      <c r="W92" s="327">
        <f>IF(W77=0,Thermostat!$B$13,Thermostat!$B$12)</f>
        <v>75</v>
      </c>
      <c r="X92" s="327">
        <f>IF(X77=0,Thermostat!$B$13,Thermostat!$B$12)</f>
        <v>75</v>
      </c>
      <c r="Y92" s="327">
        <f>IF(Y77=0,Thermostat!$B$13,Thermostat!$B$12)</f>
        <v>85</v>
      </c>
      <c r="Z92" s="327">
        <f>IF(Z77=0,Thermostat!$B$13,Thermostat!$B$12)</f>
        <v>85</v>
      </c>
      <c r="AA92" s="327">
        <f>IF(AA77=0,Thermostat!$B$13,Thermostat!$B$12)</f>
        <v>85</v>
      </c>
      <c r="AB92" s="327">
        <f>IF(AB77=0,Thermostat!$B$13,Thermostat!$B$12)</f>
        <v>85</v>
      </c>
      <c r="AC92" s="328">
        <f>IF(AC77=0,Thermostat!$B$13,Thermostat!$B$12)</f>
        <v>85</v>
      </c>
      <c r="AD92" s="45"/>
      <c r="AE92" s="45"/>
      <c r="AL92" s="45"/>
      <c r="AM92" s="45"/>
      <c r="AN92" s="45"/>
      <c r="AO92" s="45"/>
      <c r="AP92" s="45"/>
      <c r="AQ92" s="45"/>
      <c r="AR92" s="45"/>
      <c r="AS92" s="45"/>
      <c r="AT92" s="45"/>
      <c r="AU92" s="45"/>
      <c r="AV92" s="45"/>
      <c r="AW92" s="45"/>
      <c r="AX92" s="45"/>
      <c r="AY92" s="45"/>
      <c r="AZ92" s="45"/>
      <c r="BA92" s="45"/>
      <c r="BB92" s="45"/>
      <c r="BC92" s="45"/>
      <c r="BD92" s="45"/>
    </row>
    <row r="93" spans="1:56" ht="29.25" customHeight="1" thickBot="1" x14ac:dyDescent="0.3">
      <c r="A93" s="567" t="s">
        <v>596</v>
      </c>
      <c r="B93" s="568"/>
      <c r="C93" s="568"/>
      <c r="D93" s="568"/>
      <c r="E93" s="568"/>
      <c r="F93" s="568"/>
      <c r="G93" s="568"/>
      <c r="H93" s="568"/>
      <c r="I93" s="568"/>
      <c r="J93" s="568"/>
      <c r="K93" s="568"/>
      <c r="L93" s="568"/>
      <c r="M93" s="568"/>
      <c r="N93" s="568"/>
      <c r="O93" s="568"/>
      <c r="P93" s="568"/>
      <c r="Q93" s="568"/>
      <c r="R93" s="568"/>
      <c r="S93" s="568"/>
      <c r="T93" s="568"/>
      <c r="U93" s="568"/>
      <c r="V93" s="568"/>
      <c r="W93" s="568"/>
      <c r="X93" s="568"/>
      <c r="Y93" s="568"/>
      <c r="Z93" s="568"/>
      <c r="AA93" s="568"/>
      <c r="AB93" s="568"/>
      <c r="AC93" s="569"/>
      <c r="AD93" s="47"/>
      <c r="AE93" s="47"/>
      <c r="AF93" s="47"/>
      <c r="AG93" s="47"/>
      <c r="AH93" s="47"/>
      <c r="AI93" s="47"/>
      <c r="AJ93" s="47"/>
      <c r="AK93" s="47"/>
      <c r="AL93" s="47"/>
      <c r="AM93" s="47"/>
      <c r="AN93" s="47"/>
      <c r="AO93" s="47"/>
      <c r="AP93" s="47"/>
      <c r="AQ93" s="47"/>
      <c r="AR93" s="47"/>
      <c r="AS93" s="47"/>
      <c r="AT93" s="47"/>
      <c r="AU93" s="47"/>
      <c r="AV93" s="47"/>
      <c r="AW93" s="47"/>
      <c r="AX93" s="47"/>
    </row>
    <row r="94" spans="1:56" ht="27" customHeight="1" x14ac:dyDescent="0.25">
      <c r="A94" s="570"/>
      <c r="B94" s="573" t="s">
        <v>597</v>
      </c>
      <c r="C94" s="575" t="s">
        <v>557</v>
      </c>
      <c r="D94" s="577" t="s">
        <v>598</v>
      </c>
      <c r="E94" s="266" t="s">
        <v>580</v>
      </c>
      <c r="F94" s="267">
        <v>0</v>
      </c>
      <c r="G94" s="267">
        <v>0</v>
      </c>
      <c r="H94" s="267">
        <v>0</v>
      </c>
      <c r="I94" s="267">
        <v>0</v>
      </c>
      <c r="J94" s="267">
        <v>0</v>
      </c>
      <c r="K94" s="267">
        <v>0</v>
      </c>
      <c r="L94" s="267">
        <v>0</v>
      </c>
      <c r="M94" s="267">
        <v>0.35</v>
      </c>
      <c r="N94" s="267">
        <v>0.69</v>
      </c>
      <c r="O94" s="267">
        <v>0.43</v>
      </c>
      <c r="P94" s="267">
        <v>0.37</v>
      </c>
      <c r="Q94" s="267">
        <v>0.43</v>
      </c>
      <c r="R94" s="267">
        <v>0.57999999999999996</v>
      </c>
      <c r="S94" s="267">
        <v>0.48</v>
      </c>
      <c r="T94" s="267">
        <v>0.37</v>
      </c>
      <c r="U94" s="267">
        <v>0.37</v>
      </c>
      <c r="V94" s="267">
        <v>0.46</v>
      </c>
      <c r="W94" s="267">
        <v>0.62</v>
      </c>
      <c r="X94" s="267">
        <v>0.2</v>
      </c>
      <c r="Y94" s="267">
        <v>0.12</v>
      </c>
      <c r="Z94" s="267">
        <v>0.04</v>
      </c>
      <c r="AA94" s="267">
        <v>0.04</v>
      </c>
      <c r="AB94" s="267">
        <v>0</v>
      </c>
      <c r="AC94" s="268">
        <v>0</v>
      </c>
      <c r="AD94" s="45">
        <v>0</v>
      </c>
      <c r="AE94" s="45"/>
      <c r="AL94" s="45"/>
      <c r="AM94" s="45"/>
      <c r="AN94" s="45"/>
      <c r="AO94" s="45"/>
      <c r="AP94" s="45"/>
      <c r="AQ94" s="45"/>
      <c r="AR94" s="45"/>
      <c r="AS94" s="45"/>
      <c r="AT94" s="45"/>
      <c r="AU94" s="45"/>
      <c r="AV94" s="45"/>
      <c r="AW94" s="45"/>
      <c r="AX94" s="45"/>
      <c r="AY94" s="45"/>
      <c r="AZ94" s="45"/>
      <c r="BA94" s="45"/>
      <c r="BB94" s="45"/>
      <c r="BC94" s="45"/>
      <c r="BD94" s="45"/>
    </row>
    <row r="95" spans="1:56" ht="27" customHeight="1" x14ac:dyDescent="0.25">
      <c r="A95" s="571"/>
      <c r="B95" s="518"/>
      <c r="C95" s="521"/>
      <c r="D95" s="578"/>
      <c r="E95" s="269" t="s">
        <v>581</v>
      </c>
      <c r="F95" s="270">
        <v>0</v>
      </c>
      <c r="G95" s="270">
        <v>0</v>
      </c>
      <c r="H95" s="270">
        <v>0</v>
      </c>
      <c r="I95" s="270">
        <v>0</v>
      </c>
      <c r="J95" s="270">
        <v>0</v>
      </c>
      <c r="K95" s="270">
        <v>0</v>
      </c>
      <c r="L95" s="270">
        <v>0</v>
      </c>
      <c r="M95" s="270">
        <v>0.35</v>
      </c>
      <c r="N95" s="270">
        <v>0.69</v>
      </c>
      <c r="O95" s="270">
        <v>0.43</v>
      </c>
      <c r="P95" s="270">
        <v>0.37</v>
      </c>
      <c r="Q95" s="270">
        <v>0.43</v>
      </c>
      <c r="R95" s="270">
        <v>0.57999999999999996</v>
      </c>
      <c r="S95" s="270">
        <v>0.48</v>
      </c>
      <c r="T95" s="270">
        <v>0.37</v>
      </c>
      <c r="U95" s="270">
        <v>0.37</v>
      </c>
      <c r="V95" s="270">
        <v>0.46</v>
      </c>
      <c r="W95" s="270">
        <v>0.62</v>
      </c>
      <c r="X95" s="270">
        <v>0.2</v>
      </c>
      <c r="Y95" s="270">
        <v>0.12</v>
      </c>
      <c r="Z95" s="270">
        <v>0.04</v>
      </c>
      <c r="AA95" s="270">
        <v>0.04</v>
      </c>
      <c r="AB95" s="270">
        <v>0</v>
      </c>
      <c r="AC95" s="271">
        <v>0</v>
      </c>
      <c r="AD95" s="45">
        <v>0</v>
      </c>
      <c r="AE95" s="45"/>
      <c r="AL95" s="45"/>
      <c r="AM95" s="45"/>
      <c r="AN95" s="45"/>
      <c r="AO95" s="45"/>
      <c r="AP95" s="45"/>
      <c r="AQ95" s="45"/>
      <c r="AR95" s="45"/>
      <c r="AS95" s="45"/>
      <c r="AT95" s="45"/>
      <c r="AU95" s="45"/>
      <c r="AV95" s="45"/>
      <c r="AW95" s="45"/>
      <c r="AX95" s="45"/>
      <c r="AY95" s="45"/>
      <c r="AZ95" s="45"/>
      <c r="BA95" s="45"/>
      <c r="BB95" s="45"/>
      <c r="BC95" s="45"/>
      <c r="BD95" s="45"/>
    </row>
    <row r="96" spans="1:56" ht="27" customHeight="1" thickBot="1" x14ac:dyDescent="0.3">
      <c r="A96" s="572"/>
      <c r="B96" s="574"/>
      <c r="C96" s="576"/>
      <c r="D96" s="579"/>
      <c r="E96" s="272" t="s">
        <v>582</v>
      </c>
      <c r="F96" s="273">
        <v>0</v>
      </c>
      <c r="G96" s="273">
        <v>0</v>
      </c>
      <c r="H96" s="273">
        <v>0</v>
      </c>
      <c r="I96" s="273">
        <v>0</v>
      </c>
      <c r="J96" s="273">
        <v>0</v>
      </c>
      <c r="K96" s="273">
        <v>0</v>
      </c>
      <c r="L96" s="273">
        <v>0</v>
      </c>
      <c r="M96" s="273">
        <v>0.35</v>
      </c>
      <c r="N96" s="273">
        <v>0.69</v>
      </c>
      <c r="O96" s="273">
        <v>0.43</v>
      </c>
      <c r="P96" s="273">
        <v>0.37</v>
      </c>
      <c r="Q96" s="273">
        <v>0.43</v>
      </c>
      <c r="R96" s="273">
        <v>0.57999999999999996</v>
      </c>
      <c r="S96" s="273">
        <v>0.48</v>
      </c>
      <c r="T96" s="273">
        <v>0.37</v>
      </c>
      <c r="U96" s="273">
        <v>0.37</v>
      </c>
      <c r="V96" s="273">
        <v>0.46</v>
      </c>
      <c r="W96" s="273">
        <v>0.62</v>
      </c>
      <c r="X96" s="273">
        <v>0.2</v>
      </c>
      <c r="Y96" s="273">
        <v>0.12</v>
      </c>
      <c r="Z96" s="273">
        <v>0.04</v>
      </c>
      <c r="AA96" s="273">
        <v>0.04</v>
      </c>
      <c r="AB96" s="273">
        <v>0</v>
      </c>
      <c r="AC96" s="274">
        <v>0</v>
      </c>
      <c r="AD96" s="45">
        <v>0</v>
      </c>
      <c r="AE96" s="45"/>
      <c r="AL96" s="45"/>
      <c r="AM96" s="45"/>
      <c r="AN96" s="45"/>
      <c r="AO96" s="45"/>
      <c r="AP96" s="45"/>
      <c r="AQ96" s="45"/>
      <c r="AR96" s="45"/>
      <c r="AS96" s="45"/>
      <c r="AT96" s="45"/>
      <c r="AU96" s="45"/>
      <c r="AV96" s="45"/>
      <c r="AW96" s="45"/>
      <c r="AX96" s="45"/>
      <c r="AY96" s="45"/>
      <c r="AZ96" s="45"/>
      <c r="BA96" s="45"/>
      <c r="BB96" s="45"/>
      <c r="BC96" s="45"/>
      <c r="BD96" s="45"/>
    </row>
    <row r="97" spans="1:56" ht="27" customHeight="1" x14ac:dyDescent="0.25">
      <c r="A97" s="580"/>
      <c r="B97" s="563" t="s">
        <v>597</v>
      </c>
      <c r="C97" s="581" t="s">
        <v>599</v>
      </c>
      <c r="D97" s="524"/>
      <c r="E97" s="275" t="s">
        <v>580</v>
      </c>
      <c r="F97" s="276">
        <v>1</v>
      </c>
      <c r="G97" s="276">
        <v>1</v>
      </c>
      <c r="H97" s="276">
        <v>1</v>
      </c>
      <c r="I97" s="276">
        <v>1</v>
      </c>
      <c r="J97" s="276">
        <v>1</v>
      </c>
      <c r="K97" s="276">
        <v>1</v>
      </c>
      <c r="L97" s="276">
        <v>1</v>
      </c>
      <c r="M97" s="276">
        <v>1</v>
      </c>
      <c r="N97" s="276">
        <v>1</v>
      </c>
      <c r="O97" s="276">
        <v>1</v>
      </c>
      <c r="P97" s="276">
        <v>1</v>
      </c>
      <c r="Q97" s="276">
        <v>1</v>
      </c>
      <c r="R97" s="276">
        <v>1</v>
      </c>
      <c r="S97" s="276">
        <v>1</v>
      </c>
      <c r="T97" s="276">
        <v>1</v>
      </c>
      <c r="U97" s="276">
        <v>1</v>
      </c>
      <c r="V97" s="276">
        <v>1</v>
      </c>
      <c r="W97" s="276">
        <v>1</v>
      </c>
      <c r="X97" s="276">
        <v>1</v>
      </c>
      <c r="Y97" s="276">
        <v>1</v>
      </c>
      <c r="Z97" s="276">
        <v>1</v>
      </c>
      <c r="AA97" s="276">
        <v>1</v>
      </c>
      <c r="AB97" s="276">
        <v>1</v>
      </c>
      <c r="AC97" s="277">
        <v>1</v>
      </c>
      <c r="AD97" s="45"/>
      <c r="AE97" s="45"/>
      <c r="AL97" s="45"/>
      <c r="AM97" s="45"/>
      <c r="AN97" s="45"/>
      <c r="AO97" s="45"/>
      <c r="AP97" s="45"/>
      <c r="AQ97" s="45"/>
      <c r="AR97" s="45"/>
      <c r="AS97" s="45"/>
      <c r="AT97" s="45"/>
      <c r="AU97" s="45"/>
      <c r="AV97" s="45"/>
      <c r="AW97" s="45"/>
      <c r="AX97" s="45"/>
      <c r="AY97" s="45"/>
      <c r="AZ97" s="45"/>
      <c r="BA97" s="45"/>
      <c r="BB97" s="45"/>
      <c r="BC97" s="45"/>
      <c r="BD97" s="45"/>
    </row>
    <row r="98" spans="1:56" ht="27" customHeight="1" x14ac:dyDescent="0.25">
      <c r="A98" s="515"/>
      <c r="B98" s="518"/>
      <c r="C98" s="521"/>
      <c r="D98" s="524"/>
      <c r="E98" s="269" t="s">
        <v>581</v>
      </c>
      <c r="F98" s="278">
        <v>1</v>
      </c>
      <c r="G98" s="278">
        <v>1</v>
      </c>
      <c r="H98" s="278">
        <v>1</v>
      </c>
      <c r="I98" s="278">
        <v>1</v>
      </c>
      <c r="J98" s="278">
        <v>1</v>
      </c>
      <c r="K98" s="278">
        <v>1</v>
      </c>
      <c r="L98" s="278">
        <v>1</v>
      </c>
      <c r="M98" s="278">
        <v>1</v>
      </c>
      <c r="N98" s="278">
        <v>1</v>
      </c>
      <c r="O98" s="278">
        <v>1</v>
      </c>
      <c r="P98" s="278">
        <v>1</v>
      </c>
      <c r="Q98" s="278">
        <v>1</v>
      </c>
      <c r="R98" s="278">
        <v>1</v>
      </c>
      <c r="S98" s="278">
        <v>1</v>
      </c>
      <c r="T98" s="278">
        <v>1</v>
      </c>
      <c r="U98" s="278">
        <v>1</v>
      </c>
      <c r="V98" s="278">
        <v>1</v>
      </c>
      <c r="W98" s="278">
        <v>1</v>
      </c>
      <c r="X98" s="278">
        <v>1</v>
      </c>
      <c r="Y98" s="278">
        <v>1</v>
      </c>
      <c r="Z98" s="278">
        <v>1</v>
      </c>
      <c r="AA98" s="278">
        <v>1</v>
      </c>
      <c r="AB98" s="278">
        <v>1</v>
      </c>
      <c r="AC98" s="279">
        <v>1</v>
      </c>
      <c r="AD98" s="45"/>
      <c r="AE98" s="45"/>
      <c r="AL98" s="45"/>
      <c r="AM98" s="45"/>
      <c r="AN98" s="45"/>
      <c r="AO98" s="45"/>
      <c r="AP98" s="45"/>
      <c r="AQ98" s="45"/>
      <c r="AR98" s="45"/>
      <c r="AS98" s="45"/>
      <c r="AT98" s="45"/>
      <c r="AU98" s="45"/>
      <c r="AV98" s="45"/>
      <c r="AW98" s="45"/>
      <c r="AX98" s="45"/>
      <c r="AY98" s="45"/>
      <c r="AZ98" s="45"/>
      <c r="BA98" s="45"/>
      <c r="BB98" s="45"/>
      <c r="BC98" s="45"/>
      <c r="BD98" s="45"/>
    </row>
    <row r="99" spans="1:56" ht="27" customHeight="1" thickBot="1" x14ac:dyDescent="0.3">
      <c r="A99" s="516"/>
      <c r="B99" s="519"/>
      <c r="C99" s="522"/>
      <c r="D99" s="525"/>
      <c r="E99" s="280" t="s">
        <v>582</v>
      </c>
      <c r="F99" s="281">
        <v>1</v>
      </c>
      <c r="G99" s="281">
        <v>1</v>
      </c>
      <c r="H99" s="281">
        <v>1</v>
      </c>
      <c r="I99" s="281">
        <v>1</v>
      </c>
      <c r="J99" s="281">
        <v>1</v>
      </c>
      <c r="K99" s="281">
        <v>1</v>
      </c>
      <c r="L99" s="281">
        <v>1</v>
      </c>
      <c r="M99" s="281">
        <v>1</v>
      </c>
      <c r="N99" s="281">
        <v>1</v>
      </c>
      <c r="O99" s="281">
        <v>1</v>
      </c>
      <c r="P99" s="281">
        <v>1</v>
      </c>
      <c r="Q99" s="281">
        <v>1</v>
      </c>
      <c r="R99" s="281">
        <v>1</v>
      </c>
      <c r="S99" s="281">
        <v>1</v>
      </c>
      <c r="T99" s="281">
        <v>1</v>
      </c>
      <c r="U99" s="281">
        <v>1</v>
      </c>
      <c r="V99" s="281">
        <v>1</v>
      </c>
      <c r="W99" s="281">
        <v>1</v>
      </c>
      <c r="X99" s="281">
        <v>1</v>
      </c>
      <c r="Y99" s="281">
        <v>1</v>
      </c>
      <c r="Z99" s="281">
        <v>1</v>
      </c>
      <c r="AA99" s="281">
        <v>1</v>
      </c>
      <c r="AB99" s="281">
        <v>1</v>
      </c>
      <c r="AC99" s="282">
        <v>1</v>
      </c>
      <c r="AD99" s="45"/>
      <c r="AE99" s="45"/>
      <c r="AL99" s="45"/>
      <c r="AM99" s="45"/>
      <c r="AN99" s="45"/>
      <c r="AO99" s="45"/>
      <c r="AP99" s="45"/>
      <c r="AQ99" s="45"/>
      <c r="AR99" s="45"/>
      <c r="AS99" s="45"/>
      <c r="AT99" s="45"/>
      <c r="AU99" s="45"/>
      <c r="AV99" s="45"/>
      <c r="AW99" s="45"/>
      <c r="AX99" s="45"/>
      <c r="AY99" s="45"/>
      <c r="AZ99" s="45"/>
      <c r="BA99" s="45"/>
      <c r="BB99" s="45"/>
      <c r="BC99" s="45"/>
      <c r="BD99" s="45"/>
    </row>
    <row r="100" spans="1:56" ht="27" customHeight="1" x14ac:dyDescent="0.25">
      <c r="A100" s="514"/>
      <c r="B100" s="517" t="s">
        <v>597</v>
      </c>
      <c r="C100" s="520" t="s">
        <v>600</v>
      </c>
      <c r="D100" s="523"/>
      <c r="E100" s="283" t="s">
        <v>580</v>
      </c>
      <c r="F100" s="284">
        <v>0</v>
      </c>
      <c r="G100" s="284">
        <v>0</v>
      </c>
      <c r="H100" s="284">
        <v>0</v>
      </c>
      <c r="I100" s="284">
        <v>0</v>
      </c>
      <c r="J100" s="284">
        <v>0</v>
      </c>
      <c r="K100" s="284">
        <v>1</v>
      </c>
      <c r="L100" s="284">
        <v>1</v>
      </c>
      <c r="M100" s="284">
        <v>1</v>
      </c>
      <c r="N100" s="284">
        <v>1</v>
      </c>
      <c r="O100" s="284">
        <v>1</v>
      </c>
      <c r="P100" s="284">
        <v>1</v>
      </c>
      <c r="Q100" s="284">
        <v>1</v>
      </c>
      <c r="R100" s="284">
        <v>1</v>
      </c>
      <c r="S100" s="284">
        <v>1</v>
      </c>
      <c r="T100" s="284">
        <v>1</v>
      </c>
      <c r="U100" s="284">
        <v>1</v>
      </c>
      <c r="V100" s="284">
        <v>1</v>
      </c>
      <c r="W100" s="284">
        <v>1</v>
      </c>
      <c r="X100" s="284">
        <v>1</v>
      </c>
      <c r="Y100" s="284">
        <v>1</v>
      </c>
      <c r="Z100" s="284">
        <v>1</v>
      </c>
      <c r="AA100" s="284">
        <v>1</v>
      </c>
      <c r="AB100" s="284">
        <v>0</v>
      </c>
      <c r="AC100" s="285">
        <v>0</v>
      </c>
      <c r="AD100" s="45"/>
      <c r="AE100" s="45"/>
      <c r="AL100" s="45"/>
      <c r="AM100" s="45"/>
      <c r="AN100" s="45"/>
      <c r="AO100" s="45"/>
      <c r="AP100" s="45"/>
      <c r="AQ100" s="45"/>
      <c r="AR100" s="45"/>
      <c r="AS100" s="45"/>
      <c r="AT100" s="45"/>
      <c r="AU100" s="45"/>
      <c r="AV100" s="45"/>
      <c r="AW100" s="45"/>
      <c r="AX100" s="45"/>
      <c r="AY100" s="45"/>
      <c r="AZ100" s="45"/>
      <c r="BA100" s="45"/>
      <c r="BB100" s="45"/>
      <c r="BC100" s="45"/>
      <c r="BD100" s="45"/>
    </row>
    <row r="101" spans="1:56" ht="27" customHeight="1" x14ac:dyDescent="0.25">
      <c r="A101" s="515"/>
      <c r="B101" s="518"/>
      <c r="C101" s="521"/>
      <c r="D101" s="524"/>
      <c r="E101" s="269" t="s">
        <v>581</v>
      </c>
      <c r="F101" s="278">
        <v>0</v>
      </c>
      <c r="G101" s="278">
        <v>0</v>
      </c>
      <c r="H101" s="278">
        <v>0</v>
      </c>
      <c r="I101" s="278">
        <v>0</v>
      </c>
      <c r="J101" s="278">
        <v>0</v>
      </c>
      <c r="K101" s="278">
        <v>1</v>
      </c>
      <c r="L101" s="278">
        <v>1</v>
      </c>
      <c r="M101" s="278">
        <v>1</v>
      </c>
      <c r="N101" s="278">
        <v>1</v>
      </c>
      <c r="O101" s="278">
        <v>1</v>
      </c>
      <c r="P101" s="278">
        <v>1</v>
      </c>
      <c r="Q101" s="278">
        <v>1</v>
      </c>
      <c r="R101" s="278">
        <v>1</v>
      </c>
      <c r="S101" s="278">
        <v>1</v>
      </c>
      <c r="T101" s="278">
        <v>1</v>
      </c>
      <c r="U101" s="278">
        <v>1</v>
      </c>
      <c r="V101" s="278">
        <v>1</v>
      </c>
      <c r="W101" s="278">
        <v>1</v>
      </c>
      <c r="X101" s="278">
        <v>1</v>
      </c>
      <c r="Y101" s="278">
        <v>1</v>
      </c>
      <c r="Z101" s="278">
        <v>1</v>
      </c>
      <c r="AA101" s="278">
        <v>1</v>
      </c>
      <c r="AB101" s="278">
        <v>1</v>
      </c>
      <c r="AC101" s="279">
        <v>1</v>
      </c>
      <c r="AD101" s="45"/>
      <c r="AE101" s="45"/>
      <c r="AL101" s="45"/>
      <c r="AM101" s="45"/>
      <c r="AN101" s="45"/>
      <c r="AO101" s="45"/>
      <c r="AP101" s="45"/>
      <c r="AQ101" s="45"/>
      <c r="AR101" s="45"/>
      <c r="AS101" s="45"/>
      <c r="AT101" s="45"/>
      <c r="AU101" s="45"/>
      <c r="AV101" s="45"/>
      <c r="AW101" s="45"/>
      <c r="AX101" s="45"/>
      <c r="AY101" s="45"/>
      <c r="AZ101" s="45"/>
      <c r="BA101" s="45"/>
      <c r="BB101" s="45"/>
      <c r="BC101" s="45"/>
      <c r="BD101" s="45"/>
    </row>
    <row r="102" spans="1:56" ht="27" customHeight="1" thickBot="1" x14ac:dyDescent="0.3">
      <c r="A102" s="516"/>
      <c r="B102" s="519"/>
      <c r="C102" s="522"/>
      <c r="D102" s="525"/>
      <c r="E102" s="280" t="s">
        <v>582</v>
      </c>
      <c r="F102" s="281">
        <v>0</v>
      </c>
      <c r="G102" s="281">
        <v>0</v>
      </c>
      <c r="H102" s="281">
        <v>0</v>
      </c>
      <c r="I102" s="281">
        <v>0</v>
      </c>
      <c r="J102" s="281">
        <v>0</v>
      </c>
      <c r="K102" s="281">
        <v>1</v>
      </c>
      <c r="L102" s="281">
        <v>1</v>
      </c>
      <c r="M102" s="281">
        <v>1</v>
      </c>
      <c r="N102" s="281">
        <v>1</v>
      </c>
      <c r="O102" s="281">
        <v>1</v>
      </c>
      <c r="P102" s="281">
        <v>1</v>
      </c>
      <c r="Q102" s="281">
        <v>1</v>
      </c>
      <c r="R102" s="281">
        <v>1</v>
      </c>
      <c r="S102" s="281">
        <v>1</v>
      </c>
      <c r="T102" s="281">
        <v>1</v>
      </c>
      <c r="U102" s="281">
        <v>1</v>
      </c>
      <c r="V102" s="281">
        <v>1</v>
      </c>
      <c r="W102" s="281">
        <v>1</v>
      </c>
      <c r="X102" s="281">
        <v>1</v>
      </c>
      <c r="Y102" s="281">
        <v>1</v>
      </c>
      <c r="Z102" s="281">
        <v>1</v>
      </c>
      <c r="AA102" s="281">
        <v>1</v>
      </c>
      <c r="AB102" s="281">
        <v>1</v>
      </c>
      <c r="AC102" s="282">
        <v>1</v>
      </c>
      <c r="AD102" s="45"/>
      <c r="AE102" s="45"/>
      <c r="AL102" s="45"/>
      <c r="AM102" s="45"/>
      <c r="AN102" s="45"/>
      <c r="AO102" s="45"/>
      <c r="AP102" s="45"/>
      <c r="AQ102" s="45"/>
      <c r="AR102" s="45"/>
      <c r="AS102" s="45"/>
      <c r="AT102" s="45"/>
      <c r="AU102" s="45"/>
      <c r="AV102" s="45"/>
      <c r="AW102" s="45"/>
      <c r="AX102" s="45"/>
      <c r="AY102" s="45"/>
      <c r="AZ102" s="45"/>
      <c r="BA102" s="45"/>
      <c r="BB102" s="45"/>
      <c r="BC102" s="45"/>
      <c r="BD102" s="45"/>
    </row>
    <row r="103" spans="1:56" ht="27" customHeight="1" x14ac:dyDescent="0.25">
      <c r="A103" s="526" t="s">
        <v>116</v>
      </c>
      <c r="B103" s="529" t="s">
        <v>597</v>
      </c>
      <c r="C103" s="532" t="s">
        <v>601</v>
      </c>
      <c r="D103" s="523" t="s">
        <v>602</v>
      </c>
      <c r="E103" s="283" t="s">
        <v>580</v>
      </c>
      <c r="F103" s="284">
        <v>110</v>
      </c>
      <c r="G103" s="284">
        <v>110</v>
      </c>
      <c r="H103" s="284">
        <v>110</v>
      </c>
      <c r="I103" s="284">
        <v>110</v>
      </c>
      <c r="J103" s="284">
        <v>110</v>
      </c>
      <c r="K103" s="284">
        <v>110</v>
      </c>
      <c r="L103" s="284">
        <v>110</v>
      </c>
      <c r="M103" s="284">
        <v>130</v>
      </c>
      <c r="N103" s="284">
        <v>130</v>
      </c>
      <c r="O103" s="284">
        <v>130</v>
      </c>
      <c r="P103" s="284">
        <v>130</v>
      </c>
      <c r="Q103" s="284">
        <v>140</v>
      </c>
      <c r="R103" s="284">
        <v>140</v>
      </c>
      <c r="S103" s="284">
        <v>140</v>
      </c>
      <c r="T103" s="284">
        <v>140</v>
      </c>
      <c r="U103" s="284">
        <v>140</v>
      </c>
      <c r="V103" s="284">
        <v>110</v>
      </c>
      <c r="W103" s="284">
        <v>110</v>
      </c>
      <c r="X103" s="284">
        <v>110</v>
      </c>
      <c r="Y103" s="284">
        <v>110</v>
      </c>
      <c r="Z103" s="284">
        <v>110</v>
      </c>
      <c r="AA103" s="284">
        <v>110</v>
      </c>
      <c r="AB103" s="284">
        <v>110</v>
      </c>
      <c r="AC103" s="285">
        <v>110</v>
      </c>
      <c r="AD103" s="45"/>
      <c r="AE103" s="45"/>
      <c r="AL103" s="45"/>
      <c r="AM103" s="45"/>
      <c r="AN103" s="45"/>
      <c r="AO103" s="45"/>
      <c r="AP103" s="45"/>
      <c r="AQ103" s="45"/>
      <c r="AR103" s="45"/>
      <c r="AS103" s="45"/>
      <c r="AT103" s="45"/>
      <c r="AU103" s="45"/>
      <c r="AV103" s="45"/>
      <c r="AW103" s="45"/>
      <c r="AX103" s="45"/>
      <c r="AY103" s="45"/>
      <c r="AZ103" s="45"/>
      <c r="BA103" s="45"/>
      <c r="BB103" s="45"/>
      <c r="BC103" s="45"/>
      <c r="BD103" s="45"/>
    </row>
    <row r="104" spans="1:56" ht="27" customHeight="1" x14ac:dyDescent="0.25">
      <c r="A104" s="527"/>
      <c r="B104" s="530"/>
      <c r="C104" s="521"/>
      <c r="D104" s="524"/>
      <c r="E104" s="269" t="s">
        <v>581</v>
      </c>
      <c r="F104" s="278">
        <v>110</v>
      </c>
      <c r="G104" s="278">
        <v>110</v>
      </c>
      <c r="H104" s="278">
        <v>110</v>
      </c>
      <c r="I104" s="278">
        <v>110</v>
      </c>
      <c r="J104" s="278">
        <v>110</v>
      </c>
      <c r="K104" s="278">
        <v>110</v>
      </c>
      <c r="L104" s="278">
        <v>110</v>
      </c>
      <c r="M104" s="278">
        <v>130</v>
      </c>
      <c r="N104" s="278">
        <v>130</v>
      </c>
      <c r="O104" s="278">
        <v>130</v>
      </c>
      <c r="P104" s="278">
        <v>130</v>
      </c>
      <c r="Q104" s="278">
        <v>140</v>
      </c>
      <c r="R104" s="278">
        <v>140</v>
      </c>
      <c r="S104" s="278">
        <v>140</v>
      </c>
      <c r="T104" s="278">
        <v>140</v>
      </c>
      <c r="U104" s="278">
        <v>140</v>
      </c>
      <c r="V104" s="278">
        <v>110</v>
      </c>
      <c r="W104" s="278">
        <v>110</v>
      </c>
      <c r="X104" s="278">
        <v>110</v>
      </c>
      <c r="Y104" s="278">
        <v>110</v>
      </c>
      <c r="Z104" s="278">
        <v>110</v>
      </c>
      <c r="AA104" s="278">
        <v>110</v>
      </c>
      <c r="AB104" s="278">
        <v>110</v>
      </c>
      <c r="AC104" s="279">
        <v>110</v>
      </c>
      <c r="AD104" s="45"/>
      <c r="AE104" s="45"/>
      <c r="AL104" s="45"/>
      <c r="AM104" s="45"/>
      <c r="AN104" s="45"/>
      <c r="AO104" s="45"/>
      <c r="AP104" s="45"/>
      <c r="AQ104" s="45"/>
      <c r="AR104" s="45"/>
      <c r="AS104" s="45"/>
      <c r="AT104" s="45"/>
      <c r="AU104" s="45"/>
      <c r="AV104" s="45"/>
      <c r="AW104" s="45"/>
      <c r="AX104" s="45"/>
      <c r="AY104" s="45"/>
      <c r="AZ104" s="45"/>
      <c r="BA104" s="45"/>
      <c r="BB104" s="45"/>
      <c r="BC104" s="45"/>
      <c r="BD104" s="45"/>
    </row>
    <row r="105" spans="1:56" ht="27" customHeight="1" thickBot="1" x14ac:dyDescent="0.3">
      <c r="A105" s="528"/>
      <c r="B105" s="531"/>
      <c r="C105" s="522"/>
      <c r="D105" s="525"/>
      <c r="E105" s="280" t="s">
        <v>582</v>
      </c>
      <c r="F105" s="281">
        <v>110</v>
      </c>
      <c r="G105" s="281">
        <v>110</v>
      </c>
      <c r="H105" s="281">
        <v>110</v>
      </c>
      <c r="I105" s="281">
        <v>110</v>
      </c>
      <c r="J105" s="281">
        <v>110</v>
      </c>
      <c r="K105" s="281">
        <v>110</v>
      </c>
      <c r="L105" s="281">
        <v>110</v>
      </c>
      <c r="M105" s="281">
        <v>130</v>
      </c>
      <c r="N105" s="281">
        <v>130</v>
      </c>
      <c r="O105" s="281">
        <v>130</v>
      </c>
      <c r="P105" s="281">
        <v>130</v>
      </c>
      <c r="Q105" s="281">
        <v>140</v>
      </c>
      <c r="R105" s="281">
        <v>140</v>
      </c>
      <c r="S105" s="281">
        <v>140</v>
      </c>
      <c r="T105" s="281">
        <v>140</v>
      </c>
      <c r="U105" s="281">
        <v>140</v>
      </c>
      <c r="V105" s="281">
        <v>110</v>
      </c>
      <c r="W105" s="281">
        <v>110</v>
      </c>
      <c r="X105" s="281">
        <v>110</v>
      </c>
      <c r="Y105" s="281">
        <v>110</v>
      </c>
      <c r="Z105" s="281">
        <v>110</v>
      </c>
      <c r="AA105" s="281">
        <v>110</v>
      </c>
      <c r="AB105" s="281">
        <v>110</v>
      </c>
      <c r="AC105" s="282">
        <v>110</v>
      </c>
      <c r="AD105" s="45"/>
      <c r="AE105" s="45"/>
      <c r="AL105" s="45"/>
      <c r="AM105" s="45"/>
      <c r="AN105" s="45"/>
      <c r="AO105" s="45"/>
      <c r="AP105" s="45"/>
      <c r="AQ105" s="45"/>
      <c r="AR105" s="45"/>
      <c r="AS105" s="45"/>
      <c r="AT105" s="45"/>
      <c r="AU105" s="45"/>
      <c r="AV105" s="45"/>
      <c r="AW105" s="45"/>
      <c r="AX105" s="45"/>
      <c r="AY105" s="45"/>
      <c r="AZ105" s="45"/>
      <c r="BA105" s="45"/>
      <c r="BB105" s="45"/>
      <c r="BC105" s="45"/>
      <c r="BD105" s="45"/>
    </row>
    <row r="106" spans="1:56" ht="27" customHeight="1" x14ac:dyDescent="0.25">
      <c r="A106" s="514" t="s">
        <v>105</v>
      </c>
      <c r="B106" s="517" t="s">
        <v>597</v>
      </c>
      <c r="C106" s="520" t="s">
        <v>603</v>
      </c>
      <c r="D106" s="523" t="s">
        <v>602</v>
      </c>
      <c r="E106" s="283" t="s">
        <v>580</v>
      </c>
      <c r="F106" s="284">
        <v>131.9</v>
      </c>
      <c r="G106" s="284">
        <v>131.9</v>
      </c>
      <c r="H106" s="284">
        <v>131.9</v>
      </c>
      <c r="I106" s="284">
        <v>131.9</v>
      </c>
      <c r="J106" s="284">
        <v>131.9</v>
      </c>
      <c r="K106" s="284">
        <v>131.9</v>
      </c>
      <c r="L106" s="284">
        <v>131.9</v>
      </c>
      <c r="M106" s="284">
        <v>131.9</v>
      </c>
      <c r="N106" s="284">
        <v>131.9</v>
      </c>
      <c r="O106" s="284">
        <v>131.9</v>
      </c>
      <c r="P106" s="284">
        <v>131.9</v>
      </c>
      <c r="Q106" s="284">
        <v>131.9</v>
      </c>
      <c r="R106" s="284">
        <v>131.9</v>
      </c>
      <c r="S106" s="284">
        <v>131.9</v>
      </c>
      <c r="T106" s="284">
        <v>131.9</v>
      </c>
      <c r="U106" s="284">
        <v>131.9</v>
      </c>
      <c r="V106" s="284">
        <v>131.9</v>
      </c>
      <c r="W106" s="284">
        <v>131.9</v>
      </c>
      <c r="X106" s="284">
        <v>131.9</v>
      </c>
      <c r="Y106" s="284">
        <v>131.9</v>
      </c>
      <c r="Z106" s="284">
        <v>131.9</v>
      </c>
      <c r="AA106" s="284">
        <v>131.9</v>
      </c>
      <c r="AB106" s="284">
        <v>131.9</v>
      </c>
      <c r="AC106" s="285">
        <v>131.9</v>
      </c>
      <c r="AD106" s="45"/>
      <c r="AE106" s="45"/>
      <c r="AL106" s="45"/>
      <c r="AM106" s="45"/>
      <c r="AN106" s="45"/>
      <c r="AO106" s="45"/>
      <c r="AP106" s="45"/>
      <c r="AQ106" s="45"/>
      <c r="AR106" s="45"/>
      <c r="AS106" s="45"/>
      <c r="AT106" s="45"/>
      <c r="AU106" s="45"/>
      <c r="AV106" s="45"/>
      <c r="AW106" s="45"/>
      <c r="AX106" s="45"/>
      <c r="AY106" s="45"/>
      <c r="AZ106" s="45"/>
      <c r="BA106" s="45"/>
      <c r="BB106" s="45"/>
      <c r="BC106" s="45"/>
      <c r="BD106" s="45"/>
    </row>
    <row r="107" spans="1:56" ht="27" customHeight="1" x14ac:dyDescent="0.25">
      <c r="A107" s="515"/>
      <c r="B107" s="518"/>
      <c r="C107" s="521"/>
      <c r="D107" s="524"/>
      <c r="E107" s="269" t="s">
        <v>581</v>
      </c>
      <c r="F107" s="278">
        <v>131.9</v>
      </c>
      <c r="G107" s="278">
        <v>131.9</v>
      </c>
      <c r="H107" s="278">
        <v>131.9</v>
      </c>
      <c r="I107" s="278">
        <v>131.9</v>
      </c>
      <c r="J107" s="278">
        <v>131.9</v>
      </c>
      <c r="K107" s="278">
        <v>131.9</v>
      </c>
      <c r="L107" s="278">
        <v>131.9</v>
      </c>
      <c r="M107" s="278">
        <v>131.9</v>
      </c>
      <c r="N107" s="278">
        <v>131.9</v>
      </c>
      <c r="O107" s="278">
        <v>131.9</v>
      </c>
      <c r="P107" s="278">
        <v>131.9</v>
      </c>
      <c r="Q107" s="278">
        <v>131.9</v>
      </c>
      <c r="R107" s="278">
        <v>131.9</v>
      </c>
      <c r="S107" s="278">
        <v>131.9</v>
      </c>
      <c r="T107" s="278">
        <v>131.9</v>
      </c>
      <c r="U107" s="278">
        <v>131.9</v>
      </c>
      <c r="V107" s="278">
        <v>131.9</v>
      </c>
      <c r="W107" s="278">
        <v>131.9</v>
      </c>
      <c r="X107" s="278">
        <v>131.9</v>
      </c>
      <c r="Y107" s="278">
        <v>131.9</v>
      </c>
      <c r="Z107" s="278">
        <v>131.9</v>
      </c>
      <c r="AA107" s="278">
        <v>131.9</v>
      </c>
      <c r="AB107" s="278">
        <v>131.9</v>
      </c>
      <c r="AC107" s="279">
        <v>131.9</v>
      </c>
      <c r="AD107" s="45"/>
      <c r="AE107" s="45"/>
      <c r="AL107" s="45"/>
      <c r="AM107" s="45"/>
      <c r="AN107" s="45"/>
      <c r="AO107" s="45"/>
      <c r="AP107" s="45"/>
      <c r="AQ107" s="45"/>
      <c r="AR107" s="45"/>
      <c r="AS107" s="45"/>
      <c r="AT107" s="45"/>
      <c r="AU107" s="45"/>
      <c r="AV107" s="45"/>
      <c r="AW107" s="45"/>
      <c r="AX107" s="45"/>
      <c r="AY107" s="45"/>
      <c r="AZ107" s="45"/>
      <c r="BA107" s="45"/>
      <c r="BB107" s="45"/>
      <c r="BC107" s="45"/>
      <c r="BD107" s="45"/>
    </row>
    <row r="108" spans="1:56" ht="27" customHeight="1" thickBot="1" x14ac:dyDescent="0.3">
      <c r="A108" s="516"/>
      <c r="B108" s="519"/>
      <c r="C108" s="522"/>
      <c r="D108" s="525"/>
      <c r="E108" s="280" t="s">
        <v>582</v>
      </c>
      <c r="F108" s="281">
        <v>131.9</v>
      </c>
      <c r="G108" s="281">
        <v>131.9</v>
      </c>
      <c r="H108" s="281">
        <v>131.9</v>
      </c>
      <c r="I108" s="281">
        <v>131.9</v>
      </c>
      <c r="J108" s="281">
        <v>131.9</v>
      </c>
      <c r="K108" s="281">
        <v>131.9</v>
      </c>
      <c r="L108" s="281">
        <v>131.9</v>
      </c>
      <c r="M108" s="281">
        <v>131.9</v>
      </c>
      <c r="N108" s="281">
        <v>131.9</v>
      </c>
      <c r="O108" s="281">
        <v>131.9</v>
      </c>
      <c r="P108" s="281">
        <v>131.9</v>
      </c>
      <c r="Q108" s="281">
        <v>131.9</v>
      </c>
      <c r="R108" s="281">
        <v>131.9</v>
      </c>
      <c r="S108" s="281">
        <v>131.9</v>
      </c>
      <c r="T108" s="281">
        <v>131.9</v>
      </c>
      <c r="U108" s="281">
        <v>131.9</v>
      </c>
      <c r="V108" s="281">
        <v>131.9</v>
      </c>
      <c r="W108" s="281">
        <v>131.9</v>
      </c>
      <c r="X108" s="281">
        <v>131.9</v>
      </c>
      <c r="Y108" s="281">
        <v>131.9</v>
      </c>
      <c r="Z108" s="281">
        <v>131.9</v>
      </c>
      <c r="AA108" s="281">
        <v>131.9</v>
      </c>
      <c r="AB108" s="281">
        <v>131.9</v>
      </c>
      <c r="AC108" s="282">
        <v>131.9</v>
      </c>
      <c r="AD108" s="45"/>
      <c r="AE108" s="45"/>
      <c r="AL108" s="45"/>
      <c r="AM108" s="45"/>
      <c r="AN108" s="45"/>
      <c r="AO108" s="45"/>
      <c r="AP108" s="45"/>
      <c r="AQ108" s="45"/>
      <c r="AR108" s="45"/>
      <c r="AS108" s="45"/>
      <c r="AT108" s="45"/>
      <c r="AU108" s="45"/>
      <c r="AV108" s="45"/>
      <c r="AW108" s="45"/>
      <c r="AX108" s="45"/>
      <c r="AY108" s="45"/>
      <c r="AZ108" s="45"/>
      <c r="BA108" s="45"/>
      <c r="BB108" s="45"/>
      <c r="BC108" s="45"/>
      <c r="BD108" s="45"/>
    </row>
    <row r="109" spans="1:56" ht="27" customHeight="1" x14ac:dyDescent="0.25">
      <c r="A109" s="514" t="s">
        <v>604</v>
      </c>
      <c r="B109" s="517" t="s">
        <v>597</v>
      </c>
      <c r="C109" s="520" t="s">
        <v>605</v>
      </c>
      <c r="D109" s="523" t="s">
        <v>602</v>
      </c>
      <c r="E109" s="283" t="s">
        <v>580</v>
      </c>
      <c r="F109" s="284">
        <v>117.2</v>
      </c>
      <c r="G109" s="284">
        <v>117.2</v>
      </c>
      <c r="H109" s="284">
        <v>117.2</v>
      </c>
      <c r="I109" s="284">
        <v>117.2</v>
      </c>
      <c r="J109" s="284">
        <v>117.2</v>
      </c>
      <c r="K109" s="284">
        <v>117.2</v>
      </c>
      <c r="L109" s="284">
        <v>117.2</v>
      </c>
      <c r="M109" s="284">
        <v>117.2</v>
      </c>
      <c r="N109" s="284">
        <v>117.2</v>
      </c>
      <c r="O109" s="284">
        <v>117.2</v>
      </c>
      <c r="P109" s="284">
        <v>117.2</v>
      </c>
      <c r="Q109" s="284">
        <v>117.2</v>
      </c>
      <c r="R109" s="284">
        <v>117.2</v>
      </c>
      <c r="S109" s="284">
        <v>117.2</v>
      </c>
      <c r="T109" s="284">
        <v>117.2</v>
      </c>
      <c r="U109" s="284">
        <v>117.2</v>
      </c>
      <c r="V109" s="284">
        <v>117.2</v>
      </c>
      <c r="W109" s="284">
        <v>117.2</v>
      </c>
      <c r="X109" s="284">
        <v>117.2</v>
      </c>
      <c r="Y109" s="284">
        <v>117.2</v>
      </c>
      <c r="Z109" s="284">
        <v>117.2</v>
      </c>
      <c r="AA109" s="284">
        <v>117.2</v>
      </c>
      <c r="AB109" s="284">
        <v>117.2</v>
      </c>
      <c r="AC109" s="285">
        <v>117.2</v>
      </c>
      <c r="AD109" s="45"/>
      <c r="AE109" s="45"/>
      <c r="AL109" s="45"/>
      <c r="AM109" s="45"/>
      <c r="AN109" s="45"/>
      <c r="AO109" s="45"/>
      <c r="AP109" s="45"/>
      <c r="AQ109" s="45"/>
      <c r="AR109" s="45"/>
      <c r="AS109" s="45"/>
      <c r="AT109" s="45"/>
      <c r="AU109" s="45"/>
      <c r="AV109" s="45"/>
      <c r="AW109" s="45"/>
      <c r="AX109" s="45"/>
      <c r="AY109" s="45"/>
      <c r="AZ109" s="45"/>
      <c r="BA109" s="45"/>
      <c r="BB109" s="45"/>
      <c r="BC109" s="45"/>
      <c r="BD109" s="45"/>
    </row>
    <row r="110" spans="1:56" ht="27" customHeight="1" x14ac:dyDescent="0.25">
      <c r="A110" s="515"/>
      <c r="B110" s="518"/>
      <c r="C110" s="521"/>
      <c r="D110" s="524"/>
      <c r="E110" s="269" t="s">
        <v>581</v>
      </c>
      <c r="F110" s="278">
        <v>117.2</v>
      </c>
      <c r="G110" s="278">
        <v>117.2</v>
      </c>
      <c r="H110" s="278">
        <v>117.2</v>
      </c>
      <c r="I110" s="278">
        <v>117.2</v>
      </c>
      <c r="J110" s="278">
        <v>117.2</v>
      </c>
      <c r="K110" s="278">
        <v>117.2</v>
      </c>
      <c r="L110" s="278">
        <v>117.2</v>
      </c>
      <c r="M110" s="278">
        <v>117.2</v>
      </c>
      <c r="N110" s="278">
        <v>117.2</v>
      </c>
      <c r="O110" s="278">
        <v>117.2</v>
      </c>
      <c r="P110" s="278">
        <v>117.2</v>
      </c>
      <c r="Q110" s="278">
        <v>117.2</v>
      </c>
      <c r="R110" s="278">
        <v>117.2</v>
      </c>
      <c r="S110" s="278">
        <v>117.2</v>
      </c>
      <c r="T110" s="278">
        <v>117.2</v>
      </c>
      <c r="U110" s="278">
        <v>117.2</v>
      </c>
      <c r="V110" s="278">
        <v>117.2</v>
      </c>
      <c r="W110" s="278">
        <v>117.2</v>
      </c>
      <c r="X110" s="278">
        <v>117.2</v>
      </c>
      <c r="Y110" s="278">
        <v>117.2</v>
      </c>
      <c r="Z110" s="278">
        <v>117.2</v>
      </c>
      <c r="AA110" s="278">
        <v>117.2</v>
      </c>
      <c r="AB110" s="278">
        <v>117.2</v>
      </c>
      <c r="AC110" s="279">
        <v>117.2</v>
      </c>
      <c r="AD110" s="45"/>
      <c r="AE110" s="45"/>
      <c r="AL110" s="45"/>
      <c r="AM110" s="45"/>
      <c r="AN110" s="45"/>
      <c r="AO110" s="45"/>
      <c r="AP110" s="45"/>
      <c r="AQ110" s="45"/>
      <c r="AR110" s="45"/>
      <c r="AS110" s="45"/>
      <c r="AT110" s="45"/>
      <c r="AU110" s="45"/>
      <c r="AV110" s="45"/>
      <c r="AW110" s="45"/>
      <c r="AX110" s="45"/>
      <c r="AY110" s="45"/>
      <c r="AZ110" s="45"/>
      <c r="BA110" s="45"/>
      <c r="BB110" s="45"/>
      <c r="BC110" s="45"/>
      <c r="BD110" s="45"/>
    </row>
    <row r="111" spans="1:56" ht="27" customHeight="1" thickBot="1" x14ac:dyDescent="0.3">
      <c r="A111" s="516"/>
      <c r="B111" s="519"/>
      <c r="C111" s="522"/>
      <c r="D111" s="525"/>
      <c r="E111" s="280" t="s">
        <v>582</v>
      </c>
      <c r="F111" s="281">
        <v>117.2</v>
      </c>
      <c r="G111" s="281">
        <v>117.2</v>
      </c>
      <c r="H111" s="281">
        <v>117.2</v>
      </c>
      <c r="I111" s="281">
        <v>117.2</v>
      </c>
      <c r="J111" s="281">
        <v>117.2</v>
      </c>
      <c r="K111" s="281">
        <v>117.2</v>
      </c>
      <c r="L111" s="281">
        <v>117.2</v>
      </c>
      <c r="M111" s="281">
        <v>117.2</v>
      </c>
      <c r="N111" s="281">
        <v>117.2</v>
      </c>
      <c r="O111" s="281">
        <v>117.2</v>
      </c>
      <c r="P111" s="281">
        <v>117.2</v>
      </c>
      <c r="Q111" s="281">
        <v>117.2</v>
      </c>
      <c r="R111" s="281">
        <v>117.2</v>
      </c>
      <c r="S111" s="281">
        <v>117.2</v>
      </c>
      <c r="T111" s="281">
        <v>117.2</v>
      </c>
      <c r="U111" s="281">
        <v>117.2</v>
      </c>
      <c r="V111" s="281">
        <v>117.2</v>
      </c>
      <c r="W111" s="281">
        <v>117.2</v>
      </c>
      <c r="X111" s="281">
        <v>117.2</v>
      </c>
      <c r="Y111" s="281">
        <v>117.2</v>
      </c>
      <c r="Z111" s="281">
        <v>117.2</v>
      </c>
      <c r="AA111" s="281">
        <v>117.2</v>
      </c>
      <c r="AB111" s="281">
        <v>117.2</v>
      </c>
      <c r="AC111" s="282">
        <v>117.2</v>
      </c>
      <c r="AD111" s="45"/>
      <c r="AE111" s="45"/>
      <c r="AL111" s="45"/>
      <c r="AM111" s="45"/>
      <c r="AN111" s="45"/>
      <c r="AO111" s="45"/>
      <c r="AP111" s="45"/>
      <c r="AQ111" s="45"/>
      <c r="AR111" s="45"/>
      <c r="AS111" s="45"/>
      <c r="AT111" s="45"/>
      <c r="AU111" s="45"/>
      <c r="AV111" s="45"/>
      <c r="AW111" s="45"/>
      <c r="AX111" s="45"/>
      <c r="AY111" s="45"/>
      <c r="AZ111" s="45"/>
      <c r="BA111" s="45"/>
      <c r="BB111" s="45"/>
      <c r="BC111" s="45"/>
      <c r="BD111" s="45"/>
    </row>
    <row r="112" spans="1:56" ht="27" customHeight="1" x14ac:dyDescent="0.25">
      <c r="A112" s="514" t="s">
        <v>94</v>
      </c>
      <c r="B112" s="517" t="s">
        <v>597</v>
      </c>
      <c r="C112" s="520" t="s">
        <v>606</v>
      </c>
      <c r="D112" s="523" t="s">
        <v>602</v>
      </c>
      <c r="E112" s="283" t="s">
        <v>580</v>
      </c>
      <c r="F112" s="284">
        <v>131.9</v>
      </c>
      <c r="G112" s="284">
        <v>131.9</v>
      </c>
      <c r="H112" s="284">
        <v>131.9</v>
      </c>
      <c r="I112" s="284">
        <v>131.9</v>
      </c>
      <c r="J112" s="284">
        <v>131.9</v>
      </c>
      <c r="K112" s="284">
        <v>131.9</v>
      </c>
      <c r="L112" s="284">
        <v>131.9</v>
      </c>
      <c r="M112" s="284">
        <v>131.9</v>
      </c>
      <c r="N112" s="284">
        <v>131.9</v>
      </c>
      <c r="O112" s="284">
        <v>131.9</v>
      </c>
      <c r="P112" s="284">
        <v>131.9</v>
      </c>
      <c r="Q112" s="284">
        <v>131.9</v>
      </c>
      <c r="R112" s="284">
        <v>131.9</v>
      </c>
      <c r="S112" s="284">
        <v>131.9</v>
      </c>
      <c r="T112" s="284">
        <v>131.9</v>
      </c>
      <c r="U112" s="284">
        <v>131.9</v>
      </c>
      <c r="V112" s="284">
        <v>131.9</v>
      </c>
      <c r="W112" s="284">
        <v>131.9</v>
      </c>
      <c r="X112" s="284">
        <v>131.9</v>
      </c>
      <c r="Y112" s="284">
        <v>131.9</v>
      </c>
      <c r="Z112" s="284">
        <v>131.9</v>
      </c>
      <c r="AA112" s="284">
        <v>131.9</v>
      </c>
      <c r="AB112" s="284">
        <v>131.9</v>
      </c>
      <c r="AC112" s="285">
        <v>131.9</v>
      </c>
      <c r="AD112" s="45"/>
      <c r="AE112" s="45"/>
      <c r="AL112" s="45"/>
      <c r="AM112" s="45"/>
      <c r="AN112" s="45"/>
      <c r="AO112" s="45"/>
      <c r="AP112" s="45"/>
      <c r="AQ112" s="45"/>
      <c r="AR112" s="45"/>
      <c r="AS112" s="45"/>
      <c r="AT112" s="45"/>
      <c r="AU112" s="45"/>
      <c r="AV112" s="45"/>
      <c r="AW112" s="45"/>
      <c r="AX112" s="45"/>
      <c r="AY112" s="45"/>
      <c r="AZ112" s="45"/>
      <c r="BA112" s="45"/>
      <c r="BB112" s="45"/>
      <c r="BC112" s="45"/>
      <c r="BD112" s="45"/>
    </row>
    <row r="113" spans="1:56" ht="27" customHeight="1" x14ac:dyDescent="0.25">
      <c r="A113" s="515"/>
      <c r="B113" s="518"/>
      <c r="C113" s="521"/>
      <c r="D113" s="524"/>
      <c r="E113" s="269" t="s">
        <v>581</v>
      </c>
      <c r="F113" s="278">
        <v>131.9</v>
      </c>
      <c r="G113" s="278">
        <v>131.9</v>
      </c>
      <c r="H113" s="278">
        <v>131.9</v>
      </c>
      <c r="I113" s="278">
        <v>131.9</v>
      </c>
      <c r="J113" s="278">
        <v>131.9</v>
      </c>
      <c r="K113" s="278">
        <v>131.9</v>
      </c>
      <c r="L113" s="278">
        <v>131.9</v>
      </c>
      <c r="M113" s="278">
        <v>131.9</v>
      </c>
      <c r="N113" s="278">
        <v>131.9</v>
      </c>
      <c r="O113" s="278">
        <v>131.9</v>
      </c>
      <c r="P113" s="278">
        <v>131.9</v>
      </c>
      <c r="Q113" s="278">
        <v>131.9</v>
      </c>
      <c r="R113" s="278">
        <v>131.9</v>
      </c>
      <c r="S113" s="278">
        <v>131.9</v>
      </c>
      <c r="T113" s="278">
        <v>131.9</v>
      </c>
      <c r="U113" s="278">
        <v>131.9</v>
      </c>
      <c r="V113" s="278">
        <v>131.9</v>
      </c>
      <c r="W113" s="278">
        <v>131.9</v>
      </c>
      <c r="X113" s="278">
        <v>131.9</v>
      </c>
      <c r="Y113" s="278">
        <v>131.9</v>
      </c>
      <c r="Z113" s="278">
        <v>131.9</v>
      </c>
      <c r="AA113" s="278">
        <v>131.9</v>
      </c>
      <c r="AB113" s="278">
        <v>131.9</v>
      </c>
      <c r="AC113" s="279">
        <v>131.9</v>
      </c>
      <c r="AD113" s="45"/>
      <c r="AE113" s="45"/>
      <c r="AL113" s="45"/>
      <c r="AM113" s="45"/>
      <c r="AN113" s="45"/>
      <c r="AO113" s="45"/>
      <c r="AP113" s="45"/>
      <c r="AQ113" s="45"/>
      <c r="AR113" s="45"/>
      <c r="AS113" s="45"/>
      <c r="AT113" s="45"/>
      <c r="AU113" s="45"/>
      <c r="AV113" s="45"/>
      <c r="AW113" s="45"/>
      <c r="AX113" s="45"/>
      <c r="AY113" s="45"/>
      <c r="AZ113" s="45"/>
      <c r="BA113" s="45"/>
      <c r="BB113" s="45"/>
      <c r="BC113" s="45"/>
      <c r="BD113" s="45"/>
    </row>
    <row r="114" spans="1:56" ht="27" customHeight="1" thickBot="1" x14ac:dyDescent="0.3">
      <c r="A114" s="516"/>
      <c r="B114" s="519"/>
      <c r="C114" s="522"/>
      <c r="D114" s="525"/>
      <c r="E114" s="280" t="s">
        <v>582</v>
      </c>
      <c r="F114" s="281">
        <v>131.9</v>
      </c>
      <c r="G114" s="281">
        <v>131.9</v>
      </c>
      <c r="H114" s="281">
        <v>131.9</v>
      </c>
      <c r="I114" s="281">
        <v>131.9</v>
      </c>
      <c r="J114" s="281">
        <v>131.9</v>
      </c>
      <c r="K114" s="281">
        <v>131.9</v>
      </c>
      <c r="L114" s="281">
        <v>131.9</v>
      </c>
      <c r="M114" s="281">
        <v>131.9</v>
      </c>
      <c r="N114" s="281">
        <v>131.9</v>
      </c>
      <c r="O114" s="281">
        <v>131.9</v>
      </c>
      <c r="P114" s="281">
        <v>131.9</v>
      </c>
      <c r="Q114" s="281">
        <v>131.9</v>
      </c>
      <c r="R114" s="281">
        <v>131.9</v>
      </c>
      <c r="S114" s="281">
        <v>131.9</v>
      </c>
      <c r="T114" s="281">
        <v>131.9</v>
      </c>
      <c r="U114" s="281">
        <v>131.9</v>
      </c>
      <c r="V114" s="281">
        <v>131.9</v>
      </c>
      <c r="W114" s="281">
        <v>131.9</v>
      </c>
      <c r="X114" s="281">
        <v>131.9</v>
      </c>
      <c r="Y114" s="281">
        <v>131.9</v>
      </c>
      <c r="Z114" s="281">
        <v>131.9</v>
      </c>
      <c r="AA114" s="281">
        <v>131.9</v>
      </c>
      <c r="AB114" s="281">
        <v>131.9</v>
      </c>
      <c r="AC114" s="282">
        <v>131.9</v>
      </c>
      <c r="AD114" s="45"/>
      <c r="AE114" s="45"/>
      <c r="AL114" s="45"/>
      <c r="AM114" s="45"/>
      <c r="AN114" s="45"/>
      <c r="AO114" s="45"/>
      <c r="AP114" s="45"/>
      <c r="AQ114" s="45"/>
      <c r="AR114" s="45"/>
      <c r="AS114" s="45"/>
      <c r="AT114" s="45"/>
      <c r="AU114" s="45"/>
      <c r="AV114" s="45"/>
      <c r="AW114" s="45"/>
      <c r="AX114" s="45"/>
      <c r="AY114" s="45"/>
      <c r="AZ114" s="45"/>
      <c r="BA114" s="45"/>
      <c r="BB114" s="45"/>
      <c r="BC114" s="45"/>
      <c r="BD114" s="45"/>
    </row>
    <row r="115" spans="1:56" ht="27" customHeight="1" x14ac:dyDescent="0.25">
      <c r="A115" s="514" t="s">
        <v>607</v>
      </c>
      <c r="B115" s="517" t="s">
        <v>597</v>
      </c>
      <c r="C115" s="520" t="s">
        <v>608</v>
      </c>
      <c r="D115" s="523" t="s">
        <v>602</v>
      </c>
      <c r="E115" s="283" t="s">
        <v>580</v>
      </c>
      <c r="F115" s="284">
        <v>146.5</v>
      </c>
      <c r="G115" s="284">
        <v>146.5</v>
      </c>
      <c r="H115" s="284">
        <v>146.5</v>
      </c>
      <c r="I115" s="284">
        <v>146.5</v>
      </c>
      <c r="J115" s="284">
        <v>146.5</v>
      </c>
      <c r="K115" s="284">
        <v>146.5</v>
      </c>
      <c r="L115" s="284">
        <v>146.5</v>
      </c>
      <c r="M115" s="284">
        <v>146.5</v>
      </c>
      <c r="N115" s="284">
        <v>146.5</v>
      </c>
      <c r="O115" s="284">
        <v>146.5</v>
      </c>
      <c r="P115" s="284">
        <v>146.5</v>
      </c>
      <c r="Q115" s="284">
        <v>146.5</v>
      </c>
      <c r="R115" s="284">
        <v>146.5</v>
      </c>
      <c r="S115" s="284">
        <v>146.5</v>
      </c>
      <c r="T115" s="284">
        <v>146.5</v>
      </c>
      <c r="U115" s="284">
        <v>146.5</v>
      </c>
      <c r="V115" s="284">
        <v>146.5</v>
      </c>
      <c r="W115" s="284">
        <v>146.5</v>
      </c>
      <c r="X115" s="284">
        <v>146.5</v>
      </c>
      <c r="Y115" s="284">
        <v>146.5</v>
      </c>
      <c r="Z115" s="284">
        <v>146.5</v>
      </c>
      <c r="AA115" s="284">
        <v>146.5</v>
      </c>
      <c r="AB115" s="284">
        <v>146.5</v>
      </c>
      <c r="AC115" s="285">
        <v>146.5</v>
      </c>
      <c r="AD115" s="45"/>
      <c r="AE115" s="45"/>
      <c r="AL115" s="45"/>
      <c r="AM115" s="45"/>
      <c r="AN115" s="45"/>
      <c r="AO115" s="45"/>
      <c r="AP115" s="45"/>
      <c r="AQ115" s="45"/>
      <c r="AR115" s="45"/>
      <c r="AS115" s="45"/>
      <c r="AT115" s="45"/>
      <c r="AU115" s="45"/>
      <c r="AV115" s="45"/>
      <c r="AW115" s="45"/>
      <c r="AX115" s="45"/>
      <c r="AY115" s="45"/>
      <c r="AZ115" s="45"/>
      <c r="BA115" s="45"/>
      <c r="BB115" s="45"/>
      <c r="BC115" s="45"/>
      <c r="BD115" s="45"/>
    </row>
    <row r="116" spans="1:56" ht="27" customHeight="1" x14ac:dyDescent="0.25">
      <c r="A116" s="515"/>
      <c r="B116" s="518"/>
      <c r="C116" s="521"/>
      <c r="D116" s="524"/>
      <c r="E116" s="269" t="s">
        <v>581</v>
      </c>
      <c r="F116" s="278">
        <v>146.5</v>
      </c>
      <c r="G116" s="278">
        <v>146.5</v>
      </c>
      <c r="H116" s="278">
        <v>146.5</v>
      </c>
      <c r="I116" s="278">
        <v>146.5</v>
      </c>
      <c r="J116" s="278">
        <v>146.5</v>
      </c>
      <c r="K116" s="278">
        <v>146.5</v>
      </c>
      <c r="L116" s="278">
        <v>146.5</v>
      </c>
      <c r="M116" s="278">
        <v>146.5</v>
      </c>
      <c r="N116" s="278">
        <v>146.5</v>
      </c>
      <c r="O116" s="278">
        <v>146.5</v>
      </c>
      <c r="P116" s="278">
        <v>146.5</v>
      </c>
      <c r="Q116" s="278">
        <v>146.5</v>
      </c>
      <c r="R116" s="278">
        <v>146.5</v>
      </c>
      <c r="S116" s="278">
        <v>146.5</v>
      </c>
      <c r="T116" s="278">
        <v>146.5</v>
      </c>
      <c r="U116" s="278">
        <v>146.5</v>
      </c>
      <c r="V116" s="278">
        <v>146.5</v>
      </c>
      <c r="W116" s="278">
        <v>146.5</v>
      </c>
      <c r="X116" s="278">
        <v>146.5</v>
      </c>
      <c r="Y116" s="278">
        <v>146.5</v>
      </c>
      <c r="Z116" s="278">
        <v>146.5</v>
      </c>
      <c r="AA116" s="278">
        <v>146.5</v>
      </c>
      <c r="AB116" s="278">
        <v>146.5</v>
      </c>
      <c r="AC116" s="279">
        <v>146.5</v>
      </c>
      <c r="AD116" s="45"/>
      <c r="AE116" s="45"/>
      <c r="AL116" s="45"/>
      <c r="AM116" s="45"/>
      <c r="AN116" s="45"/>
      <c r="AO116" s="45"/>
      <c r="AP116" s="45"/>
      <c r="AQ116" s="45"/>
      <c r="AR116" s="45"/>
      <c r="AS116" s="45"/>
      <c r="AT116" s="45"/>
      <c r="AU116" s="45"/>
      <c r="AV116" s="45"/>
      <c r="AW116" s="45"/>
      <c r="AX116" s="45"/>
      <c r="AY116" s="45"/>
      <c r="AZ116" s="45"/>
      <c r="BA116" s="45"/>
      <c r="BB116" s="45"/>
      <c r="BC116" s="45"/>
      <c r="BD116" s="45"/>
    </row>
    <row r="117" spans="1:56" ht="27" customHeight="1" thickBot="1" x14ac:dyDescent="0.3">
      <c r="A117" s="516"/>
      <c r="B117" s="519"/>
      <c r="C117" s="522"/>
      <c r="D117" s="525"/>
      <c r="E117" s="280" t="s">
        <v>582</v>
      </c>
      <c r="F117" s="281">
        <v>146.5</v>
      </c>
      <c r="G117" s="281">
        <v>146.5</v>
      </c>
      <c r="H117" s="281">
        <v>146.5</v>
      </c>
      <c r="I117" s="281">
        <v>146.5</v>
      </c>
      <c r="J117" s="281">
        <v>146.5</v>
      </c>
      <c r="K117" s="281">
        <v>146.5</v>
      </c>
      <c r="L117" s="281">
        <v>146.5</v>
      </c>
      <c r="M117" s="281">
        <v>146.5</v>
      </c>
      <c r="N117" s="281">
        <v>146.5</v>
      </c>
      <c r="O117" s="281">
        <v>146.5</v>
      </c>
      <c r="P117" s="281">
        <v>146.5</v>
      </c>
      <c r="Q117" s="281">
        <v>146.5</v>
      </c>
      <c r="R117" s="281">
        <v>146.5</v>
      </c>
      <c r="S117" s="281">
        <v>146.5</v>
      </c>
      <c r="T117" s="281">
        <v>146.5</v>
      </c>
      <c r="U117" s="281">
        <v>146.5</v>
      </c>
      <c r="V117" s="281">
        <v>146.5</v>
      </c>
      <c r="W117" s="281">
        <v>146.5</v>
      </c>
      <c r="X117" s="281">
        <v>146.5</v>
      </c>
      <c r="Y117" s="281">
        <v>146.5</v>
      </c>
      <c r="Z117" s="281">
        <v>146.5</v>
      </c>
      <c r="AA117" s="281">
        <v>146.5</v>
      </c>
      <c r="AB117" s="281">
        <v>146.5</v>
      </c>
      <c r="AC117" s="282">
        <v>146.5</v>
      </c>
      <c r="AD117" s="45"/>
      <c r="AE117" s="45"/>
      <c r="AL117" s="45"/>
      <c r="AM117" s="45"/>
      <c r="AN117" s="45"/>
      <c r="AO117" s="45"/>
      <c r="AP117" s="45"/>
      <c r="AQ117" s="45"/>
      <c r="AR117" s="45"/>
      <c r="AS117" s="45"/>
      <c r="AT117" s="45"/>
      <c r="AU117" s="45"/>
      <c r="AV117" s="45"/>
      <c r="AW117" s="45"/>
      <c r="AX117" s="45"/>
      <c r="AY117" s="45"/>
      <c r="AZ117" s="45"/>
      <c r="BA117" s="45"/>
      <c r="BB117" s="45"/>
      <c r="BC117" s="45"/>
      <c r="BD117" s="45"/>
    </row>
    <row r="118" spans="1:56" x14ac:dyDescent="0.25">
      <c r="B118"/>
    </row>
    <row r="119" spans="1:56" s="341" customFormat="1" x14ac:dyDescent="0.25">
      <c r="A119" s="352" t="s">
        <v>183</v>
      </c>
      <c r="B119" s="352"/>
      <c r="C119" s="352"/>
      <c r="D119" s="352" t="s">
        <v>609</v>
      </c>
      <c r="E119" s="352" t="s">
        <v>609</v>
      </c>
      <c r="F119" s="352" t="s">
        <v>609</v>
      </c>
      <c r="G119" s="352" t="s">
        <v>609</v>
      </c>
      <c r="H119" s="352" t="s">
        <v>609</v>
      </c>
      <c r="I119" s="352" t="s">
        <v>609</v>
      </c>
      <c r="J119" s="352" t="s">
        <v>609</v>
      </c>
      <c r="K119" s="352" t="s">
        <v>609</v>
      </c>
      <c r="L119" s="352" t="s">
        <v>609</v>
      </c>
      <c r="M119" s="352" t="s">
        <v>609</v>
      </c>
      <c r="N119" s="352" t="s">
        <v>609</v>
      </c>
      <c r="O119" s="352" t="s">
        <v>609</v>
      </c>
      <c r="P119" s="352" t="s">
        <v>609</v>
      </c>
      <c r="Q119" s="352" t="s">
        <v>609</v>
      </c>
      <c r="R119" s="352" t="s">
        <v>609</v>
      </c>
      <c r="S119" s="352" t="s">
        <v>609</v>
      </c>
      <c r="T119" s="352" t="s">
        <v>609</v>
      </c>
      <c r="U119" s="352" t="s">
        <v>609</v>
      </c>
      <c r="V119" s="352" t="s">
        <v>609</v>
      </c>
      <c r="W119" s="352" t="s">
        <v>609</v>
      </c>
      <c r="X119" s="352" t="s">
        <v>609</v>
      </c>
      <c r="Y119" s="352" t="s">
        <v>609</v>
      </c>
      <c r="Z119" s="352" t="s">
        <v>609</v>
      </c>
      <c r="AA119" s="352" t="s">
        <v>609</v>
      </c>
      <c r="AB119" s="352" t="s">
        <v>609</v>
      </c>
      <c r="AC119" s="352" t="s">
        <v>609</v>
      </c>
      <c r="AD119" s="352" t="s">
        <v>609</v>
      </c>
      <c r="AE119" s="352" t="s">
        <v>609</v>
      </c>
      <c r="AF119" s="352" t="s">
        <v>609</v>
      </c>
      <c r="AG119" s="352" t="s">
        <v>609</v>
      </c>
      <c r="AH119" s="352" t="s">
        <v>609</v>
      </c>
      <c r="AI119" s="352" t="s">
        <v>609</v>
      </c>
      <c r="AJ119" s="352" t="s">
        <v>609</v>
      </c>
      <c r="AK119" s="352" t="s">
        <v>609</v>
      </c>
      <c r="AL119" s="352" t="s">
        <v>609</v>
      </c>
      <c r="AM119" s="352" t="s">
        <v>609</v>
      </c>
      <c r="AN119" s="340"/>
      <c r="AO119" s="340"/>
      <c r="AP119" s="340"/>
      <c r="AQ119" s="340"/>
      <c r="AR119" s="340"/>
      <c r="AS119" s="340"/>
      <c r="AT119" s="340"/>
      <c r="AU119" s="340"/>
      <c r="AV119" s="340"/>
      <c r="AW119" s="340"/>
      <c r="AX119" s="340"/>
      <c r="AY119" s="340"/>
      <c r="AZ119" s="340"/>
      <c r="BA119" s="340"/>
      <c r="BB119" s="340"/>
      <c r="BC119" s="340"/>
      <c r="BD119" s="340"/>
    </row>
    <row r="120" spans="1:56" x14ac:dyDescent="0.25">
      <c r="B120"/>
    </row>
    <row r="121" spans="1:56" x14ac:dyDescent="0.25">
      <c r="B121"/>
    </row>
    <row r="122" spans="1:56" x14ac:dyDescent="0.25">
      <c r="B122"/>
    </row>
    <row r="123" spans="1:56" x14ac:dyDescent="0.25">
      <c r="B123"/>
    </row>
    <row r="124" spans="1:56" x14ac:dyDescent="0.25">
      <c r="B124"/>
    </row>
    <row r="125" spans="1:56" x14ac:dyDescent="0.25">
      <c r="B125"/>
    </row>
  </sheetData>
  <mergeCells count="158">
    <mergeCell ref="C35:C37"/>
    <mergeCell ref="C38:C40"/>
    <mergeCell ref="C41:C43"/>
    <mergeCell ref="C44:C46"/>
    <mergeCell ref="B53:B55"/>
    <mergeCell ref="B56:B58"/>
    <mergeCell ref="B59:B61"/>
    <mergeCell ref="A47:A49"/>
    <mergeCell ref="A53:A55"/>
    <mergeCell ref="A56:A58"/>
    <mergeCell ref="A84:A86"/>
    <mergeCell ref="B84:B86"/>
    <mergeCell ref="C84:C86"/>
    <mergeCell ref="D84:D86"/>
    <mergeCell ref="D4:D6"/>
    <mergeCell ref="D7:D9"/>
    <mergeCell ref="D10:D12"/>
    <mergeCell ref="D16:D18"/>
    <mergeCell ref="D25:D27"/>
    <mergeCell ref="B10:B12"/>
    <mergeCell ref="B13:B15"/>
    <mergeCell ref="B16:B18"/>
    <mergeCell ref="C31:C33"/>
    <mergeCell ref="B41:B43"/>
    <mergeCell ref="A50:A52"/>
    <mergeCell ref="B50:B52"/>
    <mergeCell ref="D56:D58"/>
    <mergeCell ref="D59:D61"/>
    <mergeCell ref="C50:C52"/>
    <mergeCell ref="D44:D46"/>
    <mergeCell ref="C4:C6"/>
    <mergeCell ref="C7:C9"/>
    <mergeCell ref="C10:C12"/>
    <mergeCell ref="C13:C15"/>
    <mergeCell ref="D41:D43"/>
    <mergeCell ref="A66:A68"/>
    <mergeCell ref="B66:B68"/>
    <mergeCell ref="C66:C68"/>
    <mergeCell ref="D66:D68"/>
    <mergeCell ref="A62:A64"/>
    <mergeCell ref="C62:C64"/>
    <mergeCell ref="C47:C49"/>
    <mergeCell ref="D50:D52"/>
    <mergeCell ref="D62:D64"/>
    <mergeCell ref="A65:AC65"/>
    <mergeCell ref="C53:C55"/>
    <mergeCell ref="C56:C58"/>
    <mergeCell ref="C59:C61"/>
    <mergeCell ref="B81:B83"/>
    <mergeCell ref="C81:C83"/>
    <mergeCell ref="D81:D83"/>
    <mergeCell ref="A1:AC1"/>
    <mergeCell ref="F2:AC2"/>
    <mergeCell ref="B31:B33"/>
    <mergeCell ref="A34:AC34"/>
    <mergeCell ref="B35:B37"/>
    <mergeCell ref="B38:B40"/>
    <mergeCell ref="B44:B46"/>
    <mergeCell ref="B47:B49"/>
    <mergeCell ref="A2:A3"/>
    <mergeCell ref="A4:A6"/>
    <mergeCell ref="A7:A9"/>
    <mergeCell ref="A10:A12"/>
    <mergeCell ref="A13:A15"/>
    <mergeCell ref="A16:A18"/>
    <mergeCell ref="A19:A21"/>
    <mergeCell ref="A22:A24"/>
    <mergeCell ref="D31:D33"/>
    <mergeCell ref="D47:D49"/>
    <mergeCell ref="D53:D55"/>
    <mergeCell ref="D35:D37"/>
    <mergeCell ref="D38:D40"/>
    <mergeCell ref="A25:A27"/>
    <mergeCell ref="A28:A30"/>
    <mergeCell ref="A31:A33"/>
    <mergeCell ref="E2:E3"/>
    <mergeCell ref="D2:D3"/>
    <mergeCell ref="B2:B3"/>
    <mergeCell ref="D13:D15"/>
    <mergeCell ref="D28:D30"/>
    <mergeCell ref="C2:C3"/>
    <mergeCell ref="C25:C27"/>
    <mergeCell ref="C28:C30"/>
    <mergeCell ref="B28:B30"/>
    <mergeCell ref="B22:B24"/>
    <mergeCell ref="B25:B27"/>
    <mergeCell ref="B4:B6"/>
    <mergeCell ref="B7:B9"/>
    <mergeCell ref="C16:C18"/>
    <mergeCell ref="C19:C21"/>
    <mergeCell ref="C22:C24"/>
    <mergeCell ref="D19:D21"/>
    <mergeCell ref="D22:D24"/>
    <mergeCell ref="B19:B21"/>
    <mergeCell ref="B100:B102"/>
    <mergeCell ref="C100:C102"/>
    <mergeCell ref="D100:D102"/>
    <mergeCell ref="A59:A61"/>
    <mergeCell ref="A35:A37"/>
    <mergeCell ref="A38:A40"/>
    <mergeCell ref="A41:A43"/>
    <mergeCell ref="A44:A46"/>
    <mergeCell ref="B97:B99"/>
    <mergeCell ref="B62:B64"/>
    <mergeCell ref="A93:AC93"/>
    <mergeCell ref="A94:A96"/>
    <mergeCell ref="B94:B96"/>
    <mergeCell ref="C94:C96"/>
    <mergeCell ref="D94:D96"/>
    <mergeCell ref="A97:A99"/>
    <mergeCell ref="C97:C99"/>
    <mergeCell ref="D97:D99"/>
    <mergeCell ref="A90:A92"/>
    <mergeCell ref="A78:A80"/>
    <mergeCell ref="B78:B80"/>
    <mergeCell ref="C78:C80"/>
    <mergeCell ref="D78:D80"/>
    <mergeCell ref="A81:A83"/>
    <mergeCell ref="A103:A105"/>
    <mergeCell ref="B103:B105"/>
    <mergeCell ref="C103:C105"/>
    <mergeCell ref="D103:D105"/>
    <mergeCell ref="A69:A71"/>
    <mergeCell ref="B69:B71"/>
    <mergeCell ref="C69:C71"/>
    <mergeCell ref="D69:D71"/>
    <mergeCell ref="A72:A74"/>
    <mergeCell ref="B72:B74"/>
    <mergeCell ref="C72:C74"/>
    <mergeCell ref="D72:D74"/>
    <mergeCell ref="A75:A77"/>
    <mergeCell ref="B75:B77"/>
    <mergeCell ref="C75:C77"/>
    <mergeCell ref="D75:D77"/>
    <mergeCell ref="A87:A89"/>
    <mergeCell ref="B87:B89"/>
    <mergeCell ref="C87:C89"/>
    <mergeCell ref="D87:D89"/>
    <mergeCell ref="B90:B92"/>
    <mergeCell ref="C90:C92"/>
    <mergeCell ref="D90:D92"/>
    <mergeCell ref="A100:A102"/>
    <mergeCell ref="A109:A111"/>
    <mergeCell ref="B109:B111"/>
    <mergeCell ref="C109:C111"/>
    <mergeCell ref="D109:D111"/>
    <mergeCell ref="A106:A108"/>
    <mergeCell ref="B106:B108"/>
    <mergeCell ref="C106:C108"/>
    <mergeCell ref="D106:D108"/>
    <mergeCell ref="A115:A117"/>
    <mergeCell ref="B115:B117"/>
    <mergeCell ref="C115:C117"/>
    <mergeCell ref="D115:D117"/>
    <mergeCell ref="A112:A114"/>
    <mergeCell ref="B112:B114"/>
    <mergeCell ref="C112:C114"/>
    <mergeCell ref="D112:D114"/>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D9D48C-EFB6-440B-BE4F-FD4465FADBA0}">
  <sheetPr codeName="Sheet20"/>
  <dimension ref="A1:G25"/>
  <sheetViews>
    <sheetView zoomScaleNormal="100" workbookViewId="0">
      <selection sqref="A1:E1"/>
    </sheetView>
  </sheetViews>
  <sheetFormatPr defaultColWidth="8.7109375" defaultRowHeight="12.75" x14ac:dyDescent="0.2"/>
  <cols>
    <col min="1" max="1" width="28.7109375" style="4" customWidth="1"/>
    <col min="2" max="2" width="15.42578125" style="4" customWidth="1"/>
    <col min="3" max="3" width="19.28515625" style="4" customWidth="1"/>
    <col min="4" max="5" width="18.28515625" style="4" customWidth="1"/>
    <col min="6" max="8" width="13.7109375" style="4" customWidth="1"/>
    <col min="9" max="9" width="10.7109375" style="4" customWidth="1"/>
    <col min="10" max="11" width="8.7109375" style="4"/>
    <col min="12" max="12" width="13.7109375" style="4" customWidth="1"/>
    <col min="13" max="15" width="8.7109375" style="4"/>
    <col min="16" max="16" width="12.42578125" style="4" customWidth="1"/>
    <col min="17" max="16384" width="8.7109375" style="4"/>
  </cols>
  <sheetData>
    <row r="1" spans="1:5" ht="27" customHeight="1" x14ac:dyDescent="0.2">
      <c r="A1" s="401" t="str">
        <f>"Energy Consumption - " &amp;Prototype!A2</f>
        <v xml:space="preserve">Energy Consumption - ApartmentMidRise </v>
      </c>
      <c r="B1" s="401"/>
      <c r="C1" s="401"/>
      <c r="D1" s="401"/>
      <c r="E1" s="401"/>
    </row>
    <row r="2" spans="1:5" ht="39.6" customHeight="1" x14ac:dyDescent="0.2">
      <c r="A2" s="374" t="s">
        <v>6</v>
      </c>
      <c r="B2" s="48" t="s">
        <v>610</v>
      </c>
      <c r="C2" s="48" t="s">
        <v>611</v>
      </c>
      <c r="D2" s="48" t="s">
        <v>612</v>
      </c>
      <c r="E2" s="48" t="s">
        <v>613</v>
      </c>
    </row>
    <row r="3" spans="1:5" ht="19.149999999999999" customHeight="1" x14ac:dyDescent="0.2">
      <c r="A3" s="639" t="str">
        <f>Prototype!A2</f>
        <v xml:space="preserve">ApartmentMidRise </v>
      </c>
      <c r="B3" s="41">
        <v>1</v>
      </c>
      <c r="C3" s="49"/>
      <c r="D3" s="44"/>
      <c r="E3" s="44"/>
    </row>
    <row r="4" spans="1:5" ht="19.149999999999999" customHeight="1" x14ac:dyDescent="0.2">
      <c r="A4" s="640"/>
      <c r="B4" s="41">
        <v>2</v>
      </c>
      <c r="C4" s="49"/>
      <c r="D4" s="44"/>
      <c r="E4" s="44"/>
    </row>
    <row r="5" spans="1:5" ht="19.149999999999999" customHeight="1" x14ac:dyDescent="0.2">
      <c r="A5" s="640"/>
      <c r="B5" s="41">
        <v>3</v>
      </c>
      <c r="C5" s="49"/>
      <c r="D5" s="44"/>
      <c r="E5" s="44"/>
    </row>
    <row r="6" spans="1:5" ht="19.149999999999999" customHeight="1" x14ac:dyDescent="0.2">
      <c r="A6" s="640"/>
      <c r="B6" s="41">
        <v>4</v>
      </c>
      <c r="C6" s="49"/>
      <c r="D6" s="44"/>
      <c r="E6" s="44"/>
    </row>
    <row r="7" spans="1:5" ht="19.149999999999999" customHeight="1" x14ac:dyDescent="0.2">
      <c r="A7" s="640"/>
      <c r="B7" s="41">
        <v>5</v>
      </c>
      <c r="C7" s="49"/>
      <c r="D7" s="44"/>
      <c r="E7" s="44"/>
    </row>
    <row r="8" spans="1:5" ht="19.149999999999999" customHeight="1" x14ac:dyDescent="0.2">
      <c r="A8" s="640"/>
      <c r="B8" s="41">
        <v>6</v>
      </c>
      <c r="C8" s="49"/>
      <c r="D8" s="44"/>
      <c r="E8" s="44"/>
    </row>
    <row r="9" spans="1:5" ht="19.149999999999999" customHeight="1" x14ac:dyDescent="0.2">
      <c r="A9" s="640"/>
      <c r="B9" s="41">
        <v>7</v>
      </c>
      <c r="C9" s="49"/>
      <c r="D9" s="44"/>
      <c r="E9" s="44"/>
    </row>
    <row r="10" spans="1:5" ht="19.149999999999999" customHeight="1" x14ac:dyDescent="0.2">
      <c r="A10" s="640"/>
      <c r="B10" s="41">
        <v>8</v>
      </c>
      <c r="C10" s="49"/>
      <c r="D10" s="44"/>
      <c r="E10" s="44"/>
    </row>
    <row r="11" spans="1:5" ht="19.149999999999999" customHeight="1" x14ac:dyDescent="0.2">
      <c r="A11" s="640"/>
      <c r="B11" s="41">
        <v>9</v>
      </c>
      <c r="C11" s="49"/>
      <c r="D11" s="44"/>
      <c r="E11" s="44"/>
    </row>
    <row r="12" spans="1:5" ht="19.149999999999999" customHeight="1" x14ac:dyDescent="0.2">
      <c r="A12" s="640"/>
      <c r="B12" s="41">
        <v>10</v>
      </c>
      <c r="C12" s="49"/>
      <c r="D12" s="44"/>
      <c r="E12" s="44"/>
    </row>
    <row r="13" spans="1:5" ht="19.149999999999999" customHeight="1" x14ac:dyDescent="0.2">
      <c r="A13" s="640"/>
      <c r="B13" s="41">
        <v>11</v>
      </c>
      <c r="C13" s="49"/>
      <c r="D13" s="44"/>
      <c r="E13" s="44"/>
    </row>
    <row r="14" spans="1:5" ht="19.149999999999999" customHeight="1" x14ac:dyDescent="0.2">
      <c r="A14" s="640"/>
      <c r="B14" s="41">
        <v>12</v>
      </c>
      <c r="C14" s="49"/>
      <c r="D14" s="44"/>
      <c r="E14" s="44"/>
    </row>
    <row r="15" spans="1:5" ht="19.149999999999999" customHeight="1" x14ac:dyDescent="0.2">
      <c r="A15" s="640"/>
      <c r="B15" s="41">
        <v>13</v>
      </c>
      <c r="C15" s="49"/>
      <c r="D15" s="44"/>
      <c r="E15" s="44"/>
    </row>
    <row r="16" spans="1:5" ht="19.149999999999999" customHeight="1" x14ac:dyDescent="0.2">
      <c r="A16" s="640"/>
      <c r="B16" s="41">
        <v>14</v>
      </c>
      <c r="C16" s="49"/>
      <c r="D16" s="44"/>
      <c r="E16" s="44"/>
    </row>
    <row r="17" spans="1:7" ht="19.149999999999999" customHeight="1" x14ac:dyDescent="0.2">
      <c r="A17" s="640"/>
      <c r="B17" s="41">
        <v>15</v>
      </c>
      <c r="C17" s="49"/>
      <c r="D17" s="44"/>
      <c r="E17" s="44"/>
    </row>
    <row r="18" spans="1:7" ht="19.149999999999999" customHeight="1" x14ac:dyDescent="0.2">
      <c r="A18" s="641"/>
      <c r="B18" s="41">
        <v>16</v>
      </c>
      <c r="C18" s="49"/>
      <c r="D18" s="44"/>
      <c r="E18" s="44"/>
    </row>
    <row r="25" spans="1:7" s="26" customFormat="1" hidden="1" x14ac:dyDescent="0.2">
      <c r="A25" s="26" t="s">
        <v>183</v>
      </c>
      <c r="E25" s="27"/>
      <c r="F25" s="28"/>
      <c r="G25" s="29"/>
    </row>
  </sheetData>
  <mergeCells count="2">
    <mergeCell ref="A3:A18"/>
    <mergeCell ref="A1:E1"/>
  </mergeCell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1C2528-244E-42F6-AB8E-307C68E3EB6B}">
  <sheetPr codeName="Sheet21"/>
  <dimension ref="A1:AC29"/>
  <sheetViews>
    <sheetView zoomScaleNormal="100" workbookViewId="0">
      <selection sqref="A1:G1"/>
    </sheetView>
  </sheetViews>
  <sheetFormatPr defaultColWidth="8.7109375" defaultRowHeight="12.75" x14ac:dyDescent="0.2"/>
  <cols>
    <col min="1" max="1" width="22.140625" style="4" customWidth="1"/>
    <col min="2" max="2" width="12" style="4" customWidth="1"/>
    <col min="3" max="6" width="13.7109375" style="4" customWidth="1"/>
    <col min="7" max="7" width="13.28515625" style="4" customWidth="1"/>
    <col min="8" max="8" width="12.7109375" style="4" bestFit="1" customWidth="1"/>
    <col min="9" max="9" width="8.7109375" style="4"/>
    <col min="10" max="10" width="17.28515625" style="4" customWidth="1"/>
    <col min="11" max="11" width="14.140625" style="4" customWidth="1"/>
    <col min="12" max="12" width="10.28515625" style="4" customWidth="1"/>
    <col min="13" max="27" width="5.7109375" style="4" customWidth="1"/>
    <col min="28" max="16384" width="8.7109375" style="4"/>
  </cols>
  <sheetData>
    <row r="1" spans="1:29" ht="28.9" customHeight="1" x14ac:dyDescent="0.25">
      <c r="A1" s="465" t="str">
        <f>"% of Floor Area per CZ and Vintage Bin - "&amp;Prototype!A2</f>
        <v xml:space="preserve">% of Floor Area per CZ and Vintage Bin - ApartmentMidRise </v>
      </c>
      <c r="B1" s="465"/>
      <c r="C1" s="465"/>
      <c r="D1" s="465"/>
      <c r="E1" s="465"/>
      <c r="F1" s="465"/>
      <c r="G1" s="465"/>
      <c r="J1"/>
      <c r="K1"/>
      <c r="L1"/>
      <c r="M1"/>
      <c r="N1"/>
      <c r="O1"/>
      <c r="P1"/>
      <c r="Q1"/>
      <c r="R1"/>
      <c r="S1"/>
      <c r="T1"/>
      <c r="U1"/>
      <c r="V1"/>
      <c r="W1"/>
      <c r="X1"/>
      <c r="Y1"/>
      <c r="Z1"/>
      <c r="AA1"/>
      <c r="AB1"/>
      <c r="AC1"/>
    </row>
    <row r="2" spans="1:29" ht="21" customHeight="1" x14ac:dyDescent="0.25">
      <c r="A2" s="642" t="s">
        <v>6</v>
      </c>
      <c r="B2" s="642" t="s">
        <v>610</v>
      </c>
      <c r="C2" s="642" t="s">
        <v>614</v>
      </c>
      <c r="D2" s="642"/>
      <c r="E2" s="642"/>
      <c r="F2" s="642"/>
      <c r="G2" s="642"/>
      <c r="J2"/>
      <c r="K2"/>
      <c r="L2"/>
      <c r="M2"/>
      <c r="N2"/>
      <c r="O2"/>
      <c r="P2"/>
      <c r="Q2"/>
      <c r="R2"/>
      <c r="S2"/>
      <c r="T2"/>
      <c r="U2"/>
      <c r="V2"/>
      <c r="W2"/>
      <c r="X2"/>
      <c r="Y2"/>
      <c r="Z2"/>
      <c r="AA2"/>
      <c r="AB2"/>
      <c r="AC2"/>
    </row>
    <row r="3" spans="1:29" ht="21" customHeight="1" x14ac:dyDescent="0.25">
      <c r="A3" s="643"/>
      <c r="B3" s="643"/>
      <c r="C3" s="374" t="s">
        <v>615</v>
      </c>
      <c r="D3" s="374" t="s">
        <v>312</v>
      </c>
      <c r="E3" s="374" t="s">
        <v>313</v>
      </c>
      <c r="F3" s="374" t="s">
        <v>315</v>
      </c>
      <c r="G3" s="374" t="s">
        <v>616</v>
      </c>
      <c r="J3"/>
      <c r="K3"/>
      <c r="L3"/>
      <c r="M3"/>
      <c r="N3"/>
      <c r="O3"/>
      <c r="P3"/>
      <c r="Q3"/>
      <c r="R3"/>
      <c r="S3"/>
      <c r="T3"/>
      <c r="U3"/>
      <c r="V3"/>
      <c r="W3"/>
      <c r="X3"/>
      <c r="Y3"/>
      <c r="Z3"/>
      <c r="AA3"/>
      <c r="AB3"/>
      <c r="AC3"/>
    </row>
    <row r="4" spans="1:29" ht="16.899999999999999" customHeight="1" x14ac:dyDescent="0.25">
      <c r="A4" s="476" t="str">
        <f>Prototype!A2</f>
        <v xml:space="preserve">ApartmentMidRise </v>
      </c>
      <c r="B4" s="246">
        <v>1</v>
      </c>
      <c r="C4" s="247"/>
      <c r="D4" s="247"/>
      <c r="E4" s="247"/>
      <c r="F4" s="247"/>
      <c r="G4" s="248"/>
      <c r="H4" s="67">
        <f>SUM(C4:G4)</f>
        <v>0</v>
      </c>
      <c r="J4"/>
      <c r="K4"/>
      <c r="L4"/>
      <c r="M4"/>
      <c r="N4"/>
      <c r="O4"/>
      <c r="P4"/>
      <c r="Q4"/>
      <c r="R4"/>
      <c r="S4"/>
      <c r="T4"/>
      <c r="U4"/>
      <c r="V4"/>
      <c r="W4"/>
      <c r="X4"/>
      <c r="Y4"/>
      <c r="Z4"/>
      <c r="AA4"/>
      <c r="AB4"/>
      <c r="AC4"/>
    </row>
    <row r="5" spans="1:29" ht="16.899999999999999" customHeight="1" x14ac:dyDescent="0.25">
      <c r="A5" s="476"/>
      <c r="B5" s="246">
        <v>2</v>
      </c>
      <c r="C5" s="247"/>
      <c r="D5" s="247"/>
      <c r="E5" s="247"/>
      <c r="F5" s="247"/>
      <c r="G5" s="248"/>
      <c r="H5" s="67">
        <f t="shared" ref="H5:H19" si="0">SUM(C5:G5)</f>
        <v>0</v>
      </c>
      <c r="J5"/>
      <c r="K5"/>
      <c r="L5"/>
      <c r="M5"/>
      <c r="N5"/>
      <c r="O5"/>
      <c r="P5"/>
      <c r="Q5"/>
      <c r="R5"/>
      <c r="S5"/>
      <c r="T5"/>
      <c r="U5"/>
      <c r="V5"/>
      <c r="W5"/>
      <c r="X5"/>
      <c r="Y5"/>
      <c r="Z5"/>
      <c r="AA5"/>
      <c r="AB5"/>
      <c r="AC5"/>
    </row>
    <row r="6" spans="1:29" ht="16.899999999999999" customHeight="1" x14ac:dyDescent="0.25">
      <c r="A6" s="476"/>
      <c r="B6" s="246">
        <v>3</v>
      </c>
      <c r="C6" s="247"/>
      <c r="D6" s="247"/>
      <c r="E6" s="247"/>
      <c r="F6" s="247"/>
      <c r="G6" s="248"/>
      <c r="H6" s="67">
        <f t="shared" si="0"/>
        <v>0</v>
      </c>
      <c r="J6"/>
      <c r="K6"/>
      <c r="L6"/>
      <c r="M6"/>
      <c r="N6"/>
      <c r="O6"/>
      <c r="P6"/>
      <c r="Q6"/>
      <c r="R6"/>
      <c r="S6"/>
      <c r="T6"/>
      <c r="U6"/>
      <c r="V6"/>
      <c r="W6"/>
      <c r="X6"/>
      <c r="Y6"/>
      <c r="Z6"/>
      <c r="AA6"/>
      <c r="AB6"/>
      <c r="AC6"/>
    </row>
    <row r="7" spans="1:29" ht="16.899999999999999" customHeight="1" x14ac:dyDescent="0.25">
      <c r="A7" s="476"/>
      <c r="B7" s="246">
        <v>4</v>
      </c>
      <c r="C7" s="247"/>
      <c r="D7" s="247"/>
      <c r="E7" s="247"/>
      <c r="F7" s="247"/>
      <c r="G7" s="248"/>
      <c r="H7" s="67">
        <f t="shared" si="0"/>
        <v>0</v>
      </c>
      <c r="J7"/>
      <c r="K7"/>
      <c r="L7"/>
      <c r="M7"/>
      <c r="N7"/>
      <c r="O7"/>
      <c r="P7"/>
      <c r="Q7"/>
      <c r="R7"/>
      <c r="S7"/>
      <c r="T7"/>
      <c r="U7"/>
      <c r="V7"/>
      <c r="W7"/>
      <c r="X7"/>
      <c r="Y7"/>
      <c r="Z7"/>
      <c r="AA7"/>
      <c r="AB7"/>
      <c r="AC7"/>
    </row>
    <row r="8" spans="1:29" ht="16.899999999999999" customHeight="1" x14ac:dyDescent="0.25">
      <c r="A8" s="476"/>
      <c r="B8" s="246">
        <v>5</v>
      </c>
      <c r="C8" s="247"/>
      <c r="D8" s="247"/>
      <c r="E8" s="247"/>
      <c r="F8" s="247"/>
      <c r="G8" s="248"/>
      <c r="H8" s="67">
        <f t="shared" si="0"/>
        <v>0</v>
      </c>
      <c r="J8"/>
      <c r="K8"/>
      <c r="L8"/>
      <c r="M8"/>
      <c r="N8"/>
      <c r="O8"/>
      <c r="P8"/>
      <c r="Q8"/>
      <c r="R8"/>
      <c r="S8"/>
      <c r="T8"/>
      <c r="U8"/>
      <c r="V8"/>
      <c r="W8"/>
      <c r="X8"/>
      <c r="Y8"/>
      <c r="Z8"/>
      <c r="AA8"/>
      <c r="AB8"/>
      <c r="AC8"/>
    </row>
    <row r="9" spans="1:29" ht="16.899999999999999" customHeight="1" x14ac:dyDescent="0.25">
      <c r="A9" s="476"/>
      <c r="B9" s="246">
        <v>6</v>
      </c>
      <c r="C9" s="247"/>
      <c r="D9" s="247"/>
      <c r="E9" s="247"/>
      <c r="F9" s="247"/>
      <c r="G9" s="248"/>
      <c r="H9" s="67">
        <f t="shared" si="0"/>
        <v>0</v>
      </c>
      <c r="J9"/>
      <c r="K9"/>
      <c r="L9"/>
      <c r="M9"/>
      <c r="N9"/>
      <c r="O9"/>
      <c r="P9"/>
      <c r="Q9"/>
      <c r="R9"/>
      <c r="S9"/>
      <c r="T9"/>
      <c r="U9"/>
      <c r="V9"/>
      <c r="W9"/>
      <c r="X9"/>
      <c r="Y9"/>
      <c r="Z9"/>
      <c r="AA9"/>
      <c r="AB9"/>
      <c r="AC9"/>
    </row>
    <row r="10" spans="1:29" ht="16.899999999999999" customHeight="1" x14ac:dyDescent="0.25">
      <c r="A10" s="476"/>
      <c r="B10" s="246">
        <v>7</v>
      </c>
      <c r="C10" s="247"/>
      <c r="D10" s="247"/>
      <c r="E10" s="247"/>
      <c r="F10" s="247"/>
      <c r="G10" s="248"/>
      <c r="H10" s="67">
        <f t="shared" si="0"/>
        <v>0</v>
      </c>
      <c r="J10"/>
      <c r="K10"/>
      <c r="L10"/>
      <c r="M10"/>
      <c r="N10"/>
      <c r="O10"/>
      <c r="P10"/>
      <c r="Q10"/>
      <c r="R10"/>
      <c r="S10"/>
      <c r="T10"/>
      <c r="U10"/>
      <c r="V10"/>
      <c r="W10"/>
      <c r="X10"/>
      <c r="Y10"/>
      <c r="Z10"/>
      <c r="AA10"/>
      <c r="AB10"/>
      <c r="AC10"/>
    </row>
    <row r="11" spans="1:29" ht="16.899999999999999" customHeight="1" x14ac:dyDescent="0.25">
      <c r="A11" s="476"/>
      <c r="B11" s="246">
        <v>8</v>
      </c>
      <c r="C11" s="247"/>
      <c r="D11" s="247"/>
      <c r="E11" s="247"/>
      <c r="F11" s="247"/>
      <c r="G11" s="248"/>
      <c r="H11" s="67">
        <f t="shared" si="0"/>
        <v>0</v>
      </c>
      <c r="J11"/>
      <c r="K11"/>
      <c r="L11"/>
      <c r="M11"/>
      <c r="N11"/>
      <c r="O11"/>
      <c r="P11"/>
      <c r="Q11"/>
      <c r="R11"/>
      <c r="S11"/>
      <c r="T11"/>
      <c r="U11"/>
      <c r="V11"/>
      <c r="W11"/>
      <c r="X11"/>
      <c r="Y11"/>
      <c r="Z11"/>
      <c r="AA11"/>
      <c r="AB11"/>
      <c r="AC11"/>
    </row>
    <row r="12" spans="1:29" ht="16.899999999999999" customHeight="1" x14ac:dyDescent="0.25">
      <c r="A12" s="476"/>
      <c r="B12" s="246">
        <v>9</v>
      </c>
      <c r="C12" s="247"/>
      <c r="D12" s="247"/>
      <c r="E12" s="247"/>
      <c r="F12" s="247"/>
      <c r="G12" s="248"/>
      <c r="H12" s="67">
        <f t="shared" si="0"/>
        <v>0</v>
      </c>
      <c r="J12"/>
      <c r="K12"/>
      <c r="L12"/>
      <c r="M12"/>
      <c r="N12"/>
      <c r="O12"/>
      <c r="P12"/>
      <c r="Q12"/>
      <c r="R12"/>
      <c r="S12"/>
      <c r="T12"/>
      <c r="U12"/>
      <c r="V12"/>
      <c r="W12"/>
      <c r="X12"/>
      <c r="Y12"/>
      <c r="Z12"/>
      <c r="AA12"/>
      <c r="AB12"/>
      <c r="AC12"/>
    </row>
    <row r="13" spans="1:29" ht="16.899999999999999" customHeight="1" x14ac:dyDescent="0.25">
      <c r="A13" s="476"/>
      <c r="B13" s="246">
        <v>10</v>
      </c>
      <c r="C13" s="247"/>
      <c r="D13" s="247"/>
      <c r="E13" s="247"/>
      <c r="F13" s="247"/>
      <c r="G13" s="248"/>
      <c r="H13" s="67">
        <f t="shared" si="0"/>
        <v>0</v>
      </c>
      <c r="J13"/>
      <c r="K13"/>
      <c r="L13"/>
      <c r="M13"/>
      <c r="N13"/>
      <c r="O13"/>
      <c r="P13"/>
      <c r="Q13"/>
      <c r="R13"/>
      <c r="S13"/>
      <c r="T13"/>
      <c r="U13"/>
      <c r="V13"/>
      <c r="W13"/>
      <c r="X13"/>
      <c r="Y13"/>
      <c r="Z13"/>
      <c r="AA13"/>
      <c r="AB13"/>
      <c r="AC13"/>
    </row>
    <row r="14" spans="1:29" ht="16.899999999999999" customHeight="1" x14ac:dyDescent="0.2">
      <c r="A14" s="476"/>
      <c r="B14" s="246">
        <v>11</v>
      </c>
      <c r="C14" s="247"/>
      <c r="D14" s="247"/>
      <c r="E14" s="247"/>
      <c r="F14" s="247"/>
      <c r="G14" s="248"/>
      <c r="H14" s="67">
        <f t="shared" si="0"/>
        <v>0</v>
      </c>
      <c r="J14" s="8"/>
      <c r="K14" s="65"/>
      <c r="L14" s="32"/>
      <c r="M14" s="32"/>
      <c r="N14" s="32"/>
      <c r="O14" s="32"/>
      <c r="P14" s="66"/>
    </row>
    <row r="15" spans="1:29" ht="16.899999999999999" customHeight="1" x14ac:dyDescent="0.2">
      <c r="A15" s="476"/>
      <c r="B15" s="246">
        <v>12</v>
      </c>
      <c r="C15" s="247"/>
      <c r="D15" s="247"/>
      <c r="E15" s="247"/>
      <c r="F15" s="247"/>
      <c r="G15" s="248"/>
      <c r="H15" s="67">
        <f t="shared" si="0"/>
        <v>0</v>
      </c>
      <c r="J15" s="8"/>
      <c r="K15" s="65"/>
      <c r="L15" s="32"/>
      <c r="M15" s="32"/>
      <c r="N15" s="32"/>
      <c r="O15" s="32"/>
      <c r="P15" s="66"/>
    </row>
    <row r="16" spans="1:29" ht="16.899999999999999" customHeight="1" x14ac:dyDescent="0.2">
      <c r="A16" s="476"/>
      <c r="B16" s="246">
        <v>13</v>
      </c>
      <c r="C16" s="247"/>
      <c r="D16" s="247"/>
      <c r="E16" s="247"/>
      <c r="F16" s="247"/>
      <c r="G16" s="248"/>
      <c r="H16" s="67">
        <f t="shared" si="0"/>
        <v>0</v>
      </c>
      <c r="J16" s="8"/>
      <c r="K16" s="65"/>
      <c r="L16" s="32"/>
      <c r="M16" s="32"/>
      <c r="N16" s="32"/>
      <c r="O16" s="32"/>
      <c r="P16" s="66"/>
    </row>
    <row r="17" spans="1:16" ht="16.899999999999999" customHeight="1" x14ac:dyDescent="0.2">
      <c r="A17" s="476"/>
      <c r="B17" s="246">
        <v>14</v>
      </c>
      <c r="C17" s="247"/>
      <c r="D17" s="247"/>
      <c r="E17" s="247"/>
      <c r="F17" s="247"/>
      <c r="G17" s="248"/>
      <c r="H17" s="67">
        <f t="shared" si="0"/>
        <v>0</v>
      </c>
      <c r="J17" s="8"/>
      <c r="K17" s="65"/>
      <c r="L17" s="32"/>
      <c r="M17" s="32"/>
      <c r="N17" s="32"/>
      <c r="O17" s="32"/>
      <c r="P17" s="66"/>
    </row>
    <row r="18" spans="1:16" ht="16.899999999999999" customHeight="1" x14ac:dyDescent="0.2">
      <c r="A18" s="476"/>
      <c r="B18" s="246">
        <v>15</v>
      </c>
      <c r="C18" s="247"/>
      <c r="D18" s="247"/>
      <c r="E18" s="247"/>
      <c r="F18" s="247"/>
      <c r="G18" s="248"/>
      <c r="H18" s="67">
        <f t="shared" si="0"/>
        <v>0</v>
      </c>
      <c r="J18" s="8"/>
      <c r="K18" s="65"/>
      <c r="L18" s="32"/>
      <c r="M18" s="32"/>
      <c r="N18" s="32"/>
      <c r="O18" s="32"/>
      <c r="P18" s="66"/>
    </row>
    <row r="19" spans="1:16" ht="16.899999999999999" customHeight="1" x14ac:dyDescent="0.2">
      <c r="A19" s="476"/>
      <c r="B19" s="246">
        <v>16</v>
      </c>
      <c r="C19" s="248"/>
      <c r="D19" s="248"/>
      <c r="E19" s="248"/>
      <c r="F19" s="248"/>
      <c r="G19" s="248"/>
      <c r="H19" s="67">
        <f t="shared" si="0"/>
        <v>0</v>
      </c>
      <c r="J19" s="8"/>
      <c r="K19" s="65"/>
      <c r="L19" s="32"/>
      <c r="M19" s="32"/>
      <c r="N19" s="32"/>
      <c r="O19" s="32"/>
      <c r="P19" s="66"/>
    </row>
    <row r="20" spans="1:16" x14ac:dyDescent="0.2">
      <c r="A20" s="476"/>
      <c r="B20" s="248" t="s">
        <v>617</v>
      </c>
      <c r="C20" s="248"/>
      <c r="D20" s="248"/>
      <c r="E20" s="248"/>
      <c r="F20" s="248"/>
      <c r="G20" s="248"/>
    </row>
    <row r="29" spans="1:16" s="26" customFormat="1" hidden="1" x14ac:dyDescent="0.2">
      <c r="A29" s="26" t="s">
        <v>183</v>
      </c>
      <c r="E29" s="27"/>
      <c r="F29" s="28"/>
      <c r="G29" s="29"/>
    </row>
  </sheetData>
  <mergeCells count="5">
    <mergeCell ref="A4:A20"/>
    <mergeCell ref="C2:G2"/>
    <mergeCell ref="A1:G1"/>
    <mergeCell ref="B2:B3"/>
    <mergeCell ref="A2:A3"/>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C638C3-9269-4523-B14B-D8D22DE74C86}">
  <sheetPr codeName="Sheet8"/>
  <dimension ref="A1:J2"/>
  <sheetViews>
    <sheetView workbookViewId="0">
      <selection activeCell="A2" sqref="A2"/>
    </sheetView>
  </sheetViews>
  <sheetFormatPr defaultRowHeight="15" x14ac:dyDescent="0.25"/>
  <sheetData>
    <row r="1" spans="1:10" ht="15.6" customHeight="1" x14ac:dyDescent="0.25">
      <c r="A1" s="644" t="str">
        <f>"PV - "&amp;Prototype!A2</f>
        <v xml:space="preserve">PV - ApartmentMidRise </v>
      </c>
      <c r="B1" s="644"/>
      <c r="C1" s="644"/>
      <c r="D1" s="644"/>
      <c r="E1" s="644"/>
      <c r="F1" s="644"/>
      <c r="G1" s="644"/>
      <c r="H1" s="644"/>
      <c r="I1" s="644"/>
      <c r="J1" s="644"/>
    </row>
    <row r="2" spans="1:10" x14ac:dyDescent="0.25">
      <c r="A2" t="s">
        <v>618</v>
      </c>
    </row>
  </sheetData>
  <mergeCells count="1">
    <mergeCell ref="A1:J1"/>
  </mergeCell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CBB9E4-8E7A-41B8-B067-A47E2307C7E6}">
  <sheetPr codeName="Sheet22"/>
  <dimension ref="A1:H11"/>
  <sheetViews>
    <sheetView zoomScaleNormal="70" workbookViewId="0">
      <selection sqref="A1:H1"/>
    </sheetView>
  </sheetViews>
  <sheetFormatPr defaultColWidth="8.7109375" defaultRowHeight="12.75" x14ac:dyDescent="0.2"/>
  <cols>
    <col min="1" max="1" width="21" style="4" customWidth="1"/>
    <col min="2" max="2" width="14.28515625" style="4" customWidth="1"/>
    <col min="3" max="3" width="14.5703125" style="4" customWidth="1"/>
    <col min="4" max="8" width="8.7109375" style="4"/>
    <col min="9" max="9" width="13.7109375" style="4" customWidth="1"/>
    <col min="10" max="10" width="14.42578125" style="4" customWidth="1"/>
    <col min="11" max="16384" width="8.7109375" style="4"/>
  </cols>
  <sheetData>
    <row r="1" spans="1:8" ht="15.75" x14ac:dyDescent="0.2">
      <c r="A1" s="465" t="str">
        <f>"EV Charger - "&amp;Prototype!A2</f>
        <v xml:space="preserve">EV Charger - ApartmentMidRise </v>
      </c>
      <c r="B1" s="465"/>
      <c r="C1" s="465"/>
      <c r="D1" s="465"/>
      <c r="E1" s="465"/>
      <c r="F1" s="465"/>
      <c r="G1" s="465"/>
      <c r="H1" s="465"/>
    </row>
    <row r="2" spans="1:8" x14ac:dyDescent="0.2">
      <c r="A2" s="4" t="s">
        <v>618</v>
      </c>
      <c r="B2" s="51"/>
      <c r="C2" s="52"/>
      <c r="D2" s="53"/>
      <c r="E2" s="53"/>
    </row>
    <row r="3" spans="1:8" x14ac:dyDescent="0.2">
      <c r="A3" s="39"/>
      <c r="B3" s="50"/>
      <c r="C3" s="355"/>
      <c r="D3" s="54"/>
      <c r="E3" s="54"/>
    </row>
    <row r="11" spans="1:8" s="26" customFormat="1" hidden="1" x14ac:dyDescent="0.2">
      <c r="A11" s="26" t="s">
        <v>183</v>
      </c>
      <c r="E11" s="27"/>
      <c r="F11" s="28"/>
      <c r="G11" s="29"/>
    </row>
  </sheetData>
  <mergeCells count="1">
    <mergeCell ref="A1:H1"/>
  </mergeCell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D909D2-E09E-457A-A8F8-583A51E09AF7}">
  <sheetPr codeName="Sheet11"/>
  <dimension ref="A1:G83"/>
  <sheetViews>
    <sheetView workbookViewId="0"/>
  </sheetViews>
  <sheetFormatPr defaultRowHeight="15" x14ac:dyDescent="0.25"/>
  <cols>
    <col min="1" max="1" width="58.7109375" customWidth="1"/>
    <col min="2" max="2" width="30.85546875" customWidth="1"/>
    <col min="3" max="3" width="30.28515625" customWidth="1"/>
  </cols>
  <sheetData>
    <row r="1" spans="1:7" x14ac:dyDescent="0.25">
      <c r="A1" t="s">
        <v>619</v>
      </c>
      <c r="B1" t="s">
        <v>620</v>
      </c>
      <c r="C1" t="s">
        <v>620</v>
      </c>
      <c r="D1" s="645" t="s">
        <v>621</v>
      </c>
      <c r="E1" s="645"/>
      <c r="F1" s="645"/>
      <c r="G1" s="645"/>
    </row>
    <row r="2" spans="1:7" x14ac:dyDescent="0.25">
      <c r="A2" s="354" t="s">
        <v>622</v>
      </c>
      <c r="D2">
        <v>2013</v>
      </c>
      <c r="E2">
        <v>2016</v>
      </c>
      <c r="F2">
        <v>2019</v>
      </c>
      <c r="G2">
        <v>2025</v>
      </c>
    </row>
    <row r="3" spans="1:7" x14ac:dyDescent="0.25">
      <c r="A3" s="354" t="s">
        <v>623</v>
      </c>
    </row>
    <row r="4" spans="1:7" x14ac:dyDescent="0.25">
      <c r="A4" t="s">
        <v>624</v>
      </c>
    </row>
    <row r="5" spans="1:7" x14ac:dyDescent="0.25">
      <c r="A5" t="s">
        <v>625</v>
      </c>
    </row>
    <row r="6" spans="1:7" x14ac:dyDescent="0.25">
      <c r="A6" t="s">
        <v>626</v>
      </c>
    </row>
    <row r="7" spans="1:7" x14ac:dyDescent="0.25">
      <c r="A7" t="s">
        <v>627</v>
      </c>
    </row>
    <row r="8" spans="1:7" x14ac:dyDescent="0.25">
      <c r="A8" t="s">
        <v>628</v>
      </c>
    </row>
    <row r="9" spans="1:7" x14ac:dyDescent="0.25">
      <c r="A9" t="s">
        <v>629</v>
      </c>
    </row>
    <row r="10" spans="1:7" x14ac:dyDescent="0.25">
      <c r="A10" t="s">
        <v>630</v>
      </c>
    </row>
    <row r="11" spans="1:7" x14ac:dyDescent="0.25">
      <c r="A11" t="s">
        <v>631</v>
      </c>
    </row>
    <row r="12" spans="1:7" x14ac:dyDescent="0.25">
      <c r="A12" t="s">
        <v>632</v>
      </c>
    </row>
    <row r="13" spans="1:7" x14ac:dyDescent="0.25">
      <c r="A13" t="s">
        <v>633</v>
      </c>
    </row>
    <row r="14" spans="1:7" x14ac:dyDescent="0.25">
      <c r="A14" t="s">
        <v>634</v>
      </c>
    </row>
    <row r="15" spans="1:7" x14ac:dyDescent="0.25">
      <c r="A15" t="s">
        <v>635</v>
      </c>
    </row>
    <row r="16" spans="1:7" x14ac:dyDescent="0.25">
      <c r="A16" t="s">
        <v>636</v>
      </c>
    </row>
    <row r="17" spans="1:1" x14ac:dyDescent="0.25">
      <c r="A17" t="s">
        <v>81</v>
      </c>
    </row>
    <row r="18" spans="1:1" x14ac:dyDescent="0.25">
      <c r="A18" t="s">
        <v>637</v>
      </c>
    </row>
    <row r="19" spans="1:1" x14ac:dyDescent="0.25">
      <c r="A19" t="s">
        <v>88</v>
      </c>
    </row>
    <row r="20" spans="1:1" x14ac:dyDescent="0.25">
      <c r="A20" t="s">
        <v>638</v>
      </c>
    </row>
    <row r="21" spans="1:1" x14ac:dyDescent="0.25">
      <c r="A21" t="s">
        <v>639</v>
      </c>
    </row>
    <row r="22" spans="1:1" x14ac:dyDescent="0.25">
      <c r="A22" t="s">
        <v>640</v>
      </c>
    </row>
    <row r="23" spans="1:1" x14ac:dyDescent="0.25">
      <c r="A23" t="s">
        <v>100</v>
      </c>
    </row>
    <row r="24" spans="1:1" x14ac:dyDescent="0.25">
      <c r="A24" t="s">
        <v>91</v>
      </c>
    </row>
    <row r="25" spans="1:1" x14ac:dyDescent="0.25">
      <c r="A25" t="s">
        <v>641</v>
      </c>
    </row>
    <row r="26" spans="1:1" x14ac:dyDescent="0.25">
      <c r="A26" t="s">
        <v>642</v>
      </c>
    </row>
    <row r="27" spans="1:1" x14ac:dyDescent="0.25">
      <c r="A27" t="s">
        <v>643</v>
      </c>
    </row>
    <row r="28" spans="1:1" x14ac:dyDescent="0.25">
      <c r="A28" t="s">
        <v>644</v>
      </c>
    </row>
    <row r="29" spans="1:1" x14ac:dyDescent="0.25">
      <c r="A29" t="s">
        <v>645</v>
      </c>
    </row>
    <row r="30" spans="1:1" x14ac:dyDescent="0.25">
      <c r="A30" t="s">
        <v>646</v>
      </c>
    </row>
    <row r="31" spans="1:1" x14ac:dyDescent="0.25">
      <c r="A31" t="s">
        <v>647</v>
      </c>
    </row>
    <row r="32" spans="1:1" x14ac:dyDescent="0.25">
      <c r="A32" t="s">
        <v>648</v>
      </c>
    </row>
    <row r="33" spans="1:1" x14ac:dyDescent="0.25">
      <c r="A33" t="s">
        <v>649</v>
      </c>
    </row>
    <row r="34" spans="1:1" x14ac:dyDescent="0.25">
      <c r="A34" t="s">
        <v>650</v>
      </c>
    </row>
    <row r="35" spans="1:1" x14ac:dyDescent="0.25">
      <c r="A35" t="s">
        <v>651</v>
      </c>
    </row>
    <row r="36" spans="1:1" x14ac:dyDescent="0.25">
      <c r="A36" t="s">
        <v>652</v>
      </c>
    </row>
    <row r="37" spans="1:1" x14ac:dyDescent="0.25">
      <c r="A37" t="s">
        <v>653</v>
      </c>
    </row>
    <row r="38" spans="1:1" x14ac:dyDescent="0.25">
      <c r="A38" t="s">
        <v>654</v>
      </c>
    </row>
    <row r="39" spans="1:1" x14ac:dyDescent="0.25">
      <c r="A39" t="s">
        <v>139</v>
      </c>
    </row>
    <row r="40" spans="1:1" x14ac:dyDescent="0.25">
      <c r="A40" t="s">
        <v>655</v>
      </c>
    </row>
    <row r="41" spans="1:1" x14ac:dyDescent="0.25">
      <c r="A41" t="s">
        <v>656</v>
      </c>
    </row>
    <row r="42" spans="1:1" x14ac:dyDescent="0.25">
      <c r="A42" t="s">
        <v>97</v>
      </c>
    </row>
    <row r="43" spans="1:1" x14ac:dyDescent="0.25">
      <c r="A43" t="s">
        <v>657</v>
      </c>
    </row>
    <row r="44" spans="1:1" x14ac:dyDescent="0.25">
      <c r="A44" t="s">
        <v>658</v>
      </c>
    </row>
    <row r="45" spans="1:1" x14ac:dyDescent="0.25">
      <c r="A45" t="s">
        <v>659</v>
      </c>
    </row>
    <row r="46" spans="1:1" x14ac:dyDescent="0.25">
      <c r="A46" t="s">
        <v>660</v>
      </c>
    </row>
    <row r="47" spans="1:1" x14ac:dyDescent="0.25">
      <c r="A47" t="s">
        <v>661</v>
      </c>
    </row>
    <row r="48" spans="1:1" x14ac:dyDescent="0.25">
      <c r="A48" t="s">
        <v>662</v>
      </c>
    </row>
    <row r="49" spans="1:1" x14ac:dyDescent="0.25">
      <c r="A49" t="s">
        <v>663</v>
      </c>
    </row>
    <row r="50" spans="1:1" x14ac:dyDescent="0.25">
      <c r="A50" t="s">
        <v>94</v>
      </c>
    </row>
    <row r="51" spans="1:1" x14ac:dyDescent="0.25">
      <c r="A51" t="s">
        <v>664</v>
      </c>
    </row>
    <row r="52" spans="1:1" x14ac:dyDescent="0.25">
      <c r="A52" t="s">
        <v>173</v>
      </c>
    </row>
    <row r="53" spans="1:1" x14ac:dyDescent="0.25">
      <c r="A53" t="s">
        <v>665</v>
      </c>
    </row>
    <row r="54" spans="1:1" x14ac:dyDescent="0.25">
      <c r="A54" t="s">
        <v>666</v>
      </c>
    </row>
    <row r="55" spans="1:1" x14ac:dyDescent="0.25">
      <c r="A55" t="s">
        <v>667</v>
      </c>
    </row>
    <row r="56" spans="1:1" x14ac:dyDescent="0.25">
      <c r="A56" t="s">
        <v>103</v>
      </c>
    </row>
    <row r="57" spans="1:1" x14ac:dyDescent="0.25">
      <c r="A57" t="s">
        <v>668</v>
      </c>
    </row>
    <row r="58" spans="1:1" x14ac:dyDescent="0.25">
      <c r="A58" t="s">
        <v>669</v>
      </c>
    </row>
    <row r="59" spans="1:1" x14ac:dyDescent="0.25">
      <c r="A59" t="s">
        <v>670</v>
      </c>
    </row>
    <row r="60" spans="1:1" x14ac:dyDescent="0.25">
      <c r="A60" t="s">
        <v>671</v>
      </c>
    </row>
    <row r="61" spans="1:1" x14ac:dyDescent="0.25">
      <c r="A61" t="s">
        <v>672</v>
      </c>
    </row>
    <row r="62" spans="1:1" x14ac:dyDescent="0.25">
      <c r="A62" t="s">
        <v>673</v>
      </c>
    </row>
    <row r="63" spans="1:1" x14ac:dyDescent="0.25">
      <c r="A63" t="s">
        <v>674</v>
      </c>
    </row>
    <row r="64" spans="1:1" x14ac:dyDescent="0.25">
      <c r="A64" t="s">
        <v>675</v>
      </c>
    </row>
    <row r="65" spans="1:1" x14ac:dyDescent="0.25">
      <c r="A65" t="s">
        <v>676</v>
      </c>
    </row>
    <row r="66" spans="1:1" x14ac:dyDescent="0.25">
      <c r="A66" t="s">
        <v>677</v>
      </c>
    </row>
    <row r="67" spans="1:1" x14ac:dyDescent="0.25">
      <c r="A67" t="s">
        <v>678</v>
      </c>
    </row>
    <row r="68" spans="1:1" x14ac:dyDescent="0.25">
      <c r="A68" t="s">
        <v>679</v>
      </c>
    </row>
    <row r="69" spans="1:1" x14ac:dyDescent="0.25">
      <c r="A69" t="s">
        <v>680</v>
      </c>
    </row>
    <row r="70" spans="1:1" x14ac:dyDescent="0.25">
      <c r="A70" t="s">
        <v>681</v>
      </c>
    </row>
    <row r="71" spans="1:1" x14ac:dyDescent="0.25">
      <c r="A71" t="s">
        <v>682</v>
      </c>
    </row>
    <row r="72" spans="1:1" x14ac:dyDescent="0.25">
      <c r="A72" t="s">
        <v>683</v>
      </c>
    </row>
    <row r="73" spans="1:1" x14ac:dyDescent="0.25">
      <c r="A73" t="s">
        <v>684</v>
      </c>
    </row>
    <row r="74" spans="1:1" x14ac:dyDescent="0.25">
      <c r="A74" t="s">
        <v>113</v>
      </c>
    </row>
    <row r="75" spans="1:1" x14ac:dyDescent="0.25">
      <c r="A75" t="s">
        <v>685</v>
      </c>
    </row>
    <row r="76" spans="1:1" x14ac:dyDescent="0.25">
      <c r="A76" t="s">
        <v>686</v>
      </c>
    </row>
    <row r="77" spans="1:1" x14ac:dyDescent="0.25">
      <c r="A77" t="s">
        <v>687</v>
      </c>
    </row>
    <row r="78" spans="1:1" x14ac:dyDescent="0.25">
      <c r="A78" t="s">
        <v>688</v>
      </c>
    </row>
    <row r="79" spans="1:1" x14ac:dyDescent="0.25">
      <c r="A79" t="s">
        <v>557</v>
      </c>
    </row>
    <row r="80" spans="1:1" x14ac:dyDescent="0.25">
      <c r="A80" t="s">
        <v>689</v>
      </c>
    </row>
    <row r="81" spans="1:1" x14ac:dyDescent="0.25">
      <c r="A81" t="s">
        <v>690</v>
      </c>
    </row>
    <row r="82" spans="1:1" x14ac:dyDescent="0.25">
      <c r="A82" t="s">
        <v>691</v>
      </c>
    </row>
    <row r="83" spans="1:1" x14ac:dyDescent="0.25">
      <c r="A83" t="s">
        <v>692</v>
      </c>
    </row>
  </sheetData>
  <mergeCells count="1">
    <mergeCell ref="D1:G1"/>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03CFD1B72A5F084B90FB7B73F4613BEC" ma:contentTypeVersion="6" ma:contentTypeDescription="Create a new document." ma:contentTypeScope="" ma:versionID="2558ad62346f4e4f9cd41e24fac43610">
  <xsd:schema xmlns:xsd="http://www.w3.org/2001/XMLSchema" xmlns:xs="http://www.w3.org/2001/XMLSchema" xmlns:p="http://schemas.microsoft.com/office/2006/metadata/properties" xmlns:ns2="f3a47e91-274c-46a0-ba98-7b939b571e5b" xmlns:ns3="ea1b199f-450f-4d51-8ad4-88f218385cd9" targetNamespace="http://schemas.microsoft.com/office/2006/metadata/properties" ma:root="true" ma:fieldsID="7070cde7c6343b0e2bf1de7a4c91f34e" ns2:_="" ns3:_="">
    <xsd:import namespace="f3a47e91-274c-46a0-ba98-7b939b571e5b"/>
    <xsd:import namespace="ea1b199f-450f-4d51-8ad4-88f218385cd9"/>
    <xsd:element name="properties">
      <xsd:complexType>
        <xsd:sequence>
          <xsd:element name="documentManagement">
            <xsd:complexType>
              <xsd:all>
                <xsd:element ref="ns2:MediaServiceSearchProperties" minOccurs="0"/>
                <xsd:element ref="ns2:MediaServiceObjectDetectorVersions" minOccurs="0"/>
                <xsd:element ref="ns3:SharedWithUsers" minOccurs="0"/>
                <xsd:element ref="ns3:SharedWithDetails" minOccurs="0"/>
                <xsd:element ref="ns2:MediaServiceMetadata" minOccurs="0"/>
                <xsd:element ref="ns2:MediaServiceFast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3a47e91-274c-46a0-ba98-7b939b571e5b" elementFormDefault="qualified">
    <xsd:import namespace="http://schemas.microsoft.com/office/2006/documentManagement/types"/>
    <xsd:import namespace="http://schemas.microsoft.com/office/infopath/2007/PartnerControls"/>
    <xsd:element name="MediaServiceSearchProperties" ma:index="8" nillable="true" ma:displayName="MediaServiceSearchProperties" ma:hidden="true" ma:internalName="MediaServiceSearchProperties" ma:readOnly="true">
      <xsd:simpleType>
        <xsd:restriction base="dms:Note"/>
      </xsd:simpleType>
    </xsd:element>
    <xsd:element name="MediaServiceObjectDetectorVersions" ma:index="9" nillable="true" ma:displayName="MediaServiceObjectDetectorVersions" ma:hidden="true" ma:indexed="true" ma:internalName="MediaServiceObjectDetectorVersions" ma:readOnly="true">
      <xsd:simpleType>
        <xsd:restriction base="dms:Text"/>
      </xsd:simpleType>
    </xsd:element>
    <xsd:element name="MediaServiceMetadata" ma:index="12" nillable="true" ma:displayName="MediaServiceMetadata" ma:hidden="true" ma:internalName="MediaServiceMetadata" ma:readOnly="true">
      <xsd:simpleType>
        <xsd:restriction base="dms:Note"/>
      </xsd:simpleType>
    </xsd:element>
    <xsd:element name="MediaServiceFastMetadata" ma:index="13" nillable="true" ma:displayName="MediaServiceFastMetadata" ma:hidden="true" ma:internalName="MediaServiceFast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ea1b199f-450f-4d51-8ad4-88f218385cd9"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20816333-575B-4274-8A3E-18699B071E90}">
  <ds:schemaRefs>
    <ds:schemaRef ds:uri="http://schemas.microsoft.com/office/2006/documentManagement/types"/>
    <ds:schemaRef ds:uri="http://schemas.openxmlformats.org/package/2006/metadata/core-properties"/>
    <ds:schemaRef ds:uri="http://schemas.microsoft.com/office/2006/metadata/properties"/>
    <ds:schemaRef ds:uri="http://schemas.microsoft.com/office/infopath/2007/PartnerControls"/>
    <ds:schemaRef ds:uri="http://purl.org/dc/dcmitype/"/>
    <ds:schemaRef ds:uri="http://purl.org/dc/elements/1.1/"/>
    <ds:schemaRef ds:uri="http://purl.org/dc/terms/"/>
    <ds:schemaRef ds:uri="ea1b199f-450f-4d51-8ad4-88f218385cd9"/>
    <ds:schemaRef ds:uri="f3a47e91-274c-46a0-ba98-7b939b571e5b"/>
    <ds:schemaRef ds:uri="http://www.w3.org/XML/1998/namespace"/>
  </ds:schemaRefs>
</ds:datastoreItem>
</file>

<file path=customXml/itemProps2.xml><?xml version="1.0" encoding="utf-8"?>
<ds:datastoreItem xmlns:ds="http://schemas.openxmlformats.org/officeDocument/2006/customXml" ds:itemID="{7921AF10-0BF8-441A-BDBA-64AF3E09D45F}">
  <ds:schemaRefs>
    <ds:schemaRef ds:uri="http://schemas.microsoft.com/sharepoint/v3/contenttype/forms"/>
  </ds:schemaRefs>
</ds:datastoreItem>
</file>

<file path=customXml/itemProps3.xml><?xml version="1.0" encoding="utf-8"?>
<ds:datastoreItem xmlns:ds="http://schemas.openxmlformats.org/officeDocument/2006/customXml" ds:itemID="{2E5D16CD-F68C-469C-A3D7-C8BEC080E97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3a47e91-274c-46a0-ba98-7b939b571e5b"/>
    <ds:schemaRef ds:uri="ea1b199f-450f-4d51-8ad4-88f218385cd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17</vt:i4>
      </vt:variant>
      <vt:variant>
        <vt:lpstr>Named Ranges</vt:lpstr>
      </vt:variant>
      <vt:variant>
        <vt:i4>1</vt:i4>
      </vt:variant>
    </vt:vector>
  </HeadingPairs>
  <TitlesOfParts>
    <vt:vector size="18" baseType="lpstr">
      <vt:lpstr>Notes</vt:lpstr>
      <vt:lpstr>Prototype</vt:lpstr>
      <vt:lpstr>Zones</vt:lpstr>
      <vt:lpstr>Envelope</vt:lpstr>
      <vt:lpstr>HVAC System</vt:lpstr>
      <vt:lpstr>Thermostat</vt:lpstr>
      <vt:lpstr>Ventilation</vt:lpstr>
      <vt:lpstr>Water Heater</vt:lpstr>
      <vt:lpstr>Interior Lights</vt:lpstr>
      <vt:lpstr>Ext Lighting</vt:lpstr>
      <vt:lpstr>Equipment</vt:lpstr>
      <vt:lpstr>Schedules</vt:lpstr>
      <vt:lpstr>Energy Usage</vt:lpstr>
      <vt:lpstr>Weights</vt:lpstr>
      <vt:lpstr>PV</vt:lpstr>
      <vt:lpstr>EV Charger</vt:lpstr>
      <vt:lpstr>Data</vt:lpstr>
      <vt:lpstr>Space_Function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Yousefi, Fatemeh</dc:creator>
  <cp:keywords/>
  <dc:description/>
  <cp:lastModifiedBy>Dabbagh, Mohammad</cp:lastModifiedBy>
  <cp:revision/>
  <dcterms:created xsi:type="dcterms:W3CDTF">2024-06-21T17:19:36Z</dcterms:created>
  <dcterms:modified xsi:type="dcterms:W3CDTF">2025-12-24T09:38:04Z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b7864bb8-b671-4bed-ba85-9478127ab5e9_Enabled">
    <vt:lpwstr>true</vt:lpwstr>
  </property>
  <property fmtid="{D5CDD505-2E9C-101B-9397-08002B2CF9AE}" pid="3" name="MSIP_Label_b7864bb8-b671-4bed-ba85-9478127ab5e9_SetDate">
    <vt:lpwstr>2024-06-21T17:19:48Z</vt:lpwstr>
  </property>
  <property fmtid="{D5CDD505-2E9C-101B-9397-08002B2CF9AE}" pid="4" name="MSIP_Label_b7864bb8-b671-4bed-ba85-9478127ab5e9_Method">
    <vt:lpwstr>Standard</vt:lpwstr>
  </property>
  <property fmtid="{D5CDD505-2E9C-101B-9397-08002B2CF9AE}" pid="5" name="MSIP_Label_b7864bb8-b671-4bed-ba85-9478127ab5e9_Name">
    <vt:lpwstr>Confidential – 2023</vt:lpwstr>
  </property>
  <property fmtid="{D5CDD505-2E9C-101B-9397-08002B2CF9AE}" pid="6" name="MSIP_Label_b7864bb8-b671-4bed-ba85-9478127ab5e9_SiteId">
    <vt:lpwstr>36839a65-7f3f-4bac-9ea4-f571f10a9a03</vt:lpwstr>
  </property>
  <property fmtid="{D5CDD505-2E9C-101B-9397-08002B2CF9AE}" pid="7" name="MSIP_Label_b7864bb8-b671-4bed-ba85-9478127ab5e9_ActionId">
    <vt:lpwstr>0e6e9a60-d2ab-4ce7-9a0a-ef72169e4f66</vt:lpwstr>
  </property>
  <property fmtid="{D5CDD505-2E9C-101B-9397-08002B2CF9AE}" pid="8" name="MSIP_Label_b7864bb8-b671-4bed-ba85-9478127ab5e9_ContentBits">
    <vt:lpwstr>0</vt:lpwstr>
  </property>
  <property fmtid="{D5CDD505-2E9C-101B-9397-08002B2CF9AE}" pid="9" name="MSIP_Label_aa7be39c-9e9f-446a-a199-286f73f56a3f_Enabled">
    <vt:lpwstr>true</vt:lpwstr>
  </property>
  <property fmtid="{D5CDD505-2E9C-101B-9397-08002B2CF9AE}" pid="10" name="MSIP_Label_aa7be39c-9e9f-446a-a199-286f73f56a3f_SetDate">
    <vt:lpwstr>2024-11-12T07:01:00Z</vt:lpwstr>
  </property>
  <property fmtid="{D5CDD505-2E9C-101B-9397-08002B2CF9AE}" pid="11" name="MSIP_Label_aa7be39c-9e9f-446a-a199-286f73f56a3f_Method">
    <vt:lpwstr>Standard</vt:lpwstr>
  </property>
  <property fmtid="{D5CDD505-2E9C-101B-9397-08002B2CF9AE}" pid="12" name="MSIP_Label_aa7be39c-9e9f-446a-a199-286f73f56a3f_Name">
    <vt:lpwstr>Confidential</vt:lpwstr>
  </property>
  <property fmtid="{D5CDD505-2E9C-101B-9397-08002B2CF9AE}" pid="13" name="MSIP_Label_aa7be39c-9e9f-446a-a199-286f73f56a3f_SiteId">
    <vt:lpwstr>85ad2a97-6942-4d5d-bc9c-35cd3905d69a</vt:lpwstr>
  </property>
  <property fmtid="{D5CDD505-2E9C-101B-9397-08002B2CF9AE}" pid="14" name="MSIP_Label_aa7be39c-9e9f-446a-a199-286f73f56a3f_ActionId">
    <vt:lpwstr>9aa52be7-e90f-4db3-9dfa-3134fb3d14a1</vt:lpwstr>
  </property>
  <property fmtid="{D5CDD505-2E9C-101B-9397-08002B2CF9AE}" pid="15" name="MSIP_Label_aa7be39c-9e9f-446a-a199-286f73f56a3f_ContentBits">
    <vt:lpwstr>0</vt:lpwstr>
  </property>
  <property fmtid="{D5CDD505-2E9C-101B-9397-08002B2CF9AE}" pid="16" name="ContentTypeId">
    <vt:lpwstr>0x01010003CFD1B72A5F084B90FB7B73F4613BEC</vt:lpwstr>
  </property>
  <property fmtid="{D5CDD505-2E9C-101B-9397-08002B2CF9AE}" pid="17" name="MediaServiceImageTags">
    <vt:lpwstr/>
  </property>
</Properties>
</file>