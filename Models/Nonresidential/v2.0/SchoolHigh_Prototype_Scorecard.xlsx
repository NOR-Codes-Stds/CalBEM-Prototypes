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5.xml" ContentType="application/vnd.openxmlformats-officedocument.drawing+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173B20F5-6312-4B4F-9056-F886BF0316F5}"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34" r:id="rId12"/>
    <sheet name="Energy Usage" sheetId="20" state="hidden" r:id="rId13"/>
    <sheet name="PV" sheetId="27" state="hidden" r:id="rId14"/>
    <sheet name="EV Charger" sheetId="22" state="hidden" r:id="rId15"/>
    <sheet name="Data" sheetId="33" state="hidden" r:id="rId16"/>
    <sheet name="Weights" sheetId="21" state="hidden" r:id="rId17"/>
  </sheets>
  <definedNames>
    <definedName name="_xlnm._FilterDatabase" localSheetId="15" hidden="1">Data!$D$1:$G$1</definedName>
    <definedName name="_xlnm._FilterDatabase" localSheetId="10" hidden="1">Equipment!$A$2:$E$21</definedName>
    <definedName name="_xlnm._FilterDatabase" localSheetId="8" hidden="1">'Interior Lights'!$A$2:$G$18</definedName>
    <definedName name="_xlnm._FilterDatabase" localSheetId="11" hidden="1">Schedules!$A$2:$AP$185</definedName>
    <definedName name="_xlnm._FilterDatabase" localSheetId="2" hidden="1">Zones!$C$2:$L$45</definedName>
    <definedName name="nonparticipating_forecastzone_scale_factor" localSheetId="15">#REF!</definedName>
    <definedName name="nonparticipating_forecastzone_scale_factor" localSheetId="11">#REF!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18" l="1"/>
  <c r="B44" i="18"/>
  <c r="A44" i="18"/>
  <c r="D43" i="18"/>
  <c r="B43" i="18"/>
  <c r="A43" i="18"/>
  <c r="D42" i="18"/>
  <c r="B42" i="18"/>
  <c r="A42" i="18"/>
  <c r="D41" i="18"/>
  <c r="B41" i="18"/>
  <c r="A41" i="18"/>
  <c r="D40" i="18"/>
  <c r="B40" i="18"/>
  <c r="A40" i="18"/>
  <c r="D39" i="18"/>
  <c r="B39" i="18"/>
  <c r="A39" i="18"/>
  <c r="D38" i="18"/>
  <c r="B38" i="18"/>
  <c r="A38" i="18"/>
  <c r="D37" i="18"/>
  <c r="B37" i="18"/>
  <c r="A37" i="18"/>
  <c r="D36" i="18"/>
  <c r="B36" i="18"/>
  <c r="A36" i="18"/>
  <c r="D35" i="18"/>
  <c r="B35" i="18"/>
  <c r="A35" i="18"/>
  <c r="D34" i="18"/>
  <c r="B34" i="18"/>
  <c r="A34" i="18"/>
  <c r="D33" i="18"/>
  <c r="B33" i="18"/>
  <c r="A33" i="18"/>
  <c r="D32" i="18"/>
  <c r="B32" i="18"/>
  <c r="A32" i="18"/>
  <c r="D31" i="18"/>
  <c r="B31" i="18"/>
  <c r="A31" i="18"/>
  <c r="D30" i="18"/>
  <c r="B30" i="18"/>
  <c r="A30" i="18"/>
  <c r="D29" i="18"/>
  <c r="B29" i="18"/>
  <c r="A29" i="18"/>
  <c r="D28" i="18"/>
  <c r="B28" i="18"/>
  <c r="A28" i="18"/>
  <c r="D27" i="18"/>
  <c r="B27" i="18"/>
  <c r="A27" i="18"/>
  <c r="D26" i="18"/>
  <c r="B26" i="18"/>
  <c r="A26" i="18"/>
  <c r="D25" i="18"/>
  <c r="B25" i="18"/>
  <c r="A25" i="18"/>
  <c r="D24" i="18"/>
  <c r="B24" i="18"/>
  <c r="A24" i="18"/>
  <c r="D23" i="18"/>
  <c r="B23" i="18"/>
  <c r="A23" i="18"/>
  <c r="D22" i="18"/>
  <c r="B22" i="18"/>
  <c r="A22" i="18"/>
  <c r="D21" i="18"/>
  <c r="B21" i="18"/>
  <c r="A21" i="18"/>
  <c r="D20" i="18"/>
  <c r="B20" i="18"/>
  <c r="A20" i="18"/>
  <c r="D19" i="18"/>
  <c r="B19" i="18"/>
  <c r="A19" i="18"/>
  <c r="D18" i="18"/>
  <c r="B18" i="18"/>
  <c r="A18" i="18"/>
  <c r="D17" i="18"/>
  <c r="B17" i="18"/>
  <c r="A17" i="18"/>
  <c r="D16" i="18"/>
  <c r="B16" i="18"/>
  <c r="A16" i="18"/>
  <c r="D15" i="18"/>
  <c r="B15" i="18"/>
  <c r="A15" i="18"/>
  <c r="D14" i="18"/>
  <c r="B14" i="18"/>
  <c r="A14" i="18"/>
  <c r="D13" i="18"/>
  <c r="B13" i="18"/>
  <c r="A13" i="18"/>
  <c r="D12" i="18"/>
  <c r="B12" i="18"/>
  <c r="A12" i="18"/>
  <c r="D9" i="18"/>
  <c r="B9" i="18"/>
  <c r="A9" i="18"/>
  <c r="D8" i="18"/>
  <c r="B8" i="18"/>
  <c r="A8" i="18"/>
  <c r="D7" i="18"/>
  <c r="B7" i="18"/>
  <c r="A7" i="18"/>
  <c r="J21" i="18" l="1"/>
  <c r="I21" i="18"/>
  <c r="J22" i="18"/>
  <c r="I22" i="18"/>
  <c r="J23" i="18"/>
  <c r="I23" i="18"/>
  <c r="J24" i="18"/>
  <c r="I24" i="18"/>
  <c r="J25" i="18"/>
  <c r="I25" i="18"/>
  <c r="J26" i="18"/>
  <c r="I26" i="18"/>
  <c r="J27" i="18"/>
  <c r="I27" i="18"/>
  <c r="J28" i="18"/>
  <c r="I28" i="18"/>
  <c r="J29" i="18"/>
  <c r="I29" i="18"/>
  <c r="J30" i="18"/>
  <c r="I30" i="18"/>
  <c r="J31" i="18"/>
  <c r="I31" i="18"/>
  <c r="J32" i="18"/>
  <c r="I32" i="18"/>
  <c r="J33" i="18"/>
  <c r="I33" i="18"/>
  <c r="J34" i="18"/>
  <c r="I34" i="18"/>
  <c r="J35" i="18"/>
  <c r="I35" i="18"/>
  <c r="J36" i="18"/>
  <c r="I36" i="18"/>
  <c r="J37" i="18"/>
  <c r="I37" i="18"/>
  <c r="J38" i="18"/>
  <c r="I38" i="18"/>
  <c r="J39" i="18"/>
  <c r="I39" i="18"/>
  <c r="J40" i="18"/>
  <c r="I40" i="18"/>
  <c r="J41" i="18"/>
  <c r="I41" i="18"/>
  <c r="J42" i="18"/>
  <c r="I42" i="18"/>
  <c r="J43" i="18"/>
  <c r="I43" i="18"/>
  <c r="J44" i="18"/>
  <c r="I44" i="18"/>
  <c r="AC195" i="34"/>
  <c r="AB195" i="34"/>
  <c r="AA195" i="34"/>
  <c r="Z195" i="34"/>
  <c r="Y195" i="34"/>
  <c r="X195" i="34"/>
  <c r="W195" i="34"/>
  <c r="V195" i="34"/>
  <c r="U195" i="34"/>
  <c r="T195" i="34"/>
  <c r="S195" i="34"/>
  <c r="R195" i="34"/>
  <c r="Q195" i="34"/>
  <c r="P195" i="34"/>
  <c r="O195" i="34"/>
  <c r="N195" i="34"/>
  <c r="M195" i="34"/>
  <c r="L195" i="34"/>
  <c r="K195" i="34"/>
  <c r="J195" i="34"/>
  <c r="I195" i="34"/>
  <c r="H195" i="34"/>
  <c r="G195" i="34"/>
  <c r="F195" i="34"/>
  <c r="AC194" i="34"/>
  <c r="AB194" i="34"/>
  <c r="AA194" i="34"/>
  <c r="Z194" i="34"/>
  <c r="Y194" i="34"/>
  <c r="X194" i="34"/>
  <c r="W194" i="34"/>
  <c r="V194" i="34"/>
  <c r="U194" i="34"/>
  <c r="T194" i="34"/>
  <c r="S194" i="34"/>
  <c r="R194" i="34"/>
  <c r="Q194" i="34"/>
  <c r="P194" i="34"/>
  <c r="O194" i="34"/>
  <c r="N194" i="34"/>
  <c r="M194" i="34"/>
  <c r="L194" i="34"/>
  <c r="K194" i="34"/>
  <c r="J194" i="34"/>
  <c r="I194" i="34"/>
  <c r="H194" i="34"/>
  <c r="G194" i="34"/>
  <c r="F194" i="34"/>
  <c r="AC193" i="34"/>
  <c r="AB193" i="34"/>
  <c r="AA193" i="34"/>
  <c r="Z193" i="34"/>
  <c r="Y193" i="34"/>
  <c r="X193" i="34"/>
  <c r="W193" i="34"/>
  <c r="V193" i="34"/>
  <c r="U193" i="34"/>
  <c r="T193" i="34"/>
  <c r="S193" i="34"/>
  <c r="R193" i="34"/>
  <c r="Q193" i="34"/>
  <c r="P193" i="34"/>
  <c r="O193" i="34"/>
  <c r="N193" i="34"/>
  <c r="M193" i="34"/>
  <c r="L193" i="34"/>
  <c r="K193" i="34"/>
  <c r="J193" i="34"/>
  <c r="I193" i="34"/>
  <c r="H193" i="34"/>
  <c r="G193" i="34"/>
  <c r="F193" i="34"/>
  <c r="AC192" i="34"/>
  <c r="AB192" i="34"/>
  <c r="AA192" i="34"/>
  <c r="Z192" i="34"/>
  <c r="Y192" i="34"/>
  <c r="X192" i="34"/>
  <c r="W192" i="34"/>
  <c r="V192" i="34"/>
  <c r="U192" i="34"/>
  <c r="T192" i="34"/>
  <c r="S192" i="34"/>
  <c r="R192" i="34"/>
  <c r="Q192" i="34"/>
  <c r="P192" i="34"/>
  <c r="O192" i="34"/>
  <c r="N192" i="34"/>
  <c r="M192" i="34"/>
  <c r="L192" i="34"/>
  <c r="K192" i="34"/>
  <c r="J192" i="34"/>
  <c r="I192" i="34"/>
  <c r="H192" i="34"/>
  <c r="G192" i="34"/>
  <c r="F192" i="34"/>
  <c r="AC191" i="34"/>
  <c r="AB191" i="34"/>
  <c r="AA191" i="34"/>
  <c r="Z191" i="34"/>
  <c r="Y191" i="34"/>
  <c r="X191" i="34"/>
  <c r="W191" i="34"/>
  <c r="V191" i="34"/>
  <c r="U191" i="34"/>
  <c r="T191" i="34"/>
  <c r="S191" i="34"/>
  <c r="R191" i="34"/>
  <c r="Q191" i="34"/>
  <c r="P191" i="34"/>
  <c r="O191" i="34"/>
  <c r="N191" i="34"/>
  <c r="M191" i="34"/>
  <c r="L191" i="34"/>
  <c r="K191" i="34"/>
  <c r="J191" i="34"/>
  <c r="I191" i="34"/>
  <c r="H191" i="34"/>
  <c r="G191" i="34"/>
  <c r="F191" i="34"/>
  <c r="AC190" i="34"/>
  <c r="AB190" i="34"/>
  <c r="AA190" i="34"/>
  <c r="Z190" i="34"/>
  <c r="Y190" i="34"/>
  <c r="X190" i="34"/>
  <c r="W190" i="34"/>
  <c r="V190" i="34"/>
  <c r="U190" i="34"/>
  <c r="T190" i="34"/>
  <c r="S190" i="34"/>
  <c r="R190" i="34"/>
  <c r="Q190" i="34"/>
  <c r="P190" i="34"/>
  <c r="O190" i="34"/>
  <c r="N190" i="34"/>
  <c r="M190" i="34"/>
  <c r="L190" i="34"/>
  <c r="K190" i="34"/>
  <c r="J190" i="34"/>
  <c r="I190" i="34"/>
  <c r="H190" i="34"/>
  <c r="G190" i="34"/>
  <c r="F190" i="34"/>
  <c r="AC52" i="34"/>
  <c r="AB52" i="34"/>
  <c r="AA52" i="34"/>
  <c r="Z52" i="34"/>
  <c r="Y52" i="34"/>
  <c r="X52" i="34"/>
  <c r="W52" i="34"/>
  <c r="V52" i="34"/>
  <c r="U52" i="34"/>
  <c r="T52" i="34"/>
  <c r="S52" i="34"/>
  <c r="R52" i="34"/>
  <c r="Q52" i="34"/>
  <c r="P52" i="34"/>
  <c r="O52" i="34"/>
  <c r="N52" i="34"/>
  <c r="M52" i="34"/>
  <c r="L52" i="34"/>
  <c r="K52" i="34"/>
  <c r="J52" i="34"/>
  <c r="I52" i="34"/>
  <c r="H52" i="34"/>
  <c r="G52" i="34"/>
  <c r="F52" i="34"/>
  <c r="AC51" i="34"/>
  <c r="AB51" i="34"/>
  <c r="AA51" i="34"/>
  <c r="Z51" i="34"/>
  <c r="Y51" i="34"/>
  <c r="X51" i="34"/>
  <c r="W51" i="34"/>
  <c r="V51" i="34"/>
  <c r="U51" i="34"/>
  <c r="T51" i="34"/>
  <c r="S51" i="34"/>
  <c r="R51" i="34"/>
  <c r="Q51" i="34"/>
  <c r="P51" i="34"/>
  <c r="O51" i="34"/>
  <c r="N51" i="34"/>
  <c r="M51" i="34"/>
  <c r="L51" i="34"/>
  <c r="K51" i="34"/>
  <c r="J51" i="34"/>
  <c r="I51" i="34"/>
  <c r="H51" i="34"/>
  <c r="G51" i="34"/>
  <c r="F51" i="34"/>
  <c r="AC50" i="34"/>
  <c r="AB50" i="34"/>
  <c r="AA50" i="34"/>
  <c r="Z50" i="34"/>
  <c r="Y50" i="34"/>
  <c r="X50" i="34"/>
  <c r="W50" i="34"/>
  <c r="V50" i="34"/>
  <c r="U50" i="34"/>
  <c r="T50" i="34"/>
  <c r="S50" i="34"/>
  <c r="R50" i="34"/>
  <c r="Q50" i="34"/>
  <c r="P50" i="34"/>
  <c r="O50" i="34"/>
  <c r="N50" i="34"/>
  <c r="M50" i="34"/>
  <c r="L50" i="34"/>
  <c r="K50" i="34"/>
  <c r="J50" i="34"/>
  <c r="I50" i="34"/>
  <c r="H50" i="34"/>
  <c r="G50" i="34"/>
  <c r="F50" i="34"/>
  <c r="AC49" i="34"/>
  <c r="AB49" i="34"/>
  <c r="AA49" i="34"/>
  <c r="Z49" i="34"/>
  <c r="Y49" i="34"/>
  <c r="X49" i="34"/>
  <c r="W49" i="34"/>
  <c r="V49" i="34"/>
  <c r="U49" i="34"/>
  <c r="T49" i="34"/>
  <c r="S49" i="34"/>
  <c r="R49" i="34"/>
  <c r="Q49" i="34"/>
  <c r="P49" i="34"/>
  <c r="O49" i="34"/>
  <c r="N49" i="34"/>
  <c r="M49" i="34"/>
  <c r="L49" i="34"/>
  <c r="K49" i="34"/>
  <c r="J49" i="34"/>
  <c r="I49" i="34"/>
  <c r="H49" i="34"/>
  <c r="G49" i="34"/>
  <c r="F49" i="34"/>
  <c r="AC48" i="34"/>
  <c r="AB48" i="34"/>
  <c r="AA48" i="34"/>
  <c r="Z48" i="34"/>
  <c r="Y48" i="34"/>
  <c r="X48" i="34"/>
  <c r="W48" i="34"/>
  <c r="V48" i="34"/>
  <c r="U48" i="34"/>
  <c r="T48" i="34"/>
  <c r="S48" i="34"/>
  <c r="R48" i="34"/>
  <c r="Q48" i="34"/>
  <c r="P48" i="34"/>
  <c r="O48" i="34"/>
  <c r="N48" i="34"/>
  <c r="M48" i="34"/>
  <c r="L48" i="34"/>
  <c r="K48" i="34"/>
  <c r="J48" i="34"/>
  <c r="I48" i="34"/>
  <c r="H48" i="34"/>
  <c r="G48" i="34"/>
  <c r="F48" i="34"/>
  <c r="AC47" i="34"/>
  <c r="AB47" i="34"/>
  <c r="AA47" i="34"/>
  <c r="Z47" i="34"/>
  <c r="Y47" i="34"/>
  <c r="X47" i="34"/>
  <c r="W47" i="34"/>
  <c r="V47" i="34"/>
  <c r="U47" i="34"/>
  <c r="T47" i="34"/>
  <c r="S47" i="34"/>
  <c r="R47" i="34"/>
  <c r="Q47" i="34"/>
  <c r="P47" i="34"/>
  <c r="O47" i="34"/>
  <c r="N47" i="34"/>
  <c r="M47" i="34"/>
  <c r="L47" i="34"/>
  <c r="K47" i="34"/>
  <c r="J47" i="34"/>
  <c r="I47" i="34"/>
  <c r="H47" i="34"/>
  <c r="G47" i="34"/>
  <c r="F47" i="34"/>
  <c r="F25" i="9" a="1"/>
  <c r="F25" i="9" s="1"/>
  <c r="E25" i="9" a="1"/>
  <c r="E25" i="9" s="1"/>
  <c r="D25" i="9" a="1"/>
  <c r="D25" i="9" s="1"/>
  <c r="C25" i="9" a="1"/>
  <c r="C25" i="9" s="1"/>
  <c r="B25" i="9" a="1"/>
  <c r="B25" i="9" s="1"/>
  <c r="A2" i="18" l="1"/>
  <c r="AA61" i="1"/>
  <c r="AA60" i="1"/>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3" i="13"/>
  <c r="F26" i="9"/>
  <c r="E26" i="9"/>
  <c r="D26" i="9"/>
  <c r="C26" i="9"/>
  <c r="B26" i="9"/>
  <c r="AA56" i="1"/>
  <c r="AA55" i="1"/>
  <c r="AA51" i="1"/>
  <c r="AA50" i="1"/>
  <c r="AA46" i="1"/>
  <c r="AA45" i="1"/>
  <c r="AA41" i="1"/>
  <c r="AA40" i="1"/>
  <c r="C22" i="23"/>
  <c r="C21" i="23"/>
  <c r="C20" i="23"/>
  <c r="I57" i="1" l="1"/>
  <c r="I53" i="1"/>
  <c r="I54" i="1"/>
  <c r="I56" i="1"/>
  <c r="I55" i="1"/>
  <c r="I44" i="1"/>
  <c r="I47" i="1"/>
  <c r="I45" i="1"/>
  <c r="I46" i="1"/>
  <c r="I43" i="1"/>
  <c r="I48" i="1"/>
  <c r="I52" i="1"/>
  <c r="I49" i="1"/>
  <c r="I50" i="1"/>
  <c r="I51" i="1"/>
  <c r="I38" i="1"/>
  <c r="I39" i="1"/>
  <c r="I40" i="1"/>
  <c r="I42" i="1"/>
  <c r="I41" i="1"/>
  <c r="I62" i="1"/>
  <c r="I60" i="1"/>
  <c r="I58" i="1"/>
  <c r="I61" i="1"/>
  <c r="I59" i="1"/>
  <c r="B70" i="7" l="1"/>
  <c r="C4" i="7" s="1"/>
  <c r="G4" i="7"/>
  <c r="F4" i="7"/>
  <c r="E4" i="7"/>
  <c r="C13" i="9"/>
  <c r="R67" i="13"/>
  <c r="R66" i="13"/>
  <c r="R65" i="13"/>
  <c r="R64" i="13"/>
  <c r="R63" i="13"/>
  <c r="R62" i="13"/>
  <c r="R61" i="13"/>
  <c r="R60" i="13"/>
  <c r="R59" i="13"/>
  <c r="R58" i="13"/>
  <c r="R57" i="13"/>
  <c r="R56" i="13"/>
  <c r="R55" i="13"/>
  <c r="R54" i="13"/>
  <c r="R53" i="13"/>
  <c r="R52" i="13"/>
  <c r="R51" i="13"/>
  <c r="R50" i="13"/>
  <c r="R68" i="13" l="1"/>
  <c r="C54" i="29"/>
  <c r="AD151" i="34"/>
  <c r="I27" i="29"/>
  <c r="H27" i="29"/>
  <c r="G27" i="29"/>
  <c r="I26" i="29"/>
  <c r="H26" i="29"/>
  <c r="G26" i="29"/>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I14" i="1"/>
  <c r="I13" i="1"/>
  <c r="J26" i="29" l="1"/>
  <c r="J27" i="29"/>
  <c r="G9" i="9" l="1"/>
  <c r="D3" i="18"/>
  <c r="AC137" i="34"/>
  <c r="AB137" i="34"/>
  <c r="AA137" i="34"/>
  <c r="Z137" i="34"/>
  <c r="Y137" i="34"/>
  <c r="X137" i="34"/>
  <c r="W137" i="34"/>
  <c r="V137" i="34"/>
  <c r="U137" i="34"/>
  <c r="T137" i="34"/>
  <c r="S137" i="34"/>
  <c r="R137" i="34"/>
  <c r="Q137" i="34"/>
  <c r="P137" i="34"/>
  <c r="O137" i="34"/>
  <c r="N137" i="34"/>
  <c r="M137" i="34"/>
  <c r="L137" i="34"/>
  <c r="K137" i="34"/>
  <c r="J137" i="34"/>
  <c r="I137" i="34"/>
  <c r="H137" i="34"/>
  <c r="G137" i="34"/>
  <c r="F137" i="34"/>
  <c r="AC136" i="34"/>
  <c r="AB136" i="34"/>
  <c r="AA136" i="34"/>
  <c r="Z136" i="34"/>
  <c r="Y136" i="34"/>
  <c r="X136" i="34"/>
  <c r="W136" i="34"/>
  <c r="V136" i="34"/>
  <c r="U136" i="34"/>
  <c r="T136" i="34"/>
  <c r="S136" i="34"/>
  <c r="R136" i="34"/>
  <c r="Q136" i="34"/>
  <c r="P136" i="34"/>
  <c r="O136" i="34"/>
  <c r="N136" i="34"/>
  <c r="M136" i="34"/>
  <c r="L136" i="34"/>
  <c r="K136" i="34"/>
  <c r="J136" i="34"/>
  <c r="I136" i="34"/>
  <c r="H136" i="34"/>
  <c r="G136" i="34"/>
  <c r="F136" i="34"/>
  <c r="AC135" i="34"/>
  <c r="AB135" i="34"/>
  <c r="AA135" i="34"/>
  <c r="Z135" i="34"/>
  <c r="Y135" i="34"/>
  <c r="X135" i="34"/>
  <c r="W135" i="34"/>
  <c r="V135" i="34"/>
  <c r="U135" i="34"/>
  <c r="T135" i="34"/>
  <c r="S135" i="34"/>
  <c r="R135" i="34"/>
  <c r="Q135" i="34"/>
  <c r="P135" i="34"/>
  <c r="O135" i="34"/>
  <c r="N135" i="34"/>
  <c r="M135" i="34"/>
  <c r="L135" i="34"/>
  <c r="K135" i="34"/>
  <c r="J135" i="34"/>
  <c r="I135" i="34"/>
  <c r="H135" i="34"/>
  <c r="G135" i="34"/>
  <c r="F135" i="34"/>
  <c r="AC134" i="34"/>
  <c r="AB134" i="34"/>
  <c r="AA134" i="34"/>
  <c r="Z134" i="34"/>
  <c r="Y134" i="34"/>
  <c r="X134" i="34"/>
  <c r="W134" i="34"/>
  <c r="V134" i="34"/>
  <c r="U134" i="34"/>
  <c r="T134" i="34"/>
  <c r="S134" i="34"/>
  <c r="R134" i="34"/>
  <c r="Q134" i="34"/>
  <c r="P134" i="34"/>
  <c r="O134" i="34"/>
  <c r="N134" i="34"/>
  <c r="M134" i="34"/>
  <c r="L134" i="34"/>
  <c r="K134" i="34"/>
  <c r="J134" i="34"/>
  <c r="I134" i="34"/>
  <c r="H134" i="34"/>
  <c r="G134" i="34"/>
  <c r="F134" i="34"/>
  <c r="AC133" i="34"/>
  <c r="AB133" i="34"/>
  <c r="AA133" i="34"/>
  <c r="Z133" i="34"/>
  <c r="Y133" i="34"/>
  <c r="X133" i="34"/>
  <c r="W133" i="34"/>
  <c r="V133" i="34"/>
  <c r="U133" i="34"/>
  <c r="T133" i="34"/>
  <c r="S133" i="34"/>
  <c r="R133" i="34"/>
  <c r="Q133" i="34"/>
  <c r="P133" i="34"/>
  <c r="O133" i="34"/>
  <c r="N133" i="34"/>
  <c r="M133" i="34"/>
  <c r="L133" i="34"/>
  <c r="K133" i="34"/>
  <c r="J133" i="34"/>
  <c r="I133" i="34"/>
  <c r="H133" i="34"/>
  <c r="G133" i="34"/>
  <c r="F133" i="34"/>
  <c r="AC132" i="34"/>
  <c r="AB132" i="34"/>
  <c r="AA132" i="34"/>
  <c r="Z132" i="34"/>
  <c r="Y132" i="34"/>
  <c r="X132" i="34"/>
  <c r="W132" i="34"/>
  <c r="V132" i="34"/>
  <c r="U132" i="34"/>
  <c r="T132" i="34"/>
  <c r="S132" i="34"/>
  <c r="R132" i="34"/>
  <c r="Q132" i="34"/>
  <c r="P132" i="34"/>
  <c r="O132" i="34"/>
  <c r="N132" i="34"/>
  <c r="M132" i="34"/>
  <c r="L132" i="34"/>
  <c r="K132" i="34"/>
  <c r="J132" i="34"/>
  <c r="I132" i="34"/>
  <c r="H132" i="34"/>
  <c r="G132" i="34"/>
  <c r="F132" i="34"/>
  <c r="C8" i="7" l="1"/>
  <c r="C39" i="7"/>
  <c r="C40" i="7"/>
  <c r="C41" i="7"/>
  <c r="C42" i="7"/>
  <c r="C43" i="7"/>
  <c r="C44" i="7"/>
  <c r="C45" i="7"/>
  <c r="C46" i="7"/>
  <c r="C47" i="7"/>
  <c r="C48" i="7"/>
  <c r="C49" i="7"/>
  <c r="A49" i="7"/>
  <c r="A48" i="7"/>
  <c r="A39" i="7"/>
  <c r="A40" i="7"/>
  <c r="A41" i="7"/>
  <c r="A42" i="7"/>
  <c r="A43" i="7"/>
  <c r="A44" i="7"/>
  <c r="A45" i="7"/>
  <c r="A46" i="7"/>
  <c r="A47" i="7"/>
  <c r="D11" i="18" l="1"/>
  <c r="D10" i="18"/>
  <c r="D6" i="18"/>
  <c r="D5" i="18"/>
  <c r="D4" i="18"/>
  <c r="B3" i="18"/>
  <c r="B4" i="18"/>
  <c r="B5" i="18"/>
  <c r="B6" i="18"/>
  <c r="B10" i="18"/>
  <c r="B11" i="18"/>
  <c r="B45" i="18"/>
  <c r="A11" i="18"/>
  <c r="A10" i="18"/>
  <c r="A6" i="18"/>
  <c r="A5" i="18"/>
  <c r="A4" i="18"/>
  <c r="A3" i="18"/>
  <c r="G11" i="9" l="1"/>
  <c r="B27" i="9"/>
  <c r="B28" i="9"/>
  <c r="C10" i="9" l="1"/>
  <c r="G10" i="9" s="1"/>
  <c r="G15" i="9" s="1"/>
  <c r="C12" i="9"/>
  <c r="A3" i="9" l="1"/>
  <c r="G4" i="13"/>
  <c r="S51" i="13" s="1"/>
  <c r="G5" i="13"/>
  <c r="S52" i="13" s="1"/>
  <c r="G6" i="13"/>
  <c r="S53" i="13" s="1"/>
  <c r="G7" i="13"/>
  <c r="G8" i="13"/>
  <c r="G9" i="13"/>
  <c r="S55" i="13" s="1"/>
  <c r="G10" i="13"/>
  <c r="S56" i="13" s="1"/>
  <c r="G11" i="13"/>
  <c r="G12" i="13"/>
  <c r="G13" i="13"/>
  <c r="G14" i="13"/>
  <c r="S60" i="13" s="1"/>
  <c r="G15" i="13"/>
  <c r="S61" i="13" s="1"/>
  <c r="G16" i="13"/>
  <c r="G17" i="13"/>
  <c r="G18" i="13"/>
  <c r="G19" i="13"/>
  <c r="S63" i="13" s="1"/>
  <c r="G20" i="13"/>
  <c r="G21" i="13"/>
  <c r="G22" i="13"/>
  <c r="G23" i="13"/>
  <c r="G24" i="13"/>
  <c r="G25" i="13"/>
  <c r="G26" i="13"/>
  <c r="G27" i="13"/>
  <c r="G28" i="13"/>
  <c r="G29" i="13"/>
  <c r="G30" i="13"/>
  <c r="G31" i="13"/>
  <c r="G32" i="13"/>
  <c r="G33" i="13"/>
  <c r="G34" i="13"/>
  <c r="G35" i="13"/>
  <c r="G36" i="13"/>
  <c r="G37" i="13"/>
  <c r="G38" i="13"/>
  <c r="G39" i="13"/>
  <c r="G40" i="13"/>
  <c r="G41" i="13"/>
  <c r="G42" i="13"/>
  <c r="G43" i="13"/>
  <c r="S67" i="13" s="1"/>
  <c r="G44" i="13"/>
  <c r="G3" i="13"/>
  <c r="S50" i="13" s="1"/>
  <c r="K4" i="13"/>
  <c r="C4" i="18" s="1"/>
  <c r="K5" i="13"/>
  <c r="K6" i="13"/>
  <c r="K7" i="13"/>
  <c r="C7" i="18" s="1"/>
  <c r="K8" i="13"/>
  <c r="C8" i="18" s="1"/>
  <c r="K9" i="13"/>
  <c r="C9" i="18" s="1"/>
  <c r="K10" i="13"/>
  <c r="K11" i="13"/>
  <c r="K12" i="13"/>
  <c r="C12" i="18" s="1"/>
  <c r="K13" i="13"/>
  <c r="C13" i="18" s="1"/>
  <c r="K14" i="13"/>
  <c r="C14" i="18" s="1"/>
  <c r="K15" i="13"/>
  <c r="C15" i="18" s="1"/>
  <c r="K16" i="13"/>
  <c r="C16" i="18" s="1"/>
  <c r="K17" i="13"/>
  <c r="C17" i="18" s="1"/>
  <c r="K18" i="13"/>
  <c r="C18" i="18" s="1"/>
  <c r="K19" i="13"/>
  <c r="C19" i="18" s="1"/>
  <c r="K20" i="13"/>
  <c r="C20" i="18" s="1"/>
  <c r="K21" i="13"/>
  <c r="C21" i="18" s="1"/>
  <c r="H21" i="18" s="1"/>
  <c r="K21" i="18" s="1"/>
  <c r="K22" i="13"/>
  <c r="C22" i="18" s="1"/>
  <c r="H22" i="18" s="1"/>
  <c r="K22" i="18" s="1"/>
  <c r="K23" i="13"/>
  <c r="C23" i="18" s="1"/>
  <c r="H23" i="18" s="1"/>
  <c r="K23" i="18" s="1"/>
  <c r="K24" i="13"/>
  <c r="C24" i="18" s="1"/>
  <c r="H24" i="18" s="1"/>
  <c r="K24" i="18" s="1"/>
  <c r="K25" i="13"/>
  <c r="C25" i="18" s="1"/>
  <c r="H25" i="18" s="1"/>
  <c r="K25" i="18" s="1"/>
  <c r="K26" i="13"/>
  <c r="C26" i="18" s="1"/>
  <c r="H26" i="18" s="1"/>
  <c r="K26" i="18" s="1"/>
  <c r="K27" i="13"/>
  <c r="C27" i="18" s="1"/>
  <c r="H27" i="18" s="1"/>
  <c r="K27" i="18" s="1"/>
  <c r="K28" i="13"/>
  <c r="C28" i="18" s="1"/>
  <c r="H28" i="18" s="1"/>
  <c r="K28" i="18" s="1"/>
  <c r="K29" i="13"/>
  <c r="C29" i="18" s="1"/>
  <c r="H29" i="18" s="1"/>
  <c r="K29" i="18" s="1"/>
  <c r="K30" i="13"/>
  <c r="C30" i="18" s="1"/>
  <c r="H30" i="18" s="1"/>
  <c r="K30" i="18" s="1"/>
  <c r="K31" i="13"/>
  <c r="C31" i="18" s="1"/>
  <c r="H31" i="18" s="1"/>
  <c r="K31" i="18" s="1"/>
  <c r="K32" i="13"/>
  <c r="C32" i="18" s="1"/>
  <c r="H32" i="18" s="1"/>
  <c r="K32" i="18" s="1"/>
  <c r="K33" i="13"/>
  <c r="C33" i="18" s="1"/>
  <c r="H33" i="18" s="1"/>
  <c r="K33" i="18" s="1"/>
  <c r="K34" i="13"/>
  <c r="K35" i="13"/>
  <c r="K36" i="13"/>
  <c r="K37" i="13"/>
  <c r="K38" i="13"/>
  <c r="C38" i="18" s="1"/>
  <c r="H38" i="18" s="1"/>
  <c r="K38" i="18" s="1"/>
  <c r="K39" i="13"/>
  <c r="K40" i="13"/>
  <c r="K41" i="13"/>
  <c r="C41" i="18" s="1"/>
  <c r="H41" i="18" s="1"/>
  <c r="K41" i="18" s="1"/>
  <c r="K42" i="13"/>
  <c r="K43" i="13"/>
  <c r="K44" i="13"/>
  <c r="C44" i="18" s="1"/>
  <c r="H44" i="18" s="1"/>
  <c r="K44" i="18" s="1"/>
  <c r="A1" i="13"/>
  <c r="A1" i="21"/>
  <c r="T4" i="20"/>
  <c r="U4" i="20"/>
  <c r="T5" i="20"/>
  <c r="U5" i="20"/>
  <c r="T6" i="20"/>
  <c r="U6" i="20"/>
  <c r="T7" i="20"/>
  <c r="U7" i="20"/>
  <c r="T8" i="20"/>
  <c r="U8" i="20"/>
  <c r="T9" i="20"/>
  <c r="U9" i="20"/>
  <c r="T10" i="20"/>
  <c r="V10" i="20" s="1"/>
  <c r="U10" i="20"/>
  <c r="T11" i="20"/>
  <c r="V11" i="20" s="1"/>
  <c r="U11" i="20"/>
  <c r="T12" i="20"/>
  <c r="V12" i="20" s="1"/>
  <c r="U12" i="20"/>
  <c r="T13" i="20"/>
  <c r="V13" i="20" s="1"/>
  <c r="U13" i="20"/>
  <c r="T14" i="20"/>
  <c r="V14" i="20" s="1"/>
  <c r="U14" i="20"/>
  <c r="T15" i="20"/>
  <c r="U15" i="20"/>
  <c r="T16" i="20"/>
  <c r="U16" i="20"/>
  <c r="T17" i="20"/>
  <c r="U17" i="20"/>
  <c r="V17" i="20" s="1"/>
  <c r="T18" i="20"/>
  <c r="V18" i="20" s="1"/>
  <c r="U18" i="20"/>
  <c r="U3" i="20"/>
  <c r="T3" i="20"/>
  <c r="J4" i="20"/>
  <c r="K4" i="20"/>
  <c r="J5" i="20"/>
  <c r="L5" i="20" s="1"/>
  <c r="K5" i="20"/>
  <c r="J6" i="20"/>
  <c r="K6" i="20"/>
  <c r="J7" i="20"/>
  <c r="L7" i="20" s="1"/>
  <c r="K7" i="20"/>
  <c r="J8" i="20"/>
  <c r="K8" i="20"/>
  <c r="J9" i="20"/>
  <c r="K9" i="20"/>
  <c r="J10" i="20"/>
  <c r="K10" i="20"/>
  <c r="J11" i="20"/>
  <c r="K11" i="20"/>
  <c r="L11" i="20" s="1"/>
  <c r="J12" i="20"/>
  <c r="L12" i="20" s="1"/>
  <c r="K12" i="20"/>
  <c r="J13" i="20"/>
  <c r="L13" i="20" s="1"/>
  <c r="K13" i="20"/>
  <c r="J14" i="20"/>
  <c r="K14" i="20"/>
  <c r="J15" i="20"/>
  <c r="L15" i="20" s="1"/>
  <c r="K15" i="20"/>
  <c r="J16" i="20"/>
  <c r="L16" i="20" s="1"/>
  <c r="K16" i="20"/>
  <c r="J17" i="20"/>
  <c r="L17" i="20" s="1"/>
  <c r="K17" i="20"/>
  <c r="J18" i="20"/>
  <c r="L18" i="20" s="1"/>
  <c r="K18" i="20"/>
  <c r="K3" i="20"/>
  <c r="J3" i="20"/>
  <c r="N3" i="20"/>
  <c r="A3" i="20"/>
  <c r="N1" i="20"/>
  <c r="A1" i="20"/>
  <c r="V16" i="20"/>
  <c r="V15" i="20"/>
  <c r="V9" i="20"/>
  <c r="V8" i="20"/>
  <c r="V7" i="20"/>
  <c r="V6" i="20"/>
  <c r="V5" i="20"/>
  <c r="V4" i="20"/>
  <c r="V3" i="20"/>
  <c r="D48" i="7" l="1"/>
  <c r="F48" i="7" s="1"/>
  <c r="G48" i="7" s="1"/>
  <c r="C43" i="18"/>
  <c r="H43" i="18" s="1"/>
  <c r="K43" i="18" s="1"/>
  <c r="D47" i="7"/>
  <c r="F47" i="7" s="1"/>
  <c r="G47" i="7" s="1"/>
  <c r="C42" i="18"/>
  <c r="H42" i="18" s="1"/>
  <c r="K42" i="18" s="1"/>
  <c r="D45" i="7"/>
  <c r="F45" i="7" s="1"/>
  <c r="G45" i="7" s="1"/>
  <c r="C40" i="18"/>
  <c r="H40" i="18" s="1"/>
  <c r="K40" i="18" s="1"/>
  <c r="D44" i="7"/>
  <c r="F44" i="7" s="1"/>
  <c r="G44" i="7" s="1"/>
  <c r="C39" i="18"/>
  <c r="H39" i="18" s="1"/>
  <c r="K39" i="18" s="1"/>
  <c r="D42" i="7"/>
  <c r="F42" i="7" s="1"/>
  <c r="G42" i="7" s="1"/>
  <c r="C37" i="18"/>
  <c r="H37" i="18" s="1"/>
  <c r="K37" i="18" s="1"/>
  <c r="D41" i="7"/>
  <c r="F41" i="7" s="1"/>
  <c r="G41" i="7" s="1"/>
  <c r="C36" i="18"/>
  <c r="H36" i="18" s="1"/>
  <c r="K36" i="18" s="1"/>
  <c r="D40" i="7"/>
  <c r="F40" i="7" s="1"/>
  <c r="C35" i="18"/>
  <c r="H35" i="18" s="1"/>
  <c r="K35" i="18" s="1"/>
  <c r="D39" i="7"/>
  <c r="F39" i="7" s="1"/>
  <c r="G39" i="7" s="1"/>
  <c r="C34" i="18"/>
  <c r="H34" i="18" s="1"/>
  <c r="K34" i="18" s="1"/>
  <c r="S64" i="13"/>
  <c r="S62" i="13"/>
  <c r="S57" i="13"/>
  <c r="S65" i="13"/>
  <c r="S59" i="13"/>
  <c r="S66" i="13"/>
  <c r="S58" i="13"/>
  <c r="S54" i="13"/>
  <c r="G40" i="7"/>
  <c r="G45" i="13"/>
  <c r="D49" i="7"/>
  <c r="F49" i="7" s="1"/>
  <c r="G49" i="7" s="1"/>
  <c r="D46" i="7"/>
  <c r="F46" i="7" s="1"/>
  <c r="D43" i="7"/>
  <c r="F43" i="7" s="1"/>
  <c r="G43" i="7" s="1"/>
  <c r="L10" i="20"/>
  <c r="L4" i="20"/>
  <c r="L3" i="20"/>
  <c r="L8" i="20"/>
  <c r="L6" i="20"/>
  <c r="L14" i="20"/>
  <c r="L9" i="20"/>
  <c r="C60" i="7" l="1"/>
  <c r="G143" i="7" s="1"/>
  <c r="H143" i="7" s="1"/>
  <c r="S68" i="13"/>
  <c r="C59" i="7"/>
  <c r="G123" i="7" s="1"/>
  <c r="H123" i="7" s="1"/>
  <c r="G46" i="7"/>
  <c r="G28" i="34"/>
  <c r="H28" i="34"/>
  <c r="I28" i="34"/>
  <c r="J28" i="34"/>
  <c r="K28" i="34"/>
  <c r="L28" i="34"/>
  <c r="M28" i="34"/>
  <c r="N28" i="34"/>
  <c r="O28" i="34"/>
  <c r="P28" i="34"/>
  <c r="Q28" i="34"/>
  <c r="R28" i="34"/>
  <c r="S28" i="34"/>
  <c r="T28" i="34"/>
  <c r="U28" i="34"/>
  <c r="V28" i="34"/>
  <c r="W28" i="34"/>
  <c r="X28" i="34"/>
  <c r="Y28" i="34"/>
  <c r="Z28" i="34"/>
  <c r="AA28" i="34"/>
  <c r="AB28" i="34"/>
  <c r="AC28" i="34"/>
  <c r="G29" i="34"/>
  <c r="H29" i="34"/>
  <c r="I29" i="34"/>
  <c r="J29" i="34"/>
  <c r="K29" i="34"/>
  <c r="L29" i="34"/>
  <c r="M29" i="34"/>
  <c r="N29" i="34"/>
  <c r="O29" i="34"/>
  <c r="P29" i="34"/>
  <c r="Q29" i="34"/>
  <c r="R29" i="34"/>
  <c r="S29" i="34"/>
  <c r="T29" i="34"/>
  <c r="U29" i="34"/>
  <c r="V29" i="34"/>
  <c r="W29" i="34"/>
  <c r="X29" i="34"/>
  <c r="Y29" i="34"/>
  <c r="Z29" i="34"/>
  <c r="AA29" i="34"/>
  <c r="AB29" i="34"/>
  <c r="AC29" i="34"/>
  <c r="G30" i="34"/>
  <c r="H30" i="34"/>
  <c r="I30" i="34"/>
  <c r="J30" i="34"/>
  <c r="K30" i="34"/>
  <c r="L30" i="34"/>
  <c r="M30" i="34"/>
  <c r="N30" i="34"/>
  <c r="O30" i="34"/>
  <c r="P30" i="34"/>
  <c r="Q30" i="34"/>
  <c r="R30" i="34"/>
  <c r="S30" i="34"/>
  <c r="T30" i="34"/>
  <c r="U30" i="34"/>
  <c r="V30" i="34"/>
  <c r="W30" i="34"/>
  <c r="X30" i="34"/>
  <c r="Y30" i="34"/>
  <c r="Z30" i="34"/>
  <c r="AA30" i="34"/>
  <c r="AB30" i="34"/>
  <c r="AC30" i="34"/>
  <c r="G25" i="34"/>
  <c r="H25" i="34"/>
  <c r="I25" i="34"/>
  <c r="J25" i="34"/>
  <c r="K25" i="34"/>
  <c r="L25" i="34"/>
  <c r="M25" i="34"/>
  <c r="N25" i="34"/>
  <c r="O25" i="34"/>
  <c r="P25" i="34"/>
  <c r="Q25" i="34"/>
  <c r="R25" i="34"/>
  <c r="S25" i="34"/>
  <c r="T25" i="34"/>
  <c r="U25" i="34"/>
  <c r="V25" i="34"/>
  <c r="W25" i="34"/>
  <c r="X25" i="34"/>
  <c r="Y25" i="34"/>
  <c r="Z25" i="34"/>
  <c r="AA25" i="34"/>
  <c r="AB25" i="34"/>
  <c r="AC25" i="34"/>
  <c r="G26" i="34"/>
  <c r="H26" i="34"/>
  <c r="I26" i="34"/>
  <c r="J26" i="34"/>
  <c r="K26" i="34"/>
  <c r="L26" i="34"/>
  <c r="M26" i="34"/>
  <c r="N26" i="34"/>
  <c r="O26" i="34"/>
  <c r="P26" i="34"/>
  <c r="Q26" i="34"/>
  <c r="R26" i="34"/>
  <c r="S26" i="34"/>
  <c r="T26" i="34"/>
  <c r="U26" i="34"/>
  <c r="V26" i="34"/>
  <c r="W26" i="34"/>
  <c r="X26" i="34"/>
  <c r="Y26" i="34"/>
  <c r="Z26" i="34"/>
  <c r="AA26" i="34"/>
  <c r="AB26" i="34"/>
  <c r="AC26" i="34"/>
  <c r="G27" i="34"/>
  <c r="H27" i="34"/>
  <c r="I27" i="34"/>
  <c r="J27" i="34"/>
  <c r="K27" i="34"/>
  <c r="L27" i="34"/>
  <c r="M27" i="34"/>
  <c r="N27" i="34"/>
  <c r="O27" i="34"/>
  <c r="P27" i="34"/>
  <c r="Q27" i="34"/>
  <c r="R27" i="34"/>
  <c r="S27" i="34"/>
  <c r="T27" i="34"/>
  <c r="U27" i="34"/>
  <c r="V27" i="34"/>
  <c r="W27" i="34"/>
  <c r="X27" i="34"/>
  <c r="Y27" i="34"/>
  <c r="Z27" i="34"/>
  <c r="AA27" i="34"/>
  <c r="AB27" i="34"/>
  <c r="AC27" i="34"/>
  <c r="F25" i="34"/>
  <c r="F26" i="34"/>
  <c r="F27" i="34"/>
  <c r="F28" i="34"/>
  <c r="F29" i="34"/>
  <c r="F30" i="34"/>
  <c r="G84" i="34"/>
  <c r="H84" i="34"/>
  <c r="I84" i="34"/>
  <c r="J84" i="34"/>
  <c r="K84" i="34"/>
  <c r="L84" i="34"/>
  <c r="M84" i="34"/>
  <c r="N84" i="34"/>
  <c r="O84" i="34"/>
  <c r="P84" i="34"/>
  <c r="Q84" i="34"/>
  <c r="R84" i="34"/>
  <c r="S84" i="34"/>
  <c r="T84" i="34"/>
  <c r="U84" i="34"/>
  <c r="V84" i="34"/>
  <c r="W84" i="34"/>
  <c r="X84" i="34"/>
  <c r="Y84" i="34"/>
  <c r="Z84" i="34"/>
  <c r="AA84" i="34"/>
  <c r="AB84" i="34"/>
  <c r="AC84" i="34"/>
  <c r="G85" i="34"/>
  <c r="H85" i="34"/>
  <c r="I85" i="34"/>
  <c r="J85" i="34"/>
  <c r="K85" i="34"/>
  <c r="L85" i="34"/>
  <c r="M85" i="34"/>
  <c r="N85" i="34"/>
  <c r="O85" i="34"/>
  <c r="P85" i="34"/>
  <c r="Q85" i="34"/>
  <c r="R85" i="34"/>
  <c r="S85" i="34"/>
  <c r="T85" i="34"/>
  <c r="U85" i="34"/>
  <c r="V85" i="34"/>
  <c r="W85" i="34"/>
  <c r="X85" i="34"/>
  <c r="Y85" i="34"/>
  <c r="Z85" i="34"/>
  <c r="AA85" i="34"/>
  <c r="AB85" i="34"/>
  <c r="AC85" i="34"/>
  <c r="G86" i="34"/>
  <c r="H86" i="34"/>
  <c r="I86" i="34"/>
  <c r="J86" i="34"/>
  <c r="K86" i="34"/>
  <c r="L86" i="34"/>
  <c r="M86" i="34"/>
  <c r="N86" i="34"/>
  <c r="O86" i="34"/>
  <c r="P86" i="34"/>
  <c r="Q86" i="34"/>
  <c r="R86" i="34"/>
  <c r="S86" i="34"/>
  <c r="T86" i="34"/>
  <c r="U86" i="34"/>
  <c r="V86" i="34"/>
  <c r="W86" i="34"/>
  <c r="X86" i="34"/>
  <c r="Y86" i="34"/>
  <c r="Z86" i="34"/>
  <c r="AA86" i="34"/>
  <c r="AB86" i="34"/>
  <c r="AC86" i="34"/>
  <c r="F86" i="34"/>
  <c r="F85" i="34"/>
  <c r="F84" i="34"/>
  <c r="G81" i="34"/>
  <c r="H81" i="34"/>
  <c r="I81" i="34"/>
  <c r="J81" i="34"/>
  <c r="K81" i="34"/>
  <c r="L81" i="34"/>
  <c r="M81" i="34"/>
  <c r="N81" i="34"/>
  <c r="O81" i="34"/>
  <c r="P81" i="34"/>
  <c r="Q81" i="34"/>
  <c r="R81" i="34"/>
  <c r="S81" i="34"/>
  <c r="T81" i="34"/>
  <c r="U81" i="34"/>
  <c r="V81" i="34"/>
  <c r="W81" i="34"/>
  <c r="X81" i="34"/>
  <c r="Y81" i="34"/>
  <c r="Z81" i="34"/>
  <c r="AA81" i="34"/>
  <c r="AB81" i="34"/>
  <c r="AC81" i="34"/>
  <c r="G82" i="34"/>
  <c r="H82" i="34"/>
  <c r="I82" i="34"/>
  <c r="J82" i="34"/>
  <c r="K82" i="34"/>
  <c r="L82" i="34"/>
  <c r="M82" i="34"/>
  <c r="N82" i="34"/>
  <c r="O82" i="34"/>
  <c r="P82" i="34"/>
  <c r="Q82" i="34"/>
  <c r="R82" i="34"/>
  <c r="S82" i="34"/>
  <c r="T82" i="34"/>
  <c r="U82" i="34"/>
  <c r="V82" i="34"/>
  <c r="W82" i="34"/>
  <c r="X82" i="34"/>
  <c r="Y82" i="34"/>
  <c r="Z82" i="34"/>
  <c r="AA82" i="34"/>
  <c r="AB82" i="34"/>
  <c r="AC82" i="34"/>
  <c r="G83" i="34"/>
  <c r="H83" i="34"/>
  <c r="I83" i="34"/>
  <c r="J83" i="34"/>
  <c r="K83" i="34"/>
  <c r="L83" i="34"/>
  <c r="M83" i="34"/>
  <c r="N83" i="34"/>
  <c r="O83" i="34"/>
  <c r="P83" i="34"/>
  <c r="Q83" i="34"/>
  <c r="R83" i="34"/>
  <c r="S83" i="34"/>
  <c r="T83" i="34"/>
  <c r="U83" i="34"/>
  <c r="V83" i="34"/>
  <c r="W83" i="34"/>
  <c r="X83" i="34"/>
  <c r="Y83" i="34"/>
  <c r="Z83" i="34"/>
  <c r="AA83" i="34"/>
  <c r="AB83" i="34"/>
  <c r="AC83" i="34"/>
  <c r="F83" i="34"/>
  <c r="F82" i="34"/>
  <c r="F81" i="34"/>
  <c r="D133" i="7" l="1"/>
  <c r="E133" i="7" s="1"/>
  <c r="F133" i="7" s="1"/>
  <c r="D138" i="7"/>
  <c r="E138" i="7" s="1"/>
  <c r="F138" i="7" s="1"/>
  <c r="G152" i="7"/>
  <c r="H152" i="7" s="1"/>
  <c r="D134" i="7"/>
  <c r="E134" i="7" s="1"/>
  <c r="F134" i="7" s="1"/>
  <c r="G138" i="7"/>
  <c r="H138" i="7" s="1"/>
  <c r="G133" i="7"/>
  <c r="H133" i="7" s="1"/>
  <c r="D128" i="7"/>
  <c r="E128" i="7" s="1"/>
  <c r="F128" i="7" s="1"/>
  <c r="D152" i="7"/>
  <c r="E152" i="7" s="1"/>
  <c r="F152" i="7" s="1"/>
  <c r="G146" i="7"/>
  <c r="H146" i="7" s="1"/>
  <c r="G142" i="7"/>
  <c r="H142" i="7" s="1"/>
  <c r="G147" i="7"/>
  <c r="H147" i="7" s="1"/>
  <c r="D139" i="7"/>
  <c r="E139" i="7" s="1"/>
  <c r="F139" i="7" s="1"/>
  <c r="D147" i="7"/>
  <c r="E147" i="7" s="1"/>
  <c r="F147" i="7" s="1"/>
  <c r="D148" i="7"/>
  <c r="E148" i="7" s="1"/>
  <c r="F148" i="7" s="1"/>
  <c r="G148" i="7"/>
  <c r="H148" i="7" s="1"/>
  <c r="D153" i="7"/>
  <c r="E153" i="7" s="1"/>
  <c r="F153" i="7" s="1"/>
  <c r="G129" i="7"/>
  <c r="H129" i="7" s="1"/>
  <c r="D149" i="7"/>
  <c r="E149" i="7" s="1"/>
  <c r="F149" i="7" s="1"/>
  <c r="G140" i="7"/>
  <c r="H140" i="7" s="1"/>
  <c r="G144" i="7"/>
  <c r="H144" i="7" s="1"/>
  <c r="G137" i="7"/>
  <c r="H137" i="7" s="1"/>
  <c r="G136" i="7"/>
  <c r="H136" i="7" s="1"/>
  <c r="D137" i="7"/>
  <c r="E137" i="7" s="1"/>
  <c r="F137" i="7" s="1"/>
  <c r="G145" i="7"/>
  <c r="H145" i="7" s="1"/>
  <c r="G153" i="7"/>
  <c r="H153" i="7" s="1"/>
  <c r="D124" i="7"/>
  <c r="E124" i="7" s="1"/>
  <c r="F124" i="7" s="1"/>
  <c r="G150" i="7"/>
  <c r="H150" i="7" s="1"/>
  <c r="G151" i="7"/>
  <c r="H151" i="7" s="1"/>
  <c r="D142" i="7"/>
  <c r="E142" i="7" s="1"/>
  <c r="F142" i="7" s="1"/>
  <c r="D140" i="7"/>
  <c r="E140" i="7" s="1"/>
  <c r="F140" i="7" s="1"/>
  <c r="G132" i="7"/>
  <c r="H132" i="7" s="1"/>
  <c r="D129" i="7"/>
  <c r="E129" i="7" s="1"/>
  <c r="F129" i="7" s="1"/>
  <c r="G130" i="7"/>
  <c r="H130" i="7" s="1"/>
  <c r="D145" i="7"/>
  <c r="E145" i="7" s="1"/>
  <c r="F145" i="7" s="1"/>
  <c r="G149" i="7"/>
  <c r="H149" i="7" s="1"/>
  <c r="D154" i="7"/>
  <c r="E154" i="7" s="1"/>
  <c r="F154" i="7" s="1"/>
  <c r="D141" i="7"/>
  <c r="E141" i="7" s="1"/>
  <c r="F141" i="7" s="1"/>
  <c r="D151" i="7"/>
  <c r="E151" i="7" s="1"/>
  <c r="F151" i="7" s="1"/>
  <c r="D143" i="7"/>
  <c r="E143" i="7" s="1"/>
  <c r="F143" i="7" s="1"/>
  <c r="D135" i="7"/>
  <c r="E135" i="7" s="1"/>
  <c r="F135" i="7" s="1"/>
  <c r="G125" i="7"/>
  <c r="H125" i="7" s="1"/>
  <c r="D150" i="7"/>
  <c r="E150" i="7" s="1"/>
  <c r="F150" i="7" s="1"/>
  <c r="G139" i="7"/>
  <c r="H139" i="7" s="1"/>
  <c r="D144" i="7"/>
  <c r="E144" i="7" s="1"/>
  <c r="F144" i="7" s="1"/>
  <c r="D125" i="7"/>
  <c r="E125" i="7" s="1"/>
  <c r="F125" i="7" s="1"/>
  <c r="D126" i="7"/>
  <c r="E126" i="7" s="1"/>
  <c r="F126" i="7" s="1"/>
  <c r="G154" i="7"/>
  <c r="H154" i="7" s="1"/>
  <c r="G126" i="7"/>
  <c r="H126" i="7" s="1"/>
  <c r="D130" i="7"/>
  <c r="E130" i="7" s="1"/>
  <c r="F130" i="7" s="1"/>
  <c r="G134" i="7"/>
  <c r="H134" i="7" s="1"/>
  <c r="G131" i="7"/>
  <c r="H131" i="7" s="1"/>
  <c r="G141" i="7"/>
  <c r="H141" i="7" s="1"/>
  <c r="D136" i="7"/>
  <c r="E136" i="7" s="1"/>
  <c r="F136" i="7" s="1"/>
  <c r="D146" i="7"/>
  <c r="E146" i="7" s="1"/>
  <c r="F146" i="7" s="1"/>
  <c r="G135" i="7"/>
  <c r="H135" i="7" s="1"/>
  <c r="D123" i="7"/>
  <c r="E123" i="7" s="1"/>
  <c r="F123" i="7" s="1"/>
  <c r="G127" i="7"/>
  <c r="H127" i="7" s="1"/>
  <c r="D131" i="7"/>
  <c r="E131" i="7" s="1"/>
  <c r="F131" i="7" s="1"/>
  <c r="D127" i="7"/>
  <c r="E127" i="7" s="1"/>
  <c r="F127" i="7" s="1"/>
  <c r="D132" i="7"/>
  <c r="E132" i="7" s="1"/>
  <c r="F132" i="7" s="1"/>
  <c r="G124" i="7"/>
  <c r="H124" i="7" s="1"/>
  <c r="G128" i="7"/>
  <c r="H128" i="7" s="1"/>
  <c r="A1" i="22"/>
  <c r="A1" i="27"/>
  <c r="A1" i="29"/>
  <c r="A1" i="9"/>
  <c r="A1" i="25"/>
  <c r="A1" i="7"/>
  <c r="A1" i="14"/>
  <c r="A1" i="1"/>
  <c r="B3" i="1" l="1"/>
  <c r="X19" i="1"/>
  <c r="W19" i="1"/>
  <c r="V19" i="1"/>
  <c r="U19" i="1"/>
  <c r="T19" i="1"/>
  <c r="S19" i="1"/>
  <c r="R19" i="1"/>
  <c r="Q19" i="1"/>
  <c r="P19" i="1"/>
  <c r="O19" i="1"/>
  <c r="N19" i="1"/>
  <c r="M19" i="1"/>
  <c r="L19" i="1"/>
  <c r="K19" i="1"/>
  <c r="J19" i="1"/>
  <c r="I19" i="1"/>
  <c r="X18" i="1"/>
  <c r="W18" i="1"/>
  <c r="V18" i="1"/>
  <c r="U18" i="1"/>
  <c r="T18" i="1"/>
  <c r="S18" i="1"/>
  <c r="R18" i="1"/>
  <c r="Q18" i="1"/>
  <c r="P18" i="1"/>
  <c r="O18" i="1"/>
  <c r="N18" i="1"/>
  <c r="M18" i="1"/>
  <c r="L18" i="1"/>
  <c r="K18" i="1"/>
  <c r="J18" i="1"/>
  <c r="I18" i="1"/>
  <c r="B8" i="1" l="1"/>
  <c r="B13" i="1"/>
  <c r="B18" i="1"/>
  <c r="K3" i="13" l="1"/>
  <c r="C3" i="18" l="1"/>
  <c r="D8" i="7"/>
  <c r="F8" i="7" s="1"/>
  <c r="G8" i="7" l="1"/>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8" i="7"/>
  <c r="G12" i="9" l="1"/>
  <c r="C9" i="7" l="1"/>
  <c r="D9" i="7"/>
  <c r="F9" i="7" s="1"/>
  <c r="C10" i="7"/>
  <c r="D10" i="7"/>
  <c r="F10" i="7" s="1"/>
  <c r="G10" i="7" s="1"/>
  <c r="C11" i="7"/>
  <c r="D11" i="7"/>
  <c r="F11" i="7" s="1"/>
  <c r="G11" i="7" s="1"/>
  <c r="C12" i="7"/>
  <c r="D12" i="7"/>
  <c r="F12" i="7" s="1"/>
  <c r="G12" i="7" s="1"/>
  <c r="C13" i="7"/>
  <c r="D13" i="7"/>
  <c r="F13" i="7" s="1"/>
  <c r="G13" i="7" s="1"/>
  <c r="C14" i="7"/>
  <c r="D14" i="7"/>
  <c r="F14" i="7" s="1"/>
  <c r="G14" i="7" s="1"/>
  <c r="C15" i="7"/>
  <c r="D15" i="7"/>
  <c r="F15" i="7" s="1"/>
  <c r="G15" i="7" s="1"/>
  <c r="C16" i="7"/>
  <c r="D16" i="7"/>
  <c r="F16" i="7" s="1"/>
  <c r="G16" i="7" s="1"/>
  <c r="C17" i="7"/>
  <c r="D17" i="7"/>
  <c r="F17" i="7" s="1"/>
  <c r="G17" i="7" s="1"/>
  <c r="C18" i="7"/>
  <c r="D18" i="7"/>
  <c r="F18" i="7" s="1"/>
  <c r="G18" i="7" s="1"/>
  <c r="C19" i="7"/>
  <c r="D19" i="7"/>
  <c r="F19" i="7" s="1"/>
  <c r="G19" i="7" s="1"/>
  <c r="C20" i="7"/>
  <c r="D20" i="7"/>
  <c r="F20" i="7" s="1"/>
  <c r="G20" i="7" s="1"/>
  <c r="C21" i="7"/>
  <c r="D21" i="7"/>
  <c r="F21" i="7" s="1"/>
  <c r="C22" i="7"/>
  <c r="D22" i="7"/>
  <c r="F22" i="7" s="1"/>
  <c r="G22" i="7" s="1"/>
  <c r="C23" i="7"/>
  <c r="D23" i="7"/>
  <c r="F23" i="7" s="1"/>
  <c r="G23" i="7" s="1"/>
  <c r="C24" i="7"/>
  <c r="D24" i="7"/>
  <c r="F24" i="7" s="1"/>
  <c r="G24" i="7" s="1"/>
  <c r="C25" i="7"/>
  <c r="D25" i="7"/>
  <c r="F25" i="7" s="1"/>
  <c r="G25" i="7" s="1"/>
  <c r="C26" i="7"/>
  <c r="D26" i="7"/>
  <c r="F26" i="7" s="1"/>
  <c r="G26" i="7" s="1"/>
  <c r="C27" i="7"/>
  <c r="D27" i="7"/>
  <c r="F27" i="7" s="1"/>
  <c r="G27" i="7" s="1"/>
  <c r="C28" i="7"/>
  <c r="D28" i="7"/>
  <c r="F28" i="7" s="1"/>
  <c r="G28" i="7" s="1"/>
  <c r="C29" i="7"/>
  <c r="D29" i="7"/>
  <c r="F29" i="7" s="1"/>
  <c r="C30" i="7"/>
  <c r="D30" i="7"/>
  <c r="F30" i="7" s="1"/>
  <c r="G30" i="7" s="1"/>
  <c r="C31" i="7"/>
  <c r="D31" i="7"/>
  <c r="F31" i="7" s="1"/>
  <c r="G31" i="7" s="1"/>
  <c r="C32" i="7"/>
  <c r="D32" i="7"/>
  <c r="F32" i="7" s="1"/>
  <c r="C33" i="7"/>
  <c r="D33" i="7"/>
  <c r="F33" i="7" s="1"/>
  <c r="G33" i="7" s="1"/>
  <c r="C34" i="7"/>
  <c r="D34" i="7"/>
  <c r="F34" i="7" s="1"/>
  <c r="G34" i="7" s="1"/>
  <c r="C35" i="7"/>
  <c r="D35" i="7"/>
  <c r="F35" i="7" s="1"/>
  <c r="G35" i="7" s="1"/>
  <c r="C36" i="7"/>
  <c r="D36" i="7"/>
  <c r="F36" i="7" s="1"/>
  <c r="G36" i="7" s="1"/>
  <c r="C37" i="7"/>
  <c r="D37" i="7"/>
  <c r="F37" i="7" s="1"/>
  <c r="G37" i="7" s="1"/>
  <c r="C38" i="7"/>
  <c r="D38" i="7"/>
  <c r="F38" i="7" s="1"/>
  <c r="G38" i="7" s="1"/>
  <c r="H4" i="18"/>
  <c r="J4" i="18"/>
  <c r="C5" i="18"/>
  <c r="H5" i="18" s="1"/>
  <c r="I5" i="18"/>
  <c r="C6" i="18"/>
  <c r="H6" i="18" s="1"/>
  <c r="J6" i="18"/>
  <c r="H7" i="18"/>
  <c r="I7" i="18"/>
  <c r="H8" i="18"/>
  <c r="I8" i="18"/>
  <c r="H9" i="18"/>
  <c r="J9" i="18"/>
  <c r="C10" i="18"/>
  <c r="H10" i="18" s="1"/>
  <c r="I10" i="18"/>
  <c r="C11" i="18"/>
  <c r="H11" i="18" s="1"/>
  <c r="I11" i="18"/>
  <c r="H12" i="18"/>
  <c r="I12" i="18"/>
  <c r="H13" i="18"/>
  <c r="I13" i="18"/>
  <c r="H14" i="18"/>
  <c r="J14" i="18"/>
  <c r="H15" i="18"/>
  <c r="I15" i="18"/>
  <c r="H16" i="18"/>
  <c r="I16" i="18"/>
  <c r="H17" i="18"/>
  <c r="J17" i="18"/>
  <c r="H18" i="18"/>
  <c r="I18" i="18"/>
  <c r="H19" i="18"/>
  <c r="J19" i="18"/>
  <c r="H20" i="18"/>
  <c r="J20" i="18"/>
  <c r="C56" i="7" l="1"/>
  <c r="D80" i="7" s="1"/>
  <c r="E80" i="7" s="1"/>
  <c r="F80" i="7" s="1"/>
  <c r="C57" i="7"/>
  <c r="C58" i="7"/>
  <c r="G32" i="7"/>
  <c r="G9" i="7"/>
  <c r="I14" i="18"/>
  <c r="K14" i="18" s="1"/>
  <c r="J15" i="18"/>
  <c r="K15" i="18" s="1"/>
  <c r="I19" i="18"/>
  <c r="K19" i="18" s="1"/>
  <c r="J7" i="18"/>
  <c r="K7" i="18" s="1"/>
  <c r="J12" i="18"/>
  <c r="K12" i="18" s="1"/>
  <c r="I4" i="18"/>
  <c r="K4" i="18" s="1"/>
  <c r="I17" i="18"/>
  <c r="K17" i="18" s="1"/>
  <c r="I20" i="18"/>
  <c r="K20" i="18" s="1"/>
  <c r="I9" i="18"/>
  <c r="K9" i="18" s="1"/>
  <c r="J8" i="18"/>
  <c r="K8" i="18" s="1"/>
  <c r="I6" i="18"/>
  <c r="K6" i="18" s="1"/>
  <c r="J18" i="18"/>
  <c r="K18" i="18" s="1"/>
  <c r="J13" i="18"/>
  <c r="K13" i="18" s="1"/>
  <c r="G21" i="7"/>
  <c r="G29" i="7"/>
  <c r="J10" i="18"/>
  <c r="K10" i="18" s="1"/>
  <c r="J16" i="18"/>
  <c r="K16" i="18" s="1"/>
  <c r="J5" i="18"/>
  <c r="K5" i="18" s="1"/>
  <c r="J11" i="18"/>
  <c r="K11" i="18" s="1"/>
  <c r="G84" i="7" l="1"/>
  <c r="H84" i="7" s="1"/>
  <c r="D83" i="7"/>
  <c r="E83" i="7" s="1"/>
  <c r="F83" i="7" s="1"/>
  <c r="D85" i="7"/>
  <c r="E85" i="7" s="1"/>
  <c r="F85" i="7" s="1"/>
  <c r="G80" i="7"/>
  <c r="H80" i="7" s="1"/>
  <c r="D81" i="7"/>
  <c r="E81" i="7" s="1"/>
  <c r="F81" i="7" s="1"/>
  <c r="G85" i="7"/>
  <c r="H85" i="7" s="1"/>
  <c r="G77" i="7"/>
  <c r="H77" i="7" s="1"/>
  <c r="D82" i="7"/>
  <c r="E82" i="7" s="1"/>
  <c r="F82" i="7" s="1"/>
  <c r="G82" i="7"/>
  <c r="H82" i="7" s="1"/>
  <c r="D87" i="7"/>
  <c r="E87" i="7" s="1"/>
  <c r="F87" i="7" s="1"/>
  <c r="G87" i="7"/>
  <c r="H87" i="7" s="1"/>
  <c r="G83" i="7"/>
  <c r="H83" i="7" s="1"/>
  <c r="D79" i="7"/>
  <c r="E79" i="7" s="1"/>
  <c r="F79" i="7" s="1"/>
  <c r="G78" i="7"/>
  <c r="H78" i="7" s="1"/>
  <c r="D88" i="7"/>
  <c r="E88" i="7" s="1"/>
  <c r="F88" i="7" s="1"/>
  <c r="G86" i="7"/>
  <c r="H86" i="7" s="1"/>
  <c r="D89" i="7"/>
  <c r="E89" i="7" s="1"/>
  <c r="F89" i="7" s="1"/>
  <c r="D84" i="7"/>
  <c r="E84" i="7" s="1"/>
  <c r="F84" i="7" s="1"/>
  <c r="D77" i="7"/>
  <c r="E77" i="7" s="1"/>
  <c r="F77" i="7" s="1"/>
  <c r="D76" i="7"/>
  <c r="E76" i="7" s="1"/>
  <c r="F76" i="7" s="1"/>
  <c r="G89" i="7"/>
  <c r="H89" i="7" s="1"/>
  <c r="D78" i="7"/>
  <c r="E78" i="7" s="1"/>
  <c r="F78" i="7" s="1"/>
  <c r="G76" i="7"/>
  <c r="H76" i="7" s="1"/>
  <c r="D75" i="7"/>
  <c r="E75" i="7" s="1"/>
  <c r="F75" i="7" s="1"/>
  <c r="D90" i="7"/>
  <c r="E90" i="7" s="1"/>
  <c r="F90" i="7" s="1"/>
  <c r="G79" i="7"/>
  <c r="H79" i="7" s="1"/>
  <c r="G81" i="7"/>
  <c r="H81" i="7" s="1"/>
  <c r="G88" i="7"/>
  <c r="H88" i="7" s="1"/>
  <c r="D86" i="7"/>
  <c r="E86" i="7" s="1"/>
  <c r="F86" i="7" s="1"/>
  <c r="G75" i="7"/>
  <c r="H75" i="7" s="1"/>
  <c r="G90" i="7"/>
  <c r="H90" i="7" s="1"/>
  <c r="D102" i="7"/>
  <c r="E102" i="7" s="1"/>
  <c r="F102" i="7" s="1"/>
  <c r="G97" i="7"/>
  <c r="H97" i="7" s="1"/>
  <c r="D106" i="7"/>
  <c r="E106" i="7" s="1"/>
  <c r="F106" i="7" s="1"/>
  <c r="D97" i="7"/>
  <c r="E97" i="7" s="1"/>
  <c r="F97" i="7" s="1"/>
  <c r="G92" i="7"/>
  <c r="H92" i="7" s="1"/>
  <c r="G95" i="7"/>
  <c r="H95" i="7" s="1"/>
  <c r="D93" i="7"/>
  <c r="E93" i="7" s="1"/>
  <c r="F93" i="7" s="1"/>
  <c r="D96" i="7"/>
  <c r="E96" i="7" s="1"/>
  <c r="F96" i="7" s="1"/>
  <c r="D98" i="7"/>
  <c r="E98" i="7" s="1"/>
  <c r="F98" i="7" s="1"/>
  <c r="G101" i="7"/>
  <c r="H101" i="7" s="1"/>
  <c r="D100" i="7"/>
  <c r="E100" i="7" s="1"/>
  <c r="F100" i="7" s="1"/>
  <c r="G105" i="7"/>
  <c r="H105" i="7" s="1"/>
  <c r="G91" i="7"/>
  <c r="H91" i="7" s="1"/>
  <c r="D101" i="7"/>
  <c r="E101" i="7" s="1"/>
  <c r="F101" i="7" s="1"/>
  <c r="G96" i="7"/>
  <c r="H96" i="7" s="1"/>
  <c r="D92" i="7"/>
  <c r="E92" i="7" s="1"/>
  <c r="F92" i="7" s="1"/>
  <c r="D105" i="7"/>
  <c r="E105" i="7" s="1"/>
  <c r="F105" i="7" s="1"/>
  <c r="G100" i="7"/>
  <c r="H100" i="7" s="1"/>
  <c r="D91" i="7"/>
  <c r="E91" i="7" s="1"/>
  <c r="F91" i="7" s="1"/>
  <c r="G93" i="7"/>
  <c r="H93" i="7" s="1"/>
  <c r="G104" i="7"/>
  <c r="H104" i="7" s="1"/>
  <c r="D104" i="7"/>
  <c r="E104" i="7" s="1"/>
  <c r="F104" i="7" s="1"/>
  <c r="G99" i="7"/>
  <c r="H99" i="7" s="1"/>
  <c r="G98" i="7"/>
  <c r="H98" i="7" s="1"/>
  <c r="G102" i="7"/>
  <c r="H102" i="7" s="1"/>
  <c r="D95" i="7"/>
  <c r="E95" i="7" s="1"/>
  <c r="F95" i="7" s="1"/>
  <c r="G103" i="7"/>
  <c r="H103" i="7" s="1"/>
  <c r="D103" i="7"/>
  <c r="E103" i="7" s="1"/>
  <c r="F103" i="7" s="1"/>
  <c r="D99" i="7"/>
  <c r="E99" i="7" s="1"/>
  <c r="F99" i="7" s="1"/>
  <c r="G94" i="7"/>
  <c r="H94" i="7" s="1"/>
  <c r="D94" i="7"/>
  <c r="E94" i="7" s="1"/>
  <c r="F94" i="7" s="1"/>
  <c r="G106" i="7"/>
  <c r="H106" i="7" s="1"/>
  <c r="G119" i="7"/>
  <c r="H119" i="7" s="1"/>
  <c r="D115" i="7"/>
  <c r="E115" i="7" s="1"/>
  <c r="F115" i="7" s="1"/>
  <c r="G110" i="7"/>
  <c r="H110" i="7" s="1"/>
  <c r="G114" i="7"/>
  <c r="H114" i="7" s="1"/>
  <c r="D122" i="7"/>
  <c r="E122" i="7" s="1"/>
  <c r="F122" i="7" s="1"/>
  <c r="D113" i="7"/>
  <c r="E113" i="7" s="1"/>
  <c r="F113" i="7" s="1"/>
  <c r="G108" i="7"/>
  <c r="H108" i="7" s="1"/>
  <c r="G117" i="7"/>
  <c r="H117" i="7" s="1"/>
  <c r="D119" i="7"/>
  <c r="E119" i="7" s="1"/>
  <c r="F119" i="7" s="1"/>
  <c r="D110" i="7"/>
  <c r="E110" i="7" s="1"/>
  <c r="F110" i="7" s="1"/>
  <c r="D118" i="7"/>
  <c r="E118" i="7" s="1"/>
  <c r="F118" i="7" s="1"/>
  <c r="G113" i="7"/>
  <c r="H113" i="7" s="1"/>
  <c r="G118" i="7"/>
  <c r="H118" i="7" s="1"/>
  <c r="D114" i="7"/>
  <c r="E114" i="7" s="1"/>
  <c r="F114" i="7" s="1"/>
  <c r="G109" i="7"/>
  <c r="H109" i="7" s="1"/>
  <c r="G122" i="7"/>
  <c r="H122" i="7" s="1"/>
  <c r="D109" i="7"/>
  <c r="E109" i="7" s="1"/>
  <c r="F109" i="7" s="1"/>
  <c r="G121" i="7"/>
  <c r="H121" i="7" s="1"/>
  <c r="G111" i="7"/>
  <c r="H111" i="7" s="1"/>
  <c r="G115" i="7"/>
  <c r="H115" i="7" s="1"/>
  <c r="D117" i="7"/>
  <c r="E117" i="7" s="1"/>
  <c r="F117" i="7" s="1"/>
  <c r="G112" i="7"/>
  <c r="H112" i="7" s="1"/>
  <c r="D108" i="7"/>
  <c r="E108" i="7" s="1"/>
  <c r="F108" i="7" s="1"/>
  <c r="G107" i="7"/>
  <c r="H107" i="7" s="1"/>
  <c r="G120" i="7"/>
  <c r="H120" i="7" s="1"/>
  <c r="D116" i="7"/>
  <c r="E116" i="7" s="1"/>
  <c r="F116" i="7" s="1"/>
  <c r="D120" i="7"/>
  <c r="E120" i="7" s="1"/>
  <c r="F120" i="7" s="1"/>
  <c r="D121" i="7"/>
  <c r="E121" i="7" s="1"/>
  <c r="F121" i="7" s="1"/>
  <c r="G116" i="7"/>
  <c r="H116" i="7" s="1"/>
  <c r="D112" i="7"/>
  <c r="E112" i="7" s="1"/>
  <c r="F112" i="7" s="1"/>
  <c r="D107" i="7"/>
  <c r="E107" i="7" s="1"/>
  <c r="F107" i="7" s="1"/>
  <c r="D111" i="7"/>
  <c r="E111" i="7" s="1"/>
  <c r="F111" i="7" s="1"/>
  <c r="I45" i="13"/>
  <c r="H45" i="13"/>
  <c r="D45" i="18" s="1"/>
  <c r="K45" i="13"/>
  <c r="C45" i="18" s="1"/>
  <c r="G13" i="9" l="1"/>
  <c r="G16" i="9" s="1"/>
  <c r="B3" i="9" l="1"/>
  <c r="G17" i="9"/>
  <c r="A7" i="9"/>
  <c r="A1" i="18"/>
  <c r="A4" i="21" l="1"/>
  <c r="A1" i="31" l="1"/>
  <c r="C3" i="9" l="1"/>
  <c r="J3" i="18"/>
  <c r="J45" i="18" s="1"/>
  <c r="I3" i="18" l="1"/>
  <c r="I45" i="18" s="1"/>
  <c r="H3" i="18"/>
  <c r="H45" i="18" s="1"/>
  <c r="K3" i="18" l="1"/>
  <c r="K45" i="18" s="1"/>
  <c r="H5" i="21" l="1"/>
  <c r="H6" i="21"/>
  <c r="H7" i="21"/>
  <c r="H8" i="21"/>
  <c r="H9" i="21"/>
  <c r="H10" i="21"/>
  <c r="H11" i="21"/>
  <c r="H12" i="21"/>
  <c r="H13" i="21"/>
  <c r="H14" i="21"/>
  <c r="H15" i="21"/>
  <c r="H16" i="21"/>
  <c r="H17" i="21"/>
  <c r="H18" i="21"/>
  <c r="H19" i="21"/>
  <c r="H4"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<sst xmlns="http://schemas.openxmlformats.org/spreadsheetml/2006/main" count="1979" uniqueCount="790">
  <si>
    <t>Data Sources</t>
  </si>
  <si>
    <t>Dataset</t>
  </si>
  <si>
    <t>Dodge 2023</t>
  </si>
  <si>
    <t>CEUS 2022</t>
  </si>
  <si>
    <t>ComStock 2023</t>
  </si>
  <si>
    <t>Prototype</t>
  </si>
  <si>
    <r>
      <t xml:space="preserve">CEC </t>
    </r>
    <r>
      <rPr>
        <sz val="10"/>
        <color rgb="FF000000"/>
        <rFont val="Arial"/>
        <family val="2"/>
      </rPr>
      <t>2028</t>
    </r>
    <r>
      <rPr>
        <sz val="10"/>
        <color theme="1"/>
        <rFont val="Arial"/>
        <family val="2"/>
      </rPr>
      <t xml:space="preserve"> School prototype</t>
    </r>
  </si>
  <si>
    <t>https://efiling.energy.ca.gov/GetDocument.aspx?tn=265691&amp;DocumentContentId=102542</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</si>
  <si>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</si>
  <si>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</si>
  <si>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</si>
  <si>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</si>
  <si>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</si>
  <si>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</si>
  <si>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</si>
  <si>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</si>
  <si>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</si>
  <si>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</si>
  <si>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</si>
  <si>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</si>
  <si>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</si>
  <si>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</si>
  <si>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</si>
  <si>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</si>
  <si>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</si>
  <si>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</si>
  <si>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 — internal NORESCO project memo (not a public URL). See Prototype basis / Source access below.</t>
  </si>
  <si>
    <t>ENERGY STAR certified commercial water heaters (electric heat pump; integrated commercial HPWH)</t>
  </si>
  <si>
    <t>ENERGY STAR commercial WH dataset (download)</t>
  </si>
  <si>
    <t>ENERGY STAR commercial WH eligibility (electric heat pump, min COPh 3)</t>
  </si>
  <si>
    <t>Construction Rate</t>
  </si>
  <si>
    <t>Dodge 2023 construction rates used in the SCE vintage-bin analysis. Legend labels STC 41 and STC 49 are Dodge structure-type series identifiers from that analysis (Prototype D6, NonRes-Vintage bins-Draft Report-30Nov2023). They are not Title 24 climate zones.</t>
  </si>
  <si>
    <t>Notes</t>
  </si>
  <si>
    <t>2025 T24</t>
  </si>
  <si>
    <t>School includes five buildings: north classroom, lab classroom, shop classroom, MPR/Admin, and gym/courts/locker.</t>
  </si>
  <si>
    <t>Prototype basis</t>
  </si>
  <si>
    <t>Geometry</t>
  </si>
  <si>
    <t>Geometry is CEC SchoolHigh as implemented in CBECC (Prototype C7:C16; five buildings in B34: north classroom, lab classroom, shop classroom, MPR/Admin, gym/courts/locker). Floor area 174,819 ft². Prototype comparison columns (CalBEM SchoolLarge, DEER Education-Secondary, PNNL SchoolSecondary) are reference only.</t>
  </si>
  <si>
    <t>Vintage bins</t>
  </si>
  <si>
    <t>Existing vintages Pre-1978, 1978-1997, 1998-2007, 2008-2018 plus New Construction 2019+ follow the SCE Enhanced Prototypes vintage-bin analysis (Prototype D6). Dodge 2023 construction rates inform stock weighting; they are not a Title 24 prescriptive requirement.</t>
  </si>
  <si>
    <t>Curriculum and stock</t>
  </si>
  <si>
    <t>Comprehensive high school program (classrooms, labs, shops, gym/lockers, MPR, kitchen, library, administration). The prototype represents average California high-school stock. Funding/condition variation is carried in vintage envelope/HVAC/lighting assumptions (including Envelope H8 30-year roof replacement).</t>
  </si>
  <si>
    <t>WWR, heights, energy</t>
  </si>
  <si>
    <t>WWR 6.86%, no exterior shades (CEC). Floor-to-floor 14 ft except MPR/Admin 14–25 ft and Court 22–34 ft. Existing HVAC: PSZAC + gas furnace (MPR SZVAV). New construction: SZHP. Service water: existing electric resistance; NC heat-pump water heater (Water Heater B3:B4).</t>
  </si>
  <si>
    <t>Abbreviations</t>
  </si>
  <si>
    <t>T24 = California Title 24, Part 6. ACM = Nonresidential/Multifamily Alternative Calculation Method Reference Manual. CEC = California Energy Commission. CBECC = California Building Energy Code Compliance software. CEUS = California Commercial End-Use Survey. PSZAC = packaged single-zone air conditioner. SZHP = single-zone heat pump. SZVAV = single-zone VAV. HPWH = heat-pump water heater. SRR = skylight-to-roof ratio. WWR = window-to-wall ratio. IWA = initial wattage allowance.</t>
  </si>
  <si>
    <t>Source access</t>
  </si>
  <si>
    <t>Column C lists public links where they exist. Dodge 2023 is a licensed dataset with no public URL. The NORESCO air-leakage memo is an internal file (C19), not a webpage. ENERGY STAR water-heater rows use the commercial electric (heat pump) Product Finder and dataset xmq6-bm79. Schedule fractions that cite the Plug Loads and Schedules project with CEC (2025) do not have an external link yet; an ASHRAE paper has been submitted and the citation will be updated when that paper is published or when ACM 2028 is released.</t>
  </si>
  <si>
    <t>Sources used</t>
  </si>
  <si>
    <t>Used on this scorecard: CEC SchoolHigh (efiling tn=265691); T24 2022 App. 5.4A/5.4B; ACM 2025 §5.9.2 and fan tables; T24 Tables 140.3-B, 110.2-A/B, 140.6-C, 140.7-A/B, 120.1-A/B; 2022 Reduced Infiltration CASE; 2019 Outdoor Lighting CASE; 2019 Fume-hood CASE (labs present); PNNL 20405; ASHRAE 90.1-2022 Appendix A; ASHRAE Handbook of Fundamentals; ENERGY STAR commercial HPWH list. Reviewer-suggested references that do not support a retained assumption are not added.</t>
  </si>
  <si>
    <t>NORESCO, Updated September 2026</t>
  </si>
  <si>
    <t>SchoolHigh</t>
  </si>
  <si>
    <t>Characteristic</t>
  </si>
  <si>
    <t>Value</t>
  </si>
  <si>
    <t>Building Type</t>
  </si>
  <si>
    <t>High School</t>
  </si>
  <si>
    <t>Building Category</t>
  </si>
  <si>
    <t>Nonresidential</t>
  </si>
  <si>
    <t>Version</t>
  </si>
  <si>
    <t>v2-0</t>
  </si>
  <si>
    <t>Vintages</t>
  </si>
  <si>
    <t>4 Vintages: Pre-1978, 1978-1997,1998-2007,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</si>
  <si>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</si>
  <si>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</si>
  <si>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approved 2028 SchoolK-8 prototype. </t>
  </si>
  <si>
    <t>Total Floor Area (ft²)</t>
  </si>
  <si>
    <t>CEC SchoolKto8 / CBECC (same as Prototype comparison column C).</t>
  </si>
  <si>
    <t>Aspect Ratio</t>
  </si>
  <si>
    <t>It varies for different buildings.</t>
  </si>
  <si>
    <t>Same as the CEC approved 2028 SchoolK-8 prototype</t>
  </si>
  <si>
    <t>Number of Floors</t>
  </si>
  <si>
    <t>Roof type</t>
  </si>
  <si>
    <t>Flat</t>
  </si>
  <si>
    <t>WWR</t>
  </si>
  <si>
    <t>Shading Geometry</t>
  </si>
  <si>
    <t xml:space="preserve">No Shades </t>
  </si>
  <si>
    <t>Floor to floor height (feet)</t>
  </si>
  <si>
    <t>It varies for different buildings:
MPR/Admin: 14-25
Court: 22-34
Other buildings: 14 ft</t>
  </si>
  <si>
    <t>Floor to ceiling height (feet)</t>
  </si>
  <si>
    <t>Glazing sill height (feet)</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</si>
  <si>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</si>
  <si>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</si>
  <si>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</si>
  <si>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</si>
  <si>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</si>
  <si>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</si>
  <si>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</si>
  <si>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</si>
  <si>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</si>
  <si>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</si>
  <si>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</si>
  <si>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</si>
  <si>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</si>
  <si>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</si>
  <si>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</si>
  <si>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</si>
  <si>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Total Floor area (multiper applied)</t>
  </si>
  <si>
    <t>SchoolHigh Admin/MPR</t>
  </si>
  <si>
    <t>ADMIN/MPR_BREAKROOM_ZN</t>
  </si>
  <si>
    <t>Lounge, Breakroom, or Waiting Area</t>
  </si>
  <si>
    <t>AHU-1</t>
  </si>
  <si>
    <t>MPR</t>
  </si>
  <si>
    <t>Y</t>
  </si>
  <si>
    <t>ADMIN/MPR_CAFETERIA ZNS 3_ZN</t>
  </si>
  <si>
    <t>Dining Area (Cafeteria/Fast Food)</t>
  </si>
  <si>
    <t>AHU-2</t>
  </si>
  <si>
    <t>ADMIN/MPR_CONFERENCE ROOM ZNS 3_ZN</t>
  </si>
  <si>
    <t>Convention, Conference, Multipurpose and Meeting Area</t>
  </si>
  <si>
    <t>AHU-3</t>
  </si>
  <si>
    <t>ADMIN/MPR_CORRIDOR_ZN</t>
  </si>
  <si>
    <t>Corridor Area</t>
  </si>
  <si>
    <t>AHU-4</t>
  </si>
  <si>
    <t>ADMIN/MPR_EMT_ZN</t>
  </si>
  <si>
    <t>Electrical, Mechanical, Telephone Rooms</t>
  </si>
  <si>
    <t>AHU-5</t>
  </si>
  <si>
    <t>ADMIN/MPR_IDF ROOM_ZN</t>
  </si>
  <si>
    <t>AHU-6</t>
  </si>
  <si>
    <t>ADMIN/MPR_KITCHEN_ZN</t>
  </si>
  <si>
    <t>Kitchen/Food Preparation Area</t>
  </si>
  <si>
    <t>AHU-7</t>
  </si>
  <si>
    <t>Kitchen</t>
  </si>
  <si>
    <t>ADMIN/MPR_LOBBY_ZN</t>
  </si>
  <si>
    <t>Lobby, Main Entry</t>
  </si>
  <si>
    <t>AHU-8</t>
  </si>
  <si>
    <t>ADMIN/MPR_OFFICE - LT 250 SF ZNS 6_ZN</t>
  </si>
  <si>
    <t>Office Area (&lt;250 square feet)</t>
  </si>
  <si>
    <t>AHU-9</t>
  </si>
  <si>
    <t>ADMIN/MPR_RESTROOM ZNS 3_ZN</t>
  </si>
  <si>
    <t>Restrooms</t>
  </si>
  <si>
    <t>AHU-10</t>
  </si>
  <si>
    <t>ADMIN/MPR_STORAGE - GENERAL_ZN</t>
  </si>
  <si>
    <t>Storage (General)</t>
  </si>
  <si>
    <t>AHU-11</t>
  </si>
  <si>
    <t>ADMIN/MPR_STORAGE - REFRIGERATED_ZN</t>
  </si>
  <si>
    <t>Storage, Commercial/Industrial (Refrigerated)</t>
  </si>
  <si>
    <t>AHU-12</t>
  </si>
  <si>
    <t>ADMIN/MPR_THEATER - PERFORMANCE_ZN</t>
  </si>
  <si>
    <t>Theater Area (Performance)</t>
  </si>
  <si>
    <t>AHU-13</t>
  </si>
  <si>
    <t>SchoolHigh Lab Classrooms</t>
  </si>
  <si>
    <t>CLASSRM LAB_FLR 1_EMT-01_ZN</t>
  </si>
  <si>
    <t>AHU-14</t>
  </si>
  <si>
    <t>Classroom</t>
  </si>
  <si>
    <t>CLASSRM LAB_FLR 1_EMT-02_ZN</t>
  </si>
  <si>
    <t>AHU-15</t>
  </si>
  <si>
    <t>CLASSRM LAB_FLR 1_LAB ZNS 2_ZN</t>
  </si>
  <si>
    <t>Laboratory, Scientific</t>
  </si>
  <si>
    <t>AHU-16</t>
  </si>
  <si>
    <t>CLASSRM LAB_FLR 1_LIBRARY - READING AREA_ZN</t>
  </si>
  <si>
    <t>Library (Reading Area)</t>
  </si>
  <si>
    <t>AHU-17</t>
  </si>
  <si>
    <t>CLASSRM LAB_FLR 1_RESTROOM_ZN</t>
  </si>
  <si>
    <t>AHU-18</t>
  </si>
  <si>
    <t>CLASSRM LAB_FLR 1_STORAGE - GENERAL_ZN</t>
  </si>
  <si>
    <t>AHU-19</t>
  </si>
  <si>
    <t>CLASSRM LAB_FLR 2_CLASSROOM_ZN</t>
  </si>
  <si>
    <t>Classroom, Lecture, Training, Vocational Areas</t>
  </si>
  <si>
    <t>AHU-20</t>
  </si>
  <si>
    <t>CLASSRM LAB_FLR 2_IDF ROOM_ZN</t>
  </si>
  <si>
    <t>AHU-21</t>
  </si>
  <si>
    <t>CLASSRM LAB_FLR 2_LAB ZNS 3_ZN</t>
  </si>
  <si>
    <t>AHU-22</t>
  </si>
  <si>
    <t>CLASSRM LAB_FLR 2_RESTROOM_ZN</t>
  </si>
  <si>
    <t>AHU-23</t>
  </si>
  <si>
    <t>CLASSRM LAB_FLR 2_STORAGE - GENERAL_ZN</t>
  </si>
  <si>
    <t>AHU-24</t>
  </si>
  <si>
    <t>SchoolHigh North Classrooms</t>
  </si>
  <si>
    <t>CLASSRM N_FLR 1_CLASSROOM-01_ZN</t>
  </si>
  <si>
    <t>AHU-25</t>
  </si>
  <si>
    <t>CLASSRM N_FLR 1_CLASSROOM-02 ZNS 6_ZN</t>
  </si>
  <si>
    <t>AHU-26</t>
  </si>
  <si>
    <t>CLASSRM N_FLR 1_OFFICE - LT 250 SF_ZN</t>
  </si>
  <si>
    <t>AHU-27</t>
  </si>
  <si>
    <t>CLASSRM N_FLR 1_RESTROOM_ZN</t>
  </si>
  <si>
    <t>AHU-28</t>
  </si>
  <si>
    <t>CLASSRM N_FLR 2_CLASSROOM-01 ZNS 6_ZN</t>
  </si>
  <si>
    <t>AHU-29</t>
  </si>
  <si>
    <t>CLASSRM N_FLR 2_CLASSROOM-02_ZN</t>
  </si>
  <si>
    <t>AHU-30</t>
  </si>
  <si>
    <t>CLASSRM N_FLR 2_OFFICE - LT 250 SF_ZN</t>
  </si>
  <si>
    <t>AHU-31</t>
  </si>
  <si>
    <t>CLASSRM N_FLR 2_RESTROOM_ZN</t>
  </si>
  <si>
    <t>AHU-32</t>
  </si>
  <si>
    <t>SchoolHigh Shop Classrooms</t>
  </si>
  <si>
    <t>CLASSRM SHOP_EMT_ZN</t>
  </si>
  <si>
    <t>AHU-33</t>
  </si>
  <si>
    <t>CLASSRM SHOP_IDF ROOM_ZN</t>
  </si>
  <si>
    <t>AHU-34</t>
  </si>
  <si>
    <t>CLASSRM SHOP_RESTROOM_ZN</t>
  </si>
  <si>
    <t>AHU-35</t>
  </si>
  <si>
    <t>CLASSRM SHOP_SHOP-01 ZNS 4_ZN</t>
  </si>
  <si>
    <t>Wood/Metal Shop Classroom</t>
  </si>
  <si>
    <t>AHU-36</t>
  </si>
  <si>
    <t>CLASSRM SHOP_SHOP-02_ZN</t>
  </si>
  <si>
    <t>AHU-37</t>
  </si>
  <si>
    <t>CLASSRM SHOP_STORAGE - GENERAL_ZN</t>
  </si>
  <si>
    <t>AHU-38</t>
  </si>
  <si>
    <t>SchoolHigh Sports</t>
  </si>
  <si>
    <t>COURTS - AUX ZN</t>
  </si>
  <si>
    <t>Exercise/Fitness Center and Gymnasium Areas</t>
  </si>
  <si>
    <t>AHU-39</t>
  </si>
  <si>
    <t>Gym</t>
  </si>
  <si>
    <t>COURTS ZN</t>
  </si>
  <si>
    <t>AHU-40</t>
  </si>
  <si>
    <t>LOCKERS ZN</t>
  </si>
  <si>
    <t>Locker Room</t>
  </si>
  <si>
    <t>AHU-41</t>
  </si>
  <si>
    <t>ROOMS &amp; STUDIOS ZN</t>
  </si>
  <si>
    <t>AHU-42</t>
  </si>
  <si>
    <t>Total (5 Buildings)</t>
  </si>
  <si>
    <t>Total (42 spaces)</t>
  </si>
  <si>
    <t>Total (18 Space types)</t>
  </si>
  <si>
    <t>Total (42 HVAC Systems)</t>
  </si>
  <si>
    <t>Total (4 Schedule categories)</t>
  </si>
  <si>
    <t xml:space="preserve"> Total (42 Conditioned zones)</t>
  </si>
  <si>
    <t>Area Distribution By Space Type</t>
  </si>
  <si>
    <t>Space Type</t>
  </si>
  <si>
    <t>% Area</t>
  </si>
  <si>
    <t>Total</t>
  </si>
  <si>
    <t>Element</t>
  </si>
  <si>
    <t>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</si>
  <si>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</si>
  <si>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</si>
  <si>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</si>
  <si>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</si>
  <si>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</si>
  <si>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</si>
  <si>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</si>
  <si>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</si>
  <si>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</si>
  <si>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</si>
  <si>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</si>
  <si>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</si>
  <si>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</si>
  <si>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</si>
  <si>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</si>
  <si>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</si>
  <si>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</si>
  <si>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</si>
  <si>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</si>
  <si>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</si>
  <si>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</si>
  <si>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</si>
  <si>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</si>
  <si>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</si>
  <si>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</si>
  <si>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</si>
  <si>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90.1-2022 Table A3.3.3.1 (metal-framed), 3.5 in., R-0, U-0.352 all CZ</t>
  </si>
  <si>
    <t>1978-1997</t>
  </si>
  <si>
    <t>TABLE NO. 1-I</t>
  </si>
  <si>
    <t>1998-2007</t>
  </si>
  <si>
    <t>Table 1-H metal frame</t>
  </si>
  <si>
    <t>2008-2018</t>
  </si>
  <si>
    <t>Table 140.3-B metal-framed</t>
  </si>
  <si>
    <t>Existing</t>
  </si>
  <si>
    <t>2019+</t>
  </si>
  <si>
    <t>Table 140.3-B (2025) Metal-framed walls</t>
  </si>
  <si>
    <t>Roof</t>
  </si>
  <si>
    <t>FlatRoof_WoodFramedAndOther_NonRes</t>
  </si>
  <si>
    <t>Built-up Roof
roof membrane+roof insulation+metal decking</t>
  </si>
  <si>
    <t>Considering 30 years for roof/insulation replacement</t>
  </si>
  <si>
    <t>Table 1-H</t>
  </si>
  <si>
    <t>Table 140.3-B</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</si>
  <si>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</si>
  <si>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</si>
  <si>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</si>
  <si>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</si>
  <si>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</si>
  <si>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</si>
  <si>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</si>
  <si>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 ≤10% (prototype 6.86%), SHGC non-north.</t>
  </si>
  <si>
    <t>Skylight</t>
  </si>
  <si>
    <t>Plastic curb-mounted</t>
  </si>
  <si>
    <t>U-factor IP</t>
  </si>
  <si>
    <t>Table 1-I Translucent (1992 term for this plastic curb product). CalBEM skylight 1,825 ft² vs CEC 547 ft²; SRR ~0.4–1.4% (0–2% bin).</t>
  </si>
  <si>
    <t>Table 1-H plastic w/curb U-factor (U does not vary by SRR).</t>
  </si>
  <si>
    <t>Table 1-I Translucent SHGC (1992 term; same plastic curb product).</t>
  </si>
  <si>
    <t>Table 1-H plastic w/curb, SRR 0–2% (High ~0.4% CEC / ~1.4% CalBEM). Not 2.1–5%.</t>
  </si>
  <si>
    <t>Table 140.3-B plastic curb SHGC = NR; used 2001 Table 1-H 0–2% SRR.</t>
  </si>
  <si>
    <t>Table 140.3-B (2025) plastic curb SHGC = NR; same 2001 0–2% SRR values.</t>
  </si>
  <si>
    <t>Floor: SlabOnGrade_Unheated_NonRes is a 4 in. concrete slab-on-grade with no insulation. It is the same for every vintage (F-factor 0.73), so it is documented here instead of as a table row.</t>
  </si>
  <si>
    <t>Infiltration</t>
  </si>
  <si>
    <t>Zones</t>
  </si>
  <si>
    <t>I_75
6-Sided Inifltration rate 
@ 75 pa</t>
  </si>
  <si>
    <t>Note</t>
  </si>
  <si>
    <t xml:space="preserve"> I-design (cfm/ft²) 
(4-sided Infiltration rate at normal presure) 
(Design flow rate approach and Flow/Exterior Wall Area calulation method) </t>
  </si>
  <si>
    <t>2022 CASE report (Table 38)</t>
  </si>
  <si>
    <t>Floor or roof area (ft2)</t>
  </si>
  <si>
    <t>Walls area (ft2)</t>
  </si>
  <si>
    <t>Building 4 sided area (ft2)=</t>
  </si>
  <si>
    <t>2022 CASE report (Table 38) &amp;
T24, 2008-2016 (Table 140.3-B)--Air barrier is required in CZ 10-16</t>
  </si>
  <si>
    <t>Building 6 sided area (ft2)=</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</si>
  <si>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</si>
  <si>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</si>
  <si>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</si>
  <si>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Infiltration_rate_report_14May2025-Short-Version.docx</t>
  </si>
  <si>
    <t xml:space="preserve">Heating </t>
  </si>
  <si>
    <t>Cooling</t>
  </si>
  <si>
    <t>Air Distribution</t>
  </si>
  <si>
    <t>Other Systems</t>
  </si>
  <si>
    <t>Source</t>
  </si>
  <si>
    <t>Exisiting</t>
  </si>
  <si>
    <t>All Space Types except MPR/refrigerated storage</t>
  </si>
  <si>
    <t>Gas Furnace</t>
  </si>
  <si>
    <t>PSZAC (DX cooling)</t>
  </si>
  <si>
    <t>CAV</t>
  </si>
  <si>
    <t>OA mixing. Air-side economizer: not modeled (see Economizer / ERV).</t>
  </si>
  <si>
    <t>Engineering Judgement</t>
  </si>
  <si>
    <t>System 3a</t>
  </si>
  <si>
    <t>Admin/MPR Multipurpose Room / Cafeteria</t>
  </si>
  <si>
    <t>SZHP (DX heating)</t>
  </si>
  <si>
    <t>SZHP (DX cooling)</t>
  </si>
  <si>
    <t>SZVAV (single-zone VAV)</t>
  </si>
  <si>
    <t>VAV:NoReheat terminal, Fan:VariableVolume for the tall MPR/cafeteria volume. Theater and other Admin zones remain CAV.</t>
  </si>
  <si>
    <t>Admin/MPR_Storage - Refrigerated</t>
  </si>
  <si>
    <t>n/a (walk-in refrigeration)</t>
  </si>
  <si>
    <t>Walk-in cooler (not PSZ DX)</t>
  </si>
  <si>
    <t>n/a</t>
  </si>
  <si>
    <t>n/a — walk-in refrigeration, not an air-side HVAC OA system.</t>
  </si>
  <si>
    <t>Refrigeration system; 35°F product; equipment W/ft² on Equipment tab.</t>
  </si>
  <si>
    <t>New Construction</t>
  </si>
  <si>
    <t>All Space Types except MPR and refrigerated storage</t>
  </si>
  <si>
    <t>SZHP</t>
  </si>
  <si>
    <t>ACM 2025</t>
  </si>
  <si>
    <t>System 3b</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</si>
  <si>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</si>
  <si>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</si>
  <si>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</si>
  <si>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Cooling DX</t>
  </si>
  <si>
    <t xml:space="preserve">Sources </t>
  </si>
  <si>
    <t xml:space="preserve">Thermal Efficiency of 80%
</t>
  </si>
  <si>
    <t xml:space="preserve"> EER 11.2 for &lt;65 kBtu/h
EER 10.3 for 65-135 kBtu/h
</t>
  </si>
  <si>
    <t>2005 Title 20 Appliance Efficiency Regulations, 2005 T24 Standards, Tables 112-A, 112-B</t>
  </si>
  <si>
    <t>EER 11.2 for &lt;65 kBtu/h
EER 11.2 for 65–135 kBtu/h</t>
  </si>
  <si>
    <t>2013 Title 20 Appliance Efficiency Regulations, 2013 T24 Tables 110.2</t>
  </si>
  <si>
    <t>2013 T24 Table 110.2-A (air-cooled packaged AC). Existing vintage is PSZAC + gas furnace, not HP.</t>
  </si>
  <si>
    <t>Heating @ 47°F:
&lt;65 kBtu/h (AHRI 210/240): federal minimum HSPF2 / 10 CFR 430
65–135 kBtu/h: COP 3.40 (10 CFR 431 / T24 Table 110.2-B)
Heating @ 17°F: COP 2.25 (Table 110.2-B)</t>
  </si>
  <si>
    <t>&lt;65 kBtu/h packaged HP (10 CFR 430.32): SEER2 13.4 (pair to HSPF2 6.7)
65–135 kBtu/h: EER 11.0 + federal min IEER (Table 110.2-B)
135–240 kBtu/h: EER 10.6 + federal min IEER (MPR bin)
≥240 kBtu/h: EER 9.5 + federal min IEER</t>
  </si>
  <si>
    <t>T24 2025 Table 110.2-B; 10 CFR 431.97 (COP @ 47°F); 10 CFR 430.32 (HSPF2/SEER2 &lt;65 kBtu/h); AHRI 340/360 (≥65) / AHRI 210/240 (&lt;65)</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</si>
  <si>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</si>
  <si>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</si>
  <si>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</si>
  <si>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</si>
  <si>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</si>
  <si>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</si>
  <si>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</si>
  <si>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</si>
  <si>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</si>
  <si>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</si>
  <si>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</si>
  <si>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CAV, PSZ classrooms/admin (except MPR/cafeteria), design airflow &lt; 7,437 cfm</t>
  </si>
  <si>
    <t>ASHRAE 90.1, 2004, Table 10.8 *</t>
  </si>
  <si>
    <t>Fan power formula: PNNL 20405, 2010, section 5.2.2.5
TSP and fan efficiency: PNNL 20405, 2010, Table 5.11, 90.1-04ac values
Motor and drive efficiency: ASHRAE 90.1, 2004, Table 10.8</t>
  </si>
  <si>
    <t>PNNL 20405, 2010, Table 5.11</t>
  </si>
  <si>
    <t>SZVAV, Admin/MPR Multipurpose Room / Cafeteria, VAV &gt; 4,648 cfm</t>
  </si>
  <si>
    <t>Brake horsepower (bhp) = (Supply cfm × TSP in w.c.) / (6356 × fan efficiency)</t>
  </si>
  <si>
    <t>Fan power (w/cfm) = (bhp ×  746) / ( supply cfm × motor efficiency )</t>
  </si>
  <si>
    <t>SZHP (System 3b), CAV classrooms/admin, ≤5,000 cfm</t>
  </si>
  <si>
    <t>TSP = fan power × motor efficiency × fan efficiency × 6356 / 746</t>
  </si>
  <si>
    <t>2025 ACM Table 12 **</t>
  </si>
  <si>
    <t>Fan power index: [ACM 2025, Table 13]
Motor efficiency: [ACM 2025, Table 12]</t>
  </si>
  <si>
    <t>SZVAVHP (System 7b), MPR/cafeteria,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</si>
  <si>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</si>
  <si>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Packaged SZHP. Same index as Hotel Small System 3b ≤5,000 cfm.
     Note: Single-zone VAV heat pump, not System 6. ACM System 7b &gt;10,000 cfm = 0.676; &gt;5,000–10,000 cfm = 0.720. PNNL row was VAV &gt;4,648 cfm.</t>
  </si>
  <si>
    <t>Economizer / ERV</t>
  </si>
  <si>
    <t>Air-side economizer: not modeled. EnergyPlus Controller:OutdoorAir Economizer Control Type = NoEconomizer on existing PSZAC and NC SZHP units. ERV: not modeled. T24 §140.4(e) would require an air economizer when cooling capacity ≥ 54,000 Btu/h (with listed exceptions); CBECC Standard Design uses FixedDryBulb on units that meet that threshold. This prototype does not include economizers.</t>
  </si>
  <si>
    <t>Background Data [To be deleted prior to publication]</t>
  </si>
  <si>
    <t>Setpoint</t>
  </si>
  <si>
    <t>School Heating Setpoint (F)</t>
  </si>
  <si>
    <t>T24 2022 - Appendix 5.4B</t>
  </si>
  <si>
    <t>School Heating Setback (F)</t>
  </si>
  <si>
    <t>School Cooling Setpoint (F)</t>
  </si>
  <si>
    <t>School Cooling Setback (F)</t>
  </si>
  <si>
    <t>Kitchen Heating Setpoint (F)</t>
  </si>
  <si>
    <t>T24 2022 - Appendix 5.4B (school kitchen occupied 70/75; not commercial restaurant 66–79)</t>
  </si>
  <si>
    <t>Kitchen Heating Setback (F)</t>
  </si>
  <si>
    <t>Kitchen Cooling Setpoint (F)</t>
  </si>
  <si>
    <t>Kitchen Cooling Setback (F)</t>
  </si>
  <si>
    <t>Restrooms Heating Setpoint (F)</t>
  </si>
  <si>
    <t>PNNL 90.1 Primary School bathroom (HTGSETP_SCH_Setback / CLGSETP_SCH_Setup)</t>
  </si>
  <si>
    <t>Restrooms Heating Setback (F)</t>
  </si>
  <si>
    <t>Restrooms Cooling Setpoint (F)</t>
  </si>
  <si>
    <t>Restrooms Cooling Setback (F)</t>
  </si>
  <si>
    <t>Storage and Electrical/Mechanical (non-refrigerated) Heating Setpoint (F)</t>
  </si>
  <si>
    <t>Engineering Judgment (semi-conditioned storage / electrical-mechanical)</t>
  </si>
  <si>
    <t>Storage and Electrical/Mechanical (non-refrigerated) Heating Setback (F)</t>
  </si>
  <si>
    <t>Storage and Electrical/Mechanical (non-refrigerated) Cooling Setpoint (F)</t>
  </si>
  <si>
    <t>Storage and Electrical/Mechanical (non-refrigerated) Cooling Setback (F)</t>
  </si>
  <si>
    <t>Refrigerated storage setpoint (F)</t>
  </si>
  <si>
    <t>Engineering judgment, medium-temp cooler within T24 28–55°F</t>
  </si>
  <si>
    <t>Refrigerated storage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</si>
  <si>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</si>
  <si>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</si>
  <si>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</si>
  <si>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</si>
  <si>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</si>
  <si>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</si>
  <si>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</si>
  <si>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</si>
  <si>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Table 120.1-B commercial kitchen exhaust, 0.70 cfm/ft². This is the kitchen hood rate.</t>
  </si>
  <si>
    <t>Exhaust 0.50 cfm/ft² on every restroom, same as School K-8.</t>
  </si>
  <si>
    <t>Table 120.1-B educational science laboratories, 1.00 cfm/ft².</t>
  </si>
  <si>
    <t>Table 120.1-B woodwork shop/classrooms, 0.50 cfm/ft².</t>
  </si>
  <si>
    <t>Table 120.1-B locker rooms for athletic facilities, 0.50 cfm/ft².</t>
  </si>
  <si>
    <t>WH Type</t>
  </si>
  <si>
    <t>Efficiency</t>
  </si>
  <si>
    <t>Number of WH</t>
  </si>
  <si>
    <t>Tank Volume (gal)</t>
  </si>
  <si>
    <t>Tank Loss</t>
  </si>
  <si>
    <t xml:space="preserve">Existing  </t>
  </si>
  <si>
    <t>Electric</t>
  </si>
  <si>
    <t>See plant climate-zone tables, Storage Volume (col F)</t>
  </si>
  <si>
    <t>See plant climate-zone tables, Standby Loss (col G)</t>
  </si>
  <si>
    <t>See climate-zone HPWH tables</t>
  </si>
  <si>
    <t>five various WH</t>
  </si>
  <si>
    <t>HPWH</t>
  </si>
  <si>
    <t>Peak Hot Water Consumption</t>
  </si>
  <si>
    <t>Space Name</t>
  </si>
  <si>
    <t>Baseline WH Type
[T24, 2022, Appendix 5.4A , sheet: "2022 SpaceFuncData-Input"]</t>
  </si>
  <si>
    <t xml:space="preserve"> Total Area (ft²) </t>
  </si>
  <si>
    <t xml:space="preserve"> Number of People </t>
  </si>
  <si>
    <t xml:space="preserve"> Hot Water Usage Specification
(gal/hr per person) 
[T24, 2022, Appendix 5.4A , sheet: "2022 SpaceFuncData-Input"] </t>
  </si>
  <si>
    <t>Peak Hot Water Usage
(gal/hr)</t>
  </si>
  <si>
    <t xml:space="preserve"> Peak Hot Water Usage
(gal/min) </t>
  </si>
  <si>
    <t>Plant peak hot water (gal/hr)</t>
  </si>
  <si>
    <t>Water Heater Name</t>
  </si>
  <si>
    <t>WH type</t>
  </si>
  <si>
    <t>HPWH - Admin</t>
  </si>
  <si>
    <t>Minimum peak hot water usage is 75 gal/hr according to ACM 2025</t>
  </si>
  <si>
    <t>HPWH - North Classroom</t>
  </si>
  <si>
    <t>HPWH - Lab Classroom</t>
  </si>
  <si>
    <t>HPWH - Shop Classroom</t>
  </si>
  <si>
    <t>HPWH - Sports</t>
  </si>
  <si>
    <t>Design supply temperature (°F)</t>
  </si>
  <si>
    <t>Title 24 2022 Reference Appendices, Appendix 5.4B</t>
  </si>
  <si>
    <t>Design supply temperature used in CZ tables (°F)</t>
  </si>
  <si>
    <t>WH system factor</t>
  </si>
  <si>
    <t>2025 ACM §5.9.2 Rated Capacity</t>
  </si>
  <si>
    <t>Water mass conversion (lb/gal)</t>
  </si>
  <si>
    <t>Reheat multiplier</t>
  </si>
  <si>
    <t>2025 ACM §5.9.2 Storage Volume</t>
  </si>
  <si>
    <t>Commercial HPWH configuration</t>
  </si>
  <si>
    <t>Unitary storage HPWH (integrated)</t>
  </si>
  <si>
    <t>Distributed unitary storage HPWH; retain the High School prototype's 5 water heaters / 5 service-water loops.</t>
  </si>
  <si>
    <t>Selected commercial COPh</t>
  </si>
  <si>
    <t>ENERGY STAR Certified Commercial Water Heaters, integrated commercial 119-gal CHP family COPh = 4.3.</t>
  </si>
  <si>
    <t>ENERGY STAR minimum commercial COPh</t>
  </si>
  <si>
    <t>ENERGY STAR commercial electric heat pump water-heater criterion.</t>
  </si>
  <si>
    <t>Design COPh</t>
  </si>
  <si>
    <t>Use commercial COPh directly. Residential UEF-to-EF-to-COP conversion removed.</t>
  </si>
  <si>
    <t>Climate Zone Water Heater Sizing and Loss Coefficients</t>
  </si>
  <si>
    <t>Water Heater name</t>
  </si>
  <si>
    <t>Climate Zone</t>
  </si>
  <si>
    <t>Minimum Monthly Mains Temp (°F)
[T24 2022 - Appendix 5.4B]</t>
  </si>
  <si>
    <t>Heat Output (Btu/hr)
[ACM, 2025, 5.9.2: Rated capacity section]</t>
  </si>
  <si>
    <t>WH Capacity (Btu/hr)
[ACM, 2025, 5.9.2: Rated capacity section]</t>
  </si>
  <si>
    <t>Required Electric Input (Btu/hr)
[WH Capacity ÷ commercial COPh]</t>
  </si>
  <si>
    <t>Storage Volume (gal)
[prototype unitary-storage sizing bin]</t>
  </si>
  <si>
    <t>Standby Loss (%/hr)
[derived from DEER HPWH UA = 4.37 Btu/h·°F]</t>
  </si>
  <si>
    <t>Off/On Cycle Loss Coefficient to Ambient Temp
[DEER HPWH UA]</t>
  </si>
  <si>
    <t>Source / Method Note</t>
  </si>
  <si>
    <t>CZ01</t>
  </si>
  <si>
    <t>%/hr</t>
  </si>
  <si>
    <t>Btu/h·°F</t>
  </si>
  <si>
    <t>Approach: distributed unitary storage HPWH. Retain one plant per existing service-water loop on this prototype (5 plants).
Efficiency: commercial COPh = 4.3 from ENERGY STAR certified integrated commercial HPWH. Electric input = WH Capacity / COPh.
Tank UA = 4.37 Btu/h·°F (DEER commercial HPWH). Standby Loss (%/hr) = UA / (0.0834 × Storage Volume).</t>
  </si>
  <si>
    <t>CZ02</t>
  </si>
  <si>
    <t>CZ03</t>
  </si>
  <si>
    <t>CZ04</t>
  </si>
  <si>
    <t>CZ05</t>
  </si>
  <si>
    <t>CZ06</t>
  </si>
  <si>
    <t>CZ07</t>
  </si>
  <si>
    <t>CZ08</t>
  </si>
  <si>
    <t>CZ09</t>
  </si>
  <si>
    <t>HPWH - North Classrooms</t>
  </si>
  <si>
    <t>Same DEER HPWH UA method as the Admin plant table. Peak cell $F$57.</t>
  </si>
  <si>
    <t>HPWH - Lab Classrooms</t>
  </si>
  <si>
    <t>Same DEER HPWH UA method as the Admin plant table. Peak cell $F$58.</t>
  </si>
  <si>
    <t>HPWH - Shop Classrooms</t>
  </si>
  <si>
    <t>Same DEER HPWH UA method as the Admin plant table. Peak cell $F$59.</t>
  </si>
  <si>
    <t>Same DEER HPWH UA method as the Admin plant table. Peak cell $F$60.</t>
  </si>
  <si>
    <t>Market data — integrated HPWH</t>
  </si>
  <si>
    <t>Catalog tank (gal)</t>
  </si>
  <si>
    <t>Tank source</t>
  </si>
  <si>
    <t>Heating output (Btu/h)</t>
  </si>
  <si>
    <t>Output source</t>
  </si>
  <si>
    <t>ENERGY STAR</t>
  </si>
  <si>
    <t>ENERGY STAR integrated HPWH</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</si>
  <si>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</si>
  <si>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</si>
  <si>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</si>
  <si>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</si>
  <si>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</si>
  <si>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</si>
  <si>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</si>
  <si>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</si>
  <si>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</si>
  <si>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</si>
  <si>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</si>
  <si>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</si>
  <si>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</si>
  <si>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</si>
  <si>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</si>
  <si>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</si>
  <si>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</si>
  <si>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</si>
  <si>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</si>
  <si>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400 ft² for every parking space
1 parking space per 360 ft² of gross building area</t>
  </si>
  <si>
    <t>(ft²)</t>
  </si>
  <si>
    <t>(W/ft²)</t>
  </si>
  <si>
    <t>Building Entrance</t>
  </si>
  <si>
    <t>Two required exits per building (5 buildings). Exterior classroom access</t>
  </si>
  <si>
    <t>(count)</t>
  </si>
  <si>
    <t>(W/ea)</t>
  </si>
  <si>
    <t>Hardscape Ornamental Light</t>
  </si>
  <si>
    <t>Hardscape ornamental: 0.1 ft² per 1 ft² GFA, then 25% of that area</t>
  </si>
  <si>
    <t>Building façade</t>
  </si>
  <si>
    <t>0.1 W per 1 ft² of facade area 
Façade Area = Perimeter × 0.25 × max ( height and 34) (34 ft is the max height that is lit) * 
The 0.25 factor assumes that only half of the perimeter walls are lit.
-Formula ia developed based on the 2019 Outdoor Lighting CASE report</t>
  </si>
  <si>
    <t>Student pickup / drop-off (walkway)</t>
  </si>
  <si>
    <t>Allowance: walkway LPD on assumed 4,000 ft² loading loop (site program does not list a separate canopy). T24 2025 Table 140.7-B walkways.</t>
  </si>
  <si>
    <t>Non-motion-controlled Luminaires</t>
  </si>
  <si>
    <t>North Classroom</t>
  </si>
  <si>
    <t>Lab Classroom</t>
  </si>
  <si>
    <t>Shop Classroom</t>
  </si>
  <si>
    <t>MPR/Admin</t>
  </si>
  <si>
    <t>Gym / Courts / Locker</t>
  </si>
  <si>
    <t>Perimeter of each buildings (ft)</t>
  </si>
  <si>
    <t>Max Height that is lit for each buildings (ft)</t>
  </si>
  <si>
    <t>Each building footprint</t>
  </si>
  <si>
    <t>Floors</t>
  </si>
  <si>
    <t>Floor area of each building (ft²)</t>
  </si>
  <si>
    <t>Wall area of each building (ft²)</t>
  </si>
  <si>
    <t>Total Perimeter (ft)</t>
  </si>
  <si>
    <t>Total floor area (ft²)</t>
  </si>
  <si>
    <t>Plug load Power Density (W/ft²)</t>
  </si>
  <si>
    <t>Gas Power Density (Btu/hr-ft²)</t>
  </si>
  <si>
    <t>Refrigeration Power Density (W/ft²)</t>
  </si>
  <si>
    <t>T24 2022 / current NRMFACM Appendix 5.4A</t>
  </si>
  <si>
    <t>Plug 3.0 W/ft² — T24 2022 Appendix 5.4A. Gas 0 and refrigeration 0 per Appendix 5.4A.</t>
  </si>
  <si>
    <t>Plug 1.5 W/ft²; gas 17.54 Btu/h-ft²; refrigeration 1.12 W/ft² — all T24 2022 Appendix 5.4A (ACM 2025 table unchanged). Not from the Plug Loads and Schedules project.</t>
  </si>
  <si>
    <t>Plug load and schedules project with CEC, 2025</t>
  </si>
  <si>
    <t>Plug 0.7 W/ft² — Plug Loads and Schedules project with CEC, 2025 (Appendix 5.4A office ≤250 ft² is 1.5 W/ft²). Gas 0 and refrigeration 0 — Appendix 5.4A has no process gas or commercial refrigeration for this space.</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</si>
  <si>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</si>
  <si>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</si>
  <si>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</si>
  <si>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</si>
  <si>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</si>
  <si>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</si>
  <si>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</si>
  <si>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</si>
  <si>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</si>
  <si>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</si>
  <si>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</si>
  <si>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</si>
  <si>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</si>
  <si>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</si>
  <si>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</si>
  <si>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</si>
  <si>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Elevator count (C25:C26 = 2) is one elevator per two-story classroom building (North Classroom and Lab) from the CEC SchoolHigh layout. F24 is the cab lighting/ventilation shutoff requirement, not a count source.</t>
  </si>
  <si>
    <t>School High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</si>
  <si>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</si>
  <si>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</si>
  <si>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</si>
  <si>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</si>
  <si>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</si>
  <si>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</si>
  <si>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</si>
  <si>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</si>
  <si>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</si>
  <si>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</si>
  <si>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</si>
  <si>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</si>
  <si>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</si>
  <si>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</si>
  <si>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</si>
  <si>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</si>
  <si>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</si>
  <si>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</si>
  <si>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</si>
  <si>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</si>
  <si>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</si>
  <si>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</si>
  <si>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</si>
  <si>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</si>
  <si>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</si>
  <si>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</si>
  <si>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</si>
  <si>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</si>
  <si>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</si>
  <si>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</si>
  <si>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</si>
  <si>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</si>
  <si>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</si>
  <si>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</si>
  <si>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</si>
  <si>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</si>
  <si>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</si>
  <si>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</si>
  <si>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</si>
  <si>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</si>
  <si>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</si>
  <si>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</si>
  <si>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</si>
  <si>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</si>
  <si>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</si>
  <si>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</si>
  <si>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</si>
  <si>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</si>
  <si>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</si>
  <si>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</si>
  <si>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</si>
  <si>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</si>
  <si>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</si>
  <si>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</si>
  <si>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</si>
  <si>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</si>
  <si>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</si>
  <si>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</si>
  <si>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</si>
  <si>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</si>
  <si>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</si>
  <si>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</si>
  <si>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</si>
  <si>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</si>
  <si>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</si>
  <si>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</si>
  <si>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</si>
  <si>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</si>
  <si>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</si>
  <si>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</si>
  <si>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</si>
  <si>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</si>
  <si>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</si>
  <si>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</si>
  <si>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</si>
  <si>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</si>
  <si>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</si>
  <si>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</si>
  <si>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</si>
  <si>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</si>
  <si>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</si>
  <si>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</si>
  <si>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</si>
  <si>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</si>
  <si>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Schedules - SchoolHigh</t>
  </si>
  <si>
    <t>Zone</t>
  </si>
  <si>
    <t>Schedule</t>
  </si>
  <si>
    <t>Type</t>
  </si>
  <si>
    <t>Hour</t>
  </si>
  <si>
    <t>School Zones</t>
  </si>
  <si>
    <t xml:space="preserve"> Classroom</t>
  </si>
  <si>
    <t>Occupancy</t>
  </si>
  <si>
    <t>T24 2022 - Appendix 5.4B [School]</t>
  </si>
  <si>
    <t>Weekday</t>
  </si>
  <si>
    <t>Saturday</t>
  </si>
  <si>
    <t>Sunday</t>
  </si>
  <si>
    <t>Lights</t>
  </si>
  <si>
    <t>ElecEquipment</t>
  </si>
  <si>
    <t>ServiceHotWater</t>
  </si>
  <si>
    <t>GasEquipment</t>
  </si>
  <si>
    <t>Refrigeration</t>
  </si>
  <si>
    <t>HVACAvail</t>
  </si>
  <si>
    <t>HtgSetpt</t>
  </si>
  <si>
    <r>
      <t xml:space="preserve">T24 2022 - Appendix 5.4B
</t>
    </r>
    <r>
      <rPr>
        <sz val="9"/>
        <color rgb="FF00B050"/>
        <rFont val="Arial"/>
        <family val="2"/>
      </rPr>
      <t xml:space="preserve">
Updated based on the Plug Loads project</t>
    </r>
  </si>
  <si>
    <t>ClgSetpt</t>
  </si>
  <si>
    <t>Kitchen Zone</t>
  </si>
  <si>
    <t>OAControl</t>
  </si>
  <si>
    <t>Che</t>
  </si>
  <si>
    <t>MPR Zone</t>
  </si>
  <si>
    <t>Gym Zone</t>
  </si>
  <si>
    <t>Unoccupied</t>
  </si>
  <si>
    <t>Practice WD - Winter</t>
  </si>
  <si>
    <t>Practice WD - Fall &amp; Spring</t>
  </si>
  <si>
    <t>Game day WD - Winter</t>
  </si>
  <si>
    <t>Game day WD - Fall &amp; Spring</t>
  </si>
  <si>
    <t>All WE - Winter</t>
  </si>
  <si>
    <t>All WE - Fall &amp; Spring</t>
  </si>
  <si>
    <t>Summer Camp</t>
  </si>
  <si>
    <t>T24 2022 Appendix 5.4B [School]. Updated based on Plug load and schedules project with CEC, 2025 (no public link yet; ASHRAE paper submitted — update when published or when ACM 2028 is released).</t>
  </si>
  <si>
    <t>ExtLightingNonMotionCtrl</t>
  </si>
  <si>
    <t>ExtLightingMotionCtrl</t>
  </si>
  <si>
    <t>Auditorium</t>
  </si>
  <si>
    <t>PerformanceSpcPeopleActivityLevel</t>
  </si>
  <si>
    <t xml:space="preserve">Based on Activilty level schedules in  CEC Prototypes </t>
  </si>
  <si>
    <t>GymPeopleActivityLevel</t>
  </si>
  <si>
    <r>
      <t xml:space="preserve">Based on Activilty level schedules in  CEC Prototypes 
</t>
    </r>
    <r>
      <rPr>
        <sz val="9"/>
        <color rgb="FF00B050"/>
        <rFont val="Arial"/>
        <family val="2"/>
      </rPr>
      <t>Updated based on the Plug Loads project</t>
    </r>
  </si>
  <si>
    <t>Restroom, Coridor, Lobby, Mechanical RM, Lounge, Storage, Theater</t>
  </si>
  <si>
    <t>CommonAreaPeopleActivityLevel</t>
  </si>
  <si>
    <t>MeetingPeopleActivityLevel</t>
  </si>
  <si>
    <t>DiningArea</t>
  </si>
  <si>
    <t>DiningAreaPeopleActivityLevel</t>
  </si>
  <si>
    <t>Library, office, MultiMeetingRm</t>
  </si>
  <si>
    <t>FunctionalAreaPeopleActivityLevel</t>
  </si>
  <si>
    <t>Based on Activilty level schedules in  CEC Prototypes and assumed spaces for Basement</t>
  </si>
  <si>
    <t>RefStorage</t>
  </si>
  <si>
    <t>RefStoragePeopleActivityLevel</t>
  </si>
  <si>
    <t>Refrigerated storage (walk-in)</t>
  </si>
  <si>
    <t>Refrigerated storage zone</t>
  </si>
  <si>
    <t>T24 2025 §100.1 cooler: ≥28°F and &lt;55°F. Engineering judgment, medium-temp. Compressor available every hour</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</si>
  <si>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</si>
  <si>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</si>
  <si>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</si>
  <si>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</si>
  <si>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</si>
  <si>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</si>
  <si>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</si>
  <si>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</si>
  <si>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</si>
  <si>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</si>
  <si>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</si>
  <si>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</si>
  <si>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</si>
  <si>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</si>
  <si>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</si>
  <si>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</si>
  <si>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</si>
  <si>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</si>
  <si>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</si>
  <si>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</si>
  <si>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</si>
  <si>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</si>
  <si>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</si>
  <si>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</si>
  <si>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</si>
  <si>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</si>
  <si>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</si>
  <si>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</si>
  <si>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</si>
  <si>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</si>
  <si>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</si>
  <si>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</si>
  <si>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</si>
  <si>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</si>
  <si>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</si>
  <si>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</si>
  <si>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</si>
  <si>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</si>
  <si>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Copy Room</t>
  </si>
  <si>
    <t>Dining Area (Bar/Lounge and Fine Dining)</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</si>
  <si>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</si>
  <si>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</si>
  <si>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</si>
  <si>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</si>
  <si>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</si>
  <si>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</si>
  <si>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</si>
  <si>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</si>
  <si>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</si>
  <si>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</si>
  <si>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</si>
  <si>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</si>
  <si>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</si>
  <si>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 xml:space="preserve">Laundry Area </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</si>
  <si>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</si>
  <si>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</si>
  <si>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</si>
  <si>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</si>
  <si>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</si>
  <si>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</si>
  <si>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</si>
  <si>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</si>
  <si>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</si>
  <si>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</si>
  <si>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</si>
  <si>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</si>
  <si>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</si>
  <si>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</si>
  <si>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</si>
  <si>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</si>
  <si>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</si>
  <si>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</si>
  <si>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</si>
  <si>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</si>
  <si>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</si>
  <si>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</si>
  <si>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Transportation Function (Baggage Area)</t>
  </si>
  <si>
    <t>Transportation Function (Ticketing Area)</t>
  </si>
  <si>
    <t>Videoconferencing Studio</t>
  </si>
  <si>
    <t>High-Rise Residential Living Spaces</t>
  </si>
  <si>
    <t>Hotel/Motel Guest Room</t>
  </si>
  <si>
    <t>All other</t>
  </si>
  <si>
    <t>Attic</t>
  </si>
  <si>
    <t>Reception Area</t>
  </si>
  <si>
    <t>Plenum</t>
  </si>
  <si>
    <t>Computer Room</t>
  </si>
  <si>
    <t>Server Room</t>
  </si>
  <si>
    <t>Vintage Bin</t>
  </si>
  <si>
    <t>Pre-1978</t>
  </si>
  <si>
    <t>Not available</t>
  </si>
  <si>
    <t>Statewide</t>
  </si>
  <si>
    <t>Ref: CEUS 2022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</si>
</sst>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s>
  <fonts count="53" x14ac:knownFonts="1">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sz val="10"/>
      <color theme="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b/>
      <sz val="9"/>
      <color theme="1"/>
      <name val="Arial"/>
      <family val="2"/>
    </font>
    <font>
      <sz val="9"/>
      <name val="Arial"/>
      <family val="2"/>
    </font>
    <font>
      <sz val="9"/>
      <color rgb="FF00B050"/>
      <name val="Arial"/>
      <family val="2"/>
    </font>
    <font>
      <b/>
      <sz val="9"/>
      <name val="Arial"/>
      <family val="2"/>
    </font>
    <font>
      <sz val="9"/>
      <color theme="1"/>
      <name val="Calibri"/>
      <family val="2"/>
      <scheme val="minor"/>
    </font>
    <font>
      <b/>
      <sz val="11"/>
      <name val="Calibri"/>
      <family val="2"/>
    </font>
    <font>
      <sz val="11"/>
      <color rgb="FF000000"/>
      <name val="Calibri"/>
      <family val="2"/>
    </font>
    <font>
      <b/>
      <sz val="14"/>
      <color rgb="FFFFFFFF"/>
      <name val="Calibri"/>
      <family val="2"/>
    </font>
    <font>
      <b/>
      <sz val="11"/>
      <color rgb="FF000000"/>
      <name val="Calibri"/>
      <family val="2"/>
    </font>
    <font>
      <sz val="9"/>
      <color rgb="FF000000"/>
      <name val="Arial"/>
      <family val="2"/>
    </font>
    <font>
      <sz val="11"/>
      <color theme="1"/>
      <name val="Calibri"/>
      <family val="2"/>
    </font>
    <font>
      <u/>
      <sz val="10"/>
      <color rgb="FF000000"/>
      <name val="Arial"/>
      <family val="2"/>
    </font>
    <font>
      <u/>
      <sz val="11"/>
      <color rgb="FF000000"/>
      <name val="Calibri"/>
      <family val="2"/>
      <scheme val="minor"/>
    </font>
    <font>
      <sz val="11"/>
      <color rgb="FF000000"/>
      <name val="Arial"/>
      <family val="2"/>
    </font>
    <font>
      <sz val="11"/>
      <color rgb="FF0563C1"/>
      <name val="Calibri"/>
      <family val="2"/>
    </font>
    <font>
      <sz val="11"/>
      <color rgb="FF0563C1"/>
      <name val="Calibri"/>
      <family val="2"/>
      <scheme val="minor"/>
    </font>
    <font>
      <b/>
      <sz val="12"/>
      <color rgb="FFFFFFFF"/>
      <name val="Arial"/>
    </font>
    <font>
      <sz val="10"/>
      <color rgb="FFFFFFFF"/>
      <name val="Arial"/>
    </font>
    <font>
      <b/>
      <sz val="11"/>
      <color theme="0"/>
      <name val="Calibri"/>
      <family val="2"/>
    </font>
    <font>
      <sz val="11"/>
      <color theme="0"/>
      <name val="Calibri"/>
      <family val="2"/>
      <scheme val="minor"/>
    </font>
  </fonts>
  <fills count="3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theme="2" tint="-9.9978637043366805E-2"/>
        <bgColor indexed="64"/>
      </patternFill>
    </fill>
    <fill>
      <patternFill patternType="solid">
        <fgColor rgb="FF203864"/>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FFFFFF"/>
        <bgColor indexed="64"/>
      </patternFill>
    </fill>
    <fill>
      <patternFill patternType="solid">
        <fgColor rgb="FF203764"/>
        <bgColor indexed="64"/>
      </patternFill>
    </fill>
    <fill>
      <patternFill patternType="solid">
        <fgColor rgb="FFD9E1F2"/>
        <bgColor indexed="64"/>
      </patternFill>
    </fill>
    <fill>
      <patternFill patternType="solid">
        <fgColor rgb="FFFFFFFF"/>
        <bgColor rgb="FF000000"/>
      </patternFill>
    </fill>
    <fill>
      <patternFill patternType="solid">
        <fgColor rgb="FFC2BCBC"/>
        <bgColor indexed="64"/>
      </patternFill>
    </fill>
    <fill>
      <patternFill patternType="solid">
        <fgColor rgb="FF8C8C8C"/>
        <bgColor indexed="64"/>
      </patternFill>
    </fill>
  </fills>
  <borders count="16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0" tint="-0.499984740745262"/>
      </left>
      <right style="thin">
        <color rgb="FF80808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style="medium">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indexed="64"/>
      </right>
      <top style="medium">
        <color rgb="FF000000"/>
      </top>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theme="1" tint="0.34998626667073579"/>
      </left>
      <right style="thin">
        <color theme="1" tint="0.34998626667073579"/>
      </right>
      <top style="medium">
        <color rgb="FF000000"/>
      </top>
      <bottom/>
      <diagonal/>
    </border>
    <border>
      <left style="medium">
        <color rgb="FF000000"/>
      </left>
      <right style="thin">
        <color theme="1" tint="0.34998626667073579"/>
      </right>
      <top style="medium">
        <color rgb="FF000000"/>
      </top>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right/>
      <top style="medium">
        <color indexed="64"/>
      </top>
      <bottom style="medium">
        <color rgb="FF000000"/>
      </bottom>
      <diagonal/>
    </border>
    <border>
      <left/>
      <right style="thin">
        <color theme="1" tint="0.34998626667073579"/>
      </right>
      <top style="medium">
        <color indexed="64"/>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top style="medium">
        <color indexed="64"/>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rgb="FF808080"/>
      </left>
      <right/>
      <top/>
      <bottom/>
      <diagonal/>
    </border>
    <border>
      <left style="thin">
        <color rgb="FF808080"/>
      </left>
      <right/>
      <top/>
      <bottom style="thin">
        <color rgb="FF808080"/>
      </bottom>
      <diagonal/>
    </border>
    <border>
      <left/>
      <right style="thin">
        <color indexed="64"/>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medium">
        <color indexed="64"/>
      </right>
      <top/>
      <bottom style="thin">
        <color indexed="64"/>
      </bottom>
      <diagonal/>
    </border>
    <border>
      <left style="thin">
        <color rgb="FF808080"/>
      </left>
      <right/>
      <top style="thin">
        <color rgb="FF808080"/>
      </top>
      <bottom/>
      <diagonal/>
    </border>
    <border>
      <left/>
      <right style="thin">
        <color indexed="64"/>
      </right>
      <top style="thin">
        <color rgb="FF808080"/>
      </top>
      <bottom/>
      <diagonal/>
    </border>
    <border>
      <left style="thin">
        <color theme="1" tint="0.249977111117893"/>
      </left>
      <right/>
      <top style="thin">
        <color theme="1" tint="0.249977111117893"/>
      </top>
      <bottom/>
      <diagonal/>
    </border>
    <border>
      <left style="thin">
        <color rgb="FF808080"/>
      </left>
      <right style="thin">
        <color rgb="FF808080"/>
      </right>
      <top style="thin">
        <color theme="1" tint="0.249977111117893"/>
      </top>
      <bottom style="thin">
        <color rgb="FF808080"/>
      </bottom>
      <diagonal/>
    </border>
    <border>
      <left style="thin">
        <color rgb="FF808080"/>
      </left>
      <right/>
      <top style="thin">
        <color theme="1" tint="0.249977111117893"/>
      </top>
      <bottom style="thin">
        <color rgb="FF808080"/>
      </bottom>
      <diagonal/>
    </border>
    <border>
      <left style="thin">
        <color rgb="FF000000"/>
      </left>
      <right style="thin">
        <color theme="1" tint="0.249977111117893"/>
      </right>
      <top style="thin">
        <color theme="1" tint="0.249977111117893"/>
      </top>
      <bottom/>
      <diagonal/>
    </border>
    <border>
      <left style="thin">
        <color theme="1" tint="0.249977111117893"/>
      </left>
      <right/>
      <top/>
      <bottom/>
      <diagonal/>
    </border>
    <border>
      <left style="thin">
        <color rgb="FF000000"/>
      </left>
      <right style="thin">
        <color theme="1" tint="0.249977111117893"/>
      </right>
      <top/>
      <bottom/>
      <diagonal/>
    </border>
    <border>
      <left style="thin">
        <color theme="1" tint="0.249977111117893"/>
      </left>
      <right/>
      <top/>
      <bottom style="thin">
        <color theme="1" tint="0.249977111117893"/>
      </bottom>
      <diagonal/>
    </border>
    <border>
      <left style="thin">
        <color rgb="FF808080"/>
      </left>
      <right style="thin">
        <color rgb="FF808080"/>
      </right>
      <top style="thin">
        <color rgb="FF808080"/>
      </top>
      <bottom style="thin">
        <color theme="1" tint="0.249977111117893"/>
      </bottom>
      <diagonal/>
    </border>
    <border>
      <left style="thin">
        <color rgb="FF808080"/>
      </left>
      <right style="thin">
        <color rgb="FF808080"/>
      </right>
      <top/>
      <bottom style="thin">
        <color theme="1" tint="0.249977111117893"/>
      </bottom>
      <diagonal/>
    </border>
    <border>
      <left style="thin">
        <color rgb="FF808080"/>
      </left>
      <right/>
      <top/>
      <bottom style="thin">
        <color theme="1" tint="0.249977111117893"/>
      </bottom>
      <diagonal/>
    </border>
    <border>
      <left style="thin">
        <color rgb="FF000000"/>
      </left>
      <right style="thin">
        <color theme="1" tint="0.249977111117893"/>
      </right>
      <top/>
      <bottom style="thin">
        <color theme="1" tint="0.249977111117893"/>
      </bottom>
      <diagonal/>
    </border>
    <border>
      <left style="thin">
        <color theme="1" tint="0.34998626667073579"/>
      </left>
      <right style="thin">
        <color theme="1" tint="0.34998626667073579"/>
      </right>
      <top style="thin">
        <color theme="1" tint="0.34998626667073579"/>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theme="1" tint="0.249977111117893"/>
      </left>
      <right style="thin">
        <color theme="1" tint="0.249977111117893"/>
      </right>
      <top style="thin">
        <color theme="1" tint="0.249977111117893"/>
      </top>
      <bottom/>
      <diagonal/>
    </border>
    <border>
      <left style="thin">
        <color theme="1" tint="0.249977111117893"/>
      </left>
      <right style="thin">
        <color theme="1" tint="0.249977111117893"/>
      </right>
      <top/>
      <bottom/>
      <diagonal/>
    </border>
    <border>
      <left style="thin">
        <color theme="1" tint="0.249977111117893"/>
      </left>
      <right style="thin">
        <color theme="1" tint="0.249977111117893"/>
      </right>
      <top/>
      <bottom style="thin">
        <color theme="1" tint="0.249977111117893"/>
      </bottom>
      <diagonal/>
    </border>
    <border>
      <left style="thin">
        <color rgb="FF000000"/>
      </left>
      <right/>
      <top style="thin">
        <color rgb="FF000000"/>
      </top>
      <bottom/>
      <diagonal/>
    </border>
    <border>
      <left style="medium">
        <color indexed="64"/>
      </left>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16">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2" fillId="0" borderId="0"/>
    <xf numFmtId="0" fontId="14" fillId="0" borderId="0" applyNumberFormat="0" applyFill="0" applyBorder="0" applyAlignment="0" applyProtection="0"/>
    <xf numFmtId="0" fontId="5" fillId="0" borderId="0"/>
    <xf numFmtId="0" fontId="5" fillId="0" borderId="0"/>
    <xf numFmtId="0" fontId="43" fillId="0" borderId="0"/>
    <xf numFmtId="0" fontId="7" fillId="0" borderId="0"/>
    <xf numFmtId="43" fontId="2" fillId="0" borderId="0"/>
  </cellStyleXfs>
  <cellXfs count="682">
    <xf numFmtId="0" fontId="0" fillId="0" borderId="0" xfId="0"/>
    <xf numFmtId="0" fontId="7" fillId="0" borderId="0" xfId="5"/>
    <xf numFmtId="0" fontId="10" fillId="0" borderId="0" xfId="0" applyFont="1"/>
    <xf numFmtId="0" fontId="10"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14" fillId="0" borderId="0" xfId="5" applyFont="1"/>
    <xf numFmtId="0" fontId="5" fillId="0" borderId="0" xfId="0" applyFont="1" applyAlignment="1">
      <alignment wrapText="1"/>
    </xf>
    <xf numFmtId="0" fontId="13" fillId="0" borderId="0" xfId="0" applyFont="1" applyAlignment="1">
      <alignment vertical="center"/>
    </xf>
    <xf numFmtId="0" fontId="1" fillId="0" borderId="2" xfId="1" applyBorder="1" applyAlignment="1">
      <alignment horizontal="center" vertical="center" wrapText="1"/>
    </xf>
    <xf numFmtId="0" fontId="5" fillId="0" borderId="2" xfId="0" applyFont="1" applyBorder="1" applyAlignment="1">
      <alignment vertical="center"/>
    </xf>
    <xf numFmtId="3" fontId="5" fillId="0" borderId="2" xfId="7" applyNumberFormat="1" applyFont="1" applyBorder="1" applyAlignment="1">
      <alignment horizontal="center" vertical="center"/>
    </xf>
    <xf numFmtId="0" fontId="1" fillId="0" borderId="0" xfId="0" applyFont="1" applyAlignment="1">
      <alignment vertical="top"/>
    </xf>
    <xf numFmtId="0" fontId="5" fillId="0" borderId="0" xfId="0" applyFont="1" applyAlignment="1">
      <alignment horizontal="center" vertical="top" wrapText="1"/>
    </xf>
    <xf numFmtId="0" fontId="5" fillId="0" borderId="0" xfId="0" applyFont="1" applyAlignment="1">
      <alignment horizontal="left" vertical="top"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19" fillId="6" borderId="2" xfId="0" applyFont="1" applyFill="1" applyBorder="1" applyAlignment="1">
      <alignment horizontal="center" vertical="center" wrapText="1"/>
    </xf>
    <xf numFmtId="0" fontId="18" fillId="6" borderId="2" xfId="0" applyFont="1" applyFill="1" applyBorder="1" applyAlignment="1">
      <alignment horizontal="center" vertical="center"/>
    </xf>
    <xf numFmtId="9" fontId="5" fillId="0" borderId="0" xfId="2" applyFont="1" applyFill="1" applyBorder="1" applyAlignment="1">
      <alignment horizontal="center" vertical="center"/>
    </xf>
    <xf numFmtId="0" fontId="6" fillId="0" borderId="0" xfId="0" applyFont="1" applyAlignment="1">
      <alignment horizontal="left" vertical="center" wrapText="1"/>
    </xf>
    <xf numFmtId="1" fontId="5" fillId="0" borderId="0" xfId="0" applyNumberFormat="1" applyFont="1"/>
    <xf numFmtId="9" fontId="5" fillId="0" borderId="0" xfId="2" applyFont="1" applyFill="1" applyBorder="1"/>
    <xf numFmtId="9" fontId="6" fillId="0" borderId="0" xfId="2" applyFont="1" applyFill="1" applyBorder="1"/>
    <xf numFmtId="164" fontId="5" fillId="0" borderId="0" xfId="0" applyNumberFormat="1" applyFont="1"/>
    <xf numFmtId="9" fontId="5" fillId="0" borderId="0" xfId="0" applyNumberFormat="1" applyFont="1" applyAlignment="1">
      <alignment vertical="center"/>
    </xf>
    <xf numFmtId="0" fontId="6" fillId="0" borderId="0" xfId="0" applyFont="1" applyAlignment="1">
      <alignment vertical="center"/>
    </xf>
    <xf numFmtId="0" fontId="5" fillId="0" borderId="21" xfId="4" applyBorder="1" applyAlignment="1">
      <alignment horizontal="center" vertical="center"/>
    </xf>
    <xf numFmtId="3" fontId="5" fillId="0" borderId="2" xfId="0" applyNumberFormat="1" applyFont="1" applyBorder="1" applyAlignment="1">
      <alignment horizontal="center" vertical="center"/>
    </xf>
    <xf numFmtId="0" fontId="21" fillId="0" borderId="0" xfId="0" applyFont="1" applyAlignment="1">
      <alignment horizontal="center" vertical="center"/>
    </xf>
    <xf numFmtId="0" fontId="23" fillId="4" borderId="0" xfId="0" applyFont="1" applyFill="1" applyAlignment="1">
      <alignment vertical="center" wrapText="1"/>
    </xf>
    <xf numFmtId="0" fontId="21" fillId="4" borderId="0" xfId="0" applyFont="1" applyFill="1" applyAlignment="1">
      <alignment horizontal="center" vertical="center"/>
    </xf>
    <xf numFmtId="165" fontId="21" fillId="4" borderId="0" xfId="0" applyNumberFormat="1" applyFont="1" applyFill="1" applyAlignment="1">
      <alignment horizontal="center" vertical="center"/>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5" fillId="0" borderId="0" xfId="8" applyNumberFormat="1" applyFont="1" applyFill="1" applyBorder="1" applyAlignment="1">
      <alignment horizontal="center"/>
    </xf>
    <xf numFmtId="9" fontId="5" fillId="0" borderId="21" xfId="0" applyNumberFormat="1" applyFont="1" applyBorder="1" applyAlignment="1">
      <alignment horizontal="center"/>
    </xf>
    <xf numFmtId="0" fontId="6" fillId="0" borderId="0" xfId="4" applyFont="1" applyAlignment="1">
      <alignment horizontal="center"/>
    </xf>
    <xf numFmtId="9" fontId="5" fillId="0" borderId="0" xfId="2" applyFont="1" applyFill="1" applyBorder="1" applyAlignment="1">
      <alignment horizontal="left"/>
    </xf>
    <xf numFmtId="1" fontId="5" fillId="0" borderId="0" xfId="2" applyNumberFormat="1" applyFont="1" applyFill="1" applyBorder="1"/>
    <xf numFmtId="3" fontId="5" fillId="0" borderId="0" xfId="0" applyNumberFormat="1" applyFont="1" applyAlignment="1">
      <alignment horizontal="center" vertical="center"/>
    </xf>
    <xf numFmtId="167" fontId="21" fillId="0" borderId="0" xfId="0" applyNumberFormat="1" applyFont="1" applyAlignment="1">
      <alignment horizontal="center" vertical="center"/>
    </xf>
    <xf numFmtId="3" fontId="5" fillId="0" borderId="0" xfId="7" applyNumberFormat="1" applyFont="1" applyAlignment="1">
      <alignment horizontal="center" vertical="center"/>
    </xf>
    <xf numFmtId="0" fontId="24" fillId="0" borderId="0" xfId="0" applyFont="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7" fillId="0" borderId="0" xfId="5" applyAlignment="1">
      <alignment vertical="center"/>
    </xf>
    <xf numFmtId="0" fontId="5" fillId="0" borderId="0" xfId="4" applyAlignment="1">
      <alignment horizontal="center" vertical="center"/>
    </xf>
    <xf numFmtId="9" fontId="5" fillId="0" borderId="0" xfId="0" applyNumberFormat="1" applyFont="1" applyAlignment="1">
      <alignment horizontal="center"/>
    </xf>
    <xf numFmtId="9" fontId="5" fillId="0" borderId="0" xfId="0" applyNumberFormat="1" applyFont="1" applyAlignment="1">
      <alignment horizontal="left"/>
    </xf>
    <xf numFmtId="0" fontId="18" fillId="6" borderId="12" xfId="0" applyFont="1" applyFill="1" applyBorder="1" applyAlignment="1">
      <alignment horizontal="center" vertical="center" wrapText="1"/>
    </xf>
    <xf numFmtId="0" fontId="1" fillId="0" borderId="21" xfId="0" applyFont="1" applyBorder="1" applyAlignment="1">
      <alignment horizontal="center" vertical="center"/>
    </xf>
    <xf numFmtId="0" fontId="11" fillId="0" borderId="0" xfId="0" applyFont="1" applyAlignment="1">
      <alignment vertical="center"/>
    </xf>
    <xf numFmtId="0" fontId="10" fillId="0" borderId="0" xfId="0" applyFont="1" applyAlignment="1">
      <alignment horizontal="center"/>
    </xf>
    <xf numFmtId="168" fontId="5" fillId="0" borderId="2" xfId="6" applyNumberFormat="1" applyFont="1" applyBorder="1" applyAlignment="1">
      <alignment horizontal="left" vertical="center" wrapText="1"/>
    </xf>
    <xf numFmtId="0" fontId="9" fillId="0" borderId="0" xfId="3" applyFont="1" applyBorder="1" applyAlignment="1">
      <alignment horizontal="left" vertical="center" wrapText="1"/>
    </xf>
    <xf numFmtId="168" fontId="5" fillId="0" borderId="0" xfId="6" applyNumberFormat="1" applyFont="1" applyBorder="1" applyAlignment="1">
      <alignment horizontal="left" vertical="center"/>
    </xf>
    <xf numFmtId="43" fontId="5" fillId="0" borderId="2" xfId="6" applyFont="1" applyBorder="1" applyAlignment="1">
      <alignment horizontal="left" vertical="center"/>
    </xf>
    <xf numFmtId="0" fontId="20" fillId="0" borderId="0" xfId="0" applyFont="1"/>
    <xf numFmtId="0" fontId="18" fillId="10" borderId="2" xfId="0" applyFont="1" applyFill="1" applyBorder="1" applyAlignment="1">
      <alignment horizontal="center" vertical="center"/>
    </xf>
    <xf numFmtId="0" fontId="28" fillId="0" borderId="0" xfId="0" applyFont="1" applyAlignment="1">
      <alignment vertical="center"/>
    </xf>
    <xf numFmtId="0" fontId="22" fillId="10" borderId="2" xfId="0" applyFont="1" applyFill="1" applyBorder="1" applyAlignment="1">
      <alignment horizontal="center" vertical="center"/>
    </xf>
    <xf numFmtId="0" fontId="6" fillId="2" borderId="0" xfId="0" applyFont="1" applyFill="1" applyAlignment="1">
      <alignment vertical="center"/>
    </xf>
    <xf numFmtId="2" fontId="5" fillId="0" borderId="2" xfId="0" applyNumberFormat="1" applyFont="1" applyBorder="1" applyAlignment="1">
      <alignment horizontal="center" vertical="center" wrapText="1"/>
    </xf>
    <xf numFmtId="0" fontId="1" fillId="0" borderId="0" xfId="1" applyAlignment="1">
      <alignment vertical="center" wrapText="1"/>
    </xf>
    <xf numFmtId="0" fontId="11" fillId="0" borderId="0" xfId="0" applyFont="1" applyAlignment="1">
      <alignment vertical="center" wrapText="1"/>
    </xf>
    <xf numFmtId="0" fontId="16" fillId="0" borderId="0" xfId="0" applyFont="1"/>
    <xf numFmtId="169" fontId="29" fillId="0" borderId="0" xfId="0" applyNumberFormat="1" applyFont="1"/>
    <xf numFmtId="0" fontId="5" fillId="0" borderId="2" xfId="0" applyFont="1" applyBorder="1" applyAlignment="1">
      <alignment horizontal="right" vertical="center"/>
    </xf>
    <xf numFmtId="3" fontId="5" fillId="0" borderId="0" xfId="0" applyNumberFormat="1" applyFont="1"/>
    <xf numFmtId="0" fontId="10" fillId="0" borderId="0" xfId="0" applyFont="1" applyAlignment="1">
      <alignment vertical="center"/>
    </xf>
    <xf numFmtId="165" fontId="10" fillId="0" borderId="0" xfId="2" applyNumberFormat="1" applyFont="1"/>
    <xf numFmtId="0" fontId="5" fillId="0" borderId="21" xfId="0" applyFont="1" applyBorder="1" applyAlignment="1">
      <alignment horizontal="center" vertical="center"/>
    </xf>
    <xf numFmtId="0" fontId="5" fillId="0" borderId="21" xfId="0" applyFont="1" applyBorder="1" applyAlignment="1">
      <alignment horizontal="center" vertical="center" wrapText="1"/>
    </xf>
    <xf numFmtId="0" fontId="0" fillId="0" borderId="0" xfId="0" applyAlignment="1">
      <alignment horizontal="left"/>
    </xf>
    <xf numFmtId="0" fontId="5" fillId="0" borderId="23" xfId="4" applyBorder="1" applyAlignment="1">
      <alignment horizontal="center" vertical="center"/>
    </xf>
    <xf numFmtId="0" fontId="22" fillId="10" borderId="44" xfId="0" applyFont="1" applyFill="1" applyBorder="1" applyAlignment="1">
      <alignment horizontal="center" vertical="center" wrapText="1"/>
    </xf>
    <xf numFmtId="0" fontId="9" fillId="0" borderId="2" xfId="3" applyFont="1" applyFill="1" applyBorder="1" applyAlignment="1">
      <alignment horizontal="center" vertical="center" wrapText="1"/>
    </xf>
    <xf numFmtId="3" fontId="9" fillId="0" borderId="2" xfId="3" applyNumberFormat="1" applyFont="1" applyFill="1" applyBorder="1" applyAlignment="1">
      <alignment horizontal="center" vertical="center" wrapText="1"/>
    </xf>
    <xf numFmtId="0" fontId="6" fillId="6" borderId="45" xfId="0" applyFont="1" applyFill="1" applyBorder="1" applyAlignment="1">
      <alignment horizontal="center" vertical="center"/>
    </xf>
    <xf numFmtId="0" fontId="6" fillId="6" borderId="46" xfId="0" applyFont="1" applyFill="1" applyBorder="1" applyAlignment="1">
      <alignment horizontal="center" vertical="center"/>
    </xf>
    <xf numFmtId="0" fontId="6" fillId="6" borderId="47" xfId="0" applyFont="1" applyFill="1" applyBorder="1" applyAlignment="1">
      <alignment horizontal="center" vertical="center" wrapText="1"/>
    </xf>
    <xf numFmtId="0" fontId="6" fillId="6" borderId="48" xfId="0" applyFont="1" applyFill="1" applyBorder="1" applyAlignment="1">
      <alignment horizontal="center" vertical="center"/>
    </xf>
    <xf numFmtId="0" fontId="5" fillId="0" borderId="49" xfId="0" applyFont="1" applyBorder="1" applyAlignment="1">
      <alignment horizontal="center" vertical="center"/>
    </xf>
    <xf numFmtId="0" fontId="5" fillId="0" borderId="54" xfId="0" applyFont="1" applyBorder="1" applyAlignment="1">
      <alignment horizontal="center" vertical="center"/>
    </xf>
    <xf numFmtId="0" fontId="1" fillId="0" borderId="55" xfId="0" applyFont="1" applyBorder="1" applyAlignment="1">
      <alignment horizontal="center" vertical="center"/>
    </xf>
    <xf numFmtId="0" fontId="5" fillId="0" borderId="55" xfId="0" applyFont="1" applyBorder="1" applyAlignment="1">
      <alignment horizontal="center" vertical="center" wrapText="1"/>
    </xf>
    <xf numFmtId="0" fontId="6" fillId="6" borderId="58" xfId="0" applyFont="1" applyFill="1" applyBorder="1" applyAlignment="1">
      <alignment horizontal="center" vertical="center"/>
    </xf>
    <xf numFmtId="0" fontId="7" fillId="0" borderId="2" xfId="5" applyBorder="1" applyAlignment="1">
      <alignment horizontal="center" vertical="center"/>
    </xf>
    <xf numFmtId="1" fontId="9" fillId="0" borderId="2" xfId="3" applyNumberFormat="1" applyFont="1" applyBorder="1" applyAlignment="1">
      <alignment horizontal="left" vertical="center" wrapText="1"/>
    </xf>
    <xf numFmtId="1" fontId="5" fillId="0" borderId="2" xfId="0" applyNumberFormat="1" applyFont="1" applyBorder="1" applyAlignment="1">
      <alignment horizontal="left" vertical="center"/>
    </xf>
    <xf numFmtId="0" fontId="1" fillId="0" borderId="2" xfId="1" applyBorder="1" applyAlignment="1">
      <alignment vertical="center" wrapText="1"/>
    </xf>
    <xf numFmtId="2" fontId="5" fillId="0" borderId="2" xfId="0" applyNumberFormat="1" applyFont="1" applyBorder="1" applyAlignment="1">
      <alignment horizontal="center" vertical="center"/>
    </xf>
    <xf numFmtId="0" fontId="6" fillId="0" borderId="0" xfId="0" applyFont="1" applyAlignment="1">
      <alignment vertical="center" wrapText="1"/>
    </xf>
    <xf numFmtId="0" fontId="22" fillId="6" borderId="2" xfId="0" applyFont="1" applyFill="1" applyBorder="1" applyAlignment="1">
      <alignment horizontal="left" vertical="center" wrapText="1"/>
    </xf>
    <xf numFmtId="169" fontId="5" fillId="0" borderId="2" xfId="0" applyNumberFormat="1" applyFont="1" applyBorder="1" applyAlignment="1">
      <alignment vertical="center"/>
    </xf>
    <xf numFmtId="169" fontId="1" fillId="0" borderId="2" xfId="0" applyNumberFormat="1" applyFont="1" applyBorder="1" applyAlignment="1">
      <alignment vertical="center"/>
    </xf>
    <xf numFmtId="0" fontId="18" fillId="6" borderId="2" xfId="0" applyFont="1" applyFill="1" applyBorder="1" applyAlignment="1">
      <alignment vertical="center"/>
    </xf>
    <xf numFmtId="0" fontId="1" fillId="0" borderId="2" xfId="1" applyBorder="1" applyAlignment="1">
      <alignment vertical="center"/>
    </xf>
    <xf numFmtId="0" fontId="30" fillId="0" borderId="2" xfId="0" applyFont="1" applyBorder="1" applyAlignment="1">
      <alignment horizontal="left" vertical="top" wrapText="1"/>
    </xf>
    <xf numFmtId="168" fontId="5" fillId="0" borderId="2" xfId="6" applyNumberFormat="1" applyFont="1" applyBorder="1" applyAlignment="1">
      <alignment horizontal="center" vertical="center"/>
    </xf>
    <xf numFmtId="43" fontId="5" fillId="0" borderId="0" xfId="0" applyNumberFormat="1" applyFont="1" applyAlignment="1">
      <alignment horizontal="center" vertical="top" wrapText="1"/>
    </xf>
    <xf numFmtId="168" fontId="30" fillId="0" borderId="2" xfId="6" applyNumberFormat="1" applyFont="1" applyBorder="1" applyAlignment="1">
      <alignment horizontal="center" vertical="center" wrapText="1"/>
    </xf>
    <xf numFmtId="0" fontId="32" fillId="0" borderId="0" xfId="0" applyFont="1" applyAlignment="1">
      <alignment horizontal="right" vertical="center" wrapText="1"/>
    </xf>
    <xf numFmtId="43" fontId="5" fillId="0" borderId="2" xfId="0" applyNumberFormat="1" applyFont="1" applyBorder="1" applyAlignment="1">
      <alignment vertical="center"/>
    </xf>
    <xf numFmtId="1" fontId="5" fillId="0" borderId="0" xfId="0" applyNumberFormat="1" applyFont="1" applyAlignment="1">
      <alignment horizontal="left" vertical="center"/>
    </xf>
    <xf numFmtId="0" fontId="10" fillId="0" borderId="0" xfId="0" applyFont="1" applyAlignment="1">
      <alignment wrapText="1"/>
    </xf>
    <xf numFmtId="0" fontId="5" fillId="0" borderId="25" xfId="0" applyFont="1" applyBorder="1" applyAlignment="1">
      <alignment horizontal="center" vertical="center" wrapText="1"/>
    </xf>
    <xf numFmtId="0" fontId="25" fillId="0" borderId="0" xfId="0" applyFont="1" applyAlignment="1">
      <alignment vertical="center" wrapText="1"/>
    </xf>
    <xf numFmtId="1" fontId="5" fillId="0" borderId="2" xfId="0" applyNumberFormat="1" applyFont="1" applyBorder="1" applyAlignment="1">
      <alignment vertical="center"/>
    </xf>
    <xf numFmtId="166" fontId="5" fillId="0" borderId="2" xfId="7" applyNumberFormat="1" applyFont="1" applyBorder="1" applyAlignment="1">
      <alignment horizontal="center" vertical="center"/>
    </xf>
    <xf numFmtId="164" fontId="5" fillId="0" borderId="2" xfId="2" applyNumberFormat="1" applyFont="1" applyBorder="1" applyAlignment="1">
      <alignment horizontal="center" vertical="center"/>
    </xf>
    <xf numFmtId="0" fontId="6" fillId="0" borderId="0" xfId="0" applyFont="1" applyAlignment="1">
      <alignment horizontal="center" vertical="center"/>
    </xf>
    <xf numFmtId="168" fontId="9" fillId="0" borderId="2" xfId="6" applyNumberFormat="1" applyFont="1" applyFill="1" applyBorder="1" applyAlignment="1">
      <alignment horizontal="center" vertical="center" wrapText="1"/>
    </xf>
    <xf numFmtId="0" fontId="15" fillId="0" borderId="0" xfId="0" applyFont="1"/>
    <xf numFmtId="0" fontId="29" fillId="0" borderId="0" xfId="0" applyFont="1"/>
    <xf numFmtId="9" fontId="5" fillId="0" borderId="2" xfId="0" applyNumberFormat="1" applyFont="1" applyBorder="1" applyAlignment="1">
      <alignment horizontal="center" vertical="center"/>
    </xf>
    <xf numFmtId="0" fontId="5" fillId="0" borderId="25" xfId="0" applyFont="1" applyBorder="1" applyAlignment="1">
      <alignment horizontal="left" vertical="center" wrapText="1"/>
    </xf>
    <xf numFmtId="165" fontId="5" fillId="0" borderId="2" xfId="0" applyNumberFormat="1" applyFont="1" applyBorder="1" applyAlignment="1">
      <alignment horizontal="center" vertical="center"/>
    </xf>
    <xf numFmtId="165" fontId="5" fillId="0" borderId="3" xfId="0" applyNumberFormat="1" applyFont="1" applyBorder="1" applyAlignment="1">
      <alignment horizontal="center" vertical="center"/>
    </xf>
    <xf numFmtId="0" fontId="1" fillId="0" borderId="2" xfId="3" applyFont="1" applyFill="1" applyBorder="1" applyAlignment="1">
      <alignment horizontal="center" vertical="center" wrapText="1"/>
    </xf>
    <xf numFmtId="3" fontId="1" fillId="0" borderId="2" xfId="7" applyNumberFormat="1" applyFont="1" applyBorder="1" applyAlignment="1">
      <alignment horizontal="center" vertical="center"/>
    </xf>
    <xf numFmtId="0" fontId="5" fillId="0" borderId="73" xfId="0" applyFont="1" applyBorder="1" applyAlignment="1">
      <alignment horizontal="center" vertical="center"/>
    </xf>
    <xf numFmtId="0" fontId="5" fillId="0" borderId="74" xfId="0" applyFont="1" applyBorder="1" applyAlignment="1">
      <alignment horizontal="center" vertical="center"/>
    </xf>
    <xf numFmtId="0" fontId="5" fillId="0" borderId="75" xfId="0" applyFont="1" applyBorder="1" applyAlignment="1">
      <alignment horizontal="center" vertical="center"/>
    </xf>
    <xf numFmtId="0" fontId="21" fillId="0" borderId="76" xfId="0" applyFont="1" applyBorder="1" applyAlignment="1">
      <alignment horizontal="center" vertical="center"/>
    </xf>
    <xf numFmtId="165" fontId="34" fillId="0" borderId="68" xfId="0" applyNumberFormat="1" applyFont="1" applyBorder="1" applyAlignment="1">
      <alignment horizontal="center" vertical="center"/>
    </xf>
    <xf numFmtId="0" fontId="21" fillId="0" borderId="80" xfId="0" applyFont="1" applyBorder="1" applyAlignment="1">
      <alignment horizontal="center" vertical="center"/>
    </xf>
    <xf numFmtId="0" fontId="21" fillId="0" borderId="84" xfId="0" applyFont="1" applyBorder="1" applyAlignment="1">
      <alignment horizontal="center" vertical="center"/>
    </xf>
    <xf numFmtId="1" fontId="34" fillId="0" borderId="71" xfId="0" applyNumberFormat="1" applyFont="1" applyBorder="1" applyAlignment="1">
      <alignment horizontal="center" vertical="center"/>
    </xf>
    <xf numFmtId="1" fontId="34" fillId="0" borderId="70" xfId="0" applyNumberFormat="1" applyFont="1" applyBorder="1" applyAlignment="1">
      <alignment horizontal="center" vertical="center"/>
    </xf>
    <xf numFmtId="1" fontId="34" fillId="0" borderId="69" xfId="0" applyNumberFormat="1" applyFont="1" applyBorder="1" applyAlignment="1">
      <alignment horizontal="center" vertical="center"/>
    </xf>
    <xf numFmtId="1" fontId="34" fillId="0" borderId="68" xfId="0" applyNumberFormat="1" applyFont="1" applyBorder="1" applyAlignment="1">
      <alignment horizontal="center" vertical="center"/>
    </xf>
    <xf numFmtId="1" fontId="34" fillId="0" borderId="67" xfId="0" applyNumberFormat="1" applyFont="1" applyBorder="1" applyAlignment="1">
      <alignment horizontal="center" vertical="center"/>
    </xf>
    <xf numFmtId="1" fontId="34" fillId="0" borderId="66" xfId="0" applyNumberFormat="1" applyFont="1" applyBorder="1" applyAlignment="1">
      <alignment horizontal="center" vertical="center"/>
    </xf>
    <xf numFmtId="0" fontId="21" fillId="0" borderId="95" xfId="0" applyFont="1" applyBorder="1" applyAlignment="1">
      <alignment horizontal="center" vertical="center"/>
    </xf>
    <xf numFmtId="0" fontId="21" fillId="0" borderId="101" xfId="0" applyFont="1" applyBorder="1" applyAlignment="1">
      <alignment horizontal="center" vertical="center"/>
    </xf>
    <xf numFmtId="2" fontId="21" fillId="0" borderId="1" xfId="0" applyNumberFormat="1" applyFont="1" applyBorder="1" applyAlignment="1">
      <alignment horizontal="center" vertical="center"/>
    </xf>
    <xf numFmtId="2" fontId="21" fillId="0" borderId="5" xfId="0" applyNumberFormat="1" applyFont="1" applyBorder="1" applyAlignment="1">
      <alignment horizontal="center" vertical="center"/>
    </xf>
    <xf numFmtId="2" fontId="21" fillId="0" borderId="17" xfId="0" applyNumberFormat="1" applyFont="1" applyBorder="1" applyAlignment="1">
      <alignment horizontal="center" vertical="center"/>
    </xf>
    <xf numFmtId="2" fontId="21" fillId="0" borderId="107" xfId="0" applyNumberFormat="1" applyFont="1" applyBorder="1" applyAlignment="1">
      <alignment horizontal="center" vertical="center"/>
    </xf>
    <xf numFmtId="1" fontId="21" fillId="0" borderId="1" xfId="0" applyNumberFormat="1" applyFont="1" applyBorder="1" applyAlignment="1">
      <alignment horizontal="center" vertical="center"/>
    </xf>
    <xf numFmtId="0" fontId="21" fillId="0" borderId="59" xfId="0" applyFont="1" applyBorder="1" applyAlignment="1">
      <alignment horizontal="center" vertical="center"/>
    </xf>
    <xf numFmtId="0" fontId="21" fillId="0" borderId="11" xfId="0" applyFont="1" applyBorder="1" applyAlignment="1">
      <alignment horizontal="center" vertical="center"/>
    </xf>
    <xf numFmtId="0" fontId="21" fillId="0" borderId="60" xfId="0" applyFont="1" applyBorder="1" applyAlignment="1">
      <alignment horizontal="center" vertical="center"/>
    </xf>
    <xf numFmtId="165" fontId="34" fillId="0" borderId="93" xfId="0" applyNumberFormat="1" applyFont="1" applyBorder="1" applyAlignment="1">
      <alignment horizontal="center" vertical="center"/>
    </xf>
    <xf numFmtId="165" fontId="34" fillId="0" borderId="96" xfId="0" applyNumberFormat="1" applyFont="1" applyBorder="1" applyAlignment="1">
      <alignment horizontal="center" vertical="center"/>
    </xf>
    <xf numFmtId="165" fontId="34" fillId="0" borderId="97" xfId="0" applyNumberFormat="1" applyFont="1" applyBorder="1" applyAlignment="1">
      <alignment horizontal="center" vertical="center"/>
    </xf>
    <xf numFmtId="165" fontId="34" fillId="0" borderId="98" xfId="0" applyNumberFormat="1" applyFont="1" applyBorder="1" applyAlignment="1">
      <alignment horizontal="center" vertical="center"/>
    </xf>
    <xf numFmtId="165" fontId="34" fillId="0" borderId="102"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7" xfId="0" applyNumberFormat="1" applyFont="1" applyBorder="1" applyAlignment="1">
      <alignment horizontal="center" vertical="center"/>
    </xf>
    <xf numFmtId="2" fontId="21" fillId="0" borderId="31" xfId="0" applyNumberFormat="1" applyFont="1" applyBorder="1" applyAlignment="1">
      <alignment horizontal="center" vertical="center"/>
    </xf>
    <xf numFmtId="2" fontId="21" fillId="0" borderId="9" xfId="0" applyNumberFormat="1" applyFont="1" applyBorder="1" applyAlignment="1">
      <alignment horizontal="center" vertical="center"/>
    </xf>
    <xf numFmtId="0" fontId="21" fillId="0" borderId="72" xfId="0" applyFont="1" applyBorder="1" applyAlignment="1">
      <alignment horizontal="center" vertical="center"/>
    </xf>
    <xf numFmtId="2" fontId="21" fillId="0" borderId="26" xfId="0" applyNumberFormat="1" applyFont="1" applyBorder="1" applyAlignment="1">
      <alignment horizontal="center" vertical="center"/>
    </xf>
    <xf numFmtId="2" fontId="21" fillId="0" borderId="30" xfId="0" applyNumberFormat="1" applyFont="1" applyBorder="1" applyAlignment="1">
      <alignment horizontal="center" vertical="center"/>
    </xf>
    <xf numFmtId="0" fontId="21" fillId="0" borderId="73" xfId="0" applyFont="1" applyBorder="1" applyAlignment="1">
      <alignment horizontal="center" vertical="center"/>
    </xf>
    <xf numFmtId="2" fontId="21" fillId="0" borderId="25" xfId="0" applyNumberFormat="1" applyFont="1" applyBorder="1" applyAlignment="1">
      <alignment horizontal="center" vertical="center"/>
    </xf>
    <xf numFmtId="2" fontId="21" fillId="0" borderId="27" xfId="0" applyNumberFormat="1" applyFont="1" applyBorder="1" applyAlignment="1">
      <alignment horizontal="center" vertical="center"/>
    </xf>
    <xf numFmtId="0" fontId="21" fillId="0" borderId="74" xfId="0" applyFont="1" applyBorder="1" applyAlignment="1">
      <alignment horizontal="center" vertical="center"/>
    </xf>
    <xf numFmtId="2" fontId="21" fillId="0" borderId="28" xfId="0" applyNumberFormat="1" applyFont="1" applyBorder="1" applyAlignment="1">
      <alignment horizontal="center" vertical="center"/>
    </xf>
    <xf numFmtId="2" fontId="21" fillId="0" borderId="29" xfId="0" applyNumberFormat="1" applyFont="1" applyBorder="1" applyAlignment="1">
      <alignment horizontal="center" vertical="center"/>
    </xf>
    <xf numFmtId="0" fontId="21" fillId="0" borderId="75" xfId="0" applyFont="1" applyBorder="1" applyAlignment="1">
      <alignment horizontal="center" vertical="center"/>
    </xf>
    <xf numFmtId="0" fontId="37" fillId="0" borderId="0" xfId="0" applyFont="1"/>
    <xf numFmtId="0" fontId="21" fillId="0" borderId="0" xfId="0" applyFont="1" applyAlignment="1">
      <alignment horizontal="left" vertical="center" wrapText="1"/>
    </xf>
    <xf numFmtId="0" fontId="21" fillId="0" borderId="20" xfId="0" applyFont="1" applyBorder="1" applyAlignment="1">
      <alignment horizontal="center" vertical="center"/>
    </xf>
    <xf numFmtId="0" fontId="21" fillId="0" borderId="121" xfId="0" applyFont="1" applyBorder="1" applyAlignment="1">
      <alignment horizontal="center" vertical="center"/>
    </xf>
    <xf numFmtId="2" fontId="21" fillId="0" borderId="122" xfId="0" applyNumberFormat="1" applyFont="1" applyBorder="1" applyAlignment="1">
      <alignment horizontal="center" vertical="center"/>
    </xf>
    <xf numFmtId="2" fontId="21" fillId="0" borderId="123" xfId="0" applyNumberFormat="1" applyFont="1" applyBorder="1" applyAlignment="1">
      <alignment horizontal="center" vertical="center"/>
    </xf>
    <xf numFmtId="0" fontId="21" fillId="0" borderId="124" xfId="0" applyFont="1" applyBorder="1" applyAlignment="1">
      <alignment horizontal="center" vertical="center"/>
    </xf>
    <xf numFmtId="2" fontId="21" fillId="0" borderId="125" xfId="0" applyNumberFormat="1" applyFont="1" applyBorder="1" applyAlignment="1">
      <alignment horizontal="center" vertical="center"/>
    </xf>
    <xf numFmtId="2" fontId="21" fillId="0" borderId="126" xfId="0" applyNumberFormat="1" applyFont="1" applyBorder="1" applyAlignment="1">
      <alignment horizontal="center" vertical="center"/>
    </xf>
    <xf numFmtId="0" fontId="21" fillId="0" borderId="127" xfId="0" applyFont="1" applyBorder="1" applyAlignment="1">
      <alignment horizontal="center" vertical="center"/>
    </xf>
    <xf numFmtId="2" fontId="21" fillId="0" borderId="128" xfId="0" applyNumberFormat="1" applyFont="1" applyBorder="1" applyAlignment="1">
      <alignment horizontal="center" vertical="center"/>
    </xf>
    <xf numFmtId="2" fontId="21" fillId="0" borderId="129" xfId="0" applyNumberFormat="1" applyFont="1" applyBorder="1" applyAlignment="1">
      <alignment horizontal="center" vertical="center"/>
    </xf>
    <xf numFmtId="0" fontId="22" fillId="6" borderId="2" xfId="0" applyFont="1" applyFill="1" applyBorder="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18" fillId="16" borderId="2" xfId="0" applyFont="1" applyFill="1" applyBorder="1" applyAlignment="1">
      <alignment horizontal="center" vertical="center" wrapText="1"/>
    </xf>
    <xf numFmtId="0" fontId="18" fillId="10" borderId="2" xfId="0" applyFont="1" applyFill="1" applyBorder="1" applyAlignment="1">
      <alignment horizontal="center" vertical="center" wrapText="1"/>
    </xf>
    <xf numFmtId="0" fontId="5" fillId="0" borderId="2" xfId="4" applyBorder="1" applyAlignment="1">
      <alignment horizontal="center" vertical="center"/>
    </xf>
    <xf numFmtId="170" fontId="5" fillId="0" borderId="2" xfId="6" applyNumberFormat="1" applyFont="1" applyBorder="1" applyAlignment="1">
      <alignment vertical="center"/>
    </xf>
    <xf numFmtId="170" fontId="5" fillId="0" borderId="2" xfId="0" applyNumberFormat="1" applyFont="1" applyBorder="1" applyAlignment="1">
      <alignment vertical="center"/>
    </xf>
    <xf numFmtId="170" fontId="5" fillId="0" borderId="2" xfId="0" applyNumberFormat="1" applyFont="1" applyBorder="1"/>
    <xf numFmtId="1" fontId="5" fillId="0" borderId="2" xfId="0" applyNumberFormat="1" applyFont="1" applyBorder="1" applyAlignment="1">
      <alignment horizontal="left" vertical="center" wrapText="1"/>
    </xf>
    <xf numFmtId="3" fontId="0" fillId="0" borderId="0" xfId="0" applyNumberFormat="1" applyAlignment="1">
      <alignment horizontal="center"/>
    </xf>
    <xf numFmtId="1" fontId="0" fillId="0" borderId="0" xfId="0" applyNumberFormat="1" applyAlignment="1">
      <alignment horizontal="center" vertical="center" wrapText="1"/>
    </xf>
    <xf numFmtId="0" fontId="5" fillId="0" borderId="130" xfId="0" applyFont="1" applyBorder="1" applyAlignment="1">
      <alignment horizontal="center" vertical="center"/>
    </xf>
    <xf numFmtId="0" fontId="5" fillId="0" borderId="131" xfId="0" applyFont="1" applyBorder="1" applyAlignment="1">
      <alignment horizontal="center" vertical="center"/>
    </xf>
    <xf numFmtId="0" fontId="5" fillId="0" borderId="132" xfId="0" applyFont="1" applyBorder="1" applyAlignment="1">
      <alignment horizontal="center" vertical="center"/>
    </xf>
    <xf numFmtId="0" fontId="5" fillId="0" borderId="133" xfId="0" applyFont="1" applyBorder="1" applyAlignment="1">
      <alignment horizontal="center" vertical="center"/>
    </xf>
    <xf numFmtId="0" fontId="21" fillId="0" borderId="134" xfId="0" applyFont="1" applyBorder="1" applyAlignment="1">
      <alignment horizontal="center" vertical="center"/>
    </xf>
    <xf numFmtId="1" fontId="34" fillId="0" borderId="135" xfId="0" applyNumberFormat="1" applyFont="1" applyBorder="1" applyAlignment="1">
      <alignment horizontal="center" vertical="center"/>
    </xf>
    <xf numFmtId="1" fontId="34" fillId="0" borderId="136" xfId="0" applyNumberFormat="1" applyFont="1" applyBorder="1" applyAlignment="1">
      <alignment horizontal="center" vertical="center"/>
    </xf>
    <xf numFmtId="165" fontId="5" fillId="0" borderId="0" xfId="0" applyNumberFormat="1" applyFont="1" applyAlignment="1">
      <alignment vertical="center"/>
    </xf>
    <xf numFmtId="0" fontId="33" fillId="0" borderId="0" xfId="0" applyFont="1" applyAlignment="1">
      <alignment horizontal="center" vertical="center"/>
    </xf>
    <xf numFmtId="0" fontId="39" fillId="0" borderId="0" xfId="0" applyFont="1" applyAlignment="1">
      <alignment horizontal="center" vertical="center" wrapText="1"/>
    </xf>
    <xf numFmtId="0" fontId="38" fillId="0" borderId="0" xfId="0" applyFont="1" applyAlignment="1">
      <alignment horizontal="center" vertical="center" wrapText="1"/>
    </xf>
    <xf numFmtId="0" fontId="41" fillId="18" borderId="25" xfId="0" applyFont="1" applyFill="1" applyBorder="1" applyAlignment="1">
      <alignment horizontal="center" vertical="center" wrapText="1"/>
    </xf>
    <xf numFmtId="0" fontId="7" fillId="0" borderId="0" xfId="5" applyBorder="1" applyAlignment="1">
      <alignment horizontal="left"/>
    </xf>
    <xf numFmtId="0" fontId="5" fillId="0" borderId="0" xfId="0" applyFont="1" applyAlignment="1">
      <alignment horizontal="left"/>
    </xf>
    <xf numFmtId="0" fontId="20" fillId="0" borderId="2" xfId="0" applyFont="1" applyBorder="1" applyAlignment="1">
      <alignment vertical="center" wrapText="1"/>
    </xf>
    <xf numFmtId="0" fontId="20" fillId="0" borderId="2" xfId="0" applyFont="1" applyBorder="1" applyAlignment="1">
      <alignment vertical="center"/>
    </xf>
    <xf numFmtId="0" fontId="20" fillId="0" borderId="55"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53" xfId="0" applyFont="1" applyBorder="1" applyAlignment="1">
      <alignment horizontal="center" vertical="center" wrapText="1"/>
    </xf>
    <xf numFmtId="2" fontId="20" fillId="0" borderId="2" xfId="0" applyNumberFormat="1" applyFont="1" applyBorder="1" applyAlignment="1">
      <alignment horizontal="center" vertical="center"/>
    </xf>
    <xf numFmtId="168" fontId="20" fillId="0" borderId="2" xfId="6" applyNumberFormat="1" applyFont="1" applyBorder="1" applyAlignment="1">
      <alignment horizontal="center" vertical="center"/>
    </xf>
    <xf numFmtId="168" fontId="20" fillId="0" borderId="2" xfId="6" applyNumberFormat="1" applyFont="1" applyBorder="1" applyAlignment="1">
      <alignment horizontal="right" vertical="center" wrapText="1"/>
    </xf>
    <xf numFmtId="0" fontId="20" fillId="0" borderId="2" xfId="0" applyFont="1" applyBorder="1" applyAlignment="1">
      <alignment horizontal="right" vertical="center"/>
    </xf>
    <xf numFmtId="168" fontId="20" fillId="0" borderId="2" xfId="6" applyNumberFormat="1" applyFont="1" applyBorder="1" applyAlignment="1">
      <alignment horizontal="right" vertical="center"/>
    </xf>
    <xf numFmtId="168" fontId="20" fillId="0" borderId="2" xfId="0" applyNumberFormat="1" applyFont="1" applyBorder="1" applyAlignment="1">
      <alignment horizontal="right" vertical="center"/>
    </xf>
    <xf numFmtId="169" fontId="20" fillId="0" borderId="2" xfId="0" applyNumberFormat="1" applyFont="1" applyBorder="1" applyAlignment="1">
      <alignment vertical="center"/>
    </xf>
    <xf numFmtId="3" fontId="20" fillId="0" borderId="2" xfId="0" applyNumberFormat="1" applyFont="1" applyBorder="1" applyAlignment="1">
      <alignment horizontal="center" vertical="center"/>
    </xf>
    <xf numFmtId="165" fontId="20" fillId="0" borderId="2" xfId="0" applyNumberFormat="1" applyFont="1" applyBorder="1" applyAlignment="1">
      <alignment horizontal="center" vertical="center"/>
    </xf>
    <xf numFmtId="2" fontId="20" fillId="0" borderId="25" xfId="0" applyNumberFormat="1" applyFont="1" applyBorder="1" applyAlignment="1">
      <alignment horizontal="center" vertical="center" wrapText="1"/>
    </xf>
    <xf numFmtId="1" fontId="20" fillId="0" borderId="25" xfId="0" applyNumberFormat="1" applyFont="1" applyBorder="1" applyAlignment="1">
      <alignment horizontal="center" vertical="center" wrapText="1"/>
    </xf>
    <xf numFmtId="165" fontId="20" fillId="0" borderId="25" xfId="0" applyNumberFormat="1" applyFont="1" applyBorder="1" applyAlignment="1">
      <alignment horizontal="center" vertical="center" wrapText="1"/>
    </xf>
    <xf numFmtId="0" fontId="20" fillId="0" borderId="2" xfId="0" applyFont="1" applyBorder="1" applyAlignment="1">
      <alignment horizontal="left" vertical="center" wrapText="1"/>
    </xf>
    <xf numFmtId="0" fontId="20" fillId="0" borderId="0" xfId="0" applyFont="1" applyAlignment="1">
      <alignment horizontal="left"/>
    </xf>
    <xf numFmtId="0" fontId="20" fillId="0" borderId="2" xfId="3" applyFont="1" applyFill="1" applyBorder="1" applyAlignment="1">
      <alignment horizontal="center" vertical="center" wrapText="1"/>
    </xf>
    <xf numFmtId="2" fontId="42" fillId="0" borderId="93" xfId="0" applyNumberFormat="1" applyFont="1" applyBorder="1" applyAlignment="1">
      <alignment horizontal="center" vertical="center"/>
    </xf>
    <xf numFmtId="2" fontId="42" fillId="0" borderId="96" xfId="0" applyNumberFormat="1" applyFont="1" applyBorder="1" applyAlignment="1">
      <alignment horizontal="center" vertical="center"/>
    </xf>
    <xf numFmtId="2" fontId="42" fillId="0" borderId="68" xfId="0" applyNumberFormat="1" applyFont="1" applyBorder="1" applyAlignment="1">
      <alignment horizontal="center" vertical="center"/>
    </xf>
    <xf numFmtId="2" fontId="42" fillId="0" borderId="97" xfId="0" applyNumberFormat="1" applyFont="1" applyBorder="1" applyAlignment="1">
      <alignment horizontal="center" vertical="center"/>
    </xf>
    <xf numFmtId="2" fontId="42" fillId="0" borderId="98" xfId="0" applyNumberFormat="1" applyFont="1" applyBorder="1" applyAlignment="1">
      <alignment horizontal="center" vertical="center"/>
    </xf>
    <xf numFmtId="2" fontId="42" fillId="0" borderId="102" xfId="0" applyNumberFormat="1" applyFont="1" applyBorder="1" applyAlignment="1">
      <alignment horizontal="center" vertical="center"/>
    </xf>
    <xf numFmtId="0" fontId="5" fillId="0" borderId="2" xfId="0" applyFont="1" applyBorder="1" applyAlignment="1">
      <alignment horizontal="left" vertical="center"/>
    </xf>
    <xf numFmtId="9" fontId="20" fillId="0" borderId="2" xfId="2" applyFont="1" applyBorder="1" applyAlignment="1">
      <alignment vertical="center"/>
    </xf>
    <xf numFmtId="166" fontId="20" fillId="0" borderId="2" xfId="0" applyNumberFormat="1" applyFont="1" applyBorder="1" applyAlignment="1">
      <alignment vertical="center"/>
    </xf>
    <xf numFmtId="0" fontId="20" fillId="0" borderId="1"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9" xfId="0" applyFont="1" applyBorder="1" applyAlignment="1">
      <alignment horizontal="center" vertical="center" wrapText="1"/>
    </xf>
    <xf numFmtId="0" fontId="5" fillId="0" borderId="1" xfId="0" applyFont="1" applyBorder="1" applyAlignment="1">
      <alignment horizontal="center" vertical="center" wrapText="1"/>
    </xf>
    <xf numFmtId="0" fontId="20" fillId="0" borderId="119" xfId="0" applyFont="1" applyBorder="1" applyAlignment="1">
      <alignment horizontal="center" vertical="center" wrapText="1"/>
    </xf>
    <xf numFmtId="2" fontId="42" fillId="0" borderId="2" xfId="0" applyNumberFormat="1" applyFont="1" applyBorder="1" applyAlignment="1">
      <alignment horizontal="center" vertical="center"/>
    </xf>
    <xf numFmtId="0" fontId="42" fillId="0" borderId="84" xfId="0" applyFont="1" applyBorder="1" applyAlignment="1">
      <alignment horizontal="center" vertical="center"/>
    </xf>
    <xf numFmtId="165" fontId="42" fillId="0" borderId="66" xfId="0" applyNumberFormat="1" applyFont="1" applyBorder="1" applyAlignment="1">
      <alignment horizontal="center" vertical="center"/>
    </xf>
    <xf numFmtId="165" fontId="42" fillId="0" borderId="67" xfId="0" applyNumberFormat="1" applyFont="1" applyBorder="1" applyAlignment="1">
      <alignment horizontal="center" vertical="center"/>
    </xf>
    <xf numFmtId="0" fontId="42" fillId="0" borderId="80" xfId="0" applyFont="1" applyBorder="1" applyAlignment="1">
      <alignment horizontal="center" vertical="center"/>
    </xf>
    <xf numFmtId="165" fontId="42" fillId="0" borderId="68" xfId="0" applyNumberFormat="1" applyFont="1" applyBorder="1" applyAlignment="1">
      <alignment horizontal="center" vertical="center"/>
    </xf>
    <xf numFmtId="165" fontId="42" fillId="0" borderId="69" xfId="0" applyNumberFormat="1" applyFont="1" applyBorder="1" applyAlignment="1">
      <alignment horizontal="center" vertical="center"/>
    </xf>
    <xf numFmtId="0" fontId="42" fillId="0" borderId="76" xfId="0" applyFont="1" applyBorder="1" applyAlignment="1">
      <alignment horizontal="center" vertical="center"/>
    </xf>
    <xf numFmtId="165" fontId="42" fillId="0" borderId="70" xfId="0" applyNumberFormat="1" applyFont="1" applyBorder="1" applyAlignment="1">
      <alignment horizontal="center" vertical="center"/>
    </xf>
    <xf numFmtId="165" fontId="42" fillId="0" borderId="71" xfId="0" applyNumberFormat="1" applyFont="1" applyBorder="1" applyAlignment="1">
      <alignment horizontal="center" vertical="center"/>
    </xf>
    <xf numFmtId="166" fontId="20" fillId="0" borderId="2" xfId="0" applyNumberFormat="1" applyFont="1" applyBorder="1" applyAlignment="1">
      <alignment horizontal="center" vertical="center"/>
    </xf>
    <xf numFmtId="0" fontId="20" fillId="0" borderId="2" xfId="0" applyFont="1" applyBorder="1" applyAlignment="1">
      <alignment horizontal="left" vertical="top" wrapText="1"/>
    </xf>
    <xf numFmtId="165" fontId="20" fillId="0" borderId="2" xfId="0" applyNumberFormat="1" applyFont="1" applyBorder="1" applyAlignment="1">
      <alignment horizontal="center" vertical="center" wrapText="1"/>
    </xf>
    <xf numFmtId="0" fontId="39" fillId="0" borderId="0" xfId="13" applyFont="1" applyAlignment="1">
      <alignment vertical="center" wrapText="1"/>
    </xf>
    <xf numFmtId="0" fontId="5" fillId="0" borderId="0" xfId="13" applyFont="1"/>
    <xf numFmtId="0" fontId="39" fillId="0" borderId="0" xfId="13" applyFont="1" applyAlignment="1">
      <alignment vertical="center"/>
    </xf>
    <xf numFmtId="165" fontId="5" fillId="0" borderId="0" xfId="13" applyNumberFormat="1" applyFont="1" applyAlignment="1">
      <alignment horizontal="left"/>
    </xf>
    <xf numFmtId="0" fontId="43" fillId="0" borderId="0" xfId="13"/>
    <xf numFmtId="0" fontId="20" fillId="0" borderId="43" xfId="13" applyFont="1" applyBorder="1" applyAlignment="1">
      <alignment horizontal="center" vertical="center" wrapText="1"/>
    </xf>
    <xf numFmtId="165" fontId="20" fillId="21" borderId="43" xfId="13" applyNumberFormat="1" applyFont="1" applyFill="1" applyBorder="1" applyAlignment="1">
      <alignment horizontal="center" vertical="center" wrapText="1"/>
    </xf>
    <xf numFmtId="3" fontId="20" fillId="0" borderId="43" xfId="13" applyNumberFormat="1" applyFont="1" applyBorder="1" applyAlignment="1">
      <alignment horizontal="center" vertical="center" wrapText="1"/>
    </xf>
    <xf numFmtId="2" fontId="20" fillId="0" borderId="43" xfId="13" applyNumberFormat="1" applyFont="1" applyBorder="1" applyAlignment="1">
      <alignment horizontal="center" vertical="center" wrapText="1"/>
    </xf>
    <xf numFmtId="2" fontId="20" fillId="8" borderId="42" xfId="13" applyNumberFormat="1" applyFont="1" applyFill="1" applyBorder="1" applyAlignment="1">
      <alignment horizontal="center" vertical="center" wrapText="1"/>
    </xf>
    <xf numFmtId="3" fontId="20" fillId="0" borderId="138" xfId="13" applyNumberFormat="1" applyFont="1" applyBorder="1" applyAlignment="1">
      <alignment horizontal="center" vertical="center" wrapText="1"/>
    </xf>
    <xf numFmtId="0" fontId="7" fillId="0" borderId="0" xfId="14" applyAlignment="1">
      <alignment horizontal="left" vertical="top"/>
    </xf>
    <xf numFmtId="0" fontId="5" fillId="0" borderId="0" xfId="13" applyFont="1" applyAlignment="1">
      <alignment wrapText="1"/>
    </xf>
    <xf numFmtId="0" fontId="14" fillId="0" borderId="0" xfId="5" applyFont="1" applyAlignment="1">
      <alignment horizontal="left" vertical="center"/>
    </xf>
    <xf numFmtId="0" fontId="7" fillId="0" borderId="0" xfId="5" applyBorder="1" applyAlignment="1"/>
    <xf numFmtId="0" fontId="44" fillId="0" borderId="0" xfId="5" applyFont="1" applyAlignment="1">
      <alignment horizontal="left" vertical="center"/>
    </xf>
    <xf numFmtId="0" fontId="44" fillId="0" borderId="0" xfId="5" applyFont="1" applyAlignment="1">
      <alignment vertical="center"/>
    </xf>
    <xf numFmtId="0" fontId="20" fillId="19" borderId="2" xfId="0" applyFont="1" applyFill="1" applyBorder="1" applyAlignment="1">
      <alignment vertical="center"/>
    </xf>
    <xf numFmtId="0" fontId="45" fillId="0" borderId="0" xfId="5" applyFont="1" applyAlignment="1">
      <alignment horizontal="left" vertical="center"/>
    </xf>
    <xf numFmtId="3" fontId="20" fillId="0" borderId="0" xfId="0" applyNumberFormat="1" applyFont="1" applyAlignment="1">
      <alignment horizontal="left"/>
    </xf>
    <xf numFmtId="1" fontId="20" fillId="0" borderId="0" xfId="0" applyNumberFormat="1" applyFont="1" applyAlignment="1">
      <alignment horizontal="left"/>
    </xf>
    <xf numFmtId="0" fontId="26" fillId="0" borderId="0" xfId="0" applyFont="1"/>
    <xf numFmtId="0" fontId="45" fillId="0" borderId="2" xfId="5" applyFont="1" applyBorder="1" applyAlignment="1">
      <alignment horizontal="center" vertical="center"/>
    </xf>
    <xf numFmtId="43" fontId="5" fillId="0" borderId="0" xfId="0" applyNumberFormat="1" applyFont="1" applyAlignment="1">
      <alignment vertical="center"/>
    </xf>
    <xf numFmtId="1" fontId="9" fillId="0" borderId="0" xfId="3" applyNumberFormat="1" applyFont="1" applyBorder="1" applyAlignment="1">
      <alignment horizontal="left" vertical="center" wrapText="1"/>
    </xf>
    <xf numFmtId="168" fontId="5" fillId="0" borderId="0" xfId="6" applyNumberFormat="1" applyFont="1" applyBorder="1" applyAlignment="1">
      <alignment horizontal="left" vertical="center" wrapText="1"/>
    </xf>
    <xf numFmtId="43" fontId="5" fillId="0" borderId="0" xfId="6" applyFont="1" applyBorder="1" applyAlignment="1">
      <alignment horizontal="left" vertical="center"/>
    </xf>
    <xf numFmtId="1" fontId="5" fillId="0" borderId="0" xfId="0" applyNumberFormat="1" applyFont="1" applyAlignment="1">
      <alignment vertical="center"/>
    </xf>
    <xf numFmtId="0" fontId="20" fillId="0" borderId="144" xfId="13" applyFont="1" applyBorder="1"/>
    <xf numFmtId="0" fontId="20" fillId="0" borderId="145" xfId="13" applyFont="1" applyBorder="1" applyAlignment="1">
      <alignment horizontal="center" vertical="center" wrapText="1"/>
    </xf>
    <xf numFmtId="165" fontId="20" fillId="21" borderId="145" xfId="13" applyNumberFormat="1" applyFont="1" applyFill="1" applyBorder="1" applyAlignment="1">
      <alignment horizontal="center" vertical="center" wrapText="1"/>
    </xf>
    <xf numFmtId="3" fontId="20" fillId="0" borderId="145" xfId="13" applyNumberFormat="1" applyFont="1" applyBorder="1" applyAlignment="1">
      <alignment horizontal="center" vertical="center" wrapText="1"/>
    </xf>
    <xf numFmtId="2" fontId="20" fillId="0" borderId="145" xfId="13" applyNumberFormat="1" applyFont="1" applyBorder="1" applyAlignment="1">
      <alignment horizontal="center" vertical="center" wrapText="1"/>
    </xf>
    <xf numFmtId="2" fontId="20" fillId="8" borderId="145" xfId="13" applyNumberFormat="1" applyFont="1" applyFill="1" applyBorder="1" applyAlignment="1">
      <alignment horizontal="center" vertical="center" wrapText="1"/>
    </xf>
    <xf numFmtId="3" fontId="20" fillId="0" borderId="146" xfId="13" applyNumberFormat="1" applyFont="1" applyBorder="1" applyAlignment="1">
      <alignment horizontal="center" vertical="center" wrapText="1"/>
    </xf>
    <xf numFmtId="0" fontId="20" fillId="0" borderId="148" xfId="13" applyFont="1" applyBorder="1"/>
    <xf numFmtId="0" fontId="20" fillId="0" borderId="150" xfId="13" applyFont="1" applyBorder="1"/>
    <xf numFmtId="0" fontId="20" fillId="0" borderId="151" xfId="13" applyFont="1" applyBorder="1" applyAlignment="1">
      <alignment horizontal="center" vertical="center" wrapText="1"/>
    </xf>
    <xf numFmtId="165" fontId="20" fillId="21" borderId="151" xfId="13" applyNumberFormat="1" applyFont="1" applyFill="1" applyBorder="1" applyAlignment="1">
      <alignment horizontal="center" vertical="center" wrapText="1"/>
    </xf>
    <xf numFmtId="3" fontId="20" fillId="0" borderId="151" xfId="13" applyNumberFormat="1" applyFont="1" applyBorder="1" applyAlignment="1">
      <alignment horizontal="center" vertical="center" wrapText="1"/>
    </xf>
    <xf numFmtId="2" fontId="20" fillId="0" borderId="151" xfId="13" applyNumberFormat="1" applyFont="1" applyBorder="1" applyAlignment="1">
      <alignment horizontal="center" vertical="center" wrapText="1"/>
    </xf>
    <xf numFmtId="2" fontId="20" fillId="8" borderId="152" xfId="13" applyNumberFormat="1" applyFont="1" applyFill="1" applyBorder="1" applyAlignment="1">
      <alignment horizontal="center" vertical="center" wrapText="1"/>
    </xf>
    <xf numFmtId="3" fontId="20" fillId="0" borderId="153" xfId="13" applyNumberFormat="1" applyFont="1" applyBorder="1" applyAlignment="1">
      <alignment horizontal="center" vertical="center" wrapText="1"/>
    </xf>
    <xf numFmtId="1" fontId="20" fillId="0" borderId="13" xfId="15" applyNumberFormat="1" applyFont="1" applyBorder="1" applyAlignment="1">
      <alignment horizontal="left" vertical="center"/>
    </xf>
    <xf numFmtId="0" fontId="46" fillId="0" borderId="14" xfId="13" applyFont="1" applyBorder="1" applyAlignment="1">
      <alignment horizontal="left" vertical="center"/>
    </xf>
    <xf numFmtId="3" fontId="20" fillId="23" borderId="140" xfId="13" applyNumberFormat="1" applyFont="1" applyFill="1" applyBorder="1" applyAlignment="1">
      <alignment horizontal="left" vertical="center"/>
    </xf>
    <xf numFmtId="3" fontId="20" fillId="23" borderId="140" xfId="15" applyNumberFormat="1" applyFont="1" applyFill="1" applyBorder="1" applyAlignment="1">
      <alignment horizontal="left" vertical="center"/>
    </xf>
    <xf numFmtId="1" fontId="20" fillId="0" borderId="3" xfId="15" applyNumberFormat="1" applyFont="1" applyBorder="1" applyAlignment="1">
      <alignment horizontal="left" vertical="center"/>
    </xf>
    <xf numFmtId="0" fontId="46" fillId="0" borderId="10" xfId="13" applyFont="1" applyBorder="1" applyAlignment="1">
      <alignment horizontal="left" vertical="center"/>
    </xf>
    <xf numFmtId="0" fontId="20" fillId="0" borderId="68" xfId="0" applyFont="1" applyBorder="1" applyAlignment="1">
      <alignment vertical="center"/>
    </xf>
    <xf numFmtId="3" fontId="1" fillId="0" borderId="3" xfId="1" applyNumberFormat="1" applyBorder="1" applyAlignment="1">
      <alignment horizontal="center" vertical="center" wrapText="1"/>
    </xf>
    <xf numFmtId="0" fontId="48" fillId="0" borderId="0" xfId="0" applyFont="1" applyAlignment="1">
      <alignment horizontal="center" vertical="center"/>
    </xf>
    <xf numFmtId="0" fontId="6" fillId="6" borderId="155" xfId="0" applyFont="1" applyFill="1" applyBorder="1" applyAlignment="1">
      <alignment horizontal="center" vertical="center"/>
    </xf>
    <xf numFmtId="0" fontId="6" fillId="10" borderId="155" xfId="0" applyFont="1" applyFill="1" applyBorder="1" applyAlignment="1">
      <alignment horizontal="center" vertical="center" wrapText="1"/>
    </xf>
    <xf numFmtId="0" fontId="31" fillId="27" borderId="156" xfId="0" applyFont="1" applyFill="1" applyBorder="1" applyAlignment="1">
      <alignment horizontal="left" vertical="center"/>
    </xf>
    <xf numFmtId="0" fontId="5" fillId="0" borderId="2" xfId="0" applyFont="1" applyBorder="1" applyAlignment="1">
      <alignment vertical="center" wrapText="1"/>
    </xf>
    <xf numFmtId="3" fontId="20" fillId="0" borderId="0" xfId="0" applyNumberFormat="1" applyFont="1" applyAlignment="1">
      <alignment horizontal="center"/>
    </xf>
    <xf numFmtId="3" fontId="20" fillId="0" borderId="0" xfId="0" applyNumberFormat="1" applyFont="1"/>
    <xf numFmtId="1" fontId="20" fillId="0" borderId="0" xfId="0" applyNumberFormat="1" applyFont="1" applyAlignment="1">
      <alignment horizontal="center" vertical="center" wrapText="1"/>
    </xf>
    <xf numFmtId="0" fontId="20" fillId="0" borderId="5" xfId="0" applyFont="1" applyBorder="1" applyAlignment="1">
      <alignment horizontal="center" vertical="center" wrapText="1"/>
    </xf>
    <xf numFmtId="0" fontId="22" fillId="26" borderId="12" xfId="0" applyFont="1" applyFill="1" applyBorder="1" applyAlignment="1">
      <alignment horizontal="center" vertical="center"/>
    </xf>
    <xf numFmtId="0" fontId="5" fillId="0" borderId="3" xfId="0" applyFont="1" applyBorder="1" applyAlignment="1">
      <alignment horizontal="center" vertical="center"/>
    </xf>
    <xf numFmtId="0" fontId="19" fillId="6" borderId="0" xfId="0" applyFont="1" applyFill="1" applyAlignment="1">
      <alignment horizontal="center" vertical="center" wrapText="1"/>
    </xf>
    <xf numFmtId="165" fontId="1" fillId="0" borderId="25" xfId="7" applyNumberFormat="1" applyFont="1" applyBorder="1" applyAlignment="1">
      <alignment horizontal="center" vertical="center"/>
    </xf>
    <xf numFmtId="165" fontId="20" fillId="0" borderId="25" xfId="7" applyNumberFormat="1" applyFont="1" applyBorder="1" applyAlignment="1">
      <alignment horizontal="center" vertical="center"/>
    </xf>
    <xf numFmtId="165" fontId="5" fillId="0" borderId="25" xfId="7" applyNumberFormat="1" applyFont="1" applyBorder="1" applyAlignment="1">
      <alignment horizontal="center" vertical="center"/>
    </xf>
    <xf numFmtId="165" fontId="1" fillId="0" borderId="3" xfId="7" applyNumberFormat="1" applyFont="1" applyBorder="1" applyAlignment="1">
      <alignment horizontal="center" vertical="center"/>
    </xf>
    <xf numFmtId="165" fontId="20" fillId="0" borderId="3" xfId="7" applyNumberFormat="1" applyFont="1" applyBorder="1" applyAlignment="1">
      <alignment horizontal="center" vertical="center"/>
    </xf>
    <xf numFmtId="165" fontId="5" fillId="0" borderId="3" xfId="7" applyNumberFormat="1" applyFont="1" applyBorder="1" applyAlignment="1">
      <alignment horizontal="center" vertical="center"/>
    </xf>
    <xf numFmtId="164" fontId="5" fillId="0" borderId="2" xfId="2" applyNumberFormat="1" applyFont="1" applyFill="1" applyBorder="1" applyAlignment="1">
      <alignment horizontal="center" vertical="center"/>
    </xf>
    <xf numFmtId="1" fontId="1" fillId="0" borderId="3" xfId="7" applyNumberFormat="1" applyFont="1" applyBorder="1" applyAlignment="1">
      <alignment horizontal="center" vertical="center"/>
    </xf>
    <xf numFmtId="1" fontId="1" fillId="0" borderId="25" xfId="7" applyNumberFormat="1" applyFont="1" applyBorder="1" applyAlignment="1">
      <alignment horizontal="center" vertical="center"/>
    </xf>
    <xf numFmtId="0" fontId="20" fillId="0" borderId="25" xfId="3" applyFont="1" applyFill="1" applyBorder="1" applyAlignment="1">
      <alignment horizontal="center" vertical="center" wrapText="1"/>
    </xf>
    <xf numFmtId="0" fontId="5" fillId="0" borderId="10" xfId="0" applyFont="1" applyBorder="1" applyAlignment="1">
      <alignment horizontal="center" vertical="center"/>
    </xf>
    <xf numFmtId="0" fontId="9" fillId="0" borderId="11" xfId="3" applyFont="1" applyFill="1" applyBorder="1" applyAlignment="1">
      <alignment horizontal="center" vertical="center" wrapText="1"/>
    </xf>
    <xf numFmtId="167" fontId="20" fillId="0" borderId="68" xfId="0" applyNumberFormat="1" applyFont="1" applyBorder="1" applyAlignment="1">
      <alignment horizontal="center" vertical="center" wrapText="1"/>
    </xf>
    <xf numFmtId="0" fontId="5" fillId="7" borderId="68" xfId="0" applyFont="1" applyFill="1" applyBorder="1" applyAlignment="1">
      <alignment horizontal="center" vertical="center"/>
    </xf>
    <xf numFmtId="0" fontId="20" fillId="7" borderId="68" xfId="0" applyFont="1" applyFill="1" applyBorder="1" applyAlignment="1">
      <alignment horizontal="center" vertical="center"/>
    </xf>
    <xf numFmtId="167" fontId="20" fillId="7" borderId="68" xfId="0" applyNumberFormat="1" applyFont="1" applyFill="1" applyBorder="1" applyAlignment="1">
      <alignment horizontal="center" vertical="center" wrapText="1"/>
    </xf>
    <xf numFmtId="0" fontId="20" fillId="13" borderId="68" xfId="0" applyFont="1" applyFill="1" applyBorder="1" applyAlignment="1">
      <alignment horizontal="center" vertical="center"/>
    </xf>
    <xf numFmtId="0" fontId="5" fillId="5" borderId="68" xfId="0" applyFont="1" applyFill="1" applyBorder="1" applyAlignment="1">
      <alignment horizontal="center" vertical="center"/>
    </xf>
    <xf numFmtId="0" fontId="20" fillId="5" borderId="68" xfId="0" applyFont="1" applyFill="1" applyBorder="1" applyAlignment="1">
      <alignment horizontal="center" vertical="center" wrapText="1"/>
    </xf>
    <xf numFmtId="0" fontId="20" fillId="14" borderId="68" xfId="0" applyFont="1" applyFill="1" applyBorder="1" applyAlignment="1">
      <alignment horizontal="center" vertical="center"/>
    </xf>
    <xf numFmtId="0" fontId="5" fillId="3" borderId="68" xfId="0" applyFont="1" applyFill="1" applyBorder="1" applyAlignment="1">
      <alignment horizontal="center" vertical="center"/>
    </xf>
    <xf numFmtId="0" fontId="20" fillId="3" borderId="68" xfId="0" applyFont="1" applyFill="1" applyBorder="1" applyAlignment="1">
      <alignment horizontal="center" vertical="center" wrapText="1"/>
    </xf>
    <xf numFmtId="0" fontId="20" fillId="15" borderId="68" xfId="0" applyFont="1" applyFill="1" applyBorder="1" applyAlignment="1">
      <alignment horizontal="center" vertical="center"/>
    </xf>
    <xf numFmtId="0" fontId="5" fillId="11" borderId="68" xfId="0" applyFont="1" applyFill="1" applyBorder="1" applyAlignment="1">
      <alignment horizontal="center" vertical="center"/>
    </xf>
    <xf numFmtId="0" fontId="1" fillId="11" borderId="68" xfId="0" applyFont="1" applyFill="1" applyBorder="1" applyAlignment="1">
      <alignment horizontal="center" vertical="center"/>
    </xf>
    <xf numFmtId="0" fontId="5" fillId="5" borderId="68" xfId="0" applyFont="1" applyFill="1" applyBorder="1" applyAlignment="1">
      <alignment horizontal="center" vertical="center" wrapText="1"/>
    </xf>
    <xf numFmtId="0" fontId="5" fillId="3" borderId="68" xfId="0" applyFont="1" applyFill="1" applyBorder="1" applyAlignment="1">
      <alignment horizontal="center" vertical="center" wrapText="1"/>
    </xf>
    <xf numFmtId="0" fontId="1" fillId="11" borderId="68" xfId="0" applyFont="1" applyFill="1" applyBorder="1" applyAlignment="1">
      <alignment horizontal="center" vertical="center" wrapText="1"/>
    </xf>
    <xf numFmtId="2" fontId="5" fillId="0" borderId="68" xfId="0" applyNumberFormat="1" applyFont="1" applyBorder="1" applyAlignment="1">
      <alignment horizontal="center" vertical="center"/>
    </xf>
    <xf numFmtId="2" fontId="5" fillId="7" borderId="68" xfId="0" applyNumberFormat="1" applyFont="1" applyFill="1" applyBorder="1" applyAlignment="1">
      <alignment horizontal="center" vertical="center"/>
    </xf>
    <xf numFmtId="0" fontId="20" fillId="5" borderId="68" xfId="0" applyFont="1" applyFill="1" applyBorder="1" applyAlignment="1">
      <alignment horizontal="center" vertical="center"/>
    </xf>
    <xf numFmtId="0" fontId="5" fillId="29" borderId="68" xfId="0" applyFont="1" applyFill="1" applyBorder="1" applyAlignment="1">
      <alignment horizontal="center" vertical="center"/>
    </xf>
    <xf numFmtId="0" fontId="1" fillId="29" borderId="68" xfId="0" applyFont="1" applyFill="1" applyBorder="1" applyAlignment="1">
      <alignment horizontal="center" vertical="center"/>
    </xf>
    <xf numFmtId="0" fontId="5" fillId="29" borderId="68" xfId="0" applyFont="1" applyFill="1" applyBorder="1" applyAlignment="1">
      <alignment horizontal="center" vertical="center" wrapText="1"/>
    </xf>
    <xf numFmtId="2" fontId="20" fillId="0" borderId="68" xfId="0" applyNumberFormat="1" applyFont="1" applyBorder="1" applyAlignment="1">
      <alignment horizontal="center" vertical="center"/>
    </xf>
    <xf numFmtId="2" fontId="20" fillId="7" borderId="68" xfId="0" applyNumberFormat="1" applyFont="1" applyFill="1" applyBorder="1" applyAlignment="1">
      <alignment horizontal="center" vertical="center"/>
    </xf>
    <xf numFmtId="0" fontId="20" fillId="3" borderId="68" xfId="0" applyFont="1" applyFill="1" applyBorder="1" applyAlignment="1">
      <alignment horizontal="center" vertical="center"/>
    </xf>
    <xf numFmtId="0" fontId="20" fillId="29" borderId="68" xfId="0" applyFont="1" applyFill="1" applyBorder="1" applyAlignment="1">
      <alignment horizontal="center" vertical="center"/>
    </xf>
    <xf numFmtId="0" fontId="20" fillId="29" borderId="68" xfId="0" applyFont="1" applyFill="1" applyBorder="1" applyAlignment="1">
      <alignment horizontal="center" vertical="center" wrapText="1"/>
    </xf>
    <xf numFmtId="49" fontId="20" fillId="29" borderId="68" xfId="0" applyNumberFormat="1" applyFont="1" applyFill="1" applyBorder="1" applyAlignment="1">
      <alignment horizontal="center" vertical="center" wrapText="1"/>
    </xf>
    <xf numFmtId="0" fontId="6" fillId="6" borderId="12" xfId="0" applyFont="1" applyFill="1" applyBorder="1" applyAlignment="1">
      <alignment horizontal="center" vertical="center" wrapText="1"/>
    </xf>
    <xf numFmtId="0" fontId="1" fillId="29" borderId="68" xfId="0" applyFont="1" applyFill="1" applyBorder="1" applyAlignment="1">
      <alignment horizontal="center" vertical="center" wrapText="1"/>
    </xf>
    <xf numFmtId="167" fontId="20" fillId="29" borderId="68" xfId="0" applyNumberFormat="1" applyFont="1" applyFill="1" applyBorder="1" applyAlignment="1">
      <alignment horizontal="center" vertical="center"/>
    </xf>
    <xf numFmtId="1" fontId="20" fillId="0" borderId="2" xfId="0" applyNumberFormat="1" applyFont="1" applyBorder="1" applyAlignment="1">
      <alignment horizontal="left" vertical="center"/>
    </xf>
    <xf numFmtId="168" fontId="20" fillId="0" borderId="2" xfId="6" applyNumberFormat="1" applyFont="1" applyBorder="1" applyAlignment="1">
      <alignment horizontal="center" vertical="center" wrapText="1"/>
    </xf>
    <xf numFmtId="0" fontId="20" fillId="0" borderId="68" xfId="0" applyFont="1" applyBorder="1" applyAlignment="1">
      <alignment horizontal="center" vertical="center" wrapText="1"/>
    </xf>
    <xf numFmtId="0" fontId="6" fillId="6" borderId="2" xfId="0" applyFont="1" applyFill="1" applyBorder="1" applyAlignment="1">
      <alignment horizontal="center" vertical="center" wrapText="1"/>
    </xf>
    <xf numFmtId="0" fontId="20" fillId="0" borderId="0" xfId="0" applyFont="1" applyAlignment="1">
      <alignment wrapText="1"/>
    </xf>
    <xf numFmtId="0" fontId="11" fillId="9" borderId="0" xfId="0" applyFont="1" applyFill="1" applyAlignment="1">
      <alignment horizontal="center" vertical="center"/>
    </xf>
    <xf numFmtId="0" fontId="5" fillId="0" borderId="68" xfId="0" applyFont="1" applyBorder="1" applyAlignment="1">
      <alignment horizontal="center" vertical="center"/>
    </xf>
    <xf numFmtId="0" fontId="20" fillId="0" borderId="68" xfId="0" applyFont="1" applyBorder="1" applyAlignment="1">
      <alignment horizontal="center" vertical="center"/>
    </xf>
    <xf numFmtId="0" fontId="5" fillId="0" borderId="0" xfId="0" applyFont="1" applyAlignment="1">
      <alignment horizontal="center"/>
    </xf>
    <xf numFmtId="0" fontId="5" fillId="0" borderId="0" xfId="0" applyFont="1" applyAlignment="1">
      <alignment horizontal="left" vertical="center"/>
    </xf>
    <xf numFmtId="0" fontId="20" fillId="0" borderId="0" xfId="0" applyFont="1" applyAlignment="1">
      <alignment horizontal="left" vertical="center" wrapText="1"/>
    </xf>
    <xf numFmtId="0" fontId="20" fillId="0" borderId="0" xfId="0" applyFont="1" applyAlignment="1">
      <alignment vertical="center" wrapText="1"/>
    </xf>
    <xf numFmtId="0" fontId="5" fillId="0" borderId="2" xfId="0" applyFont="1" applyBorder="1" applyAlignment="1">
      <alignment horizontal="center" vertical="center"/>
    </xf>
    <xf numFmtId="0" fontId="20" fillId="0" borderId="25" xfId="0" applyFont="1" applyBorder="1" applyAlignment="1">
      <alignment horizontal="center" vertical="center" wrapText="1"/>
    </xf>
    <xf numFmtId="0" fontId="20" fillId="0" borderId="158" xfId="0" applyFont="1" applyBorder="1" applyAlignment="1">
      <alignment horizontal="center" vertical="center" wrapText="1"/>
    </xf>
    <xf numFmtId="0" fontId="20" fillId="0" borderId="12"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22" fillId="6" borderId="2" xfId="0" applyFont="1" applyFill="1" applyBorder="1" applyAlignment="1">
      <alignment horizontal="center" vertical="center" wrapText="1"/>
    </xf>
    <xf numFmtId="0" fontId="5" fillId="0" borderId="12" xfId="0" applyFont="1" applyBorder="1" applyAlignment="1">
      <alignment horizontal="center" vertical="center" wrapText="1"/>
    </xf>
    <xf numFmtId="0" fontId="6" fillId="6" borderId="12" xfId="0" applyFont="1" applyFill="1" applyBorder="1" applyAlignment="1">
      <alignment horizontal="center" vertical="center"/>
    </xf>
    <xf numFmtId="0" fontId="18" fillId="6" borderId="2" xfId="0" applyFont="1" applyFill="1" applyBorder="1" applyAlignment="1">
      <alignment horizontal="center" vertical="center" wrapText="1"/>
    </xf>
    <xf numFmtId="0" fontId="5" fillId="0" borderId="0" xfId="0" applyFont="1" applyAlignment="1">
      <alignment horizontal="center" vertical="center"/>
    </xf>
    <xf numFmtId="9" fontId="5" fillId="4" borderId="23" xfId="2" applyFont="1" applyFill="1" applyBorder="1" applyAlignment="1">
      <alignment horizontal="center" vertical="center"/>
    </xf>
    <xf numFmtId="9" fontId="5" fillId="4" borderId="23" xfId="0" applyNumberFormat="1" applyFont="1" applyFill="1" applyBorder="1" applyAlignment="1">
      <alignment horizontal="center"/>
    </xf>
    <xf numFmtId="9" fontId="5" fillId="4" borderId="21" xfId="2" applyFont="1" applyFill="1" applyBorder="1" applyAlignment="1">
      <alignment horizontal="center" vertical="center"/>
    </xf>
    <xf numFmtId="9" fontId="5" fillId="4" borderId="21" xfId="0" applyNumberFormat="1" applyFont="1" applyFill="1" applyBorder="1" applyAlignment="1">
      <alignment horizontal="center"/>
    </xf>
    <xf numFmtId="0" fontId="5" fillId="4" borderId="0" xfId="0" applyFont="1" applyFill="1"/>
    <xf numFmtId="0" fontId="20" fillId="0" borderId="0" xfId="0" applyFont="1" applyAlignment="1">
      <alignment horizontal="center"/>
    </xf>
    <xf numFmtId="0" fontId="22" fillId="10" borderId="12" xfId="0" applyFont="1" applyFill="1" applyBorder="1" applyAlignment="1">
      <alignment horizontal="center" vertical="center" wrapText="1"/>
    </xf>
    <xf numFmtId="0" fontId="22" fillId="6" borderId="140" xfId="0" applyFont="1" applyFill="1" applyBorder="1" applyAlignment="1">
      <alignment horizontal="center" vertical="center" wrapText="1"/>
    </xf>
    <xf numFmtId="0" fontId="22" fillId="6" borderId="11" xfId="0" applyFont="1" applyFill="1" applyBorder="1" applyAlignment="1">
      <alignment horizontal="center" vertical="center" wrapText="1"/>
    </xf>
    <xf numFmtId="3" fontId="12" fillId="0" borderId="0" xfId="0" applyNumberFormat="1" applyFont="1" applyAlignment="1">
      <alignment horizontal="center"/>
    </xf>
    <xf numFmtId="1" fontId="12" fillId="0" borderId="0" xfId="0" applyNumberFormat="1" applyFont="1" applyAlignment="1">
      <alignment horizontal="center" vertical="center" wrapText="1"/>
    </xf>
    <xf numFmtId="0" fontId="22" fillId="6" borderId="12" xfId="0" applyFont="1" applyFill="1" applyBorder="1" applyAlignment="1">
      <alignment horizontal="center" vertical="center" wrapText="1"/>
    </xf>
    <xf numFmtId="0" fontId="20" fillId="0" borderId="57" xfId="0" applyFont="1" applyBorder="1" applyAlignment="1">
      <alignment horizontal="center" vertical="center" wrapText="1"/>
    </xf>
    <xf numFmtId="0" fontId="20" fillId="0" borderId="25" xfId="0" applyFont="1" applyBorder="1" applyAlignment="1">
      <alignment horizontal="center" vertical="center"/>
    </xf>
    <xf numFmtId="0" fontId="20" fillId="24" borderId="0" xfId="0" applyFont="1" applyFill="1" applyAlignment="1">
      <alignment vertical="center"/>
    </xf>
    <xf numFmtId="0" fontId="20" fillId="24" borderId="139" xfId="0" applyFont="1" applyFill="1" applyBorder="1" applyAlignment="1">
      <alignment vertical="center"/>
    </xf>
    <xf numFmtId="0" fontId="12" fillId="0" borderId="0" xfId="0" applyFont="1" applyAlignment="1">
      <alignment wrapText="1"/>
    </xf>
    <xf numFmtId="0" fontId="20" fillId="0" borderId="0" xfId="0" applyFont="1" applyAlignment="1">
      <alignment vertical="center"/>
    </xf>
    <xf numFmtId="0" fontId="12" fillId="0" borderId="2" xfId="0" applyFont="1" applyBorder="1" applyAlignment="1">
      <alignment vertical="center"/>
    </xf>
    <xf numFmtId="1" fontId="12" fillId="0" borderId="2" xfId="0" applyNumberFormat="1" applyFont="1" applyBorder="1" applyAlignment="1">
      <alignment horizontal="center"/>
    </xf>
    <xf numFmtId="0" fontId="22" fillId="18" borderId="38" xfId="13" applyFont="1" applyFill="1" applyBorder="1" applyAlignment="1">
      <alignment horizontal="center" vertical="center" wrapText="1"/>
    </xf>
    <xf numFmtId="0" fontId="20" fillId="0" borderId="0" xfId="13" applyFont="1" applyAlignment="1">
      <alignment vertical="center"/>
    </xf>
    <xf numFmtId="0" fontId="20" fillId="0" borderId="0" xfId="13" applyFont="1" applyAlignment="1">
      <alignment vertical="center" wrapText="1"/>
    </xf>
    <xf numFmtId="165" fontId="20" fillId="0" borderId="0" xfId="13" applyNumberFormat="1" applyFont="1" applyAlignment="1">
      <alignment horizontal="left" vertical="center" wrapText="1"/>
    </xf>
    <xf numFmtId="167" fontId="20" fillId="0" borderId="0" xfId="13" applyNumberFormat="1" applyFont="1" applyAlignment="1">
      <alignment horizontal="left" vertical="center" wrapText="1"/>
    </xf>
    <xf numFmtId="0" fontId="20" fillId="0" borderId="0" xfId="13" applyFont="1" applyAlignment="1">
      <alignment horizontal="left" vertical="center" wrapText="1"/>
    </xf>
    <xf numFmtId="2" fontId="20" fillId="0" borderId="0" xfId="13" applyNumberFormat="1" applyFont="1" applyAlignment="1">
      <alignment horizontal="left" vertical="center" wrapText="1"/>
    </xf>
    <xf numFmtId="165" fontId="20" fillId="0" borderId="0" xfId="13" applyNumberFormat="1" applyFont="1" applyAlignment="1">
      <alignment horizontal="left" vertical="top" wrapText="1"/>
    </xf>
    <xf numFmtId="0" fontId="20" fillId="0" borderId="0" xfId="13" applyFont="1" applyAlignment="1">
      <alignment vertical="top" wrapText="1"/>
    </xf>
    <xf numFmtId="0" fontId="22" fillId="18" borderId="38" xfId="13" applyFont="1" applyFill="1" applyBorder="1" applyAlignment="1">
      <alignment horizontal="left" vertical="center" wrapText="1"/>
    </xf>
    <xf numFmtId="0" fontId="22" fillId="18" borderId="12" xfId="13" applyFont="1" applyFill="1" applyBorder="1" applyAlignment="1">
      <alignment horizontal="center" vertical="center" wrapText="1"/>
    </xf>
    <xf numFmtId="0" fontId="22" fillId="22" borderId="140" xfId="13" applyFont="1" applyFill="1" applyBorder="1" applyAlignment="1">
      <alignment vertical="center" wrapText="1"/>
    </xf>
    <xf numFmtId="2" fontId="12" fillId="0" borderId="25" xfId="0" applyNumberFormat="1" applyFont="1" applyBorder="1" applyAlignment="1">
      <alignment horizontal="center" vertical="center" wrapText="1"/>
    </xf>
    <xf numFmtId="0" fontId="12" fillId="0" borderId="25" xfId="0" applyFont="1" applyBorder="1" applyAlignment="1">
      <alignment horizontal="center" vertical="center" wrapText="1"/>
    </xf>
    <xf numFmtId="1" fontId="12" fillId="0" borderId="25" xfId="0" applyNumberFormat="1" applyFont="1" applyBorder="1" applyAlignment="1">
      <alignment horizontal="center" vertical="center" wrapText="1"/>
    </xf>
    <xf numFmtId="0" fontId="20" fillId="0" borderId="2" xfId="0" applyFont="1" applyBorder="1" applyAlignment="1">
      <alignment horizontal="center" vertical="center"/>
    </xf>
    <xf numFmtId="170" fontId="20" fillId="0" borderId="2" xfId="0" applyNumberFormat="1" applyFont="1" applyBorder="1" applyAlignment="1">
      <alignment vertical="center"/>
    </xf>
    <xf numFmtId="0" fontId="20" fillId="0" borderId="0" xfId="0" applyFont="1" applyAlignment="1">
      <alignment horizontal="left" vertical="center"/>
    </xf>
    <xf numFmtId="0" fontId="6" fillId="0" borderId="0" xfId="0" applyFont="1" applyAlignment="1">
      <alignment wrapText="1"/>
    </xf>
    <xf numFmtId="0" fontId="6" fillId="0" borderId="0" xfId="0" applyFont="1" applyAlignment="1">
      <alignment horizontal="left"/>
    </xf>
    <xf numFmtId="0" fontId="6" fillId="0" borderId="0" xfId="0" applyFont="1" applyAlignment="1">
      <alignment horizontal="center"/>
    </xf>
    <xf numFmtId="1" fontId="21" fillId="0" borderId="2" xfId="0" applyNumberFormat="1" applyFont="1" applyBorder="1" applyAlignment="1">
      <alignment horizontal="center" vertical="center"/>
    </xf>
    <xf numFmtId="1" fontId="21" fillId="0" borderId="31" xfId="0" applyNumberFormat="1" applyFont="1" applyBorder="1" applyAlignment="1">
      <alignment horizontal="center" vertical="center"/>
    </xf>
    <xf numFmtId="0" fontId="21" fillId="0" borderId="108" xfId="0" applyFont="1" applyBorder="1" applyAlignment="1">
      <alignment horizontal="center" vertical="center"/>
    </xf>
    <xf numFmtId="0" fontId="21" fillId="0" borderId="109" xfId="0" applyFont="1" applyBorder="1" applyAlignment="1">
      <alignment horizontal="center" vertical="center"/>
    </xf>
    <xf numFmtId="1" fontId="42" fillId="0" borderId="1" xfId="0" applyNumberFormat="1" applyFont="1" applyBorder="1" applyAlignment="1">
      <alignment horizontal="center" vertical="center"/>
    </xf>
    <xf numFmtId="0" fontId="21" fillId="0" borderId="110" xfId="0" applyFont="1" applyBorder="1" applyAlignment="1">
      <alignment horizontal="center" vertical="center"/>
    </xf>
    <xf numFmtId="1" fontId="42" fillId="0" borderId="2" xfId="0" applyNumberFormat="1" applyFont="1" applyBorder="1" applyAlignment="1">
      <alignment horizontal="center" vertical="center"/>
    </xf>
    <xf numFmtId="0" fontId="21" fillId="0" borderId="111" xfId="0" applyFont="1" applyBorder="1" applyAlignment="1">
      <alignment horizontal="center" vertical="center"/>
    </xf>
    <xf numFmtId="1" fontId="42" fillId="0" borderId="31" xfId="0" applyNumberFormat="1" applyFont="1" applyBorder="1" applyAlignment="1">
      <alignment horizontal="center" vertical="center"/>
    </xf>
    <xf numFmtId="1" fontId="42" fillId="0" borderId="5" xfId="0" applyNumberFormat="1" applyFont="1" applyBorder="1" applyAlignment="1">
      <alignment horizontal="center" vertical="center"/>
    </xf>
    <xf numFmtId="1" fontId="42" fillId="0" borderId="7" xfId="0" applyNumberFormat="1" applyFont="1" applyBorder="1" applyAlignment="1">
      <alignment horizontal="center" vertical="center"/>
    </xf>
    <xf numFmtId="1" fontId="42" fillId="0" borderId="9" xfId="0" applyNumberFormat="1" applyFont="1" applyBorder="1" applyAlignment="1">
      <alignment horizontal="center" vertical="center"/>
    </xf>
    <xf numFmtId="1" fontId="21" fillId="0" borderId="17" xfId="0" applyNumberFormat="1" applyFont="1" applyBorder="1" applyAlignment="1">
      <alignment horizontal="center" vertical="center"/>
    </xf>
    <xf numFmtId="1" fontId="21" fillId="0" borderId="107" xfId="0" applyNumberFormat="1" applyFont="1" applyBorder="1" applyAlignment="1">
      <alignment horizontal="center" vertical="center"/>
    </xf>
    <xf numFmtId="1" fontId="21" fillId="0" borderId="7" xfId="0" applyNumberFormat="1" applyFont="1" applyBorder="1" applyAlignment="1">
      <alignment horizontal="center" vertical="center"/>
    </xf>
    <xf numFmtId="1" fontId="21" fillId="0" borderId="9" xfId="0" applyNumberFormat="1" applyFont="1" applyBorder="1" applyAlignment="1">
      <alignment horizontal="center" vertical="center"/>
    </xf>
    <xf numFmtId="2" fontId="21" fillId="0" borderId="4" xfId="0" applyNumberFormat="1" applyFont="1" applyBorder="1" applyAlignment="1">
      <alignment horizontal="center" vertical="center"/>
    </xf>
    <xf numFmtId="2" fontId="21" fillId="0" borderId="6" xfId="0" applyNumberFormat="1" applyFont="1" applyBorder="1" applyAlignment="1">
      <alignment horizontal="center" vertical="center"/>
    </xf>
    <xf numFmtId="2" fontId="21" fillId="0" borderId="118" xfId="0" applyNumberFormat="1" applyFont="1" applyBorder="1" applyAlignment="1">
      <alignment horizontal="center" vertical="center"/>
    </xf>
    <xf numFmtId="2" fontId="21" fillId="0" borderId="12" xfId="0" applyNumberFormat="1" applyFont="1" applyBorder="1" applyAlignment="1">
      <alignment horizontal="center" vertical="center"/>
    </xf>
    <xf numFmtId="2" fontId="21" fillId="0" borderId="119" xfId="0" applyNumberFormat="1" applyFont="1" applyBorder="1" applyAlignment="1">
      <alignment horizontal="center" vertical="center"/>
    </xf>
    <xf numFmtId="2" fontId="21" fillId="0" borderId="8" xfId="0" applyNumberFormat="1" applyFont="1" applyBorder="1" applyAlignment="1">
      <alignment horizontal="center" vertical="center"/>
    </xf>
    <xf numFmtId="0" fontId="18" fillId="10" borderId="16" xfId="0" applyFont="1" applyFill="1" applyBorder="1" applyAlignment="1">
      <alignment horizontal="center" vertical="center" wrapText="1"/>
    </xf>
    <xf numFmtId="0" fontId="18" fillId="10" borderId="16" xfId="0" applyFont="1" applyFill="1" applyBorder="1" applyAlignment="1">
      <alignment horizontal="center" vertical="center"/>
    </xf>
    <xf numFmtId="0" fontId="18" fillId="10" borderId="166"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6" xfId="0" applyFont="1" applyFill="1" applyBorder="1" applyAlignment="1">
      <alignment horizontal="center" vertical="center"/>
    </xf>
    <xf numFmtId="0" fontId="22" fillId="10" borderId="104" xfId="0" applyFont="1" applyFill="1" applyBorder="1" applyAlignment="1">
      <alignment horizontal="center" vertical="center"/>
    </xf>
    <xf numFmtId="0" fontId="7" fillId="0" borderId="0" xfId="5" applyFill="1" applyBorder="1" applyAlignment="1">
      <alignment vertical="center"/>
    </xf>
    <xf numFmtId="167" fontId="5" fillId="0" borderId="0" xfId="0" applyNumberFormat="1" applyFont="1" applyAlignment="1">
      <alignment vertical="center" wrapText="1"/>
    </xf>
    <xf numFmtId="0" fontId="17" fillId="0" borderId="19" xfId="0" applyFont="1" applyBorder="1" applyAlignment="1">
      <alignment horizontal="left" vertical="center"/>
    </xf>
    <xf numFmtId="0" fontId="11" fillId="9" borderId="2" xfId="1" applyFont="1" applyFill="1" applyBorder="1" applyAlignment="1">
      <alignment horizontal="center" vertical="center" wrapText="1"/>
    </xf>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center" vertical="center" wrapText="1"/>
    </xf>
    <xf numFmtId="0" fontId="5" fillId="0" borderId="0" xfId="0" applyFont="1" applyAlignment="1">
      <alignment horizontal="left" vertical="center"/>
    </xf>
    <xf numFmtId="0" fontId="11" fillId="9" borderId="0" xfId="0" applyFont="1" applyFill="1" applyAlignment="1">
      <alignment horizontal="center" vertical="center"/>
    </xf>
    <xf numFmtId="0" fontId="5" fillId="0" borderId="0" xfId="0" applyFont="1" applyAlignment="1">
      <alignment horizontal="left"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5" fillId="0" borderId="2" xfId="0" applyFont="1" applyBorder="1" applyAlignment="1">
      <alignment horizontal="center" vertical="center"/>
    </xf>
    <xf numFmtId="0" fontId="11" fillId="9" borderId="19" xfId="0" applyFont="1" applyFill="1" applyBorder="1" applyAlignment="1">
      <alignment horizontal="center" vertical="center"/>
    </xf>
    <xf numFmtId="0" fontId="11" fillId="9" borderId="141" xfId="0" applyFont="1" applyFill="1" applyBorder="1" applyAlignment="1">
      <alignment horizontal="center" vertical="center"/>
    </xf>
    <xf numFmtId="0" fontId="20" fillId="0" borderId="68" xfId="0" applyFont="1" applyBorder="1" applyAlignment="1">
      <alignment horizontal="center" vertical="center"/>
    </xf>
    <xf numFmtId="0" fontId="5" fillId="0" borderId="0" xfId="0" applyFont="1" applyAlignment="1">
      <alignment horizontal="center"/>
    </xf>
    <xf numFmtId="167" fontId="5" fillId="0" borderId="2" xfId="0" applyNumberFormat="1" applyFont="1" applyBorder="1" applyAlignment="1">
      <alignment horizontal="center" vertical="center" wrapText="1"/>
    </xf>
    <xf numFmtId="0" fontId="20" fillId="0" borderId="68" xfId="0" applyFont="1" applyBorder="1" applyAlignment="1">
      <alignment horizontal="center" vertical="center" wrapText="1"/>
    </xf>
    <xf numFmtId="0" fontId="5" fillId="0" borderId="68" xfId="0" applyFont="1" applyBorder="1" applyAlignment="1">
      <alignment horizontal="center" vertical="center"/>
    </xf>
    <xf numFmtId="0" fontId="5" fillId="0" borderId="68" xfId="0" applyFont="1" applyBorder="1" applyAlignment="1">
      <alignment horizontal="center" vertical="center" wrapText="1"/>
    </xf>
    <xf numFmtId="0" fontId="1" fillId="0" borderId="68" xfId="0" applyFont="1" applyBorder="1" applyAlignment="1">
      <alignment horizontal="center" vertical="center" wrapText="1"/>
    </xf>
    <xf numFmtId="0" fontId="11" fillId="9" borderId="2" xfId="0" applyFont="1" applyFill="1" applyBorder="1" applyAlignment="1">
      <alignment horizontal="center" vertical="center" wrapText="1"/>
    </xf>
    <xf numFmtId="167" fontId="20" fillId="0" borderId="2" xfId="0" applyNumberFormat="1" applyFont="1" applyBorder="1" applyAlignment="1">
      <alignment horizontal="center" vertical="center" wrapText="1"/>
    </xf>
    <xf numFmtId="0" fontId="20" fillId="0" borderId="160" xfId="0" applyFont="1" applyBorder="1" applyAlignment="1">
      <alignment horizontal="center" vertical="center"/>
    </xf>
    <xf numFmtId="0" fontId="20" fillId="0" borderId="161" xfId="0" applyFont="1" applyBorder="1" applyAlignment="1">
      <alignment horizontal="center" vertical="center"/>
    </xf>
    <xf numFmtId="0" fontId="20" fillId="0" borderId="162" xfId="0" applyFont="1" applyBorder="1" applyAlignment="1">
      <alignment horizontal="center" vertical="center"/>
    </xf>
    <xf numFmtId="0" fontId="20" fillId="0" borderId="15" xfId="0" applyFont="1" applyBorder="1" applyAlignment="1">
      <alignment horizontal="left" vertical="center"/>
    </xf>
    <xf numFmtId="0" fontId="20" fillId="0" borderId="139" xfId="0" applyFont="1" applyBorder="1" applyAlignment="1">
      <alignment horizontal="left" vertical="center"/>
    </xf>
    <xf numFmtId="0" fontId="20" fillId="0" borderId="20" xfId="0" applyFont="1" applyBorder="1" applyAlignment="1">
      <alignment horizontal="left" vertical="center"/>
    </xf>
    <xf numFmtId="0" fontId="20" fillId="0" borderId="140" xfId="0" applyFont="1" applyBorder="1" applyAlignment="1">
      <alignment horizontal="center" vertical="center"/>
    </xf>
    <xf numFmtId="0" fontId="6" fillId="6" borderId="2" xfId="0" applyFont="1" applyFill="1" applyBorder="1" applyAlignment="1">
      <alignment horizontal="center" vertical="center" wrapText="1"/>
    </xf>
    <xf numFmtId="0" fontId="5" fillId="0" borderId="15" xfId="0" applyFont="1" applyBorder="1" applyAlignment="1">
      <alignment horizontal="left" vertical="center"/>
    </xf>
    <xf numFmtId="0" fontId="5" fillId="0" borderId="139" xfId="0" applyFont="1" applyBorder="1" applyAlignment="1">
      <alignment horizontal="left" vertical="center"/>
    </xf>
    <xf numFmtId="0" fontId="5" fillId="0" borderId="20" xfId="0" applyFont="1" applyBorder="1" applyAlignment="1">
      <alignment horizontal="left" vertical="center"/>
    </xf>
    <xf numFmtId="0" fontId="46" fillId="0" borderId="140" xfId="0" applyFont="1" applyBorder="1" applyAlignment="1">
      <alignment horizontal="center" vertical="center"/>
    </xf>
    <xf numFmtId="0" fontId="1" fillId="0" borderId="38"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2" xfId="0" applyFont="1" applyBorder="1" applyAlignment="1">
      <alignment horizontal="center" vertical="center" wrapText="1"/>
    </xf>
    <xf numFmtId="0" fontId="20" fillId="0" borderId="50"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11" fillId="9" borderId="33" xfId="0" applyFont="1" applyFill="1" applyBorder="1" applyAlignment="1">
      <alignment horizontal="center" vertical="center" wrapText="1"/>
    </xf>
    <xf numFmtId="0" fontId="11" fillId="9" borderId="34" xfId="0" applyFont="1" applyFill="1" applyBorder="1" applyAlignment="1">
      <alignment horizontal="center" vertical="center" wrapText="1"/>
    </xf>
    <xf numFmtId="0" fontId="11" fillId="9" borderId="35" xfId="0" applyFont="1" applyFill="1" applyBorder="1" applyAlignment="1">
      <alignment horizontal="center" vertical="center" wrapText="1"/>
    </xf>
    <xf numFmtId="0" fontId="49" fillId="9" borderId="163" xfId="0" applyFont="1" applyFill="1" applyBorder="1" applyAlignment="1">
      <alignment horizontal="center" vertical="center" wrapText="1"/>
    </xf>
    <xf numFmtId="0" fontId="49" fillId="9" borderId="132" xfId="0" applyFont="1" applyFill="1" applyBorder="1" applyAlignment="1">
      <alignment horizontal="center" vertical="center" wrapText="1"/>
    </xf>
    <xf numFmtId="0" fontId="49" fillId="9" borderId="108" xfId="0" applyFont="1" applyFill="1" applyBorder="1" applyAlignment="1">
      <alignment horizontal="center" vertical="center" wrapText="1"/>
    </xf>
    <xf numFmtId="0" fontId="5" fillId="0" borderId="24" xfId="0" applyFont="1" applyBorder="1" applyAlignment="1">
      <alignment horizontal="center" vertical="center" wrapText="1"/>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61" xfId="0" applyFont="1" applyBorder="1" applyAlignment="1">
      <alignment horizontal="center" vertical="center" wrapText="1"/>
    </xf>
    <xf numFmtId="0" fontId="5" fillId="0" borderId="39" xfId="0" applyFont="1" applyBorder="1" applyAlignment="1">
      <alignment horizontal="center" vertical="center"/>
    </xf>
    <xf numFmtId="0" fontId="5" fillId="0" borderId="41" xfId="0" applyFont="1" applyBorder="1" applyAlignment="1">
      <alignment horizontal="center" vertical="center"/>
    </xf>
    <xf numFmtId="0" fontId="5" fillId="0" borderId="37" xfId="0" applyFont="1" applyBorder="1" applyAlignment="1">
      <alignment horizontal="center" vertical="center"/>
    </xf>
    <xf numFmtId="0" fontId="5" fillId="0" borderId="32" xfId="0" applyFont="1" applyBorder="1" applyAlignment="1">
      <alignment horizontal="center" vertical="center"/>
    </xf>
    <xf numFmtId="0" fontId="5" fillId="0" borderId="62" xfId="0" applyFont="1" applyBorder="1" applyAlignment="1">
      <alignment horizontal="center" vertical="center" wrapText="1"/>
    </xf>
    <xf numFmtId="0" fontId="5" fillId="0" borderId="103" xfId="0" applyFont="1" applyBorder="1" applyAlignment="1">
      <alignment horizontal="center" vertical="center" wrapText="1"/>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27" fillId="25" borderId="2" xfId="0" applyFont="1" applyFill="1" applyBorder="1" applyAlignment="1">
      <alignment horizontal="center" vertical="center"/>
    </xf>
    <xf numFmtId="0" fontId="27" fillId="25" borderId="0" xfId="0" applyFont="1" applyFill="1" applyAlignment="1">
      <alignment horizontal="center" vertical="center"/>
    </xf>
    <xf numFmtId="0" fontId="20" fillId="0" borderId="25" xfId="0" applyFont="1" applyBorder="1" applyAlignment="1">
      <alignment horizontal="center" vertical="center"/>
    </xf>
    <xf numFmtId="0" fontId="47" fillId="0" borderId="25" xfId="0" applyFont="1" applyBorder="1" applyAlignment="1">
      <alignment horizontal="center" vertical="center"/>
    </xf>
    <xf numFmtId="0" fontId="20" fillId="0" borderId="25" xfId="0" applyFont="1" applyBorder="1" applyAlignment="1">
      <alignment horizontal="center" vertical="center" wrapText="1"/>
    </xf>
    <xf numFmtId="0" fontId="20" fillId="0" borderId="0" xfId="0" applyFont="1"/>
    <xf numFmtId="0" fontId="20" fillId="0" borderId="0" xfId="0" applyFont="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20" fillId="28" borderId="25" xfId="0" applyFont="1" applyFill="1" applyBorder="1" applyAlignment="1">
      <alignment horizontal="center" vertical="center" wrapText="1"/>
    </xf>
    <xf numFmtId="0" fontId="39" fillId="0" borderId="25" xfId="0" applyFont="1" applyBorder="1" applyAlignment="1">
      <alignment horizontal="center" vertical="center" wrapText="1"/>
    </xf>
    <xf numFmtId="0" fontId="20" fillId="0" borderId="158" xfId="0" applyFont="1" applyBorder="1" applyAlignment="1">
      <alignment horizontal="center" vertical="center"/>
    </xf>
    <xf numFmtId="0" fontId="39" fillId="0" borderId="158" xfId="0" applyFont="1" applyBorder="1" applyAlignment="1">
      <alignment horizontal="center" vertical="center" wrapText="1"/>
    </xf>
    <xf numFmtId="0" fontId="20" fillId="0" borderId="158" xfId="0" applyFont="1" applyBorder="1" applyAlignment="1">
      <alignment horizontal="center" vertical="center" wrapText="1"/>
    </xf>
    <xf numFmtId="0" fontId="20" fillId="0" borderId="157" xfId="0" applyFont="1" applyBorder="1" applyAlignment="1">
      <alignment horizontal="center" vertical="center" wrapText="1"/>
    </xf>
    <xf numFmtId="0" fontId="39" fillId="0" borderId="159" xfId="0" applyFont="1" applyBorder="1" applyAlignment="1">
      <alignment horizontal="center" vertical="center" wrapText="1"/>
    </xf>
    <xf numFmtId="0" fontId="0" fillId="0" borderId="2" xfId="0" applyBorder="1" applyAlignment="1">
      <alignment horizontal="center" vertical="center" wrapText="1"/>
    </xf>
    <xf numFmtId="0" fontId="12" fillId="0" borderId="2"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27" fillId="12" borderId="164" xfId="0" applyFont="1" applyFill="1" applyBorder="1" applyAlignment="1">
      <alignment horizontal="center" vertical="center"/>
    </xf>
    <xf numFmtId="0" fontId="27" fillId="12" borderId="165" xfId="0" applyFont="1" applyFill="1" applyBorder="1" applyAlignment="1">
      <alignment horizontal="center" vertical="center"/>
    </xf>
    <xf numFmtId="0" fontId="11" fillId="9" borderId="18"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20" fillId="0" borderId="147" xfId="0" applyFont="1" applyBorder="1" applyAlignment="1">
      <alignment horizontal="center" vertical="top" wrapText="1"/>
    </xf>
    <xf numFmtId="0" fontId="20" fillId="0" borderId="149" xfId="0" applyFont="1" applyBorder="1" applyAlignment="1">
      <alignment horizontal="center" vertical="top" wrapText="1"/>
    </xf>
    <xf numFmtId="0" fontId="20" fillId="0" borderId="154" xfId="0" applyFont="1" applyBorder="1" applyAlignment="1">
      <alignment horizontal="center" vertical="top" wrapText="1"/>
    </xf>
    <xf numFmtId="0" fontId="22" fillId="18" borderId="142" xfId="13" applyFont="1" applyFill="1" applyBorder="1" applyAlignment="1">
      <alignment horizontal="center" vertical="center" wrapText="1"/>
    </xf>
    <xf numFmtId="0" fontId="22" fillId="18" borderId="143" xfId="13" applyFont="1" applyFill="1" applyBorder="1" applyAlignment="1">
      <alignment horizontal="center" vertical="center" wrapText="1"/>
    </xf>
    <xf numFmtId="0" fontId="22" fillId="18" borderId="12" xfId="13" applyFont="1" applyFill="1" applyBorder="1" applyAlignment="1">
      <alignment horizontal="center" vertical="center" wrapText="1"/>
    </xf>
    <xf numFmtId="0" fontId="12" fillId="0" borderId="15" xfId="0" applyFont="1" applyBorder="1"/>
    <xf numFmtId="0" fontId="11" fillId="20" borderId="137" xfId="13" applyFont="1" applyFill="1" applyBorder="1" applyAlignment="1">
      <alignment horizontal="center" vertical="center" wrapText="1"/>
    </xf>
    <xf numFmtId="0" fontId="11" fillId="20" borderId="0" xfId="13" applyFont="1" applyFill="1" applyAlignment="1">
      <alignment horizontal="center" vertical="center" wrapText="1"/>
    </xf>
    <xf numFmtId="0" fontId="11" fillId="9" borderId="13" xfId="0" applyFont="1" applyFill="1" applyBorder="1" applyAlignment="1">
      <alignment horizontal="center" vertical="center" wrapText="1"/>
    </xf>
    <xf numFmtId="0" fontId="11" fillId="9" borderId="14" xfId="0" applyFont="1" applyFill="1" applyBorder="1" applyAlignment="1">
      <alignment horizontal="center" vertical="center" wrapText="1"/>
    </xf>
    <xf numFmtId="0" fontId="18" fillId="6" borderId="64" xfId="0" applyFont="1" applyFill="1" applyBorder="1" applyAlignment="1">
      <alignment horizontal="center" vertical="center" wrapText="1"/>
    </xf>
    <xf numFmtId="0" fontId="18" fillId="6" borderId="65" xfId="0" applyFont="1" applyFill="1" applyBorder="1" applyAlignment="1">
      <alignment horizontal="center" vertical="center" wrapText="1"/>
    </xf>
    <xf numFmtId="0" fontId="20" fillId="0" borderId="12"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11" fillId="9" borderId="2" xfId="0" applyFont="1" applyFill="1" applyBorder="1" applyAlignment="1">
      <alignment horizontal="center" vertical="center"/>
    </xf>
    <xf numFmtId="0" fontId="22" fillId="6" borderId="2" xfId="0" applyFont="1" applyFill="1" applyBorder="1" applyAlignment="1">
      <alignment horizontal="center" vertical="center" wrapText="1"/>
    </xf>
    <xf numFmtId="0" fontId="12" fillId="0" borderId="25" xfId="0" applyFont="1" applyBorder="1" applyAlignment="1">
      <alignment horizontal="center" vertical="center" wrapText="1"/>
    </xf>
    <xf numFmtId="0" fontId="11" fillId="9" borderId="13" xfId="0" applyFont="1" applyFill="1" applyBorder="1" applyAlignment="1">
      <alignment horizontal="center" vertical="center"/>
    </xf>
    <xf numFmtId="0" fontId="11" fillId="9" borderId="14"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40" fillId="17" borderId="0" xfId="0" applyFont="1" applyFill="1" applyAlignment="1">
      <alignment horizontal="center" vertical="center"/>
    </xf>
    <xf numFmtId="0" fontId="0" fillId="0" borderId="0" xfId="0"/>
    <xf numFmtId="0" fontId="51" fillId="17" borderId="0" xfId="0" applyFont="1" applyFill="1" applyAlignment="1">
      <alignment horizontal="center" vertical="center"/>
    </xf>
    <xf numFmtId="0" fontId="52" fillId="0" borderId="0" xfId="0" applyFont="1"/>
    <xf numFmtId="0" fontId="12" fillId="0" borderId="132" xfId="0" applyFont="1" applyBorder="1" applyAlignment="1">
      <alignment wrapText="1"/>
    </xf>
    <xf numFmtId="0" fontId="21" fillId="0" borderId="4"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63"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92"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 xfId="0" applyFont="1" applyBorder="1" applyAlignment="1">
      <alignment horizontal="center" vertical="center" wrapText="1"/>
    </xf>
    <xf numFmtId="0" fontId="34" fillId="0" borderId="3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62" xfId="0" applyFont="1" applyBorder="1" applyAlignment="1">
      <alignment horizontal="center" vertical="center" wrapText="1"/>
    </xf>
    <xf numFmtId="0" fontId="21" fillId="0" borderId="103" xfId="0" applyFont="1" applyBorder="1" applyAlignment="1">
      <alignment horizontal="center" vertical="center" wrapText="1"/>
    </xf>
    <xf numFmtId="0" fontId="21" fillId="0" borderId="105" xfId="0" applyFont="1" applyBorder="1" applyAlignment="1">
      <alignment horizontal="center" vertical="center" wrapText="1"/>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1" xfId="0" applyFont="1" applyBorder="1" applyAlignment="1">
      <alignment horizontal="center" vertical="center"/>
    </xf>
    <xf numFmtId="0" fontId="21" fillId="0" borderId="17"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63" xfId="0" applyFont="1" applyBorder="1" applyAlignment="1">
      <alignment horizontal="center" vertical="center"/>
    </xf>
    <xf numFmtId="0" fontId="21" fillId="0" borderId="16" xfId="0" applyFont="1" applyBorder="1" applyAlignment="1">
      <alignment horizontal="center" vertical="center"/>
    </xf>
    <xf numFmtId="0" fontId="21" fillId="0" borderId="92" xfId="0" applyFont="1" applyBorder="1" applyAlignment="1">
      <alignment horizontal="center" vertical="center"/>
    </xf>
    <xf numFmtId="0" fontId="21" fillId="0" borderId="36" xfId="0" applyFont="1" applyBorder="1" applyAlignment="1">
      <alignment horizontal="center" vertical="center" wrapText="1"/>
    </xf>
    <xf numFmtId="0" fontId="21" fillId="0" borderId="104" xfId="0" applyFont="1" applyBorder="1" applyAlignment="1">
      <alignment horizontal="center" vertical="center" wrapText="1"/>
    </xf>
    <xf numFmtId="0" fontId="21" fillId="0" borderId="106" xfId="0" applyFont="1" applyBorder="1" applyAlignment="1">
      <alignment horizontal="center" vertical="center" wrapText="1"/>
    </xf>
    <xf numFmtId="0" fontId="42" fillId="0" borderId="36" xfId="0" applyFont="1" applyBorder="1" applyAlignment="1">
      <alignment horizontal="center" vertical="center" wrapText="1"/>
    </xf>
    <xf numFmtId="0" fontId="21" fillId="0" borderId="90"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88" xfId="0" applyFont="1" applyBorder="1" applyAlignment="1">
      <alignment horizontal="center" vertical="center" wrapText="1"/>
    </xf>
    <xf numFmtId="0" fontId="21" fillId="0" borderId="66" xfId="0" applyFont="1" applyBorder="1" applyAlignment="1">
      <alignment horizontal="center" vertical="center"/>
    </xf>
    <xf numFmtId="0" fontId="21" fillId="0" borderId="68" xfId="0" applyFont="1" applyBorder="1" applyAlignment="1">
      <alignment horizontal="center" vertical="center"/>
    </xf>
    <xf numFmtId="0" fontId="21" fillId="0" borderId="70" xfId="0" applyFont="1" applyBorder="1" applyAlignment="1">
      <alignment horizontal="center" vertical="center"/>
    </xf>
    <xf numFmtId="0" fontId="34" fillId="0" borderId="86" xfId="0" applyFont="1" applyBorder="1" applyAlignment="1">
      <alignment horizontal="center" vertical="center" wrapText="1"/>
    </xf>
    <xf numFmtId="0" fontId="34" fillId="0" borderId="82" xfId="0" applyFont="1" applyBorder="1" applyAlignment="1">
      <alignment horizontal="center" vertical="center" wrapText="1"/>
    </xf>
    <xf numFmtId="0" fontId="34" fillId="0" borderId="78" xfId="0" applyFont="1" applyBorder="1" applyAlignment="1">
      <alignment horizontal="center" vertical="center" wrapText="1"/>
    </xf>
    <xf numFmtId="0" fontId="21" fillId="0" borderId="85" xfId="0" applyFont="1" applyBorder="1" applyAlignment="1">
      <alignment horizontal="center" vertical="center" wrapText="1"/>
    </xf>
    <xf numFmtId="0" fontId="21" fillId="0" borderId="81" xfId="0" applyFont="1" applyBorder="1" applyAlignment="1">
      <alignment horizontal="center" vertical="center" wrapText="1"/>
    </xf>
    <xf numFmtId="0" fontId="21" fillId="0" borderId="77" xfId="0" applyFont="1" applyBorder="1" applyAlignment="1">
      <alignment horizontal="center" vertical="center" wrapText="1"/>
    </xf>
    <xf numFmtId="0" fontId="21" fillId="0" borderId="120" xfId="0" applyFont="1" applyBorder="1" applyAlignment="1">
      <alignment horizontal="center" vertical="center" wrapText="1"/>
    </xf>
    <xf numFmtId="0" fontId="21" fillId="0" borderId="107"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87" xfId="0" applyFont="1" applyBorder="1" applyAlignment="1">
      <alignment horizontal="center" vertical="center" wrapText="1"/>
    </xf>
    <xf numFmtId="0" fontId="21" fillId="0" borderId="83" xfId="0" applyFont="1" applyBorder="1" applyAlignment="1">
      <alignment horizontal="center" vertical="center" wrapText="1"/>
    </xf>
    <xf numFmtId="0" fontId="21" fillId="0" borderId="79" xfId="0" applyFont="1" applyBorder="1" applyAlignment="1">
      <alignment horizontal="center" vertical="center" wrapText="1"/>
    </xf>
    <xf numFmtId="0" fontId="21" fillId="0" borderId="86" xfId="0" applyFont="1" applyBorder="1" applyAlignment="1">
      <alignment horizontal="center" vertical="center"/>
    </xf>
    <xf numFmtId="0" fontId="21" fillId="0" borderId="82" xfId="0" applyFont="1" applyBorder="1" applyAlignment="1">
      <alignment horizontal="center" vertical="center"/>
    </xf>
    <xf numFmtId="0" fontId="21" fillId="0" borderId="78" xfId="0" applyFont="1" applyBorder="1" applyAlignment="1">
      <alignment horizontal="center" vertical="center"/>
    </xf>
    <xf numFmtId="0" fontId="18" fillId="6" borderId="0" xfId="0" applyFont="1" applyFill="1" applyAlignment="1">
      <alignment horizontal="center" vertical="center" wrapText="1"/>
    </xf>
    <xf numFmtId="0" fontId="18" fillId="6" borderId="91" xfId="0" applyFont="1" applyFill="1" applyBorder="1" applyAlignment="1">
      <alignment horizontal="center" vertical="center" wrapText="1"/>
    </xf>
    <xf numFmtId="0" fontId="18" fillId="6" borderId="116" xfId="0" applyFont="1" applyFill="1" applyBorder="1" applyAlignment="1">
      <alignment horizontal="center" vertical="center" wrapText="1"/>
    </xf>
    <xf numFmtId="0" fontId="18" fillId="6" borderId="117" xfId="0" applyFont="1" applyFill="1" applyBorder="1" applyAlignment="1">
      <alignment horizontal="center" vertical="center" wrapText="1"/>
    </xf>
    <xf numFmtId="0" fontId="21" fillId="0" borderId="118"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19" xfId="0" applyFont="1" applyBorder="1" applyAlignment="1">
      <alignment horizontal="center" vertical="center" wrapText="1"/>
    </xf>
    <xf numFmtId="0" fontId="36" fillId="6" borderId="0" xfId="0" applyFont="1" applyFill="1" applyAlignment="1">
      <alignment horizontal="center" vertical="center" wrapText="1"/>
    </xf>
    <xf numFmtId="0" fontId="36" fillId="6" borderId="91" xfId="0" applyFont="1" applyFill="1" applyBorder="1" applyAlignment="1">
      <alignment horizontal="center" vertical="center" wrapText="1"/>
    </xf>
    <xf numFmtId="0" fontId="6" fillId="6" borderId="12" xfId="0" applyFont="1" applyFill="1" applyBorder="1" applyAlignment="1">
      <alignment horizontal="center" vertical="center"/>
    </xf>
    <xf numFmtId="0" fontId="6" fillId="6" borderId="92" xfId="0" applyFont="1" applyFill="1" applyBorder="1" applyAlignment="1">
      <alignment horizontal="center" vertical="center"/>
    </xf>
    <xf numFmtId="0" fontId="11" fillId="9" borderId="3"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9" borderId="11" xfId="0" applyFont="1" applyFill="1" applyBorder="1" applyAlignment="1">
      <alignment horizontal="center" vertical="center" wrapText="1"/>
    </xf>
    <xf numFmtId="0" fontId="34" fillId="0" borderId="1" xfId="0" applyFont="1" applyBorder="1" applyAlignment="1">
      <alignment horizontal="center" vertical="center"/>
    </xf>
    <xf numFmtId="0" fontId="34" fillId="0" borderId="2" xfId="0" applyFont="1" applyBorder="1" applyAlignment="1">
      <alignment horizontal="center" vertical="center"/>
    </xf>
    <xf numFmtId="0" fontId="34" fillId="0" borderId="31" xfId="0" applyFont="1" applyBorder="1" applyAlignment="1">
      <alignment horizontal="center" vertical="center"/>
    </xf>
    <xf numFmtId="0" fontId="18" fillId="6" borderId="2" xfId="0" applyFont="1" applyFill="1" applyBorder="1" applyAlignment="1">
      <alignment horizontal="center" vertical="center" wrapText="1"/>
    </xf>
    <xf numFmtId="0" fontId="21" fillId="0" borderId="113" xfId="0" applyFont="1" applyBorder="1" applyAlignment="1">
      <alignment horizontal="center" vertical="center" wrapText="1"/>
    </xf>
    <xf numFmtId="0" fontId="21" fillId="0" borderId="114" xfId="0" applyFont="1" applyBorder="1" applyAlignment="1">
      <alignment horizontal="center" vertical="center" wrapText="1"/>
    </xf>
    <xf numFmtId="0" fontId="21" fillId="0" borderId="115" xfId="0" applyFont="1" applyBorder="1" applyAlignment="1">
      <alignment horizontal="center" vertical="center" wrapText="1"/>
    </xf>
    <xf numFmtId="0" fontId="21" fillId="0" borderId="112" xfId="0" applyFont="1" applyBorder="1" applyAlignment="1">
      <alignment horizontal="center" vertical="center"/>
    </xf>
    <xf numFmtId="0" fontId="21" fillId="0" borderId="99" xfId="0" applyFont="1" applyBorder="1" applyAlignment="1">
      <alignment horizontal="center" vertical="center"/>
    </xf>
    <xf numFmtId="0" fontId="34" fillId="0" borderId="112" xfId="0" applyFont="1" applyBorder="1" applyAlignment="1">
      <alignment horizontal="center" vertical="center" wrapText="1"/>
    </xf>
    <xf numFmtId="0" fontId="34" fillId="0" borderId="99" xfId="0" applyFont="1" applyBorder="1" applyAlignment="1">
      <alignment horizontal="center" vertical="center" wrapText="1"/>
    </xf>
    <xf numFmtId="0" fontId="21" fillId="0" borderId="94" xfId="0" applyFont="1" applyBorder="1" applyAlignment="1">
      <alignment horizontal="center" vertical="center" wrapText="1"/>
    </xf>
    <xf numFmtId="0" fontId="21" fillId="0" borderId="100" xfId="0" applyFont="1" applyBorder="1" applyAlignment="1">
      <alignment horizontal="center" vertical="center" wrapText="1"/>
    </xf>
    <xf numFmtId="0" fontId="34" fillId="0" borderId="66" xfId="0" applyFont="1" applyBorder="1" applyAlignment="1">
      <alignment horizontal="center" vertical="center" wrapText="1"/>
    </xf>
    <xf numFmtId="0" fontId="42" fillId="0" borderId="94" xfId="0" applyFont="1" applyBorder="1" applyAlignment="1">
      <alignment horizontal="center" vertical="center" wrapText="1"/>
    </xf>
    <xf numFmtId="0" fontId="42" fillId="0" borderId="90" xfId="0" applyFont="1" applyBorder="1" applyAlignment="1">
      <alignment horizontal="center" vertical="center" wrapText="1"/>
    </xf>
    <xf numFmtId="0" fontId="42" fillId="0" borderId="89" xfId="0" applyFont="1" applyBorder="1" applyAlignment="1">
      <alignment horizontal="center" vertical="center" wrapText="1"/>
    </xf>
    <xf numFmtId="0" fontId="42" fillId="0" borderId="88" xfId="0" applyFont="1" applyBorder="1" applyAlignment="1">
      <alignment horizontal="center" vertical="center" wrapText="1"/>
    </xf>
    <xf numFmtId="0" fontId="42" fillId="0" borderId="66" xfId="0" applyFont="1" applyBorder="1" applyAlignment="1">
      <alignment horizontal="center" vertical="center"/>
    </xf>
    <xf numFmtId="0" fontId="42" fillId="0" borderId="68" xfId="0" applyFont="1" applyBorder="1" applyAlignment="1">
      <alignment horizontal="center" vertical="center"/>
    </xf>
    <xf numFmtId="0" fontId="42" fillId="0" borderId="70" xfId="0" applyFont="1" applyBorder="1" applyAlignment="1">
      <alignment horizontal="center" vertical="center"/>
    </xf>
    <xf numFmtId="0" fontId="42" fillId="0" borderId="86"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78" xfId="0" applyFont="1" applyBorder="1" applyAlignment="1">
      <alignment horizontal="center" vertical="center" wrapText="1"/>
    </xf>
    <xf numFmtId="0" fontId="42" fillId="0" borderId="85" xfId="0" applyFont="1" applyBorder="1" applyAlignment="1">
      <alignment horizontal="center" vertical="center" wrapText="1"/>
    </xf>
    <xf numFmtId="0" fontId="42" fillId="0" borderId="81" xfId="0" applyFont="1" applyBorder="1" applyAlignment="1">
      <alignment horizontal="center" vertical="center" wrapText="1"/>
    </xf>
    <xf numFmtId="0" fontId="42" fillId="0" borderId="77" xfId="0" applyFont="1" applyBorder="1" applyAlignment="1">
      <alignment horizontal="center" vertical="center" wrapText="1"/>
    </xf>
    <xf numFmtId="0" fontId="22" fillId="6" borderId="116" xfId="0" applyFont="1" applyFill="1" applyBorder="1" applyAlignment="1">
      <alignment horizontal="center" vertical="center" wrapText="1"/>
    </xf>
    <xf numFmtId="0" fontId="22" fillId="6" borderId="117" xfId="0" applyFont="1" applyFill="1" applyBorder="1" applyAlignment="1">
      <alignment horizontal="center" vertical="center" wrapText="1"/>
    </xf>
    <xf numFmtId="0" fontId="20" fillId="0" borderId="2" xfId="0" applyFont="1" applyBorder="1" applyAlignment="1">
      <alignment horizontal="center" vertical="center"/>
    </xf>
    <xf numFmtId="0" fontId="27" fillId="12" borderId="18" xfId="0" applyFont="1" applyFill="1" applyBorder="1" applyAlignment="1">
      <alignment horizontal="center" vertical="center"/>
    </xf>
    <xf numFmtId="0" fontId="27" fillId="12" borderId="19" xfId="0" applyFont="1" applyFill="1" applyBorder="1" applyAlignment="1">
      <alignment horizontal="center" vertical="center"/>
    </xf>
    <xf numFmtId="0" fontId="11" fillId="9" borderId="18" xfId="0" applyFont="1" applyFill="1" applyBorder="1" applyAlignment="1">
      <alignment horizontal="center" vertical="center"/>
    </xf>
    <xf numFmtId="0" fontId="8" fillId="9" borderId="0" xfId="0" applyFont="1" applyFill="1" applyAlignment="1">
      <alignment horizontal="center" vertical="center" wrapText="1"/>
    </xf>
    <xf numFmtId="0" fontId="11" fillId="9" borderId="0" xfId="0" applyFont="1" applyFill="1" applyAlignment="1">
      <alignment horizontal="center" vertical="center" wrapText="1"/>
    </xf>
    <xf numFmtId="0" fontId="0" fillId="0" borderId="0" xfId="0" applyAlignment="1">
      <alignment horizontal="center"/>
    </xf>
    <xf numFmtId="0" fontId="5" fillId="0" borderId="14" xfId="0" applyFont="1" applyBorder="1" applyAlignment="1">
      <alignment horizontal="center" vertical="center"/>
    </xf>
    <xf numFmtId="0" fontId="5" fillId="0" borderId="0" xfId="0" applyFont="1" applyAlignment="1">
      <alignment horizontal="center" vertical="center"/>
    </xf>
    <xf numFmtId="0" fontId="22" fillId="6" borderId="3" xfId="0" applyFont="1" applyFill="1" applyBorder="1" applyAlignment="1">
      <alignment horizontal="center" vertical="center"/>
    </xf>
    <xf numFmtId="0" fontId="22" fillId="6" borderId="10" xfId="0" applyFont="1" applyFill="1" applyBorder="1" applyAlignment="1">
      <alignment horizontal="center" vertical="center"/>
    </xf>
    <xf numFmtId="0" fontId="22" fillId="6" borderId="11" xfId="0" applyFont="1" applyFill="1" applyBorder="1" applyAlignment="1">
      <alignment horizontal="center" vertical="center"/>
    </xf>
    <xf numFmtId="0" fontId="22" fillId="6" borderId="12" xfId="0" applyFont="1" applyFill="1" applyBorder="1" applyAlignment="1">
      <alignment horizontal="center" vertical="center"/>
    </xf>
    <xf numFmtId="0" fontId="22" fillId="6" borderId="17" xfId="0" applyFont="1" applyFill="1" applyBorder="1" applyAlignment="1">
      <alignment horizontal="center" vertical="center"/>
    </xf>
  </cellXfs>
  <cellStyles count="16">
    <cellStyle name="Comma" xfId="6" builtinId="3"/>
    <cellStyle name="Comma 2" xfId="15" xr:uid="{864E269A-83A8-4DDD-A417-D48ED66E212F}"/>
    <cellStyle name="Hyperlink" xfId="5" builtinId="8"/>
    <cellStyle name="Hyperlink 2" xfId="10" xr:uid="{10C1E3C0-F46B-4E25-BD9A-EE5D62F88FF2}"/>
    <cellStyle name="Hyperlink 3" xfId="14" xr:uid="{DABF5E91-637E-4A42-BA05-D563B997B12D}"/>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B0CB1A9B-9594-47E6-87A2-0E044F04B187}"/>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A6A6A6"/>
      <color rgb="FF8C8C8C"/>
      <color rgb="FF92D050"/>
      <color rgb="FFFF9900"/>
      <color rgb="FFCCCCFF"/>
      <color rgb="FF8238BA"/>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ECC3-45CC-AFB4-A1C2E8AD9A13}"/>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CC3-45CC-AFB4-A1C2E8AD9A13}"/>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CC3-45CC-AFB4-A1C2E8AD9A1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A884-45DA-B242-C539CE566B49}"/>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884-45DA-B242-C539CE566B49}"/>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884-45DA-B242-C539CE566B4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DAEC-489F-99D6-0E232B5AE108}"/>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DAEC-489F-99D6-0E232B5AE108}"/>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DAEC-489F-99D6-0E232B5AE1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583-4470-9C02-D77A781E801D}"/>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583-4470-9C02-D77A781E801D}"/>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583-4470-9C02-D77A781E801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9928-486F-AD09-6687CB59802E}"/>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9928-486F-AD09-6687CB59802E}"/>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928-486F-AD09-6687CB5980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D430-4B33-ABA5-469C290B479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D430-4B33-ABA5-469C290B479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D430-4B33-ABA5-469C290B47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B102-4386-B25D-61197DE420C2}"/>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B102-4386-B25D-61197DE420C2}"/>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B102-4386-B25D-61197DE420C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Schedules!$C$151</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Schedules!$E$151</c:f>
              <c:strCache>
                <c:ptCount val="1"/>
                <c:pt idx="0">
                  <c:v>Weekday</c:v>
                </c:pt>
              </c:strCache>
            </c:strRef>
          </c:tx>
          <c:spPr>
            <a:ln w="28575" cap="rnd">
              <a:solidFill>
                <a:schemeClr val="accent1"/>
              </a:solidFill>
              <a:round/>
            </a:ln>
            <a:effectLst/>
          </c:spPr>
          <c:marker>
            <c:symbol val="none"/>
          </c:marker>
          <c:val>
            <c:numRef>
              <c:f>Schedules!$F$151:$AC$151</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FD9-4F1C-BE71-3F3F6591949A}"/>
            </c:ext>
          </c:extLst>
        </c:ser>
        <c:ser>
          <c:idx val="1"/>
          <c:order val="1"/>
          <c:tx>
            <c:strRef>
              <c:f>Schedules!$E$152</c:f>
              <c:strCache>
                <c:ptCount val="1"/>
                <c:pt idx="0">
                  <c:v>Saturday</c:v>
                </c:pt>
              </c:strCache>
            </c:strRef>
          </c:tx>
          <c:spPr>
            <a:ln w="28575" cap="rnd">
              <a:solidFill>
                <a:schemeClr val="accent2"/>
              </a:solidFill>
              <a:round/>
            </a:ln>
            <a:effectLst/>
          </c:spPr>
          <c:marker>
            <c:symbol val="none"/>
          </c:marker>
          <c:val>
            <c:numRef>
              <c:f>Schedules!$F$152:$AC$152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DFD9-4F1C-BE71-3F3F6591949A}"/>
            </c:ext>
          </c:extLst>
        </c:ser>
        <c:ser>
          <c:idx val="2"/>
          <c:order val="2"/>
          <c:tx>
            <c:strRef>
              <c:f>Schedules!$E$153</c:f>
              <c:strCache>
                <c:ptCount val="1"/>
                <c:pt idx="0">
                  <c:v>Sunday</c:v>
                </c:pt>
              </c:strCache>
            </c:strRef>
          </c:tx>
          <c:spPr>
            <a:ln w="28575" cap="rnd">
              <a:solidFill>
                <a:schemeClr val="accent3"/>
              </a:solidFill>
              <a:round/>
            </a:ln>
            <a:effectLst/>
          </c:spPr>
          <c:marker>
            <c:symbol val="none"/>
          </c:marker>
          <c:val>
            <c:numRef>
              <c:f>Schedules!$F$153:$AC$153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FD9-4F1C-BE71-3F3F6591949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valAx>
      <c:spPr>
        <a:noFill/>
        <a:ln>
          <a:noFill/>
        </a:ln>
        <a:effectLst/>
      </c:spPr>
    </c:plotArea>
    <c:legend>
      <c:legendPos val="b"/>
      <c:layout>
        <c:manualLayout>
          <c:xMode val="edge"/>
          <c:yMode val="edge"/>
          <c:x val="0.69237621385546944"/>
          <c:y val="3.6261079321075841E-2"/>
          <c:w val="0.28941482691935089"/>
          <c:h val="0.25176692913385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"Lights"</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14FA-4DE6-ADBA-318885809DF5}"/>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4FA-4DE6-ADBA-318885809DF5}"/>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4FA-4DE6-ADBA-318885809D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"ElecEquipment"</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DDF0-49C5-B82C-CB253C75153C}"/>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DF0-49C5-B82C-CB253C75153C}"/>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DF0-49C5-B82C-CB253C75153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"ClgSetpt"</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1C5D-418E-A547-988E5FE86238}"/>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1C5D-418E-A547-988E5FE86238}"/>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1C5D-418E-A547-988E5FE862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BAAB-49B8-9664-9F966712AFE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BAAB-49B8-9664-9F966712AFE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BAAB-49B8-9664-9F966712AFE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"HtgSetpt"</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2A7-4D3D-A30D-4A55D420040A}"/>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2A7-4D3D-A30D-4A55D420040A}"/>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2A7-4D3D-A30D-4A55D42004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730-4346-86E8-4E37599B673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730-4346-86E8-4E37599B673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730-4346-86E8-4E37599B67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"OAControl"</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F7A4-4874-9A64-2DEE1A0544B3}"/>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F7A4-4874-9A64-2DEE1A0544B3}"/>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F7A4-4874-9A64-2DEE1A0544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C30-4A88-BA4C-35C7C61E9A0D}"/>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C30-4A88-BA4C-35C7C61E9A0D}"/>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C30-4A88-BA4C-35C7C61E9A0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"Infilitration"</c:f>
          <c:strCache>
            <c:ptCount val="1"/>
            <c:pt idx="0">
              <c:v>Infilitration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D1BC-48E7-AFE4-A9C8634B74C8}"/>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1BC-48E7-AFE4-A9C8634B74C8}"/>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1BC-48E7-AFE4-A9C8634B74C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CEC8-4868-A598-721A29ACE9EE}"/>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CEC8-4868-A598-721A29ACE9EE}"/>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CEC8-4868-A598-721A29ACE9E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D440-4A54-A598-8BDF7700067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440-4A54-A598-8BDF7700067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440-4A54-A598-8BDF7700067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509559198399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3FB8-41F8-ADDA-7D42BA65F1B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FB8-41F8-ADDA-7D42BA65F1B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FB8-41F8-ADDA-7D42BA65F1B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673732347129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Lit>
          </c:val>
          <c:smooth val="0"/>
          <c:extLst>
            <c:ext xmlns:c16="http://schemas.microsoft.com/office/drawing/2014/chart" uri="{C3380CC4-5D6E-409C-BE32-E72D297353CC}">
              <c16:uniqueId val="{00000000-33F5-4274-AB81-EF20F46B9B8A}"/>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3F5-4274-AB81-EF20F46B9B8A}"/>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3F5-4274-AB81-EF20F46B9B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65190445984605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Lit>
          </c:val>
          <c:smooth val="0"/>
          <c:extLst>
            <c:ext xmlns:c16="http://schemas.microsoft.com/office/drawing/2014/chart" uri="{C3380CC4-5D6E-409C-BE32-E72D297353CC}">
              <c16:uniqueId val="{00000000-CCAC-40D2-975B-F4C86270D9A7}"/>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CCAC-40D2-975B-F4C86270D9A7}"/>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CCAC-40D2-975B-F4C86270D9A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77B1-4078-A194-29579769AED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77B1-4078-A194-29579769AED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77B1-4078-A194-29579769AED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7846211514243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1C27-4BDE-A6B4-D0C7D6BCBF03}"/>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1C27-4BDE-A6B4-D0C7D6BCBF03}"/>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1C27-4BDE-A6B4-D0C7D6BCBF0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Lit>
          </c:val>
          <c:smooth val="0"/>
          <c:extLst>
            <c:ext xmlns:c16="http://schemas.microsoft.com/office/drawing/2014/chart" uri="{C3380CC4-5D6E-409C-BE32-E72D297353CC}">
              <c16:uniqueId val="{00000000-6592-4F91-BA71-D7523EBE2E1B}"/>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6592-4F91-BA71-D7523EBE2E1B}"/>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6592-4F91-BA71-D7523EBE2E1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7FD-4DC9-9CEB-8BAD0287030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7FD-4DC9-9CEB-8BAD0287030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7FD-4DC9-9CEB-8BAD028703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1589-4066-8011-8C7CA1C09EC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589-4066-8011-8C7CA1C09EC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589-4066-8011-8C7CA1C09E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FCF-4AFB-ADCC-AD3EC7C6D0AC}"/>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FCF-4AFB-ADCC-AD3EC7C6D0AC}"/>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FCF-4AFB-ADCC-AD3EC7C6D0A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BF3E-4BA0-9118-0E16A341FD8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BF3E-4BA0-9118-0E16A341FD8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BF3E-4BA0-9118-0E16A341FD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446-4248-A874-CE9D00430E0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446-4248-A874-CE9D00430E0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446-4248-A874-CE9D00430E0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2974-41AF-A9C0-D7B4A8B7998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2974-41AF-A9C0-D7B4A8B7998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2974-41AF-A9C0-D7B4A8B7998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A625-4D08-8A00-5AD3F5EF36B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A625-4D08-8A00-5AD3F5EF36B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A625-4D08-8A00-5AD3F5EF36B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0.1</c:v>
              </c:pt>
              <c:pt idx="6">
                <c:v>0.5</c:v>
              </c:pt>
              <c:pt idx="7">
                <c:v>0.95</c:v>
              </c:pt>
              <c:pt idx="8">
                <c:v>0.95</c:v>
              </c:pt>
              <c:pt idx="9">
                <c:v>0.95</c:v>
              </c:pt>
              <c:pt idx="10">
                <c:v>0.95</c:v>
              </c:pt>
              <c:pt idx="11">
                <c:v>0.95</c:v>
              </c:pt>
              <c:pt idx="12">
                <c:v>0.95</c:v>
              </c:pt>
              <c:pt idx="13">
                <c:v>0.95</c:v>
              </c:pt>
              <c:pt idx="14">
                <c:v>0.5</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99C0-4AB1-AA1B-3A0222DEC84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99C0-4AB1-AA1B-3A0222DEC84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99C0-4AB1-AA1B-3A0222DEC84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5887927312668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B33B-4DE4-9071-7AB31389C76C}"/>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B33B-4DE4-9071-7AB31389C76C}"/>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B33B-4DE4-9071-7AB31389C76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05B8-4FCC-898E-AE826739ECA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05B8-4FCC-898E-AE826739ECA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05B8-4FCC-898E-AE826739ECA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3661937100391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31B5-4C34-AE17-97FBA5A0B83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31B5-4C34-AE17-97FBA5A0B83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31B5-4C34-AE17-97FBA5A0B8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136-4400-A009-290E20735ED1}"/>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136-4400-A009-290E20735ED1}"/>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136-4400-A009-290E20735ED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87E-4D70-84AE-9D03EBB7642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87E-4D70-84AE-9D03EBB7642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87E-4D70-84AE-9D03EBB764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8C6E-41FD-AB9E-D63AAD97EE5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8C6E-41FD-AB9E-D63AAD97EE5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8C6E-41FD-AB9E-D63AAD97EE5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5C5F-4736-9903-1B0FA65005F2}"/>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5C5F-4736-9903-1B0FA65005F2}"/>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5C5F-4736-9903-1B0FA65005F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Schedules!$C$56</c:f>
          <c:strCache>
            <c:ptCount val="1"/>
            <c:pt idx="0">
              <c:v>Che</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EE02-423C-B828-632D629FA3C7}"/>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E02-423C-B828-632D629FA3C7}"/>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E02-423C-B828-632D629FA3C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6BC-450B-A66C-0CDE1D937EB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6BC-450B-A66C-0CDE1D937EB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6BC-450B-A66C-0CDE1D937E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FEFF-4088-A6F0-7DD547693743}"/>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FEFF-4088-A6F0-7DD547693743}"/>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FEFF-4088-A6F0-7DD54769374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1B9F-4576-9ED3-11C657CBE0B3}"/>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1B9F-4576-9ED3-11C657CBE0B3}"/>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1B9F-4576-9ED3-11C657CBE0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20D5-40F5-B974-4711497B34E2}"/>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20D5-40F5-B974-4711497B34E2}"/>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0D5-40F5-B974-4711497B34E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Schedules!$E$65</c:f>
              <c:strCache>
                <c:ptCount val="1"/>
                <c:pt idx="0">
                  <c:v>Weekday</c:v>
                </c:pt>
              </c:strCache>
            </c:strRef>
          </c:tx>
          <c:spPr>
            <a:ln w="28575" cap="rnd">
              <a:solidFill>
                <a:schemeClr val="accent1"/>
              </a:solidFill>
              <a:round/>
            </a:ln>
            <a:effectLst/>
          </c:spPr>
          <c:marker>
            <c:symbol val="none"/>
          </c:marker>
          <c:val>
            <c:numRef>
              <c:f>Schedules!$F$65:$AC$65</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B872-4118-876F-8E1CD508FA0F}"/>
            </c:ext>
          </c:extLst>
        </c:ser>
        <c:ser>
          <c:idx val="1"/>
          <c:order val="1"/>
          <c:tx>
            <c:strRef>
              <c:f>Schedules!$E$66</c:f>
              <c:strCache>
                <c:ptCount val="1"/>
                <c:pt idx="0">
                  <c:v>Saturday</c:v>
                </c:pt>
              </c:strCache>
            </c:strRef>
          </c:tx>
          <c:spPr>
            <a:ln w="28575" cap="rnd">
              <a:solidFill>
                <a:schemeClr val="accent2"/>
              </a:solidFill>
              <a:round/>
            </a:ln>
            <a:effectLst/>
          </c:spPr>
          <c:marker>
            <c:symbol val="none"/>
          </c:marker>
          <c:val>
            <c:numRef>
              <c:f>Schedules!$F$66:$AC$66</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B872-4118-876F-8E1CD508FA0F}"/>
            </c:ext>
          </c:extLst>
        </c:ser>
        <c:ser>
          <c:idx val="2"/>
          <c:order val="2"/>
          <c:tx>
            <c:strRef>
              <c:f>Schedules!$E$67</c:f>
              <c:strCache>
                <c:ptCount val="1"/>
                <c:pt idx="0">
                  <c:v>Sunday</c:v>
                </c:pt>
              </c:strCache>
            </c:strRef>
          </c:tx>
          <c:spPr>
            <a:ln w="28575" cap="rnd">
              <a:solidFill>
                <a:schemeClr val="accent3"/>
              </a:solidFill>
              <a:round/>
            </a:ln>
            <a:effectLst/>
          </c:spPr>
          <c:marker>
            <c:symbol val="none"/>
          </c:marker>
          <c:val>
            <c:numRef>
              <c:f>Schedules!$F$67:$AC$67</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B872-4118-876F-8E1CD508FA0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4414-4C74-9A0C-3BDA403EF7B9}"/>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4414-4C74-9A0C-3BDA403EF7B9}"/>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4414-4C74-9A0C-3BDA403EF7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"Gas Equipment"</a:t>
            </a:r>
          </a:p>
        </c:rich>
      </c:tx>
      <c:layout>
        <c:manualLayout>
          <c:xMode val="edge"/>
          <c:yMode val="edge"/>
          <c:x val="0.34534724639853209"/>
          <c:y val="4.102828686152672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4551-44E0-A136-EAD7A7EA9A52}"/>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4551-44E0-A136-EAD7A7EA9A52}"/>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4551-44E0-A136-EAD7A7EA9A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"Lights"</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E584-4773-ACB2-B57C8E85E808}"/>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584-4773-ACB2-B57C8E85E808}"/>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584-4773-ACB2-B57C8E85E8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"ElecEquipment"</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1513-4A4E-9782-5BF428D8F47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513-4A4E-9782-5BF428D8F47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513-4A4E-9782-5BF428D8F47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"ClgSetpt"</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C5F4-4769-8310-B02C8339EDD6}"/>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C5F4-4769-8310-B02C8339EDD6}"/>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C5F4-4769-8310-B02C8339EDD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ECB1-4AD1-B566-389F01C5AD5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ECB1-4AD1-B566-389F01C5AD5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ECB1-4AD1-B566-389F01C5AD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"HtgSetpt"</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069-4C8E-A49B-DD5DFFA87534}"/>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069-4C8E-A49B-DD5DFFA87534}"/>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069-4C8E-A49B-DD5DFFA8753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667-4A61-AEF8-01F91266263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667-4A61-AEF8-01F91266263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667-4A61-AEF8-01F91266263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"OAControl"</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E5D3-4725-A883-366E6F071825}"/>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5D3-4725-A883-366E6F071825}"/>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5D3-4725-A883-366E6F07182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DA43-49FE-9DFE-341B19969D8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DA43-49FE-9DFE-341B19969D8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DA43-49FE-9DFE-341B19969D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"Infilitration"</c:f>
          <c:strCache>
            <c:ptCount val="1"/>
            <c:pt idx="0">
              <c:v>Infilitration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22B3-4068-AD2C-79DE420D7D5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22B3-4068-AD2C-79DE420D7D5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22B3-4068-AD2C-79DE420D7D5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E585-4DD2-9344-93AFC829D437}"/>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E585-4DD2-9344-93AFC829D437}"/>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E585-4DD2-9344-93AFC829D43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Schedules!$E$116</c:f>
              <c:strCache>
                <c:ptCount val="1"/>
                <c:pt idx="0">
                  <c:v>Unoccupied</c:v>
                </c:pt>
              </c:strCache>
            </c:strRef>
          </c:tx>
          <c:spPr>
            <a:ln w="28575" cap="rnd">
              <a:solidFill>
                <a:schemeClr val="accent1"/>
              </a:solidFill>
              <a:round/>
            </a:ln>
            <a:effectLst/>
          </c:spPr>
          <c:marker>
            <c:symbol val="none"/>
          </c:marker>
          <c:val>
            <c:numRef>
              <c:f>Schedules!$F$116:$AC$116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D5E7-47C5-BAF2-75679F7DA393}"/>
            </c:ext>
          </c:extLst>
        </c:ser>
        <c:ser>
          <c:idx val="1"/>
          <c:order val="1"/>
          <c:tx>
            <c:strRef>
              <c:f>Schedules!$E$117</c:f>
              <c:strCache>
                <c:ptCount val="1"/>
                <c:pt idx="0">
                  <c:v>Practice WD - Winter</c:v>
                </c:pt>
              </c:strCache>
            </c:strRef>
          </c:tx>
          <c:spPr>
            <a:ln w="28575" cap="rnd">
              <a:solidFill>
                <a:schemeClr val="accent2"/>
              </a:solidFill>
              <a:round/>
            </a:ln>
            <a:effectLst/>
          </c:spPr>
          <c:marker>
            <c:symbol val="none"/>
          </c:marker>
          <c:val>
            <c:numRef>
              <c:f>Schedules!$F$117:$AC$117</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1-D5E7-47C5-BAF2-75679F7DA393}"/>
            </c:ext>
          </c:extLst>
        </c:ser>
        <c:ser>
          <c:idx val="2"/>
          <c:order val="2"/>
          <c:tx>
            <c:strRef>
              <c:f>Schedules!$E$118</c:f>
              <c:strCache>
                <c:ptCount val="1"/>
                <c:pt idx="0">
                  <c:v>Practice WD - Fall &amp; Spring</c:v>
                </c:pt>
              </c:strCache>
            </c:strRef>
          </c:tx>
          <c:spPr>
            <a:ln w="28575" cap="rnd">
              <a:solidFill>
                <a:schemeClr val="accent3"/>
              </a:solidFill>
              <a:round/>
            </a:ln>
            <a:effectLst/>
          </c:spPr>
          <c:marker>
            <c:symbol val="none"/>
          </c:marker>
          <c:val>
            <c:numRef>
              <c:f>Schedules!$F$118:$AC$118</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2-D5E7-47C5-BAF2-75679F7DA393}"/>
            </c:ext>
          </c:extLst>
        </c:ser>
        <c:ser>
          <c:idx val="3"/>
          <c:order val="3"/>
          <c:tx>
            <c:strRef>
              <c:f>Schedules!$E$119</c:f>
              <c:strCache>
                <c:ptCount val="1"/>
                <c:pt idx="0">
                  <c:v>Game day WD - Winter</c:v>
                </c:pt>
              </c:strCache>
            </c:strRef>
          </c:tx>
          <c:spPr>
            <a:ln w="28575" cap="rnd">
              <a:solidFill>
                <a:schemeClr val="accent4"/>
              </a:solidFill>
              <a:round/>
            </a:ln>
            <a:effectLst/>
          </c:spPr>
          <c:marker>
            <c:symbol val="none"/>
          </c:marker>
          <c:val>
            <c:numRef>
              <c:f>Schedules!$F$119:$AC$119</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3-D5E7-47C5-BAF2-75679F7DA393}"/>
            </c:ext>
          </c:extLst>
        </c:ser>
        <c:ser>
          <c:idx val="4"/>
          <c:order val="4"/>
          <c:tx>
            <c:strRef>
              <c:f>Schedules!$E$120</c:f>
              <c:strCache>
                <c:ptCount val="1"/>
                <c:pt idx="0">
                  <c:v>Game day WD - Fall &amp; Spring</c:v>
                </c:pt>
              </c:strCache>
            </c:strRef>
          </c:tx>
          <c:spPr>
            <a:ln w="28575" cap="rnd">
              <a:solidFill>
                <a:schemeClr val="accent5"/>
              </a:solidFill>
              <a:round/>
            </a:ln>
            <a:effectLst/>
          </c:spPr>
          <c:marker>
            <c:symbol val="none"/>
          </c:marker>
          <c:val>
            <c:numRef>
              <c:f>Schedules!$F$120:$AC$120</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4-D5E7-47C5-BAF2-75679F7DA393}"/>
            </c:ext>
          </c:extLst>
        </c:ser>
        <c:ser>
          <c:idx val="5"/>
          <c:order val="5"/>
          <c:tx>
            <c:strRef>
              <c:f>Schedules!$E$121</c:f>
              <c:strCache>
                <c:ptCount val="1"/>
                <c:pt idx="0">
                  <c:v>All WE - Winter</c:v>
                </c:pt>
              </c:strCache>
            </c:strRef>
          </c:tx>
          <c:spPr>
            <a:ln w="28575" cap="rnd">
              <a:solidFill>
                <a:schemeClr val="accent6"/>
              </a:solidFill>
              <a:round/>
            </a:ln>
            <a:effectLst/>
          </c:spPr>
          <c:marker>
            <c:symbol val="none"/>
          </c:marker>
          <c:val>
            <c:numRef>
              <c:f>Schedules!$F$121:$AC$121</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D5E7-47C5-BAF2-75679F7DA393}"/>
            </c:ext>
          </c:extLst>
        </c:ser>
        <c:ser>
          <c:idx val="6"/>
          <c:order val="6"/>
          <c:tx>
            <c:strRef>
              <c:f>Schedules!$E$122</c:f>
              <c:strCache>
                <c:ptCount val="1"/>
                <c:pt idx="0">
                  <c:v>All WE - Fall &amp; Spring</c:v>
                </c:pt>
              </c:strCache>
            </c:strRef>
          </c:tx>
          <c:spPr>
            <a:ln w="28575" cap="rnd">
              <a:solidFill>
                <a:schemeClr val="accent1">
                  <a:lumMod val="60000"/>
                </a:schemeClr>
              </a:solidFill>
              <a:round/>
            </a:ln>
            <a:effectLst/>
          </c:spPr>
          <c:marker>
            <c:symbol val="none"/>
          </c:marker>
          <c:val>
            <c:numRef>
              <c:f>Schedules!$F$122:$AC$122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D5E7-47C5-BAF2-75679F7DA393}"/>
            </c:ext>
          </c:extLst>
        </c:ser>
        <c:ser>
          <c:idx val="7"/>
          <c:order val="7"/>
          <c:tx>
            <c:strRef>
              <c:f>Schedules!$E$123</c:f>
              <c:strCache>
                <c:ptCount val="1"/>
                <c:pt idx="0">
                  <c:v>Summer Camp</c:v>
                </c:pt>
              </c:strCache>
            </c:strRef>
          </c:tx>
          <c:spPr>
            <a:ln w="28575" cap="rnd">
              <a:solidFill>
                <a:schemeClr val="accent2">
                  <a:lumMod val="60000"/>
                </a:schemeClr>
              </a:solidFill>
              <a:round/>
            </a:ln>
            <a:effectLst/>
          </c:spPr>
          <c:marker>
            <c:symbol val="none"/>
          </c:marker>
          <c:val>
            <c:numRef>
              <c:f>Schedules!$F$123:$AC$123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7-D5E7-47C5-BAF2-75679F7DA39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2.0285026355176612E-3"/>
          <c:y val="0.81806375394972675"/>
          <c:w val="0.99594299472896464"/>
          <c:h val="0.181936246050273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Schedules!$E$124</c:f>
              <c:strCache>
                <c:ptCount val="1"/>
                <c:pt idx="0">
                  <c:v>Unoccupied</c:v>
                </c:pt>
              </c:strCache>
            </c:strRef>
          </c:tx>
          <c:spPr>
            <a:ln w="28575" cap="rnd">
              <a:solidFill>
                <a:schemeClr val="accent1"/>
              </a:solidFill>
              <a:round/>
            </a:ln>
            <a:effectLst/>
          </c:spPr>
          <c:marker>
            <c:symbol val="none"/>
          </c:marker>
          <c:val>
            <c:numRef>
              <c:f>Schedules!$F$124:$AC$124</c:f>
              <c:numCache>
                <c:formatCode>0.00</c:formatCode>
                <c:ptCount val="24"/>
                <c:pt idx="0">
                  <c:v>0.15</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0-5B67-4D39-B78A-E808AD8E7128}"/>
            </c:ext>
          </c:extLst>
        </c:ser>
        <c:ser>
          <c:idx val="1"/>
          <c:order val="1"/>
          <c:tx>
            <c:strRef>
              <c:f>Schedules!$E$125</c:f>
              <c:strCache>
                <c:ptCount val="1"/>
                <c:pt idx="0">
                  <c:v>Practice WD - Winter</c:v>
                </c:pt>
              </c:strCache>
            </c:strRef>
          </c:tx>
          <c:spPr>
            <a:ln w="28575" cap="rnd">
              <a:solidFill>
                <a:schemeClr val="accent2"/>
              </a:solidFill>
              <a:round/>
            </a:ln>
            <a:effectLst/>
          </c:spPr>
          <c:marker>
            <c:symbol val="none"/>
          </c:marker>
          <c:val>
            <c:numRef>
              <c:f>Schedules!$F$125:$AC$125</c:f>
              <c:numCache>
                <c:formatCode>0.00</c:formatCode>
                <c:ptCount val="24"/>
                <c:pt idx="0">
                  <c:v>0.15</c:v>
                </c:pt>
                <c:pt idx="1">
                  <c:v>0.15</c:v>
                </c:pt>
                <c:pt idx="2">
                  <c:v>0.15</c:v>
                </c:pt>
                <c:pt idx="3">
                  <c:v>0.15</c:v>
                </c:pt>
                <c:pt idx="4">
                  <c:v>0.15</c:v>
                </c:pt>
                <c:pt idx="5">
                  <c:v>0.15</c:v>
                </c:pt>
                <c:pt idx="6">
                  <c:v>0.2</c:v>
                </c:pt>
                <c:pt idx="7">
                  <c:v>0.75</c:v>
                </c:pt>
                <c:pt idx="8">
                  <c:v>0.75</c:v>
                </c:pt>
                <c:pt idx="9">
                  <c:v>0.75</c:v>
                </c:pt>
                <c:pt idx="10">
                  <c:v>0.75</c:v>
                </c:pt>
                <c:pt idx="11">
                  <c:v>0.75</c:v>
                </c:pt>
                <c:pt idx="12">
                  <c:v>0.2</c:v>
                </c:pt>
                <c:pt idx="13">
                  <c:v>0.75</c:v>
                </c:pt>
                <c:pt idx="14">
                  <c:v>0.75</c:v>
                </c:pt>
                <c:pt idx="15">
                  <c:v>0.75</c:v>
                </c:pt>
                <c:pt idx="16">
                  <c:v>0.75</c:v>
                </c:pt>
                <c:pt idx="17">
                  <c:v>0.75</c:v>
                </c:pt>
                <c:pt idx="18">
                  <c:v>0.75</c:v>
                </c:pt>
                <c:pt idx="19">
                  <c:v>0.75</c:v>
                </c:pt>
                <c:pt idx="20">
                  <c:v>0.2</c:v>
                </c:pt>
                <c:pt idx="21">
                  <c:v>0.15</c:v>
                </c:pt>
                <c:pt idx="22">
                  <c:v>0.15</c:v>
                </c:pt>
                <c:pt idx="23">
                  <c:v>0.15</c:v>
                </c:pt>
              </c:numCache>
            </c:numRef>
          </c:val>
          <c:smooth val="0"/>
          <c:extLst>
            <c:ext xmlns:c16="http://schemas.microsoft.com/office/drawing/2014/chart" uri="{C3380CC4-5D6E-409C-BE32-E72D297353CC}">
              <c16:uniqueId val="{00000001-5B67-4D39-B78A-E808AD8E7128}"/>
            </c:ext>
          </c:extLst>
        </c:ser>
        <c:ser>
          <c:idx val="2"/>
          <c:order val="2"/>
          <c:tx>
            <c:strRef>
              <c:f>Schedules!$E$126</c:f>
              <c:strCache>
                <c:ptCount val="1"/>
                <c:pt idx="0">
                  <c:v>Practice WD - Fall &amp; Spring</c:v>
                </c:pt>
              </c:strCache>
            </c:strRef>
          </c:tx>
          <c:spPr>
            <a:ln w="28575" cap="rnd">
              <a:solidFill>
                <a:schemeClr val="accent3"/>
              </a:solidFill>
              <a:round/>
            </a:ln>
            <a:effectLst/>
          </c:spPr>
          <c:marker>
            <c:symbol val="none"/>
          </c:marker>
          <c:val>
            <c:numRef>
              <c:f>Schedules!$F$126:$AC$126</c:f>
              <c:numCache>
                <c:formatCode>0.00</c:formatCode>
                <c:ptCount val="24"/>
                <c:pt idx="0">
                  <c:v>0.15</c:v>
                </c:pt>
                <c:pt idx="1">
                  <c:v>0.15</c:v>
                </c:pt>
                <c:pt idx="2">
                  <c:v>0.15</c:v>
                </c:pt>
                <c:pt idx="3">
                  <c:v>0.15</c:v>
                </c:pt>
                <c:pt idx="4">
                  <c:v>0.15</c:v>
                </c:pt>
                <c:pt idx="5">
                  <c:v>0.15</c:v>
                </c:pt>
                <c:pt idx="6">
                  <c:v>0.2</c:v>
                </c:pt>
                <c:pt idx="7">
                  <c:v>0.75</c:v>
                </c:pt>
                <c:pt idx="8">
                  <c:v>0.75</c:v>
                </c:pt>
                <c:pt idx="9">
                  <c:v>0.75</c:v>
                </c:pt>
                <c:pt idx="10">
                  <c:v>0.75</c:v>
                </c:pt>
                <c:pt idx="11">
                  <c:v>0.75</c:v>
                </c:pt>
                <c:pt idx="12">
                  <c:v>0.2</c:v>
                </c:pt>
                <c:pt idx="13">
                  <c:v>0.75</c:v>
                </c:pt>
                <c:pt idx="14">
                  <c:v>0.75</c:v>
                </c:pt>
                <c:pt idx="15">
                  <c:v>0.75</c:v>
                </c:pt>
                <c:pt idx="16">
                  <c:v>0.75</c:v>
                </c:pt>
                <c:pt idx="17">
                  <c:v>0.75</c:v>
                </c:pt>
                <c:pt idx="18">
                  <c:v>0.75</c:v>
                </c:pt>
                <c:pt idx="19">
                  <c:v>0.75</c:v>
                </c:pt>
                <c:pt idx="20">
                  <c:v>0.2</c:v>
                </c:pt>
                <c:pt idx="21">
                  <c:v>0.15</c:v>
                </c:pt>
                <c:pt idx="22">
                  <c:v>0.15</c:v>
                </c:pt>
                <c:pt idx="23">
                  <c:v>0.15</c:v>
                </c:pt>
              </c:numCache>
            </c:numRef>
          </c:val>
          <c:smooth val="0"/>
          <c:extLst>
            <c:ext xmlns:c16="http://schemas.microsoft.com/office/drawing/2014/chart" uri="{C3380CC4-5D6E-409C-BE32-E72D297353CC}">
              <c16:uniqueId val="{00000002-5B67-4D39-B78A-E808AD8E7128}"/>
            </c:ext>
          </c:extLst>
        </c:ser>
        <c:ser>
          <c:idx val="3"/>
          <c:order val="3"/>
          <c:tx>
            <c:strRef>
              <c:f>Schedules!$E$127</c:f>
              <c:strCache>
                <c:ptCount val="1"/>
                <c:pt idx="0">
                  <c:v>Game day WD - Winter</c:v>
                </c:pt>
              </c:strCache>
            </c:strRef>
          </c:tx>
          <c:spPr>
            <a:ln w="28575" cap="rnd">
              <a:solidFill>
                <a:schemeClr val="accent4"/>
              </a:solidFill>
              <a:round/>
            </a:ln>
            <a:effectLst/>
          </c:spPr>
          <c:marker>
            <c:symbol val="none"/>
          </c:marker>
          <c:val>
            <c:numRef>
              <c:f>Schedules!$F$127:$AC$127</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0.2</c:v>
                </c:pt>
                <c:pt idx="13">
                  <c:v>0.75</c:v>
                </c:pt>
                <c:pt idx="14">
                  <c:v>0.75</c:v>
                </c:pt>
                <c:pt idx="15">
                  <c:v>0.15</c:v>
                </c:pt>
                <c:pt idx="16">
                  <c:v>0.15</c:v>
                </c:pt>
                <c:pt idx="17">
                  <c:v>0.2</c:v>
                </c:pt>
                <c:pt idx="18">
                  <c:v>0.75</c:v>
                </c:pt>
                <c:pt idx="19">
                  <c:v>0.75</c:v>
                </c:pt>
                <c:pt idx="20">
                  <c:v>0.95</c:v>
                </c:pt>
                <c:pt idx="21">
                  <c:v>0.95</c:v>
                </c:pt>
                <c:pt idx="22">
                  <c:v>0.2</c:v>
                </c:pt>
                <c:pt idx="23">
                  <c:v>0.15</c:v>
                </c:pt>
              </c:numCache>
            </c:numRef>
          </c:val>
          <c:smooth val="0"/>
          <c:extLst>
            <c:ext xmlns:c16="http://schemas.microsoft.com/office/drawing/2014/chart" uri="{C3380CC4-5D6E-409C-BE32-E72D297353CC}">
              <c16:uniqueId val="{00000003-5B67-4D39-B78A-E808AD8E7128}"/>
            </c:ext>
          </c:extLst>
        </c:ser>
        <c:ser>
          <c:idx val="4"/>
          <c:order val="4"/>
          <c:tx>
            <c:strRef>
              <c:f>Schedules!$E$128</c:f>
              <c:strCache>
                <c:ptCount val="1"/>
                <c:pt idx="0">
                  <c:v>Game day WD - Fall &amp; Spring</c:v>
                </c:pt>
              </c:strCache>
            </c:strRef>
          </c:tx>
          <c:spPr>
            <a:ln w="28575" cap="rnd">
              <a:solidFill>
                <a:schemeClr val="accent5"/>
              </a:solidFill>
              <a:round/>
            </a:ln>
            <a:effectLst/>
          </c:spPr>
          <c:marker>
            <c:symbol val="none"/>
          </c:marker>
          <c:val>
            <c:numRef>
              <c:f>Schedules!$F$128:$AC$128</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0.2</c:v>
                </c:pt>
                <c:pt idx="13">
                  <c:v>0.75</c:v>
                </c:pt>
                <c:pt idx="14">
                  <c:v>0.75</c:v>
                </c:pt>
                <c:pt idx="15">
                  <c:v>0.15</c:v>
                </c:pt>
                <c:pt idx="16">
                  <c:v>0.15</c:v>
                </c:pt>
                <c:pt idx="17">
                  <c:v>0.2</c:v>
                </c:pt>
                <c:pt idx="18">
                  <c:v>0.75</c:v>
                </c:pt>
                <c:pt idx="19">
                  <c:v>0.75</c:v>
                </c:pt>
                <c:pt idx="20">
                  <c:v>0.75</c:v>
                </c:pt>
                <c:pt idx="21">
                  <c:v>0.75</c:v>
                </c:pt>
                <c:pt idx="22">
                  <c:v>0.2</c:v>
                </c:pt>
                <c:pt idx="23">
                  <c:v>0.15</c:v>
                </c:pt>
              </c:numCache>
            </c:numRef>
          </c:val>
          <c:smooth val="0"/>
          <c:extLst>
            <c:ext xmlns:c16="http://schemas.microsoft.com/office/drawing/2014/chart" uri="{C3380CC4-5D6E-409C-BE32-E72D297353CC}">
              <c16:uniqueId val="{00000004-5B67-4D39-B78A-E808AD8E7128}"/>
            </c:ext>
          </c:extLst>
        </c:ser>
        <c:ser>
          <c:idx val="5"/>
          <c:order val="5"/>
          <c:tx>
            <c:strRef>
              <c:f>Schedules!$E$129</c:f>
              <c:strCache>
                <c:ptCount val="1"/>
                <c:pt idx="0">
                  <c:v>All WE - Winter</c:v>
                </c:pt>
              </c:strCache>
            </c:strRef>
          </c:tx>
          <c:spPr>
            <a:ln w="28575" cap="rnd">
              <a:solidFill>
                <a:schemeClr val="accent6"/>
              </a:solidFill>
              <a:round/>
            </a:ln>
            <a:effectLst/>
          </c:spPr>
          <c:marker>
            <c:symbol val="none"/>
          </c:marker>
          <c:val>
            <c:numRef>
              <c:f>Schedules!$F$129:$AC$129</c:f>
              <c:numCache>
                <c:formatCode>0.00</c:formatCode>
                <c:ptCount val="24"/>
                <c:pt idx="0">
                  <c:v>0.15</c:v>
                </c:pt>
                <c:pt idx="1">
                  <c:v>0.15</c:v>
                </c:pt>
                <c:pt idx="2">
                  <c:v>0.15</c:v>
                </c:pt>
                <c:pt idx="3">
                  <c:v>0.15</c:v>
                </c:pt>
                <c:pt idx="4">
                  <c:v>0.15</c:v>
                </c:pt>
                <c:pt idx="5">
                  <c:v>0.15</c:v>
                </c:pt>
                <c:pt idx="6">
                  <c:v>0.15</c:v>
                </c:pt>
                <c:pt idx="7">
                  <c:v>0.2</c:v>
                </c:pt>
                <c:pt idx="8">
                  <c:v>0.95</c:v>
                </c:pt>
                <c:pt idx="9">
                  <c:v>0.95</c:v>
                </c:pt>
                <c:pt idx="10">
                  <c:v>0.95</c:v>
                </c:pt>
                <c:pt idx="11">
                  <c:v>0.95</c:v>
                </c:pt>
                <c:pt idx="12">
                  <c:v>0.95</c:v>
                </c:pt>
                <c:pt idx="13">
                  <c:v>0.95</c:v>
                </c:pt>
                <c:pt idx="14">
                  <c:v>0.2</c:v>
                </c:pt>
                <c:pt idx="15">
                  <c:v>0.15</c:v>
                </c:pt>
                <c:pt idx="16">
                  <c:v>0.15</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5-5B67-4D39-B78A-E808AD8E7128}"/>
            </c:ext>
          </c:extLst>
        </c:ser>
        <c:ser>
          <c:idx val="6"/>
          <c:order val="6"/>
          <c:tx>
            <c:strRef>
              <c:f>Schedules!$E$130</c:f>
              <c:strCache>
                <c:ptCount val="1"/>
                <c:pt idx="0">
                  <c:v>All WE - Fall &amp; Spring</c:v>
                </c:pt>
              </c:strCache>
            </c:strRef>
          </c:tx>
          <c:spPr>
            <a:ln w="28575" cap="rnd">
              <a:solidFill>
                <a:schemeClr val="accent1">
                  <a:lumMod val="60000"/>
                </a:schemeClr>
              </a:solidFill>
              <a:round/>
            </a:ln>
            <a:effectLst/>
          </c:spPr>
          <c:marker>
            <c:symbol val="none"/>
          </c:marker>
          <c:val>
            <c:numRef>
              <c:f>Schedules!$F$130:$AC$130</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0.75</c:v>
                </c:pt>
                <c:pt idx="13">
                  <c:v>0.75</c:v>
                </c:pt>
                <c:pt idx="14">
                  <c:v>0.2</c:v>
                </c:pt>
                <c:pt idx="15">
                  <c:v>0.15</c:v>
                </c:pt>
                <c:pt idx="16">
                  <c:v>0.15</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6-5B67-4D39-B78A-E808AD8E7128}"/>
            </c:ext>
          </c:extLst>
        </c:ser>
        <c:ser>
          <c:idx val="7"/>
          <c:order val="7"/>
          <c:tx>
            <c:strRef>
              <c:f>Schedules!$E$131</c:f>
              <c:strCache>
                <c:ptCount val="1"/>
                <c:pt idx="0">
                  <c:v>Summer Camp</c:v>
                </c:pt>
              </c:strCache>
            </c:strRef>
          </c:tx>
          <c:spPr>
            <a:ln w="28575" cap="rnd">
              <a:solidFill>
                <a:schemeClr val="accent2">
                  <a:lumMod val="60000"/>
                </a:schemeClr>
              </a:solidFill>
              <a:round/>
            </a:ln>
            <a:effectLst/>
          </c:spPr>
          <c:marker>
            <c:symbol val="none"/>
          </c:marker>
          <c:val>
            <c:numRef>
              <c:f>Schedules!$F$131:$AC$131</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0.75</c:v>
                </c:pt>
                <c:pt idx="13">
                  <c:v>0.75</c:v>
                </c:pt>
                <c:pt idx="14">
                  <c:v>0.75</c:v>
                </c:pt>
                <c:pt idx="15">
                  <c:v>0.75</c:v>
                </c:pt>
                <c:pt idx="16">
                  <c:v>0.75</c:v>
                </c:pt>
                <c:pt idx="17">
                  <c:v>0.2</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7-5B67-4D39-B78A-E808AD8E71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5.6348158442457354E-3"/>
          <c:y val="0.80708274756031939"/>
          <c:w val="0.99204209721446035"/>
          <c:h val="0.19291725243968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Unoccupied</c:v>
                </c:pt>
              </c:strCache>
            </c:strRef>
          </c:tx>
          <c:spPr>
            <a:ln w="28575" cap="rnd">
              <a:solidFill>
                <a:schemeClr val="accent1"/>
              </a:solidFill>
              <a:round/>
            </a:ln>
            <a:effectLst/>
          </c:spPr>
          <c:marker>
            <c:symbol val="none"/>
          </c:marker>
          <c:val>
            <c:numRef>
              <c:f>Schedules!$F$100:$AC$100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BEC9-4113-9DC7-AE97D9758FB2}"/>
            </c:ext>
          </c:extLst>
        </c:ser>
        <c:ser>
          <c:idx val="1"/>
          <c:order val="1"/>
          <c:tx>
            <c:strRef>
              <c:f>Schedules!$E$101</c:f>
              <c:strCache>
                <c:ptCount val="1"/>
                <c:pt idx="0">
                  <c:v>Practice WD - Winter</c:v>
                </c:pt>
              </c:strCache>
            </c:strRef>
          </c:tx>
          <c:spPr>
            <a:ln w="28575" cap="rnd">
              <a:solidFill>
                <a:schemeClr val="accent2"/>
              </a:solidFill>
              <a:round/>
            </a:ln>
            <a:effectLst/>
          </c:spPr>
          <c:marker>
            <c:symbol val="none"/>
          </c:marker>
          <c:val>
            <c:numRef>
              <c:f>Schedules!$F$101:$AC$101</c:f>
              <c:numCache>
                <c:formatCode>0.00</c:formatCode>
                <c:ptCount val="24"/>
                <c:pt idx="0">
                  <c:v>0</c:v>
                </c:pt>
                <c:pt idx="1">
                  <c:v>0</c:v>
                </c:pt>
                <c:pt idx="2">
                  <c:v>0</c:v>
                </c:pt>
                <c:pt idx="3">
                  <c:v>0</c:v>
                </c:pt>
                <c:pt idx="4">
                  <c:v>0</c:v>
                </c:pt>
                <c:pt idx="5">
                  <c:v>0</c:v>
                </c:pt>
                <c:pt idx="6">
                  <c:v>0.01</c:v>
                </c:pt>
                <c:pt idx="7">
                  <c:v>0.25</c:v>
                </c:pt>
                <c:pt idx="8">
                  <c:v>0.25</c:v>
                </c:pt>
                <c:pt idx="9">
                  <c:v>0.25</c:v>
                </c:pt>
                <c:pt idx="10">
                  <c:v>0.25</c:v>
                </c:pt>
                <c:pt idx="11">
                  <c:v>0.25</c:v>
                </c:pt>
                <c:pt idx="12">
                  <c:v>0.02</c:v>
                </c:pt>
                <c:pt idx="13">
                  <c:v>0.25</c:v>
                </c:pt>
                <c:pt idx="14">
                  <c:v>0.25</c:v>
                </c:pt>
                <c:pt idx="15">
                  <c:v>0.25</c:v>
                </c:pt>
                <c:pt idx="16">
                  <c:v>0.25</c:v>
                </c:pt>
                <c:pt idx="17">
                  <c:v>0.25</c:v>
                </c:pt>
                <c:pt idx="18">
                  <c:v>0.25</c:v>
                </c:pt>
                <c:pt idx="19">
                  <c:v>0.25</c:v>
                </c:pt>
                <c:pt idx="20">
                  <c:v>0.01</c:v>
                </c:pt>
                <c:pt idx="21">
                  <c:v>0</c:v>
                </c:pt>
                <c:pt idx="22">
                  <c:v>0</c:v>
                </c:pt>
                <c:pt idx="23">
                  <c:v>0</c:v>
                </c:pt>
              </c:numCache>
            </c:numRef>
          </c:val>
          <c:smooth val="0"/>
          <c:extLst>
            <c:ext xmlns:c16="http://schemas.microsoft.com/office/drawing/2014/chart" uri="{C3380CC4-5D6E-409C-BE32-E72D297353CC}">
              <c16:uniqueId val="{00000001-BEC9-4113-9DC7-AE97D9758FB2}"/>
            </c:ext>
          </c:extLst>
        </c:ser>
        <c:ser>
          <c:idx val="2"/>
          <c:order val="2"/>
          <c:tx>
            <c:strRef>
              <c:f>Schedules!$E$102</c:f>
              <c:strCache>
                <c:ptCount val="1"/>
                <c:pt idx="0">
                  <c:v>Practice WD - Fall &amp; Spring</c:v>
                </c:pt>
              </c:strCache>
            </c:strRef>
          </c:tx>
          <c:spPr>
            <a:ln w="28575" cap="rnd">
              <a:solidFill>
                <a:schemeClr val="accent3"/>
              </a:solidFill>
              <a:round/>
            </a:ln>
            <a:effectLst/>
          </c:spPr>
          <c:marker>
            <c:symbol val="none"/>
          </c:marker>
          <c:val>
            <c:numRef>
              <c:f>Schedules!$F$102:$AC$102</c:f>
              <c:numCache>
                <c:formatCode>0.00</c:formatCode>
                <c:ptCount val="24"/>
                <c:pt idx="0">
                  <c:v>0</c:v>
                </c:pt>
                <c:pt idx="1">
                  <c:v>0</c:v>
                </c:pt>
                <c:pt idx="2">
                  <c:v>0</c:v>
                </c:pt>
                <c:pt idx="3">
                  <c:v>0</c:v>
                </c:pt>
                <c:pt idx="4">
                  <c:v>0</c:v>
                </c:pt>
                <c:pt idx="5">
                  <c:v>0</c:v>
                </c:pt>
                <c:pt idx="6">
                  <c:v>0.01</c:v>
                </c:pt>
                <c:pt idx="7">
                  <c:v>0.125</c:v>
                </c:pt>
                <c:pt idx="8">
                  <c:v>0.125</c:v>
                </c:pt>
                <c:pt idx="9">
                  <c:v>0.125</c:v>
                </c:pt>
                <c:pt idx="10">
                  <c:v>0.125</c:v>
                </c:pt>
                <c:pt idx="11">
                  <c:v>0.125</c:v>
                </c:pt>
                <c:pt idx="12">
                  <c:v>0.02</c:v>
                </c:pt>
                <c:pt idx="13">
                  <c:v>0.125</c:v>
                </c:pt>
                <c:pt idx="14">
                  <c:v>0.125</c:v>
                </c:pt>
                <c:pt idx="15">
                  <c:v>0.125</c:v>
                </c:pt>
                <c:pt idx="16">
                  <c:v>0.125</c:v>
                </c:pt>
                <c:pt idx="17">
                  <c:v>0.125</c:v>
                </c:pt>
                <c:pt idx="18">
                  <c:v>0.125</c:v>
                </c:pt>
                <c:pt idx="19">
                  <c:v>0.125</c:v>
                </c:pt>
                <c:pt idx="20">
                  <c:v>0.01</c:v>
                </c:pt>
                <c:pt idx="21">
                  <c:v>0</c:v>
                </c:pt>
                <c:pt idx="22">
                  <c:v>0</c:v>
                </c:pt>
                <c:pt idx="23">
                  <c:v>0</c:v>
                </c:pt>
              </c:numCache>
            </c:numRef>
          </c:val>
          <c:smooth val="0"/>
          <c:extLst>
            <c:ext xmlns:c16="http://schemas.microsoft.com/office/drawing/2014/chart" uri="{C3380CC4-5D6E-409C-BE32-E72D297353CC}">
              <c16:uniqueId val="{00000002-BEC9-4113-9DC7-AE97D9758FB2}"/>
            </c:ext>
          </c:extLst>
        </c:ser>
        <c:ser>
          <c:idx val="3"/>
          <c:order val="3"/>
          <c:tx>
            <c:strRef>
              <c:f>Schedules!$E$103</c:f>
              <c:strCache>
                <c:ptCount val="1"/>
                <c:pt idx="0">
                  <c:v>Game day WD - Winter</c:v>
                </c:pt>
              </c:strCache>
            </c:strRef>
          </c:tx>
          <c:spPr>
            <a:ln w="28575" cap="rnd">
              <a:solidFill>
                <a:schemeClr val="accent4"/>
              </a:solidFill>
              <a:round/>
            </a:ln>
            <a:effectLst/>
          </c:spPr>
          <c:marker>
            <c:symbol val="none"/>
          </c:marker>
          <c:val>
            <c:numRef>
              <c:f>Schedules!$F$103:$AC$103</c:f>
              <c:numCache>
                <c:formatCode>0.00</c:formatCode>
                <c:ptCount val="24"/>
                <c:pt idx="0">
                  <c:v>0</c:v>
                </c:pt>
                <c:pt idx="1">
                  <c:v>0</c:v>
                </c:pt>
                <c:pt idx="2">
                  <c:v>0</c:v>
                </c:pt>
                <c:pt idx="3">
                  <c:v>0</c:v>
                </c:pt>
                <c:pt idx="4">
                  <c:v>0</c:v>
                </c:pt>
                <c:pt idx="5">
                  <c:v>0</c:v>
                </c:pt>
                <c:pt idx="6">
                  <c:v>0</c:v>
                </c:pt>
                <c:pt idx="7">
                  <c:v>3.7499999999999999E-2</c:v>
                </c:pt>
                <c:pt idx="8">
                  <c:v>0.25</c:v>
                </c:pt>
                <c:pt idx="9">
                  <c:v>0.25</c:v>
                </c:pt>
                <c:pt idx="10">
                  <c:v>0.25</c:v>
                </c:pt>
                <c:pt idx="11">
                  <c:v>0.25</c:v>
                </c:pt>
                <c:pt idx="12">
                  <c:v>0.02</c:v>
                </c:pt>
                <c:pt idx="13">
                  <c:v>0.25</c:v>
                </c:pt>
                <c:pt idx="14">
                  <c:v>0.25</c:v>
                </c:pt>
                <c:pt idx="15">
                  <c:v>0.01</c:v>
                </c:pt>
                <c:pt idx="16">
                  <c:v>0.01</c:v>
                </c:pt>
                <c:pt idx="17">
                  <c:v>0.05</c:v>
                </c:pt>
                <c:pt idx="18">
                  <c:v>0.5</c:v>
                </c:pt>
                <c:pt idx="19">
                  <c:v>0.5</c:v>
                </c:pt>
                <c:pt idx="20">
                  <c:v>0.95</c:v>
                </c:pt>
                <c:pt idx="21">
                  <c:v>0.95</c:v>
                </c:pt>
                <c:pt idx="22">
                  <c:v>0.05</c:v>
                </c:pt>
                <c:pt idx="23">
                  <c:v>0</c:v>
                </c:pt>
              </c:numCache>
            </c:numRef>
          </c:val>
          <c:smooth val="0"/>
          <c:extLst>
            <c:ext xmlns:c16="http://schemas.microsoft.com/office/drawing/2014/chart" uri="{C3380CC4-5D6E-409C-BE32-E72D297353CC}">
              <c16:uniqueId val="{00000003-BEC9-4113-9DC7-AE97D9758FB2}"/>
            </c:ext>
          </c:extLst>
        </c:ser>
        <c:ser>
          <c:idx val="4"/>
          <c:order val="4"/>
          <c:tx>
            <c:strRef>
              <c:f>Schedules!$E$104</c:f>
              <c:strCache>
                <c:ptCount val="1"/>
                <c:pt idx="0">
                  <c:v>Game day WD - Fall &amp; Spring</c:v>
                </c:pt>
              </c:strCache>
            </c:strRef>
          </c:tx>
          <c:spPr>
            <a:ln w="28575" cap="rnd">
              <a:solidFill>
                <a:schemeClr val="accent5"/>
              </a:solidFill>
              <a:round/>
            </a:ln>
            <a:effectLst/>
          </c:spPr>
          <c:marker>
            <c:symbol val="none"/>
          </c:marker>
          <c:val>
            <c:numRef>
              <c:f>Schedules!$F$104:$AC$104</c:f>
              <c:numCache>
                <c:formatCode>0.00</c:formatCode>
                <c:ptCount val="24"/>
                <c:pt idx="0">
                  <c:v>0</c:v>
                </c:pt>
                <c:pt idx="1">
                  <c:v>0</c:v>
                </c:pt>
                <c:pt idx="2">
                  <c:v>0</c:v>
                </c:pt>
                <c:pt idx="3">
                  <c:v>0</c:v>
                </c:pt>
                <c:pt idx="4">
                  <c:v>0</c:v>
                </c:pt>
                <c:pt idx="5">
                  <c:v>0</c:v>
                </c:pt>
                <c:pt idx="6">
                  <c:v>0</c:v>
                </c:pt>
                <c:pt idx="7">
                  <c:v>1.8749999999999999E-2</c:v>
                </c:pt>
                <c:pt idx="8">
                  <c:v>0.125</c:v>
                </c:pt>
                <c:pt idx="9">
                  <c:v>0.125</c:v>
                </c:pt>
                <c:pt idx="10">
                  <c:v>0.125</c:v>
                </c:pt>
                <c:pt idx="11">
                  <c:v>0.125</c:v>
                </c:pt>
                <c:pt idx="12">
                  <c:v>0.02</c:v>
                </c:pt>
                <c:pt idx="13">
                  <c:v>0.125</c:v>
                </c:pt>
                <c:pt idx="14">
                  <c:v>0.125</c:v>
                </c:pt>
                <c:pt idx="15">
                  <c:v>0.01</c:v>
                </c:pt>
                <c:pt idx="16">
                  <c:v>0.01</c:v>
                </c:pt>
                <c:pt idx="17">
                  <c:v>2.5000000000000001E-2</c:v>
                </c:pt>
                <c:pt idx="18">
                  <c:v>0.25</c:v>
                </c:pt>
                <c:pt idx="19">
                  <c:v>0.25</c:v>
                </c:pt>
                <c:pt idx="20">
                  <c:v>0.5</c:v>
                </c:pt>
                <c:pt idx="21">
                  <c:v>0.5</c:v>
                </c:pt>
                <c:pt idx="22">
                  <c:v>2.5000000000000001E-2</c:v>
                </c:pt>
                <c:pt idx="23">
                  <c:v>0</c:v>
                </c:pt>
              </c:numCache>
            </c:numRef>
          </c:val>
          <c:smooth val="0"/>
          <c:extLst>
            <c:ext xmlns:c16="http://schemas.microsoft.com/office/drawing/2014/chart" uri="{C3380CC4-5D6E-409C-BE32-E72D297353CC}">
              <c16:uniqueId val="{00000004-BEC9-4113-9DC7-AE97D9758FB2}"/>
            </c:ext>
          </c:extLst>
        </c:ser>
        <c:ser>
          <c:idx val="5"/>
          <c:order val="5"/>
          <c:tx>
            <c:strRef>
              <c:f>Schedules!$E$105</c:f>
              <c:strCache>
                <c:ptCount val="1"/>
                <c:pt idx="0">
                  <c:v>All WE - Winter</c:v>
                </c:pt>
              </c:strCache>
            </c:strRef>
          </c:tx>
          <c:spPr>
            <a:ln w="28575" cap="rnd">
              <a:solidFill>
                <a:schemeClr val="accent6"/>
              </a:solidFill>
              <a:round/>
            </a:ln>
            <a:effectLst/>
          </c:spPr>
          <c:marker>
            <c:symbol val="none"/>
          </c:marker>
          <c:val>
            <c:numRef>
              <c:f>Schedules!$F$105:$AC$105</c:f>
              <c:numCache>
                <c:formatCode>0.00</c:formatCode>
                <c:ptCount val="24"/>
                <c:pt idx="0">
                  <c:v>0</c:v>
                </c:pt>
                <c:pt idx="1">
                  <c:v>0</c:v>
                </c:pt>
                <c:pt idx="2">
                  <c:v>0</c:v>
                </c:pt>
                <c:pt idx="3">
                  <c:v>0</c:v>
                </c:pt>
                <c:pt idx="4">
                  <c:v>0</c:v>
                </c:pt>
                <c:pt idx="5">
                  <c:v>0</c:v>
                </c:pt>
                <c:pt idx="6">
                  <c:v>0</c:v>
                </c:pt>
                <c:pt idx="7">
                  <c:v>0.05</c:v>
                </c:pt>
                <c:pt idx="8">
                  <c:v>0.95</c:v>
                </c:pt>
                <c:pt idx="9">
                  <c:v>0.95</c:v>
                </c:pt>
                <c:pt idx="10">
                  <c:v>0.95</c:v>
                </c:pt>
                <c:pt idx="11">
                  <c:v>0.95</c:v>
                </c:pt>
                <c:pt idx="12">
                  <c:v>0.95</c:v>
                </c:pt>
                <c:pt idx="13">
                  <c:v>0.95</c:v>
                </c:pt>
                <c:pt idx="14">
                  <c:v>0.05</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BEC9-4113-9DC7-AE97D9758FB2}"/>
            </c:ext>
          </c:extLst>
        </c:ser>
        <c:ser>
          <c:idx val="6"/>
          <c:order val="6"/>
          <c:tx>
            <c:strRef>
              <c:f>Schedules!$E$106</c:f>
              <c:strCache>
                <c:ptCount val="1"/>
                <c:pt idx="0">
                  <c:v>All WE - Fall &amp; Spring</c:v>
                </c:pt>
              </c:strCache>
            </c:strRef>
          </c:tx>
          <c:spPr>
            <a:ln w="28575" cap="rnd">
              <a:solidFill>
                <a:schemeClr val="accent1">
                  <a:lumMod val="60000"/>
                </a:schemeClr>
              </a:solidFill>
              <a:round/>
            </a:ln>
            <a:effectLst/>
          </c:spPr>
          <c:marker>
            <c:symbol val="none"/>
          </c:marker>
          <c:val>
            <c:numRef>
              <c:f>Schedules!$F$106:$AC$106</c:f>
              <c:numCache>
                <c:formatCode>0.00</c:formatCode>
                <c:ptCount val="24"/>
                <c:pt idx="0">
                  <c:v>0</c:v>
                </c:pt>
                <c:pt idx="1">
                  <c:v>0</c:v>
                </c:pt>
                <c:pt idx="2">
                  <c:v>0</c:v>
                </c:pt>
                <c:pt idx="3">
                  <c:v>0</c:v>
                </c:pt>
                <c:pt idx="4">
                  <c:v>0</c:v>
                </c:pt>
                <c:pt idx="5">
                  <c:v>0</c:v>
                </c:pt>
                <c:pt idx="6">
                  <c:v>0</c:v>
                </c:pt>
                <c:pt idx="7">
                  <c:v>2.5000000000000001E-2</c:v>
                </c:pt>
                <c:pt idx="8">
                  <c:v>0.5</c:v>
                </c:pt>
                <c:pt idx="9">
                  <c:v>0.5</c:v>
                </c:pt>
                <c:pt idx="10">
                  <c:v>0.5</c:v>
                </c:pt>
                <c:pt idx="11">
                  <c:v>0.5</c:v>
                </c:pt>
                <c:pt idx="12">
                  <c:v>0.5</c:v>
                </c:pt>
                <c:pt idx="13">
                  <c:v>0.5</c:v>
                </c:pt>
                <c:pt idx="14">
                  <c:v>2.5000000000000001E-2</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BEC9-4113-9DC7-AE97D9758FB2}"/>
            </c:ext>
          </c:extLst>
        </c:ser>
        <c:ser>
          <c:idx val="7"/>
          <c:order val="7"/>
          <c:tx>
            <c:strRef>
              <c:f>Schedules!$E$107</c:f>
              <c:strCache>
                <c:ptCount val="1"/>
                <c:pt idx="0">
                  <c:v>Summer Camp</c:v>
                </c:pt>
              </c:strCache>
            </c:strRef>
          </c:tx>
          <c:spPr>
            <a:ln w="28575" cap="rnd">
              <a:solidFill>
                <a:schemeClr val="accent2">
                  <a:lumMod val="60000"/>
                </a:schemeClr>
              </a:solidFill>
              <a:round/>
            </a:ln>
            <a:effectLst/>
          </c:spPr>
          <c:marker>
            <c:symbol val="none"/>
          </c:marker>
          <c:val>
            <c:numRef>
              <c:f>Schedules!$F$107:$AC$107</c:f>
              <c:numCache>
                <c:formatCode>0.00</c:formatCode>
                <c:ptCount val="24"/>
                <c:pt idx="0">
                  <c:v>0</c:v>
                </c:pt>
                <c:pt idx="1">
                  <c:v>0</c:v>
                </c:pt>
                <c:pt idx="2">
                  <c:v>0</c:v>
                </c:pt>
                <c:pt idx="3">
                  <c:v>0</c:v>
                </c:pt>
                <c:pt idx="4">
                  <c:v>0</c:v>
                </c:pt>
                <c:pt idx="5">
                  <c:v>0</c:v>
                </c:pt>
                <c:pt idx="6">
                  <c:v>0</c:v>
                </c:pt>
                <c:pt idx="7">
                  <c:v>0.05</c:v>
                </c:pt>
                <c:pt idx="8">
                  <c:v>0.3</c:v>
                </c:pt>
                <c:pt idx="9">
                  <c:v>0.3</c:v>
                </c:pt>
                <c:pt idx="10">
                  <c:v>0.3</c:v>
                </c:pt>
                <c:pt idx="11">
                  <c:v>0.3</c:v>
                </c:pt>
                <c:pt idx="12">
                  <c:v>0.3</c:v>
                </c:pt>
                <c:pt idx="13">
                  <c:v>0.3</c:v>
                </c:pt>
                <c:pt idx="14">
                  <c:v>0.3</c:v>
                </c:pt>
                <c:pt idx="15">
                  <c:v>0.3</c:v>
                </c:pt>
                <c:pt idx="16">
                  <c:v>0.3</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7-BEC9-4113-9DC7-AE97D9758FB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2.0410136429605116E-3"/>
          <c:y val="0.80698398445160013"/>
          <c:w val="0.9979589863570395"/>
          <c:h val="0.193016015548399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Lit>
          </c:val>
          <c:smooth val="0"/>
          <c:extLst>
            <c:ext xmlns:c16="http://schemas.microsoft.com/office/drawing/2014/chart" uri="{C3380CC4-5D6E-409C-BE32-E72D297353CC}">
              <c16:uniqueId val="{00000000-7065-4C2D-82ED-E6A573A9048D}"/>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7065-4C2D-82ED-E6A573A9048D}"/>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7065-4C2D-82ED-E6A573A9048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Schedules!$E$108</c:f>
              <c:strCache>
                <c:ptCount val="1"/>
                <c:pt idx="0">
                  <c:v>Unoccupied</c:v>
                </c:pt>
              </c:strCache>
            </c:strRef>
          </c:tx>
          <c:spPr>
            <a:ln w="28575" cap="rnd">
              <a:solidFill>
                <a:schemeClr val="accent1"/>
              </a:solidFill>
              <a:round/>
            </a:ln>
            <a:effectLst/>
          </c:spPr>
          <c:marker>
            <c:symbol val="none"/>
          </c:marker>
          <c:val>
            <c:numRef>
              <c:f>Schedules!$F$108:$AC$108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4821-4F33-877E-E54A34989173}"/>
            </c:ext>
          </c:extLst>
        </c:ser>
        <c:ser>
          <c:idx val="1"/>
          <c:order val="1"/>
          <c:tx>
            <c:strRef>
              <c:f>Schedules!$E$109</c:f>
              <c:strCache>
                <c:ptCount val="1"/>
                <c:pt idx="0">
                  <c:v>Practice WD - Winter</c:v>
                </c:pt>
              </c:strCache>
            </c:strRef>
          </c:tx>
          <c:spPr>
            <a:ln w="28575" cap="rnd">
              <a:solidFill>
                <a:schemeClr val="accent2"/>
              </a:solidFill>
              <a:round/>
            </a:ln>
            <a:effectLst/>
          </c:spPr>
          <c:marker>
            <c:symbol val="none"/>
          </c:marker>
          <c:val>
            <c:numRef>
              <c:f>Schedules!$F$109:$AC$109</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1-4821-4F33-877E-E54A34989173}"/>
            </c:ext>
          </c:extLst>
        </c:ser>
        <c:ser>
          <c:idx val="2"/>
          <c:order val="2"/>
          <c:tx>
            <c:strRef>
              <c:f>Schedules!$E$110</c:f>
              <c:strCache>
                <c:ptCount val="1"/>
                <c:pt idx="0">
                  <c:v>Practice WD - Fall &amp; Spring</c:v>
                </c:pt>
              </c:strCache>
            </c:strRef>
          </c:tx>
          <c:spPr>
            <a:ln w="28575" cap="rnd">
              <a:solidFill>
                <a:schemeClr val="accent3"/>
              </a:solidFill>
              <a:round/>
            </a:ln>
            <a:effectLst/>
          </c:spPr>
          <c:marker>
            <c:symbol val="none"/>
          </c:marker>
          <c:val>
            <c:numRef>
              <c:f>Schedules!$F$110:$AC$110</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2-4821-4F33-877E-E54A34989173}"/>
            </c:ext>
          </c:extLst>
        </c:ser>
        <c:ser>
          <c:idx val="3"/>
          <c:order val="3"/>
          <c:tx>
            <c:strRef>
              <c:f>Schedules!$E$111</c:f>
              <c:strCache>
                <c:ptCount val="1"/>
                <c:pt idx="0">
                  <c:v>Game day WD - Winter</c:v>
                </c:pt>
              </c:strCache>
            </c:strRef>
          </c:tx>
          <c:spPr>
            <a:ln w="28575" cap="rnd">
              <a:solidFill>
                <a:schemeClr val="accent4"/>
              </a:solidFill>
              <a:round/>
            </a:ln>
            <a:effectLst/>
          </c:spPr>
          <c:marker>
            <c:symbol val="none"/>
          </c:marker>
          <c:val>
            <c:numRef>
              <c:f>Schedules!$F$111:$AC$111</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3-4821-4F33-877E-E54A34989173}"/>
            </c:ext>
          </c:extLst>
        </c:ser>
        <c:ser>
          <c:idx val="4"/>
          <c:order val="4"/>
          <c:tx>
            <c:strRef>
              <c:f>Schedules!$E$112</c:f>
              <c:strCache>
                <c:ptCount val="1"/>
                <c:pt idx="0">
                  <c:v>Game day WD - Fall &amp; Spring</c:v>
                </c:pt>
              </c:strCache>
            </c:strRef>
          </c:tx>
          <c:spPr>
            <a:ln w="28575" cap="rnd">
              <a:solidFill>
                <a:schemeClr val="accent5"/>
              </a:solidFill>
              <a:round/>
            </a:ln>
            <a:effectLst/>
          </c:spPr>
          <c:marker>
            <c:symbol val="none"/>
          </c:marker>
          <c:val>
            <c:numRef>
              <c:f>Schedules!$F$112:$AC$112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4-4821-4F33-877E-E54A34989173}"/>
            </c:ext>
          </c:extLst>
        </c:ser>
        <c:ser>
          <c:idx val="5"/>
          <c:order val="5"/>
          <c:tx>
            <c:strRef>
              <c:f>Schedules!$E$113</c:f>
              <c:strCache>
                <c:ptCount val="1"/>
                <c:pt idx="0">
                  <c:v>All WE - Winter</c:v>
                </c:pt>
              </c:strCache>
            </c:strRef>
          </c:tx>
          <c:spPr>
            <a:ln w="28575" cap="rnd">
              <a:solidFill>
                <a:schemeClr val="accent6"/>
              </a:solidFill>
              <a:round/>
            </a:ln>
            <a:effectLst/>
          </c:spPr>
          <c:marker>
            <c:symbol val="none"/>
          </c:marker>
          <c:val>
            <c:numRef>
              <c:f>Schedules!$F$113:$AC$113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4821-4F33-877E-E54A34989173}"/>
            </c:ext>
          </c:extLst>
        </c:ser>
        <c:ser>
          <c:idx val="6"/>
          <c:order val="6"/>
          <c:tx>
            <c:strRef>
              <c:f>Schedules!$E$114</c:f>
              <c:strCache>
                <c:ptCount val="1"/>
                <c:pt idx="0">
                  <c:v>All WE - Fall &amp; Spring</c:v>
                </c:pt>
              </c:strCache>
            </c:strRef>
          </c:tx>
          <c:spPr>
            <a:ln w="28575" cap="rnd">
              <a:solidFill>
                <a:schemeClr val="accent1">
                  <a:lumMod val="60000"/>
                </a:schemeClr>
              </a:solidFill>
              <a:round/>
            </a:ln>
            <a:effectLst/>
          </c:spPr>
          <c:marker>
            <c:symbol val="none"/>
          </c:marker>
          <c:val>
            <c:numRef>
              <c:f>Schedules!$F$114:$AC$114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4821-4F33-877E-E54A34989173}"/>
            </c:ext>
          </c:extLst>
        </c:ser>
        <c:ser>
          <c:idx val="7"/>
          <c:order val="7"/>
          <c:tx>
            <c:strRef>
              <c:f>Schedules!$E$115</c:f>
              <c:strCache>
                <c:ptCount val="1"/>
                <c:pt idx="0">
                  <c:v>Summer Camp</c:v>
                </c:pt>
              </c:strCache>
            </c:strRef>
          </c:tx>
          <c:spPr>
            <a:ln w="28575" cap="rnd">
              <a:solidFill>
                <a:schemeClr val="accent2">
                  <a:lumMod val="60000"/>
                </a:schemeClr>
              </a:solidFill>
              <a:round/>
            </a:ln>
            <a:effectLst/>
          </c:spPr>
          <c:marker>
            <c:symbol val="none"/>
          </c:marker>
          <c:val>
            <c:numRef>
              <c:f>Schedules!$F$115:$AC$115</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7-4821-4F33-877E-E54A3498917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9.4342301653074501E-3"/>
          <c:y val="0.8287754931311212"/>
          <c:w val="0.99056576983469258"/>
          <c:h val="0.170849168504144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191-4CA7-A18F-E29195627B41}"/>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191-4CA7-A18F-E29195627B41}"/>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191-4CA7-A18F-E29195627B4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Lit>
          </c:val>
          <c:smooth val="0"/>
          <c:extLst>
            <c:ext xmlns:c16="http://schemas.microsoft.com/office/drawing/2014/chart" uri="{C3380CC4-5D6E-409C-BE32-E72D297353CC}">
              <c16:uniqueId val="{00000000-CA8E-4E09-BD5E-91EF877AD7A4}"/>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CA8E-4E09-BD5E-91EF877AD7A4}"/>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CA8E-4E09-BD5E-91EF877AD7A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743-4380-B6F1-A5CD90F1E3E1}"/>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743-4380-B6F1-A5CD90F1E3E1}"/>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743-4380-B6F1-A5CD90F1E3E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9F3B-4D97-AA25-2828BB70B39D}"/>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9F3B-4D97-AA25-2828BB70B39D}"/>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9F3B-4D97-AA25-2828BB70B39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33DE-437B-87B3-40A2B923429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33DE-437B-87B3-40A2B923429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33DE-437B-87B3-40A2B923429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430B-4832-8096-370FD8638F07}"/>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430B-4832-8096-370FD8638F07}"/>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430B-4832-8096-370FD8638F0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D392-43FE-A56A-7F16FE5969E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D392-43FE-A56A-7F16FE5969E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D392-43FE-A56A-7F16FE5969E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45E2-4FE9-A167-8AD070485C4A}"/>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45E2-4FE9-A167-8AD070485C4A}"/>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45E2-4FE9-A167-8AD070485C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CEUS 2022</a:t>
            </a:r>
          </a:p>
        </c:rich>
      </c:tx>
      <c:layout>
        <c:manualLayout>
          <c:xMode val="edge"/>
          <c:yMode val="edge"/>
          <c:x val="0.30244144420479152"/>
          <c:y val="1.489814628404368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462C-47F2-A8F3-462BF3129E8F}"/>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462C-47F2-A8F3-462BF3129E8F}"/>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462C-47F2-A8F3-462BF3129E8F}"/>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462C-47F2-A8F3-462BF3129E8F}"/>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29.025000000000002</c:v>
                </c:pt>
                <c:pt idx="1">
                  <c:v>25.724999999999998</c:v>
                </c:pt>
                <c:pt idx="2">
                  <c:v>23.1</c:v>
                </c:pt>
                <c:pt idx="3">
                  <c:v>29.625</c:v>
                </c:pt>
                <c:pt idx="4">
                  <c:v>22.274999999999999</c:v>
                </c:pt>
                <c:pt idx="5">
                  <c:v>23.85</c:v>
                </c:pt>
                <c:pt idx="6">
                  <c:v>24.599999999999998</c:v>
                </c:pt>
                <c:pt idx="7">
                  <c:v>28.950000000000003</c:v>
                </c:pt>
                <c:pt idx="8">
                  <c:v>28.875</c:v>
                </c:pt>
                <c:pt idx="9">
                  <c:v>31.650000000000002</c:v>
                </c:pt>
                <c:pt idx="10">
                  <c:v>35.775000000000006</c:v>
                </c:pt>
                <c:pt idx="11">
                  <c:v>31.200000000000003</c:v>
                </c:pt>
                <c:pt idx="12">
                  <c:v>37.200000000000003</c:v>
                </c:pt>
                <c:pt idx="13">
                  <c:v>36.599999999999994</c:v>
                </c:pt>
                <c:pt idx="14">
                  <c:v>49.349999999999994</c:v>
                </c:pt>
                <c:pt idx="15">
                  <c:v>33</c:v>
                </c:pt>
              </c:numCache>
            </c:numRef>
          </c:val>
          <c:extLst>
            <c:ext xmlns:c16="http://schemas.microsoft.com/office/drawing/2014/chart" uri="{C3380CC4-5D6E-409C-BE32-E72D297353CC}">
              <c16:uniqueId val="{00000000-F016-400D-BFE4-22E3EA1F5954}"/>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19.349999999999998</c:v>
                </c:pt>
                <c:pt idx="1">
                  <c:v>17.150000000000002</c:v>
                </c:pt>
                <c:pt idx="2">
                  <c:v>15.399999999999999</c:v>
                </c:pt>
                <c:pt idx="3">
                  <c:v>19.75</c:v>
                </c:pt>
                <c:pt idx="4">
                  <c:v>14.850000000000001</c:v>
                </c:pt>
                <c:pt idx="5">
                  <c:v>15.899999999999999</c:v>
                </c:pt>
                <c:pt idx="6">
                  <c:v>16.400000000000002</c:v>
                </c:pt>
                <c:pt idx="7">
                  <c:v>19.299999999999997</c:v>
                </c:pt>
                <c:pt idx="8">
                  <c:v>19.25</c:v>
                </c:pt>
                <c:pt idx="9">
                  <c:v>21.099999999999998</c:v>
                </c:pt>
                <c:pt idx="10">
                  <c:v>23.849999999999994</c:v>
                </c:pt>
                <c:pt idx="11">
                  <c:v>20.799999999999997</c:v>
                </c:pt>
                <c:pt idx="12">
                  <c:v>24.799999999999997</c:v>
                </c:pt>
                <c:pt idx="13">
                  <c:v>24.400000000000006</c:v>
                </c:pt>
                <c:pt idx="14">
                  <c:v>32.900000000000006</c:v>
                </c:pt>
                <c:pt idx="15">
                  <c:v>22</c:v>
                </c:pt>
              </c:numCache>
            </c:numRef>
          </c:val>
          <c:extLst>
            <c:ext xmlns:c16="http://schemas.microsoft.com/office/drawing/2014/chart" uri="{C3380CC4-5D6E-409C-BE32-E72D297353CC}">
              <c16:uniqueId val="{00000001-F016-400D-BFE4-22E3EA1F5954}"/>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016-400D-BFE4-22E3EA1F5954}"/>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016-400D-BFE4-22E3EA1F595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6" Type="http://schemas.openxmlformats.org/officeDocument/2006/relationships/chart" Target="../charts/chart26.xml"/><Relationship Id="rId21" Type="http://schemas.openxmlformats.org/officeDocument/2006/relationships/chart" Target="../charts/chart21.xml"/><Relationship Id="rId42" Type="http://schemas.openxmlformats.org/officeDocument/2006/relationships/chart" Target="../charts/chart42.xml"/><Relationship Id="rId47" Type="http://schemas.openxmlformats.org/officeDocument/2006/relationships/chart" Target="../charts/chart47.xml"/><Relationship Id="rId63" Type="http://schemas.openxmlformats.org/officeDocument/2006/relationships/chart" Target="../charts/chart63.xml"/><Relationship Id="rId68" Type="http://schemas.openxmlformats.org/officeDocument/2006/relationships/chart" Target="../charts/chart68.xml"/><Relationship Id="rId7" Type="http://schemas.openxmlformats.org/officeDocument/2006/relationships/chart" Target="../charts/chart7.xml"/><Relationship Id="rId71" Type="http://schemas.openxmlformats.org/officeDocument/2006/relationships/chart" Target="../charts/chart71.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8" Type="http://schemas.openxmlformats.org/officeDocument/2006/relationships/chart" Target="../charts/chart58.xml"/><Relationship Id="rId66" Type="http://schemas.openxmlformats.org/officeDocument/2006/relationships/chart" Target="../charts/chart66.xml"/><Relationship Id="rId5" Type="http://schemas.openxmlformats.org/officeDocument/2006/relationships/chart" Target="../charts/chart5.xml"/><Relationship Id="rId61" Type="http://schemas.openxmlformats.org/officeDocument/2006/relationships/chart" Target="../charts/chart61.xml"/><Relationship Id="rId19" Type="http://schemas.openxmlformats.org/officeDocument/2006/relationships/chart" Target="../charts/chart1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64" Type="http://schemas.openxmlformats.org/officeDocument/2006/relationships/chart" Target="../charts/chart64.xml"/><Relationship Id="rId69" Type="http://schemas.openxmlformats.org/officeDocument/2006/relationships/chart" Target="../charts/chart69.xml"/><Relationship Id="rId8" Type="http://schemas.openxmlformats.org/officeDocument/2006/relationships/chart" Target="../charts/chart8.xml"/><Relationship Id="rId51" Type="http://schemas.openxmlformats.org/officeDocument/2006/relationships/chart" Target="../charts/chart51.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59" Type="http://schemas.openxmlformats.org/officeDocument/2006/relationships/chart" Target="../charts/chart59.xml"/><Relationship Id="rId67" Type="http://schemas.openxmlformats.org/officeDocument/2006/relationships/chart" Target="../charts/chart67.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62" Type="http://schemas.openxmlformats.org/officeDocument/2006/relationships/chart" Target="../charts/chart62.xml"/><Relationship Id="rId70" Type="http://schemas.openxmlformats.org/officeDocument/2006/relationships/chart" Target="../charts/chart70.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60" Type="http://schemas.openxmlformats.org/officeDocument/2006/relationships/chart" Target="../charts/chart60.xml"/><Relationship Id="rId65" Type="http://schemas.openxmlformats.org/officeDocument/2006/relationships/chart" Target="../charts/chart65.xml"/><Relationship Id="rId4" Type="http://schemas.openxmlformats.org/officeDocument/2006/relationships/chart" Target="../charts/chart4.xml"/><Relationship Id="rId9" Type="http://schemas.openxmlformats.org/officeDocument/2006/relationships/chart" Target="../charts/chart9.xml"/><Relationship Id="rId13" Type="http://schemas.openxmlformats.org/officeDocument/2006/relationships/chart" Target="../charts/chart13.xml"/><Relationship Id="rId18" Type="http://schemas.openxmlformats.org/officeDocument/2006/relationships/chart" Target="../charts/chart18.xml"/><Relationship Id="rId39" Type="http://schemas.openxmlformats.org/officeDocument/2006/relationships/chart" Target="../charts/chart39.xml"/><Relationship Id="rId34" Type="http://schemas.openxmlformats.org/officeDocument/2006/relationships/chart" Target="../charts/chart34.xml"/><Relationship Id="rId50" Type="http://schemas.openxmlformats.org/officeDocument/2006/relationships/chart" Target="../charts/chart50.xml"/><Relationship Id="rId55" Type="http://schemas.openxmlformats.org/officeDocument/2006/relationships/chart" Target="../charts/chart5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3.xml"/><Relationship Id="rId1" Type="http://schemas.openxmlformats.org/officeDocument/2006/relationships/chart" Target="../charts/chart7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123826</xdr:rowOff>
    </xdr:from>
    <xdr:to>
      <xdr:col>2</xdr:col>
      <xdr:colOff>741399</xdr:colOff>
      <xdr:row>34</xdr:row>
      <xdr:rowOff>53340</xdr:rowOff>
    </xdr:to>
    <xdr:pic>
      <xdr:nvPicPr>
        <xdr:cNvPr id="2" name="Picture 1">
          <a:extLst>
            <a:ext uri="{FF2B5EF4-FFF2-40B4-BE49-F238E27FC236}">
              <a16:creationId xmlns:a16="http://schemas.microsoft.com/office/drawing/2014/main" id="{4809C3EC-C295-1CFB-0BD1-5A8A93451A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400551"/>
          <a:ext cx="7403184" cy="1676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403415</xdr:colOff>
      <xdr:row>7</xdr:row>
      <xdr:rowOff>33617</xdr:rowOff>
    </xdr:from>
    <xdr:to>
      <xdr:col>1</xdr:col>
      <xdr:colOff>3048002</xdr:colOff>
      <xdr:row>7</xdr:row>
      <xdr:rowOff>1199998</xdr:rowOff>
    </xdr:to>
    <xdr:pic>
      <xdr:nvPicPr>
        <xdr:cNvPr id="3" name="Picture 2">
          <a:extLst>
            <a:ext uri="{FF2B5EF4-FFF2-40B4-BE49-F238E27FC236}">
              <a16:creationId xmlns:a16="http://schemas.microsoft.com/office/drawing/2014/main" id="{90F375FD-449B-A33E-8FC9-A19796D28094}"/>
            </a:ext>
          </a:extLst>
        </xdr:cNvPr>
        <xdr:cNvPicPr>
          <a:picLocks noChangeAspect="1"/>
        </xdr:cNvPicPr>
      </xdr:nvPicPr>
      <xdr:blipFill rotWithShape="1">
        <a:blip xmlns:r="http://schemas.openxmlformats.org/officeDocument/2006/relationships" r:embed="rId1"/>
        <a:srcRect t="19491" r="4914"/>
        <a:stretch>
          <a:fillRect/>
        </a:stretch>
      </xdr:blipFill>
      <xdr:spPr>
        <a:xfrm>
          <a:off x="2073091" y="1591235"/>
          <a:ext cx="2644587" cy="1174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1</xdr:row>
      <xdr:rowOff>35035</xdr:rowOff>
    </xdr:from>
    <xdr:to>
      <xdr:col>15</xdr:col>
      <xdr:colOff>1282561</xdr:colOff>
      <xdr:row>1</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1</xdr:row>
      <xdr:rowOff>67505</xdr:rowOff>
    </xdr:from>
    <xdr:to>
      <xdr:col>15</xdr:col>
      <xdr:colOff>1565412</xdr:colOff>
      <xdr:row>2</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17</xdr:col>
      <xdr:colOff>66676</xdr:colOff>
      <xdr:row>2</xdr:row>
      <xdr:rowOff>142875</xdr:rowOff>
    </xdr:from>
    <xdr:to>
      <xdr:col>20</xdr:col>
      <xdr:colOff>1611766</xdr:colOff>
      <xdr:row>43</xdr:row>
      <xdr:rowOff>200025</xdr:rowOff>
    </xdr:to>
    <xdr:pic>
      <xdr:nvPicPr>
        <xdr:cNvPr id="2" name="Picture 1">
          <a:extLst>
            <a:ext uri="{FF2B5EF4-FFF2-40B4-BE49-F238E27FC236}">
              <a16:creationId xmlns:a16="http://schemas.microsoft.com/office/drawing/2014/main" id="{0EB033DE-20E1-4618-4536-4B4A0AEB1CBD}"/>
            </a:ext>
            <a:ext uri="{147F2762-F138-4A5C-976F-8EAC2B608ADB}">
              <a16:predDERef xmlns:a16="http://schemas.microsoft.com/office/drawing/2014/main" pred="{1DDDC35D-79DC-FE8D-E36B-A215903DCB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746451" y="1143000"/>
          <a:ext cx="5574165" cy="914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19050</xdr:colOff>
      <xdr:row>4</xdr:row>
      <xdr:rowOff>57150</xdr:rowOff>
    </xdr:from>
    <xdr:to>
      <xdr:col>30</xdr:col>
      <xdr:colOff>492061</xdr:colOff>
      <xdr:row>31</xdr:row>
      <xdr:rowOff>76200</xdr:rowOff>
    </xdr:to>
    <xdr:pic>
      <xdr:nvPicPr>
        <xdr:cNvPr id="11" name="Picture 10">
          <a:extLst>
            <a:ext uri="{FF2B5EF4-FFF2-40B4-BE49-F238E27FC236}">
              <a16:creationId xmlns:a16="http://schemas.microsoft.com/office/drawing/2014/main" id="{14D9C568-CD30-DDDC-573D-8C9D1F2E1B39}"/>
            </a:ext>
            <a:ext uri="{147F2762-F138-4A5C-976F-8EAC2B608ADB}">
              <a16:predDERef xmlns:a16="http://schemas.microsoft.com/office/drawing/2014/main" pred="{0EB033DE-20E1-4618-4536-4B4A0AEB1C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023425" y="1495425"/>
          <a:ext cx="7778686" cy="603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838200</xdr:colOff>
      <xdr:row>2</xdr:row>
      <xdr:rowOff>95250</xdr:rowOff>
    </xdr:from>
    <xdr:to>
      <xdr:col>16</xdr:col>
      <xdr:colOff>2152650</xdr:colOff>
      <xdr:row>36</xdr:row>
      <xdr:rowOff>0</xdr:rowOff>
    </xdr:to>
    <xdr:pic>
      <xdr:nvPicPr>
        <xdr:cNvPr id="14" name="Picture 13">
          <a:extLst>
            <a:ext uri="{FF2B5EF4-FFF2-40B4-BE49-F238E27FC236}">
              <a16:creationId xmlns:a16="http://schemas.microsoft.com/office/drawing/2014/main" id="{AABBB49A-F6C0-A68C-678B-6A0F78EA74E2}"/>
            </a:ext>
            <a:ext uri="{147F2762-F138-4A5C-976F-8EAC2B608ADB}">
              <a16:predDERef xmlns:a16="http://schemas.microsoft.com/office/drawing/2014/main" pred="{14D9C568-CD30-DDDC-573D-8C9D1F2E1B39}"/>
            </a:ext>
          </a:extLst>
        </xdr:cNvPr>
        <xdr:cNvPicPr>
          <a:picLocks noChangeAspect="1"/>
        </xdr:cNvPicPr>
      </xdr:nvPicPr>
      <xdr:blipFill>
        <a:blip xmlns:r="http://schemas.openxmlformats.org/officeDocument/2006/relationships" r:embed="rId3"/>
        <a:stretch>
          <a:fillRect/>
        </a:stretch>
      </xdr:blipFill>
      <xdr:spPr>
        <a:xfrm>
          <a:off x="23231475" y="1095375"/>
          <a:ext cx="4572000" cy="7458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2" name="Chart 5">
          <a:extLst>
            <a:ext uri="{FF2B5EF4-FFF2-40B4-BE49-F238E27FC236}">
              <a16:creationId xmlns:a16="http://schemas.microsoft.com/office/drawing/2014/main" id="{BD4BD8E0-75A6-40DD-8188-71BA83AEFED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3" name="Chart 5">
          <a:extLst>
            <a:ext uri="{FF2B5EF4-FFF2-40B4-BE49-F238E27FC236}">
              <a16:creationId xmlns:a16="http://schemas.microsoft.com/office/drawing/2014/main" id="{0B4114ED-4943-4B79-96A6-084A4BE382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4" name="Chart 5">
          <a:extLst>
            <a:ext uri="{FF2B5EF4-FFF2-40B4-BE49-F238E27FC236}">
              <a16:creationId xmlns:a16="http://schemas.microsoft.com/office/drawing/2014/main" id="{E6571EAA-D7FB-4B5F-9E61-FB346F762C4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307008</xdr:colOff>
      <xdr:row>15</xdr:row>
      <xdr:rowOff>31750</xdr:rowOff>
    </xdr:from>
    <xdr:to>
      <xdr:col>36</xdr:col>
      <xdr:colOff>11733</xdr:colOff>
      <xdr:row>17</xdr:row>
      <xdr:rowOff>448469</xdr:rowOff>
    </xdr:to>
    <xdr:graphicFrame macro="">
      <xdr:nvGraphicFramePr>
        <xdr:cNvPr id="6" name="Chart 5">
          <a:extLst>
            <a:ext uri="{FF2B5EF4-FFF2-40B4-BE49-F238E27FC236}">
              <a16:creationId xmlns:a16="http://schemas.microsoft.com/office/drawing/2014/main" id="{55C97101-4C7D-4B10-9F38-D13B2B2AB9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7" name="Chart 5">
          <a:extLst>
            <a:ext uri="{FF2B5EF4-FFF2-40B4-BE49-F238E27FC236}">
              <a16:creationId xmlns:a16="http://schemas.microsoft.com/office/drawing/2014/main" id="{0C34A962-B32B-4D9A-9747-BAD86963B0F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8" name="Chart 5">
          <a:extLst>
            <a:ext uri="{FF2B5EF4-FFF2-40B4-BE49-F238E27FC236}">
              <a16:creationId xmlns:a16="http://schemas.microsoft.com/office/drawing/2014/main" id="{A7C7E533-92CE-4411-ABC4-38EC3EB2637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9" name="Chart 8">
          <a:extLst>
            <a:ext uri="{FF2B5EF4-FFF2-40B4-BE49-F238E27FC236}">
              <a16:creationId xmlns:a16="http://schemas.microsoft.com/office/drawing/2014/main" id="{9DCF57D9-5490-414B-92A6-C89D504659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440002</xdr:colOff>
      <xdr:row>149</xdr:row>
      <xdr:rowOff>216958</xdr:rowOff>
    </xdr:from>
    <xdr:to>
      <xdr:col>37</xdr:col>
      <xdr:colOff>207170</xdr:colOff>
      <xdr:row>153</xdr:row>
      <xdr:rowOff>38364</xdr:rowOff>
    </xdr:to>
    <xdr:graphicFrame macro="">
      <xdr:nvGraphicFramePr>
        <xdr:cNvPr id="43" name="Chart 5">
          <a:extLst>
            <a:ext uri="{FF2B5EF4-FFF2-40B4-BE49-F238E27FC236}">
              <a16:creationId xmlns:a16="http://schemas.microsoft.com/office/drawing/2014/main" id="{48798457-C199-4767-A625-8785E7F372BB}"/>
            </a:ext>
            <a:ext uri="{147F2762-F138-4A5C-976F-8EAC2B608ADB}">
              <a16:predDERef xmlns:a16="http://schemas.microsoft.com/office/drawing/2014/main" pred="{9DCF57D9-5490-414B-92A6-C89D50465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285750</xdr:colOff>
      <xdr:row>74</xdr:row>
      <xdr:rowOff>0</xdr:rowOff>
    </xdr:from>
    <xdr:to>
      <xdr:col>36</xdr:col>
      <xdr:colOff>0</xdr:colOff>
      <xdr:row>76</xdr:row>
      <xdr:rowOff>304800</xdr:rowOff>
    </xdr:to>
    <xdr:graphicFrame macro="">
      <xdr:nvGraphicFramePr>
        <xdr:cNvPr id="51" name="Chart 5">
          <a:extLst>
            <a:ext uri="{FF2B5EF4-FFF2-40B4-BE49-F238E27FC236}">
              <a16:creationId xmlns:a16="http://schemas.microsoft.com/office/drawing/2014/main" id="{FD4BD8A9-0333-4D45-AA31-348555E16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287460</xdr:colOff>
      <xdr:row>77</xdr:row>
      <xdr:rowOff>31712</xdr:rowOff>
    </xdr:from>
    <xdr:to>
      <xdr:col>35</xdr:col>
      <xdr:colOff>618930</xdr:colOff>
      <xdr:row>79</xdr:row>
      <xdr:rowOff>304800</xdr:rowOff>
    </xdr:to>
    <xdr:graphicFrame macro="">
      <xdr:nvGraphicFramePr>
        <xdr:cNvPr id="52" name="Chart 5">
          <a:extLst>
            <a:ext uri="{FF2B5EF4-FFF2-40B4-BE49-F238E27FC236}">
              <a16:creationId xmlns:a16="http://schemas.microsoft.com/office/drawing/2014/main" id="{6BC53BF2-7DE9-4ECB-BD2D-565DD9944E3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282165</xdr:colOff>
      <xdr:row>83</xdr:row>
      <xdr:rowOff>75079</xdr:rowOff>
    </xdr:from>
    <xdr:to>
      <xdr:col>35</xdr:col>
      <xdr:colOff>620471</xdr:colOff>
      <xdr:row>85</xdr:row>
      <xdr:rowOff>247650</xdr:rowOff>
    </xdr:to>
    <xdr:graphicFrame macro="">
      <xdr:nvGraphicFramePr>
        <xdr:cNvPr id="54" name="Chart 5">
          <a:extLst>
            <a:ext uri="{FF2B5EF4-FFF2-40B4-BE49-F238E27FC236}">
              <a16:creationId xmlns:a16="http://schemas.microsoft.com/office/drawing/2014/main" id="{D5580AB3-CADC-4D27-847A-CEED6D85CB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56" name="Chart 5">
          <a:extLst>
            <a:ext uri="{FF2B5EF4-FFF2-40B4-BE49-F238E27FC236}">
              <a16:creationId xmlns:a16="http://schemas.microsoft.com/office/drawing/2014/main" id="{0E9309E0-63F9-45FE-9169-13D3616D0D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282165</xdr:colOff>
      <xdr:row>80</xdr:row>
      <xdr:rowOff>75079</xdr:rowOff>
    </xdr:from>
    <xdr:to>
      <xdr:col>35</xdr:col>
      <xdr:colOff>620471</xdr:colOff>
      <xdr:row>82</xdr:row>
      <xdr:rowOff>276225</xdr:rowOff>
    </xdr:to>
    <xdr:graphicFrame macro="">
      <xdr:nvGraphicFramePr>
        <xdr:cNvPr id="57" name="Chart 5">
          <a:extLst>
            <a:ext uri="{FF2B5EF4-FFF2-40B4-BE49-F238E27FC236}">
              <a16:creationId xmlns:a16="http://schemas.microsoft.com/office/drawing/2014/main" id="{CC0BFAC6-552F-4BD9-9434-BF1B929D70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58" name="Chart 5">
          <a:extLst>
            <a:ext uri="{FF2B5EF4-FFF2-40B4-BE49-F238E27FC236}">
              <a16:creationId xmlns:a16="http://schemas.microsoft.com/office/drawing/2014/main" id="{D6CA1050-5A0F-4687-8B53-4E6CF3EBA7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282165</xdr:colOff>
      <xdr:row>86</xdr:row>
      <xdr:rowOff>75079</xdr:rowOff>
    </xdr:from>
    <xdr:to>
      <xdr:col>35</xdr:col>
      <xdr:colOff>620471</xdr:colOff>
      <xdr:row>88</xdr:row>
      <xdr:rowOff>276225</xdr:rowOff>
    </xdr:to>
    <xdr:graphicFrame macro="">
      <xdr:nvGraphicFramePr>
        <xdr:cNvPr id="59" name="Chart 5">
          <a:extLst>
            <a:ext uri="{FF2B5EF4-FFF2-40B4-BE49-F238E27FC236}">
              <a16:creationId xmlns:a16="http://schemas.microsoft.com/office/drawing/2014/main" id="{FD3263E4-D1D4-4055-97F6-509B31B2006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60" name="Chart 5">
          <a:extLst>
            <a:ext uri="{FF2B5EF4-FFF2-40B4-BE49-F238E27FC236}">
              <a16:creationId xmlns:a16="http://schemas.microsoft.com/office/drawing/2014/main" id="{E4967475-5670-4525-A440-494BACE5D8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282165</xdr:colOff>
      <xdr:row>89</xdr:row>
      <xdr:rowOff>75079</xdr:rowOff>
    </xdr:from>
    <xdr:to>
      <xdr:col>35</xdr:col>
      <xdr:colOff>620471</xdr:colOff>
      <xdr:row>92</xdr:row>
      <xdr:rowOff>0</xdr:rowOff>
    </xdr:to>
    <xdr:graphicFrame macro="">
      <xdr:nvGraphicFramePr>
        <xdr:cNvPr id="61" name="Chart 5">
          <a:extLst>
            <a:ext uri="{FF2B5EF4-FFF2-40B4-BE49-F238E27FC236}">
              <a16:creationId xmlns:a16="http://schemas.microsoft.com/office/drawing/2014/main" id="{8529D48E-60FA-4086-A99C-39ABCD9BB03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62" name="Chart 5">
          <a:extLst>
            <a:ext uri="{FF2B5EF4-FFF2-40B4-BE49-F238E27FC236}">
              <a16:creationId xmlns:a16="http://schemas.microsoft.com/office/drawing/2014/main" id="{B6CF2F46-7DDD-4B86-A80A-D4CC4CE565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285750</xdr:colOff>
      <xdr:row>74</xdr:row>
      <xdr:rowOff>0</xdr:rowOff>
    </xdr:from>
    <xdr:to>
      <xdr:col>36</xdr:col>
      <xdr:colOff>0</xdr:colOff>
      <xdr:row>77</xdr:row>
      <xdr:rowOff>9525</xdr:rowOff>
    </xdr:to>
    <xdr:graphicFrame macro="">
      <xdr:nvGraphicFramePr>
        <xdr:cNvPr id="63" name="Chart 5">
          <a:extLst>
            <a:ext uri="{FF2B5EF4-FFF2-40B4-BE49-F238E27FC236}">
              <a16:creationId xmlns:a16="http://schemas.microsoft.com/office/drawing/2014/main" id="{8794EF1E-D9A6-47F2-BA1C-C5373819375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287460</xdr:colOff>
      <xdr:row>77</xdr:row>
      <xdr:rowOff>31712</xdr:rowOff>
    </xdr:from>
    <xdr:to>
      <xdr:col>35</xdr:col>
      <xdr:colOff>618930</xdr:colOff>
      <xdr:row>79</xdr:row>
      <xdr:rowOff>238125</xdr:rowOff>
    </xdr:to>
    <xdr:graphicFrame macro="">
      <xdr:nvGraphicFramePr>
        <xdr:cNvPr id="64" name="Chart 5">
          <a:extLst>
            <a:ext uri="{FF2B5EF4-FFF2-40B4-BE49-F238E27FC236}">
              <a16:creationId xmlns:a16="http://schemas.microsoft.com/office/drawing/2014/main" id="{55859D34-D68A-4895-9509-28434D1576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264163</xdr:colOff>
      <xdr:row>68</xdr:row>
      <xdr:rowOff>30732</xdr:rowOff>
    </xdr:from>
    <xdr:to>
      <xdr:col>35</xdr:col>
      <xdr:colOff>618967</xdr:colOff>
      <xdr:row>70</xdr:row>
      <xdr:rowOff>301624</xdr:rowOff>
    </xdr:to>
    <xdr:graphicFrame macro="">
      <xdr:nvGraphicFramePr>
        <xdr:cNvPr id="65" name="Chart 5">
          <a:extLst>
            <a:ext uri="{FF2B5EF4-FFF2-40B4-BE49-F238E27FC236}">
              <a16:creationId xmlns:a16="http://schemas.microsoft.com/office/drawing/2014/main" id="{E7B140FA-5746-4BFC-9DA1-5BCDD263A2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282165</xdr:colOff>
      <xdr:row>83</xdr:row>
      <xdr:rowOff>75079</xdr:rowOff>
    </xdr:from>
    <xdr:to>
      <xdr:col>35</xdr:col>
      <xdr:colOff>620471</xdr:colOff>
      <xdr:row>85</xdr:row>
      <xdr:rowOff>304800</xdr:rowOff>
    </xdr:to>
    <xdr:graphicFrame macro="">
      <xdr:nvGraphicFramePr>
        <xdr:cNvPr id="66" name="Chart 5">
          <a:extLst>
            <a:ext uri="{FF2B5EF4-FFF2-40B4-BE49-F238E27FC236}">
              <a16:creationId xmlns:a16="http://schemas.microsoft.com/office/drawing/2014/main" id="{91DAC5CC-C685-4981-9792-2CE5617ECA6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264583</xdr:colOff>
      <xdr:row>71</xdr:row>
      <xdr:rowOff>10583</xdr:rowOff>
    </xdr:from>
    <xdr:to>
      <xdr:col>35</xdr:col>
      <xdr:colOff>599863</xdr:colOff>
      <xdr:row>73</xdr:row>
      <xdr:rowOff>248708</xdr:rowOff>
    </xdr:to>
    <xdr:graphicFrame macro="">
      <xdr:nvGraphicFramePr>
        <xdr:cNvPr id="67" name="Chart 5">
          <a:extLst>
            <a:ext uri="{FF2B5EF4-FFF2-40B4-BE49-F238E27FC236}">
              <a16:creationId xmlns:a16="http://schemas.microsoft.com/office/drawing/2014/main" id="{3405B444-2B47-4137-A0F3-32F2064BE6A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68" name="Chart 5">
          <a:extLst>
            <a:ext uri="{FF2B5EF4-FFF2-40B4-BE49-F238E27FC236}">
              <a16:creationId xmlns:a16="http://schemas.microsoft.com/office/drawing/2014/main" id="{5666D157-4AC2-49A2-95EE-9AC0AEDBDD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285975</xdr:colOff>
      <xdr:row>80</xdr:row>
      <xdr:rowOff>75078</xdr:rowOff>
    </xdr:from>
    <xdr:to>
      <xdr:col>35</xdr:col>
      <xdr:colOff>622376</xdr:colOff>
      <xdr:row>82</xdr:row>
      <xdr:rowOff>257175</xdr:rowOff>
    </xdr:to>
    <xdr:graphicFrame macro="">
      <xdr:nvGraphicFramePr>
        <xdr:cNvPr id="69" name="Chart 5">
          <a:extLst>
            <a:ext uri="{FF2B5EF4-FFF2-40B4-BE49-F238E27FC236}">
              <a16:creationId xmlns:a16="http://schemas.microsoft.com/office/drawing/2014/main" id="{51D930F0-95E7-40F6-A702-377EC377B0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70" name="Chart 5">
          <a:extLst>
            <a:ext uri="{FF2B5EF4-FFF2-40B4-BE49-F238E27FC236}">
              <a16:creationId xmlns:a16="http://schemas.microsoft.com/office/drawing/2014/main" id="{21397374-C0DF-4543-9E68-8AE7C07AC3F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282165</xdr:colOff>
      <xdr:row>86</xdr:row>
      <xdr:rowOff>75079</xdr:rowOff>
    </xdr:from>
    <xdr:to>
      <xdr:col>35</xdr:col>
      <xdr:colOff>620471</xdr:colOff>
      <xdr:row>88</xdr:row>
      <xdr:rowOff>314325</xdr:rowOff>
    </xdr:to>
    <xdr:graphicFrame macro="">
      <xdr:nvGraphicFramePr>
        <xdr:cNvPr id="71" name="Chart 5">
          <a:extLst>
            <a:ext uri="{FF2B5EF4-FFF2-40B4-BE49-F238E27FC236}">
              <a16:creationId xmlns:a16="http://schemas.microsoft.com/office/drawing/2014/main" id="{75A433B1-2905-4CE1-86C0-6291DF25C6C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72" name="Chart 5">
          <a:extLst>
            <a:ext uri="{FF2B5EF4-FFF2-40B4-BE49-F238E27FC236}">
              <a16:creationId xmlns:a16="http://schemas.microsoft.com/office/drawing/2014/main" id="{75F60ED8-C2C1-40DC-82CA-DF30A0CC3D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282165</xdr:colOff>
      <xdr:row>89</xdr:row>
      <xdr:rowOff>75078</xdr:rowOff>
    </xdr:from>
    <xdr:to>
      <xdr:col>35</xdr:col>
      <xdr:colOff>620471</xdr:colOff>
      <xdr:row>91</xdr:row>
      <xdr:rowOff>266699</xdr:rowOff>
    </xdr:to>
    <xdr:graphicFrame macro="">
      <xdr:nvGraphicFramePr>
        <xdr:cNvPr id="73" name="Chart 5">
          <a:extLst>
            <a:ext uri="{FF2B5EF4-FFF2-40B4-BE49-F238E27FC236}">
              <a16:creationId xmlns:a16="http://schemas.microsoft.com/office/drawing/2014/main" id="{AE66355D-5855-4238-8686-3E4F3A0E4B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74" name="Chart 5">
          <a:extLst>
            <a:ext uri="{FF2B5EF4-FFF2-40B4-BE49-F238E27FC236}">
              <a16:creationId xmlns:a16="http://schemas.microsoft.com/office/drawing/2014/main" id="{8AB26A6C-0D7F-437E-B57C-EB647C228F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285750</xdr:colOff>
      <xdr:row>40</xdr:row>
      <xdr:rowOff>0</xdr:rowOff>
    </xdr:from>
    <xdr:to>
      <xdr:col>36</xdr:col>
      <xdr:colOff>0</xdr:colOff>
      <xdr:row>42</xdr:row>
      <xdr:rowOff>304800</xdr:rowOff>
    </xdr:to>
    <xdr:graphicFrame macro="">
      <xdr:nvGraphicFramePr>
        <xdr:cNvPr id="75" name="Chart 5">
          <a:extLst>
            <a:ext uri="{FF2B5EF4-FFF2-40B4-BE49-F238E27FC236}">
              <a16:creationId xmlns:a16="http://schemas.microsoft.com/office/drawing/2014/main" id="{4001D1E9-9239-44DB-A4F8-DC3E507ACA8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287460</xdr:colOff>
      <xdr:row>43</xdr:row>
      <xdr:rowOff>31712</xdr:rowOff>
    </xdr:from>
    <xdr:to>
      <xdr:col>35</xdr:col>
      <xdr:colOff>618930</xdr:colOff>
      <xdr:row>45</xdr:row>
      <xdr:rowOff>304800</xdr:rowOff>
    </xdr:to>
    <xdr:graphicFrame macro="">
      <xdr:nvGraphicFramePr>
        <xdr:cNvPr id="76" name="Chart 5">
          <a:extLst>
            <a:ext uri="{FF2B5EF4-FFF2-40B4-BE49-F238E27FC236}">
              <a16:creationId xmlns:a16="http://schemas.microsoft.com/office/drawing/2014/main" id="{7A295F88-AEA3-4E0F-B8BF-89EEBED7E3E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285329</xdr:colOff>
      <xdr:row>33</xdr:row>
      <xdr:rowOff>411733</xdr:rowOff>
    </xdr:from>
    <xdr:to>
      <xdr:col>36</xdr:col>
      <xdr:colOff>15716</xdr:colOff>
      <xdr:row>36</xdr:row>
      <xdr:rowOff>295275</xdr:rowOff>
    </xdr:to>
    <xdr:graphicFrame macro="">
      <xdr:nvGraphicFramePr>
        <xdr:cNvPr id="77" name="Chart 5">
          <a:extLst>
            <a:ext uri="{FF2B5EF4-FFF2-40B4-BE49-F238E27FC236}">
              <a16:creationId xmlns:a16="http://schemas.microsoft.com/office/drawing/2014/main" id="{D3D407CA-E5DD-455A-9602-E9448AFC3AB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282165</xdr:colOff>
      <xdr:row>49</xdr:row>
      <xdr:rowOff>75079</xdr:rowOff>
    </xdr:from>
    <xdr:to>
      <xdr:col>35</xdr:col>
      <xdr:colOff>620471</xdr:colOff>
      <xdr:row>51</xdr:row>
      <xdr:rowOff>247650</xdr:rowOff>
    </xdr:to>
    <xdr:graphicFrame macro="">
      <xdr:nvGraphicFramePr>
        <xdr:cNvPr id="11" name="Chart 5">
          <a:extLst>
            <a:ext uri="{FF2B5EF4-FFF2-40B4-BE49-F238E27FC236}">
              <a16:creationId xmlns:a16="http://schemas.microsoft.com/office/drawing/2014/main" id="{CA4F6987-2615-4A0C-8C50-0F3C5CBDC5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285750</xdr:colOff>
      <xdr:row>37</xdr:row>
      <xdr:rowOff>0</xdr:rowOff>
    </xdr:from>
    <xdr:to>
      <xdr:col>35</xdr:col>
      <xdr:colOff>630555</xdr:colOff>
      <xdr:row>39</xdr:row>
      <xdr:rowOff>209550</xdr:rowOff>
    </xdr:to>
    <xdr:graphicFrame macro="">
      <xdr:nvGraphicFramePr>
        <xdr:cNvPr id="79" name="Chart 5">
          <a:extLst>
            <a:ext uri="{FF2B5EF4-FFF2-40B4-BE49-F238E27FC236}">
              <a16:creationId xmlns:a16="http://schemas.microsoft.com/office/drawing/2014/main" id="{69A25DCC-7898-429F-AA49-83B03479125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29</xdr:col>
      <xdr:colOff>284629</xdr:colOff>
      <xdr:row>49</xdr:row>
      <xdr:rowOff>0</xdr:rowOff>
    </xdr:from>
    <xdr:to>
      <xdr:col>36</xdr:col>
      <xdr:colOff>6275</xdr:colOff>
      <xdr:row>49</xdr:row>
      <xdr:rowOff>31376</xdr:rowOff>
    </xdr:to>
    <xdr:graphicFrame macro="">
      <xdr:nvGraphicFramePr>
        <xdr:cNvPr id="10" name="Chart 5">
          <a:extLst>
            <a:ext uri="{FF2B5EF4-FFF2-40B4-BE49-F238E27FC236}">
              <a16:creationId xmlns:a16="http://schemas.microsoft.com/office/drawing/2014/main" id="{6829BDD2-7A65-4411-8B52-1F882DBACC4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29</xdr:col>
      <xdr:colOff>282165</xdr:colOff>
      <xdr:row>46</xdr:row>
      <xdr:rowOff>75079</xdr:rowOff>
    </xdr:from>
    <xdr:to>
      <xdr:col>35</xdr:col>
      <xdr:colOff>620471</xdr:colOff>
      <xdr:row>48</xdr:row>
      <xdr:rowOff>276225</xdr:rowOff>
    </xdr:to>
    <xdr:graphicFrame macro="">
      <xdr:nvGraphicFramePr>
        <xdr:cNvPr id="14" name="Chart 5">
          <a:extLst>
            <a:ext uri="{FF2B5EF4-FFF2-40B4-BE49-F238E27FC236}">
              <a16:creationId xmlns:a16="http://schemas.microsoft.com/office/drawing/2014/main" id="{6BD97EE3-BCE2-4759-9F78-5141D3A26F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29</xdr:col>
      <xdr:colOff>284629</xdr:colOff>
      <xdr:row>46</xdr:row>
      <xdr:rowOff>0</xdr:rowOff>
    </xdr:from>
    <xdr:to>
      <xdr:col>36</xdr:col>
      <xdr:colOff>6275</xdr:colOff>
      <xdr:row>46</xdr:row>
      <xdr:rowOff>31376</xdr:rowOff>
    </xdr:to>
    <xdr:graphicFrame macro="">
      <xdr:nvGraphicFramePr>
        <xdr:cNvPr id="13" name="Chart 5">
          <a:extLst>
            <a:ext uri="{FF2B5EF4-FFF2-40B4-BE49-F238E27FC236}">
              <a16:creationId xmlns:a16="http://schemas.microsoft.com/office/drawing/2014/main" id="{139D5527-1D03-4BF9-A4D8-DB0ADB052B7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29</xdr:col>
      <xdr:colOff>282165</xdr:colOff>
      <xdr:row>52</xdr:row>
      <xdr:rowOff>75079</xdr:rowOff>
    </xdr:from>
    <xdr:to>
      <xdr:col>35</xdr:col>
      <xdr:colOff>620471</xdr:colOff>
      <xdr:row>54</xdr:row>
      <xdr:rowOff>276225</xdr:rowOff>
    </xdr:to>
    <xdr:graphicFrame macro="">
      <xdr:nvGraphicFramePr>
        <xdr:cNvPr id="83" name="Chart 5">
          <a:extLst>
            <a:ext uri="{FF2B5EF4-FFF2-40B4-BE49-F238E27FC236}">
              <a16:creationId xmlns:a16="http://schemas.microsoft.com/office/drawing/2014/main" id="{98A54E58-FC5A-4A14-ACBC-FE8DFF2D9F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29</xdr:col>
      <xdr:colOff>284629</xdr:colOff>
      <xdr:row>52</xdr:row>
      <xdr:rowOff>0</xdr:rowOff>
    </xdr:from>
    <xdr:to>
      <xdr:col>36</xdr:col>
      <xdr:colOff>6275</xdr:colOff>
      <xdr:row>52</xdr:row>
      <xdr:rowOff>31376</xdr:rowOff>
    </xdr:to>
    <xdr:graphicFrame macro="">
      <xdr:nvGraphicFramePr>
        <xdr:cNvPr id="84" name="Chart 5">
          <a:extLst>
            <a:ext uri="{FF2B5EF4-FFF2-40B4-BE49-F238E27FC236}">
              <a16:creationId xmlns:a16="http://schemas.microsoft.com/office/drawing/2014/main" id="{DD501FCF-F4B0-420D-BAE4-8EF2D2578DF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29</xdr:col>
      <xdr:colOff>275167</xdr:colOff>
      <xdr:row>55</xdr:row>
      <xdr:rowOff>75079</xdr:rowOff>
    </xdr:from>
    <xdr:to>
      <xdr:col>35</xdr:col>
      <xdr:colOff>620471</xdr:colOff>
      <xdr:row>59</xdr:row>
      <xdr:rowOff>10584</xdr:rowOff>
    </xdr:to>
    <xdr:graphicFrame macro="">
      <xdr:nvGraphicFramePr>
        <xdr:cNvPr id="85" name="Chart 5">
          <a:extLst>
            <a:ext uri="{FF2B5EF4-FFF2-40B4-BE49-F238E27FC236}">
              <a16:creationId xmlns:a16="http://schemas.microsoft.com/office/drawing/2014/main" id="{9B0FDAF8-DDC4-43D5-B6CF-2718D115F76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29</xdr:col>
      <xdr:colOff>284629</xdr:colOff>
      <xdr:row>55</xdr:row>
      <xdr:rowOff>0</xdr:rowOff>
    </xdr:from>
    <xdr:to>
      <xdr:col>36</xdr:col>
      <xdr:colOff>6275</xdr:colOff>
      <xdr:row>55</xdr:row>
      <xdr:rowOff>31376</xdr:rowOff>
    </xdr:to>
    <xdr:graphicFrame macro="">
      <xdr:nvGraphicFramePr>
        <xdr:cNvPr id="86" name="Chart 5">
          <a:extLst>
            <a:ext uri="{FF2B5EF4-FFF2-40B4-BE49-F238E27FC236}">
              <a16:creationId xmlns:a16="http://schemas.microsoft.com/office/drawing/2014/main" id="{1D6F9F08-6EC4-44F6-BEF2-70AD985837C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29</xdr:col>
      <xdr:colOff>324498</xdr:colOff>
      <xdr:row>27</xdr:row>
      <xdr:rowOff>75079</xdr:rowOff>
    </xdr:from>
    <xdr:to>
      <xdr:col>36</xdr:col>
      <xdr:colOff>38387</xdr:colOff>
      <xdr:row>29</xdr:row>
      <xdr:rowOff>247650</xdr:rowOff>
    </xdr:to>
    <xdr:graphicFrame macro="">
      <xdr:nvGraphicFramePr>
        <xdr:cNvPr id="19" name="Chart 5">
          <a:extLst>
            <a:ext uri="{FF2B5EF4-FFF2-40B4-BE49-F238E27FC236}">
              <a16:creationId xmlns:a16="http://schemas.microsoft.com/office/drawing/2014/main" id="{4B3D2273-A362-4644-BAF3-5CE54F124E7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29</xdr:col>
      <xdr:colOff>324499</xdr:colOff>
      <xdr:row>24</xdr:row>
      <xdr:rowOff>75079</xdr:rowOff>
    </xdr:from>
    <xdr:to>
      <xdr:col>36</xdr:col>
      <xdr:colOff>38388</xdr:colOff>
      <xdr:row>26</xdr:row>
      <xdr:rowOff>276225</xdr:rowOff>
    </xdr:to>
    <xdr:graphicFrame macro="">
      <xdr:nvGraphicFramePr>
        <xdr:cNvPr id="20" name="Chart 5">
          <a:extLst>
            <a:ext uri="{FF2B5EF4-FFF2-40B4-BE49-F238E27FC236}">
              <a16:creationId xmlns:a16="http://schemas.microsoft.com/office/drawing/2014/main" id="{49CA9D29-CE80-401F-B1BD-AE51B45D59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29</xdr:col>
      <xdr:colOff>275167</xdr:colOff>
      <xdr:row>59</xdr:row>
      <xdr:rowOff>52917</xdr:rowOff>
    </xdr:from>
    <xdr:to>
      <xdr:col>35</xdr:col>
      <xdr:colOff>587043</xdr:colOff>
      <xdr:row>61</xdr:row>
      <xdr:rowOff>0</xdr:rowOff>
    </xdr:to>
    <xdr:graphicFrame macro="">
      <xdr:nvGraphicFramePr>
        <xdr:cNvPr id="16" name="Chart 5">
          <a:extLst>
            <a:ext uri="{FF2B5EF4-FFF2-40B4-BE49-F238E27FC236}">
              <a16:creationId xmlns:a16="http://schemas.microsoft.com/office/drawing/2014/main" id="{91E510C2-A7D3-413B-B74D-5CE10A3065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29</xdr:col>
      <xdr:colOff>278355</xdr:colOff>
      <xdr:row>64</xdr:row>
      <xdr:rowOff>75079</xdr:rowOff>
    </xdr:from>
    <xdr:to>
      <xdr:col>35</xdr:col>
      <xdr:colOff>618566</xdr:colOff>
      <xdr:row>66</xdr:row>
      <xdr:rowOff>349624</xdr:rowOff>
    </xdr:to>
    <xdr:graphicFrame macro="">
      <xdr:nvGraphicFramePr>
        <xdr:cNvPr id="5" name="Chart 5">
          <a:extLst>
            <a:ext uri="{FF2B5EF4-FFF2-40B4-BE49-F238E27FC236}">
              <a16:creationId xmlns:a16="http://schemas.microsoft.com/office/drawing/2014/main" id="{D8A56B32-D7FF-4338-BF53-9CE6AB41420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29</xdr:col>
      <xdr:colOff>278355</xdr:colOff>
      <xdr:row>95</xdr:row>
      <xdr:rowOff>75079</xdr:rowOff>
    </xdr:from>
    <xdr:to>
      <xdr:col>35</xdr:col>
      <xdr:colOff>618566</xdr:colOff>
      <xdr:row>97</xdr:row>
      <xdr:rowOff>349624</xdr:rowOff>
    </xdr:to>
    <xdr:graphicFrame macro="">
      <xdr:nvGraphicFramePr>
        <xdr:cNvPr id="12" name="Chart 5">
          <a:extLst>
            <a:ext uri="{FF2B5EF4-FFF2-40B4-BE49-F238E27FC236}">
              <a16:creationId xmlns:a16="http://schemas.microsoft.com/office/drawing/2014/main" id="{EBBA6A57-EC19-4744-A6ED-C139B735D7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29</xdr:col>
      <xdr:colOff>264582</xdr:colOff>
      <xdr:row>61</xdr:row>
      <xdr:rowOff>105833</xdr:rowOff>
    </xdr:from>
    <xdr:to>
      <xdr:col>35</xdr:col>
      <xdr:colOff>604793</xdr:colOff>
      <xdr:row>63</xdr:row>
      <xdr:rowOff>380378</xdr:rowOff>
    </xdr:to>
    <xdr:graphicFrame macro="">
      <xdr:nvGraphicFramePr>
        <xdr:cNvPr id="17" name="Chart 5">
          <a:extLst>
            <a:ext uri="{FF2B5EF4-FFF2-40B4-BE49-F238E27FC236}">
              <a16:creationId xmlns:a16="http://schemas.microsoft.com/office/drawing/2014/main" id="{8980A6C7-7FDF-401B-A56C-BDE18736DEE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29</xdr:col>
      <xdr:colOff>285750</xdr:colOff>
      <xdr:row>115</xdr:row>
      <xdr:rowOff>0</xdr:rowOff>
    </xdr:from>
    <xdr:to>
      <xdr:col>36</xdr:col>
      <xdr:colOff>0</xdr:colOff>
      <xdr:row>122</xdr:row>
      <xdr:rowOff>304800</xdr:rowOff>
    </xdr:to>
    <xdr:graphicFrame macro="">
      <xdr:nvGraphicFramePr>
        <xdr:cNvPr id="15" name="Chart 5">
          <a:extLst>
            <a:ext uri="{FF2B5EF4-FFF2-40B4-BE49-F238E27FC236}">
              <a16:creationId xmlns:a16="http://schemas.microsoft.com/office/drawing/2014/main" id="{1EC8243A-470F-4171-A02B-661F3412BF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29</xdr:col>
      <xdr:colOff>287460</xdr:colOff>
      <xdr:row>123</xdr:row>
      <xdr:rowOff>31712</xdr:rowOff>
    </xdr:from>
    <xdr:to>
      <xdr:col>35</xdr:col>
      <xdr:colOff>618930</xdr:colOff>
      <xdr:row>130</xdr:row>
      <xdr:rowOff>304800</xdr:rowOff>
    </xdr:to>
    <xdr:graphicFrame macro="">
      <xdr:nvGraphicFramePr>
        <xdr:cNvPr id="18" name="Chart 5">
          <a:extLst>
            <a:ext uri="{FF2B5EF4-FFF2-40B4-BE49-F238E27FC236}">
              <a16:creationId xmlns:a16="http://schemas.microsoft.com/office/drawing/2014/main" id="{61E6EF24-0608-4CAC-93E7-F263E1A402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29</xdr:col>
      <xdr:colOff>282165</xdr:colOff>
      <xdr:row>134</xdr:row>
      <xdr:rowOff>75079</xdr:rowOff>
    </xdr:from>
    <xdr:to>
      <xdr:col>35</xdr:col>
      <xdr:colOff>620471</xdr:colOff>
      <xdr:row>136</xdr:row>
      <xdr:rowOff>247650</xdr:rowOff>
    </xdr:to>
    <xdr:graphicFrame macro="">
      <xdr:nvGraphicFramePr>
        <xdr:cNvPr id="21" name="Chart 5">
          <a:extLst>
            <a:ext uri="{FF2B5EF4-FFF2-40B4-BE49-F238E27FC236}">
              <a16:creationId xmlns:a16="http://schemas.microsoft.com/office/drawing/2014/main" id="{A76A9B70-50A0-4C44-8628-FF0D8236BC4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29</xdr:col>
      <xdr:colOff>284629</xdr:colOff>
      <xdr:row>134</xdr:row>
      <xdr:rowOff>0</xdr:rowOff>
    </xdr:from>
    <xdr:to>
      <xdr:col>36</xdr:col>
      <xdr:colOff>6275</xdr:colOff>
      <xdr:row>134</xdr:row>
      <xdr:rowOff>31376</xdr:rowOff>
    </xdr:to>
    <xdr:graphicFrame macro="">
      <xdr:nvGraphicFramePr>
        <xdr:cNvPr id="22" name="Chart 5">
          <a:extLst>
            <a:ext uri="{FF2B5EF4-FFF2-40B4-BE49-F238E27FC236}">
              <a16:creationId xmlns:a16="http://schemas.microsoft.com/office/drawing/2014/main" id="{67E5957A-78F7-422B-9C87-BC8084921F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29</xdr:col>
      <xdr:colOff>282165</xdr:colOff>
      <xdr:row>131</xdr:row>
      <xdr:rowOff>75079</xdr:rowOff>
    </xdr:from>
    <xdr:to>
      <xdr:col>35</xdr:col>
      <xdr:colOff>620471</xdr:colOff>
      <xdr:row>133</xdr:row>
      <xdr:rowOff>276225</xdr:rowOff>
    </xdr:to>
    <xdr:graphicFrame macro="">
      <xdr:nvGraphicFramePr>
        <xdr:cNvPr id="23" name="Chart 5">
          <a:extLst>
            <a:ext uri="{FF2B5EF4-FFF2-40B4-BE49-F238E27FC236}">
              <a16:creationId xmlns:a16="http://schemas.microsoft.com/office/drawing/2014/main" id="{D0D024B7-A4A7-4140-88CE-A73D75C3D40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29</xdr:col>
      <xdr:colOff>284629</xdr:colOff>
      <xdr:row>131</xdr:row>
      <xdr:rowOff>0</xdr:rowOff>
    </xdr:from>
    <xdr:to>
      <xdr:col>36</xdr:col>
      <xdr:colOff>6275</xdr:colOff>
      <xdr:row>131</xdr:row>
      <xdr:rowOff>31376</xdr:rowOff>
    </xdr:to>
    <xdr:graphicFrame macro="">
      <xdr:nvGraphicFramePr>
        <xdr:cNvPr id="25" name="Chart 5">
          <a:extLst>
            <a:ext uri="{FF2B5EF4-FFF2-40B4-BE49-F238E27FC236}">
              <a16:creationId xmlns:a16="http://schemas.microsoft.com/office/drawing/2014/main" id="{BAA28D29-2B8A-41D6-9C98-3E815E10F7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29</xdr:col>
      <xdr:colOff>282165</xdr:colOff>
      <xdr:row>137</xdr:row>
      <xdr:rowOff>75079</xdr:rowOff>
    </xdr:from>
    <xdr:to>
      <xdr:col>35</xdr:col>
      <xdr:colOff>620471</xdr:colOff>
      <xdr:row>139</xdr:row>
      <xdr:rowOff>276225</xdr:rowOff>
    </xdr:to>
    <xdr:graphicFrame macro="">
      <xdr:nvGraphicFramePr>
        <xdr:cNvPr id="26" name="Chart 5">
          <a:extLst>
            <a:ext uri="{FF2B5EF4-FFF2-40B4-BE49-F238E27FC236}">
              <a16:creationId xmlns:a16="http://schemas.microsoft.com/office/drawing/2014/main" id="{3363A211-25EF-457A-94D2-7025D5E9A04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29</xdr:col>
      <xdr:colOff>284629</xdr:colOff>
      <xdr:row>137</xdr:row>
      <xdr:rowOff>0</xdr:rowOff>
    </xdr:from>
    <xdr:to>
      <xdr:col>36</xdr:col>
      <xdr:colOff>6275</xdr:colOff>
      <xdr:row>137</xdr:row>
      <xdr:rowOff>31376</xdr:rowOff>
    </xdr:to>
    <xdr:graphicFrame macro="">
      <xdr:nvGraphicFramePr>
        <xdr:cNvPr id="27" name="Chart 5">
          <a:extLst>
            <a:ext uri="{FF2B5EF4-FFF2-40B4-BE49-F238E27FC236}">
              <a16:creationId xmlns:a16="http://schemas.microsoft.com/office/drawing/2014/main" id="{4D65ED8B-DFDA-4C49-ACC3-7987D0CE7F1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29</xdr:col>
      <xdr:colOff>282165</xdr:colOff>
      <xdr:row>140</xdr:row>
      <xdr:rowOff>75079</xdr:rowOff>
    </xdr:from>
    <xdr:to>
      <xdr:col>35</xdr:col>
      <xdr:colOff>620471</xdr:colOff>
      <xdr:row>143</xdr:row>
      <xdr:rowOff>0</xdr:rowOff>
    </xdr:to>
    <xdr:graphicFrame macro="">
      <xdr:nvGraphicFramePr>
        <xdr:cNvPr id="28" name="Chart 5">
          <a:extLst>
            <a:ext uri="{FF2B5EF4-FFF2-40B4-BE49-F238E27FC236}">
              <a16:creationId xmlns:a16="http://schemas.microsoft.com/office/drawing/2014/main" id="{ABCCEBE8-8AE8-4DD3-9A24-4EEA79105A7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29</xdr:col>
      <xdr:colOff>284629</xdr:colOff>
      <xdr:row>140</xdr:row>
      <xdr:rowOff>0</xdr:rowOff>
    </xdr:from>
    <xdr:to>
      <xdr:col>36</xdr:col>
      <xdr:colOff>6275</xdr:colOff>
      <xdr:row>140</xdr:row>
      <xdr:rowOff>31376</xdr:rowOff>
    </xdr:to>
    <xdr:graphicFrame macro="">
      <xdr:nvGraphicFramePr>
        <xdr:cNvPr id="29" name="Chart 5">
          <a:extLst>
            <a:ext uri="{FF2B5EF4-FFF2-40B4-BE49-F238E27FC236}">
              <a16:creationId xmlns:a16="http://schemas.microsoft.com/office/drawing/2014/main" id="{23A97AC0-A6C7-41DA-B0E7-0C403580232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29</xdr:col>
      <xdr:colOff>264584</xdr:colOff>
      <xdr:row>115</xdr:row>
      <xdr:rowOff>0</xdr:rowOff>
    </xdr:from>
    <xdr:to>
      <xdr:col>35</xdr:col>
      <xdr:colOff>603251</xdr:colOff>
      <xdr:row>123</xdr:row>
      <xdr:rowOff>9525</xdr:rowOff>
    </xdr:to>
    <xdr:graphicFrame macro="">
      <xdr:nvGraphicFramePr>
        <xdr:cNvPr id="30" name="Chart 5">
          <a:extLst>
            <a:ext uri="{FF2B5EF4-FFF2-40B4-BE49-F238E27FC236}">
              <a16:creationId xmlns:a16="http://schemas.microsoft.com/office/drawing/2014/main" id="{5F511517-F531-47B4-B3D3-06AA4BC0533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29</xdr:col>
      <xdr:colOff>287460</xdr:colOff>
      <xdr:row>123</xdr:row>
      <xdr:rowOff>31712</xdr:rowOff>
    </xdr:from>
    <xdr:to>
      <xdr:col>35</xdr:col>
      <xdr:colOff>618930</xdr:colOff>
      <xdr:row>130</xdr:row>
      <xdr:rowOff>238125</xdr:rowOff>
    </xdr:to>
    <xdr:graphicFrame macro="">
      <xdr:nvGraphicFramePr>
        <xdr:cNvPr id="31" name="Chart 5">
          <a:extLst>
            <a:ext uri="{FF2B5EF4-FFF2-40B4-BE49-F238E27FC236}">
              <a16:creationId xmlns:a16="http://schemas.microsoft.com/office/drawing/2014/main" id="{C847E3BA-43E1-4FA9-93AE-578905B5451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29</xdr:col>
      <xdr:colOff>264163</xdr:colOff>
      <xdr:row>99</xdr:row>
      <xdr:rowOff>30732</xdr:rowOff>
    </xdr:from>
    <xdr:to>
      <xdr:col>35</xdr:col>
      <xdr:colOff>618967</xdr:colOff>
      <xdr:row>106</xdr:row>
      <xdr:rowOff>301624</xdr:rowOff>
    </xdr:to>
    <xdr:graphicFrame macro="">
      <xdr:nvGraphicFramePr>
        <xdr:cNvPr id="32" name="Chart 5">
          <a:extLst>
            <a:ext uri="{FF2B5EF4-FFF2-40B4-BE49-F238E27FC236}">
              <a16:creationId xmlns:a16="http://schemas.microsoft.com/office/drawing/2014/main" id="{795D4FF4-7B92-44FB-873A-93C13CB199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29</xdr:col>
      <xdr:colOff>282165</xdr:colOff>
      <xdr:row>134</xdr:row>
      <xdr:rowOff>75079</xdr:rowOff>
    </xdr:from>
    <xdr:to>
      <xdr:col>35</xdr:col>
      <xdr:colOff>620471</xdr:colOff>
      <xdr:row>136</xdr:row>
      <xdr:rowOff>304800</xdr:rowOff>
    </xdr:to>
    <xdr:graphicFrame macro="">
      <xdr:nvGraphicFramePr>
        <xdr:cNvPr id="33" name="Chart 5">
          <a:extLst>
            <a:ext uri="{FF2B5EF4-FFF2-40B4-BE49-F238E27FC236}">
              <a16:creationId xmlns:a16="http://schemas.microsoft.com/office/drawing/2014/main" id="{9C978DAE-6DD0-42A5-844B-26772C608C1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29</xdr:col>
      <xdr:colOff>264583</xdr:colOff>
      <xdr:row>107</xdr:row>
      <xdr:rowOff>10583</xdr:rowOff>
    </xdr:from>
    <xdr:to>
      <xdr:col>35</xdr:col>
      <xdr:colOff>599863</xdr:colOff>
      <xdr:row>114</xdr:row>
      <xdr:rowOff>317500</xdr:rowOff>
    </xdr:to>
    <xdr:graphicFrame macro="">
      <xdr:nvGraphicFramePr>
        <xdr:cNvPr id="34" name="Chart 5">
          <a:extLst>
            <a:ext uri="{FF2B5EF4-FFF2-40B4-BE49-F238E27FC236}">
              <a16:creationId xmlns:a16="http://schemas.microsoft.com/office/drawing/2014/main" id="{5F103FF7-40A8-4CD1-98A1-D15C9651930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29</xdr:col>
      <xdr:colOff>284629</xdr:colOff>
      <xdr:row>134</xdr:row>
      <xdr:rowOff>0</xdr:rowOff>
    </xdr:from>
    <xdr:to>
      <xdr:col>36</xdr:col>
      <xdr:colOff>6275</xdr:colOff>
      <xdr:row>134</xdr:row>
      <xdr:rowOff>31376</xdr:rowOff>
    </xdr:to>
    <xdr:graphicFrame macro="">
      <xdr:nvGraphicFramePr>
        <xdr:cNvPr id="35" name="Chart 5">
          <a:extLst>
            <a:ext uri="{FF2B5EF4-FFF2-40B4-BE49-F238E27FC236}">
              <a16:creationId xmlns:a16="http://schemas.microsoft.com/office/drawing/2014/main" id="{6ECBB718-42B1-44FE-A3A2-D04CDD4582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29</xdr:col>
      <xdr:colOff>285975</xdr:colOff>
      <xdr:row>131</xdr:row>
      <xdr:rowOff>75078</xdr:rowOff>
    </xdr:from>
    <xdr:to>
      <xdr:col>35</xdr:col>
      <xdr:colOff>622376</xdr:colOff>
      <xdr:row>133</xdr:row>
      <xdr:rowOff>257175</xdr:rowOff>
    </xdr:to>
    <xdr:graphicFrame macro="">
      <xdr:nvGraphicFramePr>
        <xdr:cNvPr id="36" name="Chart 5">
          <a:extLst>
            <a:ext uri="{FF2B5EF4-FFF2-40B4-BE49-F238E27FC236}">
              <a16:creationId xmlns:a16="http://schemas.microsoft.com/office/drawing/2014/main" id="{AE2ECB7C-083C-407B-8332-6454FF302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29</xdr:col>
      <xdr:colOff>284629</xdr:colOff>
      <xdr:row>131</xdr:row>
      <xdr:rowOff>0</xdr:rowOff>
    </xdr:from>
    <xdr:to>
      <xdr:col>36</xdr:col>
      <xdr:colOff>6275</xdr:colOff>
      <xdr:row>131</xdr:row>
      <xdr:rowOff>31376</xdr:rowOff>
    </xdr:to>
    <xdr:graphicFrame macro="">
      <xdr:nvGraphicFramePr>
        <xdr:cNvPr id="37" name="Chart 5">
          <a:extLst>
            <a:ext uri="{FF2B5EF4-FFF2-40B4-BE49-F238E27FC236}">
              <a16:creationId xmlns:a16="http://schemas.microsoft.com/office/drawing/2014/main" id="{D80B31BA-3335-4CB5-BC22-E40B25EEAF0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29</xdr:col>
      <xdr:colOff>282165</xdr:colOff>
      <xdr:row>137</xdr:row>
      <xdr:rowOff>75079</xdr:rowOff>
    </xdr:from>
    <xdr:to>
      <xdr:col>35</xdr:col>
      <xdr:colOff>620471</xdr:colOff>
      <xdr:row>139</xdr:row>
      <xdr:rowOff>314325</xdr:rowOff>
    </xdr:to>
    <xdr:graphicFrame macro="">
      <xdr:nvGraphicFramePr>
        <xdr:cNvPr id="38" name="Chart 5">
          <a:extLst>
            <a:ext uri="{FF2B5EF4-FFF2-40B4-BE49-F238E27FC236}">
              <a16:creationId xmlns:a16="http://schemas.microsoft.com/office/drawing/2014/main" id="{B7D26493-C205-4DE0-8627-44A603C068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29</xdr:col>
      <xdr:colOff>284629</xdr:colOff>
      <xdr:row>137</xdr:row>
      <xdr:rowOff>0</xdr:rowOff>
    </xdr:from>
    <xdr:to>
      <xdr:col>36</xdr:col>
      <xdr:colOff>6275</xdr:colOff>
      <xdr:row>137</xdr:row>
      <xdr:rowOff>31376</xdr:rowOff>
    </xdr:to>
    <xdr:graphicFrame macro="">
      <xdr:nvGraphicFramePr>
        <xdr:cNvPr id="39" name="Chart 5">
          <a:extLst>
            <a:ext uri="{FF2B5EF4-FFF2-40B4-BE49-F238E27FC236}">
              <a16:creationId xmlns:a16="http://schemas.microsoft.com/office/drawing/2014/main" id="{50B5059C-D894-493B-8F06-1EBAD933F1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29</xdr:col>
      <xdr:colOff>282165</xdr:colOff>
      <xdr:row>140</xdr:row>
      <xdr:rowOff>75078</xdr:rowOff>
    </xdr:from>
    <xdr:to>
      <xdr:col>35</xdr:col>
      <xdr:colOff>620471</xdr:colOff>
      <xdr:row>142</xdr:row>
      <xdr:rowOff>266699</xdr:rowOff>
    </xdr:to>
    <xdr:graphicFrame macro="">
      <xdr:nvGraphicFramePr>
        <xdr:cNvPr id="40" name="Chart 5">
          <a:extLst>
            <a:ext uri="{FF2B5EF4-FFF2-40B4-BE49-F238E27FC236}">
              <a16:creationId xmlns:a16="http://schemas.microsoft.com/office/drawing/2014/main" id="{ACFA47A8-4991-4908-953A-B895B856F88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29</xdr:col>
      <xdr:colOff>284629</xdr:colOff>
      <xdr:row>140</xdr:row>
      <xdr:rowOff>0</xdr:rowOff>
    </xdr:from>
    <xdr:to>
      <xdr:col>36</xdr:col>
      <xdr:colOff>6275</xdr:colOff>
      <xdr:row>140</xdr:row>
      <xdr:rowOff>31376</xdr:rowOff>
    </xdr:to>
    <xdr:graphicFrame macro="">
      <xdr:nvGraphicFramePr>
        <xdr:cNvPr id="41" name="Chart 5">
          <a:extLst>
            <a:ext uri="{FF2B5EF4-FFF2-40B4-BE49-F238E27FC236}">
              <a16:creationId xmlns:a16="http://schemas.microsoft.com/office/drawing/2014/main" id="{87A9008D-C684-4811-BDF7-53B9190053C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30</xdr:col>
      <xdr:colOff>449805</xdr:colOff>
      <xdr:row>146</xdr:row>
      <xdr:rowOff>103654</xdr:rowOff>
    </xdr:from>
    <xdr:to>
      <xdr:col>36</xdr:col>
      <xdr:colOff>551891</xdr:colOff>
      <xdr:row>149</xdr:row>
      <xdr:rowOff>25774</xdr:rowOff>
    </xdr:to>
    <xdr:graphicFrame macro="">
      <xdr:nvGraphicFramePr>
        <xdr:cNvPr id="44" name="Chart 5">
          <a:extLst>
            <a:ext uri="{FF2B5EF4-FFF2-40B4-BE49-F238E27FC236}">
              <a16:creationId xmlns:a16="http://schemas.microsoft.com/office/drawing/2014/main" id="{B0D4C323-8F6F-4FF7-9D9A-D5C2CAE1ACC6}"/>
            </a:ext>
            <a:ext uri="{147F2762-F138-4A5C-976F-8EAC2B608ADB}">
              <a16:predDERef xmlns:a16="http://schemas.microsoft.com/office/drawing/2014/main" pred="{87A9008D-C684-4811-BDF7-53B919005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3BD03696-966F-4219-B013-5B9A1B922230}"/>
            </a:ext>
            <a:ext uri="{147F2762-F138-4A5C-976F-8EAC2B608ADB}">
              <a16:predDERef xmlns:a16="http://schemas.microsoft.com/office/drawing/2014/main" pre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star.gov/productfinder/product/certified-commercial-water-heaters/results?fuel_filter=Gas&amp;markets_filter=United+States" TargetMode="External"/><Relationship Id="rId3" Type="http://schemas.openxmlformats.org/officeDocument/2006/relationships/hyperlink" Target="https://title24stakeholders.com/wp-content/uploads/2016/10/T24-2019-CASE-Study-Results-Report-Outdoor-Sources_Final_with-Attachments.pdf" TargetMode="External"/><Relationship Id="rId7" Type="http://schemas.openxmlformats.org/officeDocument/2006/relationships/hyperlink" Target="https://efiling.energy.ca.gov/GetDocument.aspx?tn=265691&amp;DocumentContentId=102542"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www.energy.ca.gov/publications/2022/2022-nonresidential-and-multifamily-alternative-calculation-method-reference" TargetMode="External"/><Relationship Id="rId6" Type="http://schemas.openxmlformats.org/officeDocument/2006/relationships/hyperlink" Target="https://www.pnnl.gov/main/publications/external/technical_reports/PNNL-20405.pdf" TargetMode="External"/><Relationship Id="rId11" Type="http://schemas.openxmlformats.org/officeDocument/2006/relationships/drawing" Target="../drawings/drawing1.xml"/><Relationship Id="rId5" Type="http://schemas.openxmlformats.org/officeDocument/2006/relationships/hyperlink" Target="https://title24stakeholders.com/wp-content/uploads/2017/09/2019-T24-CASE-Report_Fume-Hoods_Final_September-2017.pdf?" TargetMode="External"/><Relationship Id="rId10" Type="http://schemas.openxmlformats.org/officeDocument/2006/relationships/hyperlink" Target="https://www.grainger.com/category/plumbing/water-heaters/electric-tank-water-heaters" TargetMode="External"/><Relationship Id="rId4"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9" Type="http://schemas.openxmlformats.org/officeDocument/2006/relationships/hyperlink" Target="https://www.grainger.com/category/plumbing/water-heaters/gas-tank-water-heater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title24stakeholders.com/wp-content/uploads/2020/10/2022-T24-Final-CASE-Report_Reduce-Infiltration.pdf" TargetMode="External"/><Relationship Id="rId6" Type="http://schemas.openxmlformats.org/officeDocument/2006/relationships/hyperlink" Target="https://title24stakeholders.com/wp-content/uploads/2020/10/2022-T24-Final-CASE-Report_Reduce-Infiltration.pdf" TargetMode="External"/><Relationship Id="rId5" Type="http://schemas.openxmlformats.org/officeDocument/2006/relationships/hyperlink" Target="https://title24stakeholders.com/wp-content/uploads/2020/10/2022-T24-Final-CASE-Report_Reduce-Infiltration.pdf"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J53"/>
  <sheetViews>
    <sheetView topLeftCell="A33" zoomScaleNormal="100" workbookViewId="0">
      <selection sqref="A1:C1"/>
    </sheetView>
  </sheetViews>
  <sheetFormatPr defaultColWidth="9.33203125" defaultRowHeight="13.2" x14ac:dyDescent="0.25"/>
  <cols>
    <col min="1" max="1" width="16.109375" style="4" bestFit="1" customWidth="1"/>
    <col min="2" max="2" width="83.6640625" style="4" customWidth="1"/>
    <col min="3" max="3" width="38.6640625" style="4" customWidth="1"/>
    <col min="4" max="7" width="9.33203125" style="4"/>
    <col min="8" max="8" width="10.6640625" style="4" customWidth="1"/>
    <col min="9" max="9" width="9.6640625" style="4" customWidth="1"/>
    <col min="10" max="10" width="9.6640625" style="4" bestFit="1" customWidth="1"/>
    <col min="11" max="16384" width="9.33203125" style="4"/>
  </cols>
  <sheetData>
    <row r="1" spans="1:7" ht="20.399999999999999" customHeight="1" x14ac:dyDescent="0.3">
      <c r="A1" s="466" t="s">
        <v>0</v>
      </c>
      <c r="B1" s="466"/>
      <c r="C1" s="466"/>
      <c r="D1"/>
      <c r="E1"/>
      <c r="F1"/>
    </row>
    <row r="2" spans="1:7" x14ac:dyDescent="0.25">
      <c r="A2" s="465" t="s">
        <v>1</v>
      </c>
      <c r="B2" s="4" t="s">
        <v>2</v>
      </c>
      <c r="C2" s="208"/>
      <c r="D2" s="373"/>
      <c r="E2" s="373"/>
      <c r="F2" s="373"/>
    </row>
    <row r="3" spans="1:7" x14ac:dyDescent="0.25">
      <c r="A3" s="465"/>
      <c r="B3" s="4" t="s">
        <v>3</v>
      </c>
      <c r="C3" s="272"/>
    </row>
    <row r="4" spans="1:7" x14ac:dyDescent="0.25">
      <c r="A4" s="465"/>
      <c r="B4" s="4" t="s">
        <v>4</v>
      </c>
      <c r="C4" s="272"/>
    </row>
    <row r="5" spans="1:7" x14ac:dyDescent="0.25">
      <c r="A5" s="465"/>
      <c r="C5" s="272"/>
    </row>
    <row r="6" spans="1:7" x14ac:dyDescent="0.25">
      <c r="A6" s="465" t="s">
        <v>5</v>
      </c>
      <c r="B6" s="4" t="s">
        <v>6</v>
      </c>
      <c r="C6" s="272" t="s">
        <v>7</v>
      </c>
      <c r="D6" s="65"/>
      <c r="E6" s="65"/>
      <c r="F6" s="65"/>
    </row>
    <row r="7" spans="1:7" ht="15" customHeight="1" x14ac:dyDescent="0.3">
      <c r="A7" s="465"/>
      <c r="C7" s="272"/>
      <c r="D7" s="273"/>
      <c r="E7" s="273"/>
      <c r="F7" s="273"/>
    </row>
    <row r="8" spans="1:7" ht="15" customHeight="1" x14ac:dyDescent="0.3">
      <c r="A8" s="465"/>
      <c r="C8" s="272"/>
      <c r="D8" s="273"/>
      <c r="E8" s="273"/>
      <c r="F8" s="273"/>
    </row>
    <row r="9" spans="1:7" ht="12.75" customHeight="1" x14ac:dyDescent="0.3">
      <c r="A9" s="469" t="s">
        <v>8</v>
      </c>
      <c r="B9" s="65" t="s">
        <v>9</v>
      </c>
      <c r="C9" s="272"/>
      <c r="D9" s="273"/>
      <c r="E9" s="273"/>
      <c r="F9" s="273"/>
    </row>
    <row r="10" spans="1:7" ht="12.75" customHeight="1" x14ac:dyDescent="0.3">
      <c r="A10" s="469"/>
      <c r="B10" s="65" t="s">
        <v>10</v>
      </c>
      <c r="C10" s="272"/>
      <c r="D10" s="273"/>
      <c r="E10" s="273"/>
      <c r="F10" s="273"/>
    </row>
    <row r="11" spans="1:7" ht="12.75" customHeight="1" x14ac:dyDescent="0.3">
      <c r="A11" s="469"/>
      <c r="B11" s="65" t="s">
        <v>11</v>
      </c>
      <c r="C11" s="272"/>
      <c r="D11" s="273"/>
      <c r="E11" s="273"/>
      <c r="F11" s="273"/>
    </row>
    <row r="12" spans="1:7" ht="12.75" customHeight="1" x14ac:dyDescent="0.3">
      <c r="A12" s="469"/>
      <c r="B12" s="65" t="s">
        <v>12</v>
      </c>
      <c r="C12" s="274"/>
      <c r="D12" s="273"/>
      <c r="E12" s="273"/>
      <c r="F12" s="273"/>
    </row>
    <row r="13" spans="1:7" x14ac:dyDescent="0.25">
      <c r="A13" s="469"/>
      <c r="B13" s="65" t="s">
        <v>13</v>
      </c>
      <c r="C13" s="275" t="s">
        <v>14</v>
      </c>
      <c r="D13" s="394"/>
      <c r="E13" s="394"/>
      <c r="F13" s="394"/>
      <c r="G13" s="4" t="s">
        <v>15</v>
      </c>
    </row>
    <row r="14" spans="1:7" x14ac:dyDescent="0.25">
      <c r="A14" s="469"/>
      <c r="C14" s="272"/>
      <c r="G14" s="4" t="s">
        <v>15</v>
      </c>
    </row>
    <row r="15" spans="1:7" ht="14.4" x14ac:dyDescent="0.3">
      <c r="A15" s="468" t="s">
        <v>16</v>
      </c>
      <c r="B15" s="369" t="s">
        <v>17</v>
      </c>
      <c r="C15" s="274" t="s">
        <v>18</v>
      </c>
      <c r="D15" s="273"/>
      <c r="E15" s="273"/>
      <c r="F15" s="273"/>
      <c r="G15" s="4" t="s">
        <v>15</v>
      </c>
    </row>
    <row r="16" spans="1:7" ht="14.4" x14ac:dyDescent="0.3">
      <c r="A16" s="468"/>
      <c r="B16" s="65" t="s">
        <v>19</v>
      </c>
      <c r="C16" s="274" t="s">
        <v>20</v>
      </c>
      <c r="D16" s="273"/>
      <c r="E16" s="273"/>
      <c r="F16" s="273"/>
    </row>
    <row r="17" spans="1:7" x14ac:dyDescent="0.25">
      <c r="A17" s="468"/>
      <c r="B17" s="369" t="s">
        <v>21</v>
      </c>
      <c r="C17" s="272" t="s">
        <v>22</v>
      </c>
    </row>
    <row r="18" spans="1:7" ht="14.4" x14ac:dyDescent="0.3">
      <c r="A18" s="468"/>
      <c r="B18" s="65" t="s">
        <v>23</v>
      </c>
      <c r="C18" s="272" t="s">
        <v>24</v>
      </c>
      <c r="D18" s="273"/>
      <c r="E18" s="273"/>
      <c r="F18" s="273"/>
    </row>
    <row r="19" spans="1:7" ht="14.4" x14ac:dyDescent="0.3">
      <c r="A19" s="468"/>
      <c r="B19" s="65" t="s">
        <v>25</v>
      </c>
      <c r="C19" s="272" t="s">
        <v>26</v>
      </c>
      <c r="D19" s="207"/>
      <c r="E19" s="207"/>
      <c r="F19" s="207"/>
      <c r="G19" s="4" t="s">
        <v>15</v>
      </c>
    </row>
    <row r="20" spans="1:7" ht="25.5" customHeight="1" x14ac:dyDescent="0.25">
      <c r="A20" s="468"/>
      <c r="B20" s="376" t="s">
        <v>27</v>
      </c>
      <c r="C20" s="277" t="str">
        <f>HYPERLINK("https://www.energystar.gov/productfinder/product/certified-commercial-water-heaters/results?fuel_filter=Electric&amp;markets_filter=United+States","ENERGY STAR — electric (HPWH)")</f>
        <v>ENERGY STAR — electric (HPWH)</v>
      </c>
      <c r="D20" s="4" t="s">
        <v>15</v>
      </c>
    </row>
    <row r="21" spans="1:7" ht="14.4" x14ac:dyDescent="0.25">
      <c r="A21" s="468"/>
      <c r="B21" s="376" t="s">
        <v>28</v>
      </c>
      <c r="C21" s="277" t="str">
        <f>HYPERLINK("https://data.energystar.gov/Active-Specifications/ENERGY-STAR-Certified-Commercial-Water-Heaters/xmq6-bm79","ENERGY STAR dataset xmq6-bm79")</f>
        <v>ENERGY STAR dataset xmq6-bm79</v>
      </c>
      <c r="D21" s="4" t="s">
        <v>15</v>
      </c>
    </row>
    <row r="22" spans="1:7" ht="14.4" x14ac:dyDescent="0.25">
      <c r="A22" s="468"/>
      <c r="B22" s="376" t="s">
        <v>29</v>
      </c>
      <c r="C22" s="277" t="str">
        <f>HYPERLINK("https://www.energystar.gov/products/water_heaters/commercial_water_heaters/key_product_criteria","ENERGY STAR key product criteria")</f>
        <v>ENERGY STAR key product criteria</v>
      </c>
      <c r="D22" s="4" t="s">
        <v>15</v>
      </c>
    </row>
    <row r="23" spans="1:7" customFormat="1" ht="14.4" x14ac:dyDescent="0.3"/>
    <row r="24" spans="1:7" ht="18.600000000000001" customHeight="1" x14ac:dyDescent="0.3">
      <c r="A24" s="466" t="s">
        <v>30</v>
      </c>
      <c r="B24" s="466"/>
      <c r="C24" s="466"/>
      <c r="D24"/>
      <c r="E24"/>
      <c r="F24"/>
      <c r="G24"/>
    </row>
    <row r="25" spans="1:7" ht="18.600000000000001" customHeight="1" x14ac:dyDescent="0.25">
      <c r="C25" s="373"/>
      <c r="D25" s="373"/>
      <c r="E25" s="373"/>
      <c r="F25" s="373"/>
    </row>
    <row r="26" spans="1:7" ht="14.4" x14ac:dyDescent="0.3">
      <c r="B26"/>
      <c r="C26" s="373"/>
      <c r="D26" s="373"/>
      <c r="E26" s="373"/>
      <c r="F26" s="373"/>
    </row>
    <row r="27" spans="1:7" x14ac:dyDescent="0.25">
      <c r="C27" s="373"/>
      <c r="D27" s="373"/>
      <c r="E27" s="373"/>
      <c r="F27" s="373"/>
    </row>
    <row r="28" spans="1:7" ht="14.4" x14ac:dyDescent="0.3">
      <c r="B28"/>
      <c r="C28" s="373"/>
      <c r="D28" s="373"/>
      <c r="E28" s="373"/>
      <c r="F28" s="373"/>
    </row>
    <row r="29" spans="1:7" x14ac:dyDescent="0.25">
      <c r="C29" s="373"/>
      <c r="D29" s="373"/>
      <c r="E29" s="373"/>
      <c r="F29" s="373"/>
    </row>
    <row r="30" spans="1:7" x14ac:dyDescent="0.25">
      <c r="C30" s="373"/>
      <c r="D30" s="373"/>
      <c r="E30" s="373"/>
      <c r="F30" s="373"/>
    </row>
    <row r="31" spans="1:7" x14ac:dyDescent="0.25">
      <c r="C31" s="373"/>
      <c r="D31" s="373"/>
      <c r="E31" s="373"/>
      <c r="F31" s="373"/>
    </row>
    <row r="32" spans="1:7" x14ac:dyDescent="0.25">
      <c r="C32" s="373"/>
      <c r="D32" s="373"/>
      <c r="E32" s="373"/>
      <c r="F32" s="373"/>
    </row>
    <row r="33" spans="1:10" x14ac:dyDescent="0.25">
      <c r="C33" s="373"/>
      <c r="D33" s="373"/>
      <c r="E33" s="373"/>
      <c r="F33" s="373"/>
    </row>
    <row r="34" spans="1:10" x14ac:dyDescent="0.25">
      <c r="C34" s="373"/>
      <c r="D34" s="373"/>
      <c r="E34" s="373"/>
      <c r="F34" s="373"/>
    </row>
    <row r="35" spans="1:10" x14ac:dyDescent="0.25">
      <c r="C35" s="373"/>
      <c r="D35" s="373"/>
      <c r="E35" s="373"/>
      <c r="F35" s="373"/>
    </row>
    <row r="36" spans="1:10" ht="24" customHeight="1" x14ac:dyDescent="0.25">
      <c r="B36" s="65" t="s">
        <v>31</v>
      </c>
      <c r="C36" s="373"/>
      <c r="D36" s="373"/>
      <c r="E36" s="373"/>
      <c r="F36" s="373"/>
    </row>
    <row r="37" spans="1:10" ht="19.2" customHeight="1" x14ac:dyDescent="0.3">
      <c r="A37" s="466" t="s">
        <v>32</v>
      </c>
      <c r="B37" s="466"/>
      <c r="C37" s="466"/>
      <c r="D37"/>
      <c r="E37"/>
      <c r="F37"/>
    </row>
    <row r="38" spans="1:10" ht="36" customHeight="1" x14ac:dyDescent="0.25">
      <c r="A38" s="8" t="s">
        <v>33</v>
      </c>
      <c r="B38" s="468" t="s">
        <v>34</v>
      </c>
      <c r="C38" s="467"/>
      <c r="D38" s="467"/>
      <c r="E38" s="467"/>
      <c r="F38" s="467"/>
      <c r="H38" s="388"/>
      <c r="I38" s="388"/>
      <c r="J38" s="388"/>
    </row>
    <row r="39" spans="1:10" ht="18" customHeight="1" x14ac:dyDescent="0.25">
      <c r="A39" s="8"/>
      <c r="B39" s="467"/>
      <c r="C39" s="467"/>
      <c r="D39" s="467"/>
      <c r="E39" s="467"/>
      <c r="F39" s="467"/>
      <c r="H39" s="24"/>
      <c r="I39" s="24"/>
      <c r="J39" s="24"/>
    </row>
    <row r="40" spans="1:10" ht="25.5" customHeight="1" x14ac:dyDescent="0.25">
      <c r="A40" s="464" t="s">
        <v>35</v>
      </c>
      <c r="B40" s="464"/>
      <c r="C40" s="464"/>
      <c r="D40" s="376"/>
      <c r="E40" s="376"/>
      <c r="F40" s="376"/>
    </row>
    <row r="41" spans="1:10" ht="48" customHeight="1" x14ac:dyDescent="0.25">
      <c r="A41" s="375" t="s">
        <v>36</v>
      </c>
      <c r="B41" s="463" t="s">
        <v>37</v>
      </c>
      <c r="C41" s="463"/>
      <c r="D41" s="463"/>
      <c r="E41" s="463"/>
      <c r="F41" s="463"/>
    </row>
    <row r="42" spans="1:10" ht="48" customHeight="1" x14ac:dyDescent="0.25">
      <c r="A42" s="229" t="s">
        <v>38</v>
      </c>
      <c r="B42" s="462" t="s">
        <v>39</v>
      </c>
      <c r="C42" s="462"/>
      <c r="D42" s="462"/>
      <c r="E42" s="462"/>
      <c r="F42" s="462"/>
    </row>
    <row r="43" spans="1:10" ht="48" customHeight="1" x14ac:dyDescent="0.25">
      <c r="A43" s="229" t="s">
        <v>40</v>
      </c>
      <c r="B43" s="462" t="s">
        <v>41</v>
      </c>
      <c r="C43" s="462"/>
      <c r="D43" s="462"/>
      <c r="E43" s="462"/>
      <c r="F43" s="462"/>
    </row>
    <row r="44" spans="1:10" ht="48" customHeight="1" x14ac:dyDescent="0.25">
      <c r="A44" s="229" t="s">
        <v>42</v>
      </c>
      <c r="B44" s="462" t="s">
        <v>43</v>
      </c>
      <c r="C44" s="462"/>
      <c r="D44" s="462"/>
      <c r="E44" s="462"/>
      <c r="F44" s="462"/>
    </row>
    <row r="45" spans="1:10" ht="48" customHeight="1" x14ac:dyDescent="0.25">
      <c r="A45" s="229" t="s">
        <v>44</v>
      </c>
      <c r="B45" s="462" t="s">
        <v>45</v>
      </c>
      <c r="C45" s="462"/>
      <c r="D45" s="462"/>
      <c r="E45" s="462"/>
      <c r="F45" s="462"/>
    </row>
    <row r="46" spans="1:10" ht="60" customHeight="1" x14ac:dyDescent="0.25">
      <c r="A46" s="229" t="s">
        <v>46</v>
      </c>
      <c r="B46" s="462" t="s">
        <v>47</v>
      </c>
      <c r="C46" s="462"/>
      <c r="D46" s="462"/>
      <c r="E46" s="462"/>
      <c r="F46" s="462"/>
    </row>
    <row r="47" spans="1:10" ht="60" customHeight="1" x14ac:dyDescent="0.25">
      <c r="A47" s="229" t="s">
        <v>48</v>
      </c>
      <c r="B47" s="462" t="s">
        <v>49</v>
      </c>
      <c r="C47" s="462"/>
      <c r="D47" s="462"/>
      <c r="E47" s="462"/>
      <c r="F47" s="462"/>
    </row>
    <row r="48" spans="1:10" x14ac:dyDescent="0.25">
      <c r="A48" s="208"/>
    </row>
    <row r="53" spans="7:7" ht="14.4" x14ac:dyDescent="0.3">
      <c r="G53"/>
    </row>
  </sheetData>
  <mergeCells count="17">
    <mergeCell ref="A40:C40"/>
    <mergeCell ref="A2:A5"/>
    <mergeCell ref="A6:A8"/>
    <mergeCell ref="A1:C1"/>
    <mergeCell ref="B39:F39"/>
    <mergeCell ref="B38:F38"/>
    <mergeCell ref="A9:A14"/>
    <mergeCell ref="A15:A22"/>
    <mergeCell ref="A24:C24"/>
    <mergeCell ref="A37:C37"/>
    <mergeCell ref="B45:F45"/>
    <mergeCell ref="B46:F46"/>
    <mergeCell ref="B47:F47"/>
    <mergeCell ref="B41:F41"/>
    <mergeCell ref="B42:F42"/>
    <mergeCell ref="B43:F43"/>
    <mergeCell ref="B44:F44"/>
  </mergeCells>
  <phoneticPr fontId="4" type="noConversion"/>
  <hyperlinks>
    <hyperlink ref="C13" r:id="rId1" xr:uid="{87D88C54-C281-4B2E-B9A8-983AB6290955}"/>
    <hyperlink ref="C15" r:id="rId2" xr:uid="{F87135B5-8D72-47DE-B092-04ACB1C8BF50}"/>
    <hyperlink ref="C16" r:id="rId3" xr:uid="{3B9BBD2D-6E96-4D00-8CD8-F5D7E1C05A5F}"/>
    <hyperlink ref="C19" r:id="rId4" display="https://2050partners.sharepoint.com/:w:/r/sites/CalBEMCollaborativeEfforts/_layouts/15/Doc.aspx?sourcedoc=%7B3BEF8F74-7FAC-44F2-A70C-D76617660066%7D&amp;file=Infiltration_rate_report_14May2025-Short-Version.docx&amp;wdLOR=c494C5A60-5F8A-438B-874B-578DCB850072&amp;action=default&amp;mobileredirect=true" xr:uid="{F13DF602-3714-4714-86A5-47A38BCAA386}"/>
    <hyperlink ref="C17" r:id="rId5" xr:uid="{76DC7110-81CB-4BDB-BF64-0F24F4781C94}"/>
    <hyperlink ref="C18" r:id="rId6" xr:uid="{932CE4A4-00A0-442A-A141-FF3A55090AFF}"/>
    <hyperlink ref="C6" r:id="rId7" xr:uid="{FC18692D-9D27-4C2D-B4C4-156EE7640EF4}"/>
    <hyperlink ref="C20" r:id="rId8" display="https://www.energystar.gov/productfinder/product/certified-commercial-water-heaters/results?fuel_filter=Gas&amp;markets_filter=United+States" xr:uid="{6A102D6C-AE8E-400F-8CEF-8A0A1E95685A}"/>
    <hyperlink ref="C21" r:id="rId9" display="https://www.grainger.com/category/plumbing/water-heaters/gas-tank-water-heaters" xr:uid="{0CAA8E04-EF4D-4D5A-9AFF-BB88D3AA909F}"/>
    <hyperlink ref="C22" r:id="rId10" display="https://www.grainger.com/category/plumbing/water-heaters/electric-tank-water-heaters" xr:uid="{CF47F639-5CF9-4D22-8E54-17F7249E15CE}"/>
  </hyperlink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0"/>
  <sheetViews>
    <sheetView tabSelected="1" zoomScale="70" zoomScaleNormal="70" workbookViewId="0">
      <selection sqref="A1:C1"/>
    </sheetView>
  </sheetViews>
  <sheetFormatPr defaultColWidth="9.33203125" defaultRowHeight="13.8" x14ac:dyDescent="0.25"/>
  <cols>
    <col min="1" max="1" width="36.44140625" style="2" customWidth="1"/>
    <col min="2" max="2" width="51.33203125" style="2" customWidth="1"/>
    <col min="3" max="3" width="51.109375" style="2" customWidth="1"/>
    <col min="4" max="5" width="49.88671875" style="2" customWidth="1"/>
    <col min="6" max="9" width="8.6640625" style="2" customWidth="1"/>
    <col min="10" max="16384" width="9.33203125" style="2"/>
  </cols>
  <sheetData>
    <row r="1" spans="1:9" ht="17.399999999999999" x14ac:dyDescent="0.25">
      <c r="A1" s="460" t="s">
        <v>50</v>
      </c>
      <c r="B1" s="460"/>
      <c r="C1" s="460"/>
      <c r="D1" s="11"/>
      <c r="E1" s="11"/>
      <c r="F1" s="11"/>
    </row>
    <row r="2" spans="1:9" ht="25.2" customHeight="1" x14ac:dyDescent="0.25">
      <c r="A2" s="461" t="s">
        <v>51</v>
      </c>
      <c r="B2" s="461"/>
      <c r="C2" s="461"/>
      <c r="D2" s="11"/>
      <c r="E2" s="11"/>
      <c r="F2" s="11"/>
    </row>
    <row r="3" spans="1:9" ht="20.399999999999999" customHeight="1" x14ac:dyDescent="0.25">
      <c r="A3" s="104" t="s">
        <v>52</v>
      </c>
      <c r="B3" s="381" t="s">
        <v>53</v>
      </c>
      <c r="C3" s="381" t="s">
        <v>0</v>
      </c>
    </row>
    <row r="4" spans="1:9" ht="16.2" customHeight="1" x14ac:dyDescent="0.25">
      <c r="A4" s="13" t="s">
        <v>54</v>
      </c>
      <c r="B4" s="377" t="s">
        <v>55</v>
      </c>
      <c r="C4" s="13"/>
    </row>
    <row r="5" spans="1:9" ht="16.2" customHeight="1" x14ac:dyDescent="0.25">
      <c r="A5" s="13" t="s">
        <v>56</v>
      </c>
      <c r="B5" s="377" t="s">
        <v>57</v>
      </c>
      <c r="C5" s="13"/>
    </row>
    <row r="6" spans="1:9" ht="16.2" customHeight="1" x14ac:dyDescent="0.25">
      <c r="A6" s="308" t="s">
        <v>58</v>
      </c>
      <c r="B6" s="372" t="s">
        <v>59</v>
      </c>
      <c r="C6" s="13"/>
    </row>
    <row r="7" spans="1:9" ht="81" customHeight="1" x14ac:dyDescent="0.25">
      <c r="A7" s="13" t="s">
        <v>60</v>
      </c>
      <c r="B7" s="382" t="s">
        <v>61</v>
      </c>
      <c r="C7" s="314" t="s">
        <v>62</v>
      </c>
      <c r="D7" s="53"/>
    </row>
    <row r="8" spans="1:9" ht="97.2" customHeight="1" x14ac:dyDescent="0.3">
      <c r="A8" s="13" t="s">
        <v>63</v>
      </c>
      <c r="B8"/>
      <c r="C8" s="209" t="s">
        <v>64</v>
      </c>
      <c r="D8"/>
      <c r="I8" s="3"/>
    </row>
    <row r="9" spans="1:9" ht="26.4" x14ac:dyDescent="0.25">
      <c r="A9" s="98" t="s">
        <v>65</v>
      </c>
      <c r="B9" s="309">
        <v>174818.98</v>
      </c>
      <c r="C9" s="209" t="s">
        <v>66</v>
      </c>
    </row>
    <row r="10" spans="1:9" ht="19.2" customHeight="1" x14ac:dyDescent="0.25">
      <c r="A10" s="98" t="s">
        <v>67</v>
      </c>
      <c r="B10" s="52" t="s">
        <v>68</v>
      </c>
      <c r="C10" s="210" t="s">
        <v>69</v>
      </c>
    </row>
    <row r="11" spans="1:9" ht="19.2" customHeight="1" x14ac:dyDescent="0.25">
      <c r="A11" s="105" t="s">
        <v>70</v>
      </c>
      <c r="B11" s="52" t="s">
        <v>68</v>
      </c>
      <c r="C11" s="210" t="s">
        <v>69</v>
      </c>
    </row>
    <row r="12" spans="1:9" ht="19.2" customHeight="1" x14ac:dyDescent="0.25">
      <c r="A12" s="105" t="s">
        <v>71</v>
      </c>
      <c r="B12" s="377" t="s">
        <v>72</v>
      </c>
      <c r="C12" s="210" t="s">
        <v>69</v>
      </c>
    </row>
    <row r="13" spans="1:9" ht="19.2" customHeight="1" x14ac:dyDescent="0.25">
      <c r="A13" s="105" t="s">
        <v>73</v>
      </c>
      <c r="B13" s="123">
        <v>6.8599999999999994E-2</v>
      </c>
      <c r="C13" s="210" t="s">
        <v>69</v>
      </c>
    </row>
    <row r="14" spans="1:9" ht="19.2" customHeight="1" x14ac:dyDescent="0.25">
      <c r="A14" s="98" t="s">
        <v>74</v>
      </c>
      <c r="B14" s="12" t="s">
        <v>75</v>
      </c>
      <c r="C14" s="210" t="s">
        <v>69</v>
      </c>
    </row>
    <row r="15" spans="1:9" ht="57.75" customHeight="1" x14ac:dyDescent="0.25">
      <c r="A15" s="98" t="s">
        <v>76</v>
      </c>
      <c r="B15" s="52" t="s">
        <v>77</v>
      </c>
      <c r="C15" s="210" t="s">
        <v>69</v>
      </c>
    </row>
    <row r="16" spans="1:9" ht="50.25" customHeight="1" x14ac:dyDescent="0.25">
      <c r="A16" s="98" t="s">
        <v>78</v>
      </c>
      <c r="B16" s="382" t="s">
        <v>77</v>
      </c>
      <c r="C16" s="210" t="s">
        <v>69</v>
      </c>
    </row>
    <row r="17" spans="1:5" ht="30.6" customHeight="1" x14ac:dyDescent="0.25">
      <c r="A17" s="98" t="s">
        <v>79</v>
      </c>
      <c r="B17" s="52" t="s">
        <v>68</v>
      </c>
      <c r="C17" s="210" t="s">
        <v>69</v>
      </c>
    </row>
    <row r="18" spans="1:5" x14ac:dyDescent="0.25">
      <c r="A18" s="71"/>
      <c r="B18" s="7"/>
      <c r="C18" s="6"/>
    </row>
    <row r="19" spans="1:5" x14ac:dyDescent="0.25">
      <c r="A19" s="71"/>
      <c r="B19" s="7"/>
      <c r="C19" s="6"/>
    </row>
    <row r="21" spans="1:5" ht="18" x14ac:dyDescent="0.25">
      <c r="A21" s="106" t="s">
        <v>80</v>
      </c>
      <c r="B21" s="109">
        <v>140514</v>
      </c>
      <c r="C21" s="110"/>
    </row>
    <row r="22" spans="1:5" ht="18" x14ac:dyDescent="0.25">
      <c r="A22" s="106" t="s">
        <v>81</v>
      </c>
      <c r="B22" s="109">
        <v>140514</v>
      </c>
      <c r="C22" s="110"/>
    </row>
    <row r="23" spans="1:5" ht="22.2" customHeight="1" x14ac:dyDescent="0.25">
      <c r="A23" s="106" t="s">
        <v>82</v>
      </c>
      <c r="B23" s="109">
        <v>134334.45000000001</v>
      </c>
      <c r="C23" s="6"/>
    </row>
    <row r="24" spans="1:5" x14ac:dyDescent="0.25">
      <c r="A24" s="106" t="s">
        <v>83</v>
      </c>
      <c r="B24" s="109">
        <v>0</v>
      </c>
      <c r="C24" s="6"/>
    </row>
    <row r="25" spans="1:5" x14ac:dyDescent="0.25">
      <c r="A25" s="71"/>
      <c r="B25" s="7"/>
      <c r="C25" s="6"/>
    </row>
    <row r="26" spans="1:5" x14ac:dyDescent="0.25">
      <c r="A26" s="71"/>
      <c r="B26" s="7"/>
      <c r="C26" s="6"/>
    </row>
    <row r="27" spans="1:5" ht="14.4" x14ac:dyDescent="0.25">
      <c r="A27" s="204"/>
      <c r="B27" s="204"/>
      <c r="C27" s="204"/>
      <c r="D27" s="204"/>
      <c r="E27" s="204"/>
    </row>
    <row r="28" spans="1:5" ht="14.4" x14ac:dyDescent="0.25">
      <c r="A28" s="205"/>
      <c r="B28" s="205"/>
      <c r="C28" s="205"/>
      <c r="D28" s="205"/>
      <c r="E28" s="205"/>
    </row>
    <row r="29" spans="1:5" ht="14.4" x14ac:dyDescent="0.25">
      <c r="A29" s="204"/>
      <c r="B29" s="204"/>
      <c r="C29" s="204"/>
      <c r="D29" s="204"/>
      <c r="E29" s="204"/>
    </row>
    <row r="30" spans="1:5" ht="14.4" x14ac:dyDescent="0.25">
      <c r="A30" s="204"/>
      <c r="B30" s="204"/>
      <c r="C30" s="204"/>
      <c r="D30" s="204"/>
      <c r="E30" s="204"/>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C150"/>
  <sheetViews>
    <sheetView topLeftCell="C1" zoomScaleNormal="100" workbookViewId="0">
      <pane ySplit="2" topLeftCell="A6" activePane="bottomLeft" state="frozen"/>
      <selection pane="bottomLeft" sqref="A1:L1"/>
    </sheetView>
  </sheetViews>
  <sheetFormatPr defaultColWidth="8.6640625" defaultRowHeight="13.2" x14ac:dyDescent="0.25"/>
  <cols>
    <col min="1" max="1" width="28.88671875" style="4" customWidth="1"/>
    <col min="2" max="2" width="53.109375" style="4" customWidth="1"/>
    <col min="3" max="3" width="53.6640625" style="4" customWidth="1"/>
    <col min="4" max="4" width="18.44140625" style="4" customWidth="1"/>
    <col min="5" max="5" width="20" style="4" customWidth="1"/>
    <col min="6" max="6" width="19" style="4" customWidth="1"/>
    <col min="7" max="7" width="14.6640625" style="4" customWidth="1"/>
    <col min="8" max="8" width="12.6640625" style="4" customWidth="1"/>
    <col min="9" max="9" width="12" style="4" bestFit="1" customWidth="1"/>
    <col min="10" max="11" width="11.33203125" style="4" customWidth="1"/>
    <col min="12" max="12" width="28.109375" style="4" bestFit="1" customWidth="1"/>
    <col min="13" max="13" width="28.109375" style="4" customWidth="1"/>
    <col min="14" max="16" width="24.44140625" style="4" customWidth="1"/>
    <col min="17" max="17" width="45.44140625" style="4" customWidth="1"/>
    <col min="18" max="18" width="12.88671875" style="4" customWidth="1"/>
    <col min="19" max="19" width="25.33203125" style="4" customWidth="1"/>
    <col min="20" max="20" width="22.33203125" style="4" bestFit="1" customWidth="1"/>
    <col min="21" max="21" width="25.6640625" style="4" customWidth="1"/>
    <col min="22" max="23" width="8.6640625" style="4"/>
    <col min="24" max="24" width="48.5546875" style="4" bestFit="1" customWidth="1"/>
    <col min="25" max="16384" width="8.6640625" style="4"/>
  </cols>
  <sheetData>
    <row r="1" spans="1:20" ht="25.95" customHeight="1" x14ac:dyDescent="0.25">
      <c r="A1" s="471" t="str">
        <f>"Proposed Layout - "&amp;Prototype!B4</f>
        <v>Proposed Layout - High School</v>
      </c>
      <c r="B1" s="471"/>
      <c r="C1" s="471"/>
      <c r="D1" s="471"/>
      <c r="E1" s="471"/>
      <c r="F1" s="471"/>
      <c r="G1" s="471"/>
      <c r="H1" s="471"/>
      <c r="I1" s="471"/>
      <c r="J1" s="471"/>
      <c r="K1" s="471"/>
      <c r="L1" s="472"/>
      <c r="M1" s="370"/>
    </row>
    <row r="2" spans="1:20" ht="53.4" customHeight="1" x14ac:dyDescent="0.25">
      <c r="A2" s="395" t="s">
        <v>84</v>
      </c>
      <c r="B2" s="66" t="s">
        <v>85</v>
      </c>
      <c r="C2" s="187" t="s">
        <v>86</v>
      </c>
      <c r="D2" s="387" t="s">
        <v>87</v>
      </c>
      <c r="E2" s="66" t="s">
        <v>88</v>
      </c>
      <c r="F2" s="22" t="s">
        <v>89</v>
      </c>
      <c r="G2" s="23" t="s">
        <v>90</v>
      </c>
      <c r="H2" s="23" t="s">
        <v>91</v>
      </c>
      <c r="I2" s="22" t="s">
        <v>92</v>
      </c>
      <c r="J2" s="22" t="s">
        <v>93</v>
      </c>
      <c r="K2" s="83" t="s">
        <v>94</v>
      </c>
      <c r="L2" s="22" t="s">
        <v>95</v>
      </c>
      <c r="M2" s="321" t="s">
        <v>32</v>
      </c>
      <c r="N2" s="40" t="s">
        <v>96</v>
      </c>
      <c r="Q2" s="119"/>
      <c r="R2" s="119"/>
      <c r="S2" s="119"/>
    </row>
    <row r="3" spans="1:20" s="6" customFormat="1" ht="17.7" customHeight="1" x14ac:dyDescent="0.3">
      <c r="A3" s="402" t="s">
        <v>97</v>
      </c>
      <c r="B3" s="332" t="s">
        <v>98</v>
      </c>
      <c r="C3" s="320" t="s">
        <v>99</v>
      </c>
      <c r="D3" s="84" t="s">
        <v>100</v>
      </c>
      <c r="E3" s="128" t="s">
        <v>101</v>
      </c>
      <c r="F3" s="84" t="s">
        <v>102</v>
      </c>
      <c r="G3" s="118">
        <f>(H3*J3)/SUMPRODUCT($H$3:$H$44,$J$3:$J$44)</f>
        <v>3.2902596473621897E-3</v>
      </c>
      <c r="H3" s="120">
        <v>575.20000000000005</v>
      </c>
      <c r="I3" s="14">
        <v>8053.16</v>
      </c>
      <c r="J3" s="14">
        <v>1</v>
      </c>
      <c r="K3" s="117">
        <f>L3*H3/1000</f>
        <v>18.981600000000004</v>
      </c>
      <c r="L3" s="325">
        <v>33</v>
      </c>
      <c r="M3" s="322"/>
      <c r="N3" s="48">
        <f>J3*H3</f>
        <v>575.20000000000005</v>
      </c>
      <c r="O3" s="119"/>
      <c r="P3" s="119"/>
      <c r="Q3" s="119"/>
      <c r="R3" s="119"/>
      <c r="S3" s="119"/>
      <c r="T3" s="119"/>
    </row>
    <row r="4" spans="1:20" s="6" customFormat="1" ht="17.399999999999999" customHeight="1" x14ac:dyDescent="0.3">
      <c r="A4" s="402" t="s">
        <v>97</v>
      </c>
      <c r="B4" s="332" t="s">
        <v>103</v>
      </c>
      <c r="C4" s="320" t="s">
        <v>104</v>
      </c>
      <c r="D4" s="84" t="s">
        <v>105</v>
      </c>
      <c r="E4" s="128" t="s">
        <v>101</v>
      </c>
      <c r="F4" s="84" t="s">
        <v>102</v>
      </c>
      <c r="G4" s="118">
        <f t="shared" ref="G4:G44" si="0">(H4*J4)/SUMPRODUCT($H$3:$H$44,$J$3:$J$44)</f>
        <v>3.1530835058402963E-2</v>
      </c>
      <c r="H4" s="120">
        <v>5512.19</v>
      </c>
      <c r="I4" s="14">
        <v>137811.47</v>
      </c>
      <c r="J4" s="14">
        <v>1</v>
      </c>
      <c r="K4" s="117">
        <f t="shared" ref="K4:K44" si="1">L4*H4/1000</f>
        <v>181.90226999999999</v>
      </c>
      <c r="L4" s="325">
        <v>33</v>
      </c>
      <c r="M4" s="322"/>
      <c r="N4" s="48">
        <f t="shared" ref="N4:N44" si="2">J4*H4</f>
        <v>5512.19</v>
      </c>
      <c r="O4" s="119"/>
      <c r="P4" s="119"/>
      <c r="Q4" s="119"/>
      <c r="R4" s="119"/>
      <c r="S4" s="119"/>
      <c r="T4" s="119"/>
    </row>
    <row r="5" spans="1:20" s="6" customFormat="1" ht="25.5" customHeight="1" x14ac:dyDescent="0.3">
      <c r="A5" s="402" t="s">
        <v>97</v>
      </c>
      <c r="B5" s="332" t="s">
        <v>106</v>
      </c>
      <c r="C5" s="320" t="s">
        <v>107</v>
      </c>
      <c r="D5" s="84" t="s">
        <v>108</v>
      </c>
      <c r="E5" s="128" t="s">
        <v>101</v>
      </c>
      <c r="F5" s="84" t="s">
        <v>102</v>
      </c>
      <c r="G5" s="118">
        <f t="shared" si="0"/>
        <v>9.5798495163827418E-3</v>
      </c>
      <c r="H5" s="120">
        <v>1674.74</v>
      </c>
      <c r="I5" s="14">
        <v>23447.5</v>
      </c>
      <c r="J5" s="14">
        <v>1</v>
      </c>
      <c r="K5" s="117">
        <f t="shared" si="1"/>
        <v>55.266419999999997</v>
      </c>
      <c r="L5" s="325">
        <v>33</v>
      </c>
      <c r="M5" s="322"/>
      <c r="N5" s="48">
        <f t="shared" si="2"/>
        <v>1674.74</v>
      </c>
      <c r="O5" s="119"/>
      <c r="P5" s="119"/>
      <c r="Q5" s="119"/>
      <c r="R5" s="119"/>
      <c r="S5" s="119"/>
      <c r="T5" s="119"/>
    </row>
    <row r="6" spans="1:20" s="6" customFormat="1" ht="17.7" customHeight="1" x14ac:dyDescent="0.3">
      <c r="A6" s="402" t="s">
        <v>97</v>
      </c>
      <c r="B6" s="332" t="s">
        <v>109</v>
      </c>
      <c r="C6" s="320" t="s">
        <v>110</v>
      </c>
      <c r="D6" s="84" t="s">
        <v>111</v>
      </c>
      <c r="E6" s="128" t="s">
        <v>101</v>
      </c>
      <c r="F6" s="84" t="s">
        <v>102</v>
      </c>
      <c r="G6" s="118">
        <f t="shared" si="0"/>
        <v>0.11295017481792458</v>
      </c>
      <c r="H6" s="120">
        <v>1161.52</v>
      </c>
      <c r="I6" s="14">
        <v>16262.09</v>
      </c>
      <c r="J6" s="14">
        <v>17</v>
      </c>
      <c r="K6" s="117">
        <f t="shared" si="1"/>
        <v>5.8076000000000008</v>
      </c>
      <c r="L6" s="325">
        <v>5</v>
      </c>
      <c r="M6" s="322"/>
      <c r="N6" s="48">
        <f t="shared" si="2"/>
        <v>19745.84</v>
      </c>
      <c r="O6" s="119"/>
      <c r="P6" s="119"/>
      <c r="Q6" s="119"/>
      <c r="R6" s="119"/>
      <c r="S6" s="119"/>
      <c r="T6" s="119"/>
    </row>
    <row r="7" spans="1:20" s="6" customFormat="1" ht="17.7" customHeight="1" x14ac:dyDescent="0.3">
      <c r="A7" s="402" t="s">
        <v>97</v>
      </c>
      <c r="B7" s="332" t="s">
        <v>112</v>
      </c>
      <c r="C7" s="320" t="s">
        <v>113</v>
      </c>
      <c r="D7" s="84" t="s">
        <v>114</v>
      </c>
      <c r="E7" s="128" t="s">
        <v>101</v>
      </c>
      <c r="F7" s="84" t="s">
        <v>102</v>
      </c>
      <c r="G7" s="118">
        <f t="shared" si="0"/>
        <v>7.9570856788302741E-3</v>
      </c>
      <c r="H7" s="120">
        <v>278.20999999999998</v>
      </c>
      <c r="I7" s="14">
        <v>3895.07</v>
      </c>
      <c r="J7" s="14">
        <v>5</v>
      </c>
      <c r="K7" s="117">
        <f t="shared" si="1"/>
        <v>1.3910499999999999</v>
      </c>
      <c r="L7" s="325">
        <v>5</v>
      </c>
      <c r="M7" s="322"/>
      <c r="N7" s="48">
        <f t="shared" si="2"/>
        <v>1391.05</v>
      </c>
      <c r="O7" s="119"/>
      <c r="P7" s="119"/>
      <c r="Q7" s="119"/>
      <c r="R7" s="119"/>
      <c r="S7" s="119"/>
      <c r="T7" s="119"/>
    </row>
    <row r="8" spans="1:20" s="6" customFormat="1" ht="17.7" customHeight="1" x14ac:dyDescent="0.3">
      <c r="A8" s="402" t="s">
        <v>97</v>
      </c>
      <c r="B8" s="332" t="s">
        <v>115</v>
      </c>
      <c r="C8" s="320" t="s">
        <v>113</v>
      </c>
      <c r="D8" s="84" t="s">
        <v>116</v>
      </c>
      <c r="E8" s="128" t="s">
        <v>101</v>
      </c>
      <c r="F8" s="84" t="s">
        <v>102</v>
      </c>
      <c r="G8" s="118">
        <f t="shared" si="0"/>
        <v>9.7309200262694524E-3</v>
      </c>
      <c r="H8" s="120">
        <v>340.23</v>
      </c>
      <c r="I8" s="14">
        <v>4763.43</v>
      </c>
      <c r="J8" s="14">
        <v>5</v>
      </c>
      <c r="K8" s="117">
        <f t="shared" si="1"/>
        <v>1.7011500000000002</v>
      </c>
      <c r="L8" s="325">
        <v>5</v>
      </c>
      <c r="M8" s="322"/>
      <c r="N8" s="48">
        <f t="shared" si="2"/>
        <v>1701.15</v>
      </c>
      <c r="O8" s="119"/>
      <c r="P8" s="119"/>
      <c r="Q8" s="119"/>
      <c r="R8" s="119"/>
      <c r="S8" s="119"/>
      <c r="T8" s="119"/>
    </row>
    <row r="9" spans="1:20" s="6" customFormat="1" ht="17.7" customHeight="1" x14ac:dyDescent="0.3">
      <c r="A9" s="402" t="s">
        <v>97</v>
      </c>
      <c r="B9" s="332" t="s">
        <v>117</v>
      </c>
      <c r="C9" s="320" t="s">
        <v>118</v>
      </c>
      <c r="D9" s="84" t="s">
        <v>119</v>
      </c>
      <c r="E9" s="128" t="s">
        <v>120</v>
      </c>
      <c r="F9" s="84" t="s">
        <v>102</v>
      </c>
      <c r="G9" s="118">
        <f t="shared" si="0"/>
        <v>8.3357629887318326E-3</v>
      </c>
      <c r="H9" s="120">
        <v>1457.25</v>
      </c>
      <c r="I9" s="14">
        <v>20402.54</v>
      </c>
      <c r="J9" s="14">
        <v>1</v>
      </c>
      <c r="K9" s="117">
        <f t="shared" si="1"/>
        <v>4.3717499999999996</v>
      </c>
      <c r="L9" s="325">
        <v>3</v>
      </c>
      <c r="M9" s="322"/>
      <c r="N9" s="48">
        <f t="shared" si="2"/>
        <v>1457.25</v>
      </c>
      <c r="O9" s="119"/>
      <c r="P9" s="119"/>
      <c r="Q9" s="119"/>
      <c r="R9" s="119"/>
      <c r="S9" s="119"/>
      <c r="T9" s="119"/>
    </row>
    <row r="10" spans="1:20" s="6" customFormat="1" ht="17.7" customHeight="1" x14ac:dyDescent="0.3">
      <c r="A10" s="402" t="s">
        <v>97</v>
      </c>
      <c r="B10" s="332" t="s">
        <v>121</v>
      </c>
      <c r="C10" s="320" t="s">
        <v>122</v>
      </c>
      <c r="D10" s="84" t="s">
        <v>123</v>
      </c>
      <c r="E10" s="128" t="s">
        <v>101</v>
      </c>
      <c r="F10" s="84" t="s">
        <v>102</v>
      </c>
      <c r="G10" s="118">
        <f t="shared" si="0"/>
        <v>2.8405832019546155E-2</v>
      </c>
      <c r="H10" s="120">
        <v>1241.47</v>
      </c>
      <c r="I10" s="14">
        <v>17381.45</v>
      </c>
      <c r="J10" s="14">
        <v>4</v>
      </c>
      <c r="K10" s="117">
        <f t="shared" si="1"/>
        <v>40.968510000000002</v>
      </c>
      <c r="L10" s="325">
        <v>33</v>
      </c>
      <c r="M10" s="322"/>
      <c r="N10" s="48">
        <f t="shared" si="2"/>
        <v>4965.88</v>
      </c>
      <c r="O10" s="119"/>
      <c r="P10" s="119"/>
      <c r="Q10" s="119"/>
      <c r="R10" s="119"/>
      <c r="S10" s="119"/>
      <c r="T10" s="119"/>
    </row>
    <row r="11" spans="1:20" s="6" customFormat="1" ht="17.7" customHeight="1" x14ac:dyDescent="0.3">
      <c r="A11" s="402" t="s">
        <v>97</v>
      </c>
      <c r="B11" s="332" t="s">
        <v>124</v>
      </c>
      <c r="C11" s="320" t="s">
        <v>125</v>
      </c>
      <c r="D11" s="84" t="s">
        <v>126</v>
      </c>
      <c r="E11" s="128" t="s">
        <v>101</v>
      </c>
      <c r="F11" s="84" t="s">
        <v>102</v>
      </c>
      <c r="G11" s="118">
        <f t="shared" si="0"/>
        <v>3.5980636661809638E-2</v>
      </c>
      <c r="H11" s="120">
        <v>1048.3499999999999</v>
      </c>
      <c r="I11" s="14">
        <v>14677.59</v>
      </c>
      <c r="J11" s="14">
        <v>6</v>
      </c>
      <c r="K11" s="117">
        <f t="shared" si="1"/>
        <v>5.2417499999999997</v>
      </c>
      <c r="L11" s="325">
        <v>5</v>
      </c>
      <c r="M11" s="322"/>
      <c r="N11" s="48">
        <f t="shared" si="2"/>
        <v>6290.0999999999995</v>
      </c>
      <c r="O11" s="119"/>
      <c r="P11" s="119"/>
      <c r="Q11" s="119"/>
      <c r="R11" s="119"/>
      <c r="S11" s="119"/>
      <c r="T11" s="119"/>
    </row>
    <row r="12" spans="1:20" s="6" customFormat="1" ht="17.7" customHeight="1" x14ac:dyDescent="0.3">
      <c r="A12" s="402" t="s">
        <v>97</v>
      </c>
      <c r="B12" s="332" t="s">
        <v>127</v>
      </c>
      <c r="C12" s="320" t="s">
        <v>128</v>
      </c>
      <c r="D12" s="84" t="s">
        <v>129</v>
      </c>
      <c r="E12" s="128" t="s">
        <v>101</v>
      </c>
      <c r="F12" s="84" t="s">
        <v>102</v>
      </c>
      <c r="G12" s="118">
        <f t="shared" si="0"/>
        <v>1.0309747171117468E-2</v>
      </c>
      <c r="H12" s="120">
        <v>901.17</v>
      </c>
      <c r="I12" s="14">
        <v>12620.46</v>
      </c>
      <c r="J12" s="14">
        <v>2</v>
      </c>
      <c r="K12" s="117">
        <f t="shared" si="1"/>
        <v>4.5058499999999997</v>
      </c>
      <c r="L12" s="325">
        <v>5</v>
      </c>
      <c r="M12" s="322"/>
      <c r="N12" s="48">
        <f t="shared" si="2"/>
        <v>1802.34</v>
      </c>
      <c r="O12" s="119"/>
      <c r="P12" s="119"/>
      <c r="Q12" s="119"/>
      <c r="R12" s="119"/>
      <c r="S12" s="119"/>
      <c r="T12" s="119"/>
    </row>
    <row r="13" spans="1:20" s="6" customFormat="1" ht="17.7" customHeight="1" x14ac:dyDescent="0.3">
      <c r="A13" s="402" t="s">
        <v>97</v>
      </c>
      <c r="B13" s="332" t="s">
        <v>130</v>
      </c>
      <c r="C13" s="320" t="s">
        <v>131</v>
      </c>
      <c r="D13" s="84" t="s">
        <v>132</v>
      </c>
      <c r="E13" s="128" t="s">
        <v>101</v>
      </c>
      <c r="F13" s="84" t="s">
        <v>102</v>
      </c>
      <c r="G13" s="118">
        <f t="shared" si="0"/>
        <v>2.8549065853986262E-2</v>
      </c>
      <c r="H13" s="120">
        <v>1247.73</v>
      </c>
      <c r="I13" s="14">
        <v>17469.080000000002</v>
      </c>
      <c r="J13" s="14">
        <v>4</v>
      </c>
      <c r="K13" s="117">
        <f t="shared" si="1"/>
        <v>6.2386499999999998</v>
      </c>
      <c r="L13" s="326">
        <v>5</v>
      </c>
      <c r="M13" s="323"/>
      <c r="N13" s="48">
        <f t="shared" si="2"/>
        <v>4990.92</v>
      </c>
      <c r="O13" s="119"/>
      <c r="P13" s="119"/>
      <c r="Q13" s="119"/>
      <c r="R13" s="119"/>
      <c r="S13" s="119"/>
      <c r="T13" s="119"/>
    </row>
    <row r="14" spans="1:20" s="6" customFormat="1" ht="17.7" customHeight="1" x14ac:dyDescent="0.3">
      <c r="A14" s="402" t="s">
        <v>97</v>
      </c>
      <c r="B14" s="332" t="s">
        <v>133</v>
      </c>
      <c r="C14" s="320" t="s">
        <v>134</v>
      </c>
      <c r="D14" s="84" t="s">
        <v>135</v>
      </c>
      <c r="E14" s="128" t="s">
        <v>101</v>
      </c>
      <c r="F14" s="84" t="s">
        <v>102</v>
      </c>
      <c r="G14" s="118">
        <f t="shared" si="0"/>
        <v>1.4398890097948719E-3</v>
      </c>
      <c r="H14" s="120">
        <v>251.72</v>
      </c>
      <c r="I14" s="14">
        <v>3524.26</v>
      </c>
      <c r="J14" s="14">
        <v>1</v>
      </c>
      <c r="K14" s="117">
        <f t="shared" si="1"/>
        <v>0</v>
      </c>
      <c r="L14" s="327">
        <v>0</v>
      </c>
      <c r="M14" s="324"/>
      <c r="N14" s="48">
        <f t="shared" si="2"/>
        <v>251.72</v>
      </c>
      <c r="O14" s="119"/>
      <c r="P14" s="119"/>
      <c r="Q14" s="119"/>
      <c r="R14" s="119"/>
      <c r="S14" s="119"/>
      <c r="T14" s="119"/>
    </row>
    <row r="15" spans="1:20" s="6" customFormat="1" ht="17.7" customHeight="1" x14ac:dyDescent="0.3">
      <c r="A15" s="402" t="s">
        <v>97</v>
      </c>
      <c r="B15" s="332" t="s">
        <v>136</v>
      </c>
      <c r="C15" s="320" t="s">
        <v>137</v>
      </c>
      <c r="D15" s="84" t="s">
        <v>138</v>
      </c>
      <c r="E15" s="128" t="s">
        <v>101</v>
      </c>
      <c r="F15" s="84" t="s">
        <v>102</v>
      </c>
      <c r="G15" s="118">
        <f t="shared" si="0"/>
        <v>3.0476087185702834E-2</v>
      </c>
      <c r="H15" s="120">
        <v>1065.56</v>
      </c>
      <c r="I15" s="14">
        <v>26638.09</v>
      </c>
      <c r="J15" s="14">
        <v>5</v>
      </c>
      <c r="K15" s="117">
        <f t="shared" si="1"/>
        <v>35.163479999999993</v>
      </c>
      <c r="L15" s="325">
        <v>33</v>
      </c>
      <c r="M15" s="322"/>
      <c r="N15" s="48">
        <f t="shared" si="2"/>
        <v>5327.7999999999993</v>
      </c>
      <c r="O15" s="119"/>
      <c r="P15" s="119"/>
      <c r="Q15" s="119"/>
      <c r="R15" s="119"/>
      <c r="S15" s="119"/>
      <c r="T15" s="119"/>
    </row>
    <row r="16" spans="1:20" s="6" customFormat="1" ht="17.7" customHeight="1" x14ac:dyDescent="0.3">
      <c r="A16" s="402" t="s">
        <v>139</v>
      </c>
      <c r="B16" s="332" t="s">
        <v>140</v>
      </c>
      <c r="C16" s="320" t="s">
        <v>113</v>
      </c>
      <c r="D16" s="84" t="s">
        <v>141</v>
      </c>
      <c r="E16" s="128" t="s">
        <v>142</v>
      </c>
      <c r="F16" s="84" t="s">
        <v>102</v>
      </c>
      <c r="G16" s="118">
        <f t="shared" si="0"/>
        <v>6.9220152977624927E-4</v>
      </c>
      <c r="H16" s="120">
        <v>121.01</v>
      </c>
      <c r="I16" s="14">
        <v>1694.25</v>
      </c>
      <c r="J16" s="14">
        <v>1</v>
      </c>
      <c r="K16" s="117">
        <f t="shared" si="1"/>
        <v>0.60505000000000009</v>
      </c>
      <c r="L16" s="325">
        <v>5</v>
      </c>
      <c r="M16" s="322"/>
      <c r="N16" s="48">
        <f t="shared" si="2"/>
        <v>121.01</v>
      </c>
      <c r="O16" s="119"/>
      <c r="P16" s="119"/>
      <c r="Q16" s="119"/>
      <c r="R16" s="119"/>
      <c r="S16" s="119"/>
      <c r="T16" s="119"/>
    </row>
    <row r="17" spans="1:20" s="6" customFormat="1" ht="17.7" customHeight="1" x14ac:dyDescent="0.3">
      <c r="A17" s="402" t="s">
        <v>139</v>
      </c>
      <c r="B17" s="332" t="s">
        <v>143</v>
      </c>
      <c r="C17" s="320" t="s">
        <v>113</v>
      </c>
      <c r="D17" s="84" t="s">
        <v>144</v>
      </c>
      <c r="E17" s="128" t="s">
        <v>142</v>
      </c>
      <c r="F17" s="84" t="s">
        <v>102</v>
      </c>
      <c r="G17" s="118">
        <f t="shared" si="0"/>
        <v>5.6063690549020895E-4</v>
      </c>
      <c r="H17" s="120">
        <v>98.01</v>
      </c>
      <c r="I17" s="14">
        <v>1372.2</v>
      </c>
      <c r="J17" s="14">
        <v>1</v>
      </c>
      <c r="K17" s="117">
        <f t="shared" si="1"/>
        <v>0.49004999999999999</v>
      </c>
      <c r="L17" s="325">
        <v>5</v>
      </c>
      <c r="M17" s="322"/>
      <c r="N17" s="48">
        <f t="shared" si="2"/>
        <v>98.01</v>
      </c>
      <c r="O17" s="119"/>
      <c r="P17" s="119"/>
      <c r="Q17" s="119"/>
      <c r="R17" s="119"/>
      <c r="S17" s="119"/>
      <c r="T17" s="119"/>
    </row>
    <row r="18" spans="1:20" s="6" customFormat="1" ht="17.7" customHeight="1" x14ac:dyDescent="0.3">
      <c r="A18" s="402" t="s">
        <v>139</v>
      </c>
      <c r="B18" s="332" t="s">
        <v>145</v>
      </c>
      <c r="C18" s="320" t="s">
        <v>146</v>
      </c>
      <c r="D18" s="84" t="s">
        <v>147</v>
      </c>
      <c r="E18" s="128" t="s">
        <v>142</v>
      </c>
      <c r="F18" s="84" t="s">
        <v>102</v>
      </c>
      <c r="G18" s="118">
        <f t="shared" si="0"/>
        <v>1.1754669957841546E-2</v>
      </c>
      <c r="H18" s="120">
        <v>2054.94</v>
      </c>
      <c r="I18" s="14">
        <v>28770.52</v>
      </c>
      <c r="J18" s="14">
        <v>1</v>
      </c>
      <c r="K18" s="117">
        <f t="shared" si="1"/>
        <v>51.3735</v>
      </c>
      <c r="L18" s="325">
        <v>25</v>
      </c>
      <c r="M18" s="322"/>
      <c r="N18" s="48">
        <f t="shared" si="2"/>
        <v>2054.94</v>
      </c>
      <c r="O18" s="119"/>
      <c r="P18" s="119"/>
      <c r="Q18" s="119"/>
      <c r="R18" s="119"/>
      <c r="S18" s="119"/>
      <c r="T18" s="119"/>
    </row>
    <row r="19" spans="1:20" s="6" customFormat="1" ht="17.7" customHeight="1" x14ac:dyDescent="0.3">
      <c r="A19" s="402" t="s">
        <v>139</v>
      </c>
      <c r="B19" s="332" t="s">
        <v>148</v>
      </c>
      <c r="C19" s="320" t="s">
        <v>149</v>
      </c>
      <c r="D19" s="84" t="s">
        <v>150</v>
      </c>
      <c r="E19" s="128" t="s">
        <v>142</v>
      </c>
      <c r="F19" s="84" t="s">
        <v>102</v>
      </c>
      <c r="G19" s="118">
        <f t="shared" si="0"/>
        <v>6.8478242900672772E-3</v>
      </c>
      <c r="H19" s="120">
        <v>1197.1300000000001</v>
      </c>
      <c r="I19" s="14">
        <v>16760.599999999999</v>
      </c>
      <c r="J19" s="14">
        <v>1</v>
      </c>
      <c r="K19" s="117">
        <f t="shared" si="1"/>
        <v>11.971300000000001</v>
      </c>
      <c r="L19" s="325">
        <v>10</v>
      </c>
      <c r="M19" s="322"/>
      <c r="N19" s="48">
        <f t="shared" si="2"/>
        <v>1197.1300000000001</v>
      </c>
      <c r="O19" s="119"/>
      <c r="P19" s="119"/>
      <c r="Q19" s="119"/>
      <c r="R19" s="119"/>
      <c r="S19" s="119"/>
      <c r="T19" s="119"/>
    </row>
    <row r="20" spans="1:20" s="6" customFormat="1" ht="17.7" customHeight="1" x14ac:dyDescent="0.3">
      <c r="A20" s="402" t="s">
        <v>139</v>
      </c>
      <c r="B20" s="332" t="s">
        <v>151</v>
      </c>
      <c r="C20" s="320" t="s">
        <v>128</v>
      </c>
      <c r="D20" s="84" t="s">
        <v>152</v>
      </c>
      <c r="E20" s="128" t="s">
        <v>142</v>
      </c>
      <c r="F20" s="84" t="s">
        <v>102</v>
      </c>
      <c r="G20" s="118">
        <f t="shared" si="0"/>
        <v>3.2207592045328244E-3</v>
      </c>
      <c r="H20" s="120">
        <v>563.04999999999995</v>
      </c>
      <c r="I20" s="14">
        <v>7883.15</v>
      </c>
      <c r="J20" s="14">
        <v>1</v>
      </c>
      <c r="K20" s="117">
        <f t="shared" si="1"/>
        <v>2.8152499999999998</v>
      </c>
      <c r="L20" s="325">
        <v>5</v>
      </c>
      <c r="M20" s="322"/>
      <c r="N20" s="48">
        <f t="shared" si="2"/>
        <v>563.04999999999995</v>
      </c>
      <c r="O20" s="119"/>
      <c r="P20" s="119"/>
      <c r="Q20" s="119"/>
      <c r="R20" s="119"/>
      <c r="S20" s="119"/>
      <c r="T20" s="119"/>
    </row>
    <row r="21" spans="1:20" s="6" customFormat="1" ht="17.7" customHeight="1" x14ac:dyDescent="0.3">
      <c r="A21" s="402" t="s">
        <v>139</v>
      </c>
      <c r="B21" s="332" t="s">
        <v>153</v>
      </c>
      <c r="C21" s="320" t="s">
        <v>131</v>
      </c>
      <c r="D21" s="84" t="s">
        <v>154</v>
      </c>
      <c r="E21" s="128" t="s">
        <v>142</v>
      </c>
      <c r="F21" s="84" t="s">
        <v>102</v>
      </c>
      <c r="G21" s="118">
        <f t="shared" si="0"/>
        <v>2.17848137013459E-3</v>
      </c>
      <c r="H21" s="120">
        <v>380.84</v>
      </c>
      <c r="I21" s="14">
        <v>5331.98</v>
      </c>
      <c r="J21" s="14">
        <v>1</v>
      </c>
      <c r="K21" s="117">
        <f t="shared" si="1"/>
        <v>1.9041999999999999</v>
      </c>
      <c r="L21" s="326">
        <v>5</v>
      </c>
      <c r="M21" s="323"/>
      <c r="N21" s="48">
        <f t="shared" si="2"/>
        <v>380.84</v>
      </c>
      <c r="O21" s="119"/>
      <c r="P21" s="119"/>
      <c r="Q21" s="119"/>
      <c r="R21" s="119"/>
      <c r="S21" s="119"/>
      <c r="T21" s="119"/>
    </row>
    <row r="22" spans="1:20" s="6" customFormat="1" ht="17.7" customHeight="1" x14ac:dyDescent="0.3">
      <c r="A22" s="402" t="s">
        <v>139</v>
      </c>
      <c r="B22" s="332" t="s">
        <v>155</v>
      </c>
      <c r="C22" s="320" t="s">
        <v>156</v>
      </c>
      <c r="D22" s="84" t="s">
        <v>157</v>
      </c>
      <c r="E22" s="128" t="s">
        <v>142</v>
      </c>
      <c r="F22" s="84" t="s">
        <v>102</v>
      </c>
      <c r="G22" s="118">
        <f t="shared" si="0"/>
        <v>2.17848137013459E-3</v>
      </c>
      <c r="H22" s="120">
        <v>380.84</v>
      </c>
      <c r="I22" s="14">
        <v>5331.98</v>
      </c>
      <c r="J22" s="14">
        <v>1</v>
      </c>
      <c r="K22" s="117">
        <f t="shared" si="1"/>
        <v>9.5210000000000008</v>
      </c>
      <c r="L22" s="325">
        <v>25</v>
      </c>
      <c r="M22" s="322"/>
      <c r="N22" s="48">
        <f t="shared" si="2"/>
        <v>380.84</v>
      </c>
      <c r="O22" s="119"/>
      <c r="P22" s="119"/>
      <c r="Q22" s="119"/>
      <c r="R22" s="119"/>
      <c r="S22" s="119"/>
      <c r="T22" s="119"/>
    </row>
    <row r="23" spans="1:20" s="6" customFormat="1" ht="17.7" customHeight="1" x14ac:dyDescent="0.3">
      <c r="A23" s="402" t="s">
        <v>139</v>
      </c>
      <c r="B23" s="332" t="s">
        <v>158</v>
      </c>
      <c r="C23" s="320" t="s">
        <v>113</v>
      </c>
      <c r="D23" s="84" t="s">
        <v>159</v>
      </c>
      <c r="E23" s="128" t="s">
        <v>142</v>
      </c>
      <c r="F23" s="84" t="s">
        <v>102</v>
      </c>
      <c r="G23" s="118">
        <f t="shared" si="0"/>
        <v>6.9220152977624927E-4</v>
      </c>
      <c r="H23" s="120">
        <v>121.01</v>
      </c>
      <c r="I23" s="14">
        <v>1694.25</v>
      </c>
      <c r="J23" s="14">
        <v>1</v>
      </c>
      <c r="K23" s="117">
        <f t="shared" si="1"/>
        <v>0.60505000000000009</v>
      </c>
      <c r="L23" s="325">
        <v>5</v>
      </c>
      <c r="M23" s="322"/>
      <c r="N23" s="48">
        <f t="shared" si="2"/>
        <v>121.01</v>
      </c>
      <c r="O23" s="119"/>
      <c r="P23" s="119"/>
      <c r="Q23" s="119"/>
      <c r="R23" s="119"/>
      <c r="S23" s="119"/>
      <c r="T23" s="119"/>
    </row>
    <row r="24" spans="1:20" s="6" customFormat="1" ht="17.7" customHeight="1" x14ac:dyDescent="0.3">
      <c r="A24" s="402" t="s">
        <v>139</v>
      </c>
      <c r="B24" s="332" t="s">
        <v>160</v>
      </c>
      <c r="C24" s="320" t="s">
        <v>146</v>
      </c>
      <c r="D24" s="84" t="s">
        <v>161</v>
      </c>
      <c r="E24" s="128" t="s">
        <v>142</v>
      </c>
      <c r="F24" s="84" t="s">
        <v>102</v>
      </c>
      <c r="G24" s="118">
        <f t="shared" si="0"/>
        <v>1.8602437045898264E-2</v>
      </c>
      <c r="H24" s="120">
        <v>3252.06</v>
      </c>
      <c r="I24" s="14">
        <v>45531.11</v>
      </c>
      <c r="J24" s="14">
        <v>1</v>
      </c>
      <c r="K24" s="117">
        <f t="shared" si="1"/>
        <v>81.301500000000004</v>
      </c>
      <c r="L24" s="325">
        <v>25</v>
      </c>
      <c r="M24" s="322"/>
      <c r="N24" s="48">
        <f t="shared" si="2"/>
        <v>3252.06</v>
      </c>
      <c r="O24" s="119"/>
      <c r="P24" s="119"/>
      <c r="Q24" s="119"/>
      <c r="R24" s="119"/>
      <c r="S24" s="119"/>
      <c r="T24" s="119"/>
    </row>
    <row r="25" spans="1:20" s="6" customFormat="1" ht="17.7" customHeight="1" x14ac:dyDescent="0.3">
      <c r="A25" s="402" t="s">
        <v>139</v>
      </c>
      <c r="B25" s="332" t="s">
        <v>162</v>
      </c>
      <c r="C25" s="320" t="s">
        <v>128</v>
      </c>
      <c r="D25" s="84" t="s">
        <v>163</v>
      </c>
      <c r="E25" s="128" t="s">
        <v>142</v>
      </c>
      <c r="F25" s="84" t="s">
        <v>102</v>
      </c>
      <c r="G25" s="118">
        <f t="shared" si="0"/>
        <v>3.2207592045328244E-3</v>
      </c>
      <c r="H25" s="120">
        <v>563.04999999999995</v>
      </c>
      <c r="I25" s="14">
        <v>7883.15</v>
      </c>
      <c r="J25" s="14">
        <v>1</v>
      </c>
      <c r="K25" s="117">
        <f t="shared" si="1"/>
        <v>2.8152499999999998</v>
      </c>
      <c r="L25" s="325">
        <v>5</v>
      </c>
      <c r="M25" s="322"/>
      <c r="N25" s="48">
        <f t="shared" si="2"/>
        <v>563.04999999999995</v>
      </c>
      <c r="O25" s="119"/>
      <c r="P25" s="119"/>
      <c r="Q25" s="119"/>
      <c r="R25" s="119"/>
      <c r="S25" s="119"/>
      <c r="T25" s="119"/>
    </row>
    <row r="26" spans="1:20" s="6" customFormat="1" ht="17.7" customHeight="1" x14ac:dyDescent="0.3">
      <c r="A26" s="402" t="s">
        <v>139</v>
      </c>
      <c r="B26" s="332" t="s">
        <v>164</v>
      </c>
      <c r="C26" s="320" t="s">
        <v>131</v>
      </c>
      <c r="D26" s="84" t="s">
        <v>165</v>
      </c>
      <c r="E26" s="128" t="s">
        <v>142</v>
      </c>
      <c r="F26" s="84" t="s">
        <v>102</v>
      </c>
      <c r="G26" s="118">
        <f t="shared" si="0"/>
        <v>5.6063690549020895E-4</v>
      </c>
      <c r="H26" s="120">
        <v>98.01</v>
      </c>
      <c r="I26" s="14">
        <v>1372.2</v>
      </c>
      <c r="J26" s="14">
        <v>1</v>
      </c>
      <c r="K26" s="117">
        <f t="shared" si="1"/>
        <v>0.49004999999999999</v>
      </c>
      <c r="L26" s="326">
        <v>5</v>
      </c>
      <c r="M26" s="323"/>
      <c r="N26" s="48">
        <f t="shared" si="2"/>
        <v>98.01</v>
      </c>
      <c r="O26" s="119"/>
      <c r="P26" s="119"/>
      <c r="Q26" s="119"/>
      <c r="R26" s="119"/>
      <c r="S26" s="119"/>
      <c r="T26" s="119"/>
    </row>
    <row r="27" spans="1:20" s="6" customFormat="1" ht="17.7" customHeight="1" x14ac:dyDescent="0.3">
      <c r="A27" s="402" t="s">
        <v>166</v>
      </c>
      <c r="B27" s="332" t="s">
        <v>167</v>
      </c>
      <c r="C27" s="320" t="s">
        <v>156</v>
      </c>
      <c r="D27" s="84" t="s">
        <v>168</v>
      </c>
      <c r="E27" s="128" t="s">
        <v>142</v>
      </c>
      <c r="F27" s="84" t="s">
        <v>102</v>
      </c>
      <c r="G27" s="118">
        <f t="shared" si="0"/>
        <v>1.7190634223287933E-2</v>
      </c>
      <c r="H27" s="120">
        <v>1001.75</v>
      </c>
      <c r="I27" s="14">
        <v>14025.15</v>
      </c>
      <c r="J27" s="14">
        <v>3</v>
      </c>
      <c r="K27" s="117">
        <f t="shared" si="1"/>
        <v>25.043749999999999</v>
      </c>
      <c r="L27" s="325">
        <v>25</v>
      </c>
      <c r="M27" s="322"/>
      <c r="N27" s="48">
        <f t="shared" si="2"/>
        <v>3005.25</v>
      </c>
      <c r="O27" s="119"/>
      <c r="P27" s="119"/>
      <c r="Q27" s="119"/>
      <c r="R27" s="119"/>
      <c r="S27" s="119"/>
      <c r="T27" s="119"/>
    </row>
    <row r="28" spans="1:20" s="6" customFormat="1" ht="17.7" customHeight="1" x14ac:dyDescent="0.3">
      <c r="A28" s="402" t="s">
        <v>166</v>
      </c>
      <c r="B28" s="332" t="s">
        <v>169</v>
      </c>
      <c r="C28" s="320" t="s">
        <v>156</v>
      </c>
      <c r="D28" s="84" t="s">
        <v>170</v>
      </c>
      <c r="E28" s="128" t="s">
        <v>142</v>
      </c>
      <c r="F28" s="84" t="s">
        <v>102</v>
      </c>
      <c r="G28" s="118">
        <f t="shared" si="0"/>
        <v>0.17315134399269919</v>
      </c>
      <c r="H28" s="120">
        <v>6054.03</v>
      </c>
      <c r="I28" s="14">
        <v>84760.52</v>
      </c>
      <c r="J28" s="14">
        <v>5</v>
      </c>
      <c r="K28" s="117">
        <f t="shared" si="1"/>
        <v>151.35075000000001</v>
      </c>
      <c r="L28" s="325">
        <v>25</v>
      </c>
      <c r="M28" s="322"/>
      <c r="N28" s="48">
        <f t="shared" si="2"/>
        <v>30270.149999999998</v>
      </c>
      <c r="O28" s="119"/>
      <c r="P28" s="119"/>
      <c r="Q28" s="119"/>
      <c r="R28" s="119"/>
      <c r="S28" s="119"/>
      <c r="T28" s="119"/>
    </row>
    <row r="29" spans="1:20" s="6" customFormat="1" ht="17.7" customHeight="1" x14ac:dyDescent="0.3">
      <c r="A29" s="402" t="s">
        <v>166</v>
      </c>
      <c r="B29" s="332" t="s">
        <v>171</v>
      </c>
      <c r="C29" s="320" t="s">
        <v>125</v>
      </c>
      <c r="D29" s="84" t="s">
        <v>172</v>
      </c>
      <c r="E29" s="128" t="s">
        <v>142</v>
      </c>
      <c r="F29" s="84" t="s">
        <v>102</v>
      </c>
      <c r="G29" s="118">
        <f t="shared" si="0"/>
        <v>9.8889691814443778E-3</v>
      </c>
      <c r="H29" s="120">
        <v>288.13</v>
      </c>
      <c r="I29" s="14">
        <v>4033.99</v>
      </c>
      <c r="J29" s="14">
        <v>6</v>
      </c>
      <c r="K29" s="117">
        <f t="shared" si="1"/>
        <v>1.44065</v>
      </c>
      <c r="L29" s="325">
        <v>5</v>
      </c>
      <c r="M29" s="322"/>
      <c r="N29" s="48">
        <f t="shared" si="2"/>
        <v>1728.78</v>
      </c>
      <c r="O29" s="119"/>
      <c r="P29" s="119"/>
      <c r="Q29" s="119"/>
      <c r="R29" s="119"/>
      <c r="S29" s="119"/>
      <c r="T29" s="119"/>
    </row>
    <row r="30" spans="1:20" s="6" customFormat="1" ht="17.7" customHeight="1" x14ac:dyDescent="0.3">
      <c r="A30" s="402" t="s">
        <v>166</v>
      </c>
      <c r="B30" s="332" t="s">
        <v>173</v>
      </c>
      <c r="C30" s="320" t="s">
        <v>128</v>
      </c>
      <c r="D30" s="84" t="s">
        <v>174</v>
      </c>
      <c r="E30" s="128" t="s">
        <v>142</v>
      </c>
      <c r="F30" s="84" t="s">
        <v>102</v>
      </c>
      <c r="G30" s="118">
        <f t="shared" si="0"/>
        <v>6.0943022049716215E-3</v>
      </c>
      <c r="H30" s="120">
        <v>532.70000000000005</v>
      </c>
      <c r="I30" s="14">
        <v>7458.19</v>
      </c>
      <c r="J30" s="14">
        <v>2</v>
      </c>
      <c r="K30" s="117">
        <f t="shared" si="1"/>
        <v>2.6635</v>
      </c>
      <c r="L30" s="325">
        <v>5</v>
      </c>
      <c r="M30" s="322"/>
      <c r="N30" s="48">
        <f t="shared" si="2"/>
        <v>1065.4000000000001</v>
      </c>
      <c r="O30" s="119"/>
      <c r="P30" s="119"/>
      <c r="Q30" s="119"/>
      <c r="R30" s="119"/>
      <c r="S30" s="119"/>
      <c r="T30" s="119"/>
    </row>
    <row r="31" spans="1:20" s="6" customFormat="1" ht="17.7" customHeight="1" x14ac:dyDescent="0.3">
      <c r="A31" s="402" t="s">
        <v>166</v>
      </c>
      <c r="B31" s="332" t="s">
        <v>175</v>
      </c>
      <c r="C31" s="320" t="s">
        <v>156</v>
      </c>
      <c r="D31" s="84" t="s">
        <v>176</v>
      </c>
      <c r="E31" s="128" t="s">
        <v>142</v>
      </c>
      <c r="F31" s="84" t="s">
        <v>102</v>
      </c>
      <c r="G31" s="118">
        <f t="shared" si="0"/>
        <v>0.17315134399269919</v>
      </c>
      <c r="H31" s="120">
        <v>6054.03</v>
      </c>
      <c r="I31" s="14">
        <v>84760.52</v>
      </c>
      <c r="J31" s="14">
        <v>5</v>
      </c>
      <c r="K31" s="117">
        <f t="shared" si="1"/>
        <v>151.35075000000001</v>
      </c>
      <c r="L31" s="325">
        <v>25</v>
      </c>
      <c r="M31" s="322"/>
      <c r="N31" s="48">
        <f t="shared" si="2"/>
        <v>30270.149999999998</v>
      </c>
      <c r="O31" s="119"/>
      <c r="P31" s="119"/>
      <c r="Q31" s="119"/>
      <c r="R31" s="119"/>
      <c r="S31" s="119"/>
      <c r="T31" s="119"/>
    </row>
    <row r="32" spans="1:20" s="6" customFormat="1" ht="17.7" customHeight="1" x14ac:dyDescent="0.3">
      <c r="A32" s="402" t="s">
        <v>166</v>
      </c>
      <c r="B32" s="332" t="s">
        <v>177</v>
      </c>
      <c r="C32" s="320" t="s">
        <v>156</v>
      </c>
      <c r="D32" s="84" t="s">
        <v>178</v>
      </c>
      <c r="E32" s="128" t="s">
        <v>142</v>
      </c>
      <c r="F32" s="84" t="s">
        <v>102</v>
      </c>
      <c r="G32" s="118">
        <f t="shared" si="0"/>
        <v>1.7190634223287933E-2</v>
      </c>
      <c r="H32" s="120">
        <v>1001.75</v>
      </c>
      <c r="I32" s="14">
        <v>14025.15</v>
      </c>
      <c r="J32" s="14">
        <v>3</v>
      </c>
      <c r="K32" s="117">
        <f t="shared" si="1"/>
        <v>25.043749999999999</v>
      </c>
      <c r="L32" s="325">
        <v>25</v>
      </c>
      <c r="M32" s="322"/>
      <c r="N32" s="48">
        <f t="shared" si="2"/>
        <v>3005.25</v>
      </c>
      <c r="O32" s="119"/>
      <c r="P32" s="119"/>
      <c r="Q32" s="119"/>
      <c r="R32" s="119"/>
      <c r="S32" s="119"/>
      <c r="T32" s="119"/>
    </row>
    <row r="33" spans="1:29" s="6" customFormat="1" ht="17.7" customHeight="1" x14ac:dyDescent="0.3">
      <c r="A33" s="402" t="s">
        <v>166</v>
      </c>
      <c r="B33" s="332" t="s">
        <v>179</v>
      </c>
      <c r="C33" s="320" t="s">
        <v>125</v>
      </c>
      <c r="D33" s="84" t="s">
        <v>180</v>
      </c>
      <c r="E33" s="128" t="s">
        <v>142</v>
      </c>
      <c r="F33" s="84" t="s">
        <v>102</v>
      </c>
      <c r="G33" s="118">
        <f t="shared" si="0"/>
        <v>9.8889691814443778E-3</v>
      </c>
      <c r="H33" s="120">
        <v>288.13</v>
      </c>
      <c r="I33" s="14">
        <v>4033.99</v>
      </c>
      <c r="J33" s="14">
        <v>6</v>
      </c>
      <c r="K33" s="117">
        <f t="shared" si="1"/>
        <v>1.44065</v>
      </c>
      <c r="L33" s="325">
        <v>5</v>
      </c>
      <c r="M33" s="322"/>
      <c r="N33" s="48">
        <f t="shared" si="2"/>
        <v>1728.78</v>
      </c>
      <c r="O33" s="119"/>
      <c r="P33" s="119"/>
      <c r="Q33" s="119"/>
      <c r="R33" s="119"/>
      <c r="S33" s="119"/>
      <c r="T33" s="119"/>
    </row>
    <row r="34" spans="1:29" s="6" customFormat="1" ht="17.7" customHeight="1" x14ac:dyDescent="0.3">
      <c r="A34" s="402" t="s">
        <v>166</v>
      </c>
      <c r="B34" s="332" t="s">
        <v>181</v>
      </c>
      <c r="C34" s="320" t="s">
        <v>128</v>
      </c>
      <c r="D34" s="84" t="s">
        <v>182</v>
      </c>
      <c r="E34" s="128" t="s">
        <v>142</v>
      </c>
      <c r="F34" s="84" t="s">
        <v>102</v>
      </c>
      <c r="G34" s="118">
        <f t="shared" si="0"/>
        <v>6.0943022049716215E-3</v>
      </c>
      <c r="H34" s="120">
        <v>532.70000000000005</v>
      </c>
      <c r="I34" s="14">
        <v>7458.19</v>
      </c>
      <c r="J34" s="14">
        <v>2</v>
      </c>
      <c r="K34" s="117">
        <f t="shared" si="1"/>
        <v>2.6635</v>
      </c>
      <c r="L34" s="325">
        <v>5</v>
      </c>
      <c r="M34" s="322"/>
      <c r="N34" s="48">
        <f t="shared" si="2"/>
        <v>1065.4000000000001</v>
      </c>
      <c r="O34" s="119"/>
      <c r="P34" s="119"/>
      <c r="Q34" s="119"/>
      <c r="R34" s="119"/>
      <c r="S34" s="119"/>
      <c r="T34" s="119"/>
    </row>
    <row r="35" spans="1:29" s="6" customFormat="1" ht="17.7" customHeight="1" x14ac:dyDescent="0.3">
      <c r="A35" s="402" t="s">
        <v>183</v>
      </c>
      <c r="B35" s="332" t="s">
        <v>184</v>
      </c>
      <c r="C35" s="320" t="s">
        <v>113</v>
      </c>
      <c r="D35" s="84" t="s">
        <v>185</v>
      </c>
      <c r="E35" s="128" t="s">
        <v>142</v>
      </c>
      <c r="F35" s="84" t="s">
        <v>102</v>
      </c>
      <c r="G35" s="118">
        <f t="shared" si="0"/>
        <v>9.774107544241609E-4</v>
      </c>
      <c r="H35" s="120">
        <v>170.87</v>
      </c>
      <c r="I35" s="14">
        <v>2392.3000000000002</v>
      </c>
      <c r="J35" s="14">
        <v>1</v>
      </c>
      <c r="K35" s="117">
        <f t="shared" si="1"/>
        <v>0.85435000000000005</v>
      </c>
      <c r="L35" s="325">
        <v>5</v>
      </c>
      <c r="M35" s="322"/>
      <c r="N35" s="48">
        <f t="shared" si="2"/>
        <v>170.87</v>
      </c>
      <c r="O35" s="119"/>
      <c r="P35" s="119"/>
      <c r="Q35" s="119"/>
      <c r="R35" s="119"/>
      <c r="S35" s="119"/>
      <c r="T35" s="119"/>
    </row>
    <row r="36" spans="1:29" s="6" customFormat="1" ht="17.7" customHeight="1" x14ac:dyDescent="0.3">
      <c r="A36" s="402" t="s">
        <v>183</v>
      </c>
      <c r="B36" s="332" t="s">
        <v>186</v>
      </c>
      <c r="C36" s="320" t="s">
        <v>113</v>
      </c>
      <c r="D36" s="84" t="s">
        <v>187</v>
      </c>
      <c r="E36" s="128" t="s">
        <v>142</v>
      </c>
      <c r="F36" s="84" t="s">
        <v>102</v>
      </c>
      <c r="G36" s="118">
        <f t="shared" si="0"/>
        <v>4.8896278625959661E-4</v>
      </c>
      <c r="H36" s="120">
        <v>85.48</v>
      </c>
      <c r="I36" s="14">
        <v>1196.71</v>
      </c>
      <c r="J36" s="14">
        <v>1</v>
      </c>
      <c r="K36" s="117">
        <f t="shared" si="1"/>
        <v>0.42740000000000006</v>
      </c>
      <c r="L36" s="325">
        <v>5</v>
      </c>
      <c r="M36" s="322"/>
      <c r="N36" s="48">
        <f t="shared" si="2"/>
        <v>85.48</v>
      </c>
      <c r="O36" s="119"/>
      <c r="P36" s="119"/>
      <c r="Q36" s="119"/>
      <c r="R36" s="119"/>
      <c r="S36" s="119"/>
      <c r="T36" s="119"/>
    </row>
    <row r="37" spans="1:29" s="6" customFormat="1" ht="17.7" customHeight="1" x14ac:dyDescent="0.3">
      <c r="A37" s="402" t="s">
        <v>183</v>
      </c>
      <c r="B37" s="332" t="s">
        <v>188</v>
      </c>
      <c r="C37" s="320" t="s">
        <v>128</v>
      </c>
      <c r="D37" s="84" t="s">
        <v>189</v>
      </c>
      <c r="E37" s="128" t="s">
        <v>142</v>
      </c>
      <c r="F37" s="84" t="s">
        <v>102</v>
      </c>
      <c r="G37" s="118">
        <f t="shared" si="0"/>
        <v>1.5217450869050124E-3</v>
      </c>
      <c r="H37" s="120">
        <v>266.02999999999997</v>
      </c>
      <c r="I37" s="14">
        <v>3724.56</v>
      </c>
      <c r="J37" s="14">
        <v>1</v>
      </c>
      <c r="K37" s="117">
        <f t="shared" si="1"/>
        <v>1.3301499999999999</v>
      </c>
      <c r="L37" s="325">
        <v>5</v>
      </c>
      <c r="M37" s="322"/>
      <c r="N37" s="48">
        <f t="shared" si="2"/>
        <v>266.02999999999997</v>
      </c>
      <c r="O37" s="119"/>
      <c r="P37" s="119"/>
      <c r="Q37" s="119"/>
      <c r="R37" s="119"/>
      <c r="S37" s="119"/>
      <c r="T37" s="119"/>
    </row>
    <row r="38" spans="1:29" s="6" customFormat="1" ht="17.7" customHeight="1" x14ac:dyDescent="0.3">
      <c r="A38" s="402" t="s">
        <v>183</v>
      </c>
      <c r="B38" s="332" t="s">
        <v>190</v>
      </c>
      <c r="C38" s="320" t="s">
        <v>191</v>
      </c>
      <c r="D38" s="84" t="s">
        <v>192</v>
      </c>
      <c r="E38" s="128" t="s">
        <v>142</v>
      </c>
      <c r="F38" s="84" t="s">
        <v>102</v>
      </c>
      <c r="G38" s="118">
        <f t="shared" si="0"/>
        <v>3.1429873509766074E-2</v>
      </c>
      <c r="H38" s="120">
        <v>5494.54</v>
      </c>
      <c r="I38" s="14">
        <v>76927.37</v>
      </c>
      <c r="J38" s="14">
        <v>1</v>
      </c>
      <c r="K38" s="117">
        <f t="shared" si="1"/>
        <v>54.945399999999999</v>
      </c>
      <c r="L38" s="325">
        <v>10</v>
      </c>
      <c r="M38" s="322"/>
      <c r="N38" s="48">
        <f t="shared" si="2"/>
        <v>5494.54</v>
      </c>
      <c r="O38" s="119"/>
      <c r="P38" s="119"/>
      <c r="Q38" s="119"/>
      <c r="R38" s="119"/>
      <c r="S38" s="119"/>
      <c r="T38" s="119"/>
    </row>
    <row r="39" spans="1:29" s="6" customFormat="1" ht="17.7" customHeight="1" x14ac:dyDescent="0.3">
      <c r="A39" s="402" t="s">
        <v>183</v>
      </c>
      <c r="B39" s="332" t="s">
        <v>193</v>
      </c>
      <c r="C39" s="320" t="s">
        <v>191</v>
      </c>
      <c r="D39" s="84" t="s">
        <v>194</v>
      </c>
      <c r="E39" s="128" t="s">
        <v>142</v>
      </c>
      <c r="F39" s="84" t="s">
        <v>102</v>
      </c>
      <c r="G39" s="118">
        <f t="shared" si="0"/>
        <v>8.2378903486651309E-3</v>
      </c>
      <c r="H39" s="120">
        <v>1440.14</v>
      </c>
      <c r="I39" s="14">
        <v>20162.95</v>
      </c>
      <c r="J39" s="14">
        <v>1</v>
      </c>
      <c r="K39" s="117">
        <f t="shared" si="1"/>
        <v>14.401400000000001</v>
      </c>
      <c r="L39" s="325">
        <v>10</v>
      </c>
      <c r="M39" s="322"/>
      <c r="N39" s="48">
        <f t="shared" si="2"/>
        <v>1440.14</v>
      </c>
      <c r="O39" s="119"/>
      <c r="P39" s="119"/>
      <c r="Q39" s="119"/>
      <c r="R39" s="119"/>
      <c r="S39" s="119"/>
      <c r="T39" s="119"/>
    </row>
    <row r="40" spans="1:29" s="6" customFormat="1" ht="17.7" customHeight="1" x14ac:dyDescent="0.3">
      <c r="A40" s="402" t="s">
        <v>183</v>
      </c>
      <c r="B40" s="332" t="s">
        <v>195</v>
      </c>
      <c r="C40" s="320" t="s">
        <v>131</v>
      </c>
      <c r="D40" s="84" t="s">
        <v>196</v>
      </c>
      <c r="E40" s="128" t="s">
        <v>142</v>
      </c>
      <c r="F40" s="84" t="s">
        <v>102</v>
      </c>
      <c r="G40" s="118">
        <f t="shared" si="0"/>
        <v>6.7715740099919325E-3</v>
      </c>
      <c r="H40" s="120">
        <v>1183.8</v>
      </c>
      <c r="I40" s="14">
        <v>16573.95</v>
      </c>
      <c r="J40" s="14">
        <v>1</v>
      </c>
      <c r="K40" s="117">
        <f t="shared" si="1"/>
        <v>5.9189999999999996</v>
      </c>
      <c r="L40" s="326">
        <v>5</v>
      </c>
      <c r="M40" s="323"/>
      <c r="N40" s="48">
        <f t="shared" si="2"/>
        <v>1183.8</v>
      </c>
      <c r="O40" s="119"/>
      <c r="P40" s="119"/>
      <c r="Q40" s="119"/>
      <c r="R40" s="119"/>
      <c r="S40" s="119"/>
      <c r="T40" s="119"/>
    </row>
    <row r="41" spans="1:29" s="6" customFormat="1" ht="17.7" customHeight="1" x14ac:dyDescent="0.3">
      <c r="A41" s="402" t="s">
        <v>197</v>
      </c>
      <c r="B41" s="332" t="s">
        <v>198</v>
      </c>
      <c r="C41" s="320" t="s">
        <v>199</v>
      </c>
      <c r="D41" s="84" t="s">
        <v>200</v>
      </c>
      <c r="E41" s="128" t="s">
        <v>201</v>
      </c>
      <c r="F41" s="84" t="s">
        <v>102</v>
      </c>
      <c r="G41" s="118">
        <f t="shared" si="0"/>
        <v>2.9656439576400809E-2</v>
      </c>
      <c r="H41" s="120">
        <v>5184.51</v>
      </c>
      <c r="I41" s="14">
        <v>176281.81</v>
      </c>
      <c r="J41" s="14">
        <v>1</v>
      </c>
      <c r="K41" s="117">
        <f t="shared" si="1"/>
        <v>51.845100000000009</v>
      </c>
      <c r="L41" s="325">
        <v>10</v>
      </c>
      <c r="M41" s="322"/>
      <c r="N41" s="48">
        <f t="shared" si="2"/>
        <v>5184.51</v>
      </c>
      <c r="O41" s="119"/>
      <c r="P41" s="119"/>
      <c r="Q41" s="119"/>
      <c r="R41" s="119"/>
      <c r="S41" s="119"/>
      <c r="T41" s="119"/>
    </row>
    <row r="42" spans="1:29" s="6" customFormat="1" ht="17.7" customHeight="1" x14ac:dyDescent="0.3">
      <c r="A42" s="402" t="s">
        <v>197</v>
      </c>
      <c r="B42" s="332" t="s">
        <v>202</v>
      </c>
      <c r="C42" s="320" t="s">
        <v>199</v>
      </c>
      <c r="D42" s="84" t="s">
        <v>203</v>
      </c>
      <c r="E42" s="128" t="s">
        <v>201</v>
      </c>
      <c r="F42" s="84" t="s">
        <v>102</v>
      </c>
      <c r="G42" s="118">
        <f t="shared" si="0"/>
        <v>6.9198301809591328E-2</v>
      </c>
      <c r="H42" s="120">
        <v>12097.18</v>
      </c>
      <c r="I42" s="14">
        <v>411324.21</v>
      </c>
      <c r="J42" s="14">
        <v>1</v>
      </c>
      <c r="K42" s="117">
        <f t="shared" si="1"/>
        <v>120.9718</v>
      </c>
      <c r="L42" s="325">
        <v>10</v>
      </c>
      <c r="M42" s="322"/>
      <c r="N42" s="48">
        <f t="shared" si="2"/>
        <v>12097.18</v>
      </c>
      <c r="O42" s="119"/>
      <c r="P42" s="119"/>
      <c r="Q42" s="119"/>
      <c r="R42" s="119"/>
      <c r="S42" s="119"/>
      <c r="T42" s="119"/>
    </row>
    <row r="43" spans="1:29" s="6" customFormat="1" ht="17.7" customHeight="1" x14ac:dyDescent="0.3">
      <c r="A43" s="402" t="s">
        <v>197</v>
      </c>
      <c r="B43" s="332" t="s">
        <v>204</v>
      </c>
      <c r="C43" s="320" t="s">
        <v>205</v>
      </c>
      <c r="D43" s="84" t="s">
        <v>206</v>
      </c>
      <c r="E43" s="128" t="s">
        <v>201</v>
      </c>
      <c r="F43" s="84" t="s">
        <v>102</v>
      </c>
      <c r="G43" s="118">
        <f t="shared" si="0"/>
        <v>4.3660807407523081E-2</v>
      </c>
      <c r="H43" s="120">
        <v>7632.74</v>
      </c>
      <c r="I43" s="14">
        <v>167928.58</v>
      </c>
      <c r="J43" s="14">
        <v>1</v>
      </c>
      <c r="K43" s="117">
        <f t="shared" si="1"/>
        <v>38.163699999999999</v>
      </c>
      <c r="L43" s="325">
        <v>5</v>
      </c>
      <c r="M43" s="322"/>
      <c r="N43" s="48">
        <f t="shared" si="2"/>
        <v>7632.74</v>
      </c>
      <c r="O43" s="119"/>
      <c r="P43" s="119"/>
      <c r="Q43" s="119"/>
      <c r="R43" s="119"/>
      <c r="S43" s="119"/>
      <c r="T43" s="119"/>
    </row>
    <row r="44" spans="1:29" s="6" customFormat="1" ht="17.7" customHeight="1" x14ac:dyDescent="0.3">
      <c r="A44" s="402" t="s">
        <v>197</v>
      </c>
      <c r="B44" s="332" t="s">
        <v>207</v>
      </c>
      <c r="C44" s="320" t="s">
        <v>199</v>
      </c>
      <c r="D44" s="84" t="s">
        <v>208</v>
      </c>
      <c r="E44" s="128" t="s">
        <v>201</v>
      </c>
      <c r="F44" s="84" t="s">
        <v>102</v>
      </c>
      <c r="G44" s="118">
        <f t="shared" si="0"/>
        <v>2.6361260556130531E-2</v>
      </c>
      <c r="H44" s="120">
        <v>4608.45</v>
      </c>
      <c r="I44" s="14">
        <v>101390.84</v>
      </c>
      <c r="J44" s="14">
        <v>1</v>
      </c>
      <c r="K44" s="117">
        <f t="shared" si="1"/>
        <v>46.084499999999998</v>
      </c>
      <c r="L44" s="325">
        <v>10</v>
      </c>
      <c r="M44" s="322"/>
      <c r="N44" s="48">
        <f t="shared" si="2"/>
        <v>4608.45</v>
      </c>
      <c r="O44" s="119"/>
      <c r="P44" s="119"/>
      <c r="Q44" s="119"/>
      <c r="R44" s="119"/>
      <c r="S44" s="119"/>
      <c r="T44" s="119"/>
    </row>
    <row r="45" spans="1:29" s="5" customFormat="1" ht="42" customHeight="1" x14ac:dyDescent="0.3">
      <c r="A45" s="331" t="s">
        <v>209</v>
      </c>
      <c r="B45" s="333" t="s">
        <v>210</v>
      </c>
      <c r="C45" s="84" t="s">
        <v>211</v>
      </c>
      <c r="D45" s="230" t="s">
        <v>212</v>
      </c>
      <c r="E45" s="127" t="s">
        <v>213</v>
      </c>
      <c r="F45" s="85" t="s">
        <v>214</v>
      </c>
      <c r="G45" s="328">
        <f>SUM(G3:G44)</f>
        <v>1</v>
      </c>
      <c r="H45" s="85">
        <f>SUM(H3:H44)</f>
        <v>79502.25</v>
      </c>
      <c r="I45" s="85">
        <f>SUM(I3:I44)</f>
        <v>1629030.56</v>
      </c>
      <c r="J45" s="85"/>
      <c r="K45" s="85">
        <f>SUM(K3:K44)</f>
        <v>1221.37238</v>
      </c>
      <c r="L45" s="329"/>
      <c r="M45" s="330"/>
      <c r="N45"/>
      <c r="O45"/>
      <c r="P45"/>
      <c r="Q45"/>
      <c r="R45" s="119"/>
      <c r="S45" s="119"/>
      <c r="T45" s="119"/>
      <c r="U45" s="119"/>
      <c r="V45" s="119"/>
      <c r="W45" s="119"/>
      <c r="X45" s="110"/>
      <c r="Y45" s="110"/>
      <c r="Z45" s="110"/>
      <c r="AA45" s="110"/>
      <c r="AB45" s="110"/>
      <c r="AC45" s="110"/>
    </row>
    <row r="46" spans="1:29" ht="18" x14ac:dyDescent="0.3">
      <c r="H46" s="16"/>
      <c r="I46" s="16"/>
      <c r="J46" s="16"/>
      <c r="K46" s="16"/>
      <c r="L46" s="17"/>
      <c r="M46" s="17"/>
      <c r="N46"/>
      <c r="O46"/>
      <c r="P46"/>
      <c r="Q46"/>
      <c r="R46" s="119"/>
      <c r="S46" s="119"/>
      <c r="T46" s="119"/>
      <c r="U46" s="119"/>
      <c r="V46" s="119"/>
      <c r="W46" s="119"/>
      <c r="X46" s="110"/>
      <c r="Y46" s="110"/>
      <c r="Z46" s="110"/>
      <c r="AA46" s="110"/>
      <c r="AB46" s="110"/>
      <c r="AC46" s="110"/>
    </row>
    <row r="47" spans="1:29" ht="18" x14ac:dyDescent="0.3">
      <c r="H47" s="16"/>
      <c r="I47" s="16"/>
      <c r="J47" s="16"/>
      <c r="K47" s="16"/>
      <c r="L47" s="17"/>
      <c r="M47" s="17"/>
      <c r="N47"/>
      <c r="O47"/>
      <c r="P47"/>
      <c r="Q47"/>
      <c r="R47" s="119"/>
      <c r="S47" s="119"/>
      <c r="T47" s="119"/>
      <c r="U47" s="119"/>
      <c r="V47" s="119"/>
      <c r="W47" s="119"/>
      <c r="X47" s="110"/>
      <c r="Y47" s="110"/>
      <c r="Z47" s="110"/>
      <c r="AA47" s="110"/>
      <c r="AB47" s="110"/>
      <c r="AC47" s="110"/>
    </row>
    <row r="48" spans="1:29" ht="18" x14ac:dyDescent="0.3">
      <c r="H48" s="16"/>
      <c r="I48" s="16"/>
      <c r="J48" s="16"/>
      <c r="K48" s="16"/>
      <c r="L48" s="17"/>
      <c r="M48" s="17"/>
      <c r="N48"/>
      <c r="O48"/>
      <c r="P48"/>
      <c r="Q48" s="470" t="s">
        <v>215</v>
      </c>
      <c r="R48" s="470"/>
      <c r="S48" s="470"/>
      <c r="T48" s="119"/>
      <c r="U48" s="119"/>
      <c r="V48" s="119"/>
      <c r="W48" s="119"/>
      <c r="X48" s="110"/>
      <c r="Y48" s="110"/>
      <c r="Z48" s="110"/>
      <c r="AA48" s="110"/>
      <c r="AB48" s="110"/>
      <c r="AC48" s="110"/>
    </row>
    <row r="49" spans="8:29" ht="18" x14ac:dyDescent="0.3">
      <c r="H49" s="16"/>
      <c r="I49" s="16"/>
      <c r="J49" s="16"/>
      <c r="K49" s="16"/>
      <c r="L49" s="17"/>
      <c r="M49" s="17"/>
      <c r="N49"/>
      <c r="O49"/>
      <c r="P49"/>
      <c r="Q49" s="276" t="s">
        <v>216</v>
      </c>
      <c r="R49" s="276" t="s">
        <v>91</v>
      </c>
      <c r="S49" s="276" t="s">
        <v>217</v>
      </c>
      <c r="T49" s="119"/>
      <c r="U49" s="119"/>
      <c r="V49" s="119"/>
      <c r="W49" s="119"/>
      <c r="X49" s="110"/>
      <c r="Y49" s="110"/>
      <c r="Z49" s="110"/>
      <c r="AA49" s="110"/>
      <c r="AB49" s="110"/>
      <c r="AC49" s="110"/>
    </row>
    <row r="50" spans="8:29" ht="18" x14ac:dyDescent="0.3">
      <c r="H50" s="16"/>
      <c r="I50" s="16"/>
      <c r="J50" s="16"/>
      <c r="K50" s="16"/>
      <c r="L50" s="17"/>
      <c r="M50" s="17"/>
      <c r="N50"/>
      <c r="O50"/>
      <c r="P50"/>
      <c r="Q50" s="210" t="s">
        <v>99</v>
      </c>
      <c r="R50" s="239">
        <f>SUMIF($C$3:$C$44,"Lounge, Breakroom, or Waiting Area",$H$3:$H$44)</f>
        <v>575.20000000000005</v>
      </c>
      <c r="S50" s="238">
        <f>SUMIF($C$3:$C$44,"Lounge, Breakroom, or Waiting Area",$G$3:$G$44)</f>
        <v>3.2902596473621897E-3</v>
      </c>
      <c r="T50" s="119"/>
      <c r="U50" s="119"/>
      <c r="V50" s="119"/>
      <c r="W50" s="119"/>
      <c r="X50" s="110"/>
      <c r="Y50" s="110"/>
      <c r="Z50" s="110"/>
      <c r="AA50" s="110"/>
      <c r="AB50" s="110"/>
      <c r="AC50" s="110"/>
    </row>
    <row r="51" spans="8:29" ht="18" x14ac:dyDescent="0.3">
      <c r="H51" s="16"/>
      <c r="I51" s="16"/>
      <c r="J51" s="16"/>
      <c r="K51" s="16"/>
      <c r="L51" s="17"/>
      <c r="M51" s="17"/>
      <c r="N51"/>
      <c r="O51"/>
      <c r="P51"/>
      <c r="Q51" s="210" t="s">
        <v>104</v>
      </c>
      <c r="R51" s="239">
        <f>SUMIF($C$3:$C$44,"Dining Area (Cafeteria/Fast Food)",$H$3:$H$44)</f>
        <v>5512.19</v>
      </c>
      <c r="S51" s="238">
        <f>SUMIF($C$3:$C$44,"Dining Area (Cafeteria/Fast Food)",$G$3:$G$44)</f>
        <v>3.1530835058402963E-2</v>
      </c>
      <c r="T51" s="119"/>
      <c r="U51" s="119"/>
      <c r="V51" s="119"/>
      <c r="W51" s="119"/>
      <c r="X51" s="110"/>
      <c r="Y51" s="110"/>
      <c r="Z51" s="110"/>
      <c r="AA51" s="110"/>
      <c r="AB51" s="110"/>
      <c r="AC51" s="110"/>
    </row>
    <row r="52" spans="8:29" ht="18" x14ac:dyDescent="0.3">
      <c r="H52" s="16"/>
      <c r="I52" s="16"/>
      <c r="J52" s="16"/>
      <c r="K52" s="16"/>
      <c r="L52" s="17"/>
      <c r="M52" s="17"/>
      <c r="N52"/>
      <c r="O52"/>
      <c r="P52"/>
      <c r="Q52" s="210" t="s">
        <v>107</v>
      </c>
      <c r="R52" s="239">
        <f>SUMIF($C$3:$C$44,"Convention, Conference, Multipurpose and Meeting Area",$H$3:$H$44)</f>
        <v>1674.74</v>
      </c>
      <c r="S52" s="238">
        <f>SUMIF($C$3:$C$44,"Convention, Conference, Multipurpose and Meeting Area",$G$3:$G$44)</f>
        <v>9.5798495163827418E-3</v>
      </c>
      <c r="T52" s="119"/>
      <c r="U52" s="119"/>
      <c r="V52" s="119"/>
      <c r="W52" s="119"/>
      <c r="X52" s="110"/>
      <c r="Y52" s="110"/>
      <c r="Z52" s="110"/>
      <c r="AA52" s="110"/>
      <c r="AB52" s="110"/>
      <c r="AC52" s="110"/>
    </row>
    <row r="53" spans="8:29" ht="18" x14ac:dyDescent="0.3">
      <c r="H53" s="16"/>
      <c r="I53" s="16"/>
      <c r="J53" s="16"/>
      <c r="K53" s="16"/>
      <c r="L53" s="17"/>
      <c r="M53" s="17"/>
      <c r="N53"/>
      <c r="O53"/>
      <c r="P53"/>
      <c r="Q53" s="210" t="s">
        <v>110</v>
      </c>
      <c r="R53" s="239">
        <f>SUMIF($C$3:$C$44,"Corridor Area",$H$3:$H$44)</f>
        <v>1161.52</v>
      </c>
      <c r="S53" s="238">
        <f>SUMIF($C$3:$C$44,"Corridor Area",$G$3:$G$44)</f>
        <v>0.11295017481792458</v>
      </c>
      <c r="T53" s="119"/>
      <c r="U53" s="119"/>
      <c r="V53" s="119"/>
      <c r="W53" s="119"/>
      <c r="X53" s="110"/>
      <c r="Y53" s="110"/>
      <c r="Z53" s="110"/>
      <c r="AA53" s="110"/>
      <c r="AB53" s="110"/>
      <c r="AC53" s="110"/>
    </row>
    <row r="54" spans="8:29" ht="18" x14ac:dyDescent="0.3">
      <c r="H54" s="16"/>
      <c r="I54" s="16"/>
      <c r="J54" s="16"/>
      <c r="K54" s="16"/>
      <c r="L54" s="17"/>
      <c r="M54" s="17"/>
      <c r="N54"/>
      <c r="O54"/>
      <c r="P54"/>
      <c r="Q54" s="210" t="s">
        <v>113</v>
      </c>
      <c r="R54" s="239">
        <f>SUMIF($C$3:$C$44,"Electrical, Mechanical, Telephone Rooms",$H$3:$H$44)</f>
        <v>1214.8200000000002</v>
      </c>
      <c r="S54" s="238">
        <f>SUMIF($C$3:$C$44,"Electrical, Mechanical, Telephone Rooms",$G$3:$G$44)</f>
        <v>2.1099419210826198E-2</v>
      </c>
      <c r="T54" s="119"/>
      <c r="U54" s="119"/>
      <c r="V54" s="119"/>
      <c r="W54" s="119"/>
      <c r="X54" s="110"/>
      <c r="Y54" s="110"/>
      <c r="Z54" s="110"/>
      <c r="AA54" s="110"/>
      <c r="AB54" s="110"/>
      <c r="AC54" s="110"/>
    </row>
    <row r="55" spans="8:29" ht="18" x14ac:dyDescent="0.3">
      <c r="H55" s="16"/>
      <c r="I55" s="16"/>
      <c r="J55" s="16"/>
      <c r="K55" s="16"/>
      <c r="L55" s="17"/>
      <c r="M55" s="17"/>
      <c r="N55"/>
      <c r="O55"/>
      <c r="P55"/>
      <c r="Q55" s="210" t="s">
        <v>118</v>
      </c>
      <c r="R55" s="239">
        <f>SUMIF($C$3:$C$44,"Kitchen/Food Preparation Area",$H$3:$H$44)</f>
        <v>1457.25</v>
      </c>
      <c r="S55" s="238">
        <f>SUMIF($C$3:$C$44,"Kitchen/Food Preparation Area",$G$3:$G$44)</f>
        <v>8.3357629887318326E-3</v>
      </c>
      <c r="T55" s="119"/>
      <c r="U55" s="119"/>
      <c r="V55" s="119"/>
      <c r="W55" s="119"/>
      <c r="X55" s="110"/>
      <c r="Y55" s="110"/>
      <c r="Z55" s="110"/>
      <c r="AA55" s="110"/>
      <c r="AB55" s="110"/>
      <c r="AC55" s="110"/>
    </row>
    <row r="56" spans="8:29" ht="18" x14ac:dyDescent="0.3">
      <c r="H56" s="16"/>
      <c r="I56" s="16"/>
      <c r="J56" s="16"/>
      <c r="K56" s="16"/>
      <c r="L56" s="17"/>
      <c r="M56" s="17"/>
      <c r="N56"/>
      <c r="O56"/>
      <c r="P56"/>
      <c r="Q56" s="210" t="s">
        <v>122</v>
      </c>
      <c r="R56" s="239">
        <f>SUMIF($C$3:$C$44,"Lobby, Main Entry",$H$3:$H$44)</f>
        <v>1241.47</v>
      </c>
      <c r="S56" s="238">
        <f>SUMIF($C$3:$C$44,"Lobby, Main Entry",$G$3:$G$44)</f>
        <v>2.8405832019546155E-2</v>
      </c>
      <c r="T56" s="119"/>
      <c r="U56" s="119"/>
      <c r="V56" s="119"/>
      <c r="W56" s="119"/>
      <c r="X56" s="110"/>
      <c r="Y56" s="110"/>
      <c r="Z56" s="110"/>
      <c r="AA56" s="110"/>
      <c r="AB56" s="110"/>
      <c r="AC56" s="110"/>
    </row>
    <row r="57" spans="8:29" ht="18" x14ac:dyDescent="0.3">
      <c r="H57" s="16"/>
      <c r="I57" s="16"/>
      <c r="J57" s="16"/>
      <c r="K57" s="16"/>
      <c r="L57" s="17"/>
      <c r="M57" s="17"/>
      <c r="N57"/>
      <c r="O57"/>
      <c r="P57"/>
      <c r="Q57" s="210" t="s">
        <v>125</v>
      </c>
      <c r="R57" s="239">
        <f>SUMIF($C$3:$C$44,"Office Area (&lt;250 square feet)",$H$3:$H$44)</f>
        <v>1624.6100000000001</v>
      </c>
      <c r="S57" s="238">
        <f>SUMIF($C$3:$C$44,"Office Area (&lt;250 square feet)",$G$3:$G$44)</f>
        <v>5.5758575024698394E-2</v>
      </c>
      <c r="T57" s="119"/>
      <c r="U57" s="119"/>
      <c r="V57" s="119"/>
      <c r="W57" s="119"/>
      <c r="X57" s="110"/>
      <c r="Y57" s="110"/>
      <c r="Z57" s="110"/>
      <c r="AA57" s="110"/>
      <c r="AB57" s="110"/>
      <c r="AC57" s="110"/>
    </row>
    <row r="58" spans="8:29" ht="18" x14ac:dyDescent="0.3">
      <c r="H58" s="16"/>
      <c r="I58" s="16"/>
      <c r="J58" s="16"/>
      <c r="K58" s="16"/>
      <c r="L58" s="17"/>
      <c r="M58" s="17"/>
      <c r="N58"/>
      <c r="O58"/>
      <c r="P58"/>
      <c r="Q58" s="210" t="s">
        <v>128</v>
      </c>
      <c r="R58" s="239">
        <f>SUMIF($C$3:$C$44,"Restrooms",$H$3:$H$44)</f>
        <v>3358.7</v>
      </c>
      <c r="S58" s="238">
        <f>SUMIF($C$3:$C$44,"Restrooms",$G$3:$G$44)</f>
        <v>3.0461615077031375E-2</v>
      </c>
      <c r="T58" s="119"/>
      <c r="U58" s="119"/>
      <c r="V58" s="119"/>
      <c r="W58" s="119"/>
      <c r="X58" s="110"/>
      <c r="Y58" s="110"/>
      <c r="Z58" s="110"/>
      <c r="AA58" s="110"/>
      <c r="AB58" s="110"/>
      <c r="AC58" s="110"/>
    </row>
    <row r="59" spans="8:29" ht="18" x14ac:dyDescent="0.3">
      <c r="H59" s="16"/>
      <c r="I59" s="16"/>
      <c r="J59" s="16"/>
      <c r="K59" s="16"/>
      <c r="L59" s="17"/>
      <c r="M59" s="17"/>
      <c r="N59"/>
      <c r="O59"/>
      <c r="P59"/>
      <c r="Q59" s="210" t="s">
        <v>131</v>
      </c>
      <c r="R59" s="239">
        <f>SUMIF($C$3:$C$44,"Storage (General)",$H$3:$H$44)</f>
        <v>2910.38</v>
      </c>
      <c r="S59" s="238">
        <f>SUMIF($C$3:$C$44,"Storage (General)",$G$3:$G$44)</f>
        <v>3.8059758139602995E-2</v>
      </c>
      <c r="T59" s="119"/>
      <c r="U59" s="119"/>
      <c r="V59" s="119"/>
      <c r="W59" s="119"/>
      <c r="X59" s="110"/>
      <c r="Y59" s="110"/>
      <c r="Z59" s="110"/>
      <c r="AA59" s="110"/>
      <c r="AB59" s="110"/>
      <c r="AC59" s="110"/>
    </row>
    <row r="60" spans="8:29" ht="18" x14ac:dyDescent="0.3">
      <c r="H60" s="16"/>
      <c r="I60" s="16"/>
      <c r="J60" s="16"/>
      <c r="K60" s="16"/>
      <c r="L60" s="17"/>
      <c r="M60" s="17"/>
      <c r="N60"/>
      <c r="O60"/>
      <c r="P60"/>
      <c r="Q60" s="210" t="s">
        <v>134</v>
      </c>
      <c r="R60" s="239">
        <f>SUMIF($C$3:$C$44,"Storage, Commercial/Industrial (Refrigerated)",$H$3:$H$44)</f>
        <v>251.72</v>
      </c>
      <c r="S60" s="238">
        <f>SUMIF($C$3:$C$44,"Storage, Commercial/Industrial (Refrigerated)",$G$3:$G$44)</f>
        <v>1.4398890097948719E-3</v>
      </c>
      <c r="T60" s="119"/>
      <c r="U60" s="119"/>
      <c r="V60" s="119"/>
      <c r="W60" s="119"/>
      <c r="X60" s="110"/>
      <c r="Y60" s="110"/>
      <c r="Z60" s="110"/>
      <c r="AA60" s="110"/>
      <c r="AB60" s="110"/>
      <c r="AC60" s="110"/>
    </row>
    <row r="61" spans="8:29" ht="18" x14ac:dyDescent="0.3">
      <c r="H61" s="16"/>
      <c r="I61" s="16"/>
      <c r="J61" s="16"/>
      <c r="K61" s="16"/>
      <c r="L61" s="17"/>
      <c r="M61" s="17"/>
      <c r="N61"/>
      <c r="O61"/>
      <c r="P61"/>
      <c r="Q61" s="210" t="s">
        <v>137</v>
      </c>
      <c r="R61" s="239">
        <f>SUMIF($C$3:$C$44,"Theater Area (Performance)",$H$3:$H$44)</f>
        <v>1065.56</v>
      </c>
      <c r="S61" s="238">
        <f>SUMIF($C$3:$C$44,"Theater Area (Performance)",$G$3:$G$44)</f>
        <v>3.0476087185702834E-2</v>
      </c>
      <c r="T61" s="119"/>
      <c r="U61" s="119"/>
      <c r="V61" s="119"/>
      <c r="W61" s="119"/>
      <c r="X61" s="110"/>
      <c r="Y61" s="110"/>
      <c r="Z61" s="110"/>
      <c r="AA61" s="110"/>
      <c r="AB61" s="110"/>
      <c r="AC61" s="110"/>
    </row>
    <row r="62" spans="8:29" ht="18" x14ac:dyDescent="0.3">
      <c r="H62" s="16"/>
      <c r="I62" s="16"/>
      <c r="J62" s="16"/>
      <c r="K62" s="16"/>
      <c r="L62" s="17"/>
      <c r="M62" s="17"/>
      <c r="N62"/>
      <c r="O62"/>
      <c r="P62"/>
      <c r="Q62" s="210" t="s">
        <v>146</v>
      </c>
      <c r="R62" s="239">
        <f>SUMIF($C$3:$C$44,"Laboratory, Scientific",$H$3:$H$44)</f>
        <v>5307</v>
      </c>
      <c r="S62" s="238">
        <f>SUMIF($C$3:$C$44,"Laboratory, Scientific",$G$3:$G$44)</f>
        <v>3.0357107003739808E-2</v>
      </c>
      <c r="T62" s="119"/>
      <c r="U62" s="119"/>
      <c r="V62" s="119"/>
      <c r="W62" s="119"/>
      <c r="X62" s="110"/>
      <c r="Y62" s="110"/>
      <c r="Z62" s="110"/>
      <c r="AA62" s="110"/>
      <c r="AB62" s="110"/>
      <c r="AC62" s="110"/>
    </row>
    <row r="63" spans="8:29" ht="18" x14ac:dyDescent="0.3">
      <c r="H63" s="16"/>
      <c r="I63" s="16"/>
      <c r="J63" s="16"/>
      <c r="K63" s="16"/>
      <c r="L63" s="17"/>
      <c r="M63" s="17"/>
      <c r="N63"/>
      <c r="O63"/>
      <c r="P63"/>
      <c r="Q63" s="210" t="s">
        <v>149</v>
      </c>
      <c r="R63" s="239">
        <f>SUMIF($C$3:$C$44,"Library (Reading Area)",$H$3:$H$44)</f>
        <v>1197.1300000000001</v>
      </c>
      <c r="S63" s="238">
        <f>SUMIF($C$3:$C$44,"Library (Reading Area)",$G$3:$G$44)</f>
        <v>6.8478242900672772E-3</v>
      </c>
      <c r="T63" s="119"/>
      <c r="U63" s="119"/>
      <c r="V63" s="119"/>
      <c r="W63" s="119"/>
      <c r="X63" s="110"/>
      <c r="Y63" s="110"/>
      <c r="Z63" s="110"/>
      <c r="AA63" s="110"/>
      <c r="AB63" s="110"/>
      <c r="AC63" s="110"/>
    </row>
    <row r="64" spans="8:29" ht="18" x14ac:dyDescent="0.3">
      <c r="H64" s="16"/>
      <c r="I64" s="16"/>
      <c r="J64" s="16"/>
      <c r="K64" s="16"/>
      <c r="L64" s="17"/>
      <c r="M64" s="17"/>
      <c r="N64"/>
      <c r="O64"/>
      <c r="P64"/>
      <c r="Q64" s="210" t="s">
        <v>156</v>
      </c>
      <c r="R64" s="239">
        <f>SUMIF($C$3:$C$44,"Classroom, Lecture, Training, Vocational Areas",$H$3:$H$44)</f>
        <v>14492.4</v>
      </c>
      <c r="S64" s="238">
        <f>SUMIF($C$3:$C$44,"Classroom, Lecture, Training, Vocational Areas",$G$3:$G$44)</f>
        <v>0.38286243780210882</v>
      </c>
      <c r="T64" s="119"/>
      <c r="U64" s="119"/>
      <c r="V64" s="119"/>
      <c r="W64" s="119"/>
      <c r="X64" s="110"/>
      <c r="Y64" s="110"/>
      <c r="Z64" s="110"/>
      <c r="AA64" s="110"/>
      <c r="AB64" s="110"/>
      <c r="AC64" s="110"/>
    </row>
    <row r="65" spans="2:29" ht="18" x14ac:dyDescent="0.3">
      <c r="H65" s="16"/>
      <c r="I65" s="16"/>
      <c r="J65" s="16"/>
      <c r="K65" s="16"/>
      <c r="L65" s="17"/>
      <c r="M65" s="17"/>
      <c r="N65"/>
      <c r="O65"/>
      <c r="P65"/>
      <c r="Q65" s="210" t="s">
        <v>191</v>
      </c>
      <c r="R65" s="239">
        <f>SUMIF($C$3:$C$44,"Wood/Metal Shop Classroom",$H$3:$H$44)</f>
        <v>6934.68</v>
      </c>
      <c r="S65" s="238">
        <f>SUMIF($C$3:$C$44,"Wood/Metal Shop Classroom",$G$3:$G$44)</f>
        <v>3.9667763858431203E-2</v>
      </c>
      <c r="T65" s="119"/>
      <c r="U65" s="119"/>
      <c r="V65" s="119"/>
      <c r="W65" s="119"/>
      <c r="X65" s="110"/>
      <c r="Y65" s="110"/>
      <c r="Z65" s="110"/>
      <c r="AA65" s="110"/>
      <c r="AB65" s="110"/>
      <c r="AC65" s="110"/>
    </row>
    <row r="66" spans="2:29" ht="18" x14ac:dyDescent="0.3">
      <c r="H66" s="16"/>
      <c r="I66" s="16"/>
      <c r="J66" s="16"/>
      <c r="K66" s="16"/>
      <c r="L66" s="17"/>
      <c r="M66" s="17"/>
      <c r="N66"/>
      <c r="O66"/>
      <c r="P66"/>
      <c r="Q66" s="210" t="s">
        <v>199</v>
      </c>
      <c r="R66" s="239">
        <f>SUMIF($C$3:$C$44,"Exercise/Fitness Center and Gymnasium Areas",$H$3:$H$44)</f>
        <v>21890.140000000003</v>
      </c>
      <c r="S66" s="238">
        <f>SUMIF($C$3:$C$44,"Exercise/Fitness Center and Gymnasium Areas",$G$3:$G$44)</f>
        <v>0.12521600194212268</v>
      </c>
      <c r="T66" s="119"/>
      <c r="U66" s="119"/>
      <c r="V66" s="119"/>
      <c r="W66" s="119"/>
      <c r="X66" s="110"/>
      <c r="Y66" s="110"/>
      <c r="Z66" s="110"/>
      <c r="AA66" s="110"/>
      <c r="AB66" s="110"/>
      <c r="AC66" s="110"/>
    </row>
    <row r="67" spans="2:29" ht="18" x14ac:dyDescent="0.3">
      <c r="H67" s="16"/>
      <c r="I67" s="16"/>
      <c r="J67" s="16"/>
      <c r="K67" s="16"/>
      <c r="L67" s="17"/>
      <c r="M67" s="17"/>
      <c r="N67"/>
      <c r="O67"/>
      <c r="P67"/>
      <c r="Q67" s="210" t="s">
        <v>205</v>
      </c>
      <c r="R67" s="239">
        <f>SUMIF($C$3:$C$44,"Locker Room",$H$3:$H$44)</f>
        <v>7632.74</v>
      </c>
      <c r="S67" s="238">
        <f>SUMIF($C$3:$C$44,"Locker Room",$G$3:$G$44)</f>
        <v>4.3660807407523081E-2</v>
      </c>
      <c r="T67" s="119"/>
      <c r="U67" s="119"/>
      <c r="V67" s="119"/>
      <c r="W67" s="119"/>
      <c r="X67" s="110"/>
      <c r="Y67" s="110"/>
      <c r="Z67" s="110"/>
      <c r="AA67" s="110"/>
      <c r="AB67" s="110"/>
      <c r="AC67" s="110"/>
    </row>
    <row r="68" spans="2:29" ht="18" x14ac:dyDescent="0.3">
      <c r="H68" s="16"/>
      <c r="I68" s="16"/>
      <c r="J68" s="16"/>
      <c r="K68" s="16"/>
      <c r="L68" s="17"/>
      <c r="M68" s="17"/>
      <c r="N68"/>
      <c r="O68"/>
      <c r="P68"/>
      <c r="Q68" s="210" t="s">
        <v>218</v>
      </c>
      <c r="R68" s="239">
        <f>SUM(R50:R67)</f>
        <v>79502.250000000015</v>
      </c>
      <c r="S68" s="238">
        <f>SUM(S50:S67)</f>
        <v>1</v>
      </c>
      <c r="T68" s="119"/>
      <c r="U68" s="119"/>
      <c r="V68" s="119"/>
      <c r="W68" s="119"/>
      <c r="X68" s="110"/>
      <c r="Y68" s="110"/>
      <c r="Z68" s="110"/>
      <c r="AA68" s="110"/>
      <c r="AB68" s="110"/>
      <c r="AC68" s="110"/>
    </row>
    <row r="69" spans="2:29" ht="18" x14ac:dyDescent="0.3">
      <c r="B69" s="9"/>
      <c r="C69" s="9"/>
      <c r="D69" s="9"/>
      <c r="E69" s="9"/>
      <c r="F69" s="9"/>
      <c r="H69" s="108"/>
      <c r="I69" s="16"/>
      <c r="J69" s="16"/>
      <c r="K69" s="16"/>
      <c r="L69" s="16"/>
      <c r="M69" s="16"/>
      <c r="N69"/>
      <c r="O69"/>
      <c r="P69"/>
      <c r="Q69"/>
      <c r="R69" s="119"/>
      <c r="S69" s="119"/>
      <c r="T69" s="119"/>
      <c r="U69" s="119"/>
      <c r="V69" s="119"/>
      <c r="W69" s="119"/>
      <c r="X69" s="110"/>
      <c r="Y69" s="110"/>
      <c r="Z69" s="110"/>
      <c r="AA69" s="110"/>
      <c r="AB69" s="110"/>
      <c r="AC69" s="110"/>
    </row>
    <row r="70" spans="2:29" ht="14.4" customHeight="1" x14ac:dyDescent="0.3">
      <c r="H70" s="16"/>
      <c r="I70" s="16"/>
      <c r="J70" s="16"/>
      <c r="K70" s="16"/>
      <c r="L70" s="16"/>
      <c r="M70" s="16"/>
      <c r="R70" s="31"/>
      <c r="S70" s="31"/>
      <c r="T70" s="31"/>
      <c r="U70"/>
    </row>
    <row r="71" spans="2:29" ht="14.4" customHeight="1" x14ac:dyDescent="0.25">
      <c r="B71" s="15"/>
      <c r="C71" s="15"/>
      <c r="D71" s="15"/>
      <c r="E71" s="15"/>
      <c r="F71" s="15"/>
      <c r="G71" s="15"/>
      <c r="R71" s="31"/>
      <c r="S71" s="31"/>
      <c r="T71" s="31"/>
    </row>
    <row r="72" spans="2:29" ht="14.4" customHeight="1" x14ac:dyDescent="0.25">
      <c r="R72" s="31"/>
      <c r="S72" s="31"/>
      <c r="T72" s="31"/>
    </row>
    <row r="73" spans="2:29" ht="14.4" customHeight="1" x14ac:dyDescent="0.25">
      <c r="R73" s="31"/>
      <c r="S73" s="31"/>
      <c r="T73" s="31"/>
    </row>
    <row r="74" spans="2:29" ht="14.4" customHeight="1" x14ac:dyDescent="0.25">
      <c r="R74" s="31"/>
      <c r="S74" s="31"/>
      <c r="T74" s="31"/>
    </row>
    <row r="75" spans="2:29" ht="14.4" customHeight="1" x14ac:dyDescent="0.25">
      <c r="R75" s="31"/>
      <c r="S75" s="31"/>
      <c r="T75" s="31"/>
    </row>
    <row r="76" spans="2:29" ht="14.4" customHeight="1" x14ac:dyDescent="0.25">
      <c r="R76" s="31"/>
      <c r="S76" s="31"/>
      <c r="T76" s="31"/>
    </row>
    <row r="77" spans="2:29" ht="14.4" customHeight="1" x14ac:dyDescent="0.25">
      <c r="R77" s="31"/>
      <c r="S77" s="31"/>
      <c r="T77" s="31"/>
    </row>
    <row r="78" spans="2:29" ht="14.4" customHeight="1" x14ac:dyDescent="0.25">
      <c r="R78" s="31"/>
      <c r="S78" s="31"/>
      <c r="T78" s="31"/>
    </row>
    <row r="79" spans="2:29" customFormat="1" ht="14.4" customHeight="1" x14ac:dyDescent="0.3"/>
    <row r="80" spans="2:29" customFormat="1" ht="14.4" customHeight="1" x14ac:dyDescent="0.3"/>
    <row r="81" customFormat="1" ht="14.4" customHeight="1" x14ac:dyDescent="0.3"/>
    <row r="82" customFormat="1" ht="14.4" customHeight="1" x14ac:dyDescent="0.3"/>
    <row r="83" customFormat="1" ht="14.4" customHeight="1" x14ac:dyDescent="0.3"/>
    <row r="84" customFormat="1" ht="14.4" customHeight="1" x14ac:dyDescent="0.3"/>
    <row r="85" customFormat="1" ht="14.4" customHeight="1" x14ac:dyDescent="0.3"/>
    <row r="86" customFormat="1" ht="14.4" customHeight="1" x14ac:dyDescent="0.3"/>
    <row r="87" customFormat="1" ht="14.4" customHeight="1" x14ac:dyDescent="0.3"/>
    <row r="88" customFormat="1" ht="14.4" customHeight="1" x14ac:dyDescent="0.3"/>
    <row r="89" customFormat="1" ht="14.4" customHeight="1" x14ac:dyDescent="0.3"/>
    <row r="90" customFormat="1" ht="14.4" customHeight="1" x14ac:dyDescent="0.3"/>
    <row r="91" customFormat="1" ht="14.4" customHeight="1" x14ac:dyDescent="0.3"/>
    <row r="92" customFormat="1" ht="14.4" customHeight="1"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sheetData>
  <mergeCells count="2">
    <mergeCell ref="Q48:S48"/>
    <mergeCell ref="A1:L1"/>
  </mergeCells>
  <phoneticPr fontId="4"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Data!$A$2:$A$200</xm:f>
          </x14:formula1>
          <xm:sqref>C3:C44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107"/>
  <sheetViews>
    <sheetView zoomScale="85" zoomScaleNormal="85" workbookViewId="0">
      <selection sqref="A1:X1"/>
    </sheetView>
  </sheetViews>
  <sheetFormatPr defaultColWidth="9.33203125" defaultRowHeight="13.8" x14ac:dyDescent="0.25"/>
  <cols>
    <col min="1" max="1" width="15.44140625" style="49" customWidth="1"/>
    <col min="2" max="2" width="13.5546875" style="50" customWidth="1"/>
    <col min="3" max="3" width="18.5546875" style="49" customWidth="1"/>
    <col min="4" max="4" width="41.44140625" style="49" bestFit="1" customWidth="1"/>
    <col min="5" max="5" width="11.6640625" style="49" customWidth="1"/>
    <col min="6" max="6" width="20" style="49" customWidth="1"/>
    <col min="7" max="7" width="20.5546875" style="51" customWidth="1"/>
    <col min="8" max="8" width="64.44140625" style="49" customWidth="1"/>
    <col min="9" max="9" width="6.88671875" style="49" customWidth="1"/>
    <col min="10" max="12" width="7" style="49" customWidth="1"/>
    <col min="13" max="13" width="7.88671875" style="49" customWidth="1"/>
    <col min="14" max="14" width="8.6640625" style="49" customWidth="1"/>
    <col min="15" max="15" width="7" style="49" customWidth="1"/>
    <col min="16" max="16" width="7.109375" style="49" customWidth="1"/>
    <col min="17" max="17" width="7.5546875" style="49" customWidth="1"/>
    <col min="18" max="21" width="7" style="49" customWidth="1"/>
    <col min="22" max="22" width="7.6640625" style="49" customWidth="1"/>
    <col min="23" max="24" width="7" style="49" customWidth="1"/>
    <col min="25" max="25" width="9.33203125" style="49"/>
    <col min="26" max="26" width="26.88671875" style="49" customWidth="1"/>
    <col min="27" max="30" width="7.6640625" style="49" customWidth="1"/>
    <col min="31" max="31" width="9.6640625" style="49" customWidth="1"/>
    <col min="32" max="32" width="7.5546875" style="49" customWidth="1"/>
    <col min="33" max="33" width="11.44140625" style="49" customWidth="1"/>
    <col min="34" max="42" width="7.6640625" style="49" customWidth="1"/>
    <col min="43" max="46" width="10.44140625" style="49" customWidth="1"/>
    <col min="47" max="47" width="9.88671875" style="49" customWidth="1"/>
    <col min="48" max="48" width="10.44140625" style="49" customWidth="1"/>
    <col min="49" max="49" width="21.6640625" style="49" customWidth="1"/>
    <col min="50" max="50" width="10.44140625" style="49" customWidth="1"/>
    <col min="51" max="53" width="7.44140625" style="49" customWidth="1"/>
    <col min="54" max="54" width="7.6640625" style="49" customWidth="1"/>
    <col min="55" max="55" width="7.44140625" style="49" customWidth="1"/>
    <col min="56" max="56" width="13.6640625" style="49" customWidth="1"/>
    <col min="57" max="60" width="7.44140625" style="49" customWidth="1"/>
    <col min="61" max="62" width="9.6640625" style="49" bestFit="1" customWidth="1"/>
    <col min="63" max="16384" width="9.33203125" style="49"/>
  </cols>
  <sheetData>
    <row r="1" spans="1:62" ht="15.6" x14ac:dyDescent="0.25">
      <c r="A1" s="480" t="str">
        <f>"Envelope - "&amp;Prototype!A2</f>
        <v>Envelope - SchoolHigh</v>
      </c>
      <c r="B1" s="480"/>
      <c r="C1" s="480"/>
      <c r="D1" s="480"/>
      <c r="E1" s="480"/>
      <c r="F1" s="480"/>
      <c r="G1" s="480"/>
      <c r="H1" s="480"/>
      <c r="I1" s="480"/>
      <c r="J1" s="480"/>
      <c r="K1" s="480"/>
      <c r="L1" s="480"/>
      <c r="M1" s="480"/>
      <c r="N1" s="480"/>
      <c r="O1" s="480"/>
      <c r="P1" s="480"/>
      <c r="Q1" s="480"/>
      <c r="R1" s="480"/>
      <c r="S1" s="480"/>
      <c r="T1" s="480"/>
      <c r="U1" s="480"/>
      <c r="V1" s="480"/>
      <c r="W1" s="480"/>
      <c r="X1" s="480"/>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ht="26.4" x14ac:dyDescent="0.25">
      <c r="A2" s="386" t="s">
        <v>219</v>
      </c>
      <c r="B2" s="386" t="s">
        <v>5</v>
      </c>
      <c r="C2" s="386" t="s">
        <v>220</v>
      </c>
      <c r="D2" s="386" t="s">
        <v>221</v>
      </c>
      <c r="E2" s="362" t="s">
        <v>222</v>
      </c>
      <c r="F2" s="386" t="s">
        <v>223</v>
      </c>
      <c r="G2" s="362" t="s">
        <v>224</v>
      </c>
      <c r="H2" s="386" t="s">
        <v>32</v>
      </c>
      <c r="I2" s="386" t="s">
        <v>225</v>
      </c>
      <c r="J2" s="386" t="s">
        <v>226</v>
      </c>
      <c r="K2" s="386" t="s">
        <v>227</v>
      </c>
      <c r="L2" s="386" t="s">
        <v>228</v>
      </c>
      <c r="M2" s="386" t="s">
        <v>229</v>
      </c>
      <c r="N2" s="386" t="s">
        <v>230</v>
      </c>
      <c r="O2" s="386" t="s">
        <v>231</v>
      </c>
      <c r="P2" s="386" t="s">
        <v>232</v>
      </c>
      <c r="Q2" s="386" t="s">
        <v>233</v>
      </c>
      <c r="R2" s="386" t="s">
        <v>234</v>
      </c>
      <c r="S2" s="386" t="s">
        <v>235</v>
      </c>
      <c r="T2" s="386" t="s">
        <v>236</v>
      </c>
      <c r="U2" s="386" t="s">
        <v>237</v>
      </c>
      <c r="V2" s="386" t="s">
        <v>238</v>
      </c>
      <c r="W2" s="386" t="s">
        <v>239</v>
      </c>
      <c r="X2" s="386" t="s">
        <v>240</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row>
    <row r="3" spans="1:62" ht="26.4" x14ac:dyDescent="0.25">
      <c r="A3" s="477" t="s">
        <v>241</v>
      </c>
      <c r="B3" s="478" t="str">
        <f>Prototype!A2</f>
        <v>SchoolHigh</v>
      </c>
      <c r="C3" s="476" t="s">
        <v>242</v>
      </c>
      <c r="D3" s="476" t="s">
        <v>243</v>
      </c>
      <c r="E3" s="477" t="s">
        <v>244</v>
      </c>
      <c r="F3" s="371" t="s">
        <v>245</v>
      </c>
      <c r="G3" s="371" t="s">
        <v>246</v>
      </c>
      <c r="H3" s="334" t="s">
        <v>247</v>
      </c>
      <c r="I3" s="372">
        <v>0.35199999999999998</v>
      </c>
      <c r="J3" s="372">
        <v>0.35199999999999998</v>
      </c>
      <c r="K3" s="372">
        <v>0.35199999999999998</v>
      </c>
      <c r="L3" s="372">
        <v>0.35199999999999998</v>
      </c>
      <c r="M3" s="372">
        <v>0.35199999999999998</v>
      </c>
      <c r="N3" s="372">
        <v>0.35199999999999998</v>
      </c>
      <c r="O3" s="372">
        <v>0.35199999999999998</v>
      </c>
      <c r="P3" s="372">
        <v>0.35199999999999998</v>
      </c>
      <c r="Q3" s="372">
        <v>0.35199999999999998</v>
      </c>
      <c r="R3" s="372">
        <v>0.35199999999999998</v>
      </c>
      <c r="S3" s="372">
        <v>0.35199999999999998</v>
      </c>
      <c r="T3" s="372">
        <v>0.35199999999999998</v>
      </c>
      <c r="U3" s="372">
        <v>0.35199999999999998</v>
      </c>
      <c r="V3" s="372">
        <v>0.35199999999999998</v>
      </c>
      <c r="W3" s="372">
        <v>0.35199999999999998</v>
      </c>
      <c r="X3" s="372">
        <v>0.35199999999999998</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row>
    <row r="4" spans="1:62" x14ac:dyDescent="0.25">
      <c r="A4" s="477"/>
      <c r="B4" s="478"/>
      <c r="C4" s="476"/>
      <c r="D4" s="476"/>
      <c r="E4" s="477"/>
      <c r="F4" s="335" t="s">
        <v>248</v>
      </c>
      <c r="G4" s="336">
        <v>1992</v>
      </c>
      <c r="H4" s="337" t="s">
        <v>249</v>
      </c>
      <c r="I4" s="338">
        <v>0.182</v>
      </c>
      <c r="J4" s="338">
        <v>0.189</v>
      </c>
      <c r="K4" s="338">
        <v>0.189</v>
      </c>
      <c r="L4" s="338">
        <v>0.189</v>
      </c>
      <c r="M4" s="338">
        <v>0.189</v>
      </c>
      <c r="N4" s="338">
        <v>0.189</v>
      </c>
      <c r="O4" s="338">
        <v>0.189</v>
      </c>
      <c r="P4" s="338">
        <v>0.189</v>
      </c>
      <c r="Q4" s="338">
        <v>0.189</v>
      </c>
      <c r="R4" s="338">
        <v>0.189</v>
      </c>
      <c r="S4" s="338">
        <v>0.182</v>
      </c>
      <c r="T4" s="338">
        <v>0.182</v>
      </c>
      <c r="U4" s="338">
        <v>0.182</v>
      </c>
      <c r="V4" s="338">
        <v>0.182</v>
      </c>
      <c r="W4" s="338">
        <v>0.182</v>
      </c>
      <c r="X4" s="338">
        <v>0.182</v>
      </c>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row>
    <row r="5" spans="1:62" x14ac:dyDescent="0.25">
      <c r="A5" s="477"/>
      <c r="B5" s="478"/>
      <c r="C5" s="476"/>
      <c r="D5" s="476"/>
      <c r="E5" s="477"/>
      <c r="F5" s="339" t="s">
        <v>250</v>
      </c>
      <c r="G5" s="339">
        <v>2001</v>
      </c>
      <c r="H5" s="340" t="s">
        <v>251</v>
      </c>
      <c r="I5" s="341">
        <v>0.182</v>
      </c>
      <c r="J5" s="341">
        <v>0.182</v>
      </c>
      <c r="K5" s="341">
        <v>0.189</v>
      </c>
      <c r="L5" s="341">
        <v>0.189</v>
      </c>
      <c r="M5" s="341">
        <v>0.189</v>
      </c>
      <c r="N5" s="341">
        <v>0.189</v>
      </c>
      <c r="O5" s="341">
        <v>0.189</v>
      </c>
      <c r="P5" s="341">
        <v>0.189</v>
      </c>
      <c r="Q5" s="341">
        <v>0.189</v>
      </c>
      <c r="R5" s="341">
        <v>0.182</v>
      </c>
      <c r="S5" s="341">
        <v>0.182</v>
      </c>
      <c r="T5" s="341">
        <v>0.182</v>
      </c>
      <c r="U5" s="341">
        <v>0.182</v>
      </c>
      <c r="V5" s="341">
        <v>0.182</v>
      </c>
      <c r="W5" s="341">
        <v>0.182</v>
      </c>
      <c r="X5" s="341">
        <v>0.182</v>
      </c>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row>
    <row r="6" spans="1:62" x14ac:dyDescent="0.25">
      <c r="A6" s="477"/>
      <c r="B6" s="478"/>
      <c r="C6" s="476"/>
      <c r="D6" s="476"/>
      <c r="E6" s="477"/>
      <c r="F6" s="342" t="s">
        <v>252</v>
      </c>
      <c r="G6" s="342">
        <v>2013</v>
      </c>
      <c r="H6" s="343" t="s">
        <v>253</v>
      </c>
      <c r="I6" s="344">
        <v>9.8000000000000004E-2</v>
      </c>
      <c r="J6" s="344">
        <v>6.2E-2</v>
      </c>
      <c r="K6" s="344">
        <v>8.2000000000000003E-2</v>
      </c>
      <c r="L6" s="344">
        <v>6.2E-2</v>
      </c>
      <c r="M6" s="344">
        <v>6.2E-2</v>
      </c>
      <c r="N6" s="344">
        <v>9.8000000000000004E-2</v>
      </c>
      <c r="O6" s="344">
        <v>9.8000000000000004E-2</v>
      </c>
      <c r="P6" s="344">
        <v>6.2E-2</v>
      </c>
      <c r="Q6" s="344">
        <v>6.2E-2</v>
      </c>
      <c r="R6" s="344">
        <v>6.2E-2</v>
      </c>
      <c r="S6" s="344">
        <v>6.2E-2</v>
      </c>
      <c r="T6" s="344">
        <v>6.2E-2</v>
      </c>
      <c r="U6" s="344">
        <v>6.2E-2</v>
      </c>
      <c r="V6" s="344">
        <v>6.2E-2</v>
      </c>
      <c r="W6" s="344">
        <v>6.2E-2</v>
      </c>
      <c r="X6" s="344">
        <v>6.2E-2</v>
      </c>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row>
    <row r="7" spans="1:62" x14ac:dyDescent="0.25">
      <c r="A7" s="477"/>
      <c r="B7" s="478"/>
      <c r="C7" s="476"/>
      <c r="D7" s="476"/>
      <c r="E7" s="477"/>
      <c r="F7" s="353" t="s">
        <v>255</v>
      </c>
      <c r="G7" s="354">
        <v>2025</v>
      </c>
      <c r="H7" s="360" t="s">
        <v>256</v>
      </c>
      <c r="I7" s="364">
        <v>0.06</v>
      </c>
      <c r="J7" s="359">
        <v>5.5E-2</v>
      </c>
      <c r="K7" s="359">
        <v>7.0999999999999994E-2</v>
      </c>
      <c r="L7" s="359">
        <v>5.5E-2</v>
      </c>
      <c r="M7" s="359">
        <v>5.5E-2</v>
      </c>
      <c r="N7" s="364">
        <v>0.06</v>
      </c>
      <c r="O7" s="364">
        <v>0.06</v>
      </c>
      <c r="P7" s="359">
        <v>5.5E-2</v>
      </c>
      <c r="Q7" s="359">
        <v>5.5E-2</v>
      </c>
      <c r="R7" s="359">
        <v>5.5E-2</v>
      </c>
      <c r="S7" s="359">
        <v>5.5E-2</v>
      </c>
      <c r="T7" s="359">
        <v>5.5E-2</v>
      </c>
      <c r="U7" s="359">
        <v>5.5E-2</v>
      </c>
      <c r="V7" s="359">
        <v>5.5E-2</v>
      </c>
      <c r="W7" s="359">
        <v>5.5E-2</v>
      </c>
      <c r="X7" s="359">
        <v>5.5E-2</v>
      </c>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row>
    <row r="8" spans="1:62" x14ac:dyDescent="0.25">
      <c r="A8" s="477" t="s">
        <v>257</v>
      </c>
      <c r="B8" s="478" t="str">
        <f t="shared" ref="B8" si="0">$B$3</f>
        <v>SchoolHigh</v>
      </c>
      <c r="C8" s="476" t="s">
        <v>258</v>
      </c>
      <c r="D8" s="479" t="s">
        <v>259</v>
      </c>
      <c r="E8" s="477" t="s">
        <v>244</v>
      </c>
      <c r="F8" s="371" t="s">
        <v>245</v>
      </c>
      <c r="G8" s="371" t="s">
        <v>246</v>
      </c>
      <c r="H8" s="476" t="s">
        <v>260</v>
      </c>
      <c r="I8" s="372">
        <v>5.7000000000000002E-2</v>
      </c>
      <c r="J8" s="372">
        <v>5.7000000000000002E-2</v>
      </c>
      <c r="K8" s="372">
        <v>5.7000000000000002E-2</v>
      </c>
      <c r="L8" s="372">
        <v>5.7000000000000002E-2</v>
      </c>
      <c r="M8" s="372">
        <v>5.7000000000000002E-2</v>
      </c>
      <c r="N8" s="372">
        <v>7.8E-2</v>
      </c>
      <c r="O8" s="372">
        <v>7.8E-2</v>
      </c>
      <c r="P8" s="372">
        <v>7.8E-2</v>
      </c>
      <c r="Q8" s="372">
        <v>7.8E-2</v>
      </c>
      <c r="R8" s="372">
        <v>7.8E-2</v>
      </c>
      <c r="S8" s="372">
        <v>5.7000000000000002E-2</v>
      </c>
      <c r="T8" s="372">
        <v>5.7000000000000002E-2</v>
      </c>
      <c r="U8" s="372">
        <v>5.7000000000000002E-2</v>
      </c>
      <c r="V8" s="372">
        <v>5.7000000000000002E-2</v>
      </c>
      <c r="W8" s="372">
        <v>5.7000000000000002E-2</v>
      </c>
      <c r="X8" s="372">
        <v>5.7000000000000002E-2</v>
      </c>
      <c r="Y8" s="77"/>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row>
    <row r="9" spans="1:62" x14ac:dyDescent="0.25">
      <c r="A9" s="477"/>
      <c r="B9" s="478"/>
      <c r="C9" s="476"/>
      <c r="D9" s="479"/>
      <c r="E9" s="477"/>
      <c r="F9" s="335" t="s">
        <v>248</v>
      </c>
      <c r="G9" s="336" t="s">
        <v>246</v>
      </c>
      <c r="H9" s="478"/>
      <c r="I9" s="338">
        <v>5.7000000000000002E-2</v>
      </c>
      <c r="J9" s="338">
        <v>5.7000000000000002E-2</v>
      </c>
      <c r="K9" s="338">
        <v>5.7000000000000002E-2</v>
      </c>
      <c r="L9" s="338">
        <v>5.7000000000000002E-2</v>
      </c>
      <c r="M9" s="338">
        <v>5.7000000000000002E-2</v>
      </c>
      <c r="N9" s="338">
        <v>7.8E-2</v>
      </c>
      <c r="O9" s="338">
        <v>7.8E-2</v>
      </c>
      <c r="P9" s="338">
        <v>7.8E-2</v>
      </c>
      <c r="Q9" s="338">
        <v>7.8E-2</v>
      </c>
      <c r="R9" s="338">
        <v>7.8E-2</v>
      </c>
      <c r="S9" s="338">
        <v>5.7000000000000002E-2</v>
      </c>
      <c r="T9" s="338">
        <v>5.7000000000000002E-2</v>
      </c>
      <c r="U9" s="338">
        <v>5.7000000000000002E-2</v>
      </c>
      <c r="V9" s="338">
        <v>5.7000000000000002E-2</v>
      </c>
      <c r="W9" s="338">
        <v>5.7000000000000002E-2</v>
      </c>
      <c r="X9" s="338">
        <v>5.7000000000000002E-2</v>
      </c>
      <c r="Y9" s="77"/>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row>
    <row r="10" spans="1:62" x14ac:dyDescent="0.25">
      <c r="A10" s="477"/>
      <c r="B10" s="478"/>
      <c r="C10" s="476"/>
      <c r="D10" s="479"/>
      <c r="E10" s="477"/>
      <c r="F10" s="339" t="s">
        <v>250</v>
      </c>
      <c r="G10" s="339">
        <v>2001</v>
      </c>
      <c r="H10" s="347" t="s">
        <v>261</v>
      </c>
      <c r="I10" s="341">
        <v>5.7000000000000002E-2</v>
      </c>
      <c r="J10" s="341">
        <v>5.7000000000000002E-2</v>
      </c>
      <c r="K10" s="341">
        <v>5.7000000000000002E-2</v>
      </c>
      <c r="L10" s="341">
        <v>5.7000000000000002E-2</v>
      </c>
      <c r="M10" s="341">
        <v>5.7000000000000002E-2</v>
      </c>
      <c r="N10" s="341">
        <v>7.8E-2</v>
      </c>
      <c r="O10" s="341">
        <v>7.8E-2</v>
      </c>
      <c r="P10" s="341">
        <v>7.8E-2</v>
      </c>
      <c r="Q10" s="341">
        <v>7.8E-2</v>
      </c>
      <c r="R10" s="341">
        <v>5.7000000000000002E-2</v>
      </c>
      <c r="S10" s="341">
        <v>5.7000000000000002E-2</v>
      </c>
      <c r="T10" s="341">
        <v>5.7000000000000002E-2</v>
      </c>
      <c r="U10" s="341">
        <v>5.7000000000000002E-2</v>
      </c>
      <c r="V10" s="341">
        <v>5.7000000000000002E-2</v>
      </c>
      <c r="W10" s="341">
        <v>5.7000000000000002E-2</v>
      </c>
      <c r="X10" s="341">
        <v>5.7000000000000002E-2</v>
      </c>
      <c r="Y10" s="77"/>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row>
    <row r="11" spans="1:62" x14ac:dyDescent="0.25">
      <c r="A11" s="477"/>
      <c r="B11" s="478"/>
      <c r="C11" s="476"/>
      <c r="D11" s="479"/>
      <c r="E11" s="477"/>
      <c r="F11" s="342" t="s">
        <v>252</v>
      </c>
      <c r="G11" s="342">
        <v>2013</v>
      </c>
      <c r="H11" s="348" t="s">
        <v>262</v>
      </c>
      <c r="I11" s="344">
        <v>4.9000000000000002E-2</v>
      </c>
      <c r="J11" s="344">
        <v>3.9E-2</v>
      </c>
      <c r="K11" s="344">
        <v>3.9E-2</v>
      </c>
      <c r="L11" s="344">
        <v>3.9E-2</v>
      </c>
      <c r="M11" s="344">
        <v>4.9000000000000002E-2</v>
      </c>
      <c r="N11" s="344">
        <v>7.4999999999999997E-2</v>
      </c>
      <c r="O11" s="344">
        <v>6.7000000000000004E-2</v>
      </c>
      <c r="P11" s="344">
        <v>6.7000000000000004E-2</v>
      </c>
      <c r="Q11" s="344">
        <v>3.9E-2</v>
      </c>
      <c r="R11" s="344">
        <v>3.9E-2</v>
      </c>
      <c r="S11" s="344">
        <v>3.9E-2</v>
      </c>
      <c r="T11" s="344">
        <v>3.9E-2</v>
      </c>
      <c r="U11" s="344">
        <v>3.9E-2</v>
      </c>
      <c r="V11" s="344">
        <v>3.9E-2</v>
      </c>
      <c r="W11" s="344">
        <v>3.9E-2</v>
      </c>
      <c r="X11" s="344">
        <v>3.9E-2</v>
      </c>
      <c r="Y11" s="77"/>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row>
    <row r="12" spans="1:62" x14ac:dyDescent="0.25">
      <c r="A12" s="477"/>
      <c r="B12" s="478"/>
      <c r="C12" s="476"/>
      <c r="D12" s="479"/>
      <c r="E12" s="477"/>
      <c r="F12" s="353" t="s">
        <v>255</v>
      </c>
      <c r="G12" s="354">
        <v>2025</v>
      </c>
      <c r="H12" s="363" t="s">
        <v>262</v>
      </c>
      <c r="I12" s="354">
        <v>2.8000000000000001E-2</v>
      </c>
      <c r="J12" s="354">
        <v>2.8000000000000001E-2</v>
      </c>
      <c r="K12" s="354">
        <v>2.8000000000000001E-2</v>
      </c>
      <c r="L12" s="354">
        <v>2.8000000000000001E-2</v>
      </c>
      <c r="M12" s="354">
        <v>2.8000000000000001E-2</v>
      </c>
      <c r="N12" s="354">
        <v>4.7E-2</v>
      </c>
      <c r="O12" s="354">
        <v>4.7E-2</v>
      </c>
      <c r="P12" s="354">
        <v>4.7E-2</v>
      </c>
      <c r="Q12" s="354">
        <v>2.8000000000000001E-2</v>
      </c>
      <c r="R12" s="354">
        <v>2.8000000000000001E-2</v>
      </c>
      <c r="S12" s="354">
        <v>2.8000000000000001E-2</v>
      </c>
      <c r="T12" s="354">
        <v>2.8000000000000001E-2</v>
      </c>
      <c r="U12" s="354">
        <v>2.8000000000000001E-2</v>
      </c>
      <c r="V12" s="354">
        <v>2.8000000000000001E-2</v>
      </c>
      <c r="W12" s="354">
        <v>2.8000000000000001E-2</v>
      </c>
      <c r="X12" s="354">
        <v>2.8000000000000001E-2</v>
      </c>
      <c r="Y12" s="77"/>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row>
    <row r="13" spans="1:62" ht="14.4" customHeight="1" x14ac:dyDescent="0.25">
      <c r="A13" s="477" t="s">
        <v>263</v>
      </c>
      <c r="B13" s="478" t="str">
        <f t="shared" ref="B13" si="1">$B$3</f>
        <v>SchoolHigh</v>
      </c>
      <c r="C13" s="476" t="s">
        <v>264</v>
      </c>
      <c r="D13" s="478" t="s">
        <v>265</v>
      </c>
      <c r="E13" s="477" t="s">
        <v>244</v>
      </c>
      <c r="F13" s="371" t="s">
        <v>245</v>
      </c>
      <c r="G13" s="371" t="s">
        <v>246</v>
      </c>
      <c r="H13" s="478" t="s">
        <v>266</v>
      </c>
      <c r="I13" s="350">
        <f>0.33*1.12+0.67*I16</f>
        <v>0.61080000000000001</v>
      </c>
      <c r="J13" s="350">
        <f t="shared" ref="J13:X13" si="2">0.33*1.12+0.67*J16</f>
        <v>0.61080000000000001</v>
      </c>
      <c r="K13" s="350">
        <f t="shared" si="2"/>
        <v>0.61080000000000001</v>
      </c>
      <c r="L13" s="350">
        <f t="shared" si="2"/>
        <v>0.61080000000000001</v>
      </c>
      <c r="M13" s="350">
        <f t="shared" si="2"/>
        <v>0.61080000000000001</v>
      </c>
      <c r="N13" s="350">
        <f t="shared" si="2"/>
        <v>0.61080000000000001</v>
      </c>
      <c r="O13" s="350">
        <f t="shared" si="2"/>
        <v>0.61080000000000001</v>
      </c>
      <c r="P13" s="350">
        <f t="shared" si="2"/>
        <v>0.61080000000000001</v>
      </c>
      <c r="Q13" s="350">
        <f t="shared" si="2"/>
        <v>0.61080000000000001</v>
      </c>
      <c r="R13" s="350">
        <f t="shared" si="2"/>
        <v>0.61080000000000001</v>
      </c>
      <c r="S13" s="350">
        <f t="shared" si="2"/>
        <v>0.61080000000000001</v>
      </c>
      <c r="T13" s="350">
        <f t="shared" si="2"/>
        <v>0.61080000000000001</v>
      </c>
      <c r="U13" s="350">
        <f t="shared" si="2"/>
        <v>0.61080000000000001</v>
      </c>
      <c r="V13" s="350">
        <f t="shared" si="2"/>
        <v>0.61080000000000001</v>
      </c>
      <c r="W13" s="350">
        <f t="shared" si="2"/>
        <v>0.61080000000000001</v>
      </c>
      <c r="X13" s="350">
        <f t="shared" si="2"/>
        <v>0.61080000000000001</v>
      </c>
      <c r="Y13" s="77"/>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row>
    <row r="14" spans="1:62" x14ac:dyDescent="0.25">
      <c r="A14" s="477"/>
      <c r="B14" s="478"/>
      <c r="C14" s="476"/>
      <c r="D14" s="478"/>
      <c r="E14" s="477"/>
      <c r="F14" s="335" t="s">
        <v>248</v>
      </c>
      <c r="G14" s="335" t="s">
        <v>246</v>
      </c>
      <c r="H14" s="478"/>
      <c r="I14" s="351">
        <f>0.33*1.12+0.67*I16</f>
        <v>0.61080000000000001</v>
      </c>
      <c r="J14" s="351">
        <f t="shared" ref="J14:X14" si="3">0.33*1.12+0.67*J16</f>
        <v>0.61080000000000001</v>
      </c>
      <c r="K14" s="351">
        <f t="shared" si="3"/>
        <v>0.61080000000000001</v>
      </c>
      <c r="L14" s="351">
        <f t="shared" si="3"/>
        <v>0.61080000000000001</v>
      </c>
      <c r="M14" s="351">
        <f t="shared" si="3"/>
        <v>0.61080000000000001</v>
      </c>
      <c r="N14" s="351">
        <f t="shared" si="3"/>
        <v>0.61080000000000001</v>
      </c>
      <c r="O14" s="351">
        <f t="shared" si="3"/>
        <v>0.61080000000000001</v>
      </c>
      <c r="P14" s="351">
        <f t="shared" si="3"/>
        <v>0.61080000000000001</v>
      </c>
      <c r="Q14" s="351">
        <f t="shared" si="3"/>
        <v>0.61080000000000001</v>
      </c>
      <c r="R14" s="351">
        <f t="shared" si="3"/>
        <v>0.61080000000000001</v>
      </c>
      <c r="S14" s="351">
        <f t="shared" si="3"/>
        <v>0.61080000000000001</v>
      </c>
      <c r="T14" s="351">
        <f t="shared" si="3"/>
        <v>0.61080000000000001</v>
      </c>
      <c r="U14" s="351">
        <f t="shared" si="3"/>
        <v>0.61080000000000001</v>
      </c>
      <c r="V14" s="351">
        <f t="shared" si="3"/>
        <v>0.61080000000000001</v>
      </c>
      <c r="W14" s="351">
        <f t="shared" si="3"/>
        <v>0.61080000000000001</v>
      </c>
      <c r="X14" s="351">
        <f t="shared" si="3"/>
        <v>0.61080000000000001</v>
      </c>
      <c r="Y14" s="77"/>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row>
    <row r="15" spans="1:62" x14ac:dyDescent="0.25">
      <c r="A15" s="477"/>
      <c r="B15" s="478"/>
      <c r="C15" s="476"/>
      <c r="D15" s="477" t="s">
        <v>267</v>
      </c>
      <c r="E15" s="477"/>
      <c r="F15" s="339" t="s">
        <v>250</v>
      </c>
      <c r="G15" s="339">
        <v>2001</v>
      </c>
      <c r="H15" s="347" t="s">
        <v>261</v>
      </c>
      <c r="I15" s="339">
        <v>0.49</v>
      </c>
      <c r="J15" s="339">
        <v>0.49</v>
      </c>
      <c r="K15" s="339">
        <v>0.81</v>
      </c>
      <c r="L15" s="339">
        <v>0.81</v>
      </c>
      <c r="M15" s="339">
        <v>0.81</v>
      </c>
      <c r="N15" s="339">
        <v>0.81</v>
      </c>
      <c r="O15" s="339">
        <v>0.81</v>
      </c>
      <c r="P15" s="339">
        <v>0.81</v>
      </c>
      <c r="Q15" s="339">
        <v>0.81</v>
      </c>
      <c r="R15" s="339">
        <v>0.49</v>
      </c>
      <c r="S15" s="339">
        <v>0.49</v>
      </c>
      <c r="T15" s="339">
        <v>0.49</v>
      </c>
      <c r="U15" s="339">
        <v>0.49</v>
      </c>
      <c r="V15" s="339">
        <v>0.49</v>
      </c>
      <c r="W15" s="339">
        <v>0.49</v>
      </c>
      <c r="X15" s="339">
        <v>0.49</v>
      </c>
      <c r="Y15" s="77"/>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row>
    <row r="16" spans="1:62" x14ac:dyDescent="0.25">
      <c r="A16" s="477"/>
      <c r="B16" s="478"/>
      <c r="C16" s="476"/>
      <c r="D16" s="477"/>
      <c r="E16" s="477"/>
      <c r="F16" s="342" t="s">
        <v>252</v>
      </c>
      <c r="G16" s="342">
        <v>2013</v>
      </c>
      <c r="H16" s="348" t="s">
        <v>262</v>
      </c>
      <c r="I16" s="342">
        <v>0.36</v>
      </c>
      <c r="J16" s="342">
        <v>0.36</v>
      </c>
      <c r="K16" s="342">
        <v>0.36</v>
      </c>
      <c r="L16" s="342">
        <v>0.36</v>
      </c>
      <c r="M16" s="342">
        <v>0.36</v>
      </c>
      <c r="N16" s="342">
        <v>0.36</v>
      </c>
      <c r="O16" s="342">
        <v>0.36</v>
      </c>
      <c r="P16" s="342">
        <v>0.36</v>
      </c>
      <c r="Q16" s="342">
        <v>0.36</v>
      </c>
      <c r="R16" s="342">
        <v>0.36</v>
      </c>
      <c r="S16" s="342">
        <v>0.36</v>
      </c>
      <c r="T16" s="342">
        <v>0.36</v>
      </c>
      <c r="U16" s="342">
        <v>0.36</v>
      </c>
      <c r="V16" s="342">
        <v>0.36</v>
      </c>
      <c r="W16" s="342">
        <v>0.36</v>
      </c>
      <c r="X16" s="342">
        <v>0.36</v>
      </c>
      <c r="Y16" s="77"/>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row>
    <row r="17" spans="1:62" x14ac:dyDescent="0.25">
      <c r="A17" s="477"/>
      <c r="B17" s="478"/>
      <c r="C17" s="476"/>
      <c r="D17" s="477"/>
      <c r="E17" s="477"/>
      <c r="F17" s="345" t="s">
        <v>255</v>
      </c>
      <c r="G17" s="346">
        <v>2025</v>
      </c>
      <c r="H17" s="349" t="s">
        <v>262</v>
      </c>
      <c r="I17" s="346">
        <v>0.36</v>
      </c>
      <c r="J17" s="346">
        <v>0.36</v>
      </c>
      <c r="K17" s="346">
        <v>0.36</v>
      </c>
      <c r="L17" s="346">
        <v>0.36</v>
      </c>
      <c r="M17" s="346">
        <v>0.36</v>
      </c>
      <c r="N17" s="346">
        <v>0.36</v>
      </c>
      <c r="O17" s="346">
        <v>0.36</v>
      </c>
      <c r="P17" s="346">
        <v>0.36</v>
      </c>
      <c r="Q17" s="346">
        <v>0.34</v>
      </c>
      <c r="R17" s="346">
        <v>0.36</v>
      </c>
      <c r="S17" s="346">
        <v>0.34</v>
      </c>
      <c r="T17" s="346">
        <v>0.34</v>
      </c>
      <c r="U17" s="346">
        <v>0.34</v>
      </c>
      <c r="V17" s="346">
        <v>0.34</v>
      </c>
      <c r="W17" s="346">
        <v>0.34</v>
      </c>
      <c r="X17" s="346">
        <v>0.36</v>
      </c>
      <c r="Y17" s="77"/>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row>
    <row r="18" spans="1:62" x14ac:dyDescent="0.25">
      <c r="A18" s="477"/>
      <c r="B18" s="478" t="str">
        <f t="shared" ref="B18" si="4">$B$3</f>
        <v>SchoolHigh</v>
      </c>
      <c r="C18" s="476" t="s">
        <v>264</v>
      </c>
      <c r="D18" s="478" t="s">
        <v>265</v>
      </c>
      <c r="E18" s="477" t="s">
        <v>268</v>
      </c>
      <c r="F18" s="371" t="s">
        <v>245</v>
      </c>
      <c r="G18" s="371" t="s">
        <v>246</v>
      </c>
      <c r="H18" s="478" t="s">
        <v>269</v>
      </c>
      <c r="I18" s="350">
        <f>0.79*0.33+0.67*I21</f>
        <v>0.42820000000000003</v>
      </c>
      <c r="J18" s="350">
        <f t="shared" ref="J18:X18" si="5">0.79*0.33+0.67*J21</f>
        <v>0.42820000000000003</v>
      </c>
      <c r="K18" s="350">
        <f t="shared" si="5"/>
        <v>0.42820000000000003</v>
      </c>
      <c r="L18" s="350">
        <f t="shared" si="5"/>
        <v>0.42820000000000003</v>
      </c>
      <c r="M18" s="350">
        <f t="shared" si="5"/>
        <v>0.42820000000000003</v>
      </c>
      <c r="N18" s="350">
        <f t="shared" si="5"/>
        <v>0.42820000000000003</v>
      </c>
      <c r="O18" s="350">
        <f t="shared" si="5"/>
        <v>0.42820000000000003</v>
      </c>
      <c r="P18" s="350">
        <f t="shared" si="5"/>
        <v>0.42820000000000003</v>
      </c>
      <c r="Q18" s="350">
        <f t="shared" si="5"/>
        <v>0.42820000000000003</v>
      </c>
      <c r="R18" s="350">
        <f t="shared" si="5"/>
        <v>0.42820000000000003</v>
      </c>
      <c r="S18" s="350">
        <f t="shared" si="5"/>
        <v>0.42820000000000003</v>
      </c>
      <c r="T18" s="350">
        <f t="shared" si="5"/>
        <v>0.42820000000000003</v>
      </c>
      <c r="U18" s="350">
        <f t="shared" si="5"/>
        <v>0.42820000000000003</v>
      </c>
      <c r="V18" s="350">
        <f t="shared" si="5"/>
        <v>0.42820000000000003</v>
      </c>
      <c r="W18" s="350">
        <f t="shared" si="5"/>
        <v>0.42820000000000003</v>
      </c>
      <c r="X18" s="350">
        <f t="shared" si="5"/>
        <v>0.42820000000000003</v>
      </c>
      <c r="Y18" s="77"/>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row>
    <row r="19" spans="1:62" x14ac:dyDescent="0.25">
      <c r="A19" s="477"/>
      <c r="B19" s="478"/>
      <c r="C19" s="476"/>
      <c r="D19" s="478"/>
      <c r="E19" s="477"/>
      <c r="F19" s="335" t="s">
        <v>248</v>
      </c>
      <c r="G19" s="335" t="s">
        <v>246</v>
      </c>
      <c r="H19" s="478"/>
      <c r="I19" s="351">
        <f>0.79*0.33+0.67*I21</f>
        <v>0.42820000000000003</v>
      </c>
      <c r="J19" s="351">
        <f t="shared" ref="J19:X19" si="6">0.79*0.33+0.67*J21</f>
        <v>0.42820000000000003</v>
      </c>
      <c r="K19" s="351">
        <f t="shared" si="6"/>
        <v>0.42820000000000003</v>
      </c>
      <c r="L19" s="351">
        <f t="shared" si="6"/>
        <v>0.42820000000000003</v>
      </c>
      <c r="M19" s="351">
        <f t="shared" si="6"/>
        <v>0.42820000000000003</v>
      </c>
      <c r="N19" s="351">
        <f t="shared" si="6"/>
        <v>0.42820000000000003</v>
      </c>
      <c r="O19" s="351">
        <f t="shared" si="6"/>
        <v>0.42820000000000003</v>
      </c>
      <c r="P19" s="351">
        <f t="shared" si="6"/>
        <v>0.42820000000000003</v>
      </c>
      <c r="Q19" s="351">
        <f t="shared" si="6"/>
        <v>0.42820000000000003</v>
      </c>
      <c r="R19" s="351">
        <f t="shared" si="6"/>
        <v>0.42820000000000003</v>
      </c>
      <c r="S19" s="351">
        <f t="shared" si="6"/>
        <v>0.42820000000000003</v>
      </c>
      <c r="T19" s="351">
        <f t="shared" si="6"/>
        <v>0.42820000000000003</v>
      </c>
      <c r="U19" s="351">
        <f t="shared" si="6"/>
        <v>0.42820000000000003</v>
      </c>
      <c r="V19" s="351">
        <f t="shared" si="6"/>
        <v>0.42820000000000003</v>
      </c>
      <c r="W19" s="351">
        <f t="shared" si="6"/>
        <v>0.42820000000000003</v>
      </c>
      <c r="X19" s="351">
        <f t="shared" si="6"/>
        <v>0.42820000000000003</v>
      </c>
      <c r="Y19" s="77"/>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row>
    <row r="20" spans="1:62" x14ac:dyDescent="0.25">
      <c r="A20" s="477"/>
      <c r="B20" s="478"/>
      <c r="C20" s="476"/>
      <c r="D20" s="477" t="s">
        <v>267</v>
      </c>
      <c r="E20" s="477"/>
      <c r="F20" s="339" t="s">
        <v>250</v>
      </c>
      <c r="G20" s="339">
        <v>2001</v>
      </c>
      <c r="H20" s="340" t="s">
        <v>270</v>
      </c>
      <c r="I20" s="339">
        <v>0.43</v>
      </c>
      <c r="J20" s="352">
        <v>0.31</v>
      </c>
      <c r="K20" s="339">
        <v>0.41</v>
      </c>
      <c r="L20" s="339">
        <v>0.41</v>
      </c>
      <c r="M20" s="339">
        <v>0.41</v>
      </c>
      <c r="N20" s="339">
        <v>0.34</v>
      </c>
      <c r="O20" s="339">
        <v>0.34</v>
      </c>
      <c r="P20" s="339">
        <v>0.34</v>
      </c>
      <c r="Q20" s="339">
        <v>0.34</v>
      </c>
      <c r="R20" s="339">
        <v>0.31</v>
      </c>
      <c r="S20" s="339">
        <v>0.31</v>
      </c>
      <c r="T20" s="339">
        <v>0.31</v>
      </c>
      <c r="U20" s="339">
        <v>0.31</v>
      </c>
      <c r="V20" s="339">
        <v>0.31</v>
      </c>
      <c r="W20" s="339">
        <v>0.31</v>
      </c>
      <c r="X20" s="339">
        <v>0.43</v>
      </c>
      <c r="Y20" s="77"/>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row>
    <row r="21" spans="1:62" x14ac:dyDescent="0.25">
      <c r="A21" s="477"/>
      <c r="B21" s="478"/>
      <c r="C21" s="476"/>
      <c r="D21" s="477"/>
      <c r="E21" s="477"/>
      <c r="F21" s="342" t="s">
        <v>252</v>
      </c>
      <c r="G21" s="342">
        <v>2013</v>
      </c>
      <c r="H21" s="348" t="s">
        <v>262</v>
      </c>
      <c r="I21" s="342">
        <v>0.25</v>
      </c>
      <c r="J21" s="342">
        <v>0.25</v>
      </c>
      <c r="K21" s="342">
        <v>0.25</v>
      </c>
      <c r="L21" s="342">
        <v>0.25</v>
      </c>
      <c r="M21" s="342">
        <v>0.25</v>
      </c>
      <c r="N21" s="342">
        <v>0.25</v>
      </c>
      <c r="O21" s="342">
        <v>0.25</v>
      </c>
      <c r="P21" s="342">
        <v>0.25</v>
      </c>
      <c r="Q21" s="342">
        <v>0.25</v>
      </c>
      <c r="R21" s="342">
        <v>0.25</v>
      </c>
      <c r="S21" s="342">
        <v>0.25</v>
      </c>
      <c r="T21" s="342">
        <v>0.25</v>
      </c>
      <c r="U21" s="342">
        <v>0.25</v>
      </c>
      <c r="V21" s="342">
        <v>0.25</v>
      </c>
      <c r="W21" s="342">
        <v>0.25</v>
      </c>
      <c r="X21" s="342">
        <v>0.25</v>
      </c>
      <c r="Y21" s="77"/>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row>
    <row r="22" spans="1:62" x14ac:dyDescent="0.25">
      <c r="A22" s="477"/>
      <c r="B22" s="478"/>
      <c r="C22" s="476"/>
      <c r="D22" s="477"/>
      <c r="E22" s="477"/>
      <c r="F22" s="353" t="s">
        <v>255</v>
      </c>
      <c r="G22" s="354">
        <v>2025</v>
      </c>
      <c r="H22" s="355" t="s">
        <v>262</v>
      </c>
      <c r="I22" s="354">
        <v>0.25</v>
      </c>
      <c r="J22" s="354">
        <v>0.25</v>
      </c>
      <c r="K22" s="354">
        <v>0.25</v>
      </c>
      <c r="L22" s="354">
        <v>0.25</v>
      </c>
      <c r="M22" s="354">
        <v>0.25</v>
      </c>
      <c r="N22" s="354">
        <v>0.25</v>
      </c>
      <c r="O22" s="354">
        <v>0.25</v>
      </c>
      <c r="P22" s="354">
        <v>0.25</v>
      </c>
      <c r="Q22" s="354">
        <v>0.22</v>
      </c>
      <c r="R22" s="354">
        <v>0.25</v>
      </c>
      <c r="S22" s="354">
        <v>0.22</v>
      </c>
      <c r="T22" s="354">
        <v>0.22</v>
      </c>
      <c r="U22" s="354">
        <v>0.22</v>
      </c>
      <c r="V22" s="354">
        <v>0.22</v>
      </c>
      <c r="W22" s="354">
        <v>0.22</v>
      </c>
      <c r="X22" s="354">
        <v>0.25</v>
      </c>
      <c r="Y22" s="77"/>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row>
    <row r="23" spans="1:62" customFormat="1" ht="14.4" x14ac:dyDescent="0.3">
      <c r="A23" s="473" t="s">
        <v>271</v>
      </c>
      <c r="B23" s="473" t="s">
        <v>51</v>
      </c>
      <c r="C23" s="473" t="s">
        <v>271</v>
      </c>
      <c r="D23" s="476" t="s">
        <v>272</v>
      </c>
      <c r="E23" s="473" t="s">
        <v>273</v>
      </c>
      <c r="F23" s="372" t="s">
        <v>245</v>
      </c>
      <c r="G23" s="372">
        <v>1992</v>
      </c>
      <c r="H23" s="476" t="s">
        <v>274</v>
      </c>
      <c r="I23" s="356">
        <v>0.85</v>
      </c>
      <c r="J23" s="356">
        <v>1.31</v>
      </c>
      <c r="K23" s="356">
        <v>1.31</v>
      </c>
      <c r="L23" s="356">
        <v>1.31</v>
      </c>
      <c r="M23" s="356">
        <v>1.31</v>
      </c>
      <c r="N23" s="356">
        <v>1.31</v>
      </c>
      <c r="O23" s="356">
        <v>1.31</v>
      </c>
      <c r="P23" s="356">
        <v>1.31</v>
      </c>
      <c r="Q23" s="356">
        <v>1.31</v>
      </c>
      <c r="R23" s="356">
        <v>1.31</v>
      </c>
      <c r="S23" s="356">
        <v>0.85</v>
      </c>
      <c r="T23" s="356">
        <v>0.85</v>
      </c>
      <c r="U23" s="356">
        <v>0.85</v>
      </c>
      <c r="V23" s="356">
        <v>0.85</v>
      </c>
      <c r="W23" s="356">
        <v>0.85</v>
      </c>
      <c r="X23" s="356">
        <v>0.85</v>
      </c>
    </row>
    <row r="24" spans="1:62" customFormat="1" ht="14.4" x14ac:dyDescent="0.3">
      <c r="A24" s="473"/>
      <c r="B24" s="473"/>
      <c r="C24" s="473"/>
      <c r="D24" s="476"/>
      <c r="E24" s="473"/>
      <c r="F24" s="336" t="s">
        <v>248</v>
      </c>
      <c r="G24" s="336">
        <v>1992</v>
      </c>
      <c r="H24" s="476"/>
      <c r="I24" s="357">
        <v>0.85</v>
      </c>
      <c r="J24" s="357">
        <v>1.31</v>
      </c>
      <c r="K24" s="357">
        <v>1.31</v>
      </c>
      <c r="L24" s="357">
        <v>1.31</v>
      </c>
      <c r="M24" s="357">
        <v>1.31</v>
      </c>
      <c r="N24" s="357">
        <v>1.31</v>
      </c>
      <c r="O24" s="357">
        <v>1.31</v>
      </c>
      <c r="P24" s="357">
        <v>1.31</v>
      </c>
      <c r="Q24" s="357">
        <v>1.31</v>
      </c>
      <c r="R24" s="357">
        <v>1.31</v>
      </c>
      <c r="S24" s="357">
        <v>0.85</v>
      </c>
      <c r="T24" s="357">
        <v>0.85</v>
      </c>
      <c r="U24" s="357">
        <v>0.85</v>
      </c>
      <c r="V24" s="357">
        <v>0.85</v>
      </c>
      <c r="W24" s="357">
        <v>0.85</v>
      </c>
      <c r="X24" s="357">
        <v>0.85</v>
      </c>
    </row>
    <row r="25" spans="1:62" customFormat="1" ht="14.4" x14ac:dyDescent="0.3">
      <c r="A25" s="473"/>
      <c r="B25" s="473"/>
      <c r="C25" s="473"/>
      <c r="D25" s="476"/>
      <c r="E25" s="473"/>
      <c r="F25" s="352" t="s">
        <v>250</v>
      </c>
      <c r="G25" s="352">
        <v>2001</v>
      </c>
      <c r="H25" s="340" t="s">
        <v>275</v>
      </c>
      <c r="I25" s="352">
        <v>0.87</v>
      </c>
      <c r="J25" s="352">
        <v>1.1000000000000001</v>
      </c>
      <c r="K25" s="352">
        <v>1.3</v>
      </c>
      <c r="L25" s="352">
        <v>1.3</v>
      </c>
      <c r="M25" s="352">
        <v>1.3</v>
      </c>
      <c r="N25" s="352">
        <v>1.3</v>
      </c>
      <c r="O25" s="352">
        <v>1.3</v>
      </c>
      <c r="P25" s="352">
        <v>1.3</v>
      </c>
      <c r="Q25" s="352">
        <v>1.3</v>
      </c>
      <c r="R25" s="352">
        <v>1.1000000000000001</v>
      </c>
      <c r="S25" s="352">
        <v>1.1000000000000001</v>
      </c>
      <c r="T25" s="352">
        <v>1.1000000000000001</v>
      </c>
      <c r="U25" s="352">
        <v>1.1000000000000001</v>
      </c>
      <c r="V25" s="352">
        <v>1.1000000000000001</v>
      </c>
      <c r="W25" s="352">
        <v>1.1000000000000001</v>
      </c>
      <c r="X25" s="352">
        <v>0.87</v>
      </c>
    </row>
    <row r="26" spans="1:62" customFormat="1" ht="14.4" x14ac:dyDescent="0.3">
      <c r="A26" s="473"/>
      <c r="B26" s="473"/>
      <c r="C26" s="473"/>
      <c r="D26" s="476"/>
      <c r="E26" s="473"/>
      <c r="F26" s="358" t="s">
        <v>252</v>
      </c>
      <c r="G26" s="358">
        <v>2013</v>
      </c>
      <c r="H26" s="343" t="s">
        <v>262</v>
      </c>
      <c r="I26" s="358">
        <v>0.88</v>
      </c>
      <c r="J26" s="358">
        <v>0.88</v>
      </c>
      <c r="K26" s="358">
        <v>0.88</v>
      </c>
      <c r="L26" s="358">
        <v>0.88</v>
      </c>
      <c r="M26" s="358">
        <v>0.88</v>
      </c>
      <c r="N26" s="358">
        <v>0.88</v>
      </c>
      <c r="O26" s="358">
        <v>0.88</v>
      </c>
      <c r="P26" s="358">
        <v>0.88</v>
      </c>
      <c r="Q26" s="358">
        <v>0.88</v>
      </c>
      <c r="R26" s="358">
        <v>0.88</v>
      </c>
      <c r="S26" s="358">
        <v>0.88</v>
      </c>
      <c r="T26" s="358">
        <v>0.88</v>
      </c>
      <c r="U26" s="358">
        <v>0.88</v>
      </c>
      <c r="V26" s="358">
        <v>0.88</v>
      </c>
      <c r="W26" s="358">
        <v>0.88</v>
      </c>
      <c r="X26" s="358">
        <v>0.88</v>
      </c>
    </row>
    <row r="27" spans="1:62" customFormat="1" ht="14.4" x14ac:dyDescent="0.3">
      <c r="A27" s="473"/>
      <c r="B27" s="473"/>
      <c r="C27" s="473"/>
      <c r="D27" s="476"/>
      <c r="E27" s="473"/>
      <c r="F27" s="359" t="s">
        <v>255</v>
      </c>
      <c r="G27" s="359">
        <v>2025</v>
      </c>
      <c r="H27" s="360" t="s">
        <v>262</v>
      </c>
      <c r="I27" s="359">
        <v>0.88</v>
      </c>
      <c r="J27" s="359">
        <v>0.88</v>
      </c>
      <c r="K27" s="359">
        <v>0.88</v>
      </c>
      <c r="L27" s="359">
        <v>0.88</v>
      </c>
      <c r="M27" s="359">
        <v>0.88</v>
      </c>
      <c r="N27" s="359">
        <v>0.88</v>
      </c>
      <c r="O27" s="359">
        <v>0.88</v>
      </c>
      <c r="P27" s="359">
        <v>0.88</v>
      </c>
      <c r="Q27" s="359">
        <v>0.88</v>
      </c>
      <c r="R27" s="359">
        <v>0.88</v>
      </c>
      <c r="S27" s="359">
        <v>0.88</v>
      </c>
      <c r="T27" s="359">
        <v>0.88</v>
      </c>
      <c r="U27" s="359">
        <v>0.88</v>
      </c>
      <c r="V27" s="359">
        <v>0.88</v>
      </c>
      <c r="W27" s="359">
        <v>0.88</v>
      </c>
      <c r="X27" s="359">
        <v>0.88</v>
      </c>
    </row>
    <row r="28" spans="1:62" s="2" customFormat="1" x14ac:dyDescent="0.25">
      <c r="A28" s="473"/>
      <c r="B28" s="473"/>
      <c r="C28" s="473"/>
      <c r="D28" s="476"/>
      <c r="E28" s="473" t="s">
        <v>268</v>
      </c>
      <c r="F28" s="372" t="s">
        <v>245</v>
      </c>
      <c r="G28" s="372">
        <v>1992</v>
      </c>
      <c r="H28" s="476" t="s">
        <v>276</v>
      </c>
      <c r="I28" s="356">
        <v>0.81</v>
      </c>
      <c r="J28" s="356">
        <v>0.86</v>
      </c>
      <c r="K28" s="356">
        <v>0.86</v>
      </c>
      <c r="L28" s="356">
        <v>0.86</v>
      </c>
      <c r="M28" s="356">
        <v>0.86</v>
      </c>
      <c r="N28" s="356">
        <v>0.86</v>
      </c>
      <c r="O28" s="356">
        <v>0.86</v>
      </c>
      <c r="P28" s="356">
        <v>0.86</v>
      </c>
      <c r="Q28" s="356">
        <v>0.86</v>
      </c>
      <c r="R28" s="356">
        <v>0.86</v>
      </c>
      <c r="S28" s="356">
        <v>0.81</v>
      </c>
      <c r="T28" s="356">
        <v>0.81</v>
      </c>
      <c r="U28" s="356">
        <v>0.81</v>
      </c>
      <c r="V28" s="356">
        <v>0.81</v>
      </c>
      <c r="W28" s="356">
        <v>0.81</v>
      </c>
      <c r="X28" s="356">
        <v>0.81</v>
      </c>
    </row>
    <row r="29" spans="1:62" s="2" customFormat="1" x14ac:dyDescent="0.25">
      <c r="A29" s="473"/>
      <c r="B29" s="473"/>
      <c r="C29" s="473"/>
      <c r="D29" s="476"/>
      <c r="E29" s="473"/>
      <c r="F29" s="336" t="s">
        <v>248</v>
      </c>
      <c r="G29" s="336">
        <v>1992</v>
      </c>
      <c r="H29" s="476"/>
      <c r="I29" s="336">
        <v>0.81</v>
      </c>
      <c r="J29" s="336">
        <v>0.86</v>
      </c>
      <c r="K29" s="336">
        <v>0.86</v>
      </c>
      <c r="L29" s="336">
        <v>0.86</v>
      </c>
      <c r="M29" s="336">
        <v>0.86</v>
      </c>
      <c r="N29" s="336">
        <v>0.86</v>
      </c>
      <c r="O29" s="336">
        <v>0.86</v>
      </c>
      <c r="P29" s="336">
        <v>0.86</v>
      </c>
      <c r="Q29" s="336">
        <v>0.86</v>
      </c>
      <c r="R29" s="336">
        <v>0.86</v>
      </c>
      <c r="S29" s="336">
        <v>0.81</v>
      </c>
      <c r="T29" s="336">
        <v>0.81</v>
      </c>
      <c r="U29" s="336">
        <v>0.81</v>
      </c>
      <c r="V29" s="336">
        <v>0.81</v>
      </c>
      <c r="W29" s="336">
        <v>0.81</v>
      </c>
      <c r="X29" s="336">
        <v>0.81</v>
      </c>
    </row>
    <row r="30" spans="1:62" s="2" customFormat="1" ht="26.4" x14ac:dyDescent="0.25">
      <c r="A30" s="473"/>
      <c r="B30" s="473"/>
      <c r="C30" s="473"/>
      <c r="D30" s="476"/>
      <c r="E30" s="473"/>
      <c r="F30" s="352" t="s">
        <v>250</v>
      </c>
      <c r="G30" s="352">
        <v>2001</v>
      </c>
      <c r="H30" s="340" t="s">
        <v>277</v>
      </c>
      <c r="I30" s="352">
        <v>0.77</v>
      </c>
      <c r="J30" s="352">
        <v>0.77</v>
      </c>
      <c r="K30" s="352">
        <v>0.79</v>
      </c>
      <c r="L30" s="352">
        <v>0.79</v>
      </c>
      <c r="M30" s="352">
        <v>0.79</v>
      </c>
      <c r="N30" s="352">
        <v>0.77</v>
      </c>
      <c r="O30" s="352">
        <v>0.77</v>
      </c>
      <c r="P30" s="352">
        <v>0.77</v>
      </c>
      <c r="Q30" s="352">
        <v>0.77</v>
      </c>
      <c r="R30" s="352">
        <v>0.77</v>
      </c>
      <c r="S30" s="352">
        <v>0.77</v>
      </c>
      <c r="T30" s="352">
        <v>0.77</v>
      </c>
      <c r="U30" s="352">
        <v>0.77</v>
      </c>
      <c r="V30" s="352">
        <v>0.71</v>
      </c>
      <c r="W30" s="352">
        <v>0.71</v>
      </c>
      <c r="X30" s="352">
        <v>0.77</v>
      </c>
      <c r="Y30" s="59"/>
      <c r="Z30" s="59"/>
    </row>
    <row r="31" spans="1:62" s="2" customFormat="1" x14ac:dyDescent="0.25">
      <c r="A31" s="473"/>
      <c r="B31" s="473"/>
      <c r="C31" s="473"/>
      <c r="D31" s="476"/>
      <c r="E31" s="473"/>
      <c r="F31" s="358" t="s">
        <v>252</v>
      </c>
      <c r="G31" s="358">
        <v>2013</v>
      </c>
      <c r="H31" s="358" t="s">
        <v>278</v>
      </c>
      <c r="I31" s="358">
        <v>0.77</v>
      </c>
      <c r="J31" s="358">
        <v>0.77</v>
      </c>
      <c r="K31" s="358">
        <v>0.79</v>
      </c>
      <c r="L31" s="358">
        <v>0.79</v>
      </c>
      <c r="M31" s="358">
        <v>0.79</v>
      </c>
      <c r="N31" s="358">
        <v>0.77</v>
      </c>
      <c r="O31" s="358">
        <v>0.77</v>
      </c>
      <c r="P31" s="358">
        <v>0.77</v>
      </c>
      <c r="Q31" s="358">
        <v>0.77</v>
      </c>
      <c r="R31" s="358">
        <v>0.77</v>
      </c>
      <c r="S31" s="358">
        <v>0.77</v>
      </c>
      <c r="T31" s="358">
        <v>0.77</v>
      </c>
      <c r="U31" s="358">
        <v>0.77</v>
      </c>
      <c r="V31" s="358">
        <v>0.71</v>
      </c>
      <c r="W31" s="358">
        <v>0.71</v>
      </c>
      <c r="X31" s="358">
        <v>0.77</v>
      </c>
      <c r="Y31" s="100"/>
    </row>
    <row r="32" spans="1:62" s="2" customFormat="1" ht="26.4" x14ac:dyDescent="0.25">
      <c r="A32" s="473"/>
      <c r="B32" s="473"/>
      <c r="C32" s="473"/>
      <c r="D32" s="476"/>
      <c r="E32" s="473"/>
      <c r="F32" s="359" t="s">
        <v>255</v>
      </c>
      <c r="G32" s="359">
        <v>2025</v>
      </c>
      <c r="H32" s="361" t="s">
        <v>279</v>
      </c>
      <c r="I32" s="359">
        <v>0.77</v>
      </c>
      <c r="J32" s="359">
        <v>0.77</v>
      </c>
      <c r="K32" s="359">
        <v>0.79</v>
      </c>
      <c r="L32" s="359">
        <v>0.79</v>
      </c>
      <c r="M32" s="359">
        <v>0.79</v>
      </c>
      <c r="N32" s="359">
        <v>0.77</v>
      </c>
      <c r="O32" s="359">
        <v>0.77</v>
      </c>
      <c r="P32" s="359">
        <v>0.77</v>
      </c>
      <c r="Q32" s="359">
        <v>0.77</v>
      </c>
      <c r="R32" s="359">
        <v>0.77</v>
      </c>
      <c r="S32" s="359">
        <v>0.77</v>
      </c>
      <c r="T32" s="359">
        <v>0.77</v>
      </c>
      <c r="U32" s="359">
        <v>0.77</v>
      </c>
      <c r="V32" s="359">
        <v>0.71</v>
      </c>
      <c r="W32" s="359">
        <v>0.71</v>
      </c>
      <c r="X32" s="359">
        <v>0.77</v>
      </c>
      <c r="Y32" s="8"/>
      <c r="AA32" s="474"/>
      <c r="AB32" s="474"/>
      <c r="AC32" s="474"/>
      <c r="AD32" s="474"/>
      <c r="AE32" s="474"/>
      <c r="AF32" s="474"/>
      <c r="AG32" s="474"/>
      <c r="AH32" s="474"/>
      <c r="AI32" s="474"/>
      <c r="AJ32" s="474"/>
      <c r="AK32" s="474"/>
      <c r="AL32" s="474"/>
      <c r="AM32" s="474"/>
      <c r="AN32" s="474"/>
      <c r="AO32" s="474"/>
      <c r="AP32" s="474"/>
      <c r="AQ32" s="474"/>
      <c r="AR32" s="474"/>
      <c r="AS32" s="474"/>
      <c r="AT32" s="474"/>
      <c r="AU32" s="474"/>
      <c r="AV32" s="474"/>
      <c r="AW32" s="474"/>
    </row>
    <row r="33" spans="1:62" x14ac:dyDescent="0.25">
      <c r="A33" s="4"/>
      <c r="B33" s="10"/>
      <c r="C33" s="4"/>
      <c r="D33" s="4"/>
      <c r="E33" s="4"/>
      <c r="F33" s="4"/>
      <c r="G33" s="373"/>
      <c r="H33" s="4"/>
      <c r="I33" s="4"/>
      <c r="J33" s="4"/>
      <c r="K33" s="4"/>
      <c r="L33" s="4"/>
      <c r="M33" s="4"/>
      <c r="N33" s="4"/>
      <c r="O33" s="4"/>
      <c r="P33" s="4"/>
      <c r="Q33" s="4"/>
      <c r="R33" s="4"/>
      <c r="S33" s="4"/>
      <c r="T33" s="4"/>
      <c r="U33" s="4"/>
      <c r="V33" s="4"/>
      <c r="W33" s="4"/>
      <c r="X33" s="4"/>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row>
    <row r="34" spans="1:62" ht="14.4" x14ac:dyDescent="0.3">
      <c r="A34" t="s">
        <v>280</v>
      </c>
      <c r="B34" s="10"/>
      <c r="C34" s="4"/>
      <c r="D34" s="4"/>
      <c r="E34" s="4"/>
      <c r="F34" s="4"/>
      <c r="G34" s="373"/>
      <c r="H34" s="4"/>
      <c r="I34" s="4"/>
      <c r="J34" s="4"/>
      <c r="K34" s="4"/>
      <c r="L34" s="4"/>
      <c r="M34" s="4"/>
      <c r="N34" s="4"/>
      <c r="O34" s="4"/>
      <c r="P34" s="4"/>
      <c r="Q34" s="4"/>
      <c r="R34" s="4"/>
      <c r="S34" s="4"/>
      <c r="T34" s="4"/>
      <c r="U34" s="4"/>
      <c r="V34" s="4"/>
      <c r="W34" s="4"/>
      <c r="X34" s="4"/>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row>
    <row r="35" spans="1:62" ht="15.6" x14ac:dyDescent="0.25">
      <c r="A35" s="4"/>
      <c r="B35" s="10"/>
      <c r="C35" s="4"/>
      <c r="D35" s="4"/>
      <c r="E35" s="59"/>
      <c r="F35" s="59"/>
      <c r="G35" s="59"/>
      <c r="H35" s="59"/>
      <c r="I35" s="59"/>
      <c r="J35" s="59"/>
      <c r="K35" s="59"/>
      <c r="L35" s="59"/>
      <c r="M35" s="280"/>
      <c r="N35" s="280"/>
      <c r="O35" s="280"/>
      <c r="P35" s="280"/>
      <c r="Q35" s="280"/>
      <c r="R35" s="280"/>
      <c r="S35" s="280"/>
      <c r="T35" s="280"/>
      <c r="U35" s="280"/>
      <c r="V35" s="280"/>
      <c r="W35" s="280"/>
      <c r="X35" s="280"/>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row>
    <row r="36" spans="1:62" ht="15.6" x14ac:dyDescent="0.25">
      <c r="A36" s="2"/>
      <c r="B36" s="113"/>
      <c r="C36" s="466" t="s">
        <v>281</v>
      </c>
      <c r="D36" s="466"/>
      <c r="E36" s="466"/>
      <c r="F36" s="466"/>
      <c r="G36" s="466"/>
      <c r="H36" s="466"/>
      <c r="I36" s="466"/>
      <c r="J36" s="466"/>
      <c r="K36" s="466"/>
      <c r="L36" s="466"/>
      <c r="M36" s="466"/>
      <c r="N36" s="466"/>
      <c r="O36" s="466"/>
      <c r="P36" s="466"/>
      <c r="Q36" s="466"/>
      <c r="R36" s="466"/>
      <c r="S36" s="466"/>
      <c r="T36" s="466"/>
      <c r="U36" s="466"/>
      <c r="V36" s="466"/>
      <c r="W36" s="466"/>
      <c r="X36" s="466"/>
      <c r="Y36" s="59"/>
      <c r="Z36" s="59"/>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ht="52.8" x14ac:dyDescent="0.25">
      <c r="A37" s="2"/>
      <c r="B37" s="113"/>
      <c r="C37" s="396"/>
      <c r="D37" s="396" t="s">
        <v>84</v>
      </c>
      <c r="E37" s="397" t="s">
        <v>282</v>
      </c>
      <c r="F37" s="381" t="s">
        <v>223</v>
      </c>
      <c r="G37" s="368" t="s">
        <v>283</v>
      </c>
      <c r="H37" s="368" t="s">
        <v>284</v>
      </c>
      <c r="I37" s="489" t="s">
        <v>285</v>
      </c>
      <c r="J37" s="489"/>
      <c r="K37" s="489"/>
      <c r="L37" s="489"/>
      <c r="M37" s="489"/>
      <c r="N37" s="489"/>
      <c r="O37" s="489"/>
      <c r="P37" s="489"/>
      <c r="Q37" s="489"/>
      <c r="R37" s="489"/>
      <c r="S37" s="489"/>
      <c r="T37" s="489"/>
      <c r="U37" s="489"/>
      <c r="V37" s="489"/>
      <c r="W37" s="489"/>
      <c r="X37" s="489"/>
      <c r="Y37" s="100"/>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row>
    <row r="38" spans="1:62" ht="14.4" x14ac:dyDescent="0.25">
      <c r="A38" s="2"/>
      <c r="B38" s="113"/>
      <c r="C38" s="493" t="s">
        <v>281</v>
      </c>
      <c r="D38" s="488" t="s">
        <v>97</v>
      </c>
      <c r="E38" s="490"/>
      <c r="F38" s="377" t="s">
        <v>245</v>
      </c>
      <c r="G38" s="382">
        <v>1.1000000000000001</v>
      </c>
      <c r="H38" s="95" t="s">
        <v>286</v>
      </c>
      <c r="I38" s="475" t="e">
        <f>0.112*G38*#REF!</f>
        <v>#REF!</v>
      </c>
      <c r="J38" s="475"/>
      <c r="K38" s="475"/>
      <c r="L38" s="475"/>
      <c r="M38" s="475"/>
      <c r="N38" s="475"/>
      <c r="O38" s="475"/>
      <c r="P38" s="475"/>
      <c r="Q38" s="475"/>
      <c r="R38" s="475"/>
      <c r="S38" s="475"/>
      <c r="T38" s="475"/>
      <c r="U38" s="475"/>
      <c r="V38" s="475"/>
      <c r="W38" s="475"/>
      <c r="X38" s="475"/>
      <c r="Y38" s="8"/>
      <c r="Z38" s="369" t="s">
        <v>287</v>
      </c>
      <c r="AA38" s="315">
        <v>55686.179999999993</v>
      </c>
      <c r="AB38" s="4"/>
      <c r="AC38" s="4"/>
      <c r="AD38" s="4"/>
      <c r="AE38" s="4"/>
      <c r="AF38" s="4"/>
      <c r="AG38" s="4"/>
      <c r="AH38" s="4"/>
      <c r="AI38" s="4"/>
      <c r="AJ38" s="4"/>
      <c r="AK38" s="474"/>
      <c r="AL38" s="474"/>
      <c r="AM38" s="474"/>
      <c r="AN38" s="474"/>
      <c r="AO38" s="474"/>
      <c r="AP38" s="474"/>
      <c r="AQ38" s="474"/>
      <c r="AR38" s="474"/>
      <c r="AS38" s="474"/>
      <c r="AT38" s="474"/>
      <c r="AU38" s="474"/>
      <c r="AV38" s="474"/>
      <c r="AW38" s="474"/>
      <c r="AX38" s="2"/>
      <c r="AY38" s="2"/>
      <c r="AZ38" s="2"/>
      <c r="BA38" s="2"/>
      <c r="BB38" s="2"/>
      <c r="BC38" s="2"/>
      <c r="BD38" s="2"/>
      <c r="BE38" s="2"/>
      <c r="BF38" s="2"/>
      <c r="BG38" s="2"/>
      <c r="BH38" s="2"/>
      <c r="BI38" s="2"/>
      <c r="BJ38" s="2"/>
    </row>
    <row r="39" spans="1:62" ht="14.4" x14ac:dyDescent="0.25">
      <c r="A39" s="2"/>
      <c r="B39" s="113"/>
      <c r="C39" s="493"/>
      <c r="D39" s="488"/>
      <c r="E39" s="491"/>
      <c r="F39" s="377" t="s">
        <v>248</v>
      </c>
      <c r="G39" s="382">
        <v>1.1000000000000001</v>
      </c>
      <c r="H39" s="95" t="s">
        <v>286</v>
      </c>
      <c r="I39" s="475" t="e">
        <f>0.112*G39*#REF!</f>
        <v>#REF!</v>
      </c>
      <c r="J39" s="475"/>
      <c r="K39" s="475"/>
      <c r="L39" s="475"/>
      <c r="M39" s="475"/>
      <c r="N39" s="475"/>
      <c r="O39" s="475"/>
      <c r="P39" s="475"/>
      <c r="Q39" s="475"/>
      <c r="R39" s="475"/>
      <c r="S39" s="475"/>
      <c r="T39" s="475"/>
      <c r="U39" s="475"/>
      <c r="V39" s="475"/>
      <c r="W39" s="475"/>
      <c r="X39" s="475"/>
      <c r="Y39" s="8"/>
      <c r="Z39" s="369" t="s">
        <v>288</v>
      </c>
      <c r="AA39" s="315">
        <v>14075</v>
      </c>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row>
    <row r="40" spans="1:62" ht="14.4" x14ac:dyDescent="0.25">
      <c r="A40" s="2"/>
      <c r="B40" s="113"/>
      <c r="C40" s="493"/>
      <c r="D40" s="488"/>
      <c r="E40" s="491"/>
      <c r="F40" s="377" t="s">
        <v>250</v>
      </c>
      <c r="G40" s="382">
        <v>1.1000000000000001</v>
      </c>
      <c r="H40" s="95" t="s">
        <v>286</v>
      </c>
      <c r="I40" s="475" t="e">
        <f>0.112*G40*#REF!</f>
        <v>#REF!</v>
      </c>
      <c r="J40" s="475"/>
      <c r="K40" s="475"/>
      <c r="L40" s="475"/>
      <c r="M40" s="475"/>
      <c r="N40" s="475"/>
      <c r="O40" s="475"/>
      <c r="P40" s="475"/>
      <c r="Q40" s="475"/>
      <c r="R40" s="475"/>
      <c r="S40" s="475"/>
      <c r="T40" s="475"/>
      <c r="U40" s="475"/>
      <c r="V40" s="475"/>
      <c r="W40" s="475"/>
      <c r="X40" s="475"/>
      <c r="Y40" s="8"/>
      <c r="Z40" s="369" t="s">
        <v>289</v>
      </c>
      <c r="AA40" s="316">
        <f>AA39</f>
        <v>14075</v>
      </c>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ht="26.4" x14ac:dyDescent="0.25">
      <c r="A41" s="2"/>
      <c r="B41" s="113"/>
      <c r="C41" s="493"/>
      <c r="D41" s="488"/>
      <c r="E41" s="491"/>
      <c r="F41" s="377" t="s">
        <v>252</v>
      </c>
      <c r="G41" s="382">
        <v>1</v>
      </c>
      <c r="H41" s="382" t="s">
        <v>290</v>
      </c>
      <c r="I41" s="475" t="e">
        <f>0.112*G41*#REF!</f>
        <v>#REF!</v>
      </c>
      <c r="J41" s="475"/>
      <c r="K41" s="475"/>
      <c r="L41" s="475"/>
      <c r="M41" s="475"/>
      <c r="N41" s="475"/>
      <c r="O41" s="475"/>
      <c r="P41" s="475"/>
      <c r="Q41" s="475"/>
      <c r="R41" s="475"/>
      <c r="S41" s="475"/>
      <c r="T41" s="475"/>
      <c r="U41" s="475"/>
      <c r="V41" s="475"/>
      <c r="W41" s="475"/>
      <c r="X41" s="475"/>
      <c r="Y41" s="8"/>
      <c r="Z41" s="369" t="s">
        <v>291</v>
      </c>
      <c r="AA41" s="65">
        <f>AA39+(2*AA38)</f>
        <v>125447.35999999999</v>
      </c>
      <c r="AB41" s="2"/>
      <c r="AC41" s="2"/>
      <c r="AD41" s="2"/>
      <c r="AE41" s="65"/>
      <c r="AF41" s="4"/>
      <c r="AG41" s="4"/>
      <c r="AH41" s="4"/>
      <c r="AI41" s="4"/>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ht="26.4" x14ac:dyDescent="0.25">
      <c r="A42" s="2"/>
      <c r="B42" s="113"/>
      <c r="C42" s="493"/>
      <c r="D42" s="488"/>
      <c r="E42" s="492"/>
      <c r="F42" s="377" t="s">
        <v>255</v>
      </c>
      <c r="G42" s="382">
        <v>0.6</v>
      </c>
      <c r="H42" s="382" t="s">
        <v>292</v>
      </c>
      <c r="I42" s="475" t="e">
        <f>0.112*G42*#REF!</f>
        <v>#REF!</v>
      </c>
      <c r="J42" s="475"/>
      <c r="K42" s="475"/>
      <c r="L42" s="475"/>
      <c r="M42" s="475"/>
      <c r="N42" s="475"/>
      <c r="O42" s="475"/>
      <c r="P42" s="475"/>
      <c r="Q42" s="475"/>
      <c r="R42" s="475"/>
      <c r="S42" s="475"/>
      <c r="T42" s="475"/>
      <c r="U42" s="475"/>
      <c r="V42" s="475"/>
      <c r="W42" s="475"/>
      <c r="X42" s="475"/>
      <c r="Y42" s="8"/>
      <c r="Z42" s="4"/>
      <c r="AA42" s="4"/>
      <c r="AB42" s="2"/>
      <c r="AC42" s="2"/>
      <c r="AD42" s="2"/>
      <c r="AE42" s="65"/>
      <c r="AF42" s="278"/>
      <c r="AG42" s="278"/>
      <c r="AH42" s="279"/>
      <c r="AI42" s="46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ht="14.4" x14ac:dyDescent="0.25">
      <c r="A43" s="2"/>
      <c r="B43" s="113"/>
      <c r="C43" s="493"/>
      <c r="D43" s="482" t="s">
        <v>139</v>
      </c>
      <c r="E43" s="485"/>
      <c r="F43" s="424" t="s">
        <v>245</v>
      </c>
      <c r="G43" s="383">
        <v>1.1000000000000001</v>
      </c>
      <c r="H43" s="281" t="s">
        <v>286</v>
      </c>
      <c r="I43" s="481" t="e">
        <f>0.112*G43*#REF!</f>
        <v>#REF!</v>
      </c>
      <c r="J43" s="481"/>
      <c r="K43" s="481"/>
      <c r="L43" s="481"/>
      <c r="M43" s="481"/>
      <c r="N43" s="481"/>
      <c r="O43" s="481"/>
      <c r="P43" s="481"/>
      <c r="Q43" s="481"/>
      <c r="R43" s="481"/>
      <c r="S43" s="481"/>
      <c r="T43" s="481"/>
      <c r="U43" s="481"/>
      <c r="V43" s="481"/>
      <c r="W43" s="481"/>
      <c r="X43" s="481"/>
      <c r="Y43" s="2"/>
      <c r="Z43" s="369" t="s">
        <v>287</v>
      </c>
      <c r="AA43" s="315">
        <v>8829.9500000000007</v>
      </c>
      <c r="AB43" s="2"/>
      <c r="AC43" s="2"/>
      <c r="AD43" s="2"/>
      <c r="AE43" s="65"/>
      <c r="AF43" s="278"/>
      <c r="AG43" s="278"/>
      <c r="AH43" s="279"/>
      <c r="AI43" s="46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ht="14.4" x14ac:dyDescent="0.25">
      <c r="A44" s="2"/>
      <c r="B44" s="113"/>
      <c r="C44" s="493"/>
      <c r="D44" s="483"/>
      <c r="E44" s="486"/>
      <c r="F44" s="424" t="s">
        <v>248</v>
      </c>
      <c r="G44" s="383">
        <v>1.1000000000000001</v>
      </c>
      <c r="H44" s="281" t="s">
        <v>286</v>
      </c>
      <c r="I44" s="481" t="e">
        <f>0.112*G44*#REF!</f>
        <v>#REF!</v>
      </c>
      <c r="J44" s="481"/>
      <c r="K44" s="481"/>
      <c r="L44" s="481"/>
      <c r="M44" s="481"/>
      <c r="N44" s="481"/>
      <c r="O44" s="481"/>
      <c r="P44" s="481"/>
      <c r="Q44" s="481"/>
      <c r="R44" s="481"/>
      <c r="S44" s="481"/>
      <c r="T44" s="481"/>
      <c r="U44" s="481"/>
      <c r="V44" s="481"/>
      <c r="W44" s="481"/>
      <c r="X44" s="481"/>
      <c r="Y44" s="2"/>
      <c r="Z44" s="369" t="s">
        <v>288</v>
      </c>
      <c r="AA44" s="315">
        <v>9156</v>
      </c>
      <c r="AB44" s="2"/>
      <c r="AC44" s="2"/>
      <c r="AD44" s="2"/>
      <c r="AE44" s="65"/>
      <c r="AF44" s="278"/>
      <c r="AG44" s="278"/>
      <c r="AH44" s="279"/>
      <c r="AI44" s="46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ht="14.4" x14ac:dyDescent="0.25">
      <c r="A45" s="2"/>
      <c r="B45" s="113"/>
      <c r="C45" s="493"/>
      <c r="D45" s="483"/>
      <c r="E45" s="486"/>
      <c r="F45" s="424" t="s">
        <v>250</v>
      </c>
      <c r="G45" s="383">
        <v>1.1000000000000001</v>
      </c>
      <c r="H45" s="281" t="s">
        <v>286</v>
      </c>
      <c r="I45" s="481" t="e">
        <f>0.112*G45*#REF!</f>
        <v>#REF!</v>
      </c>
      <c r="J45" s="481"/>
      <c r="K45" s="481"/>
      <c r="L45" s="481"/>
      <c r="M45" s="481"/>
      <c r="N45" s="481"/>
      <c r="O45" s="481"/>
      <c r="P45" s="481"/>
      <c r="Q45" s="481"/>
      <c r="R45" s="481"/>
      <c r="S45" s="481"/>
      <c r="T45" s="481"/>
      <c r="U45" s="481"/>
      <c r="V45" s="481"/>
      <c r="W45" s="481"/>
      <c r="X45" s="481"/>
      <c r="Y45" s="2"/>
      <c r="Z45" s="369" t="s">
        <v>289</v>
      </c>
      <c r="AA45" s="316">
        <f>AA44</f>
        <v>9156</v>
      </c>
      <c r="AB45" s="2"/>
      <c r="AC45" s="2"/>
      <c r="AD45" s="2"/>
      <c r="AE45" s="65"/>
      <c r="AF45" s="278"/>
      <c r="AG45" s="278"/>
      <c r="AH45" s="279"/>
      <c r="AI45" s="46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row>
    <row r="46" spans="1:62" ht="25.5" customHeight="1" x14ac:dyDescent="0.25">
      <c r="A46" s="2"/>
      <c r="B46" s="113"/>
      <c r="C46" s="493"/>
      <c r="D46" s="483"/>
      <c r="E46" s="486"/>
      <c r="F46" s="424" t="s">
        <v>252</v>
      </c>
      <c r="G46" s="383">
        <v>1</v>
      </c>
      <c r="H46" s="383" t="s">
        <v>290</v>
      </c>
      <c r="I46" s="481" t="e">
        <f>0.112*G46*#REF!</f>
        <v>#REF!</v>
      </c>
      <c r="J46" s="481"/>
      <c r="K46" s="481"/>
      <c r="L46" s="481"/>
      <c r="M46" s="481"/>
      <c r="N46" s="481"/>
      <c r="O46" s="481"/>
      <c r="P46" s="481"/>
      <c r="Q46" s="481"/>
      <c r="R46" s="481"/>
      <c r="S46" s="481"/>
      <c r="T46" s="481"/>
      <c r="U46" s="481"/>
      <c r="V46" s="481"/>
      <c r="W46" s="481"/>
      <c r="X46" s="481"/>
      <c r="Y46" s="2"/>
      <c r="Z46" s="369" t="s">
        <v>291</v>
      </c>
      <c r="AA46" s="65">
        <f>AA44+(2*AA43)</f>
        <v>26815.9</v>
      </c>
      <c r="AB46" s="2"/>
      <c r="AC46" s="2"/>
      <c r="AD46" s="2"/>
      <c r="AE46" s="65"/>
      <c r="AF46" s="278"/>
      <c r="AG46" s="278"/>
      <c r="AH46" s="279"/>
      <c r="AI46" s="4"/>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ht="25.5" customHeight="1" x14ac:dyDescent="0.25">
      <c r="A47" s="2"/>
      <c r="B47" s="113"/>
      <c r="C47" s="493"/>
      <c r="D47" s="484"/>
      <c r="E47" s="487"/>
      <c r="F47" s="424" t="s">
        <v>255</v>
      </c>
      <c r="G47" s="383">
        <v>0.6</v>
      </c>
      <c r="H47" s="383" t="s">
        <v>292</v>
      </c>
      <c r="I47" s="481" t="e">
        <f>0.112*G47*#REF!</f>
        <v>#REF!</v>
      </c>
      <c r="J47" s="481"/>
      <c r="K47" s="481"/>
      <c r="L47" s="481"/>
      <c r="M47" s="481"/>
      <c r="N47" s="481"/>
      <c r="O47" s="481"/>
      <c r="P47" s="481"/>
      <c r="Q47" s="481"/>
      <c r="R47" s="481"/>
      <c r="S47" s="481"/>
      <c r="T47" s="481"/>
      <c r="U47" s="481"/>
      <c r="V47" s="481"/>
      <c r="W47" s="481"/>
      <c r="X47" s="481"/>
      <c r="Y47" s="2"/>
      <c r="Z47" s="4"/>
      <c r="AA47" s="4"/>
      <c r="AB47" s="2"/>
      <c r="AC47" s="2"/>
      <c r="AD47" s="2"/>
      <c r="AE47" s="4"/>
      <c r="AF47" s="4"/>
      <c r="AG47" s="4"/>
      <c r="AH47" s="4"/>
      <c r="AI47" s="4"/>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ht="14.4" x14ac:dyDescent="0.25">
      <c r="A48" s="2"/>
      <c r="B48" s="113"/>
      <c r="C48" s="493"/>
      <c r="D48" s="488" t="s">
        <v>166</v>
      </c>
      <c r="E48" s="485"/>
      <c r="F48" s="424" t="s">
        <v>245</v>
      </c>
      <c r="G48" s="383">
        <v>1.1000000000000001</v>
      </c>
      <c r="H48" s="281" t="s">
        <v>286</v>
      </c>
      <c r="I48" s="481" t="e">
        <f>0.112*G48*#REF!</f>
        <v>#REF!</v>
      </c>
      <c r="J48" s="481"/>
      <c r="K48" s="481"/>
      <c r="L48" s="481"/>
      <c r="M48" s="481"/>
      <c r="N48" s="481"/>
      <c r="O48" s="481"/>
      <c r="P48" s="481"/>
      <c r="Q48" s="481"/>
      <c r="R48" s="481"/>
      <c r="S48" s="481"/>
      <c r="T48" s="481"/>
      <c r="U48" s="481"/>
      <c r="V48" s="481"/>
      <c r="W48" s="481"/>
      <c r="X48" s="481"/>
      <c r="Y48" s="2"/>
      <c r="Z48" s="369" t="s">
        <v>287</v>
      </c>
      <c r="AA48" s="65">
        <v>72139.16</v>
      </c>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ht="14.4" x14ac:dyDescent="0.25">
      <c r="A49" s="2"/>
      <c r="B49" s="113"/>
      <c r="C49" s="493"/>
      <c r="D49" s="488"/>
      <c r="E49" s="486"/>
      <c r="F49" s="424" t="s">
        <v>248</v>
      </c>
      <c r="G49" s="383">
        <v>1.1000000000000001</v>
      </c>
      <c r="H49" s="281" t="s">
        <v>286</v>
      </c>
      <c r="I49" s="481" t="e">
        <f>0.112*G49*#REF!</f>
        <v>#REF!</v>
      </c>
      <c r="J49" s="481"/>
      <c r="K49" s="481"/>
      <c r="L49" s="481"/>
      <c r="M49" s="481"/>
      <c r="N49" s="481"/>
      <c r="O49" s="481"/>
      <c r="P49" s="481"/>
      <c r="Q49" s="481"/>
      <c r="R49" s="481"/>
      <c r="S49" s="481"/>
      <c r="T49" s="481"/>
      <c r="U49" s="481"/>
      <c r="V49" s="481"/>
      <c r="W49" s="481"/>
      <c r="X49" s="481"/>
      <c r="Y49" s="2"/>
      <c r="Z49" s="369" t="s">
        <v>288</v>
      </c>
      <c r="AA49" s="65">
        <v>15036</v>
      </c>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ht="14.4" x14ac:dyDescent="0.25">
      <c r="A50" s="2"/>
      <c r="B50" s="113"/>
      <c r="C50" s="493"/>
      <c r="D50" s="488"/>
      <c r="E50" s="486"/>
      <c r="F50" s="424" t="s">
        <v>250</v>
      </c>
      <c r="G50" s="383">
        <v>1.1000000000000001</v>
      </c>
      <c r="H50" s="281" t="s">
        <v>286</v>
      </c>
      <c r="I50" s="481" t="e">
        <f>0.112*G50*#REF!</f>
        <v>#REF!</v>
      </c>
      <c r="J50" s="481"/>
      <c r="K50" s="481"/>
      <c r="L50" s="481"/>
      <c r="M50" s="481"/>
      <c r="N50" s="481"/>
      <c r="O50" s="481"/>
      <c r="P50" s="481"/>
      <c r="Q50" s="481"/>
      <c r="R50" s="481"/>
      <c r="S50" s="481"/>
      <c r="T50" s="481"/>
      <c r="U50" s="481"/>
      <c r="V50" s="481"/>
      <c r="W50" s="481"/>
      <c r="X50" s="481"/>
      <c r="Y50" s="2"/>
      <c r="Z50" s="369" t="s">
        <v>289</v>
      </c>
      <c r="AA50" s="316">
        <f>AA49</f>
        <v>15036</v>
      </c>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ht="26.4" x14ac:dyDescent="0.25">
      <c r="A51" s="2"/>
      <c r="B51" s="113"/>
      <c r="C51" s="493"/>
      <c r="D51" s="488"/>
      <c r="E51" s="486"/>
      <c r="F51" s="424" t="s">
        <v>252</v>
      </c>
      <c r="G51" s="383">
        <v>1</v>
      </c>
      <c r="H51" s="383" t="s">
        <v>290</v>
      </c>
      <c r="I51" s="481" t="e">
        <f>0.112*G51*#REF!</f>
        <v>#REF!</v>
      </c>
      <c r="J51" s="481"/>
      <c r="K51" s="481"/>
      <c r="L51" s="481"/>
      <c r="M51" s="481"/>
      <c r="N51" s="481"/>
      <c r="O51" s="481"/>
      <c r="P51" s="481"/>
      <c r="Q51" s="481"/>
      <c r="R51" s="481"/>
      <c r="S51" s="481"/>
      <c r="T51" s="481"/>
      <c r="U51" s="481"/>
      <c r="V51" s="481"/>
      <c r="W51" s="481"/>
      <c r="X51" s="481"/>
      <c r="Y51" s="2"/>
      <c r="Z51" s="369" t="s">
        <v>291</v>
      </c>
      <c r="AA51" s="65">
        <f>AA49+(2*AA48)</f>
        <v>159314.32</v>
      </c>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ht="26.4" x14ac:dyDescent="0.25">
      <c r="A52" s="2"/>
      <c r="B52" s="113"/>
      <c r="C52" s="493"/>
      <c r="D52" s="488"/>
      <c r="E52" s="487"/>
      <c r="F52" s="424" t="s">
        <v>255</v>
      </c>
      <c r="G52" s="383">
        <v>0.6</v>
      </c>
      <c r="H52" s="383" t="s">
        <v>292</v>
      </c>
      <c r="I52" s="481" t="e">
        <f>0.112*G52*#REF!</f>
        <v>#REF!</v>
      </c>
      <c r="J52" s="481"/>
      <c r="K52" s="481"/>
      <c r="L52" s="481"/>
      <c r="M52" s="481"/>
      <c r="N52" s="481"/>
      <c r="O52" s="481"/>
      <c r="P52" s="481"/>
      <c r="Q52" s="481"/>
      <c r="R52" s="481"/>
      <c r="S52" s="481"/>
      <c r="T52" s="481"/>
      <c r="U52" s="481"/>
      <c r="V52" s="481"/>
      <c r="W52" s="481"/>
      <c r="X52" s="481"/>
      <c r="Y52" s="2"/>
      <c r="Z52" s="4"/>
      <c r="AA52" s="4"/>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ht="14.4" x14ac:dyDescent="0.25">
      <c r="A53" s="2"/>
      <c r="B53" s="113"/>
      <c r="C53" s="493"/>
      <c r="D53" s="488" t="s">
        <v>183</v>
      </c>
      <c r="E53" s="485"/>
      <c r="F53" s="424" t="s">
        <v>245</v>
      </c>
      <c r="G53" s="383">
        <v>1.1000000000000001</v>
      </c>
      <c r="H53" s="281" t="s">
        <v>286</v>
      </c>
      <c r="I53" s="481" t="e">
        <f>0.112*G53*#REF!</f>
        <v>#REF!</v>
      </c>
      <c r="J53" s="481"/>
      <c r="K53" s="481"/>
      <c r="L53" s="481"/>
      <c r="M53" s="481"/>
      <c r="N53" s="481"/>
      <c r="O53" s="481"/>
      <c r="P53" s="481"/>
      <c r="Q53" s="481"/>
      <c r="R53" s="481"/>
      <c r="S53" s="481"/>
      <c r="T53" s="481"/>
      <c r="U53" s="481"/>
      <c r="V53" s="481"/>
      <c r="W53" s="481"/>
      <c r="X53" s="481"/>
      <c r="Y53" s="2"/>
      <c r="Z53" s="369" t="s">
        <v>287</v>
      </c>
      <c r="AA53" s="315">
        <v>8640.86</v>
      </c>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ht="14.4" x14ac:dyDescent="0.25">
      <c r="A54" s="2"/>
      <c r="B54" s="113"/>
      <c r="C54" s="493"/>
      <c r="D54" s="488"/>
      <c r="E54" s="486"/>
      <c r="F54" s="424" t="s">
        <v>248</v>
      </c>
      <c r="G54" s="383">
        <v>1.1000000000000001</v>
      </c>
      <c r="H54" s="281" t="s">
        <v>286</v>
      </c>
      <c r="I54" s="481" t="e">
        <f>0.112*G54*#REF!</f>
        <v>#REF!</v>
      </c>
      <c r="J54" s="481"/>
      <c r="K54" s="481"/>
      <c r="L54" s="481"/>
      <c r="M54" s="481"/>
      <c r="N54" s="481"/>
      <c r="O54" s="481"/>
      <c r="P54" s="481"/>
      <c r="Q54" s="481"/>
      <c r="R54" s="481"/>
      <c r="S54" s="481"/>
      <c r="T54" s="481"/>
      <c r="U54" s="481"/>
      <c r="V54" s="481"/>
      <c r="W54" s="481"/>
      <c r="X54" s="481"/>
      <c r="Y54" s="2"/>
      <c r="Z54" s="369" t="s">
        <v>288</v>
      </c>
      <c r="AA54" s="315">
        <v>6636</v>
      </c>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row r="55" spans="1:62" ht="14.4" x14ac:dyDescent="0.25">
      <c r="A55" s="2"/>
      <c r="B55" s="113"/>
      <c r="C55" s="493"/>
      <c r="D55" s="488"/>
      <c r="E55" s="486"/>
      <c r="F55" s="424" t="s">
        <v>250</v>
      </c>
      <c r="G55" s="383">
        <v>1.1000000000000001</v>
      </c>
      <c r="H55" s="281" t="s">
        <v>286</v>
      </c>
      <c r="I55" s="481" t="e">
        <f>0.112*G55*#REF!</f>
        <v>#REF!</v>
      </c>
      <c r="J55" s="481"/>
      <c r="K55" s="481"/>
      <c r="L55" s="481"/>
      <c r="M55" s="481"/>
      <c r="N55" s="481"/>
      <c r="O55" s="481"/>
      <c r="P55" s="481"/>
      <c r="Q55" s="481"/>
      <c r="R55" s="481"/>
      <c r="S55" s="481"/>
      <c r="T55" s="481"/>
      <c r="U55" s="481"/>
      <c r="V55" s="481"/>
      <c r="W55" s="481"/>
      <c r="X55" s="481"/>
      <c r="Y55" s="2"/>
      <c r="Z55" s="369" t="s">
        <v>289</v>
      </c>
      <c r="AA55" s="316">
        <f>AA54</f>
        <v>6636</v>
      </c>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row>
    <row r="56" spans="1:62" ht="25.5" customHeight="1" x14ac:dyDescent="0.25">
      <c r="A56" s="2"/>
      <c r="B56" s="113"/>
      <c r="C56" s="493"/>
      <c r="D56" s="488"/>
      <c r="E56" s="486"/>
      <c r="F56" s="424" t="s">
        <v>252</v>
      </c>
      <c r="G56" s="383">
        <v>1</v>
      </c>
      <c r="H56" s="383" t="s">
        <v>290</v>
      </c>
      <c r="I56" s="481" t="e">
        <f>0.112*G56*#REF!</f>
        <v>#REF!</v>
      </c>
      <c r="J56" s="481"/>
      <c r="K56" s="481"/>
      <c r="L56" s="481"/>
      <c r="M56" s="481"/>
      <c r="N56" s="481"/>
      <c r="O56" s="481"/>
      <c r="P56" s="481"/>
      <c r="Q56" s="481"/>
      <c r="R56" s="481"/>
      <c r="S56" s="481"/>
      <c r="T56" s="481"/>
      <c r="U56" s="481"/>
      <c r="V56" s="481"/>
      <c r="W56" s="481"/>
      <c r="X56" s="481"/>
      <c r="Y56" s="2"/>
      <c r="Z56" s="369" t="s">
        <v>291</v>
      </c>
      <c r="AA56" s="65">
        <f>AA54+(2*AA53)</f>
        <v>23917.72</v>
      </c>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row>
    <row r="57" spans="1:62" ht="26.4" x14ac:dyDescent="0.25">
      <c r="A57" s="2"/>
      <c r="B57" s="113"/>
      <c r="C57" s="493"/>
      <c r="D57" s="488"/>
      <c r="E57" s="487"/>
      <c r="F57" s="424" t="s">
        <v>255</v>
      </c>
      <c r="G57" s="383">
        <v>0.6</v>
      </c>
      <c r="H57" s="383" t="s">
        <v>292</v>
      </c>
      <c r="I57" s="481" t="e">
        <f>0.112*G57*#REF!</f>
        <v>#REF!</v>
      </c>
      <c r="J57" s="481"/>
      <c r="K57" s="481"/>
      <c r="L57" s="481"/>
      <c r="M57" s="481"/>
      <c r="N57" s="481"/>
      <c r="O57" s="481"/>
      <c r="P57" s="481"/>
      <c r="Q57" s="481"/>
      <c r="R57" s="481"/>
      <c r="S57" s="481"/>
      <c r="T57" s="481"/>
      <c r="U57" s="481"/>
      <c r="V57" s="481"/>
      <c r="W57" s="481"/>
      <c r="X57" s="481"/>
      <c r="Y57" s="2"/>
      <c r="Z57" s="4"/>
      <c r="AA57" s="4"/>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row>
    <row r="58" spans="1:62" ht="14.4" x14ac:dyDescent="0.25">
      <c r="A58" s="2"/>
      <c r="B58" s="113"/>
      <c r="C58" s="493"/>
      <c r="D58" s="482" t="s">
        <v>197</v>
      </c>
      <c r="E58" s="485"/>
      <c r="F58" s="424" t="s">
        <v>245</v>
      </c>
      <c r="G58" s="383">
        <v>1.1000000000000001</v>
      </c>
      <c r="H58" s="281" t="s">
        <v>286</v>
      </c>
      <c r="I58" s="481" t="e">
        <f>0.112*G58*#REF!</f>
        <v>#REF!</v>
      </c>
      <c r="J58" s="481"/>
      <c r="K58" s="481"/>
      <c r="L58" s="481"/>
      <c r="M58" s="481"/>
      <c r="N58" s="481"/>
      <c r="O58" s="481"/>
      <c r="P58" s="481"/>
      <c r="Q58" s="481"/>
      <c r="R58" s="481"/>
      <c r="S58" s="481"/>
      <c r="T58" s="481"/>
      <c r="U58" s="481"/>
      <c r="V58" s="481"/>
      <c r="W58" s="481"/>
      <c r="X58" s="481"/>
      <c r="Y58" s="2"/>
      <c r="Z58" s="369" t="s">
        <v>287</v>
      </c>
      <c r="AA58" s="317">
        <v>29522.880000000001</v>
      </c>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row>
    <row r="59" spans="1:62" ht="14.4" x14ac:dyDescent="0.25">
      <c r="A59" s="2"/>
      <c r="B59" s="113"/>
      <c r="C59" s="493"/>
      <c r="D59" s="483"/>
      <c r="E59" s="486"/>
      <c r="F59" s="424" t="s">
        <v>248</v>
      </c>
      <c r="G59" s="383">
        <v>1.1000000000000001</v>
      </c>
      <c r="H59" s="281" t="s">
        <v>286</v>
      </c>
      <c r="I59" s="481" t="e">
        <f>0.112*G59*#REF!</f>
        <v>#REF!</v>
      </c>
      <c r="J59" s="481"/>
      <c r="K59" s="481"/>
      <c r="L59" s="481"/>
      <c r="M59" s="481"/>
      <c r="N59" s="481"/>
      <c r="O59" s="481"/>
      <c r="P59" s="481"/>
      <c r="Q59" s="481"/>
      <c r="R59" s="481"/>
      <c r="S59" s="481"/>
      <c r="T59" s="481"/>
      <c r="U59" s="481"/>
      <c r="V59" s="481"/>
      <c r="W59" s="481"/>
      <c r="X59" s="481"/>
      <c r="Y59" s="2"/>
      <c r="Z59" s="369" t="s">
        <v>288</v>
      </c>
      <c r="AA59" s="317">
        <v>27200</v>
      </c>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row>
    <row r="60" spans="1:62" ht="14.4" x14ac:dyDescent="0.25">
      <c r="A60" s="2"/>
      <c r="B60" s="113"/>
      <c r="C60" s="493"/>
      <c r="D60" s="483"/>
      <c r="E60" s="486"/>
      <c r="F60" s="424" t="s">
        <v>250</v>
      </c>
      <c r="G60" s="383">
        <v>1.1000000000000001</v>
      </c>
      <c r="H60" s="281" t="s">
        <v>286</v>
      </c>
      <c r="I60" s="481" t="e">
        <f>0.112*G60*#REF!</f>
        <v>#REF!</v>
      </c>
      <c r="J60" s="481"/>
      <c r="K60" s="481"/>
      <c r="L60" s="481"/>
      <c r="M60" s="481"/>
      <c r="N60" s="481"/>
      <c r="O60" s="481"/>
      <c r="P60" s="481"/>
      <c r="Q60" s="481"/>
      <c r="R60" s="481"/>
      <c r="S60" s="481"/>
      <c r="T60" s="481"/>
      <c r="U60" s="481"/>
      <c r="V60" s="481"/>
      <c r="W60" s="481"/>
      <c r="X60" s="481"/>
      <c r="Y60" s="2"/>
      <c r="Z60" s="369" t="s">
        <v>289</v>
      </c>
      <c r="AA60" s="316">
        <f>AA59</f>
        <v>27200</v>
      </c>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row>
    <row r="61" spans="1:62" ht="25.5" customHeight="1" x14ac:dyDescent="0.25">
      <c r="A61" s="2"/>
      <c r="B61" s="113"/>
      <c r="C61" s="493"/>
      <c r="D61" s="483"/>
      <c r="E61" s="486"/>
      <c r="F61" s="424" t="s">
        <v>252</v>
      </c>
      <c r="G61" s="383">
        <v>1</v>
      </c>
      <c r="H61" s="383" t="s">
        <v>290</v>
      </c>
      <c r="I61" s="481" t="e">
        <f>0.112*G61*#REF!</f>
        <v>#REF!</v>
      </c>
      <c r="J61" s="481"/>
      <c r="K61" s="481"/>
      <c r="L61" s="481"/>
      <c r="M61" s="481"/>
      <c r="N61" s="481"/>
      <c r="O61" s="481"/>
      <c r="P61" s="481"/>
      <c r="Q61" s="481"/>
      <c r="R61" s="481"/>
      <c r="S61" s="481"/>
      <c r="T61" s="481"/>
      <c r="U61" s="481"/>
      <c r="V61" s="481"/>
      <c r="W61" s="481"/>
      <c r="X61" s="481"/>
      <c r="Y61" s="2"/>
      <c r="Z61" s="369" t="s">
        <v>291</v>
      </c>
      <c r="AA61" s="65">
        <f>AA59+(2*AA58)</f>
        <v>86245.760000000009</v>
      </c>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row>
    <row r="62" spans="1:62" ht="25.5" customHeight="1" x14ac:dyDescent="0.25">
      <c r="A62" s="2"/>
      <c r="B62" s="113"/>
      <c r="C62" s="493"/>
      <c r="D62" s="484"/>
      <c r="E62" s="487"/>
      <c r="F62" s="424" t="s">
        <v>255</v>
      </c>
      <c r="G62" s="383">
        <v>0.6</v>
      </c>
      <c r="H62" s="383" t="s">
        <v>292</v>
      </c>
      <c r="I62" s="481" t="e">
        <f>0.112*G62*#REF!</f>
        <v>#REF!</v>
      </c>
      <c r="J62" s="481"/>
      <c r="K62" s="481"/>
      <c r="L62" s="481"/>
      <c r="M62" s="481"/>
      <c r="N62" s="481"/>
      <c r="O62" s="481"/>
      <c r="P62" s="481"/>
      <c r="Q62" s="481"/>
      <c r="R62" s="481"/>
      <c r="S62" s="481"/>
      <c r="T62" s="481"/>
      <c r="U62" s="481"/>
      <c r="V62" s="481"/>
      <c r="W62" s="481"/>
      <c r="X62" s="481"/>
      <c r="Y62" s="2"/>
      <c r="Z62" s="4"/>
      <c r="AA62" s="4"/>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row>
    <row r="63" spans="1:62" ht="14.4" x14ac:dyDescent="0.3">
      <c r="A63" s="2"/>
      <c r="B63" s="113"/>
      <c r="C63" s="2"/>
      <c r="D63" s="2"/>
      <c r="E63" s="4" t="s">
        <v>293</v>
      </c>
      <c r="F63" s="2"/>
      <c r="G63" s="60"/>
      <c r="H63" s="2"/>
      <c r="I63" s="2"/>
      <c r="J63" s="2"/>
      <c r="K63" s="2"/>
      <c r="L63" s="2"/>
      <c r="M63" s="2"/>
      <c r="N63" s="2"/>
      <c r="O63" s="2"/>
      <c r="P63" s="2"/>
      <c r="Q63" s="4"/>
      <c r="R63" s="193"/>
      <c r="S63" s="193"/>
      <c r="T63" s="193"/>
      <c r="U63" s="193"/>
      <c r="V63" s="194"/>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row>
    <row r="64" spans="1:62" ht="14.4" x14ac:dyDescent="0.3">
      <c r="A64" s="2"/>
      <c r="B64" s="113"/>
      <c r="C64" s="2"/>
      <c r="D64" s="2"/>
      <c r="E64" s="4" t="s">
        <v>294</v>
      </c>
      <c r="F64" s="2"/>
      <c r="G64" s="1" t="s">
        <v>295</v>
      </c>
      <c r="H64" s="2"/>
      <c r="I64" s="2"/>
      <c r="J64" s="2"/>
      <c r="K64" s="2"/>
      <c r="L64" s="2"/>
      <c r="M64" s="2"/>
      <c r="N64" s="2"/>
      <c r="O64" s="2"/>
      <c r="P64" s="2"/>
      <c r="Q64" s="10"/>
      <c r="R64" s="193"/>
      <c r="S64" s="193"/>
      <c r="T64" s="193"/>
      <c r="U64" s="193"/>
      <c r="V64" s="194"/>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row>
    <row r="65" spans="1:62" ht="14.4" x14ac:dyDescent="0.3">
      <c r="A65" s="2"/>
      <c r="B65" s="113"/>
      <c r="C65" s="2"/>
      <c r="D65" s="2"/>
      <c r="E65" s="2"/>
      <c r="F65" s="2"/>
      <c r="G65" s="60"/>
      <c r="H65" s="2"/>
      <c r="I65" s="2"/>
      <c r="J65" s="2"/>
      <c r="K65" s="2"/>
      <c r="L65" s="2"/>
      <c r="M65" s="2"/>
      <c r="N65" s="2"/>
      <c r="O65" s="2"/>
      <c r="P65" s="2"/>
      <c r="Q65" s="10"/>
      <c r="R65" s="193"/>
      <c r="S65" s="193"/>
      <c r="T65" s="193"/>
      <c r="U65" s="193"/>
      <c r="V65" s="194"/>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row>
    <row r="66" spans="1:62" ht="14.4" x14ac:dyDescent="0.3">
      <c r="A66" s="2"/>
      <c r="B66" s="113"/>
      <c r="C66" s="2"/>
      <c r="D66" s="2"/>
      <c r="E66" s="2"/>
      <c r="F66" s="2"/>
      <c r="G66" s="60"/>
      <c r="H66" s="2"/>
      <c r="I66" s="2"/>
      <c r="J66" s="2"/>
      <c r="K66" s="2"/>
      <c r="L66" s="2"/>
      <c r="M66" s="2"/>
      <c r="N66" s="2"/>
      <c r="O66" s="2"/>
      <c r="P66" s="2"/>
      <c r="Q66" s="4"/>
      <c r="R66" s="193"/>
      <c r="S66" s="193"/>
      <c r="T66" s="193"/>
      <c r="U66" s="193"/>
      <c r="V66" s="194"/>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row>
    <row r="67" spans="1:62" ht="14.4" x14ac:dyDescent="0.3">
      <c r="A67" s="2"/>
      <c r="B67" s="113"/>
      <c r="C67" s="2"/>
      <c r="D67" s="2"/>
      <c r="E67" s="2"/>
      <c r="F67" s="2"/>
      <c r="G67" s="60"/>
      <c r="H67" s="2"/>
      <c r="I67" s="2"/>
      <c r="J67" s="2"/>
      <c r="K67" s="2"/>
      <c r="L67" s="2"/>
      <c r="M67" s="2"/>
      <c r="N67" s="2"/>
      <c r="O67" s="2"/>
      <c r="P67" s="2"/>
      <c r="Q67" s="65"/>
      <c r="R67" s="398"/>
      <c r="S67" s="398"/>
      <c r="T67" s="398"/>
      <c r="U67" s="398"/>
      <c r="V67" s="399"/>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ht="14.4" x14ac:dyDescent="0.3">
      <c r="A68" s="2"/>
      <c r="B68" s="113"/>
      <c r="C68" s="2"/>
      <c r="D68" s="2"/>
      <c r="E68" s="2"/>
      <c r="F68" s="2"/>
      <c r="G68" s="60"/>
      <c r="H68" s="2"/>
      <c r="I68" s="2"/>
      <c r="J68" s="2"/>
      <c r="K68" s="2"/>
      <c r="L68" s="2"/>
      <c r="M68" s="2"/>
      <c r="N68" s="2"/>
      <c r="O68" s="2"/>
      <c r="P68" s="2"/>
      <c r="Q68" s="65"/>
      <c r="R68" s="398"/>
      <c r="S68" s="398"/>
      <c r="T68" s="398"/>
      <c r="U68" s="398"/>
      <c r="V68" s="399"/>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row r="69" spans="1:62" x14ac:dyDescent="0.25">
      <c r="A69" s="2"/>
      <c r="B69" s="113"/>
      <c r="C69" s="2"/>
      <c r="D69" s="2"/>
      <c r="E69" s="2"/>
      <c r="F69" s="2"/>
      <c r="G69" s="60"/>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80" spans="1:62" x14ac:dyDescent="0.25">
      <c r="A80" s="2"/>
      <c r="B80" s="113"/>
      <c r="C80" s="2"/>
      <c r="D80" s="2"/>
      <c r="E80" s="2"/>
      <c r="F80" s="2"/>
      <c r="G80" s="60"/>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row>
    <row r="81" spans="1:62" x14ac:dyDescent="0.25">
      <c r="A81" s="2"/>
      <c r="B81" s="113"/>
      <c r="C81" s="2"/>
      <c r="D81" s="2"/>
      <c r="E81" s="2"/>
      <c r="F81" s="2"/>
      <c r="G81" s="60"/>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row>
    <row r="82" spans="1:62" x14ac:dyDescent="0.25">
      <c r="A82" s="2"/>
      <c r="B82" s="113"/>
      <c r="C82" s="2"/>
      <c r="D82" s="2"/>
      <c r="E82" s="2"/>
      <c r="F82" s="2"/>
      <c r="G82" s="60"/>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row>
    <row r="83" spans="1:62" x14ac:dyDescent="0.25">
      <c r="A83" s="2"/>
      <c r="B83" s="113"/>
      <c r="C83" s="2"/>
      <c r="D83" s="2"/>
      <c r="E83" s="2"/>
      <c r="F83" s="2"/>
      <c r="G83" s="60"/>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row>
    <row r="84" spans="1:62" x14ac:dyDescent="0.25">
      <c r="A84" s="2"/>
      <c r="B84" s="113"/>
      <c r="C84" s="2"/>
      <c r="D84" s="2"/>
      <c r="E84" s="2"/>
      <c r="F84" s="2"/>
      <c r="G84" s="60"/>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row>
    <row r="88" spans="1:62" x14ac:dyDescent="0.25">
      <c r="A88" s="2"/>
      <c r="B88" s="113"/>
      <c r="C88" s="2"/>
      <c r="D88" s="2"/>
      <c r="E88" s="2"/>
      <c r="F88" s="2"/>
      <c r="G88" s="60"/>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row>
    <row r="89" spans="1:62" x14ac:dyDescent="0.25">
      <c r="A89" s="2"/>
      <c r="B89" s="113"/>
      <c r="C89" s="2"/>
      <c r="D89" s="2"/>
      <c r="E89" s="2"/>
      <c r="F89" s="2"/>
      <c r="G89" s="60"/>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row>
    <row r="91" spans="1:62" x14ac:dyDescent="0.25">
      <c r="A91" s="2"/>
      <c r="B91" s="113"/>
      <c r="C91" s="2"/>
      <c r="D91" s="2"/>
      <c r="E91" s="2"/>
      <c r="F91" s="2"/>
      <c r="G91" s="60"/>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row>
    <row r="92" spans="1:62" x14ac:dyDescent="0.25">
      <c r="A92" s="2"/>
      <c r="B92" s="113"/>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row>
    <row r="93" spans="1:62" x14ac:dyDescent="0.25">
      <c r="A93" s="2"/>
      <c r="B93" s="113"/>
      <c r="C93" s="2"/>
      <c r="D93" s="2"/>
      <c r="E93" s="31"/>
      <c r="F93" s="100"/>
      <c r="G93" s="100"/>
      <c r="H93" s="100"/>
      <c r="I93" s="100"/>
      <c r="J93" s="100"/>
      <c r="K93" s="100"/>
      <c r="L93" s="100"/>
      <c r="M93" s="100"/>
      <c r="N93" s="100"/>
      <c r="O93" s="100"/>
      <c r="P93" s="100"/>
      <c r="Q93" s="100"/>
      <c r="R93" s="100"/>
      <c r="S93" s="100"/>
      <c r="T93" s="100"/>
      <c r="U93" s="100"/>
      <c r="V93" s="100"/>
      <c r="W93" s="100"/>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row>
    <row r="94" spans="1:62" ht="14.4" x14ac:dyDescent="0.25">
      <c r="A94" s="2"/>
      <c r="B94" s="113"/>
      <c r="C94" s="2"/>
      <c r="D94" s="2"/>
      <c r="E94" s="6"/>
      <c r="F94" s="8"/>
      <c r="G94" s="458"/>
      <c r="H94" s="459"/>
      <c r="I94" s="459"/>
      <c r="J94" s="459"/>
      <c r="K94" s="459"/>
      <c r="L94" s="459"/>
      <c r="M94" s="459"/>
      <c r="N94" s="459"/>
      <c r="O94" s="459"/>
      <c r="P94" s="459"/>
      <c r="Q94" s="459"/>
      <c r="R94" s="459"/>
      <c r="S94" s="459"/>
      <c r="T94" s="459"/>
      <c r="U94" s="459"/>
      <c r="V94" s="459"/>
      <c r="W94" s="459"/>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row>
    <row r="95" spans="1:62" ht="14.4" x14ac:dyDescent="0.25">
      <c r="A95" s="2"/>
      <c r="B95" s="113"/>
      <c r="C95" s="2"/>
      <c r="D95" s="2"/>
      <c r="E95" s="6"/>
      <c r="F95" s="8"/>
      <c r="G95" s="458"/>
      <c r="H95" s="459"/>
      <c r="I95" s="459"/>
      <c r="J95" s="459"/>
      <c r="K95" s="459"/>
      <c r="L95" s="459"/>
      <c r="M95" s="459"/>
      <c r="N95" s="459"/>
      <c r="O95" s="459"/>
      <c r="P95" s="459"/>
      <c r="Q95" s="459"/>
      <c r="R95" s="459"/>
      <c r="S95" s="459"/>
      <c r="T95" s="459"/>
      <c r="U95" s="459"/>
      <c r="V95" s="459"/>
      <c r="W95" s="459"/>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row>
    <row r="96" spans="1:62" ht="14.4" x14ac:dyDescent="0.25">
      <c r="A96" s="2"/>
      <c r="B96" s="113"/>
      <c r="C96" s="2"/>
      <c r="D96" s="2"/>
      <c r="E96" s="6"/>
      <c r="F96" s="8"/>
      <c r="G96" s="458"/>
      <c r="H96" s="459"/>
      <c r="I96" s="459"/>
      <c r="J96" s="459"/>
      <c r="K96" s="459"/>
      <c r="L96" s="459"/>
      <c r="M96" s="459"/>
      <c r="N96" s="459"/>
      <c r="O96" s="459"/>
      <c r="P96" s="459"/>
      <c r="Q96" s="459"/>
      <c r="R96" s="459"/>
      <c r="S96" s="459"/>
      <c r="T96" s="459"/>
      <c r="U96" s="459"/>
      <c r="V96" s="459"/>
      <c r="W96" s="459"/>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row>
    <row r="97" spans="1:62" x14ac:dyDescent="0.25">
      <c r="A97" s="2"/>
      <c r="B97" s="113"/>
      <c r="C97" s="2"/>
      <c r="D97" s="2"/>
      <c r="E97" s="6"/>
      <c r="F97" s="8"/>
      <c r="G97" s="8"/>
      <c r="H97" s="459"/>
      <c r="I97" s="459"/>
      <c r="J97" s="459"/>
      <c r="K97" s="459"/>
      <c r="L97" s="459"/>
      <c r="M97" s="459"/>
      <c r="N97" s="459"/>
      <c r="O97" s="459"/>
      <c r="P97" s="459"/>
      <c r="Q97" s="459"/>
      <c r="R97" s="459"/>
      <c r="S97" s="459"/>
      <c r="T97" s="459"/>
      <c r="U97" s="459"/>
      <c r="V97" s="459"/>
      <c r="W97" s="459"/>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row>
    <row r="98" spans="1:62" x14ac:dyDescent="0.25">
      <c r="A98" s="2"/>
      <c r="B98" s="113"/>
      <c r="C98" s="2"/>
      <c r="D98" s="2"/>
      <c r="E98" s="6"/>
      <c r="F98" s="8"/>
      <c r="G98" s="8"/>
      <c r="H98" s="459"/>
      <c r="I98" s="459"/>
      <c r="J98" s="459"/>
      <c r="K98" s="459"/>
      <c r="L98" s="459"/>
      <c r="M98" s="459"/>
      <c r="N98" s="459"/>
      <c r="O98" s="459"/>
      <c r="P98" s="459"/>
      <c r="Q98" s="459"/>
      <c r="R98" s="459"/>
      <c r="S98" s="459"/>
      <c r="T98" s="459"/>
      <c r="U98" s="459"/>
      <c r="V98" s="459"/>
      <c r="W98" s="459"/>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row>
    <row r="99" spans="1:62" x14ac:dyDescent="0.25">
      <c r="A99" s="2"/>
      <c r="B99" s="113"/>
      <c r="C99" s="2"/>
      <c r="D99" s="2"/>
      <c r="E99" s="6"/>
      <c r="F99" s="8"/>
      <c r="G99" s="8"/>
      <c r="H99" s="459"/>
      <c r="I99" s="459"/>
      <c r="J99" s="459"/>
      <c r="K99" s="459"/>
      <c r="L99" s="459"/>
      <c r="M99" s="459"/>
      <c r="N99" s="459"/>
      <c r="O99" s="459"/>
      <c r="P99" s="459"/>
      <c r="Q99" s="459"/>
      <c r="R99" s="459"/>
      <c r="S99" s="459"/>
      <c r="T99" s="459"/>
      <c r="U99" s="459"/>
      <c r="V99" s="459"/>
      <c r="W99" s="459"/>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row>
    <row r="100" spans="1:62" x14ac:dyDescent="0.25">
      <c r="A100" s="2"/>
      <c r="B100" s="11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row>
    <row r="101" spans="1:62" x14ac:dyDescent="0.25">
      <c r="A101" s="2"/>
      <c r="B101" s="11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row>
    <row r="102" spans="1:62" x14ac:dyDescent="0.25">
      <c r="A102" s="2"/>
      <c r="B102" s="11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row>
    <row r="103" spans="1:62" x14ac:dyDescent="0.25">
      <c r="A103" s="2"/>
      <c r="B103" s="11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row>
    <row r="104" spans="1:62" x14ac:dyDescent="0.25">
      <c r="A104" s="2"/>
      <c r="B104" s="11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row>
    <row r="105" spans="1:62" x14ac:dyDescent="0.25">
      <c r="A105" s="2"/>
      <c r="B105" s="11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row>
    <row r="106" spans="1:62" x14ac:dyDescent="0.25">
      <c r="A106" s="2"/>
      <c r="B106" s="113"/>
      <c r="C106" s="2"/>
      <c r="D106" s="2"/>
      <c r="E106" s="2"/>
      <c r="F106" s="2"/>
      <c r="G106" s="60"/>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row>
    <row r="107" spans="1:62" x14ac:dyDescent="0.25">
      <c r="A107" s="2"/>
      <c r="B107" s="113"/>
      <c r="C107" s="2"/>
      <c r="D107" s="2"/>
      <c r="E107" s="2"/>
      <c r="F107" s="2"/>
      <c r="G107" s="60"/>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row>
  </sheetData>
  <mergeCells count="80">
    <mergeCell ref="D38:D42"/>
    <mergeCell ref="D43:D47"/>
    <mergeCell ref="C38:C62"/>
    <mergeCell ref="I39:X39"/>
    <mergeCell ref="I40:X40"/>
    <mergeCell ref="E58:E62"/>
    <mergeCell ref="I58:X58"/>
    <mergeCell ref="I59:X59"/>
    <mergeCell ref="I57:X57"/>
    <mergeCell ref="I53:X53"/>
    <mergeCell ref="I54:X54"/>
    <mergeCell ref="I55:X55"/>
    <mergeCell ref="I56:X56"/>
    <mergeCell ref="E43:E47"/>
    <mergeCell ref="D48:D52"/>
    <mergeCell ref="I60:X60"/>
    <mergeCell ref="I51:X51"/>
    <mergeCell ref="I52:X52"/>
    <mergeCell ref="E53:E57"/>
    <mergeCell ref="I37:X37"/>
    <mergeCell ref="E38:E42"/>
    <mergeCell ref="I41:X41"/>
    <mergeCell ref="I42:X42"/>
    <mergeCell ref="I61:X61"/>
    <mergeCell ref="I62:X62"/>
    <mergeCell ref="H28:H29"/>
    <mergeCell ref="AI42:AI45"/>
    <mergeCell ref="C36:X36"/>
    <mergeCell ref="D58:D62"/>
    <mergeCell ref="I43:X43"/>
    <mergeCell ref="I44:X44"/>
    <mergeCell ref="I45:X45"/>
    <mergeCell ref="I46:X46"/>
    <mergeCell ref="I47:X47"/>
    <mergeCell ref="I48:X48"/>
    <mergeCell ref="I49:X49"/>
    <mergeCell ref="I50:X50"/>
    <mergeCell ref="E48:E52"/>
    <mergeCell ref="D53:D57"/>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D20:D22"/>
    <mergeCell ref="E3:E7"/>
    <mergeCell ref="C13:C17"/>
    <mergeCell ref="B8:B12"/>
    <mergeCell ref="E8:E12"/>
    <mergeCell ref="E13:E17"/>
    <mergeCell ref="D8:D12"/>
    <mergeCell ref="D15:D17"/>
    <mergeCell ref="D13:D14"/>
    <mergeCell ref="B23:B32"/>
    <mergeCell ref="A23:A32"/>
    <mergeCell ref="AP38:AS38"/>
    <mergeCell ref="AT38:AW38"/>
    <mergeCell ref="AK38:AO38"/>
    <mergeCell ref="I38:X38"/>
    <mergeCell ref="AA32:AE32"/>
    <mergeCell ref="AF32:AJ32"/>
    <mergeCell ref="AK32:AO32"/>
    <mergeCell ref="AP32:AS32"/>
    <mergeCell ref="AT32:AW32"/>
    <mergeCell ref="C23:C32"/>
    <mergeCell ref="E23:E27"/>
    <mergeCell ref="H23:H24"/>
    <mergeCell ref="E28:E32"/>
    <mergeCell ref="D23:D32"/>
  </mergeCells>
  <phoneticPr fontId="4" type="noConversion"/>
  <hyperlinks>
    <hyperlink ref="H38" r:id="rId1" xr:uid="{41AD9FFF-609E-4AE3-98F2-52C38EDBABB6}"/>
    <hyperlink ref="G64"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43" r:id="rId3" xr:uid="{75D8BEEB-ABB9-4437-A3E7-5893A5F9F6F5}"/>
    <hyperlink ref="H48" r:id="rId4" xr:uid="{D9CCD1C9-1829-4304-96E1-7A05ACAC928B}"/>
    <hyperlink ref="H53" r:id="rId5" xr:uid="{61CCF60A-A287-44D0-9FBF-A289C9087C58}"/>
    <hyperlink ref="H58" r:id="rId6" xr:uid="{B364C26E-223E-48C5-8484-24CA894155B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70"/>
  <sheetViews>
    <sheetView zoomScale="85" zoomScaleNormal="85" zoomScaleSheetLayoutView="40" workbookViewId="0">
      <selection sqref="A1:G1"/>
    </sheetView>
  </sheetViews>
  <sheetFormatPr defaultColWidth="8.6640625" defaultRowHeight="13.2" x14ac:dyDescent="0.25"/>
  <cols>
    <col min="1" max="1" width="39" style="4" customWidth="1"/>
    <col min="2" max="2" width="34.6640625" style="4" customWidth="1"/>
    <col min="3" max="3" width="29.109375" style="4" customWidth="1"/>
    <col min="4" max="4" width="29.44140625" style="4" customWidth="1"/>
    <col min="5" max="5" width="37.44140625" style="4" bestFit="1" customWidth="1"/>
    <col min="6" max="6" width="48.33203125" style="4" bestFit="1" customWidth="1"/>
    <col min="7" max="7" width="39" style="4" customWidth="1"/>
    <col min="8" max="8" width="25.109375" style="4" bestFit="1" customWidth="1"/>
    <col min="9" max="11" width="12.6640625" style="4" customWidth="1"/>
    <col min="12" max="19" width="15.33203125" style="4" customWidth="1"/>
    <col min="20" max="20" width="14.6640625" style="4" customWidth="1"/>
    <col min="21" max="21" width="13.5546875" style="4" customWidth="1"/>
    <col min="22" max="22" width="15.6640625" style="4" customWidth="1"/>
    <col min="23" max="29" width="11" style="4" customWidth="1"/>
    <col min="30" max="38" width="6.5546875" style="4" customWidth="1"/>
    <col min="39" max="39" width="8.6640625" style="4" customWidth="1"/>
    <col min="40" max="16384" width="8.6640625" style="4"/>
  </cols>
  <sheetData>
    <row r="1" spans="1:9" ht="27" customHeight="1" x14ac:dyDescent="0.25">
      <c r="A1" s="500" t="str">
        <f>"HVAC system - "&amp;Prototype!A2</f>
        <v>HVAC system - SchoolHigh</v>
      </c>
      <c r="B1" s="501"/>
      <c r="C1" s="501"/>
      <c r="D1" s="501"/>
      <c r="E1" s="501"/>
      <c r="F1" s="501"/>
      <c r="G1" s="502"/>
    </row>
    <row r="2" spans="1:9" ht="19.2" customHeight="1" thickBot="1" x14ac:dyDescent="0.3">
      <c r="A2" s="94" t="s">
        <v>223</v>
      </c>
      <c r="B2" s="57" t="s">
        <v>282</v>
      </c>
      <c r="C2" s="57" t="s">
        <v>296</v>
      </c>
      <c r="D2" s="57" t="s">
        <v>297</v>
      </c>
      <c r="E2" s="57" t="s">
        <v>298</v>
      </c>
      <c r="F2" s="400" t="s">
        <v>299</v>
      </c>
      <c r="G2" s="400" t="s">
        <v>300</v>
      </c>
      <c r="H2" s="65" t="s">
        <v>284</v>
      </c>
    </row>
    <row r="3" spans="1:9" ht="42" customHeight="1" x14ac:dyDescent="0.25">
      <c r="A3" s="514" t="s">
        <v>301</v>
      </c>
      <c r="B3" s="240" t="s">
        <v>302</v>
      </c>
      <c r="C3" s="240" t="s">
        <v>303</v>
      </c>
      <c r="D3" s="240" t="s">
        <v>304</v>
      </c>
      <c r="E3" s="240" t="s">
        <v>305</v>
      </c>
      <c r="F3" s="240" t="s">
        <v>306</v>
      </c>
      <c r="G3" s="318" t="s">
        <v>307</v>
      </c>
      <c r="H3" s="375" t="s">
        <v>308</v>
      </c>
      <c r="I3" s="374"/>
    </row>
    <row r="4" spans="1:9" ht="42" customHeight="1" x14ac:dyDescent="0.25">
      <c r="A4" s="515"/>
      <c r="B4" s="383" t="s">
        <v>309</v>
      </c>
      <c r="C4" s="383" t="s">
        <v>310</v>
      </c>
      <c r="D4" s="383" t="s">
        <v>311</v>
      </c>
      <c r="E4" s="383" t="s">
        <v>312</v>
      </c>
      <c r="F4" s="383" t="s">
        <v>306</v>
      </c>
      <c r="G4" s="241" t="s">
        <v>307</v>
      </c>
      <c r="H4" s="375" t="s">
        <v>313</v>
      </c>
      <c r="I4" s="374"/>
    </row>
    <row r="5" spans="1:9" ht="42" customHeight="1" thickBot="1" x14ac:dyDescent="0.3">
      <c r="A5" s="515"/>
      <c r="B5" s="380" t="s">
        <v>314</v>
      </c>
      <c r="C5" s="380" t="s">
        <v>315</v>
      </c>
      <c r="D5" s="380" t="s">
        <v>316</v>
      </c>
      <c r="E5" s="380" t="s">
        <v>317</v>
      </c>
      <c r="F5" s="380" t="s">
        <v>318</v>
      </c>
      <c r="G5" s="245" t="s">
        <v>307</v>
      </c>
      <c r="H5" s="375" t="s">
        <v>319</v>
      </c>
      <c r="I5" s="374"/>
    </row>
    <row r="6" spans="1:9" ht="47.25" customHeight="1" x14ac:dyDescent="0.25">
      <c r="A6" s="516" t="s">
        <v>320</v>
      </c>
      <c r="B6" s="240" t="s">
        <v>321</v>
      </c>
      <c r="C6" s="240" t="s">
        <v>322</v>
      </c>
      <c r="D6" s="240" t="s">
        <v>322</v>
      </c>
      <c r="E6" s="244" t="s">
        <v>305</v>
      </c>
      <c r="F6" s="240" t="s">
        <v>306</v>
      </c>
      <c r="G6" s="318" t="s">
        <v>323</v>
      </c>
      <c r="H6" s="375" t="s">
        <v>324</v>
      </c>
      <c r="I6" s="375"/>
    </row>
    <row r="7" spans="1:9" ht="47.25" customHeight="1" x14ac:dyDescent="0.25">
      <c r="A7" s="517"/>
      <c r="B7" s="383" t="s">
        <v>309</v>
      </c>
      <c r="C7" s="383" t="s">
        <v>310</v>
      </c>
      <c r="D7" s="383" t="s">
        <v>311</v>
      </c>
      <c r="E7" s="383" t="s">
        <v>312</v>
      </c>
      <c r="F7" s="383" t="s">
        <v>306</v>
      </c>
      <c r="G7" s="241" t="s">
        <v>307</v>
      </c>
      <c r="H7" s="375" t="s">
        <v>313</v>
      </c>
      <c r="I7" s="375"/>
    </row>
    <row r="8" spans="1:9" ht="47.25" customHeight="1" thickBot="1" x14ac:dyDescent="0.3">
      <c r="A8" s="518"/>
      <c r="B8" s="242" t="s">
        <v>314</v>
      </c>
      <c r="C8" s="242" t="s">
        <v>315</v>
      </c>
      <c r="D8" s="242" t="s">
        <v>316</v>
      </c>
      <c r="E8" s="242" t="s">
        <v>317</v>
      </c>
      <c r="F8" s="242" t="s">
        <v>318</v>
      </c>
      <c r="G8" s="243" t="s">
        <v>307</v>
      </c>
      <c r="H8" s="375" t="s">
        <v>319</v>
      </c>
      <c r="I8" s="375"/>
    </row>
    <row r="9" spans="1:9" ht="25.95" customHeight="1" x14ac:dyDescent="0.25">
      <c r="A9" s="8"/>
      <c r="B9" s="8"/>
      <c r="C9" s="388"/>
      <c r="D9" s="388"/>
      <c r="E9" s="388"/>
      <c r="F9" s="375"/>
      <c r="G9" s="375"/>
      <c r="H9" s="375"/>
      <c r="I9" s="375"/>
    </row>
    <row r="10" spans="1:9" ht="15.6" customHeight="1" x14ac:dyDescent="0.25">
      <c r="A10" s="388"/>
      <c r="B10" s="388"/>
      <c r="C10" s="388"/>
      <c r="D10" s="388"/>
      <c r="E10" s="388"/>
    </row>
    <row r="11" spans="1:9" x14ac:dyDescent="0.25">
      <c r="A11" s="374"/>
      <c r="B11" s="388"/>
      <c r="C11" s="388"/>
      <c r="D11" s="388"/>
      <c r="E11" s="388"/>
    </row>
    <row r="12" spans="1:9" x14ac:dyDescent="0.25">
      <c r="A12" s="388"/>
      <c r="B12" s="388"/>
      <c r="C12" s="388"/>
      <c r="D12" s="388"/>
      <c r="E12" s="388"/>
    </row>
    <row r="13" spans="1:9" ht="32.25" customHeight="1" x14ac:dyDescent="0.25">
      <c r="A13" s="503" t="s">
        <v>325</v>
      </c>
      <c r="B13" s="504"/>
      <c r="C13" s="504"/>
      <c r="D13" s="504"/>
      <c r="E13" s="504"/>
      <c r="F13" s="504"/>
      <c r="G13" s="505"/>
      <c r="H13" s="72"/>
    </row>
    <row r="14" spans="1:9" ht="43.95" customHeight="1" x14ac:dyDescent="0.25">
      <c r="A14" s="86" t="s">
        <v>223</v>
      </c>
      <c r="B14" s="87" t="s">
        <v>326</v>
      </c>
      <c r="C14" s="88" t="s">
        <v>303</v>
      </c>
      <c r="D14" s="387" t="s">
        <v>327</v>
      </c>
      <c r="E14" s="387" t="s">
        <v>328</v>
      </c>
      <c r="F14" s="57" t="s">
        <v>329</v>
      </c>
      <c r="G14" s="89" t="s">
        <v>284</v>
      </c>
    </row>
    <row r="15" spans="1:9" ht="22.2" customHeight="1" x14ac:dyDescent="0.25">
      <c r="A15" s="90" t="s">
        <v>245</v>
      </c>
      <c r="B15" s="512">
        <v>2008</v>
      </c>
      <c r="C15" s="506" t="s">
        <v>330</v>
      </c>
      <c r="D15" s="513" t="s">
        <v>317</v>
      </c>
      <c r="E15" s="509" t="s">
        <v>331</v>
      </c>
      <c r="F15" s="494" t="s">
        <v>332</v>
      </c>
      <c r="G15" s="497"/>
    </row>
    <row r="16" spans="1:9" ht="20.399999999999999" customHeight="1" x14ac:dyDescent="0.25">
      <c r="A16" s="90" t="s">
        <v>248</v>
      </c>
      <c r="B16" s="510"/>
      <c r="C16" s="507"/>
      <c r="D16" s="507"/>
      <c r="E16" s="510"/>
      <c r="F16" s="495"/>
      <c r="G16" s="498"/>
    </row>
    <row r="17" spans="1:40" ht="19.95" customHeight="1" x14ac:dyDescent="0.25">
      <c r="A17" s="90" t="s">
        <v>250</v>
      </c>
      <c r="B17" s="511"/>
      <c r="C17" s="508"/>
      <c r="D17" s="508"/>
      <c r="E17" s="511"/>
      <c r="F17" s="496"/>
      <c r="G17" s="499"/>
    </row>
    <row r="18" spans="1:40" ht="57.6" customHeight="1" x14ac:dyDescent="0.25">
      <c r="A18" s="90" t="s">
        <v>252</v>
      </c>
      <c r="B18" s="58">
        <v>2013</v>
      </c>
      <c r="C18" s="80" t="s">
        <v>330</v>
      </c>
      <c r="D18" s="79" t="s">
        <v>317</v>
      </c>
      <c r="E18" s="213" t="s">
        <v>333</v>
      </c>
      <c r="F18" s="214" t="s">
        <v>334</v>
      </c>
      <c r="G18" s="215" t="s">
        <v>335</v>
      </c>
    </row>
    <row r="19" spans="1:40" ht="93.6" customHeight="1" x14ac:dyDescent="0.25">
      <c r="A19" s="91" t="s">
        <v>320</v>
      </c>
      <c r="B19" s="92">
        <v>2025</v>
      </c>
      <c r="C19" s="93" t="s">
        <v>317</v>
      </c>
      <c r="D19" s="211" t="s">
        <v>336</v>
      </c>
      <c r="E19" s="211" t="s">
        <v>337</v>
      </c>
      <c r="F19" s="212" t="s">
        <v>338</v>
      </c>
      <c r="G19" s="401"/>
    </row>
    <row r="20" spans="1:40" x14ac:dyDescent="0.25">
      <c r="B20" s="6"/>
      <c r="C20" s="6"/>
      <c r="D20" s="30"/>
      <c r="E20" s="6"/>
    </row>
    <row r="21" spans="1:40" x14ac:dyDescent="0.25">
      <c r="A21" s="31"/>
      <c r="B21" s="6"/>
      <c r="C21" s="6" t="s">
        <v>339</v>
      </c>
      <c r="D21" s="6" t="s">
        <v>340</v>
      </c>
      <c r="E21" s="6"/>
    </row>
    <row r="22" spans="1:40" x14ac:dyDescent="0.25">
      <c r="A22" s="65"/>
      <c r="B22" s="65"/>
      <c r="C22" s="65"/>
      <c r="D22" s="65"/>
      <c r="E22" s="65"/>
    </row>
    <row r="23" spans="1:40" ht="22.35" customHeight="1" x14ac:dyDescent="0.3">
      <c r="A23" s="519" t="s">
        <v>341</v>
      </c>
      <c r="B23" s="520"/>
      <c r="C23" s="520"/>
      <c r="D23" s="520"/>
      <c r="E23" s="520"/>
      <c r="F23" s="520"/>
      <c r="G23" s="520"/>
      <c r="H23" s="520"/>
      <c r="I23"/>
    </row>
    <row r="24" spans="1:40" ht="27.6" customHeight="1" x14ac:dyDescent="0.3">
      <c r="A24" s="319" t="s">
        <v>223</v>
      </c>
      <c r="B24" s="311" t="s">
        <v>342</v>
      </c>
      <c r="C24" s="311" t="s">
        <v>343</v>
      </c>
      <c r="D24" s="312" t="s">
        <v>344</v>
      </c>
      <c r="E24" s="312" t="s">
        <v>345</v>
      </c>
      <c r="F24" s="312" t="s">
        <v>346</v>
      </c>
      <c r="G24" s="312" t="s">
        <v>347</v>
      </c>
      <c r="H24" s="319" t="s">
        <v>348</v>
      </c>
      <c r="I24"/>
    </row>
    <row r="25" spans="1:40" ht="73.2" customHeight="1" x14ac:dyDescent="0.25">
      <c r="A25" s="521" t="s">
        <v>254</v>
      </c>
      <c r="B25" s="522" t="s">
        <v>349</v>
      </c>
      <c r="C25" s="378" t="s">
        <v>350</v>
      </c>
      <c r="D25" s="378">
        <v>2.5</v>
      </c>
      <c r="E25" s="523">
        <v>0.65</v>
      </c>
      <c r="F25" s="523" t="s">
        <v>351</v>
      </c>
      <c r="G25" s="528"/>
      <c r="H25" s="523" t="s">
        <v>352</v>
      </c>
      <c r="I25" s="310" t="s">
        <v>353</v>
      </c>
    </row>
    <row r="26" spans="1:40" ht="73.2" customHeight="1" x14ac:dyDescent="0.3">
      <c r="A26" s="521"/>
      <c r="B26" s="522"/>
      <c r="C26" s="378" t="s">
        <v>354</v>
      </c>
      <c r="D26" s="378">
        <v>5.58</v>
      </c>
      <c r="E26" s="523"/>
      <c r="F26" s="523"/>
      <c r="G26" s="528"/>
      <c r="H26" s="529"/>
      <c r="I26"/>
    </row>
    <row r="27" spans="1:40" ht="21.6" customHeight="1" x14ac:dyDescent="0.3">
      <c r="A27" s="313" t="s">
        <v>355</v>
      </c>
      <c r="B27" s="403"/>
      <c r="C27" s="403"/>
      <c r="D27" s="403"/>
      <c r="E27" s="403"/>
      <c r="F27" s="403"/>
      <c r="G27" s="403"/>
      <c r="H27" s="404"/>
      <c r="I27"/>
    </row>
    <row r="28" spans="1:40" ht="19.350000000000001" customHeight="1" x14ac:dyDescent="0.3">
      <c r="A28" s="313" t="s">
        <v>356</v>
      </c>
      <c r="B28" s="403"/>
      <c r="C28" s="403"/>
      <c r="D28" s="403"/>
      <c r="E28" s="403"/>
      <c r="F28" s="403"/>
      <c r="G28" s="403"/>
      <c r="H28" s="404"/>
      <c r="I28"/>
    </row>
    <row r="29" spans="1:40" ht="44.25" customHeight="1" x14ac:dyDescent="0.3">
      <c r="A29" s="521" t="s">
        <v>320</v>
      </c>
      <c r="B29" s="523" t="s">
        <v>323</v>
      </c>
      <c r="C29" s="378" t="s">
        <v>357</v>
      </c>
      <c r="D29" s="378" t="s">
        <v>358</v>
      </c>
      <c r="E29" s="523">
        <v>0.65</v>
      </c>
      <c r="F29" s="523" t="s">
        <v>359</v>
      </c>
      <c r="G29" s="378">
        <v>0.74399999999999999</v>
      </c>
      <c r="H29" s="533" t="s">
        <v>360</v>
      </c>
      <c r="I29" s="405"/>
    </row>
    <row r="30" spans="1:40" ht="44.25" customHeight="1" x14ac:dyDescent="0.3">
      <c r="A30" s="530"/>
      <c r="B30" s="531"/>
      <c r="C30" s="379" t="s">
        <v>361</v>
      </c>
      <c r="D30" s="379" t="s">
        <v>358</v>
      </c>
      <c r="E30" s="532"/>
      <c r="F30" s="532"/>
      <c r="G30" s="379">
        <v>0.67600000000000005</v>
      </c>
      <c r="H30" s="534"/>
      <c r="I30" s="405"/>
      <c r="J30" s="65"/>
      <c r="K30" s="65"/>
      <c r="L30" s="65"/>
      <c r="M30" s="65"/>
      <c r="N30" s="65"/>
      <c r="O30" s="65"/>
      <c r="P30" s="65"/>
      <c r="Q30" s="65"/>
      <c r="R30" s="65"/>
      <c r="S30" s="65"/>
      <c r="T30" s="65"/>
      <c r="U30" s="65"/>
      <c r="V30" s="65"/>
      <c r="W30" s="65"/>
      <c r="X30" s="65"/>
      <c r="Y30" s="65"/>
      <c r="Z30" s="65"/>
      <c r="AA30" s="65"/>
      <c r="AB30" s="65"/>
      <c r="AC30" s="65"/>
      <c r="AD30" s="65"/>
      <c r="AE30" s="524"/>
      <c r="AF30" s="524"/>
      <c r="AG30" s="524"/>
      <c r="AH30" s="524"/>
      <c r="AI30" s="524"/>
      <c r="AJ30" s="524"/>
      <c r="AK30" s="524"/>
      <c r="AL30" s="524"/>
      <c r="AM30" s="524"/>
      <c r="AN30" s="524"/>
    </row>
    <row r="31" spans="1:40" ht="12.75" customHeight="1" x14ac:dyDescent="0.3">
      <c r="A31" s="406"/>
      <c r="B31" s="406"/>
      <c r="C31" s="406"/>
      <c r="D31" s="376"/>
      <c r="E31" s="406"/>
      <c r="F31" s="376"/>
      <c r="G31" s="406"/>
      <c r="H31" s="406"/>
      <c r="I31"/>
      <c r="J31" s="65"/>
      <c r="K31" s="65"/>
      <c r="L31" s="65"/>
      <c r="M31" s="65"/>
      <c r="N31" s="65"/>
      <c r="O31" s="65"/>
      <c r="P31" s="65"/>
      <c r="Q31" s="65"/>
      <c r="R31" s="65"/>
      <c r="S31" s="65"/>
      <c r="T31" s="65"/>
      <c r="U31" s="65"/>
      <c r="V31" s="65"/>
      <c r="W31" s="65"/>
      <c r="X31" s="65"/>
      <c r="Y31" s="65"/>
      <c r="Z31" s="65"/>
      <c r="AA31" s="65"/>
      <c r="AB31" s="65"/>
      <c r="AC31" s="65"/>
      <c r="AD31" s="65"/>
      <c r="AE31" s="524"/>
      <c r="AF31" s="524"/>
      <c r="AG31" s="524"/>
      <c r="AH31" s="524"/>
      <c r="AI31" s="524"/>
      <c r="AJ31" s="524"/>
      <c r="AK31" s="524"/>
      <c r="AL31" s="524"/>
      <c r="AM31" s="524"/>
      <c r="AN31" s="524"/>
    </row>
    <row r="32" spans="1:40" ht="31.5" customHeight="1" x14ac:dyDescent="0.3">
      <c r="A32" s="525" t="s">
        <v>362</v>
      </c>
      <c r="B32" s="526"/>
      <c r="C32" s="526"/>
      <c r="D32" s="526"/>
      <c r="E32" s="526"/>
      <c r="F32" s="526"/>
      <c r="G32" s="526"/>
      <c r="H32" s="526"/>
      <c r="I32"/>
      <c r="J32" s="65"/>
      <c r="K32" s="65"/>
      <c r="L32" s="65"/>
      <c r="M32" s="65"/>
      <c r="N32" s="65"/>
      <c r="O32" s="65"/>
      <c r="P32" s="65"/>
      <c r="Q32" s="65"/>
      <c r="R32" s="65"/>
      <c r="S32" s="65"/>
      <c r="T32" s="65"/>
      <c r="U32" s="65"/>
      <c r="V32" s="65"/>
      <c r="W32" s="65"/>
      <c r="X32" s="65"/>
      <c r="Y32" s="65"/>
      <c r="Z32" s="65"/>
      <c r="AA32" s="65"/>
      <c r="AB32" s="65"/>
      <c r="AC32" s="65"/>
      <c r="AD32" s="65"/>
      <c r="AE32" s="524"/>
      <c r="AF32" s="524"/>
      <c r="AG32" s="524"/>
      <c r="AH32" s="524"/>
      <c r="AI32" s="524"/>
      <c r="AJ32" s="524"/>
      <c r="AK32" s="524"/>
      <c r="AL32" s="524"/>
      <c r="AM32" s="524"/>
      <c r="AN32" s="524"/>
    </row>
    <row r="33" spans="1:38" ht="57" customHeight="1" x14ac:dyDescent="0.3">
      <c r="A33" s="525" t="s">
        <v>363</v>
      </c>
      <c r="B33" s="527"/>
      <c r="C33" s="527"/>
      <c r="D33" s="527"/>
      <c r="E33" s="527"/>
      <c r="F33" s="527"/>
      <c r="G33" s="527"/>
      <c r="H33" s="527"/>
      <c r="I33"/>
    </row>
    <row r="34" spans="1:38" x14ac:dyDescent="0.25">
      <c r="A34" s="65" t="s">
        <v>364</v>
      </c>
      <c r="B34" s="462" t="s">
        <v>365</v>
      </c>
      <c r="C34" s="462"/>
      <c r="D34" s="462"/>
      <c r="E34" s="462"/>
      <c r="F34" s="462"/>
      <c r="G34" s="462"/>
    </row>
    <row r="35" spans="1:38" ht="13.95" customHeight="1" x14ac:dyDescent="0.25">
      <c r="A35" s="67"/>
      <c r="B35" s="406"/>
      <c r="C35" s="53"/>
      <c r="D35" s="406"/>
      <c r="E35" s="406"/>
    </row>
    <row r="36" spans="1:38" s="18" customFormat="1" hidden="1" x14ac:dyDescent="0.25">
      <c r="A36" s="18" t="s">
        <v>366</v>
      </c>
    </row>
    <row r="37" spans="1:38" x14ac:dyDescent="0.25">
      <c r="U37" s="27"/>
      <c r="V37" s="44"/>
      <c r="W37" s="45"/>
      <c r="X37" s="45"/>
      <c r="Y37" s="45"/>
      <c r="Z37" s="45"/>
      <c r="AA37" s="45"/>
      <c r="AB37" s="45"/>
      <c r="AC37" s="45"/>
      <c r="AD37" s="45"/>
      <c r="AE37" s="45"/>
      <c r="AF37" s="45"/>
      <c r="AG37" s="45"/>
      <c r="AH37" s="45"/>
      <c r="AI37" s="45"/>
      <c r="AJ37" s="45"/>
      <c r="AK37" s="45"/>
      <c r="AL37" s="45"/>
    </row>
    <row r="38" spans="1:38" x14ac:dyDescent="0.25">
      <c r="U38" s="27"/>
      <c r="V38" s="44"/>
      <c r="W38" s="45"/>
      <c r="X38" s="45"/>
      <c r="Y38" s="45"/>
      <c r="Z38" s="45"/>
      <c r="AA38" s="45"/>
      <c r="AB38" s="45"/>
      <c r="AC38" s="45"/>
      <c r="AD38" s="45"/>
      <c r="AE38" s="45"/>
      <c r="AF38" s="45"/>
      <c r="AG38" s="45"/>
      <c r="AH38" s="45"/>
      <c r="AI38" s="45"/>
      <c r="AJ38" s="45"/>
      <c r="AK38" s="45"/>
      <c r="AL38" s="45"/>
    </row>
    <row r="39" spans="1:38" x14ac:dyDescent="0.25">
      <c r="U39" s="27"/>
      <c r="V39" s="44"/>
      <c r="W39" s="45"/>
      <c r="X39" s="45"/>
      <c r="Y39" s="45"/>
      <c r="Z39" s="45"/>
      <c r="AA39" s="45"/>
      <c r="AB39" s="45"/>
      <c r="AC39" s="45"/>
      <c r="AD39" s="45"/>
      <c r="AE39" s="45"/>
      <c r="AF39" s="45"/>
      <c r="AG39" s="45"/>
      <c r="AH39" s="45"/>
      <c r="AI39" s="45"/>
      <c r="AJ39" s="45"/>
      <c r="AK39" s="45"/>
      <c r="AL39" s="45"/>
    </row>
    <row r="40" spans="1:38" x14ac:dyDescent="0.25">
      <c r="U40" s="27"/>
      <c r="V40" s="44"/>
      <c r="W40" s="45"/>
      <c r="X40" s="45"/>
      <c r="Y40" s="45"/>
      <c r="Z40" s="45"/>
      <c r="AA40" s="45"/>
      <c r="AB40" s="45"/>
      <c r="AC40" s="45"/>
      <c r="AD40" s="45"/>
      <c r="AE40" s="45"/>
      <c r="AF40" s="45"/>
      <c r="AG40" s="45"/>
      <c r="AH40" s="45"/>
      <c r="AI40" s="45"/>
      <c r="AJ40" s="45"/>
      <c r="AK40" s="45"/>
      <c r="AL40" s="45"/>
    </row>
    <row r="41" spans="1:38" x14ac:dyDescent="0.25">
      <c r="U41" s="27"/>
      <c r="V41" s="44"/>
      <c r="W41" s="45"/>
      <c r="X41" s="45"/>
      <c r="Y41" s="45"/>
      <c r="Z41" s="45"/>
      <c r="AA41" s="45"/>
      <c r="AB41" s="45"/>
      <c r="AC41" s="45"/>
      <c r="AD41" s="45"/>
      <c r="AE41" s="45"/>
      <c r="AF41" s="45"/>
      <c r="AG41" s="45"/>
      <c r="AH41" s="45"/>
      <c r="AI41" s="45"/>
      <c r="AJ41" s="45"/>
      <c r="AK41" s="45"/>
      <c r="AL41" s="45"/>
    </row>
    <row r="42" spans="1:38" x14ac:dyDescent="0.25">
      <c r="U42" s="27"/>
      <c r="W42" s="26"/>
      <c r="X42" s="26"/>
      <c r="Y42" s="26"/>
      <c r="Z42" s="26"/>
      <c r="AA42" s="26"/>
      <c r="AB42" s="26"/>
      <c r="AC42" s="26"/>
      <c r="AD42" s="26"/>
      <c r="AE42" s="26"/>
      <c r="AF42" s="26"/>
      <c r="AG42" s="26"/>
      <c r="AH42" s="26"/>
      <c r="AI42" s="26"/>
      <c r="AJ42" s="26"/>
      <c r="AK42" s="26"/>
      <c r="AL42" s="26"/>
    </row>
    <row r="43" spans="1:38" x14ac:dyDescent="0.25">
      <c r="U43" s="28"/>
      <c r="W43" s="27"/>
      <c r="X43" s="27"/>
      <c r="Y43" s="27"/>
      <c r="Z43" s="27"/>
      <c r="AA43" s="27"/>
      <c r="AB43" s="27"/>
      <c r="AC43" s="27"/>
      <c r="AD43" s="27"/>
      <c r="AE43" s="27"/>
      <c r="AF43" s="27"/>
      <c r="AG43" s="27"/>
      <c r="AH43" s="27"/>
      <c r="AI43" s="27"/>
      <c r="AJ43" s="27"/>
      <c r="AK43" s="27"/>
      <c r="AL43" s="27"/>
    </row>
    <row r="44" spans="1:38" x14ac:dyDescent="0.25">
      <c r="U44" s="27"/>
    </row>
    <row r="47" spans="1:38" x14ac:dyDescent="0.25">
      <c r="U47" s="25"/>
      <c r="V47" s="25"/>
      <c r="W47" s="43"/>
      <c r="X47" s="43"/>
      <c r="Y47" s="43"/>
      <c r="Z47" s="43"/>
      <c r="AA47" s="43"/>
      <c r="AB47" s="43"/>
      <c r="AC47" s="43"/>
      <c r="AD47" s="43"/>
      <c r="AE47" s="43"/>
      <c r="AF47" s="43"/>
      <c r="AG47" s="43"/>
      <c r="AH47" s="43"/>
      <c r="AI47" s="43"/>
      <c r="AJ47" s="43"/>
      <c r="AK47" s="43"/>
      <c r="AL47" s="43"/>
    </row>
    <row r="48" spans="1:38" x14ac:dyDescent="0.25">
      <c r="V48" s="29"/>
    </row>
    <row r="49" spans="21:22" x14ac:dyDescent="0.25">
      <c r="U49" s="27"/>
      <c r="V49" s="29"/>
    </row>
    <row r="50" spans="21:22" x14ac:dyDescent="0.25">
      <c r="U50" s="27"/>
      <c r="V50" s="29"/>
    </row>
    <row r="51" spans="21:22" x14ac:dyDescent="0.25">
      <c r="U51" s="27"/>
      <c r="V51" s="29"/>
    </row>
    <row r="52" spans="21:22" x14ac:dyDescent="0.25">
      <c r="U52" s="27"/>
      <c r="V52" s="29"/>
    </row>
    <row r="53" spans="21:22" x14ac:dyDescent="0.25">
      <c r="U53" s="27"/>
      <c r="V53" s="29"/>
    </row>
    <row r="54" spans="21:22" x14ac:dyDescent="0.25">
      <c r="U54" s="27"/>
      <c r="V54" s="29"/>
    </row>
    <row r="55" spans="21:22" x14ac:dyDescent="0.25">
      <c r="U55" s="27"/>
      <c r="V55" s="29"/>
    </row>
    <row r="56" spans="21:22" x14ac:dyDescent="0.25">
      <c r="U56" s="27"/>
      <c r="V56" s="29"/>
    </row>
    <row r="57" spans="21:22" x14ac:dyDescent="0.25">
      <c r="U57" s="27"/>
      <c r="V57" s="29"/>
    </row>
    <row r="58" spans="21:22" x14ac:dyDescent="0.25">
      <c r="U58" s="27"/>
      <c r="V58" s="29"/>
    </row>
    <row r="59" spans="21:22" x14ac:dyDescent="0.25">
      <c r="U59" s="27"/>
      <c r="V59" s="29"/>
    </row>
    <row r="60" spans="21:22" x14ac:dyDescent="0.25">
      <c r="U60" s="27"/>
      <c r="V60" s="29"/>
    </row>
    <row r="61" spans="21:22" x14ac:dyDescent="0.25">
      <c r="U61" s="27"/>
      <c r="V61" s="29"/>
    </row>
    <row r="62" spans="21:22" x14ac:dyDescent="0.25">
      <c r="U62" s="27"/>
      <c r="V62" s="29"/>
    </row>
    <row r="63" spans="21:22" x14ac:dyDescent="0.25">
      <c r="U63" s="27"/>
      <c r="V63" s="29"/>
    </row>
    <row r="64" spans="21:22" x14ac:dyDescent="0.25">
      <c r="U64" s="27"/>
      <c r="V64" s="29"/>
    </row>
    <row r="65" spans="21:38" x14ac:dyDescent="0.25">
      <c r="U65" s="27"/>
      <c r="V65" s="29"/>
    </row>
    <row r="66" spans="21:38" x14ac:dyDescent="0.25">
      <c r="U66" s="27"/>
      <c r="V66" s="29"/>
    </row>
    <row r="67" spans="21:38" x14ac:dyDescent="0.25">
      <c r="U67" s="27"/>
      <c r="V67" s="29"/>
    </row>
    <row r="68" spans="21:38" x14ac:dyDescent="0.25">
      <c r="U68" s="27"/>
      <c r="V68" s="29"/>
    </row>
    <row r="69" spans="21:38" x14ac:dyDescent="0.25">
      <c r="U69" s="27"/>
      <c r="W69" s="26"/>
      <c r="X69" s="26"/>
      <c r="Y69" s="26"/>
      <c r="Z69" s="26"/>
      <c r="AA69" s="26"/>
      <c r="AB69" s="26"/>
      <c r="AC69" s="26"/>
      <c r="AD69" s="26"/>
      <c r="AE69" s="26"/>
      <c r="AF69" s="26"/>
      <c r="AG69" s="26"/>
      <c r="AH69" s="26"/>
      <c r="AI69" s="26"/>
      <c r="AJ69" s="26"/>
      <c r="AK69" s="26"/>
      <c r="AL69" s="26"/>
    </row>
    <row r="70" spans="21:38" x14ac:dyDescent="0.25">
      <c r="U70" s="28"/>
      <c r="W70" s="27"/>
      <c r="X70" s="27"/>
      <c r="Y70" s="27"/>
      <c r="Z70" s="27"/>
      <c r="AA70" s="27"/>
      <c r="AB70" s="27"/>
      <c r="AC70" s="27"/>
      <c r="AD70" s="27"/>
      <c r="AE70" s="27"/>
      <c r="AF70" s="27"/>
      <c r="AG70" s="27"/>
      <c r="AH70" s="27"/>
      <c r="AI70" s="27"/>
      <c r="AJ70" s="27"/>
      <c r="AK70" s="27"/>
      <c r="AL70" s="27"/>
    </row>
  </sheetData>
  <mergeCells count="40">
    <mergeCell ref="A32:H32"/>
    <mergeCell ref="A33:H33"/>
    <mergeCell ref="G25:G26"/>
    <mergeCell ref="H25:H26"/>
    <mergeCell ref="A29:A30"/>
    <mergeCell ref="B29:B30"/>
    <mergeCell ref="E29:E30"/>
    <mergeCell ref="F29:F30"/>
    <mergeCell ref="H29:H30"/>
    <mergeCell ref="AE32:AF32"/>
    <mergeCell ref="AG32:AH32"/>
    <mergeCell ref="AI32:AJ32"/>
    <mergeCell ref="AK32:AL32"/>
    <mergeCell ref="AM32:AN32"/>
    <mergeCell ref="AE31:AF31"/>
    <mergeCell ref="AG31:AH31"/>
    <mergeCell ref="AI31:AJ31"/>
    <mergeCell ref="AK31:AL31"/>
    <mergeCell ref="AM31:AN31"/>
    <mergeCell ref="AE30:AF30"/>
    <mergeCell ref="AG30:AH30"/>
    <mergeCell ref="AI30:AJ30"/>
    <mergeCell ref="AK30:AL30"/>
    <mergeCell ref="AM30:AN30"/>
    <mergeCell ref="B34:G34"/>
    <mergeCell ref="F15:F17"/>
    <mergeCell ref="G15:G17"/>
    <mergeCell ref="A1:G1"/>
    <mergeCell ref="A13:G13"/>
    <mergeCell ref="C15:C17"/>
    <mergeCell ref="E15:E17"/>
    <mergeCell ref="B15:B17"/>
    <mergeCell ref="D15:D17"/>
    <mergeCell ref="A3:A5"/>
    <mergeCell ref="A6:A8"/>
    <mergeCell ref="A23:H23"/>
    <mergeCell ref="A25:A26"/>
    <mergeCell ref="B25:B26"/>
    <mergeCell ref="E25:E26"/>
    <mergeCell ref="F25:F26"/>
  </mergeCells>
  <phoneticPr fontId="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37"/>
  <sheetViews>
    <sheetView zoomScale="80" zoomScaleNormal="80" workbookViewId="0">
      <selection sqref="A1:R1"/>
    </sheetView>
  </sheetViews>
  <sheetFormatPr defaultRowHeight="14.4" x14ac:dyDescent="0.3"/>
  <cols>
    <col min="1" max="1" width="66.5546875" customWidth="1"/>
    <col min="18" max="18" width="40.6640625" customWidth="1"/>
  </cols>
  <sheetData>
    <row r="1" spans="1:18" ht="34.5" customHeight="1" x14ac:dyDescent="0.3">
      <c r="A1" s="480" t="str">
        <f>"Thermostat Setpoints - "&amp;Prototype!A2</f>
        <v>Thermostat Setpoints - SchoolHigh</v>
      </c>
      <c r="B1" s="480"/>
      <c r="C1" s="480"/>
      <c r="D1" s="480"/>
      <c r="E1" s="480"/>
      <c r="F1" s="480"/>
      <c r="G1" s="480"/>
      <c r="H1" s="480"/>
      <c r="I1" s="480"/>
      <c r="J1" s="480"/>
      <c r="K1" s="480"/>
      <c r="L1" s="480"/>
      <c r="M1" s="480"/>
      <c r="N1" s="480"/>
      <c r="O1" s="480"/>
      <c r="P1" s="480"/>
      <c r="Q1" s="480"/>
      <c r="R1" s="480"/>
    </row>
    <row r="2" spans="1:18" ht="33.75" customHeight="1" x14ac:dyDescent="0.3">
      <c r="A2" s="387" t="s">
        <v>367</v>
      </c>
      <c r="B2" s="381" t="s">
        <v>225</v>
      </c>
      <c r="C2" s="381" t="s">
        <v>226</v>
      </c>
      <c r="D2" s="381" t="s">
        <v>227</v>
      </c>
      <c r="E2" s="381" t="s">
        <v>228</v>
      </c>
      <c r="F2" s="381" t="s">
        <v>229</v>
      </c>
      <c r="G2" s="381" t="s">
        <v>230</v>
      </c>
      <c r="H2" s="381" t="s">
        <v>231</v>
      </c>
      <c r="I2" s="381" t="s">
        <v>232</v>
      </c>
      <c r="J2" s="381" t="s">
        <v>233</v>
      </c>
      <c r="K2" s="381" t="s">
        <v>234</v>
      </c>
      <c r="L2" s="381" t="s">
        <v>235</v>
      </c>
      <c r="M2" s="381" t="s">
        <v>236</v>
      </c>
      <c r="N2" s="381" t="s">
        <v>237</v>
      </c>
      <c r="O2" s="381" t="s">
        <v>238</v>
      </c>
      <c r="P2" s="381" t="s">
        <v>239</v>
      </c>
      <c r="Q2" s="381" t="s">
        <v>240</v>
      </c>
      <c r="R2" s="68" t="s">
        <v>300</v>
      </c>
    </row>
    <row r="3" spans="1:18" x14ac:dyDescent="0.3">
      <c r="A3" s="237" t="s">
        <v>368</v>
      </c>
      <c r="B3" s="377">
        <v>70</v>
      </c>
      <c r="C3" s="377">
        <v>70</v>
      </c>
      <c r="D3" s="377">
        <v>70</v>
      </c>
      <c r="E3" s="377">
        <v>70</v>
      </c>
      <c r="F3" s="377">
        <v>70</v>
      </c>
      <c r="G3" s="377">
        <v>70</v>
      </c>
      <c r="H3" s="377">
        <v>70</v>
      </c>
      <c r="I3" s="377">
        <v>70</v>
      </c>
      <c r="J3" s="377">
        <v>70</v>
      </c>
      <c r="K3" s="377">
        <v>70</v>
      </c>
      <c r="L3" s="377">
        <v>70</v>
      </c>
      <c r="M3" s="377">
        <v>70</v>
      </c>
      <c r="N3" s="377">
        <v>70</v>
      </c>
      <c r="O3" s="377">
        <v>70</v>
      </c>
      <c r="P3" s="377">
        <v>70</v>
      </c>
      <c r="Q3" s="377">
        <v>70</v>
      </c>
      <c r="R3" s="535" t="s">
        <v>369</v>
      </c>
    </row>
    <row r="4" spans="1:18" x14ac:dyDescent="0.3">
      <c r="A4" s="237" t="s">
        <v>370</v>
      </c>
      <c r="B4" s="377">
        <v>60</v>
      </c>
      <c r="C4" s="377">
        <v>60</v>
      </c>
      <c r="D4" s="377">
        <v>60</v>
      </c>
      <c r="E4" s="377">
        <v>60</v>
      </c>
      <c r="F4" s="377">
        <v>60</v>
      </c>
      <c r="G4" s="377">
        <v>60</v>
      </c>
      <c r="H4" s="377">
        <v>60</v>
      </c>
      <c r="I4" s="377">
        <v>60</v>
      </c>
      <c r="J4" s="377">
        <v>60</v>
      </c>
      <c r="K4" s="377">
        <v>60</v>
      </c>
      <c r="L4" s="377">
        <v>60</v>
      </c>
      <c r="M4" s="377">
        <v>60</v>
      </c>
      <c r="N4" s="377">
        <v>60</v>
      </c>
      <c r="O4" s="377">
        <v>60</v>
      </c>
      <c r="P4" s="377">
        <v>60</v>
      </c>
      <c r="Q4" s="377">
        <v>60</v>
      </c>
      <c r="R4" s="535"/>
    </row>
    <row r="5" spans="1:18" x14ac:dyDescent="0.3">
      <c r="A5" s="237" t="s">
        <v>371</v>
      </c>
      <c r="B5" s="377">
        <v>75</v>
      </c>
      <c r="C5" s="377">
        <v>75</v>
      </c>
      <c r="D5" s="377">
        <v>75</v>
      </c>
      <c r="E5" s="377">
        <v>75</v>
      </c>
      <c r="F5" s="377">
        <v>75</v>
      </c>
      <c r="G5" s="377">
        <v>75</v>
      </c>
      <c r="H5" s="377">
        <v>75</v>
      </c>
      <c r="I5" s="377">
        <v>75</v>
      </c>
      <c r="J5" s="377">
        <v>75</v>
      </c>
      <c r="K5" s="377">
        <v>75</v>
      </c>
      <c r="L5" s="377">
        <v>75</v>
      </c>
      <c r="M5" s="377">
        <v>75</v>
      </c>
      <c r="N5" s="377">
        <v>75</v>
      </c>
      <c r="O5" s="377">
        <v>75</v>
      </c>
      <c r="P5" s="377">
        <v>75</v>
      </c>
      <c r="Q5" s="377">
        <v>75</v>
      </c>
      <c r="R5" s="535" t="s">
        <v>369</v>
      </c>
    </row>
    <row r="6" spans="1:18" x14ac:dyDescent="0.3">
      <c r="A6" s="237" t="s">
        <v>372</v>
      </c>
      <c r="B6" s="377">
        <v>85</v>
      </c>
      <c r="C6" s="377">
        <v>85</v>
      </c>
      <c r="D6" s="377">
        <v>85</v>
      </c>
      <c r="E6" s="377">
        <v>85</v>
      </c>
      <c r="F6" s="377">
        <v>85</v>
      </c>
      <c r="G6" s="377">
        <v>85</v>
      </c>
      <c r="H6" s="377">
        <v>85</v>
      </c>
      <c r="I6" s="377">
        <v>85</v>
      </c>
      <c r="J6" s="377">
        <v>85</v>
      </c>
      <c r="K6" s="377">
        <v>85</v>
      </c>
      <c r="L6" s="377">
        <v>85</v>
      </c>
      <c r="M6" s="377">
        <v>85</v>
      </c>
      <c r="N6" s="377">
        <v>85</v>
      </c>
      <c r="O6" s="377">
        <v>85</v>
      </c>
      <c r="P6" s="377">
        <v>85</v>
      </c>
      <c r="Q6" s="377">
        <v>85</v>
      </c>
      <c r="R6" s="535"/>
    </row>
    <row r="7" spans="1:18" x14ac:dyDescent="0.3">
      <c r="A7" s="228" t="s">
        <v>373</v>
      </c>
      <c r="B7" s="424">
        <v>70</v>
      </c>
      <c r="C7" s="424">
        <v>70</v>
      </c>
      <c r="D7" s="424">
        <v>70</v>
      </c>
      <c r="E7" s="424">
        <v>70</v>
      </c>
      <c r="F7" s="424">
        <v>70</v>
      </c>
      <c r="G7" s="424">
        <v>70</v>
      </c>
      <c r="H7" s="424">
        <v>70</v>
      </c>
      <c r="I7" s="424">
        <v>70</v>
      </c>
      <c r="J7" s="424">
        <v>70</v>
      </c>
      <c r="K7" s="424">
        <v>70</v>
      </c>
      <c r="L7" s="424">
        <v>70</v>
      </c>
      <c r="M7" s="424">
        <v>70</v>
      </c>
      <c r="N7" s="424">
        <v>70</v>
      </c>
      <c r="O7" s="424">
        <v>70</v>
      </c>
      <c r="P7" s="424">
        <v>70</v>
      </c>
      <c r="Q7" s="424">
        <v>70</v>
      </c>
      <c r="R7" s="537" t="s">
        <v>374</v>
      </c>
    </row>
    <row r="8" spans="1:18" x14ac:dyDescent="0.3">
      <c r="A8" s="228" t="s">
        <v>375</v>
      </c>
      <c r="B8" s="424">
        <v>60</v>
      </c>
      <c r="C8" s="424">
        <v>60</v>
      </c>
      <c r="D8" s="424">
        <v>60</v>
      </c>
      <c r="E8" s="424">
        <v>60</v>
      </c>
      <c r="F8" s="424">
        <v>60</v>
      </c>
      <c r="G8" s="424">
        <v>60</v>
      </c>
      <c r="H8" s="424">
        <v>60</v>
      </c>
      <c r="I8" s="424">
        <v>60</v>
      </c>
      <c r="J8" s="424">
        <v>60</v>
      </c>
      <c r="K8" s="424">
        <v>60</v>
      </c>
      <c r="L8" s="424">
        <v>60</v>
      </c>
      <c r="M8" s="424">
        <v>60</v>
      </c>
      <c r="N8" s="424">
        <v>60</v>
      </c>
      <c r="O8" s="424">
        <v>60</v>
      </c>
      <c r="P8" s="424">
        <v>60</v>
      </c>
      <c r="Q8" s="424">
        <v>60</v>
      </c>
      <c r="R8" s="538"/>
    </row>
    <row r="9" spans="1:18" x14ac:dyDescent="0.3">
      <c r="A9" s="228" t="s">
        <v>376</v>
      </c>
      <c r="B9" s="424">
        <v>75</v>
      </c>
      <c r="C9" s="424">
        <v>75</v>
      </c>
      <c r="D9" s="424">
        <v>75</v>
      </c>
      <c r="E9" s="424">
        <v>75</v>
      </c>
      <c r="F9" s="424">
        <v>75</v>
      </c>
      <c r="G9" s="424">
        <v>75</v>
      </c>
      <c r="H9" s="424">
        <v>75</v>
      </c>
      <c r="I9" s="424">
        <v>75</v>
      </c>
      <c r="J9" s="424">
        <v>75</v>
      </c>
      <c r="K9" s="424">
        <v>75</v>
      </c>
      <c r="L9" s="424">
        <v>75</v>
      </c>
      <c r="M9" s="424">
        <v>75</v>
      </c>
      <c r="N9" s="424">
        <v>75</v>
      </c>
      <c r="O9" s="424">
        <v>75</v>
      </c>
      <c r="P9" s="424">
        <v>75</v>
      </c>
      <c r="Q9" s="424">
        <v>75</v>
      </c>
      <c r="R9" s="538"/>
    </row>
    <row r="10" spans="1:18" x14ac:dyDescent="0.3">
      <c r="A10" s="228" t="s">
        <v>377</v>
      </c>
      <c r="B10" s="424">
        <v>85</v>
      </c>
      <c r="C10" s="424">
        <v>85</v>
      </c>
      <c r="D10" s="424">
        <v>85</v>
      </c>
      <c r="E10" s="424">
        <v>85</v>
      </c>
      <c r="F10" s="424">
        <v>85</v>
      </c>
      <c r="G10" s="424">
        <v>85</v>
      </c>
      <c r="H10" s="424">
        <v>85</v>
      </c>
      <c r="I10" s="424">
        <v>85</v>
      </c>
      <c r="J10" s="424">
        <v>85</v>
      </c>
      <c r="K10" s="424">
        <v>85</v>
      </c>
      <c r="L10" s="424">
        <v>85</v>
      </c>
      <c r="M10" s="424">
        <v>85</v>
      </c>
      <c r="N10" s="424">
        <v>85</v>
      </c>
      <c r="O10" s="424">
        <v>85</v>
      </c>
      <c r="P10" s="424">
        <v>85</v>
      </c>
      <c r="Q10" s="424">
        <v>85</v>
      </c>
      <c r="R10" s="539"/>
    </row>
    <row r="11" spans="1:18" x14ac:dyDescent="0.3">
      <c r="A11" s="228" t="s">
        <v>378</v>
      </c>
      <c r="B11" s="424">
        <v>60</v>
      </c>
      <c r="C11" s="424">
        <v>60</v>
      </c>
      <c r="D11" s="424">
        <v>60</v>
      </c>
      <c r="E11" s="424">
        <v>60</v>
      </c>
      <c r="F11" s="424">
        <v>60</v>
      </c>
      <c r="G11" s="424">
        <v>60</v>
      </c>
      <c r="H11" s="424">
        <v>60</v>
      </c>
      <c r="I11" s="424">
        <v>60</v>
      </c>
      <c r="J11" s="424">
        <v>60</v>
      </c>
      <c r="K11" s="424">
        <v>60</v>
      </c>
      <c r="L11" s="424">
        <v>60</v>
      </c>
      <c r="M11" s="424">
        <v>60</v>
      </c>
      <c r="N11" s="424">
        <v>60</v>
      </c>
      <c r="O11" s="424">
        <v>60</v>
      </c>
      <c r="P11" s="424">
        <v>60</v>
      </c>
      <c r="Q11" s="424">
        <v>60</v>
      </c>
      <c r="R11" s="537" t="s">
        <v>379</v>
      </c>
    </row>
    <row r="12" spans="1:18" x14ac:dyDescent="0.3">
      <c r="A12" s="228" t="s">
        <v>380</v>
      </c>
      <c r="B12" s="424">
        <v>60</v>
      </c>
      <c r="C12" s="424">
        <v>60</v>
      </c>
      <c r="D12" s="424">
        <v>60</v>
      </c>
      <c r="E12" s="424">
        <v>60</v>
      </c>
      <c r="F12" s="424">
        <v>60</v>
      </c>
      <c r="G12" s="424">
        <v>60</v>
      </c>
      <c r="H12" s="424">
        <v>60</v>
      </c>
      <c r="I12" s="424">
        <v>60</v>
      </c>
      <c r="J12" s="424">
        <v>60</v>
      </c>
      <c r="K12" s="424">
        <v>60</v>
      </c>
      <c r="L12" s="424">
        <v>60</v>
      </c>
      <c r="M12" s="424">
        <v>60</v>
      </c>
      <c r="N12" s="424">
        <v>60</v>
      </c>
      <c r="O12" s="424">
        <v>60</v>
      </c>
      <c r="P12" s="424">
        <v>60</v>
      </c>
      <c r="Q12" s="424">
        <v>60</v>
      </c>
      <c r="R12" s="538"/>
    </row>
    <row r="13" spans="1:18" x14ac:dyDescent="0.3">
      <c r="A13" s="228" t="s">
        <v>381</v>
      </c>
      <c r="B13" s="424">
        <v>80</v>
      </c>
      <c r="C13" s="424">
        <v>80</v>
      </c>
      <c r="D13" s="424">
        <v>80</v>
      </c>
      <c r="E13" s="424">
        <v>80</v>
      </c>
      <c r="F13" s="424">
        <v>80</v>
      </c>
      <c r="G13" s="424">
        <v>80</v>
      </c>
      <c r="H13" s="424">
        <v>80</v>
      </c>
      <c r="I13" s="424">
        <v>80</v>
      </c>
      <c r="J13" s="424">
        <v>80</v>
      </c>
      <c r="K13" s="424">
        <v>80</v>
      </c>
      <c r="L13" s="424">
        <v>80</v>
      </c>
      <c r="M13" s="424">
        <v>80</v>
      </c>
      <c r="N13" s="424">
        <v>80</v>
      </c>
      <c r="O13" s="424">
        <v>80</v>
      </c>
      <c r="P13" s="424">
        <v>80</v>
      </c>
      <c r="Q13" s="424">
        <v>80</v>
      </c>
      <c r="R13" s="538"/>
    </row>
    <row r="14" spans="1:18" x14ac:dyDescent="0.3">
      <c r="A14" s="228" t="s">
        <v>382</v>
      </c>
      <c r="B14" s="424">
        <v>80</v>
      </c>
      <c r="C14" s="424">
        <v>80</v>
      </c>
      <c r="D14" s="424">
        <v>80</v>
      </c>
      <c r="E14" s="424">
        <v>80</v>
      </c>
      <c r="F14" s="424">
        <v>80</v>
      </c>
      <c r="G14" s="424">
        <v>80</v>
      </c>
      <c r="H14" s="424">
        <v>80</v>
      </c>
      <c r="I14" s="424">
        <v>80</v>
      </c>
      <c r="J14" s="424">
        <v>80</v>
      </c>
      <c r="K14" s="424">
        <v>80</v>
      </c>
      <c r="L14" s="424">
        <v>80</v>
      </c>
      <c r="M14" s="424">
        <v>80</v>
      </c>
      <c r="N14" s="424">
        <v>80</v>
      </c>
      <c r="O14" s="424">
        <v>80</v>
      </c>
      <c r="P14" s="424">
        <v>80</v>
      </c>
      <c r="Q14" s="424">
        <v>80</v>
      </c>
      <c r="R14" s="539"/>
    </row>
    <row r="15" spans="1:18" x14ac:dyDescent="0.3">
      <c r="A15" s="228" t="s">
        <v>383</v>
      </c>
      <c r="B15" s="424">
        <v>60</v>
      </c>
      <c r="C15" s="424">
        <v>60</v>
      </c>
      <c r="D15" s="424">
        <v>60</v>
      </c>
      <c r="E15" s="424">
        <v>60</v>
      </c>
      <c r="F15" s="424">
        <v>60</v>
      </c>
      <c r="G15" s="424">
        <v>60</v>
      </c>
      <c r="H15" s="424">
        <v>60</v>
      </c>
      <c r="I15" s="424">
        <v>60</v>
      </c>
      <c r="J15" s="424">
        <v>60</v>
      </c>
      <c r="K15" s="424">
        <v>60</v>
      </c>
      <c r="L15" s="424">
        <v>60</v>
      </c>
      <c r="M15" s="424">
        <v>60</v>
      </c>
      <c r="N15" s="424">
        <v>60</v>
      </c>
      <c r="O15" s="424">
        <v>60</v>
      </c>
      <c r="P15" s="424">
        <v>60</v>
      </c>
      <c r="Q15" s="424">
        <v>60</v>
      </c>
      <c r="R15" s="537" t="s">
        <v>384</v>
      </c>
    </row>
    <row r="16" spans="1:18" x14ac:dyDescent="0.3">
      <c r="A16" s="228" t="s">
        <v>385</v>
      </c>
      <c r="B16" s="424">
        <v>60</v>
      </c>
      <c r="C16" s="424">
        <v>60</v>
      </c>
      <c r="D16" s="424">
        <v>60</v>
      </c>
      <c r="E16" s="424">
        <v>60</v>
      </c>
      <c r="F16" s="424">
        <v>60</v>
      </c>
      <c r="G16" s="424">
        <v>60</v>
      </c>
      <c r="H16" s="424">
        <v>60</v>
      </c>
      <c r="I16" s="424">
        <v>60</v>
      </c>
      <c r="J16" s="424">
        <v>60</v>
      </c>
      <c r="K16" s="424">
        <v>60</v>
      </c>
      <c r="L16" s="424">
        <v>60</v>
      </c>
      <c r="M16" s="424">
        <v>60</v>
      </c>
      <c r="N16" s="424">
        <v>60</v>
      </c>
      <c r="O16" s="424">
        <v>60</v>
      </c>
      <c r="P16" s="424">
        <v>60</v>
      </c>
      <c r="Q16" s="424">
        <v>60</v>
      </c>
      <c r="R16" s="538"/>
    </row>
    <row r="17" spans="1:18" x14ac:dyDescent="0.3">
      <c r="A17" s="228" t="s">
        <v>386</v>
      </c>
      <c r="B17" s="424">
        <v>85</v>
      </c>
      <c r="C17" s="424">
        <v>85</v>
      </c>
      <c r="D17" s="424">
        <v>85</v>
      </c>
      <c r="E17" s="424">
        <v>85</v>
      </c>
      <c r="F17" s="424">
        <v>85</v>
      </c>
      <c r="G17" s="424">
        <v>85</v>
      </c>
      <c r="H17" s="424">
        <v>85</v>
      </c>
      <c r="I17" s="424">
        <v>85</v>
      </c>
      <c r="J17" s="424">
        <v>85</v>
      </c>
      <c r="K17" s="424">
        <v>85</v>
      </c>
      <c r="L17" s="424">
        <v>85</v>
      </c>
      <c r="M17" s="424">
        <v>85</v>
      </c>
      <c r="N17" s="424">
        <v>85</v>
      </c>
      <c r="O17" s="424">
        <v>85</v>
      </c>
      <c r="P17" s="424">
        <v>85</v>
      </c>
      <c r="Q17" s="424">
        <v>85</v>
      </c>
      <c r="R17" s="538"/>
    </row>
    <row r="18" spans="1:18" x14ac:dyDescent="0.3">
      <c r="A18" s="228" t="s">
        <v>387</v>
      </c>
      <c r="B18" s="424">
        <v>85</v>
      </c>
      <c r="C18" s="424">
        <v>85</v>
      </c>
      <c r="D18" s="424">
        <v>85</v>
      </c>
      <c r="E18" s="424">
        <v>85</v>
      </c>
      <c r="F18" s="424">
        <v>85</v>
      </c>
      <c r="G18" s="424">
        <v>85</v>
      </c>
      <c r="H18" s="424">
        <v>85</v>
      </c>
      <c r="I18" s="424">
        <v>85</v>
      </c>
      <c r="J18" s="424">
        <v>85</v>
      </c>
      <c r="K18" s="424">
        <v>85</v>
      </c>
      <c r="L18" s="424">
        <v>85</v>
      </c>
      <c r="M18" s="424">
        <v>85</v>
      </c>
      <c r="N18" s="424">
        <v>85</v>
      </c>
      <c r="O18" s="424">
        <v>85</v>
      </c>
      <c r="P18" s="424">
        <v>85</v>
      </c>
      <c r="Q18" s="424">
        <v>85</v>
      </c>
      <c r="R18" s="539"/>
    </row>
    <row r="19" spans="1:18" x14ac:dyDescent="0.3">
      <c r="A19" s="407" t="s">
        <v>388</v>
      </c>
      <c r="B19" s="408">
        <v>35</v>
      </c>
      <c r="C19" s="408">
        <v>35</v>
      </c>
      <c r="D19" s="408">
        <v>35</v>
      </c>
      <c r="E19" s="408">
        <v>35</v>
      </c>
      <c r="F19" s="408">
        <v>35</v>
      </c>
      <c r="G19" s="408">
        <v>35</v>
      </c>
      <c r="H19" s="408">
        <v>35</v>
      </c>
      <c r="I19" s="408">
        <v>35</v>
      </c>
      <c r="J19" s="408">
        <v>35</v>
      </c>
      <c r="K19" s="408">
        <v>35</v>
      </c>
      <c r="L19" s="408">
        <v>35</v>
      </c>
      <c r="M19" s="408">
        <v>35</v>
      </c>
      <c r="N19" s="408">
        <v>35</v>
      </c>
      <c r="O19" s="408">
        <v>35</v>
      </c>
      <c r="P19" s="408">
        <v>35</v>
      </c>
      <c r="Q19" s="408">
        <v>35</v>
      </c>
      <c r="R19" s="536" t="s">
        <v>389</v>
      </c>
    </row>
    <row r="20" spans="1:18" x14ac:dyDescent="0.3">
      <c r="A20" s="407" t="s">
        <v>390</v>
      </c>
      <c r="B20" s="408">
        <v>35</v>
      </c>
      <c r="C20" s="408">
        <v>35</v>
      </c>
      <c r="D20" s="408">
        <v>35</v>
      </c>
      <c r="E20" s="408">
        <v>35</v>
      </c>
      <c r="F20" s="408">
        <v>35</v>
      </c>
      <c r="G20" s="408">
        <v>35</v>
      </c>
      <c r="H20" s="408">
        <v>35</v>
      </c>
      <c r="I20" s="408">
        <v>35</v>
      </c>
      <c r="J20" s="408">
        <v>35</v>
      </c>
      <c r="K20" s="408">
        <v>35</v>
      </c>
      <c r="L20" s="408">
        <v>35</v>
      </c>
      <c r="M20" s="408">
        <v>35</v>
      </c>
      <c r="N20" s="408">
        <v>35</v>
      </c>
      <c r="O20" s="408">
        <v>35</v>
      </c>
      <c r="P20" s="408">
        <v>35</v>
      </c>
      <c r="Q20" s="408">
        <v>35</v>
      </c>
      <c r="R20" s="536"/>
    </row>
    <row r="21" spans="1:18" x14ac:dyDescent="0.3">
      <c r="A21" s="81"/>
      <c r="B21" s="81"/>
      <c r="C21" s="81"/>
      <c r="D21" s="81"/>
      <c r="E21" s="81"/>
      <c r="F21" s="81"/>
      <c r="G21" s="81"/>
      <c r="H21" s="81"/>
      <c r="I21" s="81"/>
    </row>
    <row r="22" spans="1:18" x14ac:dyDescent="0.3">
      <c r="A22" s="81"/>
      <c r="B22" s="81"/>
      <c r="C22" s="81"/>
      <c r="D22" s="81"/>
      <c r="E22" s="81"/>
      <c r="F22" s="81"/>
      <c r="G22" s="81"/>
      <c r="H22" s="81"/>
      <c r="I22" s="81"/>
    </row>
    <row r="23" spans="1:18" x14ac:dyDescent="0.3">
      <c r="A23" s="115"/>
      <c r="B23" s="115"/>
      <c r="C23" s="115"/>
      <c r="D23" s="115"/>
      <c r="E23" s="115"/>
      <c r="F23" s="115"/>
      <c r="G23" s="115"/>
      <c r="H23" s="115"/>
      <c r="I23" s="115"/>
    </row>
    <row r="24" spans="1:18" x14ac:dyDescent="0.3">
      <c r="A24" s="81"/>
      <c r="B24" s="81"/>
      <c r="C24" s="81"/>
      <c r="D24" s="81"/>
      <c r="E24" s="81"/>
      <c r="F24" s="81"/>
      <c r="G24" s="81"/>
      <c r="H24" s="81"/>
      <c r="I24" s="81"/>
    </row>
    <row r="25" spans="1:18" x14ac:dyDescent="0.3">
      <c r="A25" s="81"/>
      <c r="B25" s="81"/>
      <c r="C25" s="81"/>
      <c r="D25" s="81"/>
      <c r="E25" s="81"/>
      <c r="F25" s="81"/>
      <c r="G25" s="81"/>
      <c r="H25" s="81"/>
      <c r="I25" s="81"/>
    </row>
    <row r="26" spans="1:18" x14ac:dyDescent="0.3">
      <c r="A26" s="81"/>
      <c r="B26" s="81"/>
      <c r="C26" s="81"/>
      <c r="D26" s="81"/>
      <c r="E26" s="81"/>
      <c r="F26" s="81"/>
      <c r="G26" s="81"/>
      <c r="H26" s="81"/>
      <c r="I26" s="81"/>
    </row>
    <row r="27" spans="1:18" x14ac:dyDescent="0.3">
      <c r="A27" s="81"/>
      <c r="B27" s="81"/>
      <c r="C27" s="81"/>
      <c r="D27" s="81"/>
      <c r="E27" s="81"/>
      <c r="F27" s="81"/>
      <c r="G27" s="81"/>
      <c r="H27" s="81"/>
      <c r="I27" s="81"/>
    </row>
    <row r="28" spans="1:18" x14ac:dyDescent="0.3">
      <c r="A28" s="81"/>
      <c r="B28" s="81"/>
      <c r="C28" s="81"/>
      <c r="D28" s="81"/>
      <c r="E28" s="81"/>
      <c r="F28" s="81"/>
      <c r="G28" s="81"/>
      <c r="H28" s="81"/>
      <c r="I28" s="81"/>
    </row>
    <row r="29" spans="1:18" x14ac:dyDescent="0.3">
      <c r="A29" s="81"/>
      <c r="B29" s="81"/>
      <c r="C29" s="81"/>
      <c r="D29" s="81"/>
      <c r="E29" s="81"/>
      <c r="F29" s="81"/>
      <c r="G29" s="81"/>
      <c r="H29" s="81"/>
      <c r="I29" s="81"/>
    </row>
    <row r="30" spans="1:18" x14ac:dyDescent="0.3">
      <c r="A30" s="81"/>
      <c r="B30" s="81"/>
      <c r="C30" s="81"/>
      <c r="D30" s="81"/>
      <c r="E30" s="81"/>
      <c r="F30" s="81"/>
      <c r="G30" s="81"/>
      <c r="H30" s="81"/>
      <c r="I30" s="81"/>
    </row>
    <row r="31" spans="1:18" x14ac:dyDescent="0.3">
      <c r="A31" s="81"/>
      <c r="B31" s="81"/>
      <c r="C31" s="81"/>
      <c r="D31" s="81"/>
      <c r="E31" s="81"/>
      <c r="F31" s="81"/>
      <c r="G31" s="81"/>
      <c r="H31" s="81"/>
      <c r="I31" s="81"/>
    </row>
    <row r="32" spans="1:18" x14ac:dyDescent="0.3">
      <c r="A32" s="81"/>
      <c r="B32" s="81"/>
      <c r="C32" s="81"/>
      <c r="D32" s="81"/>
      <c r="E32" s="81"/>
      <c r="F32" s="81"/>
      <c r="G32" s="81"/>
      <c r="H32" s="81"/>
      <c r="I32" s="81"/>
    </row>
    <row r="33" spans="1:9" x14ac:dyDescent="0.3">
      <c r="A33" s="81"/>
      <c r="B33" s="81"/>
      <c r="C33" s="81"/>
      <c r="D33" s="81"/>
      <c r="E33" s="81"/>
      <c r="F33" s="81"/>
      <c r="G33" s="81"/>
      <c r="H33" s="81"/>
      <c r="I33" s="81"/>
    </row>
    <row r="34" spans="1:9" x14ac:dyDescent="0.3">
      <c r="A34" s="81"/>
      <c r="B34" s="81"/>
      <c r="C34" s="81"/>
      <c r="D34" s="81"/>
      <c r="E34" s="81"/>
      <c r="F34" s="81"/>
      <c r="G34" s="81"/>
      <c r="H34" s="81"/>
      <c r="I34" s="81"/>
    </row>
    <row r="35" spans="1:9" x14ac:dyDescent="0.3">
      <c r="A35" s="81"/>
      <c r="B35" s="81"/>
      <c r="C35" s="81"/>
      <c r="D35" s="81"/>
      <c r="E35" s="81"/>
      <c r="F35" s="81"/>
      <c r="G35" s="81"/>
      <c r="H35" s="81"/>
      <c r="I35" s="81"/>
    </row>
    <row r="36" spans="1:9" x14ac:dyDescent="0.3">
      <c r="A36" s="81"/>
      <c r="B36" s="81"/>
      <c r="C36" s="81"/>
      <c r="D36" s="81"/>
      <c r="E36" s="81"/>
      <c r="F36" s="81"/>
      <c r="G36" s="81"/>
      <c r="H36" s="81"/>
      <c r="I36" s="81"/>
    </row>
    <row r="37" spans="1:9" x14ac:dyDescent="0.3">
      <c r="A37" s="81"/>
      <c r="B37" s="81"/>
      <c r="C37" s="81"/>
      <c r="D37" s="81"/>
      <c r="E37" s="81"/>
      <c r="F37" s="81"/>
      <c r="G37" s="81"/>
      <c r="H37" s="81"/>
      <c r="I37" s="81"/>
    </row>
  </sheetData>
  <mergeCells count="7">
    <mergeCell ref="R3:R4"/>
    <mergeCell ref="A1:R1"/>
    <mergeCell ref="R5:R6"/>
    <mergeCell ref="R19:R20"/>
    <mergeCell ref="R7:R10"/>
    <mergeCell ref="R11:R14"/>
    <mergeCell ref="R15:R18"/>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47"/>
  <sheetViews>
    <sheetView topLeftCell="A20" zoomScaleNormal="100" workbookViewId="0">
      <pane xSplit="1" topLeftCell="B1" activePane="topRight" state="frozen"/>
      <selection pane="topRight" sqref="A1:L1"/>
    </sheetView>
  </sheetViews>
  <sheetFormatPr defaultColWidth="9.33203125" defaultRowHeight="13.8" x14ac:dyDescent="0.25"/>
  <cols>
    <col min="1" max="1" width="54" style="49" customWidth="1"/>
    <col min="2" max="2" width="49.6640625" style="49" customWidth="1"/>
    <col min="3" max="5" width="20.33203125" style="49" customWidth="1"/>
    <col min="6" max="6" width="25.33203125" style="49" bestFit="1" customWidth="1"/>
    <col min="7" max="7" width="19.6640625" style="49" customWidth="1"/>
    <col min="8" max="8" width="23.6640625" style="49" customWidth="1"/>
    <col min="9" max="9" width="13.6640625" style="49" customWidth="1"/>
    <col min="10" max="10" width="11.6640625" style="49" customWidth="1"/>
    <col min="11" max="11" width="13.6640625" style="49" customWidth="1"/>
    <col min="12" max="12" width="68.33203125" style="49" customWidth="1"/>
    <col min="13" max="13" width="12.33203125" style="49" customWidth="1"/>
    <col min="14" max="14" width="13.6640625" style="49" customWidth="1"/>
    <col min="15" max="15" width="12.33203125" style="49" customWidth="1"/>
    <col min="16" max="16" width="18.109375" style="49" customWidth="1"/>
    <col min="17" max="17" width="17.109375" style="49" customWidth="1"/>
    <col min="18" max="18" width="22.44140625" style="49" customWidth="1"/>
    <col min="19" max="19" width="21.6640625" style="49" customWidth="1"/>
    <col min="20" max="20" width="9.33203125" style="49" customWidth="1"/>
    <col min="21" max="21" width="23.33203125" style="49" customWidth="1"/>
    <col min="22" max="25" width="11.33203125" style="49" customWidth="1"/>
    <col min="26" max="16384" width="9.33203125" style="49"/>
  </cols>
  <sheetData>
    <row r="1" spans="1:22" ht="15.6" x14ac:dyDescent="0.25">
      <c r="A1" s="540" t="str">
        <f>"Outdoor Airflow Rate - "&amp;Prototype!A2</f>
        <v>Outdoor Airflow Rate - SchoolHigh</v>
      </c>
      <c r="B1" s="541"/>
      <c r="C1" s="541"/>
      <c r="D1" s="541"/>
      <c r="E1" s="541"/>
      <c r="F1" s="541"/>
      <c r="G1" s="541"/>
      <c r="H1" s="541"/>
      <c r="I1" s="541"/>
      <c r="J1" s="541"/>
      <c r="K1" s="541"/>
      <c r="L1" s="541"/>
      <c r="M1" s="2"/>
      <c r="N1" s="2"/>
      <c r="O1" s="2"/>
      <c r="P1" s="2"/>
      <c r="Q1" s="2"/>
      <c r="R1" s="2"/>
      <c r="S1" s="2"/>
      <c r="T1" s="2"/>
      <c r="U1" s="2"/>
      <c r="V1" s="2"/>
    </row>
    <row r="2" spans="1:22" ht="66" x14ac:dyDescent="0.25">
      <c r="A2" s="452" t="str">
        <f>Zones!C2</f>
        <v>Space Type
[Primarily from: T24, 2022 Appendix 5.4A] - See Notes column</v>
      </c>
      <c r="B2" s="453" t="s">
        <v>85</v>
      </c>
      <c r="C2" s="453" t="s">
        <v>94</v>
      </c>
      <c r="D2" s="454" t="s">
        <v>391</v>
      </c>
      <c r="E2" s="455" t="s">
        <v>392</v>
      </c>
      <c r="F2" s="455" t="s">
        <v>393</v>
      </c>
      <c r="G2" s="455" t="s">
        <v>394</v>
      </c>
      <c r="H2" s="455" t="s">
        <v>395</v>
      </c>
      <c r="I2" s="455" t="s">
        <v>396</v>
      </c>
      <c r="J2" s="455" t="s">
        <v>397</v>
      </c>
      <c r="K2" s="456" t="s">
        <v>398</v>
      </c>
      <c r="L2" s="457" t="s">
        <v>32</v>
      </c>
      <c r="M2" s="2"/>
      <c r="N2" s="2"/>
      <c r="O2" s="2"/>
      <c r="P2" s="2"/>
      <c r="Q2" s="2"/>
      <c r="R2" s="2"/>
      <c r="S2" s="2"/>
      <c r="T2" s="2"/>
      <c r="U2" s="2"/>
      <c r="V2" s="2"/>
    </row>
    <row r="3" spans="1:22" x14ac:dyDescent="0.25">
      <c r="A3" s="97" t="str">
        <f>Zones!C3</f>
        <v>Lounge, Breakroom, or Waiting Area</v>
      </c>
      <c r="B3" s="97" t="str">
        <f>Zones!B3</f>
        <v>ADMIN/MPR_BREAKROOM_ZN</v>
      </c>
      <c r="C3" s="107">
        <f>Zones!K3</f>
        <v>18.981600000000004</v>
      </c>
      <c r="D3" s="107">
        <f>Zones!H3</f>
        <v>575.20000000000005</v>
      </c>
      <c r="E3" s="424">
        <v>15</v>
      </c>
      <c r="F3" s="424">
        <v>0.15</v>
      </c>
      <c r="G3" s="99"/>
      <c r="H3" s="217">
        <f t="shared" ref="H3" si="0">C3*E3</f>
        <v>284.72400000000005</v>
      </c>
      <c r="I3" s="366">
        <f t="shared" ref="I3" si="1">D3*F3</f>
        <v>86.28</v>
      </c>
      <c r="J3" s="366">
        <f t="shared" ref="J3" si="2">G3*D3</f>
        <v>0</v>
      </c>
      <c r="K3" s="217">
        <f>MAX(H3,I3,J3)</f>
        <v>284.72400000000005</v>
      </c>
      <c r="L3" s="217"/>
      <c r="M3" s="2"/>
      <c r="N3" s="2"/>
      <c r="O3" s="2"/>
      <c r="P3" s="2"/>
      <c r="Q3" s="2"/>
      <c r="R3" s="2"/>
      <c r="S3" s="2"/>
      <c r="T3" s="2"/>
      <c r="U3" s="2"/>
      <c r="V3" s="78"/>
    </row>
    <row r="4" spans="1:22" x14ac:dyDescent="0.25">
      <c r="A4" s="97" t="str">
        <f>Zones!C4</f>
        <v>Dining Area (Cafeteria/Fast Food)</v>
      </c>
      <c r="B4" s="97" t="str">
        <f>Zones!B4</f>
        <v>ADMIN/MPR_CAFETERIA ZNS 3_ZN</v>
      </c>
      <c r="C4" s="107">
        <f>Zones!K4</f>
        <v>181.90226999999999</v>
      </c>
      <c r="D4" s="107">
        <f>Zones!H4</f>
        <v>5512.19</v>
      </c>
      <c r="E4" s="424">
        <v>15</v>
      </c>
      <c r="F4" s="424">
        <v>0.15</v>
      </c>
      <c r="G4" s="99"/>
      <c r="H4" s="217">
        <f t="shared" ref="H4:H20" si="3">C4*E4</f>
        <v>2728.5340499999998</v>
      </c>
      <c r="I4" s="366">
        <f t="shared" ref="I4:I20" si="4">D4*F4</f>
        <v>826.82849999999996</v>
      </c>
      <c r="J4" s="366">
        <f t="shared" ref="J4:J20" si="5">G4*D4</f>
        <v>0</v>
      </c>
      <c r="K4" s="217">
        <f t="shared" ref="K4:K20" si="6">MAX(H4,I4,J4)</f>
        <v>2728.5340499999998</v>
      </c>
      <c r="L4" s="217"/>
      <c r="M4" s="2"/>
      <c r="N4" s="2"/>
      <c r="O4" s="2"/>
      <c r="P4" s="2"/>
      <c r="Q4" s="2"/>
      <c r="R4" s="2"/>
      <c r="S4" s="2"/>
      <c r="T4" s="2"/>
      <c r="U4" s="2"/>
      <c r="V4" s="78"/>
    </row>
    <row r="5" spans="1:22" x14ac:dyDescent="0.25">
      <c r="A5" s="97" t="str">
        <f>Zones!C5</f>
        <v>Convention, Conference, Multipurpose and Meeting Area</v>
      </c>
      <c r="B5" s="97" t="str">
        <f>Zones!B5</f>
        <v>ADMIN/MPR_CONFERENCE ROOM ZNS 3_ZN</v>
      </c>
      <c r="C5" s="107">
        <f>Zones!K5</f>
        <v>55.266419999999997</v>
      </c>
      <c r="D5" s="107">
        <f>Zones!H5</f>
        <v>1674.74</v>
      </c>
      <c r="E5" s="424">
        <v>15</v>
      </c>
      <c r="F5" s="424">
        <v>0.15</v>
      </c>
      <c r="G5" s="99"/>
      <c r="H5" s="217">
        <f t="shared" si="3"/>
        <v>828.99629999999991</v>
      </c>
      <c r="I5" s="366">
        <f t="shared" si="4"/>
        <v>251.21099999999998</v>
      </c>
      <c r="J5" s="366">
        <f t="shared" si="5"/>
        <v>0</v>
      </c>
      <c r="K5" s="217">
        <f t="shared" si="6"/>
        <v>828.99629999999991</v>
      </c>
      <c r="L5" s="217"/>
      <c r="M5" s="2"/>
      <c r="N5" s="2"/>
      <c r="O5" s="2"/>
      <c r="P5" s="2"/>
      <c r="Q5" s="2"/>
      <c r="R5" s="2"/>
      <c r="S5" s="2"/>
      <c r="T5" s="2"/>
      <c r="U5" s="2"/>
      <c r="V5" s="78"/>
    </row>
    <row r="6" spans="1:22" x14ac:dyDescent="0.25">
      <c r="A6" s="97" t="str">
        <f>Zones!C6</f>
        <v>Corridor Area</v>
      </c>
      <c r="B6" s="97" t="str">
        <f>Zones!B6</f>
        <v>ADMIN/MPR_CORRIDOR_ZN</v>
      </c>
      <c r="C6" s="107">
        <f>Zones!K6</f>
        <v>5.8076000000000008</v>
      </c>
      <c r="D6" s="107">
        <f>Zones!H6</f>
        <v>1161.52</v>
      </c>
      <c r="E6" s="424">
        <v>15</v>
      </c>
      <c r="F6" s="424">
        <v>0.15</v>
      </c>
      <c r="G6" s="99"/>
      <c r="H6" s="217">
        <f t="shared" si="3"/>
        <v>87.114000000000004</v>
      </c>
      <c r="I6" s="366">
        <f t="shared" si="4"/>
        <v>174.22799999999998</v>
      </c>
      <c r="J6" s="366">
        <f t="shared" si="5"/>
        <v>0</v>
      </c>
      <c r="K6" s="217">
        <f t="shared" si="6"/>
        <v>174.22799999999998</v>
      </c>
      <c r="L6" s="217"/>
      <c r="M6" s="2"/>
      <c r="N6" s="2"/>
      <c r="O6" s="2"/>
      <c r="P6" s="2"/>
      <c r="Q6" s="2"/>
      <c r="R6" s="2"/>
      <c r="S6" s="2"/>
      <c r="T6" s="2"/>
      <c r="U6" s="2"/>
      <c r="V6" s="78"/>
    </row>
    <row r="7" spans="1:22" x14ac:dyDescent="0.25">
      <c r="A7" s="365" t="str">
        <f>Zones!C7</f>
        <v>Electrical, Mechanical, Telephone Rooms</v>
      </c>
      <c r="B7" s="365" t="str">
        <f>Zones!B7</f>
        <v>ADMIN/MPR_EMT_ZN</v>
      </c>
      <c r="C7" s="217">
        <f>Zones!K7</f>
        <v>1.3910499999999999</v>
      </c>
      <c r="D7" s="217">
        <f>Zones!H7</f>
        <v>278.20999999999998</v>
      </c>
      <c r="E7" s="424">
        <v>15</v>
      </c>
      <c r="F7" s="424">
        <v>0.15</v>
      </c>
      <c r="G7" s="99"/>
      <c r="H7" s="217">
        <f t="shared" si="3"/>
        <v>20.865749999999998</v>
      </c>
      <c r="I7" s="366">
        <f t="shared" si="4"/>
        <v>41.731499999999997</v>
      </c>
      <c r="J7" s="366">
        <f t="shared" si="5"/>
        <v>0</v>
      </c>
      <c r="K7" s="217">
        <f t="shared" si="6"/>
        <v>41.731499999999997</v>
      </c>
      <c r="L7" s="217"/>
      <c r="M7" s="2"/>
      <c r="N7" s="2"/>
      <c r="O7" s="2"/>
      <c r="P7" s="2"/>
      <c r="Q7" s="2"/>
      <c r="R7" s="2"/>
      <c r="S7" s="2"/>
      <c r="T7" s="2"/>
      <c r="U7" s="2"/>
      <c r="V7" s="78"/>
    </row>
    <row r="8" spans="1:22" x14ac:dyDescent="0.25">
      <c r="A8" s="365" t="str">
        <f>Zones!C8</f>
        <v>Electrical, Mechanical, Telephone Rooms</v>
      </c>
      <c r="B8" s="365" t="str">
        <f>Zones!B8</f>
        <v>ADMIN/MPR_IDF ROOM_ZN</v>
      </c>
      <c r="C8" s="217">
        <f>Zones!K8</f>
        <v>1.7011500000000002</v>
      </c>
      <c r="D8" s="217">
        <f>Zones!H8</f>
        <v>340.23</v>
      </c>
      <c r="E8" s="424">
        <v>15</v>
      </c>
      <c r="F8" s="424">
        <v>0.15</v>
      </c>
      <c r="G8" s="216"/>
      <c r="H8" s="217">
        <f t="shared" si="3"/>
        <v>25.517250000000004</v>
      </c>
      <c r="I8" s="366">
        <f t="shared" si="4"/>
        <v>51.034500000000001</v>
      </c>
      <c r="J8" s="366">
        <f t="shared" si="5"/>
        <v>0</v>
      </c>
      <c r="K8" s="217">
        <f t="shared" si="6"/>
        <v>51.034500000000001</v>
      </c>
      <c r="L8" s="217"/>
      <c r="M8" s="2"/>
      <c r="N8" s="2"/>
      <c r="O8" s="2"/>
      <c r="P8" s="2"/>
      <c r="Q8" s="2"/>
      <c r="R8" s="2"/>
      <c r="S8" s="2"/>
      <c r="T8" s="2"/>
      <c r="U8" s="2"/>
      <c r="V8" s="78"/>
    </row>
    <row r="9" spans="1:22" ht="26.4" x14ac:dyDescent="0.25">
      <c r="A9" s="365" t="str">
        <f>Zones!C9</f>
        <v>Kitchen/Food Preparation Area</v>
      </c>
      <c r="B9" s="365" t="str">
        <f>Zones!B9</f>
        <v>ADMIN/MPR_KITCHEN_ZN</v>
      </c>
      <c r="C9" s="217">
        <f>Zones!K9</f>
        <v>4.3717499999999996</v>
      </c>
      <c r="D9" s="217">
        <f>Zones!H9</f>
        <v>1457.25</v>
      </c>
      <c r="E9" s="424">
        <v>15</v>
      </c>
      <c r="F9" s="424">
        <v>0.15</v>
      </c>
      <c r="G9" s="216">
        <v>0.7</v>
      </c>
      <c r="H9" s="217">
        <f t="shared" si="3"/>
        <v>65.576249999999987</v>
      </c>
      <c r="I9" s="366">
        <f t="shared" si="4"/>
        <v>218.58750000000001</v>
      </c>
      <c r="J9" s="366">
        <f t="shared" si="5"/>
        <v>1020.0749999999999</v>
      </c>
      <c r="K9" s="217">
        <f t="shared" si="6"/>
        <v>1020.0749999999999</v>
      </c>
      <c r="L9" s="366" t="s">
        <v>399</v>
      </c>
      <c r="M9" s="2"/>
      <c r="N9" s="2"/>
      <c r="O9" s="2"/>
      <c r="P9" s="2"/>
      <c r="Q9" s="2"/>
      <c r="R9" s="2"/>
      <c r="S9" s="2"/>
      <c r="T9" s="2"/>
      <c r="U9" s="2"/>
      <c r="V9" s="78"/>
    </row>
    <row r="10" spans="1:22" x14ac:dyDescent="0.25">
      <c r="A10" s="97" t="str">
        <f>Zones!C10</f>
        <v>Lobby, Main Entry</v>
      </c>
      <c r="B10" s="97" t="str">
        <f>Zones!B10</f>
        <v>ADMIN/MPR_LOBBY_ZN</v>
      </c>
      <c r="C10" s="107">
        <f>Zones!K10</f>
        <v>40.968510000000002</v>
      </c>
      <c r="D10" s="107">
        <f>Zones!H10</f>
        <v>1241.47</v>
      </c>
      <c r="E10" s="424">
        <v>15</v>
      </c>
      <c r="F10" s="424">
        <v>0.15</v>
      </c>
      <c r="G10" s="99"/>
      <c r="H10" s="217">
        <f t="shared" si="3"/>
        <v>614.52764999999999</v>
      </c>
      <c r="I10" s="366">
        <f t="shared" si="4"/>
        <v>186.22049999999999</v>
      </c>
      <c r="J10" s="366">
        <f t="shared" si="5"/>
        <v>0</v>
      </c>
      <c r="K10" s="217">
        <f t="shared" si="6"/>
        <v>614.52764999999999</v>
      </c>
      <c r="L10" s="217"/>
      <c r="M10" s="2"/>
      <c r="N10" s="2"/>
      <c r="O10" s="2"/>
      <c r="P10" s="2"/>
      <c r="Q10" s="2"/>
      <c r="R10" s="2"/>
      <c r="S10" s="2"/>
      <c r="T10" s="2"/>
      <c r="U10" s="2"/>
      <c r="V10" s="78"/>
    </row>
    <row r="11" spans="1:22" x14ac:dyDescent="0.25">
      <c r="A11" s="97" t="str">
        <f>Zones!C11</f>
        <v>Office Area (&lt;250 square feet)</v>
      </c>
      <c r="B11" s="97" t="str">
        <f>Zones!B11</f>
        <v>ADMIN/MPR_OFFICE - LT 250 SF ZNS 6_ZN</v>
      </c>
      <c r="C11" s="107">
        <f>Zones!K11</f>
        <v>5.2417499999999997</v>
      </c>
      <c r="D11" s="107">
        <f>Zones!H11</f>
        <v>1048.3499999999999</v>
      </c>
      <c r="E11" s="424">
        <v>15</v>
      </c>
      <c r="F11" s="424">
        <v>0.15</v>
      </c>
      <c r="G11" s="99"/>
      <c r="H11" s="217">
        <f t="shared" si="3"/>
        <v>78.626249999999999</v>
      </c>
      <c r="I11" s="366">
        <f t="shared" si="4"/>
        <v>157.25249999999997</v>
      </c>
      <c r="J11" s="366">
        <f t="shared" si="5"/>
        <v>0</v>
      </c>
      <c r="K11" s="217">
        <f t="shared" si="6"/>
        <v>157.25249999999997</v>
      </c>
      <c r="L11" s="217"/>
      <c r="M11" s="2"/>
      <c r="N11" s="2"/>
      <c r="O11" s="2"/>
      <c r="P11" s="2"/>
      <c r="Q11" s="2"/>
      <c r="R11" s="2"/>
      <c r="S11" s="2"/>
      <c r="T11" s="2"/>
      <c r="U11" s="2"/>
      <c r="V11" s="78"/>
    </row>
    <row r="12" spans="1:22" x14ac:dyDescent="0.25">
      <c r="A12" s="365" t="str">
        <f>Zones!C12</f>
        <v>Restrooms</v>
      </c>
      <c r="B12" s="365" t="str">
        <f>Zones!B12</f>
        <v>ADMIN/MPR_RESTROOM ZNS 3_ZN</v>
      </c>
      <c r="C12" s="217">
        <f>Zones!K12</f>
        <v>4.5058499999999997</v>
      </c>
      <c r="D12" s="217">
        <f>Zones!H12</f>
        <v>901.17</v>
      </c>
      <c r="E12" s="424">
        <v>0</v>
      </c>
      <c r="F12" s="424">
        <v>0</v>
      </c>
      <c r="G12" s="216">
        <v>0.5</v>
      </c>
      <c r="H12" s="217">
        <f t="shared" si="3"/>
        <v>0</v>
      </c>
      <c r="I12" s="366">
        <f t="shared" si="4"/>
        <v>0</v>
      </c>
      <c r="J12" s="366">
        <f t="shared" si="5"/>
        <v>450.58499999999998</v>
      </c>
      <c r="K12" s="217">
        <f t="shared" si="6"/>
        <v>450.58499999999998</v>
      </c>
      <c r="L12" s="366" t="s">
        <v>400</v>
      </c>
      <c r="M12" s="2"/>
      <c r="N12" s="2"/>
      <c r="O12" s="2"/>
      <c r="P12" s="2"/>
      <c r="Q12" s="2"/>
      <c r="R12" s="2"/>
      <c r="S12" s="2"/>
      <c r="T12" s="2"/>
      <c r="U12" s="2"/>
      <c r="V12" s="78"/>
    </row>
    <row r="13" spans="1:22" x14ac:dyDescent="0.25">
      <c r="A13" s="365" t="str">
        <f>Zones!C13</f>
        <v>Storage (General)</v>
      </c>
      <c r="B13" s="365" t="str">
        <f>Zones!B13</f>
        <v>ADMIN/MPR_STORAGE - GENERAL_ZN</v>
      </c>
      <c r="C13" s="217">
        <f>Zones!K13</f>
        <v>6.2386499999999998</v>
      </c>
      <c r="D13" s="217">
        <f>Zones!H13</f>
        <v>1247.73</v>
      </c>
      <c r="E13" s="424">
        <v>15</v>
      </c>
      <c r="F13" s="424">
        <v>0.15</v>
      </c>
      <c r="G13" s="99"/>
      <c r="H13" s="217">
        <f t="shared" si="3"/>
        <v>93.57974999999999</v>
      </c>
      <c r="I13" s="366">
        <f t="shared" si="4"/>
        <v>187.15950000000001</v>
      </c>
      <c r="J13" s="366">
        <f t="shared" si="5"/>
        <v>0</v>
      </c>
      <c r="K13" s="217">
        <f t="shared" si="6"/>
        <v>187.15950000000001</v>
      </c>
      <c r="L13" s="217"/>
      <c r="M13" s="2"/>
      <c r="N13" s="2"/>
      <c r="O13" s="2"/>
      <c r="P13" s="2"/>
      <c r="Q13" s="2"/>
      <c r="R13" s="2"/>
      <c r="S13" s="2"/>
      <c r="T13" s="2"/>
      <c r="U13" s="2"/>
      <c r="V13" s="78"/>
    </row>
    <row r="14" spans="1:22" x14ac:dyDescent="0.25">
      <c r="A14" s="365" t="str">
        <f>Zones!C14</f>
        <v>Storage, Commercial/Industrial (Refrigerated)</v>
      </c>
      <c r="B14" s="365" t="str">
        <f>Zones!B14</f>
        <v>ADMIN/MPR_STORAGE - REFRIGERATED_ZN</v>
      </c>
      <c r="C14" s="217">
        <f>Zones!K14</f>
        <v>0</v>
      </c>
      <c r="D14" s="217">
        <f>Zones!H14</f>
        <v>251.72</v>
      </c>
      <c r="E14" s="424">
        <v>0</v>
      </c>
      <c r="F14" s="424">
        <v>0</v>
      </c>
      <c r="G14" s="99"/>
      <c r="H14" s="217">
        <f t="shared" si="3"/>
        <v>0</v>
      </c>
      <c r="I14" s="366">
        <f t="shared" si="4"/>
        <v>0</v>
      </c>
      <c r="J14" s="366">
        <f t="shared" si="5"/>
        <v>0</v>
      </c>
      <c r="K14" s="217">
        <f t="shared" si="6"/>
        <v>0</v>
      </c>
      <c r="L14" s="217"/>
      <c r="M14" s="2"/>
      <c r="N14" s="2"/>
      <c r="O14" s="2"/>
      <c r="P14" s="2"/>
      <c r="Q14" s="2"/>
      <c r="R14" s="2"/>
      <c r="S14" s="2"/>
      <c r="T14" s="2"/>
      <c r="U14" s="2"/>
      <c r="V14" s="78"/>
    </row>
    <row r="15" spans="1:22" x14ac:dyDescent="0.25">
      <c r="A15" s="365" t="str">
        <f>Zones!C15</f>
        <v>Theater Area (Performance)</v>
      </c>
      <c r="B15" s="365" t="str">
        <f>Zones!B15</f>
        <v>ADMIN/MPR_THEATER - PERFORMANCE_ZN</v>
      </c>
      <c r="C15" s="217">
        <f>Zones!K15</f>
        <v>35.163479999999993</v>
      </c>
      <c r="D15" s="217">
        <f>Zones!H15</f>
        <v>1065.56</v>
      </c>
      <c r="E15" s="424">
        <v>15</v>
      </c>
      <c r="F15" s="424">
        <v>0.15</v>
      </c>
      <c r="G15" s="216"/>
      <c r="H15" s="217">
        <f t="shared" si="3"/>
        <v>527.45219999999995</v>
      </c>
      <c r="I15" s="366">
        <f t="shared" si="4"/>
        <v>159.83399999999997</v>
      </c>
      <c r="J15" s="366">
        <f t="shared" si="5"/>
        <v>0</v>
      </c>
      <c r="K15" s="217">
        <f t="shared" si="6"/>
        <v>527.45219999999995</v>
      </c>
      <c r="L15" s="217"/>
      <c r="M15" s="2"/>
      <c r="N15" s="2"/>
      <c r="O15" s="2"/>
      <c r="P15" s="2"/>
      <c r="Q15" s="2"/>
      <c r="R15" s="2"/>
      <c r="S15" s="2"/>
      <c r="T15" s="2"/>
      <c r="U15" s="2"/>
      <c r="V15" s="78"/>
    </row>
    <row r="16" spans="1:22" x14ac:dyDescent="0.25">
      <c r="A16" s="365" t="str">
        <f>Zones!C16</f>
        <v>Electrical, Mechanical, Telephone Rooms</v>
      </c>
      <c r="B16" s="365" t="str">
        <f>Zones!B16</f>
        <v>CLASSRM LAB_FLR 1_EMT-01_ZN</v>
      </c>
      <c r="C16" s="217">
        <f>Zones!K16</f>
        <v>0.60505000000000009</v>
      </c>
      <c r="D16" s="217">
        <f>Zones!H16</f>
        <v>121.01</v>
      </c>
      <c r="E16" s="424">
        <v>15</v>
      </c>
      <c r="F16" s="424">
        <v>0.15</v>
      </c>
      <c r="G16" s="99"/>
      <c r="H16" s="217">
        <f t="shared" si="3"/>
        <v>9.0757500000000011</v>
      </c>
      <c r="I16" s="366">
        <f t="shared" si="4"/>
        <v>18.151499999999999</v>
      </c>
      <c r="J16" s="366">
        <f t="shared" si="5"/>
        <v>0</v>
      </c>
      <c r="K16" s="217">
        <f t="shared" si="6"/>
        <v>18.151499999999999</v>
      </c>
      <c r="L16" s="217"/>
      <c r="M16" s="2"/>
      <c r="N16" s="2"/>
      <c r="O16" s="2"/>
      <c r="P16" s="2"/>
      <c r="Q16" s="2"/>
      <c r="R16" s="2"/>
      <c r="S16" s="2"/>
      <c r="T16" s="2"/>
      <c r="U16" s="2"/>
      <c r="V16" s="78"/>
    </row>
    <row r="17" spans="1:22" x14ac:dyDescent="0.25">
      <c r="A17" s="365" t="str">
        <f>Zones!C17</f>
        <v>Electrical, Mechanical, Telephone Rooms</v>
      </c>
      <c r="B17" s="365" t="str">
        <f>Zones!B17</f>
        <v>CLASSRM LAB_FLR 1_EMT-02_ZN</v>
      </c>
      <c r="C17" s="217">
        <f>Zones!K17</f>
        <v>0.49004999999999999</v>
      </c>
      <c r="D17" s="217">
        <f>Zones!H17</f>
        <v>98.01</v>
      </c>
      <c r="E17" s="424">
        <v>15</v>
      </c>
      <c r="F17" s="424">
        <v>0.15</v>
      </c>
      <c r="G17" s="99"/>
      <c r="H17" s="217">
        <f t="shared" si="3"/>
        <v>7.3507499999999997</v>
      </c>
      <c r="I17" s="366">
        <f t="shared" si="4"/>
        <v>14.701499999999999</v>
      </c>
      <c r="J17" s="366">
        <f t="shared" si="5"/>
        <v>0</v>
      </c>
      <c r="K17" s="217">
        <f t="shared" si="6"/>
        <v>14.701499999999999</v>
      </c>
      <c r="L17" s="217"/>
      <c r="M17" s="2"/>
      <c r="N17" s="2"/>
      <c r="O17" s="2"/>
      <c r="P17" s="2"/>
      <c r="Q17" s="2"/>
      <c r="R17" s="2"/>
      <c r="S17" s="2"/>
      <c r="T17" s="2"/>
      <c r="U17" s="2"/>
      <c r="V17" s="78"/>
    </row>
    <row r="18" spans="1:22" x14ac:dyDescent="0.25">
      <c r="A18" s="365" t="str">
        <f>Zones!C18</f>
        <v>Laboratory, Scientific</v>
      </c>
      <c r="B18" s="365" t="str">
        <f>Zones!B18</f>
        <v>CLASSRM LAB_FLR 1_LAB ZNS 2_ZN</v>
      </c>
      <c r="C18" s="217">
        <f>Zones!K18</f>
        <v>51.3735</v>
      </c>
      <c r="D18" s="217">
        <f>Zones!H18</f>
        <v>2054.94</v>
      </c>
      <c r="E18" s="424">
        <v>15</v>
      </c>
      <c r="F18" s="424">
        <v>0.15</v>
      </c>
      <c r="G18" s="216">
        <v>1</v>
      </c>
      <c r="H18" s="217">
        <f t="shared" si="3"/>
        <v>770.60249999999996</v>
      </c>
      <c r="I18" s="366">
        <f t="shared" si="4"/>
        <v>308.24099999999999</v>
      </c>
      <c r="J18" s="366">
        <f t="shared" si="5"/>
        <v>2054.94</v>
      </c>
      <c r="K18" s="217">
        <f t="shared" si="6"/>
        <v>2054.94</v>
      </c>
      <c r="L18" s="366" t="s">
        <v>401</v>
      </c>
      <c r="M18" s="2"/>
      <c r="N18" s="2"/>
      <c r="O18" s="2"/>
      <c r="P18" s="2"/>
      <c r="Q18" s="2"/>
      <c r="R18" s="2"/>
      <c r="S18" s="2"/>
      <c r="T18" s="2"/>
      <c r="U18" s="2"/>
      <c r="V18" s="78"/>
    </row>
    <row r="19" spans="1:22" x14ac:dyDescent="0.25">
      <c r="A19" s="365" t="str">
        <f>Zones!C19</f>
        <v>Library (Reading Area)</v>
      </c>
      <c r="B19" s="365" t="str">
        <f>Zones!B19</f>
        <v>CLASSRM LAB_FLR 1_LIBRARY - READING AREA_ZN</v>
      </c>
      <c r="C19" s="217">
        <f>Zones!K19</f>
        <v>11.971300000000001</v>
      </c>
      <c r="D19" s="217">
        <f>Zones!H19</f>
        <v>1197.1300000000001</v>
      </c>
      <c r="E19" s="424">
        <v>15</v>
      </c>
      <c r="F19" s="424">
        <v>0.15</v>
      </c>
      <c r="G19" s="99"/>
      <c r="H19" s="217">
        <f t="shared" si="3"/>
        <v>179.56950000000001</v>
      </c>
      <c r="I19" s="366">
        <f t="shared" si="4"/>
        <v>179.56950000000001</v>
      </c>
      <c r="J19" s="366">
        <f t="shared" si="5"/>
        <v>0</v>
      </c>
      <c r="K19" s="217">
        <f t="shared" si="6"/>
        <v>179.56950000000001</v>
      </c>
      <c r="L19" s="217"/>
      <c r="M19" s="2"/>
      <c r="N19" s="2"/>
      <c r="O19" s="2"/>
      <c r="P19" s="2"/>
      <c r="Q19" s="2"/>
      <c r="R19" s="2"/>
      <c r="S19" s="2"/>
      <c r="T19" s="2"/>
      <c r="U19" s="2"/>
      <c r="V19" s="78"/>
    </row>
    <row r="20" spans="1:22" x14ac:dyDescent="0.25">
      <c r="A20" s="365" t="str">
        <f>Zones!C20</f>
        <v>Restrooms</v>
      </c>
      <c r="B20" s="365" t="str">
        <f>Zones!B20</f>
        <v>CLASSRM LAB_FLR 1_RESTROOM_ZN</v>
      </c>
      <c r="C20" s="217">
        <f>Zones!K20</f>
        <v>2.8152499999999998</v>
      </c>
      <c r="D20" s="217">
        <f>Zones!H20</f>
        <v>563.04999999999995</v>
      </c>
      <c r="E20" s="424">
        <v>0</v>
      </c>
      <c r="F20" s="424">
        <v>0</v>
      </c>
      <c r="G20" s="216">
        <v>0.5</v>
      </c>
      <c r="H20" s="217">
        <f t="shared" si="3"/>
        <v>0</v>
      </c>
      <c r="I20" s="366">
        <f t="shared" si="4"/>
        <v>0</v>
      </c>
      <c r="J20" s="366">
        <f t="shared" si="5"/>
        <v>281.52499999999998</v>
      </c>
      <c r="K20" s="217">
        <f t="shared" si="6"/>
        <v>281.52499999999998</v>
      </c>
      <c r="L20" s="217"/>
      <c r="M20" s="2"/>
      <c r="N20" s="2"/>
      <c r="O20" s="2"/>
      <c r="P20" s="2"/>
      <c r="Q20" s="2"/>
      <c r="R20" s="2"/>
      <c r="S20" s="2"/>
      <c r="T20" s="2"/>
      <c r="U20" s="2"/>
      <c r="V20" s="78"/>
    </row>
    <row r="21" spans="1:22" x14ac:dyDescent="0.25">
      <c r="A21" s="365" t="str">
        <f>Zones!C21</f>
        <v>Storage (General)</v>
      </c>
      <c r="B21" s="365" t="str">
        <f>Zones!B21</f>
        <v>CLASSRM LAB_FLR 1_STORAGE - GENERAL_ZN</v>
      </c>
      <c r="C21" s="217">
        <f>Zones!K21</f>
        <v>1.9041999999999999</v>
      </c>
      <c r="D21" s="217">
        <f>Zones!H21</f>
        <v>380.84</v>
      </c>
      <c r="E21" s="424">
        <v>15</v>
      </c>
      <c r="F21" s="424">
        <v>0.15</v>
      </c>
      <c r="G21" s="99"/>
      <c r="H21" s="217">
        <f t="shared" ref="H21:H44" si="7">C21*E21</f>
        <v>28.562999999999999</v>
      </c>
      <c r="I21" s="366">
        <f t="shared" ref="I21:I44" si="8">D21*F21</f>
        <v>57.125999999999998</v>
      </c>
      <c r="J21" s="366">
        <f t="shared" ref="J21:J44" si="9">G21*D21</f>
        <v>0</v>
      </c>
      <c r="K21" s="217">
        <f t="shared" ref="K21:K44" si="10">MAX(H21,I21,J21)</f>
        <v>57.125999999999998</v>
      </c>
      <c r="L21" s="217"/>
      <c r="M21" s="2"/>
      <c r="N21" s="2"/>
      <c r="O21" s="2"/>
      <c r="P21" s="2"/>
      <c r="Q21" s="2"/>
      <c r="R21" s="2"/>
      <c r="S21" s="2"/>
      <c r="T21" s="2"/>
      <c r="U21" s="2"/>
      <c r="V21" s="78"/>
    </row>
    <row r="22" spans="1:22" x14ac:dyDescent="0.25">
      <c r="A22" s="365" t="str">
        <f>Zones!C22</f>
        <v>Classroom, Lecture, Training, Vocational Areas</v>
      </c>
      <c r="B22" s="365" t="str">
        <f>Zones!B22</f>
        <v>CLASSRM LAB_FLR 2_CLASSROOM_ZN</v>
      </c>
      <c r="C22" s="217">
        <f>Zones!K22</f>
        <v>9.5210000000000008</v>
      </c>
      <c r="D22" s="217">
        <f>Zones!H22</f>
        <v>380.84</v>
      </c>
      <c r="E22" s="424">
        <v>15</v>
      </c>
      <c r="F22" s="424">
        <v>0.15</v>
      </c>
      <c r="G22" s="99"/>
      <c r="H22" s="217">
        <f t="shared" si="7"/>
        <v>142.815</v>
      </c>
      <c r="I22" s="366">
        <f t="shared" si="8"/>
        <v>57.125999999999998</v>
      </c>
      <c r="J22" s="366">
        <f t="shared" si="9"/>
        <v>0</v>
      </c>
      <c r="K22" s="217">
        <f t="shared" si="10"/>
        <v>142.815</v>
      </c>
      <c r="L22" s="217"/>
      <c r="M22" s="2"/>
      <c r="N22" s="2"/>
      <c r="O22" s="2"/>
      <c r="P22" s="2"/>
      <c r="Q22" s="2"/>
      <c r="R22" s="2"/>
      <c r="S22" s="2"/>
      <c r="T22" s="2"/>
      <c r="U22" s="2"/>
      <c r="V22" s="78"/>
    </row>
    <row r="23" spans="1:22" x14ac:dyDescent="0.25">
      <c r="A23" s="365" t="str">
        <f>Zones!C23</f>
        <v>Electrical, Mechanical, Telephone Rooms</v>
      </c>
      <c r="B23" s="365" t="str">
        <f>Zones!B23</f>
        <v>CLASSRM LAB_FLR 2_IDF ROOM_ZN</v>
      </c>
      <c r="C23" s="217">
        <f>Zones!K23</f>
        <v>0.60505000000000009</v>
      </c>
      <c r="D23" s="217">
        <f>Zones!H23</f>
        <v>121.01</v>
      </c>
      <c r="E23" s="424">
        <v>15</v>
      </c>
      <c r="F23" s="424">
        <v>0.15</v>
      </c>
      <c r="G23" s="99"/>
      <c r="H23" s="217">
        <f t="shared" si="7"/>
        <v>9.0757500000000011</v>
      </c>
      <c r="I23" s="366">
        <f t="shared" si="8"/>
        <v>18.151499999999999</v>
      </c>
      <c r="J23" s="366">
        <f t="shared" si="9"/>
        <v>0</v>
      </c>
      <c r="K23" s="217">
        <f t="shared" si="10"/>
        <v>18.151499999999999</v>
      </c>
      <c r="L23" s="217"/>
      <c r="M23" s="2"/>
      <c r="N23" s="2"/>
      <c r="O23" s="2"/>
      <c r="P23" s="2"/>
      <c r="Q23" s="2"/>
      <c r="R23" s="2"/>
      <c r="S23" s="2"/>
      <c r="T23" s="2"/>
      <c r="U23" s="2"/>
      <c r="V23" s="78"/>
    </row>
    <row r="24" spans="1:22" x14ac:dyDescent="0.25">
      <c r="A24" s="365" t="str">
        <f>Zones!C24</f>
        <v>Laboratory, Scientific</v>
      </c>
      <c r="B24" s="365" t="str">
        <f>Zones!B24</f>
        <v>CLASSRM LAB_FLR 2_LAB ZNS 3_ZN</v>
      </c>
      <c r="C24" s="217">
        <f>Zones!K24</f>
        <v>81.301500000000004</v>
      </c>
      <c r="D24" s="217">
        <f>Zones!H24</f>
        <v>3252.06</v>
      </c>
      <c r="E24" s="424">
        <v>15</v>
      </c>
      <c r="F24" s="424">
        <v>0.15</v>
      </c>
      <c r="G24" s="216">
        <v>1</v>
      </c>
      <c r="H24" s="217">
        <f t="shared" si="7"/>
        <v>1219.5225</v>
      </c>
      <c r="I24" s="366">
        <f t="shared" si="8"/>
        <v>487.80899999999997</v>
      </c>
      <c r="J24" s="366">
        <f t="shared" si="9"/>
        <v>3252.06</v>
      </c>
      <c r="K24" s="217">
        <f t="shared" si="10"/>
        <v>3252.06</v>
      </c>
      <c r="L24" s="217"/>
      <c r="M24" s="2"/>
      <c r="N24" s="2"/>
      <c r="O24" s="2"/>
      <c r="P24" s="2"/>
      <c r="Q24" s="2"/>
      <c r="R24" s="2"/>
      <c r="S24" s="2"/>
      <c r="T24" s="2"/>
      <c r="U24" s="2"/>
      <c r="V24" s="78"/>
    </row>
    <row r="25" spans="1:22" x14ac:dyDescent="0.25">
      <c r="A25" s="365" t="str">
        <f>Zones!C25</f>
        <v>Restrooms</v>
      </c>
      <c r="B25" s="365" t="str">
        <f>Zones!B25</f>
        <v>CLASSRM LAB_FLR 2_RESTROOM_ZN</v>
      </c>
      <c r="C25" s="217">
        <f>Zones!K25</f>
        <v>2.8152499999999998</v>
      </c>
      <c r="D25" s="217">
        <f>Zones!H25</f>
        <v>563.04999999999995</v>
      </c>
      <c r="E25" s="424">
        <v>0</v>
      </c>
      <c r="F25" s="424">
        <v>0</v>
      </c>
      <c r="G25" s="216">
        <v>0.5</v>
      </c>
      <c r="H25" s="217">
        <f t="shared" si="7"/>
        <v>0</v>
      </c>
      <c r="I25" s="366">
        <f t="shared" si="8"/>
        <v>0</v>
      </c>
      <c r="J25" s="366">
        <f t="shared" si="9"/>
        <v>281.52499999999998</v>
      </c>
      <c r="K25" s="217">
        <f t="shared" si="10"/>
        <v>281.52499999999998</v>
      </c>
      <c r="L25" s="217"/>
      <c r="M25" s="2"/>
      <c r="N25" s="2"/>
      <c r="O25" s="2"/>
      <c r="P25" s="2"/>
      <c r="Q25" s="2"/>
      <c r="R25" s="2"/>
      <c r="S25" s="2"/>
      <c r="T25" s="2"/>
      <c r="U25" s="2"/>
      <c r="V25" s="78"/>
    </row>
    <row r="26" spans="1:22" x14ac:dyDescent="0.25">
      <c r="A26" s="365" t="str">
        <f>Zones!C26</f>
        <v>Storage (General)</v>
      </c>
      <c r="B26" s="365" t="str">
        <f>Zones!B26</f>
        <v>CLASSRM LAB_FLR 2_STORAGE - GENERAL_ZN</v>
      </c>
      <c r="C26" s="217">
        <f>Zones!K26</f>
        <v>0.49004999999999999</v>
      </c>
      <c r="D26" s="217">
        <f>Zones!H26</f>
        <v>98.01</v>
      </c>
      <c r="E26" s="424">
        <v>15</v>
      </c>
      <c r="F26" s="424">
        <v>0.15</v>
      </c>
      <c r="G26" s="99"/>
      <c r="H26" s="217">
        <f t="shared" si="7"/>
        <v>7.3507499999999997</v>
      </c>
      <c r="I26" s="366">
        <f t="shared" si="8"/>
        <v>14.701499999999999</v>
      </c>
      <c r="J26" s="366">
        <f t="shared" si="9"/>
        <v>0</v>
      </c>
      <c r="K26" s="217">
        <f t="shared" si="10"/>
        <v>14.701499999999999</v>
      </c>
      <c r="L26" s="217"/>
      <c r="M26" s="2"/>
      <c r="N26" s="2"/>
      <c r="O26" s="2"/>
      <c r="P26" s="2"/>
      <c r="Q26" s="2"/>
      <c r="R26" s="2"/>
      <c r="S26" s="2"/>
      <c r="T26" s="2"/>
      <c r="U26" s="2"/>
      <c r="V26" s="78"/>
    </row>
    <row r="27" spans="1:22" x14ac:dyDescent="0.25">
      <c r="A27" s="365" t="str">
        <f>Zones!C27</f>
        <v>Classroom, Lecture, Training, Vocational Areas</v>
      </c>
      <c r="B27" s="365" t="str">
        <f>Zones!B27</f>
        <v>CLASSRM N_FLR 1_CLASSROOM-01_ZN</v>
      </c>
      <c r="C27" s="217">
        <f>Zones!K27</f>
        <v>25.043749999999999</v>
      </c>
      <c r="D27" s="217">
        <f>Zones!H27</f>
        <v>1001.75</v>
      </c>
      <c r="E27" s="424">
        <v>15</v>
      </c>
      <c r="F27" s="424">
        <v>0.15</v>
      </c>
      <c r="G27" s="99"/>
      <c r="H27" s="217">
        <f t="shared" si="7"/>
        <v>375.65625</v>
      </c>
      <c r="I27" s="366">
        <f t="shared" si="8"/>
        <v>150.26249999999999</v>
      </c>
      <c r="J27" s="366">
        <f t="shared" si="9"/>
        <v>0</v>
      </c>
      <c r="K27" s="217">
        <f t="shared" si="10"/>
        <v>375.65625</v>
      </c>
      <c r="L27" s="217"/>
      <c r="M27" s="2"/>
      <c r="N27" s="2"/>
      <c r="O27" s="2"/>
      <c r="P27" s="2"/>
      <c r="Q27" s="2"/>
      <c r="R27" s="2"/>
      <c r="S27" s="2"/>
      <c r="T27" s="2"/>
      <c r="U27" s="2"/>
      <c r="V27" s="78"/>
    </row>
    <row r="28" spans="1:22" x14ac:dyDescent="0.25">
      <c r="A28" s="365" t="str">
        <f>Zones!C28</f>
        <v>Classroom, Lecture, Training, Vocational Areas</v>
      </c>
      <c r="B28" s="365" t="str">
        <f>Zones!B28</f>
        <v>CLASSRM N_FLR 1_CLASSROOM-02 ZNS 6_ZN</v>
      </c>
      <c r="C28" s="217">
        <f>Zones!K28</f>
        <v>151.35075000000001</v>
      </c>
      <c r="D28" s="217">
        <f>Zones!H28</f>
        <v>6054.03</v>
      </c>
      <c r="E28" s="424">
        <v>15</v>
      </c>
      <c r="F28" s="424">
        <v>0.15</v>
      </c>
      <c r="G28" s="99"/>
      <c r="H28" s="217">
        <f t="shared" si="7"/>
        <v>2270.26125</v>
      </c>
      <c r="I28" s="366">
        <f t="shared" si="8"/>
        <v>908.10449999999992</v>
      </c>
      <c r="J28" s="366">
        <f t="shared" si="9"/>
        <v>0</v>
      </c>
      <c r="K28" s="217">
        <f t="shared" si="10"/>
        <v>2270.26125</v>
      </c>
      <c r="L28" s="217"/>
      <c r="M28" s="2"/>
      <c r="N28" s="2"/>
      <c r="O28" s="2"/>
      <c r="P28" s="2"/>
      <c r="Q28" s="2"/>
      <c r="R28" s="2"/>
      <c r="S28" s="2"/>
      <c r="T28" s="2"/>
      <c r="U28" s="2"/>
      <c r="V28" s="78"/>
    </row>
    <row r="29" spans="1:22" x14ac:dyDescent="0.25">
      <c r="A29" s="365" t="str">
        <f>Zones!C29</f>
        <v>Office Area (&lt;250 square feet)</v>
      </c>
      <c r="B29" s="365" t="str">
        <f>Zones!B29</f>
        <v>CLASSRM N_FLR 1_OFFICE - LT 250 SF_ZN</v>
      </c>
      <c r="C29" s="217">
        <f>Zones!K29</f>
        <v>1.44065</v>
      </c>
      <c r="D29" s="217">
        <f>Zones!H29</f>
        <v>288.13</v>
      </c>
      <c r="E29" s="424">
        <v>15</v>
      </c>
      <c r="F29" s="424">
        <v>0.15</v>
      </c>
      <c r="G29" s="99"/>
      <c r="H29" s="217">
        <f t="shared" si="7"/>
        <v>21.609749999999998</v>
      </c>
      <c r="I29" s="366">
        <f t="shared" si="8"/>
        <v>43.219499999999996</v>
      </c>
      <c r="J29" s="366">
        <f t="shared" si="9"/>
        <v>0</v>
      </c>
      <c r="K29" s="217">
        <f t="shared" si="10"/>
        <v>43.219499999999996</v>
      </c>
      <c r="L29" s="217"/>
      <c r="M29" s="2"/>
      <c r="N29" s="2"/>
      <c r="O29" s="2"/>
      <c r="P29" s="2"/>
      <c r="Q29" s="2"/>
      <c r="R29" s="2"/>
      <c r="S29" s="2"/>
      <c r="T29" s="2"/>
      <c r="U29" s="2"/>
      <c r="V29" s="78"/>
    </row>
    <row r="30" spans="1:22" x14ac:dyDescent="0.25">
      <c r="A30" s="365" t="str">
        <f>Zones!C30</f>
        <v>Restrooms</v>
      </c>
      <c r="B30" s="365" t="str">
        <f>Zones!B30</f>
        <v>CLASSRM N_FLR 1_RESTROOM_ZN</v>
      </c>
      <c r="C30" s="217">
        <f>Zones!K30</f>
        <v>2.6635</v>
      </c>
      <c r="D30" s="217">
        <f>Zones!H30</f>
        <v>532.70000000000005</v>
      </c>
      <c r="E30" s="424">
        <v>0</v>
      </c>
      <c r="F30" s="424">
        <v>0</v>
      </c>
      <c r="G30" s="216">
        <v>0.5</v>
      </c>
      <c r="H30" s="217">
        <f t="shared" si="7"/>
        <v>0</v>
      </c>
      <c r="I30" s="366">
        <f t="shared" si="8"/>
        <v>0</v>
      </c>
      <c r="J30" s="366">
        <f t="shared" si="9"/>
        <v>266.35000000000002</v>
      </c>
      <c r="K30" s="217">
        <f t="shared" si="10"/>
        <v>266.35000000000002</v>
      </c>
      <c r="L30" s="217"/>
      <c r="M30" s="2"/>
      <c r="N30" s="2"/>
      <c r="O30" s="2"/>
      <c r="P30" s="2"/>
      <c r="Q30" s="2"/>
      <c r="R30" s="2"/>
      <c r="S30" s="2"/>
      <c r="T30" s="2"/>
      <c r="U30" s="2"/>
      <c r="V30" s="78"/>
    </row>
    <row r="31" spans="1:22" x14ac:dyDescent="0.25">
      <c r="A31" s="365" t="str">
        <f>Zones!C31</f>
        <v>Classroom, Lecture, Training, Vocational Areas</v>
      </c>
      <c r="B31" s="365" t="str">
        <f>Zones!B31</f>
        <v>CLASSRM N_FLR 2_CLASSROOM-01 ZNS 6_ZN</v>
      </c>
      <c r="C31" s="217">
        <f>Zones!K31</f>
        <v>151.35075000000001</v>
      </c>
      <c r="D31" s="217">
        <f>Zones!H31</f>
        <v>6054.03</v>
      </c>
      <c r="E31" s="424">
        <v>15</v>
      </c>
      <c r="F31" s="424">
        <v>0.15</v>
      </c>
      <c r="G31" s="99"/>
      <c r="H31" s="217">
        <f t="shared" si="7"/>
        <v>2270.26125</v>
      </c>
      <c r="I31" s="366">
        <f t="shared" si="8"/>
        <v>908.10449999999992</v>
      </c>
      <c r="J31" s="366">
        <f t="shared" si="9"/>
        <v>0</v>
      </c>
      <c r="K31" s="217">
        <f t="shared" si="10"/>
        <v>2270.26125</v>
      </c>
      <c r="L31" s="217"/>
      <c r="M31" s="2"/>
      <c r="N31" s="2"/>
      <c r="O31" s="2"/>
      <c r="P31" s="2"/>
      <c r="Q31" s="2"/>
      <c r="R31" s="2"/>
      <c r="S31" s="2"/>
      <c r="T31" s="2"/>
      <c r="U31" s="2"/>
      <c r="V31" s="78"/>
    </row>
    <row r="32" spans="1:22" x14ac:dyDescent="0.25">
      <c r="A32" s="365" t="str">
        <f>Zones!C32</f>
        <v>Classroom, Lecture, Training, Vocational Areas</v>
      </c>
      <c r="B32" s="365" t="str">
        <f>Zones!B32</f>
        <v>CLASSRM N_FLR 2_CLASSROOM-02_ZN</v>
      </c>
      <c r="C32" s="217">
        <f>Zones!K32</f>
        <v>25.043749999999999</v>
      </c>
      <c r="D32" s="217">
        <f>Zones!H32</f>
        <v>1001.75</v>
      </c>
      <c r="E32" s="424">
        <v>15</v>
      </c>
      <c r="F32" s="424">
        <v>0.15</v>
      </c>
      <c r="G32" s="99"/>
      <c r="H32" s="217">
        <f t="shared" si="7"/>
        <v>375.65625</v>
      </c>
      <c r="I32" s="366">
        <f t="shared" si="8"/>
        <v>150.26249999999999</v>
      </c>
      <c r="J32" s="366">
        <f t="shared" si="9"/>
        <v>0</v>
      </c>
      <c r="K32" s="217">
        <f t="shared" si="10"/>
        <v>375.65625</v>
      </c>
      <c r="L32" s="217"/>
      <c r="M32" s="2"/>
      <c r="N32" s="2"/>
      <c r="O32" s="2"/>
      <c r="P32" s="2"/>
      <c r="Q32" s="2"/>
      <c r="R32" s="2"/>
      <c r="S32" s="2"/>
      <c r="T32" s="2"/>
      <c r="U32" s="2"/>
      <c r="V32" s="78"/>
    </row>
    <row r="33" spans="1:22" x14ac:dyDescent="0.25">
      <c r="A33" s="365" t="str">
        <f>Zones!C33</f>
        <v>Office Area (&lt;250 square feet)</v>
      </c>
      <c r="B33" s="365" t="str">
        <f>Zones!B33</f>
        <v>CLASSRM N_FLR 2_OFFICE - LT 250 SF_ZN</v>
      </c>
      <c r="C33" s="217">
        <f>Zones!K33</f>
        <v>1.44065</v>
      </c>
      <c r="D33" s="217">
        <f>Zones!H33</f>
        <v>288.13</v>
      </c>
      <c r="E33" s="424">
        <v>15</v>
      </c>
      <c r="F33" s="424">
        <v>0.15</v>
      </c>
      <c r="G33" s="99"/>
      <c r="H33" s="217">
        <f t="shared" si="7"/>
        <v>21.609749999999998</v>
      </c>
      <c r="I33" s="366">
        <f t="shared" si="8"/>
        <v>43.219499999999996</v>
      </c>
      <c r="J33" s="366">
        <f t="shared" si="9"/>
        <v>0</v>
      </c>
      <c r="K33" s="217">
        <f t="shared" si="10"/>
        <v>43.219499999999996</v>
      </c>
      <c r="L33" s="217"/>
      <c r="M33" s="2"/>
      <c r="N33" s="2"/>
      <c r="O33" s="2"/>
      <c r="P33" s="2"/>
      <c r="Q33" s="2"/>
      <c r="R33" s="2"/>
      <c r="S33" s="2"/>
      <c r="T33" s="2"/>
      <c r="U33" s="2"/>
      <c r="V33" s="78"/>
    </row>
    <row r="34" spans="1:22" x14ac:dyDescent="0.25">
      <c r="A34" s="365" t="str">
        <f>Zones!C34</f>
        <v>Restrooms</v>
      </c>
      <c r="B34" s="365" t="str">
        <f>Zones!B34</f>
        <v>CLASSRM N_FLR 2_RESTROOM_ZN</v>
      </c>
      <c r="C34" s="217">
        <f>Zones!K34</f>
        <v>2.6635</v>
      </c>
      <c r="D34" s="217">
        <f>Zones!H34</f>
        <v>532.70000000000005</v>
      </c>
      <c r="E34" s="424">
        <v>0</v>
      </c>
      <c r="F34" s="424">
        <v>0</v>
      </c>
      <c r="G34" s="216">
        <v>0.5</v>
      </c>
      <c r="H34" s="217">
        <f t="shared" si="7"/>
        <v>0</v>
      </c>
      <c r="I34" s="366">
        <f t="shared" si="8"/>
        <v>0</v>
      </c>
      <c r="J34" s="366">
        <f t="shared" si="9"/>
        <v>266.35000000000002</v>
      </c>
      <c r="K34" s="217">
        <f t="shared" si="10"/>
        <v>266.35000000000002</v>
      </c>
      <c r="L34" s="217"/>
      <c r="M34" s="2"/>
      <c r="N34" s="2"/>
      <c r="O34" s="2"/>
      <c r="P34" s="2"/>
      <c r="Q34" s="2"/>
      <c r="R34" s="2"/>
      <c r="S34" s="2"/>
      <c r="T34" s="2"/>
      <c r="U34" s="2"/>
      <c r="V34" s="78"/>
    </row>
    <row r="35" spans="1:22" x14ac:dyDescent="0.25">
      <c r="A35" s="365" t="str">
        <f>Zones!C35</f>
        <v>Electrical, Mechanical, Telephone Rooms</v>
      </c>
      <c r="B35" s="365" t="str">
        <f>Zones!B35</f>
        <v>CLASSRM SHOP_EMT_ZN</v>
      </c>
      <c r="C35" s="217">
        <f>Zones!K35</f>
        <v>0.85435000000000005</v>
      </c>
      <c r="D35" s="217">
        <f>Zones!H35</f>
        <v>170.87</v>
      </c>
      <c r="E35" s="424">
        <v>15</v>
      </c>
      <c r="F35" s="424">
        <v>0.15</v>
      </c>
      <c r="G35" s="99"/>
      <c r="H35" s="217">
        <f t="shared" si="7"/>
        <v>12.815250000000001</v>
      </c>
      <c r="I35" s="366">
        <f t="shared" si="8"/>
        <v>25.630500000000001</v>
      </c>
      <c r="J35" s="366">
        <f t="shared" si="9"/>
        <v>0</v>
      </c>
      <c r="K35" s="217">
        <f t="shared" si="10"/>
        <v>25.630500000000001</v>
      </c>
      <c r="L35" s="217"/>
      <c r="M35" s="2"/>
      <c r="N35" s="2"/>
      <c r="O35" s="2"/>
      <c r="P35" s="2"/>
      <c r="Q35" s="2"/>
      <c r="R35" s="2"/>
      <c r="S35" s="2"/>
      <c r="T35" s="2"/>
      <c r="U35" s="2"/>
      <c r="V35" s="78"/>
    </row>
    <row r="36" spans="1:22" x14ac:dyDescent="0.25">
      <c r="A36" s="365" t="str">
        <f>Zones!C36</f>
        <v>Electrical, Mechanical, Telephone Rooms</v>
      </c>
      <c r="B36" s="365" t="str">
        <f>Zones!B36</f>
        <v>CLASSRM SHOP_IDF ROOM_ZN</v>
      </c>
      <c r="C36" s="217">
        <f>Zones!K36</f>
        <v>0.42740000000000006</v>
      </c>
      <c r="D36" s="217">
        <f>Zones!H36</f>
        <v>85.48</v>
      </c>
      <c r="E36" s="424">
        <v>15</v>
      </c>
      <c r="F36" s="424">
        <v>0.15</v>
      </c>
      <c r="G36" s="99"/>
      <c r="H36" s="217">
        <f t="shared" si="7"/>
        <v>6.4110000000000005</v>
      </c>
      <c r="I36" s="366">
        <f t="shared" si="8"/>
        <v>12.822000000000001</v>
      </c>
      <c r="J36" s="366">
        <f t="shared" si="9"/>
        <v>0</v>
      </c>
      <c r="K36" s="217">
        <f t="shared" si="10"/>
        <v>12.822000000000001</v>
      </c>
      <c r="L36" s="217"/>
      <c r="M36" s="2"/>
      <c r="N36" s="2"/>
      <c r="O36" s="2"/>
      <c r="P36" s="2"/>
      <c r="Q36" s="2"/>
      <c r="R36" s="2"/>
      <c r="S36" s="2"/>
      <c r="T36" s="2"/>
      <c r="U36" s="2"/>
      <c r="V36" s="78"/>
    </row>
    <row r="37" spans="1:22" x14ac:dyDescent="0.25">
      <c r="A37" s="365" t="str">
        <f>Zones!C37</f>
        <v>Restrooms</v>
      </c>
      <c r="B37" s="365" t="str">
        <f>Zones!B37</f>
        <v>CLASSRM SHOP_RESTROOM_ZN</v>
      </c>
      <c r="C37" s="217">
        <f>Zones!K37</f>
        <v>1.3301499999999999</v>
      </c>
      <c r="D37" s="217">
        <f>Zones!H37</f>
        <v>266.02999999999997</v>
      </c>
      <c r="E37" s="424">
        <v>0</v>
      </c>
      <c r="F37" s="424">
        <v>0</v>
      </c>
      <c r="G37" s="216">
        <v>0.5</v>
      </c>
      <c r="H37" s="217">
        <f t="shared" si="7"/>
        <v>0</v>
      </c>
      <c r="I37" s="366">
        <f t="shared" si="8"/>
        <v>0</v>
      </c>
      <c r="J37" s="366">
        <f t="shared" si="9"/>
        <v>133.01499999999999</v>
      </c>
      <c r="K37" s="217">
        <f t="shared" si="10"/>
        <v>133.01499999999999</v>
      </c>
      <c r="L37" s="217"/>
      <c r="M37" s="2"/>
      <c r="N37" s="2"/>
      <c r="O37" s="2"/>
      <c r="P37" s="2"/>
      <c r="Q37" s="2"/>
      <c r="R37" s="2"/>
      <c r="S37" s="2"/>
      <c r="T37" s="2"/>
      <c r="U37" s="2"/>
      <c r="V37" s="78"/>
    </row>
    <row r="38" spans="1:22" x14ac:dyDescent="0.25">
      <c r="A38" s="365" t="str">
        <f>Zones!C38</f>
        <v>Wood/Metal Shop Classroom</v>
      </c>
      <c r="B38" s="365" t="str">
        <f>Zones!B38</f>
        <v>CLASSRM SHOP_SHOP-01 ZNS 4_ZN</v>
      </c>
      <c r="C38" s="217">
        <f>Zones!K38</f>
        <v>54.945399999999999</v>
      </c>
      <c r="D38" s="217">
        <f>Zones!H38</f>
        <v>5494.54</v>
      </c>
      <c r="E38" s="424">
        <v>15</v>
      </c>
      <c r="F38" s="424">
        <v>0.15</v>
      </c>
      <c r="G38" s="216">
        <v>0.5</v>
      </c>
      <c r="H38" s="217">
        <f t="shared" si="7"/>
        <v>824.18100000000004</v>
      </c>
      <c r="I38" s="366">
        <f t="shared" si="8"/>
        <v>824.18099999999993</v>
      </c>
      <c r="J38" s="366">
        <f t="shared" si="9"/>
        <v>2747.27</v>
      </c>
      <c r="K38" s="217">
        <f t="shared" si="10"/>
        <v>2747.27</v>
      </c>
      <c r="L38" s="366" t="s">
        <v>402</v>
      </c>
      <c r="M38" s="2"/>
      <c r="N38" s="2"/>
      <c r="O38" s="2"/>
      <c r="P38" s="2"/>
      <c r="Q38" s="2"/>
      <c r="R38" s="2"/>
      <c r="S38" s="2"/>
      <c r="T38" s="2"/>
      <c r="U38" s="2"/>
      <c r="V38" s="78"/>
    </row>
    <row r="39" spans="1:22" x14ac:dyDescent="0.25">
      <c r="A39" s="365" t="str">
        <f>Zones!C39</f>
        <v>Wood/Metal Shop Classroom</v>
      </c>
      <c r="B39" s="365" t="str">
        <f>Zones!B39</f>
        <v>CLASSRM SHOP_SHOP-02_ZN</v>
      </c>
      <c r="C39" s="217">
        <f>Zones!K39</f>
        <v>14.401400000000001</v>
      </c>
      <c r="D39" s="217">
        <f>Zones!H39</f>
        <v>1440.14</v>
      </c>
      <c r="E39" s="424">
        <v>15</v>
      </c>
      <c r="F39" s="424">
        <v>0.15</v>
      </c>
      <c r="G39" s="216">
        <v>0.5</v>
      </c>
      <c r="H39" s="217">
        <f t="shared" si="7"/>
        <v>216.02100000000002</v>
      </c>
      <c r="I39" s="366">
        <f t="shared" si="8"/>
        <v>216.02100000000002</v>
      </c>
      <c r="J39" s="366">
        <f t="shared" si="9"/>
        <v>720.07</v>
      </c>
      <c r="K39" s="217">
        <f t="shared" si="10"/>
        <v>720.07</v>
      </c>
      <c r="L39" s="217"/>
      <c r="M39" s="2"/>
      <c r="N39" s="2"/>
      <c r="O39" s="2"/>
      <c r="P39" s="2"/>
      <c r="Q39" s="2"/>
      <c r="R39" s="2"/>
      <c r="S39" s="2"/>
      <c r="T39" s="2"/>
      <c r="U39" s="2"/>
      <c r="V39" s="78"/>
    </row>
    <row r="40" spans="1:22" x14ac:dyDescent="0.25">
      <c r="A40" s="365" t="str">
        <f>Zones!C40</f>
        <v>Storage (General)</v>
      </c>
      <c r="B40" s="365" t="str">
        <f>Zones!B40</f>
        <v>CLASSRM SHOP_STORAGE - GENERAL_ZN</v>
      </c>
      <c r="C40" s="217">
        <f>Zones!K40</f>
        <v>5.9189999999999996</v>
      </c>
      <c r="D40" s="217">
        <f>Zones!H40</f>
        <v>1183.8</v>
      </c>
      <c r="E40" s="424">
        <v>15</v>
      </c>
      <c r="F40" s="424">
        <v>0.15</v>
      </c>
      <c r="G40" s="99"/>
      <c r="H40" s="217">
        <f t="shared" si="7"/>
        <v>88.784999999999997</v>
      </c>
      <c r="I40" s="366">
        <f t="shared" si="8"/>
        <v>177.57</v>
      </c>
      <c r="J40" s="366">
        <f t="shared" si="9"/>
        <v>0</v>
      </c>
      <c r="K40" s="217">
        <f t="shared" si="10"/>
        <v>177.57</v>
      </c>
      <c r="L40" s="217"/>
      <c r="M40" s="2"/>
      <c r="N40" s="2"/>
      <c r="O40" s="2"/>
      <c r="P40" s="2"/>
      <c r="Q40" s="2"/>
      <c r="R40" s="2"/>
      <c r="S40" s="2"/>
      <c r="T40" s="2"/>
      <c r="U40" s="2"/>
      <c r="V40" s="78"/>
    </row>
    <row r="41" spans="1:22" x14ac:dyDescent="0.25">
      <c r="A41" s="365" t="str">
        <f>Zones!C41</f>
        <v>Exercise/Fitness Center and Gymnasium Areas</v>
      </c>
      <c r="B41" s="365" t="str">
        <f>Zones!B41</f>
        <v>COURTS - AUX ZN</v>
      </c>
      <c r="C41" s="217">
        <f>Zones!K41</f>
        <v>51.845100000000009</v>
      </c>
      <c r="D41" s="217">
        <f>Zones!H41</f>
        <v>5184.51</v>
      </c>
      <c r="E41" s="424">
        <v>15</v>
      </c>
      <c r="F41" s="424">
        <v>0.15</v>
      </c>
      <c r="G41" s="99"/>
      <c r="H41" s="217">
        <f t="shared" si="7"/>
        <v>777.67650000000015</v>
      </c>
      <c r="I41" s="366">
        <f t="shared" si="8"/>
        <v>777.67650000000003</v>
      </c>
      <c r="J41" s="366">
        <f t="shared" si="9"/>
        <v>0</v>
      </c>
      <c r="K41" s="217">
        <f t="shared" si="10"/>
        <v>777.67650000000015</v>
      </c>
      <c r="L41" s="217"/>
      <c r="M41" s="2"/>
      <c r="N41" s="2"/>
      <c r="O41" s="2"/>
      <c r="P41" s="2"/>
      <c r="Q41" s="2"/>
      <c r="R41" s="2"/>
      <c r="S41" s="2"/>
      <c r="T41" s="2"/>
      <c r="U41" s="2"/>
      <c r="V41" s="78"/>
    </row>
    <row r="42" spans="1:22" x14ac:dyDescent="0.25">
      <c r="A42" s="365" t="str">
        <f>Zones!C42</f>
        <v>Exercise/Fitness Center and Gymnasium Areas</v>
      </c>
      <c r="B42" s="365" t="str">
        <f>Zones!B42</f>
        <v>COURTS ZN</v>
      </c>
      <c r="C42" s="217">
        <f>Zones!K42</f>
        <v>120.9718</v>
      </c>
      <c r="D42" s="217">
        <f>Zones!H42</f>
        <v>12097.18</v>
      </c>
      <c r="E42" s="424">
        <v>15</v>
      </c>
      <c r="F42" s="424">
        <v>0.15</v>
      </c>
      <c r="G42" s="99"/>
      <c r="H42" s="217">
        <f t="shared" si="7"/>
        <v>1814.577</v>
      </c>
      <c r="I42" s="366">
        <f t="shared" si="8"/>
        <v>1814.577</v>
      </c>
      <c r="J42" s="366">
        <f t="shared" si="9"/>
        <v>0</v>
      </c>
      <c r="K42" s="217">
        <f t="shared" si="10"/>
        <v>1814.577</v>
      </c>
      <c r="L42" s="217"/>
      <c r="M42" s="2"/>
      <c r="N42" s="2"/>
      <c r="O42" s="2"/>
      <c r="P42" s="2"/>
      <c r="Q42" s="2"/>
      <c r="R42" s="2"/>
      <c r="S42" s="2"/>
      <c r="T42" s="2"/>
      <c r="U42" s="2"/>
      <c r="V42" s="78"/>
    </row>
    <row r="43" spans="1:22" x14ac:dyDescent="0.25">
      <c r="A43" s="365" t="str">
        <f>Zones!C43</f>
        <v>Locker Room</v>
      </c>
      <c r="B43" s="365" t="str">
        <f>Zones!B43</f>
        <v>LOCKERS ZN</v>
      </c>
      <c r="C43" s="217">
        <f>Zones!K43</f>
        <v>38.163699999999999</v>
      </c>
      <c r="D43" s="217">
        <f>Zones!H43</f>
        <v>7632.74</v>
      </c>
      <c r="E43" s="424">
        <v>15</v>
      </c>
      <c r="F43" s="424">
        <v>0.15</v>
      </c>
      <c r="G43" s="216">
        <v>0.5</v>
      </c>
      <c r="H43" s="217">
        <f t="shared" si="7"/>
        <v>572.45550000000003</v>
      </c>
      <c r="I43" s="366">
        <f t="shared" si="8"/>
        <v>1144.9109999999998</v>
      </c>
      <c r="J43" s="366">
        <f t="shared" si="9"/>
        <v>3816.37</v>
      </c>
      <c r="K43" s="217">
        <f t="shared" si="10"/>
        <v>3816.37</v>
      </c>
      <c r="L43" s="366" t="s">
        <v>403</v>
      </c>
      <c r="M43" s="2"/>
      <c r="N43" s="2"/>
      <c r="O43" s="2"/>
      <c r="P43" s="2"/>
      <c r="Q43" s="2"/>
      <c r="R43" s="2"/>
      <c r="S43" s="2"/>
      <c r="T43" s="2"/>
      <c r="U43" s="2"/>
      <c r="V43" s="78"/>
    </row>
    <row r="44" spans="1:22" x14ac:dyDescent="0.25">
      <c r="A44" s="365" t="str">
        <f>Zones!C44</f>
        <v>Exercise/Fitness Center and Gymnasium Areas</v>
      </c>
      <c r="B44" s="365" t="str">
        <f>Zones!B44</f>
        <v>ROOMS &amp; STUDIOS ZN</v>
      </c>
      <c r="C44" s="217">
        <f>Zones!K44</f>
        <v>46.084499999999998</v>
      </c>
      <c r="D44" s="217">
        <f>Zones!H44</f>
        <v>4608.45</v>
      </c>
      <c r="E44" s="424">
        <v>15</v>
      </c>
      <c r="F44" s="424">
        <v>0.15</v>
      </c>
      <c r="G44" s="99"/>
      <c r="H44" s="217">
        <f t="shared" si="7"/>
        <v>691.26749999999993</v>
      </c>
      <c r="I44" s="366">
        <f t="shared" si="8"/>
        <v>691.26749999999993</v>
      </c>
      <c r="J44" s="366">
        <f t="shared" si="9"/>
        <v>0</v>
      </c>
      <c r="K44" s="217">
        <f t="shared" si="10"/>
        <v>691.26749999999993</v>
      </c>
      <c r="L44" s="217"/>
      <c r="M44" s="2"/>
      <c r="N44" s="2"/>
      <c r="O44" s="2"/>
      <c r="P44" s="2"/>
      <c r="Q44" s="2"/>
      <c r="R44" s="2"/>
      <c r="S44" s="2"/>
      <c r="T44" s="2"/>
      <c r="U44" s="2"/>
      <c r="V44" s="78"/>
    </row>
    <row r="45" spans="1:22" x14ac:dyDescent="0.25">
      <c r="A45" s="237"/>
      <c r="B45" s="237" t="str">
        <f>Zones!B45</f>
        <v>Total (42 spaces)</v>
      </c>
      <c r="C45" s="107">
        <f>Zones!K45</f>
        <v>1221.37238</v>
      </c>
      <c r="D45" s="107">
        <f>Zones!H45</f>
        <v>79502.25</v>
      </c>
      <c r="E45" s="377"/>
      <c r="F45" s="377"/>
      <c r="G45" s="377"/>
      <c r="H45" s="217">
        <f>SUM(H3:H44)</f>
        <v>18068.683199999999</v>
      </c>
      <c r="I45" s="217">
        <f>SUM(I3:I44)</f>
        <v>11383.7745</v>
      </c>
      <c r="J45" s="217">
        <f>SUM(J3:J44)</f>
        <v>15290.134999999998</v>
      </c>
      <c r="K45" s="217">
        <f>SUM(K3:K44)</f>
        <v>30208.809199999996</v>
      </c>
      <c r="L45" s="377"/>
      <c r="M45" s="2"/>
      <c r="N45" s="2"/>
      <c r="O45" s="2"/>
      <c r="P45" s="2"/>
      <c r="Q45" s="2"/>
      <c r="R45" s="2"/>
      <c r="S45" s="2"/>
      <c r="T45" s="2"/>
      <c r="U45" s="2"/>
      <c r="V45" s="2"/>
    </row>
    <row r="46" spans="1:22" x14ac:dyDescent="0.25">
      <c r="A46" s="2"/>
      <c r="B46" s="2"/>
      <c r="C46" s="2"/>
      <c r="D46" s="2"/>
      <c r="E46" s="2"/>
      <c r="F46" s="2"/>
      <c r="G46" s="2"/>
      <c r="H46" s="2"/>
      <c r="I46" s="2"/>
      <c r="J46" s="2"/>
      <c r="K46" s="2"/>
      <c r="L46" s="2"/>
      <c r="M46" s="2"/>
      <c r="N46" s="2"/>
      <c r="O46" s="2"/>
      <c r="P46" s="2"/>
      <c r="Q46" s="2"/>
      <c r="R46" s="2"/>
      <c r="S46" s="2"/>
      <c r="T46" s="2"/>
      <c r="U46" s="2"/>
      <c r="V46" s="2"/>
    </row>
    <row r="47" spans="1:22" x14ac:dyDescent="0.25">
      <c r="A47" s="2"/>
      <c r="B47" s="2"/>
      <c r="C47" s="2"/>
      <c r="D47" s="2"/>
      <c r="E47" s="2"/>
      <c r="F47" s="2"/>
      <c r="G47" s="2"/>
      <c r="H47" s="2"/>
      <c r="I47" s="2"/>
      <c r="J47" s="2"/>
      <c r="K47" s="2"/>
      <c r="L47" s="2"/>
      <c r="M47" s="2"/>
      <c r="N47" s="2"/>
      <c r="O47" s="2"/>
      <c r="P47" s="2"/>
      <c r="Q47" s="2"/>
      <c r="R47" s="2"/>
      <c r="S47" s="2"/>
      <c r="T47" s="2"/>
      <c r="U47" s="2"/>
      <c r="V47" s="2"/>
    </row>
  </sheetData>
  <mergeCells count="1">
    <mergeCell ref="A1:L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P163"/>
  <sheetViews>
    <sheetView zoomScaleNormal="100" workbookViewId="0">
      <selection sqref="A1:H1"/>
    </sheetView>
  </sheetViews>
  <sheetFormatPr defaultColWidth="8.6640625" defaultRowHeight="14.25" customHeight="1" x14ac:dyDescent="0.25"/>
  <cols>
    <col min="1" max="1" width="48.33203125" style="4" customWidth="1"/>
    <col min="2" max="2" width="31.109375" style="4" customWidth="1"/>
    <col min="3" max="3" width="22.5546875" style="4" customWidth="1"/>
    <col min="4" max="4" width="32.109375" style="4" customWidth="1"/>
    <col min="5" max="6" width="21.44140625" style="4" customWidth="1"/>
    <col min="7" max="7" width="30.88671875" style="4" customWidth="1"/>
    <col min="8" max="8" width="20.5546875" style="4" customWidth="1"/>
    <col min="9" max="9" width="25.88671875" style="4" customWidth="1"/>
    <col min="10" max="10" width="21.33203125" style="4" customWidth="1"/>
    <col min="11" max="11" width="15.33203125" style="4" customWidth="1"/>
    <col min="12" max="12" width="49.6640625" style="4" customWidth="1"/>
    <col min="13" max="13" width="15.33203125" style="4" customWidth="1"/>
    <col min="14" max="14" width="12.33203125" style="4" customWidth="1"/>
    <col min="15" max="15" width="13.33203125" style="4" customWidth="1"/>
    <col min="16" max="16" width="15.33203125" style="4" customWidth="1"/>
    <col min="17" max="17" width="11" style="4" customWidth="1"/>
    <col min="18" max="21" width="15.33203125" style="4" customWidth="1"/>
    <col min="22" max="22" width="7.6640625" style="4" hidden="1" customWidth="1"/>
    <col min="23" max="23" width="12.44140625" style="4" hidden="1" customWidth="1"/>
    <col min="24" max="39" width="6.5546875" style="4" hidden="1" customWidth="1"/>
    <col min="40" max="40" width="15.33203125" style="4" customWidth="1"/>
    <col min="41" max="41" width="11.33203125" style="4" customWidth="1"/>
    <col min="42" max="42" width="6.33203125" style="4" customWidth="1"/>
    <col min="43" max="46" width="4.6640625" style="4" customWidth="1"/>
    <col min="47" max="47" width="6.33203125" style="4" customWidth="1"/>
    <col min="48" max="62" width="4.6640625" style="4" customWidth="1"/>
    <col min="63" max="16384" width="8.6640625" style="4"/>
  </cols>
  <sheetData>
    <row r="1" spans="1:42" ht="18" customHeight="1" x14ac:dyDescent="0.25">
      <c r="A1" s="542" t="str">
        <f>"Water Heater -"&amp;Prototype!A2</f>
        <v>Water Heater -SchoolHigh</v>
      </c>
      <c r="B1" s="543"/>
      <c r="C1" s="543"/>
      <c r="D1" s="543"/>
      <c r="E1" s="543"/>
      <c r="F1" s="543"/>
      <c r="G1" s="543"/>
      <c r="H1" s="543"/>
    </row>
    <row r="2" spans="1:42" ht="20.25" customHeight="1" x14ac:dyDescent="0.25">
      <c r="A2" s="387" t="s">
        <v>223</v>
      </c>
      <c r="B2" s="387" t="s">
        <v>404</v>
      </c>
      <c r="C2" s="387" t="s">
        <v>405</v>
      </c>
      <c r="D2" s="384" t="s">
        <v>406</v>
      </c>
      <c r="E2" s="387" t="s">
        <v>407</v>
      </c>
      <c r="F2" s="555" t="s">
        <v>408</v>
      </c>
      <c r="G2" s="556"/>
      <c r="H2" s="387" t="s">
        <v>284</v>
      </c>
    </row>
    <row r="3" spans="1:42" ht="53.25" customHeight="1" x14ac:dyDescent="0.25">
      <c r="A3" s="124" t="s">
        <v>409</v>
      </c>
      <c r="B3" s="114" t="s">
        <v>410</v>
      </c>
      <c r="C3" s="114">
        <v>0.98</v>
      </c>
      <c r="D3" s="378">
        <v>5</v>
      </c>
      <c r="E3" s="226" t="s">
        <v>411</v>
      </c>
      <c r="F3" s="227" t="s">
        <v>412</v>
      </c>
      <c r="G3" s="383" t="s">
        <v>413</v>
      </c>
      <c r="H3" s="383" t="s">
        <v>414</v>
      </c>
    </row>
    <row r="4" spans="1:42" ht="49.5" customHeight="1" x14ac:dyDescent="0.3">
      <c r="A4" s="124" t="s">
        <v>320</v>
      </c>
      <c r="B4" s="114" t="s">
        <v>415</v>
      </c>
      <c r="C4" s="225">
        <f>$B$70</f>
        <v>4.3</v>
      </c>
      <c r="D4" s="226">
        <v>5</v>
      </c>
      <c r="E4" s="226" t="str">
        <f>E3</f>
        <v>See plant climate-zone tables, Storage Volume (col F)</v>
      </c>
      <c r="F4" s="227" t="str">
        <f>F3</f>
        <v>See plant climate-zone tables, Standby Loss (col G)</v>
      </c>
      <c r="G4" s="383" t="str">
        <f>G3</f>
        <v>See climate-zone HPWH tables</v>
      </c>
      <c r="H4" s="383" t="s">
        <v>414</v>
      </c>
      <c r="S4"/>
      <c r="T4"/>
      <c r="U4"/>
      <c r="V4"/>
      <c r="W4"/>
      <c r="X4"/>
      <c r="Y4"/>
      <c r="Z4"/>
      <c r="AA4"/>
      <c r="AB4"/>
      <c r="AC4"/>
      <c r="AD4"/>
      <c r="AE4"/>
      <c r="AF4"/>
      <c r="AG4"/>
      <c r="AH4"/>
      <c r="AI4"/>
      <c r="AJ4"/>
      <c r="AK4"/>
      <c r="AL4"/>
      <c r="AM4"/>
      <c r="AN4"/>
      <c r="AO4"/>
      <c r="AP4"/>
    </row>
    <row r="5" spans="1:42" ht="14.25" customHeight="1" x14ac:dyDescent="0.3">
      <c r="F5" s="10"/>
      <c r="R5"/>
      <c r="S5"/>
      <c r="T5"/>
      <c r="U5"/>
      <c r="V5"/>
      <c r="W5"/>
      <c r="X5"/>
      <c r="Y5"/>
      <c r="Z5"/>
      <c r="AA5"/>
      <c r="AB5"/>
      <c r="AC5"/>
      <c r="AD5"/>
      <c r="AE5"/>
      <c r="AF5"/>
      <c r="AG5"/>
      <c r="AH5"/>
      <c r="AI5"/>
      <c r="AJ5"/>
      <c r="AK5"/>
      <c r="AL5"/>
      <c r="AM5"/>
      <c r="AN5"/>
      <c r="AO5"/>
    </row>
    <row r="6" spans="1:42" ht="23.25" customHeight="1" x14ac:dyDescent="0.3">
      <c r="A6" s="480" t="s">
        <v>416</v>
      </c>
      <c r="B6" s="480"/>
      <c r="C6" s="480"/>
      <c r="D6" s="480"/>
      <c r="E6" s="480"/>
      <c r="F6" s="480"/>
      <c r="G6" s="480"/>
      <c r="H6" s="72"/>
      <c r="I6" s="72"/>
      <c r="R6"/>
      <c r="S6"/>
      <c r="T6"/>
      <c r="U6"/>
      <c r="V6"/>
      <c r="W6"/>
      <c r="X6"/>
      <c r="Y6"/>
      <c r="Z6"/>
      <c r="AA6"/>
      <c r="AB6"/>
      <c r="AC6"/>
      <c r="AD6"/>
      <c r="AE6"/>
      <c r="AF6"/>
      <c r="AG6"/>
      <c r="AH6"/>
      <c r="AI6"/>
      <c r="AJ6"/>
      <c r="AK6"/>
      <c r="AL6"/>
      <c r="AM6"/>
      <c r="AN6"/>
      <c r="AO6"/>
    </row>
    <row r="7" spans="1:42" ht="45" customHeight="1" x14ac:dyDescent="0.3">
      <c r="A7" s="387" t="s">
        <v>417</v>
      </c>
      <c r="B7" s="387" t="s">
        <v>418</v>
      </c>
      <c r="C7" s="387" t="s">
        <v>419</v>
      </c>
      <c r="D7" s="387" t="s">
        <v>420</v>
      </c>
      <c r="E7" s="387" t="s">
        <v>421</v>
      </c>
      <c r="F7" s="387" t="s">
        <v>422</v>
      </c>
      <c r="G7" s="387" t="s">
        <v>423</v>
      </c>
      <c r="R7"/>
      <c r="S7"/>
      <c r="T7"/>
      <c r="U7"/>
      <c r="V7"/>
      <c r="W7"/>
      <c r="X7"/>
      <c r="Y7"/>
      <c r="Z7"/>
      <c r="AA7"/>
      <c r="AB7"/>
      <c r="AC7"/>
      <c r="AD7"/>
      <c r="AE7"/>
      <c r="AF7"/>
      <c r="AG7"/>
      <c r="AH7"/>
      <c r="AI7"/>
      <c r="AJ7"/>
      <c r="AK7"/>
      <c r="AL7"/>
      <c r="AM7"/>
      <c r="AN7"/>
      <c r="AO7"/>
    </row>
    <row r="8" spans="1:42" ht="14.25" customHeight="1" x14ac:dyDescent="0.3">
      <c r="A8" s="96" t="str">
        <f>Zones!B3</f>
        <v>ADMIN/MPR_BREAKROOM_ZN</v>
      </c>
      <c r="B8" s="13" t="s">
        <v>415</v>
      </c>
      <c r="C8" s="61">
        <f>Zones!H3</f>
        <v>575.20000000000005</v>
      </c>
      <c r="D8" s="61">
        <f>Zones!K3</f>
        <v>18.981600000000004</v>
      </c>
      <c r="E8" s="64">
        <v>0.09</v>
      </c>
      <c r="F8" s="116">
        <f>E8*D8</f>
        <v>1.7083440000000003</v>
      </c>
      <c r="G8" s="111">
        <f>F8/60</f>
        <v>2.8472400000000005E-2</v>
      </c>
      <c r="R8"/>
      <c r="S8"/>
      <c r="T8"/>
      <c r="U8"/>
      <c r="V8"/>
      <c r="W8"/>
      <c r="X8"/>
      <c r="Y8"/>
      <c r="Z8"/>
      <c r="AA8"/>
      <c r="AB8"/>
      <c r="AC8"/>
      <c r="AD8"/>
      <c r="AE8"/>
      <c r="AF8"/>
      <c r="AG8"/>
      <c r="AH8"/>
      <c r="AI8"/>
      <c r="AJ8"/>
      <c r="AK8"/>
      <c r="AL8"/>
      <c r="AM8"/>
      <c r="AN8"/>
      <c r="AO8"/>
    </row>
    <row r="9" spans="1:42" ht="14.25" customHeight="1" x14ac:dyDescent="0.3">
      <c r="A9" s="96" t="str">
        <f>Zones!B4</f>
        <v>ADMIN/MPR_CAFETERIA ZNS 3_ZN</v>
      </c>
      <c r="B9" s="13" t="s">
        <v>415</v>
      </c>
      <c r="C9" s="61">
        <f>Zones!H4</f>
        <v>5512.19</v>
      </c>
      <c r="D9" s="61">
        <f>Zones!K4</f>
        <v>181.90226999999999</v>
      </c>
      <c r="E9" s="64">
        <v>0.57799999999999996</v>
      </c>
      <c r="F9" s="116">
        <f t="shared" ref="F9:F49" si="0">E9*D9</f>
        <v>105.13951205999999</v>
      </c>
      <c r="G9" s="111">
        <f t="shared" ref="G9:G49" si="1">F9/60</f>
        <v>1.7523252009999999</v>
      </c>
      <c r="R9"/>
      <c r="S9"/>
      <c r="T9"/>
      <c r="U9"/>
      <c r="V9"/>
      <c r="W9"/>
      <c r="X9"/>
      <c r="Y9"/>
      <c r="Z9"/>
      <c r="AA9"/>
      <c r="AB9"/>
      <c r="AC9"/>
      <c r="AD9"/>
      <c r="AE9"/>
      <c r="AF9"/>
      <c r="AG9"/>
      <c r="AH9"/>
      <c r="AI9"/>
      <c r="AJ9"/>
      <c r="AK9"/>
      <c r="AL9"/>
      <c r="AM9"/>
      <c r="AN9"/>
      <c r="AO9"/>
    </row>
    <row r="10" spans="1:42" ht="14.25" customHeight="1" x14ac:dyDescent="0.3">
      <c r="A10" s="96" t="str">
        <f>Zones!B5</f>
        <v>ADMIN/MPR_CONFERENCE ROOM ZNS 3_ZN</v>
      </c>
      <c r="B10" s="13" t="s">
        <v>415</v>
      </c>
      <c r="C10" s="61">
        <f>Zones!H5</f>
        <v>1674.74</v>
      </c>
      <c r="D10" s="61">
        <f>Zones!K5</f>
        <v>55.266419999999997</v>
      </c>
      <c r="E10" s="64">
        <v>0.09</v>
      </c>
      <c r="F10" s="116">
        <f t="shared" si="0"/>
        <v>4.9739777999999992</v>
      </c>
      <c r="G10" s="111">
        <f t="shared" si="1"/>
        <v>8.2899629999999988E-2</v>
      </c>
      <c r="R10"/>
      <c r="S10"/>
      <c r="T10"/>
      <c r="U10"/>
      <c r="V10"/>
      <c r="W10"/>
      <c r="X10"/>
      <c r="Y10"/>
      <c r="Z10"/>
      <c r="AA10"/>
      <c r="AB10"/>
      <c r="AC10"/>
      <c r="AD10"/>
      <c r="AE10"/>
      <c r="AF10"/>
      <c r="AG10"/>
      <c r="AH10"/>
      <c r="AI10"/>
      <c r="AJ10"/>
      <c r="AK10"/>
      <c r="AL10"/>
      <c r="AM10"/>
      <c r="AN10"/>
      <c r="AO10"/>
    </row>
    <row r="11" spans="1:42" ht="14.25" customHeight="1" x14ac:dyDescent="0.3">
      <c r="A11" s="96" t="str">
        <f>Zones!B6</f>
        <v>ADMIN/MPR_CORRIDOR_ZN</v>
      </c>
      <c r="B11" s="13" t="s">
        <v>415</v>
      </c>
      <c r="C11" s="61">
        <f>Zones!H6</f>
        <v>1161.52</v>
      </c>
      <c r="D11" s="61">
        <f>Zones!K6</f>
        <v>5.8076000000000008</v>
      </c>
      <c r="E11" s="64">
        <v>0</v>
      </c>
      <c r="F11" s="116">
        <f t="shared" si="0"/>
        <v>0</v>
      </c>
      <c r="G11" s="111">
        <f t="shared" si="1"/>
        <v>0</v>
      </c>
      <c r="R11"/>
      <c r="S11"/>
      <c r="T11"/>
      <c r="U11"/>
      <c r="V11"/>
      <c r="W11"/>
      <c r="X11"/>
      <c r="Y11"/>
      <c r="Z11"/>
      <c r="AA11"/>
      <c r="AB11"/>
      <c r="AC11"/>
      <c r="AD11"/>
      <c r="AE11"/>
      <c r="AF11"/>
      <c r="AG11"/>
      <c r="AH11"/>
      <c r="AI11"/>
      <c r="AJ11"/>
      <c r="AK11"/>
      <c r="AL11"/>
      <c r="AM11"/>
      <c r="AN11"/>
      <c r="AO11"/>
    </row>
    <row r="12" spans="1:42" ht="14.25" customHeight="1" x14ac:dyDescent="0.3">
      <c r="A12" s="96" t="str">
        <f>Zones!B7</f>
        <v>ADMIN/MPR_EMT_ZN</v>
      </c>
      <c r="B12" s="13" t="s">
        <v>415</v>
      </c>
      <c r="C12" s="61">
        <f>Zones!H7</f>
        <v>278.20999999999998</v>
      </c>
      <c r="D12" s="61">
        <f>Zones!K7</f>
        <v>1.3910499999999999</v>
      </c>
      <c r="E12" s="64">
        <v>0.18</v>
      </c>
      <c r="F12" s="116">
        <f t="shared" si="0"/>
        <v>0.25038899999999997</v>
      </c>
      <c r="G12" s="111">
        <f t="shared" si="1"/>
        <v>4.1731499999999996E-3</v>
      </c>
      <c r="R12"/>
      <c r="S12"/>
      <c r="T12"/>
      <c r="U12"/>
      <c r="V12"/>
      <c r="W12"/>
      <c r="X12"/>
      <c r="Y12"/>
      <c r="Z12"/>
      <c r="AA12"/>
      <c r="AB12"/>
      <c r="AC12"/>
      <c r="AD12"/>
      <c r="AE12"/>
      <c r="AF12"/>
      <c r="AG12"/>
      <c r="AH12"/>
      <c r="AI12"/>
      <c r="AJ12"/>
      <c r="AK12"/>
      <c r="AL12"/>
      <c r="AM12"/>
      <c r="AN12"/>
      <c r="AO12"/>
    </row>
    <row r="13" spans="1:42" ht="14.25" customHeight="1" x14ac:dyDescent="0.3">
      <c r="A13" s="96" t="str">
        <f>Zones!B8</f>
        <v>ADMIN/MPR_IDF ROOM_ZN</v>
      </c>
      <c r="B13" s="13" t="s">
        <v>415</v>
      </c>
      <c r="C13" s="61">
        <f>Zones!H8</f>
        <v>340.23</v>
      </c>
      <c r="D13" s="61">
        <f>Zones!K8</f>
        <v>1.7011500000000002</v>
      </c>
      <c r="E13" s="64">
        <v>0.18</v>
      </c>
      <c r="F13" s="116">
        <f t="shared" si="0"/>
        <v>0.30620700000000001</v>
      </c>
      <c r="G13" s="111">
        <f t="shared" si="1"/>
        <v>5.1034499999999998E-3</v>
      </c>
      <c r="R13"/>
      <c r="S13"/>
      <c r="T13"/>
      <c r="U13"/>
      <c r="V13"/>
      <c r="W13"/>
      <c r="X13"/>
      <c r="Y13"/>
      <c r="Z13"/>
      <c r="AA13"/>
      <c r="AB13"/>
      <c r="AC13"/>
      <c r="AD13"/>
      <c r="AE13"/>
      <c r="AF13"/>
      <c r="AG13"/>
      <c r="AH13"/>
      <c r="AI13"/>
      <c r="AJ13"/>
      <c r="AK13"/>
      <c r="AL13"/>
      <c r="AM13"/>
      <c r="AN13"/>
      <c r="AO13"/>
    </row>
    <row r="14" spans="1:42" ht="14.25" customHeight="1" x14ac:dyDescent="0.3">
      <c r="A14" s="96" t="str">
        <f>Zones!B9</f>
        <v>ADMIN/MPR_KITCHEN_ZN</v>
      </c>
      <c r="B14" s="13" t="s">
        <v>415</v>
      </c>
      <c r="C14" s="61">
        <f>Zones!H9</f>
        <v>1457.25</v>
      </c>
      <c r="D14" s="61">
        <f>Zones!K9</f>
        <v>4.3717499999999996</v>
      </c>
      <c r="E14" s="64">
        <v>0.57799999999999996</v>
      </c>
      <c r="F14" s="116">
        <f t="shared" si="0"/>
        <v>2.5268714999999995</v>
      </c>
      <c r="G14" s="111">
        <f t="shared" si="1"/>
        <v>4.2114524999999993E-2</v>
      </c>
      <c r="R14"/>
      <c r="S14"/>
      <c r="T14"/>
      <c r="U14"/>
      <c r="V14"/>
      <c r="W14"/>
      <c r="X14"/>
      <c r="Y14"/>
      <c r="Z14"/>
      <c r="AA14"/>
      <c r="AB14"/>
      <c r="AC14"/>
      <c r="AD14"/>
      <c r="AE14"/>
      <c r="AF14"/>
      <c r="AG14"/>
      <c r="AH14"/>
      <c r="AI14"/>
      <c r="AJ14"/>
      <c r="AK14"/>
      <c r="AL14"/>
      <c r="AM14"/>
      <c r="AN14"/>
      <c r="AO14"/>
    </row>
    <row r="15" spans="1:42" ht="14.25" customHeight="1" x14ac:dyDescent="0.3">
      <c r="A15" s="96" t="str">
        <f>Zones!B10</f>
        <v>ADMIN/MPR_LOBBY_ZN</v>
      </c>
      <c r="B15" s="13" t="s">
        <v>415</v>
      </c>
      <c r="C15" s="61">
        <f>Zones!H10</f>
        <v>1241.47</v>
      </c>
      <c r="D15" s="61">
        <f>Zones!K10</f>
        <v>40.968510000000002</v>
      </c>
      <c r="E15" s="64">
        <v>0.09</v>
      </c>
      <c r="F15" s="116">
        <f t="shared" si="0"/>
        <v>3.6871659000000001</v>
      </c>
      <c r="G15" s="111">
        <f t="shared" si="1"/>
        <v>6.1452764999999999E-2</v>
      </c>
      <c r="R15"/>
      <c r="S15"/>
      <c r="T15"/>
      <c r="U15"/>
      <c r="V15"/>
      <c r="W15"/>
      <c r="X15"/>
      <c r="Y15"/>
      <c r="Z15"/>
      <c r="AA15"/>
      <c r="AB15"/>
      <c r="AC15"/>
      <c r="AD15"/>
      <c r="AE15"/>
      <c r="AF15"/>
      <c r="AG15"/>
      <c r="AH15"/>
      <c r="AI15"/>
      <c r="AJ15"/>
      <c r="AK15"/>
      <c r="AL15"/>
      <c r="AM15"/>
      <c r="AN15"/>
      <c r="AO15"/>
    </row>
    <row r="16" spans="1:42" ht="14.25" customHeight="1" x14ac:dyDescent="0.3">
      <c r="A16" s="96" t="str">
        <f>Zones!B11</f>
        <v>ADMIN/MPR_OFFICE - LT 250 SF ZNS 6_ZN</v>
      </c>
      <c r="B16" s="13" t="s">
        <v>415</v>
      </c>
      <c r="C16" s="61">
        <f>Zones!H11</f>
        <v>1048.3499999999999</v>
      </c>
      <c r="D16" s="61">
        <f>Zones!K11</f>
        <v>5.2417499999999997</v>
      </c>
      <c r="E16" s="64">
        <v>0.18</v>
      </c>
      <c r="F16" s="116">
        <f t="shared" si="0"/>
        <v>0.94351499999999988</v>
      </c>
      <c r="G16" s="111">
        <f t="shared" si="1"/>
        <v>1.572525E-2</v>
      </c>
      <c r="R16"/>
      <c r="S16"/>
      <c r="T16"/>
      <c r="U16"/>
      <c r="V16"/>
      <c r="W16"/>
      <c r="X16"/>
      <c r="Y16"/>
      <c r="Z16"/>
      <c r="AA16"/>
      <c r="AB16"/>
      <c r="AC16"/>
      <c r="AD16"/>
      <c r="AE16"/>
      <c r="AF16"/>
      <c r="AG16"/>
      <c r="AH16"/>
      <c r="AI16"/>
      <c r="AJ16"/>
      <c r="AK16"/>
      <c r="AL16"/>
      <c r="AM16"/>
      <c r="AN16"/>
      <c r="AO16"/>
    </row>
    <row r="17" spans="1:41" ht="14.25" customHeight="1" x14ac:dyDescent="0.3">
      <c r="A17" s="96" t="str">
        <f>Zones!B12</f>
        <v>ADMIN/MPR_RESTROOM ZNS 3_ZN</v>
      </c>
      <c r="B17" s="13" t="s">
        <v>415</v>
      </c>
      <c r="C17" s="61">
        <f>Zones!H12</f>
        <v>901.17</v>
      </c>
      <c r="D17" s="61">
        <f>Zones!K12</f>
        <v>4.5058499999999997</v>
      </c>
      <c r="E17" s="64">
        <v>0</v>
      </c>
      <c r="F17" s="116">
        <f t="shared" si="0"/>
        <v>0</v>
      </c>
      <c r="G17" s="111">
        <f t="shared" si="1"/>
        <v>0</v>
      </c>
      <c r="R17"/>
      <c r="S17"/>
      <c r="T17"/>
      <c r="U17"/>
      <c r="V17"/>
      <c r="W17"/>
      <c r="X17"/>
      <c r="Y17"/>
      <c r="Z17"/>
      <c r="AA17"/>
      <c r="AB17"/>
      <c r="AC17"/>
      <c r="AD17"/>
      <c r="AE17"/>
      <c r="AF17"/>
      <c r="AG17"/>
      <c r="AH17"/>
      <c r="AI17"/>
      <c r="AJ17"/>
      <c r="AK17"/>
      <c r="AL17"/>
      <c r="AM17"/>
      <c r="AN17"/>
      <c r="AO17"/>
    </row>
    <row r="18" spans="1:41" ht="14.25" customHeight="1" x14ac:dyDescent="0.3">
      <c r="A18" s="96" t="str">
        <f>Zones!B13</f>
        <v>ADMIN/MPR_STORAGE - GENERAL_ZN</v>
      </c>
      <c r="B18" s="13" t="s">
        <v>415</v>
      </c>
      <c r="C18" s="61">
        <f>Zones!H13</f>
        <v>1247.73</v>
      </c>
      <c r="D18" s="61">
        <f>Zones!K13</f>
        <v>6.2386499999999998</v>
      </c>
      <c r="E18" s="64">
        <v>0</v>
      </c>
      <c r="F18" s="116">
        <f t="shared" si="0"/>
        <v>0</v>
      </c>
      <c r="G18" s="111">
        <f t="shared" si="1"/>
        <v>0</v>
      </c>
      <c r="R18"/>
      <c r="S18"/>
      <c r="T18"/>
      <c r="U18"/>
      <c r="V18"/>
      <c r="W18"/>
      <c r="X18"/>
      <c r="Y18"/>
      <c r="Z18"/>
      <c r="AA18"/>
      <c r="AB18"/>
      <c r="AC18"/>
      <c r="AD18"/>
      <c r="AE18"/>
      <c r="AF18"/>
      <c r="AG18"/>
      <c r="AH18"/>
      <c r="AI18"/>
      <c r="AJ18"/>
      <c r="AK18"/>
      <c r="AL18"/>
      <c r="AM18"/>
      <c r="AN18"/>
      <c r="AO18"/>
    </row>
    <row r="19" spans="1:41" ht="14.25" customHeight="1" x14ac:dyDescent="0.3">
      <c r="A19" s="96" t="str">
        <f>Zones!B14</f>
        <v>ADMIN/MPR_STORAGE - REFRIGERATED_ZN</v>
      </c>
      <c r="B19" s="13" t="s">
        <v>415</v>
      </c>
      <c r="C19" s="61">
        <f>Zones!H14</f>
        <v>251.72</v>
      </c>
      <c r="D19" s="61">
        <f>Zones!K14</f>
        <v>0</v>
      </c>
      <c r="E19" s="64">
        <v>0.18</v>
      </c>
      <c r="F19" s="116">
        <f t="shared" si="0"/>
        <v>0</v>
      </c>
      <c r="G19" s="111">
        <f t="shared" si="1"/>
        <v>0</v>
      </c>
      <c r="R19"/>
      <c r="S19"/>
      <c r="T19"/>
      <c r="U19"/>
      <c r="V19"/>
      <c r="W19"/>
      <c r="X19"/>
      <c r="Y19"/>
      <c r="Z19"/>
      <c r="AA19"/>
      <c r="AB19"/>
      <c r="AC19"/>
      <c r="AD19"/>
      <c r="AE19"/>
      <c r="AF19"/>
      <c r="AG19"/>
      <c r="AH19"/>
      <c r="AI19"/>
      <c r="AJ19"/>
      <c r="AK19"/>
      <c r="AL19"/>
      <c r="AM19"/>
      <c r="AN19"/>
      <c r="AO19"/>
    </row>
    <row r="20" spans="1:41" ht="14.25" customHeight="1" x14ac:dyDescent="0.3">
      <c r="A20" s="96" t="str">
        <f>Zones!B15</f>
        <v>ADMIN/MPR_THEATER - PERFORMANCE_ZN</v>
      </c>
      <c r="B20" s="13" t="s">
        <v>415</v>
      </c>
      <c r="C20" s="61">
        <f>Zones!H15</f>
        <v>1065.56</v>
      </c>
      <c r="D20" s="61">
        <f>Zones!K15</f>
        <v>35.163479999999993</v>
      </c>
      <c r="E20" s="64">
        <v>0.09</v>
      </c>
      <c r="F20" s="116">
        <f t="shared" si="0"/>
        <v>3.1647131999999991</v>
      </c>
      <c r="G20" s="111">
        <f t="shared" si="1"/>
        <v>5.2745219999999989E-2</v>
      </c>
      <c r="R20"/>
      <c r="S20"/>
      <c r="T20"/>
      <c r="U20"/>
      <c r="V20"/>
      <c r="W20"/>
      <c r="X20"/>
      <c r="Y20"/>
      <c r="Z20"/>
      <c r="AA20"/>
      <c r="AB20"/>
      <c r="AC20"/>
      <c r="AD20"/>
      <c r="AE20"/>
      <c r="AF20"/>
      <c r="AG20"/>
      <c r="AH20"/>
      <c r="AI20"/>
      <c r="AJ20"/>
      <c r="AK20"/>
      <c r="AL20"/>
      <c r="AM20"/>
      <c r="AN20"/>
      <c r="AO20"/>
    </row>
    <row r="21" spans="1:41" ht="14.25" customHeight="1" x14ac:dyDescent="0.3">
      <c r="A21" s="96" t="str">
        <f>Zones!B16</f>
        <v>CLASSRM LAB_FLR 1_EMT-01_ZN</v>
      </c>
      <c r="B21" s="13" t="s">
        <v>415</v>
      </c>
      <c r="C21" s="61">
        <f>Zones!H16</f>
        <v>121.01</v>
      </c>
      <c r="D21" s="61">
        <f>Zones!K16</f>
        <v>0.60505000000000009</v>
      </c>
      <c r="E21" s="64">
        <v>0.18</v>
      </c>
      <c r="F21" s="116">
        <f t="shared" si="0"/>
        <v>0.10890900000000001</v>
      </c>
      <c r="G21" s="111">
        <f t="shared" si="1"/>
        <v>1.8151500000000002E-3</v>
      </c>
      <c r="R21"/>
      <c r="S21"/>
      <c r="T21"/>
      <c r="U21"/>
      <c r="V21"/>
      <c r="W21"/>
      <c r="X21"/>
      <c r="Y21"/>
      <c r="Z21"/>
      <c r="AA21"/>
      <c r="AB21"/>
      <c r="AC21"/>
      <c r="AD21"/>
      <c r="AE21"/>
      <c r="AF21"/>
      <c r="AG21"/>
      <c r="AH21"/>
      <c r="AI21"/>
      <c r="AJ21"/>
      <c r="AK21"/>
      <c r="AL21"/>
      <c r="AM21"/>
      <c r="AN21"/>
      <c r="AO21"/>
    </row>
    <row r="22" spans="1:41" ht="14.25" customHeight="1" x14ac:dyDescent="0.3">
      <c r="A22" s="96" t="str">
        <f>Zones!B17</f>
        <v>CLASSRM LAB_FLR 1_EMT-02_ZN</v>
      </c>
      <c r="B22" s="13" t="s">
        <v>415</v>
      </c>
      <c r="C22" s="61">
        <f>Zones!H17</f>
        <v>98.01</v>
      </c>
      <c r="D22" s="61">
        <f>Zones!K17</f>
        <v>0.49004999999999999</v>
      </c>
      <c r="E22" s="64">
        <v>0.18</v>
      </c>
      <c r="F22" s="116">
        <f t="shared" si="0"/>
        <v>8.8208999999999996E-2</v>
      </c>
      <c r="G22" s="111">
        <f t="shared" si="1"/>
        <v>1.4701499999999999E-3</v>
      </c>
      <c r="R22"/>
      <c r="S22"/>
      <c r="T22"/>
      <c r="U22"/>
      <c r="V22"/>
      <c r="W22"/>
      <c r="X22"/>
      <c r="Y22"/>
      <c r="Z22"/>
      <c r="AA22"/>
      <c r="AB22"/>
      <c r="AC22"/>
      <c r="AD22"/>
      <c r="AE22"/>
      <c r="AF22"/>
      <c r="AG22"/>
      <c r="AH22"/>
      <c r="AI22"/>
      <c r="AJ22"/>
      <c r="AK22"/>
      <c r="AL22"/>
      <c r="AM22"/>
      <c r="AN22"/>
      <c r="AO22"/>
    </row>
    <row r="23" spans="1:41" ht="14.25" customHeight="1" x14ac:dyDescent="0.3">
      <c r="A23" s="96" t="str">
        <f>Zones!B18</f>
        <v>CLASSRM LAB_FLR 1_LAB ZNS 2_ZN</v>
      </c>
      <c r="B23" s="13" t="s">
        <v>415</v>
      </c>
      <c r="C23" s="61">
        <f>Zones!H18</f>
        <v>2054.94</v>
      </c>
      <c r="D23" s="61">
        <f>Zones!K18</f>
        <v>51.3735</v>
      </c>
      <c r="E23" s="64">
        <v>0.18</v>
      </c>
      <c r="F23" s="116">
        <f t="shared" si="0"/>
        <v>9.2472300000000001</v>
      </c>
      <c r="G23" s="111">
        <f t="shared" si="1"/>
        <v>0.15412049999999999</v>
      </c>
      <c r="M23"/>
      <c r="N23"/>
      <c r="O23"/>
      <c r="P23"/>
      <c r="Q23"/>
      <c r="R23"/>
      <c r="S23"/>
      <c r="T23"/>
      <c r="U23"/>
      <c r="V23"/>
      <c r="W23"/>
      <c r="X23"/>
      <c r="Y23"/>
      <c r="Z23"/>
      <c r="AA23"/>
      <c r="AB23"/>
      <c r="AC23"/>
      <c r="AD23"/>
      <c r="AE23"/>
      <c r="AF23"/>
      <c r="AG23"/>
      <c r="AH23"/>
      <c r="AI23"/>
      <c r="AJ23"/>
      <c r="AK23"/>
      <c r="AL23"/>
      <c r="AM23"/>
      <c r="AN23"/>
      <c r="AO23"/>
    </row>
    <row r="24" spans="1:41" ht="29.25" customHeight="1" x14ac:dyDescent="0.3">
      <c r="A24" s="96" t="str">
        <f>Zones!B19</f>
        <v>CLASSRM LAB_FLR 1_LIBRARY - READING AREA_ZN</v>
      </c>
      <c r="B24" s="13" t="s">
        <v>415</v>
      </c>
      <c r="C24" s="61">
        <f>Zones!H19</f>
        <v>1197.1300000000001</v>
      </c>
      <c r="D24" s="61">
        <f>Zones!K19</f>
        <v>11.971300000000001</v>
      </c>
      <c r="E24" s="64">
        <v>0.18</v>
      </c>
      <c r="F24" s="116">
        <f t="shared" si="0"/>
        <v>2.1548340000000001</v>
      </c>
      <c r="G24" s="111">
        <f t="shared" si="1"/>
        <v>3.5913900000000006E-2</v>
      </c>
      <c r="M24"/>
      <c r="N24"/>
      <c r="O24"/>
      <c r="P24"/>
      <c r="Q24"/>
      <c r="R24"/>
      <c r="S24"/>
      <c r="T24"/>
      <c r="U24"/>
      <c r="V24"/>
      <c r="W24"/>
      <c r="X24"/>
      <c r="Y24"/>
      <c r="Z24"/>
      <c r="AA24"/>
      <c r="AB24"/>
      <c r="AC24"/>
      <c r="AD24"/>
      <c r="AE24"/>
      <c r="AF24"/>
      <c r="AG24"/>
      <c r="AH24"/>
      <c r="AI24"/>
      <c r="AJ24"/>
      <c r="AK24"/>
      <c r="AL24"/>
      <c r="AM24"/>
      <c r="AN24"/>
      <c r="AO24"/>
    </row>
    <row r="25" spans="1:41" ht="14.25" customHeight="1" x14ac:dyDescent="0.3">
      <c r="A25" s="96" t="str">
        <f>Zones!B20</f>
        <v>CLASSRM LAB_FLR 1_RESTROOM_ZN</v>
      </c>
      <c r="B25" s="13" t="s">
        <v>415</v>
      </c>
      <c r="C25" s="61">
        <f>Zones!H20</f>
        <v>563.04999999999995</v>
      </c>
      <c r="D25" s="61">
        <f>Zones!K20</f>
        <v>2.8152499999999998</v>
      </c>
      <c r="E25" s="64">
        <v>0</v>
      </c>
      <c r="F25" s="116">
        <f t="shared" si="0"/>
        <v>0</v>
      </c>
      <c r="G25" s="111">
        <f t="shared" si="1"/>
        <v>0</v>
      </c>
      <c r="M25"/>
      <c r="N25"/>
      <c r="O25"/>
      <c r="P25"/>
      <c r="Q25"/>
      <c r="R25"/>
      <c r="S25"/>
      <c r="T25"/>
      <c r="U25"/>
      <c r="V25"/>
      <c r="W25"/>
      <c r="X25"/>
      <c r="Y25"/>
      <c r="Z25"/>
      <c r="AA25"/>
      <c r="AB25"/>
      <c r="AC25"/>
      <c r="AD25"/>
      <c r="AE25"/>
      <c r="AF25"/>
      <c r="AG25"/>
      <c r="AH25"/>
      <c r="AI25"/>
      <c r="AJ25"/>
      <c r="AK25"/>
      <c r="AL25"/>
      <c r="AM25"/>
      <c r="AN25"/>
      <c r="AO25"/>
    </row>
    <row r="26" spans="1:41" ht="14.25" customHeight="1" x14ac:dyDescent="0.3">
      <c r="A26" s="96" t="str">
        <f>Zones!B21</f>
        <v>CLASSRM LAB_FLR 1_STORAGE - GENERAL_ZN</v>
      </c>
      <c r="B26" s="13" t="s">
        <v>415</v>
      </c>
      <c r="C26" s="61">
        <f>Zones!H21</f>
        <v>380.84</v>
      </c>
      <c r="D26" s="61">
        <f>Zones!K21</f>
        <v>1.9041999999999999</v>
      </c>
      <c r="E26" s="64">
        <v>0</v>
      </c>
      <c r="F26" s="116">
        <f t="shared" si="0"/>
        <v>0</v>
      </c>
      <c r="G26" s="111">
        <f t="shared" si="1"/>
        <v>0</v>
      </c>
      <c r="M26"/>
      <c r="N26"/>
      <c r="O26"/>
      <c r="P26"/>
      <c r="Q26"/>
      <c r="R26"/>
      <c r="S26"/>
      <c r="T26"/>
      <c r="U26"/>
      <c r="V26"/>
      <c r="W26"/>
      <c r="X26"/>
      <c r="Y26"/>
      <c r="Z26"/>
      <c r="AA26"/>
      <c r="AB26"/>
      <c r="AC26"/>
      <c r="AD26"/>
      <c r="AE26"/>
      <c r="AF26"/>
      <c r="AG26"/>
      <c r="AH26"/>
      <c r="AI26"/>
      <c r="AJ26"/>
      <c r="AK26"/>
      <c r="AL26"/>
      <c r="AM26"/>
      <c r="AN26"/>
      <c r="AO26"/>
    </row>
    <row r="27" spans="1:41" ht="14.25" customHeight="1" x14ac:dyDescent="0.3">
      <c r="A27" s="96" t="str">
        <f>Zones!B22</f>
        <v>CLASSRM LAB_FLR 2_CLASSROOM_ZN</v>
      </c>
      <c r="B27" s="13" t="s">
        <v>415</v>
      </c>
      <c r="C27" s="61">
        <f>Zones!H22</f>
        <v>380.84</v>
      </c>
      <c r="D27" s="61">
        <f>Zones!K22</f>
        <v>9.5210000000000008</v>
      </c>
      <c r="E27" s="64">
        <v>0.18</v>
      </c>
      <c r="F27" s="116">
        <f t="shared" si="0"/>
        <v>1.7137800000000001</v>
      </c>
      <c r="G27" s="111">
        <f t="shared" si="1"/>
        <v>2.8563000000000002E-2</v>
      </c>
      <c r="M27"/>
      <c r="N27"/>
      <c r="O27"/>
      <c r="P27"/>
      <c r="Q27"/>
      <c r="R27"/>
      <c r="S27"/>
      <c r="T27"/>
      <c r="U27"/>
      <c r="V27"/>
      <c r="W27"/>
      <c r="X27"/>
      <c r="Y27"/>
      <c r="Z27"/>
      <c r="AA27"/>
      <c r="AB27"/>
      <c r="AC27"/>
      <c r="AD27"/>
      <c r="AE27"/>
      <c r="AF27"/>
      <c r="AG27"/>
      <c r="AH27"/>
      <c r="AI27"/>
      <c r="AJ27"/>
      <c r="AK27"/>
      <c r="AL27"/>
      <c r="AM27"/>
      <c r="AN27"/>
      <c r="AO27"/>
    </row>
    <row r="28" spans="1:41" ht="14.25" customHeight="1" x14ac:dyDescent="0.3">
      <c r="A28" s="96" t="str">
        <f>Zones!B23</f>
        <v>CLASSRM LAB_FLR 2_IDF ROOM_ZN</v>
      </c>
      <c r="B28" s="13" t="s">
        <v>415</v>
      </c>
      <c r="C28" s="61">
        <f>Zones!H23</f>
        <v>121.01</v>
      </c>
      <c r="D28" s="61">
        <f>Zones!K23</f>
        <v>0.60505000000000009</v>
      </c>
      <c r="E28" s="64">
        <v>0.18</v>
      </c>
      <c r="F28" s="116">
        <f t="shared" si="0"/>
        <v>0.10890900000000001</v>
      </c>
      <c r="G28" s="111">
        <f t="shared" si="1"/>
        <v>1.8151500000000002E-3</v>
      </c>
      <c r="M28"/>
      <c r="N28"/>
      <c r="O28"/>
      <c r="P28"/>
      <c r="Q28"/>
      <c r="R28"/>
      <c r="S28"/>
      <c r="T28"/>
      <c r="U28"/>
      <c r="V28"/>
      <c r="W28"/>
      <c r="X28"/>
      <c r="Y28"/>
      <c r="Z28"/>
      <c r="AA28"/>
      <c r="AB28"/>
      <c r="AC28"/>
      <c r="AD28"/>
      <c r="AE28"/>
      <c r="AF28"/>
      <c r="AG28"/>
      <c r="AH28"/>
      <c r="AI28"/>
      <c r="AJ28"/>
      <c r="AK28"/>
      <c r="AL28"/>
      <c r="AM28"/>
      <c r="AN28"/>
      <c r="AO28"/>
    </row>
    <row r="29" spans="1:41" ht="14.25" customHeight="1" x14ac:dyDescent="0.3">
      <c r="A29" s="96" t="str">
        <f>Zones!B24</f>
        <v>CLASSRM LAB_FLR 2_LAB ZNS 3_ZN</v>
      </c>
      <c r="B29" s="13" t="s">
        <v>415</v>
      </c>
      <c r="C29" s="61">
        <f>Zones!H24</f>
        <v>3252.06</v>
      </c>
      <c r="D29" s="61">
        <f>Zones!K24</f>
        <v>81.301500000000004</v>
      </c>
      <c r="E29" s="64">
        <v>0.18</v>
      </c>
      <c r="F29" s="116">
        <f t="shared" si="0"/>
        <v>14.634270000000001</v>
      </c>
      <c r="G29" s="111">
        <f t="shared" si="1"/>
        <v>0.24390450000000002</v>
      </c>
      <c r="M29"/>
      <c r="N29"/>
      <c r="O29"/>
      <c r="P29"/>
      <c r="Q29"/>
      <c r="R29"/>
      <c r="S29"/>
      <c r="T29"/>
      <c r="U29"/>
      <c r="V29"/>
      <c r="W29"/>
      <c r="X29"/>
      <c r="Y29"/>
      <c r="Z29"/>
      <c r="AA29"/>
      <c r="AB29"/>
      <c r="AC29"/>
      <c r="AD29"/>
      <c r="AE29"/>
      <c r="AF29"/>
      <c r="AG29"/>
      <c r="AH29"/>
      <c r="AI29"/>
      <c r="AJ29"/>
      <c r="AK29"/>
      <c r="AL29"/>
      <c r="AM29"/>
      <c r="AN29"/>
      <c r="AO29"/>
    </row>
    <row r="30" spans="1:41" ht="14.25" customHeight="1" x14ac:dyDescent="0.3">
      <c r="A30" s="96" t="str">
        <f>Zones!B25</f>
        <v>CLASSRM LAB_FLR 2_RESTROOM_ZN</v>
      </c>
      <c r="B30" s="13" t="s">
        <v>415</v>
      </c>
      <c r="C30" s="61">
        <f>Zones!H25</f>
        <v>563.04999999999995</v>
      </c>
      <c r="D30" s="61">
        <f>Zones!K25</f>
        <v>2.8152499999999998</v>
      </c>
      <c r="E30" s="64">
        <v>0</v>
      </c>
      <c r="F30" s="116">
        <f t="shared" si="0"/>
        <v>0</v>
      </c>
      <c r="G30" s="111">
        <f t="shared" si="1"/>
        <v>0</v>
      </c>
      <c r="M30"/>
      <c r="N30"/>
      <c r="O30"/>
      <c r="P30"/>
      <c r="Q30"/>
      <c r="R30"/>
      <c r="S30"/>
      <c r="T30"/>
      <c r="U30"/>
      <c r="V30"/>
      <c r="W30"/>
      <c r="X30"/>
      <c r="Y30"/>
      <c r="Z30"/>
      <c r="AA30"/>
      <c r="AB30"/>
      <c r="AC30"/>
      <c r="AD30"/>
      <c r="AE30"/>
      <c r="AF30"/>
      <c r="AG30"/>
      <c r="AH30"/>
      <c r="AI30"/>
      <c r="AJ30"/>
      <c r="AK30"/>
      <c r="AL30"/>
      <c r="AM30"/>
      <c r="AN30"/>
      <c r="AO30"/>
    </row>
    <row r="31" spans="1:41" ht="14.25" customHeight="1" x14ac:dyDescent="0.3">
      <c r="A31" s="96" t="str">
        <f>Zones!B26</f>
        <v>CLASSRM LAB_FLR 2_STORAGE - GENERAL_ZN</v>
      </c>
      <c r="B31" s="13" t="s">
        <v>415</v>
      </c>
      <c r="C31" s="61">
        <f>Zones!H26</f>
        <v>98.01</v>
      </c>
      <c r="D31" s="61">
        <f>Zones!K26</f>
        <v>0.49004999999999999</v>
      </c>
      <c r="E31" s="64">
        <v>0</v>
      </c>
      <c r="F31" s="116">
        <f t="shared" si="0"/>
        <v>0</v>
      </c>
      <c r="G31" s="111">
        <f t="shared" si="1"/>
        <v>0</v>
      </c>
      <c r="M31"/>
      <c r="N31"/>
      <c r="O31"/>
      <c r="P31"/>
      <c r="Q31"/>
      <c r="R31"/>
      <c r="S31"/>
      <c r="T31"/>
      <c r="U31"/>
      <c r="V31"/>
      <c r="W31"/>
      <c r="X31"/>
      <c r="Y31"/>
      <c r="Z31"/>
      <c r="AA31"/>
      <c r="AB31"/>
      <c r="AC31"/>
      <c r="AD31"/>
      <c r="AE31"/>
      <c r="AF31"/>
      <c r="AG31"/>
      <c r="AH31"/>
      <c r="AI31"/>
      <c r="AJ31"/>
      <c r="AK31"/>
      <c r="AL31"/>
      <c r="AM31"/>
      <c r="AN31"/>
      <c r="AO31"/>
    </row>
    <row r="32" spans="1:41" ht="14.25" customHeight="1" x14ac:dyDescent="0.3">
      <c r="A32" s="96" t="str">
        <f>Zones!B27</f>
        <v>CLASSRM N_FLR 1_CLASSROOM-01_ZN</v>
      </c>
      <c r="B32" s="13" t="s">
        <v>415</v>
      </c>
      <c r="C32" s="61">
        <f>Zones!H27</f>
        <v>1001.75</v>
      </c>
      <c r="D32" s="61">
        <f>Zones!K27</f>
        <v>25.043749999999999</v>
      </c>
      <c r="E32" s="64">
        <v>0.18</v>
      </c>
      <c r="F32" s="116">
        <f t="shared" si="0"/>
        <v>4.5078749999999994</v>
      </c>
      <c r="G32" s="111">
        <f t="shared" si="1"/>
        <v>7.5131249999999997E-2</v>
      </c>
      <c r="M32"/>
      <c r="N32"/>
      <c r="O32"/>
      <c r="P32"/>
      <c r="Q32"/>
      <c r="R32"/>
      <c r="S32"/>
      <c r="T32"/>
      <c r="U32"/>
      <c r="V32"/>
      <c r="W32"/>
      <c r="X32"/>
      <c r="Y32"/>
      <c r="Z32"/>
      <c r="AA32"/>
      <c r="AB32"/>
      <c r="AC32"/>
      <c r="AD32"/>
      <c r="AE32"/>
      <c r="AF32"/>
      <c r="AG32"/>
      <c r="AH32"/>
      <c r="AI32"/>
      <c r="AJ32"/>
      <c r="AK32"/>
      <c r="AL32"/>
      <c r="AM32"/>
      <c r="AN32"/>
      <c r="AO32"/>
    </row>
    <row r="33" spans="1:41" ht="14.25" customHeight="1" x14ac:dyDescent="0.3">
      <c r="A33" s="96" t="str">
        <f>Zones!B28</f>
        <v>CLASSRM N_FLR 1_CLASSROOM-02 ZNS 6_ZN</v>
      </c>
      <c r="B33" s="13" t="s">
        <v>415</v>
      </c>
      <c r="C33" s="61">
        <f>Zones!H28</f>
        <v>6054.03</v>
      </c>
      <c r="D33" s="61">
        <f>Zones!K28</f>
        <v>151.35075000000001</v>
      </c>
      <c r="E33" s="64">
        <v>0.18</v>
      </c>
      <c r="F33" s="116">
        <f t="shared" si="0"/>
        <v>27.243134999999999</v>
      </c>
      <c r="G33" s="111">
        <f t="shared" si="1"/>
        <v>0.45405224999999999</v>
      </c>
      <c r="M33"/>
      <c r="N33"/>
      <c r="O33"/>
      <c r="P33"/>
      <c r="Q33"/>
      <c r="R33"/>
      <c r="S33"/>
      <c r="T33"/>
      <c r="U33"/>
      <c r="V33"/>
      <c r="W33"/>
      <c r="X33"/>
      <c r="Y33"/>
      <c r="Z33"/>
      <c r="AA33"/>
      <c r="AB33"/>
      <c r="AC33"/>
      <c r="AD33"/>
      <c r="AE33"/>
      <c r="AF33"/>
      <c r="AG33"/>
      <c r="AH33"/>
      <c r="AI33"/>
      <c r="AJ33"/>
      <c r="AK33"/>
      <c r="AL33"/>
      <c r="AM33"/>
      <c r="AN33"/>
      <c r="AO33"/>
    </row>
    <row r="34" spans="1:41" ht="14.25" customHeight="1" x14ac:dyDescent="0.3">
      <c r="A34" s="96" t="str">
        <f>Zones!B29</f>
        <v>CLASSRM N_FLR 1_OFFICE - LT 250 SF_ZN</v>
      </c>
      <c r="B34" s="13" t="s">
        <v>415</v>
      </c>
      <c r="C34" s="61">
        <f>Zones!H29</f>
        <v>288.13</v>
      </c>
      <c r="D34" s="61">
        <f>Zones!K29</f>
        <v>1.44065</v>
      </c>
      <c r="E34" s="64">
        <v>0.18</v>
      </c>
      <c r="F34" s="116">
        <f t="shared" si="0"/>
        <v>0.25931699999999996</v>
      </c>
      <c r="G34" s="111">
        <f t="shared" si="1"/>
        <v>4.3219499999999998E-3</v>
      </c>
      <c r="M34"/>
      <c r="N34"/>
      <c r="O34"/>
      <c r="P34"/>
      <c r="Q34"/>
      <c r="R34"/>
      <c r="S34"/>
      <c r="T34"/>
      <c r="U34"/>
      <c r="V34"/>
      <c r="W34"/>
      <c r="X34"/>
      <c r="Y34"/>
      <c r="Z34"/>
      <c r="AA34"/>
      <c r="AB34"/>
      <c r="AC34"/>
      <c r="AD34"/>
      <c r="AE34"/>
      <c r="AF34"/>
      <c r="AG34"/>
      <c r="AH34"/>
      <c r="AI34"/>
      <c r="AJ34"/>
      <c r="AK34"/>
      <c r="AL34"/>
      <c r="AM34"/>
      <c r="AN34"/>
      <c r="AO34"/>
    </row>
    <row r="35" spans="1:41" ht="14.25" customHeight="1" x14ac:dyDescent="0.3">
      <c r="A35" s="96" t="str">
        <f>Zones!B30</f>
        <v>CLASSRM N_FLR 1_RESTROOM_ZN</v>
      </c>
      <c r="B35" s="13" t="s">
        <v>415</v>
      </c>
      <c r="C35" s="61">
        <f>Zones!H30</f>
        <v>532.70000000000005</v>
      </c>
      <c r="D35" s="61">
        <f>Zones!K30</f>
        <v>2.6635</v>
      </c>
      <c r="E35" s="64">
        <v>0</v>
      </c>
      <c r="F35" s="116">
        <f t="shared" si="0"/>
        <v>0</v>
      </c>
      <c r="G35" s="111">
        <f t="shared" si="1"/>
        <v>0</v>
      </c>
      <c r="M35"/>
      <c r="N35"/>
      <c r="O35"/>
      <c r="P35"/>
      <c r="Q35"/>
      <c r="R35"/>
      <c r="S35"/>
      <c r="T35"/>
      <c r="U35"/>
      <c r="V35"/>
      <c r="W35"/>
      <c r="X35"/>
      <c r="Y35"/>
      <c r="Z35"/>
      <c r="AA35"/>
      <c r="AB35"/>
      <c r="AC35"/>
      <c r="AD35"/>
      <c r="AE35"/>
      <c r="AF35"/>
      <c r="AG35"/>
      <c r="AH35"/>
      <c r="AI35"/>
      <c r="AJ35"/>
      <c r="AK35"/>
      <c r="AL35"/>
      <c r="AM35"/>
      <c r="AN35"/>
      <c r="AO35"/>
    </row>
    <row r="36" spans="1:41" ht="14.25" customHeight="1" x14ac:dyDescent="0.3">
      <c r="A36" s="96" t="str">
        <f>Zones!B31</f>
        <v>CLASSRM N_FLR 2_CLASSROOM-01 ZNS 6_ZN</v>
      </c>
      <c r="B36" s="13" t="s">
        <v>415</v>
      </c>
      <c r="C36" s="61">
        <f>Zones!H31</f>
        <v>6054.03</v>
      </c>
      <c r="D36" s="61">
        <f>Zones!K31</f>
        <v>151.35075000000001</v>
      </c>
      <c r="E36" s="64">
        <v>0.18</v>
      </c>
      <c r="F36" s="116">
        <f t="shared" si="0"/>
        <v>27.243134999999999</v>
      </c>
      <c r="G36" s="111">
        <f t="shared" si="1"/>
        <v>0.45405224999999999</v>
      </c>
      <c r="M36"/>
      <c r="N36"/>
      <c r="O36"/>
      <c r="P36"/>
      <c r="Q36"/>
      <c r="R36"/>
      <c r="S36"/>
      <c r="T36"/>
      <c r="U36"/>
      <c r="V36"/>
      <c r="W36"/>
      <c r="X36"/>
      <c r="Y36"/>
      <c r="Z36"/>
      <c r="AA36"/>
      <c r="AB36"/>
      <c r="AC36"/>
      <c r="AD36"/>
      <c r="AE36"/>
      <c r="AF36"/>
      <c r="AG36"/>
      <c r="AH36"/>
      <c r="AI36"/>
      <c r="AJ36"/>
      <c r="AK36"/>
      <c r="AL36"/>
      <c r="AM36"/>
      <c r="AN36"/>
      <c r="AO36"/>
    </row>
    <row r="37" spans="1:41" ht="14.25" customHeight="1" x14ac:dyDescent="0.3">
      <c r="A37" s="96" t="str">
        <f>Zones!B32</f>
        <v>CLASSRM N_FLR 2_CLASSROOM-02_ZN</v>
      </c>
      <c r="B37" s="13" t="s">
        <v>415</v>
      </c>
      <c r="C37" s="61">
        <f>Zones!H32</f>
        <v>1001.75</v>
      </c>
      <c r="D37" s="61">
        <f>Zones!K32</f>
        <v>25.043749999999999</v>
      </c>
      <c r="E37" s="64">
        <v>0.18</v>
      </c>
      <c r="F37" s="116">
        <f t="shared" si="0"/>
        <v>4.5078749999999994</v>
      </c>
      <c r="G37" s="111">
        <f t="shared" si="1"/>
        <v>7.5131249999999997E-2</v>
      </c>
      <c r="M37"/>
      <c r="N37"/>
      <c r="O37"/>
      <c r="P37"/>
      <c r="Q37"/>
      <c r="R37"/>
      <c r="S37"/>
      <c r="T37"/>
      <c r="U37"/>
      <c r="V37"/>
      <c r="W37"/>
      <c r="X37"/>
      <c r="Y37"/>
      <c r="Z37"/>
      <c r="AA37"/>
      <c r="AB37"/>
      <c r="AC37"/>
      <c r="AD37"/>
      <c r="AE37"/>
      <c r="AF37"/>
      <c r="AG37"/>
      <c r="AH37"/>
      <c r="AI37"/>
      <c r="AJ37"/>
      <c r="AK37"/>
      <c r="AL37"/>
      <c r="AM37"/>
      <c r="AN37"/>
      <c r="AO37"/>
    </row>
    <row r="38" spans="1:41" ht="14.25" customHeight="1" x14ac:dyDescent="0.3">
      <c r="A38" s="96" t="str">
        <f>Zones!B33</f>
        <v>CLASSRM N_FLR 2_OFFICE - LT 250 SF_ZN</v>
      </c>
      <c r="B38" s="13" t="s">
        <v>415</v>
      </c>
      <c r="C38" s="61">
        <f>Zones!H33</f>
        <v>288.13</v>
      </c>
      <c r="D38" s="61">
        <f>Zones!K33</f>
        <v>1.44065</v>
      </c>
      <c r="E38" s="64">
        <v>0.18</v>
      </c>
      <c r="F38" s="116">
        <f t="shared" si="0"/>
        <v>0.25931699999999996</v>
      </c>
      <c r="G38" s="111">
        <f t="shared" si="1"/>
        <v>4.3219499999999998E-3</v>
      </c>
      <c r="M38"/>
      <c r="N38"/>
      <c r="O38"/>
      <c r="P38"/>
      <c r="Q38"/>
      <c r="R38"/>
      <c r="S38"/>
      <c r="T38"/>
      <c r="U38"/>
      <c r="V38"/>
      <c r="W38"/>
      <c r="X38"/>
      <c r="Y38"/>
      <c r="Z38"/>
      <c r="AA38"/>
      <c r="AB38"/>
      <c r="AC38"/>
      <c r="AD38"/>
      <c r="AE38"/>
      <c r="AF38"/>
      <c r="AG38"/>
      <c r="AH38"/>
      <c r="AI38"/>
      <c r="AJ38"/>
      <c r="AK38"/>
      <c r="AL38"/>
      <c r="AM38"/>
      <c r="AN38"/>
      <c r="AO38"/>
    </row>
    <row r="39" spans="1:41" ht="14.25" customHeight="1" x14ac:dyDescent="0.3">
      <c r="A39" s="96" t="str">
        <f>Zones!B34</f>
        <v>CLASSRM N_FLR 2_RESTROOM_ZN</v>
      </c>
      <c r="B39" s="13" t="s">
        <v>415</v>
      </c>
      <c r="C39" s="61">
        <f>Zones!H34</f>
        <v>532.70000000000005</v>
      </c>
      <c r="D39" s="61">
        <f>Zones!K34</f>
        <v>2.6635</v>
      </c>
      <c r="E39" s="64">
        <v>0</v>
      </c>
      <c r="F39" s="116">
        <f t="shared" si="0"/>
        <v>0</v>
      </c>
      <c r="G39" s="111">
        <f t="shared" si="1"/>
        <v>0</v>
      </c>
      <c r="M39"/>
      <c r="N39"/>
      <c r="O39"/>
      <c r="P39"/>
      <c r="Q39"/>
      <c r="R39"/>
      <c r="S39"/>
      <c r="T39"/>
      <c r="U39"/>
      <c r="V39"/>
      <c r="W39"/>
      <c r="X39"/>
      <c r="Y39"/>
      <c r="Z39"/>
      <c r="AA39"/>
      <c r="AB39"/>
      <c r="AC39"/>
      <c r="AD39"/>
      <c r="AE39"/>
      <c r="AF39"/>
      <c r="AG39"/>
      <c r="AH39"/>
      <c r="AI39"/>
      <c r="AJ39"/>
      <c r="AK39"/>
      <c r="AL39"/>
      <c r="AM39"/>
      <c r="AN39"/>
      <c r="AO39"/>
    </row>
    <row r="40" spans="1:41" ht="14.25" customHeight="1" x14ac:dyDescent="0.3">
      <c r="A40" s="96" t="str">
        <f>Zones!B35</f>
        <v>CLASSRM SHOP_EMT_ZN</v>
      </c>
      <c r="B40" s="13" t="s">
        <v>415</v>
      </c>
      <c r="C40" s="61">
        <f>Zones!H35</f>
        <v>170.87</v>
      </c>
      <c r="D40" s="61">
        <f>Zones!K35</f>
        <v>0.85435000000000005</v>
      </c>
      <c r="E40" s="64">
        <v>0.18</v>
      </c>
      <c r="F40" s="116">
        <f t="shared" si="0"/>
        <v>0.153783</v>
      </c>
      <c r="G40" s="111">
        <f t="shared" si="1"/>
        <v>2.5630499999999999E-3</v>
      </c>
      <c r="M40"/>
      <c r="N40"/>
      <c r="O40"/>
      <c r="P40"/>
      <c r="Q40"/>
      <c r="R40"/>
      <c r="S40"/>
      <c r="T40"/>
      <c r="U40"/>
      <c r="V40"/>
      <c r="W40"/>
      <c r="X40"/>
      <c r="Y40"/>
      <c r="Z40"/>
      <c r="AA40"/>
      <c r="AB40"/>
      <c r="AC40"/>
      <c r="AD40"/>
      <c r="AE40"/>
      <c r="AF40"/>
      <c r="AG40"/>
      <c r="AH40"/>
      <c r="AI40"/>
      <c r="AJ40"/>
      <c r="AK40"/>
      <c r="AL40"/>
      <c r="AM40"/>
      <c r="AN40"/>
      <c r="AO40"/>
    </row>
    <row r="41" spans="1:41" ht="14.25" customHeight="1" x14ac:dyDescent="0.3">
      <c r="A41" s="96" t="str">
        <f>Zones!B36</f>
        <v>CLASSRM SHOP_IDF ROOM_ZN</v>
      </c>
      <c r="B41" s="13" t="s">
        <v>415</v>
      </c>
      <c r="C41" s="61">
        <f>Zones!H36</f>
        <v>85.48</v>
      </c>
      <c r="D41" s="61">
        <f>Zones!K36</f>
        <v>0.42740000000000006</v>
      </c>
      <c r="E41" s="64">
        <v>0.18</v>
      </c>
      <c r="F41" s="116">
        <f t="shared" si="0"/>
        <v>7.6932000000000014E-2</v>
      </c>
      <c r="G41" s="111">
        <f t="shared" si="1"/>
        <v>1.2822000000000003E-3</v>
      </c>
      <c r="M41"/>
      <c r="N41"/>
      <c r="O41"/>
      <c r="P41"/>
      <c r="Q41"/>
      <c r="R41"/>
      <c r="S41"/>
      <c r="T41"/>
      <c r="U41"/>
      <c r="V41"/>
      <c r="W41"/>
      <c r="X41"/>
      <c r="Y41"/>
      <c r="Z41"/>
      <c r="AA41"/>
      <c r="AB41"/>
      <c r="AC41"/>
      <c r="AD41"/>
      <c r="AE41"/>
      <c r="AF41"/>
      <c r="AG41"/>
      <c r="AH41"/>
      <c r="AI41"/>
      <c r="AJ41"/>
      <c r="AK41"/>
      <c r="AL41"/>
      <c r="AM41"/>
      <c r="AN41"/>
      <c r="AO41"/>
    </row>
    <row r="42" spans="1:41" ht="14.25" customHeight="1" x14ac:dyDescent="0.3">
      <c r="A42" s="96" t="str">
        <f>Zones!B37</f>
        <v>CLASSRM SHOP_RESTROOM_ZN</v>
      </c>
      <c r="B42" s="13" t="s">
        <v>415</v>
      </c>
      <c r="C42" s="61">
        <f>Zones!H37</f>
        <v>266.02999999999997</v>
      </c>
      <c r="D42" s="61">
        <f>Zones!K37</f>
        <v>1.3301499999999999</v>
      </c>
      <c r="E42" s="64">
        <v>0</v>
      </c>
      <c r="F42" s="116">
        <f t="shared" si="0"/>
        <v>0</v>
      </c>
      <c r="G42" s="111">
        <f t="shared" si="1"/>
        <v>0</v>
      </c>
      <c r="M42"/>
      <c r="N42"/>
      <c r="O42"/>
      <c r="P42"/>
      <c r="Q42"/>
      <c r="R42"/>
      <c r="S42"/>
      <c r="T42"/>
      <c r="U42"/>
      <c r="V42"/>
      <c r="W42"/>
      <c r="X42"/>
      <c r="Y42"/>
      <c r="Z42"/>
      <c r="AA42"/>
      <c r="AB42"/>
      <c r="AC42"/>
      <c r="AD42"/>
      <c r="AE42"/>
      <c r="AF42"/>
      <c r="AG42"/>
      <c r="AH42"/>
      <c r="AI42"/>
      <c r="AJ42"/>
      <c r="AK42"/>
      <c r="AL42"/>
      <c r="AM42"/>
      <c r="AN42"/>
      <c r="AO42"/>
    </row>
    <row r="43" spans="1:41" ht="14.25" customHeight="1" x14ac:dyDescent="0.3">
      <c r="A43" s="96" t="str">
        <f>Zones!B38</f>
        <v>CLASSRM SHOP_SHOP-01 ZNS 4_ZN</v>
      </c>
      <c r="B43" s="13" t="s">
        <v>415</v>
      </c>
      <c r="C43" s="61">
        <f>Zones!H38</f>
        <v>5494.54</v>
      </c>
      <c r="D43" s="61">
        <f>Zones!K38</f>
        <v>54.945399999999999</v>
      </c>
      <c r="E43" s="64">
        <v>0.18</v>
      </c>
      <c r="F43" s="116">
        <f t="shared" si="0"/>
        <v>9.8901719999999997</v>
      </c>
      <c r="G43" s="111">
        <f t="shared" si="1"/>
        <v>0.16483619999999999</v>
      </c>
      <c r="M43"/>
      <c r="N43"/>
      <c r="O43"/>
      <c r="P43"/>
      <c r="Q43"/>
      <c r="R43"/>
      <c r="S43"/>
      <c r="T43"/>
      <c r="U43"/>
      <c r="V43"/>
      <c r="W43"/>
      <c r="X43"/>
      <c r="Y43"/>
      <c r="Z43"/>
      <c r="AA43"/>
      <c r="AB43"/>
      <c r="AC43"/>
      <c r="AD43"/>
      <c r="AE43"/>
      <c r="AF43"/>
      <c r="AG43"/>
      <c r="AH43"/>
      <c r="AI43"/>
      <c r="AJ43"/>
      <c r="AK43"/>
      <c r="AL43"/>
      <c r="AM43"/>
      <c r="AN43"/>
      <c r="AO43"/>
    </row>
    <row r="44" spans="1:41" ht="14.25" customHeight="1" x14ac:dyDescent="0.3">
      <c r="A44" s="96" t="str">
        <f>Zones!B39</f>
        <v>CLASSRM SHOP_SHOP-02_ZN</v>
      </c>
      <c r="B44" s="13" t="s">
        <v>415</v>
      </c>
      <c r="C44" s="61">
        <f>Zones!H39</f>
        <v>1440.14</v>
      </c>
      <c r="D44" s="61">
        <f>Zones!K39</f>
        <v>14.401400000000001</v>
      </c>
      <c r="E44" s="64">
        <v>0.18</v>
      </c>
      <c r="F44" s="116">
        <f t="shared" si="0"/>
        <v>2.5922520000000002</v>
      </c>
      <c r="G44" s="111">
        <f t="shared" si="1"/>
        <v>4.3204200000000005E-2</v>
      </c>
      <c r="M44"/>
      <c r="N44"/>
      <c r="O44"/>
      <c r="P44"/>
      <c r="Q44"/>
      <c r="R44"/>
      <c r="S44"/>
      <c r="T44"/>
      <c r="U44"/>
      <c r="V44"/>
      <c r="W44"/>
      <c r="X44"/>
      <c r="Y44"/>
      <c r="Z44"/>
      <c r="AA44"/>
      <c r="AB44"/>
      <c r="AC44"/>
      <c r="AD44"/>
      <c r="AE44"/>
      <c r="AF44"/>
      <c r="AG44"/>
      <c r="AH44"/>
      <c r="AI44"/>
      <c r="AJ44"/>
      <c r="AK44"/>
      <c r="AL44"/>
      <c r="AM44"/>
      <c r="AN44"/>
      <c r="AO44"/>
    </row>
    <row r="45" spans="1:41" ht="14.25" customHeight="1" x14ac:dyDescent="0.3">
      <c r="A45" s="96" t="str">
        <f>Zones!B40</f>
        <v>CLASSRM SHOP_STORAGE - GENERAL_ZN</v>
      </c>
      <c r="B45" s="13" t="s">
        <v>415</v>
      </c>
      <c r="C45" s="61">
        <f>Zones!H40</f>
        <v>1183.8</v>
      </c>
      <c r="D45" s="61">
        <f>Zones!K40</f>
        <v>5.9189999999999996</v>
      </c>
      <c r="E45" s="64">
        <v>0</v>
      </c>
      <c r="F45" s="116">
        <f t="shared" si="0"/>
        <v>0</v>
      </c>
      <c r="G45" s="111">
        <f t="shared" si="1"/>
        <v>0</v>
      </c>
      <c r="M45"/>
      <c r="N45"/>
      <c r="O45"/>
      <c r="P45"/>
      <c r="Q45"/>
      <c r="R45"/>
      <c r="S45"/>
      <c r="T45"/>
      <c r="U45"/>
      <c r="V45"/>
      <c r="W45"/>
      <c r="X45"/>
      <c r="Y45"/>
      <c r="Z45"/>
      <c r="AA45"/>
      <c r="AB45"/>
      <c r="AC45"/>
      <c r="AD45"/>
      <c r="AE45"/>
      <c r="AF45"/>
      <c r="AG45"/>
      <c r="AH45"/>
      <c r="AI45"/>
      <c r="AJ45"/>
      <c r="AK45"/>
      <c r="AL45"/>
      <c r="AM45"/>
      <c r="AN45"/>
      <c r="AO45"/>
    </row>
    <row r="46" spans="1:41" ht="14.25" customHeight="1" x14ac:dyDescent="0.3">
      <c r="A46" s="96" t="str">
        <f>Zones!B41</f>
        <v>COURTS - AUX ZN</v>
      </c>
      <c r="B46" s="13" t="s">
        <v>415</v>
      </c>
      <c r="C46" s="61">
        <f>Zones!H41</f>
        <v>5184.51</v>
      </c>
      <c r="D46" s="61">
        <f>Zones!K41</f>
        <v>51.845100000000009</v>
      </c>
      <c r="E46" s="64">
        <v>0.18</v>
      </c>
      <c r="F46" s="116">
        <f t="shared" si="0"/>
        <v>9.3321180000000012</v>
      </c>
      <c r="G46" s="111">
        <f t="shared" si="1"/>
        <v>0.15553530000000002</v>
      </c>
      <c r="M46"/>
      <c r="N46"/>
      <c r="O46"/>
      <c r="P46"/>
      <c r="Q46"/>
      <c r="R46"/>
      <c r="S46"/>
      <c r="T46"/>
      <c r="U46"/>
      <c r="V46"/>
      <c r="W46"/>
      <c r="X46"/>
      <c r="Y46"/>
      <c r="Z46"/>
      <c r="AA46"/>
      <c r="AB46"/>
      <c r="AC46"/>
      <c r="AD46"/>
      <c r="AE46"/>
      <c r="AF46"/>
      <c r="AG46"/>
      <c r="AH46"/>
      <c r="AI46"/>
      <c r="AJ46"/>
      <c r="AK46"/>
      <c r="AL46"/>
      <c r="AM46"/>
      <c r="AN46"/>
      <c r="AO46"/>
    </row>
    <row r="47" spans="1:41" ht="14.25" customHeight="1" x14ac:dyDescent="0.3">
      <c r="A47" s="96" t="str">
        <f>Zones!B42</f>
        <v>COURTS ZN</v>
      </c>
      <c r="B47" s="13" t="s">
        <v>415</v>
      </c>
      <c r="C47" s="61">
        <f>Zones!H42</f>
        <v>12097.18</v>
      </c>
      <c r="D47" s="61">
        <f>Zones!K42</f>
        <v>120.9718</v>
      </c>
      <c r="E47" s="64">
        <v>0.18</v>
      </c>
      <c r="F47" s="116">
        <f t="shared" si="0"/>
        <v>21.774923999999999</v>
      </c>
      <c r="G47" s="111">
        <f t="shared" si="1"/>
        <v>0.3629154</v>
      </c>
      <c r="M47"/>
      <c r="N47"/>
      <c r="O47"/>
      <c r="P47"/>
      <c r="Q47"/>
      <c r="R47"/>
      <c r="S47"/>
      <c r="T47"/>
      <c r="U47"/>
      <c r="V47"/>
      <c r="W47"/>
      <c r="X47"/>
      <c r="Y47"/>
      <c r="Z47"/>
      <c r="AA47"/>
      <c r="AB47"/>
      <c r="AC47"/>
      <c r="AD47"/>
      <c r="AE47"/>
      <c r="AF47"/>
      <c r="AG47"/>
      <c r="AH47"/>
      <c r="AI47"/>
      <c r="AJ47"/>
      <c r="AK47"/>
      <c r="AL47"/>
      <c r="AM47"/>
      <c r="AN47"/>
      <c r="AO47"/>
    </row>
    <row r="48" spans="1:41" ht="14.25" customHeight="1" x14ac:dyDescent="0.3">
      <c r="A48" s="96" t="str">
        <f>Zones!B43</f>
        <v>LOCKERS ZN</v>
      </c>
      <c r="B48" s="13" t="s">
        <v>415</v>
      </c>
      <c r="C48" s="61">
        <f>Zones!H43</f>
        <v>7632.74</v>
      </c>
      <c r="D48" s="61">
        <f>Zones!K43</f>
        <v>38.163699999999999</v>
      </c>
      <c r="E48" s="64">
        <v>0.57799999999999996</v>
      </c>
      <c r="F48" s="116">
        <f t="shared" si="0"/>
        <v>22.058618599999999</v>
      </c>
      <c r="G48" s="111">
        <f t="shared" si="1"/>
        <v>0.36764364333333333</v>
      </c>
      <c r="M48"/>
      <c r="N48"/>
      <c r="O48"/>
      <c r="P48"/>
      <c r="Q48"/>
      <c r="R48"/>
      <c r="S48"/>
      <c r="T48"/>
      <c r="U48"/>
      <c r="V48"/>
      <c r="W48"/>
      <c r="X48"/>
      <c r="Y48"/>
      <c r="Z48"/>
      <c r="AA48"/>
      <c r="AB48"/>
      <c r="AC48"/>
      <c r="AD48"/>
      <c r="AE48"/>
      <c r="AF48"/>
      <c r="AG48"/>
      <c r="AH48"/>
      <c r="AI48"/>
      <c r="AJ48"/>
      <c r="AK48"/>
      <c r="AL48"/>
      <c r="AM48"/>
      <c r="AN48"/>
      <c r="AO48"/>
    </row>
    <row r="49" spans="1:17" ht="13.95" customHeight="1" x14ac:dyDescent="0.3">
      <c r="A49" s="96" t="str">
        <f>Zones!B44</f>
        <v>ROOMS &amp; STUDIOS ZN</v>
      </c>
      <c r="B49" s="13" t="s">
        <v>415</v>
      </c>
      <c r="C49" s="61">
        <f>Zones!H44</f>
        <v>4608.45</v>
      </c>
      <c r="D49" s="61">
        <f>Zones!K44</f>
        <v>46.084499999999998</v>
      </c>
      <c r="E49" s="64">
        <v>0.18</v>
      </c>
      <c r="F49" s="116">
        <f t="shared" si="0"/>
        <v>8.2952099999999991</v>
      </c>
      <c r="G49" s="111">
        <f t="shared" si="1"/>
        <v>0.13825349999999997</v>
      </c>
      <c r="M49"/>
      <c r="N49"/>
      <c r="O49"/>
      <c r="P49"/>
      <c r="Q49"/>
    </row>
    <row r="50" spans="1:17" ht="13.95" customHeight="1" x14ac:dyDescent="0.3">
      <c r="A50" s="283"/>
      <c r="B50" s="6"/>
      <c r="C50" s="284"/>
      <c r="D50" s="284"/>
      <c r="E50" s="285"/>
      <c r="F50" s="286"/>
      <c r="G50" s="282"/>
      <c r="M50"/>
      <c r="N50"/>
      <c r="O50"/>
      <c r="P50"/>
      <c r="Q50"/>
    </row>
    <row r="51" spans="1:17" ht="13.95" customHeight="1" x14ac:dyDescent="0.3">
      <c r="A51" s="283"/>
      <c r="B51" s="6"/>
      <c r="C51" s="284"/>
      <c r="D51" s="284"/>
      <c r="E51" s="285"/>
      <c r="F51" s="286"/>
      <c r="G51" s="282"/>
      <c r="M51"/>
      <c r="N51"/>
      <c r="O51"/>
      <c r="P51"/>
      <c r="Q51"/>
    </row>
    <row r="52" spans="1:17" ht="13.95" customHeight="1" x14ac:dyDescent="0.3">
      <c r="A52" s="283"/>
      <c r="B52" s="6"/>
      <c r="C52" s="284"/>
      <c r="D52" s="284"/>
      <c r="E52" s="285"/>
      <c r="F52" s="286"/>
      <c r="G52" s="282"/>
      <c r="M52"/>
      <c r="N52"/>
      <c r="O52"/>
      <c r="P52"/>
      <c r="Q52"/>
    </row>
    <row r="53" spans="1:17" ht="14.25" customHeight="1" x14ac:dyDescent="0.3">
      <c r="A53" s="62"/>
      <c r="E53" s="63"/>
      <c r="M53"/>
      <c r="N53"/>
      <c r="O53"/>
      <c r="P53"/>
      <c r="Q53"/>
    </row>
    <row r="54" spans="1:17" ht="18" customHeight="1" x14ac:dyDescent="0.25">
      <c r="A54" s="542" t="s">
        <v>424</v>
      </c>
      <c r="B54" s="543"/>
      <c r="C54" s="543"/>
      <c r="D54" s="543"/>
    </row>
    <row r="55" spans="1:17" ht="29.25" customHeight="1" x14ac:dyDescent="0.25">
      <c r="A55" s="409" t="s">
        <v>425</v>
      </c>
      <c r="B55" s="409" t="s">
        <v>426</v>
      </c>
      <c r="C55" s="409" t="s">
        <v>422</v>
      </c>
      <c r="D55" s="409" t="s">
        <v>32</v>
      </c>
    </row>
    <row r="56" spans="1:17" ht="14.25" customHeight="1" x14ac:dyDescent="0.3">
      <c r="A56" s="257" t="s">
        <v>427</v>
      </c>
      <c r="B56" s="383" t="s">
        <v>415</v>
      </c>
      <c r="C56" s="258">
        <f>MAX(SUMIF($B$8:$B$20,"*HPWH*",$F$8:$F$20),75)</f>
        <v>122.70069545999998</v>
      </c>
      <c r="D56" s="557" t="s">
        <v>428</v>
      </c>
      <c r="N56"/>
      <c r="O56"/>
      <c r="P56"/>
      <c r="Q56"/>
    </row>
    <row r="57" spans="1:17" ht="14.25" customHeight="1" x14ac:dyDescent="0.3">
      <c r="A57" s="228" t="s">
        <v>429</v>
      </c>
      <c r="B57" s="223" t="s">
        <v>415</v>
      </c>
      <c r="C57" s="256">
        <f>MAX(SUMIF($B$32:$B$39,"*HPWH*",$F$32:$F$39),75)</f>
        <v>75</v>
      </c>
      <c r="D57" s="558"/>
      <c r="N57"/>
      <c r="O57"/>
      <c r="P57"/>
      <c r="Q57"/>
    </row>
    <row r="58" spans="1:17" ht="14.25" customHeight="1" x14ac:dyDescent="0.3">
      <c r="A58" s="228" t="s">
        <v>430</v>
      </c>
      <c r="B58" s="223" t="s">
        <v>415</v>
      </c>
      <c r="C58" s="256">
        <f>MAX(SUMIF($B$21:$B$31,"*HPWH*",$F$21:$F$31),75)</f>
        <v>75</v>
      </c>
      <c r="D58" s="558"/>
      <c r="N58"/>
      <c r="O58"/>
      <c r="P58"/>
      <c r="Q58"/>
    </row>
    <row r="59" spans="1:17" ht="14.25" customHeight="1" x14ac:dyDescent="0.3">
      <c r="A59" s="228" t="s">
        <v>431</v>
      </c>
      <c r="B59" s="223" t="s">
        <v>415</v>
      </c>
      <c r="C59" s="256">
        <f>MAX(SUMIF($B$40:$B$45,"*HPWH*",$F$40:$F$45),75)</f>
        <v>75</v>
      </c>
      <c r="D59" s="558"/>
      <c r="E59" s="410"/>
      <c r="F59" s="260"/>
      <c r="G59" s="260"/>
      <c r="H59" s="260"/>
      <c r="I59" s="260"/>
      <c r="N59"/>
      <c r="O59"/>
      <c r="P59"/>
      <c r="Q59"/>
    </row>
    <row r="60" spans="1:17" ht="14.25" customHeight="1" x14ac:dyDescent="0.3">
      <c r="A60" s="228" t="s">
        <v>432</v>
      </c>
      <c r="B60" s="223" t="s">
        <v>415</v>
      </c>
      <c r="C60" s="256">
        <f>MAX(SUMIF($B$46:$B$49,"*HPWH*",$F$46:$F$49),75)</f>
        <v>75</v>
      </c>
      <c r="D60" s="559"/>
      <c r="E60" s="410"/>
      <c r="F60" s="260"/>
      <c r="G60" s="260"/>
      <c r="H60" s="260"/>
      <c r="I60" s="260"/>
      <c r="N60"/>
      <c r="O60"/>
      <c r="P60"/>
      <c r="Q60"/>
    </row>
    <row r="61" spans="1:17" customFormat="1" ht="14.25" customHeight="1" x14ac:dyDescent="0.3">
      <c r="E61" s="410"/>
      <c r="F61" s="260"/>
      <c r="G61" s="260"/>
      <c r="H61" s="260"/>
      <c r="I61" s="260"/>
    </row>
    <row r="62" spans="1:17" s="260" customFormat="1" ht="14.4" x14ac:dyDescent="0.25">
      <c r="A62" s="411" t="s">
        <v>433</v>
      </c>
      <c r="B62" s="412">
        <v>135</v>
      </c>
      <c r="C62" s="410" t="s">
        <v>434</v>
      </c>
      <c r="D62" s="259"/>
      <c r="E62" s="410"/>
    </row>
    <row r="63" spans="1:17" s="260" customFormat="1" ht="14.4" x14ac:dyDescent="0.25">
      <c r="A63" s="259" t="s">
        <v>435</v>
      </c>
      <c r="B63" s="413">
        <v>135</v>
      </c>
      <c r="C63" s="410" t="s">
        <v>434</v>
      </c>
      <c r="D63" s="261"/>
      <c r="E63" s="410"/>
    </row>
    <row r="64" spans="1:17" s="260" customFormat="1" ht="13.2" x14ac:dyDescent="0.25">
      <c r="A64" s="414" t="s">
        <v>436</v>
      </c>
      <c r="B64" s="415">
        <v>0.6</v>
      </c>
      <c r="C64" s="410" t="s">
        <v>437</v>
      </c>
      <c r="D64" s="410"/>
      <c r="E64" s="410"/>
    </row>
    <row r="65" spans="1:17" s="260" customFormat="1" ht="14.4" x14ac:dyDescent="0.3">
      <c r="A65" s="260" t="s">
        <v>438</v>
      </c>
      <c r="B65" s="262">
        <v>8.2876999999999992</v>
      </c>
      <c r="C65" s="263" t="s">
        <v>437</v>
      </c>
      <c r="D65" s="263"/>
      <c r="F65" s="263"/>
      <c r="G65" s="263"/>
    </row>
    <row r="66" spans="1:17" s="260" customFormat="1" ht="26.4" x14ac:dyDescent="0.25">
      <c r="A66" s="411" t="s">
        <v>439</v>
      </c>
      <c r="B66" s="416">
        <v>0.4</v>
      </c>
      <c r="C66" s="417" t="s">
        <v>440</v>
      </c>
      <c r="D66" s="259"/>
      <c r="E66" s="259"/>
    </row>
    <row r="67" spans="1:17" s="260" customFormat="1" ht="14.4" x14ac:dyDescent="0.25">
      <c r="A67" s="411" t="s">
        <v>441</v>
      </c>
      <c r="B67" s="412" t="s">
        <v>442</v>
      </c>
      <c r="C67" s="410" t="s">
        <v>443</v>
      </c>
      <c r="D67" s="259"/>
      <c r="E67" s="259"/>
    </row>
    <row r="68" spans="1:17" s="260" customFormat="1" ht="14.4" x14ac:dyDescent="0.25">
      <c r="A68" s="411" t="s">
        <v>444</v>
      </c>
      <c r="B68" s="412">
        <v>4.3</v>
      </c>
      <c r="C68" s="410" t="s">
        <v>445</v>
      </c>
      <c r="D68" s="259"/>
      <c r="E68" s="259"/>
    </row>
    <row r="69" spans="1:17" s="260" customFormat="1" ht="14.4" x14ac:dyDescent="0.25">
      <c r="A69" s="411" t="s">
        <v>446</v>
      </c>
      <c r="B69" s="412">
        <v>3</v>
      </c>
      <c r="C69" s="410" t="s">
        <v>447</v>
      </c>
      <c r="D69" s="259"/>
      <c r="E69" s="259"/>
    </row>
    <row r="70" spans="1:17" s="260" customFormat="1" ht="14.4" x14ac:dyDescent="0.25">
      <c r="A70" s="411" t="s">
        <v>448</v>
      </c>
      <c r="B70" s="412">
        <f>B68</f>
        <v>4.3</v>
      </c>
      <c r="C70" s="410" t="s">
        <v>449</v>
      </c>
      <c r="D70" s="259"/>
      <c r="E70" s="259"/>
    </row>
    <row r="71" spans="1:17" s="260" customFormat="1" ht="14.4" x14ac:dyDescent="0.25">
      <c r="A71" s="411"/>
      <c r="B71" s="412"/>
      <c r="C71" s="410"/>
      <c r="D71" s="259"/>
      <c r="E71" s="259"/>
    </row>
    <row r="72" spans="1:17" ht="14.25" customHeight="1" x14ac:dyDescent="0.3">
      <c r="A72"/>
      <c r="E72" s="63"/>
      <c r="J72" s="229"/>
      <c r="M72"/>
      <c r="N72"/>
      <c r="O72"/>
      <c r="P72"/>
      <c r="Q72"/>
    </row>
    <row r="73" spans="1:17" s="260" customFormat="1" ht="27" customHeight="1" x14ac:dyDescent="0.25">
      <c r="A73" s="551" t="s">
        <v>450</v>
      </c>
      <c r="B73" s="552"/>
      <c r="C73" s="552"/>
      <c r="D73" s="552"/>
      <c r="E73" s="552"/>
      <c r="F73" s="552"/>
      <c r="G73" s="552"/>
      <c r="H73" s="552"/>
      <c r="I73" s="552"/>
      <c r="J73" s="552"/>
      <c r="K73" s="552"/>
      <c r="L73" s="552"/>
    </row>
    <row r="74" spans="1:17" s="260" customFormat="1" ht="52.8" x14ac:dyDescent="0.3">
      <c r="A74" s="418" t="s">
        <v>451</v>
      </c>
      <c r="B74" s="409" t="s">
        <v>452</v>
      </c>
      <c r="C74" s="409" t="s">
        <v>453</v>
      </c>
      <c r="D74" s="409" t="s">
        <v>454</v>
      </c>
      <c r="E74" s="409" t="s">
        <v>455</v>
      </c>
      <c r="F74" s="409" t="s">
        <v>456</v>
      </c>
      <c r="G74" s="409" t="s">
        <v>457</v>
      </c>
      <c r="H74" s="547" t="s">
        <v>458</v>
      </c>
      <c r="I74" s="548"/>
      <c r="J74" s="549" t="s">
        <v>459</v>
      </c>
      <c r="K74" s="550"/>
      <c r="L74" s="419" t="s">
        <v>460</v>
      </c>
    </row>
    <row r="75" spans="1:17" s="260" customFormat="1" ht="13.2" x14ac:dyDescent="0.25">
      <c r="A75" s="287" t="s">
        <v>427</v>
      </c>
      <c r="B75" s="288" t="s">
        <v>461</v>
      </c>
      <c r="C75" s="289">
        <v>47.9</v>
      </c>
      <c r="D75" s="290">
        <f t="shared" ref="D75:D90" si="2">$C$56*($B$63-C75)*$B$65</f>
        <v>88572.560832830612</v>
      </c>
      <c r="E75" s="290">
        <f t="shared" ref="E75:E90" si="3">D75*$B$64</f>
        <v>53143.536499698363</v>
      </c>
      <c r="F75" s="290">
        <f t="shared" ref="F75:F106" si="4">_xlfn.LET(_xlpm.x,_xlfn.XLOOKUP(E75,$C$159:$C$163,$C$159:$C$163,"",1),IF(_xlpm.x="",E75/$B$70,_xlpm.x/$B$70))</f>
        <v>12358.961976674038</v>
      </c>
      <c r="G75" s="290">
        <f t="shared" ref="G75:G90" si="5">_xlfn.LET(_xlpm.v,MAX(30,$C$56*$B$66),_xlpm.x,_xlfn.XLOOKUP(_xlpm.v,$A$159:$A$163,$A$159:$A$163,"",1),IF(_xlpm.x="",ROUNDUP(_xlpm.v,0),_xlpm.x))</f>
        <v>50</v>
      </c>
      <c r="H75" s="291">
        <f t="shared" ref="H75:H90" si="6">IF(AND(ISNUMBER(J75),G75&gt;0),J75/(0.0834*G75),NA())</f>
        <v>1.0479616306954438</v>
      </c>
      <c r="I75" s="290" t="s">
        <v>462</v>
      </c>
      <c r="J75" s="292">
        <v>4.37</v>
      </c>
      <c r="K75" s="293" t="s">
        <v>463</v>
      </c>
      <c r="L75" s="544" t="s">
        <v>464</v>
      </c>
    </row>
    <row r="76" spans="1:17" s="260" customFormat="1" ht="13.2" x14ac:dyDescent="0.25">
      <c r="A76" s="294" t="s">
        <v>427</v>
      </c>
      <c r="B76" s="264" t="s">
        <v>465</v>
      </c>
      <c r="C76" s="265">
        <v>50.8</v>
      </c>
      <c r="D76" s="266">
        <f t="shared" si="2"/>
        <v>85623.531826915467</v>
      </c>
      <c r="E76" s="266">
        <f t="shared" si="3"/>
        <v>51374.119096149276</v>
      </c>
      <c r="F76" s="266">
        <f t="shared" si="4"/>
        <v>11947.469557244018</v>
      </c>
      <c r="G76" s="266">
        <f t="shared" si="5"/>
        <v>50</v>
      </c>
      <c r="H76" s="267">
        <f t="shared" si="6"/>
        <v>1.0479616306954438</v>
      </c>
      <c r="I76" s="266" t="s">
        <v>462</v>
      </c>
      <c r="J76" s="268">
        <v>4.37</v>
      </c>
      <c r="K76" s="269" t="s">
        <v>463</v>
      </c>
      <c r="L76" s="545"/>
    </row>
    <row r="77" spans="1:17" s="260" customFormat="1" ht="13.2" x14ac:dyDescent="0.25">
      <c r="A77" s="294" t="s">
        <v>427</v>
      </c>
      <c r="B77" s="264" t="s">
        <v>466</v>
      </c>
      <c r="C77" s="265">
        <v>52.2</v>
      </c>
      <c r="D77" s="266">
        <f t="shared" si="2"/>
        <v>84199.862651646079</v>
      </c>
      <c r="E77" s="266">
        <f t="shared" si="3"/>
        <v>50519.917590987643</v>
      </c>
      <c r="F77" s="266">
        <f t="shared" si="4"/>
        <v>11748.818044415731</v>
      </c>
      <c r="G77" s="266">
        <f t="shared" si="5"/>
        <v>50</v>
      </c>
      <c r="H77" s="267">
        <f t="shared" si="6"/>
        <v>1.0479616306954438</v>
      </c>
      <c r="I77" s="266" t="s">
        <v>462</v>
      </c>
      <c r="J77" s="268">
        <v>4.37</v>
      </c>
      <c r="K77" s="269" t="s">
        <v>463</v>
      </c>
      <c r="L77" s="545"/>
    </row>
    <row r="78" spans="1:17" s="260" customFormat="1" ht="13.2" x14ac:dyDescent="0.25">
      <c r="A78" s="294" t="s">
        <v>427</v>
      </c>
      <c r="B78" s="264" t="s">
        <v>467</v>
      </c>
      <c r="C78" s="265">
        <v>52.7</v>
      </c>
      <c r="D78" s="266">
        <f t="shared" si="2"/>
        <v>83691.409374764175</v>
      </c>
      <c r="E78" s="266">
        <f t="shared" si="3"/>
        <v>50214.845624858506</v>
      </c>
      <c r="F78" s="266">
        <f t="shared" si="4"/>
        <v>11677.87107554849</v>
      </c>
      <c r="G78" s="266">
        <f t="shared" si="5"/>
        <v>50</v>
      </c>
      <c r="H78" s="267">
        <f t="shared" si="6"/>
        <v>1.0479616306954438</v>
      </c>
      <c r="I78" s="266" t="s">
        <v>462</v>
      </c>
      <c r="J78" s="268">
        <v>4.37</v>
      </c>
      <c r="K78" s="269" t="s">
        <v>463</v>
      </c>
      <c r="L78" s="545"/>
    </row>
    <row r="79" spans="1:17" s="260" customFormat="1" ht="13.2" x14ac:dyDescent="0.25">
      <c r="A79" s="294" t="s">
        <v>427</v>
      </c>
      <c r="B79" s="264" t="s">
        <v>468</v>
      </c>
      <c r="C79" s="265">
        <v>51.6</v>
      </c>
      <c r="D79" s="266">
        <f t="shared" si="2"/>
        <v>84810.006583904411</v>
      </c>
      <c r="E79" s="266">
        <f t="shared" si="3"/>
        <v>50886.003950342645</v>
      </c>
      <c r="F79" s="266">
        <f t="shared" si="4"/>
        <v>11833.95440705643</v>
      </c>
      <c r="G79" s="266">
        <f t="shared" si="5"/>
        <v>50</v>
      </c>
      <c r="H79" s="267">
        <f t="shared" si="6"/>
        <v>1.0479616306954438</v>
      </c>
      <c r="I79" s="266" t="s">
        <v>462</v>
      </c>
      <c r="J79" s="268">
        <v>4.37</v>
      </c>
      <c r="K79" s="269" t="s">
        <v>463</v>
      </c>
      <c r="L79" s="545"/>
    </row>
    <row r="80" spans="1:17" s="260" customFormat="1" ht="13.2" x14ac:dyDescent="0.25">
      <c r="A80" s="294" t="s">
        <v>427</v>
      </c>
      <c r="B80" s="264" t="s">
        <v>469</v>
      </c>
      <c r="C80" s="265">
        <v>56.8</v>
      </c>
      <c r="D80" s="266">
        <f t="shared" si="2"/>
        <v>79522.092504332424</v>
      </c>
      <c r="E80" s="266">
        <f t="shared" si="3"/>
        <v>47713.255502599452</v>
      </c>
      <c r="F80" s="266">
        <f t="shared" si="4"/>
        <v>11096.105930837082</v>
      </c>
      <c r="G80" s="266">
        <f t="shared" si="5"/>
        <v>50</v>
      </c>
      <c r="H80" s="267">
        <f t="shared" si="6"/>
        <v>1.0479616306954438</v>
      </c>
      <c r="I80" s="266" t="s">
        <v>462</v>
      </c>
      <c r="J80" s="268">
        <v>4.37</v>
      </c>
      <c r="K80" s="269" t="s">
        <v>463</v>
      </c>
      <c r="L80" s="545"/>
    </row>
    <row r="81" spans="1:12" s="260" customFormat="1" ht="13.2" x14ac:dyDescent="0.25">
      <c r="A81" s="294" t="s">
        <v>427</v>
      </c>
      <c r="B81" s="264" t="s">
        <v>470</v>
      </c>
      <c r="C81" s="265">
        <v>58.4</v>
      </c>
      <c r="D81" s="266">
        <f t="shared" si="2"/>
        <v>77895.042018310269</v>
      </c>
      <c r="E81" s="266">
        <f t="shared" si="3"/>
        <v>46737.025210986161</v>
      </c>
      <c r="F81" s="266">
        <f t="shared" si="4"/>
        <v>10869.075630461899</v>
      </c>
      <c r="G81" s="266">
        <f t="shared" si="5"/>
        <v>50</v>
      </c>
      <c r="H81" s="267">
        <f t="shared" si="6"/>
        <v>1.0479616306954438</v>
      </c>
      <c r="I81" s="266" t="s">
        <v>462</v>
      </c>
      <c r="J81" s="268">
        <v>4.37</v>
      </c>
      <c r="K81" s="269" t="s">
        <v>463</v>
      </c>
      <c r="L81" s="545"/>
    </row>
    <row r="82" spans="1:12" s="260" customFormat="1" ht="13.2" x14ac:dyDescent="0.25">
      <c r="A82" s="294" t="s">
        <v>427</v>
      </c>
      <c r="B82" s="264" t="s">
        <v>471</v>
      </c>
      <c r="C82" s="265">
        <v>58.4</v>
      </c>
      <c r="D82" s="266">
        <f t="shared" si="2"/>
        <v>77895.042018310269</v>
      </c>
      <c r="E82" s="266">
        <f t="shared" si="3"/>
        <v>46737.025210986161</v>
      </c>
      <c r="F82" s="266">
        <f t="shared" si="4"/>
        <v>10869.075630461899</v>
      </c>
      <c r="G82" s="266">
        <f t="shared" si="5"/>
        <v>50</v>
      </c>
      <c r="H82" s="267">
        <f t="shared" si="6"/>
        <v>1.0479616306954438</v>
      </c>
      <c r="I82" s="266" t="s">
        <v>462</v>
      </c>
      <c r="J82" s="268">
        <v>4.37</v>
      </c>
      <c r="K82" s="269" t="s">
        <v>463</v>
      </c>
      <c r="L82" s="545"/>
    </row>
    <row r="83" spans="1:12" s="260" customFormat="1" ht="13.2" x14ac:dyDescent="0.25">
      <c r="A83" s="294" t="s">
        <v>427</v>
      </c>
      <c r="B83" s="264" t="s">
        <v>472</v>
      </c>
      <c r="C83" s="265">
        <v>57.6</v>
      </c>
      <c r="D83" s="266">
        <f t="shared" si="2"/>
        <v>78708.567261321354</v>
      </c>
      <c r="E83" s="266">
        <f t="shared" si="3"/>
        <v>47225.140356792814</v>
      </c>
      <c r="F83" s="266">
        <f t="shared" si="4"/>
        <v>10982.590780649492</v>
      </c>
      <c r="G83" s="266">
        <f t="shared" si="5"/>
        <v>50</v>
      </c>
      <c r="H83" s="267">
        <f t="shared" si="6"/>
        <v>1.0479616306954438</v>
      </c>
      <c r="I83" s="266" t="s">
        <v>462</v>
      </c>
      <c r="J83" s="268">
        <v>4.37</v>
      </c>
      <c r="K83" s="269" t="s">
        <v>463</v>
      </c>
      <c r="L83" s="545"/>
    </row>
    <row r="84" spans="1:12" s="260" customFormat="1" ht="13.2" x14ac:dyDescent="0.25">
      <c r="A84" s="294" t="s">
        <v>427</v>
      </c>
      <c r="B84" s="264" t="s">
        <v>234</v>
      </c>
      <c r="C84" s="265">
        <v>57.1</v>
      </c>
      <c r="D84" s="266">
        <f t="shared" si="2"/>
        <v>79217.020538203273</v>
      </c>
      <c r="E84" s="266">
        <f t="shared" si="3"/>
        <v>47530.212322921965</v>
      </c>
      <c r="F84" s="266">
        <f t="shared" si="4"/>
        <v>11053.537749516736</v>
      </c>
      <c r="G84" s="266">
        <f t="shared" si="5"/>
        <v>50</v>
      </c>
      <c r="H84" s="267">
        <f t="shared" si="6"/>
        <v>1.0479616306954438</v>
      </c>
      <c r="I84" s="266" t="s">
        <v>462</v>
      </c>
      <c r="J84" s="268">
        <v>4.37</v>
      </c>
      <c r="K84" s="269" t="s">
        <v>463</v>
      </c>
      <c r="L84" s="545"/>
    </row>
    <row r="85" spans="1:12" s="260" customFormat="1" ht="13.2" x14ac:dyDescent="0.25">
      <c r="A85" s="294" t="s">
        <v>427</v>
      </c>
      <c r="B85" s="264" t="s">
        <v>235</v>
      </c>
      <c r="C85" s="265">
        <v>50.5</v>
      </c>
      <c r="D85" s="266">
        <f t="shared" si="2"/>
        <v>85928.603793044633</v>
      </c>
      <c r="E85" s="266">
        <f t="shared" si="3"/>
        <v>51557.162275826777</v>
      </c>
      <c r="F85" s="266">
        <f t="shared" si="4"/>
        <v>11990.037738564368</v>
      </c>
      <c r="G85" s="266">
        <f t="shared" si="5"/>
        <v>50</v>
      </c>
      <c r="H85" s="267">
        <f t="shared" si="6"/>
        <v>1.0479616306954438</v>
      </c>
      <c r="I85" s="266" t="s">
        <v>462</v>
      </c>
      <c r="J85" s="268">
        <v>4.37</v>
      </c>
      <c r="K85" s="269" t="s">
        <v>463</v>
      </c>
      <c r="L85" s="545"/>
    </row>
    <row r="86" spans="1:12" s="260" customFormat="1" ht="13.2" x14ac:dyDescent="0.25">
      <c r="A86" s="294" t="s">
        <v>427</v>
      </c>
      <c r="B86" s="264" t="s">
        <v>236</v>
      </c>
      <c r="C86" s="265">
        <v>51.4</v>
      </c>
      <c r="D86" s="266">
        <f t="shared" si="2"/>
        <v>85013.387894657164</v>
      </c>
      <c r="E86" s="266">
        <f t="shared" si="3"/>
        <v>51008.032736794295</v>
      </c>
      <c r="F86" s="266">
        <f t="shared" si="4"/>
        <v>11862.333194603325</v>
      </c>
      <c r="G86" s="266">
        <f t="shared" si="5"/>
        <v>50</v>
      </c>
      <c r="H86" s="267">
        <f t="shared" si="6"/>
        <v>1.0479616306954438</v>
      </c>
      <c r="I86" s="266" t="s">
        <v>462</v>
      </c>
      <c r="J86" s="268">
        <v>4.37</v>
      </c>
      <c r="K86" s="269" t="s">
        <v>463</v>
      </c>
      <c r="L86" s="545"/>
    </row>
    <row r="87" spans="1:12" s="260" customFormat="1" ht="13.2" x14ac:dyDescent="0.25">
      <c r="A87" s="294" t="s">
        <v>427</v>
      </c>
      <c r="B87" s="264" t="s">
        <v>237</v>
      </c>
      <c r="C87" s="265">
        <v>51.7</v>
      </c>
      <c r="D87" s="266">
        <f t="shared" si="2"/>
        <v>84708.315928527998</v>
      </c>
      <c r="E87" s="266">
        <f t="shared" si="3"/>
        <v>50824.989557116794</v>
      </c>
      <c r="F87" s="266">
        <f t="shared" si="4"/>
        <v>11819.765013282977</v>
      </c>
      <c r="G87" s="266">
        <f t="shared" si="5"/>
        <v>50</v>
      </c>
      <c r="H87" s="267">
        <f t="shared" si="6"/>
        <v>1.0479616306954438</v>
      </c>
      <c r="I87" s="266" t="s">
        <v>462</v>
      </c>
      <c r="J87" s="268">
        <v>4.37</v>
      </c>
      <c r="K87" s="269" t="s">
        <v>463</v>
      </c>
      <c r="L87" s="545"/>
    </row>
    <row r="88" spans="1:12" s="260" customFormat="1" ht="13.2" x14ac:dyDescent="0.25">
      <c r="A88" s="294" t="s">
        <v>427</v>
      </c>
      <c r="B88" s="264" t="s">
        <v>238</v>
      </c>
      <c r="C88" s="265">
        <v>50.1</v>
      </c>
      <c r="D88" s="266">
        <f t="shared" si="2"/>
        <v>86335.366414550153</v>
      </c>
      <c r="E88" s="266">
        <f t="shared" si="3"/>
        <v>51801.219848730092</v>
      </c>
      <c r="F88" s="266">
        <f t="shared" si="4"/>
        <v>12046.795313658162</v>
      </c>
      <c r="G88" s="266">
        <f t="shared" si="5"/>
        <v>50</v>
      </c>
      <c r="H88" s="267">
        <f t="shared" si="6"/>
        <v>1.0479616306954438</v>
      </c>
      <c r="I88" s="266" t="s">
        <v>462</v>
      </c>
      <c r="J88" s="268">
        <v>4.37</v>
      </c>
      <c r="K88" s="269" t="s">
        <v>463</v>
      </c>
      <c r="L88" s="545"/>
    </row>
    <row r="89" spans="1:12" s="260" customFormat="1" ht="13.2" x14ac:dyDescent="0.25">
      <c r="A89" s="294" t="s">
        <v>427</v>
      </c>
      <c r="B89" s="264" t="s">
        <v>239</v>
      </c>
      <c r="C89" s="265">
        <v>63.2</v>
      </c>
      <c r="D89" s="266">
        <f t="shared" si="2"/>
        <v>73013.890560243832</v>
      </c>
      <c r="E89" s="266">
        <f t="shared" si="3"/>
        <v>43808.334336146298</v>
      </c>
      <c r="F89" s="266">
        <f t="shared" si="4"/>
        <v>10187.984729336349</v>
      </c>
      <c r="G89" s="266">
        <f t="shared" si="5"/>
        <v>50</v>
      </c>
      <c r="H89" s="267">
        <f t="shared" si="6"/>
        <v>1.0479616306954438</v>
      </c>
      <c r="I89" s="266" t="s">
        <v>462</v>
      </c>
      <c r="J89" s="268">
        <v>4.37</v>
      </c>
      <c r="K89" s="269" t="s">
        <v>463</v>
      </c>
      <c r="L89" s="545"/>
    </row>
    <row r="90" spans="1:12" s="260" customFormat="1" ht="13.2" x14ac:dyDescent="0.25">
      <c r="A90" s="295" t="s">
        <v>427</v>
      </c>
      <c r="B90" s="296" t="s">
        <v>240</v>
      </c>
      <c r="C90" s="297">
        <v>41.4</v>
      </c>
      <c r="D90" s="298">
        <f t="shared" si="2"/>
        <v>95182.453432295573</v>
      </c>
      <c r="E90" s="298">
        <f t="shared" si="3"/>
        <v>57109.472059377345</v>
      </c>
      <c r="F90" s="298">
        <f t="shared" si="4"/>
        <v>13281.272571948221</v>
      </c>
      <c r="G90" s="298">
        <f t="shared" si="5"/>
        <v>50</v>
      </c>
      <c r="H90" s="299">
        <f t="shared" si="6"/>
        <v>1.0479616306954438</v>
      </c>
      <c r="I90" s="298" t="s">
        <v>462</v>
      </c>
      <c r="J90" s="300">
        <v>4.37</v>
      </c>
      <c r="K90" s="301" t="s">
        <v>463</v>
      </c>
      <c r="L90" s="546"/>
    </row>
    <row r="91" spans="1:12" s="260" customFormat="1" ht="13.2" x14ac:dyDescent="0.25">
      <c r="A91" s="287" t="s">
        <v>473</v>
      </c>
      <c r="B91" s="288" t="s">
        <v>461</v>
      </c>
      <c r="C91" s="289">
        <v>47.9</v>
      </c>
      <c r="D91" s="290">
        <f t="shared" ref="D91:D106" si="7">$C$57*($B$63-C91)*$B$65</f>
        <v>54139.400249999992</v>
      </c>
      <c r="E91" s="290">
        <f t="shared" ref="E91:E106" si="8">D91*$B$64</f>
        <v>32483.640149999992</v>
      </c>
      <c r="F91" s="290">
        <f t="shared" si="4"/>
        <v>7554.3349186046498</v>
      </c>
      <c r="G91" s="290">
        <f t="shared" ref="G91:G106" si="9">_xlfn.LET(_xlpm.v,MAX(30,$C$57*$B$66),_xlpm.x,_xlfn.XLOOKUP(_xlpm.v,$A$159:$A$163,$A$159:$A$163,"",1),IF(_xlpm.x="",ROUNDUP(_xlpm.v,0),_xlpm.x))</f>
        <v>40</v>
      </c>
      <c r="H91" s="291">
        <f t="shared" ref="H91:H106" si="10">IF(AND(ISNUMBER(J91),G91&gt;0),J91/(0.0834*G91),NA())</f>
        <v>1.3099520383693044</v>
      </c>
      <c r="I91" s="290" t="s">
        <v>462</v>
      </c>
      <c r="J91" s="292">
        <v>4.37</v>
      </c>
      <c r="K91" s="293" t="s">
        <v>463</v>
      </c>
      <c r="L91" s="544" t="s">
        <v>474</v>
      </c>
    </row>
    <row r="92" spans="1:12" s="260" customFormat="1" ht="13.2" x14ac:dyDescent="0.25">
      <c r="A92" s="294" t="s">
        <v>473</v>
      </c>
      <c r="B92" s="264" t="s">
        <v>465</v>
      </c>
      <c r="C92" s="265">
        <v>50.8</v>
      </c>
      <c r="D92" s="266">
        <f t="shared" si="7"/>
        <v>52336.825499999992</v>
      </c>
      <c r="E92" s="266">
        <f t="shared" si="8"/>
        <v>31402.095299999994</v>
      </c>
      <c r="F92" s="266">
        <f t="shared" si="4"/>
        <v>7302.8128604651147</v>
      </c>
      <c r="G92" s="266">
        <f t="shared" si="9"/>
        <v>40</v>
      </c>
      <c r="H92" s="267">
        <f t="shared" si="10"/>
        <v>1.3099520383693044</v>
      </c>
      <c r="I92" s="266" t="s">
        <v>462</v>
      </c>
      <c r="J92" s="268">
        <v>4.37</v>
      </c>
      <c r="K92" s="269" t="s">
        <v>463</v>
      </c>
      <c r="L92" s="545"/>
    </row>
    <row r="93" spans="1:12" s="260" customFormat="1" ht="13.2" x14ac:dyDescent="0.25">
      <c r="A93" s="294" t="s">
        <v>473</v>
      </c>
      <c r="B93" s="264" t="s">
        <v>466</v>
      </c>
      <c r="C93" s="265">
        <v>52.2</v>
      </c>
      <c r="D93" s="266">
        <f t="shared" si="7"/>
        <v>51466.616999999998</v>
      </c>
      <c r="E93" s="266">
        <f t="shared" si="8"/>
        <v>30879.970199999996</v>
      </c>
      <c r="F93" s="266">
        <f t="shared" si="4"/>
        <v>7181.3884186046507</v>
      </c>
      <c r="G93" s="266">
        <f t="shared" si="9"/>
        <v>40</v>
      </c>
      <c r="H93" s="267">
        <f t="shared" si="10"/>
        <v>1.3099520383693044</v>
      </c>
      <c r="I93" s="266" t="s">
        <v>462</v>
      </c>
      <c r="J93" s="268">
        <v>4.37</v>
      </c>
      <c r="K93" s="269" t="s">
        <v>463</v>
      </c>
      <c r="L93" s="545"/>
    </row>
    <row r="94" spans="1:12" s="260" customFormat="1" ht="13.2" x14ac:dyDescent="0.25">
      <c r="A94" s="294" t="s">
        <v>473</v>
      </c>
      <c r="B94" s="264" t="s">
        <v>467</v>
      </c>
      <c r="C94" s="265">
        <v>52.7</v>
      </c>
      <c r="D94" s="266">
        <f t="shared" si="7"/>
        <v>51155.828249999991</v>
      </c>
      <c r="E94" s="266">
        <f t="shared" si="8"/>
        <v>30693.496949999993</v>
      </c>
      <c r="F94" s="266">
        <f t="shared" si="4"/>
        <v>7138.0225465116264</v>
      </c>
      <c r="G94" s="266">
        <f t="shared" si="9"/>
        <v>40</v>
      </c>
      <c r="H94" s="267">
        <f t="shared" si="10"/>
        <v>1.3099520383693044</v>
      </c>
      <c r="I94" s="266" t="s">
        <v>462</v>
      </c>
      <c r="J94" s="268">
        <v>4.37</v>
      </c>
      <c r="K94" s="269" t="s">
        <v>463</v>
      </c>
      <c r="L94" s="545"/>
    </row>
    <row r="95" spans="1:12" s="260" customFormat="1" ht="13.2" x14ac:dyDescent="0.25">
      <c r="A95" s="294" t="s">
        <v>473</v>
      </c>
      <c r="B95" s="264" t="s">
        <v>468</v>
      </c>
      <c r="C95" s="265">
        <v>51.6</v>
      </c>
      <c r="D95" s="266">
        <f t="shared" si="7"/>
        <v>51839.563499999997</v>
      </c>
      <c r="E95" s="266">
        <f t="shared" si="8"/>
        <v>31103.738099999995</v>
      </c>
      <c r="F95" s="266">
        <f t="shared" si="4"/>
        <v>7233.4274651162787</v>
      </c>
      <c r="G95" s="266">
        <f t="shared" si="9"/>
        <v>40</v>
      </c>
      <c r="H95" s="267">
        <f t="shared" si="10"/>
        <v>1.3099520383693044</v>
      </c>
      <c r="I95" s="266" t="s">
        <v>462</v>
      </c>
      <c r="J95" s="268">
        <v>4.37</v>
      </c>
      <c r="K95" s="269" t="s">
        <v>463</v>
      </c>
      <c r="L95" s="545"/>
    </row>
    <row r="96" spans="1:12" s="260" customFormat="1" ht="13.2" x14ac:dyDescent="0.25">
      <c r="A96" s="294" t="s">
        <v>473</v>
      </c>
      <c r="B96" s="264" t="s">
        <v>469</v>
      </c>
      <c r="C96" s="265">
        <v>56.8</v>
      </c>
      <c r="D96" s="266">
        <f t="shared" si="7"/>
        <v>48607.360499999995</v>
      </c>
      <c r="E96" s="266">
        <f t="shared" si="8"/>
        <v>29164.416299999997</v>
      </c>
      <c r="F96" s="266">
        <f t="shared" si="4"/>
        <v>6782.4223953488372</v>
      </c>
      <c r="G96" s="266">
        <f t="shared" si="9"/>
        <v>40</v>
      </c>
      <c r="H96" s="267">
        <f t="shared" si="10"/>
        <v>1.3099520383693044</v>
      </c>
      <c r="I96" s="266" t="s">
        <v>462</v>
      </c>
      <c r="J96" s="268">
        <v>4.37</v>
      </c>
      <c r="K96" s="269" t="s">
        <v>463</v>
      </c>
      <c r="L96" s="545"/>
    </row>
    <row r="97" spans="1:12" s="260" customFormat="1" ht="13.2" x14ac:dyDescent="0.25">
      <c r="A97" s="294" t="s">
        <v>473</v>
      </c>
      <c r="B97" s="264" t="s">
        <v>470</v>
      </c>
      <c r="C97" s="265">
        <v>58.4</v>
      </c>
      <c r="D97" s="266">
        <f t="shared" si="7"/>
        <v>47612.836499999998</v>
      </c>
      <c r="E97" s="266">
        <f t="shared" si="8"/>
        <v>28567.701899999996</v>
      </c>
      <c r="F97" s="266">
        <f t="shared" si="4"/>
        <v>6643.6516046511624</v>
      </c>
      <c r="G97" s="266">
        <f t="shared" si="9"/>
        <v>40</v>
      </c>
      <c r="H97" s="267">
        <f t="shared" si="10"/>
        <v>1.3099520383693044</v>
      </c>
      <c r="I97" s="266" t="s">
        <v>462</v>
      </c>
      <c r="J97" s="268">
        <v>4.37</v>
      </c>
      <c r="K97" s="269" t="s">
        <v>463</v>
      </c>
      <c r="L97" s="545"/>
    </row>
    <row r="98" spans="1:12" s="260" customFormat="1" ht="13.2" x14ac:dyDescent="0.25">
      <c r="A98" s="294" t="s">
        <v>473</v>
      </c>
      <c r="B98" s="264" t="s">
        <v>471</v>
      </c>
      <c r="C98" s="265">
        <v>58.4</v>
      </c>
      <c r="D98" s="266">
        <f t="shared" si="7"/>
        <v>47612.836499999998</v>
      </c>
      <c r="E98" s="266">
        <f t="shared" si="8"/>
        <v>28567.701899999996</v>
      </c>
      <c r="F98" s="266">
        <f t="shared" si="4"/>
        <v>6643.6516046511624</v>
      </c>
      <c r="G98" s="266">
        <f t="shared" si="9"/>
        <v>40</v>
      </c>
      <c r="H98" s="267">
        <f t="shared" si="10"/>
        <v>1.3099520383693044</v>
      </c>
      <c r="I98" s="266" t="s">
        <v>462</v>
      </c>
      <c r="J98" s="268">
        <v>4.37</v>
      </c>
      <c r="K98" s="269" t="s">
        <v>463</v>
      </c>
      <c r="L98" s="545"/>
    </row>
    <row r="99" spans="1:12" s="260" customFormat="1" ht="13.2" x14ac:dyDescent="0.25">
      <c r="A99" s="294" t="s">
        <v>473</v>
      </c>
      <c r="B99" s="264" t="s">
        <v>472</v>
      </c>
      <c r="C99" s="265">
        <v>57.6</v>
      </c>
      <c r="D99" s="266">
        <f t="shared" si="7"/>
        <v>48110.098499999993</v>
      </c>
      <c r="E99" s="266">
        <f t="shared" si="8"/>
        <v>28866.059099999995</v>
      </c>
      <c r="F99" s="266">
        <f t="shared" si="4"/>
        <v>6713.0369999999994</v>
      </c>
      <c r="G99" s="266">
        <f t="shared" si="9"/>
        <v>40</v>
      </c>
      <c r="H99" s="267">
        <f t="shared" si="10"/>
        <v>1.3099520383693044</v>
      </c>
      <c r="I99" s="266" t="s">
        <v>462</v>
      </c>
      <c r="J99" s="268">
        <v>4.37</v>
      </c>
      <c r="K99" s="269" t="s">
        <v>463</v>
      </c>
      <c r="L99" s="545"/>
    </row>
    <row r="100" spans="1:12" s="260" customFormat="1" ht="13.2" x14ac:dyDescent="0.25">
      <c r="A100" s="294" t="s">
        <v>473</v>
      </c>
      <c r="B100" s="264" t="s">
        <v>234</v>
      </c>
      <c r="C100" s="265">
        <v>57.1</v>
      </c>
      <c r="D100" s="266">
        <f t="shared" si="7"/>
        <v>48420.887249999992</v>
      </c>
      <c r="E100" s="266">
        <f t="shared" si="8"/>
        <v>29052.532349999994</v>
      </c>
      <c r="F100" s="266">
        <f t="shared" si="4"/>
        <v>6756.4028720930219</v>
      </c>
      <c r="G100" s="266">
        <f t="shared" si="9"/>
        <v>40</v>
      </c>
      <c r="H100" s="267">
        <f t="shared" si="10"/>
        <v>1.3099520383693044</v>
      </c>
      <c r="I100" s="266" t="s">
        <v>462</v>
      </c>
      <c r="J100" s="268">
        <v>4.37</v>
      </c>
      <c r="K100" s="269" t="s">
        <v>463</v>
      </c>
      <c r="L100" s="545"/>
    </row>
    <row r="101" spans="1:12" s="260" customFormat="1" ht="13.2" x14ac:dyDescent="0.25">
      <c r="A101" s="294" t="s">
        <v>473</v>
      </c>
      <c r="B101" s="264" t="s">
        <v>235</v>
      </c>
      <c r="C101" s="265">
        <v>50.5</v>
      </c>
      <c r="D101" s="266">
        <f t="shared" si="7"/>
        <v>52523.298749999994</v>
      </c>
      <c r="E101" s="266">
        <f t="shared" si="8"/>
        <v>31513.979249999997</v>
      </c>
      <c r="F101" s="266">
        <f t="shared" si="4"/>
        <v>7328.83238372093</v>
      </c>
      <c r="G101" s="266">
        <f t="shared" si="9"/>
        <v>40</v>
      </c>
      <c r="H101" s="267">
        <f t="shared" si="10"/>
        <v>1.3099520383693044</v>
      </c>
      <c r="I101" s="266" t="s">
        <v>462</v>
      </c>
      <c r="J101" s="268">
        <v>4.37</v>
      </c>
      <c r="K101" s="269" t="s">
        <v>463</v>
      </c>
      <c r="L101" s="545"/>
    </row>
    <row r="102" spans="1:12" s="260" customFormat="1" ht="13.2" x14ac:dyDescent="0.25">
      <c r="A102" s="294" t="s">
        <v>473</v>
      </c>
      <c r="B102" s="264" t="s">
        <v>236</v>
      </c>
      <c r="C102" s="265">
        <v>51.4</v>
      </c>
      <c r="D102" s="266">
        <f t="shared" si="7"/>
        <v>51963.878999999994</v>
      </c>
      <c r="E102" s="266">
        <f t="shared" si="8"/>
        <v>31178.327399999995</v>
      </c>
      <c r="F102" s="266">
        <f t="shared" si="4"/>
        <v>7250.7738139534877</v>
      </c>
      <c r="G102" s="266">
        <f t="shared" si="9"/>
        <v>40</v>
      </c>
      <c r="H102" s="267">
        <f t="shared" si="10"/>
        <v>1.3099520383693044</v>
      </c>
      <c r="I102" s="266" t="s">
        <v>462</v>
      </c>
      <c r="J102" s="268">
        <v>4.37</v>
      </c>
      <c r="K102" s="269" t="s">
        <v>463</v>
      </c>
      <c r="L102" s="545"/>
    </row>
    <row r="103" spans="1:12" s="260" customFormat="1" ht="13.2" x14ac:dyDescent="0.25">
      <c r="A103" s="294" t="s">
        <v>473</v>
      </c>
      <c r="B103" s="264" t="s">
        <v>237</v>
      </c>
      <c r="C103" s="265">
        <v>51.7</v>
      </c>
      <c r="D103" s="266">
        <f t="shared" si="7"/>
        <v>51777.405749999998</v>
      </c>
      <c r="E103" s="266">
        <f t="shared" si="8"/>
        <v>31066.443449999999</v>
      </c>
      <c r="F103" s="266">
        <f t="shared" si="4"/>
        <v>7224.7542906976742</v>
      </c>
      <c r="G103" s="266">
        <f t="shared" si="9"/>
        <v>40</v>
      </c>
      <c r="H103" s="267">
        <f t="shared" si="10"/>
        <v>1.3099520383693044</v>
      </c>
      <c r="I103" s="266" t="s">
        <v>462</v>
      </c>
      <c r="J103" s="268">
        <v>4.37</v>
      </c>
      <c r="K103" s="269" t="s">
        <v>463</v>
      </c>
      <c r="L103" s="545"/>
    </row>
    <row r="104" spans="1:12" s="260" customFormat="1" ht="13.2" x14ac:dyDescent="0.25">
      <c r="A104" s="294" t="s">
        <v>473</v>
      </c>
      <c r="B104" s="264" t="s">
        <v>238</v>
      </c>
      <c r="C104" s="265">
        <v>50.1</v>
      </c>
      <c r="D104" s="266">
        <f t="shared" si="7"/>
        <v>52771.929749999996</v>
      </c>
      <c r="E104" s="266">
        <f t="shared" si="8"/>
        <v>31663.157849999996</v>
      </c>
      <c r="F104" s="266">
        <f t="shared" si="4"/>
        <v>7363.525081395348</v>
      </c>
      <c r="G104" s="266">
        <f t="shared" si="9"/>
        <v>40</v>
      </c>
      <c r="H104" s="267">
        <f t="shared" si="10"/>
        <v>1.3099520383693044</v>
      </c>
      <c r="I104" s="266" t="s">
        <v>462</v>
      </c>
      <c r="J104" s="268">
        <v>4.37</v>
      </c>
      <c r="K104" s="269" t="s">
        <v>463</v>
      </c>
      <c r="L104" s="545"/>
    </row>
    <row r="105" spans="1:12" s="260" customFormat="1" ht="13.2" x14ac:dyDescent="0.25">
      <c r="A105" s="294" t="s">
        <v>473</v>
      </c>
      <c r="B105" s="264" t="s">
        <v>239</v>
      </c>
      <c r="C105" s="265">
        <v>63.2</v>
      </c>
      <c r="D105" s="266">
        <f t="shared" si="7"/>
        <v>44629.264499999997</v>
      </c>
      <c r="E105" s="266">
        <f t="shared" si="8"/>
        <v>26777.558699999998</v>
      </c>
      <c r="F105" s="266">
        <f t="shared" si="4"/>
        <v>6227.339232558139</v>
      </c>
      <c r="G105" s="266">
        <f t="shared" si="9"/>
        <v>40</v>
      </c>
      <c r="H105" s="267">
        <f t="shared" si="10"/>
        <v>1.3099520383693044</v>
      </c>
      <c r="I105" s="266" t="s">
        <v>462</v>
      </c>
      <c r="J105" s="268">
        <v>4.37</v>
      </c>
      <c r="K105" s="269" t="s">
        <v>463</v>
      </c>
      <c r="L105" s="545"/>
    </row>
    <row r="106" spans="1:12" s="260" customFormat="1" ht="13.2" x14ac:dyDescent="0.25">
      <c r="A106" s="295" t="s">
        <v>473</v>
      </c>
      <c r="B106" s="296" t="s">
        <v>240</v>
      </c>
      <c r="C106" s="297">
        <v>41.4</v>
      </c>
      <c r="D106" s="298">
        <f t="shared" si="7"/>
        <v>58179.653999999995</v>
      </c>
      <c r="E106" s="298">
        <f t="shared" si="8"/>
        <v>34907.792399999998</v>
      </c>
      <c r="F106" s="298">
        <f t="shared" si="4"/>
        <v>8118.0912558139535</v>
      </c>
      <c r="G106" s="298">
        <f t="shared" si="9"/>
        <v>40</v>
      </c>
      <c r="H106" s="299">
        <f t="shared" si="10"/>
        <v>1.3099520383693044</v>
      </c>
      <c r="I106" s="298" t="s">
        <v>462</v>
      </c>
      <c r="J106" s="300">
        <v>4.37</v>
      </c>
      <c r="K106" s="301" t="s">
        <v>463</v>
      </c>
      <c r="L106" s="546"/>
    </row>
    <row r="107" spans="1:12" s="260" customFormat="1" ht="13.2" x14ac:dyDescent="0.25">
      <c r="A107" s="287" t="s">
        <v>475</v>
      </c>
      <c r="B107" s="288" t="s">
        <v>461</v>
      </c>
      <c r="C107" s="289">
        <v>47.9</v>
      </c>
      <c r="D107" s="290">
        <f t="shared" ref="D107:D122" si="11">$C$58*($B$63-C107)*$B$65</f>
        <v>54139.400249999992</v>
      </c>
      <c r="E107" s="290">
        <f t="shared" ref="E107:E122" si="12">D107*$B$64</f>
        <v>32483.640149999992</v>
      </c>
      <c r="F107" s="290">
        <f t="shared" ref="F107:F138" si="13">_xlfn.LET(_xlpm.x,_xlfn.XLOOKUP(E107,$C$159:$C$163,$C$159:$C$163,"",1),IF(_xlpm.x="",E107/$B$70,_xlpm.x/$B$70))</f>
        <v>7554.3349186046498</v>
      </c>
      <c r="G107" s="290">
        <f t="shared" ref="G107:G122" si="14">_xlfn.LET(_xlpm.v,MAX(30,$C$58*$B$66),_xlpm.x,_xlfn.XLOOKUP(_xlpm.v,$A$159:$A$163,$A$159:$A$163,"",1),IF(_xlpm.x="",ROUNDUP(_xlpm.v,0),_xlpm.x))</f>
        <v>40</v>
      </c>
      <c r="H107" s="291">
        <f t="shared" ref="H107:H122" si="15">IF(AND(ISNUMBER(J107),G107&gt;0),J107/(0.0834*G107),NA())</f>
        <v>1.3099520383693044</v>
      </c>
      <c r="I107" s="290" t="s">
        <v>462</v>
      </c>
      <c r="J107" s="292">
        <v>4.37</v>
      </c>
      <c r="K107" s="293" t="s">
        <v>463</v>
      </c>
      <c r="L107" s="544" t="s">
        <v>476</v>
      </c>
    </row>
    <row r="108" spans="1:12" s="260" customFormat="1" ht="13.2" x14ac:dyDescent="0.25">
      <c r="A108" s="294" t="s">
        <v>475</v>
      </c>
      <c r="B108" s="264" t="s">
        <v>465</v>
      </c>
      <c r="C108" s="265">
        <v>50.8</v>
      </c>
      <c r="D108" s="266">
        <f t="shared" si="11"/>
        <v>52336.825499999992</v>
      </c>
      <c r="E108" s="266">
        <f t="shared" si="12"/>
        <v>31402.095299999994</v>
      </c>
      <c r="F108" s="266">
        <f t="shared" si="13"/>
        <v>7302.8128604651147</v>
      </c>
      <c r="G108" s="266">
        <f t="shared" si="14"/>
        <v>40</v>
      </c>
      <c r="H108" s="267">
        <f t="shared" si="15"/>
        <v>1.3099520383693044</v>
      </c>
      <c r="I108" s="266" t="s">
        <v>462</v>
      </c>
      <c r="J108" s="268">
        <v>4.37</v>
      </c>
      <c r="K108" s="269" t="s">
        <v>463</v>
      </c>
      <c r="L108" s="545"/>
    </row>
    <row r="109" spans="1:12" s="260" customFormat="1" ht="13.2" x14ac:dyDescent="0.25">
      <c r="A109" s="294" t="s">
        <v>475</v>
      </c>
      <c r="B109" s="264" t="s">
        <v>466</v>
      </c>
      <c r="C109" s="265">
        <v>52.2</v>
      </c>
      <c r="D109" s="266">
        <f t="shared" si="11"/>
        <v>51466.616999999998</v>
      </c>
      <c r="E109" s="266">
        <f t="shared" si="12"/>
        <v>30879.970199999996</v>
      </c>
      <c r="F109" s="266">
        <f t="shared" si="13"/>
        <v>7181.3884186046507</v>
      </c>
      <c r="G109" s="266">
        <f t="shared" si="14"/>
        <v>40</v>
      </c>
      <c r="H109" s="267">
        <f t="shared" si="15"/>
        <v>1.3099520383693044</v>
      </c>
      <c r="I109" s="266" t="s">
        <v>462</v>
      </c>
      <c r="J109" s="268">
        <v>4.37</v>
      </c>
      <c r="K109" s="269" t="s">
        <v>463</v>
      </c>
      <c r="L109" s="545"/>
    </row>
    <row r="110" spans="1:12" s="260" customFormat="1" ht="13.2" x14ac:dyDescent="0.25">
      <c r="A110" s="294" t="s">
        <v>475</v>
      </c>
      <c r="B110" s="264" t="s">
        <v>467</v>
      </c>
      <c r="C110" s="265">
        <v>52.7</v>
      </c>
      <c r="D110" s="266">
        <f t="shared" si="11"/>
        <v>51155.828249999991</v>
      </c>
      <c r="E110" s="266">
        <f t="shared" si="12"/>
        <v>30693.496949999993</v>
      </c>
      <c r="F110" s="266">
        <f t="shared" si="13"/>
        <v>7138.0225465116264</v>
      </c>
      <c r="G110" s="266">
        <f t="shared" si="14"/>
        <v>40</v>
      </c>
      <c r="H110" s="267">
        <f t="shared" si="15"/>
        <v>1.3099520383693044</v>
      </c>
      <c r="I110" s="266" t="s">
        <v>462</v>
      </c>
      <c r="J110" s="268">
        <v>4.37</v>
      </c>
      <c r="K110" s="269" t="s">
        <v>463</v>
      </c>
      <c r="L110" s="545"/>
    </row>
    <row r="111" spans="1:12" s="260" customFormat="1" ht="13.2" x14ac:dyDescent="0.25">
      <c r="A111" s="294" t="s">
        <v>475</v>
      </c>
      <c r="B111" s="264" t="s">
        <v>468</v>
      </c>
      <c r="C111" s="265">
        <v>51.6</v>
      </c>
      <c r="D111" s="266">
        <f t="shared" si="11"/>
        <v>51839.563499999997</v>
      </c>
      <c r="E111" s="266">
        <f t="shared" si="12"/>
        <v>31103.738099999995</v>
      </c>
      <c r="F111" s="266">
        <f t="shared" si="13"/>
        <v>7233.4274651162787</v>
      </c>
      <c r="G111" s="266">
        <f t="shared" si="14"/>
        <v>40</v>
      </c>
      <c r="H111" s="267">
        <f t="shared" si="15"/>
        <v>1.3099520383693044</v>
      </c>
      <c r="I111" s="266" t="s">
        <v>462</v>
      </c>
      <c r="J111" s="268">
        <v>4.37</v>
      </c>
      <c r="K111" s="269" t="s">
        <v>463</v>
      </c>
      <c r="L111" s="545"/>
    </row>
    <row r="112" spans="1:12" s="260" customFormat="1" ht="13.2" x14ac:dyDescent="0.25">
      <c r="A112" s="294" t="s">
        <v>475</v>
      </c>
      <c r="B112" s="264" t="s">
        <v>469</v>
      </c>
      <c r="C112" s="265">
        <v>56.8</v>
      </c>
      <c r="D112" s="266">
        <f t="shared" si="11"/>
        <v>48607.360499999995</v>
      </c>
      <c r="E112" s="266">
        <f t="shared" si="12"/>
        <v>29164.416299999997</v>
      </c>
      <c r="F112" s="266">
        <f t="shared" si="13"/>
        <v>6782.4223953488372</v>
      </c>
      <c r="G112" s="266">
        <f t="shared" si="14"/>
        <v>40</v>
      </c>
      <c r="H112" s="267">
        <f t="shared" si="15"/>
        <v>1.3099520383693044</v>
      </c>
      <c r="I112" s="266" t="s">
        <v>462</v>
      </c>
      <c r="J112" s="268">
        <v>4.37</v>
      </c>
      <c r="K112" s="269" t="s">
        <v>463</v>
      </c>
      <c r="L112" s="545"/>
    </row>
    <row r="113" spans="1:12" s="260" customFormat="1" ht="13.2" x14ac:dyDescent="0.25">
      <c r="A113" s="294" t="s">
        <v>475</v>
      </c>
      <c r="B113" s="264" t="s">
        <v>470</v>
      </c>
      <c r="C113" s="265">
        <v>58.4</v>
      </c>
      <c r="D113" s="266">
        <f t="shared" si="11"/>
        <v>47612.836499999998</v>
      </c>
      <c r="E113" s="266">
        <f t="shared" si="12"/>
        <v>28567.701899999996</v>
      </c>
      <c r="F113" s="266">
        <f t="shared" si="13"/>
        <v>6643.6516046511624</v>
      </c>
      <c r="G113" s="266">
        <f t="shared" si="14"/>
        <v>40</v>
      </c>
      <c r="H113" s="267">
        <f t="shared" si="15"/>
        <v>1.3099520383693044</v>
      </c>
      <c r="I113" s="266" t="s">
        <v>462</v>
      </c>
      <c r="J113" s="268">
        <v>4.37</v>
      </c>
      <c r="K113" s="269" t="s">
        <v>463</v>
      </c>
      <c r="L113" s="545"/>
    </row>
    <row r="114" spans="1:12" s="260" customFormat="1" ht="13.2" x14ac:dyDescent="0.25">
      <c r="A114" s="294" t="s">
        <v>475</v>
      </c>
      <c r="B114" s="264" t="s">
        <v>471</v>
      </c>
      <c r="C114" s="265">
        <v>58.4</v>
      </c>
      <c r="D114" s="266">
        <f t="shared" si="11"/>
        <v>47612.836499999998</v>
      </c>
      <c r="E114" s="266">
        <f t="shared" si="12"/>
        <v>28567.701899999996</v>
      </c>
      <c r="F114" s="266">
        <f t="shared" si="13"/>
        <v>6643.6516046511624</v>
      </c>
      <c r="G114" s="266">
        <f t="shared" si="14"/>
        <v>40</v>
      </c>
      <c r="H114" s="267">
        <f t="shared" si="15"/>
        <v>1.3099520383693044</v>
      </c>
      <c r="I114" s="266" t="s">
        <v>462</v>
      </c>
      <c r="J114" s="268">
        <v>4.37</v>
      </c>
      <c r="K114" s="269" t="s">
        <v>463</v>
      </c>
      <c r="L114" s="545"/>
    </row>
    <row r="115" spans="1:12" s="260" customFormat="1" ht="13.2" x14ac:dyDescent="0.25">
      <c r="A115" s="294" t="s">
        <v>475</v>
      </c>
      <c r="B115" s="264" t="s">
        <v>472</v>
      </c>
      <c r="C115" s="265">
        <v>57.6</v>
      </c>
      <c r="D115" s="266">
        <f t="shared" si="11"/>
        <v>48110.098499999993</v>
      </c>
      <c r="E115" s="266">
        <f t="shared" si="12"/>
        <v>28866.059099999995</v>
      </c>
      <c r="F115" s="266">
        <f t="shared" si="13"/>
        <v>6713.0369999999994</v>
      </c>
      <c r="G115" s="266">
        <f t="shared" si="14"/>
        <v>40</v>
      </c>
      <c r="H115" s="267">
        <f t="shared" si="15"/>
        <v>1.3099520383693044</v>
      </c>
      <c r="I115" s="266" t="s">
        <v>462</v>
      </c>
      <c r="J115" s="268">
        <v>4.37</v>
      </c>
      <c r="K115" s="269" t="s">
        <v>463</v>
      </c>
      <c r="L115" s="545"/>
    </row>
    <row r="116" spans="1:12" s="260" customFormat="1" ht="13.2" x14ac:dyDescent="0.25">
      <c r="A116" s="294" t="s">
        <v>475</v>
      </c>
      <c r="B116" s="264" t="s">
        <v>234</v>
      </c>
      <c r="C116" s="265">
        <v>57.1</v>
      </c>
      <c r="D116" s="266">
        <f t="shared" si="11"/>
        <v>48420.887249999992</v>
      </c>
      <c r="E116" s="266">
        <f t="shared" si="12"/>
        <v>29052.532349999994</v>
      </c>
      <c r="F116" s="266">
        <f t="shared" si="13"/>
        <v>6756.4028720930219</v>
      </c>
      <c r="G116" s="266">
        <f t="shared" si="14"/>
        <v>40</v>
      </c>
      <c r="H116" s="267">
        <f t="shared" si="15"/>
        <v>1.3099520383693044</v>
      </c>
      <c r="I116" s="266" t="s">
        <v>462</v>
      </c>
      <c r="J116" s="268">
        <v>4.37</v>
      </c>
      <c r="K116" s="269" t="s">
        <v>463</v>
      </c>
      <c r="L116" s="545"/>
    </row>
    <row r="117" spans="1:12" s="260" customFormat="1" ht="13.2" x14ac:dyDescent="0.25">
      <c r="A117" s="294" t="s">
        <v>475</v>
      </c>
      <c r="B117" s="264" t="s">
        <v>235</v>
      </c>
      <c r="C117" s="265">
        <v>50.5</v>
      </c>
      <c r="D117" s="266">
        <f t="shared" si="11"/>
        <v>52523.298749999994</v>
      </c>
      <c r="E117" s="266">
        <f t="shared" si="12"/>
        <v>31513.979249999997</v>
      </c>
      <c r="F117" s="266">
        <f t="shared" si="13"/>
        <v>7328.83238372093</v>
      </c>
      <c r="G117" s="266">
        <f t="shared" si="14"/>
        <v>40</v>
      </c>
      <c r="H117" s="267">
        <f t="shared" si="15"/>
        <v>1.3099520383693044</v>
      </c>
      <c r="I117" s="266" t="s">
        <v>462</v>
      </c>
      <c r="J117" s="268">
        <v>4.37</v>
      </c>
      <c r="K117" s="269" t="s">
        <v>463</v>
      </c>
      <c r="L117" s="545"/>
    </row>
    <row r="118" spans="1:12" s="260" customFormat="1" ht="13.2" x14ac:dyDescent="0.25">
      <c r="A118" s="294" t="s">
        <v>475</v>
      </c>
      <c r="B118" s="264" t="s">
        <v>236</v>
      </c>
      <c r="C118" s="265">
        <v>51.4</v>
      </c>
      <c r="D118" s="266">
        <f t="shared" si="11"/>
        <v>51963.878999999994</v>
      </c>
      <c r="E118" s="266">
        <f t="shared" si="12"/>
        <v>31178.327399999995</v>
      </c>
      <c r="F118" s="266">
        <f t="shared" si="13"/>
        <v>7250.7738139534877</v>
      </c>
      <c r="G118" s="266">
        <f t="shared" si="14"/>
        <v>40</v>
      </c>
      <c r="H118" s="267">
        <f t="shared" si="15"/>
        <v>1.3099520383693044</v>
      </c>
      <c r="I118" s="266" t="s">
        <v>462</v>
      </c>
      <c r="J118" s="268">
        <v>4.37</v>
      </c>
      <c r="K118" s="269" t="s">
        <v>463</v>
      </c>
      <c r="L118" s="545"/>
    </row>
    <row r="119" spans="1:12" s="260" customFormat="1" ht="13.2" x14ac:dyDescent="0.25">
      <c r="A119" s="294" t="s">
        <v>475</v>
      </c>
      <c r="B119" s="264" t="s">
        <v>237</v>
      </c>
      <c r="C119" s="265">
        <v>51.7</v>
      </c>
      <c r="D119" s="266">
        <f t="shared" si="11"/>
        <v>51777.405749999998</v>
      </c>
      <c r="E119" s="266">
        <f t="shared" si="12"/>
        <v>31066.443449999999</v>
      </c>
      <c r="F119" s="266">
        <f t="shared" si="13"/>
        <v>7224.7542906976742</v>
      </c>
      <c r="G119" s="266">
        <f t="shared" si="14"/>
        <v>40</v>
      </c>
      <c r="H119" s="267">
        <f t="shared" si="15"/>
        <v>1.3099520383693044</v>
      </c>
      <c r="I119" s="266" t="s">
        <v>462</v>
      </c>
      <c r="J119" s="268">
        <v>4.37</v>
      </c>
      <c r="K119" s="269" t="s">
        <v>463</v>
      </c>
      <c r="L119" s="545"/>
    </row>
    <row r="120" spans="1:12" s="260" customFormat="1" ht="13.2" x14ac:dyDescent="0.25">
      <c r="A120" s="294" t="s">
        <v>475</v>
      </c>
      <c r="B120" s="264" t="s">
        <v>238</v>
      </c>
      <c r="C120" s="265">
        <v>50.1</v>
      </c>
      <c r="D120" s="266">
        <f t="shared" si="11"/>
        <v>52771.929749999996</v>
      </c>
      <c r="E120" s="266">
        <f t="shared" si="12"/>
        <v>31663.157849999996</v>
      </c>
      <c r="F120" s="266">
        <f t="shared" si="13"/>
        <v>7363.525081395348</v>
      </c>
      <c r="G120" s="266">
        <f t="shared" si="14"/>
        <v>40</v>
      </c>
      <c r="H120" s="267">
        <f t="shared" si="15"/>
        <v>1.3099520383693044</v>
      </c>
      <c r="I120" s="266" t="s">
        <v>462</v>
      </c>
      <c r="J120" s="268">
        <v>4.37</v>
      </c>
      <c r="K120" s="269" t="s">
        <v>463</v>
      </c>
      <c r="L120" s="545"/>
    </row>
    <row r="121" spans="1:12" s="260" customFormat="1" ht="13.2" x14ac:dyDescent="0.25">
      <c r="A121" s="294" t="s">
        <v>475</v>
      </c>
      <c r="B121" s="264" t="s">
        <v>239</v>
      </c>
      <c r="C121" s="265">
        <v>63.2</v>
      </c>
      <c r="D121" s="266">
        <f t="shared" si="11"/>
        <v>44629.264499999997</v>
      </c>
      <c r="E121" s="266">
        <f t="shared" si="12"/>
        <v>26777.558699999998</v>
      </c>
      <c r="F121" s="266">
        <f t="shared" si="13"/>
        <v>6227.339232558139</v>
      </c>
      <c r="G121" s="266">
        <f t="shared" si="14"/>
        <v>40</v>
      </c>
      <c r="H121" s="267">
        <f t="shared" si="15"/>
        <v>1.3099520383693044</v>
      </c>
      <c r="I121" s="266" t="s">
        <v>462</v>
      </c>
      <c r="J121" s="268">
        <v>4.37</v>
      </c>
      <c r="K121" s="269" t="s">
        <v>463</v>
      </c>
      <c r="L121" s="545"/>
    </row>
    <row r="122" spans="1:12" s="260" customFormat="1" ht="13.2" x14ac:dyDescent="0.25">
      <c r="A122" s="295" t="s">
        <v>475</v>
      </c>
      <c r="B122" s="296" t="s">
        <v>240</v>
      </c>
      <c r="C122" s="297">
        <v>41.4</v>
      </c>
      <c r="D122" s="298">
        <f t="shared" si="11"/>
        <v>58179.653999999995</v>
      </c>
      <c r="E122" s="298">
        <f t="shared" si="12"/>
        <v>34907.792399999998</v>
      </c>
      <c r="F122" s="298">
        <f t="shared" si="13"/>
        <v>8118.0912558139535</v>
      </c>
      <c r="G122" s="298">
        <f t="shared" si="14"/>
        <v>40</v>
      </c>
      <c r="H122" s="299">
        <f t="shared" si="15"/>
        <v>1.3099520383693044</v>
      </c>
      <c r="I122" s="298" t="s">
        <v>462</v>
      </c>
      <c r="J122" s="300">
        <v>4.37</v>
      </c>
      <c r="K122" s="301" t="s">
        <v>463</v>
      </c>
      <c r="L122" s="546"/>
    </row>
    <row r="123" spans="1:12" s="260" customFormat="1" ht="13.2" x14ac:dyDescent="0.25">
      <c r="A123" s="287" t="s">
        <v>477</v>
      </c>
      <c r="B123" s="288" t="s">
        <v>461</v>
      </c>
      <c r="C123" s="289">
        <v>47.9</v>
      </c>
      <c r="D123" s="290">
        <f t="shared" ref="D123:D138" si="16">$C$59*($B$63-C123)*$B$65</f>
        <v>54139.400249999992</v>
      </c>
      <c r="E123" s="290">
        <f t="shared" ref="E123:E138" si="17">D123*$B$64</f>
        <v>32483.640149999992</v>
      </c>
      <c r="F123" s="290">
        <f t="shared" si="13"/>
        <v>7554.3349186046498</v>
      </c>
      <c r="G123" s="290">
        <f t="shared" ref="G123:G138" si="18">_xlfn.LET(_xlpm.v,MAX(30,$C$59*$B$66),_xlpm.x,_xlfn.XLOOKUP(_xlpm.v,$A$159:$A$163,$A$159:$A$163,"",1),IF(_xlpm.x="",ROUNDUP(_xlpm.v,0),_xlpm.x))</f>
        <v>40</v>
      </c>
      <c r="H123" s="291">
        <f t="shared" ref="H123:H138" si="19">IF(AND(ISNUMBER(J123),G123&gt;0),J123/(0.0834*G123),NA())</f>
        <v>1.3099520383693044</v>
      </c>
      <c r="I123" s="290" t="s">
        <v>462</v>
      </c>
      <c r="J123" s="292">
        <v>4.37</v>
      </c>
      <c r="K123" s="293" t="s">
        <v>463</v>
      </c>
      <c r="L123" s="544" t="s">
        <v>478</v>
      </c>
    </row>
    <row r="124" spans="1:12" s="260" customFormat="1" ht="13.2" x14ac:dyDescent="0.25">
      <c r="A124" s="294" t="s">
        <v>477</v>
      </c>
      <c r="B124" s="264" t="s">
        <v>465</v>
      </c>
      <c r="C124" s="265">
        <v>50.8</v>
      </c>
      <c r="D124" s="266">
        <f t="shared" si="16"/>
        <v>52336.825499999992</v>
      </c>
      <c r="E124" s="266">
        <f t="shared" si="17"/>
        <v>31402.095299999994</v>
      </c>
      <c r="F124" s="266">
        <f t="shared" si="13"/>
        <v>7302.8128604651147</v>
      </c>
      <c r="G124" s="266">
        <f t="shared" si="18"/>
        <v>40</v>
      </c>
      <c r="H124" s="267">
        <f t="shared" si="19"/>
        <v>1.3099520383693044</v>
      </c>
      <c r="I124" s="266" t="s">
        <v>462</v>
      </c>
      <c r="J124" s="268">
        <v>4.37</v>
      </c>
      <c r="K124" s="269" t="s">
        <v>463</v>
      </c>
      <c r="L124" s="545"/>
    </row>
    <row r="125" spans="1:12" s="260" customFormat="1" ht="13.2" x14ac:dyDescent="0.25">
      <c r="A125" s="294" t="s">
        <v>477</v>
      </c>
      <c r="B125" s="264" t="s">
        <v>466</v>
      </c>
      <c r="C125" s="265">
        <v>52.2</v>
      </c>
      <c r="D125" s="266">
        <f t="shared" si="16"/>
        <v>51466.616999999998</v>
      </c>
      <c r="E125" s="266">
        <f t="shared" si="17"/>
        <v>30879.970199999996</v>
      </c>
      <c r="F125" s="266">
        <f t="shared" si="13"/>
        <v>7181.3884186046507</v>
      </c>
      <c r="G125" s="266">
        <f t="shared" si="18"/>
        <v>40</v>
      </c>
      <c r="H125" s="267">
        <f t="shared" si="19"/>
        <v>1.3099520383693044</v>
      </c>
      <c r="I125" s="266" t="s">
        <v>462</v>
      </c>
      <c r="J125" s="268">
        <v>4.37</v>
      </c>
      <c r="K125" s="269" t="s">
        <v>463</v>
      </c>
      <c r="L125" s="545"/>
    </row>
    <row r="126" spans="1:12" s="260" customFormat="1" ht="13.2" x14ac:dyDescent="0.25">
      <c r="A126" s="294" t="s">
        <v>477</v>
      </c>
      <c r="B126" s="264" t="s">
        <v>467</v>
      </c>
      <c r="C126" s="265">
        <v>52.7</v>
      </c>
      <c r="D126" s="266">
        <f t="shared" si="16"/>
        <v>51155.828249999991</v>
      </c>
      <c r="E126" s="266">
        <f t="shared" si="17"/>
        <v>30693.496949999993</v>
      </c>
      <c r="F126" s="266">
        <f t="shared" si="13"/>
        <v>7138.0225465116264</v>
      </c>
      <c r="G126" s="266">
        <f t="shared" si="18"/>
        <v>40</v>
      </c>
      <c r="H126" s="267">
        <f t="shared" si="19"/>
        <v>1.3099520383693044</v>
      </c>
      <c r="I126" s="266" t="s">
        <v>462</v>
      </c>
      <c r="J126" s="268">
        <v>4.37</v>
      </c>
      <c r="K126" s="269" t="s">
        <v>463</v>
      </c>
      <c r="L126" s="545"/>
    </row>
    <row r="127" spans="1:12" s="260" customFormat="1" ht="13.2" x14ac:dyDescent="0.25">
      <c r="A127" s="294" t="s">
        <v>477</v>
      </c>
      <c r="B127" s="264" t="s">
        <v>468</v>
      </c>
      <c r="C127" s="265">
        <v>51.6</v>
      </c>
      <c r="D127" s="266">
        <f t="shared" si="16"/>
        <v>51839.563499999997</v>
      </c>
      <c r="E127" s="266">
        <f t="shared" si="17"/>
        <v>31103.738099999995</v>
      </c>
      <c r="F127" s="266">
        <f t="shared" si="13"/>
        <v>7233.4274651162787</v>
      </c>
      <c r="G127" s="266">
        <f t="shared" si="18"/>
        <v>40</v>
      </c>
      <c r="H127" s="267">
        <f t="shared" si="19"/>
        <v>1.3099520383693044</v>
      </c>
      <c r="I127" s="266" t="s">
        <v>462</v>
      </c>
      <c r="J127" s="268">
        <v>4.37</v>
      </c>
      <c r="K127" s="269" t="s">
        <v>463</v>
      </c>
      <c r="L127" s="545"/>
    </row>
    <row r="128" spans="1:12" s="260" customFormat="1" ht="13.2" x14ac:dyDescent="0.25">
      <c r="A128" s="294" t="s">
        <v>477</v>
      </c>
      <c r="B128" s="264" t="s">
        <v>469</v>
      </c>
      <c r="C128" s="265">
        <v>56.8</v>
      </c>
      <c r="D128" s="266">
        <f t="shared" si="16"/>
        <v>48607.360499999995</v>
      </c>
      <c r="E128" s="266">
        <f t="shared" si="17"/>
        <v>29164.416299999997</v>
      </c>
      <c r="F128" s="266">
        <f t="shared" si="13"/>
        <v>6782.4223953488372</v>
      </c>
      <c r="G128" s="266">
        <f t="shared" si="18"/>
        <v>40</v>
      </c>
      <c r="H128" s="267">
        <f t="shared" si="19"/>
        <v>1.3099520383693044</v>
      </c>
      <c r="I128" s="266" t="s">
        <v>462</v>
      </c>
      <c r="J128" s="268">
        <v>4.37</v>
      </c>
      <c r="K128" s="269" t="s">
        <v>463</v>
      </c>
      <c r="L128" s="545"/>
    </row>
    <row r="129" spans="1:12" s="260" customFormat="1" ht="13.2" x14ac:dyDescent="0.25">
      <c r="A129" s="294" t="s">
        <v>477</v>
      </c>
      <c r="B129" s="264" t="s">
        <v>470</v>
      </c>
      <c r="C129" s="265">
        <v>58.4</v>
      </c>
      <c r="D129" s="266">
        <f t="shared" si="16"/>
        <v>47612.836499999998</v>
      </c>
      <c r="E129" s="266">
        <f t="shared" si="17"/>
        <v>28567.701899999996</v>
      </c>
      <c r="F129" s="266">
        <f t="shared" si="13"/>
        <v>6643.6516046511624</v>
      </c>
      <c r="G129" s="266">
        <f t="shared" si="18"/>
        <v>40</v>
      </c>
      <c r="H129" s="267">
        <f t="shared" si="19"/>
        <v>1.3099520383693044</v>
      </c>
      <c r="I129" s="266" t="s">
        <v>462</v>
      </c>
      <c r="J129" s="268">
        <v>4.37</v>
      </c>
      <c r="K129" s="269" t="s">
        <v>463</v>
      </c>
      <c r="L129" s="545"/>
    </row>
    <row r="130" spans="1:12" s="260" customFormat="1" ht="13.2" x14ac:dyDescent="0.25">
      <c r="A130" s="294" t="s">
        <v>477</v>
      </c>
      <c r="B130" s="264" t="s">
        <v>471</v>
      </c>
      <c r="C130" s="265">
        <v>58.4</v>
      </c>
      <c r="D130" s="266">
        <f t="shared" si="16"/>
        <v>47612.836499999998</v>
      </c>
      <c r="E130" s="266">
        <f t="shared" si="17"/>
        <v>28567.701899999996</v>
      </c>
      <c r="F130" s="266">
        <f t="shared" si="13"/>
        <v>6643.6516046511624</v>
      </c>
      <c r="G130" s="266">
        <f t="shared" si="18"/>
        <v>40</v>
      </c>
      <c r="H130" s="267">
        <f t="shared" si="19"/>
        <v>1.3099520383693044</v>
      </c>
      <c r="I130" s="266" t="s">
        <v>462</v>
      </c>
      <c r="J130" s="268">
        <v>4.37</v>
      </c>
      <c r="K130" s="269" t="s">
        <v>463</v>
      </c>
      <c r="L130" s="545"/>
    </row>
    <row r="131" spans="1:12" s="260" customFormat="1" ht="13.2" x14ac:dyDescent="0.25">
      <c r="A131" s="294" t="s">
        <v>477</v>
      </c>
      <c r="B131" s="264" t="s">
        <v>472</v>
      </c>
      <c r="C131" s="265">
        <v>57.6</v>
      </c>
      <c r="D131" s="266">
        <f t="shared" si="16"/>
        <v>48110.098499999993</v>
      </c>
      <c r="E131" s="266">
        <f t="shared" si="17"/>
        <v>28866.059099999995</v>
      </c>
      <c r="F131" s="266">
        <f t="shared" si="13"/>
        <v>6713.0369999999994</v>
      </c>
      <c r="G131" s="266">
        <f t="shared" si="18"/>
        <v>40</v>
      </c>
      <c r="H131" s="267">
        <f t="shared" si="19"/>
        <v>1.3099520383693044</v>
      </c>
      <c r="I131" s="266" t="s">
        <v>462</v>
      </c>
      <c r="J131" s="268">
        <v>4.37</v>
      </c>
      <c r="K131" s="269" t="s">
        <v>463</v>
      </c>
      <c r="L131" s="545"/>
    </row>
    <row r="132" spans="1:12" s="260" customFormat="1" ht="13.2" x14ac:dyDescent="0.25">
      <c r="A132" s="294" t="s">
        <v>477</v>
      </c>
      <c r="B132" s="264" t="s">
        <v>234</v>
      </c>
      <c r="C132" s="265">
        <v>57.1</v>
      </c>
      <c r="D132" s="266">
        <f t="shared" si="16"/>
        <v>48420.887249999992</v>
      </c>
      <c r="E132" s="266">
        <f t="shared" si="17"/>
        <v>29052.532349999994</v>
      </c>
      <c r="F132" s="266">
        <f t="shared" si="13"/>
        <v>6756.4028720930219</v>
      </c>
      <c r="G132" s="266">
        <f t="shared" si="18"/>
        <v>40</v>
      </c>
      <c r="H132" s="267">
        <f t="shared" si="19"/>
        <v>1.3099520383693044</v>
      </c>
      <c r="I132" s="266" t="s">
        <v>462</v>
      </c>
      <c r="J132" s="268">
        <v>4.37</v>
      </c>
      <c r="K132" s="269" t="s">
        <v>463</v>
      </c>
      <c r="L132" s="545"/>
    </row>
    <row r="133" spans="1:12" s="260" customFormat="1" ht="13.2" x14ac:dyDescent="0.25">
      <c r="A133" s="294" t="s">
        <v>477</v>
      </c>
      <c r="B133" s="264" t="s">
        <v>235</v>
      </c>
      <c r="C133" s="265">
        <v>50.5</v>
      </c>
      <c r="D133" s="266">
        <f t="shared" si="16"/>
        <v>52523.298749999994</v>
      </c>
      <c r="E133" s="266">
        <f t="shared" si="17"/>
        <v>31513.979249999997</v>
      </c>
      <c r="F133" s="266">
        <f t="shared" si="13"/>
        <v>7328.83238372093</v>
      </c>
      <c r="G133" s="266">
        <f t="shared" si="18"/>
        <v>40</v>
      </c>
      <c r="H133" s="267">
        <f t="shared" si="19"/>
        <v>1.3099520383693044</v>
      </c>
      <c r="I133" s="266" t="s">
        <v>462</v>
      </c>
      <c r="J133" s="268">
        <v>4.37</v>
      </c>
      <c r="K133" s="269" t="s">
        <v>463</v>
      </c>
      <c r="L133" s="545"/>
    </row>
    <row r="134" spans="1:12" s="260" customFormat="1" ht="13.2" x14ac:dyDescent="0.25">
      <c r="A134" s="294" t="s">
        <v>477</v>
      </c>
      <c r="B134" s="264" t="s">
        <v>236</v>
      </c>
      <c r="C134" s="265">
        <v>51.4</v>
      </c>
      <c r="D134" s="266">
        <f t="shared" si="16"/>
        <v>51963.878999999994</v>
      </c>
      <c r="E134" s="266">
        <f t="shared" si="17"/>
        <v>31178.327399999995</v>
      </c>
      <c r="F134" s="266">
        <f t="shared" si="13"/>
        <v>7250.7738139534877</v>
      </c>
      <c r="G134" s="266">
        <f t="shared" si="18"/>
        <v>40</v>
      </c>
      <c r="H134" s="267">
        <f t="shared" si="19"/>
        <v>1.3099520383693044</v>
      </c>
      <c r="I134" s="266" t="s">
        <v>462</v>
      </c>
      <c r="J134" s="268">
        <v>4.37</v>
      </c>
      <c r="K134" s="269" t="s">
        <v>463</v>
      </c>
      <c r="L134" s="545"/>
    </row>
    <row r="135" spans="1:12" s="260" customFormat="1" ht="13.2" x14ac:dyDescent="0.25">
      <c r="A135" s="294" t="s">
        <v>477</v>
      </c>
      <c r="B135" s="264" t="s">
        <v>237</v>
      </c>
      <c r="C135" s="265">
        <v>51.7</v>
      </c>
      <c r="D135" s="266">
        <f t="shared" si="16"/>
        <v>51777.405749999998</v>
      </c>
      <c r="E135" s="266">
        <f t="shared" si="17"/>
        <v>31066.443449999999</v>
      </c>
      <c r="F135" s="266">
        <f t="shared" si="13"/>
        <v>7224.7542906976742</v>
      </c>
      <c r="G135" s="266">
        <f t="shared" si="18"/>
        <v>40</v>
      </c>
      <c r="H135" s="267">
        <f t="shared" si="19"/>
        <v>1.3099520383693044</v>
      </c>
      <c r="I135" s="266" t="s">
        <v>462</v>
      </c>
      <c r="J135" s="268">
        <v>4.37</v>
      </c>
      <c r="K135" s="269" t="s">
        <v>463</v>
      </c>
      <c r="L135" s="545"/>
    </row>
    <row r="136" spans="1:12" s="260" customFormat="1" ht="13.2" x14ac:dyDescent="0.25">
      <c r="A136" s="294" t="s">
        <v>477</v>
      </c>
      <c r="B136" s="264" t="s">
        <v>238</v>
      </c>
      <c r="C136" s="265">
        <v>50.1</v>
      </c>
      <c r="D136" s="266">
        <f t="shared" si="16"/>
        <v>52771.929749999996</v>
      </c>
      <c r="E136" s="266">
        <f t="shared" si="17"/>
        <v>31663.157849999996</v>
      </c>
      <c r="F136" s="266">
        <f t="shared" si="13"/>
        <v>7363.525081395348</v>
      </c>
      <c r="G136" s="266">
        <f t="shared" si="18"/>
        <v>40</v>
      </c>
      <c r="H136" s="267">
        <f t="shared" si="19"/>
        <v>1.3099520383693044</v>
      </c>
      <c r="I136" s="266" t="s">
        <v>462</v>
      </c>
      <c r="J136" s="268">
        <v>4.37</v>
      </c>
      <c r="K136" s="269" t="s">
        <v>463</v>
      </c>
      <c r="L136" s="545"/>
    </row>
    <row r="137" spans="1:12" s="260" customFormat="1" ht="13.2" x14ac:dyDescent="0.25">
      <c r="A137" s="294" t="s">
        <v>477</v>
      </c>
      <c r="B137" s="264" t="s">
        <v>239</v>
      </c>
      <c r="C137" s="265">
        <v>63.2</v>
      </c>
      <c r="D137" s="266">
        <f t="shared" si="16"/>
        <v>44629.264499999997</v>
      </c>
      <c r="E137" s="266">
        <f t="shared" si="17"/>
        <v>26777.558699999998</v>
      </c>
      <c r="F137" s="266">
        <f t="shared" si="13"/>
        <v>6227.339232558139</v>
      </c>
      <c r="G137" s="266">
        <f t="shared" si="18"/>
        <v>40</v>
      </c>
      <c r="H137" s="267">
        <f t="shared" si="19"/>
        <v>1.3099520383693044</v>
      </c>
      <c r="I137" s="266" t="s">
        <v>462</v>
      </c>
      <c r="J137" s="268">
        <v>4.37</v>
      </c>
      <c r="K137" s="269" t="s">
        <v>463</v>
      </c>
      <c r="L137" s="545"/>
    </row>
    <row r="138" spans="1:12" s="260" customFormat="1" ht="13.2" x14ac:dyDescent="0.25">
      <c r="A138" s="295" t="s">
        <v>477</v>
      </c>
      <c r="B138" s="296" t="s">
        <v>240</v>
      </c>
      <c r="C138" s="297">
        <v>41.4</v>
      </c>
      <c r="D138" s="298">
        <f t="shared" si="16"/>
        <v>58179.653999999995</v>
      </c>
      <c r="E138" s="298">
        <f t="shared" si="17"/>
        <v>34907.792399999998</v>
      </c>
      <c r="F138" s="298">
        <f t="shared" si="13"/>
        <v>8118.0912558139535</v>
      </c>
      <c r="G138" s="298">
        <f t="shared" si="18"/>
        <v>40</v>
      </c>
      <c r="H138" s="299">
        <f t="shared" si="19"/>
        <v>1.3099520383693044</v>
      </c>
      <c r="I138" s="298" t="s">
        <v>462</v>
      </c>
      <c r="J138" s="300">
        <v>4.37</v>
      </c>
      <c r="K138" s="301" t="s">
        <v>463</v>
      </c>
      <c r="L138" s="546"/>
    </row>
    <row r="139" spans="1:12" s="260" customFormat="1" ht="13.2" x14ac:dyDescent="0.25">
      <c r="A139" s="287" t="s">
        <v>432</v>
      </c>
      <c r="B139" s="288" t="s">
        <v>461</v>
      </c>
      <c r="C139" s="289">
        <v>47.9</v>
      </c>
      <c r="D139" s="290">
        <f t="shared" ref="D139:D154" si="20">$C$60*($B$63-C139)*$B$65</f>
        <v>54139.400249999992</v>
      </c>
      <c r="E139" s="290">
        <f t="shared" ref="E139:E154" si="21">D139*$B$64</f>
        <v>32483.640149999992</v>
      </c>
      <c r="F139" s="290">
        <f t="shared" ref="F139:F154" si="22">_xlfn.LET(_xlpm.x,_xlfn.XLOOKUP(E139,$C$159:$C$163,$C$159:$C$163,"",1),IF(_xlpm.x="",E139/$B$70,_xlpm.x/$B$70))</f>
        <v>7554.3349186046498</v>
      </c>
      <c r="G139" s="290">
        <f t="shared" ref="G139:G154" si="23">_xlfn.LET(_xlpm.v,MAX(30,$C$60*$B$66),_xlpm.x,_xlfn.XLOOKUP(_xlpm.v,$A$159:$A$163,$A$159:$A$163,"",1),IF(_xlpm.x="",ROUNDUP(_xlpm.v,0),_xlpm.x))</f>
        <v>40</v>
      </c>
      <c r="H139" s="291">
        <f t="shared" ref="H139:H154" si="24">IF(AND(ISNUMBER(J139),G139&gt;0),J139/(0.0834*G139),NA())</f>
        <v>1.3099520383693044</v>
      </c>
      <c r="I139" s="290" t="s">
        <v>462</v>
      </c>
      <c r="J139" s="292">
        <v>4.37</v>
      </c>
      <c r="K139" s="293" t="s">
        <v>463</v>
      </c>
      <c r="L139" s="544" t="s">
        <v>479</v>
      </c>
    </row>
    <row r="140" spans="1:12" s="260" customFormat="1" ht="13.2" x14ac:dyDescent="0.25">
      <c r="A140" s="294" t="s">
        <v>432</v>
      </c>
      <c r="B140" s="264" t="s">
        <v>465</v>
      </c>
      <c r="C140" s="265">
        <v>50.8</v>
      </c>
      <c r="D140" s="266">
        <f t="shared" si="20"/>
        <v>52336.825499999992</v>
      </c>
      <c r="E140" s="266">
        <f t="shared" si="21"/>
        <v>31402.095299999994</v>
      </c>
      <c r="F140" s="266">
        <f t="shared" si="22"/>
        <v>7302.8128604651147</v>
      </c>
      <c r="G140" s="266">
        <f t="shared" si="23"/>
        <v>40</v>
      </c>
      <c r="H140" s="267">
        <f t="shared" si="24"/>
        <v>1.3099520383693044</v>
      </c>
      <c r="I140" s="266" t="s">
        <v>462</v>
      </c>
      <c r="J140" s="268">
        <v>4.37</v>
      </c>
      <c r="K140" s="269" t="s">
        <v>463</v>
      </c>
      <c r="L140" s="545"/>
    </row>
    <row r="141" spans="1:12" s="260" customFormat="1" ht="13.2" x14ac:dyDescent="0.25">
      <c r="A141" s="294" t="s">
        <v>432</v>
      </c>
      <c r="B141" s="264" t="s">
        <v>466</v>
      </c>
      <c r="C141" s="265">
        <v>52.2</v>
      </c>
      <c r="D141" s="266">
        <f t="shared" si="20"/>
        <v>51466.616999999998</v>
      </c>
      <c r="E141" s="266">
        <f t="shared" si="21"/>
        <v>30879.970199999996</v>
      </c>
      <c r="F141" s="266">
        <f t="shared" si="22"/>
        <v>7181.3884186046507</v>
      </c>
      <c r="G141" s="266">
        <f t="shared" si="23"/>
        <v>40</v>
      </c>
      <c r="H141" s="267">
        <f t="shared" si="24"/>
        <v>1.3099520383693044</v>
      </c>
      <c r="I141" s="266" t="s">
        <v>462</v>
      </c>
      <c r="J141" s="268">
        <v>4.37</v>
      </c>
      <c r="K141" s="269" t="s">
        <v>463</v>
      </c>
      <c r="L141" s="545"/>
    </row>
    <row r="142" spans="1:12" s="260" customFormat="1" ht="13.2" x14ac:dyDescent="0.25">
      <c r="A142" s="294" t="s">
        <v>432</v>
      </c>
      <c r="B142" s="264" t="s">
        <v>467</v>
      </c>
      <c r="C142" s="265">
        <v>52.7</v>
      </c>
      <c r="D142" s="266">
        <f t="shared" si="20"/>
        <v>51155.828249999991</v>
      </c>
      <c r="E142" s="266">
        <f t="shared" si="21"/>
        <v>30693.496949999993</v>
      </c>
      <c r="F142" s="266">
        <f t="shared" si="22"/>
        <v>7138.0225465116264</v>
      </c>
      <c r="G142" s="266">
        <f t="shared" si="23"/>
        <v>40</v>
      </c>
      <c r="H142" s="267">
        <f t="shared" si="24"/>
        <v>1.3099520383693044</v>
      </c>
      <c r="I142" s="266" t="s">
        <v>462</v>
      </c>
      <c r="J142" s="268">
        <v>4.37</v>
      </c>
      <c r="K142" s="269" t="s">
        <v>463</v>
      </c>
      <c r="L142" s="545"/>
    </row>
    <row r="143" spans="1:12" s="260" customFormat="1" ht="13.2" x14ac:dyDescent="0.25">
      <c r="A143" s="294" t="s">
        <v>432</v>
      </c>
      <c r="B143" s="264" t="s">
        <v>468</v>
      </c>
      <c r="C143" s="265">
        <v>51.6</v>
      </c>
      <c r="D143" s="266">
        <f t="shared" si="20"/>
        <v>51839.563499999997</v>
      </c>
      <c r="E143" s="266">
        <f t="shared" si="21"/>
        <v>31103.738099999995</v>
      </c>
      <c r="F143" s="266">
        <f t="shared" si="22"/>
        <v>7233.4274651162787</v>
      </c>
      <c r="G143" s="266">
        <f t="shared" si="23"/>
        <v>40</v>
      </c>
      <c r="H143" s="267">
        <f t="shared" si="24"/>
        <v>1.3099520383693044</v>
      </c>
      <c r="I143" s="266" t="s">
        <v>462</v>
      </c>
      <c r="J143" s="268">
        <v>4.37</v>
      </c>
      <c r="K143" s="269" t="s">
        <v>463</v>
      </c>
      <c r="L143" s="545"/>
    </row>
    <row r="144" spans="1:12" s="260" customFormat="1" ht="13.2" x14ac:dyDescent="0.25">
      <c r="A144" s="294" t="s">
        <v>432</v>
      </c>
      <c r="B144" s="264" t="s">
        <v>469</v>
      </c>
      <c r="C144" s="265">
        <v>56.8</v>
      </c>
      <c r="D144" s="266">
        <f t="shared" si="20"/>
        <v>48607.360499999995</v>
      </c>
      <c r="E144" s="266">
        <f t="shared" si="21"/>
        <v>29164.416299999997</v>
      </c>
      <c r="F144" s="266">
        <f t="shared" si="22"/>
        <v>6782.4223953488372</v>
      </c>
      <c r="G144" s="266">
        <f t="shared" si="23"/>
        <v>40</v>
      </c>
      <c r="H144" s="267">
        <f t="shared" si="24"/>
        <v>1.3099520383693044</v>
      </c>
      <c r="I144" s="266" t="s">
        <v>462</v>
      </c>
      <c r="J144" s="268">
        <v>4.37</v>
      </c>
      <c r="K144" s="269" t="s">
        <v>463</v>
      </c>
      <c r="L144" s="545"/>
    </row>
    <row r="145" spans="1:12" s="260" customFormat="1" ht="13.2" x14ac:dyDescent="0.25">
      <c r="A145" s="294" t="s">
        <v>432</v>
      </c>
      <c r="B145" s="264" t="s">
        <v>470</v>
      </c>
      <c r="C145" s="265">
        <v>58.4</v>
      </c>
      <c r="D145" s="266">
        <f t="shared" si="20"/>
        <v>47612.836499999998</v>
      </c>
      <c r="E145" s="266">
        <f t="shared" si="21"/>
        <v>28567.701899999996</v>
      </c>
      <c r="F145" s="266">
        <f t="shared" si="22"/>
        <v>6643.6516046511624</v>
      </c>
      <c r="G145" s="266">
        <f t="shared" si="23"/>
        <v>40</v>
      </c>
      <c r="H145" s="267">
        <f t="shared" si="24"/>
        <v>1.3099520383693044</v>
      </c>
      <c r="I145" s="266" t="s">
        <v>462</v>
      </c>
      <c r="J145" s="268">
        <v>4.37</v>
      </c>
      <c r="K145" s="269" t="s">
        <v>463</v>
      </c>
      <c r="L145" s="545"/>
    </row>
    <row r="146" spans="1:12" s="260" customFormat="1" ht="13.2" x14ac:dyDescent="0.25">
      <c r="A146" s="294" t="s">
        <v>432</v>
      </c>
      <c r="B146" s="264" t="s">
        <v>471</v>
      </c>
      <c r="C146" s="265">
        <v>58.4</v>
      </c>
      <c r="D146" s="266">
        <f t="shared" si="20"/>
        <v>47612.836499999998</v>
      </c>
      <c r="E146" s="266">
        <f t="shared" si="21"/>
        <v>28567.701899999996</v>
      </c>
      <c r="F146" s="266">
        <f t="shared" si="22"/>
        <v>6643.6516046511624</v>
      </c>
      <c r="G146" s="266">
        <f t="shared" si="23"/>
        <v>40</v>
      </c>
      <c r="H146" s="267">
        <f t="shared" si="24"/>
        <v>1.3099520383693044</v>
      </c>
      <c r="I146" s="266" t="s">
        <v>462</v>
      </c>
      <c r="J146" s="268">
        <v>4.37</v>
      </c>
      <c r="K146" s="269" t="s">
        <v>463</v>
      </c>
      <c r="L146" s="545"/>
    </row>
    <row r="147" spans="1:12" s="260" customFormat="1" ht="13.2" x14ac:dyDescent="0.25">
      <c r="A147" s="294" t="s">
        <v>432</v>
      </c>
      <c r="B147" s="264" t="s">
        <v>472</v>
      </c>
      <c r="C147" s="265">
        <v>57.6</v>
      </c>
      <c r="D147" s="266">
        <f t="shared" si="20"/>
        <v>48110.098499999993</v>
      </c>
      <c r="E147" s="266">
        <f t="shared" si="21"/>
        <v>28866.059099999995</v>
      </c>
      <c r="F147" s="266">
        <f t="shared" si="22"/>
        <v>6713.0369999999994</v>
      </c>
      <c r="G147" s="266">
        <f t="shared" si="23"/>
        <v>40</v>
      </c>
      <c r="H147" s="267">
        <f t="shared" si="24"/>
        <v>1.3099520383693044</v>
      </c>
      <c r="I147" s="266" t="s">
        <v>462</v>
      </c>
      <c r="J147" s="268">
        <v>4.37</v>
      </c>
      <c r="K147" s="269" t="s">
        <v>463</v>
      </c>
      <c r="L147" s="545"/>
    </row>
    <row r="148" spans="1:12" s="260" customFormat="1" ht="13.2" x14ac:dyDescent="0.25">
      <c r="A148" s="294" t="s">
        <v>432</v>
      </c>
      <c r="B148" s="264" t="s">
        <v>234</v>
      </c>
      <c r="C148" s="265">
        <v>57.1</v>
      </c>
      <c r="D148" s="266">
        <f t="shared" si="20"/>
        <v>48420.887249999992</v>
      </c>
      <c r="E148" s="266">
        <f t="shared" si="21"/>
        <v>29052.532349999994</v>
      </c>
      <c r="F148" s="266">
        <f t="shared" si="22"/>
        <v>6756.4028720930219</v>
      </c>
      <c r="G148" s="266">
        <f t="shared" si="23"/>
        <v>40</v>
      </c>
      <c r="H148" s="267">
        <f t="shared" si="24"/>
        <v>1.3099520383693044</v>
      </c>
      <c r="I148" s="266" t="s">
        <v>462</v>
      </c>
      <c r="J148" s="268">
        <v>4.37</v>
      </c>
      <c r="K148" s="269" t="s">
        <v>463</v>
      </c>
      <c r="L148" s="545"/>
    </row>
    <row r="149" spans="1:12" s="260" customFormat="1" ht="13.2" x14ac:dyDescent="0.25">
      <c r="A149" s="294" t="s">
        <v>432</v>
      </c>
      <c r="B149" s="264" t="s">
        <v>235</v>
      </c>
      <c r="C149" s="265">
        <v>50.5</v>
      </c>
      <c r="D149" s="266">
        <f t="shared" si="20"/>
        <v>52523.298749999994</v>
      </c>
      <c r="E149" s="266">
        <f t="shared" si="21"/>
        <v>31513.979249999997</v>
      </c>
      <c r="F149" s="266">
        <f t="shared" si="22"/>
        <v>7328.83238372093</v>
      </c>
      <c r="G149" s="266">
        <f t="shared" si="23"/>
        <v>40</v>
      </c>
      <c r="H149" s="267">
        <f t="shared" si="24"/>
        <v>1.3099520383693044</v>
      </c>
      <c r="I149" s="266" t="s">
        <v>462</v>
      </c>
      <c r="J149" s="268">
        <v>4.37</v>
      </c>
      <c r="K149" s="269" t="s">
        <v>463</v>
      </c>
      <c r="L149" s="545"/>
    </row>
    <row r="150" spans="1:12" s="260" customFormat="1" ht="13.2" x14ac:dyDescent="0.25">
      <c r="A150" s="294" t="s">
        <v>432</v>
      </c>
      <c r="B150" s="264" t="s">
        <v>236</v>
      </c>
      <c r="C150" s="265">
        <v>51.4</v>
      </c>
      <c r="D150" s="266">
        <f t="shared" si="20"/>
        <v>51963.878999999994</v>
      </c>
      <c r="E150" s="266">
        <f t="shared" si="21"/>
        <v>31178.327399999995</v>
      </c>
      <c r="F150" s="266">
        <f t="shared" si="22"/>
        <v>7250.7738139534877</v>
      </c>
      <c r="G150" s="266">
        <f t="shared" si="23"/>
        <v>40</v>
      </c>
      <c r="H150" s="267">
        <f t="shared" si="24"/>
        <v>1.3099520383693044</v>
      </c>
      <c r="I150" s="266" t="s">
        <v>462</v>
      </c>
      <c r="J150" s="268">
        <v>4.37</v>
      </c>
      <c r="K150" s="269" t="s">
        <v>463</v>
      </c>
      <c r="L150" s="545"/>
    </row>
    <row r="151" spans="1:12" s="260" customFormat="1" ht="13.2" x14ac:dyDescent="0.25">
      <c r="A151" s="294" t="s">
        <v>432</v>
      </c>
      <c r="B151" s="264" t="s">
        <v>237</v>
      </c>
      <c r="C151" s="265">
        <v>51.7</v>
      </c>
      <c r="D151" s="266">
        <f t="shared" si="20"/>
        <v>51777.405749999998</v>
      </c>
      <c r="E151" s="266">
        <f t="shared" si="21"/>
        <v>31066.443449999999</v>
      </c>
      <c r="F151" s="266">
        <f t="shared" si="22"/>
        <v>7224.7542906976742</v>
      </c>
      <c r="G151" s="266">
        <f t="shared" si="23"/>
        <v>40</v>
      </c>
      <c r="H151" s="267">
        <f t="shared" si="24"/>
        <v>1.3099520383693044</v>
      </c>
      <c r="I151" s="266" t="s">
        <v>462</v>
      </c>
      <c r="J151" s="268">
        <v>4.37</v>
      </c>
      <c r="K151" s="269" t="s">
        <v>463</v>
      </c>
      <c r="L151" s="545"/>
    </row>
    <row r="152" spans="1:12" s="260" customFormat="1" ht="13.2" x14ac:dyDescent="0.25">
      <c r="A152" s="294" t="s">
        <v>432</v>
      </c>
      <c r="B152" s="264" t="s">
        <v>238</v>
      </c>
      <c r="C152" s="265">
        <v>50.1</v>
      </c>
      <c r="D152" s="266">
        <f t="shared" si="20"/>
        <v>52771.929749999996</v>
      </c>
      <c r="E152" s="266">
        <f t="shared" si="21"/>
        <v>31663.157849999996</v>
      </c>
      <c r="F152" s="266">
        <f t="shared" si="22"/>
        <v>7363.525081395348</v>
      </c>
      <c r="G152" s="266">
        <f t="shared" si="23"/>
        <v>40</v>
      </c>
      <c r="H152" s="267">
        <f t="shared" si="24"/>
        <v>1.3099520383693044</v>
      </c>
      <c r="I152" s="266" t="s">
        <v>462</v>
      </c>
      <c r="J152" s="268">
        <v>4.37</v>
      </c>
      <c r="K152" s="269" t="s">
        <v>463</v>
      </c>
      <c r="L152" s="545"/>
    </row>
    <row r="153" spans="1:12" s="260" customFormat="1" ht="13.2" x14ac:dyDescent="0.25">
      <c r="A153" s="294" t="s">
        <v>432</v>
      </c>
      <c r="B153" s="264" t="s">
        <v>239</v>
      </c>
      <c r="C153" s="265">
        <v>63.2</v>
      </c>
      <c r="D153" s="266">
        <f t="shared" si="20"/>
        <v>44629.264499999997</v>
      </c>
      <c r="E153" s="266">
        <f t="shared" si="21"/>
        <v>26777.558699999998</v>
      </c>
      <c r="F153" s="266">
        <f t="shared" si="22"/>
        <v>6227.339232558139</v>
      </c>
      <c r="G153" s="266">
        <f t="shared" si="23"/>
        <v>40</v>
      </c>
      <c r="H153" s="267">
        <f t="shared" si="24"/>
        <v>1.3099520383693044</v>
      </c>
      <c r="I153" s="266" t="s">
        <v>462</v>
      </c>
      <c r="J153" s="268">
        <v>4.37</v>
      </c>
      <c r="K153" s="269" t="s">
        <v>463</v>
      </c>
      <c r="L153" s="545"/>
    </row>
    <row r="154" spans="1:12" s="260" customFormat="1" ht="13.2" x14ac:dyDescent="0.25">
      <c r="A154" s="295" t="s">
        <v>432</v>
      </c>
      <c r="B154" s="296" t="s">
        <v>240</v>
      </c>
      <c r="C154" s="297">
        <v>41.4</v>
      </c>
      <c r="D154" s="298">
        <f t="shared" si="20"/>
        <v>58179.653999999995</v>
      </c>
      <c r="E154" s="298">
        <f t="shared" si="21"/>
        <v>34907.792399999998</v>
      </c>
      <c r="F154" s="298">
        <f t="shared" si="22"/>
        <v>8118.0912558139535</v>
      </c>
      <c r="G154" s="298">
        <f t="shared" si="23"/>
        <v>40</v>
      </c>
      <c r="H154" s="299">
        <f t="shared" si="24"/>
        <v>1.3099520383693044</v>
      </c>
      <c r="I154" s="298" t="s">
        <v>462</v>
      </c>
      <c r="J154" s="300">
        <v>4.37</v>
      </c>
      <c r="K154" s="301" t="s">
        <v>463</v>
      </c>
      <c r="L154" s="546"/>
    </row>
    <row r="157" spans="1:12" s="260" customFormat="1" ht="14.4" customHeight="1" x14ac:dyDescent="0.25">
      <c r="A157" s="553" t="s">
        <v>480</v>
      </c>
      <c r="B157" s="554"/>
      <c r="C157" s="554"/>
      <c r="D157" s="554"/>
    </row>
    <row r="158" spans="1:12" s="271" customFormat="1" ht="14.4" x14ac:dyDescent="0.25">
      <c r="A158" s="420" t="s">
        <v>481</v>
      </c>
      <c r="B158" s="420" t="s">
        <v>482</v>
      </c>
      <c r="C158" s="420" t="s">
        <v>483</v>
      </c>
      <c r="D158" s="420" t="s">
        <v>484</v>
      </c>
      <c r="E158" s="270"/>
      <c r="F158" s="270"/>
      <c r="G158" s="270"/>
      <c r="H158" s="270"/>
      <c r="I158" s="270"/>
    </row>
    <row r="159" spans="1:12" s="260" customFormat="1" ht="13.8" x14ac:dyDescent="0.25">
      <c r="A159" s="302">
        <v>40</v>
      </c>
      <c r="B159" s="303" t="s">
        <v>485</v>
      </c>
      <c r="C159" s="304">
        <v>14000</v>
      </c>
      <c r="D159" s="305" t="s">
        <v>486</v>
      </c>
    </row>
    <row r="160" spans="1:12" s="260" customFormat="1" ht="13.8" x14ac:dyDescent="0.25">
      <c r="A160" s="302">
        <v>50</v>
      </c>
      <c r="B160" s="303" t="s">
        <v>485</v>
      </c>
      <c r="C160" s="304">
        <v>16000</v>
      </c>
      <c r="D160" s="305" t="s">
        <v>486</v>
      </c>
    </row>
    <row r="161" spans="1:4" s="260" customFormat="1" ht="13.8" x14ac:dyDescent="0.25">
      <c r="A161" s="302">
        <v>66</v>
      </c>
      <c r="B161" s="303" t="s">
        <v>485</v>
      </c>
      <c r="C161" s="304">
        <v>18000</v>
      </c>
      <c r="D161" s="305" t="s">
        <v>486</v>
      </c>
    </row>
    <row r="162" spans="1:4" s="260" customFormat="1" ht="13.8" x14ac:dyDescent="0.25">
      <c r="A162" s="302">
        <v>80</v>
      </c>
      <c r="B162" s="303" t="s">
        <v>485</v>
      </c>
      <c r="C162" s="304">
        <v>20000</v>
      </c>
      <c r="D162" s="305" t="s">
        <v>486</v>
      </c>
    </row>
    <row r="163" spans="1:4" s="260" customFormat="1" ht="13.8" x14ac:dyDescent="0.25">
      <c r="A163" s="306">
        <v>120</v>
      </c>
      <c r="B163" s="307" t="s">
        <v>485</v>
      </c>
      <c r="C163" s="304">
        <v>25000</v>
      </c>
      <c r="D163" s="305" t="s">
        <v>486</v>
      </c>
    </row>
  </sheetData>
  <mergeCells count="14">
    <mergeCell ref="A157:D157"/>
    <mergeCell ref="L91:L106"/>
    <mergeCell ref="L107:L122"/>
    <mergeCell ref="F2:G2"/>
    <mergeCell ref="D56:D60"/>
    <mergeCell ref="A54:D54"/>
    <mergeCell ref="A1:H1"/>
    <mergeCell ref="L139:L154"/>
    <mergeCell ref="L123:L138"/>
    <mergeCell ref="H74:I74"/>
    <mergeCell ref="J74:K74"/>
    <mergeCell ref="L75:L90"/>
    <mergeCell ref="A73:L73"/>
    <mergeCell ref="A6:G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I22"/>
  <sheetViews>
    <sheetView zoomScale="90" zoomScaleNormal="90" workbookViewId="0">
      <selection sqref="A1:G1"/>
    </sheetView>
  </sheetViews>
  <sheetFormatPr defaultColWidth="8.6640625" defaultRowHeight="13.2" x14ac:dyDescent="0.25"/>
  <cols>
    <col min="1" max="1" width="49.6640625" style="4" bestFit="1" customWidth="1"/>
    <col min="2" max="2" width="21.44140625" style="4" bestFit="1" customWidth="1"/>
    <col min="3" max="3" width="26.5546875" style="4" customWidth="1"/>
    <col min="4" max="4" width="30.109375" style="4" customWidth="1"/>
    <col min="5" max="5" width="18.33203125" style="4" customWidth="1"/>
    <col min="6" max="6" width="28.44140625" style="4" customWidth="1"/>
    <col min="7" max="7" width="30" style="4" customWidth="1"/>
    <col min="8" max="8" width="10.5546875" style="4" customWidth="1"/>
    <col min="9" max="9" width="51.109375" style="4" bestFit="1" customWidth="1"/>
    <col min="10" max="16384" width="8.6640625" style="4"/>
  </cols>
  <sheetData>
    <row r="1" spans="1:9" ht="25.95" customHeight="1" x14ac:dyDescent="0.25">
      <c r="A1" s="480" t="str">
        <f>"Interior Lighting - "&amp;Prototype!A2</f>
        <v>Interior Lighting - SchoolHigh</v>
      </c>
      <c r="B1" s="480"/>
      <c r="C1" s="480"/>
      <c r="D1" s="480"/>
      <c r="E1" s="480"/>
      <c r="F1" s="480"/>
      <c r="G1" s="480"/>
    </row>
    <row r="2" spans="1:9" ht="25.95" customHeight="1" x14ac:dyDescent="0.25">
      <c r="A2" s="560" t="s">
        <v>216</v>
      </c>
      <c r="B2" s="489" t="s">
        <v>487</v>
      </c>
      <c r="C2" s="489"/>
      <c r="D2" s="489"/>
      <c r="E2" s="489" t="s">
        <v>254</v>
      </c>
      <c r="F2" s="489"/>
      <c r="G2" s="489"/>
    </row>
    <row r="3" spans="1:9" ht="43.2" customHeight="1" x14ac:dyDescent="0.25">
      <c r="A3" s="560"/>
      <c r="B3" s="368" t="s">
        <v>488</v>
      </c>
      <c r="C3" s="368" t="s">
        <v>489</v>
      </c>
      <c r="D3" s="381" t="s">
        <v>300</v>
      </c>
      <c r="E3" s="368" t="s">
        <v>490</v>
      </c>
      <c r="F3" s="368" t="s">
        <v>491</v>
      </c>
      <c r="G3" s="368" t="s">
        <v>300</v>
      </c>
    </row>
    <row r="4" spans="1:9" ht="27" customHeight="1" x14ac:dyDescent="0.25">
      <c r="A4" s="192" t="s">
        <v>99</v>
      </c>
      <c r="B4" s="70">
        <v>0.55000000000000004</v>
      </c>
      <c r="C4" s="383">
        <v>0.25</v>
      </c>
      <c r="D4" s="561" t="s">
        <v>492</v>
      </c>
      <c r="E4" s="70">
        <v>0.9</v>
      </c>
      <c r="F4" s="383">
        <v>0.25</v>
      </c>
      <c r="G4" s="561" t="s">
        <v>493</v>
      </c>
    </row>
    <row r="5" spans="1:9" ht="27" customHeight="1" x14ac:dyDescent="0.25">
      <c r="A5" s="192" t="s">
        <v>104</v>
      </c>
      <c r="B5" s="70">
        <v>0.45</v>
      </c>
      <c r="C5" s="383"/>
      <c r="D5" s="561"/>
      <c r="E5" s="70">
        <v>1</v>
      </c>
      <c r="F5" s="383"/>
      <c r="G5" s="561"/>
    </row>
    <row r="6" spans="1:9" ht="27" customHeight="1" x14ac:dyDescent="0.25">
      <c r="A6" s="192" t="s">
        <v>107</v>
      </c>
      <c r="B6" s="70">
        <v>0.75</v>
      </c>
      <c r="C6" s="383">
        <v>0.25</v>
      </c>
      <c r="D6" s="562"/>
      <c r="E6" s="70">
        <v>1.2</v>
      </c>
      <c r="F6" s="383">
        <v>0.2</v>
      </c>
      <c r="G6" s="562"/>
    </row>
    <row r="7" spans="1:9" ht="27" customHeight="1" x14ac:dyDescent="0.25">
      <c r="A7" s="192" t="s">
        <v>110</v>
      </c>
      <c r="B7" s="70">
        <v>0.4</v>
      </c>
      <c r="C7" s="383"/>
      <c r="D7" s="561"/>
      <c r="E7" s="70">
        <v>0.6</v>
      </c>
      <c r="F7" s="383"/>
      <c r="G7" s="561"/>
    </row>
    <row r="8" spans="1:9" ht="27" customHeight="1" x14ac:dyDescent="0.25">
      <c r="A8" s="192" t="s">
        <v>113</v>
      </c>
      <c r="B8" s="70">
        <v>0.4</v>
      </c>
      <c r="C8" s="383"/>
      <c r="D8" s="561"/>
      <c r="E8" s="70">
        <v>0.55000000000000004</v>
      </c>
      <c r="F8" s="424"/>
      <c r="G8" s="561"/>
    </row>
    <row r="9" spans="1:9" s="5" customFormat="1" ht="27" customHeight="1" x14ac:dyDescent="0.25">
      <c r="A9" s="192" t="s">
        <v>118</v>
      </c>
      <c r="B9" s="70">
        <v>0.95</v>
      </c>
      <c r="C9" s="383"/>
      <c r="D9" s="561"/>
      <c r="E9" s="70">
        <v>1.2</v>
      </c>
      <c r="F9" s="424"/>
      <c r="G9" s="561"/>
      <c r="I9" s="4"/>
    </row>
    <row r="10" spans="1:9" ht="27" customHeight="1" x14ac:dyDescent="0.25">
      <c r="A10" s="192" t="s">
        <v>128</v>
      </c>
      <c r="B10" s="70">
        <v>0.65</v>
      </c>
      <c r="C10" s="424"/>
      <c r="D10" s="561"/>
      <c r="E10" s="70">
        <v>0.6</v>
      </c>
      <c r="F10" s="424"/>
      <c r="G10" s="561"/>
    </row>
    <row r="11" spans="1:9" ht="27" customHeight="1" x14ac:dyDescent="0.25">
      <c r="A11" s="192" t="s">
        <v>122</v>
      </c>
      <c r="B11" s="70">
        <v>0.7</v>
      </c>
      <c r="C11" s="424">
        <v>0.25</v>
      </c>
      <c r="D11" s="562"/>
      <c r="E11" s="70">
        <v>0.95</v>
      </c>
      <c r="F11" s="424">
        <v>0.2</v>
      </c>
      <c r="G11" s="562"/>
    </row>
    <row r="12" spans="1:9" ht="27" customHeight="1" x14ac:dyDescent="0.25">
      <c r="A12" s="192" t="s">
        <v>125</v>
      </c>
      <c r="B12" s="70">
        <v>0.65</v>
      </c>
      <c r="C12" s="424">
        <v>0.2</v>
      </c>
      <c r="D12" s="562"/>
      <c r="E12" s="70">
        <v>1</v>
      </c>
      <c r="F12" s="424">
        <v>0.2</v>
      </c>
      <c r="G12" s="562"/>
    </row>
    <row r="13" spans="1:9" ht="27" customHeight="1" x14ac:dyDescent="0.25">
      <c r="A13" s="192" t="s">
        <v>131</v>
      </c>
      <c r="B13" s="70">
        <v>0.4</v>
      </c>
      <c r="C13" s="424"/>
      <c r="D13" s="561"/>
      <c r="E13" s="70">
        <v>0.6</v>
      </c>
      <c r="F13" s="424"/>
      <c r="G13" s="561"/>
    </row>
    <row r="14" spans="1:9" ht="27" customHeight="1" x14ac:dyDescent="0.25">
      <c r="A14" s="192" t="s">
        <v>134</v>
      </c>
      <c r="B14" s="70">
        <v>0.4</v>
      </c>
      <c r="C14" s="424"/>
      <c r="D14" s="561"/>
      <c r="E14" s="70">
        <v>0.7</v>
      </c>
      <c r="F14" s="424"/>
      <c r="G14" s="561"/>
    </row>
    <row r="15" spans="1:9" ht="27" customHeight="1" x14ac:dyDescent="0.25">
      <c r="A15" s="192" t="s">
        <v>137</v>
      </c>
      <c r="B15" s="70">
        <v>0.8</v>
      </c>
      <c r="C15" s="424"/>
      <c r="D15" s="561"/>
      <c r="E15" s="70">
        <v>1.4</v>
      </c>
      <c r="F15" s="424"/>
      <c r="G15" s="561"/>
    </row>
    <row r="16" spans="1:9" ht="27" customHeight="1" x14ac:dyDescent="0.25">
      <c r="A16" s="192" t="s">
        <v>146</v>
      </c>
      <c r="B16" s="70">
        <v>0.9</v>
      </c>
      <c r="C16" s="377">
        <v>0.35</v>
      </c>
      <c r="D16" s="562"/>
      <c r="E16" s="70">
        <v>1.4</v>
      </c>
      <c r="F16" s="377">
        <v>0.2</v>
      </c>
      <c r="G16" s="562"/>
    </row>
    <row r="17" spans="1:7" ht="27" customHeight="1" x14ac:dyDescent="0.25">
      <c r="A17" s="192" t="s">
        <v>149</v>
      </c>
      <c r="B17" s="70">
        <v>0.8</v>
      </c>
      <c r="C17" s="424"/>
      <c r="D17" s="561"/>
      <c r="E17" s="70">
        <v>1.1000000000000001</v>
      </c>
      <c r="F17" s="424"/>
      <c r="G17" s="561"/>
    </row>
    <row r="18" spans="1:7" ht="27" customHeight="1" x14ac:dyDescent="0.25">
      <c r="A18" s="192" t="s">
        <v>156</v>
      </c>
      <c r="B18" s="70">
        <v>0.6</v>
      </c>
      <c r="C18" s="424"/>
      <c r="D18" s="561"/>
      <c r="E18" s="70">
        <v>1.2</v>
      </c>
      <c r="F18" s="424"/>
      <c r="G18" s="561"/>
    </row>
    <row r="19" spans="1:7" ht="27" customHeight="1" x14ac:dyDescent="0.25">
      <c r="A19" s="13" t="s">
        <v>191</v>
      </c>
      <c r="B19" s="99">
        <v>0.6</v>
      </c>
      <c r="C19" s="424"/>
      <c r="D19" s="561"/>
      <c r="E19" s="99">
        <v>1.2</v>
      </c>
      <c r="F19" s="424"/>
      <c r="G19" s="561"/>
    </row>
    <row r="20" spans="1:7" ht="27" customHeight="1" x14ac:dyDescent="0.25">
      <c r="A20" s="210" t="s">
        <v>205</v>
      </c>
      <c r="B20" s="216">
        <v>0.45</v>
      </c>
      <c r="C20" s="424"/>
      <c r="D20" s="561"/>
      <c r="E20" s="367">
        <v>0.8</v>
      </c>
      <c r="F20" s="424"/>
      <c r="G20" s="561"/>
    </row>
    <row r="21" spans="1:7" ht="27" customHeight="1" x14ac:dyDescent="0.25">
      <c r="A21" s="13" t="s">
        <v>199</v>
      </c>
      <c r="B21" s="99">
        <v>0.5</v>
      </c>
      <c r="C21" s="424"/>
      <c r="D21" s="561"/>
      <c r="E21" s="99">
        <v>1</v>
      </c>
      <c r="F21" s="424"/>
      <c r="G21" s="561"/>
    </row>
    <row r="22" spans="1:7" ht="27" customHeight="1" x14ac:dyDescent="0.25">
      <c r="A22" s="13" t="s">
        <v>199</v>
      </c>
      <c r="B22" s="99">
        <v>0.5</v>
      </c>
      <c r="C22" s="424"/>
      <c r="D22" s="561"/>
      <c r="E22" s="99">
        <v>1</v>
      </c>
      <c r="F22" s="424"/>
      <c r="G22" s="561"/>
    </row>
  </sheetData>
  <autoFilter ref="A2:G18" xr:uid="{B6F6AAB3-37D4-40C4-AD32-87DEB55DC747}">
    <filterColumn colId="1" showButton="0"/>
    <filterColumn colId="2" showButton="0"/>
    <filterColumn colId="4" showButton="0"/>
    <filterColumn colId="5" showButton="0"/>
  </autoFilter>
  <mergeCells count="6">
    <mergeCell ref="A1:G1"/>
    <mergeCell ref="A2:A3"/>
    <mergeCell ref="B2:D2"/>
    <mergeCell ref="E2:G2"/>
    <mergeCell ref="D4:D22"/>
    <mergeCell ref="G4:G22"/>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41"/>
  <sheetViews>
    <sheetView zoomScale="85" zoomScaleNormal="85" workbookViewId="0">
      <selection sqref="A1:D1"/>
    </sheetView>
  </sheetViews>
  <sheetFormatPr defaultColWidth="8.6640625" defaultRowHeight="13.2" x14ac:dyDescent="0.25"/>
  <cols>
    <col min="1" max="1" width="32" style="4" customWidth="1"/>
    <col min="2" max="2" width="30.33203125" style="4" customWidth="1"/>
    <col min="3" max="3" width="21.33203125" style="4" customWidth="1"/>
    <col min="4" max="4" width="36.33203125" style="4" customWidth="1"/>
    <col min="5" max="5" width="38.88671875" style="4" customWidth="1"/>
    <col min="6" max="6" width="19.6640625" style="4" bestFit="1" customWidth="1"/>
    <col min="7" max="7" width="17.5546875" style="4" customWidth="1"/>
    <col min="8" max="8" width="15.5546875" style="4" customWidth="1"/>
    <col min="9" max="9" width="13.33203125" style="4" customWidth="1"/>
    <col min="10" max="16384" width="8.6640625" style="4"/>
  </cols>
  <sheetData>
    <row r="1" spans="1:7" ht="25.2" customHeight="1" x14ac:dyDescent="0.25">
      <c r="A1" s="563" t="str">
        <f>"Exterior Lighting - "&amp;Prototype!A2</f>
        <v>Exterior Lighting - SchoolHigh</v>
      </c>
      <c r="B1" s="563"/>
      <c r="C1" s="563"/>
      <c r="D1" s="563"/>
    </row>
    <row r="2" spans="1:7" ht="37.200000000000003" customHeight="1" x14ac:dyDescent="0.25">
      <c r="A2" s="384" t="s">
        <v>494</v>
      </c>
      <c r="B2" s="384" t="s">
        <v>495</v>
      </c>
      <c r="C2" s="384" t="s">
        <v>496</v>
      </c>
      <c r="D2" s="384" t="s">
        <v>300</v>
      </c>
    </row>
    <row r="3" spans="1:7" ht="45.6" customHeight="1" x14ac:dyDescent="0.25">
      <c r="A3" s="223">
        <f>G15</f>
        <v>4040.6229111111111</v>
      </c>
      <c r="B3" s="223">
        <f>G16</f>
        <v>7440.8933214999997</v>
      </c>
      <c r="C3" s="33">
        <f>A3+B3</f>
        <v>11481.516232611111</v>
      </c>
      <c r="D3" s="382" t="s">
        <v>497</v>
      </c>
      <c r="E3" s="65"/>
    </row>
    <row r="4" spans="1:7" ht="22.2" customHeight="1" x14ac:dyDescent="0.25">
      <c r="A4" s="46"/>
      <c r="B4" s="46"/>
      <c r="C4" s="46"/>
    </row>
    <row r="5" spans="1:7" ht="14.4" x14ac:dyDescent="0.3">
      <c r="A5"/>
      <c r="C5" s="73"/>
      <c r="E5" s="74"/>
    </row>
    <row r="6" spans="1:7" ht="14.4" x14ac:dyDescent="0.3">
      <c r="A6"/>
      <c r="C6" s="73"/>
      <c r="E6" s="74"/>
    </row>
    <row r="7" spans="1:7" ht="15.6" x14ac:dyDescent="0.25">
      <c r="A7" s="563" t="str">
        <f>"Exterior Lighting"</f>
        <v>Exterior Lighting</v>
      </c>
      <c r="B7" s="563"/>
      <c r="C7" s="563"/>
      <c r="D7" s="563"/>
      <c r="E7" s="563"/>
      <c r="F7" s="563"/>
      <c r="G7" s="563"/>
    </row>
    <row r="8" spans="1:7" ht="51.6" customHeight="1" x14ac:dyDescent="0.25">
      <c r="A8" s="101" t="s">
        <v>498</v>
      </c>
      <c r="B8" s="564" t="s">
        <v>499</v>
      </c>
      <c r="C8" s="564"/>
      <c r="D8" s="384" t="s">
        <v>500</v>
      </c>
      <c r="E8" s="384" t="s">
        <v>501</v>
      </c>
      <c r="F8" s="384" t="s">
        <v>500</v>
      </c>
      <c r="G8" s="384" t="s">
        <v>502</v>
      </c>
    </row>
    <row r="9" spans="1:7" ht="21" customHeight="1" x14ac:dyDescent="0.25">
      <c r="A9" s="13" t="s">
        <v>503</v>
      </c>
      <c r="B9" s="13"/>
      <c r="C9" s="75"/>
      <c r="D9" s="377"/>
      <c r="E9" s="377">
        <v>200</v>
      </c>
      <c r="F9" s="424" t="s">
        <v>504</v>
      </c>
      <c r="G9" s="102">
        <f>$E9</f>
        <v>200</v>
      </c>
    </row>
    <row r="10" spans="1:7" ht="39.6" x14ac:dyDescent="0.25">
      <c r="A10" s="13" t="s">
        <v>505</v>
      </c>
      <c r="B10" s="209" t="s">
        <v>506</v>
      </c>
      <c r="C10" s="218">
        <f>B28/360*400</f>
        <v>194243.31111111111</v>
      </c>
      <c r="D10" s="377" t="s">
        <v>507</v>
      </c>
      <c r="E10" s="377">
        <v>1.9E-2</v>
      </c>
      <c r="F10" s="424" t="s">
        <v>508</v>
      </c>
      <c r="G10" s="102">
        <f>E10*C10</f>
        <v>3690.6229111111111</v>
      </c>
    </row>
    <row r="11" spans="1:7" ht="39.6" x14ac:dyDescent="0.25">
      <c r="A11" s="13" t="s">
        <v>509</v>
      </c>
      <c r="B11" s="209" t="s">
        <v>510</v>
      </c>
      <c r="C11" s="219">
        <v>10</v>
      </c>
      <c r="D11" s="377" t="s">
        <v>511</v>
      </c>
      <c r="E11" s="377">
        <v>15</v>
      </c>
      <c r="F11" s="424" t="s">
        <v>512</v>
      </c>
      <c r="G11" s="102">
        <f>E11*C11</f>
        <v>150</v>
      </c>
    </row>
    <row r="12" spans="1:7" ht="39.6" customHeight="1" x14ac:dyDescent="0.25">
      <c r="A12" s="13" t="s">
        <v>513</v>
      </c>
      <c r="B12" s="209" t="s">
        <v>514</v>
      </c>
      <c r="C12" s="220">
        <f>B28*0.1*0.25</f>
        <v>4370.4745000000003</v>
      </c>
      <c r="D12" s="377" t="s">
        <v>507</v>
      </c>
      <c r="E12" s="377">
        <v>7.0000000000000001E-3</v>
      </c>
      <c r="F12" s="424" t="s">
        <v>508</v>
      </c>
      <c r="G12" s="103">
        <f>E12*C12</f>
        <v>30.593321500000002</v>
      </c>
    </row>
    <row r="13" spans="1:7" ht="118.8" x14ac:dyDescent="0.25">
      <c r="A13" s="13" t="s">
        <v>515</v>
      </c>
      <c r="B13" s="209" t="s">
        <v>516</v>
      </c>
      <c r="C13" s="221">
        <f>0.25*4*(B21*B22+C21*C22+D21*D22+E21*E22+F21*F22)</f>
        <v>72103</v>
      </c>
      <c r="D13" s="377" t="s">
        <v>507</v>
      </c>
      <c r="E13" s="377">
        <v>0.1</v>
      </c>
      <c r="F13" s="424" t="s">
        <v>508</v>
      </c>
      <c r="G13" s="103">
        <f t="shared" ref="G13" si="0">E13*C13</f>
        <v>7210.3</v>
      </c>
    </row>
    <row r="14" spans="1:7" ht="66" x14ac:dyDescent="0.25">
      <c r="A14" s="210" t="s">
        <v>517</v>
      </c>
      <c r="B14" s="209" t="s">
        <v>518</v>
      </c>
      <c r="C14" s="221"/>
      <c r="D14" s="377"/>
      <c r="E14" s="377"/>
      <c r="F14" s="424"/>
      <c r="G14" s="222">
        <v>200</v>
      </c>
    </row>
    <row r="15" spans="1:7" x14ac:dyDescent="0.25">
      <c r="A15" s="13" t="s">
        <v>494</v>
      </c>
      <c r="B15" s="13"/>
      <c r="C15" s="75"/>
      <c r="D15" s="377"/>
      <c r="E15" s="377"/>
      <c r="F15" s="377"/>
      <c r="G15" s="222">
        <f>G10+G9+G11</f>
        <v>4040.6229111111111</v>
      </c>
    </row>
    <row r="16" spans="1:7" x14ac:dyDescent="0.25">
      <c r="A16" s="13" t="s">
        <v>519</v>
      </c>
      <c r="B16" s="13"/>
      <c r="C16" s="75"/>
      <c r="D16" s="377"/>
      <c r="E16" s="377"/>
      <c r="F16" s="377"/>
      <c r="G16" s="222">
        <f>G12+G13+G14</f>
        <v>7440.8933214999997</v>
      </c>
    </row>
    <row r="17" spans="1:9" x14ac:dyDescent="0.25">
      <c r="A17" s="13" t="s">
        <v>218</v>
      </c>
      <c r="B17" s="13"/>
      <c r="C17" s="75"/>
      <c r="D17" s="377"/>
      <c r="E17" s="377"/>
      <c r="F17" s="377"/>
      <c r="G17" s="222">
        <f>G15+G16</f>
        <v>11481.516232611111</v>
      </c>
    </row>
    <row r="20" spans="1:9" x14ac:dyDescent="0.25">
      <c r="B20" s="76" t="s">
        <v>520</v>
      </c>
      <c r="C20" s="4" t="s">
        <v>521</v>
      </c>
      <c r="D20" s="4" t="s">
        <v>522</v>
      </c>
      <c r="E20" s="4" t="s">
        <v>523</v>
      </c>
      <c r="F20" s="4" t="s">
        <v>524</v>
      </c>
    </row>
    <row r="21" spans="1:9" ht="14.4" x14ac:dyDescent="0.3">
      <c r="A21" s="4" t="s">
        <v>525</v>
      </c>
      <c r="B21" s="193">
        <v>537</v>
      </c>
      <c r="C21" s="193">
        <v>327</v>
      </c>
      <c r="D21" s="193">
        <v>474</v>
      </c>
      <c r="E21" s="193">
        <v>563</v>
      </c>
      <c r="F21" s="194">
        <v>800</v>
      </c>
    </row>
    <row r="22" spans="1:9" ht="27.75" customHeight="1" x14ac:dyDescent="0.3">
      <c r="A22" s="10" t="s">
        <v>526</v>
      </c>
      <c r="B22" s="193">
        <v>28</v>
      </c>
      <c r="C22" s="193">
        <v>28</v>
      </c>
      <c r="D22" s="193">
        <v>14</v>
      </c>
      <c r="E22" s="193">
        <v>25</v>
      </c>
      <c r="F22" s="194">
        <v>34</v>
      </c>
    </row>
    <row r="23" spans="1:9" ht="14.4" x14ac:dyDescent="0.3">
      <c r="A23" s="10" t="s">
        <v>527</v>
      </c>
      <c r="B23" s="193">
        <v>7876</v>
      </c>
      <c r="C23" s="193">
        <v>4415</v>
      </c>
      <c r="D23" s="193">
        <v>8640</v>
      </c>
      <c r="E23" s="193">
        <v>16754</v>
      </c>
      <c r="F23" s="194">
        <v>29523</v>
      </c>
    </row>
    <row r="24" spans="1:9" ht="14.4" x14ac:dyDescent="0.3">
      <c r="A24" s="4" t="s">
        <v>528</v>
      </c>
      <c r="B24" s="193">
        <v>2</v>
      </c>
      <c r="C24" s="193">
        <v>2</v>
      </c>
      <c r="D24" s="193">
        <v>1</v>
      </c>
      <c r="E24" s="193">
        <v>1</v>
      </c>
      <c r="F24" s="194">
        <v>1</v>
      </c>
    </row>
    <row r="25" spans="1:9" ht="14.4" x14ac:dyDescent="0.3">
      <c r="A25" s="65" t="s">
        <v>529</v>
      </c>
      <c r="B25" s="398" cm="1">
        <f t="array" ref="B25">SUMPRODUCT((Zones!$A$3:$A$44="SchoolHigh North Classrooms")*(ISERROR(SEARCH("SHOP",Zones!$B$3:$B$44)))*(Zones!$H$3:$H$44)*(Zones!$J$3:$J$44))</f>
        <v>72139.159999999989</v>
      </c>
      <c r="C25" s="398" cm="1">
        <f t="array" ref="C25">SUMPRODUCT((Zones!$A$3:$A$44="SchoolHigh Lab Classrooms")*(Zones!$H$3:$H$44)*(Zones!$J$3:$J$44))</f>
        <v>8829.9500000000007</v>
      </c>
      <c r="D25" s="398" cm="1">
        <f t="array" ref="D25">SUMPRODUCT((Zones!$A$3:$A$44="SchoolHigh North Classrooms")*(ISNUMBER(SEARCH("SHOP",Zones!$B$3:$B$44)))*(Zones!$H$3:$H$44)*(Zones!$J$3:$J$44))</f>
        <v>0</v>
      </c>
      <c r="E25" s="398" cm="1">
        <f t="array" ref="E25">SUMPRODUCT((Zones!$A$3:$A$44="SchoolHigh Admin/MPR")*(Zones!$H$3:$H$44)*(Zones!$J$3:$J$44))</f>
        <v>55686.179999999993</v>
      </c>
      <c r="F25" s="399" cm="1">
        <f t="array" ref="F25">SUMPRODUCT((Zones!$A$3:$A$44="SchoolHigh Sports")*(Zones!$H$3:$H$44)*(Zones!$J$3:$J$44))</f>
        <v>29522.880000000001</v>
      </c>
    </row>
    <row r="26" spans="1:9" ht="14.4" x14ac:dyDescent="0.3">
      <c r="A26" s="65" t="s">
        <v>530</v>
      </c>
      <c r="B26" s="398">
        <f>B21*B22</f>
        <v>15036</v>
      </c>
      <c r="C26" s="398">
        <f>C21*C22</f>
        <v>9156</v>
      </c>
      <c r="D26" s="398">
        <f>D21*D22</f>
        <v>6636</v>
      </c>
      <c r="E26" s="398">
        <f>E21*E22</f>
        <v>14075</v>
      </c>
      <c r="F26" s="399">
        <f>F21*F22</f>
        <v>27200</v>
      </c>
    </row>
    <row r="27" spans="1:9" ht="14.4" x14ac:dyDescent="0.3">
      <c r="A27" s="65" t="s">
        <v>531</v>
      </c>
      <c r="B27" s="278">
        <f>SUM(B21:F21)</f>
        <v>2701</v>
      </c>
      <c r="C27" s="394"/>
      <c r="D27" s="121"/>
      <c r="E27" s="65"/>
      <c r="F27" s="122"/>
      <c r="G27" s="65"/>
      <c r="H27" s="65"/>
      <c r="I27" s="65"/>
    </row>
    <row r="28" spans="1:9" ht="14.4" x14ac:dyDescent="0.3">
      <c r="A28" s="65" t="s">
        <v>532</v>
      </c>
      <c r="B28" s="278">
        <f>Prototype!B9</f>
        <v>174818.98</v>
      </c>
      <c r="C28" s="65"/>
      <c r="D28" s="121"/>
      <c r="E28" s="65"/>
      <c r="F28" s="122"/>
      <c r="G28" s="65"/>
      <c r="H28" s="65"/>
      <c r="I28" s="65"/>
    </row>
    <row r="29" spans="1:9" s="5" customFormat="1" ht="13.2" customHeight="1" x14ac:dyDescent="0.25">
      <c r="E29" s="427"/>
      <c r="F29" s="428"/>
      <c r="G29" s="429"/>
    </row>
    <row r="33" customFormat="1" ht="14.4" x14ac:dyDescent="0.3"/>
    <row r="34" customFormat="1" ht="14.4" x14ac:dyDescent="0.3"/>
    <row r="35" customFormat="1" ht="14.4" x14ac:dyDescent="0.3"/>
    <row r="36" customFormat="1" ht="14.4" x14ac:dyDescent="0.3"/>
    <row r="37" customFormat="1" ht="14.4" x14ac:dyDescent="0.3"/>
    <row r="38" customFormat="1" ht="14.4" x14ac:dyDescent="0.3"/>
    <row r="39" customFormat="1" ht="14.4" x14ac:dyDescent="0.3"/>
    <row r="40" customFormat="1" ht="14.4" x14ac:dyDescent="0.3"/>
    <row r="41" customFormat="1" ht="14.4" x14ac:dyDescent="0.3"/>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63"/>
  <sheetViews>
    <sheetView topLeftCell="A15" zoomScale="80" zoomScaleNormal="80" workbookViewId="0">
      <selection sqref="A1:E1"/>
    </sheetView>
  </sheetViews>
  <sheetFormatPr defaultColWidth="8.6640625" defaultRowHeight="12.75" customHeight="1" x14ac:dyDescent="0.25"/>
  <cols>
    <col min="1" max="1" width="51.109375" style="4" bestFit="1" customWidth="1"/>
    <col min="2" max="2" width="42.5546875" style="4" customWidth="1"/>
    <col min="3" max="3" width="18.44140625" style="4" bestFit="1" customWidth="1"/>
    <col min="4" max="4" width="23.33203125" style="4" customWidth="1"/>
    <col min="5" max="5" width="88.5546875" style="4" customWidth="1"/>
    <col min="6" max="6" width="50.6640625" style="4" customWidth="1"/>
    <col min="7" max="7" width="14.6640625" style="4" customWidth="1"/>
    <col min="8" max="8" width="14.44140625" style="4" customWidth="1"/>
    <col min="9" max="9" width="17.109375" style="4" customWidth="1"/>
    <col min="10" max="10" width="18.6640625" style="4" customWidth="1"/>
    <col min="11" max="11" width="43.6640625" style="4" customWidth="1"/>
    <col min="12" max="16384" width="8.6640625" style="4"/>
  </cols>
  <sheetData>
    <row r="1" spans="1:11" ht="23.4" customHeight="1" x14ac:dyDescent="0.25">
      <c r="A1" s="566" t="str">
        <f>"Equipment - "&amp;Prototype!A2</f>
        <v>Equipment - SchoolHigh</v>
      </c>
      <c r="B1" s="567"/>
      <c r="C1" s="567"/>
      <c r="D1" s="567"/>
      <c r="E1" s="567"/>
    </row>
    <row r="2" spans="1:11" ht="40.950000000000003" customHeight="1" x14ac:dyDescent="0.3">
      <c r="A2" s="381" t="s">
        <v>216</v>
      </c>
      <c r="B2" s="368" t="s">
        <v>533</v>
      </c>
      <c r="C2" s="368" t="s">
        <v>534</v>
      </c>
      <c r="D2" s="368" t="s">
        <v>535</v>
      </c>
      <c r="E2" s="386" t="s">
        <v>300</v>
      </c>
      <c r="G2"/>
      <c r="H2"/>
      <c r="I2"/>
      <c r="J2"/>
      <c r="K2"/>
    </row>
    <row r="3" spans="1:11" ht="20.399999999999999" customHeight="1" x14ac:dyDescent="0.3">
      <c r="A3" s="97" t="s">
        <v>99</v>
      </c>
      <c r="B3" s="125">
        <v>1</v>
      </c>
      <c r="C3" s="125">
        <v>0</v>
      </c>
      <c r="D3" s="126">
        <v>0</v>
      </c>
      <c r="E3" s="568" t="s">
        <v>536</v>
      </c>
      <c r="G3"/>
      <c r="H3"/>
      <c r="I3"/>
      <c r="J3"/>
      <c r="K3"/>
    </row>
    <row r="4" spans="1:11" ht="20.399999999999999" customHeight="1" x14ac:dyDescent="0.3">
      <c r="A4" s="97" t="s">
        <v>104</v>
      </c>
      <c r="B4" s="125">
        <v>0.5</v>
      </c>
      <c r="C4" s="125">
        <v>0</v>
      </c>
      <c r="D4" s="126">
        <v>0.25</v>
      </c>
      <c r="E4" s="569"/>
      <c r="G4"/>
      <c r="H4"/>
      <c r="I4"/>
      <c r="J4"/>
      <c r="K4"/>
    </row>
    <row r="5" spans="1:11" ht="20.399999999999999" customHeight="1" x14ac:dyDescent="0.3">
      <c r="A5" s="97" t="s">
        <v>107</v>
      </c>
      <c r="B5" s="125">
        <v>1</v>
      </c>
      <c r="C5" s="125">
        <v>0</v>
      </c>
      <c r="D5" s="126">
        <v>0</v>
      </c>
      <c r="E5" s="569"/>
      <c r="G5"/>
      <c r="H5"/>
      <c r="I5"/>
      <c r="J5"/>
      <c r="K5"/>
    </row>
    <row r="6" spans="1:11" ht="20.399999999999999" customHeight="1" x14ac:dyDescent="0.3">
      <c r="A6" s="97" t="s">
        <v>110</v>
      </c>
      <c r="B6" s="125">
        <v>0</v>
      </c>
      <c r="C6" s="125">
        <v>0</v>
      </c>
      <c r="D6" s="126">
        <v>0</v>
      </c>
      <c r="E6" s="570"/>
      <c r="G6"/>
      <c r="H6"/>
      <c r="I6"/>
      <c r="J6"/>
      <c r="K6"/>
    </row>
    <row r="7" spans="1:11" ht="20.399999999999999" customHeight="1" x14ac:dyDescent="0.3">
      <c r="A7" s="97" t="s">
        <v>113</v>
      </c>
      <c r="B7" s="125">
        <v>3</v>
      </c>
      <c r="C7" s="125">
        <v>0</v>
      </c>
      <c r="D7" s="126">
        <v>0</v>
      </c>
      <c r="E7" s="383" t="s">
        <v>537</v>
      </c>
      <c r="G7"/>
      <c r="H7"/>
      <c r="I7"/>
      <c r="J7"/>
      <c r="K7"/>
    </row>
    <row r="8" spans="1:11" ht="48" customHeight="1" x14ac:dyDescent="0.3">
      <c r="A8" s="97" t="s">
        <v>118</v>
      </c>
      <c r="B8" s="125">
        <v>1.5</v>
      </c>
      <c r="C8" s="125">
        <v>17.537680000000002</v>
      </c>
      <c r="D8" s="126">
        <v>1.1200000000000001</v>
      </c>
      <c r="E8" s="383" t="s">
        <v>538</v>
      </c>
      <c r="G8"/>
      <c r="H8"/>
      <c r="I8"/>
      <c r="J8"/>
      <c r="K8"/>
    </row>
    <row r="9" spans="1:11" ht="20.399999999999999" customHeight="1" x14ac:dyDescent="0.3">
      <c r="A9" s="97" t="s">
        <v>128</v>
      </c>
      <c r="B9" s="125">
        <v>0.5</v>
      </c>
      <c r="C9" s="125">
        <v>0</v>
      </c>
      <c r="D9" s="126">
        <v>0</v>
      </c>
      <c r="E9" s="383" t="s">
        <v>539</v>
      </c>
      <c r="G9"/>
      <c r="H9"/>
      <c r="I9"/>
      <c r="J9"/>
      <c r="K9"/>
    </row>
    <row r="10" spans="1:11" ht="20.399999999999999" customHeight="1" x14ac:dyDescent="0.3">
      <c r="A10" s="97" t="s">
        <v>122</v>
      </c>
      <c r="B10" s="125">
        <v>0.7</v>
      </c>
      <c r="C10" s="125">
        <v>0</v>
      </c>
      <c r="D10" s="126">
        <v>0</v>
      </c>
      <c r="E10" s="385" t="s">
        <v>536</v>
      </c>
      <c r="G10"/>
      <c r="H10"/>
      <c r="I10"/>
      <c r="J10"/>
      <c r="K10"/>
    </row>
    <row r="11" spans="1:11" ht="48" customHeight="1" x14ac:dyDescent="0.3">
      <c r="A11" s="97" t="s">
        <v>125</v>
      </c>
      <c r="B11" s="125">
        <v>0.7</v>
      </c>
      <c r="C11" s="125">
        <v>0</v>
      </c>
      <c r="D11" s="126">
        <v>0</v>
      </c>
      <c r="E11" s="383" t="s">
        <v>540</v>
      </c>
      <c r="G11"/>
      <c r="H11"/>
      <c r="I11"/>
      <c r="J11"/>
      <c r="K11"/>
    </row>
    <row r="12" spans="1:11" ht="20.399999999999999" customHeight="1" x14ac:dyDescent="0.25">
      <c r="A12" s="97" t="s">
        <v>131</v>
      </c>
      <c r="B12" s="125">
        <v>0.2</v>
      </c>
      <c r="C12" s="125">
        <v>0</v>
      </c>
      <c r="D12" s="126">
        <v>0</v>
      </c>
      <c r="E12" s="569" t="s">
        <v>536</v>
      </c>
    </row>
    <row r="13" spans="1:11" ht="20.399999999999999" customHeight="1" x14ac:dyDescent="0.25">
      <c r="A13" s="97" t="s">
        <v>134</v>
      </c>
      <c r="B13" s="125">
        <v>0.2</v>
      </c>
      <c r="C13" s="125">
        <v>0</v>
      </c>
      <c r="D13" s="126">
        <v>10</v>
      </c>
      <c r="E13" s="569"/>
    </row>
    <row r="14" spans="1:11" ht="20.399999999999999" customHeight="1" x14ac:dyDescent="0.25">
      <c r="A14" s="97" t="s">
        <v>137</v>
      </c>
      <c r="B14" s="125">
        <v>0.5</v>
      </c>
      <c r="C14" s="125">
        <v>0</v>
      </c>
      <c r="D14" s="126">
        <v>0</v>
      </c>
      <c r="E14" s="569"/>
    </row>
    <row r="15" spans="1:11" ht="20.399999999999999" customHeight="1" x14ac:dyDescent="0.25">
      <c r="A15" s="97" t="s">
        <v>146</v>
      </c>
      <c r="B15" s="125">
        <v>1.5</v>
      </c>
      <c r="C15" s="125">
        <v>0</v>
      </c>
      <c r="D15" s="126">
        <v>0</v>
      </c>
      <c r="E15" s="569"/>
    </row>
    <row r="16" spans="1:11" ht="20.399999999999999" customHeight="1" x14ac:dyDescent="0.25">
      <c r="A16" s="97" t="s">
        <v>149</v>
      </c>
      <c r="B16" s="125">
        <v>1.5</v>
      </c>
      <c r="C16" s="125">
        <v>0</v>
      </c>
      <c r="D16" s="126">
        <v>0</v>
      </c>
      <c r="E16" s="569"/>
    </row>
    <row r="17" spans="1:11" ht="48" customHeight="1" x14ac:dyDescent="0.25">
      <c r="A17" s="97" t="s">
        <v>156</v>
      </c>
      <c r="B17" s="224">
        <v>0.8</v>
      </c>
      <c r="C17" s="125">
        <v>0</v>
      </c>
      <c r="D17" s="126">
        <v>0</v>
      </c>
      <c r="E17" s="558"/>
    </row>
    <row r="18" spans="1:11" ht="20.399999999999999" customHeight="1" x14ac:dyDescent="0.25">
      <c r="A18" s="97" t="s">
        <v>191</v>
      </c>
      <c r="B18" s="125">
        <v>1</v>
      </c>
      <c r="C18" s="125">
        <v>0</v>
      </c>
      <c r="D18" s="126">
        <v>0</v>
      </c>
      <c r="E18" s="569"/>
    </row>
    <row r="19" spans="1:11" ht="20.399999999999999" customHeight="1" x14ac:dyDescent="0.25">
      <c r="A19" s="210" t="s">
        <v>205</v>
      </c>
      <c r="B19" s="424">
        <v>0.5</v>
      </c>
      <c r="C19" s="125"/>
      <c r="D19" s="126"/>
      <c r="E19" s="569"/>
    </row>
    <row r="20" spans="1:11" ht="20.399999999999999" customHeight="1" x14ac:dyDescent="0.25">
      <c r="A20" s="97" t="s">
        <v>199</v>
      </c>
      <c r="B20" s="125">
        <v>0.5</v>
      </c>
      <c r="C20" s="125">
        <v>0</v>
      </c>
      <c r="D20" s="126">
        <v>0</v>
      </c>
      <c r="E20" s="569"/>
    </row>
    <row r="21" spans="1:11" ht="20.399999999999999" customHeight="1" x14ac:dyDescent="0.25">
      <c r="A21" s="97" t="s">
        <v>199</v>
      </c>
      <c r="B21" s="125">
        <v>0.5</v>
      </c>
      <c r="C21" s="125">
        <v>0</v>
      </c>
      <c r="D21" s="126">
        <v>0</v>
      </c>
      <c r="E21" s="570"/>
    </row>
    <row r="22" spans="1:11" ht="15" customHeight="1" x14ac:dyDescent="0.25">
      <c r="A22" s="112"/>
    </row>
    <row r="23" spans="1:11" ht="18" customHeight="1" x14ac:dyDescent="0.25">
      <c r="A23" s="59"/>
      <c r="B23" s="59"/>
      <c r="C23" s="59"/>
      <c r="D23" s="59"/>
      <c r="E23" s="6"/>
      <c r="F23" s="202"/>
    </row>
    <row r="24" spans="1:11" ht="18" customHeight="1" x14ac:dyDescent="0.3">
      <c r="A24" s="571" t="s">
        <v>541</v>
      </c>
      <c r="B24" s="572"/>
      <c r="C24" s="572"/>
      <c r="D24" s="572"/>
      <c r="E24" s="572"/>
      <c r="F24" s="572"/>
      <c r="G24" s="572"/>
      <c r="H24" s="572"/>
      <c r="I24" s="572"/>
      <c r="J24" s="572"/>
      <c r="K24" s="572"/>
    </row>
    <row r="25" spans="1:11" ht="58.5" customHeight="1" x14ac:dyDescent="0.25">
      <c r="A25" s="206" t="s">
        <v>223</v>
      </c>
      <c r="B25" s="206" t="s">
        <v>542</v>
      </c>
      <c r="C25" s="206" t="s">
        <v>543</v>
      </c>
      <c r="D25" s="206" t="s">
        <v>544</v>
      </c>
      <c r="E25" s="206" t="s">
        <v>545</v>
      </c>
      <c r="F25" s="206" t="s">
        <v>546</v>
      </c>
      <c r="G25" s="206" t="s">
        <v>547</v>
      </c>
      <c r="H25" s="206" t="s">
        <v>548</v>
      </c>
      <c r="I25" s="206" t="s">
        <v>549</v>
      </c>
      <c r="J25" s="206" t="s">
        <v>550</v>
      </c>
      <c r="K25" s="206" t="s">
        <v>284</v>
      </c>
    </row>
    <row r="26" spans="1:11" ht="69" customHeight="1" x14ac:dyDescent="0.25">
      <c r="A26" s="422" t="s">
        <v>254</v>
      </c>
      <c r="B26" s="422" t="s">
        <v>551</v>
      </c>
      <c r="C26" s="422">
        <v>2</v>
      </c>
      <c r="D26" s="421">
        <v>1.1399999999999999</v>
      </c>
      <c r="E26" s="421">
        <v>0.33</v>
      </c>
      <c r="F26" s="422" t="s">
        <v>552</v>
      </c>
      <c r="G26" s="421">
        <f>IF(INDEX($C:$C,MATCH("Equivalent full load hours",$B:$B,0))=0,0,ROUND(INDEX($C:$C,MATCH("Annual energy consumption of the elevator - Existing",$B:$B,0))/INDEX($C:$C,MATCH("Equivalent full load hours",$B:$B,0))*1000,2))</f>
        <v>6379.25</v>
      </c>
      <c r="H26" s="421">
        <f>ROUND(C26*INDEX($C:$C,MATCH("Cab fan airflow",$B:$B,0))*E26,2)</f>
        <v>165</v>
      </c>
      <c r="I26" s="421">
        <f>ROUND(C26*INDEX($C:$C,MATCH("Cab floor area",$B:$B,0))*D26,2)</f>
        <v>68.17</v>
      </c>
      <c r="J26" s="421">
        <f>ROUND(SUM(G26:I26),2)</f>
        <v>6612.42</v>
      </c>
      <c r="K26" s="422" t="s">
        <v>553</v>
      </c>
    </row>
    <row r="27" spans="1:11" ht="53.4" customHeight="1" x14ac:dyDescent="0.25">
      <c r="A27" s="422" t="s">
        <v>320</v>
      </c>
      <c r="B27" s="422" t="s">
        <v>554</v>
      </c>
      <c r="C27" s="422">
        <v>2</v>
      </c>
      <c r="D27" s="421">
        <v>0.6</v>
      </c>
      <c r="E27" s="421">
        <v>0.33</v>
      </c>
      <c r="F27" s="422" t="s">
        <v>555</v>
      </c>
      <c r="G27" s="421">
        <f>IF(INDEX($C:$C,MATCH("Equivalent full load hours",$B:$B,0))=0,0,ROUND(INDEX($C:$C,MATCH("Annual energy consumption of the elevator - New Construction",$B:$B,0))/INDEX($C:$C,MATCH("Equivalent full load hours",$B:$B,0))*1000,2))</f>
        <v>3329.02</v>
      </c>
      <c r="H27" s="421">
        <f>ROUND(C27*INDEX($C:$C,MATCH("Cab fan airflow",$B:$B,0))*E27,2)</f>
        <v>165</v>
      </c>
      <c r="I27" s="421">
        <f>ROUND(C27*INDEX($C:$C,MATCH("Cab floor area",$B:$B,0))*D27,2)</f>
        <v>35.880000000000003</v>
      </c>
      <c r="J27" s="421">
        <f>ROUND(SUM(G27:I27),2)</f>
        <v>3529.9</v>
      </c>
      <c r="K27" s="422" t="s">
        <v>556</v>
      </c>
    </row>
    <row r="28" spans="1:11" ht="42" customHeight="1" x14ac:dyDescent="0.3">
      <c r="A28" s="575" t="s">
        <v>557</v>
      </c>
      <c r="B28" s="575"/>
      <c r="C28" s="575"/>
      <c r="D28" s="575"/>
      <c r="E28" s="575"/>
      <c r="F28" s="575"/>
      <c r="G28" s="575"/>
      <c r="H28" s="575"/>
      <c r="I28" s="575"/>
      <c r="J28" s="575"/>
      <c r="K28" s="575"/>
    </row>
    <row r="29" spans="1:11" ht="14.4" x14ac:dyDescent="0.3">
      <c r="A29"/>
      <c r="B29"/>
      <c r="C29"/>
      <c r="D29"/>
      <c r="E29"/>
      <c r="F29"/>
      <c r="G29"/>
      <c r="H29"/>
      <c r="I29"/>
      <c r="J29"/>
      <c r="K29"/>
    </row>
    <row r="30" spans="1:11" ht="14.4" x14ac:dyDescent="0.3">
      <c r="A30" s="573" t="s">
        <v>558</v>
      </c>
      <c r="B30" s="574"/>
      <c r="C30" s="574"/>
      <c r="D30" s="574"/>
      <c r="E30" s="574"/>
      <c r="F30"/>
      <c r="G30"/>
      <c r="H30"/>
      <c r="I30"/>
      <c r="J30"/>
      <c r="K30"/>
    </row>
    <row r="31" spans="1:11" ht="14.4" x14ac:dyDescent="0.3">
      <c r="A31" s="206" t="s">
        <v>559</v>
      </c>
      <c r="B31" s="206" t="s">
        <v>560</v>
      </c>
      <c r="C31" s="206" t="s">
        <v>53</v>
      </c>
      <c r="D31" s="206" t="s">
        <v>561</v>
      </c>
      <c r="E31" s="206" t="s">
        <v>300</v>
      </c>
      <c r="F31"/>
      <c r="G31"/>
      <c r="H31"/>
      <c r="I31"/>
      <c r="J31"/>
      <c r="K31"/>
    </row>
    <row r="32" spans="1:11" ht="28.8" x14ac:dyDescent="0.3">
      <c r="A32" s="565" t="s">
        <v>554</v>
      </c>
      <c r="B32" s="422" t="s">
        <v>562</v>
      </c>
      <c r="C32" s="422">
        <v>31634.71</v>
      </c>
      <c r="D32" s="422" t="s">
        <v>563</v>
      </c>
      <c r="E32" s="422" t="s">
        <v>564</v>
      </c>
      <c r="F32"/>
      <c r="G32"/>
      <c r="H32"/>
      <c r="I32"/>
      <c r="J32"/>
      <c r="K32"/>
    </row>
    <row r="33" spans="1:11" ht="28.8" x14ac:dyDescent="0.3">
      <c r="A33" s="565"/>
      <c r="B33" s="422" t="s">
        <v>565</v>
      </c>
      <c r="C33" s="422">
        <v>16508.63</v>
      </c>
      <c r="D33" s="422" t="s">
        <v>563</v>
      </c>
      <c r="E33" s="422" t="s">
        <v>564</v>
      </c>
      <c r="F33"/>
      <c r="G33"/>
      <c r="H33"/>
      <c r="I33"/>
      <c r="J33"/>
      <c r="K33"/>
    </row>
    <row r="34" spans="1:11" ht="28.8" x14ac:dyDescent="0.3">
      <c r="A34" s="422" t="s">
        <v>566</v>
      </c>
      <c r="B34" s="422" t="s">
        <v>567</v>
      </c>
      <c r="C34" s="422" t="s">
        <v>568</v>
      </c>
      <c r="D34" s="422" t="s">
        <v>569</v>
      </c>
      <c r="E34" s="422" t="s">
        <v>570</v>
      </c>
      <c r="F34"/>
      <c r="G34"/>
      <c r="H34"/>
      <c r="I34"/>
      <c r="J34"/>
      <c r="K34"/>
    </row>
    <row r="35" spans="1:11" ht="28.8" x14ac:dyDescent="0.3">
      <c r="A35" s="422" t="s">
        <v>571</v>
      </c>
      <c r="B35" s="422" t="s">
        <v>572</v>
      </c>
      <c r="C35" s="422" t="s">
        <v>573</v>
      </c>
      <c r="D35" s="422" t="s">
        <v>569</v>
      </c>
      <c r="E35" s="422" t="s">
        <v>570</v>
      </c>
      <c r="F35"/>
      <c r="G35"/>
      <c r="H35"/>
      <c r="I35"/>
      <c r="J35"/>
      <c r="K35"/>
    </row>
    <row r="36" spans="1:11" ht="14.4" x14ac:dyDescent="0.3">
      <c r="A36" s="422" t="s">
        <v>574</v>
      </c>
      <c r="B36" s="422" t="s">
        <v>575</v>
      </c>
      <c r="C36" s="422">
        <v>1361</v>
      </c>
      <c r="D36" s="422" t="s">
        <v>576</v>
      </c>
      <c r="E36" s="422" t="s">
        <v>577</v>
      </c>
      <c r="F36"/>
      <c r="G36"/>
      <c r="H36"/>
      <c r="I36"/>
      <c r="J36"/>
      <c r="K36"/>
    </row>
    <row r="37" spans="1:11" customFormat="1" ht="14.4" x14ac:dyDescent="0.3">
      <c r="A37" s="422" t="s">
        <v>578</v>
      </c>
      <c r="B37" s="422" t="s">
        <v>579</v>
      </c>
      <c r="C37" s="422">
        <v>29.9</v>
      </c>
      <c r="D37" s="422" t="s">
        <v>580</v>
      </c>
      <c r="E37" s="422" t="s">
        <v>581</v>
      </c>
    </row>
    <row r="38" spans="1:11" customFormat="1" ht="14.4" x14ac:dyDescent="0.3">
      <c r="A38" s="422" t="s">
        <v>582</v>
      </c>
      <c r="B38" s="422" t="s">
        <v>583</v>
      </c>
      <c r="C38" s="422">
        <v>250</v>
      </c>
      <c r="D38" s="422" t="s">
        <v>584</v>
      </c>
      <c r="E38" s="422" t="s">
        <v>585</v>
      </c>
    </row>
    <row r="39" spans="1:11" customFormat="1" ht="14.4" x14ac:dyDescent="0.3">
      <c r="A39" s="422" t="s">
        <v>586</v>
      </c>
      <c r="B39" s="422" t="s">
        <v>587</v>
      </c>
      <c r="C39" s="422">
        <v>2</v>
      </c>
      <c r="D39" s="422" t="s">
        <v>588</v>
      </c>
      <c r="E39" s="422" t="s">
        <v>589</v>
      </c>
    </row>
    <row r="40" spans="1:11" customFormat="1" ht="14.4" x14ac:dyDescent="0.3">
      <c r="A40" s="422" t="s">
        <v>590</v>
      </c>
      <c r="B40" s="422" t="s">
        <v>591</v>
      </c>
      <c r="C40" s="422">
        <v>260</v>
      </c>
      <c r="D40" s="422" t="s">
        <v>592</v>
      </c>
      <c r="E40" s="422" t="s">
        <v>589</v>
      </c>
    </row>
    <row r="41" spans="1:11" customFormat="1" ht="14.4" x14ac:dyDescent="0.3">
      <c r="A41" s="422" t="s">
        <v>593</v>
      </c>
      <c r="B41" s="422" t="s">
        <v>594</v>
      </c>
      <c r="C41" s="422">
        <v>2</v>
      </c>
      <c r="D41" s="422" t="s">
        <v>595</v>
      </c>
      <c r="E41" s="422" t="s">
        <v>596</v>
      </c>
    </row>
    <row r="42" spans="1:11" customFormat="1" ht="14.4" x14ac:dyDescent="0.3">
      <c r="A42" s="422" t="s">
        <v>597</v>
      </c>
      <c r="B42" s="422" t="s">
        <v>598</v>
      </c>
      <c r="C42" s="422">
        <v>4.2699999999999996</v>
      </c>
      <c r="D42" s="422" t="s">
        <v>599</v>
      </c>
      <c r="E42" s="422" t="s">
        <v>596</v>
      </c>
    </row>
    <row r="43" spans="1:11" customFormat="1" ht="14.4" x14ac:dyDescent="0.3">
      <c r="A43" s="422" t="s">
        <v>600</v>
      </c>
      <c r="B43" s="422" t="s">
        <v>601</v>
      </c>
      <c r="C43" s="422">
        <v>1</v>
      </c>
      <c r="D43" s="422" t="s">
        <v>602</v>
      </c>
      <c r="E43" s="422" t="s">
        <v>589</v>
      </c>
    </row>
    <row r="44" spans="1:11" customFormat="1" ht="14.4" x14ac:dyDescent="0.3">
      <c r="A44" s="422" t="s">
        <v>603</v>
      </c>
      <c r="B44" s="422" t="s">
        <v>604</v>
      </c>
      <c r="C44" s="422">
        <v>125</v>
      </c>
      <c r="D44" s="422" t="s">
        <v>605</v>
      </c>
      <c r="E44" s="422" t="s">
        <v>589</v>
      </c>
    </row>
    <row r="45" spans="1:11" customFormat="1" ht="14.4" x14ac:dyDescent="0.3">
      <c r="A45" s="422" t="s">
        <v>606</v>
      </c>
      <c r="B45" s="422" t="s">
        <v>607</v>
      </c>
      <c r="C45" s="422">
        <v>1</v>
      </c>
      <c r="D45" s="422" t="s">
        <v>608</v>
      </c>
      <c r="E45" s="422" t="s">
        <v>609</v>
      </c>
    </row>
    <row r="46" spans="1:11" customFormat="1" ht="14.4" x14ac:dyDescent="0.3">
      <c r="A46" s="422" t="s">
        <v>610</v>
      </c>
      <c r="B46" s="422" t="s">
        <v>611</v>
      </c>
      <c r="C46" s="422">
        <v>1</v>
      </c>
      <c r="D46" s="422" t="s">
        <v>612</v>
      </c>
      <c r="E46" s="422" t="s">
        <v>613</v>
      </c>
    </row>
    <row r="47" spans="1:11" customFormat="1" ht="14.4" x14ac:dyDescent="0.3">
      <c r="A47" s="422" t="s">
        <v>614</v>
      </c>
      <c r="B47" s="422" t="s">
        <v>615</v>
      </c>
      <c r="C47" s="422">
        <v>1.25</v>
      </c>
      <c r="D47" s="422" t="s">
        <v>616</v>
      </c>
      <c r="E47" s="422" t="s">
        <v>613</v>
      </c>
    </row>
    <row r="48" spans="1:11" customFormat="1" ht="14.4" x14ac:dyDescent="0.3">
      <c r="A48" s="422" t="s">
        <v>617</v>
      </c>
      <c r="B48" s="422" t="s">
        <v>618</v>
      </c>
      <c r="C48" s="422">
        <v>8</v>
      </c>
      <c r="D48" s="422" t="s">
        <v>619</v>
      </c>
      <c r="E48" s="422" t="s">
        <v>613</v>
      </c>
    </row>
    <row r="49" spans="1:5" customFormat="1" ht="14.4" x14ac:dyDescent="0.3">
      <c r="A49" s="422" t="s">
        <v>620</v>
      </c>
      <c r="B49" s="422" t="s">
        <v>621</v>
      </c>
      <c r="C49" s="422">
        <v>8.5399999999999991</v>
      </c>
      <c r="D49" s="422" t="s">
        <v>622</v>
      </c>
      <c r="E49" s="422" t="s">
        <v>623</v>
      </c>
    </row>
    <row r="50" spans="1:5" customFormat="1" ht="14.4" x14ac:dyDescent="0.3">
      <c r="A50" s="422" t="s">
        <v>624</v>
      </c>
      <c r="B50" s="422" t="s">
        <v>625</v>
      </c>
      <c r="C50" s="422">
        <v>18.34</v>
      </c>
      <c r="D50" s="422" t="s">
        <v>626</v>
      </c>
      <c r="E50" s="422" t="s">
        <v>627</v>
      </c>
    </row>
    <row r="51" spans="1:5" customFormat="1" ht="14.4" x14ac:dyDescent="0.3">
      <c r="A51" s="422" t="s">
        <v>628</v>
      </c>
      <c r="B51" s="422" t="s">
        <v>629</v>
      </c>
      <c r="C51" s="422">
        <v>23.36</v>
      </c>
      <c r="D51" s="422" t="s">
        <v>630</v>
      </c>
      <c r="E51" s="422" t="s">
        <v>631</v>
      </c>
    </row>
    <row r="52" spans="1:5" customFormat="1" ht="14.4" x14ac:dyDescent="0.3">
      <c r="A52" s="422" t="s">
        <v>632</v>
      </c>
      <c r="B52" s="422" t="s">
        <v>633</v>
      </c>
      <c r="C52" s="422">
        <v>8594.43</v>
      </c>
      <c r="D52" s="422" t="s">
        <v>634</v>
      </c>
      <c r="E52" s="422" t="s">
        <v>635</v>
      </c>
    </row>
    <row r="53" spans="1:5" customFormat="1" ht="14.4" x14ac:dyDescent="0.3">
      <c r="A53" s="422" t="s">
        <v>636</v>
      </c>
      <c r="B53" s="422" t="s">
        <v>636</v>
      </c>
      <c r="C53" s="422">
        <v>40</v>
      </c>
      <c r="D53" s="422" t="s">
        <v>637</v>
      </c>
      <c r="E53" s="422" t="s">
        <v>638</v>
      </c>
    </row>
    <row r="54" spans="1:5" customFormat="1" ht="14.4" x14ac:dyDescent="0.3">
      <c r="A54" s="422" t="s">
        <v>639</v>
      </c>
      <c r="B54" s="422" t="s">
        <v>640</v>
      </c>
      <c r="C54" s="423">
        <f>Schedules!AD151</f>
        <v>4959</v>
      </c>
      <c r="D54" s="422" t="s">
        <v>641</v>
      </c>
      <c r="E54" s="422" t="s">
        <v>642</v>
      </c>
    </row>
    <row r="55" spans="1:5" customFormat="1" ht="14.4" x14ac:dyDescent="0.3"/>
    <row r="56" spans="1:5" ht="13.2" x14ac:dyDescent="0.25"/>
    <row r="57" spans="1:5" ht="13.2" x14ac:dyDescent="0.25"/>
    <row r="58" spans="1:5" ht="60" customHeight="1" x14ac:dyDescent="0.25"/>
    <row r="59" spans="1:5" ht="13.2" x14ac:dyDescent="0.25"/>
    <row r="60" spans="1:5" ht="13.2" x14ac:dyDescent="0.25"/>
    <row r="61" spans="1:5" ht="13.2" x14ac:dyDescent="0.25"/>
    <row r="62" spans="1:5" ht="13.2" x14ac:dyDescent="0.25"/>
    <row r="63" spans="1:5" ht="13.2" x14ac:dyDescent="0.25"/>
  </sheetData>
  <autoFilter ref="A2:E21" xr:uid="{84519C81-B0B9-4AE9-9154-3628732CA590}"/>
  <mergeCells count="7">
    <mergeCell ref="A32:A33"/>
    <mergeCell ref="A1:E1"/>
    <mergeCell ref="E3:E6"/>
    <mergeCell ref="E12:E21"/>
    <mergeCell ref="A24:K24"/>
    <mergeCell ref="A30:E30"/>
    <mergeCell ref="A28:K28"/>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2B4C-25C9-41C7-A8AC-09AC0F00160D}">
  <sheetPr codeName="Sheet3"/>
  <dimension ref="A1:AP206"/>
  <sheetViews>
    <sheetView zoomScale="90" zoomScaleNormal="90" workbookViewId="0">
      <selection sqref="A1:AC1"/>
    </sheetView>
  </sheetViews>
  <sheetFormatPr defaultColWidth="9.33203125" defaultRowHeight="11.4" x14ac:dyDescent="0.3"/>
  <cols>
    <col min="1" max="1" width="14.33203125" style="34" customWidth="1"/>
    <col min="2" max="2" width="25.5546875" style="34" bestFit="1" customWidth="1"/>
    <col min="3" max="3" width="33.109375" style="34" customWidth="1"/>
    <col min="4" max="4" width="20.88671875" style="34" customWidth="1"/>
    <col min="5" max="5" width="24.33203125" style="34" bestFit="1" customWidth="1"/>
    <col min="6" max="6" width="9.33203125" style="34"/>
    <col min="7" max="30" width="5.6640625" style="34" customWidth="1"/>
    <col min="31" max="16384" width="9.33203125" style="34"/>
  </cols>
  <sheetData>
    <row r="1" spans="1:39" ht="24" customHeight="1" x14ac:dyDescent="0.3">
      <c r="A1" s="636" t="s">
        <v>643</v>
      </c>
      <c r="B1" s="637"/>
      <c r="C1" s="637"/>
      <c r="D1" s="637"/>
      <c r="E1" s="637"/>
      <c r="F1" s="637"/>
      <c r="G1" s="637"/>
      <c r="H1" s="637"/>
      <c r="I1" s="637"/>
      <c r="J1" s="637"/>
      <c r="K1" s="637"/>
      <c r="L1" s="637"/>
      <c r="M1" s="637"/>
      <c r="N1" s="637"/>
      <c r="O1" s="637"/>
      <c r="P1" s="637"/>
      <c r="Q1" s="637"/>
      <c r="R1" s="637"/>
      <c r="S1" s="637"/>
      <c r="T1" s="637"/>
      <c r="U1" s="637"/>
      <c r="V1" s="637"/>
      <c r="W1" s="637"/>
      <c r="X1" s="637"/>
      <c r="Y1" s="637"/>
      <c r="Z1" s="637"/>
      <c r="AA1" s="637"/>
      <c r="AB1" s="637"/>
      <c r="AC1" s="638"/>
      <c r="AD1" s="35"/>
      <c r="AE1" s="35"/>
      <c r="AF1" s="35"/>
      <c r="AG1" s="35"/>
      <c r="AH1" s="35"/>
      <c r="AI1" s="36"/>
      <c r="AJ1" s="36"/>
      <c r="AK1" s="36"/>
    </row>
    <row r="2" spans="1:39" ht="24" customHeight="1" x14ac:dyDescent="0.3">
      <c r="A2" s="560" t="s">
        <v>644</v>
      </c>
      <c r="B2" s="634" t="s">
        <v>88</v>
      </c>
      <c r="C2" s="560" t="s">
        <v>645</v>
      </c>
      <c r="D2" s="560" t="s">
        <v>300</v>
      </c>
      <c r="E2" s="560" t="s">
        <v>646</v>
      </c>
      <c r="F2" s="642" t="s">
        <v>647</v>
      </c>
      <c r="G2" s="642"/>
      <c r="H2" s="642"/>
      <c r="I2" s="642"/>
      <c r="J2" s="642"/>
      <c r="K2" s="642"/>
      <c r="L2" s="642"/>
      <c r="M2" s="642"/>
      <c r="N2" s="642"/>
      <c r="O2" s="642"/>
      <c r="P2" s="642"/>
      <c r="Q2" s="642"/>
      <c r="R2" s="642"/>
      <c r="S2" s="642"/>
      <c r="T2" s="642"/>
      <c r="U2" s="642"/>
      <c r="V2" s="642"/>
      <c r="W2" s="642"/>
      <c r="X2" s="642"/>
      <c r="Y2" s="642"/>
      <c r="Z2" s="642"/>
      <c r="AA2" s="642"/>
      <c r="AB2" s="642"/>
      <c r="AC2" s="642"/>
      <c r="AD2" s="35"/>
      <c r="AE2" s="35"/>
      <c r="AF2" s="35"/>
      <c r="AG2" s="35"/>
      <c r="AH2" s="35"/>
      <c r="AI2" s="36"/>
      <c r="AJ2" s="36"/>
      <c r="AK2" s="36"/>
    </row>
    <row r="3" spans="1:39" ht="25.2" customHeight="1" thickBot="1" x14ac:dyDescent="0.35">
      <c r="A3" s="634"/>
      <c r="B3" s="635"/>
      <c r="C3" s="634"/>
      <c r="D3" s="634"/>
      <c r="E3" s="634"/>
      <c r="F3" s="386">
        <v>1</v>
      </c>
      <c r="G3" s="386">
        <v>2</v>
      </c>
      <c r="H3" s="386">
        <v>3</v>
      </c>
      <c r="I3" s="386">
        <v>4</v>
      </c>
      <c r="J3" s="386">
        <v>5</v>
      </c>
      <c r="K3" s="386">
        <v>6</v>
      </c>
      <c r="L3" s="386">
        <v>7</v>
      </c>
      <c r="M3" s="386">
        <v>8</v>
      </c>
      <c r="N3" s="386">
        <v>9</v>
      </c>
      <c r="O3" s="386">
        <v>10</v>
      </c>
      <c r="P3" s="386">
        <v>11</v>
      </c>
      <c r="Q3" s="386">
        <v>12</v>
      </c>
      <c r="R3" s="386">
        <v>13</v>
      </c>
      <c r="S3" s="386">
        <v>14</v>
      </c>
      <c r="T3" s="386">
        <v>15</v>
      </c>
      <c r="U3" s="386">
        <v>16</v>
      </c>
      <c r="V3" s="386">
        <v>17</v>
      </c>
      <c r="W3" s="386">
        <v>18</v>
      </c>
      <c r="X3" s="386">
        <v>19</v>
      </c>
      <c r="Y3" s="386">
        <v>20</v>
      </c>
      <c r="Z3" s="386">
        <v>21</v>
      </c>
      <c r="AA3" s="386">
        <v>22</v>
      </c>
      <c r="AB3" s="386">
        <v>23</v>
      </c>
      <c r="AC3" s="386">
        <v>24</v>
      </c>
      <c r="AD3" s="36"/>
      <c r="AE3" s="36"/>
      <c r="AF3" s="36"/>
      <c r="AG3" s="36"/>
      <c r="AH3" s="36"/>
      <c r="AI3" s="36"/>
      <c r="AJ3" s="36"/>
      <c r="AK3" s="36"/>
    </row>
    <row r="4" spans="1:39" ht="25.2" customHeight="1" x14ac:dyDescent="0.3">
      <c r="A4" s="576" t="s">
        <v>648</v>
      </c>
      <c r="B4" s="579" t="s">
        <v>649</v>
      </c>
      <c r="C4" s="639" t="s">
        <v>650</v>
      </c>
      <c r="D4" s="585" t="s">
        <v>651</v>
      </c>
      <c r="E4" s="149" t="s">
        <v>652</v>
      </c>
      <c r="F4" s="144">
        <v>0</v>
      </c>
      <c r="G4" s="144">
        <v>0</v>
      </c>
      <c r="H4" s="144">
        <v>0</v>
      </c>
      <c r="I4" s="144">
        <v>0</v>
      </c>
      <c r="J4" s="144">
        <v>0</v>
      </c>
      <c r="K4" s="144">
        <v>0</v>
      </c>
      <c r="L4" s="144">
        <v>0</v>
      </c>
      <c r="M4" s="144">
        <v>0.05</v>
      </c>
      <c r="N4" s="144">
        <v>0.75</v>
      </c>
      <c r="O4" s="144">
        <v>0.9</v>
      </c>
      <c r="P4" s="144">
        <v>0.9</v>
      </c>
      <c r="Q4" s="144">
        <v>0.8</v>
      </c>
      <c r="R4" s="144">
        <v>0.8</v>
      </c>
      <c r="S4" s="144">
        <v>0.8</v>
      </c>
      <c r="T4" s="144">
        <v>0.8</v>
      </c>
      <c r="U4" s="144">
        <v>0.45</v>
      </c>
      <c r="V4" s="144">
        <v>0.15</v>
      </c>
      <c r="W4" s="144">
        <v>0.05</v>
      </c>
      <c r="X4" s="144">
        <v>0.15</v>
      </c>
      <c r="Y4" s="144">
        <v>0.2</v>
      </c>
      <c r="Z4" s="144">
        <v>0.2</v>
      </c>
      <c r="AA4" s="144">
        <v>0.1</v>
      </c>
      <c r="AB4" s="144">
        <v>0</v>
      </c>
      <c r="AC4" s="145">
        <v>0</v>
      </c>
      <c r="AD4" s="36"/>
      <c r="AE4" s="36"/>
      <c r="AF4" s="36"/>
      <c r="AG4" s="36"/>
      <c r="AH4" s="36"/>
      <c r="AI4" s="36"/>
      <c r="AJ4" s="36"/>
      <c r="AK4" s="36"/>
    </row>
    <row r="5" spans="1:39" ht="33" customHeight="1" x14ac:dyDescent="0.3">
      <c r="A5" s="577"/>
      <c r="B5" s="580"/>
      <c r="C5" s="640"/>
      <c r="D5" s="586"/>
      <c r="E5" s="150" t="s">
        <v>653</v>
      </c>
      <c r="F5" s="157">
        <v>0</v>
      </c>
      <c r="G5" s="157">
        <v>0</v>
      </c>
      <c r="H5" s="157">
        <v>0</v>
      </c>
      <c r="I5" s="157">
        <v>0</v>
      </c>
      <c r="J5" s="157">
        <v>0</v>
      </c>
      <c r="K5" s="157">
        <v>0</v>
      </c>
      <c r="L5" s="157">
        <v>0</v>
      </c>
      <c r="M5" s="157">
        <v>0</v>
      </c>
      <c r="N5" s="157">
        <v>0.1</v>
      </c>
      <c r="O5" s="157">
        <v>0.1</v>
      </c>
      <c r="P5" s="157">
        <v>0.1</v>
      </c>
      <c r="Q5" s="157">
        <v>0.1</v>
      </c>
      <c r="R5" s="157">
        <v>0.1</v>
      </c>
      <c r="S5" s="157">
        <v>0</v>
      </c>
      <c r="T5" s="157">
        <v>0</v>
      </c>
      <c r="U5" s="157">
        <v>0</v>
      </c>
      <c r="V5" s="157">
        <v>0</v>
      </c>
      <c r="W5" s="157">
        <v>0</v>
      </c>
      <c r="X5" s="157">
        <v>0</v>
      </c>
      <c r="Y5" s="157">
        <v>0</v>
      </c>
      <c r="Z5" s="157">
        <v>0</v>
      </c>
      <c r="AA5" s="157">
        <v>0</v>
      </c>
      <c r="AB5" s="157">
        <v>0</v>
      </c>
      <c r="AC5" s="158">
        <v>0</v>
      </c>
      <c r="AD5" s="36"/>
      <c r="AE5" s="36"/>
      <c r="AF5" s="36"/>
      <c r="AG5" s="36"/>
      <c r="AH5" s="36"/>
      <c r="AI5" s="36"/>
      <c r="AJ5" s="36"/>
      <c r="AK5" s="36"/>
    </row>
    <row r="6" spans="1:39" ht="33" customHeight="1" thickBot="1" x14ac:dyDescent="0.35">
      <c r="A6" s="578"/>
      <c r="B6" s="581"/>
      <c r="C6" s="641"/>
      <c r="D6" s="587"/>
      <c r="E6" s="151" t="s">
        <v>654</v>
      </c>
      <c r="F6" s="159">
        <v>0</v>
      </c>
      <c r="G6" s="159">
        <v>0</v>
      </c>
      <c r="H6" s="159">
        <v>0</v>
      </c>
      <c r="I6" s="159">
        <v>0</v>
      </c>
      <c r="J6" s="159">
        <v>0</v>
      </c>
      <c r="K6" s="159">
        <v>0</v>
      </c>
      <c r="L6" s="159">
        <v>0</v>
      </c>
      <c r="M6" s="159">
        <v>0</v>
      </c>
      <c r="N6" s="159">
        <v>0</v>
      </c>
      <c r="O6" s="159">
        <v>0</v>
      </c>
      <c r="P6" s="159">
        <v>0</v>
      </c>
      <c r="Q6" s="159">
        <v>0</v>
      </c>
      <c r="R6" s="159">
        <v>0</v>
      </c>
      <c r="S6" s="159">
        <v>0</v>
      </c>
      <c r="T6" s="159">
        <v>0</v>
      </c>
      <c r="U6" s="159">
        <v>0</v>
      </c>
      <c r="V6" s="159">
        <v>0</v>
      </c>
      <c r="W6" s="159">
        <v>0</v>
      </c>
      <c r="X6" s="159">
        <v>0</v>
      </c>
      <c r="Y6" s="159">
        <v>0</v>
      </c>
      <c r="Z6" s="159">
        <v>0</v>
      </c>
      <c r="AA6" s="159">
        <v>0</v>
      </c>
      <c r="AB6" s="159">
        <v>0</v>
      </c>
      <c r="AC6" s="160">
        <v>0</v>
      </c>
      <c r="AD6" s="36"/>
      <c r="AE6" s="36"/>
      <c r="AF6" s="36"/>
      <c r="AG6" s="36"/>
      <c r="AH6" s="36"/>
      <c r="AI6" s="36"/>
      <c r="AJ6" s="36"/>
      <c r="AK6" s="36"/>
    </row>
    <row r="7" spans="1:39" ht="38.700000000000003" customHeight="1" x14ac:dyDescent="0.3">
      <c r="A7" s="576" t="s">
        <v>648</v>
      </c>
      <c r="B7" s="579" t="s">
        <v>649</v>
      </c>
      <c r="C7" s="639" t="s">
        <v>655</v>
      </c>
      <c r="D7" s="585" t="s">
        <v>651</v>
      </c>
      <c r="E7" s="161" t="s">
        <v>652</v>
      </c>
      <c r="F7" s="162">
        <v>0.05</v>
      </c>
      <c r="G7" s="162">
        <v>0.05</v>
      </c>
      <c r="H7" s="162">
        <v>0.05</v>
      </c>
      <c r="I7" s="162">
        <v>0.05</v>
      </c>
      <c r="J7" s="162">
        <v>0.05</v>
      </c>
      <c r="K7" s="162">
        <v>0.05</v>
      </c>
      <c r="L7" s="162">
        <v>0.05</v>
      </c>
      <c r="M7" s="162">
        <v>0.3</v>
      </c>
      <c r="N7" s="162">
        <v>0.6</v>
      </c>
      <c r="O7" s="162">
        <v>0.65</v>
      </c>
      <c r="P7" s="162">
        <v>0.65</v>
      </c>
      <c r="Q7" s="162">
        <v>0.65</v>
      </c>
      <c r="R7" s="162">
        <v>0.55000000000000004</v>
      </c>
      <c r="S7" s="162">
        <v>0.55000000000000004</v>
      </c>
      <c r="T7" s="162">
        <v>0.55000000000000004</v>
      </c>
      <c r="U7" s="162">
        <v>0.5</v>
      </c>
      <c r="V7" s="162">
        <v>0.35</v>
      </c>
      <c r="W7" s="162">
        <v>0.35</v>
      </c>
      <c r="X7" s="162">
        <v>0.35</v>
      </c>
      <c r="Y7" s="162">
        <v>0.35</v>
      </c>
      <c r="Z7" s="162">
        <v>0.35</v>
      </c>
      <c r="AA7" s="162">
        <v>0.3</v>
      </c>
      <c r="AB7" s="162">
        <v>0.05</v>
      </c>
      <c r="AC7" s="163">
        <v>0.05</v>
      </c>
      <c r="AD7" s="36"/>
      <c r="AE7" s="36"/>
      <c r="AF7" s="36"/>
      <c r="AG7" s="36"/>
      <c r="AH7" s="36"/>
      <c r="AI7" s="36"/>
      <c r="AJ7" s="36"/>
      <c r="AK7" s="36"/>
      <c r="AM7" s="47"/>
    </row>
    <row r="8" spans="1:39" ht="38.700000000000003" customHeight="1" x14ac:dyDescent="0.3">
      <c r="A8" s="577"/>
      <c r="B8" s="580"/>
      <c r="C8" s="640"/>
      <c r="D8" s="586"/>
      <c r="E8" s="164" t="s">
        <v>653</v>
      </c>
      <c r="F8" s="165">
        <v>0.05</v>
      </c>
      <c r="G8" s="165">
        <v>0.05</v>
      </c>
      <c r="H8" s="165">
        <v>0.05</v>
      </c>
      <c r="I8" s="165">
        <v>0.05</v>
      </c>
      <c r="J8" s="165">
        <v>0.05</v>
      </c>
      <c r="K8" s="165">
        <v>0.05</v>
      </c>
      <c r="L8" s="165">
        <v>0.05</v>
      </c>
      <c r="M8" s="165">
        <v>0.05</v>
      </c>
      <c r="N8" s="165">
        <v>0.15</v>
      </c>
      <c r="O8" s="165">
        <v>0.15</v>
      </c>
      <c r="P8" s="165">
        <v>0.15</v>
      </c>
      <c r="Q8" s="165">
        <v>0.15</v>
      </c>
      <c r="R8" s="165">
        <v>0.15</v>
      </c>
      <c r="S8" s="165">
        <v>0.05</v>
      </c>
      <c r="T8" s="165">
        <v>0.05</v>
      </c>
      <c r="U8" s="165">
        <v>0.05</v>
      </c>
      <c r="V8" s="165">
        <v>0.05</v>
      </c>
      <c r="W8" s="165">
        <v>0.05</v>
      </c>
      <c r="X8" s="165">
        <v>0.05</v>
      </c>
      <c r="Y8" s="165">
        <v>0.05</v>
      </c>
      <c r="Z8" s="165">
        <v>0.05</v>
      </c>
      <c r="AA8" s="165">
        <v>0.05</v>
      </c>
      <c r="AB8" s="165">
        <v>0.05</v>
      </c>
      <c r="AC8" s="166">
        <v>0.05</v>
      </c>
      <c r="AD8" s="36"/>
      <c r="AE8" s="36"/>
      <c r="AF8" s="36"/>
      <c r="AG8" s="36"/>
      <c r="AH8" s="36"/>
      <c r="AI8" s="36"/>
      <c r="AJ8" s="36"/>
      <c r="AK8" s="36"/>
      <c r="AM8" s="47"/>
    </row>
    <row r="9" spans="1:39" ht="38.700000000000003" customHeight="1" thickBot="1" x14ac:dyDescent="0.35">
      <c r="A9" s="578"/>
      <c r="B9" s="581"/>
      <c r="C9" s="641"/>
      <c r="D9" s="587"/>
      <c r="E9" s="167" t="s">
        <v>654</v>
      </c>
      <c r="F9" s="168">
        <v>0.05</v>
      </c>
      <c r="G9" s="168">
        <v>0.05</v>
      </c>
      <c r="H9" s="168">
        <v>0.05</v>
      </c>
      <c r="I9" s="168">
        <v>0.05</v>
      </c>
      <c r="J9" s="168">
        <v>0.05</v>
      </c>
      <c r="K9" s="168">
        <v>0.05</v>
      </c>
      <c r="L9" s="168">
        <v>0.05</v>
      </c>
      <c r="M9" s="168">
        <v>0.05</v>
      </c>
      <c r="N9" s="168">
        <v>0.05</v>
      </c>
      <c r="O9" s="168">
        <v>0.05</v>
      </c>
      <c r="P9" s="168">
        <v>0.05</v>
      </c>
      <c r="Q9" s="168">
        <v>0.05</v>
      </c>
      <c r="R9" s="168">
        <v>0.05</v>
      </c>
      <c r="S9" s="168">
        <v>0.05</v>
      </c>
      <c r="T9" s="168">
        <v>0.05</v>
      </c>
      <c r="U9" s="168">
        <v>0.05</v>
      </c>
      <c r="V9" s="168">
        <v>0.05</v>
      </c>
      <c r="W9" s="168">
        <v>0.05</v>
      </c>
      <c r="X9" s="168">
        <v>0.05</v>
      </c>
      <c r="Y9" s="168">
        <v>0.05</v>
      </c>
      <c r="Z9" s="168">
        <v>0.05</v>
      </c>
      <c r="AA9" s="168">
        <v>0.05</v>
      </c>
      <c r="AB9" s="168">
        <v>0.05</v>
      </c>
      <c r="AC9" s="169">
        <v>0.05</v>
      </c>
      <c r="AD9" s="36"/>
      <c r="AE9" s="36"/>
      <c r="AF9" s="36"/>
      <c r="AG9" s="36"/>
      <c r="AH9" s="36"/>
      <c r="AI9" s="36"/>
      <c r="AJ9" s="36"/>
      <c r="AK9" s="36"/>
      <c r="AM9" s="47"/>
    </row>
    <row r="10" spans="1:39" ht="36" customHeight="1" x14ac:dyDescent="0.3">
      <c r="A10" s="576" t="s">
        <v>648</v>
      </c>
      <c r="B10" s="579" t="s">
        <v>649</v>
      </c>
      <c r="C10" s="582" t="s">
        <v>656</v>
      </c>
      <c r="D10" s="585" t="s">
        <v>651</v>
      </c>
      <c r="E10" s="170" t="s">
        <v>652</v>
      </c>
      <c r="F10" s="144">
        <v>0.05</v>
      </c>
      <c r="G10" s="144">
        <v>0.05</v>
      </c>
      <c r="H10" s="144">
        <v>0.05</v>
      </c>
      <c r="I10" s="144">
        <v>0.05</v>
      </c>
      <c r="J10" s="144">
        <v>0.05</v>
      </c>
      <c r="K10" s="144">
        <v>0.05</v>
      </c>
      <c r="L10" s="144">
        <v>0.05</v>
      </c>
      <c r="M10" s="144">
        <v>0.3</v>
      </c>
      <c r="N10" s="144">
        <v>0.85</v>
      </c>
      <c r="O10" s="144">
        <v>0.95</v>
      </c>
      <c r="P10" s="144">
        <v>0.95</v>
      </c>
      <c r="Q10" s="144">
        <v>0.95</v>
      </c>
      <c r="R10" s="144">
        <v>0.8</v>
      </c>
      <c r="S10" s="144">
        <v>0.8</v>
      </c>
      <c r="T10" s="144">
        <v>0.8</v>
      </c>
      <c r="U10" s="144">
        <v>0.7</v>
      </c>
      <c r="V10" s="144">
        <v>0.5</v>
      </c>
      <c r="W10" s="144">
        <v>0.5</v>
      </c>
      <c r="X10" s="144">
        <v>0.35</v>
      </c>
      <c r="Y10" s="144">
        <v>0.35</v>
      </c>
      <c r="Z10" s="144">
        <v>0.35</v>
      </c>
      <c r="AA10" s="144">
        <v>0.3</v>
      </c>
      <c r="AB10" s="144">
        <v>0.05</v>
      </c>
      <c r="AC10" s="145">
        <v>0.05</v>
      </c>
      <c r="AD10" s="37"/>
      <c r="AE10" s="36"/>
      <c r="AF10" s="36"/>
      <c r="AG10" s="36"/>
      <c r="AH10" s="36"/>
      <c r="AI10" s="36"/>
      <c r="AJ10" s="36"/>
      <c r="AK10" s="36"/>
      <c r="AM10" s="47"/>
    </row>
    <row r="11" spans="1:39" ht="36" customHeight="1" x14ac:dyDescent="0.3">
      <c r="A11" s="577"/>
      <c r="B11" s="580"/>
      <c r="C11" s="583"/>
      <c r="D11" s="586"/>
      <c r="E11" s="164" t="s">
        <v>653</v>
      </c>
      <c r="F11" s="157">
        <v>0.05</v>
      </c>
      <c r="G11" s="157">
        <v>0.05</v>
      </c>
      <c r="H11" s="157">
        <v>0.05</v>
      </c>
      <c r="I11" s="157">
        <v>0.05</v>
      </c>
      <c r="J11" s="157">
        <v>0.05</v>
      </c>
      <c r="K11" s="157">
        <v>0.05</v>
      </c>
      <c r="L11" s="157">
        <v>0.05</v>
      </c>
      <c r="M11" s="157">
        <v>0.05</v>
      </c>
      <c r="N11" s="157">
        <v>0.15</v>
      </c>
      <c r="O11" s="157">
        <v>0.15</v>
      </c>
      <c r="P11" s="157">
        <v>0.15</v>
      </c>
      <c r="Q11" s="157">
        <v>0.15</v>
      </c>
      <c r="R11" s="157">
        <v>0.15</v>
      </c>
      <c r="S11" s="157">
        <v>0.05</v>
      </c>
      <c r="T11" s="157">
        <v>0.05</v>
      </c>
      <c r="U11" s="157">
        <v>0.05</v>
      </c>
      <c r="V11" s="157">
        <v>0.05</v>
      </c>
      <c r="W11" s="157">
        <v>0.05</v>
      </c>
      <c r="X11" s="157">
        <v>0.05</v>
      </c>
      <c r="Y11" s="157">
        <v>0.05</v>
      </c>
      <c r="Z11" s="157">
        <v>0.05</v>
      </c>
      <c r="AA11" s="157">
        <v>0.05</v>
      </c>
      <c r="AB11" s="157">
        <v>0.05</v>
      </c>
      <c r="AC11" s="158">
        <v>0.05</v>
      </c>
      <c r="AD11" s="37"/>
      <c r="AE11" s="36"/>
      <c r="AF11" s="36"/>
      <c r="AG11" s="36"/>
      <c r="AH11" s="36"/>
      <c r="AI11" s="36"/>
      <c r="AJ11" s="36"/>
      <c r="AK11" s="36"/>
      <c r="AM11" s="47"/>
    </row>
    <row r="12" spans="1:39" ht="36" customHeight="1" thickBot="1" x14ac:dyDescent="0.35">
      <c r="A12" s="578"/>
      <c r="B12" s="581"/>
      <c r="C12" s="584"/>
      <c r="D12" s="587"/>
      <c r="E12" s="167" t="s">
        <v>654</v>
      </c>
      <c r="F12" s="159">
        <v>0.05</v>
      </c>
      <c r="G12" s="159">
        <v>0.05</v>
      </c>
      <c r="H12" s="159">
        <v>0.05</v>
      </c>
      <c r="I12" s="159">
        <v>0.05</v>
      </c>
      <c r="J12" s="159">
        <v>0.05</v>
      </c>
      <c r="K12" s="159">
        <v>0.05</v>
      </c>
      <c r="L12" s="159">
        <v>0.05</v>
      </c>
      <c r="M12" s="159">
        <v>0.05</v>
      </c>
      <c r="N12" s="159">
        <v>0.05</v>
      </c>
      <c r="O12" s="159">
        <v>0.05</v>
      </c>
      <c r="P12" s="159">
        <v>0.05</v>
      </c>
      <c r="Q12" s="159">
        <v>0.05</v>
      </c>
      <c r="R12" s="159">
        <v>0.05</v>
      </c>
      <c r="S12" s="159">
        <v>0.05</v>
      </c>
      <c r="T12" s="159">
        <v>0.05</v>
      </c>
      <c r="U12" s="159">
        <v>0.05</v>
      </c>
      <c r="V12" s="159">
        <v>0.05</v>
      </c>
      <c r="W12" s="159">
        <v>0.05</v>
      </c>
      <c r="X12" s="159">
        <v>0.05</v>
      </c>
      <c r="Y12" s="159">
        <v>0.05</v>
      </c>
      <c r="Z12" s="159">
        <v>0.05</v>
      </c>
      <c r="AA12" s="159">
        <v>0.05</v>
      </c>
      <c r="AB12" s="159">
        <v>0.05</v>
      </c>
      <c r="AC12" s="160">
        <v>0.05</v>
      </c>
      <c r="AD12" s="37"/>
      <c r="AE12" s="36"/>
      <c r="AF12" s="36"/>
      <c r="AG12" s="36"/>
      <c r="AH12" s="36"/>
      <c r="AI12" s="36"/>
      <c r="AJ12" s="36"/>
      <c r="AK12" s="36"/>
      <c r="AM12" s="47"/>
    </row>
    <row r="13" spans="1:39" ht="36" customHeight="1" x14ac:dyDescent="0.3">
      <c r="A13" s="576" t="s">
        <v>648</v>
      </c>
      <c r="B13" s="579" t="s">
        <v>649</v>
      </c>
      <c r="C13" s="582" t="s">
        <v>657</v>
      </c>
      <c r="D13" s="585" t="s">
        <v>651</v>
      </c>
      <c r="E13" s="149" t="s">
        <v>652</v>
      </c>
      <c r="F13" s="144">
        <v>0.05</v>
      </c>
      <c r="G13" s="144">
        <v>0.05</v>
      </c>
      <c r="H13" s="144">
        <v>0.05</v>
      </c>
      <c r="I13" s="144">
        <v>0.05</v>
      </c>
      <c r="J13" s="144">
        <v>0.05</v>
      </c>
      <c r="K13" s="144">
        <v>0.05</v>
      </c>
      <c r="L13" s="144">
        <v>0.05</v>
      </c>
      <c r="M13" s="144">
        <v>0.1</v>
      </c>
      <c r="N13" s="144">
        <v>0.34</v>
      </c>
      <c r="O13" s="144">
        <v>0.6</v>
      </c>
      <c r="P13" s="144">
        <v>0.63</v>
      </c>
      <c r="Q13" s="144">
        <v>0.72</v>
      </c>
      <c r="R13" s="144">
        <v>0.79</v>
      </c>
      <c r="S13" s="144">
        <v>0.83</v>
      </c>
      <c r="T13" s="144">
        <v>0.61</v>
      </c>
      <c r="U13" s="144">
        <v>0.65</v>
      </c>
      <c r="V13" s="144">
        <v>0.1</v>
      </c>
      <c r="W13" s="144">
        <v>0.1</v>
      </c>
      <c r="X13" s="144">
        <v>0.19</v>
      </c>
      <c r="Y13" s="144">
        <v>0.25</v>
      </c>
      <c r="Z13" s="144">
        <v>0.22</v>
      </c>
      <c r="AA13" s="144">
        <v>0.22</v>
      </c>
      <c r="AB13" s="144">
        <v>0.12</v>
      </c>
      <c r="AC13" s="145">
        <v>0.09</v>
      </c>
      <c r="AD13" s="36"/>
      <c r="AE13" s="36"/>
      <c r="AF13" s="36"/>
      <c r="AG13" s="36"/>
      <c r="AH13" s="36"/>
      <c r="AI13" s="36"/>
      <c r="AJ13" s="36"/>
      <c r="AK13" s="36"/>
      <c r="AM13" s="47"/>
    </row>
    <row r="14" spans="1:39" ht="36" customHeight="1" x14ac:dyDescent="0.3">
      <c r="A14" s="577"/>
      <c r="B14" s="580"/>
      <c r="C14" s="583"/>
      <c r="D14" s="586"/>
      <c r="E14" s="150" t="s">
        <v>653</v>
      </c>
      <c r="F14" s="157">
        <v>0.03</v>
      </c>
      <c r="G14" s="157">
        <v>0.03</v>
      </c>
      <c r="H14" s="157">
        <v>0.03</v>
      </c>
      <c r="I14" s="157">
        <v>0.03</v>
      </c>
      <c r="J14" s="157">
        <v>0.03</v>
      </c>
      <c r="K14" s="157">
        <v>0.03</v>
      </c>
      <c r="L14" s="157">
        <v>0.03</v>
      </c>
      <c r="M14" s="157">
        <v>0.03</v>
      </c>
      <c r="N14" s="157">
        <v>0.03</v>
      </c>
      <c r="O14" s="157">
        <v>0.05</v>
      </c>
      <c r="P14" s="157">
        <v>0.05</v>
      </c>
      <c r="Q14" s="157">
        <v>0.05</v>
      </c>
      <c r="R14" s="157">
        <v>0.05</v>
      </c>
      <c r="S14" s="157">
        <v>0.03</v>
      </c>
      <c r="T14" s="157">
        <v>0.03</v>
      </c>
      <c r="U14" s="157">
        <v>0.03</v>
      </c>
      <c r="V14" s="157">
        <v>0.03</v>
      </c>
      <c r="W14" s="157">
        <v>0.03</v>
      </c>
      <c r="X14" s="157">
        <v>0.03</v>
      </c>
      <c r="Y14" s="157">
        <v>0.03</v>
      </c>
      <c r="Z14" s="157">
        <v>0.03</v>
      </c>
      <c r="AA14" s="157">
        <v>0.03</v>
      </c>
      <c r="AB14" s="157">
        <v>0.03</v>
      </c>
      <c r="AC14" s="158">
        <v>0.03</v>
      </c>
      <c r="AD14" s="36"/>
      <c r="AE14" s="36"/>
      <c r="AF14" s="36"/>
      <c r="AG14" s="36"/>
      <c r="AH14" s="36"/>
      <c r="AI14" s="36"/>
      <c r="AJ14" s="36"/>
      <c r="AK14" s="36"/>
      <c r="AM14" s="47"/>
    </row>
    <row r="15" spans="1:39" ht="36" customHeight="1" thickBot="1" x14ac:dyDescent="0.35">
      <c r="A15" s="578"/>
      <c r="B15" s="581"/>
      <c r="C15" s="584"/>
      <c r="D15" s="587"/>
      <c r="E15" s="151" t="s">
        <v>654</v>
      </c>
      <c r="F15" s="159">
        <v>0.03</v>
      </c>
      <c r="G15" s="159">
        <v>0.03</v>
      </c>
      <c r="H15" s="159">
        <v>0.03</v>
      </c>
      <c r="I15" s="159">
        <v>0.03</v>
      </c>
      <c r="J15" s="159">
        <v>0.03</v>
      </c>
      <c r="K15" s="159">
        <v>0.03</v>
      </c>
      <c r="L15" s="159">
        <v>0.03</v>
      </c>
      <c r="M15" s="159">
        <v>0.03</v>
      </c>
      <c r="N15" s="159">
        <v>0.05</v>
      </c>
      <c r="O15" s="159">
        <v>0.05</v>
      </c>
      <c r="P15" s="159">
        <v>0.05</v>
      </c>
      <c r="Q15" s="159">
        <v>0.05</v>
      </c>
      <c r="R15" s="159">
        <v>0.05</v>
      </c>
      <c r="S15" s="159">
        <v>0.05</v>
      </c>
      <c r="T15" s="159">
        <v>0.03</v>
      </c>
      <c r="U15" s="159">
        <v>0.03</v>
      </c>
      <c r="V15" s="159">
        <v>0.03</v>
      </c>
      <c r="W15" s="159">
        <v>0.03</v>
      </c>
      <c r="X15" s="159">
        <v>0.03</v>
      </c>
      <c r="Y15" s="159">
        <v>0.03</v>
      </c>
      <c r="Z15" s="159">
        <v>0.03</v>
      </c>
      <c r="AA15" s="159">
        <v>0.03</v>
      </c>
      <c r="AB15" s="159">
        <v>0.03</v>
      </c>
      <c r="AC15" s="160">
        <v>0.03</v>
      </c>
      <c r="AD15" s="36"/>
      <c r="AE15" s="36"/>
      <c r="AF15" s="36"/>
      <c r="AG15" s="36"/>
      <c r="AH15" s="36"/>
      <c r="AI15" s="36"/>
      <c r="AJ15" s="36"/>
      <c r="AK15" s="36"/>
      <c r="AM15" s="47"/>
    </row>
    <row r="16" spans="1:39" ht="36" customHeight="1" x14ac:dyDescent="0.3">
      <c r="A16" s="576" t="s">
        <v>648</v>
      </c>
      <c r="B16" s="579" t="s">
        <v>649</v>
      </c>
      <c r="C16" s="582" t="s">
        <v>658</v>
      </c>
      <c r="D16" s="585" t="s">
        <v>651</v>
      </c>
      <c r="E16" s="170" t="s">
        <v>652</v>
      </c>
      <c r="F16" s="144">
        <v>0</v>
      </c>
      <c r="G16" s="144">
        <v>0</v>
      </c>
      <c r="H16" s="144">
        <v>0</v>
      </c>
      <c r="I16" s="144">
        <v>0</v>
      </c>
      <c r="J16" s="144">
        <v>0</v>
      </c>
      <c r="K16" s="144">
        <v>0</v>
      </c>
      <c r="L16" s="144">
        <v>0</v>
      </c>
      <c r="M16" s="144">
        <v>0.5</v>
      </c>
      <c r="N16" s="144">
        <v>0.5</v>
      </c>
      <c r="O16" s="144">
        <v>0.75</v>
      </c>
      <c r="P16" s="144">
        <v>0.9</v>
      </c>
      <c r="Q16" s="144">
        <v>0.9</v>
      </c>
      <c r="R16" s="144">
        <v>0.9</v>
      </c>
      <c r="S16" s="144">
        <v>0</v>
      </c>
      <c r="T16" s="144">
        <v>0</v>
      </c>
      <c r="U16" s="144">
        <v>0</v>
      </c>
      <c r="V16" s="144">
        <v>0</v>
      </c>
      <c r="W16" s="144">
        <v>0</v>
      </c>
      <c r="X16" s="144">
        <v>0</v>
      </c>
      <c r="Y16" s="144">
        <v>0</v>
      </c>
      <c r="Z16" s="144">
        <v>0</v>
      </c>
      <c r="AA16" s="144">
        <v>0</v>
      </c>
      <c r="AB16" s="144">
        <v>0</v>
      </c>
      <c r="AC16" s="145">
        <v>0</v>
      </c>
      <c r="AD16" s="37"/>
      <c r="AE16" s="36"/>
      <c r="AF16" s="36"/>
      <c r="AG16" s="36"/>
      <c r="AH16" s="36"/>
      <c r="AI16" s="36"/>
      <c r="AJ16" s="36"/>
      <c r="AK16" s="36"/>
      <c r="AM16" s="47"/>
    </row>
    <row r="17" spans="1:39" ht="36" customHeight="1" x14ac:dyDescent="0.3">
      <c r="A17" s="577"/>
      <c r="B17" s="580"/>
      <c r="C17" s="583"/>
      <c r="D17" s="586"/>
      <c r="E17" s="164" t="s">
        <v>653</v>
      </c>
      <c r="F17" s="157">
        <v>0</v>
      </c>
      <c r="G17" s="157">
        <v>0</v>
      </c>
      <c r="H17" s="157">
        <v>0</v>
      </c>
      <c r="I17" s="157">
        <v>0</v>
      </c>
      <c r="J17" s="157">
        <v>0</v>
      </c>
      <c r="K17" s="157">
        <v>0</v>
      </c>
      <c r="L17" s="157">
        <v>0</v>
      </c>
      <c r="M17" s="157">
        <v>0</v>
      </c>
      <c r="N17" s="157">
        <v>0</v>
      </c>
      <c r="O17" s="157">
        <v>0</v>
      </c>
      <c r="P17" s="157">
        <v>0</v>
      </c>
      <c r="Q17" s="157">
        <v>0</v>
      </c>
      <c r="R17" s="157">
        <v>0</v>
      </c>
      <c r="S17" s="157">
        <v>0</v>
      </c>
      <c r="T17" s="157">
        <v>0</v>
      </c>
      <c r="U17" s="157">
        <v>0</v>
      </c>
      <c r="V17" s="157">
        <v>0</v>
      </c>
      <c r="W17" s="157">
        <v>0</v>
      </c>
      <c r="X17" s="157">
        <v>0</v>
      </c>
      <c r="Y17" s="157">
        <v>0</v>
      </c>
      <c r="Z17" s="157">
        <v>0</v>
      </c>
      <c r="AA17" s="157">
        <v>0</v>
      </c>
      <c r="AB17" s="157">
        <v>0</v>
      </c>
      <c r="AC17" s="158">
        <v>0</v>
      </c>
      <c r="AD17" s="37"/>
      <c r="AE17" s="36"/>
      <c r="AF17" s="36"/>
      <c r="AG17" s="36"/>
      <c r="AH17" s="36"/>
      <c r="AI17" s="36"/>
      <c r="AJ17" s="36"/>
      <c r="AK17" s="36"/>
      <c r="AM17" s="47"/>
    </row>
    <row r="18" spans="1:39" ht="36" customHeight="1" thickBot="1" x14ac:dyDescent="0.35">
      <c r="A18" s="578"/>
      <c r="B18" s="581"/>
      <c r="C18" s="584"/>
      <c r="D18" s="587"/>
      <c r="E18" s="167" t="s">
        <v>654</v>
      </c>
      <c r="F18" s="159">
        <v>0</v>
      </c>
      <c r="G18" s="159">
        <v>0</v>
      </c>
      <c r="H18" s="159">
        <v>0</v>
      </c>
      <c r="I18" s="159">
        <v>0</v>
      </c>
      <c r="J18" s="159">
        <v>0</v>
      </c>
      <c r="K18" s="159">
        <v>0</v>
      </c>
      <c r="L18" s="159">
        <v>0</v>
      </c>
      <c r="M18" s="159">
        <v>0</v>
      </c>
      <c r="N18" s="159">
        <v>0</v>
      </c>
      <c r="O18" s="159">
        <v>0</v>
      </c>
      <c r="P18" s="159">
        <v>0</v>
      </c>
      <c r="Q18" s="159">
        <v>0</v>
      </c>
      <c r="R18" s="159">
        <v>0</v>
      </c>
      <c r="S18" s="159">
        <v>0</v>
      </c>
      <c r="T18" s="159">
        <v>0</v>
      </c>
      <c r="U18" s="159">
        <v>0</v>
      </c>
      <c r="V18" s="159">
        <v>0</v>
      </c>
      <c r="W18" s="159">
        <v>0</v>
      </c>
      <c r="X18" s="159">
        <v>0</v>
      </c>
      <c r="Y18" s="159">
        <v>0</v>
      </c>
      <c r="Z18" s="159">
        <v>0</v>
      </c>
      <c r="AA18" s="159">
        <v>0</v>
      </c>
      <c r="AB18" s="159">
        <v>0</v>
      </c>
      <c r="AC18" s="160">
        <v>0</v>
      </c>
      <c r="AD18" s="37"/>
      <c r="AE18" s="36"/>
      <c r="AF18" s="36"/>
      <c r="AG18" s="36"/>
      <c r="AH18" s="36"/>
      <c r="AI18" s="36"/>
      <c r="AJ18" s="36"/>
      <c r="AK18" s="36"/>
      <c r="AM18" s="47"/>
    </row>
    <row r="19" spans="1:39" ht="36" customHeight="1" x14ac:dyDescent="0.3">
      <c r="A19" s="576" t="s">
        <v>648</v>
      </c>
      <c r="B19" s="579" t="s">
        <v>649</v>
      </c>
      <c r="C19" s="582" t="s">
        <v>659</v>
      </c>
      <c r="D19" s="585" t="s">
        <v>651</v>
      </c>
      <c r="E19" s="170" t="s">
        <v>652</v>
      </c>
      <c r="F19" s="144">
        <v>0.9</v>
      </c>
      <c r="G19" s="144">
        <v>0.9</v>
      </c>
      <c r="H19" s="144">
        <v>0.9</v>
      </c>
      <c r="I19" s="144">
        <v>0.9</v>
      </c>
      <c r="J19" s="144">
        <v>0.9</v>
      </c>
      <c r="K19" s="144">
        <v>0.9</v>
      </c>
      <c r="L19" s="144">
        <v>0.9</v>
      </c>
      <c r="M19" s="144">
        <v>0.9</v>
      </c>
      <c r="N19" s="144">
        <v>0.9</v>
      </c>
      <c r="O19" s="144">
        <v>0.9</v>
      </c>
      <c r="P19" s="144">
        <v>0.9</v>
      </c>
      <c r="Q19" s="144">
        <v>0.9</v>
      </c>
      <c r="R19" s="144">
        <v>0.9</v>
      </c>
      <c r="S19" s="144">
        <v>0.9</v>
      </c>
      <c r="T19" s="144">
        <v>0.9</v>
      </c>
      <c r="U19" s="144">
        <v>0.9</v>
      </c>
      <c r="V19" s="144">
        <v>0.9</v>
      </c>
      <c r="W19" s="144">
        <v>0.9</v>
      </c>
      <c r="X19" s="144">
        <v>0.9</v>
      </c>
      <c r="Y19" s="144">
        <v>0.9</v>
      </c>
      <c r="Z19" s="144">
        <v>0.9</v>
      </c>
      <c r="AA19" s="144">
        <v>0.9</v>
      </c>
      <c r="AB19" s="144">
        <v>0.9</v>
      </c>
      <c r="AC19" s="145">
        <v>0.9</v>
      </c>
      <c r="AD19" s="37"/>
      <c r="AE19" s="36"/>
      <c r="AF19" s="36"/>
      <c r="AG19" s="36"/>
      <c r="AH19" s="36"/>
      <c r="AI19" s="36"/>
      <c r="AJ19" s="36"/>
      <c r="AK19" s="36"/>
      <c r="AM19" s="47"/>
    </row>
    <row r="20" spans="1:39" ht="36" customHeight="1" x14ac:dyDescent="0.3">
      <c r="A20" s="577"/>
      <c r="B20" s="580"/>
      <c r="C20" s="583"/>
      <c r="D20" s="586"/>
      <c r="E20" s="164" t="s">
        <v>653</v>
      </c>
      <c r="F20" s="157">
        <v>0.9</v>
      </c>
      <c r="G20" s="157">
        <v>0.9</v>
      </c>
      <c r="H20" s="157">
        <v>0.9</v>
      </c>
      <c r="I20" s="157">
        <v>0.9</v>
      </c>
      <c r="J20" s="157">
        <v>0.9</v>
      </c>
      <c r="K20" s="157">
        <v>0.9</v>
      </c>
      <c r="L20" s="157">
        <v>0.9</v>
      </c>
      <c r="M20" s="157">
        <v>0.9</v>
      </c>
      <c r="N20" s="157">
        <v>0.9</v>
      </c>
      <c r="O20" s="157">
        <v>0.9</v>
      </c>
      <c r="P20" s="157">
        <v>0.9</v>
      </c>
      <c r="Q20" s="157">
        <v>0.9</v>
      </c>
      <c r="R20" s="157">
        <v>0.9</v>
      </c>
      <c r="S20" s="157">
        <v>0.9</v>
      </c>
      <c r="T20" s="157">
        <v>0.9</v>
      </c>
      <c r="U20" s="157">
        <v>0.9</v>
      </c>
      <c r="V20" s="157">
        <v>0.9</v>
      </c>
      <c r="W20" s="157">
        <v>0.9</v>
      </c>
      <c r="X20" s="157">
        <v>0.9</v>
      </c>
      <c r="Y20" s="157">
        <v>0.9</v>
      </c>
      <c r="Z20" s="157">
        <v>0.9</v>
      </c>
      <c r="AA20" s="157">
        <v>0.9</v>
      </c>
      <c r="AB20" s="157">
        <v>0.9</v>
      </c>
      <c r="AC20" s="158">
        <v>0.9</v>
      </c>
      <c r="AD20" s="37"/>
      <c r="AE20" s="36"/>
      <c r="AF20" s="36"/>
      <c r="AG20" s="36"/>
      <c r="AH20" s="36"/>
      <c r="AI20" s="36"/>
      <c r="AJ20" s="36"/>
      <c r="AK20" s="36"/>
      <c r="AM20" s="47"/>
    </row>
    <row r="21" spans="1:39" ht="36" customHeight="1" thickBot="1" x14ac:dyDescent="0.35">
      <c r="A21" s="578"/>
      <c r="B21" s="581"/>
      <c r="C21" s="584"/>
      <c r="D21" s="587"/>
      <c r="E21" s="167" t="s">
        <v>654</v>
      </c>
      <c r="F21" s="159">
        <v>0.9</v>
      </c>
      <c r="G21" s="159">
        <v>0.9</v>
      </c>
      <c r="H21" s="159">
        <v>0.9</v>
      </c>
      <c r="I21" s="159">
        <v>0.9</v>
      </c>
      <c r="J21" s="159">
        <v>0.9</v>
      </c>
      <c r="K21" s="159">
        <v>0.9</v>
      </c>
      <c r="L21" s="159">
        <v>0.9</v>
      </c>
      <c r="M21" s="159">
        <v>0.9</v>
      </c>
      <c r="N21" s="159">
        <v>0.9</v>
      </c>
      <c r="O21" s="159">
        <v>0.9</v>
      </c>
      <c r="P21" s="159">
        <v>0.9</v>
      </c>
      <c r="Q21" s="159">
        <v>0.9</v>
      </c>
      <c r="R21" s="159">
        <v>0.9</v>
      </c>
      <c r="S21" s="159">
        <v>0.9</v>
      </c>
      <c r="T21" s="159">
        <v>0.9</v>
      </c>
      <c r="U21" s="159">
        <v>0.9</v>
      </c>
      <c r="V21" s="159">
        <v>0.9</v>
      </c>
      <c r="W21" s="159">
        <v>0.9</v>
      </c>
      <c r="X21" s="159">
        <v>0.9</v>
      </c>
      <c r="Y21" s="159">
        <v>0.9</v>
      </c>
      <c r="Z21" s="159">
        <v>0.9</v>
      </c>
      <c r="AA21" s="159">
        <v>0.9</v>
      </c>
      <c r="AB21" s="159">
        <v>0.9</v>
      </c>
      <c r="AC21" s="160">
        <v>0.9</v>
      </c>
      <c r="AD21" s="37"/>
      <c r="AE21" s="36"/>
      <c r="AF21" s="36"/>
      <c r="AG21" s="36"/>
      <c r="AH21" s="36"/>
      <c r="AI21" s="36"/>
      <c r="AJ21" s="36"/>
      <c r="AK21" s="36"/>
      <c r="AM21" s="47"/>
    </row>
    <row r="22" spans="1:39" ht="36" customHeight="1" x14ac:dyDescent="0.3">
      <c r="A22" s="576" t="s">
        <v>648</v>
      </c>
      <c r="B22" s="579" t="s">
        <v>649</v>
      </c>
      <c r="C22" s="582" t="s">
        <v>660</v>
      </c>
      <c r="D22" s="585" t="s">
        <v>651</v>
      </c>
      <c r="E22" s="170" t="s">
        <v>652</v>
      </c>
      <c r="F22" s="144">
        <v>0</v>
      </c>
      <c r="G22" s="144">
        <v>0</v>
      </c>
      <c r="H22" s="144">
        <v>0</v>
      </c>
      <c r="I22" s="144">
        <v>0</v>
      </c>
      <c r="J22" s="144">
        <v>0</v>
      </c>
      <c r="K22" s="144">
        <v>0</v>
      </c>
      <c r="L22" s="144">
        <v>1</v>
      </c>
      <c r="M22" s="144">
        <v>1</v>
      </c>
      <c r="N22" s="144">
        <v>1</v>
      </c>
      <c r="O22" s="144">
        <v>1</v>
      </c>
      <c r="P22" s="144">
        <v>1</v>
      </c>
      <c r="Q22" s="144">
        <v>1</v>
      </c>
      <c r="R22" s="144">
        <v>1</v>
      </c>
      <c r="S22" s="144">
        <v>1</v>
      </c>
      <c r="T22" s="144">
        <v>1</v>
      </c>
      <c r="U22" s="144">
        <v>1</v>
      </c>
      <c r="V22" s="144">
        <v>1</v>
      </c>
      <c r="W22" s="144">
        <v>1</v>
      </c>
      <c r="X22" s="144">
        <v>1</v>
      </c>
      <c r="Y22" s="144">
        <v>1</v>
      </c>
      <c r="Z22" s="144">
        <v>1</v>
      </c>
      <c r="AA22" s="144">
        <v>1</v>
      </c>
      <c r="AB22" s="144">
        <v>0</v>
      </c>
      <c r="AC22" s="145">
        <v>0</v>
      </c>
      <c r="AD22" s="37"/>
      <c r="AE22" s="36"/>
      <c r="AF22" s="36"/>
      <c r="AG22" s="36"/>
      <c r="AH22" s="36"/>
      <c r="AI22" s="36"/>
      <c r="AJ22" s="36"/>
      <c r="AK22" s="36"/>
      <c r="AM22" s="47"/>
    </row>
    <row r="23" spans="1:39" ht="36" customHeight="1" x14ac:dyDescent="0.3">
      <c r="A23" s="577"/>
      <c r="B23" s="580"/>
      <c r="C23" s="583"/>
      <c r="D23" s="586"/>
      <c r="E23" s="164" t="s">
        <v>653</v>
      </c>
      <c r="F23" s="157">
        <v>0</v>
      </c>
      <c r="G23" s="157">
        <v>0</v>
      </c>
      <c r="H23" s="157">
        <v>0</v>
      </c>
      <c r="I23" s="157">
        <v>0</v>
      </c>
      <c r="J23" s="157">
        <v>0</v>
      </c>
      <c r="K23" s="157">
        <v>0</v>
      </c>
      <c r="L23" s="157">
        <v>0</v>
      </c>
      <c r="M23" s="246">
        <v>0</v>
      </c>
      <c r="N23" s="246">
        <v>0</v>
      </c>
      <c r="O23" s="246">
        <v>0</v>
      </c>
      <c r="P23" s="246">
        <v>0</v>
      </c>
      <c r="Q23" s="246">
        <v>0</v>
      </c>
      <c r="R23" s="246">
        <v>0</v>
      </c>
      <c r="S23" s="157">
        <v>0</v>
      </c>
      <c r="T23" s="157">
        <v>0</v>
      </c>
      <c r="U23" s="157">
        <v>0</v>
      </c>
      <c r="V23" s="157">
        <v>0</v>
      </c>
      <c r="W23" s="157">
        <v>0</v>
      </c>
      <c r="X23" s="157">
        <v>0</v>
      </c>
      <c r="Y23" s="157">
        <v>0</v>
      </c>
      <c r="Z23" s="157">
        <v>0</v>
      </c>
      <c r="AA23" s="157">
        <v>0</v>
      </c>
      <c r="AB23" s="157">
        <v>0</v>
      </c>
      <c r="AC23" s="158">
        <v>0</v>
      </c>
      <c r="AD23" s="37"/>
      <c r="AE23" s="36"/>
      <c r="AF23" s="36"/>
      <c r="AG23" s="36"/>
      <c r="AH23" s="36"/>
      <c r="AI23" s="36"/>
      <c r="AJ23" s="36"/>
      <c r="AK23" s="36"/>
      <c r="AM23" s="47"/>
    </row>
    <row r="24" spans="1:39" ht="36" customHeight="1" thickBot="1" x14ac:dyDescent="0.35">
      <c r="A24" s="578"/>
      <c r="B24" s="581"/>
      <c r="C24" s="584"/>
      <c r="D24" s="587"/>
      <c r="E24" s="167" t="s">
        <v>654</v>
      </c>
      <c r="F24" s="159">
        <v>0</v>
      </c>
      <c r="G24" s="159">
        <v>0</v>
      </c>
      <c r="H24" s="159">
        <v>0</v>
      </c>
      <c r="I24" s="159">
        <v>0</v>
      </c>
      <c r="J24" s="159">
        <v>0</v>
      </c>
      <c r="K24" s="159">
        <v>0</v>
      </c>
      <c r="L24" s="159">
        <v>0</v>
      </c>
      <c r="M24" s="159">
        <v>0</v>
      </c>
      <c r="N24" s="159">
        <v>0</v>
      </c>
      <c r="O24" s="159">
        <v>0</v>
      </c>
      <c r="P24" s="159">
        <v>0</v>
      </c>
      <c r="Q24" s="159">
        <v>0</v>
      </c>
      <c r="R24" s="159">
        <v>0</v>
      </c>
      <c r="S24" s="159">
        <v>0</v>
      </c>
      <c r="T24" s="159">
        <v>0</v>
      </c>
      <c r="U24" s="159">
        <v>0</v>
      </c>
      <c r="V24" s="159">
        <v>0</v>
      </c>
      <c r="W24" s="159">
        <v>0</v>
      </c>
      <c r="X24" s="159">
        <v>0</v>
      </c>
      <c r="Y24" s="159">
        <v>0</v>
      </c>
      <c r="Z24" s="159">
        <v>0</v>
      </c>
      <c r="AA24" s="159">
        <v>0</v>
      </c>
      <c r="AB24" s="159">
        <v>0</v>
      </c>
      <c r="AC24" s="160">
        <v>0</v>
      </c>
      <c r="AD24" s="37"/>
      <c r="AE24" s="36"/>
      <c r="AF24" s="36"/>
      <c r="AG24" s="36"/>
      <c r="AH24" s="36"/>
      <c r="AI24" s="36"/>
      <c r="AJ24" s="36"/>
      <c r="AK24" s="36"/>
      <c r="AM24" s="47"/>
    </row>
    <row r="25" spans="1:39" ht="36" customHeight="1" x14ac:dyDescent="0.3">
      <c r="A25" s="576" t="s">
        <v>648</v>
      </c>
      <c r="B25" s="579" t="s">
        <v>649</v>
      </c>
      <c r="C25" s="582" t="s">
        <v>661</v>
      </c>
      <c r="D25" s="585" t="s">
        <v>662</v>
      </c>
      <c r="E25" s="170" t="s">
        <v>652</v>
      </c>
      <c r="F25" s="148">
        <f>IF(F22=0,Thermostat!$B$4,Thermostat!$B$3)</f>
        <v>60</v>
      </c>
      <c r="G25" s="148">
        <f>IF(G22=0,Thermostat!$B$4,Thermostat!$B$3)</f>
        <v>60</v>
      </c>
      <c r="H25" s="148">
        <f>IF(H22=0,Thermostat!$B$4,Thermostat!$B$3)</f>
        <v>60</v>
      </c>
      <c r="I25" s="148">
        <f>IF(I22=0,Thermostat!$B$4,Thermostat!$B$3)</f>
        <v>60</v>
      </c>
      <c r="J25" s="148">
        <f>IF(J22=0,Thermostat!$B$4,Thermostat!$B$3)</f>
        <v>60</v>
      </c>
      <c r="K25" s="148">
        <f>IF(K22=0,Thermostat!$B$4,Thermostat!$B$3)</f>
        <v>60</v>
      </c>
      <c r="L25" s="148">
        <f>IF(L22=0,Thermostat!$B$4,Thermostat!$B$3)</f>
        <v>70</v>
      </c>
      <c r="M25" s="148">
        <f>IF(M22=0,Thermostat!$B$4,Thermostat!$B$3)</f>
        <v>70</v>
      </c>
      <c r="N25" s="148">
        <f>IF(N22=0,Thermostat!$B$4,Thermostat!$B$3)</f>
        <v>70</v>
      </c>
      <c r="O25" s="148">
        <f>IF(O22=0,Thermostat!$B$4,Thermostat!$B$3)</f>
        <v>70</v>
      </c>
      <c r="P25" s="148">
        <f>IF(P22=0,Thermostat!$B$4,Thermostat!$B$3)</f>
        <v>70</v>
      </c>
      <c r="Q25" s="148">
        <f>IF(Q22=0,Thermostat!$B$4,Thermostat!$B$3)</f>
        <v>70</v>
      </c>
      <c r="R25" s="148">
        <f>IF(R22=0,Thermostat!$B$4,Thermostat!$B$3)</f>
        <v>70</v>
      </c>
      <c r="S25" s="148">
        <f>IF(S22=0,Thermostat!$B$4,Thermostat!$B$3)</f>
        <v>70</v>
      </c>
      <c r="T25" s="148">
        <f>IF(T22=0,Thermostat!$B$4,Thermostat!$B$3)</f>
        <v>70</v>
      </c>
      <c r="U25" s="148">
        <f>IF(U22=0,Thermostat!$B$4,Thermostat!$B$3)</f>
        <v>70</v>
      </c>
      <c r="V25" s="148">
        <f>IF(V22=0,Thermostat!$B$4,Thermostat!$B$3)</f>
        <v>70</v>
      </c>
      <c r="W25" s="148">
        <f>IF(W22=0,Thermostat!$B$4,Thermostat!$B$3)</f>
        <v>70</v>
      </c>
      <c r="X25" s="148">
        <f>IF(X22=0,Thermostat!$B$4,Thermostat!$B$3)</f>
        <v>70</v>
      </c>
      <c r="Y25" s="148">
        <f>IF(Y22=0,Thermostat!$B$4,Thermostat!$B$3)</f>
        <v>70</v>
      </c>
      <c r="Z25" s="148">
        <f>IF(Z22=0,Thermostat!$B$4,Thermostat!$B$3)</f>
        <v>70</v>
      </c>
      <c r="AA25" s="148">
        <f>IF(AA22=0,Thermostat!$B$4,Thermostat!$B$3)</f>
        <v>70</v>
      </c>
      <c r="AB25" s="148">
        <f>IF(AB22=0,Thermostat!$B$4,Thermostat!$B$3)</f>
        <v>60</v>
      </c>
      <c r="AC25" s="148">
        <f>IF(AC22=0,Thermostat!$B$4,Thermostat!$B$3)</f>
        <v>60</v>
      </c>
      <c r="AD25" s="37"/>
      <c r="AE25" s="36"/>
      <c r="AF25" s="36"/>
      <c r="AG25" s="36"/>
      <c r="AH25" s="36"/>
      <c r="AI25" s="36"/>
      <c r="AJ25" s="36"/>
      <c r="AK25" s="36"/>
      <c r="AM25" s="47"/>
    </row>
    <row r="26" spans="1:39" ht="36" customHeight="1" x14ac:dyDescent="0.3">
      <c r="A26" s="577"/>
      <c r="B26" s="580"/>
      <c r="C26" s="583"/>
      <c r="D26" s="586"/>
      <c r="E26" s="164" t="s">
        <v>653</v>
      </c>
      <c r="F26" s="430">
        <f>IF(F23=0,Thermostat!$B$4,Thermostat!$B$3)</f>
        <v>60</v>
      </c>
      <c r="G26" s="430">
        <f>IF(G23=0,Thermostat!$B$4,Thermostat!$B$3)</f>
        <v>60</v>
      </c>
      <c r="H26" s="430">
        <f>IF(H23=0,Thermostat!$B$4,Thermostat!$B$3)</f>
        <v>60</v>
      </c>
      <c r="I26" s="430">
        <f>IF(I23=0,Thermostat!$B$4,Thermostat!$B$3)</f>
        <v>60</v>
      </c>
      <c r="J26" s="430">
        <f>IF(J23=0,Thermostat!$B$4,Thermostat!$B$3)</f>
        <v>60</v>
      </c>
      <c r="K26" s="430">
        <f>IF(K23=0,Thermostat!$B$4,Thermostat!$B$3)</f>
        <v>60</v>
      </c>
      <c r="L26" s="430">
        <f>IF(L23=0,Thermostat!$B$4,Thermostat!$B$3)</f>
        <v>60</v>
      </c>
      <c r="M26" s="430">
        <f>IF(M23=0,Thermostat!$B$4,Thermostat!$B$3)</f>
        <v>60</v>
      </c>
      <c r="N26" s="430">
        <f>IF(N23=0,Thermostat!$B$4,Thermostat!$B$3)</f>
        <v>60</v>
      </c>
      <c r="O26" s="430">
        <f>IF(O23=0,Thermostat!$B$4,Thermostat!$B$3)</f>
        <v>60</v>
      </c>
      <c r="P26" s="430">
        <f>IF(P23=0,Thermostat!$B$4,Thermostat!$B$3)</f>
        <v>60</v>
      </c>
      <c r="Q26" s="430">
        <f>IF(Q23=0,Thermostat!$B$4,Thermostat!$B$3)</f>
        <v>60</v>
      </c>
      <c r="R26" s="430">
        <f>IF(R23=0,Thermostat!$B$4,Thermostat!$B$3)</f>
        <v>60</v>
      </c>
      <c r="S26" s="430">
        <f>IF(S23=0,Thermostat!$B$4,Thermostat!$B$3)</f>
        <v>60</v>
      </c>
      <c r="T26" s="430">
        <f>IF(T23=0,Thermostat!$B$4,Thermostat!$B$3)</f>
        <v>60</v>
      </c>
      <c r="U26" s="430">
        <f>IF(U23=0,Thermostat!$B$4,Thermostat!$B$3)</f>
        <v>60</v>
      </c>
      <c r="V26" s="430">
        <f>IF(V23=0,Thermostat!$B$4,Thermostat!$B$3)</f>
        <v>60</v>
      </c>
      <c r="W26" s="430">
        <f>IF(W23=0,Thermostat!$B$4,Thermostat!$B$3)</f>
        <v>60</v>
      </c>
      <c r="X26" s="430">
        <f>IF(X23=0,Thermostat!$B$4,Thermostat!$B$3)</f>
        <v>60</v>
      </c>
      <c r="Y26" s="430">
        <f>IF(Y23=0,Thermostat!$B$4,Thermostat!$B$3)</f>
        <v>60</v>
      </c>
      <c r="Z26" s="430">
        <f>IF(Z23=0,Thermostat!$B$4,Thermostat!$B$3)</f>
        <v>60</v>
      </c>
      <c r="AA26" s="430">
        <f>IF(AA23=0,Thermostat!$B$4,Thermostat!$B$3)</f>
        <v>60</v>
      </c>
      <c r="AB26" s="430">
        <f>IF(AB23=0,Thermostat!$B$4,Thermostat!$B$3)</f>
        <v>60</v>
      </c>
      <c r="AC26" s="430">
        <f>IF(AC23=0,Thermostat!$B$4,Thermostat!$B$3)</f>
        <v>60</v>
      </c>
      <c r="AD26" s="37"/>
      <c r="AE26" s="36"/>
      <c r="AF26" s="36"/>
      <c r="AG26" s="36"/>
      <c r="AH26" s="36"/>
      <c r="AI26" s="36"/>
      <c r="AJ26" s="36"/>
      <c r="AK26" s="36"/>
      <c r="AM26" s="47"/>
    </row>
    <row r="27" spans="1:39" ht="36" customHeight="1" thickBot="1" x14ac:dyDescent="0.35">
      <c r="A27" s="578"/>
      <c r="B27" s="581"/>
      <c r="C27" s="584"/>
      <c r="D27" s="587"/>
      <c r="E27" s="167" t="s">
        <v>654</v>
      </c>
      <c r="F27" s="431">
        <f>IF(F24=0,Thermostat!$B$4,Thermostat!$B$3)</f>
        <v>60</v>
      </c>
      <c r="G27" s="431">
        <f>IF(G24=0,Thermostat!$B$4,Thermostat!$B$3)</f>
        <v>60</v>
      </c>
      <c r="H27" s="431">
        <f>IF(H24=0,Thermostat!$B$4,Thermostat!$B$3)</f>
        <v>60</v>
      </c>
      <c r="I27" s="431">
        <f>IF(I24=0,Thermostat!$B$4,Thermostat!$B$3)</f>
        <v>60</v>
      </c>
      <c r="J27" s="431">
        <f>IF(J24=0,Thermostat!$B$4,Thermostat!$B$3)</f>
        <v>60</v>
      </c>
      <c r="K27" s="431">
        <f>IF(K24=0,Thermostat!$B$4,Thermostat!$B$3)</f>
        <v>60</v>
      </c>
      <c r="L27" s="431">
        <f>IF(L24=0,Thermostat!$B$4,Thermostat!$B$3)</f>
        <v>60</v>
      </c>
      <c r="M27" s="431">
        <f>IF(M24=0,Thermostat!$B$4,Thermostat!$B$3)</f>
        <v>60</v>
      </c>
      <c r="N27" s="431">
        <f>IF(N24=0,Thermostat!$B$4,Thermostat!$B$3)</f>
        <v>60</v>
      </c>
      <c r="O27" s="431">
        <f>IF(O24=0,Thermostat!$B$4,Thermostat!$B$3)</f>
        <v>60</v>
      </c>
      <c r="P27" s="431">
        <f>IF(P24=0,Thermostat!$B$4,Thermostat!$B$3)</f>
        <v>60</v>
      </c>
      <c r="Q27" s="431">
        <f>IF(Q24=0,Thermostat!$B$4,Thermostat!$B$3)</f>
        <v>60</v>
      </c>
      <c r="R27" s="431">
        <f>IF(R24=0,Thermostat!$B$4,Thermostat!$B$3)</f>
        <v>60</v>
      </c>
      <c r="S27" s="431">
        <f>IF(S24=0,Thermostat!$B$4,Thermostat!$B$3)</f>
        <v>60</v>
      </c>
      <c r="T27" s="431">
        <f>IF(T24=0,Thermostat!$B$4,Thermostat!$B$3)</f>
        <v>60</v>
      </c>
      <c r="U27" s="431">
        <f>IF(U24=0,Thermostat!$B$4,Thermostat!$B$3)</f>
        <v>60</v>
      </c>
      <c r="V27" s="431">
        <f>IF(V24=0,Thermostat!$B$4,Thermostat!$B$3)</f>
        <v>60</v>
      </c>
      <c r="W27" s="431">
        <f>IF(W24=0,Thermostat!$B$4,Thermostat!$B$3)</f>
        <v>60</v>
      </c>
      <c r="X27" s="431">
        <f>IF(X24=0,Thermostat!$B$4,Thermostat!$B$3)</f>
        <v>60</v>
      </c>
      <c r="Y27" s="431">
        <f>IF(Y24=0,Thermostat!$B$4,Thermostat!$B$3)</f>
        <v>60</v>
      </c>
      <c r="Z27" s="431">
        <f>IF(Z24=0,Thermostat!$B$4,Thermostat!$B$3)</f>
        <v>60</v>
      </c>
      <c r="AA27" s="431">
        <f>IF(AA24=0,Thermostat!$B$4,Thermostat!$B$3)</f>
        <v>60</v>
      </c>
      <c r="AB27" s="431">
        <f>IF(AB24=0,Thermostat!$B$4,Thermostat!$B$3)</f>
        <v>60</v>
      </c>
      <c r="AC27" s="431">
        <f>IF(AC24=0,Thermostat!$B$4,Thermostat!$B$3)</f>
        <v>60</v>
      </c>
      <c r="AD27" s="37"/>
      <c r="AE27" s="36"/>
      <c r="AF27" s="36"/>
      <c r="AG27" s="36"/>
      <c r="AH27" s="36"/>
      <c r="AI27" s="36"/>
      <c r="AJ27" s="36"/>
      <c r="AK27" s="36"/>
      <c r="AM27" s="47"/>
    </row>
    <row r="28" spans="1:39" ht="36" customHeight="1" x14ac:dyDescent="0.3">
      <c r="A28" s="576" t="s">
        <v>648</v>
      </c>
      <c r="B28" s="579" t="s">
        <v>649</v>
      </c>
      <c r="C28" s="582" t="s">
        <v>663</v>
      </c>
      <c r="D28" s="585" t="s">
        <v>662</v>
      </c>
      <c r="E28" s="170" t="s">
        <v>652</v>
      </c>
      <c r="F28" s="148">
        <f>IF(F22=0,Thermostat!$B$6,Thermostat!$B$5)</f>
        <v>85</v>
      </c>
      <c r="G28" s="148">
        <f>IF(G22=0,Thermostat!$B$6,Thermostat!$B$5)</f>
        <v>85</v>
      </c>
      <c r="H28" s="148">
        <f>IF(H22=0,Thermostat!$B$6,Thermostat!$B$5)</f>
        <v>85</v>
      </c>
      <c r="I28" s="148">
        <f>IF(I22=0,Thermostat!$B$6,Thermostat!$B$5)</f>
        <v>85</v>
      </c>
      <c r="J28" s="148">
        <f>IF(J22=0,Thermostat!$B$6,Thermostat!$B$5)</f>
        <v>85</v>
      </c>
      <c r="K28" s="148">
        <f>IF(K22=0,Thermostat!$B$6,Thermostat!$B$5)</f>
        <v>85</v>
      </c>
      <c r="L28" s="148">
        <f>IF(L22=0,Thermostat!$B$6,Thermostat!$B$5)</f>
        <v>75</v>
      </c>
      <c r="M28" s="148">
        <f>IF(M22=0,Thermostat!$B$6,Thermostat!$B$5)</f>
        <v>75</v>
      </c>
      <c r="N28" s="148">
        <f>IF(N22=0,Thermostat!$B$6,Thermostat!$B$5)</f>
        <v>75</v>
      </c>
      <c r="O28" s="148">
        <f>IF(O22=0,Thermostat!$B$6,Thermostat!$B$5)</f>
        <v>75</v>
      </c>
      <c r="P28" s="148">
        <f>IF(P22=0,Thermostat!$B$6,Thermostat!$B$5)</f>
        <v>75</v>
      </c>
      <c r="Q28" s="148">
        <f>IF(Q22=0,Thermostat!$B$6,Thermostat!$B$5)</f>
        <v>75</v>
      </c>
      <c r="R28" s="148">
        <f>IF(R22=0,Thermostat!$B$6,Thermostat!$B$5)</f>
        <v>75</v>
      </c>
      <c r="S28" s="148">
        <f>IF(S22=0,Thermostat!$B$6,Thermostat!$B$5)</f>
        <v>75</v>
      </c>
      <c r="T28" s="148">
        <f>IF(T22=0,Thermostat!$B$6,Thermostat!$B$5)</f>
        <v>75</v>
      </c>
      <c r="U28" s="148">
        <f>IF(U22=0,Thermostat!$B$6,Thermostat!$B$5)</f>
        <v>75</v>
      </c>
      <c r="V28" s="148">
        <f>IF(V22=0,Thermostat!$B$6,Thermostat!$B$5)</f>
        <v>75</v>
      </c>
      <c r="W28" s="148">
        <f>IF(W22=0,Thermostat!$B$6,Thermostat!$B$5)</f>
        <v>75</v>
      </c>
      <c r="X28" s="148">
        <f>IF(X22=0,Thermostat!$B$6,Thermostat!$B$5)</f>
        <v>75</v>
      </c>
      <c r="Y28" s="148">
        <f>IF(Y22=0,Thermostat!$B$6,Thermostat!$B$5)</f>
        <v>75</v>
      </c>
      <c r="Z28" s="148">
        <f>IF(Z22=0,Thermostat!$B$6,Thermostat!$B$5)</f>
        <v>75</v>
      </c>
      <c r="AA28" s="148">
        <f>IF(AA22=0,Thermostat!$B$6,Thermostat!$B$5)</f>
        <v>75</v>
      </c>
      <c r="AB28" s="148">
        <f>IF(AB22=0,Thermostat!$B$6,Thermostat!$B$5)</f>
        <v>85</v>
      </c>
      <c r="AC28" s="148">
        <f>IF(AC22=0,Thermostat!$B$6,Thermostat!$B$5)</f>
        <v>85</v>
      </c>
      <c r="AD28" s="37"/>
      <c r="AE28" s="36"/>
      <c r="AF28" s="36"/>
      <c r="AG28" s="36"/>
      <c r="AH28" s="36"/>
      <c r="AI28" s="36"/>
      <c r="AJ28" s="36"/>
      <c r="AK28" s="36"/>
      <c r="AM28" s="47"/>
    </row>
    <row r="29" spans="1:39" ht="36" customHeight="1" x14ac:dyDescent="0.3">
      <c r="A29" s="577"/>
      <c r="B29" s="580"/>
      <c r="C29" s="583"/>
      <c r="D29" s="586"/>
      <c r="E29" s="164" t="s">
        <v>653</v>
      </c>
      <c r="F29" s="430">
        <f>IF(F23=0,Thermostat!$B$6,Thermostat!$B$5)</f>
        <v>85</v>
      </c>
      <c r="G29" s="430">
        <f>IF(G23=0,Thermostat!$B$6,Thermostat!$B$5)</f>
        <v>85</v>
      </c>
      <c r="H29" s="430">
        <f>IF(H23=0,Thermostat!$B$6,Thermostat!$B$5)</f>
        <v>85</v>
      </c>
      <c r="I29" s="430">
        <f>IF(I23=0,Thermostat!$B$6,Thermostat!$B$5)</f>
        <v>85</v>
      </c>
      <c r="J29" s="430">
        <f>IF(J23=0,Thermostat!$B$6,Thermostat!$B$5)</f>
        <v>85</v>
      </c>
      <c r="K29" s="430">
        <f>IF(K23=0,Thermostat!$B$6,Thermostat!$B$5)</f>
        <v>85</v>
      </c>
      <c r="L29" s="430">
        <f>IF(L23=0,Thermostat!$B$6,Thermostat!$B$5)</f>
        <v>85</v>
      </c>
      <c r="M29" s="430">
        <f>IF(M23=0,Thermostat!$B$6,Thermostat!$B$5)</f>
        <v>85</v>
      </c>
      <c r="N29" s="430">
        <f>IF(N23=0,Thermostat!$B$6,Thermostat!$B$5)</f>
        <v>85</v>
      </c>
      <c r="O29" s="430">
        <f>IF(O23=0,Thermostat!$B$6,Thermostat!$B$5)</f>
        <v>85</v>
      </c>
      <c r="P29" s="430">
        <f>IF(P23=0,Thermostat!$B$6,Thermostat!$B$5)</f>
        <v>85</v>
      </c>
      <c r="Q29" s="430">
        <f>IF(Q23=0,Thermostat!$B$6,Thermostat!$B$5)</f>
        <v>85</v>
      </c>
      <c r="R29" s="430">
        <f>IF(R23=0,Thermostat!$B$6,Thermostat!$B$5)</f>
        <v>85</v>
      </c>
      <c r="S29" s="430">
        <f>IF(S23=0,Thermostat!$B$6,Thermostat!$B$5)</f>
        <v>85</v>
      </c>
      <c r="T29" s="430">
        <f>IF(T23=0,Thermostat!$B$6,Thermostat!$B$5)</f>
        <v>85</v>
      </c>
      <c r="U29" s="430">
        <f>IF(U23=0,Thermostat!$B$6,Thermostat!$B$5)</f>
        <v>85</v>
      </c>
      <c r="V29" s="430">
        <f>IF(V23=0,Thermostat!$B$6,Thermostat!$B$5)</f>
        <v>85</v>
      </c>
      <c r="W29" s="430">
        <f>IF(W23=0,Thermostat!$B$6,Thermostat!$B$5)</f>
        <v>85</v>
      </c>
      <c r="X29" s="430">
        <f>IF(X23=0,Thermostat!$B$6,Thermostat!$B$5)</f>
        <v>85</v>
      </c>
      <c r="Y29" s="430">
        <f>IF(Y23=0,Thermostat!$B$6,Thermostat!$B$5)</f>
        <v>85</v>
      </c>
      <c r="Z29" s="430">
        <f>IF(Z23=0,Thermostat!$B$6,Thermostat!$B$5)</f>
        <v>85</v>
      </c>
      <c r="AA29" s="430">
        <f>IF(AA23=0,Thermostat!$B$6,Thermostat!$B$5)</f>
        <v>85</v>
      </c>
      <c r="AB29" s="430">
        <f>IF(AB23=0,Thermostat!$B$6,Thermostat!$B$5)</f>
        <v>85</v>
      </c>
      <c r="AC29" s="430">
        <f>IF(AC23=0,Thermostat!$B$6,Thermostat!$B$5)</f>
        <v>85</v>
      </c>
      <c r="AD29" s="37"/>
      <c r="AE29" s="36"/>
      <c r="AF29" s="36"/>
      <c r="AG29" s="36"/>
      <c r="AH29" s="36"/>
      <c r="AI29" s="36"/>
      <c r="AJ29" s="36"/>
      <c r="AK29" s="36"/>
      <c r="AM29" s="47"/>
    </row>
    <row r="30" spans="1:39" ht="36" customHeight="1" thickBot="1" x14ac:dyDescent="0.35">
      <c r="A30" s="578"/>
      <c r="B30" s="581"/>
      <c r="C30" s="584"/>
      <c r="D30" s="587"/>
      <c r="E30" s="167" t="s">
        <v>654</v>
      </c>
      <c r="F30" s="431">
        <f>IF(F24=0,Thermostat!$B$6,Thermostat!$B$5)</f>
        <v>85</v>
      </c>
      <c r="G30" s="431">
        <f>IF(G24=0,Thermostat!$B$6,Thermostat!$B$5)</f>
        <v>85</v>
      </c>
      <c r="H30" s="431">
        <f>IF(H24=0,Thermostat!$B$6,Thermostat!$B$5)</f>
        <v>85</v>
      </c>
      <c r="I30" s="431">
        <f>IF(I24=0,Thermostat!$B$6,Thermostat!$B$5)</f>
        <v>85</v>
      </c>
      <c r="J30" s="431">
        <f>IF(J24=0,Thermostat!$B$6,Thermostat!$B$5)</f>
        <v>85</v>
      </c>
      <c r="K30" s="431">
        <f>IF(K24=0,Thermostat!$B$6,Thermostat!$B$5)</f>
        <v>85</v>
      </c>
      <c r="L30" s="431">
        <f>IF(L24=0,Thermostat!$B$6,Thermostat!$B$5)</f>
        <v>85</v>
      </c>
      <c r="M30" s="431">
        <f>IF(M24=0,Thermostat!$B$6,Thermostat!$B$5)</f>
        <v>85</v>
      </c>
      <c r="N30" s="431">
        <f>IF(N24=0,Thermostat!$B$6,Thermostat!$B$5)</f>
        <v>85</v>
      </c>
      <c r="O30" s="431">
        <f>IF(O24=0,Thermostat!$B$6,Thermostat!$B$5)</f>
        <v>85</v>
      </c>
      <c r="P30" s="431">
        <f>IF(P24=0,Thermostat!$B$6,Thermostat!$B$5)</f>
        <v>85</v>
      </c>
      <c r="Q30" s="431">
        <f>IF(Q24=0,Thermostat!$B$6,Thermostat!$B$5)</f>
        <v>85</v>
      </c>
      <c r="R30" s="431">
        <f>IF(R24=0,Thermostat!$B$6,Thermostat!$B$5)</f>
        <v>85</v>
      </c>
      <c r="S30" s="431">
        <f>IF(S24=0,Thermostat!$B$6,Thermostat!$B$5)</f>
        <v>85</v>
      </c>
      <c r="T30" s="431">
        <f>IF(T24=0,Thermostat!$B$6,Thermostat!$B$5)</f>
        <v>85</v>
      </c>
      <c r="U30" s="431">
        <f>IF(U24=0,Thermostat!$B$6,Thermostat!$B$5)</f>
        <v>85</v>
      </c>
      <c r="V30" s="431">
        <f>IF(V24=0,Thermostat!$B$6,Thermostat!$B$5)</f>
        <v>85</v>
      </c>
      <c r="W30" s="431">
        <f>IF(W24=0,Thermostat!$B$6,Thermostat!$B$5)</f>
        <v>85</v>
      </c>
      <c r="X30" s="431">
        <f>IF(X24=0,Thermostat!$B$6,Thermostat!$B$5)</f>
        <v>85</v>
      </c>
      <c r="Y30" s="431">
        <f>IF(Y24=0,Thermostat!$B$6,Thermostat!$B$5)</f>
        <v>85</v>
      </c>
      <c r="Z30" s="431">
        <f>IF(Z24=0,Thermostat!$B$6,Thermostat!$B$5)</f>
        <v>85</v>
      </c>
      <c r="AA30" s="431">
        <f>IF(AA24=0,Thermostat!$B$6,Thermostat!$B$5)</f>
        <v>85</v>
      </c>
      <c r="AB30" s="431">
        <f>IF(AB24=0,Thermostat!$B$6,Thermostat!$B$5)</f>
        <v>85</v>
      </c>
      <c r="AC30" s="431">
        <f>IF(AC24=0,Thermostat!$B$6,Thermostat!$B$5)</f>
        <v>85</v>
      </c>
      <c r="AD30" s="37"/>
      <c r="AE30" s="36"/>
      <c r="AF30" s="36"/>
      <c r="AG30" s="36"/>
      <c r="AH30" s="36"/>
      <c r="AI30" s="36"/>
      <c r="AJ30" s="36"/>
      <c r="AK30" s="36"/>
      <c r="AM30" s="47"/>
    </row>
    <row r="31" spans="1:39" ht="36" customHeight="1" x14ac:dyDescent="0.3">
      <c r="A31" s="576" t="s">
        <v>648</v>
      </c>
      <c r="B31" s="579" t="s">
        <v>649</v>
      </c>
      <c r="C31" s="582" t="s">
        <v>281</v>
      </c>
      <c r="D31" s="585" t="s">
        <v>662</v>
      </c>
      <c r="E31" s="170" t="s">
        <v>652</v>
      </c>
      <c r="F31" s="144">
        <v>1</v>
      </c>
      <c r="G31" s="144">
        <v>1</v>
      </c>
      <c r="H31" s="144">
        <v>1</v>
      </c>
      <c r="I31" s="144">
        <v>1</v>
      </c>
      <c r="J31" s="144">
        <v>1</v>
      </c>
      <c r="K31" s="144">
        <v>1</v>
      </c>
      <c r="L31" s="144">
        <v>1</v>
      </c>
      <c r="M31" s="144">
        <v>0.25</v>
      </c>
      <c r="N31" s="144">
        <v>0.25</v>
      </c>
      <c r="O31" s="144">
        <v>0.25</v>
      </c>
      <c r="P31" s="144">
        <v>0.25</v>
      </c>
      <c r="Q31" s="144">
        <v>0.25</v>
      </c>
      <c r="R31" s="144">
        <v>0.25</v>
      </c>
      <c r="S31" s="144">
        <v>0.25</v>
      </c>
      <c r="T31" s="144">
        <v>0.25</v>
      </c>
      <c r="U31" s="144">
        <v>0.25</v>
      </c>
      <c r="V31" s="144">
        <v>1</v>
      </c>
      <c r="W31" s="144">
        <v>1</v>
      </c>
      <c r="X31" s="144">
        <v>1</v>
      </c>
      <c r="Y31" s="144">
        <v>1</v>
      </c>
      <c r="Z31" s="144">
        <v>1</v>
      </c>
      <c r="AA31" s="144">
        <v>1</v>
      </c>
      <c r="AB31" s="144">
        <v>1</v>
      </c>
      <c r="AC31" s="144">
        <v>1</v>
      </c>
      <c r="AD31" s="37"/>
      <c r="AE31" s="36"/>
      <c r="AF31" s="36"/>
      <c r="AG31" s="36"/>
      <c r="AH31" s="36"/>
      <c r="AI31" s="36"/>
      <c r="AJ31" s="36"/>
      <c r="AK31" s="36"/>
      <c r="AM31" s="47"/>
    </row>
    <row r="32" spans="1:39" ht="36" customHeight="1" x14ac:dyDescent="0.3">
      <c r="A32" s="577"/>
      <c r="B32" s="580"/>
      <c r="C32" s="583"/>
      <c r="D32" s="586"/>
      <c r="E32" s="164" t="s">
        <v>653</v>
      </c>
      <c r="F32" s="157">
        <v>1</v>
      </c>
      <c r="G32" s="157">
        <v>1</v>
      </c>
      <c r="H32" s="157">
        <v>1</v>
      </c>
      <c r="I32" s="157">
        <v>1</v>
      </c>
      <c r="J32" s="157">
        <v>1</v>
      </c>
      <c r="K32" s="157">
        <v>1</v>
      </c>
      <c r="L32" s="157">
        <v>1</v>
      </c>
      <c r="M32" s="157">
        <v>1</v>
      </c>
      <c r="N32" s="157">
        <v>1</v>
      </c>
      <c r="O32" s="157">
        <v>1</v>
      </c>
      <c r="P32" s="157">
        <v>1</v>
      </c>
      <c r="Q32" s="157">
        <v>1</v>
      </c>
      <c r="R32" s="157">
        <v>1</v>
      </c>
      <c r="S32" s="157">
        <v>1</v>
      </c>
      <c r="T32" s="157">
        <v>1</v>
      </c>
      <c r="U32" s="157">
        <v>1</v>
      </c>
      <c r="V32" s="157">
        <v>1</v>
      </c>
      <c r="W32" s="157">
        <v>1</v>
      </c>
      <c r="X32" s="157">
        <v>1</v>
      </c>
      <c r="Y32" s="157">
        <v>1</v>
      </c>
      <c r="Z32" s="157">
        <v>1</v>
      </c>
      <c r="AA32" s="157">
        <v>1</v>
      </c>
      <c r="AB32" s="157">
        <v>1</v>
      </c>
      <c r="AC32" s="157">
        <v>1</v>
      </c>
      <c r="AD32" s="37"/>
      <c r="AE32" s="36"/>
      <c r="AF32" s="36"/>
      <c r="AG32" s="36"/>
      <c r="AH32" s="36"/>
      <c r="AI32" s="36"/>
      <c r="AJ32" s="36"/>
      <c r="AK32" s="36"/>
      <c r="AM32" s="47"/>
    </row>
    <row r="33" spans="1:39" ht="36" customHeight="1" thickBot="1" x14ac:dyDescent="0.35">
      <c r="A33" s="578"/>
      <c r="B33" s="581"/>
      <c r="C33" s="584"/>
      <c r="D33" s="587"/>
      <c r="E33" s="167" t="s">
        <v>654</v>
      </c>
      <c r="F33" s="159">
        <v>1</v>
      </c>
      <c r="G33" s="159">
        <v>1</v>
      </c>
      <c r="H33" s="159">
        <v>1</v>
      </c>
      <c r="I33" s="159">
        <v>1</v>
      </c>
      <c r="J33" s="159">
        <v>1</v>
      </c>
      <c r="K33" s="159">
        <v>1</v>
      </c>
      <c r="L33" s="159">
        <v>1</v>
      </c>
      <c r="M33" s="159">
        <v>1</v>
      </c>
      <c r="N33" s="159">
        <v>1</v>
      </c>
      <c r="O33" s="159">
        <v>1</v>
      </c>
      <c r="P33" s="159">
        <v>1</v>
      </c>
      <c r="Q33" s="159">
        <v>1</v>
      </c>
      <c r="R33" s="159">
        <v>1</v>
      </c>
      <c r="S33" s="159">
        <v>1</v>
      </c>
      <c r="T33" s="159">
        <v>1</v>
      </c>
      <c r="U33" s="159">
        <v>1</v>
      </c>
      <c r="V33" s="159">
        <v>1</v>
      </c>
      <c r="W33" s="159">
        <v>1</v>
      </c>
      <c r="X33" s="159">
        <v>1</v>
      </c>
      <c r="Y33" s="159">
        <v>1</v>
      </c>
      <c r="Z33" s="159">
        <v>1</v>
      </c>
      <c r="AA33" s="159">
        <v>1</v>
      </c>
      <c r="AB33" s="159">
        <v>1</v>
      </c>
      <c r="AC33" s="159">
        <v>1</v>
      </c>
      <c r="AD33" s="37"/>
      <c r="AE33" s="36"/>
      <c r="AF33" s="36"/>
      <c r="AG33" s="36"/>
      <c r="AH33" s="36"/>
      <c r="AI33" s="36"/>
      <c r="AJ33" s="36"/>
      <c r="AK33" s="36"/>
      <c r="AM33" s="47"/>
    </row>
    <row r="34" spans="1:39" ht="35.25" customHeight="1" thickBot="1" x14ac:dyDescent="0.35">
      <c r="A34" s="632" t="s">
        <v>120</v>
      </c>
      <c r="B34" s="632"/>
      <c r="C34" s="632" t="s">
        <v>16</v>
      </c>
      <c r="D34" s="632"/>
      <c r="E34" s="632"/>
      <c r="F34" s="632"/>
      <c r="G34" s="632"/>
      <c r="H34" s="632"/>
      <c r="I34" s="632"/>
      <c r="J34" s="632"/>
      <c r="K34" s="632"/>
      <c r="L34" s="632"/>
      <c r="M34" s="632"/>
      <c r="N34" s="632"/>
      <c r="O34" s="632"/>
      <c r="P34" s="632"/>
      <c r="Q34" s="632"/>
      <c r="R34" s="632"/>
      <c r="S34" s="632"/>
      <c r="T34" s="632"/>
      <c r="U34" s="632"/>
      <c r="V34" s="632"/>
      <c r="W34" s="632"/>
      <c r="X34" s="632"/>
      <c r="Y34" s="632"/>
      <c r="Z34" s="632"/>
      <c r="AA34" s="632"/>
      <c r="AB34" s="632"/>
      <c r="AC34" s="633"/>
    </row>
    <row r="35" spans="1:39" s="171" customFormat="1" ht="25.2" customHeight="1" x14ac:dyDescent="0.25">
      <c r="A35" s="588" t="s">
        <v>664</v>
      </c>
      <c r="B35" s="579" t="s">
        <v>120</v>
      </c>
      <c r="C35" s="579" t="s">
        <v>650</v>
      </c>
      <c r="D35" s="600" t="s">
        <v>662</v>
      </c>
      <c r="E35" s="170" t="s">
        <v>652</v>
      </c>
      <c r="F35" s="144">
        <v>0</v>
      </c>
      <c r="G35" s="144">
        <v>0</v>
      </c>
      <c r="H35" s="144">
        <v>0</v>
      </c>
      <c r="I35" s="144">
        <v>0</v>
      </c>
      <c r="J35" s="144">
        <v>0</v>
      </c>
      <c r="K35" s="144">
        <v>0.1</v>
      </c>
      <c r="L35" s="144">
        <v>0.5</v>
      </c>
      <c r="M35" s="144">
        <v>0.95</v>
      </c>
      <c r="N35" s="144">
        <v>0.95</v>
      </c>
      <c r="O35" s="144">
        <v>0.95</v>
      </c>
      <c r="P35" s="144">
        <v>0.95</v>
      </c>
      <c r="Q35" s="144">
        <v>0.95</v>
      </c>
      <c r="R35" s="144">
        <v>0.95</v>
      </c>
      <c r="S35" s="144">
        <v>0.95</v>
      </c>
      <c r="T35" s="144">
        <v>0.5</v>
      </c>
      <c r="U35" s="144">
        <v>0</v>
      </c>
      <c r="V35" s="144">
        <v>0</v>
      </c>
      <c r="W35" s="144">
        <v>0</v>
      </c>
      <c r="X35" s="144">
        <v>0</v>
      </c>
      <c r="Y35" s="144">
        <v>0</v>
      </c>
      <c r="Z35" s="144">
        <v>0</v>
      </c>
      <c r="AA35" s="144">
        <v>0</v>
      </c>
      <c r="AB35" s="144">
        <v>0</v>
      </c>
      <c r="AC35" s="145">
        <v>0</v>
      </c>
      <c r="AD35" s="36"/>
      <c r="AE35" s="36"/>
      <c r="AF35" s="36"/>
      <c r="AG35" s="36"/>
      <c r="AH35" s="36"/>
      <c r="AI35" s="36"/>
      <c r="AJ35" s="36"/>
    </row>
    <row r="36" spans="1:39" s="171" customFormat="1" ht="25.2" customHeight="1" x14ac:dyDescent="0.25">
      <c r="A36" s="589"/>
      <c r="B36" s="580"/>
      <c r="C36" s="580"/>
      <c r="D36" s="601"/>
      <c r="E36" s="164" t="s">
        <v>653</v>
      </c>
      <c r="F36" s="157">
        <v>0</v>
      </c>
      <c r="G36" s="157">
        <v>0</v>
      </c>
      <c r="H36" s="157">
        <v>0</v>
      </c>
      <c r="I36" s="157">
        <v>0</v>
      </c>
      <c r="J36" s="157">
        <v>0</v>
      </c>
      <c r="K36" s="157">
        <v>0</v>
      </c>
      <c r="L36" s="157">
        <v>0</v>
      </c>
      <c r="M36" s="157">
        <v>0</v>
      </c>
      <c r="N36" s="157">
        <v>0</v>
      </c>
      <c r="O36" s="157">
        <v>0</v>
      </c>
      <c r="P36" s="157">
        <v>0</v>
      </c>
      <c r="Q36" s="157">
        <v>0</v>
      </c>
      <c r="R36" s="157">
        <v>0</v>
      </c>
      <c r="S36" s="157">
        <v>0</v>
      </c>
      <c r="T36" s="157">
        <v>0</v>
      </c>
      <c r="U36" s="157">
        <v>0</v>
      </c>
      <c r="V36" s="157">
        <v>0</v>
      </c>
      <c r="W36" s="157">
        <v>0</v>
      </c>
      <c r="X36" s="157">
        <v>0</v>
      </c>
      <c r="Y36" s="157">
        <v>0</v>
      </c>
      <c r="Z36" s="157">
        <v>0</v>
      </c>
      <c r="AA36" s="157">
        <v>0</v>
      </c>
      <c r="AB36" s="157">
        <v>0</v>
      </c>
      <c r="AC36" s="158">
        <v>0</v>
      </c>
      <c r="AD36" s="36"/>
      <c r="AE36" s="36"/>
      <c r="AF36" s="36"/>
      <c r="AG36" s="36"/>
      <c r="AH36" s="36"/>
      <c r="AI36" s="36"/>
      <c r="AJ36" s="36"/>
    </row>
    <row r="37" spans="1:39" s="171" customFormat="1" ht="25.2" customHeight="1" thickBot="1" x14ac:dyDescent="0.3">
      <c r="A37" s="590"/>
      <c r="B37" s="581"/>
      <c r="C37" s="581"/>
      <c r="D37" s="602"/>
      <c r="E37" s="167" t="s">
        <v>654</v>
      </c>
      <c r="F37" s="159">
        <v>0</v>
      </c>
      <c r="G37" s="159">
        <v>0</v>
      </c>
      <c r="H37" s="159">
        <v>0</v>
      </c>
      <c r="I37" s="159">
        <v>0</v>
      </c>
      <c r="J37" s="159">
        <v>0</v>
      </c>
      <c r="K37" s="159">
        <v>0</v>
      </c>
      <c r="L37" s="159">
        <v>0</v>
      </c>
      <c r="M37" s="159">
        <v>0</v>
      </c>
      <c r="N37" s="159">
        <v>0</v>
      </c>
      <c r="O37" s="159">
        <v>0</v>
      </c>
      <c r="P37" s="159">
        <v>0</v>
      </c>
      <c r="Q37" s="159">
        <v>0</v>
      </c>
      <c r="R37" s="159">
        <v>0</v>
      </c>
      <c r="S37" s="159">
        <v>0</v>
      </c>
      <c r="T37" s="159">
        <v>0</v>
      </c>
      <c r="U37" s="159">
        <v>0</v>
      </c>
      <c r="V37" s="159">
        <v>0</v>
      </c>
      <c r="W37" s="159">
        <v>0</v>
      </c>
      <c r="X37" s="159">
        <v>0</v>
      </c>
      <c r="Y37" s="159">
        <v>0</v>
      </c>
      <c r="Z37" s="159">
        <v>0</v>
      </c>
      <c r="AA37" s="159">
        <v>0</v>
      </c>
      <c r="AB37" s="159">
        <v>0</v>
      </c>
      <c r="AC37" s="160">
        <v>0</v>
      </c>
      <c r="AD37" s="36"/>
      <c r="AE37" s="36"/>
      <c r="AF37" s="36"/>
      <c r="AG37" s="36"/>
      <c r="AH37" s="36"/>
      <c r="AI37" s="36"/>
      <c r="AJ37" s="36"/>
    </row>
    <row r="38" spans="1:39" s="171" customFormat="1" ht="25.2" customHeight="1" x14ac:dyDescent="0.25">
      <c r="A38" s="588" t="s">
        <v>664</v>
      </c>
      <c r="B38" s="579" t="s">
        <v>120</v>
      </c>
      <c r="C38" s="579" t="s">
        <v>660</v>
      </c>
      <c r="D38" s="600" t="s">
        <v>662</v>
      </c>
      <c r="E38" s="170" t="s">
        <v>652</v>
      </c>
      <c r="F38" s="146">
        <v>0</v>
      </c>
      <c r="G38" s="146">
        <v>0</v>
      </c>
      <c r="H38" s="146">
        <v>0</v>
      </c>
      <c r="I38" s="146">
        <v>0</v>
      </c>
      <c r="J38" s="146">
        <v>0</v>
      </c>
      <c r="K38" s="146">
        <v>1</v>
      </c>
      <c r="L38" s="146">
        <v>1</v>
      </c>
      <c r="M38" s="146">
        <v>1</v>
      </c>
      <c r="N38" s="146">
        <v>1</v>
      </c>
      <c r="O38" s="146">
        <v>1</v>
      </c>
      <c r="P38" s="146">
        <v>1</v>
      </c>
      <c r="Q38" s="146">
        <v>1</v>
      </c>
      <c r="R38" s="146">
        <v>1</v>
      </c>
      <c r="S38" s="146">
        <v>1</v>
      </c>
      <c r="T38" s="146">
        <v>1</v>
      </c>
      <c r="U38" s="146">
        <v>0</v>
      </c>
      <c r="V38" s="146">
        <v>0</v>
      </c>
      <c r="W38" s="146">
        <v>0</v>
      </c>
      <c r="X38" s="146">
        <v>0</v>
      </c>
      <c r="Y38" s="146">
        <v>0</v>
      </c>
      <c r="Z38" s="146">
        <v>0</v>
      </c>
      <c r="AA38" s="146">
        <v>0</v>
      </c>
      <c r="AB38" s="146">
        <v>0</v>
      </c>
      <c r="AC38" s="147">
        <v>0</v>
      </c>
      <c r="AD38" s="36"/>
      <c r="AE38" s="36"/>
      <c r="AF38" s="36"/>
      <c r="AG38" s="36"/>
      <c r="AH38" s="36"/>
      <c r="AI38" s="36"/>
      <c r="AJ38" s="36"/>
    </row>
    <row r="39" spans="1:39" s="171" customFormat="1" ht="25.2" customHeight="1" x14ac:dyDescent="0.25">
      <c r="A39" s="589"/>
      <c r="B39" s="580"/>
      <c r="C39" s="580"/>
      <c r="D39" s="601"/>
      <c r="E39" s="164" t="s">
        <v>653</v>
      </c>
      <c r="F39" s="157">
        <v>0</v>
      </c>
      <c r="G39" s="157">
        <v>0</v>
      </c>
      <c r="H39" s="157">
        <v>0</v>
      </c>
      <c r="I39" s="157">
        <v>0</v>
      </c>
      <c r="J39" s="157">
        <v>0</v>
      </c>
      <c r="K39" s="157">
        <v>0</v>
      </c>
      <c r="L39" s="157">
        <v>0</v>
      </c>
      <c r="M39" s="157">
        <v>0</v>
      </c>
      <c r="N39" s="157">
        <v>0</v>
      </c>
      <c r="O39" s="157">
        <v>0</v>
      </c>
      <c r="P39" s="157">
        <v>0</v>
      </c>
      <c r="Q39" s="157">
        <v>0</v>
      </c>
      <c r="R39" s="157">
        <v>0</v>
      </c>
      <c r="S39" s="157">
        <v>0</v>
      </c>
      <c r="T39" s="157">
        <v>0</v>
      </c>
      <c r="U39" s="157">
        <v>0</v>
      </c>
      <c r="V39" s="157">
        <v>0</v>
      </c>
      <c r="W39" s="157">
        <v>0</v>
      </c>
      <c r="X39" s="157">
        <v>0</v>
      </c>
      <c r="Y39" s="157">
        <v>0</v>
      </c>
      <c r="Z39" s="157">
        <v>0</v>
      </c>
      <c r="AA39" s="157">
        <v>0</v>
      </c>
      <c r="AB39" s="157">
        <v>0</v>
      </c>
      <c r="AC39" s="158">
        <v>0</v>
      </c>
      <c r="AD39" s="36"/>
      <c r="AE39" s="36"/>
      <c r="AF39" s="36"/>
      <c r="AG39" s="36"/>
      <c r="AH39" s="36"/>
      <c r="AI39" s="36"/>
      <c r="AJ39" s="36"/>
    </row>
    <row r="40" spans="1:39" s="171" customFormat="1" ht="25.2" customHeight="1" thickBot="1" x14ac:dyDescent="0.3">
      <c r="A40" s="590"/>
      <c r="B40" s="581"/>
      <c r="C40" s="581"/>
      <c r="D40" s="602"/>
      <c r="E40" s="167" t="s">
        <v>654</v>
      </c>
      <c r="F40" s="159">
        <v>0</v>
      </c>
      <c r="G40" s="159">
        <v>0</v>
      </c>
      <c r="H40" s="159">
        <v>0</v>
      </c>
      <c r="I40" s="159">
        <v>0</v>
      </c>
      <c r="J40" s="159">
        <v>0</v>
      </c>
      <c r="K40" s="159">
        <v>0</v>
      </c>
      <c r="L40" s="159">
        <v>0</v>
      </c>
      <c r="M40" s="159">
        <v>0</v>
      </c>
      <c r="N40" s="159">
        <v>0</v>
      </c>
      <c r="O40" s="159">
        <v>0</v>
      </c>
      <c r="P40" s="159">
        <v>0</v>
      </c>
      <c r="Q40" s="159">
        <v>0</v>
      </c>
      <c r="R40" s="159">
        <v>0</v>
      </c>
      <c r="S40" s="159">
        <v>0</v>
      </c>
      <c r="T40" s="159">
        <v>0</v>
      </c>
      <c r="U40" s="159">
        <v>0</v>
      </c>
      <c r="V40" s="159">
        <v>0</v>
      </c>
      <c r="W40" s="159">
        <v>0</v>
      </c>
      <c r="X40" s="159">
        <v>0</v>
      </c>
      <c r="Y40" s="159">
        <v>0</v>
      </c>
      <c r="Z40" s="159">
        <v>0</v>
      </c>
      <c r="AA40" s="159">
        <v>0</v>
      </c>
      <c r="AB40" s="159">
        <v>0</v>
      </c>
      <c r="AC40" s="160">
        <v>0</v>
      </c>
      <c r="AD40" s="36"/>
      <c r="AE40" s="36"/>
      <c r="AF40" s="36"/>
      <c r="AG40" s="36"/>
      <c r="AH40" s="36"/>
      <c r="AI40" s="36"/>
      <c r="AJ40" s="36"/>
    </row>
    <row r="41" spans="1:39" s="171" customFormat="1" ht="25.2" customHeight="1" x14ac:dyDescent="0.25">
      <c r="A41" s="588" t="s">
        <v>664</v>
      </c>
      <c r="B41" s="579" t="s">
        <v>120</v>
      </c>
      <c r="C41" s="579" t="s">
        <v>655</v>
      </c>
      <c r="D41" s="600" t="s">
        <v>662</v>
      </c>
      <c r="E41" s="170" t="s">
        <v>652</v>
      </c>
      <c r="F41" s="144">
        <v>0</v>
      </c>
      <c r="G41" s="144">
        <v>0</v>
      </c>
      <c r="H41" s="144">
        <v>0</v>
      </c>
      <c r="I41" s="144">
        <v>0</v>
      </c>
      <c r="J41" s="144">
        <v>0</v>
      </c>
      <c r="K41" s="144">
        <v>1</v>
      </c>
      <c r="L41" s="144">
        <v>1</v>
      </c>
      <c r="M41" s="144">
        <v>1</v>
      </c>
      <c r="N41" s="144">
        <v>1</v>
      </c>
      <c r="O41" s="144">
        <v>1</v>
      </c>
      <c r="P41" s="144">
        <v>1</v>
      </c>
      <c r="Q41" s="144">
        <v>1</v>
      </c>
      <c r="R41" s="144">
        <v>1</v>
      </c>
      <c r="S41" s="144">
        <v>1</v>
      </c>
      <c r="T41" s="144">
        <v>1</v>
      </c>
      <c r="U41" s="144">
        <v>0</v>
      </c>
      <c r="V41" s="144">
        <v>0</v>
      </c>
      <c r="W41" s="144">
        <v>0</v>
      </c>
      <c r="X41" s="144">
        <v>0</v>
      </c>
      <c r="Y41" s="144">
        <v>0</v>
      </c>
      <c r="Z41" s="144">
        <v>0</v>
      </c>
      <c r="AA41" s="144">
        <v>0</v>
      </c>
      <c r="AB41" s="144">
        <v>0</v>
      </c>
      <c r="AC41" s="145">
        <v>0</v>
      </c>
      <c r="AD41" s="36"/>
      <c r="AE41" s="36"/>
      <c r="AF41" s="36"/>
      <c r="AG41" s="36"/>
      <c r="AH41" s="36"/>
      <c r="AI41" s="36"/>
      <c r="AJ41" s="36"/>
    </row>
    <row r="42" spans="1:39" s="171" customFormat="1" ht="25.2" customHeight="1" x14ac:dyDescent="0.25">
      <c r="A42" s="589"/>
      <c r="B42" s="580"/>
      <c r="C42" s="580"/>
      <c r="D42" s="601"/>
      <c r="E42" s="164" t="s">
        <v>653</v>
      </c>
      <c r="F42" s="157">
        <v>0</v>
      </c>
      <c r="G42" s="157">
        <v>0</v>
      </c>
      <c r="H42" s="157">
        <v>0</v>
      </c>
      <c r="I42" s="157">
        <v>0</v>
      </c>
      <c r="J42" s="157">
        <v>0</v>
      </c>
      <c r="K42" s="157">
        <v>0</v>
      </c>
      <c r="L42" s="157">
        <v>0</v>
      </c>
      <c r="M42" s="157">
        <v>0</v>
      </c>
      <c r="N42" s="157">
        <v>0</v>
      </c>
      <c r="O42" s="157">
        <v>0</v>
      </c>
      <c r="P42" s="157">
        <v>0</v>
      </c>
      <c r="Q42" s="157">
        <v>0</v>
      </c>
      <c r="R42" s="157">
        <v>0</v>
      </c>
      <c r="S42" s="157">
        <v>0</v>
      </c>
      <c r="T42" s="157">
        <v>0</v>
      </c>
      <c r="U42" s="157">
        <v>0</v>
      </c>
      <c r="V42" s="157">
        <v>0</v>
      </c>
      <c r="W42" s="157">
        <v>0</v>
      </c>
      <c r="X42" s="157">
        <v>0</v>
      </c>
      <c r="Y42" s="157">
        <v>0</v>
      </c>
      <c r="Z42" s="157">
        <v>0</v>
      </c>
      <c r="AA42" s="157">
        <v>0</v>
      </c>
      <c r="AB42" s="157">
        <v>0</v>
      </c>
      <c r="AC42" s="158">
        <v>0</v>
      </c>
      <c r="AD42" s="36"/>
      <c r="AE42" s="36"/>
      <c r="AF42" s="36"/>
      <c r="AG42" s="36"/>
      <c r="AH42" s="36"/>
      <c r="AI42" s="36"/>
      <c r="AJ42" s="36"/>
    </row>
    <row r="43" spans="1:39" s="171" customFormat="1" ht="25.2" customHeight="1" thickBot="1" x14ac:dyDescent="0.3">
      <c r="A43" s="590"/>
      <c r="B43" s="581"/>
      <c r="C43" s="581"/>
      <c r="D43" s="602"/>
      <c r="E43" s="167" t="s">
        <v>654</v>
      </c>
      <c r="F43" s="159">
        <v>0</v>
      </c>
      <c r="G43" s="159">
        <v>0</v>
      </c>
      <c r="H43" s="159">
        <v>0</v>
      </c>
      <c r="I43" s="159">
        <v>0</v>
      </c>
      <c r="J43" s="159">
        <v>0</v>
      </c>
      <c r="K43" s="159">
        <v>0</v>
      </c>
      <c r="L43" s="159">
        <v>0</v>
      </c>
      <c r="M43" s="159">
        <v>0</v>
      </c>
      <c r="N43" s="159">
        <v>0</v>
      </c>
      <c r="O43" s="159">
        <v>0</v>
      </c>
      <c r="P43" s="159">
        <v>0</v>
      </c>
      <c r="Q43" s="159">
        <v>0</v>
      </c>
      <c r="R43" s="159">
        <v>0</v>
      </c>
      <c r="S43" s="159">
        <v>0</v>
      </c>
      <c r="T43" s="159">
        <v>0</v>
      </c>
      <c r="U43" s="159">
        <v>0</v>
      </c>
      <c r="V43" s="159">
        <v>0</v>
      </c>
      <c r="W43" s="159">
        <v>0</v>
      </c>
      <c r="X43" s="159">
        <v>0</v>
      </c>
      <c r="Y43" s="159">
        <v>0</v>
      </c>
      <c r="Z43" s="159">
        <v>0</v>
      </c>
      <c r="AA43" s="159">
        <v>0</v>
      </c>
      <c r="AB43" s="159">
        <v>0</v>
      </c>
      <c r="AC43" s="160">
        <v>0</v>
      </c>
      <c r="AD43" s="36"/>
      <c r="AE43" s="36"/>
      <c r="AF43" s="36"/>
      <c r="AG43" s="36"/>
      <c r="AH43" s="36"/>
      <c r="AI43" s="36"/>
      <c r="AJ43" s="36"/>
    </row>
    <row r="44" spans="1:39" s="171" customFormat="1" ht="25.2" customHeight="1" x14ac:dyDescent="0.25">
      <c r="A44" s="588" t="s">
        <v>664</v>
      </c>
      <c r="B44" s="579" t="s">
        <v>120</v>
      </c>
      <c r="C44" s="579" t="s">
        <v>656</v>
      </c>
      <c r="D44" s="600" t="s">
        <v>662</v>
      </c>
      <c r="E44" s="170" t="s">
        <v>652</v>
      </c>
      <c r="F44" s="146">
        <v>0.15</v>
      </c>
      <c r="G44" s="146">
        <v>0.15</v>
      </c>
      <c r="H44" s="146">
        <v>0.15</v>
      </c>
      <c r="I44" s="146">
        <v>0.15</v>
      </c>
      <c r="J44" s="146">
        <v>0.15</v>
      </c>
      <c r="K44" s="146">
        <v>0.2</v>
      </c>
      <c r="L44" s="146">
        <v>0.3</v>
      </c>
      <c r="M44" s="146">
        <v>0.9</v>
      </c>
      <c r="N44" s="146">
        <v>0.9</v>
      </c>
      <c r="O44" s="146">
        <v>0.8</v>
      </c>
      <c r="P44" s="146">
        <v>0.8</v>
      </c>
      <c r="Q44" s="146">
        <v>0.8</v>
      </c>
      <c r="R44" s="146">
        <v>0.9</v>
      </c>
      <c r="S44" s="146">
        <v>0.9</v>
      </c>
      <c r="T44" s="146">
        <v>0.9</v>
      </c>
      <c r="U44" s="146">
        <v>0.7</v>
      </c>
      <c r="V44" s="146">
        <v>0.2</v>
      </c>
      <c r="W44" s="146">
        <v>0.15</v>
      </c>
      <c r="X44" s="146">
        <v>0.15</v>
      </c>
      <c r="Y44" s="146">
        <v>0.15</v>
      </c>
      <c r="Z44" s="146">
        <v>0.15</v>
      </c>
      <c r="AA44" s="146">
        <v>0.15</v>
      </c>
      <c r="AB44" s="146">
        <v>0.15</v>
      </c>
      <c r="AC44" s="147">
        <v>0.15</v>
      </c>
      <c r="AD44" s="36"/>
      <c r="AE44" s="36"/>
      <c r="AF44" s="36"/>
      <c r="AG44" s="36"/>
      <c r="AH44" s="36"/>
      <c r="AI44" s="36"/>
      <c r="AJ44" s="36"/>
    </row>
    <row r="45" spans="1:39" s="171" customFormat="1" ht="25.2" customHeight="1" x14ac:dyDescent="0.25">
      <c r="A45" s="589"/>
      <c r="B45" s="580"/>
      <c r="C45" s="580"/>
      <c r="D45" s="601"/>
      <c r="E45" s="164" t="s">
        <v>653</v>
      </c>
      <c r="F45" s="157">
        <v>0</v>
      </c>
      <c r="G45" s="157">
        <v>0</v>
      </c>
      <c r="H45" s="157">
        <v>0</v>
      </c>
      <c r="I45" s="157">
        <v>0</v>
      </c>
      <c r="J45" s="157">
        <v>0</v>
      </c>
      <c r="K45" s="157">
        <v>0</v>
      </c>
      <c r="L45" s="157">
        <v>0</v>
      </c>
      <c r="M45" s="157">
        <v>0</v>
      </c>
      <c r="N45" s="157">
        <v>0</v>
      </c>
      <c r="O45" s="157">
        <v>0</v>
      </c>
      <c r="P45" s="157">
        <v>0</v>
      </c>
      <c r="Q45" s="157">
        <v>0</v>
      </c>
      <c r="R45" s="157">
        <v>0</v>
      </c>
      <c r="S45" s="157">
        <v>0</v>
      </c>
      <c r="T45" s="157">
        <v>0</v>
      </c>
      <c r="U45" s="157">
        <v>0</v>
      </c>
      <c r="V45" s="157">
        <v>0</v>
      </c>
      <c r="W45" s="157">
        <v>0</v>
      </c>
      <c r="X45" s="157">
        <v>0</v>
      </c>
      <c r="Y45" s="157">
        <v>0</v>
      </c>
      <c r="Z45" s="157">
        <v>0</v>
      </c>
      <c r="AA45" s="157">
        <v>0</v>
      </c>
      <c r="AB45" s="157">
        <v>0</v>
      </c>
      <c r="AC45" s="158">
        <v>0</v>
      </c>
      <c r="AD45" s="36"/>
      <c r="AE45" s="36"/>
      <c r="AF45" s="36"/>
      <c r="AG45" s="36"/>
      <c r="AH45" s="36"/>
      <c r="AI45" s="36"/>
      <c r="AJ45" s="36"/>
    </row>
    <row r="46" spans="1:39" s="171" customFormat="1" ht="25.2" customHeight="1" thickBot="1" x14ac:dyDescent="0.3">
      <c r="A46" s="590"/>
      <c r="B46" s="581"/>
      <c r="C46" s="581"/>
      <c r="D46" s="602"/>
      <c r="E46" s="432" t="s">
        <v>654</v>
      </c>
      <c r="F46" s="159">
        <v>0</v>
      </c>
      <c r="G46" s="159">
        <v>0</v>
      </c>
      <c r="H46" s="159">
        <v>0</v>
      </c>
      <c r="I46" s="159">
        <v>0</v>
      </c>
      <c r="J46" s="159">
        <v>0</v>
      </c>
      <c r="K46" s="159">
        <v>0</v>
      </c>
      <c r="L46" s="159">
        <v>0</v>
      </c>
      <c r="M46" s="159">
        <v>0</v>
      </c>
      <c r="N46" s="159">
        <v>0</v>
      </c>
      <c r="O46" s="159">
        <v>0</v>
      </c>
      <c r="P46" s="159">
        <v>0</v>
      </c>
      <c r="Q46" s="159">
        <v>0</v>
      </c>
      <c r="R46" s="159">
        <v>0</v>
      </c>
      <c r="S46" s="159">
        <v>0</v>
      </c>
      <c r="T46" s="159">
        <v>0</v>
      </c>
      <c r="U46" s="159">
        <v>0</v>
      </c>
      <c r="V46" s="159">
        <v>0</v>
      </c>
      <c r="W46" s="159">
        <v>0</v>
      </c>
      <c r="X46" s="159">
        <v>0</v>
      </c>
      <c r="Y46" s="159">
        <v>0</v>
      </c>
      <c r="Z46" s="159">
        <v>0</v>
      </c>
      <c r="AA46" s="159">
        <v>0</v>
      </c>
      <c r="AB46" s="159">
        <v>0</v>
      </c>
      <c r="AC46" s="160">
        <v>0</v>
      </c>
      <c r="AD46" s="36"/>
      <c r="AE46" s="36"/>
      <c r="AF46" s="36"/>
      <c r="AG46" s="36"/>
      <c r="AH46" s="36"/>
      <c r="AI46" s="36"/>
      <c r="AJ46" s="36"/>
    </row>
    <row r="47" spans="1:39" s="171" customFormat="1" ht="25.2" customHeight="1" x14ac:dyDescent="0.25">
      <c r="A47" s="588" t="s">
        <v>664</v>
      </c>
      <c r="B47" s="579" t="s">
        <v>120</v>
      </c>
      <c r="C47" s="579" t="s">
        <v>661</v>
      </c>
      <c r="D47" s="603" t="s">
        <v>374</v>
      </c>
      <c r="E47" s="433" t="s">
        <v>652</v>
      </c>
      <c r="F47" s="434">
        <f>IF(F38=0,Thermostat!$B$8,Thermostat!$B$7)</f>
        <v>60</v>
      </c>
      <c r="G47" s="434">
        <f>IF(G38=0,Thermostat!$B$8,Thermostat!$B$7)</f>
        <v>60</v>
      </c>
      <c r="H47" s="434">
        <f>IF(H38=0,Thermostat!$B$8,Thermostat!$B$7)</f>
        <v>60</v>
      </c>
      <c r="I47" s="434">
        <f>IF(I38=0,Thermostat!$B$8,Thermostat!$B$7)</f>
        <v>60</v>
      </c>
      <c r="J47" s="434">
        <f>IF(J38=0,Thermostat!$B$8,Thermostat!$B$7)</f>
        <v>60</v>
      </c>
      <c r="K47" s="434">
        <f>IF(K38=0,Thermostat!$B$8,Thermostat!$B$7)</f>
        <v>70</v>
      </c>
      <c r="L47" s="434">
        <f>IF(L38=0,Thermostat!$B$8,Thermostat!$B$7)</f>
        <v>70</v>
      </c>
      <c r="M47" s="434">
        <f>IF(M38=0,Thermostat!$B$8,Thermostat!$B$7)</f>
        <v>70</v>
      </c>
      <c r="N47" s="434">
        <f>IF(N38=0,Thermostat!$B$8,Thermostat!$B$7)</f>
        <v>70</v>
      </c>
      <c r="O47" s="434">
        <f>IF(O38=0,Thermostat!$B$8,Thermostat!$B$7)</f>
        <v>70</v>
      </c>
      <c r="P47" s="434">
        <f>IF(P38=0,Thermostat!$B$8,Thermostat!$B$7)</f>
        <v>70</v>
      </c>
      <c r="Q47" s="434">
        <f>IF(Q38=0,Thermostat!$B$8,Thermostat!$B$7)</f>
        <v>70</v>
      </c>
      <c r="R47" s="434">
        <f>IF(R38=0,Thermostat!$B$8,Thermostat!$B$7)</f>
        <v>70</v>
      </c>
      <c r="S47" s="434">
        <f>IF(S38=0,Thermostat!$B$8,Thermostat!$B$7)</f>
        <v>70</v>
      </c>
      <c r="T47" s="434">
        <f>IF(T38=0,Thermostat!$B$8,Thermostat!$B$7)</f>
        <v>70</v>
      </c>
      <c r="U47" s="434">
        <f>IF(U38=0,Thermostat!$B$8,Thermostat!$B$7)</f>
        <v>60</v>
      </c>
      <c r="V47" s="434">
        <f>IF(V38=0,Thermostat!$B$8,Thermostat!$B$7)</f>
        <v>60</v>
      </c>
      <c r="W47" s="434">
        <f>IF(W38=0,Thermostat!$B$8,Thermostat!$B$7)</f>
        <v>60</v>
      </c>
      <c r="X47" s="434">
        <f>IF(X38=0,Thermostat!$B$8,Thermostat!$B$7)</f>
        <v>60</v>
      </c>
      <c r="Y47" s="434">
        <f>IF(Y38=0,Thermostat!$B$8,Thermostat!$B$7)</f>
        <v>60</v>
      </c>
      <c r="Z47" s="434">
        <f>IF(Z38=0,Thermostat!$B$8,Thermostat!$B$7)</f>
        <v>60</v>
      </c>
      <c r="AA47" s="434">
        <f>IF(AA38=0,Thermostat!$B$8,Thermostat!$B$7)</f>
        <v>60</v>
      </c>
      <c r="AB47" s="434">
        <f>IF(AB38=0,Thermostat!$B$8,Thermostat!$B$7)</f>
        <v>60</v>
      </c>
      <c r="AC47" s="434">
        <f>IF(AC38=0,Thermostat!$B$8,Thermostat!$B$7)</f>
        <v>60</v>
      </c>
      <c r="AD47" s="36"/>
      <c r="AE47" s="36"/>
      <c r="AF47" s="36"/>
      <c r="AG47" s="36"/>
      <c r="AH47" s="36"/>
      <c r="AI47" s="36"/>
      <c r="AJ47" s="36"/>
    </row>
    <row r="48" spans="1:39" s="171" customFormat="1" ht="25.2" customHeight="1" x14ac:dyDescent="0.25">
      <c r="A48" s="589"/>
      <c r="B48" s="580"/>
      <c r="C48" s="580"/>
      <c r="D48" s="601"/>
      <c r="E48" s="435" t="s">
        <v>653</v>
      </c>
      <c r="F48" s="436">
        <f>IF(F39=0,Thermostat!$B$8,Thermostat!$B$7)</f>
        <v>60</v>
      </c>
      <c r="G48" s="436">
        <f>IF(G39=0,Thermostat!$B$8,Thermostat!$B$7)</f>
        <v>60</v>
      </c>
      <c r="H48" s="436">
        <f>IF(H39=0,Thermostat!$B$8,Thermostat!$B$7)</f>
        <v>60</v>
      </c>
      <c r="I48" s="436">
        <f>IF(I39=0,Thermostat!$B$8,Thermostat!$B$7)</f>
        <v>60</v>
      </c>
      <c r="J48" s="436">
        <f>IF(J39=0,Thermostat!$B$8,Thermostat!$B$7)</f>
        <v>60</v>
      </c>
      <c r="K48" s="436">
        <f>IF(K39=0,Thermostat!$B$8,Thermostat!$B$7)</f>
        <v>60</v>
      </c>
      <c r="L48" s="436">
        <f>IF(L39=0,Thermostat!$B$8,Thermostat!$B$7)</f>
        <v>60</v>
      </c>
      <c r="M48" s="436">
        <f>IF(M39=0,Thermostat!$B$8,Thermostat!$B$7)</f>
        <v>60</v>
      </c>
      <c r="N48" s="436">
        <f>IF(N39=0,Thermostat!$B$8,Thermostat!$B$7)</f>
        <v>60</v>
      </c>
      <c r="O48" s="436">
        <f>IF(O39=0,Thermostat!$B$8,Thermostat!$B$7)</f>
        <v>60</v>
      </c>
      <c r="P48" s="436">
        <f>IF(P39=0,Thermostat!$B$8,Thermostat!$B$7)</f>
        <v>60</v>
      </c>
      <c r="Q48" s="436">
        <f>IF(Q39=0,Thermostat!$B$8,Thermostat!$B$7)</f>
        <v>60</v>
      </c>
      <c r="R48" s="436">
        <f>IF(R39=0,Thermostat!$B$8,Thermostat!$B$7)</f>
        <v>60</v>
      </c>
      <c r="S48" s="436">
        <f>IF(S39=0,Thermostat!$B$8,Thermostat!$B$7)</f>
        <v>60</v>
      </c>
      <c r="T48" s="436">
        <f>IF(T39=0,Thermostat!$B$8,Thermostat!$B$7)</f>
        <v>60</v>
      </c>
      <c r="U48" s="436">
        <f>IF(U39=0,Thermostat!$B$8,Thermostat!$B$7)</f>
        <v>60</v>
      </c>
      <c r="V48" s="436">
        <f>IF(V39=0,Thermostat!$B$8,Thermostat!$B$7)</f>
        <v>60</v>
      </c>
      <c r="W48" s="436">
        <f>IF(W39=0,Thermostat!$B$8,Thermostat!$B$7)</f>
        <v>60</v>
      </c>
      <c r="X48" s="436">
        <f>IF(X39=0,Thermostat!$B$8,Thermostat!$B$7)</f>
        <v>60</v>
      </c>
      <c r="Y48" s="436">
        <f>IF(Y39=0,Thermostat!$B$8,Thermostat!$B$7)</f>
        <v>60</v>
      </c>
      <c r="Z48" s="436">
        <f>IF(Z39=0,Thermostat!$B$8,Thermostat!$B$7)</f>
        <v>60</v>
      </c>
      <c r="AA48" s="436">
        <f>IF(AA39=0,Thermostat!$B$8,Thermostat!$B$7)</f>
        <v>60</v>
      </c>
      <c r="AB48" s="436">
        <f>IF(AB39=0,Thermostat!$B$8,Thermostat!$B$7)</f>
        <v>60</v>
      </c>
      <c r="AC48" s="436">
        <f>IF(AC39=0,Thermostat!$B$8,Thermostat!$B$7)</f>
        <v>60</v>
      </c>
      <c r="AD48" s="36"/>
      <c r="AE48" s="36"/>
      <c r="AF48" s="36"/>
      <c r="AG48" s="36"/>
      <c r="AH48" s="36"/>
      <c r="AI48" s="36"/>
      <c r="AJ48" s="36"/>
    </row>
    <row r="49" spans="1:41" ht="25.2" customHeight="1" thickBot="1" x14ac:dyDescent="0.35">
      <c r="A49" s="590"/>
      <c r="B49" s="581"/>
      <c r="C49" s="581"/>
      <c r="D49" s="602"/>
      <c r="E49" s="437" t="s">
        <v>654</v>
      </c>
      <c r="F49" s="438">
        <f>IF(F40=0,Thermostat!$B$8,Thermostat!$B$7)</f>
        <v>60</v>
      </c>
      <c r="G49" s="438">
        <f>IF(G40=0,Thermostat!$B$8,Thermostat!$B$7)</f>
        <v>60</v>
      </c>
      <c r="H49" s="438">
        <f>IF(H40=0,Thermostat!$B$8,Thermostat!$B$7)</f>
        <v>60</v>
      </c>
      <c r="I49" s="438">
        <f>IF(I40=0,Thermostat!$B$8,Thermostat!$B$7)</f>
        <v>60</v>
      </c>
      <c r="J49" s="438">
        <f>IF(J40=0,Thermostat!$B$8,Thermostat!$B$7)</f>
        <v>60</v>
      </c>
      <c r="K49" s="438">
        <f>IF(K40=0,Thermostat!$B$8,Thermostat!$B$7)</f>
        <v>60</v>
      </c>
      <c r="L49" s="438">
        <f>IF(L40=0,Thermostat!$B$8,Thermostat!$B$7)</f>
        <v>60</v>
      </c>
      <c r="M49" s="438">
        <f>IF(M40=0,Thermostat!$B$8,Thermostat!$B$7)</f>
        <v>60</v>
      </c>
      <c r="N49" s="438">
        <f>IF(N40=0,Thermostat!$B$8,Thermostat!$B$7)</f>
        <v>60</v>
      </c>
      <c r="O49" s="438">
        <f>IF(O40=0,Thermostat!$B$8,Thermostat!$B$7)</f>
        <v>60</v>
      </c>
      <c r="P49" s="438">
        <f>IF(P40=0,Thermostat!$B$8,Thermostat!$B$7)</f>
        <v>60</v>
      </c>
      <c r="Q49" s="438">
        <f>IF(Q40=0,Thermostat!$B$8,Thermostat!$B$7)</f>
        <v>60</v>
      </c>
      <c r="R49" s="438">
        <f>IF(R40=0,Thermostat!$B$8,Thermostat!$B$7)</f>
        <v>60</v>
      </c>
      <c r="S49" s="438">
        <f>IF(S40=0,Thermostat!$B$8,Thermostat!$B$7)</f>
        <v>60</v>
      </c>
      <c r="T49" s="438">
        <f>IF(T40=0,Thermostat!$B$8,Thermostat!$B$7)</f>
        <v>60</v>
      </c>
      <c r="U49" s="438">
        <f>IF(U40=0,Thermostat!$B$8,Thermostat!$B$7)</f>
        <v>60</v>
      </c>
      <c r="V49" s="438">
        <f>IF(V40=0,Thermostat!$B$8,Thermostat!$B$7)</f>
        <v>60</v>
      </c>
      <c r="W49" s="438">
        <f>IF(W40=0,Thermostat!$B$8,Thermostat!$B$7)</f>
        <v>60</v>
      </c>
      <c r="X49" s="438">
        <f>IF(X40=0,Thermostat!$B$8,Thermostat!$B$7)</f>
        <v>60</v>
      </c>
      <c r="Y49" s="438">
        <f>IF(Y40=0,Thermostat!$B$8,Thermostat!$B$7)</f>
        <v>60</v>
      </c>
      <c r="Z49" s="438">
        <f>IF(Z40=0,Thermostat!$B$8,Thermostat!$B$7)</f>
        <v>60</v>
      </c>
      <c r="AA49" s="438">
        <f>IF(AA40=0,Thermostat!$B$8,Thermostat!$B$7)</f>
        <v>60</v>
      </c>
      <c r="AB49" s="438">
        <f>IF(AB40=0,Thermostat!$B$8,Thermostat!$B$7)</f>
        <v>60</v>
      </c>
      <c r="AC49" s="438">
        <f>IF(AC40=0,Thermostat!$B$8,Thermostat!$B$7)</f>
        <v>60</v>
      </c>
    </row>
    <row r="50" spans="1:41" s="171" customFormat="1" ht="25.2" customHeight="1" x14ac:dyDescent="0.25">
      <c r="A50" s="588" t="s">
        <v>664</v>
      </c>
      <c r="B50" s="579" t="s">
        <v>120</v>
      </c>
      <c r="C50" s="579" t="s">
        <v>663</v>
      </c>
      <c r="D50" s="603" t="s">
        <v>374</v>
      </c>
      <c r="E50" s="433" t="s">
        <v>652</v>
      </c>
      <c r="F50" s="434">
        <f>IF(F38=0,Thermostat!$B$10,Thermostat!$B$9)</f>
        <v>85</v>
      </c>
      <c r="G50" s="434">
        <f>IF(G38=0,Thermostat!$B$10,Thermostat!$B$9)</f>
        <v>85</v>
      </c>
      <c r="H50" s="434">
        <f>IF(H38=0,Thermostat!$B$10,Thermostat!$B$9)</f>
        <v>85</v>
      </c>
      <c r="I50" s="434">
        <f>IF(I38=0,Thermostat!$B$10,Thermostat!$B$9)</f>
        <v>85</v>
      </c>
      <c r="J50" s="434">
        <f>IF(J38=0,Thermostat!$B$10,Thermostat!$B$9)</f>
        <v>85</v>
      </c>
      <c r="K50" s="434">
        <f>IF(K38=0,Thermostat!$B$10,Thermostat!$B$9)</f>
        <v>75</v>
      </c>
      <c r="L50" s="434">
        <f>IF(L38=0,Thermostat!$B$10,Thermostat!$B$9)</f>
        <v>75</v>
      </c>
      <c r="M50" s="434">
        <f>IF(M38=0,Thermostat!$B$10,Thermostat!$B$9)</f>
        <v>75</v>
      </c>
      <c r="N50" s="434">
        <f>IF(N38=0,Thermostat!$B$10,Thermostat!$B$9)</f>
        <v>75</v>
      </c>
      <c r="O50" s="434">
        <f>IF(O38=0,Thermostat!$B$10,Thermostat!$B$9)</f>
        <v>75</v>
      </c>
      <c r="P50" s="434">
        <f>IF(P38=0,Thermostat!$B$10,Thermostat!$B$9)</f>
        <v>75</v>
      </c>
      <c r="Q50" s="434">
        <f>IF(Q38=0,Thermostat!$B$10,Thermostat!$B$9)</f>
        <v>75</v>
      </c>
      <c r="R50" s="434">
        <f>IF(R38=0,Thermostat!$B$10,Thermostat!$B$9)</f>
        <v>75</v>
      </c>
      <c r="S50" s="434">
        <f>IF(S38=0,Thermostat!$B$10,Thermostat!$B$9)</f>
        <v>75</v>
      </c>
      <c r="T50" s="434">
        <f>IF(T38=0,Thermostat!$B$10,Thermostat!$B$9)</f>
        <v>75</v>
      </c>
      <c r="U50" s="434">
        <f>IF(U38=0,Thermostat!$B$10,Thermostat!$B$9)</f>
        <v>85</v>
      </c>
      <c r="V50" s="434">
        <f>IF(V38=0,Thermostat!$B$10,Thermostat!$B$9)</f>
        <v>85</v>
      </c>
      <c r="W50" s="434">
        <f>IF(W38=0,Thermostat!$B$10,Thermostat!$B$9)</f>
        <v>85</v>
      </c>
      <c r="X50" s="434">
        <f>IF(X38=0,Thermostat!$B$10,Thermostat!$B$9)</f>
        <v>85</v>
      </c>
      <c r="Y50" s="434">
        <f>IF(Y38=0,Thermostat!$B$10,Thermostat!$B$9)</f>
        <v>85</v>
      </c>
      <c r="Z50" s="434">
        <f>IF(Z38=0,Thermostat!$B$10,Thermostat!$B$9)</f>
        <v>85</v>
      </c>
      <c r="AA50" s="434">
        <f>IF(AA38=0,Thermostat!$B$10,Thermostat!$B$9)</f>
        <v>85</v>
      </c>
      <c r="AB50" s="434">
        <f>IF(AB38=0,Thermostat!$B$10,Thermostat!$B$9)</f>
        <v>85</v>
      </c>
      <c r="AC50" s="439">
        <f>IF(AC38=0,Thermostat!$B$10,Thermostat!$B$9)</f>
        <v>85</v>
      </c>
      <c r="AD50" s="36"/>
      <c r="AE50" s="36"/>
      <c r="AF50" s="36"/>
      <c r="AG50" s="36"/>
      <c r="AH50" s="36"/>
      <c r="AI50" s="36"/>
      <c r="AJ50" s="36"/>
    </row>
    <row r="51" spans="1:41" s="171" customFormat="1" ht="25.2" customHeight="1" x14ac:dyDescent="0.25">
      <c r="A51" s="589"/>
      <c r="B51" s="580"/>
      <c r="C51" s="580"/>
      <c r="D51" s="601"/>
      <c r="E51" s="435" t="s">
        <v>653</v>
      </c>
      <c r="F51" s="436">
        <f>IF(F39=0,Thermostat!$B$10,Thermostat!$B$9)</f>
        <v>85</v>
      </c>
      <c r="G51" s="436">
        <f>IF(G39=0,Thermostat!$B$10,Thermostat!$B$9)</f>
        <v>85</v>
      </c>
      <c r="H51" s="436">
        <f>IF(H39=0,Thermostat!$B$10,Thermostat!$B$9)</f>
        <v>85</v>
      </c>
      <c r="I51" s="436">
        <f>IF(I39=0,Thermostat!$B$10,Thermostat!$B$9)</f>
        <v>85</v>
      </c>
      <c r="J51" s="436">
        <f>IF(J39=0,Thermostat!$B$10,Thermostat!$B$9)</f>
        <v>85</v>
      </c>
      <c r="K51" s="436">
        <f>IF(K39=0,Thermostat!$B$10,Thermostat!$B$9)</f>
        <v>85</v>
      </c>
      <c r="L51" s="436">
        <f>IF(L39=0,Thermostat!$B$10,Thermostat!$B$9)</f>
        <v>85</v>
      </c>
      <c r="M51" s="436">
        <f>IF(M39=0,Thermostat!$B$10,Thermostat!$B$9)</f>
        <v>85</v>
      </c>
      <c r="N51" s="436">
        <f>IF(N39=0,Thermostat!$B$10,Thermostat!$B$9)</f>
        <v>85</v>
      </c>
      <c r="O51" s="436">
        <f>IF(O39=0,Thermostat!$B$10,Thermostat!$B$9)</f>
        <v>85</v>
      </c>
      <c r="P51" s="436">
        <f>IF(P39=0,Thermostat!$B$10,Thermostat!$B$9)</f>
        <v>85</v>
      </c>
      <c r="Q51" s="436">
        <f>IF(Q39=0,Thermostat!$B$10,Thermostat!$B$9)</f>
        <v>85</v>
      </c>
      <c r="R51" s="436">
        <f>IF(R39=0,Thermostat!$B$10,Thermostat!$B$9)</f>
        <v>85</v>
      </c>
      <c r="S51" s="436">
        <f>IF(S39=0,Thermostat!$B$10,Thermostat!$B$9)</f>
        <v>85</v>
      </c>
      <c r="T51" s="436">
        <f>IF(T39=0,Thermostat!$B$10,Thermostat!$B$9)</f>
        <v>85</v>
      </c>
      <c r="U51" s="436">
        <f>IF(U39=0,Thermostat!$B$10,Thermostat!$B$9)</f>
        <v>85</v>
      </c>
      <c r="V51" s="436">
        <f>IF(V39=0,Thermostat!$B$10,Thermostat!$B$9)</f>
        <v>85</v>
      </c>
      <c r="W51" s="436">
        <f>IF(W39=0,Thermostat!$B$10,Thermostat!$B$9)</f>
        <v>85</v>
      </c>
      <c r="X51" s="436">
        <f>IF(X39=0,Thermostat!$B$10,Thermostat!$B$9)</f>
        <v>85</v>
      </c>
      <c r="Y51" s="436">
        <f>IF(Y39=0,Thermostat!$B$10,Thermostat!$B$9)</f>
        <v>85</v>
      </c>
      <c r="Z51" s="436">
        <f>IF(Z39=0,Thermostat!$B$10,Thermostat!$B$9)</f>
        <v>85</v>
      </c>
      <c r="AA51" s="436">
        <f>IF(AA39=0,Thermostat!$B$10,Thermostat!$B$9)</f>
        <v>85</v>
      </c>
      <c r="AB51" s="436">
        <f>IF(AB39=0,Thermostat!$B$10,Thermostat!$B$9)</f>
        <v>85</v>
      </c>
      <c r="AC51" s="440">
        <f>IF(AC39=0,Thermostat!$B$10,Thermostat!$B$9)</f>
        <v>85</v>
      </c>
      <c r="AD51" s="36"/>
      <c r="AE51" s="36"/>
      <c r="AF51" s="36"/>
      <c r="AG51" s="36"/>
      <c r="AH51" s="36"/>
      <c r="AI51" s="36"/>
      <c r="AJ51" s="36"/>
    </row>
    <row r="52" spans="1:41" s="171" customFormat="1" ht="25.2" customHeight="1" thickBot="1" x14ac:dyDescent="0.3">
      <c r="A52" s="590"/>
      <c r="B52" s="581"/>
      <c r="C52" s="581"/>
      <c r="D52" s="602"/>
      <c r="E52" s="437" t="s">
        <v>654</v>
      </c>
      <c r="F52" s="438">
        <f>IF(F40=0,Thermostat!$B$10,Thermostat!$B$9)</f>
        <v>85</v>
      </c>
      <c r="G52" s="438">
        <f>IF(G40=0,Thermostat!$B$10,Thermostat!$B$9)</f>
        <v>85</v>
      </c>
      <c r="H52" s="438">
        <f>IF(H40=0,Thermostat!$B$10,Thermostat!$B$9)</f>
        <v>85</v>
      </c>
      <c r="I52" s="438">
        <f>IF(I40=0,Thermostat!$B$10,Thermostat!$B$9)</f>
        <v>85</v>
      </c>
      <c r="J52" s="438">
        <f>IF(J40=0,Thermostat!$B$10,Thermostat!$B$9)</f>
        <v>85</v>
      </c>
      <c r="K52" s="438">
        <f>IF(K40=0,Thermostat!$B$10,Thermostat!$B$9)</f>
        <v>85</v>
      </c>
      <c r="L52" s="438">
        <f>IF(L40=0,Thermostat!$B$10,Thermostat!$B$9)</f>
        <v>85</v>
      </c>
      <c r="M52" s="438">
        <f>IF(M40=0,Thermostat!$B$10,Thermostat!$B$9)</f>
        <v>85</v>
      </c>
      <c r="N52" s="438">
        <f>IF(N40=0,Thermostat!$B$10,Thermostat!$B$9)</f>
        <v>85</v>
      </c>
      <c r="O52" s="438">
        <f>IF(O40=0,Thermostat!$B$10,Thermostat!$B$9)</f>
        <v>85</v>
      </c>
      <c r="P52" s="438">
        <f>IF(P40=0,Thermostat!$B$10,Thermostat!$B$9)</f>
        <v>85</v>
      </c>
      <c r="Q52" s="438">
        <f>IF(Q40=0,Thermostat!$B$10,Thermostat!$B$9)</f>
        <v>85</v>
      </c>
      <c r="R52" s="438">
        <f>IF(R40=0,Thermostat!$B$10,Thermostat!$B$9)</f>
        <v>85</v>
      </c>
      <c r="S52" s="438">
        <f>IF(S40=0,Thermostat!$B$10,Thermostat!$B$9)</f>
        <v>85</v>
      </c>
      <c r="T52" s="438">
        <f>IF(T40=0,Thermostat!$B$10,Thermostat!$B$9)</f>
        <v>85</v>
      </c>
      <c r="U52" s="438">
        <f>IF(U40=0,Thermostat!$B$10,Thermostat!$B$9)</f>
        <v>85</v>
      </c>
      <c r="V52" s="438">
        <f>IF(V40=0,Thermostat!$B$10,Thermostat!$B$9)</f>
        <v>85</v>
      </c>
      <c r="W52" s="438">
        <f>IF(W40=0,Thermostat!$B$10,Thermostat!$B$9)</f>
        <v>85</v>
      </c>
      <c r="X52" s="438">
        <f>IF(X40=0,Thermostat!$B$10,Thermostat!$B$9)</f>
        <v>85</v>
      </c>
      <c r="Y52" s="438">
        <f>IF(Y40=0,Thermostat!$B$10,Thermostat!$B$9)</f>
        <v>85</v>
      </c>
      <c r="Z52" s="438">
        <f>IF(Z40=0,Thermostat!$B$10,Thermostat!$B$9)</f>
        <v>85</v>
      </c>
      <c r="AA52" s="438">
        <f>IF(AA40=0,Thermostat!$B$10,Thermostat!$B$9)</f>
        <v>85</v>
      </c>
      <c r="AB52" s="438">
        <f>IF(AB40=0,Thermostat!$B$10,Thermostat!$B$9)</f>
        <v>85</v>
      </c>
      <c r="AC52" s="441">
        <f>IF(AC40=0,Thermostat!$B$10,Thermostat!$B$9)</f>
        <v>85</v>
      </c>
      <c r="AD52" s="36"/>
      <c r="AE52" s="36"/>
      <c r="AF52" s="36"/>
      <c r="AG52" s="36"/>
      <c r="AH52" s="36"/>
      <c r="AI52" s="36"/>
      <c r="AJ52" s="36"/>
    </row>
    <row r="53" spans="1:41" s="171" customFormat="1" ht="25.2" customHeight="1" x14ac:dyDescent="0.25">
      <c r="A53" s="588" t="s">
        <v>664</v>
      </c>
      <c r="B53" s="579" t="s">
        <v>120</v>
      </c>
      <c r="C53" s="579" t="s">
        <v>665</v>
      </c>
      <c r="D53" s="600" t="s">
        <v>662</v>
      </c>
      <c r="E53" s="170" t="s">
        <v>652</v>
      </c>
      <c r="F53" s="144">
        <v>0</v>
      </c>
      <c r="G53" s="144">
        <v>0</v>
      </c>
      <c r="H53" s="144">
        <v>0</v>
      </c>
      <c r="I53" s="144">
        <v>0</v>
      </c>
      <c r="J53" s="144">
        <v>0</v>
      </c>
      <c r="K53" s="144">
        <v>1</v>
      </c>
      <c r="L53" s="144">
        <v>1</v>
      </c>
      <c r="M53" s="144">
        <v>1</v>
      </c>
      <c r="N53" s="144">
        <v>1</v>
      </c>
      <c r="O53" s="144">
        <v>1</v>
      </c>
      <c r="P53" s="144">
        <v>1</v>
      </c>
      <c r="Q53" s="144">
        <v>1</v>
      </c>
      <c r="R53" s="144">
        <v>1</v>
      </c>
      <c r="S53" s="144">
        <v>1</v>
      </c>
      <c r="T53" s="144">
        <v>1</v>
      </c>
      <c r="U53" s="144">
        <v>0</v>
      </c>
      <c r="V53" s="144">
        <v>0</v>
      </c>
      <c r="W53" s="144">
        <v>0</v>
      </c>
      <c r="X53" s="144">
        <v>0</v>
      </c>
      <c r="Y53" s="144">
        <v>0</v>
      </c>
      <c r="Z53" s="144">
        <v>0</v>
      </c>
      <c r="AA53" s="144">
        <v>0</v>
      </c>
      <c r="AB53" s="144">
        <v>0</v>
      </c>
      <c r="AC53" s="145">
        <v>0</v>
      </c>
      <c r="AD53" s="36"/>
      <c r="AE53" s="36"/>
      <c r="AF53" s="36"/>
      <c r="AG53" s="36"/>
      <c r="AH53" s="36"/>
      <c r="AI53" s="36"/>
      <c r="AJ53" s="36"/>
    </row>
    <row r="54" spans="1:41" s="171" customFormat="1" ht="25.2" customHeight="1" x14ac:dyDescent="0.25">
      <c r="A54" s="589"/>
      <c r="B54" s="580"/>
      <c r="C54" s="580"/>
      <c r="D54" s="601"/>
      <c r="E54" s="164" t="s">
        <v>653</v>
      </c>
      <c r="F54" s="157">
        <v>0</v>
      </c>
      <c r="G54" s="157">
        <v>0</v>
      </c>
      <c r="H54" s="157">
        <v>0</v>
      </c>
      <c r="I54" s="157">
        <v>0</v>
      </c>
      <c r="J54" s="157">
        <v>0</v>
      </c>
      <c r="K54" s="157">
        <v>0</v>
      </c>
      <c r="L54" s="157">
        <v>0</v>
      </c>
      <c r="M54" s="157">
        <v>0</v>
      </c>
      <c r="N54" s="157">
        <v>0</v>
      </c>
      <c r="O54" s="157">
        <v>0</v>
      </c>
      <c r="P54" s="157">
        <v>0</v>
      </c>
      <c r="Q54" s="157">
        <v>0</v>
      </c>
      <c r="R54" s="157">
        <v>0</v>
      </c>
      <c r="S54" s="157">
        <v>0</v>
      </c>
      <c r="T54" s="157">
        <v>0</v>
      </c>
      <c r="U54" s="157">
        <v>0</v>
      </c>
      <c r="V54" s="157">
        <v>0</v>
      </c>
      <c r="W54" s="157">
        <v>0</v>
      </c>
      <c r="X54" s="157">
        <v>0</v>
      </c>
      <c r="Y54" s="157">
        <v>0</v>
      </c>
      <c r="Z54" s="157">
        <v>0</v>
      </c>
      <c r="AA54" s="157">
        <v>0</v>
      </c>
      <c r="AB54" s="157">
        <v>0</v>
      </c>
      <c r="AC54" s="158">
        <v>0</v>
      </c>
      <c r="AD54" s="36"/>
      <c r="AE54" s="36"/>
      <c r="AF54" s="36"/>
      <c r="AG54" s="36"/>
      <c r="AH54" s="36"/>
      <c r="AI54" s="36"/>
      <c r="AJ54" s="36"/>
    </row>
    <row r="55" spans="1:41" s="171" customFormat="1" ht="25.2" customHeight="1" thickBot="1" x14ac:dyDescent="0.3">
      <c r="A55" s="590"/>
      <c r="B55" s="581"/>
      <c r="C55" s="581"/>
      <c r="D55" s="602"/>
      <c r="E55" s="167" t="s">
        <v>654</v>
      </c>
      <c r="F55" s="159">
        <v>0</v>
      </c>
      <c r="G55" s="159">
        <v>0</v>
      </c>
      <c r="H55" s="159">
        <v>0</v>
      </c>
      <c r="I55" s="159">
        <v>0</v>
      </c>
      <c r="J55" s="159">
        <v>0</v>
      </c>
      <c r="K55" s="159">
        <v>0</v>
      </c>
      <c r="L55" s="159">
        <v>0</v>
      </c>
      <c r="M55" s="159">
        <v>0</v>
      </c>
      <c r="N55" s="159">
        <v>0</v>
      </c>
      <c r="O55" s="159">
        <v>0</v>
      </c>
      <c r="P55" s="159">
        <v>0</v>
      </c>
      <c r="Q55" s="159">
        <v>0</v>
      </c>
      <c r="R55" s="159">
        <v>0</v>
      </c>
      <c r="S55" s="159">
        <v>0</v>
      </c>
      <c r="T55" s="159">
        <v>0</v>
      </c>
      <c r="U55" s="159">
        <v>0</v>
      </c>
      <c r="V55" s="159">
        <v>0</v>
      </c>
      <c r="W55" s="159">
        <v>0</v>
      </c>
      <c r="X55" s="159">
        <v>0</v>
      </c>
      <c r="Y55" s="159">
        <v>0</v>
      </c>
      <c r="Z55" s="159">
        <v>0</v>
      </c>
      <c r="AA55" s="159">
        <v>0</v>
      </c>
      <c r="AB55" s="159">
        <v>0</v>
      </c>
      <c r="AC55" s="160">
        <v>0</v>
      </c>
      <c r="AD55" s="36"/>
      <c r="AE55" s="36"/>
      <c r="AF55" s="36"/>
      <c r="AG55" s="36"/>
      <c r="AH55" s="36"/>
      <c r="AI55" s="36"/>
      <c r="AJ55" s="36"/>
    </row>
    <row r="56" spans="1:41" s="171" customFormat="1" ht="25.2" customHeight="1" x14ac:dyDescent="0.25">
      <c r="A56" s="588" t="s">
        <v>664</v>
      </c>
      <c r="B56" s="579" t="s">
        <v>120</v>
      </c>
      <c r="C56" s="579" t="s">
        <v>666</v>
      </c>
      <c r="D56" s="600" t="s">
        <v>662</v>
      </c>
      <c r="E56" s="170" t="s">
        <v>652</v>
      </c>
      <c r="F56" s="144">
        <v>1</v>
      </c>
      <c r="G56" s="144">
        <v>1</v>
      </c>
      <c r="H56" s="144">
        <v>1</v>
      </c>
      <c r="I56" s="144">
        <v>1</v>
      </c>
      <c r="J56" s="144">
        <v>1</v>
      </c>
      <c r="K56" s="144">
        <v>0.25</v>
      </c>
      <c r="L56" s="144">
        <v>0.25</v>
      </c>
      <c r="M56" s="144">
        <v>0.25</v>
      </c>
      <c r="N56" s="144">
        <v>0.25</v>
      </c>
      <c r="O56" s="144">
        <v>0.25</v>
      </c>
      <c r="P56" s="144">
        <v>0.25</v>
      </c>
      <c r="Q56" s="144">
        <v>0.25</v>
      </c>
      <c r="R56" s="144">
        <v>0.25</v>
      </c>
      <c r="S56" s="144">
        <v>0.25</v>
      </c>
      <c r="T56" s="144">
        <v>0.25</v>
      </c>
      <c r="U56" s="144">
        <v>1</v>
      </c>
      <c r="V56" s="144">
        <v>1</v>
      </c>
      <c r="W56" s="144">
        <v>1</v>
      </c>
      <c r="X56" s="144">
        <v>1</v>
      </c>
      <c r="Y56" s="144">
        <v>1</v>
      </c>
      <c r="Z56" s="144">
        <v>1</v>
      </c>
      <c r="AA56" s="144">
        <v>1</v>
      </c>
      <c r="AB56" s="144">
        <v>1</v>
      </c>
      <c r="AC56" s="145">
        <v>1</v>
      </c>
      <c r="AD56" s="36"/>
      <c r="AE56" s="36"/>
      <c r="AF56" s="36"/>
      <c r="AG56" s="36"/>
      <c r="AH56" s="36"/>
      <c r="AI56" s="36"/>
      <c r="AJ56" s="36"/>
    </row>
    <row r="57" spans="1:41" s="171" customFormat="1" ht="25.2" customHeight="1" x14ac:dyDescent="0.25">
      <c r="A57" s="589"/>
      <c r="B57" s="580"/>
      <c r="C57" s="580"/>
      <c r="D57" s="601"/>
      <c r="E57" s="164" t="s">
        <v>653</v>
      </c>
      <c r="F57" s="157">
        <v>1</v>
      </c>
      <c r="G57" s="157">
        <v>1</v>
      </c>
      <c r="H57" s="157">
        <v>1</v>
      </c>
      <c r="I57" s="157">
        <v>1</v>
      </c>
      <c r="J57" s="157">
        <v>1</v>
      </c>
      <c r="K57" s="157">
        <v>1</v>
      </c>
      <c r="L57" s="157">
        <v>1</v>
      </c>
      <c r="M57" s="157">
        <v>1</v>
      </c>
      <c r="N57" s="157">
        <v>1</v>
      </c>
      <c r="O57" s="157">
        <v>1</v>
      </c>
      <c r="P57" s="157">
        <v>1</v>
      </c>
      <c r="Q57" s="157">
        <v>1</v>
      </c>
      <c r="R57" s="157">
        <v>1</v>
      </c>
      <c r="S57" s="157">
        <v>1</v>
      </c>
      <c r="T57" s="157">
        <v>1</v>
      </c>
      <c r="U57" s="157">
        <v>1</v>
      </c>
      <c r="V57" s="157">
        <v>1</v>
      </c>
      <c r="W57" s="157">
        <v>1</v>
      </c>
      <c r="X57" s="157">
        <v>1</v>
      </c>
      <c r="Y57" s="157">
        <v>1</v>
      </c>
      <c r="Z57" s="157">
        <v>1</v>
      </c>
      <c r="AA57" s="157">
        <v>1</v>
      </c>
      <c r="AB57" s="157">
        <v>1</v>
      </c>
      <c r="AC57" s="158">
        <v>1</v>
      </c>
      <c r="AD57" s="36"/>
      <c r="AE57" s="36"/>
      <c r="AF57" s="36"/>
      <c r="AG57" s="36"/>
      <c r="AH57" s="36"/>
      <c r="AI57" s="36"/>
      <c r="AJ57" s="36"/>
    </row>
    <row r="58" spans="1:41" s="171" customFormat="1" ht="25.2" customHeight="1" thickBot="1" x14ac:dyDescent="0.3">
      <c r="A58" s="590"/>
      <c r="B58" s="581"/>
      <c r="C58" s="581"/>
      <c r="D58" s="602"/>
      <c r="E58" s="167" t="s">
        <v>654</v>
      </c>
      <c r="F58" s="159">
        <v>1</v>
      </c>
      <c r="G58" s="159">
        <v>1</v>
      </c>
      <c r="H58" s="159">
        <v>1</v>
      </c>
      <c r="I58" s="159">
        <v>1</v>
      </c>
      <c r="J58" s="159">
        <v>1</v>
      </c>
      <c r="K58" s="159">
        <v>1</v>
      </c>
      <c r="L58" s="159">
        <v>1</v>
      </c>
      <c r="M58" s="159">
        <v>1</v>
      </c>
      <c r="N58" s="159">
        <v>1</v>
      </c>
      <c r="O58" s="159">
        <v>1</v>
      </c>
      <c r="P58" s="159">
        <v>1</v>
      </c>
      <c r="Q58" s="159">
        <v>1</v>
      </c>
      <c r="R58" s="159">
        <v>1</v>
      </c>
      <c r="S58" s="159">
        <v>1</v>
      </c>
      <c r="T58" s="159">
        <v>1</v>
      </c>
      <c r="U58" s="159">
        <v>1</v>
      </c>
      <c r="V58" s="159">
        <v>1</v>
      </c>
      <c r="W58" s="159">
        <v>1</v>
      </c>
      <c r="X58" s="159">
        <v>1</v>
      </c>
      <c r="Y58" s="159">
        <v>1</v>
      </c>
      <c r="Z58" s="159">
        <v>1</v>
      </c>
      <c r="AA58" s="159">
        <v>1</v>
      </c>
      <c r="AB58" s="159">
        <v>1</v>
      </c>
      <c r="AC58" s="160">
        <v>1</v>
      </c>
      <c r="AD58" s="36"/>
      <c r="AE58" s="36"/>
      <c r="AF58" s="36"/>
      <c r="AG58" s="36"/>
      <c r="AH58" s="36"/>
      <c r="AI58" s="36"/>
      <c r="AJ58" s="36"/>
    </row>
    <row r="59" spans="1:41" ht="36" customHeight="1" x14ac:dyDescent="0.3">
      <c r="A59" s="588" t="s">
        <v>664</v>
      </c>
      <c r="B59" s="579" t="s">
        <v>120</v>
      </c>
      <c r="C59" s="582" t="s">
        <v>659</v>
      </c>
      <c r="D59" s="585" t="s">
        <v>651</v>
      </c>
      <c r="E59" s="170" t="s">
        <v>652</v>
      </c>
      <c r="F59" s="144">
        <v>0.9</v>
      </c>
      <c r="G59" s="144">
        <v>0.9</v>
      </c>
      <c r="H59" s="144">
        <v>0.9</v>
      </c>
      <c r="I59" s="144">
        <v>0.9</v>
      </c>
      <c r="J59" s="144">
        <v>0.9</v>
      </c>
      <c r="K59" s="144">
        <v>0.9</v>
      </c>
      <c r="L59" s="144">
        <v>0.9</v>
      </c>
      <c r="M59" s="144">
        <v>0.9</v>
      </c>
      <c r="N59" s="144">
        <v>0.9</v>
      </c>
      <c r="O59" s="144">
        <v>0.9</v>
      </c>
      <c r="P59" s="144">
        <v>0.9</v>
      </c>
      <c r="Q59" s="144">
        <v>0.9</v>
      </c>
      <c r="R59" s="144">
        <v>0.9</v>
      </c>
      <c r="S59" s="144">
        <v>0.9</v>
      </c>
      <c r="T59" s="144">
        <v>0.9</v>
      </c>
      <c r="U59" s="144">
        <v>0.9</v>
      </c>
      <c r="V59" s="144">
        <v>0.9</v>
      </c>
      <c r="W59" s="144">
        <v>0.9</v>
      </c>
      <c r="X59" s="144">
        <v>0.9</v>
      </c>
      <c r="Y59" s="144">
        <v>0.9</v>
      </c>
      <c r="Z59" s="144">
        <v>0.9</v>
      </c>
      <c r="AA59" s="144">
        <v>0.9</v>
      </c>
      <c r="AB59" s="144">
        <v>0.9</v>
      </c>
      <c r="AC59" s="145">
        <v>0.9</v>
      </c>
      <c r="AD59" s="37"/>
      <c r="AE59" s="36"/>
      <c r="AF59" s="36"/>
      <c r="AG59" s="36"/>
      <c r="AH59" s="36"/>
      <c r="AI59" s="36"/>
      <c r="AJ59" s="36"/>
      <c r="AK59" s="36"/>
      <c r="AM59" s="47"/>
    </row>
    <row r="60" spans="1:41" ht="36" customHeight="1" x14ac:dyDescent="0.3">
      <c r="A60" s="589"/>
      <c r="B60" s="580"/>
      <c r="C60" s="583"/>
      <c r="D60" s="586"/>
      <c r="E60" s="164" t="s">
        <v>653</v>
      </c>
      <c r="F60" s="157">
        <v>0.9</v>
      </c>
      <c r="G60" s="157">
        <v>0.9</v>
      </c>
      <c r="H60" s="157">
        <v>0.9</v>
      </c>
      <c r="I60" s="157">
        <v>0.9</v>
      </c>
      <c r="J60" s="157">
        <v>0.9</v>
      </c>
      <c r="K60" s="157">
        <v>0.9</v>
      </c>
      <c r="L60" s="157">
        <v>0.9</v>
      </c>
      <c r="M60" s="157">
        <v>0.9</v>
      </c>
      <c r="N60" s="157">
        <v>0.9</v>
      </c>
      <c r="O60" s="157">
        <v>0.9</v>
      </c>
      <c r="P60" s="157">
        <v>0.9</v>
      </c>
      <c r="Q60" s="157">
        <v>0.9</v>
      </c>
      <c r="R60" s="157">
        <v>0.9</v>
      </c>
      <c r="S60" s="157">
        <v>0.9</v>
      </c>
      <c r="T60" s="157">
        <v>0.9</v>
      </c>
      <c r="U60" s="157">
        <v>0.9</v>
      </c>
      <c r="V60" s="157">
        <v>0.9</v>
      </c>
      <c r="W60" s="157">
        <v>0.9</v>
      </c>
      <c r="X60" s="157">
        <v>0.9</v>
      </c>
      <c r="Y60" s="157">
        <v>0.9</v>
      </c>
      <c r="Z60" s="157">
        <v>0.9</v>
      </c>
      <c r="AA60" s="157">
        <v>0.9</v>
      </c>
      <c r="AB60" s="157">
        <v>0.9</v>
      </c>
      <c r="AC60" s="158">
        <v>0.9</v>
      </c>
      <c r="AD60" s="37"/>
      <c r="AE60" s="36"/>
      <c r="AF60" s="36"/>
      <c r="AG60" s="36"/>
      <c r="AH60" s="36"/>
      <c r="AI60" s="36"/>
      <c r="AJ60" s="36"/>
      <c r="AK60" s="36"/>
      <c r="AM60" s="47"/>
    </row>
    <row r="61" spans="1:41" ht="36" customHeight="1" thickBot="1" x14ac:dyDescent="0.35">
      <c r="A61" s="590"/>
      <c r="B61" s="581"/>
      <c r="C61" s="584"/>
      <c r="D61" s="587"/>
      <c r="E61" s="167" t="s">
        <v>654</v>
      </c>
      <c r="F61" s="159">
        <v>0.9</v>
      </c>
      <c r="G61" s="159">
        <v>0.9</v>
      </c>
      <c r="H61" s="159">
        <v>0.9</v>
      </c>
      <c r="I61" s="159">
        <v>0.9</v>
      </c>
      <c r="J61" s="159">
        <v>0.9</v>
      </c>
      <c r="K61" s="159">
        <v>0.9</v>
      </c>
      <c r="L61" s="159">
        <v>0.9</v>
      </c>
      <c r="M61" s="159">
        <v>0.9</v>
      </c>
      <c r="N61" s="159">
        <v>0.9</v>
      </c>
      <c r="O61" s="159">
        <v>0.9</v>
      </c>
      <c r="P61" s="159">
        <v>0.9</v>
      </c>
      <c r="Q61" s="159">
        <v>0.9</v>
      </c>
      <c r="R61" s="159">
        <v>0.9</v>
      </c>
      <c r="S61" s="159">
        <v>0.9</v>
      </c>
      <c r="T61" s="159">
        <v>0.9</v>
      </c>
      <c r="U61" s="159">
        <v>0.9</v>
      </c>
      <c r="V61" s="159">
        <v>0.9</v>
      </c>
      <c r="W61" s="159">
        <v>0.9</v>
      </c>
      <c r="X61" s="159">
        <v>0.9</v>
      </c>
      <c r="Y61" s="159">
        <v>0.9</v>
      </c>
      <c r="Z61" s="159">
        <v>0.9</v>
      </c>
      <c r="AA61" s="159">
        <v>0.9</v>
      </c>
      <c r="AB61" s="159">
        <v>0.9</v>
      </c>
      <c r="AC61" s="160">
        <v>0.9</v>
      </c>
      <c r="AD61" s="37"/>
      <c r="AE61" s="36"/>
      <c r="AF61" s="36"/>
      <c r="AG61" s="36"/>
      <c r="AH61" s="36"/>
      <c r="AI61" s="36"/>
      <c r="AJ61" s="36"/>
      <c r="AK61" s="36"/>
      <c r="AM61" s="47"/>
    </row>
    <row r="62" spans="1:41" ht="38.700000000000003" customHeight="1" x14ac:dyDescent="0.3">
      <c r="A62" s="588" t="s">
        <v>664</v>
      </c>
      <c r="B62" s="591" t="s">
        <v>120</v>
      </c>
      <c r="C62" s="594" t="s">
        <v>658</v>
      </c>
      <c r="D62" s="585" t="s">
        <v>651</v>
      </c>
      <c r="E62" s="173" t="s">
        <v>652</v>
      </c>
      <c r="F62" s="146">
        <v>0</v>
      </c>
      <c r="G62" s="146">
        <v>0</v>
      </c>
      <c r="H62" s="146">
        <v>0</v>
      </c>
      <c r="I62" s="146">
        <v>0</v>
      </c>
      <c r="J62" s="146">
        <v>0</v>
      </c>
      <c r="K62" s="146">
        <v>0</v>
      </c>
      <c r="L62" s="146">
        <v>0</v>
      </c>
      <c r="M62" s="146">
        <v>0.5</v>
      </c>
      <c r="N62" s="146">
        <v>0.5</v>
      </c>
      <c r="O62" s="146">
        <v>0.75</v>
      </c>
      <c r="P62" s="146">
        <v>0.9</v>
      </c>
      <c r="Q62" s="146">
        <v>0.9</v>
      </c>
      <c r="R62" s="146">
        <v>0.9</v>
      </c>
      <c r="S62" s="146">
        <v>0</v>
      </c>
      <c r="T62" s="146">
        <v>0</v>
      </c>
      <c r="U62" s="146">
        <v>0</v>
      </c>
      <c r="V62" s="146">
        <v>0</v>
      </c>
      <c r="W62" s="146">
        <v>0</v>
      </c>
      <c r="X62" s="146">
        <v>0</v>
      </c>
      <c r="Y62" s="146">
        <v>0</v>
      </c>
      <c r="Z62" s="146">
        <v>0</v>
      </c>
      <c r="AA62" s="146">
        <v>0</v>
      </c>
      <c r="AB62" s="146">
        <v>0</v>
      </c>
      <c r="AC62" s="147">
        <v>0</v>
      </c>
      <c r="AD62" s="36"/>
      <c r="AE62" s="36"/>
      <c r="AF62" s="36"/>
      <c r="AG62" s="36"/>
      <c r="AH62" s="36"/>
      <c r="AI62" s="36"/>
      <c r="AJ62" s="36"/>
      <c r="AK62" s="36"/>
      <c r="AM62" s="47"/>
      <c r="AO62" s="172"/>
    </row>
    <row r="63" spans="1:41" ht="38.700000000000003" customHeight="1" x14ac:dyDescent="0.3">
      <c r="A63" s="589"/>
      <c r="B63" s="592"/>
      <c r="C63" s="595"/>
      <c r="D63" s="586"/>
      <c r="E63" s="150" t="s">
        <v>653</v>
      </c>
      <c r="F63" s="157">
        <v>0</v>
      </c>
      <c r="G63" s="157">
        <v>0</v>
      </c>
      <c r="H63" s="157">
        <v>0</v>
      </c>
      <c r="I63" s="157">
        <v>0</v>
      </c>
      <c r="J63" s="157">
        <v>0</v>
      </c>
      <c r="K63" s="157">
        <v>0</v>
      </c>
      <c r="L63" s="157">
        <v>0</v>
      </c>
      <c r="M63" s="157">
        <v>0</v>
      </c>
      <c r="N63" s="157">
        <v>0</v>
      </c>
      <c r="O63" s="157">
        <v>0</v>
      </c>
      <c r="P63" s="157">
        <v>0</v>
      </c>
      <c r="Q63" s="157">
        <v>0</v>
      </c>
      <c r="R63" s="157">
        <v>0</v>
      </c>
      <c r="S63" s="157">
        <v>0</v>
      </c>
      <c r="T63" s="157">
        <v>0</v>
      </c>
      <c r="U63" s="157">
        <v>0</v>
      </c>
      <c r="V63" s="157">
        <v>0</v>
      </c>
      <c r="W63" s="157">
        <v>0</v>
      </c>
      <c r="X63" s="157">
        <v>0</v>
      </c>
      <c r="Y63" s="157">
        <v>0</v>
      </c>
      <c r="Z63" s="157">
        <v>0</v>
      </c>
      <c r="AA63" s="157">
        <v>0</v>
      </c>
      <c r="AB63" s="157">
        <v>0</v>
      </c>
      <c r="AC63" s="158">
        <v>0</v>
      </c>
      <c r="AD63" s="36"/>
      <c r="AE63" s="36"/>
      <c r="AF63" s="36"/>
      <c r="AG63" s="36"/>
      <c r="AH63" s="36"/>
      <c r="AI63" s="36"/>
      <c r="AJ63" s="36"/>
      <c r="AK63" s="36"/>
      <c r="AM63" s="47"/>
      <c r="AO63" s="172"/>
    </row>
    <row r="64" spans="1:41" ht="38.700000000000003" customHeight="1" thickBot="1" x14ac:dyDescent="0.35">
      <c r="A64" s="590"/>
      <c r="B64" s="593"/>
      <c r="C64" s="596"/>
      <c r="D64" s="587"/>
      <c r="E64" s="151" t="s">
        <v>654</v>
      </c>
      <c r="F64" s="159">
        <v>0</v>
      </c>
      <c r="G64" s="159">
        <v>0</v>
      </c>
      <c r="H64" s="159">
        <v>0</v>
      </c>
      <c r="I64" s="159">
        <v>0</v>
      </c>
      <c r="J64" s="159">
        <v>0</v>
      </c>
      <c r="K64" s="159">
        <v>0</v>
      </c>
      <c r="L64" s="159">
        <v>0</v>
      </c>
      <c r="M64" s="159">
        <v>0</v>
      </c>
      <c r="N64" s="159">
        <v>0</v>
      </c>
      <c r="O64" s="159">
        <v>0</v>
      </c>
      <c r="P64" s="159">
        <v>0</v>
      </c>
      <c r="Q64" s="159">
        <v>0</v>
      </c>
      <c r="R64" s="159">
        <v>0</v>
      </c>
      <c r="S64" s="159">
        <v>0</v>
      </c>
      <c r="T64" s="159">
        <v>0</v>
      </c>
      <c r="U64" s="159">
        <v>0</v>
      </c>
      <c r="V64" s="159">
        <v>0</v>
      </c>
      <c r="W64" s="159">
        <v>0</v>
      </c>
      <c r="X64" s="159">
        <v>0</v>
      </c>
      <c r="Y64" s="159">
        <v>0</v>
      </c>
      <c r="Z64" s="159">
        <v>0</v>
      </c>
      <c r="AA64" s="159">
        <v>0</v>
      </c>
      <c r="AB64" s="159">
        <v>0</v>
      </c>
      <c r="AC64" s="160">
        <v>0</v>
      </c>
      <c r="AD64" s="36"/>
      <c r="AE64" s="36"/>
      <c r="AF64" s="36"/>
      <c r="AG64" s="36"/>
      <c r="AH64" s="36"/>
      <c r="AI64" s="36"/>
      <c r="AJ64" s="36"/>
      <c r="AK64" s="36"/>
      <c r="AM64" s="47"/>
      <c r="AO64" s="172"/>
    </row>
    <row r="65" spans="1:39" ht="38.700000000000003" customHeight="1" x14ac:dyDescent="0.3">
      <c r="A65" s="588" t="s">
        <v>664</v>
      </c>
      <c r="B65" s="597" t="s">
        <v>120</v>
      </c>
      <c r="C65" s="579" t="s">
        <v>657</v>
      </c>
      <c r="D65" s="585" t="s">
        <v>651</v>
      </c>
      <c r="E65" s="174" t="s">
        <v>652</v>
      </c>
      <c r="F65" s="175">
        <v>0.05</v>
      </c>
      <c r="G65" s="175">
        <v>0.05</v>
      </c>
      <c r="H65" s="175">
        <v>0.05</v>
      </c>
      <c r="I65" s="175">
        <v>0.05</v>
      </c>
      <c r="J65" s="175">
        <v>0.05</v>
      </c>
      <c r="K65" s="175">
        <v>0.05</v>
      </c>
      <c r="L65" s="175">
        <v>0.05</v>
      </c>
      <c r="M65" s="175">
        <v>0.1</v>
      </c>
      <c r="N65" s="175">
        <v>0.34</v>
      </c>
      <c r="O65" s="175">
        <v>0.6</v>
      </c>
      <c r="P65" s="175">
        <v>0.63</v>
      </c>
      <c r="Q65" s="175">
        <v>0.72</v>
      </c>
      <c r="R65" s="175">
        <v>0.79</v>
      </c>
      <c r="S65" s="175">
        <v>0.83</v>
      </c>
      <c r="T65" s="175">
        <v>0.61</v>
      </c>
      <c r="U65" s="175">
        <v>0.65</v>
      </c>
      <c r="V65" s="175">
        <v>0.1</v>
      </c>
      <c r="W65" s="175">
        <v>0.1</v>
      </c>
      <c r="X65" s="175">
        <v>0.19</v>
      </c>
      <c r="Y65" s="175">
        <v>0.25</v>
      </c>
      <c r="Z65" s="175">
        <v>0.22</v>
      </c>
      <c r="AA65" s="175">
        <v>0.22</v>
      </c>
      <c r="AB65" s="175">
        <v>0.12</v>
      </c>
      <c r="AC65" s="176">
        <v>0.09</v>
      </c>
      <c r="AD65" s="36"/>
      <c r="AE65" s="36"/>
      <c r="AF65" s="36"/>
      <c r="AG65" s="36"/>
      <c r="AH65" s="36"/>
      <c r="AI65" s="36"/>
      <c r="AJ65" s="36"/>
      <c r="AK65" s="36"/>
      <c r="AM65" s="47"/>
    </row>
    <row r="66" spans="1:39" ht="38.700000000000003" customHeight="1" x14ac:dyDescent="0.3">
      <c r="A66" s="589"/>
      <c r="B66" s="598"/>
      <c r="C66" s="580"/>
      <c r="D66" s="586"/>
      <c r="E66" s="177" t="s">
        <v>653</v>
      </c>
      <c r="F66" s="178">
        <v>0.03</v>
      </c>
      <c r="G66" s="178">
        <v>0.03</v>
      </c>
      <c r="H66" s="178">
        <v>0.03</v>
      </c>
      <c r="I66" s="178">
        <v>0.03</v>
      </c>
      <c r="J66" s="178">
        <v>0.03</v>
      </c>
      <c r="K66" s="178">
        <v>0.03</v>
      </c>
      <c r="L66" s="178">
        <v>0.03</v>
      </c>
      <c r="M66" s="178">
        <v>0.03</v>
      </c>
      <c r="N66" s="178">
        <v>0.03</v>
      </c>
      <c r="O66" s="178">
        <v>0.05</v>
      </c>
      <c r="P66" s="178">
        <v>0.05</v>
      </c>
      <c r="Q66" s="178">
        <v>0.05</v>
      </c>
      <c r="R66" s="178">
        <v>0.05</v>
      </c>
      <c r="S66" s="178">
        <v>0.03</v>
      </c>
      <c r="T66" s="178">
        <v>0.03</v>
      </c>
      <c r="U66" s="178">
        <v>0.03</v>
      </c>
      <c r="V66" s="178">
        <v>0.03</v>
      </c>
      <c r="W66" s="178">
        <v>0.03</v>
      </c>
      <c r="X66" s="178">
        <v>0.03</v>
      </c>
      <c r="Y66" s="178">
        <v>0.03</v>
      </c>
      <c r="Z66" s="178">
        <v>0.03</v>
      </c>
      <c r="AA66" s="178">
        <v>0.03</v>
      </c>
      <c r="AB66" s="178">
        <v>0.03</v>
      </c>
      <c r="AC66" s="179">
        <v>0.03</v>
      </c>
      <c r="AD66" s="36"/>
      <c r="AE66" s="36"/>
      <c r="AF66" s="36"/>
      <c r="AG66" s="36"/>
      <c r="AH66" s="36"/>
      <c r="AI66" s="36"/>
      <c r="AJ66" s="36"/>
      <c r="AK66" s="36"/>
      <c r="AM66" s="47"/>
    </row>
    <row r="67" spans="1:39" ht="38.700000000000003" customHeight="1" thickBot="1" x14ac:dyDescent="0.35">
      <c r="A67" s="590"/>
      <c r="B67" s="599"/>
      <c r="C67" s="581"/>
      <c r="D67" s="587"/>
      <c r="E67" s="180" t="s">
        <v>654</v>
      </c>
      <c r="F67" s="181">
        <v>0.03</v>
      </c>
      <c r="G67" s="181">
        <v>0.03</v>
      </c>
      <c r="H67" s="181">
        <v>0.03</v>
      </c>
      <c r="I67" s="181">
        <v>0.03</v>
      </c>
      <c r="J67" s="181">
        <v>0.03</v>
      </c>
      <c r="K67" s="181">
        <v>0.03</v>
      </c>
      <c r="L67" s="181">
        <v>0.03</v>
      </c>
      <c r="M67" s="181">
        <v>0.03</v>
      </c>
      <c r="N67" s="181">
        <v>0.05</v>
      </c>
      <c r="O67" s="181">
        <v>0.05</v>
      </c>
      <c r="P67" s="181">
        <v>0.05</v>
      </c>
      <c r="Q67" s="181">
        <v>0.05</v>
      </c>
      <c r="R67" s="181">
        <v>0.05</v>
      </c>
      <c r="S67" s="181">
        <v>0.05</v>
      </c>
      <c r="T67" s="181">
        <v>0.03</v>
      </c>
      <c r="U67" s="181">
        <v>0.03</v>
      </c>
      <c r="V67" s="181">
        <v>0.03</v>
      </c>
      <c r="W67" s="181">
        <v>0.03</v>
      </c>
      <c r="X67" s="181">
        <v>0.03</v>
      </c>
      <c r="Y67" s="181">
        <v>0.03</v>
      </c>
      <c r="Z67" s="181">
        <v>0.03</v>
      </c>
      <c r="AA67" s="181">
        <v>0.03</v>
      </c>
      <c r="AB67" s="181">
        <v>0.03</v>
      </c>
      <c r="AC67" s="182">
        <v>0.03</v>
      </c>
      <c r="AD67" s="36"/>
      <c r="AE67" s="36"/>
      <c r="AF67" s="36"/>
      <c r="AG67" s="36"/>
      <c r="AH67" s="36"/>
      <c r="AI67" s="36"/>
      <c r="AJ67" s="36"/>
      <c r="AK67" s="36"/>
      <c r="AM67" s="47"/>
    </row>
    <row r="68" spans="1:39" ht="35.25" customHeight="1" thickBot="1" x14ac:dyDescent="0.35">
      <c r="A68" s="625" t="s">
        <v>101</v>
      </c>
      <c r="B68" s="625"/>
      <c r="C68" s="625" t="s">
        <v>16</v>
      </c>
      <c r="D68" s="625"/>
      <c r="E68" s="625"/>
      <c r="F68" s="625"/>
      <c r="G68" s="625"/>
      <c r="H68" s="625"/>
      <c r="I68" s="625"/>
      <c r="J68" s="625"/>
      <c r="K68" s="625"/>
      <c r="L68" s="625"/>
      <c r="M68" s="625"/>
      <c r="N68" s="625"/>
      <c r="O68" s="625"/>
      <c r="P68" s="625"/>
      <c r="Q68" s="625"/>
      <c r="R68" s="625"/>
      <c r="S68" s="625"/>
      <c r="T68" s="625"/>
      <c r="U68" s="625"/>
      <c r="V68" s="625"/>
      <c r="W68" s="625"/>
      <c r="X68" s="625"/>
      <c r="Y68" s="625"/>
      <c r="Z68" s="625"/>
      <c r="AA68" s="625"/>
      <c r="AB68" s="625"/>
      <c r="AC68" s="626"/>
    </row>
    <row r="69" spans="1:39" customFormat="1" ht="26.4" customHeight="1" x14ac:dyDescent="0.3">
      <c r="A69" s="576" t="s">
        <v>667</v>
      </c>
      <c r="B69" s="618" t="s">
        <v>101</v>
      </c>
      <c r="C69" s="618" t="s">
        <v>650</v>
      </c>
      <c r="D69" s="585" t="s">
        <v>662</v>
      </c>
      <c r="E69" s="131" t="s">
        <v>652</v>
      </c>
      <c r="F69" s="144">
        <v>0</v>
      </c>
      <c r="G69" s="144">
        <v>0</v>
      </c>
      <c r="H69" s="144">
        <v>0</v>
      </c>
      <c r="I69" s="144">
        <v>0</v>
      </c>
      <c r="J69" s="144">
        <v>0</v>
      </c>
      <c r="K69" s="144">
        <v>0</v>
      </c>
      <c r="L69" s="144">
        <v>0.1</v>
      </c>
      <c r="M69" s="144">
        <v>0.5</v>
      </c>
      <c r="N69" s="144">
        <v>0.25</v>
      </c>
      <c r="O69" s="144">
        <v>0.25</v>
      </c>
      <c r="P69" s="144">
        <v>0.05</v>
      </c>
      <c r="Q69" s="144">
        <v>0.25</v>
      </c>
      <c r="R69" s="144">
        <v>0.95</v>
      </c>
      <c r="S69" s="144">
        <v>0.95</v>
      </c>
      <c r="T69" s="144">
        <v>0.25</v>
      </c>
      <c r="U69" s="144">
        <v>0.2</v>
      </c>
      <c r="V69" s="144">
        <v>0.2</v>
      </c>
      <c r="W69" s="144">
        <v>0.2</v>
      </c>
      <c r="X69" s="144">
        <v>0.15</v>
      </c>
      <c r="Y69" s="144">
        <v>0.15</v>
      </c>
      <c r="Z69" s="144">
        <v>0</v>
      </c>
      <c r="AA69" s="144">
        <v>0</v>
      </c>
      <c r="AB69" s="144">
        <v>0</v>
      </c>
      <c r="AC69" s="145">
        <v>0</v>
      </c>
      <c r="AD69" s="36"/>
      <c r="AE69" s="36"/>
      <c r="AF69" s="36"/>
      <c r="AG69" s="36"/>
      <c r="AH69" s="36"/>
      <c r="AI69" s="36"/>
      <c r="AJ69" s="36"/>
    </row>
    <row r="70" spans="1:39" customFormat="1" ht="26.4" customHeight="1" x14ac:dyDescent="0.3">
      <c r="A70" s="577"/>
      <c r="B70" s="595"/>
      <c r="C70" s="595"/>
      <c r="D70" s="586"/>
      <c r="E70" s="129" t="s">
        <v>653</v>
      </c>
      <c r="F70" s="157">
        <v>0</v>
      </c>
      <c r="G70" s="157">
        <v>0</v>
      </c>
      <c r="H70" s="157">
        <v>0</v>
      </c>
      <c r="I70" s="157">
        <v>0</v>
      </c>
      <c r="J70" s="157">
        <v>0</v>
      </c>
      <c r="K70" s="157">
        <v>0</v>
      </c>
      <c r="L70" s="157">
        <v>0</v>
      </c>
      <c r="M70" s="157">
        <v>0</v>
      </c>
      <c r="N70" s="157">
        <v>0</v>
      </c>
      <c r="O70" s="157">
        <v>0</v>
      </c>
      <c r="P70" s="157">
        <v>0</v>
      </c>
      <c r="Q70" s="157">
        <v>0</v>
      </c>
      <c r="R70" s="157">
        <v>0</v>
      </c>
      <c r="S70" s="157">
        <v>0</v>
      </c>
      <c r="T70" s="157">
        <v>0</v>
      </c>
      <c r="U70" s="157">
        <v>0</v>
      </c>
      <c r="V70" s="157">
        <v>0</v>
      </c>
      <c r="W70" s="157">
        <v>0</v>
      </c>
      <c r="X70" s="157">
        <v>0</v>
      </c>
      <c r="Y70" s="157">
        <v>0</v>
      </c>
      <c r="Z70" s="157">
        <v>0</v>
      </c>
      <c r="AA70" s="157">
        <v>0</v>
      </c>
      <c r="AB70" s="157">
        <v>0</v>
      </c>
      <c r="AC70" s="158">
        <v>0</v>
      </c>
      <c r="AD70" s="36"/>
      <c r="AE70" s="36"/>
      <c r="AF70" s="36"/>
      <c r="AG70" s="36"/>
      <c r="AH70" s="36"/>
      <c r="AI70" s="36"/>
      <c r="AJ70" s="36"/>
    </row>
    <row r="71" spans="1:39" customFormat="1" ht="26.4" customHeight="1" thickBot="1" x14ac:dyDescent="0.35">
      <c r="A71" s="578"/>
      <c r="B71" s="596"/>
      <c r="C71" s="596"/>
      <c r="D71" s="587"/>
      <c r="E71" s="130" t="s">
        <v>654</v>
      </c>
      <c r="F71" s="159">
        <v>0</v>
      </c>
      <c r="G71" s="159">
        <v>0</v>
      </c>
      <c r="H71" s="159">
        <v>0</v>
      </c>
      <c r="I71" s="159">
        <v>0</v>
      </c>
      <c r="J71" s="159">
        <v>0</v>
      </c>
      <c r="K71" s="159">
        <v>0</v>
      </c>
      <c r="L71" s="159">
        <v>0</v>
      </c>
      <c r="M71" s="159">
        <v>0</v>
      </c>
      <c r="N71" s="159">
        <v>0</v>
      </c>
      <c r="O71" s="159">
        <v>0</v>
      </c>
      <c r="P71" s="159">
        <v>0</v>
      </c>
      <c r="Q71" s="159">
        <v>0</v>
      </c>
      <c r="R71" s="159">
        <v>0</v>
      </c>
      <c r="S71" s="159">
        <v>0</v>
      </c>
      <c r="T71" s="159">
        <v>0</v>
      </c>
      <c r="U71" s="159">
        <v>0</v>
      </c>
      <c r="V71" s="159">
        <v>0</v>
      </c>
      <c r="W71" s="159">
        <v>0</v>
      </c>
      <c r="X71" s="159">
        <v>0</v>
      </c>
      <c r="Y71" s="159">
        <v>0</v>
      </c>
      <c r="Z71" s="159">
        <v>0</v>
      </c>
      <c r="AA71" s="159">
        <v>0</v>
      </c>
      <c r="AB71" s="159">
        <v>0</v>
      </c>
      <c r="AC71" s="160">
        <v>0</v>
      </c>
      <c r="AD71" s="36"/>
      <c r="AE71" s="36"/>
      <c r="AF71" s="36"/>
      <c r="AG71" s="36"/>
      <c r="AH71" s="36"/>
      <c r="AI71" s="36"/>
      <c r="AJ71" s="36"/>
    </row>
    <row r="72" spans="1:39" customFormat="1" ht="26.4" customHeight="1" x14ac:dyDescent="0.3">
      <c r="A72" s="576" t="s">
        <v>667</v>
      </c>
      <c r="B72" s="618" t="s">
        <v>101</v>
      </c>
      <c r="C72" s="618" t="s">
        <v>660</v>
      </c>
      <c r="D72" s="585" t="s">
        <v>662</v>
      </c>
      <c r="E72" s="149" t="s">
        <v>652</v>
      </c>
      <c r="F72" s="144">
        <v>0</v>
      </c>
      <c r="G72" s="144">
        <v>0</v>
      </c>
      <c r="H72" s="144">
        <v>0</v>
      </c>
      <c r="I72" s="144">
        <v>0</v>
      </c>
      <c r="J72" s="144">
        <v>0</v>
      </c>
      <c r="K72" s="144">
        <v>0</v>
      </c>
      <c r="L72" s="144">
        <v>1</v>
      </c>
      <c r="M72" s="144">
        <v>1</v>
      </c>
      <c r="N72" s="144">
        <v>1</v>
      </c>
      <c r="O72" s="144">
        <v>1</v>
      </c>
      <c r="P72" s="144">
        <v>1</v>
      </c>
      <c r="Q72" s="144">
        <v>1</v>
      </c>
      <c r="R72" s="144">
        <v>1</v>
      </c>
      <c r="S72" s="144">
        <v>1</v>
      </c>
      <c r="T72" s="144">
        <v>1</v>
      </c>
      <c r="U72" s="144">
        <v>1</v>
      </c>
      <c r="V72" s="144">
        <v>1</v>
      </c>
      <c r="W72" s="144">
        <v>1</v>
      </c>
      <c r="X72" s="144">
        <v>1</v>
      </c>
      <c r="Y72" s="144">
        <v>1</v>
      </c>
      <c r="Z72" s="144">
        <v>0</v>
      </c>
      <c r="AA72" s="144">
        <v>0</v>
      </c>
      <c r="AB72" s="144">
        <v>0</v>
      </c>
      <c r="AC72" s="145">
        <v>0</v>
      </c>
      <c r="AD72" s="36"/>
      <c r="AE72" s="36"/>
      <c r="AF72" s="36"/>
      <c r="AG72" s="36"/>
      <c r="AH72" s="36"/>
      <c r="AI72" s="36"/>
      <c r="AJ72" s="36"/>
    </row>
    <row r="73" spans="1:39" customFormat="1" ht="26.4" customHeight="1" x14ac:dyDescent="0.3">
      <c r="A73" s="577"/>
      <c r="B73" s="595"/>
      <c r="C73" s="595"/>
      <c r="D73" s="586"/>
      <c r="E73" s="150" t="s">
        <v>653</v>
      </c>
      <c r="F73" s="157">
        <v>0</v>
      </c>
      <c r="G73" s="157">
        <v>0</v>
      </c>
      <c r="H73" s="157">
        <v>0</v>
      </c>
      <c r="I73" s="157">
        <v>0</v>
      </c>
      <c r="J73" s="157">
        <v>0</v>
      </c>
      <c r="K73" s="157">
        <v>0</v>
      </c>
      <c r="L73" s="157">
        <v>0</v>
      </c>
      <c r="M73" s="246">
        <v>1</v>
      </c>
      <c r="N73" s="246">
        <v>1</v>
      </c>
      <c r="O73" s="246">
        <v>1</v>
      </c>
      <c r="P73" s="246">
        <v>1</v>
      </c>
      <c r="Q73" s="246">
        <v>1</v>
      </c>
      <c r="R73" s="246">
        <v>1</v>
      </c>
      <c r="S73" s="246">
        <v>1</v>
      </c>
      <c r="T73" s="246">
        <v>1</v>
      </c>
      <c r="U73" s="246">
        <v>1</v>
      </c>
      <c r="V73" s="246">
        <v>1</v>
      </c>
      <c r="W73" s="246">
        <v>1</v>
      </c>
      <c r="X73" s="157">
        <v>0</v>
      </c>
      <c r="Y73" s="157">
        <v>0</v>
      </c>
      <c r="Z73" s="157">
        <v>0</v>
      </c>
      <c r="AA73" s="157">
        <v>0</v>
      </c>
      <c r="AB73" s="157">
        <v>0</v>
      </c>
      <c r="AC73" s="158">
        <v>0</v>
      </c>
      <c r="AD73" s="36"/>
      <c r="AE73" s="36"/>
      <c r="AF73" s="36"/>
      <c r="AG73" s="36"/>
      <c r="AH73" s="36"/>
      <c r="AI73" s="36"/>
      <c r="AJ73" s="36"/>
    </row>
    <row r="74" spans="1:39" customFormat="1" ht="26.4" customHeight="1" thickBot="1" x14ac:dyDescent="0.35">
      <c r="A74" s="578"/>
      <c r="B74" s="596"/>
      <c r="C74" s="596"/>
      <c r="D74" s="587"/>
      <c r="E74" s="151" t="s">
        <v>654</v>
      </c>
      <c r="F74" s="159">
        <v>0</v>
      </c>
      <c r="G74" s="159">
        <v>0</v>
      </c>
      <c r="H74" s="159">
        <v>0</v>
      </c>
      <c r="I74" s="159">
        <v>0</v>
      </c>
      <c r="J74" s="159">
        <v>0</v>
      </c>
      <c r="K74" s="159">
        <v>0</v>
      </c>
      <c r="L74" s="159">
        <v>0</v>
      </c>
      <c r="M74" s="159">
        <v>0</v>
      </c>
      <c r="N74" s="159">
        <v>0</v>
      </c>
      <c r="O74" s="159">
        <v>0</v>
      </c>
      <c r="P74" s="159">
        <v>0</v>
      </c>
      <c r="Q74" s="159">
        <v>0</v>
      </c>
      <c r="R74" s="159">
        <v>0</v>
      </c>
      <c r="S74" s="159">
        <v>0</v>
      </c>
      <c r="T74" s="159">
        <v>0</v>
      </c>
      <c r="U74" s="159">
        <v>0</v>
      </c>
      <c r="V74" s="159">
        <v>0</v>
      </c>
      <c r="W74" s="159">
        <v>0</v>
      </c>
      <c r="X74" s="159">
        <v>0</v>
      </c>
      <c r="Y74" s="159">
        <v>0</v>
      </c>
      <c r="Z74" s="159">
        <v>0</v>
      </c>
      <c r="AA74" s="159">
        <v>0</v>
      </c>
      <c r="AB74" s="159">
        <v>0</v>
      </c>
      <c r="AC74" s="160">
        <v>0</v>
      </c>
      <c r="AD74" s="36"/>
      <c r="AE74" s="36"/>
      <c r="AF74" s="36"/>
      <c r="AG74" s="36"/>
      <c r="AH74" s="36"/>
      <c r="AI74" s="36"/>
      <c r="AJ74" s="36"/>
    </row>
    <row r="75" spans="1:39" customFormat="1" ht="26.4" customHeight="1" x14ac:dyDescent="0.3">
      <c r="A75" s="576" t="s">
        <v>667</v>
      </c>
      <c r="B75" s="618" t="s">
        <v>101</v>
      </c>
      <c r="C75" s="618" t="s">
        <v>655</v>
      </c>
      <c r="D75" s="585" t="s">
        <v>662</v>
      </c>
      <c r="E75" s="149" t="s">
        <v>652</v>
      </c>
      <c r="F75" s="144">
        <v>0</v>
      </c>
      <c r="G75" s="144">
        <v>0</v>
      </c>
      <c r="H75" s="144">
        <v>0</v>
      </c>
      <c r="I75" s="144">
        <v>0</v>
      </c>
      <c r="J75" s="144">
        <v>0</v>
      </c>
      <c r="K75" s="144">
        <v>0</v>
      </c>
      <c r="L75" s="144">
        <v>1</v>
      </c>
      <c r="M75" s="144">
        <v>1</v>
      </c>
      <c r="N75" s="144">
        <v>1</v>
      </c>
      <c r="O75" s="144">
        <v>1</v>
      </c>
      <c r="P75" s="144">
        <v>1</v>
      </c>
      <c r="Q75" s="144">
        <v>1</v>
      </c>
      <c r="R75" s="144">
        <v>1</v>
      </c>
      <c r="S75" s="144">
        <v>1</v>
      </c>
      <c r="T75" s="144">
        <v>1</v>
      </c>
      <c r="U75" s="144">
        <v>1</v>
      </c>
      <c r="V75" s="144">
        <v>1</v>
      </c>
      <c r="W75" s="144">
        <v>1</v>
      </c>
      <c r="X75" s="144">
        <v>1</v>
      </c>
      <c r="Y75" s="144">
        <v>1</v>
      </c>
      <c r="Z75" s="144">
        <v>0</v>
      </c>
      <c r="AA75" s="144">
        <v>0</v>
      </c>
      <c r="AB75" s="144">
        <v>0</v>
      </c>
      <c r="AC75" s="145">
        <v>0</v>
      </c>
      <c r="AD75" s="36"/>
      <c r="AE75" s="36"/>
      <c r="AF75" s="36"/>
      <c r="AG75" s="36"/>
      <c r="AH75" s="36"/>
      <c r="AI75" s="36"/>
      <c r="AJ75" s="36"/>
    </row>
    <row r="76" spans="1:39" customFormat="1" ht="26.4" customHeight="1" x14ac:dyDescent="0.3">
      <c r="A76" s="577"/>
      <c r="B76" s="595"/>
      <c r="C76" s="595"/>
      <c r="D76" s="586"/>
      <c r="E76" s="150" t="s">
        <v>653</v>
      </c>
      <c r="F76" s="157">
        <v>0</v>
      </c>
      <c r="G76" s="157">
        <v>0</v>
      </c>
      <c r="H76" s="157">
        <v>0</v>
      </c>
      <c r="I76" s="157">
        <v>0</v>
      </c>
      <c r="J76" s="157">
        <v>0</v>
      </c>
      <c r="K76" s="157">
        <v>0</v>
      </c>
      <c r="L76" s="157">
        <v>0</v>
      </c>
      <c r="M76" s="157">
        <v>0</v>
      </c>
      <c r="N76" s="157">
        <v>0</v>
      </c>
      <c r="O76" s="157">
        <v>0</v>
      </c>
      <c r="P76" s="157">
        <v>0</v>
      </c>
      <c r="Q76" s="157">
        <v>0</v>
      </c>
      <c r="R76" s="157">
        <v>0</v>
      </c>
      <c r="S76" s="157">
        <v>0</v>
      </c>
      <c r="T76" s="157">
        <v>0</v>
      </c>
      <c r="U76" s="157">
        <v>0</v>
      </c>
      <c r="V76" s="157">
        <v>0</v>
      </c>
      <c r="W76" s="157">
        <v>0</v>
      </c>
      <c r="X76" s="157">
        <v>0</v>
      </c>
      <c r="Y76" s="157">
        <v>0</v>
      </c>
      <c r="Z76" s="157">
        <v>0</v>
      </c>
      <c r="AA76" s="157">
        <v>0</v>
      </c>
      <c r="AB76" s="157">
        <v>0</v>
      </c>
      <c r="AC76" s="158">
        <v>0</v>
      </c>
      <c r="AD76" s="36"/>
      <c r="AE76" s="36"/>
      <c r="AF76" s="36"/>
      <c r="AG76" s="36"/>
      <c r="AH76" s="36"/>
      <c r="AI76" s="36"/>
      <c r="AJ76" s="36"/>
    </row>
    <row r="77" spans="1:39" customFormat="1" ht="26.4" customHeight="1" thickBot="1" x14ac:dyDescent="0.35">
      <c r="A77" s="629"/>
      <c r="B77" s="630"/>
      <c r="C77" s="630"/>
      <c r="D77" s="631"/>
      <c r="E77" s="151" t="s">
        <v>654</v>
      </c>
      <c r="F77" s="159">
        <v>0</v>
      </c>
      <c r="G77" s="159">
        <v>0</v>
      </c>
      <c r="H77" s="159">
        <v>0</v>
      </c>
      <c r="I77" s="159">
        <v>0</v>
      </c>
      <c r="J77" s="159">
        <v>0</v>
      </c>
      <c r="K77" s="159">
        <v>0</v>
      </c>
      <c r="L77" s="159">
        <v>0</v>
      </c>
      <c r="M77" s="159">
        <v>0</v>
      </c>
      <c r="N77" s="159">
        <v>0</v>
      </c>
      <c r="O77" s="159">
        <v>0</v>
      </c>
      <c r="P77" s="159">
        <v>0</v>
      </c>
      <c r="Q77" s="159">
        <v>0</v>
      </c>
      <c r="R77" s="159">
        <v>0</v>
      </c>
      <c r="S77" s="159">
        <v>0</v>
      </c>
      <c r="T77" s="159">
        <v>0</v>
      </c>
      <c r="U77" s="159">
        <v>0</v>
      </c>
      <c r="V77" s="159">
        <v>0</v>
      </c>
      <c r="W77" s="159">
        <v>0</v>
      </c>
      <c r="X77" s="159">
        <v>0</v>
      </c>
      <c r="Y77" s="159">
        <v>0</v>
      </c>
      <c r="Z77" s="159">
        <v>0</v>
      </c>
      <c r="AA77" s="159">
        <v>0</v>
      </c>
      <c r="AB77" s="159">
        <v>0</v>
      </c>
      <c r="AC77" s="160">
        <v>0</v>
      </c>
      <c r="AD77" s="36"/>
      <c r="AE77" s="36"/>
      <c r="AF77" s="36"/>
      <c r="AG77" s="36"/>
      <c r="AH77" s="36"/>
      <c r="AI77" s="36"/>
      <c r="AJ77" s="36"/>
    </row>
    <row r="78" spans="1:39" customFormat="1" ht="26.4" customHeight="1" x14ac:dyDescent="0.3">
      <c r="A78" s="576" t="s">
        <v>667</v>
      </c>
      <c r="B78" s="618" t="s">
        <v>101</v>
      </c>
      <c r="C78" s="618" t="s">
        <v>656</v>
      </c>
      <c r="D78" s="585" t="s">
        <v>662</v>
      </c>
      <c r="E78" s="149" t="s">
        <v>652</v>
      </c>
      <c r="F78" s="144">
        <v>0.15</v>
      </c>
      <c r="G78" s="144">
        <v>0.15</v>
      </c>
      <c r="H78" s="144">
        <v>0.15</v>
      </c>
      <c r="I78" s="144">
        <v>0.15</v>
      </c>
      <c r="J78" s="144">
        <v>0.15</v>
      </c>
      <c r="K78" s="144">
        <v>0.2</v>
      </c>
      <c r="L78" s="144">
        <v>0.3</v>
      </c>
      <c r="M78" s="144">
        <v>0.9</v>
      </c>
      <c r="N78" s="144">
        <v>0.9</v>
      </c>
      <c r="O78" s="144">
        <v>0.8</v>
      </c>
      <c r="P78" s="144">
        <v>0.8</v>
      </c>
      <c r="Q78" s="144">
        <v>0.8</v>
      </c>
      <c r="R78" s="144">
        <v>0.9</v>
      </c>
      <c r="S78" s="144">
        <v>0.9</v>
      </c>
      <c r="T78" s="144">
        <v>0.9</v>
      </c>
      <c r="U78" s="144">
        <v>0.7</v>
      </c>
      <c r="V78" s="144">
        <v>0.2</v>
      </c>
      <c r="W78" s="144">
        <v>0.15</v>
      </c>
      <c r="X78" s="144">
        <v>0.15</v>
      </c>
      <c r="Y78" s="144">
        <v>0.15</v>
      </c>
      <c r="Z78" s="144">
        <v>0.15</v>
      </c>
      <c r="AA78" s="144">
        <v>0.15</v>
      </c>
      <c r="AB78" s="144">
        <v>0.15</v>
      </c>
      <c r="AC78" s="145">
        <v>0.15</v>
      </c>
      <c r="AD78" s="36"/>
      <c r="AE78" s="36"/>
      <c r="AF78" s="36"/>
      <c r="AG78" s="36"/>
      <c r="AH78" s="36"/>
      <c r="AI78" s="36"/>
      <c r="AJ78" s="36"/>
    </row>
    <row r="79" spans="1:39" customFormat="1" ht="26.4" customHeight="1" x14ac:dyDescent="0.3">
      <c r="A79" s="577"/>
      <c r="B79" s="595"/>
      <c r="C79" s="595"/>
      <c r="D79" s="586"/>
      <c r="E79" s="150" t="s">
        <v>653</v>
      </c>
      <c r="F79" s="157">
        <v>0</v>
      </c>
      <c r="G79" s="157">
        <v>0</v>
      </c>
      <c r="H79" s="157">
        <v>0</v>
      </c>
      <c r="I79" s="157">
        <v>0</v>
      </c>
      <c r="J79" s="157">
        <v>0</v>
      </c>
      <c r="K79" s="157">
        <v>0</v>
      </c>
      <c r="L79" s="157">
        <v>0</v>
      </c>
      <c r="M79" s="157">
        <v>0</v>
      </c>
      <c r="N79" s="157">
        <v>0</v>
      </c>
      <c r="O79" s="157">
        <v>0</v>
      </c>
      <c r="P79" s="157">
        <v>0</v>
      </c>
      <c r="Q79" s="157">
        <v>0</v>
      </c>
      <c r="R79" s="157">
        <v>0</v>
      </c>
      <c r="S79" s="157">
        <v>0</v>
      </c>
      <c r="T79" s="157">
        <v>0</v>
      </c>
      <c r="U79" s="157">
        <v>0</v>
      </c>
      <c r="V79" s="157">
        <v>0</v>
      </c>
      <c r="W79" s="157">
        <v>0</v>
      </c>
      <c r="X79" s="157">
        <v>0</v>
      </c>
      <c r="Y79" s="157">
        <v>0</v>
      </c>
      <c r="Z79" s="157">
        <v>0</v>
      </c>
      <c r="AA79" s="157">
        <v>0</v>
      </c>
      <c r="AB79" s="157">
        <v>0</v>
      </c>
      <c r="AC79" s="158">
        <v>0</v>
      </c>
      <c r="AD79" s="36"/>
      <c r="AE79" s="36"/>
      <c r="AF79" s="36"/>
      <c r="AG79" s="36"/>
      <c r="AH79" s="36"/>
      <c r="AI79" s="36"/>
      <c r="AJ79" s="36"/>
    </row>
    <row r="80" spans="1:39" customFormat="1" ht="26.4" customHeight="1" thickBot="1" x14ac:dyDescent="0.35">
      <c r="A80" s="578"/>
      <c r="B80" s="596"/>
      <c r="C80" s="596"/>
      <c r="D80" s="587"/>
      <c r="E80" s="151" t="s">
        <v>654</v>
      </c>
      <c r="F80" s="159">
        <v>0</v>
      </c>
      <c r="G80" s="159">
        <v>0</v>
      </c>
      <c r="H80" s="159">
        <v>0</v>
      </c>
      <c r="I80" s="159">
        <v>0</v>
      </c>
      <c r="J80" s="159">
        <v>0</v>
      </c>
      <c r="K80" s="159">
        <v>0</v>
      </c>
      <c r="L80" s="159">
        <v>0</v>
      </c>
      <c r="M80" s="159">
        <v>0</v>
      </c>
      <c r="N80" s="159">
        <v>0</v>
      </c>
      <c r="O80" s="159">
        <v>0</v>
      </c>
      <c r="P80" s="159">
        <v>0</v>
      </c>
      <c r="Q80" s="159">
        <v>0</v>
      </c>
      <c r="R80" s="159">
        <v>0</v>
      </c>
      <c r="S80" s="159">
        <v>0</v>
      </c>
      <c r="T80" s="159">
        <v>0</v>
      </c>
      <c r="U80" s="159">
        <v>0</v>
      </c>
      <c r="V80" s="159">
        <v>0</v>
      </c>
      <c r="W80" s="159">
        <v>0</v>
      </c>
      <c r="X80" s="159">
        <v>0</v>
      </c>
      <c r="Y80" s="159">
        <v>0</v>
      </c>
      <c r="Z80" s="159">
        <v>0</v>
      </c>
      <c r="AA80" s="159">
        <v>0</v>
      </c>
      <c r="AB80" s="159">
        <v>0</v>
      </c>
      <c r="AC80" s="160">
        <v>0</v>
      </c>
      <c r="AD80" s="36"/>
      <c r="AE80" s="36"/>
      <c r="AF80" s="36"/>
      <c r="AG80" s="36"/>
      <c r="AH80" s="36"/>
      <c r="AI80" s="36"/>
      <c r="AJ80" s="36"/>
    </row>
    <row r="81" spans="1:36" customFormat="1" ht="23.4" customHeight="1" x14ac:dyDescent="0.3">
      <c r="A81" s="576" t="s">
        <v>667</v>
      </c>
      <c r="B81" s="618" t="s">
        <v>101</v>
      </c>
      <c r="C81" s="579" t="s">
        <v>661</v>
      </c>
      <c r="D81" s="585" t="s">
        <v>662</v>
      </c>
      <c r="E81" s="149" t="s">
        <v>652</v>
      </c>
      <c r="F81" s="442">
        <f>IF(F72=1,Thermostat!$B$3,Thermostat!$B$4)</f>
        <v>60</v>
      </c>
      <c r="G81" s="442">
        <f>IF(G72=1,Thermostat!$B$3,Thermostat!$B$4)</f>
        <v>60</v>
      </c>
      <c r="H81" s="442">
        <f>IF(H72=1,Thermostat!$B$3,Thermostat!$B$4)</f>
        <v>60</v>
      </c>
      <c r="I81" s="442">
        <f>IF(I72=1,Thermostat!$B$3,Thermostat!$B$4)</f>
        <v>60</v>
      </c>
      <c r="J81" s="442">
        <f>IF(J72=1,Thermostat!$B$3,Thermostat!$B$4)</f>
        <v>60</v>
      </c>
      <c r="K81" s="442">
        <f>IF(K72=1,Thermostat!$B$3,Thermostat!$B$4)</f>
        <v>60</v>
      </c>
      <c r="L81" s="442">
        <f>IF(L72=1,Thermostat!$B$3,Thermostat!$B$4)</f>
        <v>70</v>
      </c>
      <c r="M81" s="442">
        <f>IF(M72=1,Thermostat!$B$3,Thermostat!$B$4)</f>
        <v>70</v>
      </c>
      <c r="N81" s="442">
        <f>IF(N72=1,Thermostat!$B$3,Thermostat!$B$4)</f>
        <v>70</v>
      </c>
      <c r="O81" s="442">
        <f>IF(O72=1,Thermostat!$B$3,Thermostat!$B$4)</f>
        <v>70</v>
      </c>
      <c r="P81" s="442">
        <f>IF(P72=1,Thermostat!$B$3,Thermostat!$B$4)</f>
        <v>70</v>
      </c>
      <c r="Q81" s="442">
        <f>IF(Q72=1,Thermostat!$B$3,Thermostat!$B$4)</f>
        <v>70</v>
      </c>
      <c r="R81" s="442">
        <f>IF(R72=1,Thermostat!$B$3,Thermostat!$B$4)</f>
        <v>70</v>
      </c>
      <c r="S81" s="442">
        <f>IF(S72=1,Thermostat!$B$3,Thermostat!$B$4)</f>
        <v>70</v>
      </c>
      <c r="T81" s="442">
        <f>IF(T72=1,Thermostat!$B$3,Thermostat!$B$4)</f>
        <v>70</v>
      </c>
      <c r="U81" s="442">
        <f>IF(U72=1,Thermostat!$B$3,Thermostat!$B$4)</f>
        <v>70</v>
      </c>
      <c r="V81" s="442">
        <f>IF(V72=1,Thermostat!$B$3,Thermostat!$B$4)</f>
        <v>70</v>
      </c>
      <c r="W81" s="442">
        <f>IF(W72=1,Thermostat!$B$3,Thermostat!$B$4)</f>
        <v>70</v>
      </c>
      <c r="X81" s="442">
        <f>IF(X72=1,Thermostat!$B$3,Thermostat!$B$4)</f>
        <v>70</v>
      </c>
      <c r="Y81" s="442">
        <f>IF(Y72=1,Thermostat!$B$3,Thermostat!$B$4)</f>
        <v>70</v>
      </c>
      <c r="Z81" s="442">
        <f>IF(Z72=1,Thermostat!$B$3,Thermostat!$B$4)</f>
        <v>60</v>
      </c>
      <c r="AA81" s="442">
        <f>IF(AA72=1,Thermostat!$B$3,Thermostat!$B$4)</f>
        <v>60</v>
      </c>
      <c r="AB81" s="442">
        <f>IF(AB72=1,Thermostat!$B$3,Thermostat!$B$4)</f>
        <v>60</v>
      </c>
      <c r="AC81" s="443">
        <f>IF(AC72=1,Thermostat!$B$3,Thermostat!$B$4)</f>
        <v>60</v>
      </c>
      <c r="AD81" s="36"/>
      <c r="AE81" s="36"/>
      <c r="AF81" s="36"/>
      <c r="AG81" s="36"/>
      <c r="AH81" s="36"/>
      <c r="AI81" s="36"/>
      <c r="AJ81" s="36"/>
    </row>
    <row r="82" spans="1:36" customFormat="1" ht="23.4" customHeight="1" x14ac:dyDescent="0.3">
      <c r="A82" s="577"/>
      <c r="B82" s="595"/>
      <c r="C82" s="580"/>
      <c r="D82" s="586"/>
      <c r="E82" s="150" t="s">
        <v>653</v>
      </c>
      <c r="F82" s="430">
        <f>IF(F73=1,Thermostat!$B$3,Thermostat!$B$4)</f>
        <v>60</v>
      </c>
      <c r="G82" s="430">
        <f>IF(G73=1,Thermostat!$B$3,Thermostat!$B$4)</f>
        <v>60</v>
      </c>
      <c r="H82" s="430">
        <f>IF(H73=1,Thermostat!$B$3,Thermostat!$B$4)</f>
        <v>60</v>
      </c>
      <c r="I82" s="430">
        <f>IF(I73=1,Thermostat!$B$3,Thermostat!$B$4)</f>
        <v>60</v>
      </c>
      <c r="J82" s="430">
        <f>IF(J73=1,Thermostat!$B$3,Thermostat!$B$4)</f>
        <v>60</v>
      </c>
      <c r="K82" s="430">
        <f>IF(K73=1,Thermostat!$B$3,Thermostat!$B$4)</f>
        <v>60</v>
      </c>
      <c r="L82" s="430">
        <f>IF(L73=1,Thermostat!$B$3,Thermostat!$B$4)</f>
        <v>60</v>
      </c>
      <c r="M82" s="430">
        <f>IF(M73=1,Thermostat!$B$3,Thermostat!$B$4)</f>
        <v>70</v>
      </c>
      <c r="N82" s="430">
        <f>IF(N73=1,Thermostat!$B$3,Thermostat!$B$4)</f>
        <v>70</v>
      </c>
      <c r="O82" s="430">
        <f>IF(O73=1,Thermostat!$B$3,Thermostat!$B$4)</f>
        <v>70</v>
      </c>
      <c r="P82" s="430">
        <f>IF(P73=1,Thermostat!$B$3,Thermostat!$B$4)</f>
        <v>70</v>
      </c>
      <c r="Q82" s="430">
        <f>IF(Q73=1,Thermostat!$B$3,Thermostat!$B$4)</f>
        <v>70</v>
      </c>
      <c r="R82" s="430">
        <f>IF(R73=1,Thermostat!$B$3,Thermostat!$B$4)</f>
        <v>70</v>
      </c>
      <c r="S82" s="430">
        <f>IF(S73=1,Thermostat!$B$3,Thermostat!$B$4)</f>
        <v>70</v>
      </c>
      <c r="T82" s="430">
        <f>IF(T73=1,Thermostat!$B$3,Thermostat!$B$4)</f>
        <v>70</v>
      </c>
      <c r="U82" s="430">
        <f>IF(U73=1,Thermostat!$B$3,Thermostat!$B$4)</f>
        <v>70</v>
      </c>
      <c r="V82" s="430">
        <f>IF(V73=1,Thermostat!$B$3,Thermostat!$B$4)</f>
        <v>70</v>
      </c>
      <c r="W82" s="430">
        <f>IF(W73=1,Thermostat!$B$3,Thermostat!$B$4)</f>
        <v>70</v>
      </c>
      <c r="X82" s="430">
        <f>IF(X73=1,Thermostat!$B$3,Thermostat!$B$4)</f>
        <v>60</v>
      </c>
      <c r="Y82" s="430">
        <f>IF(Y73=1,Thermostat!$B$3,Thermostat!$B$4)</f>
        <v>60</v>
      </c>
      <c r="Z82" s="430">
        <f>IF(Z73=1,Thermostat!$B$3,Thermostat!$B$4)</f>
        <v>60</v>
      </c>
      <c r="AA82" s="430">
        <f>IF(AA73=1,Thermostat!$B$3,Thermostat!$B$4)</f>
        <v>60</v>
      </c>
      <c r="AB82" s="430">
        <f>IF(AB73=1,Thermostat!$B$3,Thermostat!$B$4)</f>
        <v>60</v>
      </c>
      <c r="AC82" s="444">
        <f>IF(AC73=1,Thermostat!$B$3,Thermostat!$B$4)</f>
        <v>60</v>
      </c>
      <c r="AD82" s="36"/>
      <c r="AE82" s="36"/>
      <c r="AF82" s="36"/>
      <c r="AG82" s="36"/>
      <c r="AH82" s="36"/>
      <c r="AI82" s="36"/>
      <c r="AJ82" s="36"/>
    </row>
    <row r="83" spans="1:36" customFormat="1" ht="23.4" customHeight="1" thickBot="1" x14ac:dyDescent="0.35">
      <c r="A83" s="578"/>
      <c r="B83" s="596"/>
      <c r="C83" s="581"/>
      <c r="D83" s="587"/>
      <c r="E83" s="151" t="s">
        <v>654</v>
      </c>
      <c r="F83" s="431">
        <f>IF(F74=1,Thermostat!$B$3,Thermostat!$B$4)</f>
        <v>60</v>
      </c>
      <c r="G83" s="431">
        <f>IF(G74=1,Thermostat!$B$3,Thermostat!$B$4)</f>
        <v>60</v>
      </c>
      <c r="H83" s="431">
        <f>IF(H74=1,Thermostat!$B$3,Thermostat!$B$4)</f>
        <v>60</v>
      </c>
      <c r="I83" s="431">
        <f>IF(I74=1,Thermostat!$B$3,Thermostat!$B$4)</f>
        <v>60</v>
      </c>
      <c r="J83" s="431">
        <f>IF(J74=1,Thermostat!$B$3,Thermostat!$B$4)</f>
        <v>60</v>
      </c>
      <c r="K83" s="431">
        <f>IF(K74=1,Thermostat!$B$3,Thermostat!$B$4)</f>
        <v>60</v>
      </c>
      <c r="L83" s="431">
        <f>IF(L74=1,Thermostat!$B$3,Thermostat!$B$4)</f>
        <v>60</v>
      </c>
      <c r="M83" s="431">
        <f>IF(M74=1,Thermostat!$B$3,Thermostat!$B$4)</f>
        <v>60</v>
      </c>
      <c r="N83" s="431">
        <f>IF(N74=1,Thermostat!$B$3,Thermostat!$B$4)</f>
        <v>60</v>
      </c>
      <c r="O83" s="431">
        <f>IF(O74=1,Thermostat!$B$3,Thermostat!$B$4)</f>
        <v>60</v>
      </c>
      <c r="P83" s="431">
        <f>IF(P74=1,Thermostat!$B$3,Thermostat!$B$4)</f>
        <v>60</v>
      </c>
      <c r="Q83" s="431">
        <f>IF(Q74=1,Thermostat!$B$3,Thermostat!$B$4)</f>
        <v>60</v>
      </c>
      <c r="R83" s="431">
        <f>IF(R74=1,Thermostat!$B$3,Thermostat!$B$4)</f>
        <v>60</v>
      </c>
      <c r="S83" s="431">
        <f>IF(S74=1,Thermostat!$B$3,Thermostat!$B$4)</f>
        <v>60</v>
      </c>
      <c r="T83" s="431">
        <f>IF(T74=1,Thermostat!$B$3,Thermostat!$B$4)</f>
        <v>60</v>
      </c>
      <c r="U83" s="431">
        <f>IF(U74=1,Thermostat!$B$3,Thermostat!$B$4)</f>
        <v>60</v>
      </c>
      <c r="V83" s="431">
        <f>IF(V74=1,Thermostat!$B$3,Thermostat!$B$4)</f>
        <v>60</v>
      </c>
      <c r="W83" s="431">
        <f>IF(W74=1,Thermostat!$B$3,Thermostat!$B$4)</f>
        <v>60</v>
      </c>
      <c r="X83" s="431">
        <f>IF(X74=1,Thermostat!$B$3,Thermostat!$B$4)</f>
        <v>60</v>
      </c>
      <c r="Y83" s="431">
        <f>IF(Y74=1,Thermostat!$B$3,Thermostat!$B$4)</f>
        <v>60</v>
      </c>
      <c r="Z83" s="431">
        <f>IF(Z74=1,Thermostat!$B$3,Thermostat!$B$4)</f>
        <v>60</v>
      </c>
      <c r="AA83" s="431">
        <f>IF(AA74=1,Thermostat!$B$3,Thermostat!$B$4)</f>
        <v>60</v>
      </c>
      <c r="AB83" s="431">
        <f>IF(AB74=1,Thermostat!$B$3,Thermostat!$B$4)</f>
        <v>60</v>
      </c>
      <c r="AC83" s="445">
        <f>IF(AC74=1,Thermostat!$B$3,Thermostat!$B$4)</f>
        <v>60</v>
      </c>
      <c r="AD83" s="36"/>
      <c r="AE83" s="36"/>
      <c r="AF83" s="36"/>
      <c r="AG83" s="36"/>
      <c r="AH83" s="36"/>
      <c r="AI83" s="36"/>
      <c r="AJ83" s="36"/>
    </row>
    <row r="84" spans="1:36" customFormat="1" ht="24.6" customHeight="1" x14ac:dyDescent="0.3">
      <c r="A84" s="616" t="s">
        <v>667</v>
      </c>
      <c r="B84" s="594" t="s">
        <v>101</v>
      </c>
      <c r="C84" s="580" t="s">
        <v>663</v>
      </c>
      <c r="D84" s="617" t="s">
        <v>662</v>
      </c>
      <c r="E84" s="149" t="s">
        <v>652</v>
      </c>
      <c r="F84" s="148">
        <f>IF(F72=1,Thermostat!$B$5,Thermostat!$B$6)</f>
        <v>85</v>
      </c>
      <c r="G84" s="148">
        <f>IF(G72=1,Thermostat!$B$5,Thermostat!$B$6)</f>
        <v>85</v>
      </c>
      <c r="H84" s="148">
        <f>IF(H72=1,Thermostat!$B$5,Thermostat!$B$6)</f>
        <v>85</v>
      </c>
      <c r="I84" s="148">
        <f>IF(I72=1,Thermostat!$B$5,Thermostat!$B$6)</f>
        <v>85</v>
      </c>
      <c r="J84" s="148">
        <f>IF(J72=1,Thermostat!$B$5,Thermostat!$B$6)</f>
        <v>85</v>
      </c>
      <c r="K84" s="148">
        <f>IF(K72=1,Thermostat!$B$5,Thermostat!$B$6)</f>
        <v>85</v>
      </c>
      <c r="L84" s="148">
        <f>IF(L72=1,Thermostat!$B$5,Thermostat!$B$6)</f>
        <v>75</v>
      </c>
      <c r="M84" s="148">
        <f>IF(M72=1,Thermostat!$B$5,Thermostat!$B$6)</f>
        <v>75</v>
      </c>
      <c r="N84" s="148">
        <f>IF(N72=1,Thermostat!$B$5,Thermostat!$B$6)</f>
        <v>75</v>
      </c>
      <c r="O84" s="148">
        <f>IF(O72=1,Thermostat!$B$5,Thermostat!$B$6)</f>
        <v>75</v>
      </c>
      <c r="P84" s="148">
        <f>IF(P72=1,Thermostat!$B$5,Thermostat!$B$6)</f>
        <v>75</v>
      </c>
      <c r="Q84" s="148">
        <f>IF(Q72=1,Thermostat!$B$5,Thermostat!$B$6)</f>
        <v>75</v>
      </c>
      <c r="R84" s="148">
        <f>IF(R72=1,Thermostat!$B$5,Thermostat!$B$6)</f>
        <v>75</v>
      </c>
      <c r="S84" s="148">
        <f>IF(S72=1,Thermostat!$B$5,Thermostat!$B$6)</f>
        <v>75</v>
      </c>
      <c r="T84" s="148">
        <f>IF(T72=1,Thermostat!$B$5,Thermostat!$B$6)</f>
        <v>75</v>
      </c>
      <c r="U84" s="148">
        <f>IF(U72=1,Thermostat!$B$5,Thermostat!$B$6)</f>
        <v>75</v>
      </c>
      <c r="V84" s="148">
        <f>IF(V72=1,Thermostat!$B$5,Thermostat!$B$6)</f>
        <v>75</v>
      </c>
      <c r="W84" s="148">
        <f>IF(W72=1,Thermostat!$B$5,Thermostat!$B$6)</f>
        <v>75</v>
      </c>
      <c r="X84" s="148">
        <f>IF(X72=1,Thermostat!$B$5,Thermostat!$B$6)</f>
        <v>75</v>
      </c>
      <c r="Y84" s="148">
        <f>IF(Y72=1,Thermostat!$B$5,Thermostat!$B$6)</f>
        <v>75</v>
      </c>
      <c r="Z84" s="148">
        <f>IF(Z72=1,Thermostat!$B$5,Thermostat!$B$6)</f>
        <v>85</v>
      </c>
      <c r="AA84" s="148">
        <f>IF(AA72=1,Thermostat!$B$5,Thermostat!$B$6)</f>
        <v>85</v>
      </c>
      <c r="AB84" s="148">
        <f>IF(AB72=1,Thermostat!$B$5,Thermostat!$B$6)</f>
        <v>85</v>
      </c>
      <c r="AC84" s="148">
        <f>IF(AC72=1,Thermostat!$B$5,Thermostat!$B$6)</f>
        <v>85</v>
      </c>
      <c r="AD84" s="36"/>
      <c r="AE84" s="36"/>
      <c r="AF84" s="36"/>
      <c r="AG84" s="36"/>
      <c r="AH84" s="36"/>
      <c r="AI84" s="36"/>
      <c r="AJ84" s="36"/>
    </row>
    <row r="85" spans="1:36" customFormat="1" ht="25.2" customHeight="1" x14ac:dyDescent="0.3">
      <c r="A85" s="577"/>
      <c r="B85" s="595"/>
      <c r="C85" s="580"/>
      <c r="D85" s="586"/>
      <c r="E85" s="150" t="s">
        <v>653</v>
      </c>
      <c r="F85" s="430">
        <f>IF(F73=1,Thermostat!$B$5,Thermostat!$B$6)</f>
        <v>85</v>
      </c>
      <c r="G85" s="430">
        <f>IF(G73=1,Thermostat!$B$5,Thermostat!$B$6)</f>
        <v>85</v>
      </c>
      <c r="H85" s="430">
        <f>IF(H73=1,Thermostat!$B$5,Thermostat!$B$6)</f>
        <v>85</v>
      </c>
      <c r="I85" s="430">
        <f>IF(I73=1,Thermostat!$B$5,Thermostat!$B$6)</f>
        <v>85</v>
      </c>
      <c r="J85" s="430">
        <f>IF(J73=1,Thermostat!$B$5,Thermostat!$B$6)</f>
        <v>85</v>
      </c>
      <c r="K85" s="430">
        <f>IF(K73=1,Thermostat!$B$5,Thermostat!$B$6)</f>
        <v>85</v>
      </c>
      <c r="L85" s="430">
        <f>IF(L73=1,Thermostat!$B$5,Thermostat!$B$6)</f>
        <v>85</v>
      </c>
      <c r="M85" s="430">
        <f>IF(M73=1,Thermostat!$B$5,Thermostat!$B$6)</f>
        <v>75</v>
      </c>
      <c r="N85" s="430">
        <f>IF(N73=1,Thermostat!$B$5,Thermostat!$B$6)</f>
        <v>75</v>
      </c>
      <c r="O85" s="430">
        <f>IF(O73=1,Thermostat!$B$5,Thermostat!$B$6)</f>
        <v>75</v>
      </c>
      <c r="P85" s="430">
        <f>IF(P73=1,Thermostat!$B$5,Thermostat!$B$6)</f>
        <v>75</v>
      </c>
      <c r="Q85" s="430">
        <f>IF(Q73=1,Thermostat!$B$5,Thermostat!$B$6)</f>
        <v>75</v>
      </c>
      <c r="R85" s="430">
        <f>IF(R73=1,Thermostat!$B$5,Thermostat!$B$6)</f>
        <v>75</v>
      </c>
      <c r="S85" s="430">
        <f>IF(S73=1,Thermostat!$B$5,Thermostat!$B$6)</f>
        <v>75</v>
      </c>
      <c r="T85" s="430">
        <f>IF(T73=1,Thermostat!$B$5,Thermostat!$B$6)</f>
        <v>75</v>
      </c>
      <c r="U85" s="430">
        <f>IF(U73=1,Thermostat!$B$5,Thermostat!$B$6)</f>
        <v>75</v>
      </c>
      <c r="V85" s="430">
        <f>IF(V73=1,Thermostat!$B$5,Thermostat!$B$6)</f>
        <v>75</v>
      </c>
      <c r="W85" s="430">
        <f>IF(W73=1,Thermostat!$B$5,Thermostat!$B$6)</f>
        <v>75</v>
      </c>
      <c r="X85" s="430">
        <f>IF(X73=1,Thermostat!$B$5,Thermostat!$B$6)</f>
        <v>85</v>
      </c>
      <c r="Y85" s="430">
        <f>IF(Y73=1,Thermostat!$B$5,Thermostat!$B$6)</f>
        <v>85</v>
      </c>
      <c r="Z85" s="430">
        <f>IF(Z73=1,Thermostat!$B$5,Thermostat!$B$6)</f>
        <v>85</v>
      </c>
      <c r="AA85" s="430">
        <f>IF(AA73=1,Thermostat!$B$5,Thermostat!$B$6)</f>
        <v>85</v>
      </c>
      <c r="AB85" s="430">
        <f>IF(AB73=1,Thermostat!$B$5,Thermostat!$B$6)</f>
        <v>85</v>
      </c>
      <c r="AC85" s="430">
        <f>IF(AC73=1,Thermostat!$B$5,Thermostat!$B$6)</f>
        <v>85</v>
      </c>
      <c r="AD85" s="36"/>
      <c r="AE85" s="36"/>
      <c r="AF85" s="36"/>
      <c r="AG85" s="36"/>
      <c r="AH85" s="36"/>
      <c r="AI85" s="36"/>
      <c r="AJ85" s="36"/>
    </row>
    <row r="86" spans="1:36" customFormat="1" ht="25.2" customHeight="1" thickBot="1" x14ac:dyDescent="0.35">
      <c r="A86" s="578"/>
      <c r="B86" s="596"/>
      <c r="C86" s="581"/>
      <c r="D86" s="587"/>
      <c r="E86" s="151" t="s">
        <v>654</v>
      </c>
      <c r="F86" s="431">
        <f>IF(F74=1,Thermostat!$B$5,Thermostat!$B$6)</f>
        <v>85</v>
      </c>
      <c r="G86" s="431">
        <f>IF(G74=1,Thermostat!$B$5,Thermostat!$B$6)</f>
        <v>85</v>
      </c>
      <c r="H86" s="431">
        <f>IF(H74=1,Thermostat!$B$5,Thermostat!$B$6)</f>
        <v>85</v>
      </c>
      <c r="I86" s="431">
        <f>IF(I74=1,Thermostat!$B$5,Thermostat!$B$6)</f>
        <v>85</v>
      </c>
      <c r="J86" s="431">
        <f>IF(J74=1,Thermostat!$B$5,Thermostat!$B$6)</f>
        <v>85</v>
      </c>
      <c r="K86" s="431">
        <f>IF(K74=1,Thermostat!$B$5,Thermostat!$B$6)</f>
        <v>85</v>
      </c>
      <c r="L86" s="431">
        <f>IF(L74=1,Thermostat!$B$5,Thermostat!$B$6)</f>
        <v>85</v>
      </c>
      <c r="M86" s="431">
        <f>IF(M74=1,Thermostat!$B$5,Thermostat!$B$6)</f>
        <v>85</v>
      </c>
      <c r="N86" s="431">
        <f>IF(N74=1,Thermostat!$B$5,Thermostat!$B$6)</f>
        <v>85</v>
      </c>
      <c r="O86" s="431">
        <f>IF(O74=1,Thermostat!$B$5,Thermostat!$B$6)</f>
        <v>85</v>
      </c>
      <c r="P86" s="431">
        <f>IF(P74=1,Thermostat!$B$5,Thermostat!$B$6)</f>
        <v>85</v>
      </c>
      <c r="Q86" s="431">
        <f>IF(Q74=1,Thermostat!$B$5,Thermostat!$B$6)</f>
        <v>85</v>
      </c>
      <c r="R86" s="431">
        <f>IF(R74=1,Thermostat!$B$5,Thermostat!$B$6)</f>
        <v>85</v>
      </c>
      <c r="S86" s="431">
        <f>IF(S74=1,Thermostat!$B$5,Thermostat!$B$6)</f>
        <v>85</v>
      </c>
      <c r="T86" s="431">
        <f>IF(T74=1,Thermostat!$B$5,Thermostat!$B$6)</f>
        <v>85</v>
      </c>
      <c r="U86" s="431">
        <f>IF(U74=1,Thermostat!$B$5,Thermostat!$B$6)</f>
        <v>85</v>
      </c>
      <c r="V86" s="431">
        <f>IF(V74=1,Thermostat!$B$5,Thermostat!$B$6)</f>
        <v>85</v>
      </c>
      <c r="W86" s="431">
        <f>IF(W74=1,Thermostat!$B$5,Thermostat!$B$6)</f>
        <v>85</v>
      </c>
      <c r="X86" s="431">
        <f>IF(X74=1,Thermostat!$B$5,Thermostat!$B$6)</f>
        <v>85</v>
      </c>
      <c r="Y86" s="431">
        <f>IF(Y74=1,Thermostat!$B$5,Thermostat!$B$6)</f>
        <v>85</v>
      </c>
      <c r="Z86" s="431">
        <f>IF(Z74=1,Thermostat!$B$5,Thermostat!$B$6)</f>
        <v>85</v>
      </c>
      <c r="AA86" s="431">
        <f>IF(AA74=1,Thermostat!$B$5,Thermostat!$B$6)</f>
        <v>85</v>
      </c>
      <c r="AB86" s="431">
        <f>IF(AB74=1,Thermostat!$B$5,Thermostat!$B$6)</f>
        <v>85</v>
      </c>
      <c r="AC86" s="431">
        <f>IF(AC74=1,Thermostat!$B$5,Thermostat!$B$6)</f>
        <v>85</v>
      </c>
      <c r="AD86" s="36"/>
      <c r="AE86" s="36"/>
      <c r="AF86" s="36"/>
      <c r="AG86" s="36"/>
      <c r="AH86" s="36"/>
      <c r="AI86" s="36"/>
      <c r="AJ86" s="36"/>
    </row>
    <row r="87" spans="1:36" customFormat="1" ht="30" customHeight="1" x14ac:dyDescent="0.3">
      <c r="A87" s="576" t="s">
        <v>667</v>
      </c>
      <c r="B87" s="618" t="s">
        <v>101</v>
      </c>
      <c r="C87" s="618" t="s">
        <v>665</v>
      </c>
      <c r="D87" s="585" t="s">
        <v>662</v>
      </c>
      <c r="E87" s="149" t="s">
        <v>652</v>
      </c>
      <c r="F87" s="144">
        <v>0</v>
      </c>
      <c r="G87" s="144">
        <v>0</v>
      </c>
      <c r="H87" s="144">
        <v>0</v>
      </c>
      <c r="I87" s="144">
        <v>0</v>
      </c>
      <c r="J87" s="144">
        <v>0</v>
      </c>
      <c r="K87" s="144">
        <v>0</v>
      </c>
      <c r="L87" s="144">
        <v>1</v>
      </c>
      <c r="M87" s="144">
        <v>1</v>
      </c>
      <c r="N87" s="144">
        <v>1</v>
      </c>
      <c r="O87" s="144">
        <v>1</v>
      </c>
      <c r="P87" s="144">
        <v>1</v>
      </c>
      <c r="Q87" s="144">
        <v>1</v>
      </c>
      <c r="R87" s="144">
        <v>1</v>
      </c>
      <c r="S87" s="144">
        <v>1</v>
      </c>
      <c r="T87" s="144">
        <v>1</v>
      </c>
      <c r="U87" s="144">
        <v>1</v>
      </c>
      <c r="V87" s="144">
        <v>1</v>
      </c>
      <c r="W87" s="144">
        <v>1</v>
      </c>
      <c r="X87" s="144">
        <v>1</v>
      </c>
      <c r="Y87" s="144">
        <v>1</v>
      </c>
      <c r="Z87" s="144">
        <v>0</v>
      </c>
      <c r="AA87" s="144">
        <v>0</v>
      </c>
      <c r="AB87" s="144">
        <v>0</v>
      </c>
      <c r="AC87" s="145">
        <v>0</v>
      </c>
      <c r="AD87" s="36"/>
      <c r="AE87" s="36"/>
      <c r="AF87" s="36"/>
      <c r="AG87" s="36"/>
      <c r="AH87" s="36"/>
      <c r="AI87" s="36"/>
      <c r="AJ87" s="36"/>
    </row>
    <row r="88" spans="1:36" customFormat="1" ht="30" customHeight="1" x14ac:dyDescent="0.3">
      <c r="A88" s="577"/>
      <c r="B88" s="595"/>
      <c r="C88" s="595"/>
      <c r="D88" s="586"/>
      <c r="E88" s="150" t="s">
        <v>653</v>
      </c>
      <c r="F88" s="157">
        <v>0</v>
      </c>
      <c r="G88" s="157">
        <v>0</v>
      </c>
      <c r="H88" s="157">
        <v>0</v>
      </c>
      <c r="I88" s="157">
        <v>0</v>
      </c>
      <c r="J88" s="157">
        <v>0</v>
      </c>
      <c r="K88" s="157">
        <v>0</v>
      </c>
      <c r="L88" s="157">
        <v>0</v>
      </c>
      <c r="M88" s="157">
        <v>0</v>
      </c>
      <c r="N88" s="157">
        <v>0</v>
      </c>
      <c r="O88" s="157">
        <v>0</v>
      </c>
      <c r="P88" s="157">
        <v>0</v>
      </c>
      <c r="Q88" s="157">
        <v>0</v>
      </c>
      <c r="R88" s="157">
        <v>0</v>
      </c>
      <c r="S88" s="157">
        <v>0</v>
      </c>
      <c r="T88" s="157">
        <v>0</v>
      </c>
      <c r="U88" s="157">
        <v>0</v>
      </c>
      <c r="V88" s="157">
        <v>0</v>
      </c>
      <c r="W88" s="157">
        <v>0</v>
      </c>
      <c r="X88" s="157">
        <v>0</v>
      </c>
      <c r="Y88" s="157">
        <v>0</v>
      </c>
      <c r="Z88" s="157">
        <v>0</v>
      </c>
      <c r="AA88" s="157">
        <v>0</v>
      </c>
      <c r="AB88" s="157">
        <v>0</v>
      </c>
      <c r="AC88" s="158">
        <v>0</v>
      </c>
      <c r="AD88" s="36"/>
      <c r="AE88" s="36"/>
      <c r="AF88" s="36"/>
      <c r="AG88" s="36"/>
      <c r="AH88" s="36"/>
      <c r="AI88" s="36"/>
      <c r="AJ88" s="36"/>
    </row>
    <row r="89" spans="1:36" customFormat="1" ht="30" customHeight="1" thickBot="1" x14ac:dyDescent="0.35">
      <c r="A89" s="578"/>
      <c r="B89" s="596"/>
      <c r="C89" s="596"/>
      <c r="D89" s="587"/>
      <c r="E89" s="151" t="s">
        <v>654</v>
      </c>
      <c r="F89" s="159">
        <v>0</v>
      </c>
      <c r="G89" s="159">
        <v>0</v>
      </c>
      <c r="H89" s="159">
        <v>0</v>
      </c>
      <c r="I89" s="159">
        <v>0</v>
      </c>
      <c r="J89" s="159">
        <v>0</v>
      </c>
      <c r="K89" s="159">
        <v>0</v>
      </c>
      <c r="L89" s="159">
        <v>0</v>
      </c>
      <c r="M89" s="159">
        <v>0</v>
      </c>
      <c r="N89" s="159">
        <v>0</v>
      </c>
      <c r="O89" s="159">
        <v>0</v>
      </c>
      <c r="P89" s="159">
        <v>0</v>
      </c>
      <c r="Q89" s="159">
        <v>0</v>
      </c>
      <c r="R89" s="159">
        <v>0</v>
      </c>
      <c r="S89" s="159">
        <v>0</v>
      </c>
      <c r="T89" s="159">
        <v>0</v>
      </c>
      <c r="U89" s="159">
        <v>0</v>
      </c>
      <c r="V89" s="159">
        <v>0</v>
      </c>
      <c r="W89" s="159">
        <v>0</v>
      </c>
      <c r="X89" s="159">
        <v>0</v>
      </c>
      <c r="Y89" s="159">
        <v>0</v>
      </c>
      <c r="Z89" s="159">
        <v>0</v>
      </c>
      <c r="AA89" s="159">
        <v>0</v>
      </c>
      <c r="AB89" s="159">
        <v>0</v>
      </c>
      <c r="AC89" s="160">
        <v>0</v>
      </c>
      <c r="AD89" s="36"/>
      <c r="AE89" s="36"/>
      <c r="AF89" s="36"/>
      <c r="AG89" s="36"/>
      <c r="AH89" s="36"/>
      <c r="AI89" s="36"/>
      <c r="AJ89" s="36"/>
    </row>
    <row r="90" spans="1:36" customFormat="1" ht="26.4" customHeight="1" x14ac:dyDescent="0.3">
      <c r="A90" s="616" t="s">
        <v>667</v>
      </c>
      <c r="B90" s="594" t="s">
        <v>101</v>
      </c>
      <c r="C90" s="594" t="s">
        <v>281</v>
      </c>
      <c r="D90" s="617" t="s">
        <v>662</v>
      </c>
      <c r="E90" s="149" t="s">
        <v>652</v>
      </c>
      <c r="F90" s="144">
        <v>1</v>
      </c>
      <c r="G90" s="144">
        <v>1</v>
      </c>
      <c r="H90" s="144">
        <v>1</v>
      </c>
      <c r="I90" s="144">
        <v>1</v>
      </c>
      <c r="J90" s="144">
        <v>1</v>
      </c>
      <c r="K90" s="144">
        <v>1</v>
      </c>
      <c r="L90" s="144">
        <v>0.25</v>
      </c>
      <c r="M90" s="144">
        <v>0.25</v>
      </c>
      <c r="N90" s="144">
        <v>0.25</v>
      </c>
      <c r="O90" s="144">
        <v>0.25</v>
      </c>
      <c r="P90" s="144">
        <v>0.25</v>
      </c>
      <c r="Q90" s="144">
        <v>0.25</v>
      </c>
      <c r="R90" s="144">
        <v>0.25</v>
      </c>
      <c r="S90" s="144">
        <v>0.25</v>
      </c>
      <c r="T90" s="144">
        <v>0.25</v>
      </c>
      <c r="U90" s="144">
        <v>0.25</v>
      </c>
      <c r="V90" s="144">
        <v>0.25</v>
      </c>
      <c r="W90" s="144">
        <v>0.25</v>
      </c>
      <c r="X90" s="144">
        <v>1</v>
      </c>
      <c r="Y90" s="144">
        <v>1</v>
      </c>
      <c r="Z90" s="144">
        <v>1</v>
      </c>
      <c r="AA90" s="144">
        <v>1</v>
      </c>
      <c r="AB90" s="144">
        <v>1</v>
      </c>
      <c r="AC90" s="145">
        <v>1</v>
      </c>
      <c r="AD90" s="36"/>
      <c r="AE90" s="36"/>
      <c r="AF90" s="36"/>
      <c r="AG90" s="36"/>
      <c r="AH90" s="36"/>
      <c r="AI90" s="36"/>
      <c r="AJ90" s="36"/>
    </row>
    <row r="91" spans="1:36" customFormat="1" ht="26.4" customHeight="1" x14ac:dyDescent="0.3">
      <c r="A91" s="577"/>
      <c r="B91" s="595"/>
      <c r="C91" s="595"/>
      <c r="D91" s="586"/>
      <c r="E91" s="150" t="s">
        <v>653</v>
      </c>
      <c r="F91" s="157">
        <v>1</v>
      </c>
      <c r="G91" s="157">
        <v>1</v>
      </c>
      <c r="H91" s="157">
        <v>1</v>
      </c>
      <c r="I91" s="157">
        <v>1</v>
      </c>
      <c r="J91" s="157">
        <v>1</v>
      </c>
      <c r="K91" s="157">
        <v>1</v>
      </c>
      <c r="L91" s="157">
        <v>1</v>
      </c>
      <c r="M91" s="157">
        <v>1</v>
      </c>
      <c r="N91" s="157">
        <v>1</v>
      </c>
      <c r="O91" s="157">
        <v>1</v>
      </c>
      <c r="P91" s="157">
        <v>1</v>
      </c>
      <c r="Q91" s="157">
        <v>1</v>
      </c>
      <c r="R91" s="157">
        <v>1</v>
      </c>
      <c r="S91" s="157">
        <v>1</v>
      </c>
      <c r="T91" s="157">
        <v>1</v>
      </c>
      <c r="U91" s="157">
        <v>1</v>
      </c>
      <c r="V91" s="157">
        <v>1</v>
      </c>
      <c r="W91" s="157">
        <v>1</v>
      </c>
      <c r="X91" s="157">
        <v>1</v>
      </c>
      <c r="Y91" s="157">
        <v>1</v>
      </c>
      <c r="Z91" s="157">
        <v>1</v>
      </c>
      <c r="AA91" s="157">
        <v>1</v>
      </c>
      <c r="AB91" s="157">
        <v>1</v>
      </c>
      <c r="AC91" s="158">
        <v>1</v>
      </c>
      <c r="AD91" s="36"/>
      <c r="AE91" s="36"/>
      <c r="AF91" s="36"/>
      <c r="AG91" s="36"/>
      <c r="AH91" s="36"/>
      <c r="AI91" s="36"/>
      <c r="AJ91" s="36"/>
    </row>
    <row r="92" spans="1:36" customFormat="1" ht="26.4" customHeight="1" thickBot="1" x14ac:dyDescent="0.35">
      <c r="A92" s="578"/>
      <c r="B92" s="596"/>
      <c r="C92" s="596"/>
      <c r="D92" s="587"/>
      <c r="E92" s="151" t="s">
        <v>654</v>
      </c>
      <c r="F92" s="159">
        <v>1</v>
      </c>
      <c r="G92" s="159">
        <v>1</v>
      </c>
      <c r="H92" s="159">
        <v>1</v>
      </c>
      <c r="I92" s="159">
        <v>1</v>
      </c>
      <c r="J92" s="159">
        <v>1</v>
      </c>
      <c r="K92" s="159">
        <v>1</v>
      </c>
      <c r="L92" s="159">
        <v>1</v>
      </c>
      <c r="M92" s="159">
        <v>1</v>
      </c>
      <c r="N92" s="159">
        <v>1</v>
      </c>
      <c r="O92" s="159">
        <v>1</v>
      </c>
      <c r="P92" s="159">
        <v>1</v>
      </c>
      <c r="Q92" s="159">
        <v>1</v>
      </c>
      <c r="R92" s="159">
        <v>1</v>
      </c>
      <c r="S92" s="159">
        <v>1</v>
      </c>
      <c r="T92" s="159">
        <v>1</v>
      </c>
      <c r="U92" s="159">
        <v>1</v>
      </c>
      <c r="V92" s="159">
        <v>1</v>
      </c>
      <c r="W92" s="159">
        <v>1</v>
      </c>
      <c r="X92" s="159">
        <v>1</v>
      </c>
      <c r="Y92" s="159">
        <v>1</v>
      </c>
      <c r="Z92" s="159">
        <v>1</v>
      </c>
      <c r="AA92" s="159">
        <v>1</v>
      </c>
      <c r="AB92" s="159">
        <v>1</v>
      </c>
      <c r="AC92" s="160">
        <v>1</v>
      </c>
      <c r="AD92" s="36"/>
      <c r="AE92" s="36"/>
      <c r="AF92" s="36"/>
      <c r="AG92" s="36"/>
      <c r="AH92" s="36"/>
      <c r="AI92" s="36"/>
      <c r="AJ92" s="36"/>
    </row>
    <row r="93" spans="1:36" customFormat="1" ht="26.4" customHeight="1" x14ac:dyDescent="0.3">
      <c r="A93" s="616" t="s">
        <v>667</v>
      </c>
      <c r="B93" s="594" t="s">
        <v>101</v>
      </c>
      <c r="C93" s="594" t="s">
        <v>659</v>
      </c>
      <c r="D93" s="617" t="s">
        <v>651</v>
      </c>
      <c r="E93" s="149" t="s">
        <v>652</v>
      </c>
      <c r="F93" s="144">
        <v>0.9</v>
      </c>
      <c r="G93" s="144">
        <v>0.9</v>
      </c>
      <c r="H93" s="144">
        <v>0.9</v>
      </c>
      <c r="I93" s="144">
        <v>0.9</v>
      </c>
      <c r="J93" s="144">
        <v>0.9</v>
      </c>
      <c r="K93" s="144">
        <v>0.9</v>
      </c>
      <c r="L93" s="144">
        <v>0.9</v>
      </c>
      <c r="M93" s="144">
        <v>0.9</v>
      </c>
      <c r="N93" s="144">
        <v>0.9</v>
      </c>
      <c r="O93" s="144">
        <v>0.9</v>
      </c>
      <c r="P93" s="144">
        <v>0.9</v>
      </c>
      <c r="Q93" s="144">
        <v>0.9</v>
      </c>
      <c r="R93" s="144">
        <v>0.9</v>
      </c>
      <c r="S93" s="144">
        <v>0.9</v>
      </c>
      <c r="T93" s="144">
        <v>0.9</v>
      </c>
      <c r="U93" s="144">
        <v>0.9</v>
      </c>
      <c r="V93" s="144">
        <v>0.9</v>
      </c>
      <c r="W93" s="144">
        <v>0.9</v>
      </c>
      <c r="X93" s="144">
        <v>0.9</v>
      </c>
      <c r="Y93" s="144">
        <v>0.9</v>
      </c>
      <c r="Z93" s="144">
        <v>0.9</v>
      </c>
      <c r="AA93" s="144">
        <v>0.9</v>
      </c>
      <c r="AB93" s="144">
        <v>0.9</v>
      </c>
      <c r="AC93" s="145">
        <v>0.9</v>
      </c>
      <c r="AD93" s="36"/>
      <c r="AE93" s="36"/>
      <c r="AF93" s="36"/>
      <c r="AG93" s="36"/>
      <c r="AH93" s="36"/>
      <c r="AI93" s="36"/>
      <c r="AJ93" s="36"/>
    </row>
    <row r="94" spans="1:36" customFormat="1" ht="26.4" customHeight="1" x14ac:dyDescent="0.3">
      <c r="A94" s="577"/>
      <c r="B94" s="595"/>
      <c r="C94" s="595"/>
      <c r="D94" s="586"/>
      <c r="E94" s="150" t="s">
        <v>653</v>
      </c>
      <c r="F94" s="157">
        <v>0.9</v>
      </c>
      <c r="G94" s="157">
        <v>0.9</v>
      </c>
      <c r="H94" s="157">
        <v>0.9</v>
      </c>
      <c r="I94" s="157">
        <v>0.9</v>
      </c>
      <c r="J94" s="157">
        <v>0.9</v>
      </c>
      <c r="K94" s="157">
        <v>0.9</v>
      </c>
      <c r="L94" s="157">
        <v>0.9</v>
      </c>
      <c r="M94" s="157">
        <v>0.9</v>
      </c>
      <c r="N94" s="157">
        <v>0.9</v>
      </c>
      <c r="O94" s="157">
        <v>0.9</v>
      </c>
      <c r="P94" s="157">
        <v>0.9</v>
      </c>
      <c r="Q94" s="157">
        <v>0.9</v>
      </c>
      <c r="R94" s="157">
        <v>0.9</v>
      </c>
      <c r="S94" s="157">
        <v>0.9</v>
      </c>
      <c r="T94" s="157">
        <v>0.9</v>
      </c>
      <c r="U94" s="157">
        <v>0.9</v>
      </c>
      <c r="V94" s="157">
        <v>0.9</v>
      </c>
      <c r="W94" s="157">
        <v>0.9</v>
      </c>
      <c r="X94" s="157">
        <v>0.9</v>
      </c>
      <c r="Y94" s="157">
        <v>0.9</v>
      </c>
      <c r="Z94" s="157">
        <v>0.9</v>
      </c>
      <c r="AA94" s="157">
        <v>0.9</v>
      </c>
      <c r="AB94" s="157">
        <v>0.9</v>
      </c>
      <c r="AC94" s="158">
        <v>0.9</v>
      </c>
      <c r="AD94" s="36"/>
      <c r="AE94" s="36"/>
      <c r="AF94" s="36"/>
      <c r="AG94" s="36"/>
      <c r="AH94" s="36"/>
      <c r="AI94" s="36"/>
      <c r="AJ94" s="36"/>
    </row>
    <row r="95" spans="1:36" customFormat="1" ht="26.4" customHeight="1" thickBot="1" x14ac:dyDescent="0.35">
      <c r="A95" s="578"/>
      <c r="B95" s="596"/>
      <c r="C95" s="596"/>
      <c r="D95" s="587"/>
      <c r="E95" s="151" t="s">
        <v>654</v>
      </c>
      <c r="F95" s="159">
        <v>0.9</v>
      </c>
      <c r="G95" s="159">
        <v>0.9</v>
      </c>
      <c r="H95" s="159">
        <v>0.9</v>
      </c>
      <c r="I95" s="159">
        <v>0.9</v>
      </c>
      <c r="J95" s="159">
        <v>0.9</v>
      </c>
      <c r="K95" s="159">
        <v>0.9</v>
      </c>
      <c r="L95" s="159">
        <v>0.9</v>
      </c>
      <c r="M95" s="159">
        <v>0.9</v>
      </c>
      <c r="N95" s="159">
        <v>0.9</v>
      </c>
      <c r="O95" s="159">
        <v>0.9</v>
      </c>
      <c r="P95" s="159">
        <v>0.9</v>
      </c>
      <c r="Q95" s="159">
        <v>0.9</v>
      </c>
      <c r="R95" s="159">
        <v>0.9</v>
      </c>
      <c r="S95" s="159">
        <v>0.9</v>
      </c>
      <c r="T95" s="159">
        <v>0.9</v>
      </c>
      <c r="U95" s="159">
        <v>0.9</v>
      </c>
      <c r="V95" s="159">
        <v>0.9</v>
      </c>
      <c r="W95" s="159">
        <v>0.9</v>
      </c>
      <c r="X95" s="159">
        <v>0.9</v>
      </c>
      <c r="Y95" s="159">
        <v>0.9</v>
      </c>
      <c r="Z95" s="159">
        <v>0.9</v>
      </c>
      <c r="AA95" s="159">
        <v>0.9</v>
      </c>
      <c r="AB95" s="159">
        <v>0.9</v>
      </c>
      <c r="AC95" s="160">
        <v>0.9</v>
      </c>
      <c r="AD95" s="36"/>
      <c r="AE95" s="36"/>
      <c r="AF95" s="36"/>
      <c r="AG95" s="36"/>
      <c r="AH95" s="36"/>
      <c r="AI95" s="36"/>
      <c r="AJ95" s="36"/>
    </row>
    <row r="96" spans="1:36" customFormat="1" ht="26.4" customHeight="1" x14ac:dyDescent="0.3">
      <c r="A96" s="616" t="s">
        <v>667</v>
      </c>
      <c r="B96" s="594" t="s">
        <v>101</v>
      </c>
      <c r="C96" s="594" t="s">
        <v>657</v>
      </c>
      <c r="D96" s="617" t="s">
        <v>651</v>
      </c>
      <c r="E96" s="149" t="s">
        <v>652</v>
      </c>
      <c r="F96" s="144">
        <v>0.05</v>
      </c>
      <c r="G96" s="144">
        <v>0.05</v>
      </c>
      <c r="H96" s="144">
        <v>0.05</v>
      </c>
      <c r="I96" s="144">
        <v>0.05</v>
      </c>
      <c r="J96" s="144">
        <v>0.05</v>
      </c>
      <c r="K96" s="144">
        <v>0.05</v>
      </c>
      <c r="L96" s="144">
        <v>0.05</v>
      </c>
      <c r="M96" s="144">
        <v>0.1</v>
      </c>
      <c r="N96" s="144">
        <v>0.34</v>
      </c>
      <c r="O96" s="144">
        <v>0.6</v>
      </c>
      <c r="P96" s="144">
        <v>0.63</v>
      </c>
      <c r="Q96" s="144">
        <v>0.72</v>
      </c>
      <c r="R96" s="144">
        <v>0.79</v>
      </c>
      <c r="S96" s="144">
        <v>0.83</v>
      </c>
      <c r="T96" s="144">
        <v>0.61</v>
      </c>
      <c r="U96" s="144">
        <v>0.65</v>
      </c>
      <c r="V96" s="144">
        <v>0.1</v>
      </c>
      <c r="W96" s="144">
        <v>0.1</v>
      </c>
      <c r="X96" s="144">
        <v>0.19</v>
      </c>
      <c r="Y96" s="144">
        <v>0.25</v>
      </c>
      <c r="Z96" s="144">
        <v>0.22</v>
      </c>
      <c r="AA96" s="144">
        <v>0.22</v>
      </c>
      <c r="AB96" s="144">
        <v>0.12</v>
      </c>
      <c r="AC96" s="145">
        <v>0.09</v>
      </c>
      <c r="AD96" s="36"/>
      <c r="AE96" s="36"/>
      <c r="AF96" s="36"/>
      <c r="AG96" s="36"/>
      <c r="AH96" s="36"/>
      <c r="AI96" s="36"/>
      <c r="AJ96" s="36"/>
    </row>
    <row r="97" spans="1:36" customFormat="1" ht="26.4" customHeight="1" x14ac:dyDescent="0.3">
      <c r="A97" s="577"/>
      <c r="B97" s="595"/>
      <c r="C97" s="595"/>
      <c r="D97" s="586"/>
      <c r="E97" s="150" t="s">
        <v>653</v>
      </c>
      <c r="F97" s="157">
        <v>0.03</v>
      </c>
      <c r="G97" s="157">
        <v>0.03</v>
      </c>
      <c r="H97" s="157">
        <v>0.03</v>
      </c>
      <c r="I97" s="157">
        <v>0.03</v>
      </c>
      <c r="J97" s="157">
        <v>0.03</v>
      </c>
      <c r="K97" s="157">
        <v>0.03</v>
      </c>
      <c r="L97" s="157">
        <v>0.03</v>
      </c>
      <c r="M97" s="157">
        <v>0.03</v>
      </c>
      <c r="N97" s="157">
        <v>0.03</v>
      </c>
      <c r="O97" s="157">
        <v>0.05</v>
      </c>
      <c r="P97" s="157">
        <v>0.05</v>
      </c>
      <c r="Q97" s="157">
        <v>0.05</v>
      </c>
      <c r="R97" s="157">
        <v>0.05</v>
      </c>
      <c r="S97" s="157">
        <v>0.03</v>
      </c>
      <c r="T97" s="157">
        <v>0.03</v>
      </c>
      <c r="U97" s="157">
        <v>0.03</v>
      </c>
      <c r="V97" s="157">
        <v>0.03</v>
      </c>
      <c r="W97" s="157">
        <v>0.03</v>
      </c>
      <c r="X97" s="157">
        <v>0.03</v>
      </c>
      <c r="Y97" s="157">
        <v>0.03</v>
      </c>
      <c r="Z97" s="157">
        <v>0.03</v>
      </c>
      <c r="AA97" s="157">
        <v>0.03</v>
      </c>
      <c r="AB97" s="157">
        <v>0.03</v>
      </c>
      <c r="AC97" s="158">
        <v>0.03</v>
      </c>
      <c r="AD97" s="36"/>
      <c r="AE97" s="36"/>
      <c r="AF97" s="36"/>
      <c r="AG97" s="36"/>
      <c r="AH97" s="36"/>
      <c r="AI97" s="36"/>
      <c r="AJ97" s="36"/>
    </row>
    <row r="98" spans="1:36" customFormat="1" ht="26.4" customHeight="1" thickBot="1" x14ac:dyDescent="0.35">
      <c r="A98" s="578"/>
      <c r="B98" s="596"/>
      <c r="C98" s="596"/>
      <c r="D98" s="587"/>
      <c r="E98" s="151" t="s">
        <v>654</v>
      </c>
      <c r="F98" s="159">
        <v>0.03</v>
      </c>
      <c r="G98" s="159">
        <v>0.03</v>
      </c>
      <c r="H98" s="159">
        <v>0.03</v>
      </c>
      <c r="I98" s="159">
        <v>0.03</v>
      </c>
      <c r="J98" s="159">
        <v>0.03</v>
      </c>
      <c r="K98" s="159">
        <v>0.03</v>
      </c>
      <c r="L98" s="159">
        <v>0.03</v>
      </c>
      <c r="M98" s="159">
        <v>0.03</v>
      </c>
      <c r="N98" s="159">
        <v>0.05</v>
      </c>
      <c r="O98" s="159">
        <v>0.05</v>
      </c>
      <c r="P98" s="159">
        <v>0.05</v>
      </c>
      <c r="Q98" s="159">
        <v>0.05</v>
      </c>
      <c r="R98" s="159">
        <v>0.05</v>
      </c>
      <c r="S98" s="159">
        <v>0.05</v>
      </c>
      <c r="T98" s="159">
        <v>0.03</v>
      </c>
      <c r="U98" s="159">
        <v>0.03</v>
      </c>
      <c r="V98" s="159">
        <v>0.03</v>
      </c>
      <c r="W98" s="159">
        <v>0.03</v>
      </c>
      <c r="X98" s="159">
        <v>0.03</v>
      </c>
      <c r="Y98" s="159">
        <v>0.03</v>
      </c>
      <c r="Z98" s="159">
        <v>0.03</v>
      </c>
      <c r="AA98" s="159">
        <v>0.03</v>
      </c>
      <c r="AB98" s="159">
        <v>0.03</v>
      </c>
      <c r="AC98" s="160">
        <v>0.03</v>
      </c>
      <c r="AD98" s="36"/>
      <c r="AE98" s="36"/>
      <c r="AF98" s="36"/>
      <c r="AG98" s="36"/>
      <c r="AH98" s="36"/>
      <c r="AI98" s="36"/>
      <c r="AJ98" s="36"/>
    </row>
    <row r="99" spans="1:36" ht="35.25" customHeight="1" thickBot="1" x14ac:dyDescent="0.35">
      <c r="A99" s="625" t="s">
        <v>201</v>
      </c>
      <c r="B99" s="625"/>
      <c r="C99" s="625" t="s">
        <v>16</v>
      </c>
      <c r="D99" s="625"/>
      <c r="E99" s="625"/>
      <c r="F99" s="625"/>
      <c r="G99" s="625"/>
      <c r="H99" s="625"/>
      <c r="I99" s="625"/>
      <c r="J99" s="625"/>
      <c r="K99" s="625"/>
      <c r="L99" s="625"/>
      <c r="M99" s="625"/>
      <c r="N99" s="625"/>
      <c r="O99" s="625"/>
      <c r="P99" s="625"/>
      <c r="Q99" s="625"/>
      <c r="R99" s="625"/>
      <c r="S99" s="625"/>
      <c r="T99" s="625"/>
      <c r="U99" s="625"/>
      <c r="V99" s="625"/>
      <c r="W99" s="625"/>
      <c r="X99" s="625"/>
      <c r="Y99" s="625"/>
      <c r="Z99" s="625"/>
      <c r="AA99" s="625"/>
      <c r="AB99" s="625"/>
      <c r="AC99" s="626"/>
    </row>
    <row r="100" spans="1:36" customFormat="1" ht="26.4" customHeight="1" x14ac:dyDescent="0.3">
      <c r="A100" s="576" t="s">
        <v>668</v>
      </c>
      <c r="B100" s="618" t="s">
        <v>201</v>
      </c>
      <c r="C100" s="618" t="s">
        <v>650</v>
      </c>
      <c r="D100" s="585" t="s">
        <v>662</v>
      </c>
      <c r="E100" s="195" t="s">
        <v>669</v>
      </c>
      <c r="F100" s="446">
        <v>0</v>
      </c>
      <c r="G100" s="144">
        <v>0</v>
      </c>
      <c r="H100" s="144">
        <v>0</v>
      </c>
      <c r="I100" s="144">
        <v>0</v>
      </c>
      <c r="J100" s="144">
        <v>0</v>
      </c>
      <c r="K100" s="144">
        <v>0</v>
      </c>
      <c r="L100" s="144">
        <v>0</v>
      </c>
      <c r="M100" s="144">
        <v>0</v>
      </c>
      <c r="N100" s="144">
        <v>0</v>
      </c>
      <c r="O100" s="144">
        <v>0</v>
      </c>
      <c r="P100" s="144">
        <v>0</v>
      </c>
      <c r="Q100" s="144">
        <v>0</v>
      </c>
      <c r="R100" s="144">
        <v>0</v>
      </c>
      <c r="S100" s="144">
        <v>0</v>
      </c>
      <c r="T100" s="144">
        <v>0</v>
      </c>
      <c r="U100" s="144">
        <v>0</v>
      </c>
      <c r="V100" s="144">
        <v>0</v>
      </c>
      <c r="W100" s="144">
        <v>0</v>
      </c>
      <c r="X100" s="144">
        <v>0</v>
      </c>
      <c r="Y100" s="144">
        <v>0</v>
      </c>
      <c r="Z100" s="144">
        <v>0</v>
      </c>
      <c r="AA100" s="144">
        <v>0</v>
      </c>
      <c r="AB100" s="144">
        <v>0</v>
      </c>
      <c r="AC100" s="145">
        <v>0</v>
      </c>
      <c r="AD100" s="36"/>
      <c r="AE100" s="36"/>
      <c r="AF100" s="36"/>
      <c r="AG100" s="36"/>
      <c r="AH100" s="36"/>
      <c r="AI100" s="36"/>
      <c r="AJ100" s="36"/>
    </row>
    <row r="101" spans="1:36" customFormat="1" ht="26.4" customHeight="1" x14ac:dyDescent="0.3">
      <c r="A101" s="577"/>
      <c r="B101" s="595"/>
      <c r="C101" s="595"/>
      <c r="D101" s="586"/>
      <c r="E101" s="196" t="s">
        <v>670</v>
      </c>
      <c r="F101" s="447">
        <v>0</v>
      </c>
      <c r="G101" s="157">
        <v>0</v>
      </c>
      <c r="H101" s="157">
        <v>0</v>
      </c>
      <c r="I101" s="157">
        <v>0</v>
      </c>
      <c r="J101" s="157">
        <v>0</v>
      </c>
      <c r="K101" s="157">
        <v>0</v>
      </c>
      <c r="L101" s="157">
        <v>0.01</v>
      </c>
      <c r="M101" s="157">
        <v>0.25</v>
      </c>
      <c r="N101" s="157">
        <v>0.25</v>
      </c>
      <c r="O101" s="157">
        <v>0.25</v>
      </c>
      <c r="P101" s="157">
        <v>0.25</v>
      </c>
      <c r="Q101" s="157">
        <v>0.25</v>
      </c>
      <c r="R101" s="157">
        <v>0.02</v>
      </c>
      <c r="S101" s="157">
        <v>0.25</v>
      </c>
      <c r="T101" s="157">
        <v>0.25</v>
      </c>
      <c r="U101" s="157">
        <v>0.25</v>
      </c>
      <c r="V101" s="157">
        <v>0.25</v>
      </c>
      <c r="W101" s="157">
        <v>0.25</v>
      </c>
      <c r="X101" s="157">
        <v>0.25</v>
      </c>
      <c r="Y101" s="157">
        <v>0.25</v>
      </c>
      <c r="Z101" s="157">
        <v>0.01</v>
      </c>
      <c r="AA101" s="157">
        <v>0</v>
      </c>
      <c r="AB101" s="157">
        <v>0</v>
      </c>
      <c r="AC101" s="158">
        <v>0</v>
      </c>
      <c r="AD101" s="36"/>
      <c r="AE101" s="36"/>
      <c r="AF101" s="36"/>
      <c r="AG101" s="36"/>
      <c r="AH101" s="36"/>
      <c r="AI101" s="36"/>
      <c r="AJ101" s="36"/>
    </row>
    <row r="102" spans="1:36" customFormat="1" ht="26.4" customHeight="1" x14ac:dyDescent="0.3">
      <c r="A102" s="629"/>
      <c r="B102" s="630"/>
      <c r="C102" s="630"/>
      <c r="D102" s="631"/>
      <c r="E102" s="197" t="s">
        <v>671</v>
      </c>
      <c r="F102" s="448">
        <v>0</v>
      </c>
      <c r="G102" s="449">
        <v>0</v>
      </c>
      <c r="H102" s="449">
        <v>0</v>
      </c>
      <c r="I102" s="449">
        <v>0</v>
      </c>
      <c r="J102" s="449">
        <v>0</v>
      </c>
      <c r="K102" s="449">
        <v>0</v>
      </c>
      <c r="L102" s="449">
        <v>0.01</v>
      </c>
      <c r="M102" s="449">
        <v>0.125</v>
      </c>
      <c r="N102" s="449">
        <v>0.125</v>
      </c>
      <c r="O102" s="449">
        <v>0.125</v>
      </c>
      <c r="P102" s="449">
        <v>0.125</v>
      </c>
      <c r="Q102" s="449">
        <v>0.125</v>
      </c>
      <c r="R102" s="449">
        <v>0.02</v>
      </c>
      <c r="S102" s="449">
        <v>0.125</v>
      </c>
      <c r="T102" s="449">
        <v>0.125</v>
      </c>
      <c r="U102" s="449">
        <v>0.125</v>
      </c>
      <c r="V102" s="449">
        <v>0.125</v>
      </c>
      <c r="W102" s="449">
        <v>0.125</v>
      </c>
      <c r="X102" s="449">
        <v>0.125</v>
      </c>
      <c r="Y102" s="449">
        <v>0.125</v>
      </c>
      <c r="Z102" s="449">
        <v>0.01</v>
      </c>
      <c r="AA102" s="449">
        <v>0</v>
      </c>
      <c r="AB102" s="449">
        <v>0</v>
      </c>
      <c r="AC102" s="450">
        <v>0</v>
      </c>
      <c r="AD102" s="36"/>
      <c r="AE102" s="36"/>
      <c r="AF102" s="36"/>
      <c r="AG102" s="36"/>
      <c r="AH102" s="36"/>
      <c r="AI102" s="36"/>
      <c r="AJ102" s="36"/>
    </row>
    <row r="103" spans="1:36" customFormat="1" ht="26.4" customHeight="1" x14ac:dyDescent="0.3">
      <c r="A103" s="629"/>
      <c r="B103" s="630"/>
      <c r="C103" s="630"/>
      <c r="D103" s="631"/>
      <c r="E103" s="197" t="s">
        <v>672</v>
      </c>
      <c r="F103" s="448">
        <v>0</v>
      </c>
      <c r="G103" s="449">
        <v>0</v>
      </c>
      <c r="H103" s="449">
        <v>0</v>
      </c>
      <c r="I103" s="449">
        <v>0</v>
      </c>
      <c r="J103" s="449">
        <v>0</v>
      </c>
      <c r="K103" s="449">
        <v>0</v>
      </c>
      <c r="L103" s="449">
        <v>0</v>
      </c>
      <c r="M103" s="449">
        <v>3.7499999999999999E-2</v>
      </c>
      <c r="N103" s="449">
        <v>0.25</v>
      </c>
      <c r="O103" s="449">
        <v>0.25</v>
      </c>
      <c r="P103" s="449">
        <v>0.25</v>
      </c>
      <c r="Q103" s="449">
        <v>0.25</v>
      </c>
      <c r="R103" s="449">
        <v>0.02</v>
      </c>
      <c r="S103" s="449">
        <v>0.25</v>
      </c>
      <c r="T103" s="449">
        <v>0.25</v>
      </c>
      <c r="U103" s="449">
        <v>0.01</v>
      </c>
      <c r="V103" s="449">
        <v>0.01</v>
      </c>
      <c r="W103" s="449">
        <v>0.05</v>
      </c>
      <c r="X103" s="449">
        <v>0.5</v>
      </c>
      <c r="Y103" s="449">
        <v>0.5</v>
      </c>
      <c r="Z103" s="449">
        <v>0.95</v>
      </c>
      <c r="AA103" s="449">
        <v>0.95</v>
      </c>
      <c r="AB103" s="449">
        <v>0.05</v>
      </c>
      <c r="AC103" s="450">
        <v>0</v>
      </c>
      <c r="AD103" s="36"/>
      <c r="AE103" s="36"/>
      <c r="AF103" s="36"/>
      <c r="AG103" s="36"/>
      <c r="AH103" s="36"/>
      <c r="AI103" s="36"/>
      <c r="AJ103" s="36"/>
    </row>
    <row r="104" spans="1:36" customFormat="1" ht="26.4" customHeight="1" x14ac:dyDescent="0.3">
      <c r="A104" s="629"/>
      <c r="B104" s="630"/>
      <c r="C104" s="630"/>
      <c r="D104" s="631"/>
      <c r="E104" s="197" t="s">
        <v>673</v>
      </c>
      <c r="F104" s="448">
        <v>0</v>
      </c>
      <c r="G104" s="449">
        <v>0</v>
      </c>
      <c r="H104" s="449">
        <v>0</v>
      </c>
      <c r="I104" s="449">
        <v>0</v>
      </c>
      <c r="J104" s="449">
        <v>0</v>
      </c>
      <c r="K104" s="449">
        <v>0</v>
      </c>
      <c r="L104" s="449">
        <v>0</v>
      </c>
      <c r="M104" s="449">
        <v>1.8749999999999999E-2</v>
      </c>
      <c r="N104" s="449">
        <v>0.125</v>
      </c>
      <c r="O104" s="449">
        <v>0.125</v>
      </c>
      <c r="P104" s="449">
        <v>0.125</v>
      </c>
      <c r="Q104" s="449">
        <v>0.125</v>
      </c>
      <c r="R104" s="449">
        <v>0.02</v>
      </c>
      <c r="S104" s="449">
        <v>0.125</v>
      </c>
      <c r="T104" s="449">
        <v>0.125</v>
      </c>
      <c r="U104" s="449">
        <v>0.01</v>
      </c>
      <c r="V104" s="449">
        <v>0.01</v>
      </c>
      <c r="W104" s="449">
        <v>2.5000000000000001E-2</v>
      </c>
      <c r="X104" s="449">
        <v>0.25</v>
      </c>
      <c r="Y104" s="449">
        <v>0.25</v>
      </c>
      <c r="Z104" s="449">
        <v>0.5</v>
      </c>
      <c r="AA104" s="449">
        <v>0.5</v>
      </c>
      <c r="AB104" s="449">
        <v>2.5000000000000001E-2</v>
      </c>
      <c r="AC104" s="450">
        <v>0</v>
      </c>
      <c r="AD104" s="36"/>
      <c r="AE104" s="36"/>
      <c r="AF104" s="36"/>
      <c r="AG104" s="36"/>
      <c r="AH104" s="36"/>
      <c r="AI104" s="36"/>
      <c r="AJ104" s="36"/>
    </row>
    <row r="105" spans="1:36" customFormat="1" ht="26.4" customHeight="1" x14ac:dyDescent="0.3">
      <c r="A105" s="629"/>
      <c r="B105" s="630"/>
      <c r="C105" s="630"/>
      <c r="D105" s="631"/>
      <c r="E105" s="197" t="s">
        <v>674</v>
      </c>
      <c r="F105" s="448">
        <v>0</v>
      </c>
      <c r="G105" s="449">
        <v>0</v>
      </c>
      <c r="H105" s="449">
        <v>0</v>
      </c>
      <c r="I105" s="449">
        <v>0</v>
      </c>
      <c r="J105" s="449">
        <v>0</v>
      </c>
      <c r="K105" s="449">
        <v>0</v>
      </c>
      <c r="L105" s="449">
        <v>0</v>
      </c>
      <c r="M105" s="449">
        <v>0.05</v>
      </c>
      <c r="N105" s="449">
        <v>0.95</v>
      </c>
      <c r="O105" s="449">
        <v>0.95</v>
      </c>
      <c r="P105" s="449">
        <v>0.95</v>
      </c>
      <c r="Q105" s="449">
        <v>0.95</v>
      </c>
      <c r="R105" s="449">
        <v>0.95</v>
      </c>
      <c r="S105" s="449">
        <v>0.95</v>
      </c>
      <c r="T105" s="449">
        <v>0.05</v>
      </c>
      <c r="U105" s="449">
        <v>0</v>
      </c>
      <c r="V105" s="449">
        <v>0</v>
      </c>
      <c r="W105" s="449">
        <v>0</v>
      </c>
      <c r="X105" s="449">
        <v>0</v>
      </c>
      <c r="Y105" s="449">
        <v>0</v>
      </c>
      <c r="Z105" s="449">
        <v>0</v>
      </c>
      <c r="AA105" s="449">
        <v>0</v>
      </c>
      <c r="AB105" s="449">
        <v>0</v>
      </c>
      <c r="AC105" s="450">
        <v>0</v>
      </c>
      <c r="AD105" s="36"/>
      <c r="AE105" s="36"/>
      <c r="AF105" s="36"/>
      <c r="AG105" s="36"/>
      <c r="AH105" s="36"/>
      <c r="AI105" s="36"/>
      <c r="AJ105" s="36"/>
    </row>
    <row r="106" spans="1:36" customFormat="1" ht="26.4" customHeight="1" x14ac:dyDescent="0.3">
      <c r="A106" s="629"/>
      <c r="B106" s="630"/>
      <c r="C106" s="630"/>
      <c r="D106" s="631"/>
      <c r="E106" s="197" t="s">
        <v>675</v>
      </c>
      <c r="F106" s="448">
        <v>0</v>
      </c>
      <c r="G106" s="449">
        <v>0</v>
      </c>
      <c r="H106" s="449">
        <v>0</v>
      </c>
      <c r="I106" s="449">
        <v>0</v>
      </c>
      <c r="J106" s="449">
        <v>0</v>
      </c>
      <c r="K106" s="449">
        <v>0</v>
      </c>
      <c r="L106" s="449">
        <v>0</v>
      </c>
      <c r="M106" s="449">
        <v>2.5000000000000001E-2</v>
      </c>
      <c r="N106" s="449">
        <v>0.5</v>
      </c>
      <c r="O106" s="449">
        <v>0.5</v>
      </c>
      <c r="P106" s="449">
        <v>0.5</v>
      </c>
      <c r="Q106" s="449">
        <v>0.5</v>
      </c>
      <c r="R106" s="449">
        <v>0.5</v>
      </c>
      <c r="S106" s="449">
        <v>0.5</v>
      </c>
      <c r="T106" s="449">
        <v>2.5000000000000001E-2</v>
      </c>
      <c r="U106" s="449">
        <v>0</v>
      </c>
      <c r="V106" s="449">
        <v>0</v>
      </c>
      <c r="W106" s="449">
        <v>0</v>
      </c>
      <c r="X106" s="449">
        <v>0</v>
      </c>
      <c r="Y106" s="449">
        <v>0</v>
      </c>
      <c r="Z106" s="449">
        <v>0</v>
      </c>
      <c r="AA106" s="449">
        <v>0</v>
      </c>
      <c r="AB106" s="449">
        <v>0</v>
      </c>
      <c r="AC106" s="450">
        <v>0</v>
      </c>
      <c r="AD106" s="36"/>
      <c r="AE106" s="36"/>
      <c r="AF106" s="36"/>
      <c r="AG106" s="36"/>
      <c r="AH106" s="36"/>
      <c r="AI106" s="36"/>
      <c r="AJ106" s="36"/>
    </row>
    <row r="107" spans="1:36" customFormat="1" ht="26.4" customHeight="1" thickBot="1" x14ac:dyDescent="0.35">
      <c r="A107" s="578"/>
      <c r="B107" s="596"/>
      <c r="C107" s="596"/>
      <c r="D107" s="587"/>
      <c r="E107" s="198" t="s">
        <v>676</v>
      </c>
      <c r="F107" s="451">
        <v>0</v>
      </c>
      <c r="G107" s="159">
        <v>0</v>
      </c>
      <c r="H107" s="159">
        <v>0</v>
      </c>
      <c r="I107" s="159">
        <v>0</v>
      </c>
      <c r="J107" s="159">
        <v>0</v>
      </c>
      <c r="K107" s="159">
        <v>0</v>
      </c>
      <c r="L107" s="159">
        <v>0</v>
      </c>
      <c r="M107" s="159">
        <v>0.05</v>
      </c>
      <c r="N107" s="159">
        <v>0.3</v>
      </c>
      <c r="O107" s="159">
        <v>0.3</v>
      </c>
      <c r="P107" s="159">
        <v>0.3</v>
      </c>
      <c r="Q107" s="159">
        <v>0.3</v>
      </c>
      <c r="R107" s="159">
        <v>0.3</v>
      </c>
      <c r="S107" s="159">
        <v>0.3</v>
      </c>
      <c r="T107" s="159">
        <v>0.3</v>
      </c>
      <c r="U107" s="159">
        <v>0.3</v>
      </c>
      <c r="V107" s="159">
        <v>0.3</v>
      </c>
      <c r="W107" s="159">
        <v>0.05</v>
      </c>
      <c r="X107" s="159">
        <v>0</v>
      </c>
      <c r="Y107" s="159">
        <v>0</v>
      </c>
      <c r="Z107" s="159">
        <v>0</v>
      </c>
      <c r="AA107" s="159">
        <v>0</v>
      </c>
      <c r="AB107" s="159">
        <v>0</v>
      </c>
      <c r="AC107" s="160">
        <v>0</v>
      </c>
      <c r="AD107" s="36"/>
      <c r="AE107" s="36"/>
      <c r="AF107" s="36"/>
      <c r="AG107" s="36"/>
      <c r="AH107" s="36"/>
      <c r="AI107" s="36"/>
      <c r="AJ107" s="36"/>
    </row>
    <row r="108" spans="1:36" customFormat="1" ht="26.4" customHeight="1" x14ac:dyDescent="0.3">
      <c r="A108" s="588" t="s">
        <v>668</v>
      </c>
      <c r="B108" s="579" t="s">
        <v>201</v>
      </c>
      <c r="C108" s="618" t="s">
        <v>660</v>
      </c>
      <c r="D108" s="585" t="s">
        <v>662</v>
      </c>
      <c r="E108" s="149" t="s">
        <v>669</v>
      </c>
      <c r="F108" s="144">
        <v>0</v>
      </c>
      <c r="G108" s="144">
        <v>0</v>
      </c>
      <c r="H108" s="144">
        <v>0</v>
      </c>
      <c r="I108" s="144">
        <v>0</v>
      </c>
      <c r="J108" s="144">
        <v>0</v>
      </c>
      <c r="K108" s="144">
        <v>0</v>
      </c>
      <c r="L108" s="144">
        <v>0</v>
      </c>
      <c r="M108" s="144">
        <v>0</v>
      </c>
      <c r="N108" s="144">
        <v>0</v>
      </c>
      <c r="O108" s="144">
        <v>0</v>
      </c>
      <c r="P108" s="144">
        <v>0</v>
      </c>
      <c r="Q108" s="144">
        <v>0</v>
      </c>
      <c r="R108" s="144">
        <v>0</v>
      </c>
      <c r="S108" s="144">
        <v>0</v>
      </c>
      <c r="T108" s="144">
        <v>0</v>
      </c>
      <c r="U108" s="144">
        <v>0</v>
      </c>
      <c r="V108" s="144">
        <v>0</v>
      </c>
      <c r="W108" s="144">
        <v>0</v>
      </c>
      <c r="X108" s="144">
        <v>0</v>
      </c>
      <c r="Y108" s="144">
        <v>0</v>
      </c>
      <c r="Z108" s="144">
        <v>0</v>
      </c>
      <c r="AA108" s="144">
        <v>0</v>
      </c>
      <c r="AB108" s="144">
        <v>0</v>
      </c>
      <c r="AC108" s="145">
        <v>0</v>
      </c>
      <c r="AD108" s="36"/>
      <c r="AE108" s="36"/>
      <c r="AF108" s="36"/>
      <c r="AG108" s="36"/>
      <c r="AH108" s="36"/>
      <c r="AI108" s="36"/>
      <c r="AJ108" s="36"/>
    </row>
    <row r="109" spans="1:36" customFormat="1" ht="26.4" customHeight="1" x14ac:dyDescent="0.3">
      <c r="A109" s="589"/>
      <c r="B109" s="580"/>
      <c r="C109" s="594"/>
      <c r="D109" s="617"/>
      <c r="E109" s="173" t="s">
        <v>670</v>
      </c>
      <c r="F109" s="146">
        <v>0</v>
      </c>
      <c r="G109" s="146">
        <v>0</v>
      </c>
      <c r="H109" s="146">
        <v>0</v>
      </c>
      <c r="I109" s="146">
        <v>0</v>
      </c>
      <c r="J109" s="146">
        <v>0</v>
      </c>
      <c r="K109" s="146">
        <v>0</v>
      </c>
      <c r="L109" s="146">
        <v>1</v>
      </c>
      <c r="M109" s="146">
        <v>1</v>
      </c>
      <c r="N109" s="146">
        <v>1</v>
      </c>
      <c r="O109" s="146">
        <v>1</v>
      </c>
      <c r="P109" s="146">
        <v>1</v>
      </c>
      <c r="Q109" s="146">
        <v>1</v>
      </c>
      <c r="R109" s="146">
        <v>1</v>
      </c>
      <c r="S109" s="146">
        <v>1</v>
      </c>
      <c r="T109" s="146">
        <v>1</v>
      </c>
      <c r="U109" s="146">
        <v>1</v>
      </c>
      <c r="V109" s="146">
        <v>1</v>
      </c>
      <c r="W109" s="146">
        <v>1</v>
      </c>
      <c r="X109" s="146">
        <v>1</v>
      </c>
      <c r="Y109" s="146">
        <v>1</v>
      </c>
      <c r="Z109" s="146">
        <v>1</v>
      </c>
      <c r="AA109" s="146">
        <v>0</v>
      </c>
      <c r="AB109" s="146">
        <v>0</v>
      </c>
      <c r="AC109" s="147">
        <v>0</v>
      </c>
      <c r="AD109" s="36"/>
      <c r="AE109" s="36"/>
      <c r="AF109" s="36"/>
      <c r="AG109" s="36"/>
      <c r="AH109" s="36"/>
      <c r="AI109" s="36"/>
      <c r="AJ109" s="36"/>
    </row>
    <row r="110" spans="1:36" customFormat="1" ht="26.4" customHeight="1" x14ac:dyDescent="0.3">
      <c r="A110" s="589"/>
      <c r="B110" s="580"/>
      <c r="C110" s="594"/>
      <c r="D110" s="617"/>
      <c r="E110" s="173" t="s">
        <v>671</v>
      </c>
      <c r="F110" s="146">
        <v>0</v>
      </c>
      <c r="G110" s="146">
        <v>0</v>
      </c>
      <c r="H110" s="146">
        <v>0</v>
      </c>
      <c r="I110" s="146">
        <v>0</v>
      </c>
      <c r="J110" s="146">
        <v>0</v>
      </c>
      <c r="K110" s="146">
        <v>0</v>
      </c>
      <c r="L110" s="146">
        <v>1</v>
      </c>
      <c r="M110" s="146">
        <v>1</v>
      </c>
      <c r="N110" s="146">
        <v>1</v>
      </c>
      <c r="O110" s="146">
        <v>1</v>
      </c>
      <c r="P110" s="146">
        <v>1</v>
      </c>
      <c r="Q110" s="146">
        <v>1</v>
      </c>
      <c r="R110" s="146">
        <v>1</v>
      </c>
      <c r="S110" s="146">
        <v>1</v>
      </c>
      <c r="T110" s="146">
        <v>1</v>
      </c>
      <c r="U110" s="146">
        <v>1</v>
      </c>
      <c r="V110" s="146">
        <v>1</v>
      </c>
      <c r="W110" s="146">
        <v>1</v>
      </c>
      <c r="X110" s="146">
        <v>1</v>
      </c>
      <c r="Y110" s="146">
        <v>1</v>
      </c>
      <c r="Z110" s="146">
        <v>1</v>
      </c>
      <c r="AA110" s="146">
        <v>0</v>
      </c>
      <c r="AB110" s="146">
        <v>0</v>
      </c>
      <c r="AC110" s="147">
        <v>0</v>
      </c>
      <c r="AD110" s="36"/>
      <c r="AE110" s="36"/>
      <c r="AF110" s="36"/>
      <c r="AG110" s="36"/>
      <c r="AH110" s="36"/>
      <c r="AI110" s="36"/>
      <c r="AJ110" s="36"/>
    </row>
    <row r="111" spans="1:36" customFormat="1" ht="26.4" customHeight="1" x14ac:dyDescent="0.3">
      <c r="A111" s="589"/>
      <c r="B111" s="580"/>
      <c r="C111" s="594"/>
      <c r="D111" s="617"/>
      <c r="E111" s="173" t="s">
        <v>672</v>
      </c>
      <c r="F111" s="146">
        <v>0</v>
      </c>
      <c r="G111" s="146">
        <v>0</v>
      </c>
      <c r="H111" s="146">
        <v>0</v>
      </c>
      <c r="I111" s="146">
        <v>0</v>
      </c>
      <c r="J111" s="146">
        <v>0</v>
      </c>
      <c r="K111" s="146">
        <v>0</v>
      </c>
      <c r="L111" s="146">
        <v>0</v>
      </c>
      <c r="M111" s="146">
        <v>1</v>
      </c>
      <c r="N111" s="146">
        <v>1</v>
      </c>
      <c r="O111" s="146">
        <v>1</v>
      </c>
      <c r="P111" s="146">
        <v>1</v>
      </c>
      <c r="Q111" s="146">
        <v>1</v>
      </c>
      <c r="R111" s="146">
        <v>1</v>
      </c>
      <c r="S111" s="146">
        <v>1</v>
      </c>
      <c r="T111" s="146">
        <v>1</v>
      </c>
      <c r="U111" s="146">
        <v>1</v>
      </c>
      <c r="V111" s="146">
        <v>1</v>
      </c>
      <c r="W111" s="146">
        <v>1</v>
      </c>
      <c r="X111" s="146">
        <v>1</v>
      </c>
      <c r="Y111" s="146">
        <v>1</v>
      </c>
      <c r="Z111" s="146">
        <v>1</v>
      </c>
      <c r="AA111" s="146">
        <v>1</v>
      </c>
      <c r="AB111" s="146">
        <v>1</v>
      </c>
      <c r="AC111" s="147">
        <v>0</v>
      </c>
      <c r="AD111" s="36"/>
      <c r="AE111" s="36"/>
      <c r="AF111" s="36"/>
      <c r="AG111" s="36"/>
      <c r="AH111" s="36"/>
      <c r="AI111" s="36"/>
      <c r="AJ111" s="36"/>
    </row>
    <row r="112" spans="1:36" customFormat="1" ht="26.4" customHeight="1" x14ac:dyDescent="0.3">
      <c r="A112" s="589"/>
      <c r="B112" s="580"/>
      <c r="C112" s="594"/>
      <c r="D112" s="617"/>
      <c r="E112" s="173" t="s">
        <v>673</v>
      </c>
      <c r="F112" s="146">
        <v>0</v>
      </c>
      <c r="G112" s="146">
        <v>0</v>
      </c>
      <c r="H112" s="146">
        <v>0</v>
      </c>
      <c r="I112" s="146">
        <v>0</v>
      </c>
      <c r="J112" s="146">
        <v>0</v>
      </c>
      <c r="K112" s="146">
        <v>0</v>
      </c>
      <c r="L112" s="146">
        <v>0</v>
      </c>
      <c r="M112" s="146">
        <v>1</v>
      </c>
      <c r="N112" s="146">
        <v>1</v>
      </c>
      <c r="O112" s="146">
        <v>1</v>
      </c>
      <c r="P112" s="146">
        <v>1</v>
      </c>
      <c r="Q112" s="146">
        <v>1</v>
      </c>
      <c r="R112" s="146">
        <v>1</v>
      </c>
      <c r="S112" s="146">
        <v>1</v>
      </c>
      <c r="T112" s="146">
        <v>1</v>
      </c>
      <c r="U112" s="146">
        <v>1</v>
      </c>
      <c r="V112" s="146">
        <v>1</v>
      </c>
      <c r="W112" s="146">
        <v>1</v>
      </c>
      <c r="X112" s="146">
        <v>1</v>
      </c>
      <c r="Y112" s="146">
        <v>1</v>
      </c>
      <c r="Z112" s="146">
        <v>1</v>
      </c>
      <c r="AA112" s="146">
        <v>1</v>
      </c>
      <c r="AB112" s="146">
        <v>1</v>
      </c>
      <c r="AC112" s="147">
        <v>0</v>
      </c>
      <c r="AD112" s="36"/>
      <c r="AE112" s="36"/>
      <c r="AF112" s="36"/>
      <c r="AG112" s="36"/>
      <c r="AH112" s="36"/>
      <c r="AI112" s="36"/>
      <c r="AJ112" s="36"/>
    </row>
    <row r="113" spans="1:36" customFormat="1" ht="26.4" customHeight="1" x14ac:dyDescent="0.3">
      <c r="A113" s="589"/>
      <c r="B113" s="580"/>
      <c r="C113" s="594"/>
      <c r="D113" s="617"/>
      <c r="E113" s="173" t="s">
        <v>674</v>
      </c>
      <c r="F113" s="146">
        <v>0</v>
      </c>
      <c r="G113" s="146">
        <v>0</v>
      </c>
      <c r="H113" s="146">
        <v>0</v>
      </c>
      <c r="I113" s="146">
        <v>0</v>
      </c>
      <c r="J113" s="146">
        <v>0</v>
      </c>
      <c r="K113" s="146">
        <v>0</v>
      </c>
      <c r="L113" s="146">
        <v>0</v>
      </c>
      <c r="M113" s="146">
        <v>1</v>
      </c>
      <c r="N113" s="146">
        <v>1</v>
      </c>
      <c r="O113" s="146">
        <v>1</v>
      </c>
      <c r="P113" s="146">
        <v>1</v>
      </c>
      <c r="Q113" s="146">
        <v>1</v>
      </c>
      <c r="R113" s="146">
        <v>1</v>
      </c>
      <c r="S113" s="146">
        <v>1</v>
      </c>
      <c r="T113" s="146">
        <v>1</v>
      </c>
      <c r="U113" s="146">
        <v>0</v>
      </c>
      <c r="V113" s="146">
        <v>0</v>
      </c>
      <c r="W113" s="146">
        <v>0</v>
      </c>
      <c r="X113" s="146">
        <v>0</v>
      </c>
      <c r="Y113" s="146">
        <v>0</v>
      </c>
      <c r="Z113" s="146">
        <v>0</v>
      </c>
      <c r="AA113" s="146">
        <v>0</v>
      </c>
      <c r="AB113" s="146">
        <v>0</v>
      </c>
      <c r="AC113" s="147">
        <v>0</v>
      </c>
      <c r="AD113" s="36"/>
      <c r="AE113" s="36"/>
      <c r="AF113" s="36"/>
      <c r="AG113" s="36"/>
      <c r="AH113" s="36"/>
      <c r="AI113" s="36"/>
      <c r="AJ113" s="36"/>
    </row>
    <row r="114" spans="1:36" customFormat="1" ht="26.4" customHeight="1" x14ac:dyDescent="0.3">
      <c r="A114" s="589"/>
      <c r="B114" s="580"/>
      <c r="C114" s="595"/>
      <c r="D114" s="586"/>
      <c r="E114" s="150" t="s">
        <v>675</v>
      </c>
      <c r="F114" s="157">
        <v>0</v>
      </c>
      <c r="G114" s="157">
        <v>0</v>
      </c>
      <c r="H114" s="157">
        <v>0</v>
      </c>
      <c r="I114" s="157">
        <v>0</v>
      </c>
      <c r="J114" s="157">
        <v>0</v>
      </c>
      <c r="K114" s="157">
        <v>0</v>
      </c>
      <c r="L114" s="157">
        <v>0</v>
      </c>
      <c r="M114" s="157">
        <v>1</v>
      </c>
      <c r="N114" s="157">
        <v>1</v>
      </c>
      <c r="O114" s="157">
        <v>1</v>
      </c>
      <c r="P114" s="157">
        <v>1</v>
      </c>
      <c r="Q114" s="157">
        <v>1</v>
      </c>
      <c r="R114" s="157">
        <v>1</v>
      </c>
      <c r="S114" s="157">
        <v>1</v>
      </c>
      <c r="T114" s="157">
        <v>1</v>
      </c>
      <c r="U114" s="157">
        <v>0</v>
      </c>
      <c r="V114" s="157">
        <v>0</v>
      </c>
      <c r="W114" s="157">
        <v>0</v>
      </c>
      <c r="X114" s="157">
        <v>0</v>
      </c>
      <c r="Y114" s="157">
        <v>0</v>
      </c>
      <c r="Z114" s="157">
        <v>0</v>
      </c>
      <c r="AA114" s="157">
        <v>0</v>
      </c>
      <c r="AB114" s="157">
        <v>0</v>
      </c>
      <c r="AC114" s="158">
        <v>0</v>
      </c>
      <c r="AD114" s="36"/>
      <c r="AE114" s="36"/>
      <c r="AF114" s="36"/>
      <c r="AG114" s="36"/>
      <c r="AH114" s="36"/>
      <c r="AI114" s="36"/>
      <c r="AJ114" s="36"/>
    </row>
    <row r="115" spans="1:36" customFormat="1" ht="26.4" customHeight="1" thickBot="1" x14ac:dyDescent="0.35">
      <c r="A115" s="590"/>
      <c r="B115" s="581"/>
      <c r="C115" s="596"/>
      <c r="D115" s="587"/>
      <c r="E115" s="151" t="s">
        <v>676</v>
      </c>
      <c r="F115" s="159">
        <v>0</v>
      </c>
      <c r="G115" s="159">
        <v>0</v>
      </c>
      <c r="H115" s="159">
        <v>0</v>
      </c>
      <c r="I115" s="159">
        <v>0</v>
      </c>
      <c r="J115" s="159">
        <v>0</v>
      </c>
      <c r="K115" s="159">
        <v>0</v>
      </c>
      <c r="L115" s="159">
        <v>0</v>
      </c>
      <c r="M115" s="159">
        <v>1</v>
      </c>
      <c r="N115" s="159">
        <v>1</v>
      </c>
      <c r="O115" s="159">
        <v>1</v>
      </c>
      <c r="P115" s="159">
        <v>1</v>
      </c>
      <c r="Q115" s="159">
        <v>1</v>
      </c>
      <c r="R115" s="159">
        <v>1</v>
      </c>
      <c r="S115" s="159">
        <v>1</v>
      </c>
      <c r="T115" s="159">
        <v>1</v>
      </c>
      <c r="U115" s="159">
        <v>1</v>
      </c>
      <c r="V115" s="159">
        <v>1</v>
      </c>
      <c r="W115" s="159">
        <v>1</v>
      </c>
      <c r="X115" s="159">
        <v>0</v>
      </c>
      <c r="Y115" s="159">
        <v>0</v>
      </c>
      <c r="Z115" s="159">
        <v>0</v>
      </c>
      <c r="AA115" s="159">
        <v>0</v>
      </c>
      <c r="AB115" s="159">
        <v>0</v>
      </c>
      <c r="AC115" s="160">
        <v>0</v>
      </c>
      <c r="AD115" s="36"/>
      <c r="AE115" s="36"/>
      <c r="AF115" s="36"/>
      <c r="AG115" s="36"/>
      <c r="AH115" s="36"/>
      <c r="AI115" s="36"/>
      <c r="AJ115" s="36"/>
    </row>
    <row r="116" spans="1:36" customFormat="1" ht="26.4" customHeight="1" x14ac:dyDescent="0.3">
      <c r="A116" s="588" t="s">
        <v>668</v>
      </c>
      <c r="B116" s="579" t="s">
        <v>201</v>
      </c>
      <c r="C116" s="618" t="s">
        <v>655</v>
      </c>
      <c r="D116" s="585" t="s">
        <v>662</v>
      </c>
      <c r="E116" s="149" t="s">
        <v>669</v>
      </c>
      <c r="F116" s="144">
        <v>0</v>
      </c>
      <c r="G116" s="144">
        <v>0</v>
      </c>
      <c r="H116" s="144">
        <v>0</v>
      </c>
      <c r="I116" s="144">
        <v>0</v>
      </c>
      <c r="J116" s="144">
        <v>0</v>
      </c>
      <c r="K116" s="144">
        <v>0</v>
      </c>
      <c r="L116" s="144">
        <v>0</v>
      </c>
      <c r="M116" s="144">
        <v>0</v>
      </c>
      <c r="N116" s="144">
        <v>0</v>
      </c>
      <c r="O116" s="144">
        <v>0</v>
      </c>
      <c r="P116" s="144">
        <v>0</v>
      </c>
      <c r="Q116" s="144">
        <v>0</v>
      </c>
      <c r="R116" s="144">
        <v>0</v>
      </c>
      <c r="S116" s="144">
        <v>0</v>
      </c>
      <c r="T116" s="144">
        <v>0</v>
      </c>
      <c r="U116" s="144">
        <v>0</v>
      </c>
      <c r="V116" s="144">
        <v>0</v>
      </c>
      <c r="W116" s="144">
        <v>0</v>
      </c>
      <c r="X116" s="144">
        <v>0</v>
      </c>
      <c r="Y116" s="144">
        <v>0</v>
      </c>
      <c r="Z116" s="144">
        <v>0</v>
      </c>
      <c r="AA116" s="144">
        <v>0</v>
      </c>
      <c r="AB116" s="144">
        <v>0</v>
      </c>
      <c r="AC116" s="145">
        <v>0</v>
      </c>
      <c r="AD116" s="36"/>
      <c r="AE116" s="36"/>
      <c r="AF116" s="36"/>
      <c r="AG116" s="36"/>
      <c r="AH116" s="36"/>
      <c r="AI116" s="36"/>
      <c r="AJ116" s="36"/>
    </row>
    <row r="117" spans="1:36" customFormat="1" ht="26.4" customHeight="1" x14ac:dyDescent="0.3">
      <c r="A117" s="589"/>
      <c r="B117" s="580"/>
      <c r="C117" s="594"/>
      <c r="D117" s="617"/>
      <c r="E117" s="173" t="s">
        <v>670</v>
      </c>
      <c r="F117" s="146">
        <v>0</v>
      </c>
      <c r="G117" s="146">
        <v>0</v>
      </c>
      <c r="H117" s="146">
        <v>0</v>
      </c>
      <c r="I117" s="146">
        <v>0</v>
      </c>
      <c r="J117" s="146">
        <v>0</v>
      </c>
      <c r="K117" s="146">
        <v>0</v>
      </c>
      <c r="L117" s="146">
        <v>1</v>
      </c>
      <c r="M117" s="146">
        <v>1</v>
      </c>
      <c r="N117" s="146">
        <v>1</v>
      </c>
      <c r="O117" s="146">
        <v>1</v>
      </c>
      <c r="P117" s="146">
        <v>1</v>
      </c>
      <c r="Q117" s="146">
        <v>1</v>
      </c>
      <c r="R117" s="146">
        <v>1</v>
      </c>
      <c r="S117" s="146">
        <v>1</v>
      </c>
      <c r="T117" s="146">
        <v>1</v>
      </c>
      <c r="U117" s="146">
        <v>1</v>
      </c>
      <c r="V117" s="146">
        <v>1</v>
      </c>
      <c r="W117" s="146">
        <v>1</v>
      </c>
      <c r="X117" s="146">
        <v>1</v>
      </c>
      <c r="Y117" s="146">
        <v>1</v>
      </c>
      <c r="Z117" s="146">
        <v>1</v>
      </c>
      <c r="AA117" s="146">
        <v>0</v>
      </c>
      <c r="AB117" s="146">
        <v>0</v>
      </c>
      <c r="AC117" s="147">
        <v>0</v>
      </c>
      <c r="AD117" s="36"/>
      <c r="AE117" s="36"/>
      <c r="AF117" s="36"/>
      <c r="AG117" s="36"/>
      <c r="AH117" s="36"/>
      <c r="AI117" s="36"/>
      <c r="AJ117" s="36"/>
    </row>
    <row r="118" spans="1:36" customFormat="1" ht="26.4" customHeight="1" x14ac:dyDescent="0.3">
      <c r="A118" s="589"/>
      <c r="B118" s="580"/>
      <c r="C118" s="594"/>
      <c r="D118" s="617"/>
      <c r="E118" s="173" t="s">
        <v>671</v>
      </c>
      <c r="F118" s="146">
        <v>0</v>
      </c>
      <c r="G118" s="146">
        <v>0</v>
      </c>
      <c r="H118" s="146">
        <v>0</v>
      </c>
      <c r="I118" s="146">
        <v>0</v>
      </c>
      <c r="J118" s="146">
        <v>0</v>
      </c>
      <c r="K118" s="146">
        <v>0</v>
      </c>
      <c r="L118" s="146">
        <v>1</v>
      </c>
      <c r="M118" s="146">
        <v>1</v>
      </c>
      <c r="N118" s="146">
        <v>1</v>
      </c>
      <c r="O118" s="146">
        <v>1</v>
      </c>
      <c r="P118" s="146">
        <v>1</v>
      </c>
      <c r="Q118" s="146">
        <v>1</v>
      </c>
      <c r="R118" s="146">
        <v>1</v>
      </c>
      <c r="S118" s="146">
        <v>1</v>
      </c>
      <c r="T118" s="146">
        <v>1</v>
      </c>
      <c r="U118" s="146">
        <v>1</v>
      </c>
      <c r="V118" s="146">
        <v>1</v>
      </c>
      <c r="W118" s="146">
        <v>1</v>
      </c>
      <c r="X118" s="146">
        <v>1</v>
      </c>
      <c r="Y118" s="146">
        <v>1</v>
      </c>
      <c r="Z118" s="146">
        <v>1</v>
      </c>
      <c r="AA118" s="146">
        <v>0</v>
      </c>
      <c r="AB118" s="146">
        <v>0</v>
      </c>
      <c r="AC118" s="147">
        <v>0</v>
      </c>
      <c r="AD118" s="36"/>
      <c r="AE118" s="36"/>
      <c r="AF118" s="36"/>
      <c r="AG118" s="36"/>
      <c r="AH118" s="36"/>
      <c r="AI118" s="36"/>
      <c r="AJ118" s="36"/>
    </row>
    <row r="119" spans="1:36" customFormat="1" ht="26.4" customHeight="1" x14ac:dyDescent="0.3">
      <c r="A119" s="589"/>
      <c r="B119" s="580"/>
      <c r="C119" s="594"/>
      <c r="D119" s="617"/>
      <c r="E119" s="173" t="s">
        <v>672</v>
      </c>
      <c r="F119" s="146">
        <v>0</v>
      </c>
      <c r="G119" s="146">
        <v>0</v>
      </c>
      <c r="H119" s="146">
        <v>0</v>
      </c>
      <c r="I119" s="146">
        <v>0</v>
      </c>
      <c r="J119" s="146">
        <v>0</v>
      </c>
      <c r="K119" s="146">
        <v>0</v>
      </c>
      <c r="L119" s="146">
        <v>0</v>
      </c>
      <c r="M119" s="146">
        <v>1</v>
      </c>
      <c r="N119" s="146">
        <v>1</v>
      </c>
      <c r="O119" s="146">
        <v>1</v>
      </c>
      <c r="P119" s="146">
        <v>1</v>
      </c>
      <c r="Q119" s="146">
        <v>1</v>
      </c>
      <c r="R119" s="146">
        <v>1</v>
      </c>
      <c r="S119" s="146">
        <v>1</v>
      </c>
      <c r="T119" s="146">
        <v>1</v>
      </c>
      <c r="U119" s="146">
        <v>1</v>
      </c>
      <c r="V119" s="146">
        <v>1</v>
      </c>
      <c r="W119" s="146">
        <v>1</v>
      </c>
      <c r="X119" s="146">
        <v>1</v>
      </c>
      <c r="Y119" s="146">
        <v>1</v>
      </c>
      <c r="Z119" s="146">
        <v>1</v>
      </c>
      <c r="AA119" s="146">
        <v>1</v>
      </c>
      <c r="AB119" s="146">
        <v>1</v>
      </c>
      <c r="AC119" s="147">
        <v>0</v>
      </c>
      <c r="AD119" s="36"/>
      <c r="AE119" s="36"/>
      <c r="AF119" s="36"/>
      <c r="AG119" s="36"/>
      <c r="AH119" s="36"/>
      <c r="AI119" s="36"/>
      <c r="AJ119" s="36"/>
    </row>
    <row r="120" spans="1:36" customFormat="1" ht="26.4" customHeight="1" x14ac:dyDescent="0.3">
      <c r="A120" s="589"/>
      <c r="B120" s="580"/>
      <c r="C120" s="594"/>
      <c r="D120" s="617"/>
      <c r="E120" s="173" t="s">
        <v>673</v>
      </c>
      <c r="F120" s="146">
        <v>0</v>
      </c>
      <c r="G120" s="146">
        <v>0</v>
      </c>
      <c r="H120" s="146">
        <v>0</v>
      </c>
      <c r="I120" s="146">
        <v>0</v>
      </c>
      <c r="J120" s="146">
        <v>0</v>
      </c>
      <c r="K120" s="146">
        <v>0</v>
      </c>
      <c r="L120" s="146">
        <v>0</v>
      </c>
      <c r="M120" s="146">
        <v>1</v>
      </c>
      <c r="N120" s="146">
        <v>1</v>
      </c>
      <c r="O120" s="146">
        <v>1</v>
      </c>
      <c r="P120" s="146">
        <v>1</v>
      </c>
      <c r="Q120" s="146">
        <v>1</v>
      </c>
      <c r="R120" s="146">
        <v>1</v>
      </c>
      <c r="S120" s="146">
        <v>1</v>
      </c>
      <c r="T120" s="146">
        <v>1</v>
      </c>
      <c r="U120" s="146">
        <v>1</v>
      </c>
      <c r="V120" s="146">
        <v>1</v>
      </c>
      <c r="W120" s="146">
        <v>1</v>
      </c>
      <c r="X120" s="146">
        <v>1</v>
      </c>
      <c r="Y120" s="146">
        <v>1</v>
      </c>
      <c r="Z120" s="146">
        <v>1</v>
      </c>
      <c r="AA120" s="146">
        <v>1</v>
      </c>
      <c r="AB120" s="146">
        <v>1</v>
      </c>
      <c r="AC120" s="147">
        <v>0</v>
      </c>
      <c r="AD120" s="36"/>
      <c r="AE120" s="36"/>
      <c r="AF120" s="36"/>
      <c r="AG120" s="36"/>
      <c r="AH120" s="36"/>
      <c r="AI120" s="36"/>
      <c r="AJ120" s="36"/>
    </row>
    <row r="121" spans="1:36" customFormat="1" ht="26.4" customHeight="1" x14ac:dyDescent="0.3">
      <c r="A121" s="589"/>
      <c r="B121" s="580"/>
      <c r="C121" s="594"/>
      <c r="D121" s="617"/>
      <c r="E121" s="173" t="s">
        <v>674</v>
      </c>
      <c r="F121" s="146">
        <v>0</v>
      </c>
      <c r="G121" s="146">
        <v>0</v>
      </c>
      <c r="H121" s="146">
        <v>0</v>
      </c>
      <c r="I121" s="146">
        <v>0</v>
      </c>
      <c r="J121" s="146">
        <v>0</v>
      </c>
      <c r="K121" s="146">
        <v>0</v>
      </c>
      <c r="L121" s="146">
        <v>0</v>
      </c>
      <c r="M121" s="146">
        <v>1</v>
      </c>
      <c r="N121" s="146">
        <v>1</v>
      </c>
      <c r="O121" s="146">
        <v>1</v>
      </c>
      <c r="P121" s="146">
        <v>1</v>
      </c>
      <c r="Q121" s="146">
        <v>1</v>
      </c>
      <c r="R121" s="146">
        <v>1</v>
      </c>
      <c r="S121" s="146">
        <v>1</v>
      </c>
      <c r="T121" s="146">
        <v>1</v>
      </c>
      <c r="U121" s="146">
        <v>0</v>
      </c>
      <c r="V121" s="146">
        <v>0</v>
      </c>
      <c r="W121" s="146">
        <v>0</v>
      </c>
      <c r="X121" s="146">
        <v>0</v>
      </c>
      <c r="Y121" s="146">
        <v>0</v>
      </c>
      <c r="Z121" s="146">
        <v>0</v>
      </c>
      <c r="AA121" s="146">
        <v>0</v>
      </c>
      <c r="AB121" s="146">
        <v>0</v>
      </c>
      <c r="AC121" s="147">
        <v>0</v>
      </c>
      <c r="AD121" s="36"/>
      <c r="AE121" s="36"/>
      <c r="AF121" s="36"/>
      <c r="AG121" s="36"/>
      <c r="AH121" s="36"/>
      <c r="AI121" s="36"/>
      <c r="AJ121" s="36"/>
    </row>
    <row r="122" spans="1:36" customFormat="1" ht="26.4" customHeight="1" x14ac:dyDescent="0.3">
      <c r="A122" s="589"/>
      <c r="B122" s="580"/>
      <c r="C122" s="595"/>
      <c r="D122" s="586"/>
      <c r="E122" s="150" t="s">
        <v>675</v>
      </c>
      <c r="F122" s="157">
        <v>0</v>
      </c>
      <c r="G122" s="157">
        <v>0</v>
      </c>
      <c r="H122" s="157">
        <v>0</v>
      </c>
      <c r="I122" s="157">
        <v>0</v>
      </c>
      <c r="J122" s="157">
        <v>0</v>
      </c>
      <c r="K122" s="157">
        <v>0</v>
      </c>
      <c r="L122" s="157">
        <v>0</v>
      </c>
      <c r="M122" s="157">
        <v>1</v>
      </c>
      <c r="N122" s="157">
        <v>1</v>
      </c>
      <c r="O122" s="157">
        <v>1</v>
      </c>
      <c r="P122" s="157">
        <v>1</v>
      </c>
      <c r="Q122" s="157">
        <v>1</v>
      </c>
      <c r="R122" s="157">
        <v>1</v>
      </c>
      <c r="S122" s="157">
        <v>1</v>
      </c>
      <c r="T122" s="157">
        <v>1</v>
      </c>
      <c r="U122" s="157">
        <v>0</v>
      </c>
      <c r="V122" s="157">
        <v>0</v>
      </c>
      <c r="W122" s="157">
        <v>0</v>
      </c>
      <c r="X122" s="157">
        <v>0</v>
      </c>
      <c r="Y122" s="157">
        <v>0</v>
      </c>
      <c r="Z122" s="157">
        <v>0</v>
      </c>
      <c r="AA122" s="157">
        <v>0</v>
      </c>
      <c r="AB122" s="157">
        <v>0</v>
      </c>
      <c r="AC122" s="158">
        <v>0</v>
      </c>
      <c r="AD122" s="36"/>
      <c r="AE122" s="36"/>
      <c r="AF122" s="36"/>
      <c r="AG122" s="36"/>
      <c r="AH122" s="36"/>
      <c r="AI122" s="36"/>
      <c r="AJ122" s="36"/>
    </row>
    <row r="123" spans="1:36" customFormat="1" ht="26.4" customHeight="1" thickBot="1" x14ac:dyDescent="0.35">
      <c r="A123" s="590"/>
      <c r="B123" s="581"/>
      <c r="C123" s="630"/>
      <c r="D123" s="631"/>
      <c r="E123" s="151" t="s">
        <v>676</v>
      </c>
      <c r="F123" s="159">
        <v>0</v>
      </c>
      <c r="G123" s="159">
        <v>0</v>
      </c>
      <c r="H123" s="159">
        <v>0</v>
      </c>
      <c r="I123" s="159">
        <v>0</v>
      </c>
      <c r="J123" s="159">
        <v>0</v>
      </c>
      <c r="K123" s="159">
        <v>0</v>
      </c>
      <c r="L123" s="159">
        <v>0</v>
      </c>
      <c r="M123" s="159">
        <v>1</v>
      </c>
      <c r="N123" s="159">
        <v>1</v>
      </c>
      <c r="O123" s="159">
        <v>1</v>
      </c>
      <c r="P123" s="159">
        <v>1</v>
      </c>
      <c r="Q123" s="159">
        <v>1</v>
      </c>
      <c r="R123" s="159">
        <v>1</v>
      </c>
      <c r="S123" s="159">
        <v>1</v>
      </c>
      <c r="T123" s="159">
        <v>1</v>
      </c>
      <c r="U123" s="159">
        <v>1</v>
      </c>
      <c r="V123" s="159">
        <v>1</v>
      </c>
      <c r="W123" s="159">
        <v>1</v>
      </c>
      <c r="X123" s="159">
        <v>0</v>
      </c>
      <c r="Y123" s="159">
        <v>0</v>
      </c>
      <c r="Z123" s="159">
        <v>0</v>
      </c>
      <c r="AA123" s="159">
        <v>0</v>
      </c>
      <c r="AB123" s="159">
        <v>0</v>
      </c>
      <c r="AC123" s="160">
        <v>0</v>
      </c>
      <c r="AD123" s="36"/>
      <c r="AE123" s="36"/>
      <c r="AF123" s="36"/>
      <c r="AG123" s="36"/>
      <c r="AH123" s="36"/>
      <c r="AI123" s="36"/>
      <c r="AJ123" s="36"/>
    </row>
    <row r="124" spans="1:36" customFormat="1" ht="26.4" customHeight="1" x14ac:dyDescent="0.3">
      <c r="A124" s="588" t="s">
        <v>668</v>
      </c>
      <c r="B124" s="579" t="s">
        <v>201</v>
      </c>
      <c r="C124" s="618" t="s">
        <v>656</v>
      </c>
      <c r="D124" s="585" t="s">
        <v>662</v>
      </c>
      <c r="E124" s="149" t="s">
        <v>669</v>
      </c>
      <c r="F124" s="144">
        <v>0.15</v>
      </c>
      <c r="G124" s="144">
        <v>0.15</v>
      </c>
      <c r="H124" s="144">
        <v>0.15</v>
      </c>
      <c r="I124" s="144">
        <v>0.15</v>
      </c>
      <c r="J124" s="144">
        <v>0.15</v>
      </c>
      <c r="K124" s="144">
        <v>0.15</v>
      </c>
      <c r="L124" s="144">
        <v>0.15</v>
      </c>
      <c r="M124" s="144">
        <v>0.15</v>
      </c>
      <c r="N124" s="144">
        <v>0.15</v>
      </c>
      <c r="O124" s="144">
        <v>0.15</v>
      </c>
      <c r="P124" s="144">
        <v>0.15</v>
      </c>
      <c r="Q124" s="144">
        <v>0.15</v>
      </c>
      <c r="R124" s="144">
        <v>0.15</v>
      </c>
      <c r="S124" s="144">
        <v>0.15</v>
      </c>
      <c r="T124" s="144">
        <v>0.15</v>
      </c>
      <c r="U124" s="144">
        <v>0.15</v>
      </c>
      <c r="V124" s="144">
        <v>0.15</v>
      </c>
      <c r="W124" s="144">
        <v>0.15</v>
      </c>
      <c r="X124" s="144">
        <v>0.15</v>
      </c>
      <c r="Y124" s="144">
        <v>0.15</v>
      </c>
      <c r="Z124" s="144">
        <v>0.15</v>
      </c>
      <c r="AA124" s="144">
        <v>0.15</v>
      </c>
      <c r="AB124" s="144">
        <v>0.15</v>
      </c>
      <c r="AC124" s="145">
        <v>0.15</v>
      </c>
      <c r="AD124" s="36"/>
      <c r="AE124" s="36"/>
      <c r="AF124" s="36"/>
      <c r="AG124" s="36"/>
      <c r="AH124" s="36"/>
      <c r="AI124" s="36"/>
      <c r="AJ124" s="36"/>
    </row>
    <row r="125" spans="1:36" customFormat="1" ht="26.4" customHeight="1" x14ac:dyDescent="0.3">
      <c r="A125" s="589"/>
      <c r="B125" s="580"/>
      <c r="C125" s="594"/>
      <c r="D125" s="617"/>
      <c r="E125" s="173" t="s">
        <v>670</v>
      </c>
      <c r="F125" s="146">
        <v>0.15</v>
      </c>
      <c r="G125" s="146">
        <v>0.15</v>
      </c>
      <c r="H125" s="146">
        <v>0.15</v>
      </c>
      <c r="I125" s="146">
        <v>0.15</v>
      </c>
      <c r="J125" s="146">
        <v>0.15</v>
      </c>
      <c r="K125" s="146">
        <v>0.15</v>
      </c>
      <c r="L125" s="146">
        <v>0.2</v>
      </c>
      <c r="M125" s="146">
        <v>0.75</v>
      </c>
      <c r="N125" s="146">
        <v>0.75</v>
      </c>
      <c r="O125" s="146">
        <v>0.75</v>
      </c>
      <c r="P125" s="146">
        <v>0.75</v>
      </c>
      <c r="Q125" s="146">
        <v>0.75</v>
      </c>
      <c r="R125" s="146">
        <v>0.2</v>
      </c>
      <c r="S125" s="146">
        <v>0.75</v>
      </c>
      <c r="T125" s="146">
        <v>0.75</v>
      </c>
      <c r="U125" s="146">
        <v>0.75</v>
      </c>
      <c r="V125" s="146">
        <v>0.75</v>
      </c>
      <c r="W125" s="146">
        <v>0.75</v>
      </c>
      <c r="X125" s="146">
        <v>0.75</v>
      </c>
      <c r="Y125" s="146">
        <v>0.75</v>
      </c>
      <c r="Z125" s="146">
        <v>0.2</v>
      </c>
      <c r="AA125" s="146">
        <v>0.15</v>
      </c>
      <c r="AB125" s="146">
        <v>0.15</v>
      </c>
      <c r="AC125" s="147">
        <v>0.15</v>
      </c>
      <c r="AD125" s="36"/>
      <c r="AE125" s="36"/>
      <c r="AF125" s="36"/>
      <c r="AG125" s="36"/>
      <c r="AH125" s="36"/>
      <c r="AI125" s="36"/>
      <c r="AJ125" s="36"/>
    </row>
    <row r="126" spans="1:36" customFormat="1" ht="26.4" customHeight="1" x14ac:dyDescent="0.3">
      <c r="A126" s="589"/>
      <c r="B126" s="580"/>
      <c r="C126" s="594"/>
      <c r="D126" s="617"/>
      <c r="E126" s="173" t="s">
        <v>671</v>
      </c>
      <c r="F126" s="146">
        <v>0.15</v>
      </c>
      <c r="G126" s="146">
        <v>0.15</v>
      </c>
      <c r="H126" s="146">
        <v>0.15</v>
      </c>
      <c r="I126" s="146">
        <v>0.15</v>
      </c>
      <c r="J126" s="146">
        <v>0.15</v>
      </c>
      <c r="K126" s="146">
        <v>0.15</v>
      </c>
      <c r="L126" s="146">
        <v>0.2</v>
      </c>
      <c r="M126" s="146">
        <v>0.75</v>
      </c>
      <c r="N126" s="146">
        <v>0.75</v>
      </c>
      <c r="O126" s="146">
        <v>0.75</v>
      </c>
      <c r="P126" s="146">
        <v>0.75</v>
      </c>
      <c r="Q126" s="146">
        <v>0.75</v>
      </c>
      <c r="R126" s="146">
        <v>0.2</v>
      </c>
      <c r="S126" s="146">
        <v>0.75</v>
      </c>
      <c r="T126" s="146">
        <v>0.75</v>
      </c>
      <c r="U126" s="146">
        <v>0.75</v>
      </c>
      <c r="V126" s="146">
        <v>0.75</v>
      </c>
      <c r="W126" s="146">
        <v>0.75</v>
      </c>
      <c r="X126" s="146">
        <v>0.75</v>
      </c>
      <c r="Y126" s="146">
        <v>0.75</v>
      </c>
      <c r="Z126" s="146">
        <v>0.2</v>
      </c>
      <c r="AA126" s="146">
        <v>0.15</v>
      </c>
      <c r="AB126" s="146">
        <v>0.15</v>
      </c>
      <c r="AC126" s="147">
        <v>0.15</v>
      </c>
      <c r="AD126" s="36"/>
      <c r="AE126" s="36"/>
      <c r="AF126" s="36"/>
      <c r="AG126" s="36"/>
      <c r="AH126" s="36"/>
      <c r="AI126" s="36"/>
      <c r="AJ126" s="36"/>
    </row>
    <row r="127" spans="1:36" customFormat="1" ht="26.4" customHeight="1" x14ac:dyDescent="0.3">
      <c r="A127" s="589"/>
      <c r="B127" s="580"/>
      <c r="C127" s="594"/>
      <c r="D127" s="617"/>
      <c r="E127" s="173" t="s">
        <v>672</v>
      </c>
      <c r="F127" s="146">
        <v>0.15</v>
      </c>
      <c r="G127" s="146">
        <v>0.15</v>
      </c>
      <c r="H127" s="146">
        <v>0.15</v>
      </c>
      <c r="I127" s="146">
        <v>0.15</v>
      </c>
      <c r="J127" s="146">
        <v>0.15</v>
      </c>
      <c r="K127" s="146">
        <v>0.15</v>
      </c>
      <c r="L127" s="146">
        <v>0.15</v>
      </c>
      <c r="M127" s="146">
        <v>0.2</v>
      </c>
      <c r="N127" s="146">
        <v>0.75</v>
      </c>
      <c r="O127" s="146">
        <v>0.75</v>
      </c>
      <c r="P127" s="146">
        <v>0.75</v>
      </c>
      <c r="Q127" s="146">
        <v>0.75</v>
      </c>
      <c r="R127" s="146">
        <v>0.2</v>
      </c>
      <c r="S127" s="146">
        <v>0.75</v>
      </c>
      <c r="T127" s="146">
        <v>0.75</v>
      </c>
      <c r="U127" s="146">
        <v>0.15</v>
      </c>
      <c r="V127" s="146">
        <v>0.15</v>
      </c>
      <c r="W127" s="146">
        <v>0.2</v>
      </c>
      <c r="X127" s="146">
        <v>0.75</v>
      </c>
      <c r="Y127" s="146">
        <v>0.75</v>
      </c>
      <c r="Z127" s="146">
        <v>0.95</v>
      </c>
      <c r="AA127" s="146">
        <v>0.95</v>
      </c>
      <c r="AB127" s="146">
        <v>0.2</v>
      </c>
      <c r="AC127" s="147">
        <v>0.15</v>
      </c>
      <c r="AD127" s="36"/>
      <c r="AE127" s="36"/>
      <c r="AF127" s="36"/>
      <c r="AG127" s="36"/>
      <c r="AH127" s="36"/>
      <c r="AI127" s="36"/>
      <c r="AJ127" s="36"/>
    </row>
    <row r="128" spans="1:36" customFormat="1" ht="26.4" customHeight="1" x14ac:dyDescent="0.3">
      <c r="A128" s="589"/>
      <c r="B128" s="580"/>
      <c r="C128" s="594"/>
      <c r="D128" s="617"/>
      <c r="E128" s="173" t="s">
        <v>673</v>
      </c>
      <c r="F128" s="146">
        <v>0.15</v>
      </c>
      <c r="G128" s="146">
        <v>0.15</v>
      </c>
      <c r="H128" s="146">
        <v>0.15</v>
      </c>
      <c r="I128" s="146">
        <v>0.15</v>
      </c>
      <c r="J128" s="146">
        <v>0.15</v>
      </c>
      <c r="K128" s="146">
        <v>0.15</v>
      </c>
      <c r="L128" s="146">
        <v>0.15</v>
      </c>
      <c r="M128" s="146">
        <v>0.2</v>
      </c>
      <c r="N128" s="146">
        <v>0.75</v>
      </c>
      <c r="O128" s="146">
        <v>0.75</v>
      </c>
      <c r="P128" s="146">
        <v>0.75</v>
      </c>
      <c r="Q128" s="146">
        <v>0.75</v>
      </c>
      <c r="R128" s="146">
        <v>0.2</v>
      </c>
      <c r="S128" s="146">
        <v>0.75</v>
      </c>
      <c r="T128" s="146">
        <v>0.75</v>
      </c>
      <c r="U128" s="146">
        <v>0.15</v>
      </c>
      <c r="V128" s="146">
        <v>0.15</v>
      </c>
      <c r="W128" s="146">
        <v>0.2</v>
      </c>
      <c r="X128" s="146">
        <v>0.75</v>
      </c>
      <c r="Y128" s="146">
        <v>0.75</v>
      </c>
      <c r="Z128" s="146">
        <v>0.75</v>
      </c>
      <c r="AA128" s="146">
        <v>0.75</v>
      </c>
      <c r="AB128" s="146">
        <v>0.2</v>
      </c>
      <c r="AC128" s="147">
        <v>0.15</v>
      </c>
      <c r="AD128" s="36"/>
      <c r="AE128" s="36"/>
      <c r="AF128" s="36"/>
      <c r="AG128" s="36"/>
      <c r="AH128" s="36"/>
      <c r="AI128" s="36"/>
      <c r="AJ128" s="36"/>
    </row>
    <row r="129" spans="1:36" customFormat="1" ht="26.4" customHeight="1" x14ac:dyDescent="0.3">
      <c r="A129" s="589"/>
      <c r="B129" s="580"/>
      <c r="C129" s="594"/>
      <c r="D129" s="617"/>
      <c r="E129" s="173" t="s">
        <v>674</v>
      </c>
      <c r="F129" s="146">
        <v>0.15</v>
      </c>
      <c r="G129" s="146">
        <v>0.15</v>
      </c>
      <c r="H129" s="146">
        <v>0.15</v>
      </c>
      <c r="I129" s="146">
        <v>0.15</v>
      </c>
      <c r="J129" s="146">
        <v>0.15</v>
      </c>
      <c r="K129" s="146">
        <v>0.15</v>
      </c>
      <c r="L129" s="146">
        <v>0.15</v>
      </c>
      <c r="M129" s="146">
        <v>0.2</v>
      </c>
      <c r="N129" s="146">
        <v>0.95</v>
      </c>
      <c r="O129" s="146">
        <v>0.95</v>
      </c>
      <c r="P129" s="146">
        <v>0.95</v>
      </c>
      <c r="Q129" s="146">
        <v>0.95</v>
      </c>
      <c r="R129" s="146">
        <v>0.95</v>
      </c>
      <c r="S129" s="146">
        <v>0.95</v>
      </c>
      <c r="T129" s="146">
        <v>0.2</v>
      </c>
      <c r="U129" s="146">
        <v>0.15</v>
      </c>
      <c r="V129" s="146">
        <v>0.15</v>
      </c>
      <c r="W129" s="146">
        <v>0.15</v>
      </c>
      <c r="X129" s="146">
        <v>0.15</v>
      </c>
      <c r="Y129" s="146">
        <v>0.15</v>
      </c>
      <c r="Z129" s="146">
        <v>0.15</v>
      </c>
      <c r="AA129" s="146">
        <v>0.15</v>
      </c>
      <c r="AB129" s="146">
        <v>0.15</v>
      </c>
      <c r="AC129" s="147">
        <v>0.15</v>
      </c>
      <c r="AD129" s="36"/>
      <c r="AE129" s="36"/>
      <c r="AF129" s="36"/>
      <c r="AG129" s="36"/>
      <c r="AH129" s="36"/>
      <c r="AI129" s="36"/>
      <c r="AJ129" s="36"/>
    </row>
    <row r="130" spans="1:36" customFormat="1" ht="26.4" customHeight="1" x14ac:dyDescent="0.3">
      <c r="A130" s="589"/>
      <c r="B130" s="580"/>
      <c r="C130" s="595"/>
      <c r="D130" s="586"/>
      <c r="E130" s="150" t="s">
        <v>675</v>
      </c>
      <c r="F130" s="157">
        <v>0.15</v>
      </c>
      <c r="G130" s="157">
        <v>0.15</v>
      </c>
      <c r="H130" s="157">
        <v>0.15</v>
      </c>
      <c r="I130" s="157">
        <v>0.15</v>
      </c>
      <c r="J130" s="157">
        <v>0.15</v>
      </c>
      <c r="K130" s="157">
        <v>0.15</v>
      </c>
      <c r="L130" s="157">
        <v>0.15</v>
      </c>
      <c r="M130" s="157">
        <v>0.2</v>
      </c>
      <c r="N130" s="157">
        <v>0.75</v>
      </c>
      <c r="O130" s="157">
        <v>0.75</v>
      </c>
      <c r="P130" s="157">
        <v>0.75</v>
      </c>
      <c r="Q130" s="157">
        <v>0.75</v>
      </c>
      <c r="R130" s="157">
        <v>0.75</v>
      </c>
      <c r="S130" s="157">
        <v>0.75</v>
      </c>
      <c r="T130" s="157">
        <v>0.2</v>
      </c>
      <c r="U130" s="157">
        <v>0.15</v>
      </c>
      <c r="V130" s="157">
        <v>0.15</v>
      </c>
      <c r="W130" s="157">
        <v>0.15</v>
      </c>
      <c r="X130" s="157">
        <v>0.15</v>
      </c>
      <c r="Y130" s="157">
        <v>0.15</v>
      </c>
      <c r="Z130" s="157">
        <v>0.15</v>
      </c>
      <c r="AA130" s="157">
        <v>0.15</v>
      </c>
      <c r="AB130" s="157">
        <v>0.15</v>
      </c>
      <c r="AC130" s="158">
        <v>0.15</v>
      </c>
      <c r="AD130" s="36"/>
      <c r="AE130" s="36"/>
      <c r="AF130" s="36"/>
      <c r="AG130" s="36"/>
      <c r="AH130" s="36"/>
      <c r="AI130" s="36"/>
      <c r="AJ130" s="36"/>
    </row>
    <row r="131" spans="1:36" customFormat="1" ht="26.4" customHeight="1" thickBot="1" x14ac:dyDescent="0.35">
      <c r="A131" s="590"/>
      <c r="B131" s="581"/>
      <c r="C131" s="596"/>
      <c r="D131" s="587"/>
      <c r="E131" s="151" t="s">
        <v>676</v>
      </c>
      <c r="F131" s="159">
        <v>0.15</v>
      </c>
      <c r="G131" s="159">
        <v>0.15</v>
      </c>
      <c r="H131" s="159">
        <v>0.15</v>
      </c>
      <c r="I131" s="159">
        <v>0.15</v>
      </c>
      <c r="J131" s="159">
        <v>0.15</v>
      </c>
      <c r="K131" s="159">
        <v>0.15</v>
      </c>
      <c r="L131" s="159">
        <v>0.15</v>
      </c>
      <c r="M131" s="159">
        <v>0.2</v>
      </c>
      <c r="N131" s="159">
        <v>0.75</v>
      </c>
      <c r="O131" s="159">
        <v>0.75</v>
      </c>
      <c r="P131" s="159">
        <v>0.75</v>
      </c>
      <c r="Q131" s="159">
        <v>0.75</v>
      </c>
      <c r="R131" s="159">
        <v>0.75</v>
      </c>
      <c r="S131" s="159">
        <v>0.75</v>
      </c>
      <c r="T131" s="159">
        <v>0.75</v>
      </c>
      <c r="U131" s="159">
        <v>0.75</v>
      </c>
      <c r="V131" s="159">
        <v>0.75</v>
      </c>
      <c r="W131" s="159">
        <v>0.2</v>
      </c>
      <c r="X131" s="159">
        <v>0.15</v>
      </c>
      <c r="Y131" s="159">
        <v>0.15</v>
      </c>
      <c r="Z131" s="159">
        <v>0.15</v>
      </c>
      <c r="AA131" s="159">
        <v>0.15</v>
      </c>
      <c r="AB131" s="159">
        <v>0.15</v>
      </c>
      <c r="AC131" s="160">
        <v>0.15</v>
      </c>
      <c r="AD131" s="36"/>
      <c r="AE131" s="36"/>
      <c r="AF131" s="36"/>
      <c r="AG131" s="36"/>
      <c r="AH131" s="36"/>
      <c r="AI131" s="36"/>
      <c r="AJ131" s="36"/>
    </row>
    <row r="132" spans="1:36" customFormat="1" ht="23.4" customHeight="1" x14ac:dyDescent="0.3">
      <c r="A132" s="588" t="s">
        <v>668</v>
      </c>
      <c r="B132" s="579" t="s">
        <v>201</v>
      </c>
      <c r="C132" s="579" t="s">
        <v>661</v>
      </c>
      <c r="D132" s="585" t="s">
        <v>662</v>
      </c>
      <c r="E132" s="149" t="s">
        <v>652</v>
      </c>
      <c r="F132" s="442">
        <f>IF(F108=1,Thermostat!$B$3,Thermostat!$B$4)</f>
        <v>60</v>
      </c>
      <c r="G132" s="442">
        <f>IF(G108=1,Thermostat!$B$3,Thermostat!$B$4)</f>
        <v>60</v>
      </c>
      <c r="H132" s="442">
        <f>IF(H108=1,Thermostat!$B$3,Thermostat!$B$4)</f>
        <v>60</v>
      </c>
      <c r="I132" s="442">
        <f>IF(I108=1,Thermostat!$B$3,Thermostat!$B$4)</f>
        <v>60</v>
      </c>
      <c r="J132" s="442">
        <f>IF(J108=1,Thermostat!$B$3,Thermostat!$B$4)</f>
        <v>60</v>
      </c>
      <c r="K132" s="442">
        <f>IF(K108=1,Thermostat!$B$3,Thermostat!$B$4)</f>
        <v>60</v>
      </c>
      <c r="L132" s="442">
        <f>IF(L108=1,Thermostat!$B$3,Thermostat!$B$4)</f>
        <v>60</v>
      </c>
      <c r="M132" s="442">
        <f>IF(M108=1,Thermostat!$B$3,Thermostat!$B$4)</f>
        <v>60</v>
      </c>
      <c r="N132" s="442">
        <f>IF(N108=1,Thermostat!$B$3,Thermostat!$B$4)</f>
        <v>60</v>
      </c>
      <c r="O132" s="442">
        <f>IF(O108=1,Thermostat!$B$3,Thermostat!$B$4)</f>
        <v>60</v>
      </c>
      <c r="P132" s="442">
        <f>IF(P108=1,Thermostat!$B$3,Thermostat!$B$4)</f>
        <v>60</v>
      </c>
      <c r="Q132" s="442">
        <f>IF(Q108=1,Thermostat!$B$3,Thermostat!$B$4)</f>
        <v>60</v>
      </c>
      <c r="R132" s="442">
        <f>IF(R108=1,Thermostat!$B$3,Thermostat!$B$4)</f>
        <v>60</v>
      </c>
      <c r="S132" s="442">
        <f>IF(S108=1,Thermostat!$B$3,Thermostat!$B$4)</f>
        <v>60</v>
      </c>
      <c r="T132" s="442">
        <f>IF(T108=1,Thermostat!$B$3,Thermostat!$B$4)</f>
        <v>60</v>
      </c>
      <c r="U132" s="442">
        <f>IF(U108=1,Thermostat!$B$3,Thermostat!$B$4)</f>
        <v>60</v>
      </c>
      <c r="V132" s="442">
        <f>IF(V108=1,Thermostat!$B$3,Thermostat!$B$4)</f>
        <v>60</v>
      </c>
      <c r="W132" s="442">
        <f>IF(W108=1,Thermostat!$B$3,Thermostat!$B$4)</f>
        <v>60</v>
      </c>
      <c r="X132" s="442">
        <f>IF(X108=1,Thermostat!$B$3,Thermostat!$B$4)</f>
        <v>60</v>
      </c>
      <c r="Y132" s="442">
        <f>IF(Y108=1,Thermostat!$B$3,Thermostat!$B$4)</f>
        <v>60</v>
      </c>
      <c r="Z132" s="442">
        <f>IF(Z108=1,Thermostat!$B$3,Thermostat!$B$4)</f>
        <v>60</v>
      </c>
      <c r="AA132" s="442">
        <f>IF(AA108=1,Thermostat!$B$3,Thermostat!$B$4)</f>
        <v>60</v>
      </c>
      <c r="AB132" s="442">
        <f>IF(AB108=1,Thermostat!$B$3,Thermostat!$B$4)</f>
        <v>60</v>
      </c>
      <c r="AC132" s="443">
        <f>IF(AC108=1,Thermostat!$B$3,Thermostat!$B$4)</f>
        <v>60</v>
      </c>
      <c r="AD132" s="36"/>
      <c r="AE132" s="36"/>
      <c r="AF132" s="36"/>
      <c r="AG132" s="36"/>
      <c r="AH132" s="36"/>
      <c r="AI132" s="36"/>
      <c r="AJ132" s="36"/>
    </row>
    <row r="133" spans="1:36" customFormat="1" ht="23.4" customHeight="1" x14ac:dyDescent="0.3">
      <c r="A133" s="589"/>
      <c r="B133" s="580"/>
      <c r="C133" s="580"/>
      <c r="D133" s="586"/>
      <c r="E133" s="150" t="s">
        <v>653</v>
      </c>
      <c r="F133" s="430">
        <f>IF(F114=1,Thermostat!$B$3,Thermostat!$B$4)</f>
        <v>60</v>
      </c>
      <c r="G133" s="430">
        <f>IF(G114=1,Thermostat!$B$3,Thermostat!$B$4)</f>
        <v>60</v>
      </c>
      <c r="H133" s="430">
        <f>IF(H114=1,Thermostat!$B$3,Thermostat!$B$4)</f>
        <v>60</v>
      </c>
      <c r="I133" s="430">
        <f>IF(I114=1,Thermostat!$B$3,Thermostat!$B$4)</f>
        <v>60</v>
      </c>
      <c r="J133" s="430">
        <f>IF(J114=1,Thermostat!$B$3,Thermostat!$B$4)</f>
        <v>60</v>
      </c>
      <c r="K133" s="430">
        <f>IF(K114=1,Thermostat!$B$3,Thermostat!$B$4)</f>
        <v>60</v>
      </c>
      <c r="L133" s="430">
        <f>IF(L114=1,Thermostat!$B$3,Thermostat!$B$4)</f>
        <v>60</v>
      </c>
      <c r="M133" s="430">
        <f>IF(M114=1,Thermostat!$B$3,Thermostat!$B$4)</f>
        <v>70</v>
      </c>
      <c r="N133" s="430">
        <f>IF(N114=1,Thermostat!$B$3,Thermostat!$B$4)</f>
        <v>70</v>
      </c>
      <c r="O133" s="430">
        <f>IF(O114=1,Thermostat!$B$3,Thermostat!$B$4)</f>
        <v>70</v>
      </c>
      <c r="P133" s="430">
        <f>IF(P114=1,Thermostat!$B$3,Thermostat!$B$4)</f>
        <v>70</v>
      </c>
      <c r="Q133" s="430">
        <f>IF(Q114=1,Thermostat!$B$3,Thermostat!$B$4)</f>
        <v>70</v>
      </c>
      <c r="R133" s="430">
        <f>IF(R114=1,Thermostat!$B$3,Thermostat!$B$4)</f>
        <v>70</v>
      </c>
      <c r="S133" s="430">
        <f>IF(S114=1,Thermostat!$B$3,Thermostat!$B$4)</f>
        <v>70</v>
      </c>
      <c r="T133" s="430">
        <f>IF(T114=1,Thermostat!$B$3,Thermostat!$B$4)</f>
        <v>70</v>
      </c>
      <c r="U133" s="430">
        <f>IF(U114=1,Thermostat!$B$3,Thermostat!$B$4)</f>
        <v>60</v>
      </c>
      <c r="V133" s="430">
        <f>IF(V114=1,Thermostat!$B$3,Thermostat!$B$4)</f>
        <v>60</v>
      </c>
      <c r="W133" s="430">
        <f>IF(W114=1,Thermostat!$B$3,Thermostat!$B$4)</f>
        <v>60</v>
      </c>
      <c r="X133" s="430">
        <f>IF(X114=1,Thermostat!$B$3,Thermostat!$B$4)</f>
        <v>60</v>
      </c>
      <c r="Y133" s="430">
        <f>IF(Y114=1,Thermostat!$B$3,Thermostat!$B$4)</f>
        <v>60</v>
      </c>
      <c r="Z133" s="430">
        <f>IF(Z114=1,Thermostat!$B$3,Thermostat!$B$4)</f>
        <v>60</v>
      </c>
      <c r="AA133" s="430">
        <f>IF(AA114=1,Thermostat!$B$3,Thermostat!$B$4)</f>
        <v>60</v>
      </c>
      <c r="AB133" s="430">
        <f>IF(AB114=1,Thermostat!$B$3,Thermostat!$B$4)</f>
        <v>60</v>
      </c>
      <c r="AC133" s="444">
        <f>IF(AC114=1,Thermostat!$B$3,Thermostat!$B$4)</f>
        <v>60</v>
      </c>
      <c r="AD133" s="36"/>
      <c r="AE133" s="36"/>
      <c r="AF133" s="36"/>
      <c r="AG133" s="36"/>
      <c r="AH133" s="36"/>
      <c r="AI133" s="36"/>
      <c r="AJ133" s="36"/>
    </row>
    <row r="134" spans="1:36" customFormat="1" ht="23.4" customHeight="1" thickBot="1" x14ac:dyDescent="0.35">
      <c r="A134" s="590"/>
      <c r="B134" s="581"/>
      <c r="C134" s="581"/>
      <c r="D134" s="587"/>
      <c r="E134" s="151" t="s">
        <v>654</v>
      </c>
      <c r="F134" s="431">
        <f>IF(F115=1,Thermostat!$B$3,Thermostat!$B$4)</f>
        <v>60</v>
      </c>
      <c r="G134" s="431">
        <f>IF(G115=1,Thermostat!$B$3,Thermostat!$B$4)</f>
        <v>60</v>
      </c>
      <c r="H134" s="431">
        <f>IF(H115=1,Thermostat!$B$3,Thermostat!$B$4)</f>
        <v>60</v>
      </c>
      <c r="I134" s="431">
        <f>IF(I115=1,Thermostat!$B$3,Thermostat!$B$4)</f>
        <v>60</v>
      </c>
      <c r="J134" s="431">
        <f>IF(J115=1,Thermostat!$B$3,Thermostat!$B$4)</f>
        <v>60</v>
      </c>
      <c r="K134" s="431">
        <f>IF(K115=1,Thermostat!$B$3,Thermostat!$B$4)</f>
        <v>60</v>
      </c>
      <c r="L134" s="431">
        <f>IF(L115=1,Thermostat!$B$3,Thermostat!$B$4)</f>
        <v>60</v>
      </c>
      <c r="M134" s="431">
        <f>IF(M115=1,Thermostat!$B$3,Thermostat!$B$4)</f>
        <v>70</v>
      </c>
      <c r="N134" s="431">
        <f>IF(N115=1,Thermostat!$B$3,Thermostat!$B$4)</f>
        <v>70</v>
      </c>
      <c r="O134" s="431">
        <f>IF(O115=1,Thermostat!$B$3,Thermostat!$B$4)</f>
        <v>70</v>
      </c>
      <c r="P134" s="431">
        <f>IF(P115=1,Thermostat!$B$3,Thermostat!$B$4)</f>
        <v>70</v>
      </c>
      <c r="Q134" s="431">
        <f>IF(Q115=1,Thermostat!$B$3,Thermostat!$B$4)</f>
        <v>70</v>
      </c>
      <c r="R134" s="431">
        <f>IF(R115=1,Thermostat!$B$3,Thermostat!$B$4)</f>
        <v>70</v>
      </c>
      <c r="S134" s="431">
        <f>IF(S115=1,Thermostat!$B$3,Thermostat!$B$4)</f>
        <v>70</v>
      </c>
      <c r="T134" s="431">
        <f>IF(T115=1,Thermostat!$B$3,Thermostat!$B$4)</f>
        <v>70</v>
      </c>
      <c r="U134" s="431">
        <f>IF(U115=1,Thermostat!$B$3,Thermostat!$B$4)</f>
        <v>70</v>
      </c>
      <c r="V134" s="431">
        <f>IF(V115=1,Thermostat!$B$3,Thermostat!$B$4)</f>
        <v>70</v>
      </c>
      <c r="W134" s="431">
        <f>IF(W115=1,Thermostat!$B$3,Thermostat!$B$4)</f>
        <v>70</v>
      </c>
      <c r="X134" s="431">
        <f>IF(X115=1,Thermostat!$B$3,Thermostat!$B$4)</f>
        <v>60</v>
      </c>
      <c r="Y134" s="431">
        <f>IF(Y115=1,Thermostat!$B$3,Thermostat!$B$4)</f>
        <v>60</v>
      </c>
      <c r="Z134" s="431">
        <f>IF(Z115=1,Thermostat!$B$3,Thermostat!$B$4)</f>
        <v>60</v>
      </c>
      <c r="AA134" s="431">
        <f>IF(AA115=1,Thermostat!$B$3,Thermostat!$B$4)</f>
        <v>60</v>
      </c>
      <c r="AB134" s="431">
        <f>IF(AB115=1,Thermostat!$B$3,Thermostat!$B$4)</f>
        <v>60</v>
      </c>
      <c r="AC134" s="445">
        <f>IF(AC115=1,Thermostat!$B$3,Thermostat!$B$4)</f>
        <v>60</v>
      </c>
      <c r="AD134" s="36"/>
      <c r="AE134" s="36"/>
      <c r="AF134" s="36"/>
      <c r="AG134" s="36"/>
      <c r="AH134" s="36"/>
      <c r="AI134" s="36"/>
      <c r="AJ134" s="36"/>
    </row>
    <row r="135" spans="1:36" customFormat="1" ht="24.6" customHeight="1" x14ac:dyDescent="0.3">
      <c r="A135" s="588" t="s">
        <v>668</v>
      </c>
      <c r="B135" s="579" t="s">
        <v>201</v>
      </c>
      <c r="C135" s="580" t="s">
        <v>663</v>
      </c>
      <c r="D135" s="617" t="s">
        <v>662</v>
      </c>
      <c r="E135" s="149" t="s">
        <v>652</v>
      </c>
      <c r="F135" s="148">
        <f>IF(F108=1,Thermostat!$B$5,Thermostat!$B$6)</f>
        <v>85</v>
      </c>
      <c r="G135" s="148">
        <f>IF(G108=1,Thermostat!$B$5,Thermostat!$B$6)</f>
        <v>85</v>
      </c>
      <c r="H135" s="148">
        <f>IF(H108=1,Thermostat!$B$5,Thermostat!$B$6)</f>
        <v>85</v>
      </c>
      <c r="I135" s="148">
        <f>IF(I108=1,Thermostat!$B$5,Thermostat!$B$6)</f>
        <v>85</v>
      </c>
      <c r="J135" s="148">
        <f>IF(J108=1,Thermostat!$B$5,Thermostat!$B$6)</f>
        <v>85</v>
      </c>
      <c r="K135" s="148">
        <f>IF(K108=1,Thermostat!$B$5,Thermostat!$B$6)</f>
        <v>85</v>
      </c>
      <c r="L135" s="148">
        <f>IF(L108=1,Thermostat!$B$5,Thermostat!$B$6)</f>
        <v>85</v>
      </c>
      <c r="M135" s="148">
        <f>IF(M108=1,Thermostat!$B$5,Thermostat!$B$6)</f>
        <v>85</v>
      </c>
      <c r="N135" s="148">
        <f>IF(N108=1,Thermostat!$B$5,Thermostat!$B$6)</f>
        <v>85</v>
      </c>
      <c r="O135" s="148">
        <f>IF(O108=1,Thermostat!$B$5,Thermostat!$B$6)</f>
        <v>85</v>
      </c>
      <c r="P135" s="148">
        <f>IF(P108=1,Thermostat!$B$5,Thermostat!$B$6)</f>
        <v>85</v>
      </c>
      <c r="Q135" s="148">
        <f>IF(Q108=1,Thermostat!$B$5,Thermostat!$B$6)</f>
        <v>85</v>
      </c>
      <c r="R135" s="148">
        <f>IF(R108=1,Thermostat!$B$5,Thermostat!$B$6)</f>
        <v>85</v>
      </c>
      <c r="S135" s="148">
        <f>IF(S108=1,Thermostat!$B$5,Thermostat!$B$6)</f>
        <v>85</v>
      </c>
      <c r="T135" s="148">
        <f>IF(T108=1,Thermostat!$B$5,Thermostat!$B$6)</f>
        <v>85</v>
      </c>
      <c r="U135" s="148">
        <f>IF(U108=1,Thermostat!$B$5,Thermostat!$B$6)</f>
        <v>85</v>
      </c>
      <c r="V135" s="148">
        <f>IF(V108=1,Thermostat!$B$5,Thermostat!$B$6)</f>
        <v>85</v>
      </c>
      <c r="W135" s="148">
        <f>IF(W108=1,Thermostat!$B$5,Thermostat!$B$6)</f>
        <v>85</v>
      </c>
      <c r="X135" s="148">
        <f>IF(X108=1,Thermostat!$B$5,Thermostat!$B$6)</f>
        <v>85</v>
      </c>
      <c r="Y135" s="148">
        <f>IF(Y108=1,Thermostat!$B$5,Thermostat!$B$6)</f>
        <v>85</v>
      </c>
      <c r="Z135" s="148">
        <f>IF(Z108=1,Thermostat!$B$5,Thermostat!$B$6)</f>
        <v>85</v>
      </c>
      <c r="AA135" s="148">
        <f>IF(AA108=1,Thermostat!$B$5,Thermostat!$B$6)</f>
        <v>85</v>
      </c>
      <c r="AB135" s="148">
        <f>IF(AB108=1,Thermostat!$B$5,Thermostat!$B$6)</f>
        <v>85</v>
      </c>
      <c r="AC135" s="148">
        <f>IF(AC108=1,Thermostat!$B$5,Thermostat!$B$6)</f>
        <v>85</v>
      </c>
      <c r="AD135" s="36"/>
      <c r="AE135" s="36"/>
      <c r="AF135" s="36"/>
      <c r="AG135" s="36"/>
      <c r="AH135" s="36"/>
      <c r="AI135" s="36"/>
      <c r="AJ135" s="36"/>
    </row>
    <row r="136" spans="1:36" customFormat="1" ht="25.2" customHeight="1" x14ac:dyDescent="0.3">
      <c r="A136" s="589"/>
      <c r="B136" s="580"/>
      <c r="C136" s="580"/>
      <c r="D136" s="586"/>
      <c r="E136" s="150" t="s">
        <v>653</v>
      </c>
      <c r="F136" s="430">
        <f>IF(F114=1,Thermostat!$B$5,Thermostat!$B$6)</f>
        <v>85</v>
      </c>
      <c r="G136" s="430">
        <f>IF(G114=1,Thermostat!$B$5,Thermostat!$B$6)</f>
        <v>85</v>
      </c>
      <c r="H136" s="430">
        <f>IF(H114=1,Thermostat!$B$5,Thermostat!$B$6)</f>
        <v>85</v>
      </c>
      <c r="I136" s="430">
        <f>IF(I114=1,Thermostat!$B$5,Thermostat!$B$6)</f>
        <v>85</v>
      </c>
      <c r="J136" s="430">
        <f>IF(J114=1,Thermostat!$B$5,Thermostat!$B$6)</f>
        <v>85</v>
      </c>
      <c r="K136" s="430">
        <f>IF(K114=1,Thermostat!$B$5,Thermostat!$B$6)</f>
        <v>85</v>
      </c>
      <c r="L136" s="430">
        <f>IF(L114=1,Thermostat!$B$5,Thermostat!$B$6)</f>
        <v>85</v>
      </c>
      <c r="M136" s="430">
        <f>IF(M114=1,Thermostat!$B$5,Thermostat!$B$6)</f>
        <v>75</v>
      </c>
      <c r="N136" s="430">
        <f>IF(N114=1,Thermostat!$B$5,Thermostat!$B$6)</f>
        <v>75</v>
      </c>
      <c r="O136" s="430">
        <f>IF(O114=1,Thermostat!$B$5,Thermostat!$B$6)</f>
        <v>75</v>
      </c>
      <c r="P136" s="430">
        <f>IF(P114=1,Thermostat!$B$5,Thermostat!$B$6)</f>
        <v>75</v>
      </c>
      <c r="Q136" s="430">
        <f>IF(Q114=1,Thermostat!$B$5,Thermostat!$B$6)</f>
        <v>75</v>
      </c>
      <c r="R136" s="430">
        <f>IF(R114=1,Thermostat!$B$5,Thermostat!$B$6)</f>
        <v>75</v>
      </c>
      <c r="S136" s="430">
        <f>IF(S114=1,Thermostat!$B$5,Thermostat!$B$6)</f>
        <v>75</v>
      </c>
      <c r="T136" s="430">
        <f>IF(T114=1,Thermostat!$B$5,Thermostat!$B$6)</f>
        <v>75</v>
      </c>
      <c r="U136" s="430">
        <f>IF(U114=1,Thermostat!$B$5,Thermostat!$B$6)</f>
        <v>85</v>
      </c>
      <c r="V136" s="430">
        <f>IF(V114=1,Thermostat!$B$5,Thermostat!$B$6)</f>
        <v>85</v>
      </c>
      <c r="W136" s="430">
        <f>IF(W114=1,Thermostat!$B$5,Thermostat!$B$6)</f>
        <v>85</v>
      </c>
      <c r="X136" s="430">
        <f>IF(X114=1,Thermostat!$B$5,Thermostat!$B$6)</f>
        <v>85</v>
      </c>
      <c r="Y136" s="430">
        <f>IF(Y114=1,Thermostat!$B$5,Thermostat!$B$6)</f>
        <v>85</v>
      </c>
      <c r="Z136" s="430">
        <f>IF(Z114=1,Thermostat!$B$5,Thermostat!$B$6)</f>
        <v>85</v>
      </c>
      <c r="AA136" s="430">
        <f>IF(AA114=1,Thermostat!$B$5,Thermostat!$B$6)</f>
        <v>85</v>
      </c>
      <c r="AB136" s="430">
        <f>IF(AB114=1,Thermostat!$B$5,Thermostat!$B$6)</f>
        <v>85</v>
      </c>
      <c r="AC136" s="430">
        <f>IF(AC114=1,Thermostat!$B$5,Thermostat!$B$6)</f>
        <v>85</v>
      </c>
      <c r="AD136" s="36"/>
      <c r="AE136" s="36"/>
      <c r="AF136" s="36"/>
      <c r="AG136" s="36"/>
      <c r="AH136" s="36"/>
      <c r="AI136" s="36"/>
      <c r="AJ136" s="36"/>
    </row>
    <row r="137" spans="1:36" customFormat="1" ht="25.2" customHeight="1" thickBot="1" x14ac:dyDescent="0.35">
      <c r="A137" s="590"/>
      <c r="B137" s="581"/>
      <c r="C137" s="581"/>
      <c r="D137" s="587"/>
      <c r="E137" s="151" t="s">
        <v>654</v>
      </c>
      <c r="F137" s="431">
        <f>IF(F115=1,Thermostat!$B$5,Thermostat!$B$6)</f>
        <v>85</v>
      </c>
      <c r="G137" s="431">
        <f>IF(G115=1,Thermostat!$B$5,Thermostat!$B$6)</f>
        <v>85</v>
      </c>
      <c r="H137" s="431">
        <f>IF(H115=1,Thermostat!$B$5,Thermostat!$B$6)</f>
        <v>85</v>
      </c>
      <c r="I137" s="431">
        <f>IF(I115=1,Thermostat!$B$5,Thermostat!$B$6)</f>
        <v>85</v>
      </c>
      <c r="J137" s="431">
        <f>IF(J115=1,Thermostat!$B$5,Thermostat!$B$6)</f>
        <v>85</v>
      </c>
      <c r="K137" s="431">
        <f>IF(K115=1,Thermostat!$B$5,Thermostat!$B$6)</f>
        <v>85</v>
      </c>
      <c r="L137" s="431">
        <f>IF(L115=1,Thermostat!$B$5,Thermostat!$B$6)</f>
        <v>85</v>
      </c>
      <c r="M137" s="431">
        <f>IF(M115=1,Thermostat!$B$5,Thermostat!$B$6)</f>
        <v>75</v>
      </c>
      <c r="N137" s="431">
        <f>IF(N115=1,Thermostat!$B$5,Thermostat!$B$6)</f>
        <v>75</v>
      </c>
      <c r="O137" s="431">
        <f>IF(O115=1,Thermostat!$B$5,Thermostat!$B$6)</f>
        <v>75</v>
      </c>
      <c r="P137" s="431">
        <f>IF(P115=1,Thermostat!$B$5,Thermostat!$B$6)</f>
        <v>75</v>
      </c>
      <c r="Q137" s="431">
        <f>IF(Q115=1,Thermostat!$B$5,Thermostat!$B$6)</f>
        <v>75</v>
      </c>
      <c r="R137" s="431">
        <f>IF(R115=1,Thermostat!$B$5,Thermostat!$B$6)</f>
        <v>75</v>
      </c>
      <c r="S137" s="431">
        <f>IF(S115=1,Thermostat!$B$5,Thermostat!$B$6)</f>
        <v>75</v>
      </c>
      <c r="T137" s="431">
        <f>IF(T115=1,Thermostat!$B$5,Thermostat!$B$6)</f>
        <v>75</v>
      </c>
      <c r="U137" s="431">
        <f>IF(U115=1,Thermostat!$B$5,Thermostat!$B$6)</f>
        <v>75</v>
      </c>
      <c r="V137" s="431">
        <f>IF(V115=1,Thermostat!$B$5,Thermostat!$B$6)</f>
        <v>75</v>
      </c>
      <c r="W137" s="431">
        <f>IF(W115=1,Thermostat!$B$5,Thermostat!$B$6)</f>
        <v>75</v>
      </c>
      <c r="X137" s="431">
        <f>IF(X115=1,Thermostat!$B$5,Thermostat!$B$6)</f>
        <v>85</v>
      </c>
      <c r="Y137" s="431">
        <f>IF(Y115=1,Thermostat!$B$5,Thermostat!$B$6)</f>
        <v>85</v>
      </c>
      <c r="Z137" s="431">
        <f>IF(Z115=1,Thermostat!$B$5,Thermostat!$B$6)</f>
        <v>85</v>
      </c>
      <c r="AA137" s="431">
        <f>IF(AA115=1,Thermostat!$B$5,Thermostat!$B$6)</f>
        <v>85</v>
      </c>
      <c r="AB137" s="431">
        <f>IF(AB115=1,Thermostat!$B$5,Thermostat!$B$6)</f>
        <v>85</v>
      </c>
      <c r="AC137" s="431">
        <f>IF(AC115=1,Thermostat!$B$5,Thermostat!$B$6)</f>
        <v>85</v>
      </c>
      <c r="AD137" s="36"/>
      <c r="AE137" s="36"/>
      <c r="AF137" s="36"/>
      <c r="AG137" s="36"/>
      <c r="AH137" s="36"/>
      <c r="AI137" s="36"/>
      <c r="AJ137" s="36"/>
    </row>
    <row r="138" spans="1:36" customFormat="1" ht="30" customHeight="1" x14ac:dyDescent="0.3">
      <c r="A138" s="588" t="s">
        <v>668</v>
      </c>
      <c r="B138" s="579" t="s">
        <v>201</v>
      </c>
      <c r="C138" s="618" t="s">
        <v>665</v>
      </c>
      <c r="D138" s="585" t="s">
        <v>662</v>
      </c>
      <c r="E138" s="149" t="s">
        <v>652</v>
      </c>
      <c r="F138" s="144">
        <v>0</v>
      </c>
      <c r="G138" s="144">
        <v>0</v>
      </c>
      <c r="H138" s="144">
        <v>0</v>
      </c>
      <c r="I138" s="144">
        <v>0</v>
      </c>
      <c r="J138" s="144">
        <v>0</v>
      </c>
      <c r="K138" s="144">
        <v>0</v>
      </c>
      <c r="L138" s="144">
        <v>1</v>
      </c>
      <c r="M138" s="144">
        <v>1</v>
      </c>
      <c r="N138" s="144">
        <v>1</v>
      </c>
      <c r="O138" s="144">
        <v>1</v>
      </c>
      <c r="P138" s="144">
        <v>1</v>
      </c>
      <c r="Q138" s="144">
        <v>1</v>
      </c>
      <c r="R138" s="144">
        <v>1</v>
      </c>
      <c r="S138" s="144">
        <v>1</v>
      </c>
      <c r="T138" s="144">
        <v>1</v>
      </c>
      <c r="U138" s="144">
        <v>1</v>
      </c>
      <c r="V138" s="144">
        <v>1</v>
      </c>
      <c r="W138" s="144">
        <v>1</v>
      </c>
      <c r="X138" s="144">
        <v>1</v>
      </c>
      <c r="Y138" s="144">
        <v>1</v>
      </c>
      <c r="Z138" s="144">
        <v>0</v>
      </c>
      <c r="AA138" s="144">
        <v>0</v>
      </c>
      <c r="AB138" s="144">
        <v>0</v>
      </c>
      <c r="AC138" s="145">
        <v>0</v>
      </c>
      <c r="AD138" s="36"/>
      <c r="AE138" s="36"/>
      <c r="AF138" s="36"/>
      <c r="AG138" s="36"/>
      <c r="AH138" s="36"/>
      <c r="AI138" s="36"/>
      <c r="AJ138" s="36"/>
    </row>
    <row r="139" spans="1:36" customFormat="1" ht="30" customHeight="1" x14ac:dyDescent="0.3">
      <c r="A139" s="589"/>
      <c r="B139" s="580"/>
      <c r="C139" s="595"/>
      <c r="D139" s="586"/>
      <c r="E139" s="150" t="s">
        <v>653</v>
      </c>
      <c r="F139" s="157">
        <v>0</v>
      </c>
      <c r="G139" s="157">
        <v>0</v>
      </c>
      <c r="H139" s="157">
        <v>0</v>
      </c>
      <c r="I139" s="157">
        <v>0</v>
      </c>
      <c r="J139" s="157">
        <v>0</v>
      </c>
      <c r="K139" s="157">
        <v>0</v>
      </c>
      <c r="L139" s="157">
        <v>0</v>
      </c>
      <c r="M139" s="157">
        <v>0</v>
      </c>
      <c r="N139" s="157">
        <v>0</v>
      </c>
      <c r="O139" s="157">
        <v>0</v>
      </c>
      <c r="P139" s="157">
        <v>0</v>
      </c>
      <c r="Q139" s="157">
        <v>0</v>
      </c>
      <c r="R139" s="157">
        <v>0</v>
      </c>
      <c r="S139" s="157">
        <v>0</v>
      </c>
      <c r="T139" s="157">
        <v>0</v>
      </c>
      <c r="U139" s="157">
        <v>0</v>
      </c>
      <c r="V139" s="157">
        <v>0</v>
      </c>
      <c r="W139" s="157">
        <v>0</v>
      </c>
      <c r="X139" s="157">
        <v>0</v>
      </c>
      <c r="Y139" s="157">
        <v>0</v>
      </c>
      <c r="Z139" s="157">
        <v>0</v>
      </c>
      <c r="AA139" s="157">
        <v>0</v>
      </c>
      <c r="AB139" s="157">
        <v>0</v>
      </c>
      <c r="AC139" s="158">
        <v>0</v>
      </c>
      <c r="AD139" s="36"/>
      <c r="AE139" s="36"/>
      <c r="AF139" s="36"/>
      <c r="AG139" s="36"/>
      <c r="AH139" s="36"/>
      <c r="AI139" s="36"/>
      <c r="AJ139" s="36"/>
    </row>
    <row r="140" spans="1:36" customFormat="1" ht="30" customHeight="1" thickBot="1" x14ac:dyDescent="0.35">
      <c r="A140" s="590"/>
      <c r="B140" s="581"/>
      <c r="C140" s="596"/>
      <c r="D140" s="587"/>
      <c r="E140" s="151" t="s">
        <v>654</v>
      </c>
      <c r="F140" s="159">
        <v>0</v>
      </c>
      <c r="G140" s="159">
        <v>0</v>
      </c>
      <c r="H140" s="159">
        <v>0</v>
      </c>
      <c r="I140" s="159">
        <v>0</v>
      </c>
      <c r="J140" s="159">
        <v>0</v>
      </c>
      <c r="K140" s="159">
        <v>0</v>
      </c>
      <c r="L140" s="159">
        <v>0</v>
      </c>
      <c r="M140" s="159">
        <v>0</v>
      </c>
      <c r="N140" s="159">
        <v>0</v>
      </c>
      <c r="O140" s="159">
        <v>0</v>
      </c>
      <c r="P140" s="159">
        <v>0</v>
      </c>
      <c r="Q140" s="159">
        <v>0</v>
      </c>
      <c r="R140" s="159">
        <v>0</v>
      </c>
      <c r="S140" s="159">
        <v>0</v>
      </c>
      <c r="T140" s="159">
        <v>0</v>
      </c>
      <c r="U140" s="159">
        <v>0</v>
      </c>
      <c r="V140" s="159">
        <v>0</v>
      </c>
      <c r="W140" s="159">
        <v>0</v>
      </c>
      <c r="X140" s="159">
        <v>0</v>
      </c>
      <c r="Y140" s="159">
        <v>0</v>
      </c>
      <c r="Z140" s="159">
        <v>0</v>
      </c>
      <c r="AA140" s="159">
        <v>0</v>
      </c>
      <c r="AB140" s="159">
        <v>0</v>
      </c>
      <c r="AC140" s="160">
        <v>0</v>
      </c>
      <c r="AD140" s="36"/>
      <c r="AE140" s="36"/>
      <c r="AF140" s="36"/>
      <c r="AG140" s="36"/>
      <c r="AH140" s="36"/>
      <c r="AI140" s="36"/>
      <c r="AJ140" s="36"/>
    </row>
    <row r="141" spans="1:36" customFormat="1" ht="26.4" customHeight="1" x14ac:dyDescent="0.3">
      <c r="A141" s="588" t="s">
        <v>668</v>
      </c>
      <c r="B141" s="579" t="s">
        <v>201</v>
      </c>
      <c r="C141" s="594" t="s">
        <v>281</v>
      </c>
      <c r="D141" s="617" t="s">
        <v>662</v>
      </c>
      <c r="E141" s="149" t="s">
        <v>652</v>
      </c>
      <c r="F141" s="144">
        <v>1</v>
      </c>
      <c r="G141" s="144">
        <v>1</v>
      </c>
      <c r="H141" s="144">
        <v>1</v>
      </c>
      <c r="I141" s="144">
        <v>1</v>
      </c>
      <c r="J141" s="144">
        <v>1</v>
      </c>
      <c r="K141" s="144">
        <v>1</v>
      </c>
      <c r="L141" s="144">
        <v>0.25</v>
      </c>
      <c r="M141" s="144">
        <v>0.25</v>
      </c>
      <c r="N141" s="144">
        <v>0.25</v>
      </c>
      <c r="O141" s="144">
        <v>0.25</v>
      </c>
      <c r="P141" s="144">
        <v>0.25</v>
      </c>
      <c r="Q141" s="144">
        <v>0.25</v>
      </c>
      <c r="R141" s="144">
        <v>0.25</v>
      </c>
      <c r="S141" s="144">
        <v>0.25</v>
      </c>
      <c r="T141" s="144">
        <v>0.25</v>
      </c>
      <c r="U141" s="144">
        <v>0.25</v>
      </c>
      <c r="V141" s="144">
        <v>0.25</v>
      </c>
      <c r="W141" s="144">
        <v>0.25</v>
      </c>
      <c r="X141" s="144">
        <v>1</v>
      </c>
      <c r="Y141" s="144">
        <v>1</v>
      </c>
      <c r="Z141" s="144">
        <v>1</v>
      </c>
      <c r="AA141" s="144">
        <v>1</v>
      </c>
      <c r="AB141" s="144">
        <v>1</v>
      </c>
      <c r="AC141" s="145">
        <v>1</v>
      </c>
      <c r="AD141" s="36"/>
      <c r="AE141" s="36"/>
      <c r="AF141" s="36"/>
      <c r="AG141" s="36"/>
      <c r="AH141" s="36"/>
      <c r="AI141" s="36"/>
      <c r="AJ141" s="36"/>
    </row>
    <row r="142" spans="1:36" customFormat="1" ht="26.4" customHeight="1" x14ac:dyDescent="0.3">
      <c r="A142" s="589"/>
      <c r="B142" s="580"/>
      <c r="C142" s="595"/>
      <c r="D142" s="586"/>
      <c r="E142" s="150" t="s">
        <v>653</v>
      </c>
      <c r="F142" s="157">
        <v>1</v>
      </c>
      <c r="G142" s="157">
        <v>1</v>
      </c>
      <c r="H142" s="157">
        <v>1</v>
      </c>
      <c r="I142" s="157">
        <v>1</v>
      </c>
      <c r="J142" s="157">
        <v>1</v>
      </c>
      <c r="K142" s="157">
        <v>1</v>
      </c>
      <c r="L142" s="157">
        <v>1</v>
      </c>
      <c r="M142" s="157">
        <v>1</v>
      </c>
      <c r="N142" s="157">
        <v>1</v>
      </c>
      <c r="O142" s="157">
        <v>1</v>
      </c>
      <c r="P142" s="157">
        <v>1</v>
      </c>
      <c r="Q142" s="157">
        <v>1</v>
      </c>
      <c r="R142" s="157">
        <v>1</v>
      </c>
      <c r="S142" s="157">
        <v>1</v>
      </c>
      <c r="T142" s="157">
        <v>1</v>
      </c>
      <c r="U142" s="157">
        <v>1</v>
      </c>
      <c r="V142" s="157">
        <v>1</v>
      </c>
      <c r="W142" s="157">
        <v>1</v>
      </c>
      <c r="X142" s="157">
        <v>1</v>
      </c>
      <c r="Y142" s="157">
        <v>1</v>
      </c>
      <c r="Z142" s="157">
        <v>1</v>
      </c>
      <c r="AA142" s="157">
        <v>1</v>
      </c>
      <c r="AB142" s="157">
        <v>1</v>
      </c>
      <c r="AC142" s="158">
        <v>1</v>
      </c>
      <c r="AD142" s="36"/>
      <c r="AE142" s="36"/>
      <c r="AF142" s="36"/>
      <c r="AG142" s="36"/>
      <c r="AH142" s="36"/>
      <c r="AI142" s="36"/>
      <c r="AJ142" s="36"/>
    </row>
    <row r="143" spans="1:36" customFormat="1" ht="26.4" customHeight="1" thickBot="1" x14ac:dyDescent="0.35">
      <c r="A143" s="590"/>
      <c r="B143" s="581"/>
      <c r="C143" s="596"/>
      <c r="D143" s="587"/>
      <c r="E143" s="151" t="s">
        <v>654</v>
      </c>
      <c r="F143" s="159">
        <v>1</v>
      </c>
      <c r="G143" s="159">
        <v>1</v>
      </c>
      <c r="H143" s="159">
        <v>1</v>
      </c>
      <c r="I143" s="159">
        <v>1</v>
      </c>
      <c r="J143" s="159">
        <v>1</v>
      </c>
      <c r="K143" s="159">
        <v>1</v>
      </c>
      <c r="L143" s="159">
        <v>1</v>
      </c>
      <c r="M143" s="159">
        <v>1</v>
      </c>
      <c r="N143" s="159">
        <v>1</v>
      </c>
      <c r="O143" s="159">
        <v>1</v>
      </c>
      <c r="P143" s="159">
        <v>1</v>
      </c>
      <c r="Q143" s="159">
        <v>1</v>
      </c>
      <c r="R143" s="159">
        <v>1</v>
      </c>
      <c r="S143" s="159">
        <v>1</v>
      </c>
      <c r="T143" s="159">
        <v>1</v>
      </c>
      <c r="U143" s="159">
        <v>1</v>
      </c>
      <c r="V143" s="159">
        <v>1</v>
      </c>
      <c r="W143" s="159">
        <v>1</v>
      </c>
      <c r="X143" s="159">
        <v>1</v>
      </c>
      <c r="Y143" s="159">
        <v>1</v>
      </c>
      <c r="Z143" s="159">
        <v>1</v>
      </c>
      <c r="AA143" s="159">
        <v>1</v>
      </c>
      <c r="AB143" s="159">
        <v>1</v>
      </c>
      <c r="AC143" s="160">
        <v>1</v>
      </c>
      <c r="AD143" s="36"/>
      <c r="AE143" s="36"/>
      <c r="AF143" s="36"/>
      <c r="AG143" s="36"/>
      <c r="AH143" s="36"/>
      <c r="AI143" s="36"/>
      <c r="AJ143" s="36"/>
    </row>
    <row r="144" spans="1:36" customFormat="1" ht="26.4" customHeight="1" x14ac:dyDescent="0.3">
      <c r="A144" s="588" t="s">
        <v>668</v>
      </c>
      <c r="B144" s="579" t="s">
        <v>201</v>
      </c>
      <c r="C144" s="594" t="s">
        <v>659</v>
      </c>
      <c r="D144" s="617" t="s">
        <v>651</v>
      </c>
      <c r="E144" s="149" t="s">
        <v>652</v>
      </c>
      <c r="F144" s="144">
        <v>0.9</v>
      </c>
      <c r="G144" s="144">
        <v>0.9</v>
      </c>
      <c r="H144" s="144">
        <v>0.9</v>
      </c>
      <c r="I144" s="144">
        <v>0.9</v>
      </c>
      <c r="J144" s="144">
        <v>0.9</v>
      </c>
      <c r="K144" s="144">
        <v>0.9</v>
      </c>
      <c r="L144" s="144">
        <v>0.9</v>
      </c>
      <c r="M144" s="144">
        <v>0.9</v>
      </c>
      <c r="N144" s="144">
        <v>0.9</v>
      </c>
      <c r="O144" s="144">
        <v>0.9</v>
      </c>
      <c r="P144" s="144">
        <v>0.9</v>
      </c>
      <c r="Q144" s="144">
        <v>0.9</v>
      </c>
      <c r="R144" s="144">
        <v>0.9</v>
      </c>
      <c r="S144" s="144">
        <v>0.9</v>
      </c>
      <c r="T144" s="144">
        <v>0.9</v>
      </c>
      <c r="U144" s="144">
        <v>0.9</v>
      </c>
      <c r="V144" s="144">
        <v>0.9</v>
      </c>
      <c r="W144" s="144">
        <v>0.9</v>
      </c>
      <c r="X144" s="144">
        <v>0.9</v>
      </c>
      <c r="Y144" s="144">
        <v>0.9</v>
      </c>
      <c r="Z144" s="144">
        <v>0.9</v>
      </c>
      <c r="AA144" s="144">
        <v>0.9</v>
      </c>
      <c r="AB144" s="144">
        <v>0.9</v>
      </c>
      <c r="AC144" s="145">
        <v>0.9</v>
      </c>
      <c r="AD144" s="36"/>
      <c r="AE144" s="36"/>
      <c r="AF144" s="36"/>
      <c r="AG144" s="36"/>
      <c r="AH144" s="36"/>
      <c r="AI144" s="36"/>
      <c r="AJ144" s="36"/>
    </row>
    <row r="145" spans="1:36" customFormat="1" ht="26.4" customHeight="1" x14ac:dyDescent="0.3">
      <c r="A145" s="589"/>
      <c r="B145" s="580"/>
      <c r="C145" s="595"/>
      <c r="D145" s="586"/>
      <c r="E145" s="150" t="s">
        <v>653</v>
      </c>
      <c r="F145" s="157">
        <v>0.9</v>
      </c>
      <c r="G145" s="157">
        <v>0.9</v>
      </c>
      <c r="H145" s="157">
        <v>0.9</v>
      </c>
      <c r="I145" s="157">
        <v>0.9</v>
      </c>
      <c r="J145" s="157">
        <v>0.9</v>
      </c>
      <c r="K145" s="157">
        <v>0.9</v>
      </c>
      <c r="L145" s="157">
        <v>0.9</v>
      </c>
      <c r="M145" s="157">
        <v>0.9</v>
      </c>
      <c r="N145" s="157">
        <v>0.9</v>
      </c>
      <c r="O145" s="157">
        <v>0.9</v>
      </c>
      <c r="P145" s="157">
        <v>0.9</v>
      </c>
      <c r="Q145" s="157">
        <v>0.9</v>
      </c>
      <c r="R145" s="157">
        <v>0.9</v>
      </c>
      <c r="S145" s="157">
        <v>0.9</v>
      </c>
      <c r="T145" s="157">
        <v>0.9</v>
      </c>
      <c r="U145" s="157">
        <v>0.9</v>
      </c>
      <c r="V145" s="157">
        <v>0.9</v>
      </c>
      <c r="W145" s="157">
        <v>0.9</v>
      </c>
      <c r="X145" s="157">
        <v>0.9</v>
      </c>
      <c r="Y145" s="157">
        <v>0.9</v>
      </c>
      <c r="Z145" s="157">
        <v>0.9</v>
      </c>
      <c r="AA145" s="157">
        <v>0.9</v>
      </c>
      <c r="AB145" s="157">
        <v>0.9</v>
      </c>
      <c r="AC145" s="158">
        <v>0.9</v>
      </c>
      <c r="AD145" s="36"/>
      <c r="AE145" s="36"/>
      <c r="AF145" s="36"/>
      <c r="AG145" s="36"/>
      <c r="AH145" s="36"/>
      <c r="AI145" s="36"/>
      <c r="AJ145" s="36"/>
    </row>
    <row r="146" spans="1:36" customFormat="1" ht="26.4" customHeight="1" thickBot="1" x14ac:dyDescent="0.35">
      <c r="A146" s="590"/>
      <c r="B146" s="581"/>
      <c r="C146" s="596"/>
      <c r="D146" s="587"/>
      <c r="E146" s="151" t="s">
        <v>654</v>
      </c>
      <c r="F146" s="159">
        <v>0.9</v>
      </c>
      <c r="G146" s="159">
        <v>0.9</v>
      </c>
      <c r="H146" s="159">
        <v>0.9</v>
      </c>
      <c r="I146" s="159">
        <v>0.9</v>
      </c>
      <c r="J146" s="159">
        <v>0.9</v>
      </c>
      <c r="K146" s="159">
        <v>0.9</v>
      </c>
      <c r="L146" s="159">
        <v>0.9</v>
      </c>
      <c r="M146" s="159">
        <v>0.9</v>
      </c>
      <c r="N146" s="159">
        <v>0.9</v>
      </c>
      <c r="O146" s="159">
        <v>0.9</v>
      </c>
      <c r="P146" s="159">
        <v>0.9</v>
      </c>
      <c r="Q146" s="159">
        <v>0.9</v>
      </c>
      <c r="R146" s="159">
        <v>0.9</v>
      </c>
      <c r="S146" s="159">
        <v>0.9</v>
      </c>
      <c r="T146" s="159">
        <v>0.9</v>
      </c>
      <c r="U146" s="159">
        <v>0.9</v>
      </c>
      <c r="V146" s="159">
        <v>0.9</v>
      </c>
      <c r="W146" s="159">
        <v>0.9</v>
      </c>
      <c r="X146" s="159">
        <v>0.9</v>
      </c>
      <c r="Y146" s="159">
        <v>0.9</v>
      </c>
      <c r="Z146" s="159">
        <v>0.9</v>
      </c>
      <c r="AA146" s="159">
        <v>0.9</v>
      </c>
      <c r="AB146" s="159">
        <v>0.9</v>
      </c>
      <c r="AC146" s="160">
        <v>0.9</v>
      </c>
      <c r="AD146" s="36"/>
      <c r="AE146" s="36"/>
      <c r="AF146" s="36"/>
      <c r="AG146" s="36"/>
      <c r="AH146" s="36"/>
      <c r="AI146" s="36"/>
      <c r="AJ146" s="36"/>
    </row>
    <row r="147" spans="1:36" customFormat="1" ht="26.4" customHeight="1" x14ac:dyDescent="0.3">
      <c r="A147" s="588" t="s">
        <v>668</v>
      </c>
      <c r="B147" s="579" t="s">
        <v>201</v>
      </c>
      <c r="C147" s="594" t="s">
        <v>657</v>
      </c>
      <c r="D147" s="617" t="s">
        <v>651</v>
      </c>
      <c r="E147" s="149" t="s">
        <v>652</v>
      </c>
      <c r="F147" s="144">
        <v>0.05</v>
      </c>
      <c r="G147" s="144">
        <v>0.05</v>
      </c>
      <c r="H147" s="144">
        <v>0.05</v>
      </c>
      <c r="I147" s="144">
        <v>0.05</v>
      </c>
      <c r="J147" s="144">
        <v>0.05</v>
      </c>
      <c r="K147" s="144">
        <v>0.05</v>
      </c>
      <c r="L147" s="144">
        <v>0.05</v>
      </c>
      <c r="M147" s="144">
        <v>0.1</v>
      </c>
      <c r="N147" s="144">
        <v>0.34</v>
      </c>
      <c r="O147" s="144">
        <v>0.6</v>
      </c>
      <c r="P147" s="144">
        <v>0.63</v>
      </c>
      <c r="Q147" s="144">
        <v>0.72</v>
      </c>
      <c r="R147" s="144">
        <v>0.79</v>
      </c>
      <c r="S147" s="144">
        <v>0.83</v>
      </c>
      <c r="T147" s="144">
        <v>0.61</v>
      </c>
      <c r="U147" s="144">
        <v>0.65</v>
      </c>
      <c r="V147" s="144">
        <v>0.1</v>
      </c>
      <c r="W147" s="144">
        <v>0.1</v>
      </c>
      <c r="X147" s="144">
        <v>0.19</v>
      </c>
      <c r="Y147" s="144">
        <v>0.25</v>
      </c>
      <c r="Z147" s="144">
        <v>0.22</v>
      </c>
      <c r="AA147" s="144">
        <v>0.22</v>
      </c>
      <c r="AB147" s="144">
        <v>0.12</v>
      </c>
      <c r="AC147" s="145">
        <v>0.09</v>
      </c>
      <c r="AD147" s="36"/>
      <c r="AE147" s="36"/>
      <c r="AF147" s="36"/>
      <c r="AG147" s="36"/>
      <c r="AH147" s="36"/>
      <c r="AI147" s="36"/>
      <c r="AJ147" s="36"/>
    </row>
    <row r="148" spans="1:36" customFormat="1" ht="26.4" customHeight="1" x14ac:dyDescent="0.3">
      <c r="A148" s="589"/>
      <c r="B148" s="580"/>
      <c r="C148" s="595"/>
      <c r="D148" s="586"/>
      <c r="E148" s="150" t="s">
        <v>653</v>
      </c>
      <c r="F148" s="157">
        <v>0.03</v>
      </c>
      <c r="G148" s="157">
        <v>0.03</v>
      </c>
      <c r="H148" s="157">
        <v>0.03</v>
      </c>
      <c r="I148" s="157">
        <v>0.03</v>
      </c>
      <c r="J148" s="157">
        <v>0.03</v>
      </c>
      <c r="K148" s="157">
        <v>0.03</v>
      </c>
      <c r="L148" s="157">
        <v>0.03</v>
      </c>
      <c r="M148" s="157">
        <v>0.03</v>
      </c>
      <c r="N148" s="157">
        <v>0.03</v>
      </c>
      <c r="O148" s="157">
        <v>0.05</v>
      </c>
      <c r="P148" s="157">
        <v>0.05</v>
      </c>
      <c r="Q148" s="157">
        <v>0.05</v>
      </c>
      <c r="R148" s="157">
        <v>0.05</v>
      </c>
      <c r="S148" s="157">
        <v>0.03</v>
      </c>
      <c r="T148" s="157">
        <v>0.03</v>
      </c>
      <c r="U148" s="157">
        <v>0.03</v>
      </c>
      <c r="V148" s="157">
        <v>0.03</v>
      </c>
      <c r="W148" s="157">
        <v>0.03</v>
      </c>
      <c r="X148" s="157">
        <v>0.03</v>
      </c>
      <c r="Y148" s="157">
        <v>0.03</v>
      </c>
      <c r="Z148" s="157">
        <v>0.03</v>
      </c>
      <c r="AA148" s="157">
        <v>0.03</v>
      </c>
      <c r="AB148" s="157">
        <v>0.03</v>
      </c>
      <c r="AC148" s="158">
        <v>0.03</v>
      </c>
      <c r="AD148" s="36"/>
      <c r="AE148" s="36"/>
      <c r="AF148" s="36"/>
      <c r="AG148" s="36"/>
      <c r="AH148" s="36"/>
      <c r="AI148" s="36"/>
      <c r="AJ148" s="36"/>
    </row>
    <row r="149" spans="1:36" customFormat="1" ht="26.4" customHeight="1" thickBot="1" x14ac:dyDescent="0.35">
      <c r="A149" s="590"/>
      <c r="B149" s="581"/>
      <c r="C149" s="596"/>
      <c r="D149" s="587"/>
      <c r="E149" s="151" t="s">
        <v>654</v>
      </c>
      <c r="F149" s="159">
        <v>0.03</v>
      </c>
      <c r="G149" s="159">
        <v>0.03</v>
      </c>
      <c r="H149" s="159">
        <v>0.03</v>
      </c>
      <c r="I149" s="159">
        <v>0.03</v>
      </c>
      <c r="J149" s="159">
        <v>0.03</v>
      </c>
      <c r="K149" s="159">
        <v>0.03</v>
      </c>
      <c r="L149" s="159">
        <v>0.03</v>
      </c>
      <c r="M149" s="159">
        <v>0.03</v>
      </c>
      <c r="N149" s="159">
        <v>0.05</v>
      </c>
      <c r="O149" s="159">
        <v>0.05</v>
      </c>
      <c r="P149" s="159">
        <v>0.05</v>
      </c>
      <c r="Q149" s="159">
        <v>0.05</v>
      </c>
      <c r="R149" s="159">
        <v>0.05</v>
      </c>
      <c r="S149" s="159">
        <v>0.05</v>
      </c>
      <c r="T149" s="159">
        <v>0.03</v>
      </c>
      <c r="U149" s="159">
        <v>0.03</v>
      </c>
      <c r="V149" s="159">
        <v>0.03</v>
      </c>
      <c r="W149" s="159">
        <v>0.03</v>
      </c>
      <c r="X149" s="159">
        <v>0.03</v>
      </c>
      <c r="Y149" s="159">
        <v>0.03</v>
      </c>
      <c r="Z149" s="159">
        <v>0.03</v>
      </c>
      <c r="AA149" s="159">
        <v>0.03</v>
      </c>
      <c r="AB149" s="159">
        <v>0.03</v>
      </c>
      <c r="AC149" s="160">
        <v>0.03</v>
      </c>
      <c r="AD149" s="36"/>
      <c r="AE149" s="36"/>
      <c r="AF149" s="36"/>
      <c r="AG149" s="36"/>
      <c r="AH149" s="36"/>
      <c r="AI149" s="36"/>
      <c r="AJ149" s="36"/>
    </row>
    <row r="150" spans="1:36" ht="25.2" customHeight="1" thickBot="1" x14ac:dyDescent="0.35">
      <c r="A150" s="627" t="s">
        <v>16</v>
      </c>
      <c r="B150" s="627"/>
      <c r="C150" s="627" t="s">
        <v>16</v>
      </c>
      <c r="D150" s="627"/>
      <c r="E150" s="627"/>
      <c r="F150" s="627"/>
      <c r="G150" s="627"/>
      <c r="H150" s="627"/>
      <c r="I150" s="627"/>
      <c r="J150" s="627"/>
      <c r="K150" s="627"/>
      <c r="L150" s="627"/>
      <c r="M150" s="627"/>
      <c r="N150" s="627"/>
      <c r="O150" s="627"/>
      <c r="P150" s="627"/>
      <c r="Q150" s="627"/>
      <c r="R150" s="627"/>
      <c r="S150" s="627"/>
      <c r="T150" s="627"/>
      <c r="U150" s="627"/>
      <c r="V150" s="627"/>
      <c r="W150" s="627"/>
      <c r="X150" s="627"/>
      <c r="Y150" s="627"/>
      <c r="Z150" s="627"/>
      <c r="AA150" s="627"/>
      <c r="AB150" s="627"/>
      <c r="AC150" s="628"/>
      <c r="AD150" s="203" t="s">
        <v>639</v>
      </c>
    </row>
    <row r="151" spans="1:36" ht="25.2" customHeight="1" x14ac:dyDescent="0.3">
      <c r="A151" s="643"/>
      <c r="B151" s="646" t="s">
        <v>84</v>
      </c>
      <c r="C151" s="648" t="s">
        <v>541</v>
      </c>
      <c r="D151" s="653" t="s">
        <v>677</v>
      </c>
      <c r="E151" s="142" t="s">
        <v>652</v>
      </c>
      <c r="F151" s="231">
        <v>0</v>
      </c>
      <c r="G151" s="231">
        <v>0</v>
      </c>
      <c r="H151" s="231">
        <v>0</v>
      </c>
      <c r="I151" s="231">
        <v>0</v>
      </c>
      <c r="J151" s="231">
        <v>0</v>
      </c>
      <c r="K151" s="231">
        <v>1</v>
      </c>
      <c r="L151" s="231">
        <v>1</v>
      </c>
      <c r="M151" s="231">
        <v>1</v>
      </c>
      <c r="N151" s="231">
        <v>1</v>
      </c>
      <c r="O151" s="231">
        <v>1</v>
      </c>
      <c r="P151" s="231">
        <v>1</v>
      </c>
      <c r="Q151" s="231">
        <v>1</v>
      </c>
      <c r="R151" s="231">
        <v>1</v>
      </c>
      <c r="S151" s="231">
        <v>1</v>
      </c>
      <c r="T151" s="231">
        <v>1</v>
      </c>
      <c r="U151" s="231">
        <v>1</v>
      </c>
      <c r="V151" s="231">
        <v>1</v>
      </c>
      <c r="W151" s="231">
        <v>1</v>
      </c>
      <c r="X151" s="231">
        <v>1</v>
      </c>
      <c r="Y151" s="231">
        <v>1</v>
      </c>
      <c r="Z151" s="231">
        <v>1</v>
      </c>
      <c r="AA151" s="231">
        <v>1</v>
      </c>
      <c r="AB151" s="231">
        <v>1</v>
      </c>
      <c r="AC151" s="232">
        <v>1</v>
      </c>
      <c r="AD151" s="34">
        <f>SUM(F151:AC151)*261+ SUM(F152:AC152)*52+ SUM(F153:AC153)*52</f>
        <v>4959</v>
      </c>
    </row>
    <row r="152" spans="1:36" ht="25.2" customHeight="1" x14ac:dyDescent="0.3">
      <c r="A152" s="644"/>
      <c r="B152" s="623"/>
      <c r="C152" s="611"/>
      <c r="D152" s="614"/>
      <c r="E152" s="134" t="s">
        <v>653</v>
      </c>
      <c r="F152" s="233">
        <v>0</v>
      </c>
      <c r="G152" s="233">
        <v>0</v>
      </c>
      <c r="H152" s="233">
        <v>0</v>
      </c>
      <c r="I152" s="233">
        <v>0</v>
      </c>
      <c r="J152" s="233">
        <v>0</v>
      </c>
      <c r="K152" s="233">
        <v>0</v>
      </c>
      <c r="L152" s="233">
        <v>0</v>
      </c>
      <c r="M152" s="233">
        <v>0</v>
      </c>
      <c r="N152" s="233">
        <v>0</v>
      </c>
      <c r="O152" s="233">
        <v>0</v>
      </c>
      <c r="P152" s="233">
        <v>0</v>
      </c>
      <c r="Q152" s="233">
        <v>0</v>
      </c>
      <c r="R152" s="233">
        <v>0</v>
      </c>
      <c r="S152" s="233">
        <v>0</v>
      </c>
      <c r="T152" s="233">
        <v>0</v>
      </c>
      <c r="U152" s="233">
        <v>0</v>
      </c>
      <c r="V152" s="233">
        <v>0</v>
      </c>
      <c r="W152" s="233">
        <v>0</v>
      </c>
      <c r="X152" s="233">
        <v>0</v>
      </c>
      <c r="Y152" s="233">
        <v>0</v>
      </c>
      <c r="Z152" s="233">
        <v>0</v>
      </c>
      <c r="AA152" s="233">
        <v>0</v>
      </c>
      <c r="AB152" s="233">
        <v>0</v>
      </c>
      <c r="AC152" s="234">
        <v>0</v>
      </c>
    </row>
    <row r="153" spans="1:36" ht="61.5" customHeight="1" thickBot="1" x14ac:dyDescent="0.35">
      <c r="A153" s="645"/>
      <c r="B153" s="647"/>
      <c r="C153" s="649"/>
      <c r="D153" s="651"/>
      <c r="E153" s="143" t="s">
        <v>654</v>
      </c>
      <c r="F153" s="235">
        <v>0</v>
      </c>
      <c r="G153" s="235">
        <v>0</v>
      </c>
      <c r="H153" s="235">
        <v>0</v>
      </c>
      <c r="I153" s="235">
        <v>0</v>
      </c>
      <c r="J153" s="235">
        <v>0</v>
      </c>
      <c r="K153" s="235">
        <v>0</v>
      </c>
      <c r="L153" s="235">
        <v>0</v>
      </c>
      <c r="M153" s="235">
        <v>0</v>
      </c>
      <c r="N153" s="235">
        <v>0</v>
      </c>
      <c r="O153" s="235">
        <v>0</v>
      </c>
      <c r="P153" s="235">
        <v>0</v>
      </c>
      <c r="Q153" s="235">
        <v>0</v>
      </c>
      <c r="R153" s="235">
        <v>0</v>
      </c>
      <c r="S153" s="235">
        <v>0</v>
      </c>
      <c r="T153" s="235">
        <v>0</v>
      </c>
      <c r="U153" s="235">
        <v>0</v>
      </c>
      <c r="V153" s="235">
        <v>0</v>
      </c>
      <c r="W153" s="235">
        <v>0</v>
      </c>
      <c r="X153" s="235">
        <v>0</v>
      </c>
      <c r="Y153" s="235">
        <v>0</v>
      </c>
      <c r="Z153" s="235">
        <v>0</v>
      </c>
      <c r="AA153" s="235">
        <v>0</v>
      </c>
      <c r="AB153" s="235">
        <v>0</v>
      </c>
      <c r="AC153" s="236">
        <v>0</v>
      </c>
    </row>
    <row r="154" spans="1:36" ht="25.2" customHeight="1" x14ac:dyDescent="0.3">
      <c r="A154" s="643"/>
      <c r="B154" s="646" t="s">
        <v>84</v>
      </c>
      <c r="C154" s="648" t="s">
        <v>678</v>
      </c>
      <c r="D154" s="650"/>
      <c r="E154" s="142" t="s">
        <v>652</v>
      </c>
      <c r="F154" s="152">
        <v>1</v>
      </c>
      <c r="G154" s="152">
        <v>1</v>
      </c>
      <c r="H154" s="152">
        <v>1</v>
      </c>
      <c r="I154" s="152">
        <v>1</v>
      </c>
      <c r="J154" s="152">
        <v>1</v>
      </c>
      <c r="K154" s="152">
        <v>1</v>
      </c>
      <c r="L154" s="152">
        <v>1</v>
      </c>
      <c r="M154" s="152">
        <v>1</v>
      </c>
      <c r="N154" s="152">
        <v>1</v>
      </c>
      <c r="O154" s="152">
        <v>1</v>
      </c>
      <c r="P154" s="152">
        <v>1</v>
      </c>
      <c r="Q154" s="152">
        <v>1</v>
      </c>
      <c r="R154" s="152">
        <v>1</v>
      </c>
      <c r="S154" s="152">
        <v>1</v>
      </c>
      <c r="T154" s="152">
        <v>1</v>
      </c>
      <c r="U154" s="152">
        <v>1</v>
      </c>
      <c r="V154" s="152">
        <v>1</v>
      </c>
      <c r="W154" s="152">
        <v>1</v>
      </c>
      <c r="X154" s="152">
        <v>1</v>
      </c>
      <c r="Y154" s="152">
        <v>1</v>
      </c>
      <c r="Z154" s="152">
        <v>1</v>
      </c>
      <c r="AA154" s="152">
        <v>1</v>
      </c>
      <c r="AB154" s="152">
        <v>1</v>
      </c>
      <c r="AC154" s="153">
        <v>1</v>
      </c>
    </row>
    <row r="155" spans="1:36" ht="25.2" customHeight="1" x14ac:dyDescent="0.3">
      <c r="A155" s="644"/>
      <c r="B155" s="623"/>
      <c r="C155" s="611"/>
      <c r="D155" s="614"/>
      <c r="E155" s="134" t="s">
        <v>653</v>
      </c>
      <c r="F155" s="133">
        <v>1</v>
      </c>
      <c r="G155" s="133">
        <v>1</v>
      </c>
      <c r="H155" s="133">
        <v>1</v>
      </c>
      <c r="I155" s="133">
        <v>1</v>
      </c>
      <c r="J155" s="133">
        <v>1</v>
      </c>
      <c r="K155" s="133">
        <v>1</v>
      </c>
      <c r="L155" s="133">
        <v>1</v>
      </c>
      <c r="M155" s="133">
        <v>1</v>
      </c>
      <c r="N155" s="133">
        <v>1</v>
      </c>
      <c r="O155" s="133">
        <v>1</v>
      </c>
      <c r="P155" s="133">
        <v>1</v>
      </c>
      <c r="Q155" s="133">
        <v>1</v>
      </c>
      <c r="R155" s="133">
        <v>1</v>
      </c>
      <c r="S155" s="133">
        <v>1</v>
      </c>
      <c r="T155" s="133">
        <v>1</v>
      </c>
      <c r="U155" s="133">
        <v>1</v>
      </c>
      <c r="V155" s="133">
        <v>1</v>
      </c>
      <c r="W155" s="133">
        <v>1</v>
      </c>
      <c r="X155" s="133">
        <v>1</v>
      </c>
      <c r="Y155" s="133">
        <v>1</v>
      </c>
      <c r="Z155" s="133">
        <v>1</v>
      </c>
      <c r="AA155" s="133">
        <v>1</v>
      </c>
      <c r="AB155" s="133">
        <v>1</v>
      </c>
      <c r="AC155" s="154">
        <v>1</v>
      </c>
    </row>
    <row r="156" spans="1:36" ht="25.2" customHeight="1" thickBot="1" x14ac:dyDescent="0.35">
      <c r="A156" s="645"/>
      <c r="B156" s="647"/>
      <c r="C156" s="649"/>
      <c r="D156" s="651"/>
      <c r="E156" s="143" t="s">
        <v>654</v>
      </c>
      <c r="F156" s="155">
        <v>1</v>
      </c>
      <c r="G156" s="155">
        <v>1</v>
      </c>
      <c r="H156" s="155">
        <v>1</v>
      </c>
      <c r="I156" s="155">
        <v>1</v>
      </c>
      <c r="J156" s="155">
        <v>1</v>
      </c>
      <c r="K156" s="155">
        <v>1</v>
      </c>
      <c r="L156" s="155">
        <v>1</v>
      </c>
      <c r="M156" s="155">
        <v>1</v>
      </c>
      <c r="N156" s="155">
        <v>1</v>
      </c>
      <c r="O156" s="155">
        <v>1</v>
      </c>
      <c r="P156" s="155">
        <v>1</v>
      </c>
      <c r="Q156" s="155">
        <v>1</v>
      </c>
      <c r="R156" s="155">
        <v>1</v>
      </c>
      <c r="S156" s="155">
        <v>1</v>
      </c>
      <c r="T156" s="155">
        <v>1</v>
      </c>
      <c r="U156" s="155">
        <v>1</v>
      </c>
      <c r="V156" s="155">
        <v>1</v>
      </c>
      <c r="W156" s="155">
        <v>1</v>
      </c>
      <c r="X156" s="155">
        <v>1</v>
      </c>
      <c r="Y156" s="155">
        <v>1</v>
      </c>
      <c r="Z156" s="155">
        <v>1</v>
      </c>
      <c r="AA156" s="155">
        <v>1</v>
      </c>
      <c r="AB156" s="155">
        <v>1</v>
      </c>
      <c r="AC156" s="156">
        <v>1</v>
      </c>
    </row>
    <row r="157" spans="1:36" ht="30.75" customHeight="1" x14ac:dyDescent="0.3">
      <c r="A157" s="643"/>
      <c r="B157" s="646" t="s">
        <v>84</v>
      </c>
      <c r="C157" s="648" t="s">
        <v>679</v>
      </c>
      <c r="D157" s="650"/>
      <c r="E157" s="142" t="s">
        <v>652</v>
      </c>
      <c r="F157" s="152">
        <v>0</v>
      </c>
      <c r="G157" s="152">
        <v>0</v>
      </c>
      <c r="H157" s="152">
        <v>0</v>
      </c>
      <c r="I157" s="152">
        <v>0</v>
      </c>
      <c r="J157" s="152">
        <v>0</v>
      </c>
      <c r="K157" s="152">
        <v>1</v>
      </c>
      <c r="L157" s="152">
        <v>1</v>
      </c>
      <c r="M157" s="152">
        <v>1</v>
      </c>
      <c r="N157" s="152">
        <v>1</v>
      </c>
      <c r="O157" s="152">
        <v>1</v>
      </c>
      <c r="P157" s="152">
        <v>1</v>
      </c>
      <c r="Q157" s="152">
        <v>1</v>
      </c>
      <c r="R157" s="152">
        <v>1</v>
      </c>
      <c r="S157" s="152">
        <v>1</v>
      </c>
      <c r="T157" s="152">
        <v>1</v>
      </c>
      <c r="U157" s="152">
        <v>1</v>
      </c>
      <c r="V157" s="152">
        <v>1</v>
      </c>
      <c r="W157" s="152">
        <v>1</v>
      </c>
      <c r="X157" s="152">
        <v>1</v>
      </c>
      <c r="Y157" s="152">
        <v>1</v>
      </c>
      <c r="Z157" s="152">
        <v>1</v>
      </c>
      <c r="AA157" s="152">
        <v>1</v>
      </c>
      <c r="AB157" s="152">
        <v>0</v>
      </c>
      <c r="AC157" s="153">
        <v>0</v>
      </c>
    </row>
    <row r="158" spans="1:36" ht="30.75" customHeight="1" x14ac:dyDescent="0.3">
      <c r="A158" s="644"/>
      <c r="B158" s="623"/>
      <c r="C158" s="611"/>
      <c r="D158" s="614"/>
      <c r="E158" s="134" t="s">
        <v>653</v>
      </c>
      <c r="F158" s="133">
        <v>0</v>
      </c>
      <c r="G158" s="133">
        <v>0</v>
      </c>
      <c r="H158" s="133">
        <v>0</v>
      </c>
      <c r="I158" s="133">
        <v>0</v>
      </c>
      <c r="J158" s="133">
        <v>0</v>
      </c>
      <c r="K158" s="133">
        <v>1</v>
      </c>
      <c r="L158" s="133">
        <v>1</v>
      </c>
      <c r="M158" s="133">
        <v>1</v>
      </c>
      <c r="N158" s="133">
        <v>1</v>
      </c>
      <c r="O158" s="133">
        <v>1</v>
      </c>
      <c r="P158" s="133">
        <v>1</v>
      </c>
      <c r="Q158" s="133">
        <v>1</v>
      </c>
      <c r="R158" s="133">
        <v>1</v>
      </c>
      <c r="S158" s="133">
        <v>1</v>
      </c>
      <c r="T158" s="133">
        <v>1</v>
      </c>
      <c r="U158" s="133">
        <v>1</v>
      </c>
      <c r="V158" s="133">
        <v>1</v>
      </c>
      <c r="W158" s="133">
        <v>1</v>
      </c>
      <c r="X158" s="133">
        <v>1</v>
      </c>
      <c r="Y158" s="133">
        <v>1</v>
      </c>
      <c r="Z158" s="133">
        <v>1</v>
      </c>
      <c r="AA158" s="133">
        <v>1</v>
      </c>
      <c r="AB158" s="133">
        <v>1</v>
      </c>
      <c r="AC158" s="154">
        <v>1</v>
      </c>
    </row>
    <row r="159" spans="1:36" ht="37.5" customHeight="1" thickBot="1" x14ac:dyDescent="0.35">
      <c r="A159" s="645"/>
      <c r="B159" s="647"/>
      <c r="C159" s="649"/>
      <c r="D159" s="651"/>
      <c r="E159" s="143" t="s">
        <v>654</v>
      </c>
      <c r="F159" s="155">
        <v>0</v>
      </c>
      <c r="G159" s="155">
        <v>0</v>
      </c>
      <c r="H159" s="155">
        <v>0</v>
      </c>
      <c r="I159" s="155">
        <v>0</v>
      </c>
      <c r="J159" s="155">
        <v>0</v>
      </c>
      <c r="K159" s="155">
        <v>1</v>
      </c>
      <c r="L159" s="155">
        <v>1</v>
      </c>
      <c r="M159" s="155">
        <v>1</v>
      </c>
      <c r="N159" s="155">
        <v>1</v>
      </c>
      <c r="O159" s="155">
        <v>1</v>
      </c>
      <c r="P159" s="155">
        <v>1</v>
      </c>
      <c r="Q159" s="155">
        <v>1</v>
      </c>
      <c r="R159" s="155">
        <v>1</v>
      </c>
      <c r="S159" s="155">
        <v>1</v>
      </c>
      <c r="T159" s="155">
        <v>1</v>
      </c>
      <c r="U159" s="155">
        <v>1</v>
      </c>
      <c r="V159" s="155">
        <v>1</v>
      </c>
      <c r="W159" s="155">
        <v>1</v>
      </c>
      <c r="X159" s="155">
        <v>1</v>
      </c>
      <c r="Y159" s="155">
        <v>1</v>
      </c>
      <c r="Z159" s="155">
        <v>1</v>
      </c>
      <c r="AA159" s="155">
        <v>1</v>
      </c>
      <c r="AB159" s="155">
        <v>1</v>
      </c>
      <c r="AC159" s="156">
        <v>1</v>
      </c>
    </row>
    <row r="160" spans="1:36" ht="36" customHeight="1" x14ac:dyDescent="0.3">
      <c r="A160" s="604" t="s">
        <v>680</v>
      </c>
      <c r="B160" s="607" t="s">
        <v>84</v>
      </c>
      <c r="C160" s="652" t="s">
        <v>681</v>
      </c>
      <c r="D160" s="613" t="s">
        <v>682</v>
      </c>
      <c r="E160" s="135" t="s">
        <v>652</v>
      </c>
      <c r="F160" s="141">
        <v>102.6</v>
      </c>
      <c r="G160" s="141">
        <v>102.6</v>
      </c>
      <c r="H160" s="141">
        <v>102.6</v>
      </c>
      <c r="I160" s="141">
        <v>102.6</v>
      </c>
      <c r="J160" s="141">
        <v>102.6</v>
      </c>
      <c r="K160" s="141">
        <v>102.6</v>
      </c>
      <c r="L160" s="141">
        <v>102.6</v>
      </c>
      <c r="M160" s="141">
        <v>102.6</v>
      </c>
      <c r="N160" s="141">
        <v>102.6</v>
      </c>
      <c r="O160" s="141">
        <v>102.6</v>
      </c>
      <c r="P160" s="141">
        <v>102.6</v>
      </c>
      <c r="Q160" s="141">
        <v>102.6</v>
      </c>
      <c r="R160" s="141">
        <v>102.6</v>
      </c>
      <c r="S160" s="141">
        <v>102.6</v>
      </c>
      <c r="T160" s="141">
        <v>102.6</v>
      </c>
      <c r="U160" s="141">
        <v>102.6</v>
      </c>
      <c r="V160" s="141">
        <v>102.6</v>
      </c>
      <c r="W160" s="141">
        <v>102.6</v>
      </c>
      <c r="X160" s="141">
        <v>102.6</v>
      </c>
      <c r="Y160" s="141">
        <v>102.6</v>
      </c>
      <c r="Z160" s="141">
        <v>102.6</v>
      </c>
      <c r="AA160" s="141">
        <v>102.6</v>
      </c>
      <c r="AB160" s="141">
        <v>102.6</v>
      </c>
      <c r="AC160" s="140">
        <v>102.6</v>
      </c>
    </row>
    <row r="161" spans="1:29" ht="36" customHeight="1" x14ac:dyDescent="0.3">
      <c r="A161" s="605"/>
      <c r="B161" s="608"/>
      <c r="C161" s="611"/>
      <c r="D161" s="614"/>
      <c r="E161" s="134" t="s">
        <v>653</v>
      </c>
      <c r="F161" s="139">
        <v>102.6</v>
      </c>
      <c r="G161" s="139">
        <v>102.6</v>
      </c>
      <c r="H161" s="139">
        <v>102.6</v>
      </c>
      <c r="I161" s="139">
        <v>102.6</v>
      </c>
      <c r="J161" s="139">
        <v>102.6</v>
      </c>
      <c r="K161" s="139">
        <v>102.6</v>
      </c>
      <c r="L161" s="139">
        <v>102.6</v>
      </c>
      <c r="M161" s="139">
        <v>102.6</v>
      </c>
      <c r="N161" s="139">
        <v>102.6</v>
      </c>
      <c r="O161" s="139">
        <v>102.6</v>
      </c>
      <c r="P161" s="139">
        <v>102.6</v>
      </c>
      <c r="Q161" s="139">
        <v>102.6</v>
      </c>
      <c r="R161" s="139">
        <v>102.6</v>
      </c>
      <c r="S161" s="139">
        <v>102.6</v>
      </c>
      <c r="T161" s="139">
        <v>102.6</v>
      </c>
      <c r="U161" s="139">
        <v>102.6</v>
      </c>
      <c r="V161" s="139">
        <v>102.6</v>
      </c>
      <c r="W161" s="139">
        <v>102.6</v>
      </c>
      <c r="X161" s="139">
        <v>102.6</v>
      </c>
      <c r="Y161" s="139">
        <v>102.6</v>
      </c>
      <c r="Z161" s="139">
        <v>102.6</v>
      </c>
      <c r="AA161" s="139">
        <v>102.6</v>
      </c>
      <c r="AB161" s="139">
        <v>102.6</v>
      </c>
      <c r="AC161" s="138">
        <v>102.6</v>
      </c>
    </row>
    <row r="162" spans="1:29" ht="36" customHeight="1" thickBot="1" x14ac:dyDescent="0.35">
      <c r="A162" s="606"/>
      <c r="B162" s="609"/>
      <c r="C162" s="612"/>
      <c r="D162" s="615"/>
      <c r="E162" s="132" t="s">
        <v>654</v>
      </c>
      <c r="F162" s="137">
        <v>102.6</v>
      </c>
      <c r="G162" s="137">
        <v>102.6</v>
      </c>
      <c r="H162" s="137">
        <v>102.6</v>
      </c>
      <c r="I162" s="137">
        <v>102.6</v>
      </c>
      <c r="J162" s="137">
        <v>102.6</v>
      </c>
      <c r="K162" s="137">
        <v>102.6</v>
      </c>
      <c r="L162" s="137">
        <v>102.6</v>
      </c>
      <c r="M162" s="137">
        <v>102.6</v>
      </c>
      <c r="N162" s="137">
        <v>102.6</v>
      </c>
      <c r="O162" s="137">
        <v>102.6</v>
      </c>
      <c r="P162" s="137">
        <v>102.6</v>
      </c>
      <c r="Q162" s="137">
        <v>102.6</v>
      </c>
      <c r="R162" s="137">
        <v>102.6</v>
      </c>
      <c r="S162" s="137">
        <v>102.6</v>
      </c>
      <c r="T162" s="137">
        <v>102.6</v>
      </c>
      <c r="U162" s="137">
        <v>102.6</v>
      </c>
      <c r="V162" s="137">
        <v>102.6</v>
      </c>
      <c r="W162" s="137">
        <v>102.6</v>
      </c>
      <c r="X162" s="137">
        <v>102.6</v>
      </c>
      <c r="Y162" s="137">
        <v>102.6</v>
      </c>
      <c r="Z162" s="137">
        <v>102.6</v>
      </c>
      <c r="AA162" s="137">
        <v>102.6</v>
      </c>
      <c r="AB162" s="137">
        <v>102.6</v>
      </c>
      <c r="AC162" s="136">
        <v>102.6</v>
      </c>
    </row>
    <row r="163" spans="1:29" ht="36" customHeight="1" x14ac:dyDescent="0.3">
      <c r="A163" s="619" t="s">
        <v>201</v>
      </c>
      <c r="B163" s="622" t="s">
        <v>84</v>
      </c>
      <c r="C163" s="610" t="s">
        <v>683</v>
      </c>
      <c r="D163" s="613" t="s">
        <v>684</v>
      </c>
      <c r="E163" s="135" t="s">
        <v>669</v>
      </c>
      <c r="F163" s="141">
        <v>0</v>
      </c>
      <c r="G163" s="141">
        <v>0</v>
      </c>
      <c r="H163" s="141">
        <v>0</v>
      </c>
      <c r="I163" s="141">
        <v>0</v>
      </c>
      <c r="J163" s="141">
        <v>0</v>
      </c>
      <c r="K163" s="141">
        <v>0</v>
      </c>
      <c r="L163" s="141">
        <v>0</v>
      </c>
      <c r="M163" s="141">
        <v>0</v>
      </c>
      <c r="N163" s="141">
        <v>0</v>
      </c>
      <c r="O163" s="141">
        <v>0</v>
      </c>
      <c r="P163" s="141">
        <v>0</v>
      </c>
      <c r="Q163" s="141">
        <v>0</v>
      </c>
      <c r="R163" s="141">
        <v>0</v>
      </c>
      <c r="S163" s="141">
        <v>0</v>
      </c>
      <c r="T163" s="141">
        <v>0</v>
      </c>
      <c r="U163" s="141">
        <v>0</v>
      </c>
      <c r="V163" s="141">
        <v>0</v>
      </c>
      <c r="W163" s="141">
        <v>0</v>
      </c>
      <c r="X163" s="141">
        <v>0</v>
      </c>
      <c r="Y163" s="141">
        <v>0</v>
      </c>
      <c r="Z163" s="141">
        <v>0</v>
      </c>
      <c r="AA163" s="141">
        <v>0</v>
      </c>
      <c r="AB163" s="141">
        <v>0</v>
      </c>
      <c r="AC163" s="140">
        <v>0</v>
      </c>
    </row>
    <row r="164" spans="1:29" ht="36" customHeight="1" x14ac:dyDescent="0.3">
      <c r="A164" s="620"/>
      <c r="B164" s="623"/>
      <c r="C164" s="611"/>
      <c r="D164" s="614"/>
      <c r="E164" s="199" t="s">
        <v>670</v>
      </c>
      <c r="F164" s="200">
        <v>0</v>
      </c>
      <c r="G164" s="200">
        <v>0</v>
      </c>
      <c r="H164" s="200">
        <v>0</v>
      </c>
      <c r="I164" s="200">
        <v>0</v>
      </c>
      <c r="J164" s="200">
        <v>0</v>
      </c>
      <c r="K164" s="200">
        <v>0</v>
      </c>
      <c r="L164" s="200">
        <v>331.17030929999999</v>
      </c>
      <c r="M164" s="200">
        <v>331.17030929999999</v>
      </c>
      <c r="N164" s="200">
        <v>331.17030929999999</v>
      </c>
      <c r="O164" s="200">
        <v>331.17030929999999</v>
      </c>
      <c r="P164" s="200">
        <v>331.17030929999999</v>
      </c>
      <c r="Q164" s="200">
        <v>331.17030929999999</v>
      </c>
      <c r="R164" s="200">
        <v>331.17030929999999</v>
      </c>
      <c r="S164" s="200">
        <v>331.17030929999999</v>
      </c>
      <c r="T164" s="200">
        <v>331.17030929999999</v>
      </c>
      <c r="U164" s="200">
        <v>331.17030929999999</v>
      </c>
      <c r="V164" s="200">
        <v>331.17030929999999</v>
      </c>
      <c r="W164" s="200">
        <v>331.17030929999999</v>
      </c>
      <c r="X164" s="200">
        <v>331.17030929999999</v>
      </c>
      <c r="Y164" s="200">
        <v>331.17030929999999</v>
      </c>
      <c r="Z164" s="200">
        <v>331.17030929999999</v>
      </c>
      <c r="AA164" s="200">
        <v>0</v>
      </c>
      <c r="AB164" s="200">
        <v>0</v>
      </c>
      <c r="AC164" s="201">
        <v>0</v>
      </c>
    </row>
    <row r="165" spans="1:29" ht="36" customHeight="1" x14ac:dyDescent="0.3">
      <c r="A165" s="620"/>
      <c r="B165" s="623"/>
      <c r="C165" s="611"/>
      <c r="D165" s="614"/>
      <c r="E165" s="199" t="s">
        <v>671</v>
      </c>
      <c r="F165" s="200">
        <v>0</v>
      </c>
      <c r="G165" s="200">
        <v>0</v>
      </c>
      <c r="H165" s="200">
        <v>0</v>
      </c>
      <c r="I165" s="200">
        <v>0</v>
      </c>
      <c r="J165" s="200">
        <v>0</v>
      </c>
      <c r="K165" s="200">
        <v>0</v>
      </c>
      <c r="L165" s="200">
        <v>331.17030929999999</v>
      </c>
      <c r="M165" s="200">
        <v>331.17030929999999</v>
      </c>
      <c r="N165" s="200">
        <v>331.17030929999999</v>
      </c>
      <c r="O165" s="200">
        <v>331.17030929999999</v>
      </c>
      <c r="P165" s="200">
        <v>331.17030929999999</v>
      </c>
      <c r="Q165" s="200">
        <v>331.17030929999999</v>
      </c>
      <c r="R165" s="200">
        <v>331.17030929999999</v>
      </c>
      <c r="S165" s="200">
        <v>331.17030929999999</v>
      </c>
      <c r="T165" s="200">
        <v>331.17030929999999</v>
      </c>
      <c r="U165" s="200">
        <v>331.17030929999999</v>
      </c>
      <c r="V165" s="200">
        <v>331.17030929999999</v>
      </c>
      <c r="W165" s="200">
        <v>331.17030929999999</v>
      </c>
      <c r="X165" s="200">
        <v>331.17030929999999</v>
      </c>
      <c r="Y165" s="200">
        <v>331.17030929999999</v>
      </c>
      <c r="Z165" s="200">
        <v>331.17030929999999</v>
      </c>
      <c r="AA165" s="200">
        <v>0</v>
      </c>
      <c r="AB165" s="200">
        <v>0</v>
      </c>
      <c r="AC165" s="201">
        <v>0</v>
      </c>
    </row>
    <row r="166" spans="1:29" ht="36" customHeight="1" x14ac:dyDescent="0.3">
      <c r="A166" s="620"/>
      <c r="B166" s="623"/>
      <c r="C166" s="611"/>
      <c r="D166" s="614"/>
      <c r="E166" s="199" t="s">
        <v>672</v>
      </c>
      <c r="F166" s="200">
        <v>0</v>
      </c>
      <c r="G166" s="200">
        <v>0</v>
      </c>
      <c r="H166" s="200">
        <v>0</v>
      </c>
      <c r="I166" s="200">
        <v>0</v>
      </c>
      <c r="J166" s="200">
        <v>0</v>
      </c>
      <c r="K166" s="200">
        <v>0</v>
      </c>
      <c r="L166" s="200">
        <v>0</v>
      </c>
      <c r="M166" s="200">
        <v>331.17030929999999</v>
      </c>
      <c r="N166" s="200">
        <v>331.17030929999999</v>
      </c>
      <c r="O166" s="200">
        <v>331.17030929999999</v>
      </c>
      <c r="P166" s="200">
        <v>331.17030929999999</v>
      </c>
      <c r="Q166" s="200">
        <v>331.17030929999999</v>
      </c>
      <c r="R166" s="200">
        <v>331.17030929999999</v>
      </c>
      <c r="S166" s="200">
        <v>331.17030929999999</v>
      </c>
      <c r="T166" s="200">
        <v>331.17030929999999</v>
      </c>
      <c r="U166" s="200">
        <v>0</v>
      </c>
      <c r="V166" s="200">
        <v>0</v>
      </c>
      <c r="W166" s="200">
        <v>331.17030929999999</v>
      </c>
      <c r="X166" s="200">
        <v>331.17030929999999</v>
      </c>
      <c r="Y166" s="200">
        <v>331.17030929999999</v>
      </c>
      <c r="Z166" s="200">
        <v>331.17030929999999</v>
      </c>
      <c r="AA166" s="200">
        <v>331.17030929999999</v>
      </c>
      <c r="AB166" s="200">
        <v>331.17030929999999</v>
      </c>
      <c r="AC166" s="201">
        <v>0</v>
      </c>
    </row>
    <row r="167" spans="1:29" ht="36" customHeight="1" x14ac:dyDescent="0.3">
      <c r="A167" s="620"/>
      <c r="B167" s="623"/>
      <c r="C167" s="611"/>
      <c r="D167" s="614"/>
      <c r="E167" s="199" t="s">
        <v>673</v>
      </c>
      <c r="F167" s="200">
        <v>0</v>
      </c>
      <c r="G167" s="200">
        <v>0</v>
      </c>
      <c r="H167" s="200">
        <v>0</v>
      </c>
      <c r="I167" s="200">
        <v>0</v>
      </c>
      <c r="J167" s="200">
        <v>0</v>
      </c>
      <c r="K167" s="200">
        <v>0</v>
      </c>
      <c r="L167" s="200">
        <v>0</v>
      </c>
      <c r="M167" s="200">
        <v>331.17030929999999</v>
      </c>
      <c r="N167" s="200">
        <v>331.17030929999999</v>
      </c>
      <c r="O167" s="200">
        <v>331.17030929999999</v>
      </c>
      <c r="P167" s="200">
        <v>331.17030929999999</v>
      </c>
      <c r="Q167" s="200">
        <v>331.17030929999999</v>
      </c>
      <c r="R167" s="200">
        <v>331.17030929999999</v>
      </c>
      <c r="S167" s="200">
        <v>331.17030929999999</v>
      </c>
      <c r="T167" s="200">
        <v>331.17030929999999</v>
      </c>
      <c r="U167" s="200">
        <v>0</v>
      </c>
      <c r="V167" s="200">
        <v>0</v>
      </c>
      <c r="W167" s="200">
        <v>331.17030929999999</v>
      </c>
      <c r="X167" s="200">
        <v>331.17030929999999</v>
      </c>
      <c r="Y167" s="200">
        <v>331.17030929999999</v>
      </c>
      <c r="Z167" s="200">
        <v>331.17030929999999</v>
      </c>
      <c r="AA167" s="200">
        <v>331.17030929999999</v>
      </c>
      <c r="AB167" s="200">
        <v>331.17030929999999</v>
      </c>
      <c r="AC167" s="201">
        <v>0</v>
      </c>
    </row>
    <row r="168" spans="1:29" ht="36" customHeight="1" x14ac:dyDescent="0.3">
      <c r="A168" s="620"/>
      <c r="B168" s="623"/>
      <c r="C168" s="611"/>
      <c r="D168" s="614"/>
      <c r="E168" s="199" t="s">
        <v>674</v>
      </c>
      <c r="F168" s="200">
        <v>0</v>
      </c>
      <c r="G168" s="200">
        <v>0</v>
      </c>
      <c r="H168" s="200">
        <v>0</v>
      </c>
      <c r="I168" s="200">
        <v>0</v>
      </c>
      <c r="J168" s="200">
        <v>0</v>
      </c>
      <c r="K168" s="200">
        <v>0</v>
      </c>
      <c r="L168" s="200">
        <v>0</v>
      </c>
      <c r="M168" s="200">
        <v>331.17030929999999</v>
      </c>
      <c r="N168" s="200">
        <v>331.17030929999999</v>
      </c>
      <c r="O168" s="200">
        <v>331.17030929999999</v>
      </c>
      <c r="P168" s="200">
        <v>331.17030929999999</v>
      </c>
      <c r="Q168" s="200">
        <v>331.17030929999999</v>
      </c>
      <c r="R168" s="200">
        <v>331.17030929999999</v>
      </c>
      <c r="S168" s="200">
        <v>331.17030929999999</v>
      </c>
      <c r="T168" s="200">
        <v>331.17030929999999</v>
      </c>
      <c r="U168" s="200">
        <v>0</v>
      </c>
      <c r="V168" s="200">
        <v>0</v>
      </c>
      <c r="W168" s="200">
        <v>0</v>
      </c>
      <c r="X168" s="200">
        <v>0</v>
      </c>
      <c r="Y168" s="200">
        <v>0</v>
      </c>
      <c r="Z168" s="200">
        <v>0</v>
      </c>
      <c r="AA168" s="200">
        <v>0</v>
      </c>
      <c r="AB168" s="200">
        <v>0</v>
      </c>
      <c r="AC168" s="201">
        <v>0</v>
      </c>
    </row>
    <row r="169" spans="1:29" ht="36" customHeight="1" x14ac:dyDescent="0.3">
      <c r="A169" s="620"/>
      <c r="B169" s="623"/>
      <c r="C169" s="611"/>
      <c r="D169" s="614"/>
      <c r="E169" s="134" t="s">
        <v>675</v>
      </c>
      <c r="F169" s="139">
        <v>0</v>
      </c>
      <c r="G169" s="139">
        <v>0</v>
      </c>
      <c r="H169" s="139">
        <v>0</v>
      </c>
      <c r="I169" s="139">
        <v>0</v>
      </c>
      <c r="J169" s="139">
        <v>0</v>
      </c>
      <c r="K169" s="139">
        <v>0</v>
      </c>
      <c r="L169" s="139">
        <v>0</v>
      </c>
      <c r="M169" s="139">
        <v>331.17030929999999</v>
      </c>
      <c r="N169" s="139">
        <v>331.17030929999999</v>
      </c>
      <c r="O169" s="139">
        <v>331.17030929999999</v>
      </c>
      <c r="P169" s="139">
        <v>331.17030929999999</v>
      </c>
      <c r="Q169" s="139">
        <v>331.17030929999999</v>
      </c>
      <c r="R169" s="139">
        <v>331.17030929999999</v>
      </c>
      <c r="S169" s="139">
        <v>331.17030929999999</v>
      </c>
      <c r="T169" s="139">
        <v>331.17030929999999</v>
      </c>
      <c r="U169" s="139">
        <v>0</v>
      </c>
      <c r="V169" s="139">
        <v>0</v>
      </c>
      <c r="W169" s="139">
        <v>0</v>
      </c>
      <c r="X169" s="139">
        <v>0</v>
      </c>
      <c r="Y169" s="139">
        <v>0</v>
      </c>
      <c r="Z169" s="139">
        <v>0</v>
      </c>
      <c r="AA169" s="139">
        <v>0</v>
      </c>
      <c r="AB169" s="139">
        <v>0</v>
      </c>
      <c r="AC169" s="138">
        <v>0</v>
      </c>
    </row>
    <row r="170" spans="1:29" ht="36" customHeight="1" thickBot="1" x14ac:dyDescent="0.35">
      <c r="A170" s="621"/>
      <c r="B170" s="624"/>
      <c r="C170" s="612"/>
      <c r="D170" s="615"/>
      <c r="E170" s="132" t="s">
        <v>676</v>
      </c>
      <c r="F170" s="137">
        <v>0</v>
      </c>
      <c r="G170" s="137">
        <v>0</v>
      </c>
      <c r="H170" s="137">
        <v>0</v>
      </c>
      <c r="I170" s="137">
        <v>0</v>
      </c>
      <c r="J170" s="137">
        <v>0</v>
      </c>
      <c r="K170" s="137">
        <v>0</v>
      </c>
      <c r="L170" s="137">
        <v>0</v>
      </c>
      <c r="M170" s="137">
        <v>331.17030929999999</v>
      </c>
      <c r="N170" s="137">
        <v>331.17030929999999</v>
      </c>
      <c r="O170" s="137">
        <v>331.17030929999999</v>
      </c>
      <c r="P170" s="137">
        <v>331.17030929999999</v>
      </c>
      <c r="Q170" s="137">
        <v>331.17030929999999</v>
      </c>
      <c r="R170" s="137">
        <v>331.17030929999999</v>
      </c>
      <c r="S170" s="137">
        <v>331.17030929999999</v>
      </c>
      <c r="T170" s="137">
        <v>331.17030929999999</v>
      </c>
      <c r="U170" s="137">
        <v>331.17030929999999</v>
      </c>
      <c r="V170" s="137">
        <v>331.17030929999999</v>
      </c>
      <c r="W170" s="137">
        <v>331.17030929999999</v>
      </c>
      <c r="X170" s="137">
        <v>0</v>
      </c>
      <c r="Y170" s="137">
        <v>0</v>
      </c>
      <c r="Z170" s="137">
        <v>0</v>
      </c>
      <c r="AA170" s="137">
        <v>0</v>
      </c>
      <c r="AB170" s="137">
        <v>0</v>
      </c>
      <c r="AC170" s="136">
        <v>0</v>
      </c>
    </row>
    <row r="171" spans="1:29" ht="36" customHeight="1" x14ac:dyDescent="0.3">
      <c r="A171" s="604" t="s">
        <v>685</v>
      </c>
      <c r="B171" s="607" t="s">
        <v>84</v>
      </c>
      <c r="C171" s="652" t="s">
        <v>686</v>
      </c>
      <c r="D171" s="613" t="s">
        <v>682</v>
      </c>
      <c r="E171" s="135" t="s">
        <v>652</v>
      </c>
      <c r="F171" s="141">
        <v>146.5</v>
      </c>
      <c r="G171" s="141">
        <v>146.5</v>
      </c>
      <c r="H171" s="141">
        <v>146.5</v>
      </c>
      <c r="I171" s="141">
        <v>146.5</v>
      </c>
      <c r="J171" s="141">
        <v>146.5</v>
      </c>
      <c r="K171" s="141">
        <v>146.5</v>
      </c>
      <c r="L171" s="141">
        <v>146.5</v>
      </c>
      <c r="M171" s="141">
        <v>146.5</v>
      </c>
      <c r="N171" s="141">
        <v>146.5</v>
      </c>
      <c r="O171" s="141">
        <v>146.5</v>
      </c>
      <c r="P171" s="141">
        <v>146.5</v>
      </c>
      <c r="Q171" s="141">
        <v>146.5</v>
      </c>
      <c r="R171" s="141">
        <v>146.5</v>
      </c>
      <c r="S171" s="141">
        <v>146.5</v>
      </c>
      <c r="T171" s="141">
        <v>146.5</v>
      </c>
      <c r="U171" s="141">
        <v>146.5</v>
      </c>
      <c r="V171" s="141">
        <v>146.5</v>
      </c>
      <c r="W171" s="141">
        <v>146.5</v>
      </c>
      <c r="X171" s="141">
        <v>146.5</v>
      </c>
      <c r="Y171" s="141">
        <v>146.5</v>
      </c>
      <c r="Z171" s="141">
        <v>146.5</v>
      </c>
      <c r="AA171" s="141">
        <v>146.5</v>
      </c>
      <c r="AB171" s="141">
        <v>146.5</v>
      </c>
      <c r="AC171" s="140">
        <v>146.5</v>
      </c>
    </row>
    <row r="172" spans="1:29" ht="36" customHeight="1" x14ac:dyDescent="0.3">
      <c r="A172" s="605"/>
      <c r="B172" s="608"/>
      <c r="C172" s="611"/>
      <c r="D172" s="614"/>
      <c r="E172" s="134" t="s">
        <v>653</v>
      </c>
      <c r="F172" s="139">
        <v>146.5</v>
      </c>
      <c r="G172" s="139">
        <v>146.5</v>
      </c>
      <c r="H172" s="139">
        <v>146.5</v>
      </c>
      <c r="I172" s="139">
        <v>146.5</v>
      </c>
      <c r="J172" s="139">
        <v>146.5</v>
      </c>
      <c r="K172" s="139">
        <v>146.5</v>
      </c>
      <c r="L172" s="139">
        <v>146.5</v>
      </c>
      <c r="M172" s="139">
        <v>146.5</v>
      </c>
      <c r="N172" s="139">
        <v>146.5</v>
      </c>
      <c r="O172" s="139">
        <v>146.5</v>
      </c>
      <c r="P172" s="139">
        <v>146.5</v>
      </c>
      <c r="Q172" s="139">
        <v>146.5</v>
      </c>
      <c r="R172" s="139">
        <v>146.5</v>
      </c>
      <c r="S172" s="139">
        <v>146.5</v>
      </c>
      <c r="T172" s="139">
        <v>146.5</v>
      </c>
      <c r="U172" s="139">
        <v>146.5</v>
      </c>
      <c r="V172" s="139">
        <v>146.5</v>
      </c>
      <c r="W172" s="139">
        <v>146.5</v>
      </c>
      <c r="X172" s="139">
        <v>146.5</v>
      </c>
      <c r="Y172" s="139">
        <v>146.5</v>
      </c>
      <c r="Z172" s="139">
        <v>146.5</v>
      </c>
      <c r="AA172" s="139">
        <v>146.5</v>
      </c>
      <c r="AB172" s="139">
        <v>146.5</v>
      </c>
      <c r="AC172" s="138">
        <v>146.5</v>
      </c>
    </row>
    <row r="173" spans="1:29" ht="36" customHeight="1" thickBot="1" x14ac:dyDescent="0.35">
      <c r="A173" s="606"/>
      <c r="B173" s="609"/>
      <c r="C173" s="612"/>
      <c r="D173" s="615"/>
      <c r="E173" s="132" t="s">
        <v>654</v>
      </c>
      <c r="F173" s="137">
        <v>146.5</v>
      </c>
      <c r="G173" s="137">
        <v>146.5</v>
      </c>
      <c r="H173" s="137">
        <v>146.5</v>
      </c>
      <c r="I173" s="137">
        <v>146.5</v>
      </c>
      <c r="J173" s="137">
        <v>146.5</v>
      </c>
      <c r="K173" s="137">
        <v>146.5</v>
      </c>
      <c r="L173" s="137">
        <v>146.5</v>
      </c>
      <c r="M173" s="137">
        <v>146.5</v>
      </c>
      <c r="N173" s="137">
        <v>146.5</v>
      </c>
      <c r="O173" s="137">
        <v>146.5</v>
      </c>
      <c r="P173" s="137">
        <v>146.5</v>
      </c>
      <c r="Q173" s="137">
        <v>146.5</v>
      </c>
      <c r="R173" s="137">
        <v>146.5</v>
      </c>
      <c r="S173" s="137">
        <v>146.5</v>
      </c>
      <c r="T173" s="137">
        <v>146.5</v>
      </c>
      <c r="U173" s="137">
        <v>146.5</v>
      </c>
      <c r="V173" s="137">
        <v>146.5</v>
      </c>
      <c r="W173" s="137">
        <v>146.5</v>
      </c>
      <c r="X173" s="137">
        <v>146.5</v>
      </c>
      <c r="Y173" s="137">
        <v>146.5</v>
      </c>
      <c r="Z173" s="137">
        <v>146.5</v>
      </c>
      <c r="AA173" s="137">
        <v>146.5</v>
      </c>
      <c r="AB173" s="137">
        <v>146.5</v>
      </c>
      <c r="AC173" s="136">
        <v>146.5</v>
      </c>
    </row>
    <row r="174" spans="1:29" ht="36" customHeight="1" x14ac:dyDescent="0.3">
      <c r="A174" s="604" t="s">
        <v>142</v>
      </c>
      <c r="B174" s="607" t="s">
        <v>84</v>
      </c>
      <c r="C174" s="652" t="s">
        <v>687</v>
      </c>
      <c r="D174" s="613" t="s">
        <v>682</v>
      </c>
      <c r="E174" s="135" t="s">
        <v>652</v>
      </c>
      <c r="F174" s="141">
        <v>117.2</v>
      </c>
      <c r="G174" s="141">
        <v>117.2</v>
      </c>
      <c r="H174" s="141">
        <v>117.2</v>
      </c>
      <c r="I174" s="141">
        <v>117.2</v>
      </c>
      <c r="J174" s="141">
        <v>117.2</v>
      </c>
      <c r="K174" s="141">
        <v>117.2</v>
      </c>
      <c r="L174" s="141">
        <v>117.2</v>
      </c>
      <c r="M174" s="141">
        <v>117.2</v>
      </c>
      <c r="N174" s="141">
        <v>117.2</v>
      </c>
      <c r="O174" s="141">
        <v>117.2</v>
      </c>
      <c r="P174" s="141">
        <v>117.2</v>
      </c>
      <c r="Q174" s="141">
        <v>117.2</v>
      </c>
      <c r="R174" s="141">
        <v>117.2</v>
      </c>
      <c r="S174" s="141">
        <v>117.2</v>
      </c>
      <c r="T174" s="141">
        <v>117.2</v>
      </c>
      <c r="U174" s="141">
        <v>117.2</v>
      </c>
      <c r="V174" s="141">
        <v>117.2</v>
      </c>
      <c r="W174" s="141">
        <v>117.2</v>
      </c>
      <c r="X174" s="141">
        <v>117.2</v>
      </c>
      <c r="Y174" s="141">
        <v>117.2</v>
      </c>
      <c r="Z174" s="141">
        <v>117.2</v>
      </c>
      <c r="AA174" s="141">
        <v>117.2</v>
      </c>
      <c r="AB174" s="141">
        <v>117.2</v>
      </c>
      <c r="AC174" s="140">
        <v>117.2</v>
      </c>
    </row>
    <row r="175" spans="1:29" ht="36" customHeight="1" x14ac:dyDescent="0.3">
      <c r="A175" s="605"/>
      <c r="B175" s="608"/>
      <c r="C175" s="611"/>
      <c r="D175" s="614"/>
      <c r="E175" s="134" t="s">
        <v>653</v>
      </c>
      <c r="F175" s="139">
        <v>117.2</v>
      </c>
      <c r="G175" s="139">
        <v>117.2</v>
      </c>
      <c r="H175" s="139">
        <v>117.2</v>
      </c>
      <c r="I175" s="139">
        <v>117.2</v>
      </c>
      <c r="J175" s="139">
        <v>117.2</v>
      </c>
      <c r="K175" s="139">
        <v>117.2</v>
      </c>
      <c r="L175" s="139">
        <v>117.2</v>
      </c>
      <c r="M175" s="139">
        <v>117.2</v>
      </c>
      <c r="N175" s="139">
        <v>117.2</v>
      </c>
      <c r="O175" s="139">
        <v>117.2</v>
      </c>
      <c r="P175" s="139">
        <v>117.2</v>
      </c>
      <c r="Q175" s="139">
        <v>117.2</v>
      </c>
      <c r="R175" s="139">
        <v>117.2</v>
      </c>
      <c r="S175" s="139">
        <v>117.2</v>
      </c>
      <c r="T175" s="139">
        <v>117.2</v>
      </c>
      <c r="U175" s="139">
        <v>117.2</v>
      </c>
      <c r="V175" s="139">
        <v>117.2</v>
      </c>
      <c r="W175" s="139">
        <v>117.2</v>
      </c>
      <c r="X175" s="139">
        <v>117.2</v>
      </c>
      <c r="Y175" s="139">
        <v>117.2</v>
      </c>
      <c r="Z175" s="139">
        <v>117.2</v>
      </c>
      <c r="AA175" s="139">
        <v>117.2</v>
      </c>
      <c r="AB175" s="139">
        <v>117.2</v>
      </c>
      <c r="AC175" s="138">
        <v>117.2</v>
      </c>
    </row>
    <row r="176" spans="1:29" ht="36" customHeight="1" thickBot="1" x14ac:dyDescent="0.35">
      <c r="A176" s="606"/>
      <c r="B176" s="609"/>
      <c r="C176" s="612"/>
      <c r="D176" s="615"/>
      <c r="E176" s="132" t="s">
        <v>654</v>
      </c>
      <c r="F176" s="137">
        <v>117.2</v>
      </c>
      <c r="G176" s="137">
        <v>117.2</v>
      </c>
      <c r="H176" s="137">
        <v>117.2</v>
      </c>
      <c r="I176" s="137">
        <v>117.2</v>
      </c>
      <c r="J176" s="137">
        <v>117.2</v>
      </c>
      <c r="K176" s="137">
        <v>117.2</v>
      </c>
      <c r="L176" s="137">
        <v>117.2</v>
      </c>
      <c r="M176" s="137">
        <v>117.2</v>
      </c>
      <c r="N176" s="137">
        <v>117.2</v>
      </c>
      <c r="O176" s="137">
        <v>117.2</v>
      </c>
      <c r="P176" s="137">
        <v>117.2</v>
      </c>
      <c r="Q176" s="137">
        <v>117.2</v>
      </c>
      <c r="R176" s="137">
        <v>117.2</v>
      </c>
      <c r="S176" s="137">
        <v>117.2</v>
      </c>
      <c r="T176" s="137">
        <v>117.2</v>
      </c>
      <c r="U176" s="137">
        <v>117.2</v>
      </c>
      <c r="V176" s="137">
        <v>117.2</v>
      </c>
      <c r="W176" s="137">
        <v>117.2</v>
      </c>
      <c r="X176" s="137">
        <v>117.2</v>
      </c>
      <c r="Y176" s="137">
        <v>117.2</v>
      </c>
      <c r="Z176" s="137">
        <v>117.2</v>
      </c>
      <c r="AA176" s="137">
        <v>117.2</v>
      </c>
      <c r="AB176" s="137">
        <v>117.2</v>
      </c>
      <c r="AC176" s="136">
        <v>117.2</v>
      </c>
    </row>
    <row r="177" spans="1:29" ht="36" customHeight="1" x14ac:dyDescent="0.3">
      <c r="A177" s="619" t="s">
        <v>688</v>
      </c>
      <c r="B177" s="622" t="s">
        <v>84</v>
      </c>
      <c r="C177" s="610" t="s">
        <v>689</v>
      </c>
      <c r="D177" s="613" t="s">
        <v>682</v>
      </c>
      <c r="E177" s="135" t="s">
        <v>652</v>
      </c>
      <c r="F177" s="141">
        <v>161.19999999999999</v>
      </c>
      <c r="G177" s="141">
        <v>161.19999999999999</v>
      </c>
      <c r="H177" s="141">
        <v>161.19999999999999</v>
      </c>
      <c r="I177" s="141">
        <v>161.19999999999999</v>
      </c>
      <c r="J177" s="141">
        <v>161.19999999999999</v>
      </c>
      <c r="K177" s="141">
        <v>161.19999999999999</v>
      </c>
      <c r="L177" s="141">
        <v>161.19999999999999</v>
      </c>
      <c r="M177" s="141">
        <v>161.19999999999999</v>
      </c>
      <c r="N177" s="141">
        <v>161.19999999999999</v>
      </c>
      <c r="O177" s="141">
        <v>161.19999999999999</v>
      </c>
      <c r="P177" s="141">
        <v>161.19999999999999</v>
      </c>
      <c r="Q177" s="141">
        <v>161.19999999999999</v>
      </c>
      <c r="R177" s="141">
        <v>161.19999999999999</v>
      </c>
      <c r="S177" s="141">
        <v>161.19999999999999</v>
      </c>
      <c r="T177" s="141">
        <v>161.19999999999999</v>
      </c>
      <c r="U177" s="141">
        <v>161.19999999999999</v>
      </c>
      <c r="V177" s="141">
        <v>161.19999999999999</v>
      </c>
      <c r="W177" s="141">
        <v>161.19999999999999</v>
      </c>
      <c r="X177" s="141">
        <v>161.19999999999999</v>
      </c>
      <c r="Y177" s="141">
        <v>161.19999999999999</v>
      </c>
      <c r="Z177" s="141">
        <v>161.19999999999999</v>
      </c>
      <c r="AA177" s="141">
        <v>161.19999999999999</v>
      </c>
      <c r="AB177" s="141">
        <v>161.19999999999999</v>
      </c>
      <c r="AC177" s="140">
        <v>161.19999999999999</v>
      </c>
    </row>
    <row r="178" spans="1:29" ht="36" customHeight="1" x14ac:dyDescent="0.3">
      <c r="A178" s="620"/>
      <c r="B178" s="623"/>
      <c r="C178" s="611"/>
      <c r="D178" s="614"/>
      <c r="E178" s="134" t="s">
        <v>653</v>
      </c>
      <c r="F178" s="139">
        <v>161.19999999999999</v>
      </c>
      <c r="G178" s="139">
        <v>161.19999999999999</v>
      </c>
      <c r="H178" s="139">
        <v>161.19999999999999</v>
      </c>
      <c r="I178" s="139">
        <v>161.19999999999999</v>
      </c>
      <c r="J178" s="139">
        <v>161.19999999999999</v>
      </c>
      <c r="K178" s="139">
        <v>161.19999999999999</v>
      </c>
      <c r="L178" s="139">
        <v>161.19999999999999</v>
      </c>
      <c r="M178" s="139">
        <v>161.19999999999999</v>
      </c>
      <c r="N178" s="139">
        <v>161.19999999999999</v>
      </c>
      <c r="O178" s="139">
        <v>161.19999999999999</v>
      </c>
      <c r="P178" s="139">
        <v>161.19999999999999</v>
      </c>
      <c r="Q178" s="139">
        <v>161.19999999999999</v>
      </c>
      <c r="R178" s="139">
        <v>161.19999999999999</v>
      </c>
      <c r="S178" s="139">
        <v>161.19999999999999</v>
      </c>
      <c r="T178" s="139">
        <v>161.19999999999999</v>
      </c>
      <c r="U178" s="139">
        <v>161.19999999999999</v>
      </c>
      <c r="V178" s="139">
        <v>161.19999999999999</v>
      </c>
      <c r="W178" s="139">
        <v>161.19999999999999</v>
      </c>
      <c r="X178" s="139">
        <v>161.19999999999999</v>
      </c>
      <c r="Y178" s="139">
        <v>161.19999999999999</v>
      </c>
      <c r="Z178" s="139">
        <v>161.19999999999999</v>
      </c>
      <c r="AA178" s="139">
        <v>161.19999999999999</v>
      </c>
      <c r="AB178" s="139">
        <v>161.19999999999999</v>
      </c>
      <c r="AC178" s="138">
        <v>161.19999999999999</v>
      </c>
    </row>
    <row r="179" spans="1:29" ht="36" customHeight="1" thickBot="1" x14ac:dyDescent="0.35">
      <c r="A179" s="621"/>
      <c r="B179" s="624"/>
      <c r="C179" s="612"/>
      <c r="D179" s="615"/>
      <c r="E179" s="132" t="s">
        <v>654</v>
      </c>
      <c r="F179" s="137">
        <v>161.19999999999999</v>
      </c>
      <c r="G179" s="137">
        <v>161.19999999999999</v>
      </c>
      <c r="H179" s="137">
        <v>161.19999999999999</v>
      </c>
      <c r="I179" s="137">
        <v>161.19999999999999</v>
      </c>
      <c r="J179" s="137">
        <v>161.19999999999999</v>
      </c>
      <c r="K179" s="137">
        <v>161.19999999999999</v>
      </c>
      <c r="L179" s="137">
        <v>161.19999999999999</v>
      </c>
      <c r="M179" s="137">
        <v>161.19999999999999</v>
      </c>
      <c r="N179" s="137">
        <v>161.19999999999999</v>
      </c>
      <c r="O179" s="137">
        <v>161.19999999999999</v>
      </c>
      <c r="P179" s="137">
        <v>161.19999999999999</v>
      </c>
      <c r="Q179" s="137">
        <v>161.19999999999999</v>
      </c>
      <c r="R179" s="137">
        <v>161.19999999999999</v>
      </c>
      <c r="S179" s="137">
        <v>161.19999999999999</v>
      </c>
      <c r="T179" s="137">
        <v>161.19999999999999</v>
      </c>
      <c r="U179" s="137">
        <v>161.19999999999999</v>
      </c>
      <c r="V179" s="137">
        <v>161.19999999999999</v>
      </c>
      <c r="W179" s="137">
        <v>161.19999999999999</v>
      </c>
      <c r="X179" s="137">
        <v>161.19999999999999</v>
      </c>
      <c r="Y179" s="137">
        <v>161.19999999999999</v>
      </c>
      <c r="Z179" s="137">
        <v>161.19999999999999</v>
      </c>
      <c r="AA179" s="137">
        <v>161.19999999999999</v>
      </c>
      <c r="AB179" s="137">
        <v>161.19999999999999</v>
      </c>
      <c r="AC179" s="136">
        <v>161.19999999999999</v>
      </c>
    </row>
    <row r="180" spans="1:29" ht="36" customHeight="1" x14ac:dyDescent="0.3">
      <c r="A180" s="619" t="s">
        <v>690</v>
      </c>
      <c r="B180" s="622" t="s">
        <v>84</v>
      </c>
      <c r="C180" s="610" t="s">
        <v>691</v>
      </c>
      <c r="D180" s="613" t="s">
        <v>692</v>
      </c>
      <c r="E180" s="135" t="s">
        <v>652</v>
      </c>
      <c r="F180" s="141">
        <v>131.9</v>
      </c>
      <c r="G180" s="141">
        <v>131.9</v>
      </c>
      <c r="H180" s="141">
        <v>131.9</v>
      </c>
      <c r="I180" s="141">
        <v>131.9</v>
      </c>
      <c r="J180" s="141">
        <v>131.9</v>
      </c>
      <c r="K180" s="141">
        <v>131.9</v>
      </c>
      <c r="L180" s="141">
        <v>131.9</v>
      </c>
      <c r="M180" s="141">
        <v>131.9</v>
      </c>
      <c r="N180" s="141">
        <v>131.9</v>
      </c>
      <c r="O180" s="141">
        <v>131.9</v>
      </c>
      <c r="P180" s="141">
        <v>131.9</v>
      </c>
      <c r="Q180" s="141">
        <v>131.9</v>
      </c>
      <c r="R180" s="141">
        <v>131.9</v>
      </c>
      <c r="S180" s="141">
        <v>131.9</v>
      </c>
      <c r="T180" s="141">
        <v>131.9</v>
      </c>
      <c r="U180" s="141">
        <v>131.9</v>
      </c>
      <c r="V180" s="141">
        <v>131.9</v>
      </c>
      <c r="W180" s="141">
        <v>131.9</v>
      </c>
      <c r="X180" s="141">
        <v>131.9</v>
      </c>
      <c r="Y180" s="141">
        <v>131.9</v>
      </c>
      <c r="Z180" s="141">
        <v>131.9</v>
      </c>
      <c r="AA180" s="141">
        <v>131.9</v>
      </c>
      <c r="AB180" s="141">
        <v>131.9</v>
      </c>
      <c r="AC180" s="140">
        <v>131.9</v>
      </c>
    </row>
    <row r="181" spans="1:29" ht="36" customHeight="1" x14ac:dyDescent="0.3">
      <c r="A181" s="620"/>
      <c r="B181" s="623"/>
      <c r="C181" s="611"/>
      <c r="D181" s="614"/>
      <c r="E181" s="134" t="s">
        <v>653</v>
      </c>
      <c r="F181" s="139">
        <v>131.9</v>
      </c>
      <c r="G181" s="139">
        <v>131.9</v>
      </c>
      <c r="H181" s="139">
        <v>131.9</v>
      </c>
      <c r="I181" s="139">
        <v>131.9</v>
      </c>
      <c r="J181" s="139">
        <v>131.9</v>
      </c>
      <c r="K181" s="139">
        <v>131.9</v>
      </c>
      <c r="L181" s="139">
        <v>131.9</v>
      </c>
      <c r="M181" s="139">
        <v>131.9</v>
      </c>
      <c r="N181" s="139">
        <v>131.9</v>
      </c>
      <c r="O181" s="139">
        <v>131.9</v>
      </c>
      <c r="P181" s="139">
        <v>131.9</v>
      </c>
      <c r="Q181" s="139">
        <v>131.9</v>
      </c>
      <c r="R181" s="139">
        <v>131.9</v>
      </c>
      <c r="S181" s="139">
        <v>131.9</v>
      </c>
      <c r="T181" s="139">
        <v>131.9</v>
      </c>
      <c r="U181" s="139">
        <v>131.9</v>
      </c>
      <c r="V181" s="139">
        <v>131.9</v>
      </c>
      <c r="W181" s="139">
        <v>131.9</v>
      </c>
      <c r="X181" s="139">
        <v>131.9</v>
      </c>
      <c r="Y181" s="139">
        <v>131.9</v>
      </c>
      <c r="Z181" s="139">
        <v>131.9</v>
      </c>
      <c r="AA181" s="139">
        <v>131.9</v>
      </c>
      <c r="AB181" s="139">
        <v>131.9</v>
      </c>
      <c r="AC181" s="138">
        <v>131.9</v>
      </c>
    </row>
    <row r="182" spans="1:29" ht="36" customHeight="1" thickBot="1" x14ac:dyDescent="0.35">
      <c r="A182" s="621"/>
      <c r="B182" s="624"/>
      <c r="C182" s="612"/>
      <c r="D182" s="615"/>
      <c r="E182" s="132" t="s">
        <v>654</v>
      </c>
      <c r="F182" s="137">
        <v>131.9</v>
      </c>
      <c r="G182" s="137">
        <v>131.9</v>
      </c>
      <c r="H182" s="137">
        <v>131.9</v>
      </c>
      <c r="I182" s="137">
        <v>131.9</v>
      </c>
      <c r="J182" s="137">
        <v>131.9</v>
      </c>
      <c r="K182" s="137">
        <v>131.9</v>
      </c>
      <c r="L182" s="137">
        <v>131.9</v>
      </c>
      <c r="M182" s="137">
        <v>131.9</v>
      </c>
      <c r="N182" s="137">
        <v>131.9</v>
      </c>
      <c r="O182" s="137">
        <v>131.9</v>
      </c>
      <c r="P182" s="137">
        <v>131.9</v>
      </c>
      <c r="Q182" s="137">
        <v>131.9</v>
      </c>
      <c r="R182" s="137">
        <v>131.9</v>
      </c>
      <c r="S182" s="137">
        <v>131.9</v>
      </c>
      <c r="T182" s="137">
        <v>131.9</v>
      </c>
      <c r="U182" s="137">
        <v>131.9</v>
      </c>
      <c r="V182" s="137">
        <v>131.9</v>
      </c>
      <c r="W182" s="137">
        <v>131.9</v>
      </c>
      <c r="X182" s="137">
        <v>131.9</v>
      </c>
      <c r="Y182" s="137">
        <v>131.9</v>
      </c>
      <c r="Z182" s="137">
        <v>131.9</v>
      </c>
      <c r="AA182" s="137">
        <v>131.9</v>
      </c>
      <c r="AB182" s="137">
        <v>131.9</v>
      </c>
      <c r="AC182" s="136">
        <v>131.9</v>
      </c>
    </row>
    <row r="183" spans="1:29" ht="36" customHeight="1" x14ac:dyDescent="0.3">
      <c r="A183" s="604" t="s">
        <v>693</v>
      </c>
      <c r="B183" s="607" t="s">
        <v>84</v>
      </c>
      <c r="C183" s="610" t="s">
        <v>694</v>
      </c>
      <c r="D183" s="613" t="s">
        <v>682</v>
      </c>
      <c r="E183" s="135" t="s">
        <v>652</v>
      </c>
      <c r="F183" s="141">
        <v>219.8</v>
      </c>
      <c r="G183" s="141">
        <v>219.8</v>
      </c>
      <c r="H183" s="141">
        <v>219.8</v>
      </c>
      <c r="I183" s="141">
        <v>219.8</v>
      </c>
      <c r="J183" s="141">
        <v>219.8</v>
      </c>
      <c r="K183" s="141">
        <v>219.8</v>
      </c>
      <c r="L183" s="141">
        <v>219.8</v>
      </c>
      <c r="M183" s="141">
        <v>219.8</v>
      </c>
      <c r="N183" s="141">
        <v>219.8</v>
      </c>
      <c r="O183" s="141">
        <v>219.8</v>
      </c>
      <c r="P183" s="141">
        <v>219.8</v>
      </c>
      <c r="Q183" s="141">
        <v>219.8</v>
      </c>
      <c r="R183" s="141">
        <v>219.8</v>
      </c>
      <c r="S183" s="141">
        <v>219.8</v>
      </c>
      <c r="T183" s="141">
        <v>219.8</v>
      </c>
      <c r="U183" s="141">
        <v>219.8</v>
      </c>
      <c r="V183" s="141">
        <v>219.8</v>
      </c>
      <c r="W183" s="141">
        <v>219.8</v>
      </c>
      <c r="X183" s="141">
        <v>219.8</v>
      </c>
      <c r="Y183" s="141">
        <v>219.8</v>
      </c>
      <c r="Z183" s="141">
        <v>219.8</v>
      </c>
      <c r="AA183" s="141">
        <v>219.8</v>
      </c>
      <c r="AB183" s="141">
        <v>219.8</v>
      </c>
      <c r="AC183" s="140">
        <v>219.8</v>
      </c>
    </row>
    <row r="184" spans="1:29" ht="36" customHeight="1" x14ac:dyDescent="0.3">
      <c r="A184" s="605"/>
      <c r="B184" s="608"/>
      <c r="C184" s="611"/>
      <c r="D184" s="614"/>
      <c r="E184" s="134" t="s">
        <v>653</v>
      </c>
      <c r="F184" s="139">
        <v>219.8</v>
      </c>
      <c r="G184" s="139">
        <v>219.8</v>
      </c>
      <c r="H184" s="139">
        <v>219.8</v>
      </c>
      <c r="I184" s="139">
        <v>219.8</v>
      </c>
      <c r="J184" s="139">
        <v>219.8</v>
      </c>
      <c r="K184" s="139">
        <v>219.8</v>
      </c>
      <c r="L184" s="139">
        <v>219.8</v>
      </c>
      <c r="M184" s="139">
        <v>219.8</v>
      </c>
      <c r="N184" s="139">
        <v>219.8</v>
      </c>
      <c r="O184" s="139">
        <v>219.8</v>
      </c>
      <c r="P184" s="139">
        <v>219.8</v>
      </c>
      <c r="Q184" s="139">
        <v>219.8</v>
      </c>
      <c r="R184" s="139">
        <v>219.8</v>
      </c>
      <c r="S184" s="139">
        <v>219.8</v>
      </c>
      <c r="T184" s="139">
        <v>219.8</v>
      </c>
      <c r="U184" s="139">
        <v>219.8</v>
      </c>
      <c r="V184" s="139">
        <v>219.8</v>
      </c>
      <c r="W184" s="139">
        <v>219.8</v>
      </c>
      <c r="X184" s="139">
        <v>219.8</v>
      </c>
      <c r="Y184" s="139">
        <v>219.8</v>
      </c>
      <c r="Z184" s="139">
        <v>219.8</v>
      </c>
      <c r="AA184" s="139">
        <v>219.8</v>
      </c>
      <c r="AB184" s="139">
        <v>219.8</v>
      </c>
      <c r="AC184" s="138">
        <v>219.8</v>
      </c>
    </row>
    <row r="185" spans="1:29" ht="36" customHeight="1" thickBot="1" x14ac:dyDescent="0.35">
      <c r="A185" s="606"/>
      <c r="B185" s="609"/>
      <c r="C185" s="612"/>
      <c r="D185" s="615"/>
      <c r="E185" s="132" t="s">
        <v>654</v>
      </c>
      <c r="F185" s="137">
        <v>219.8</v>
      </c>
      <c r="G185" s="137">
        <v>219.8</v>
      </c>
      <c r="H185" s="137">
        <v>219.8</v>
      </c>
      <c r="I185" s="137">
        <v>219.8</v>
      </c>
      <c r="J185" s="137">
        <v>219.8</v>
      </c>
      <c r="K185" s="137">
        <v>219.8</v>
      </c>
      <c r="L185" s="137">
        <v>219.8</v>
      </c>
      <c r="M185" s="137">
        <v>219.8</v>
      </c>
      <c r="N185" s="137">
        <v>219.8</v>
      </c>
      <c r="O185" s="137">
        <v>219.8</v>
      </c>
      <c r="P185" s="137">
        <v>219.8</v>
      </c>
      <c r="Q185" s="137">
        <v>219.8</v>
      </c>
      <c r="R185" s="137">
        <v>219.8</v>
      </c>
      <c r="S185" s="137">
        <v>219.8</v>
      </c>
      <c r="T185" s="137">
        <v>219.8</v>
      </c>
      <c r="U185" s="137">
        <v>219.8</v>
      </c>
      <c r="V185" s="137">
        <v>219.8</v>
      </c>
      <c r="W185" s="137">
        <v>219.8</v>
      </c>
      <c r="X185" s="137">
        <v>219.8</v>
      </c>
      <c r="Y185" s="137">
        <v>219.8</v>
      </c>
      <c r="Z185" s="137">
        <v>219.8</v>
      </c>
      <c r="AA185" s="137">
        <v>219.8</v>
      </c>
      <c r="AB185" s="137">
        <v>219.8</v>
      </c>
      <c r="AC185" s="136">
        <v>219.8</v>
      </c>
    </row>
    <row r="186" spans="1:29" ht="37.5" customHeight="1" thickBot="1" x14ac:dyDescent="0.35">
      <c r="A186" s="666" t="s">
        <v>695</v>
      </c>
      <c r="B186" s="666"/>
      <c r="C186" s="666" t="s">
        <v>16</v>
      </c>
      <c r="D186" s="666"/>
      <c r="E186" s="666"/>
      <c r="F186" s="666"/>
      <c r="G186" s="666"/>
      <c r="H186" s="666"/>
      <c r="I186" s="666"/>
      <c r="J186" s="666"/>
      <c r="K186" s="666"/>
      <c r="L186" s="666"/>
      <c r="M186" s="666"/>
      <c r="N186" s="666"/>
      <c r="O186" s="666"/>
      <c r="P186" s="666"/>
      <c r="Q186" s="666"/>
      <c r="R186" s="666"/>
      <c r="S186" s="666"/>
      <c r="T186" s="666"/>
      <c r="U186" s="666"/>
      <c r="V186" s="666"/>
      <c r="W186" s="666"/>
      <c r="X186" s="666"/>
      <c r="Y186" s="666"/>
      <c r="Z186" s="666"/>
      <c r="AA186" s="666"/>
      <c r="AB186" s="666"/>
      <c r="AC186" s="667"/>
    </row>
    <row r="187" spans="1:29" ht="30" customHeight="1" x14ac:dyDescent="0.3">
      <c r="A187" s="654" t="s">
        <v>696</v>
      </c>
      <c r="B187" s="657" t="s">
        <v>314</v>
      </c>
      <c r="C187" s="660" t="s">
        <v>660</v>
      </c>
      <c r="D187" s="663" t="s">
        <v>697</v>
      </c>
      <c r="E187" s="247" t="s">
        <v>652</v>
      </c>
      <c r="F187" s="248">
        <v>1</v>
      </c>
      <c r="G187" s="248">
        <v>1</v>
      </c>
      <c r="H187" s="248">
        <v>1</v>
      </c>
      <c r="I187" s="248">
        <v>1</v>
      </c>
      <c r="J187" s="248">
        <v>1</v>
      </c>
      <c r="K187" s="248">
        <v>1</v>
      </c>
      <c r="L187" s="248">
        <v>1</v>
      </c>
      <c r="M187" s="248">
        <v>1</v>
      </c>
      <c r="N187" s="248">
        <v>1</v>
      </c>
      <c r="O187" s="248">
        <v>1</v>
      </c>
      <c r="P187" s="248">
        <v>1</v>
      </c>
      <c r="Q187" s="248">
        <v>1</v>
      </c>
      <c r="R187" s="248">
        <v>1</v>
      </c>
      <c r="S187" s="248">
        <v>1</v>
      </c>
      <c r="T187" s="248">
        <v>1</v>
      </c>
      <c r="U187" s="248">
        <v>1</v>
      </c>
      <c r="V187" s="248">
        <v>1</v>
      </c>
      <c r="W187" s="248">
        <v>1</v>
      </c>
      <c r="X187" s="248">
        <v>1</v>
      </c>
      <c r="Y187" s="248">
        <v>1</v>
      </c>
      <c r="Z187" s="248">
        <v>1</v>
      </c>
      <c r="AA187" s="248">
        <v>1</v>
      </c>
      <c r="AB187" s="248">
        <v>1</v>
      </c>
      <c r="AC187" s="249">
        <v>1</v>
      </c>
    </row>
    <row r="188" spans="1:29" ht="30" customHeight="1" x14ac:dyDescent="0.3">
      <c r="A188" s="655"/>
      <c r="B188" s="658"/>
      <c r="C188" s="661"/>
      <c r="D188" s="664"/>
      <c r="E188" s="250" t="s">
        <v>653</v>
      </c>
      <c r="F188" s="251">
        <v>1</v>
      </c>
      <c r="G188" s="251">
        <v>1</v>
      </c>
      <c r="H188" s="251">
        <v>1</v>
      </c>
      <c r="I188" s="251">
        <v>1</v>
      </c>
      <c r="J188" s="251">
        <v>1</v>
      </c>
      <c r="K188" s="251">
        <v>1</v>
      </c>
      <c r="L188" s="251">
        <v>1</v>
      </c>
      <c r="M188" s="251">
        <v>1</v>
      </c>
      <c r="N188" s="251">
        <v>1</v>
      </c>
      <c r="O188" s="251">
        <v>1</v>
      </c>
      <c r="P188" s="251">
        <v>1</v>
      </c>
      <c r="Q188" s="251">
        <v>1</v>
      </c>
      <c r="R188" s="251">
        <v>1</v>
      </c>
      <c r="S188" s="251">
        <v>1</v>
      </c>
      <c r="T188" s="251">
        <v>1</v>
      </c>
      <c r="U188" s="251">
        <v>1</v>
      </c>
      <c r="V188" s="251">
        <v>1</v>
      </c>
      <c r="W188" s="251">
        <v>1</v>
      </c>
      <c r="X188" s="251">
        <v>1</v>
      </c>
      <c r="Y188" s="251">
        <v>1</v>
      </c>
      <c r="Z188" s="251">
        <v>1</v>
      </c>
      <c r="AA188" s="251">
        <v>1</v>
      </c>
      <c r="AB188" s="251">
        <v>1</v>
      </c>
      <c r="AC188" s="252">
        <v>1</v>
      </c>
    </row>
    <row r="189" spans="1:29" ht="30" customHeight="1" thickBot="1" x14ac:dyDescent="0.35">
      <c r="A189" s="656"/>
      <c r="B189" s="659"/>
      <c r="C189" s="662"/>
      <c r="D189" s="665"/>
      <c r="E189" s="253" t="s">
        <v>654</v>
      </c>
      <c r="F189" s="254">
        <v>1</v>
      </c>
      <c r="G189" s="254">
        <v>1</v>
      </c>
      <c r="H189" s="254">
        <v>1</v>
      </c>
      <c r="I189" s="254">
        <v>1</v>
      </c>
      <c r="J189" s="254">
        <v>1</v>
      </c>
      <c r="K189" s="254">
        <v>1</v>
      </c>
      <c r="L189" s="254">
        <v>1</v>
      </c>
      <c r="M189" s="254">
        <v>1</v>
      </c>
      <c r="N189" s="254">
        <v>1</v>
      </c>
      <c r="O189" s="254">
        <v>1</v>
      </c>
      <c r="P189" s="254">
        <v>1</v>
      </c>
      <c r="Q189" s="254">
        <v>1</v>
      </c>
      <c r="R189" s="254">
        <v>1</v>
      </c>
      <c r="S189" s="254">
        <v>1</v>
      </c>
      <c r="T189" s="254">
        <v>1</v>
      </c>
      <c r="U189" s="254">
        <v>1</v>
      </c>
      <c r="V189" s="254">
        <v>1</v>
      </c>
      <c r="W189" s="254">
        <v>1</v>
      </c>
      <c r="X189" s="254">
        <v>1</v>
      </c>
      <c r="Y189" s="254">
        <v>1</v>
      </c>
      <c r="Z189" s="254">
        <v>1</v>
      </c>
      <c r="AA189" s="254">
        <v>1</v>
      </c>
      <c r="AB189" s="254">
        <v>1</v>
      </c>
      <c r="AC189" s="255">
        <v>1</v>
      </c>
    </row>
    <row r="190" spans="1:29" ht="30" customHeight="1" x14ac:dyDescent="0.3">
      <c r="A190" s="654" t="s">
        <v>696</v>
      </c>
      <c r="B190" s="657" t="s">
        <v>314</v>
      </c>
      <c r="C190" s="660" t="s">
        <v>661</v>
      </c>
      <c r="D190" s="663" t="s">
        <v>697</v>
      </c>
      <c r="E190" s="247" t="s">
        <v>652</v>
      </c>
      <c r="F190" s="248">
        <f>Thermostat!$B$19</f>
        <v>35</v>
      </c>
      <c r="G190" s="248">
        <f>Thermostat!$B$19</f>
        <v>35</v>
      </c>
      <c r="H190" s="248">
        <f>Thermostat!$B$19</f>
        <v>35</v>
      </c>
      <c r="I190" s="248">
        <f>Thermostat!$B$19</f>
        <v>35</v>
      </c>
      <c r="J190" s="248">
        <f>Thermostat!$B$19</f>
        <v>35</v>
      </c>
      <c r="K190" s="248">
        <f>Thermostat!$B$19</f>
        <v>35</v>
      </c>
      <c r="L190" s="248">
        <f>Thermostat!$B$19</f>
        <v>35</v>
      </c>
      <c r="M190" s="248">
        <f>Thermostat!$B$19</f>
        <v>35</v>
      </c>
      <c r="N190" s="248">
        <f>Thermostat!$B$19</f>
        <v>35</v>
      </c>
      <c r="O190" s="248">
        <f>Thermostat!$B$19</f>
        <v>35</v>
      </c>
      <c r="P190" s="248">
        <f>Thermostat!$B$19</f>
        <v>35</v>
      </c>
      <c r="Q190" s="248">
        <f>Thermostat!$B$19</f>
        <v>35</v>
      </c>
      <c r="R190" s="248">
        <f>Thermostat!$B$19</f>
        <v>35</v>
      </c>
      <c r="S190" s="248">
        <f>Thermostat!$B$19</f>
        <v>35</v>
      </c>
      <c r="T190" s="248">
        <f>Thermostat!$B$19</f>
        <v>35</v>
      </c>
      <c r="U190" s="248">
        <f>Thermostat!$B$19</f>
        <v>35</v>
      </c>
      <c r="V190" s="248">
        <f>Thermostat!$B$19</f>
        <v>35</v>
      </c>
      <c r="W190" s="248">
        <f>Thermostat!$B$19</f>
        <v>35</v>
      </c>
      <c r="X190" s="248">
        <f>Thermostat!$B$19</f>
        <v>35</v>
      </c>
      <c r="Y190" s="248">
        <f>Thermostat!$B$19</f>
        <v>35</v>
      </c>
      <c r="Z190" s="248">
        <f>Thermostat!$B$19</f>
        <v>35</v>
      </c>
      <c r="AA190" s="248">
        <f>Thermostat!$B$19</f>
        <v>35</v>
      </c>
      <c r="AB190" s="248">
        <f>Thermostat!$B$19</f>
        <v>35</v>
      </c>
      <c r="AC190" s="249">
        <f>Thermostat!$B$19</f>
        <v>35</v>
      </c>
    </row>
    <row r="191" spans="1:29" ht="30" customHeight="1" x14ac:dyDescent="0.3">
      <c r="A191" s="655"/>
      <c r="B191" s="658"/>
      <c r="C191" s="661"/>
      <c r="D191" s="664"/>
      <c r="E191" s="250" t="s">
        <v>653</v>
      </c>
      <c r="F191" s="251">
        <f>Thermostat!$B$19</f>
        <v>35</v>
      </c>
      <c r="G191" s="251">
        <f>Thermostat!$B$19</f>
        <v>35</v>
      </c>
      <c r="H191" s="251">
        <f>Thermostat!$B$19</f>
        <v>35</v>
      </c>
      <c r="I191" s="251">
        <f>Thermostat!$B$19</f>
        <v>35</v>
      </c>
      <c r="J191" s="251">
        <f>Thermostat!$B$19</f>
        <v>35</v>
      </c>
      <c r="K191" s="251">
        <f>Thermostat!$B$19</f>
        <v>35</v>
      </c>
      <c r="L191" s="251">
        <f>Thermostat!$B$19</f>
        <v>35</v>
      </c>
      <c r="M191" s="251">
        <f>Thermostat!$B$19</f>
        <v>35</v>
      </c>
      <c r="N191" s="251">
        <f>Thermostat!$B$19</f>
        <v>35</v>
      </c>
      <c r="O191" s="251">
        <f>Thermostat!$B$19</f>
        <v>35</v>
      </c>
      <c r="P191" s="251">
        <f>Thermostat!$B$19</f>
        <v>35</v>
      </c>
      <c r="Q191" s="251">
        <f>Thermostat!$B$19</f>
        <v>35</v>
      </c>
      <c r="R191" s="251">
        <f>Thermostat!$B$19</f>
        <v>35</v>
      </c>
      <c r="S191" s="251">
        <f>Thermostat!$B$19</f>
        <v>35</v>
      </c>
      <c r="T191" s="251">
        <f>Thermostat!$B$19</f>
        <v>35</v>
      </c>
      <c r="U191" s="251">
        <f>Thermostat!$B$19</f>
        <v>35</v>
      </c>
      <c r="V191" s="251">
        <f>Thermostat!$B$19</f>
        <v>35</v>
      </c>
      <c r="W191" s="251">
        <f>Thermostat!$B$19</f>
        <v>35</v>
      </c>
      <c r="X191" s="251">
        <f>Thermostat!$B$19</f>
        <v>35</v>
      </c>
      <c r="Y191" s="251">
        <f>Thermostat!$B$19</f>
        <v>35</v>
      </c>
      <c r="Z191" s="251">
        <f>Thermostat!$B$19</f>
        <v>35</v>
      </c>
      <c r="AA191" s="251">
        <f>Thermostat!$B$19</f>
        <v>35</v>
      </c>
      <c r="AB191" s="251">
        <f>Thermostat!$B$19</f>
        <v>35</v>
      </c>
      <c r="AC191" s="252">
        <f>Thermostat!$B$19</f>
        <v>35</v>
      </c>
    </row>
    <row r="192" spans="1:29" ht="30" customHeight="1" thickBot="1" x14ac:dyDescent="0.35">
      <c r="A192" s="656"/>
      <c r="B192" s="659"/>
      <c r="C192" s="662"/>
      <c r="D192" s="665"/>
      <c r="E192" s="253" t="s">
        <v>654</v>
      </c>
      <c r="F192" s="254">
        <f>Thermostat!$B$19</f>
        <v>35</v>
      </c>
      <c r="G192" s="254">
        <f>Thermostat!$B$19</f>
        <v>35</v>
      </c>
      <c r="H192" s="254">
        <f>Thermostat!$B$19</f>
        <v>35</v>
      </c>
      <c r="I192" s="254">
        <f>Thermostat!$B$19</f>
        <v>35</v>
      </c>
      <c r="J192" s="254">
        <f>Thermostat!$B$19</f>
        <v>35</v>
      </c>
      <c r="K192" s="254">
        <f>Thermostat!$B$19</f>
        <v>35</v>
      </c>
      <c r="L192" s="254">
        <f>Thermostat!$B$19</f>
        <v>35</v>
      </c>
      <c r="M192" s="254">
        <f>Thermostat!$B$19</f>
        <v>35</v>
      </c>
      <c r="N192" s="254">
        <f>Thermostat!$B$19</f>
        <v>35</v>
      </c>
      <c r="O192" s="254">
        <f>Thermostat!$B$19</f>
        <v>35</v>
      </c>
      <c r="P192" s="254">
        <f>Thermostat!$B$19</f>
        <v>35</v>
      </c>
      <c r="Q192" s="254">
        <f>Thermostat!$B$19</f>
        <v>35</v>
      </c>
      <c r="R192" s="254">
        <f>Thermostat!$B$19</f>
        <v>35</v>
      </c>
      <c r="S192" s="254">
        <f>Thermostat!$B$19</f>
        <v>35</v>
      </c>
      <c r="T192" s="254">
        <f>Thermostat!$B$19</f>
        <v>35</v>
      </c>
      <c r="U192" s="254">
        <f>Thermostat!$B$19</f>
        <v>35</v>
      </c>
      <c r="V192" s="254">
        <f>Thermostat!$B$19</f>
        <v>35</v>
      </c>
      <c r="W192" s="254">
        <f>Thermostat!$B$19</f>
        <v>35</v>
      </c>
      <c r="X192" s="254">
        <f>Thermostat!$B$19</f>
        <v>35</v>
      </c>
      <c r="Y192" s="254">
        <f>Thermostat!$B$19</f>
        <v>35</v>
      </c>
      <c r="Z192" s="254">
        <f>Thermostat!$B$19</f>
        <v>35</v>
      </c>
      <c r="AA192" s="254">
        <f>Thermostat!$B$19</f>
        <v>35</v>
      </c>
      <c r="AB192" s="254">
        <f>Thermostat!$B$19</f>
        <v>35</v>
      </c>
      <c r="AC192" s="255">
        <f>Thermostat!$B$19</f>
        <v>35</v>
      </c>
    </row>
    <row r="193" spans="1:42" ht="30" customHeight="1" x14ac:dyDescent="0.3">
      <c r="A193" s="654" t="s">
        <v>696</v>
      </c>
      <c r="B193" s="657" t="s">
        <v>314</v>
      </c>
      <c r="C193" s="660" t="s">
        <v>663</v>
      </c>
      <c r="D193" s="663" t="s">
        <v>697</v>
      </c>
      <c r="E193" s="247" t="s">
        <v>652</v>
      </c>
      <c r="F193" s="248">
        <f>Thermostat!$B$20</f>
        <v>35</v>
      </c>
      <c r="G193" s="248">
        <f>Thermostat!$B$20</f>
        <v>35</v>
      </c>
      <c r="H193" s="248">
        <f>Thermostat!$B$20</f>
        <v>35</v>
      </c>
      <c r="I193" s="248">
        <f>Thermostat!$B$20</f>
        <v>35</v>
      </c>
      <c r="J193" s="248">
        <f>Thermostat!$B$20</f>
        <v>35</v>
      </c>
      <c r="K193" s="248">
        <f>Thermostat!$B$20</f>
        <v>35</v>
      </c>
      <c r="L193" s="248">
        <f>Thermostat!$B$20</f>
        <v>35</v>
      </c>
      <c r="M193" s="248">
        <f>Thermostat!$B$20</f>
        <v>35</v>
      </c>
      <c r="N193" s="248">
        <f>Thermostat!$B$20</f>
        <v>35</v>
      </c>
      <c r="O193" s="248">
        <f>Thermostat!$B$20</f>
        <v>35</v>
      </c>
      <c r="P193" s="248">
        <f>Thermostat!$B$20</f>
        <v>35</v>
      </c>
      <c r="Q193" s="248">
        <f>Thermostat!$B$20</f>
        <v>35</v>
      </c>
      <c r="R193" s="248">
        <f>Thermostat!$B$20</f>
        <v>35</v>
      </c>
      <c r="S193" s="248">
        <f>Thermostat!$B$20</f>
        <v>35</v>
      </c>
      <c r="T193" s="248">
        <f>Thermostat!$B$20</f>
        <v>35</v>
      </c>
      <c r="U193" s="248">
        <f>Thermostat!$B$20</f>
        <v>35</v>
      </c>
      <c r="V193" s="248">
        <f>Thermostat!$B$20</f>
        <v>35</v>
      </c>
      <c r="W193" s="248">
        <f>Thermostat!$B$20</f>
        <v>35</v>
      </c>
      <c r="X193" s="248">
        <f>Thermostat!$B$20</f>
        <v>35</v>
      </c>
      <c r="Y193" s="248">
        <f>Thermostat!$B$20</f>
        <v>35</v>
      </c>
      <c r="Z193" s="248">
        <f>Thermostat!$B$20</f>
        <v>35</v>
      </c>
      <c r="AA193" s="248">
        <f>Thermostat!$B$20</f>
        <v>35</v>
      </c>
      <c r="AB193" s="248">
        <f>Thermostat!$B$20</f>
        <v>35</v>
      </c>
      <c r="AC193" s="249">
        <f>Thermostat!$B$20</f>
        <v>35</v>
      </c>
    </row>
    <row r="194" spans="1:42" ht="30" customHeight="1" x14ac:dyDescent="0.3">
      <c r="A194" s="655"/>
      <c r="B194" s="658"/>
      <c r="C194" s="661"/>
      <c r="D194" s="664"/>
      <c r="E194" s="250" t="s">
        <v>653</v>
      </c>
      <c r="F194" s="251">
        <f>Thermostat!$B$20</f>
        <v>35</v>
      </c>
      <c r="G194" s="251">
        <f>Thermostat!$B$20</f>
        <v>35</v>
      </c>
      <c r="H194" s="251">
        <f>Thermostat!$B$20</f>
        <v>35</v>
      </c>
      <c r="I194" s="251">
        <f>Thermostat!$B$20</f>
        <v>35</v>
      </c>
      <c r="J194" s="251">
        <f>Thermostat!$B$20</f>
        <v>35</v>
      </c>
      <c r="K194" s="251">
        <f>Thermostat!$B$20</f>
        <v>35</v>
      </c>
      <c r="L194" s="251">
        <f>Thermostat!$B$20</f>
        <v>35</v>
      </c>
      <c r="M194" s="251">
        <f>Thermostat!$B$20</f>
        <v>35</v>
      </c>
      <c r="N194" s="251">
        <f>Thermostat!$B$20</f>
        <v>35</v>
      </c>
      <c r="O194" s="251">
        <f>Thermostat!$B$20</f>
        <v>35</v>
      </c>
      <c r="P194" s="251">
        <f>Thermostat!$B$20</f>
        <v>35</v>
      </c>
      <c r="Q194" s="251">
        <f>Thermostat!$B$20</f>
        <v>35</v>
      </c>
      <c r="R194" s="251">
        <f>Thermostat!$B$20</f>
        <v>35</v>
      </c>
      <c r="S194" s="251">
        <f>Thermostat!$B$20</f>
        <v>35</v>
      </c>
      <c r="T194" s="251">
        <f>Thermostat!$B$20</f>
        <v>35</v>
      </c>
      <c r="U194" s="251">
        <f>Thermostat!$B$20</f>
        <v>35</v>
      </c>
      <c r="V194" s="251">
        <f>Thermostat!$B$20</f>
        <v>35</v>
      </c>
      <c r="W194" s="251">
        <f>Thermostat!$B$20</f>
        <v>35</v>
      </c>
      <c r="X194" s="251">
        <f>Thermostat!$B$20</f>
        <v>35</v>
      </c>
      <c r="Y194" s="251">
        <f>Thermostat!$B$20</f>
        <v>35</v>
      </c>
      <c r="Z194" s="251">
        <f>Thermostat!$B$20</f>
        <v>35</v>
      </c>
      <c r="AA194" s="251">
        <f>Thermostat!$B$20</f>
        <v>35</v>
      </c>
      <c r="AB194" s="251">
        <f>Thermostat!$B$20</f>
        <v>35</v>
      </c>
      <c r="AC194" s="252">
        <f>Thermostat!$B$20</f>
        <v>35</v>
      </c>
    </row>
    <row r="195" spans="1:42" ht="30" customHeight="1" thickBot="1" x14ac:dyDescent="0.35">
      <c r="A195" s="656"/>
      <c r="B195" s="659"/>
      <c r="C195" s="662"/>
      <c r="D195" s="665"/>
      <c r="E195" s="253" t="s">
        <v>654</v>
      </c>
      <c r="F195" s="254">
        <f>Thermostat!$B$20</f>
        <v>35</v>
      </c>
      <c r="G195" s="254">
        <f>Thermostat!$B$20</f>
        <v>35</v>
      </c>
      <c r="H195" s="254">
        <f>Thermostat!$B$20</f>
        <v>35</v>
      </c>
      <c r="I195" s="254">
        <f>Thermostat!$B$20</f>
        <v>35</v>
      </c>
      <c r="J195" s="254">
        <f>Thermostat!$B$20</f>
        <v>35</v>
      </c>
      <c r="K195" s="254">
        <f>Thermostat!$B$20</f>
        <v>35</v>
      </c>
      <c r="L195" s="254">
        <f>Thermostat!$B$20</f>
        <v>35</v>
      </c>
      <c r="M195" s="254">
        <f>Thermostat!$B$20</f>
        <v>35</v>
      </c>
      <c r="N195" s="254">
        <f>Thermostat!$B$20</f>
        <v>35</v>
      </c>
      <c r="O195" s="254">
        <f>Thermostat!$B$20</f>
        <v>35</v>
      </c>
      <c r="P195" s="254">
        <f>Thermostat!$B$20</f>
        <v>35</v>
      </c>
      <c r="Q195" s="254">
        <f>Thermostat!$B$20</f>
        <v>35</v>
      </c>
      <c r="R195" s="254">
        <f>Thermostat!$B$20</f>
        <v>35</v>
      </c>
      <c r="S195" s="254">
        <f>Thermostat!$B$20</f>
        <v>35</v>
      </c>
      <c r="T195" s="254">
        <f>Thermostat!$B$20</f>
        <v>35</v>
      </c>
      <c r="U195" s="254">
        <f>Thermostat!$B$20</f>
        <v>35</v>
      </c>
      <c r="V195" s="254">
        <f>Thermostat!$B$20</f>
        <v>35</v>
      </c>
      <c r="W195" s="254">
        <f>Thermostat!$B$20</f>
        <v>35</v>
      </c>
      <c r="X195" s="254">
        <f>Thermostat!$B$20</f>
        <v>35</v>
      </c>
      <c r="Y195" s="254">
        <f>Thermostat!$B$20</f>
        <v>35</v>
      </c>
      <c r="Z195" s="254">
        <f>Thermostat!$B$20</f>
        <v>35</v>
      </c>
      <c r="AA195" s="254">
        <f>Thermostat!$B$20</f>
        <v>35</v>
      </c>
      <c r="AB195" s="254">
        <f>Thermostat!$B$20</f>
        <v>35</v>
      </c>
      <c r="AC195" s="255">
        <f>Thermostat!$B$20</f>
        <v>35</v>
      </c>
    </row>
    <row r="196" spans="1:42" customFormat="1" ht="14.4" x14ac:dyDescent="0.3"/>
    <row r="197" spans="1:42" customFormat="1" ht="14.4" x14ac:dyDescent="0.3"/>
    <row r="198" spans="1:42" customFormat="1" ht="14.4" x14ac:dyDescent="0.3">
      <c r="A198" s="184"/>
      <c r="B198" s="185"/>
      <c r="C198" s="69"/>
      <c r="D198" s="69"/>
      <c r="E198" s="69"/>
      <c r="F198" s="69"/>
      <c r="G198" s="69"/>
      <c r="H198" s="185"/>
      <c r="I198" s="185"/>
      <c r="J198" s="185"/>
      <c r="K198" s="185"/>
      <c r="L198" s="185"/>
      <c r="M198" s="185"/>
      <c r="N198" s="185"/>
      <c r="O198" s="185"/>
      <c r="P198" s="185"/>
      <c r="Q198" s="185"/>
      <c r="R198" s="185"/>
      <c r="S198" s="185"/>
      <c r="T198" s="185"/>
      <c r="U198" s="185"/>
      <c r="V198" s="185"/>
      <c r="W198" s="185"/>
      <c r="X198" s="185"/>
      <c r="Y198" s="185"/>
      <c r="Z198" s="185"/>
      <c r="AA198" s="185"/>
      <c r="AB198" s="185"/>
      <c r="AC198" s="185"/>
      <c r="AD198" s="185"/>
      <c r="AE198" s="185"/>
      <c r="AF198" s="185"/>
      <c r="AG198" s="185"/>
      <c r="AH198" s="185"/>
      <c r="AI198" s="185"/>
      <c r="AJ198" s="185"/>
      <c r="AK198" s="185"/>
      <c r="AL198" s="185"/>
      <c r="AM198" s="185"/>
      <c r="AN198" s="185"/>
      <c r="AO198" s="185"/>
      <c r="AP198" s="185"/>
    </row>
    <row r="199" spans="1:42" customFormat="1" ht="14.4" x14ac:dyDescent="0.3"/>
    <row r="200" spans="1:42" customFormat="1" ht="14.4" x14ac:dyDescent="0.3"/>
    <row r="201" spans="1:42" customFormat="1" ht="14.4" x14ac:dyDescent="0.3"/>
    <row r="202" spans="1:42" customFormat="1" ht="14.4" x14ac:dyDescent="0.3"/>
    <row r="203" spans="1:42" customFormat="1" ht="14.4" x14ac:dyDescent="0.3"/>
    <row r="204" spans="1:42" customFormat="1" ht="14.4" x14ac:dyDescent="0.3"/>
    <row r="205" spans="1:42" customFormat="1" ht="14.4" x14ac:dyDescent="0.3"/>
    <row r="206" spans="1:42" customFormat="1" ht="14.4" x14ac:dyDescent="0.3"/>
  </sheetData>
  <mergeCells count="228">
    <mergeCell ref="A193:A195"/>
    <mergeCell ref="B193:B195"/>
    <mergeCell ref="C193:C195"/>
    <mergeCell ref="D193:D195"/>
    <mergeCell ref="A186:AC186"/>
    <mergeCell ref="A187:A189"/>
    <mergeCell ref="B187:B189"/>
    <mergeCell ref="C187:C189"/>
    <mergeCell ref="D187:D189"/>
    <mergeCell ref="A190:A192"/>
    <mergeCell ref="B190:B192"/>
    <mergeCell ref="C190:C192"/>
    <mergeCell ref="D190:D192"/>
    <mergeCell ref="A144:A146"/>
    <mergeCell ref="B144:B146"/>
    <mergeCell ref="C144:C146"/>
    <mergeCell ref="D144:D146"/>
    <mergeCell ref="A147:A149"/>
    <mergeCell ref="B147:B149"/>
    <mergeCell ref="C147:C149"/>
    <mergeCell ref="D147:D149"/>
    <mergeCell ref="A135:A137"/>
    <mergeCell ref="B135:B137"/>
    <mergeCell ref="C135:C137"/>
    <mergeCell ref="D135:D137"/>
    <mergeCell ref="A138:A140"/>
    <mergeCell ref="B138:B140"/>
    <mergeCell ref="C138:C140"/>
    <mergeCell ref="D138:D140"/>
    <mergeCell ref="A141:A143"/>
    <mergeCell ref="B141:B143"/>
    <mergeCell ref="C141:C143"/>
    <mergeCell ref="D141:D143"/>
    <mergeCell ref="A116:A123"/>
    <mergeCell ref="B116:B123"/>
    <mergeCell ref="C116:C123"/>
    <mergeCell ref="D116:D123"/>
    <mergeCell ref="A124:A131"/>
    <mergeCell ref="B124:B131"/>
    <mergeCell ref="C124:C131"/>
    <mergeCell ref="D124:D131"/>
    <mergeCell ref="A132:A134"/>
    <mergeCell ref="B132:B134"/>
    <mergeCell ref="C132:C134"/>
    <mergeCell ref="D132:D134"/>
    <mergeCell ref="A99:AC99"/>
    <mergeCell ref="A100:A107"/>
    <mergeCell ref="B100:B107"/>
    <mergeCell ref="C100:C107"/>
    <mergeCell ref="D100:D107"/>
    <mergeCell ref="A108:A115"/>
    <mergeCell ref="B108:B115"/>
    <mergeCell ref="C108:C115"/>
    <mergeCell ref="D108:D115"/>
    <mergeCell ref="D59:D61"/>
    <mergeCell ref="A93:A95"/>
    <mergeCell ref="B93:B95"/>
    <mergeCell ref="C93:C95"/>
    <mergeCell ref="D93:D95"/>
    <mergeCell ref="A180:A182"/>
    <mergeCell ref="B180:B182"/>
    <mergeCell ref="C180:C182"/>
    <mergeCell ref="D180:D182"/>
    <mergeCell ref="A160:A162"/>
    <mergeCell ref="B160:B162"/>
    <mergeCell ref="C160:C162"/>
    <mergeCell ref="D160:D162"/>
    <mergeCell ref="A163:A170"/>
    <mergeCell ref="B163:B170"/>
    <mergeCell ref="C163:C170"/>
    <mergeCell ref="D163:D170"/>
    <mergeCell ref="A171:A173"/>
    <mergeCell ref="B171:B173"/>
    <mergeCell ref="C171:C173"/>
    <mergeCell ref="D171:D173"/>
    <mergeCell ref="C177:C179"/>
    <mergeCell ref="D177:D179"/>
    <mergeCell ref="A174:A176"/>
    <mergeCell ref="B174:B176"/>
    <mergeCell ref="C174:C176"/>
    <mergeCell ref="D174:D176"/>
    <mergeCell ref="D16:D18"/>
    <mergeCell ref="C22:C24"/>
    <mergeCell ref="D22:D24"/>
    <mergeCell ref="A22:A24"/>
    <mergeCell ref="C78:C80"/>
    <mergeCell ref="D78:D80"/>
    <mergeCell ref="A81:A83"/>
    <mergeCell ref="B81:B83"/>
    <mergeCell ref="A151:A153"/>
    <mergeCell ref="B151:B153"/>
    <mergeCell ref="C151:C153"/>
    <mergeCell ref="D151:D153"/>
    <mergeCell ref="C44:C46"/>
    <mergeCell ref="D44:D46"/>
    <mergeCell ref="A47:A49"/>
    <mergeCell ref="B47:B49"/>
    <mergeCell ref="A59:A61"/>
    <mergeCell ref="B59:B61"/>
    <mergeCell ref="D41:D43"/>
    <mergeCell ref="A50:A52"/>
    <mergeCell ref="B50:B52"/>
    <mergeCell ref="C13:C15"/>
    <mergeCell ref="D13:D15"/>
    <mergeCell ref="A13:A15"/>
    <mergeCell ref="A154:A156"/>
    <mergeCell ref="B154:B156"/>
    <mergeCell ref="C154:C156"/>
    <mergeCell ref="D154:D156"/>
    <mergeCell ref="A157:A159"/>
    <mergeCell ref="B157:B159"/>
    <mergeCell ref="C157:C159"/>
    <mergeCell ref="D157:D159"/>
    <mergeCell ref="D19:D21"/>
    <mergeCell ref="A19:A21"/>
    <mergeCell ref="A25:A27"/>
    <mergeCell ref="B25:B27"/>
    <mergeCell ref="C25:C27"/>
    <mergeCell ref="D25:D27"/>
    <mergeCell ref="A28:A30"/>
    <mergeCell ref="B28:B30"/>
    <mergeCell ref="C28:C30"/>
    <mergeCell ref="D28:D30"/>
    <mergeCell ref="A78:A80"/>
    <mergeCell ref="B78:B80"/>
    <mergeCell ref="C59:C61"/>
    <mergeCell ref="D4:D6"/>
    <mergeCell ref="A7:A9"/>
    <mergeCell ref="C10:C12"/>
    <mergeCell ref="B2:B3"/>
    <mergeCell ref="B4:B6"/>
    <mergeCell ref="B7:B9"/>
    <mergeCell ref="A1:AC1"/>
    <mergeCell ref="C4:C6"/>
    <mergeCell ref="C7:C9"/>
    <mergeCell ref="C2:C3"/>
    <mergeCell ref="D10:D12"/>
    <mergeCell ref="D7:D9"/>
    <mergeCell ref="F2:AC2"/>
    <mergeCell ref="E2:E3"/>
    <mergeCell ref="A2:A3"/>
    <mergeCell ref="D2:D3"/>
    <mergeCell ref="B10:B12"/>
    <mergeCell ref="A4:A6"/>
    <mergeCell ref="A10:A12"/>
    <mergeCell ref="B13:B15"/>
    <mergeCell ref="B16:B18"/>
    <mergeCell ref="B19:B21"/>
    <mergeCell ref="B22:B24"/>
    <mergeCell ref="C16:C18"/>
    <mergeCell ref="A16:A18"/>
    <mergeCell ref="C19:C21"/>
    <mergeCell ref="A68:AC68"/>
    <mergeCell ref="A150:AC150"/>
    <mergeCell ref="A69:A71"/>
    <mergeCell ref="B69:B71"/>
    <mergeCell ref="C69:C71"/>
    <mergeCell ref="D69:D71"/>
    <mergeCell ref="A72:A74"/>
    <mergeCell ref="B72:B74"/>
    <mergeCell ref="C72:C74"/>
    <mergeCell ref="D72:D74"/>
    <mergeCell ref="A75:A77"/>
    <mergeCell ref="B75:B77"/>
    <mergeCell ref="C75:C77"/>
    <mergeCell ref="D75:D77"/>
    <mergeCell ref="A34:AC34"/>
    <mergeCell ref="A44:A46"/>
    <mergeCell ref="B44:B46"/>
    <mergeCell ref="A183:A185"/>
    <mergeCell ref="B183:B185"/>
    <mergeCell ref="C183:C185"/>
    <mergeCell ref="D183:D185"/>
    <mergeCell ref="C81:C83"/>
    <mergeCell ref="D81:D83"/>
    <mergeCell ref="A84:A86"/>
    <mergeCell ref="B84:B86"/>
    <mergeCell ref="C84:C86"/>
    <mergeCell ref="D84:D86"/>
    <mergeCell ref="A87:A89"/>
    <mergeCell ref="B87:B89"/>
    <mergeCell ref="C87:C89"/>
    <mergeCell ref="D87:D89"/>
    <mergeCell ref="A90:A92"/>
    <mergeCell ref="B90:B92"/>
    <mergeCell ref="C90:C92"/>
    <mergeCell ref="D90:D92"/>
    <mergeCell ref="A96:A98"/>
    <mergeCell ref="B96:B98"/>
    <mergeCell ref="C96:C98"/>
    <mergeCell ref="D96:D98"/>
    <mergeCell ref="A177:A179"/>
    <mergeCell ref="B177:B179"/>
    <mergeCell ref="C50:C52"/>
    <mergeCell ref="D50:D52"/>
    <mergeCell ref="C47:C49"/>
    <mergeCell ref="D47:D49"/>
    <mergeCell ref="A35:A37"/>
    <mergeCell ref="B35:B37"/>
    <mergeCell ref="C35:C37"/>
    <mergeCell ref="D35:D37"/>
    <mergeCell ref="A38:A40"/>
    <mergeCell ref="B38:B40"/>
    <mergeCell ref="C38:C40"/>
    <mergeCell ref="A31:A33"/>
    <mergeCell ref="B31:B33"/>
    <mergeCell ref="C31:C33"/>
    <mergeCell ref="D31:D33"/>
    <mergeCell ref="A62:A64"/>
    <mergeCell ref="B62:B64"/>
    <mergeCell ref="C62:C64"/>
    <mergeCell ref="D62:D64"/>
    <mergeCell ref="A65:A67"/>
    <mergeCell ref="B65:B67"/>
    <mergeCell ref="C65:C67"/>
    <mergeCell ref="D65:D67"/>
    <mergeCell ref="A53:A55"/>
    <mergeCell ref="B53:B55"/>
    <mergeCell ref="C53:C55"/>
    <mergeCell ref="A56:A58"/>
    <mergeCell ref="B56:B58"/>
    <mergeCell ref="C56:C58"/>
    <mergeCell ref="D56:D58"/>
    <mergeCell ref="D53:D55"/>
    <mergeCell ref="D38:D40"/>
    <mergeCell ref="A41:A43"/>
    <mergeCell ref="B41:B43"/>
    <mergeCell ref="C41:C4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topLeftCell="C1" zoomScaleNormal="100" workbookViewId="0">
      <selection activeCell="I3" sqref="I3:L18"/>
    </sheetView>
  </sheetViews>
  <sheetFormatPr defaultColWidth="8.6640625" defaultRowHeight="13.2" x14ac:dyDescent="0.25"/>
  <cols>
    <col min="1" max="1" width="17.33203125" style="4" bestFit="1" customWidth="1"/>
    <col min="2" max="2" width="15.44140625" style="4" customWidth="1"/>
    <col min="3" max="3" width="19.33203125" style="4" customWidth="1"/>
    <col min="4" max="5" width="18.33203125" style="4" customWidth="1"/>
    <col min="6" max="8" width="13.6640625" style="4" customWidth="1"/>
    <col min="9" max="9" width="10.6640625" style="4" customWidth="1"/>
    <col min="10" max="10" width="13" style="4" customWidth="1"/>
    <col min="11" max="11" width="11.109375" style="4" customWidth="1"/>
    <col min="12" max="12" width="13.6640625" style="4" customWidth="1"/>
    <col min="13" max="13" width="8.6640625" style="4"/>
    <col min="14" max="14" width="17.33203125" style="4" bestFit="1" customWidth="1"/>
    <col min="15" max="15" width="10.5546875" style="4" customWidth="1"/>
    <col min="16" max="16" width="11" style="4" customWidth="1"/>
    <col min="17" max="17" width="17.88671875" style="4" customWidth="1"/>
    <col min="18" max="19" width="10.5546875" style="4" bestFit="1" customWidth="1"/>
    <col min="20" max="21" width="11.44140625" style="4" bestFit="1" customWidth="1"/>
    <col min="22" max="22" width="14.88671875" style="4" bestFit="1" customWidth="1"/>
    <col min="23" max="16384" width="8.6640625" style="4"/>
  </cols>
  <sheetData>
    <row r="1" spans="1:24" ht="33" customHeight="1" x14ac:dyDescent="0.3">
      <c r="A1" s="669" t="str">
        <f>"CalBEM Energy Consumption - "&amp;Prototype!B4</f>
        <v>CalBEM Energy Consumption - High School</v>
      </c>
      <c r="B1" s="670"/>
      <c r="C1" s="670"/>
      <c r="D1" s="670"/>
      <c r="E1" s="670"/>
      <c r="F1" s="670"/>
      <c r="G1" s="670"/>
      <c r="H1" s="670"/>
      <c r="I1" s="670"/>
      <c r="J1" s="670"/>
      <c r="K1" s="670"/>
      <c r="L1" s="670"/>
      <c r="M1"/>
      <c r="N1" s="671" t="str">
        <f>"Energy Consumption - "&amp;Prototype!A2</f>
        <v>Energy Consumption - SchoolHigh</v>
      </c>
      <c r="O1" s="471"/>
      <c r="P1" s="471"/>
      <c r="Q1" s="471"/>
      <c r="R1" s="471"/>
      <c r="S1" s="471"/>
      <c r="T1" s="471"/>
      <c r="U1" s="471"/>
      <c r="V1" s="471"/>
      <c r="W1"/>
      <c r="X1"/>
    </row>
    <row r="2" spans="1:24" ht="62.25" customHeight="1" x14ac:dyDescent="0.3">
      <c r="A2" s="387" t="s">
        <v>5</v>
      </c>
      <c r="B2" s="387" t="s">
        <v>698</v>
      </c>
      <c r="C2" s="387" t="s">
        <v>699</v>
      </c>
      <c r="D2" s="387" t="s">
        <v>700</v>
      </c>
      <c r="E2" s="387" t="s">
        <v>701</v>
      </c>
      <c r="F2" s="387" t="s">
        <v>702</v>
      </c>
      <c r="G2" s="387" t="s">
        <v>703</v>
      </c>
      <c r="H2" s="387" t="s">
        <v>704</v>
      </c>
      <c r="I2" s="186" t="s">
        <v>705</v>
      </c>
      <c r="J2" s="186" t="s">
        <v>706</v>
      </c>
      <c r="K2" s="186" t="s">
        <v>707</v>
      </c>
      <c r="L2" s="186" t="s">
        <v>708</v>
      </c>
      <c r="N2" s="183" t="s">
        <v>5</v>
      </c>
      <c r="O2" s="387" t="s">
        <v>698</v>
      </c>
      <c r="P2" s="387" t="s">
        <v>709</v>
      </c>
      <c r="Q2" s="387" t="s">
        <v>710</v>
      </c>
      <c r="R2" s="387" t="s">
        <v>711</v>
      </c>
      <c r="S2" s="187" t="s">
        <v>712</v>
      </c>
      <c r="T2" s="187" t="s">
        <v>713</v>
      </c>
      <c r="U2" s="187" t="s">
        <v>714</v>
      </c>
      <c r="V2" s="187" t="s">
        <v>715</v>
      </c>
      <c r="W2"/>
      <c r="X2"/>
    </row>
    <row r="3" spans="1:24" ht="19.2" customHeight="1" x14ac:dyDescent="0.3">
      <c r="A3" s="668" t="str">
        <f>Prototype!B4</f>
        <v>High School</v>
      </c>
      <c r="B3" s="424">
        <v>1</v>
      </c>
      <c r="C3" s="224"/>
      <c r="D3" s="224"/>
      <c r="E3" s="224"/>
      <c r="F3" s="424"/>
      <c r="G3" s="424"/>
      <c r="H3" s="424"/>
      <c r="I3" s="424">
        <v>38.700000000000003</v>
      </c>
      <c r="J3" s="224">
        <f>I3*1.25</f>
        <v>48.375</v>
      </c>
      <c r="K3" s="224">
        <f>I3*0.75</f>
        <v>29.025000000000002</v>
      </c>
      <c r="L3" s="224">
        <f>J3-K3</f>
        <v>19.349999999999998</v>
      </c>
      <c r="N3" s="470" t="str">
        <f>Prototype!B4</f>
        <v>High School</v>
      </c>
      <c r="O3" s="188">
        <v>1</v>
      </c>
      <c r="P3" s="107">
        <v>7618.5336979987769</v>
      </c>
      <c r="Q3" s="189">
        <v>32.349175832782279</v>
      </c>
      <c r="R3" s="189">
        <v>12.848136512515758</v>
      </c>
      <c r="S3" s="190">
        <v>55.364803618873651</v>
      </c>
      <c r="T3" s="425">
        <f>S3*1.25</f>
        <v>69.206004523592071</v>
      </c>
      <c r="U3" s="425">
        <f>S3*0.75</f>
        <v>41.523602714155238</v>
      </c>
      <c r="V3" s="191">
        <f>T3-U3</f>
        <v>27.682401809436833</v>
      </c>
      <c r="W3"/>
      <c r="X3"/>
    </row>
    <row r="4" spans="1:24" ht="19.2" customHeight="1" x14ac:dyDescent="0.3">
      <c r="A4" s="668"/>
      <c r="B4" s="424">
        <v>2</v>
      </c>
      <c r="C4" s="224"/>
      <c r="D4" s="224"/>
      <c r="E4" s="224"/>
      <c r="F4" s="424"/>
      <c r="G4" s="424"/>
      <c r="H4" s="424"/>
      <c r="I4" s="424">
        <v>34.299999999999997</v>
      </c>
      <c r="J4" s="224">
        <f t="shared" ref="J4:J18" si="0">I4*1.25</f>
        <v>42.875</v>
      </c>
      <c r="K4" s="224">
        <f t="shared" ref="K4:K18" si="1">I4*0.75</f>
        <v>25.724999999999998</v>
      </c>
      <c r="L4" s="224">
        <f t="shared" ref="L4:L18" si="2">J4-K4</f>
        <v>17.150000000000002</v>
      </c>
      <c r="N4" s="470"/>
      <c r="O4" s="188">
        <v>2</v>
      </c>
      <c r="P4" s="107">
        <v>11477.670560957027</v>
      </c>
      <c r="Q4" s="189">
        <v>15.421598301121483</v>
      </c>
      <c r="R4" s="189">
        <v>12.913999186871132</v>
      </c>
      <c r="S4" s="190">
        <v>47.89328303362015</v>
      </c>
      <c r="T4" s="425">
        <f t="shared" ref="T4:T18" si="3">S4*1.25</f>
        <v>59.866603792025188</v>
      </c>
      <c r="U4" s="425">
        <f t="shared" ref="U4:U18" si="4">S4*0.75</f>
        <v>35.919962275215113</v>
      </c>
      <c r="V4" s="191">
        <f t="shared" ref="V4:V18" si="5">T4-U4</f>
        <v>23.946641516810075</v>
      </c>
      <c r="W4"/>
      <c r="X4"/>
    </row>
    <row r="5" spans="1:24" ht="19.2" customHeight="1" x14ac:dyDescent="0.3">
      <c r="A5" s="668"/>
      <c r="B5" s="424">
        <v>3</v>
      </c>
      <c r="C5" s="224"/>
      <c r="D5" s="224"/>
      <c r="E5" s="224"/>
      <c r="F5" s="424"/>
      <c r="G5" s="424"/>
      <c r="H5" s="424"/>
      <c r="I5" s="424">
        <v>30.8</v>
      </c>
      <c r="J5" s="224">
        <f t="shared" si="0"/>
        <v>38.5</v>
      </c>
      <c r="K5" s="224">
        <f t="shared" si="1"/>
        <v>23.1</v>
      </c>
      <c r="L5" s="224">
        <f t="shared" si="2"/>
        <v>15.399999999999999</v>
      </c>
      <c r="N5" s="470"/>
      <c r="O5" s="188">
        <v>3</v>
      </c>
      <c r="P5" s="107">
        <v>46411.860464613921</v>
      </c>
      <c r="Q5" s="189">
        <v>20.479594859366287</v>
      </c>
      <c r="R5" s="189">
        <v>12.79924807855271</v>
      </c>
      <c r="S5" s="190">
        <v>100.09497401574612</v>
      </c>
      <c r="T5" s="425">
        <f t="shared" si="3"/>
        <v>125.11871751968265</v>
      </c>
      <c r="U5" s="425">
        <f t="shared" si="4"/>
        <v>75.071230511809588</v>
      </c>
      <c r="V5" s="191">
        <f t="shared" si="5"/>
        <v>50.047487007873059</v>
      </c>
      <c r="W5"/>
      <c r="X5"/>
    </row>
    <row r="6" spans="1:24" ht="19.2" customHeight="1" x14ac:dyDescent="0.3">
      <c r="A6" s="668"/>
      <c r="B6" s="424">
        <v>4</v>
      </c>
      <c r="C6" s="224"/>
      <c r="D6" s="224"/>
      <c r="E6" s="224"/>
      <c r="F6" s="424"/>
      <c r="G6" s="424"/>
      <c r="H6" s="424"/>
      <c r="I6" s="424">
        <v>39.5</v>
      </c>
      <c r="J6" s="224">
        <f t="shared" si="0"/>
        <v>49.375</v>
      </c>
      <c r="K6" s="224">
        <f t="shared" si="1"/>
        <v>29.625</v>
      </c>
      <c r="L6" s="224">
        <f t="shared" si="2"/>
        <v>19.75</v>
      </c>
      <c r="N6" s="470"/>
      <c r="O6" s="188">
        <v>4</v>
      </c>
      <c r="P6" s="107">
        <v>23032.968012628033</v>
      </c>
      <c r="Q6" s="189">
        <v>21.493730276699399</v>
      </c>
      <c r="R6" s="189">
        <v>13.019766805689686</v>
      </c>
      <c r="S6" s="190">
        <v>106.62132635774194</v>
      </c>
      <c r="T6" s="425">
        <f t="shared" si="3"/>
        <v>133.27665794717743</v>
      </c>
      <c r="U6" s="425">
        <f t="shared" si="4"/>
        <v>79.965994768306444</v>
      </c>
      <c r="V6" s="191">
        <f t="shared" si="5"/>
        <v>53.310663178870982</v>
      </c>
      <c r="W6"/>
      <c r="X6"/>
    </row>
    <row r="7" spans="1:24" ht="19.2" customHeight="1" x14ac:dyDescent="0.3">
      <c r="A7" s="668"/>
      <c r="B7" s="424">
        <v>5</v>
      </c>
      <c r="C7" s="224"/>
      <c r="D7" s="224"/>
      <c r="E7" s="224"/>
      <c r="F7" s="424"/>
      <c r="G7" s="424"/>
      <c r="H7" s="424"/>
      <c r="I7" s="424">
        <v>29.7</v>
      </c>
      <c r="J7" s="224">
        <f t="shared" si="0"/>
        <v>37.125</v>
      </c>
      <c r="K7" s="224">
        <f t="shared" si="1"/>
        <v>22.274999999999999</v>
      </c>
      <c r="L7" s="224">
        <f t="shared" si="2"/>
        <v>14.850000000000001</v>
      </c>
      <c r="N7" s="470"/>
      <c r="O7" s="188">
        <v>5</v>
      </c>
      <c r="P7" s="107">
        <v>5978.4428422392912</v>
      </c>
      <c r="Q7" s="189">
        <v>11.998072326077015</v>
      </c>
      <c r="R7" s="189">
        <v>11.585185132606563</v>
      </c>
      <c r="S7" s="190">
        <v>59.149270516191649</v>
      </c>
      <c r="T7" s="425">
        <f t="shared" si="3"/>
        <v>73.936588145239568</v>
      </c>
      <c r="U7" s="425">
        <f t="shared" si="4"/>
        <v>44.361952887143737</v>
      </c>
      <c r="V7" s="191">
        <f t="shared" si="5"/>
        <v>29.574635258095832</v>
      </c>
      <c r="W7"/>
      <c r="X7"/>
    </row>
    <row r="8" spans="1:24" ht="19.2" customHeight="1" x14ac:dyDescent="0.3">
      <c r="A8" s="668"/>
      <c r="B8" s="424">
        <v>6</v>
      </c>
      <c r="C8" s="224"/>
      <c r="D8" s="224"/>
      <c r="E8" s="224"/>
      <c r="F8" s="424"/>
      <c r="G8" s="424"/>
      <c r="H8" s="424"/>
      <c r="I8" s="424">
        <v>31.8</v>
      </c>
      <c r="J8" s="224">
        <f t="shared" si="0"/>
        <v>39.75</v>
      </c>
      <c r="K8" s="224">
        <f t="shared" si="1"/>
        <v>23.85</v>
      </c>
      <c r="L8" s="224">
        <f t="shared" si="2"/>
        <v>15.899999999999999</v>
      </c>
      <c r="N8" s="470"/>
      <c r="O8" s="188">
        <v>6</v>
      </c>
      <c r="P8" s="107">
        <v>57755.958884938154</v>
      </c>
      <c r="Q8" s="189">
        <v>22.607348922099643</v>
      </c>
      <c r="R8" s="189">
        <v>9.9467421462334809</v>
      </c>
      <c r="S8" s="190">
        <v>82.347487870533669</v>
      </c>
      <c r="T8" s="425">
        <f t="shared" si="3"/>
        <v>102.93435983816708</v>
      </c>
      <c r="U8" s="425">
        <f t="shared" si="4"/>
        <v>61.760615902900255</v>
      </c>
      <c r="V8" s="191">
        <f t="shared" si="5"/>
        <v>41.173743935266828</v>
      </c>
      <c r="W8"/>
      <c r="X8"/>
    </row>
    <row r="9" spans="1:24" ht="19.2" customHeight="1" x14ac:dyDescent="0.3">
      <c r="A9" s="668"/>
      <c r="B9" s="424">
        <v>7</v>
      </c>
      <c r="C9" s="224"/>
      <c r="D9" s="224"/>
      <c r="E9" s="224"/>
      <c r="F9" s="424"/>
      <c r="G9" s="424"/>
      <c r="H9" s="424"/>
      <c r="I9" s="424">
        <v>32.799999999999997</v>
      </c>
      <c r="J9" s="224">
        <f t="shared" si="0"/>
        <v>41</v>
      </c>
      <c r="K9" s="224">
        <f t="shared" si="1"/>
        <v>24.599999999999998</v>
      </c>
      <c r="L9" s="224">
        <f t="shared" si="2"/>
        <v>16.400000000000002</v>
      </c>
      <c r="N9" s="470"/>
      <c r="O9" s="188">
        <v>7</v>
      </c>
      <c r="P9" s="107">
        <v>35149.992570854702</v>
      </c>
      <c r="Q9" s="189">
        <v>24.848388187104383</v>
      </c>
      <c r="R9" s="189">
        <v>6.9700357314851695</v>
      </c>
      <c r="S9" s="190">
        <v>88.553475966326303</v>
      </c>
      <c r="T9" s="425">
        <f t="shared" si="3"/>
        <v>110.69184495790788</v>
      </c>
      <c r="U9" s="425">
        <f t="shared" si="4"/>
        <v>66.415106974744731</v>
      </c>
      <c r="V9" s="191">
        <f t="shared" si="5"/>
        <v>44.276737983163144</v>
      </c>
      <c r="W9"/>
      <c r="X9"/>
    </row>
    <row r="10" spans="1:24" ht="19.2" customHeight="1" x14ac:dyDescent="0.3">
      <c r="A10" s="668"/>
      <c r="B10" s="424">
        <v>8</v>
      </c>
      <c r="C10" s="224"/>
      <c r="D10" s="224"/>
      <c r="E10" s="224"/>
      <c r="F10" s="424"/>
      <c r="G10" s="424"/>
      <c r="H10" s="424"/>
      <c r="I10" s="424">
        <v>38.6</v>
      </c>
      <c r="J10" s="224">
        <f t="shared" si="0"/>
        <v>48.25</v>
      </c>
      <c r="K10" s="224">
        <f t="shared" si="1"/>
        <v>28.950000000000003</v>
      </c>
      <c r="L10" s="224">
        <f t="shared" si="2"/>
        <v>19.299999999999997</v>
      </c>
      <c r="N10" s="470"/>
      <c r="O10" s="188">
        <v>8</v>
      </c>
      <c r="P10" s="107">
        <v>92353.411344595792</v>
      </c>
      <c r="Q10" s="189">
        <v>22.935329040550439</v>
      </c>
      <c r="R10" s="189">
        <v>8.842202966161631</v>
      </c>
      <c r="S10" s="190">
        <v>103.44180549732351</v>
      </c>
      <c r="T10" s="425">
        <f t="shared" si="3"/>
        <v>129.30225687165438</v>
      </c>
      <c r="U10" s="425">
        <f t="shared" si="4"/>
        <v>77.581354122992636</v>
      </c>
      <c r="V10" s="191">
        <f t="shared" si="5"/>
        <v>51.720902748661743</v>
      </c>
      <c r="W10"/>
      <c r="X10"/>
    </row>
    <row r="11" spans="1:24" ht="19.2" customHeight="1" x14ac:dyDescent="0.3">
      <c r="A11" s="668"/>
      <c r="B11" s="424">
        <v>9</v>
      </c>
      <c r="C11" s="224"/>
      <c r="D11" s="224"/>
      <c r="E11" s="224"/>
      <c r="F11" s="424"/>
      <c r="G11" s="424"/>
      <c r="H11" s="424"/>
      <c r="I11" s="424">
        <v>38.5</v>
      </c>
      <c r="J11" s="224">
        <f t="shared" si="0"/>
        <v>48.125</v>
      </c>
      <c r="K11" s="224">
        <f t="shared" si="1"/>
        <v>28.875</v>
      </c>
      <c r="L11" s="224">
        <f t="shared" si="2"/>
        <v>19.25</v>
      </c>
      <c r="N11" s="470"/>
      <c r="O11" s="188">
        <v>9</v>
      </c>
      <c r="P11" s="107">
        <v>141795.4505918849</v>
      </c>
      <c r="Q11" s="189">
        <v>26.79734320498693</v>
      </c>
      <c r="R11" s="189">
        <v>10.089066914098808</v>
      </c>
      <c r="S11" s="190">
        <v>119.15131578438451</v>
      </c>
      <c r="T11" s="425">
        <f t="shared" si="3"/>
        <v>148.93914473048062</v>
      </c>
      <c r="U11" s="425">
        <f t="shared" si="4"/>
        <v>89.363486838288381</v>
      </c>
      <c r="V11" s="191">
        <f t="shared" si="5"/>
        <v>59.57565789219224</v>
      </c>
      <c r="W11"/>
      <c r="X11"/>
    </row>
    <row r="12" spans="1:24" ht="19.2" customHeight="1" x14ac:dyDescent="0.3">
      <c r="A12" s="668"/>
      <c r="B12" s="424">
        <v>10</v>
      </c>
      <c r="C12" s="224"/>
      <c r="D12" s="224"/>
      <c r="E12" s="224"/>
      <c r="F12" s="424"/>
      <c r="G12" s="424"/>
      <c r="H12" s="424"/>
      <c r="I12" s="424">
        <v>42.2</v>
      </c>
      <c r="J12" s="224">
        <f t="shared" si="0"/>
        <v>52.75</v>
      </c>
      <c r="K12" s="224">
        <f t="shared" si="1"/>
        <v>31.650000000000002</v>
      </c>
      <c r="L12" s="224">
        <f t="shared" si="2"/>
        <v>21.099999999999998</v>
      </c>
      <c r="N12" s="470"/>
      <c r="O12" s="188">
        <v>10</v>
      </c>
      <c r="P12" s="107">
        <v>92589.866923099296</v>
      </c>
      <c r="Q12" s="189">
        <v>22.490400741547862</v>
      </c>
      <c r="R12" s="189">
        <v>10.108975274600024</v>
      </c>
      <c r="S12" s="190">
        <v>67.419104208774073</v>
      </c>
      <c r="T12" s="425">
        <f t="shared" si="3"/>
        <v>84.273880260967587</v>
      </c>
      <c r="U12" s="425">
        <f t="shared" si="4"/>
        <v>50.564328156580558</v>
      </c>
      <c r="V12" s="191">
        <f t="shared" si="5"/>
        <v>33.709552104387029</v>
      </c>
      <c r="W12"/>
      <c r="X12"/>
    </row>
    <row r="13" spans="1:24" ht="19.2" customHeight="1" x14ac:dyDescent="0.3">
      <c r="A13" s="668"/>
      <c r="B13" s="424">
        <v>11</v>
      </c>
      <c r="C13" s="224"/>
      <c r="D13" s="224"/>
      <c r="E13" s="224"/>
      <c r="F13" s="424"/>
      <c r="G13" s="424"/>
      <c r="H13" s="424"/>
      <c r="I13" s="424">
        <v>47.7</v>
      </c>
      <c r="J13" s="224">
        <f t="shared" si="0"/>
        <v>59.625</v>
      </c>
      <c r="K13" s="224">
        <f t="shared" si="1"/>
        <v>35.775000000000006</v>
      </c>
      <c r="L13" s="224">
        <f t="shared" si="2"/>
        <v>23.849999999999994</v>
      </c>
      <c r="N13" s="470"/>
      <c r="O13" s="188">
        <v>11</v>
      </c>
      <c r="P13" s="107">
        <v>33810.488428667806</v>
      </c>
      <c r="Q13" s="189">
        <v>26.928661316570114</v>
      </c>
      <c r="R13" s="189">
        <v>8.7604369989222359</v>
      </c>
      <c r="S13" s="190">
        <v>68.839252987034271</v>
      </c>
      <c r="T13" s="425">
        <f t="shared" si="3"/>
        <v>86.049066233792843</v>
      </c>
      <c r="U13" s="425">
        <f t="shared" si="4"/>
        <v>51.6294397402757</v>
      </c>
      <c r="V13" s="191">
        <f t="shared" si="5"/>
        <v>34.419626493517143</v>
      </c>
      <c r="W13"/>
      <c r="X13"/>
    </row>
    <row r="14" spans="1:24" ht="19.2" customHeight="1" x14ac:dyDescent="0.3">
      <c r="A14" s="668"/>
      <c r="B14" s="424">
        <v>12</v>
      </c>
      <c r="C14" s="224"/>
      <c r="D14" s="224"/>
      <c r="E14" s="224"/>
      <c r="F14" s="424"/>
      <c r="G14" s="424"/>
      <c r="H14" s="424"/>
      <c r="I14" s="424">
        <v>41.6</v>
      </c>
      <c r="J14" s="224">
        <f t="shared" si="0"/>
        <v>52</v>
      </c>
      <c r="K14" s="224">
        <f t="shared" si="1"/>
        <v>31.200000000000003</v>
      </c>
      <c r="L14" s="224">
        <f t="shared" si="2"/>
        <v>20.799999999999997</v>
      </c>
      <c r="N14" s="470"/>
      <c r="O14" s="188">
        <v>12</v>
      </c>
      <c r="P14" s="107">
        <v>108342.43412674296</v>
      </c>
      <c r="Q14" s="189">
        <v>31.799593721150607</v>
      </c>
      <c r="R14" s="189">
        <v>12.230299256797961</v>
      </c>
      <c r="S14" s="190">
        <v>85.58737128246608</v>
      </c>
      <c r="T14" s="425">
        <f t="shared" si="3"/>
        <v>106.98421410308259</v>
      </c>
      <c r="U14" s="425">
        <f t="shared" si="4"/>
        <v>64.190528461849567</v>
      </c>
      <c r="V14" s="191">
        <f t="shared" si="5"/>
        <v>42.793685641233026</v>
      </c>
      <c r="W14"/>
      <c r="X14"/>
    </row>
    <row r="15" spans="1:24" ht="19.2" customHeight="1" x14ac:dyDescent="0.3">
      <c r="A15" s="668"/>
      <c r="B15" s="424">
        <v>13</v>
      </c>
      <c r="C15" s="224"/>
      <c r="D15" s="224"/>
      <c r="E15" s="224"/>
      <c r="F15" s="424"/>
      <c r="G15" s="424"/>
      <c r="H15" s="424"/>
      <c r="I15" s="424">
        <v>49.6</v>
      </c>
      <c r="J15" s="224">
        <f t="shared" si="0"/>
        <v>62</v>
      </c>
      <c r="K15" s="224">
        <f t="shared" si="1"/>
        <v>37.200000000000003</v>
      </c>
      <c r="L15" s="224">
        <f t="shared" si="2"/>
        <v>24.799999999999997</v>
      </c>
      <c r="N15" s="470"/>
      <c r="O15" s="188">
        <v>13</v>
      </c>
      <c r="P15" s="107">
        <v>46676.807804914482</v>
      </c>
      <c r="Q15" s="189">
        <v>32.656044140076112</v>
      </c>
      <c r="R15" s="189">
        <v>15.473533802907214</v>
      </c>
      <c r="S15" s="190">
        <v>57.735690126779041</v>
      </c>
      <c r="T15" s="425">
        <f t="shared" si="3"/>
        <v>72.169612658473795</v>
      </c>
      <c r="U15" s="425">
        <f t="shared" si="4"/>
        <v>43.301767595084279</v>
      </c>
      <c r="V15" s="191">
        <f t="shared" si="5"/>
        <v>28.867845063389517</v>
      </c>
      <c r="W15"/>
      <c r="X15"/>
    </row>
    <row r="16" spans="1:24" ht="19.2" customHeight="1" x14ac:dyDescent="0.3">
      <c r="A16" s="668"/>
      <c r="B16" s="424">
        <v>14</v>
      </c>
      <c r="C16" s="224"/>
      <c r="D16" s="224"/>
      <c r="E16" s="224"/>
      <c r="F16" s="424"/>
      <c r="G16" s="424"/>
      <c r="H16" s="424"/>
      <c r="I16" s="424">
        <v>48.8</v>
      </c>
      <c r="J16" s="224">
        <f t="shared" si="0"/>
        <v>61</v>
      </c>
      <c r="K16" s="224">
        <f t="shared" si="1"/>
        <v>36.599999999999994</v>
      </c>
      <c r="L16" s="224">
        <f t="shared" si="2"/>
        <v>24.400000000000006</v>
      </c>
      <c r="N16" s="470"/>
      <c r="O16" s="188">
        <v>14</v>
      </c>
      <c r="P16" s="107">
        <v>22787.738910986311</v>
      </c>
      <c r="Q16" s="189">
        <v>21.807169831743543</v>
      </c>
      <c r="R16" s="189">
        <v>11.433166078385915</v>
      </c>
      <c r="S16" s="190">
        <v>68.502534470485045</v>
      </c>
      <c r="T16" s="425">
        <f t="shared" si="3"/>
        <v>85.628168088106307</v>
      </c>
      <c r="U16" s="425">
        <f t="shared" si="4"/>
        <v>51.376900852863784</v>
      </c>
      <c r="V16" s="191">
        <f t="shared" si="5"/>
        <v>34.251267235242523</v>
      </c>
      <c r="W16"/>
      <c r="X16"/>
    </row>
    <row r="17" spans="1:24" ht="19.2" customHeight="1" x14ac:dyDescent="0.3">
      <c r="A17" s="668"/>
      <c r="B17" s="424">
        <v>15</v>
      </c>
      <c r="C17" s="224"/>
      <c r="D17" s="224"/>
      <c r="E17" s="224"/>
      <c r="F17" s="424"/>
      <c r="G17" s="424"/>
      <c r="H17" s="424"/>
      <c r="I17" s="424">
        <v>65.8</v>
      </c>
      <c r="J17" s="224">
        <f t="shared" si="0"/>
        <v>82.25</v>
      </c>
      <c r="K17" s="224">
        <f t="shared" si="1"/>
        <v>49.349999999999994</v>
      </c>
      <c r="L17" s="224">
        <f t="shared" si="2"/>
        <v>32.900000000000006</v>
      </c>
      <c r="N17" s="470"/>
      <c r="O17" s="188">
        <v>15</v>
      </c>
      <c r="P17" s="107">
        <v>54746.00286987007</v>
      </c>
      <c r="Q17" s="189">
        <v>21.954275213561427</v>
      </c>
      <c r="R17" s="189">
        <v>10.439126469769764</v>
      </c>
      <c r="S17" s="190">
        <v>47.715256155256746</v>
      </c>
      <c r="T17" s="425">
        <f t="shared" si="3"/>
        <v>59.644070194070935</v>
      </c>
      <c r="U17" s="425">
        <f t="shared" si="4"/>
        <v>35.786442116442558</v>
      </c>
      <c r="V17" s="191">
        <f t="shared" si="5"/>
        <v>23.857628077628377</v>
      </c>
      <c r="W17"/>
      <c r="X17"/>
    </row>
    <row r="18" spans="1:24" ht="19.2" customHeight="1" x14ac:dyDescent="0.3">
      <c r="A18" s="668"/>
      <c r="B18" s="424">
        <v>16</v>
      </c>
      <c r="C18" s="224"/>
      <c r="D18" s="224"/>
      <c r="E18" s="224"/>
      <c r="F18" s="424"/>
      <c r="G18" s="424"/>
      <c r="H18" s="424"/>
      <c r="I18" s="424">
        <v>44</v>
      </c>
      <c r="J18" s="224">
        <f t="shared" si="0"/>
        <v>55</v>
      </c>
      <c r="K18" s="224">
        <f t="shared" si="1"/>
        <v>33</v>
      </c>
      <c r="L18" s="224">
        <f t="shared" si="2"/>
        <v>22</v>
      </c>
      <c r="N18" s="470"/>
      <c r="O18" s="188">
        <v>16</v>
      </c>
      <c r="P18" s="107">
        <v>85267.890424747078</v>
      </c>
      <c r="Q18" s="189">
        <v>27.026910677602114</v>
      </c>
      <c r="R18" s="189">
        <v>11.652926502476937</v>
      </c>
      <c r="S18" s="190">
        <v>67.576478394300892</v>
      </c>
      <c r="T18" s="425">
        <f t="shared" si="3"/>
        <v>84.470597992876122</v>
      </c>
      <c r="U18" s="425">
        <f t="shared" si="4"/>
        <v>50.682358795725669</v>
      </c>
      <c r="V18" s="191">
        <f t="shared" si="5"/>
        <v>33.788239197150453</v>
      </c>
      <c r="W18"/>
      <c r="X18"/>
    </row>
    <row r="19" spans="1:24" ht="12.75" customHeight="1" x14ac:dyDescent="0.25"/>
    <row r="20" spans="1:24" x14ac:dyDescent="0.25">
      <c r="Q20" s="4" t="s">
        <v>716</v>
      </c>
    </row>
    <row r="21" spans="1:24" ht="14.4" x14ac:dyDescent="0.3">
      <c r="A21"/>
      <c r="B21"/>
      <c r="Q21" s="4" t="s">
        <v>717</v>
      </c>
    </row>
    <row r="22" spans="1:24" ht="14.4" x14ac:dyDescent="0.3">
      <c r="A22"/>
      <c r="B22"/>
    </row>
    <row r="23" spans="1:24" ht="14.4" x14ac:dyDescent="0.3">
      <c r="A23"/>
      <c r="B23"/>
    </row>
    <row r="24" spans="1:24" ht="14.4" x14ac:dyDescent="0.3">
      <c r="A24"/>
      <c r="B24"/>
      <c r="O24"/>
      <c r="P24"/>
      <c r="Q24"/>
      <c r="R24"/>
      <c r="S24"/>
      <c r="T24"/>
      <c r="U24"/>
    </row>
    <row r="25" spans="1:24" customFormat="1" ht="14.4" x14ac:dyDescent="0.3"/>
    <row r="26" spans="1:24" ht="14.4" x14ac:dyDescent="0.3">
      <c r="A26"/>
      <c r="B26"/>
      <c r="O26"/>
      <c r="P26"/>
      <c r="Q26"/>
      <c r="R26"/>
      <c r="S26"/>
      <c r="T26"/>
      <c r="U26"/>
    </row>
    <row r="27" spans="1:24" ht="14.4" x14ac:dyDescent="0.3">
      <c r="A27"/>
      <c r="B27"/>
      <c r="O27"/>
      <c r="P27"/>
      <c r="Q27"/>
      <c r="R27"/>
      <c r="S27"/>
      <c r="T27"/>
      <c r="U27"/>
    </row>
    <row r="28" spans="1:24" ht="14.4" x14ac:dyDescent="0.3">
      <c r="A28"/>
      <c r="B28"/>
      <c r="O28"/>
      <c r="P28"/>
      <c r="Q28"/>
      <c r="R28"/>
      <c r="S28"/>
      <c r="T28"/>
      <c r="U28"/>
    </row>
    <row r="29" spans="1:24" ht="14.4" x14ac:dyDescent="0.3">
      <c r="A29"/>
      <c r="B29"/>
      <c r="O29"/>
      <c r="P29"/>
      <c r="Q29"/>
      <c r="R29"/>
      <c r="S29"/>
      <c r="T29"/>
      <c r="U29"/>
    </row>
    <row r="30" spans="1:24" ht="14.4" x14ac:dyDescent="0.3">
      <c r="A30"/>
      <c r="B30"/>
      <c r="O30"/>
      <c r="P30"/>
      <c r="Q30"/>
      <c r="R30"/>
      <c r="S30"/>
      <c r="T30"/>
      <c r="U30"/>
    </row>
    <row r="31" spans="1:24" ht="14.4" x14ac:dyDescent="0.3">
      <c r="A31"/>
      <c r="B31"/>
      <c r="O31"/>
      <c r="P31"/>
      <c r="Q31"/>
      <c r="R31"/>
      <c r="S31"/>
      <c r="T31"/>
      <c r="U31"/>
    </row>
    <row r="32" spans="1:24"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672" t="str">
        <f>"PV - "&amp;Prototype!A2</f>
        <v>PV - SchoolHigh</v>
      </c>
      <c r="B1" s="672"/>
      <c r="C1" s="672"/>
      <c r="D1" s="672"/>
      <c r="E1" s="672"/>
      <c r="F1" s="672"/>
      <c r="G1" s="672"/>
      <c r="H1" s="672"/>
      <c r="I1" s="672"/>
      <c r="J1" s="672"/>
    </row>
    <row r="2" spans="1:10" x14ac:dyDescent="0.3">
      <c r="A2" t="s">
        <v>718</v>
      </c>
    </row>
  </sheetData>
  <mergeCells count="1">
    <mergeCell ref="A1:J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8" ht="20.399999999999999" customHeight="1" x14ac:dyDescent="0.25">
      <c r="A1" s="673" t="str">
        <f>"EV Charger - "&amp;Prototype!A2</f>
        <v>EV Charger - SchoolHigh</v>
      </c>
      <c r="B1" s="673"/>
      <c r="C1" s="673"/>
      <c r="D1" s="673"/>
      <c r="E1" s="673"/>
      <c r="F1" s="673"/>
      <c r="G1" s="673"/>
      <c r="H1" s="673"/>
    </row>
    <row r="2" spans="1:8" ht="14.4" x14ac:dyDescent="0.3">
      <c r="A2" t="s">
        <v>718</v>
      </c>
      <c r="B2" s="38"/>
      <c r="C2" s="39"/>
      <c r="D2" s="40"/>
      <c r="E2" s="40"/>
    </row>
    <row r="3" spans="1:8" x14ac:dyDescent="0.25">
      <c r="A3" s="426"/>
      <c r="B3" s="229"/>
      <c r="C3" s="208"/>
      <c r="D3" s="41"/>
      <c r="E3" s="41"/>
    </row>
    <row r="11" spans="1:8" s="18" customFormat="1" hidden="1" x14ac:dyDescent="0.25">
      <c r="A11" s="18" t="s">
        <v>366</v>
      </c>
      <c r="E11" s="19"/>
      <c r="F11" s="20"/>
      <c r="G11" s="21"/>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B304-56AE-48A9-ACB2-6F3F57726C56}">
  <sheetPr codeName="Sheet8"/>
  <dimension ref="A1:G83"/>
  <sheetViews>
    <sheetView topLeftCell="A55" workbookViewId="0">
      <selection activeCell="A83" sqref="A83"/>
    </sheetView>
  </sheetViews>
  <sheetFormatPr defaultRowHeight="14.4" x14ac:dyDescent="0.3"/>
  <cols>
    <col min="1" max="1" width="58.6640625" customWidth="1"/>
    <col min="2" max="2" width="30.88671875" customWidth="1"/>
    <col min="3" max="3" width="30.33203125" customWidth="1"/>
  </cols>
  <sheetData>
    <row r="1" spans="1:7" x14ac:dyDescent="0.3">
      <c r="A1" t="s">
        <v>719</v>
      </c>
      <c r="B1" t="s">
        <v>720</v>
      </c>
      <c r="C1" t="s">
        <v>720</v>
      </c>
      <c r="D1" s="674" t="s">
        <v>721</v>
      </c>
      <c r="E1" s="674"/>
      <c r="F1" s="674"/>
      <c r="G1" s="674"/>
    </row>
    <row r="2" spans="1:7" x14ac:dyDescent="0.3">
      <c r="A2" s="374" t="s">
        <v>722</v>
      </c>
      <c r="D2">
        <v>2013</v>
      </c>
      <c r="E2">
        <v>2016</v>
      </c>
      <c r="F2">
        <v>2019</v>
      </c>
      <c r="G2">
        <v>2025</v>
      </c>
    </row>
    <row r="3" spans="1:7" x14ac:dyDescent="0.3">
      <c r="A3" s="374" t="s">
        <v>723</v>
      </c>
    </row>
    <row r="4" spans="1:7" x14ac:dyDescent="0.3">
      <c r="A4" t="s">
        <v>724</v>
      </c>
    </row>
    <row r="5" spans="1:7" x14ac:dyDescent="0.3">
      <c r="A5" t="s">
        <v>725</v>
      </c>
    </row>
    <row r="6" spans="1:7" x14ac:dyDescent="0.3">
      <c r="A6" t="s">
        <v>726</v>
      </c>
    </row>
    <row r="7" spans="1:7" x14ac:dyDescent="0.3">
      <c r="A7" t="s">
        <v>727</v>
      </c>
    </row>
    <row r="8" spans="1:7" x14ac:dyDescent="0.3">
      <c r="A8" t="s">
        <v>728</v>
      </c>
    </row>
    <row r="9" spans="1:7" x14ac:dyDescent="0.3">
      <c r="A9" t="s">
        <v>729</v>
      </c>
    </row>
    <row r="10" spans="1:7" x14ac:dyDescent="0.3">
      <c r="A10" t="s">
        <v>730</v>
      </c>
    </row>
    <row r="11" spans="1:7" x14ac:dyDescent="0.3">
      <c r="A11" t="s">
        <v>731</v>
      </c>
    </row>
    <row r="12" spans="1:7" x14ac:dyDescent="0.3">
      <c r="A12" t="s">
        <v>732</v>
      </c>
    </row>
    <row r="13" spans="1:7" x14ac:dyDescent="0.3">
      <c r="A13" t="s">
        <v>733</v>
      </c>
    </row>
    <row r="14" spans="1:7" x14ac:dyDescent="0.3">
      <c r="A14" t="s">
        <v>734</v>
      </c>
    </row>
    <row r="15" spans="1:7" x14ac:dyDescent="0.3">
      <c r="A15" t="s">
        <v>156</v>
      </c>
    </row>
    <row r="16" spans="1:7" x14ac:dyDescent="0.3">
      <c r="A16" t="s">
        <v>735</v>
      </c>
    </row>
    <row r="17" spans="1:1" x14ac:dyDescent="0.3">
      <c r="A17" t="s">
        <v>107</v>
      </c>
    </row>
    <row r="18" spans="1:1" x14ac:dyDescent="0.3">
      <c r="A18" t="s">
        <v>736</v>
      </c>
    </row>
    <row r="19" spans="1:1" x14ac:dyDescent="0.3">
      <c r="A19" t="s">
        <v>110</v>
      </c>
    </row>
    <row r="20" spans="1:1" x14ac:dyDescent="0.3">
      <c r="A20" t="s">
        <v>737</v>
      </c>
    </row>
    <row r="21" spans="1:1" x14ac:dyDescent="0.3">
      <c r="A21" t="s">
        <v>104</v>
      </c>
    </row>
    <row r="22" spans="1:1" x14ac:dyDescent="0.3">
      <c r="A22" t="s">
        <v>738</v>
      </c>
    </row>
    <row r="23" spans="1:1" x14ac:dyDescent="0.3">
      <c r="A23" t="s">
        <v>113</v>
      </c>
    </row>
    <row r="24" spans="1:1" x14ac:dyDescent="0.3">
      <c r="A24" t="s">
        <v>199</v>
      </c>
    </row>
    <row r="25" spans="1:1" x14ac:dyDescent="0.3">
      <c r="A25" t="s">
        <v>739</v>
      </c>
    </row>
    <row r="26" spans="1:1" x14ac:dyDescent="0.3">
      <c r="A26" t="s">
        <v>740</v>
      </c>
    </row>
    <row r="27" spans="1:1" x14ac:dyDescent="0.3">
      <c r="A27" t="s">
        <v>741</v>
      </c>
    </row>
    <row r="28" spans="1:1" x14ac:dyDescent="0.3">
      <c r="A28" t="s">
        <v>742</v>
      </c>
    </row>
    <row r="29" spans="1:1" x14ac:dyDescent="0.3">
      <c r="A29" t="s">
        <v>743</v>
      </c>
    </row>
    <row r="30" spans="1:1" x14ac:dyDescent="0.3">
      <c r="A30" t="s">
        <v>744</v>
      </c>
    </row>
    <row r="31" spans="1:1" x14ac:dyDescent="0.3">
      <c r="A31" t="s">
        <v>745</v>
      </c>
    </row>
    <row r="32" spans="1:1" x14ac:dyDescent="0.3">
      <c r="A32" t="s">
        <v>746</v>
      </c>
    </row>
    <row r="33" spans="1:1" x14ac:dyDescent="0.3">
      <c r="A33" t="s">
        <v>747</v>
      </c>
    </row>
    <row r="34" spans="1:1" x14ac:dyDescent="0.3">
      <c r="A34" t="s">
        <v>748</v>
      </c>
    </row>
    <row r="35" spans="1:1" x14ac:dyDescent="0.3">
      <c r="A35" t="s">
        <v>749</v>
      </c>
    </row>
    <row r="36" spans="1:1" x14ac:dyDescent="0.3">
      <c r="A36" t="s">
        <v>118</v>
      </c>
    </row>
    <row r="37" spans="1:1" x14ac:dyDescent="0.3">
      <c r="A37" t="s">
        <v>750</v>
      </c>
    </row>
    <row r="38" spans="1:1" x14ac:dyDescent="0.3">
      <c r="A38" t="s">
        <v>146</v>
      </c>
    </row>
    <row r="39" spans="1:1" x14ac:dyDescent="0.3">
      <c r="A39" t="s">
        <v>751</v>
      </c>
    </row>
    <row r="40" spans="1:1" x14ac:dyDescent="0.3">
      <c r="A40" t="s">
        <v>149</v>
      </c>
    </row>
    <row r="41" spans="1:1" x14ac:dyDescent="0.3">
      <c r="A41" t="s">
        <v>752</v>
      </c>
    </row>
    <row r="42" spans="1:1" x14ac:dyDescent="0.3">
      <c r="A42" t="s">
        <v>122</v>
      </c>
    </row>
    <row r="43" spans="1:1" x14ac:dyDescent="0.3">
      <c r="A43" t="s">
        <v>205</v>
      </c>
    </row>
    <row r="44" spans="1:1" x14ac:dyDescent="0.3">
      <c r="A44" t="s">
        <v>99</v>
      </c>
    </row>
    <row r="45" spans="1:1" x14ac:dyDescent="0.3">
      <c r="A45" t="s">
        <v>753</v>
      </c>
    </row>
    <row r="46" spans="1:1" x14ac:dyDescent="0.3">
      <c r="A46" t="s">
        <v>754</v>
      </c>
    </row>
    <row r="47" spans="1:1" x14ac:dyDescent="0.3">
      <c r="A47" t="s">
        <v>755</v>
      </c>
    </row>
    <row r="48" spans="1:1" x14ac:dyDescent="0.3">
      <c r="A48" t="s">
        <v>756</v>
      </c>
    </row>
    <row r="49" spans="1:1" x14ac:dyDescent="0.3">
      <c r="A49" t="s">
        <v>757</v>
      </c>
    </row>
    <row r="50" spans="1:1" x14ac:dyDescent="0.3">
      <c r="A50" t="s">
        <v>758</v>
      </c>
    </row>
    <row r="51" spans="1:1" x14ac:dyDescent="0.3">
      <c r="A51" t="s">
        <v>125</v>
      </c>
    </row>
    <row r="52" spans="1:1" x14ac:dyDescent="0.3">
      <c r="A52" t="s">
        <v>759</v>
      </c>
    </row>
    <row r="53" spans="1:1" x14ac:dyDescent="0.3">
      <c r="A53" t="s">
        <v>760</v>
      </c>
    </row>
    <row r="54" spans="1:1" x14ac:dyDescent="0.3">
      <c r="A54" t="s">
        <v>761</v>
      </c>
    </row>
    <row r="55" spans="1:1" x14ac:dyDescent="0.3">
      <c r="A55" t="s">
        <v>762</v>
      </c>
    </row>
    <row r="56" spans="1:1" x14ac:dyDescent="0.3">
      <c r="A56" t="s">
        <v>763</v>
      </c>
    </row>
    <row r="57" spans="1:1" x14ac:dyDescent="0.3">
      <c r="A57" t="s">
        <v>764</v>
      </c>
    </row>
    <row r="58" spans="1:1" x14ac:dyDescent="0.3">
      <c r="A58" t="s">
        <v>765</v>
      </c>
    </row>
    <row r="59" spans="1:1" x14ac:dyDescent="0.3">
      <c r="A59" t="s">
        <v>128</v>
      </c>
    </row>
    <row r="60" spans="1:1" x14ac:dyDescent="0.3">
      <c r="A60" t="s">
        <v>766</v>
      </c>
    </row>
    <row r="61" spans="1:1" x14ac:dyDescent="0.3">
      <c r="A61" t="s">
        <v>767</v>
      </c>
    </row>
    <row r="62" spans="1:1" x14ac:dyDescent="0.3">
      <c r="A62" t="s">
        <v>134</v>
      </c>
    </row>
    <row r="63" spans="1:1" x14ac:dyDescent="0.3">
      <c r="A63" t="s">
        <v>768</v>
      </c>
    </row>
    <row r="64" spans="1:1" x14ac:dyDescent="0.3">
      <c r="A64" t="s">
        <v>131</v>
      </c>
    </row>
    <row r="65" spans="1:1" x14ac:dyDescent="0.3">
      <c r="A65" t="s">
        <v>769</v>
      </c>
    </row>
    <row r="66" spans="1:1" x14ac:dyDescent="0.3">
      <c r="A66" t="s">
        <v>770</v>
      </c>
    </row>
    <row r="67" spans="1:1" x14ac:dyDescent="0.3">
      <c r="A67" t="s">
        <v>771</v>
      </c>
    </row>
    <row r="68" spans="1:1" x14ac:dyDescent="0.3">
      <c r="A68" t="s">
        <v>772</v>
      </c>
    </row>
    <row r="69" spans="1:1" x14ac:dyDescent="0.3">
      <c r="A69" t="s">
        <v>773</v>
      </c>
    </row>
    <row r="70" spans="1:1" x14ac:dyDescent="0.3">
      <c r="A70" t="s">
        <v>137</v>
      </c>
    </row>
    <row r="71" spans="1:1" x14ac:dyDescent="0.3">
      <c r="A71" t="s">
        <v>774</v>
      </c>
    </row>
    <row r="72" spans="1:1" x14ac:dyDescent="0.3">
      <c r="A72" t="s">
        <v>775</v>
      </c>
    </row>
    <row r="73" spans="1:1" x14ac:dyDescent="0.3">
      <c r="A73" t="s">
        <v>776</v>
      </c>
    </row>
    <row r="74" spans="1:1" x14ac:dyDescent="0.3">
      <c r="A74" t="s">
        <v>777</v>
      </c>
    </row>
    <row r="75" spans="1:1" x14ac:dyDescent="0.3">
      <c r="A75" t="s">
        <v>778</v>
      </c>
    </row>
    <row r="76" spans="1:1" x14ac:dyDescent="0.3">
      <c r="A76" t="s">
        <v>779</v>
      </c>
    </row>
    <row r="77" spans="1:1" x14ac:dyDescent="0.3">
      <c r="A77" t="s">
        <v>780</v>
      </c>
    </row>
    <row r="78" spans="1:1" x14ac:dyDescent="0.3">
      <c r="A78" t="s">
        <v>781</v>
      </c>
    </row>
    <row r="79" spans="1:1" x14ac:dyDescent="0.3">
      <c r="A79" t="s">
        <v>541</v>
      </c>
    </row>
    <row r="80" spans="1:1" x14ac:dyDescent="0.3">
      <c r="A80" t="s">
        <v>782</v>
      </c>
    </row>
    <row r="81" spans="1:1" x14ac:dyDescent="0.3">
      <c r="A81" t="s">
        <v>783</v>
      </c>
    </row>
    <row r="82" spans="1:1" x14ac:dyDescent="0.3">
      <c r="A82" t="s">
        <v>784</v>
      </c>
    </row>
    <row r="83" spans="1:1" x14ac:dyDescent="0.3">
      <c r="A83" t="s">
        <v>191</v>
      </c>
    </row>
  </sheetData>
  <mergeCells count="1">
    <mergeCell ref="D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2"/>
  <sheetViews>
    <sheetView zoomScaleNormal="100" workbookViewId="0">
      <selection activeCell="A25" sqref="A25:XFD25"/>
    </sheetView>
  </sheetViews>
  <sheetFormatPr defaultColWidth="8.6640625" defaultRowHeight="13.2" x14ac:dyDescent="0.25"/>
  <cols>
    <col min="1" max="2" width="12" style="4" customWidth="1"/>
    <col min="3" max="6" width="13.6640625" style="4" customWidth="1"/>
    <col min="7" max="7" width="13.33203125" style="4" customWidth="1"/>
    <col min="8" max="8" width="12.6640625" style="4" bestFit="1" customWidth="1"/>
    <col min="9" max="9" width="8.6640625" style="4"/>
    <col min="10" max="10" width="12" style="4" customWidth="1"/>
    <col min="11" max="11" width="14.109375" style="4" customWidth="1"/>
    <col min="12" max="12" width="10.33203125" style="4" customWidth="1"/>
    <col min="13" max="27" width="5.6640625" style="4" customWidth="1"/>
    <col min="28" max="16384" width="8.6640625" style="4"/>
  </cols>
  <sheetData>
    <row r="1" spans="1:29" ht="28.95" customHeight="1" x14ac:dyDescent="0.3">
      <c r="A1" s="543" t="str">
        <f>"% of Floor Area per CZ and Vintage Bin - Schools"</f>
        <v>% of Floor Area per CZ and Vintage Bin - Schools</v>
      </c>
      <c r="B1" s="543"/>
      <c r="C1" s="543"/>
      <c r="D1" s="543"/>
      <c r="E1" s="543"/>
      <c r="F1" s="543"/>
      <c r="G1" s="543"/>
      <c r="I1"/>
      <c r="J1"/>
      <c r="K1"/>
      <c r="L1"/>
      <c r="M1"/>
      <c r="N1"/>
      <c r="O1"/>
      <c r="P1"/>
      <c r="Q1"/>
      <c r="R1"/>
      <c r="S1"/>
      <c r="T1"/>
      <c r="U1"/>
      <c r="V1"/>
      <c r="W1"/>
      <c r="X1"/>
      <c r="Y1"/>
      <c r="Z1"/>
      <c r="AA1"/>
      <c r="AB1"/>
      <c r="AC1"/>
    </row>
    <row r="2" spans="1:29" ht="21" customHeight="1" x14ac:dyDescent="0.3">
      <c r="A2" s="680" t="s">
        <v>5</v>
      </c>
      <c r="B2" s="680" t="s">
        <v>698</v>
      </c>
      <c r="C2" s="677" t="s">
        <v>785</v>
      </c>
      <c r="D2" s="678"/>
      <c r="E2" s="678"/>
      <c r="F2" s="678"/>
      <c r="G2" s="679"/>
      <c r="I2"/>
      <c r="J2"/>
      <c r="K2"/>
      <c r="L2"/>
      <c r="M2"/>
      <c r="N2"/>
      <c r="O2"/>
      <c r="P2"/>
      <c r="Q2"/>
      <c r="R2"/>
      <c r="S2"/>
      <c r="T2"/>
      <c r="U2"/>
      <c r="V2"/>
      <c r="W2"/>
      <c r="X2"/>
      <c r="Y2"/>
      <c r="Z2"/>
      <c r="AA2"/>
      <c r="AB2"/>
      <c r="AC2"/>
    </row>
    <row r="3" spans="1:29" ht="21" customHeight="1" x14ac:dyDescent="0.3">
      <c r="A3" s="681"/>
      <c r="B3" s="681"/>
      <c r="C3" s="183" t="s">
        <v>786</v>
      </c>
      <c r="D3" s="183" t="s">
        <v>248</v>
      </c>
      <c r="E3" s="183" t="s">
        <v>250</v>
      </c>
      <c r="F3" s="183" t="s">
        <v>252</v>
      </c>
      <c r="G3" s="183" t="s">
        <v>787</v>
      </c>
      <c r="I3"/>
      <c r="J3"/>
      <c r="K3"/>
      <c r="L3"/>
      <c r="M3"/>
      <c r="N3"/>
      <c r="O3"/>
      <c r="P3"/>
      <c r="Q3"/>
      <c r="R3"/>
      <c r="S3"/>
      <c r="T3"/>
      <c r="U3"/>
      <c r="V3"/>
      <c r="W3"/>
      <c r="X3"/>
      <c r="Y3"/>
      <c r="Z3"/>
      <c r="AA3"/>
      <c r="AB3"/>
      <c r="AC3"/>
    </row>
    <row r="4" spans="1:29" ht="16.95" customHeight="1" x14ac:dyDescent="0.3">
      <c r="A4" s="675" t="str">
        <f>Prototype!B4</f>
        <v>High School</v>
      </c>
      <c r="B4" s="82">
        <v>1</v>
      </c>
      <c r="C4" s="389"/>
      <c r="D4" s="389"/>
      <c r="E4" s="389"/>
      <c r="F4" s="389"/>
      <c r="G4" s="390"/>
      <c r="H4" s="56">
        <f>SUM(C4:G4)</f>
        <v>0</v>
      </c>
      <c r="I4"/>
      <c r="J4"/>
      <c r="K4"/>
      <c r="L4"/>
      <c r="M4"/>
      <c r="N4"/>
      <c r="O4"/>
      <c r="P4"/>
      <c r="Q4"/>
      <c r="R4"/>
      <c r="S4"/>
      <c r="T4"/>
      <c r="U4"/>
      <c r="V4"/>
      <c r="W4"/>
      <c r="X4"/>
      <c r="Y4"/>
      <c r="Z4"/>
      <c r="AA4"/>
      <c r="AB4"/>
      <c r="AC4"/>
    </row>
    <row r="5" spans="1:29" ht="16.95" customHeight="1" x14ac:dyDescent="0.3">
      <c r="A5" s="676"/>
      <c r="B5" s="32">
        <v>2</v>
      </c>
      <c r="C5" s="391"/>
      <c r="D5" s="391"/>
      <c r="E5" s="391"/>
      <c r="F5" s="391"/>
      <c r="G5" s="392"/>
      <c r="H5" s="56">
        <f t="shared" ref="H5:H19" si="0">SUM(C5:G5)</f>
        <v>0</v>
      </c>
      <c r="I5"/>
      <c r="J5"/>
      <c r="K5"/>
      <c r="L5"/>
      <c r="M5"/>
      <c r="N5"/>
      <c r="O5"/>
      <c r="P5"/>
      <c r="Q5"/>
      <c r="R5"/>
      <c r="S5"/>
      <c r="T5"/>
      <c r="U5"/>
      <c r="V5"/>
      <c r="W5"/>
      <c r="X5"/>
      <c r="Y5"/>
      <c r="Z5"/>
      <c r="AA5"/>
      <c r="AB5"/>
      <c r="AC5"/>
    </row>
    <row r="6" spans="1:29" ht="16.95" customHeight="1" x14ac:dyDescent="0.3">
      <c r="A6" s="676"/>
      <c r="B6" s="32">
        <v>3</v>
      </c>
      <c r="C6" s="391"/>
      <c r="D6" s="391"/>
      <c r="E6" s="391"/>
      <c r="F6" s="391"/>
      <c r="G6" s="392"/>
      <c r="H6" s="56">
        <f t="shared" si="0"/>
        <v>0</v>
      </c>
      <c r="I6"/>
      <c r="J6"/>
      <c r="K6"/>
      <c r="L6"/>
      <c r="M6"/>
      <c r="N6"/>
      <c r="O6"/>
      <c r="P6"/>
      <c r="Q6"/>
      <c r="R6"/>
      <c r="S6"/>
      <c r="T6"/>
      <c r="U6"/>
      <c r="V6"/>
      <c r="W6"/>
      <c r="X6"/>
      <c r="Y6"/>
      <c r="Z6"/>
      <c r="AA6"/>
      <c r="AB6"/>
      <c r="AC6"/>
    </row>
    <row r="7" spans="1:29" ht="16.95" customHeight="1" x14ac:dyDescent="0.3">
      <c r="A7" s="676"/>
      <c r="B7" s="32">
        <v>4</v>
      </c>
      <c r="C7" s="391"/>
      <c r="D7" s="391"/>
      <c r="E7" s="391"/>
      <c r="F7" s="391"/>
      <c r="G7" s="392"/>
      <c r="H7" s="56">
        <f t="shared" si="0"/>
        <v>0</v>
      </c>
      <c r="I7"/>
      <c r="J7"/>
      <c r="K7"/>
      <c r="L7"/>
      <c r="M7"/>
      <c r="N7"/>
      <c r="O7"/>
      <c r="P7"/>
      <c r="Q7"/>
      <c r="R7"/>
      <c r="S7"/>
      <c r="T7"/>
      <c r="U7"/>
      <c r="V7"/>
      <c r="W7"/>
      <c r="X7"/>
      <c r="Y7"/>
      <c r="Z7"/>
      <c r="AA7"/>
      <c r="AB7"/>
      <c r="AC7"/>
    </row>
    <row r="8" spans="1:29" ht="16.95" customHeight="1" x14ac:dyDescent="0.3">
      <c r="A8" s="676"/>
      <c r="B8" s="32">
        <v>5</v>
      </c>
      <c r="C8" s="391"/>
      <c r="D8" s="391"/>
      <c r="E8" s="391"/>
      <c r="F8" s="391"/>
      <c r="G8" s="392"/>
      <c r="H8" s="56">
        <f t="shared" si="0"/>
        <v>0</v>
      </c>
      <c r="I8"/>
      <c r="J8"/>
      <c r="K8"/>
      <c r="L8"/>
      <c r="M8"/>
      <c r="N8"/>
      <c r="O8"/>
      <c r="P8"/>
      <c r="Q8"/>
      <c r="R8"/>
      <c r="S8"/>
      <c r="T8"/>
      <c r="U8"/>
      <c r="V8"/>
      <c r="W8"/>
      <c r="X8"/>
      <c r="Y8"/>
      <c r="Z8"/>
      <c r="AA8"/>
      <c r="AB8"/>
      <c r="AC8"/>
    </row>
    <row r="9" spans="1:29" ht="16.95" customHeight="1" x14ac:dyDescent="0.3">
      <c r="A9" s="676"/>
      <c r="B9" s="32">
        <v>6</v>
      </c>
      <c r="C9" s="391"/>
      <c r="D9" s="391"/>
      <c r="E9" s="391"/>
      <c r="F9" s="391"/>
      <c r="G9" s="392"/>
      <c r="H9" s="56">
        <f t="shared" si="0"/>
        <v>0</v>
      </c>
      <c r="I9"/>
      <c r="J9"/>
      <c r="K9"/>
      <c r="L9"/>
      <c r="M9"/>
      <c r="N9"/>
      <c r="O9"/>
      <c r="P9"/>
      <c r="Q9"/>
      <c r="R9"/>
      <c r="S9"/>
      <c r="T9"/>
      <c r="U9"/>
      <c r="V9"/>
      <c r="W9"/>
      <c r="X9"/>
      <c r="Y9"/>
      <c r="Z9"/>
      <c r="AA9"/>
      <c r="AB9"/>
      <c r="AC9"/>
    </row>
    <row r="10" spans="1:29" ht="16.95" customHeight="1" x14ac:dyDescent="0.3">
      <c r="A10" s="676"/>
      <c r="B10" s="32">
        <v>7</v>
      </c>
      <c r="C10" s="391"/>
      <c r="D10" s="391"/>
      <c r="E10" s="391"/>
      <c r="F10" s="391"/>
      <c r="G10" s="392"/>
      <c r="H10" s="56">
        <f t="shared" si="0"/>
        <v>0</v>
      </c>
      <c r="I10"/>
      <c r="J10"/>
      <c r="K10"/>
      <c r="L10"/>
      <c r="M10"/>
      <c r="N10"/>
      <c r="O10"/>
      <c r="P10"/>
      <c r="Q10"/>
      <c r="R10"/>
      <c r="S10"/>
      <c r="T10"/>
      <c r="U10"/>
      <c r="V10"/>
      <c r="W10"/>
      <c r="X10"/>
      <c r="Y10"/>
      <c r="Z10"/>
      <c r="AA10"/>
      <c r="AB10"/>
      <c r="AC10"/>
    </row>
    <row r="11" spans="1:29" ht="16.95" customHeight="1" x14ac:dyDescent="0.25">
      <c r="A11" s="676"/>
      <c r="B11" s="32">
        <v>8</v>
      </c>
      <c r="C11" s="391"/>
      <c r="D11" s="391"/>
      <c r="E11" s="391"/>
      <c r="F11" s="391"/>
      <c r="G11" s="392"/>
      <c r="H11" s="56">
        <f t="shared" si="0"/>
        <v>0</v>
      </c>
      <c r="J11" s="6"/>
      <c r="K11" s="54"/>
      <c r="L11" s="24"/>
      <c r="M11" s="24"/>
      <c r="N11" s="24"/>
      <c r="O11" s="24"/>
      <c r="P11" s="55"/>
    </row>
    <row r="12" spans="1:29" ht="16.95" customHeight="1" x14ac:dyDescent="0.25">
      <c r="A12" s="676"/>
      <c r="B12" s="32">
        <v>9</v>
      </c>
      <c r="C12" s="391"/>
      <c r="D12" s="391"/>
      <c r="E12" s="391"/>
      <c r="F12" s="391"/>
      <c r="G12" s="392"/>
      <c r="H12" s="56">
        <f t="shared" si="0"/>
        <v>0</v>
      </c>
      <c r="J12" s="6"/>
      <c r="K12" s="54"/>
      <c r="L12" s="24"/>
      <c r="M12" s="24"/>
      <c r="N12" s="24"/>
      <c r="O12" s="24"/>
      <c r="P12" s="55"/>
    </row>
    <row r="13" spans="1:29" ht="16.95" customHeight="1" x14ac:dyDescent="0.25">
      <c r="A13" s="676"/>
      <c r="B13" s="32">
        <v>10</v>
      </c>
      <c r="C13" s="391"/>
      <c r="D13" s="391"/>
      <c r="E13" s="391"/>
      <c r="F13" s="391"/>
      <c r="G13" s="392"/>
      <c r="H13" s="56">
        <f t="shared" si="0"/>
        <v>0</v>
      </c>
      <c r="J13" s="6"/>
      <c r="K13" s="54"/>
      <c r="L13" s="24"/>
      <c r="M13" s="24"/>
      <c r="N13" s="24"/>
      <c r="O13" s="24"/>
      <c r="P13" s="55"/>
    </row>
    <row r="14" spans="1:29" ht="16.95" customHeight="1" x14ac:dyDescent="0.25">
      <c r="A14" s="676"/>
      <c r="B14" s="32">
        <v>11</v>
      </c>
      <c r="C14" s="391"/>
      <c r="D14" s="391"/>
      <c r="E14" s="391"/>
      <c r="F14" s="391"/>
      <c r="G14" s="392"/>
      <c r="H14" s="56">
        <f t="shared" si="0"/>
        <v>0</v>
      </c>
      <c r="J14" s="6"/>
      <c r="K14" s="54"/>
      <c r="L14" s="24"/>
      <c r="M14" s="24"/>
      <c r="N14" s="24"/>
      <c r="O14" s="24"/>
      <c r="P14" s="55"/>
    </row>
    <row r="15" spans="1:29" ht="16.95" customHeight="1" x14ac:dyDescent="0.25">
      <c r="A15" s="676"/>
      <c r="B15" s="32">
        <v>12</v>
      </c>
      <c r="C15" s="391"/>
      <c r="D15" s="391"/>
      <c r="E15" s="391"/>
      <c r="F15" s="391"/>
      <c r="G15" s="392"/>
      <c r="H15" s="56">
        <f t="shared" si="0"/>
        <v>0</v>
      </c>
      <c r="J15" s="6"/>
      <c r="K15" s="54"/>
      <c r="L15" s="24"/>
      <c r="M15" s="24"/>
      <c r="N15" s="24"/>
      <c r="O15" s="24"/>
      <c r="P15" s="55"/>
    </row>
    <row r="16" spans="1:29" ht="16.95" customHeight="1" x14ac:dyDescent="0.25">
      <c r="A16" s="676"/>
      <c r="B16" s="32">
        <v>13</v>
      </c>
      <c r="C16" s="391"/>
      <c r="D16" s="391"/>
      <c r="E16" s="391"/>
      <c r="F16" s="391"/>
      <c r="G16" s="392"/>
      <c r="H16" s="56">
        <f t="shared" si="0"/>
        <v>0</v>
      </c>
      <c r="J16" s="6"/>
      <c r="K16" s="54"/>
      <c r="L16" s="24"/>
      <c r="M16" s="24"/>
      <c r="N16" s="24"/>
      <c r="O16" s="24"/>
      <c r="P16" s="55"/>
    </row>
    <row r="17" spans="1:16" ht="16.95" customHeight="1" x14ac:dyDescent="0.25">
      <c r="A17" s="676"/>
      <c r="B17" s="32">
        <v>14</v>
      </c>
      <c r="C17" s="391"/>
      <c r="D17" s="391"/>
      <c r="E17" s="391"/>
      <c r="F17" s="391"/>
      <c r="G17" s="392"/>
      <c r="H17" s="56">
        <f t="shared" si="0"/>
        <v>0</v>
      </c>
      <c r="J17" s="6"/>
      <c r="K17" s="54"/>
      <c r="L17" s="24"/>
      <c r="M17" s="24"/>
      <c r="N17" s="24"/>
      <c r="O17" s="24"/>
      <c r="P17" s="55"/>
    </row>
    <row r="18" spans="1:16" ht="16.95" customHeight="1" x14ac:dyDescent="0.25">
      <c r="A18" s="676"/>
      <c r="B18" s="32">
        <v>15</v>
      </c>
      <c r="C18" s="391"/>
      <c r="D18" s="391"/>
      <c r="E18" s="391"/>
      <c r="F18" s="391"/>
      <c r="G18" s="392"/>
      <c r="H18" s="56">
        <f t="shared" si="0"/>
        <v>0</v>
      </c>
      <c r="J18" s="6"/>
      <c r="K18" s="54"/>
      <c r="L18" s="24"/>
      <c r="M18" s="24"/>
      <c r="N18" s="24"/>
      <c r="O18" s="24"/>
      <c r="P18" s="55"/>
    </row>
    <row r="19" spans="1:16" ht="16.95" customHeight="1" x14ac:dyDescent="0.25">
      <c r="A19" s="676"/>
      <c r="B19" s="32">
        <v>16</v>
      </c>
      <c r="C19" s="392"/>
      <c r="D19" s="392"/>
      <c r="E19" s="392"/>
      <c r="F19" s="392"/>
      <c r="G19" s="392"/>
      <c r="H19" s="56">
        <f t="shared" si="0"/>
        <v>0</v>
      </c>
      <c r="J19" s="6"/>
      <c r="K19" s="54"/>
      <c r="L19" s="24"/>
      <c r="M19" s="24"/>
      <c r="N19" s="24"/>
      <c r="O19" s="24"/>
      <c r="P19" s="55"/>
    </row>
    <row r="20" spans="1:16" x14ac:dyDescent="0.25">
      <c r="A20" s="676"/>
      <c r="B20" s="42" t="s">
        <v>788</v>
      </c>
      <c r="C20" s="392"/>
      <c r="D20" s="392"/>
      <c r="E20" s="392"/>
      <c r="F20" s="392"/>
      <c r="G20" s="392"/>
    </row>
    <row r="21" spans="1:16" x14ac:dyDescent="0.25">
      <c r="C21" s="393"/>
      <c r="D21" s="393"/>
      <c r="E21" s="393"/>
      <c r="F21" s="393"/>
      <c r="G21" s="393"/>
    </row>
    <row r="22" spans="1:16" x14ac:dyDescent="0.25">
      <c r="A22" s="4" t="s">
        <v>789</v>
      </c>
      <c r="C22" s="393"/>
      <c r="D22" s="393"/>
      <c r="E22" s="393"/>
      <c r="F22" s="393"/>
      <c r="G22" s="393"/>
    </row>
  </sheetData>
  <mergeCells count="5">
    <mergeCell ref="A4:A20"/>
    <mergeCell ref="C2:G2"/>
    <mergeCell ref="A1:G1"/>
    <mergeCell ref="B2:B3"/>
    <mergeCell ref="A2:A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6672EC-C6F6-4A8E-B106-0E88BE2B5A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PV</vt:lpstr>
      <vt:lpstr>EV Charger</vt:lpstr>
      <vt:lpstr>Data</vt:lpstr>
      <vt:lpstr>Weights</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ies>
</file>