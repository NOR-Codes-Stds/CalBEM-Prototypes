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6.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75EDFDB3-2B30-4B16-9824-FF9DA78CF34E}"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5" r:id="rId8"/>
    <sheet name="Interior Lights" sheetId="25" r:id="rId9"/>
    <sheet name="Ext Lighting" sheetId="9" r:id="rId10"/>
    <sheet name="Equipment" sheetId="29" r:id="rId11"/>
    <sheet name="Schedules" sheetId="34" r:id="rId12"/>
    <sheet name="Energy Usage" sheetId="20" state="hidden" r:id="rId13"/>
    <sheet name="Weights" sheetId="21" state="hidden" r:id="rId14"/>
    <sheet name="PV" sheetId="27" state="hidden" r:id="rId15"/>
    <sheet name="EV Charger" sheetId="22" state="hidden" r:id="rId16"/>
    <sheet name="Data" sheetId="33" state="hidden" r:id="rId17"/>
  </sheets>
  <definedNames>
    <definedName name="_xlnm._FilterDatabase" localSheetId="16" hidden="1">Data!$D$1:$G$1</definedName>
    <definedName name="_xlnm._FilterDatabase" localSheetId="10" hidden="1">Equipment!$A$2:$E$15</definedName>
    <definedName name="_xlnm._FilterDatabase" localSheetId="8" hidden="1">'Interior Lights'!$A$2:$G$16</definedName>
    <definedName name="_xlnm._FilterDatabase" localSheetId="11" hidden="1">Schedules!$A$2:$AP$129</definedName>
    <definedName name="_xlnm._FilterDatabase" localSheetId="6" hidden="1">Ventilation!$A$2:$L$41</definedName>
    <definedName name="_xlnm._FilterDatabase" localSheetId="2" hidden="1">Zones!$C$2:$L$41</definedName>
    <definedName name="nonparticipating_forecastzone_scale_factor" localSheetId="16">#REF!</definedName>
    <definedName name="nonparticipating_forecastzone_scale_factor" localSheetId="11">#REF!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5" l="1"/>
  <c r="F4" i="35"/>
  <c r="E4" i="35"/>
  <c r="AC139" i="34"/>
  <c r="AB139" i="34"/>
  <c r="AA139" i="34"/>
  <c r="Z139" i="34"/>
  <c r="Y139" i="34"/>
  <c r="X139" i="34"/>
  <c r="W139" i="34"/>
  <c r="V139" i="34"/>
  <c r="U139" i="34"/>
  <c r="T139" i="34"/>
  <c r="S139" i="34"/>
  <c r="R139" i="34"/>
  <c r="Q139" i="34"/>
  <c r="P139" i="34"/>
  <c r="O139" i="34"/>
  <c r="N139" i="34"/>
  <c r="M139" i="34"/>
  <c r="L139" i="34"/>
  <c r="K139" i="34"/>
  <c r="J139" i="34"/>
  <c r="I139" i="34"/>
  <c r="H139" i="34"/>
  <c r="G139" i="34"/>
  <c r="F139" i="34"/>
  <c r="AC138" i="34"/>
  <c r="AB138" i="34"/>
  <c r="AA138" i="34"/>
  <c r="Z138" i="34"/>
  <c r="Y138" i="34"/>
  <c r="X138" i="34"/>
  <c r="W138" i="34"/>
  <c r="V138" i="34"/>
  <c r="U138" i="34"/>
  <c r="T138" i="34"/>
  <c r="S138" i="34"/>
  <c r="R138" i="34"/>
  <c r="Q138" i="34"/>
  <c r="P138" i="34"/>
  <c r="O138" i="34"/>
  <c r="N138" i="34"/>
  <c r="M138" i="34"/>
  <c r="L138" i="34"/>
  <c r="K138" i="34"/>
  <c r="J138" i="34"/>
  <c r="I138" i="34"/>
  <c r="H138" i="34"/>
  <c r="G138" i="34"/>
  <c r="F138" i="34"/>
  <c r="AC137" i="34"/>
  <c r="AB137" i="34"/>
  <c r="AA137" i="34"/>
  <c r="Z137" i="34"/>
  <c r="Y137" i="34"/>
  <c r="X137" i="34"/>
  <c r="W137" i="34"/>
  <c r="V137" i="34"/>
  <c r="U137" i="34"/>
  <c r="T137" i="34"/>
  <c r="S137" i="34"/>
  <c r="R137" i="34"/>
  <c r="Q137" i="34"/>
  <c r="P137" i="34"/>
  <c r="O137" i="34"/>
  <c r="N137" i="34"/>
  <c r="M137" i="34"/>
  <c r="L137" i="34"/>
  <c r="K137" i="34"/>
  <c r="J137" i="34"/>
  <c r="I137" i="34"/>
  <c r="H137" i="34"/>
  <c r="G137" i="34"/>
  <c r="F137" i="34"/>
  <c r="AC136" i="34"/>
  <c r="AB136" i="34"/>
  <c r="AA136" i="34"/>
  <c r="Z136" i="34"/>
  <c r="Y136" i="34"/>
  <c r="X136" i="34"/>
  <c r="W136" i="34"/>
  <c r="V136" i="34"/>
  <c r="U136" i="34"/>
  <c r="T136" i="34"/>
  <c r="S136" i="34"/>
  <c r="R136" i="34"/>
  <c r="Q136" i="34"/>
  <c r="P136" i="34"/>
  <c r="O136" i="34"/>
  <c r="N136" i="34"/>
  <c r="M136" i="34"/>
  <c r="L136" i="34"/>
  <c r="K136" i="34"/>
  <c r="J136" i="34"/>
  <c r="I136" i="34"/>
  <c r="H136" i="34"/>
  <c r="G136" i="34"/>
  <c r="F136" i="34"/>
  <c r="AC135" i="34"/>
  <c r="AB135" i="34"/>
  <c r="AA135" i="34"/>
  <c r="Z135" i="34"/>
  <c r="Y135" i="34"/>
  <c r="X135" i="34"/>
  <c r="W135" i="34"/>
  <c r="V135" i="34"/>
  <c r="U135" i="34"/>
  <c r="T135" i="34"/>
  <c r="S135" i="34"/>
  <c r="R135" i="34"/>
  <c r="Q135" i="34"/>
  <c r="P135" i="34"/>
  <c r="O135" i="34"/>
  <c r="N135" i="34"/>
  <c r="M135" i="34"/>
  <c r="L135" i="34"/>
  <c r="K135" i="34"/>
  <c r="J135" i="34"/>
  <c r="I135" i="34"/>
  <c r="H135" i="34"/>
  <c r="G135" i="34"/>
  <c r="F135" i="34"/>
  <c r="AC134" i="34"/>
  <c r="AB134" i="34"/>
  <c r="AA134" i="34"/>
  <c r="Z134" i="34"/>
  <c r="Y134" i="34"/>
  <c r="X134" i="34"/>
  <c r="W134" i="34"/>
  <c r="V134" i="34"/>
  <c r="U134" i="34"/>
  <c r="T134" i="34"/>
  <c r="S134" i="34"/>
  <c r="R134" i="34"/>
  <c r="Q134" i="34"/>
  <c r="P134" i="34"/>
  <c r="O134" i="34"/>
  <c r="N134" i="34"/>
  <c r="M134" i="34"/>
  <c r="L134" i="34"/>
  <c r="K134" i="34"/>
  <c r="J134" i="34"/>
  <c r="I134" i="34"/>
  <c r="H134" i="34"/>
  <c r="G134" i="34"/>
  <c r="F134" i="34"/>
  <c r="AC52" i="34"/>
  <c r="AB52" i="34"/>
  <c r="AA52" i="34"/>
  <c r="Z52" i="34"/>
  <c r="Y52" i="34"/>
  <c r="X52" i="34"/>
  <c r="W52" i="34"/>
  <c r="V52" i="34"/>
  <c r="U52" i="34"/>
  <c r="T52" i="34"/>
  <c r="S52" i="34"/>
  <c r="R52" i="34"/>
  <c r="Q52" i="34"/>
  <c r="P52" i="34"/>
  <c r="O52" i="34"/>
  <c r="N52" i="34"/>
  <c r="M52" i="34"/>
  <c r="L52" i="34"/>
  <c r="K52" i="34"/>
  <c r="J52" i="34"/>
  <c r="I52" i="34"/>
  <c r="H52" i="34"/>
  <c r="G52" i="34"/>
  <c r="F52" i="34"/>
  <c r="AC51" i="34"/>
  <c r="AB51" i="34"/>
  <c r="AA51" i="34"/>
  <c r="Z51" i="34"/>
  <c r="Y51" i="34"/>
  <c r="X51" i="34"/>
  <c r="W51" i="34"/>
  <c r="V51" i="34"/>
  <c r="U51" i="34"/>
  <c r="T51" i="34"/>
  <c r="S51" i="34"/>
  <c r="R51" i="34"/>
  <c r="Q51" i="34"/>
  <c r="P51" i="34"/>
  <c r="O51" i="34"/>
  <c r="N51" i="34"/>
  <c r="M51" i="34"/>
  <c r="L51" i="34"/>
  <c r="K51" i="34"/>
  <c r="J51" i="34"/>
  <c r="I51" i="34"/>
  <c r="H51" i="34"/>
  <c r="G51" i="34"/>
  <c r="F51" i="34"/>
  <c r="AC50" i="34"/>
  <c r="AB50" i="34"/>
  <c r="AA50" i="34"/>
  <c r="Z50" i="34"/>
  <c r="Y50" i="34"/>
  <c r="X50" i="34"/>
  <c r="W50" i="34"/>
  <c r="V50" i="34"/>
  <c r="U50" i="34"/>
  <c r="T50" i="34"/>
  <c r="S50" i="34"/>
  <c r="R50" i="34"/>
  <c r="Q50" i="34"/>
  <c r="P50" i="34"/>
  <c r="O50" i="34"/>
  <c r="N50" i="34"/>
  <c r="M50" i="34"/>
  <c r="L50" i="34"/>
  <c r="K50" i="34"/>
  <c r="J50" i="34"/>
  <c r="I50" i="34"/>
  <c r="H50" i="34"/>
  <c r="G50" i="34"/>
  <c r="F50" i="34"/>
  <c r="AC49" i="34"/>
  <c r="AB49" i="34"/>
  <c r="AA49" i="34"/>
  <c r="Z49" i="34"/>
  <c r="Y49" i="34"/>
  <c r="X49" i="34"/>
  <c r="W49" i="34"/>
  <c r="V49" i="34"/>
  <c r="U49" i="34"/>
  <c r="T49" i="34"/>
  <c r="S49" i="34"/>
  <c r="R49" i="34"/>
  <c r="Q49" i="34"/>
  <c r="P49" i="34"/>
  <c r="O49" i="34"/>
  <c r="N49" i="34"/>
  <c r="M49" i="34"/>
  <c r="L49" i="34"/>
  <c r="K49" i="34"/>
  <c r="J49" i="34"/>
  <c r="I49" i="34"/>
  <c r="H49" i="34"/>
  <c r="G49" i="34"/>
  <c r="F49" i="34"/>
  <c r="AC48" i="34"/>
  <c r="AB48" i="34"/>
  <c r="AA48" i="34"/>
  <c r="Z48" i="34"/>
  <c r="Y48" i="34"/>
  <c r="X48" i="34"/>
  <c r="W48" i="34"/>
  <c r="V48" i="34"/>
  <c r="U48" i="34"/>
  <c r="T48" i="34"/>
  <c r="S48" i="34"/>
  <c r="R48" i="34"/>
  <c r="Q48" i="34"/>
  <c r="P48" i="34"/>
  <c r="O48" i="34"/>
  <c r="N48" i="34"/>
  <c r="M48" i="34"/>
  <c r="L48" i="34"/>
  <c r="K48" i="34"/>
  <c r="J48" i="34"/>
  <c r="I48" i="34"/>
  <c r="H48" i="34"/>
  <c r="G48" i="34"/>
  <c r="F48" i="34"/>
  <c r="AC47" i="34"/>
  <c r="AB47" i="34"/>
  <c r="AA47" i="34"/>
  <c r="Z47" i="34"/>
  <c r="Y47" i="34"/>
  <c r="X47" i="34"/>
  <c r="W47" i="34"/>
  <c r="V47" i="34"/>
  <c r="U47" i="34"/>
  <c r="T47" i="34"/>
  <c r="S47" i="34"/>
  <c r="R47" i="34"/>
  <c r="Q47" i="34"/>
  <c r="P47" i="34"/>
  <c r="O47" i="34"/>
  <c r="N47" i="34"/>
  <c r="M47" i="34"/>
  <c r="L47" i="34"/>
  <c r="K47" i="34"/>
  <c r="J47" i="34"/>
  <c r="I47" i="34"/>
  <c r="H47" i="34"/>
  <c r="G47" i="34"/>
  <c r="F47" i="34"/>
  <c r="E25" i="9"/>
  <c r="D25" i="9"/>
  <c r="C25" i="9"/>
  <c r="B25" i="9"/>
  <c r="AA56" i="1"/>
  <c r="AA55" i="1"/>
  <c r="AA51" i="1"/>
  <c r="AA50" i="1"/>
  <c r="AA46" i="1"/>
  <c r="AA45" i="1"/>
  <c r="AA40" i="1"/>
  <c r="AA41" i="1"/>
  <c r="I42" i="1" l="1"/>
  <c r="I41" i="1"/>
  <c r="I40" i="1"/>
  <c r="I39" i="1"/>
  <c r="I38" i="1"/>
  <c r="I55" i="1"/>
  <c r="I57" i="1"/>
  <c r="I53" i="1"/>
  <c r="I56" i="1"/>
  <c r="I54" i="1"/>
  <c r="I52" i="1"/>
  <c r="I50" i="1"/>
  <c r="I51" i="1"/>
  <c r="I49" i="1"/>
  <c r="I48" i="1"/>
  <c r="I47" i="1"/>
  <c r="I45" i="1"/>
  <c r="I43" i="1"/>
  <c r="I46" i="1"/>
  <c r="I44" i="1"/>
  <c r="AD100" i="34" l="1"/>
  <c r="C48" i="29" s="1"/>
  <c r="G20" i="29" l="1"/>
  <c r="G21" i="29"/>
  <c r="X29" i="1" l="1"/>
  <c r="W29" i="1"/>
  <c r="V29" i="1"/>
  <c r="U29" i="1"/>
  <c r="T29" i="1"/>
  <c r="S29" i="1"/>
  <c r="R29" i="1"/>
  <c r="Q29" i="1"/>
  <c r="P29" i="1"/>
  <c r="O29" i="1"/>
  <c r="N29" i="1"/>
  <c r="M29" i="1"/>
  <c r="L29" i="1"/>
  <c r="K29" i="1"/>
  <c r="J29" i="1"/>
  <c r="I29" i="1"/>
  <c r="X24" i="1"/>
  <c r="W24" i="1"/>
  <c r="V24" i="1"/>
  <c r="U24" i="1"/>
  <c r="T24" i="1"/>
  <c r="S24" i="1"/>
  <c r="R24" i="1"/>
  <c r="Q24" i="1"/>
  <c r="P24" i="1"/>
  <c r="O24" i="1"/>
  <c r="N24" i="1"/>
  <c r="M24" i="1"/>
  <c r="L24" i="1"/>
  <c r="K24" i="1"/>
  <c r="J24" i="1"/>
  <c r="I24" i="1"/>
  <c r="B64" i="35" l="1"/>
  <c r="N82" i="34" l="1"/>
  <c r="M82" i="34"/>
  <c r="M26" i="34"/>
  <c r="N26" i="34"/>
  <c r="O26" i="34"/>
  <c r="P26" i="34"/>
  <c r="Q26" i="34"/>
  <c r="R26" i="34"/>
  <c r="I10" i="13" l="1"/>
  <c r="I15" i="13"/>
  <c r="K4" i="13" l="1"/>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3" i="13"/>
  <c r="C45" i="35" l="1"/>
  <c r="A45" i="35"/>
  <c r="C44" i="35"/>
  <c r="A44" i="35"/>
  <c r="C43" i="35"/>
  <c r="A43" i="35"/>
  <c r="C42" i="35"/>
  <c r="A42" i="35"/>
  <c r="C41" i="35"/>
  <c r="A41" i="35"/>
  <c r="C40" i="35"/>
  <c r="A40" i="35"/>
  <c r="C39" i="35"/>
  <c r="A39" i="35"/>
  <c r="C38" i="35"/>
  <c r="A38" i="35"/>
  <c r="C37" i="35"/>
  <c r="A37" i="35"/>
  <c r="C36" i="35"/>
  <c r="A36" i="35"/>
  <c r="C35" i="35"/>
  <c r="A35" i="35"/>
  <c r="C34" i="35"/>
  <c r="A34" i="35"/>
  <c r="C33" i="35"/>
  <c r="A33" i="35"/>
  <c r="C32" i="35"/>
  <c r="A32" i="35"/>
  <c r="C31" i="35"/>
  <c r="A31" i="35"/>
  <c r="C30" i="35"/>
  <c r="A30" i="35"/>
  <c r="C29" i="35"/>
  <c r="A29" i="35"/>
  <c r="C28" i="35"/>
  <c r="A28" i="35"/>
  <c r="C27" i="35"/>
  <c r="A27" i="35"/>
  <c r="C26" i="35"/>
  <c r="A26" i="35"/>
  <c r="C25" i="35"/>
  <c r="A25" i="35"/>
  <c r="C24" i="35"/>
  <c r="A24" i="35"/>
  <c r="C23" i="35"/>
  <c r="A23" i="35"/>
  <c r="C22" i="35"/>
  <c r="A22" i="35"/>
  <c r="C21" i="35"/>
  <c r="A21" i="35"/>
  <c r="C20" i="35"/>
  <c r="A20" i="35"/>
  <c r="C19" i="35"/>
  <c r="A19" i="35"/>
  <c r="C18" i="35"/>
  <c r="A18" i="35"/>
  <c r="C17" i="35"/>
  <c r="A17" i="35"/>
  <c r="C16" i="35"/>
  <c r="A16" i="35"/>
  <c r="C15" i="35"/>
  <c r="A15" i="35"/>
  <c r="C14" i="35"/>
  <c r="A14" i="35"/>
  <c r="C13" i="35"/>
  <c r="A13" i="35"/>
  <c r="C12" i="35"/>
  <c r="A12" i="35"/>
  <c r="C11" i="35"/>
  <c r="A11" i="35"/>
  <c r="C10" i="35"/>
  <c r="A10" i="35"/>
  <c r="C9" i="35"/>
  <c r="A9" i="35"/>
  <c r="C8" i="35"/>
  <c r="A8" i="35"/>
  <c r="A1" i="35"/>
  <c r="H136" i="35"/>
  <c r="C4" i="35"/>
  <c r="I3" i="13" l="1"/>
  <c r="I4" i="13"/>
  <c r="I5" i="13"/>
  <c r="I6" i="13"/>
  <c r="I7" i="13"/>
  <c r="I8" i="13"/>
  <c r="I9" i="13"/>
  <c r="I11" i="13"/>
  <c r="I12" i="13"/>
  <c r="I13" i="13"/>
  <c r="I14"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l="1"/>
  <c r="H20" i="29"/>
  <c r="I20" i="29"/>
  <c r="H21" i="29"/>
  <c r="I21" i="29"/>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A1" i="21"/>
  <c r="T4" i="20"/>
  <c r="U4" i="20"/>
  <c r="T5" i="20"/>
  <c r="U5" i="20"/>
  <c r="T6" i="20"/>
  <c r="U6" i="20"/>
  <c r="T7" i="20"/>
  <c r="U7" i="20"/>
  <c r="T8" i="20"/>
  <c r="U8" i="20"/>
  <c r="T9" i="20"/>
  <c r="U9" i="20"/>
  <c r="T10" i="20"/>
  <c r="V10" i="20" s="1"/>
  <c r="U10" i="20"/>
  <c r="T11" i="20"/>
  <c r="V11" i="20" s="1"/>
  <c r="U11" i="20"/>
  <c r="T12" i="20"/>
  <c r="V12" i="20" s="1"/>
  <c r="U12" i="20"/>
  <c r="T13" i="20"/>
  <c r="V13" i="20" s="1"/>
  <c r="U13" i="20"/>
  <c r="T14" i="20"/>
  <c r="V14" i="20" s="1"/>
  <c r="U14" i="20"/>
  <c r="T15" i="20"/>
  <c r="U15" i="20"/>
  <c r="T16" i="20"/>
  <c r="U16" i="20"/>
  <c r="T17" i="20"/>
  <c r="U17" i="20"/>
  <c r="V17" i="20" s="1"/>
  <c r="T18" i="20"/>
  <c r="V18" i="20" s="1"/>
  <c r="U18" i="20"/>
  <c r="U3" i="20"/>
  <c r="T3" i="20"/>
  <c r="N3" i="20"/>
  <c r="A3" i="20"/>
  <c r="N1" i="20"/>
  <c r="A1" i="20"/>
  <c r="V16" i="20"/>
  <c r="V15" i="20"/>
  <c r="V9" i="20"/>
  <c r="V8" i="20"/>
  <c r="V7" i="20"/>
  <c r="V6" i="20"/>
  <c r="V5" i="20"/>
  <c r="V4" i="20"/>
  <c r="V3" i="20"/>
  <c r="J21" i="29" l="1"/>
  <c r="J20" i="29"/>
  <c r="A11" i="18" l="1"/>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 i="18"/>
  <c r="A5" i="18"/>
  <c r="A6" i="18"/>
  <c r="A7" i="18"/>
  <c r="A8" i="18"/>
  <c r="A9" i="18"/>
  <c r="A10" i="18"/>
  <c r="A3" i="18"/>
  <c r="G28" i="34" l="1"/>
  <c r="H28" i="34"/>
  <c r="I28" i="34"/>
  <c r="J28" i="34"/>
  <c r="K28" i="34"/>
  <c r="L28" i="34"/>
  <c r="M28" i="34"/>
  <c r="N28" i="34"/>
  <c r="O28" i="34"/>
  <c r="P28" i="34"/>
  <c r="Q28" i="34"/>
  <c r="R28" i="34"/>
  <c r="S28" i="34"/>
  <c r="T28" i="34"/>
  <c r="U28" i="34"/>
  <c r="V28" i="34"/>
  <c r="W28" i="34"/>
  <c r="X28" i="34"/>
  <c r="Y28" i="34"/>
  <c r="Z28" i="34"/>
  <c r="AA28" i="34"/>
  <c r="AB28" i="34"/>
  <c r="AC28" i="34"/>
  <c r="G29" i="34"/>
  <c r="H29" i="34"/>
  <c r="I29" i="34"/>
  <c r="J29" i="34"/>
  <c r="K29" i="34"/>
  <c r="L29" i="34"/>
  <c r="M29" i="34"/>
  <c r="N29" i="34"/>
  <c r="O29" i="34"/>
  <c r="P29" i="34"/>
  <c r="Q29" i="34"/>
  <c r="R29" i="34"/>
  <c r="S29" i="34"/>
  <c r="T29" i="34"/>
  <c r="U29" i="34"/>
  <c r="V29" i="34"/>
  <c r="W29" i="34"/>
  <c r="X29" i="34"/>
  <c r="Y29" i="34"/>
  <c r="Z29" i="34"/>
  <c r="AA29" i="34"/>
  <c r="AB29" i="34"/>
  <c r="AC29" i="34"/>
  <c r="G30" i="34"/>
  <c r="H30" i="34"/>
  <c r="I30" i="34"/>
  <c r="J30" i="34"/>
  <c r="K30" i="34"/>
  <c r="L30" i="34"/>
  <c r="M30" i="34"/>
  <c r="N30" i="34"/>
  <c r="O30" i="34"/>
  <c r="P30" i="34"/>
  <c r="Q30" i="34"/>
  <c r="R30" i="34"/>
  <c r="S30" i="34"/>
  <c r="T30" i="34"/>
  <c r="U30" i="34"/>
  <c r="V30" i="34"/>
  <c r="W30" i="34"/>
  <c r="X30" i="34"/>
  <c r="Y30" i="34"/>
  <c r="Z30" i="34"/>
  <c r="AA30" i="34"/>
  <c r="AB30" i="34"/>
  <c r="AC30" i="34"/>
  <c r="G25" i="34"/>
  <c r="H25" i="34"/>
  <c r="I25" i="34"/>
  <c r="J25" i="34"/>
  <c r="K25" i="34"/>
  <c r="L25" i="34"/>
  <c r="M25" i="34"/>
  <c r="N25" i="34"/>
  <c r="O25" i="34"/>
  <c r="P25" i="34"/>
  <c r="Q25" i="34"/>
  <c r="R25" i="34"/>
  <c r="S25" i="34"/>
  <c r="T25" i="34"/>
  <c r="U25" i="34"/>
  <c r="V25" i="34"/>
  <c r="W25" i="34"/>
  <c r="X25" i="34"/>
  <c r="Y25" i="34"/>
  <c r="Z25" i="34"/>
  <c r="AA25" i="34"/>
  <c r="AB25" i="34"/>
  <c r="AC25" i="34"/>
  <c r="G26" i="34"/>
  <c r="H26" i="34"/>
  <c r="I26" i="34"/>
  <c r="J26" i="34"/>
  <c r="K26" i="34"/>
  <c r="L26" i="34"/>
  <c r="S26" i="34"/>
  <c r="T26" i="34"/>
  <c r="U26" i="34"/>
  <c r="V26" i="34"/>
  <c r="W26" i="34"/>
  <c r="X26" i="34"/>
  <c r="Y26" i="34"/>
  <c r="Z26" i="34"/>
  <c r="AA26" i="34"/>
  <c r="AB26" i="34"/>
  <c r="AC26" i="34"/>
  <c r="G27" i="34"/>
  <c r="H27" i="34"/>
  <c r="I27" i="34"/>
  <c r="J27" i="34"/>
  <c r="K27" i="34"/>
  <c r="L27" i="34"/>
  <c r="M27" i="34"/>
  <c r="N27" i="34"/>
  <c r="O27" i="34"/>
  <c r="P27" i="34"/>
  <c r="Q27" i="34"/>
  <c r="R27" i="34"/>
  <c r="S27" i="34"/>
  <c r="T27" i="34"/>
  <c r="U27" i="34"/>
  <c r="V27" i="34"/>
  <c r="W27" i="34"/>
  <c r="X27" i="34"/>
  <c r="Y27" i="34"/>
  <c r="Z27" i="34"/>
  <c r="AA27" i="34"/>
  <c r="AB27" i="34"/>
  <c r="AC27" i="34"/>
  <c r="F25" i="34"/>
  <c r="F26" i="34"/>
  <c r="F27" i="34"/>
  <c r="F28" i="34"/>
  <c r="F29" i="34"/>
  <c r="F30" i="34"/>
  <c r="G84" i="34"/>
  <c r="H84" i="34"/>
  <c r="I84" i="34"/>
  <c r="J84" i="34"/>
  <c r="K84" i="34"/>
  <c r="L84" i="34"/>
  <c r="M84" i="34"/>
  <c r="N84" i="34"/>
  <c r="O84" i="34"/>
  <c r="P84" i="34"/>
  <c r="Q84" i="34"/>
  <c r="R84" i="34"/>
  <c r="S84" i="34"/>
  <c r="T84" i="34"/>
  <c r="U84" i="34"/>
  <c r="V84" i="34"/>
  <c r="W84" i="34"/>
  <c r="X84" i="34"/>
  <c r="Y84" i="34"/>
  <c r="Z84" i="34"/>
  <c r="AA84" i="34"/>
  <c r="AB84" i="34"/>
  <c r="AC84" i="34"/>
  <c r="G85" i="34"/>
  <c r="H85" i="34"/>
  <c r="I85" i="34"/>
  <c r="J85" i="34"/>
  <c r="K85" i="34"/>
  <c r="L85" i="34"/>
  <c r="M85" i="34"/>
  <c r="N85" i="34"/>
  <c r="O85" i="34"/>
  <c r="P85" i="34"/>
  <c r="Q85" i="34"/>
  <c r="R85" i="34"/>
  <c r="S85" i="34"/>
  <c r="T85" i="34"/>
  <c r="U85" i="34"/>
  <c r="V85" i="34"/>
  <c r="W85" i="34"/>
  <c r="X85" i="34"/>
  <c r="Y85" i="34"/>
  <c r="Z85" i="34"/>
  <c r="AA85" i="34"/>
  <c r="AB85" i="34"/>
  <c r="AC85" i="34"/>
  <c r="G86" i="34"/>
  <c r="H86" i="34"/>
  <c r="I86" i="34"/>
  <c r="J86" i="34"/>
  <c r="K86" i="34"/>
  <c r="L86" i="34"/>
  <c r="M86" i="34"/>
  <c r="N86" i="34"/>
  <c r="O86" i="34"/>
  <c r="P86" i="34"/>
  <c r="Q86" i="34"/>
  <c r="R86" i="34"/>
  <c r="S86" i="34"/>
  <c r="T86" i="34"/>
  <c r="U86" i="34"/>
  <c r="V86" i="34"/>
  <c r="W86" i="34"/>
  <c r="X86" i="34"/>
  <c r="Y86" i="34"/>
  <c r="Z86" i="34"/>
  <c r="AA86" i="34"/>
  <c r="AB86" i="34"/>
  <c r="AC86" i="34"/>
  <c r="F86" i="34"/>
  <c r="F85" i="34"/>
  <c r="F84" i="34"/>
  <c r="G81" i="34"/>
  <c r="H81" i="34"/>
  <c r="I81" i="34"/>
  <c r="J81" i="34"/>
  <c r="K81" i="34"/>
  <c r="L81" i="34"/>
  <c r="M81" i="34"/>
  <c r="N81" i="34"/>
  <c r="O81" i="34"/>
  <c r="P81" i="34"/>
  <c r="Q81" i="34"/>
  <c r="R81" i="34"/>
  <c r="S81" i="34"/>
  <c r="T81" i="34"/>
  <c r="U81" i="34"/>
  <c r="V81" i="34"/>
  <c r="W81" i="34"/>
  <c r="X81" i="34"/>
  <c r="Y81" i="34"/>
  <c r="Z81" i="34"/>
  <c r="AA81" i="34"/>
  <c r="AB81" i="34"/>
  <c r="AC81" i="34"/>
  <c r="G82" i="34"/>
  <c r="H82" i="34"/>
  <c r="I82" i="34"/>
  <c r="J82" i="34"/>
  <c r="K82" i="34"/>
  <c r="L82" i="34"/>
  <c r="O82" i="34"/>
  <c r="P82" i="34"/>
  <c r="Q82" i="34"/>
  <c r="R82" i="34"/>
  <c r="S82" i="34"/>
  <c r="T82" i="34"/>
  <c r="U82" i="34"/>
  <c r="V82" i="34"/>
  <c r="W82" i="34"/>
  <c r="X82" i="34"/>
  <c r="Y82" i="34"/>
  <c r="Z82" i="34"/>
  <c r="AA82" i="34"/>
  <c r="AB82" i="34"/>
  <c r="AC82" i="34"/>
  <c r="G83" i="34"/>
  <c r="H83" i="34"/>
  <c r="I83" i="34"/>
  <c r="J83" i="34"/>
  <c r="K83" i="34"/>
  <c r="L83" i="34"/>
  <c r="M83" i="34"/>
  <c r="N83" i="34"/>
  <c r="O83" i="34"/>
  <c r="P83" i="34"/>
  <c r="Q83" i="34"/>
  <c r="R83" i="34"/>
  <c r="S83" i="34"/>
  <c r="T83" i="34"/>
  <c r="U83" i="34"/>
  <c r="V83" i="34"/>
  <c r="W83" i="34"/>
  <c r="X83" i="34"/>
  <c r="Y83" i="34"/>
  <c r="Z83" i="34"/>
  <c r="AA83" i="34"/>
  <c r="AB83" i="34"/>
  <c r="AC83" i="34"/>
  <c r="F83" i="34"/>
  <c r="F82" i="34"/>
  <c r="F81" i="34"/>
  <c r="A1" i="22" l="1"/>
  <c r="A1" i="27"/>
  <c r="A1" i="29"/>
  <c r="A1" i="9"/>
  <c r="A1" i="25"/>
  <c r="A1" i="14"/>
  <c r="A1" i="1"/>
  <c r="B3" i="1" l="1"/>
  <c r="X19" i="1"/>
  <c r="W19" i="1"/>
  <c r="V19" i="1"/>
  <c r="U19" i="1"/>
  <c r="T19" i="1"/>
  <c r="S19" i="1"/>
  <c r="R19" i="1"/>
  <c r="Q19" i="1"/>
  <c r="P19" i="1"/>
  <c r="O19" i="1"/>
  <c r="N19" i="1"/>
  <c r="M19" i="1"/>
  <c r="L19" i="1"/>
  <c r="K19" i="1"/>
  <c r="J19" i="1"/>
  <c r="I19" i="1"/>
  <c r="X18" i="1"/>
  <c r="W18" i="1"/>
  <c r="V18" i="1"/>
  <c r="U18" i="1"/>
  <c r="T18" i="1"/>
  <c r="S18" i="1"/>
  <c r="R18" i="1"/>
  <c r="Q18" i="1"/>
  <c r="P18" i="1"/>
  <c r="O18" i="1"/>
  <c r="N18" i="1"/>
  <c r="M18" i="1"/>
  <c r="L18" i="1"/>
  <c r="K18" i="1"/>
  <c r="J18" i="1"/>
  <c r="I18" i="1"/>
  <c r="B8" i="1" l="1"/>
  <c r="D38" i="35" l="1"/>
  <c r="F38" i="35" s="1"/>
  <c r="G38" i="35" s="1"/>
  <c r="D39" i="35"/>
  <c r="F39" i="35" s="1"/>
  <c r="G39" i="35" s="1"/>
  <c r="D40" i="35"/>
  <c r="F40" i="35" s="1"/>
  <c r="D41" i="35"/>
  <c r="F41" i="35" s="1"/>
  <c r="G41" i="35" s="1"/>
  <c r="D42" i="35"/>
  <c r="F42" i="35" s="1"/>
  <c r="G42" i="35" s="1"/>
  <c r="D43" i="35"/>
  <c r="F43" i="35" s="1"/>
  <c r="G43" i="35" s="1"/>
  <c r="D44" i="35"/>
  <c r="F44" i="35" s="1"/>
  <c r="G44" i="35" s="1"/>
  <c r="D45" i="35"/>
  <c r="F45" i="35" s="1"/>
  <c r="G45" i="35" s="1"/>
  <c r="D10" i="35"/>
  <c r="F10" i="35" s="1"/>
  <c r="G10" i="35" s="1"/>
  <c r="D11" i="35"/>
  <c r="F11" i="35" s="1"/>
  <c r="G11" i="35" s="1"/>
  <c r="D12" i="35"/>
  <c r="F12" i="35" s="1"/>
  <c r="G12" i="35" s="1"/>
  <c r="D13" i="35"/>
  <c r="F13" i="35" s="1"/>
  <c r="G13" i="35" s="1"/>
  <c r="D14" i="35"/>
  <c r="F14" i="35" s="1"/>
  <c r="G14" i="35" s="1"/>
  <c r="D15" i="35"/>
  <c r="F15" i="35" s="1"/>
  <c r="G15" i="35" s="1"/>
  <c r="D16" i="35"/>
  <c r="F16" i="35" s="1"/>
  <c r="G16" i="35" s="1"/>
  <c r="D17" i="35"/>
  <c r="F17" i="35" s="1"/>
  <c r="G17" i="35" s="1"/>
  <c r="D18" i="35"/>
  <c r="F18" i="35" s="1"/>
  <c r="G18" i="35" s="1"/>
  <c r="D19" i="35"/>
  <c r="F19" i="35" s="1"/>
  <c r="G19" i="35" s="1"/>
  <c r="D20" i="35"/>
  <c r="F20" i="35" s="1"/>
  <c r="G20" i="35" s="1"/>
  <c r="D21" i="35"/>
  <c r="F21" i="35" s="1"/>
  <c r="D22" i="35"/>
  <c r="F22" i="35" s="1"/>
  <c r="G22" i="35" s="1"/>
  <c r="D23" i="35"/>
  <c r="F23" i="35" s="1"/>
  <c r="G23" i="35" s="1"/>
  <c r="D24" i="35"/>
  <c r="F24" i="35" s="1"/>
  <c r="G24" i="35" s="1"/>
  <c r="D25" i="35"/>
  <c r="F25" i="35" s="1"/>
  <c r="G25" i="35" s="1"/>
  <c r="D26" i="35"/>
  <c r="F26" i="35" s="1"/>
  <c r="G26" i="35" s="1"/>
  <c r="D27" i="35"/>
  <c r="F27" i="35" s="1"/>
  <c r="G27" i="35" s="1"/>
  <c r="D28" i="35"/>
  <c r="F28" i="35" s="1"/>
  <c r="G28" i="35" s="1"/>
  <c r="D29" i="35"/>
  <c r="F29" i="35" s="1"/>
  <c r="D30" i="35"/>
  <c r="F30" i="35" s="1"/>
  <c r="G30" i="35" s="1"/>
  <c r="D31" i="35"/>
  <c r="F31" i="35" s="1"/>
  <c r="G31" i="35" s="1"/>
  <c r="D32" i="35"/>
  <c r="F32" i="35" s="1"/>
  <c r="G32" i="35" s="1"/>
  <c r="D33" i="35"/>
  <c r="F33" i="35" s="1"/>
  <c r="G33" i="35" s="1"/>
  <c r="D34" i="35"/>
  <c r="F34" i="35" s="1"/>
  <c r="G34" i="35" s="1"/>
  <c r="D35" i="35"/>
  <c r="F35" i="35" s="1"/>
  <c r="G35" i="35" s="1"/>
  <c r="D36" i="35"/>
  <c r="F36" i="35" s="1"/>
  <c r="G36" i="35" s="1"/>
  <c r="D37" i="35"/>
  <c r="F37" i="35" s="1"/>
  <c r="G37" i="35" s="1"/>
  <c r="D9" i="35"/>
  <c r="F9" i="35" s="1"/>
  <c r="G9" i="35" s="1"/>
  <c r="D8" i="35"/>
  <c r="G21" i="35" l="1"/>
  <c r="C53" i="35"/>
  <c r="F8" i="35"/>
  <c r="C52" i="35" s="1"/>
  <c r="G69" i="35" s="1"/>
  <c r="C54" i="35"/>
  <c r="G29" i="35"/>
  <c r="G40" i="35"/>
  <c r="C55" i="35"/>
  <c r="K41" i="13"/>
  <c r="D122" i="35" l="1"/>
  <c r="E122" i="35" s="1"/>
  <c r="F122" i="35" s="1"/>
  <c r="G130" i="35"/>
  <c r="H130" i="35" s="1"/>
  <c r="D118" i="35"/>
  <c r="E118" i="35" s="1"/>
  <c r="F118" i="35" s="1"/>
  <c r="D130" i="35"/>
  <c r="E130" i="35" s="1"/>
  <c r="F130" i="35" s="1"/>
  <c r="G121" i="35"/>
  <c r="H121" i="35" s="1"/>
  <c r="D125" i="35"/>
  <c r="E125" i="35" s="1"/>
  <c r="F125" i="35" s="1"/>
  <c r="G128" i="35"/>
  <c r="H128" i="35" s="1"/>
  <c r="G117" i="35"/>
  <c r="H117" i="35" s="1"/>
  <c r="G118" i="35"/>
  <c r="H118" i="35" s="1"/>
  <c r="D121" i="35"/>
  <c r="E121" i="35" s="1"/>
  <c r="F121" i="35" s="1"/>
  <c r="D117" i="35"/>
  <c r="E117" i="35" s="1"/>
  <c r="F117" i="35" s="1"/>
  <c r="G127" i="35"/>
  <c r="H127" i="35" s="1"/>
  <c r="D131" i="35"/>
  <c r="E131" i="35" s="1"/>
  <c r="F131" i="35" s="1"/>
  <c r="G123" i="35"/>
  <c r="H123" i="35" s="1"/>
  <c r="G125" i="35"/>
  <c r="H125" i="35" s="1"/>
  <c r="G119" i="35"/>
  <c r="H119" i="35" s="1"/>
  <c r="G120" i="35"/>
  <c r="H120" i="35" s="1"/>
  <c r="D129" i="35"/>
  <c r="E129" i="35" s="1"/>
  <c r="F129" i="35" s="1"/>
  <c r="D123" i="35"/>
  <c r="E123" i="35" s="1"/>
  <c r="F123" i="35" s="1"/>
  <c r="G126" i="35"/>
  <c r="H126" i="35" s="1"/>
  <c r="D119" i="35"/>
  <c r="E119" i="35" s="1"/>
  <c r="F119" i="35" s="1"/>
  <c r="G122" i="35"/>
  <c r="H122" i="35" s="1"/>
  <c r="D126" i="35"/>
  <c r="E126" i="35" s="1"/>
  <c r="F126" i="35" s="1"/>
  <c r="G129" i="35"/>
  <c r="H129" i="35" s="1"/>
  <c r="D132" i="35"/>
  <c r="E132" i="35" s="1"/>
  <c r="F132" i="35" s="1"/>
  <c r="G124" i="35"/>
  <c r="H124" i="35" s="1"/>
  <c r="G131" i="35"/>
  <c r="H131" i="35" s="1"/>
  <c r="D120" i="35"/>
  <c r="E120" i="35" s="1"/>
  <c r="F120" i="35" s="1"/>
  <c r="D128" i="35"/>
  <c r="E128" i="35" s="1"/>
  <c r="F128" i="35" s="1"/>
  <c r="D124" i="35"/>
  <c r="E124" i="35" s="1"/>
  <c r="F124" i="35" s="1"/>
  <c r="G132" i="35"/>
  <c r="H132" i="35" s="1"/>
  <c r="D127" i="35"/>
  <c r="E127" i="35" s="1"/>
  <c r="F127" i="35" s="1"/>
  <c r="D102" i="35"/>
  <c r="E102" i="35" s="1"/>
  <c r="F102" i="35" s="1"/>
  <c r="G114" i="35"/>
  <c r="H114" i="35" s="1"/>
  <c r="G103" i="35"/>
  <c r="H103" i="35" s="1"/>
  <c r="G115" i="35"/>
  <c r="H115" i="35" s="1"/>
  <c r="G104" i="35"/>
  <c r="H104" i="35" s="1"/>
  <c r="D114" i="35"/>
  <c r="E114" i="35" s="1"/>
  <c r="F114" i="35" s="1"/>
  <c r="G106" i="35"/>
  <c r="H106" i="35" s="1"/>
  <c r="G109" i="35"/>
  <c r="H109" i="35" s="1"/>
  <c r="G116" i="35"/>
  <c r="H116" i="35" s="1"/>
  <c r="D109" i="35"/>
  <c r="E109" i="35" s="1"/>
  <c r="F109" i="35" s="1"/>
  <c r="G110" i="35"/>
  <c r="H110" i="35" s="1"/>
  <c r="D103" i="35"/>
  <c r="E103" i="35" s="1"/>
  <c r="F103" i="35" s="1"/>
  <c r="D104" i="35"/>
  <c r="E104" i="35" s="1"/>
  <c r="F104" i="35" s="1"/>
  <c r="D106" i="35"/>
  <c r="E106" i="35" s="1"/>
  <c r="F106" i="35" s="1"/>
  <c r="G105" i="35"/>
  <c r="H105" i="35" s="1"/>
  <c r="G112" i="35"/>
  <c r="H112" i="35" s="1"/>
  <c r="G101" i="35"/>
  <c r="H101" i="35" s="1"/>
  <c r="D116" i="35"/>
  <c r="E116" i="35" s="1"/>
  <c r="F116" i="35" s="1"/>
  <c r="D111" i="35"/>
  <c r="E111" i="35" s="1"/>
  <c r="F111" i="35" s="1"/>
  <c r="D101" i="35"/>
  <c r="E101" i="35" s="1"/>
  <c r="F101" i="35" s="1"/>
  <c r="D107" i="35"/>
  <c r="E107" i="35" s="1"/>
  <c r="F107" i="35" s="1"/>
  <c r="D108" i="35"/>
  <c r="E108" i="35" s="1"/>
  <c r="F108" i="35" s="1"/>
  <c r="G111" i="35"/>
  <c r="H111" i="35" s="1"/>
  <c r="D115" i="35"/>
  <c r="E115" i="35" s="1"/>
  <c r="F115" i="35" s="1"/>
  <c r="D110" i="35"/>
  <c r="E110" i="35" s="1"/>
  <c r="F110" i="35" s="1"/>
  <c r="G107" i="35"/>
  <c r="H107" i="35" s="1"/>
  <c r="D112" i="35"/>
  <c r="E112" i="35" s="1"/>
  <c r="F112" i="35" s="1"/>
  <c r="G113" i="35"/>
  <c r="H113" i="35" s="1"/>
  <c r="D113" i="35"/>
  <c r="E113" i="35" s="1"/>
  <c r="F113" i="35" s="1"/>
  <c r="D105" i="35"/>
  <c r="E105" i="35" s="1"/>
  <c r="F105" i="35" s="1"/>
  <c r="G108" i="35"/>
  <c r="H108" i="35" s="1"/>
  <c r="G102" i="35"/>
  <c r="H102" i="35" s="1"/>
  <c r="G8" i="35"/>
  <c r="G92" i="35"/>
  <c r="H92" i="35" s="1"/>
  <c r="G93" i="35"/>
  <c r="H93" i="35" s="1"/>
  <c r="G100" i="35"/>
  <c r="H100" i="35" s="1"/>
  <c r="G89" i="35"/>
  <c r="H89" i="35" s="1"/>
  <c r="D92" i="35"/>
  <c r="E92" i="35" s="1"/>
  <c r="F92" i="35" s="1"/>
  <c r="G96" i="35"/>
  <c r="H96" i="35" s="1"/>
  <c r="D99" i="35"/>
  <c r="E99" i="35" s="1"/>
  <c r="F99" i="35" s="1"/>
  <c r="D88" i="35"/>
  <c r="E88" i="35" s="1"/>
  <c r="F88" i="35" s="1"/>
  <c r="D89" i="35"/>
  <c r="E89" i="35" s="1"/>
  <c r="F89" i="35" s="1"/>
  <c r="D96" i="35"/>
  <c r="E96" i="35" s="1"/>
  <c r="F96" i="35" s="1"/>
  <c r="D97" i="35"/>
  <c r="E97" i="35" s="1"/>
  <c r="F97" i="35" s="1"/>
  <c r="G88" i="35"/>
  <c r="H88" i="35" s="1"/>
  <c r="G91" i="35"/>
  <c r="H91" i="35" s="1"/>
  <c r="G90" i="35"/>
  <c r="H90" i="35" s="1"/>
  <c r="D100" i="35"/>
  <c r="E100" i="35" s="1"/>
  <c r="F100" i="35" s="1"/>
  <c r="D90" i="35"/>
  <c r="E90" i="35" s="1"/>
  <c r="F90" i="35" s="1"/>
  <c r="D85" i="35"/>
  <c r="E85" i="35" s="1"/>
  <c r="F85" i="35" s="1"/>
  <c r="D86" i="35"/>
  <c r="E86" i="35" s="1"/>
  <c r="F86" i="35" s="1"/>
  <c r="G99" i="35"/>
  <c r="H99" i="35" s="1"/>
  <c r="D93" i="35"/>
  <c r="E93" i="35" s="1"/>
  <c r="F93" i="35" s="1"/>
  <c r="G95" i="35"/>
  <c r="H95" i="35" s="1"/>
  <c r="G85" i="35"/>
  <c r="H85" i="35" s="1"/>
  <c r="D91" i="35"/>
  <c r="E91" i="35" s="1"/>
  <c r="F91" i="35" s="1"/>
  <c r="D98" i="35"/>
  <c r="E98" i="35" s="1"/>
  <c r="F98" i="35" s="1"/>
  <c r="G94" i="35"/>
  <c r="H94" i="35" s="1"/>
  <c r="D94" i="35"/>
  <c r="E94" i="35" s="1"/>
  <c r="F94" i="35" s="1"/>
  <c r="G97" i="35"/>
  <c r="H97" i="35" s="1"/>
  <c r="G86" i="35"/>
  <c r="H86" i="35" s="1"/>
  <c r="D95" i="35"/>
  <c r="E95" i="35" s="1"/>
  <c r="F95" i="35" s="1"/>
  <c r="G98" i="35"/>
  <c r="H98" i="35" s="1"/>
  <c r="G87" i="35"/>
  <c r="H87" i="35" s="1"/>
  <c r="D87" i="35"/>
  <c r="E87" i="35" s="1"/>
  <c r="F87" i="35" s="1"/>
  <c r="D84" i="35" l="1"/>
  <c r="E84" i="35" s="1"/>
  <c r="F84" i="35" s="1"/>
  <c r="G81" i="35"/>
  <c r="H81" i="35" s="1"/>
  <c r="G70" i="35"/>
  <c r="H70" i="35" s="1"/>
  <c r="G77" i="35"/>
  <c r="H77" i="35" s="1"/>
  <c r="D81" i="35"/>
  <c r="E81" i="35" s="1"/>
  <c r="F81" i="35" s="1"/>
  <c r="G78" i="35"/>
  <c r="H78" i="35" s="1"/>
  <c r="G74" i="35"/>
  <c r="H74" i="35" s="1"/>
  <c r="D73" i="35"/>
  <c r="E73" i="35" s="1"/>
  <c r="F73" i="35" s="1"/>
  <c r="D80" i="35"/>
  <c r="E80" i="35" s="1"/>
  <c r="F80" i="35" s="1"/>
  <c r="G83" i="35"/>
  <c r="H83" i="35" s="1"/>
  <c r="G72" i="35"/>
  <c r="H72" i="35" s="1"/>
  <c r="D76" i="35"/>
  <c r="E76" i="35" s="1"/>
  <c r="F76" i="35" s="1"/>
  <c r="G79" i="35"/>
  <c r="H79" i="35" s="1"/>
  <c r="D78" i="35"/>
  <c r="E78" i="35" s="1"/>
  <c r="F78" i="35" s="1"/>
  <c r="G75" i="35"/>
  <c r="H75" i="35" s="1"/>
  <c r="D74" i="35"/>
  <c r="E74" i="35" s="1"/>
  <c r="F74" i="35" s="1"/>
  <c r="G73" i="35"/>
  <c r="H73" i="35" s="1"/>
  <c r="G76" i="35"/>
  <c r="H76" i="35" s="1"/>
  <c r="D69" i="35"/>
  <c r="E69" i="35" s="1"/>
  <c r="F69" i="35" s="1"/>
  <c r="D72" i="35"/>
  <c r="E72" i="35" s="1"/>
  <c r="F72" i="35" s="1"/>
  <c r="D79" i="35"/>
  <c r="E79" i="35" s="1"/>
  <c r="F79" i="35" s="1"/>
  <c r="D70" i="35"/>
  <c r="E70" i="35" s="1"/>
  <c r="F70" i="35" s="1"/>
  <c r="G84" i="35"/>
  <c r="H84" i="35" s="1"/>
  <c r="D71" i="35"/>
  <c r="E71" i="35" s="1"/>
  <c r="F71" i="35" s="1"/>
  <c r="G80" i="35"/>
  <c r="H80" i="35" s="1"/>
  <c r="H69" i="35"/>
  <c r="D83" i="35"/>
  <c r="E83" i="35" s="1"/>
  <c r="F83" i="35" s="1"/>
  <c r="G82" i="35"/>
  <c r="H82" i="35" s="1"/>
  <c r="G71" i="35"/>
  <c r="H71" i="35" s="1"/>
  <c r="D75" i="35"/>
  <c r="E75" i="35" s="1"/>
  <c r="F75" i="35" s="1"/>
  <c r="D82" i="35"/>
  <c r="E82" i="35" s="1"/>
  <c r="F82" i="35" s="1"/>
  <c r="D77" i="35"/>
  <c r="E77" i="35" s="1"/>
  <c r="F77" i="35" s="1"/>
  <c r="E21" i="9" l="1"/>
  <c r="E26" i="9" s="1"/>
  <c r="D21" i="9"/>
  <c r="D26" i="9" s="1"/>
  <c r="B21" i="9"/>
  <c r="C21" i="9"/>
  <c r="C26" i="9" s="1"/>
  <c r="B28" i="9"/>
  <c r="B26" i="9" l="1"/>
  <c r="C13" i="9"/>
  <c r="C12" i="9"/>
  <c r="C10" i="9"/>
  <c r="B27" i="9"/>
  <c r="A12" i="29" l="1"/>
  <c r="A13" i="29"/>
  <c r="A14" i="29"/>
  <c r="A15" i="29"/>
  <c r="A4" i="29"/>
  <c r="A5" i="29"/>
  <c r="A6" i="29"/>
  <c r="A7" i="29"/>
  <c r="A8" i="29"/>
  <c r="A9" i="29"/>
  <c r="A10" i="29"/>
  <c r="A11" i="29"/>
  <c r="A3" i="29"/>
  <c r="A15" i="25"/>
  <c r="A16" i="25"/>
  <c r="A5" i="25"/>
  <c r="A6" i="25"/>
  <c r="A7" i="25"/>
  <c r="A8" i="25"/>
  <c r="A9" i="25"/>
  <c r="A10" i="25"/>
  <c r="A11" i="25"/>
  <c r="A12" i="25"/>
  <c r="A13" i="25"/>
  <c r="A14" i="25"/>
  <c r="A4" i="25"/>
  <c r="C4" i="18"/>
  <c r="H4" i="18" s="1"/>
  <c r="D4" i="18"/>
  <c r="J4" i="18" s="1"/>
  <c r="C5" i="18"/>
  <c r="H5" i="18" s="1"/>
  <c r="D5" i="18"/>
  <c r="I5" i="18" s="1"/>
  <c r="C6" i="18"/>
  <c r="H6" i="18" s="1"/>
  <c r="D6" i="18"/>
  <c r="J6" i="18" s="1"/>
  <c r="C7" i="18"/>
  <c r="H7" i="18" s="1"/>
  <c r="D7" i="18"/>
  <c r="I7" i="18" s="1"/>
  <c r="C8" i="18"/>
  <c r="H8" i="18" s="1"/>
  <c r="D8" i="18"/>
  <c r="I8" i="18" s="1"/>
  <c r="C9" i="18"/>
  <c r="H9" i="18" s="1"/>
  <c r="D9" i="18"/>
  <c r="J9" i="18" s="1"/>
  <c r="C10" i="18"/>
  <c r="H10" i="18" s="1"/>
  <c r="D10" i="18"/>
  <c r="I10" i="18" s="1"/>
  <c r="C11" i="18"/>
  <c r="H11" i="18" s="1"/>
  <c r="D11" i="18"/>
  <c r="I11" i="18" s="1"/>
  <c r="C12" i="18"/>
  <c r="H12" i="18" s="1"/>
  <c r="D12" i="18"/>
  <c r="I12" i="18" s="1"/>
  <c r="C13" i="18"/>
  <c r="H13" i="18" s="1"/>
  <c r="D13" i="18"/>
  <c r="I13" i="18" s="1"/>
  <c r="C14" i="18"/>
  <c r="H14" i="18" s="1"/>
  <c r="D14" i="18"/>
  <c r="J14" i="18" s="1"/>
  <c r="C15" i="18"/>
  <c r="H15" i="18" s="1"/>
  <c r="D15" i="18"/>
  <c r="I15" i="18" s="1"/>
  <c r="C16" i="18"/>
  <c r="H16" i="18" s="1"/>
  <c r="D16" i="18"/>
  <c r="I16" i="18" s="1"/>
  <c r="C17" i="18"/>
  <c r="H17" i="18" s="1"/>
  <c r="D17" i="18"/>
  <c r="J17" i="18" s="1"/>
  <c r="C18" i="18"/>
  <c r="H18" i="18" s="1"/>
  <c r="D18" i="18"/>
  <c r="I18" i="18" s="1"/>
  <c r="C19" i="18"/>
  <c r="H19" i="18" s="1"/>
  <c r="D19" i="18"/>
  <c r="J19" i="18" s="1"/>
  <c r="C20" i="18"/>
  <c r="H20" i="18" s="1"/>
  <c r="D20" i="18"/>
  <c r="J20" i="18" s="1"/>
  <c r="C21" i="18"/>
  <c r="H21" i="18" s="1"/>
  <c r="D21" i="18"/>
  <c r="I21" i="18" s="1"/>
  <c r="C22" i="18"/>
  <c r="H22" i="18" s="1"/>
  <c r="D22" i="18"/>
  <c r="I22" i="18" s="1"/>
  <c r="C23" i="18"/>
  <c r="H23" i="18" s="1"/>
  <c r="D23" i="18"/>
  <c r="J23" i="18" s="1"/>
  <c r="C24" i="18"/>
  <c r="H24" i="18" s="1"/>
  <c r="D24" i="18"/>
  <c r="J24" i="18" s="1"/>
  <c r="C25" i="18"/>
  <c r="H25" i="18" s="1"/>
  <c r="D25" i="18"/>
  <c r="I25" i="18" s="1"/>
  <c r="C26" i="18"/>
  <c r="H26" i="18" s="1"/>
  <c r="D26" i="18"/>
  <c r="J26" i="18" s="1"/>
  <c r="C27" i="18"/>
  <c r="H27" i="18" s="1"/>
  <c r="D27" i="18"/>
  <c r="I27" i="18" s="1"/>
  <c r="C28" i="18"/>
  <c r="H28" i="18" s="1"/>
  <c r="D28" i="18"/>
  <c r="J28" i="18" s="1"/>
  <c r="C29" i="18"/>
  <c r="H29" i="18" s="1"/>
  <c r="D29" i="18"/>
  <c r="J29" i="18" s="1"/>
  <c r="C30" i="18"/>
  <c r="H30" i="18" s="1"/>
  <c r="D30" i="18"/>
  <c r="I30" i="18" s="1"/>
  <c r="C31" i="18"/>
  <c r="H31" i="18" s="1"/>
  <c r="D31" i="18"/>
  <c r="J31" i="18" s="1"/>
  <c r="C32" i="18"/>
  <c r="H32" i="18" s="1"/>
  <c r="D32" i="18"/>
  <c r="I32" i="18" s="1"/>
  <c r="C33" i="18"/>
  <c r="H33" i="18" s="1"/>
  <c r="D33" i="18"/>
  <c r="I33" i="18" s="1"/>
  <c r="C34" i="18"/>
  <c r="H34" i="18" s="1"/>
  <c r="D34" i="18"/>
  <c r="I34" i="18" s="1"/>
  <c r="C35" i="18"/>
  <c r="H35" i="18" s="1"/>
  <c r="D35" i="18"/>
  <c r="I35" i="18" s="1"/>
  <c r="C36" i="18"/>
  <c r="H36" i="18" s="1"/>
  <c r="D36" i="18"/>
  <c r="J36" i="18" s="1"/>
  <c r="C37" i="18"/>
  <c r="H37" i="18" s="1"/>
  <c r="D37" i="18"/>
  <c r="I37" i="18" s="1"/>
  <c r="C38" i="18"/>
  <c r="H38" i="18" s="1"/>
  <c r="D38" i="18"/>
  <c r="I38" i="18" s="1"/>
  <c r="C39" i="18"/>
  <c r="H39" i="18" s="1"/>
  <c r="D39" i="18"/>
  <c r="J39" i="18" s="1"/>
  <c r="C40" i="18"/>
  <c r="H40" i="18" s="1"/>
  <c r="D40" i="18"/>
  <c r="J40" i="18" s="1"/>
  <c r="D3" i="18"/>
  <c r="C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3" i="18"/>
  <c r="I29" i="18" l="1"/>
  <c r="K29" i="18" s="1"/>
  <c r="I14" i="18"/>
  <c r="K14" i="18" s="1"/>
  <c r="J15" i="18"/>
  <c r="K15" i="18" s="1"/>
  <c r="I19" i="18"/>
  <c r="J7" i="18"/>
  <c r="K7" i="18" s="1"/>
  <c r="I40" i="18"/>
  <c r="K40" i="18" s="1"/>
  <c r="I31" i="18"/>
  <c r="K31" i="18" s="1"/>
  <c r="J25" i="18"/>
  <c r="K25" i="18" s="1"/>
  <c r="K19" i="18"/>
  <c r="J12" i="18"/>
  <c r="K12" i="18" s="1"/>
  <c r="J37" i="18"/>
  <c r="K37" i="18" s="1"/>
  <c r="I24" i="18"/>
  <c r="K24" i="18" s="1"/>
  <c r="I39" i="18"/>
  <c r="K39" i="18" s="1"/>
  <c r="J35" i="18"/>
  <c r="K35" i="18" s="1"/>
  <c r="I28" i="18"/>
  <c r="K28" i="18" s="1"/>
  <c r="J34" i="18"/>
  <c r="K34" i="18" s="1"/>
  <c r="I4" i="18"/>
  <c r="K4" i="18" s="1"/>
  <c r="I17" i="18"/>
  <c r="K17" i="18" s="1"/>
  <c r="I36" i="18"/>
  <c r="K36" i="18" s="1"/>
  <c r="I23" i="18"/>
  <c r="K23" i="18" s="1"/>
  <c r="I26" i="18"/>
  <c r="K26" i="18" s="1"/>
  <c r="I20" i="18"/>
  <c r="K20" i="18" s="1"/>
  <c r="I9" i="18"/>
  <c r="K9" i="18" s="1"/>
  <c r="J8" i="18"/>
  <c r="K8" i="18" s="1"/>
  <c r="I6" i="18"/>
  <c r="K6" i="18" s="1"/>
  <c r="J18" i="18"/>
  <c r="K18" i="18" s="1"/>
  <c r="J13" i="18"/>
  <c r="K13" i="18" s="1"/>
  <c r="J30" i="18"/>
  <c r="K30" i="18" s="1"/>
  <c r="J32" i="18"/>
  <c r="K32" i="18" s="1"/>
  <c r="J21" i="18"/>
  <c r="K21" i="18" s="1"/>
  <c r="J10" i="18"/>
  <c r="K10" i="18" s="1"/>
  <c r="J38" i="18"/>
  <c r="K38" i="18" s="1"/>
  <c r="J27" i="18"/>
  <c r="K27" i="18" s="1"/>
  <c r="J16" i="18"/>
  <c r="K16" i="18" s="1"/>
  <c r="J5" i="18"/>
  <c r="K5" i="18" s="1"/>
  <c r="J33" i="18"/>
  <c r="K33" i="18" s="1"/>
  <c r="J22" i="18"/>
  <c r="K22" i="18" s="1"/>
  <c r="J11" i="18"/>
  <c r="K11" i="18" s="1"/>
  <c r="H41" i="13" l="1"/>
  <c r="C41" i="18"/>
  <c r="G41" i="13" l="1"/>
  <c r="D41" i="18"/>
  <c r="G11" i="9"/>
  <c r="G10" i="9"/>
  <c r="B41" i="18" l="1"/>
  <c r="G13" i="9" l="1"/>
  <c r="G4" i="13" l="1"/>
  <c r="G26" i="13"/>
  <c r="G28" i="13"/>
  <c r="G29" i="13"/>
  <c r="G30" i="13"/>
  <c r="G31" i="13"/>
  <c r="G32" i="13"/>
  <c r="G33" i="13"/>
  <c r="G34" i="13"/>
  <c r="G36" i="13"/>
  <c r="G37" i="13"/>
  <c r="G38" i="13"/>
  <c r="G18" i="13"/>
  <c r="G3" i="13"/>
  <c r="R45" i="13" s="1"/>
  <c r="G5" i="13"/>
  <c r="R47" i="13" s="1"/>
  <c r="G27" i="13"/>
  <c r="R57" i="13" s="1"/>
  <c r="G6" i="13"/>
  <c r="G7" i="13"/>
  <c r="G8" i="13"/>
  <c r="R49" i="13" s="1"/>
  <c r="G9" i="13"/>
  <c r="R50" i="13" s="1"/>
  <c r="G10" i="13"/>
  <c r="G11" i="13"/>
  <c r="G12" i="13"/>
  <c r="G14" i="13"/>
  <c r="R54" i="13" s="1"/>
  <c r="G15" i="13"/>
  <c r="R55" i="13" s="1"/>
  <c r="G16" i="13"/>
  <c r="G17" i="13"/>
  <c r="G39" i="13"/>
  <c r="G40" i="13"/>
  <c r="G19" i="13"/>
  <c r="G20" i="13"/>
  <c r="G21" i="13"/>
  <c r="G22" i="13"/>
  <c r="G23" i="13"/>
  <c r="G24" i="13"/>
  <c r="G25" i="13"/>
  <c r="G13" i="13"/>
  <c r="R53" i="13" s="1"/>
  <c r="G35" i="13"/>
  <c r="R51" i="13" l="1"/>
  <c r="R48" i="13"/>
  <c r="R56" i="13"/>
  <c r="R52" i="13"/>
  <c r="R46" i="13"/>
  <c r="A7" i="9"/>
  <c r="A1" i="18"/>
  <c r="R58" i="13" l="1"/>
  <c r="A4" i="21"/>
  <c r="G12" i="9"/>
  <c r="G16" i="9" l="1"/>
  <c r="B3" i="9" s="1"/>
  <c r="G9" i="9"/>
  <c r="G15" i="9" s="1"/>
  <c r="A1" i="31"/>
  <c r="A3" i="9" l="1"/>
  <c r="G17" i="9" l="1"/>
  <c r="C3" i="9" l="1"/>
  <c r="J3" i="18"/>
  <c r="J41" i="18" s="1"/>
  <c r="I3" i="18" l="1"/>
  <c r="I41" i="18" s="1"/>
  <c r="H3" i="18"/>
  <c r="H41" i="18" s="1"/>
  <c r="K3" i="18" l="1"/>
  <c r="K41" i="18" s="1"/>
  <c r="A1" i="13" l="1"/>
  <c r="G5" i="21" l="1"/>
  <c r="G6" i="21"/>
  <c r="G7" i="21"/>
  <c r="G8" i="21"/>
  <c r="G9" i="21"/>
  <c r="G10" i="21"/>
  <c r="G11" i="21"/>
  <c r="G12" i="21"/>
  <c r="G13" i="21"/>
  <c r="G14" i="21"/>
  <c r="G15" i="21"/>
  <c r="G16" i="21"/>
  <c r="G17" i="21"/>
  <c r="G18" i="21"/>
  <c r="G19" i="21"/>
  <c r="G4" i="21"/>
</calcChain>
</file>

<file path=xl/sharedStrings.xml><?xml version="1.0" encoding="utf-8"?>
<sst xmlns="http://schemas.openxmlformats.org/spreadsheetml/2006/main" count="1784" uniqueCount="791">
  <si>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</si>
  <si>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</si>
  <si>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</si>
  <si>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</si>
  <si>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</si>
  <si>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</si>
  <si>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t>Comstock 2023</t>
  </si>
  <si>
    <t>https://data.openei.org/s3_viewer?bucket=oedi-data-lake&amp;prefix=nrel-pds-building-stock%2Fend-use-load-profiles-for-us-building-stock%2F2023%2Fcomstock_amy2018_release_2%2Fmetadata_and_annual_results%2Fby_state%2Fstate%3DCA%2F</t>
  </si>
  <si>
    <t>Prototype</t>
  </si>
  <si>
    <r>
      <t xml:space="preserve">CEC </t>
    </r>
    <r>
      <rPr>
        <sz val="10"/>
        <color rgb="FF000000"/>
        <rFont val="Arial"/>
        <family val="2"/>
      </rPr>
      <t>2028</t>
    </r>
    <r>
      <rPr>
        <sz val="10"/>
        <color theme="1"/>
        <rFont val="Arial"/>
        <family val="2"/>
      </rPr>
      <t xml:space="preserve"> School prototype</t>
    </r>
  </si>
  <si>
    <t>https://efiling.energy.ca.gov/GetDocument.aspx?tn=265691&amp;DocumentContentId=102542</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</si>
  <si>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</si>
  <si>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</si>
  <si>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</si>
  <si>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</si>
  <si>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</si>
  <si>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</si>
  <si>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t>Code of Federal Regulations (CFR) Title 10 (2010)</t>
  </si>
  <si>
    <t xml:space="preserve">https://www.govinfo.gov/content/pkg/FR-2009-03-23/pdf/FR-2009-03-23.pdf </t>
  </si>
  <si>
    <t>CFR Title 10 ( 2024)</t>
  </si>
  <si>
    <t>https://www.govinfo.gov/content/pkg/CFR-2024-title10-vol3/pdf/CFR-2024-title10-vol3-part431-subpartF.pdf</t>
  </si>
  <si>
    <r>
      <t>Alternative Calculation Method</t>
    </r>
    <r>
      <rPr>
        <sz val="10"/>
        <color rgb="FF000000"/>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</si>
  <si>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</si>
  <si>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</si>
  <si>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</si>
  <si>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t xml:space="preserve">Nonres ACM 2022, </t>
    </r>
    <r>
      <rPr>
        <sz val="10"/>
        <color rgb="FF000000"/>
        <rFont val="Arial"/>
        <family val="2"/>
      </rPr>
      <t>Appendix 5.4A and Appendix 5.4B</t>
    </r>
  </si>
  <si>
    <t>Other</t>
  </si>
  <si>
    <r>
      <t xml:space="preserve">2022 Reduced infiltration </t>
    </r>
    <r>
      <rPr>
        <sz val="10"/>
        <color rgb="FF000000"/>
        <rFont val="Arial"/>
        <family val="2"/>
      </rPr>
      <t xml:space="preserve">Codes and Standards Enhancement </t>
    </r>
    <r>
      <rPr>
        <sz val="10"/>
        <color rgb="FF000000"/>
        <rFont val="Arial"/>
        <family val="2"/>
      </rPr>
      <t xml:space="preserve">(CASE)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</si>
  <si>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</si>
  <si>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</si>
  <si>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</si>
  <si>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</si>
  <si>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</si>
  <si>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</si>
  <si>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</si>
  <si>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</si>
  <si>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 — internal NORESCO project memo (not a public URL). See Prototype basis / Source access below.</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</si>
  <si>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</si>
  <si>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</si>
  <si>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</si>
  <si>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</si>
  <si>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</si>
  <si>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</si>
  <si>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</si>
  <si>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</si>
  <si>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</si>
  <si>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</si>
  <si>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</si>
  <si>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Dodge 2023 construction rates used in the SCE vintage-bin analysis. Legend labels STC 41 and STC 49 are Dodge structure-type series identifiers from that analysis (Prototype D6, NonRes-Vintage bins-Draft Report-30Nov2023). They are not Title 24 climate zones.</t>
  </si>
  <si>
    <t>Notes</t>
  </si>
  <si>
    <t>2025 T24</t>
  </si>
  <si>
    <t>School Building includes four individual buildings, including north classroom, westclassroom, kindergarten, and MPR/Admin.</t>
  </si>
  <si>
    <t>Prototype basis</t>
  </si>
  <si>
    <t>Geometry</t>
  </si>
  <si>
    <t>Geometry is CEC SchoolKto8 as implemented in CBECC 2028 (Prototype C7:C16; four buildings in B40: north classroom, west classroom, kindergarten, MPR/Admin). Floor area 49,979 ft². Prototype comparison columns (DEER Education-Primary, PNNL SchoolPrimary) are reference only; they are not the geometry basis.</t>
  </si>
  <si>
    <t>Vintage bins</t>
  </si>
  <si>
    <t>Existing vintages Pre-1978, 1978-1997, 1998-2007, 2008-2018 plus New Construction 2019+ follow the SCE Enhanced Prototypes vintage-bin analysis (Prototype D6). Dodge 2023 construction rates (figure above) inform stock weighting for existing California schools; they are not a Title 24 prescriptive requirement.</t>
  </si>
  <si>
    <t>Curriculum and stock</t>
  </si>
  <si>
    <t>Conventional K-8 curriculum (classrooms, MPR, kitchen, library, administration). Specialized spaces such as science labs, locker rooms, and computer classrooms are not in the CEC space list. The prototype represents average California K-8 stock. Funding and facility-condition variation is not a separate building; it is carried in vintage envelope/HVAC/lighting assumptions (including the 30-year roof replacement on Envelope H8).</t>
  </si>
  <si>
    <t>WWR, heights, energy</t>
  </si>
  <si>
    <t>WWR 7.08%, no exterior shades (CEC). Floor-to-floor 14 ft except MPR/Admin 14–25 ft. Existing HVAC: PSZAC + gas furnace (MPR SZVAV). New construction: SZHP. Service water: existing electric resistance; NC heat-pump water heater (Water Heater B3:B4).</t>
  </si>
  <si>
    <t>Abbreviations</t>
  </si>
  <si>
    <t>T24 = California Title 24, Part 6. ACM = Nonresidential/Multifamily Alternative Calculation Method Reference Manual. CEC = California Energy Commission. CBECC = California Building Energy Code Compliance software. CEUS = California Commercial End-Use Survey. STC (construction-rate figure) = Dodge structure-type series 41 and 49. PSZAC = packaged single-zone air conditioner. SZHP = single-zone heat pump. HPWH = heat-pump water heater. SRR = skylight-to-roof ratio. WWR = window-to-wall ratio. IWA = initial wattage allowance.</t>
  </si>
  <si>
    <t>Source access</t>
  </si>
  <si>
    <t>Column C lists public links where they exist. Dodge 2023 is a licensed dataset with no public URL. The NORESCO air-leakage memo is an internal file (C19), not a webpage. ENERGY STAR water-heater rows use the commercial electric (heat pump) Product Finder and dataset xmq6-bm79. Schedule fractions that cite the Plug Loads and Schedules project with CEC (2025) do not have an external link yet; an ASHRAE paper has been submitted and the citation will be updated when that paper is published or when ACM 2028 is released.</t>
  </si>
  <si>
    <t>Sources used</t>
  </si>
  <si>
    <t>Used on this scorecard: CEC SchoolKto8 (efiling tn=265691); T24 2022 App. 5.4A/5.4B; ACM 2025 §5.9.2 and fan tables; T24 Tables 140.3-B, 110.2-A/B, 140.6-C, 140.7-A/B, 120.1-A; 2022 Reduced Infiltration CASE; 2019 Outdoor Lighting CASE; PNNL 20405; ASHRAE 90.1-2022 Appendix A; ASHRAE Handbook of Fundamentals Ch. 4 and 10 (early-vintage windows); ENERGY STAR commercial HPWH list. The 2019 fume-hood CASE remains on the school-family source list; K-8 has no lab exhaust. Reviewer-suggested references that do not support a retained assumption are not added.</t>
  </si>
  <si>
    <t>NORESCO, Updated September 2026</t>
  </si>
  <si>
    <t>SchoolK-8</t>
  </si>
  <si>
    <t>Characteristic</t>
  </si>
  <si>
    <t>Value</t>
  </si>
  <si>
    <t>Building Type</t>
  </si>
  <si>
    <t>K-8 School</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</si>
  <si>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</si>
  <si>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</si>
  <si>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</si>
  <si>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</si>
  <si>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</si>
  <si>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</si>
  <si>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</si>
  <si>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</si>
  <si>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approved 2028 SchoolK-8 prototype. </t>
  </si>
  <si>
    <t>Total Floor Area (ft²)</t>
  </si>
  <si>
    <t>CEC SchoolKto8 (same as Prototype comparison column C).</t>
  </si>
  <si>
    <t>Aspect Ratio</t>
  </si>
  <si>
    <t>It varies for different buildings.</t>
  </si>
  <si>
    <t>Same as the CEC approved 2028 SchoolK-8 prototype</t>
  </si>
  <si>
    <t>Number of Floors</t>
  </si>
  <si>
    <t>Roof type</t>
  </si>
  <si>
    <t>Flat</t>
  </si>
  <si>
    <t>WWR</t>
  </si>
  <si>
    <t>Shading Geometry</t>
  </si>
  <si>
    <t xml:space="preserve">No Shades </t>
  </si>
  <si>
    <t>Floor to floor height (feet)</t>
  </si>
  <si>
    <t>It varies for different buildings:
MPR/Admin: 14-25
Other buildings: 14 ft</t>
  </si>
  <si>
    <t>Floor to ceiling height (feet)</t>
  </si>
  <si>
    <t>Glazing sill height (feet)</t>
  </si>
  <si>
    <t>Above grade wall area (ft²)</t>
  </si>
  <si>
    <t>Gross wall area  (ft²)</t>
  </si>
  <si>
    <t>Roof area  (ft²)</t>
  </si>
  <si>
    <t>Underground Gross Wall Area  (ft²)</t>
  </si>
  <si>
    <t>Prototype Geomerty and HVAC Comparison</t>
  </si>
  <si>
    <t>Program</t>
  </si>
  <si>
    <t>CalBEM (SchoolK8)</t>
  </si>
  <si>
    <t>CEC (SchoolKto8)</t>
  </si>
  <si>
    <t>DEER (Education-Primary School)</t>
  </si>
  <si>
    <t>PNNL (SchoolPrimary)</t>
  </si>
  <si>
    <t>HVAC and Water Heater</t>
  </si>
  <si>
    <t>HVAC System Type</t>
  </si>
  <si>
    <t>System: central air loops
Distribution: 38 air loops; constant-volume no-reheat terminal; DX cooling; electric heating</t>
  </si>
  <si>
    <t>System: central VAV air loops
Distribution: 38 air loops; VAV no-reheat and constant-volume no-reheat terminals; DX cooling; electric heating and natural-gas heating</t>
  </si>
  <si>
    <t>System: unitary/package systems + central VAV air loops
Distribution: 7 air loops; VAV no-reheat terminal; DX cooling; natural-gas heating</t>
  </si>
  <si>
    <t>System: unitary/package systems + central VAV air loops
Distribution: 7 air loops; VAV reheat and constant-volume no-reheat terminals; DX cooling; hot-water heating and natural-gas heating
Plant: 1 natural-gas hot-water boiler</t>
  </si>
  <si>
    <t>Water Heater</t>
  </si>
  <si>
    <t>4 water heaters: 4 electric
4 service water loops</t>
  </si>
  <si>
    <t>1 water heater: 1 electric
1 service water loop</t>
  </si>
  <si>
    <t>1 water heater: 1 natural-gas
1 service water loop</t>
  </si>
  <si>
    <t>2 water heaters: 1 electric, 1 natural-gas
1 service water loop</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</si>
  <si>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</si>
  <si>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</si>
  <si>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</si>
  <si>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</si>
  <si>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</si>
  <si>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</si>
  <si>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</si>
  <si>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</si>
  <si>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</si>
  <si>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</si>
  <si>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</si>
  <si>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</si>
  <si>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SkoolK-8 Admin/MPR</t>
  </si>
  <si>
    <t>Admin/MPR_Breakroom_Zn</t>
  </si>
  <si>
    <t>Lounge, Breakroom, or Waiting Area</t>
  </si>
  <si>
    <t>AHU-1</t>
  </si>
  <si>
    <t>MPR</t>
  </si>
  <si>
    <t>Y</t>
  </si>
  <si>
    <t>Admin/MPR_Conference Room Zns 3_Zn</t>
  </si>
  <si>
    <t>Convention, Conference, Multipurpose and Meeting Area</t>
  </si>
  <si>
    <t>AHU-2</t>
  </si>
  <si>
    <t>Admin/MPR_Corridor_Zn</t>
  </si>
  <si>
    <t>Corridor Area</t>
  </si>
  <si>
    <t>AHU-3</t>
  </si>
  <si>
    <t>Admin/MPR_EMT_Zn</t>
  </si>
  <si>
    <t>Electrical, Mechanical, Telephone Rooms</t>
  </si>
  <si>
    <t>AHU-4</t>
  </si>
  <si>
    <t>Admin/MPR_IDF Room_Zn</t>
  </si>
  <si>
    <t>AHU-5</t>
  </si>
  <si>
    <t>Admin/MPR_Kitchen_Zn</t>
  </si>
  <si>
    <t>Kitchen/Food Preparation Area</t>
  </si>
  <si>
    <t>AHU-6</t>
  </si>
  <si>
    <t>Kitchen</t>
  </si>
  <si>
    <t>Admin/MPR_Lobby_Zn</t>
  </si>
  <si>
    <t>Lobby, Main Entry</t>
  </si>
  <si>
    <t>AHU-7</t>
  </si>
  <si>
    <t>Admin/MPR_Multipurpose Room Zns 3_Zn</t>
  </si>
  <si>
    <t>AHU-8</t>
  </si>
  <si>
    <t>Admin/MPR_Office - LT 250 sf Zns 6_Zn</t>
  </si>
  <si>
    <t>Office Area (&lt;250 square feet)</t>
  </si>
  <si>
    <t>AHU-9</t>
  </si>
  <si>
    <t>Admin/MPR_Restroom Zns 3_Zn</t>
  </si>
  <si>
    <t>Restrooms</t>
  </si>
  <si>
    <t>AHU-10</t>
  </si>
  <si>
    <t>Admin/MPR_Storage - General_Zn</t>
  </si>
  <si>
    <t>Storage (General)</t>
  </si>
  <si>
    <t>AHU-11</t>
  </si>
  <si>
    <t>Admin/MPR_Storage - Refrigerated_Zn</t>
  </si>
  <si>
    <t>Storage, Commercial/Industrial (Refrigerated)</t>
  </si>
  <si>
    <t>AHU-12</t>
  </si>
  <si>
    <t>Admin/MPR_Theater - Performance_Zn</t>
  </si>
  <si>
    <t>Theater Area (Performance)</t>
  </si>
  <si>
    <t>AHU-13</t>
  </si>
  <si>
    <t>SkoolK-8 North Classrooms</t>
  </si>
  <si>
    <t>Classrm N_Flr 1_Classroom-01_Zn</t>
  </si>
  <si>
    <t>Classroom, Lecture, Training, Vocational Areas</t>
  </si>
  <si>
    <t>AHU-14</t>
  </si>
  <si>
    <t>Classroom</t>
  </si>
  <si>
    <t>Classrm N_Flr 1_Classroom-02 Zns 6_Zn</t>
  </si>
  <si>
    <t>AHU-15</t>
  </si>
  <si>
    <t>Classrm N_Flr 1_Office - LT 250 sf_Zn</t>
  </si>
  <si>
    <t>AHU-16</t>
  </si>
  <si>
    <t>Classrm N_Flr 1_Restroom_Zn</t>
  </si>
  <si>
    <t>AHU-17</t>
  </si>
  <si>
    <t>Classrm N_Flr 2_Classroom-01 Zns 6_Zn</t>
  </si>
  <si>
    <t>AHU-18</t>
  </si>
  <si>
    <t>Classrm N_Flr 2_Classroom-02_Zn</t>
  </si>
  <si>
    <t>AHU-19</t>
  </si>
  <si>
    <t>Classrm N_Flr 2_Office - LT 250 sf_Zn</t>
  </si>
  <si>
    <t>AHU-20</t>
  </si>
  <si>
    <t>Classrm N_Flr 2_Restroom_Zn</t>
  </si>
  <si>
    <t>AHU-21</t>
  </si>
  <si>
    <t>SkoolK-8 West Classrooms</t>
  </si>
  <si>
    <t>Classrm W_Flr 1_Classroom Zns 2_Zn</t>
  </si>
  <si>
    <t>AHU-22</t>
  </si>
  <si>
    <t>Classrm W_Flr 1_EMT-01_Zn</t>
  </si>
  <si>
    <t>AHU-23</t>
  </si>
  <si>
    <t>Classrm W_Flr 1_EMT-02_Zn</t>
  </si>
  <si>
    <t>AHU-24</t>
  </si>
  <si>
    <t>Classrm W_Flr 1_Library - Reading Area_Zn</t>
  </si>
  <si>
    <t>Library (Reading Area)</t>
  </si>
  <si>
    <t>AHU-25</t>
  </si>
  <si>
    <t>Classrm W_Flr 1_Restroom_Zn</t>
  </si>
  <si>
    <t>AHU-26</t>
  </si>
  <si>
    <t>Classrm W_Flr 1_Storage - General_Zn</t>
  </si>
  <si>
    <t>AHU-27</t>
  </si>
  <si>
    <t>Classrm W_Flr 2_Classroom-01 Zns 3_Zn</t>
  </si>
  <si>
    <t>AHU-28</t>
  </si>
  <si>
    <t>Classrm W_Flr 2_Classroom-02_Zn</t>
  </si>
  <si>
    <t>AHU-29</t>
  </si>
  <si>
    <t>Classrm W_Flr 2_IDF Room_Zn</t>
  </si>
  <si>
    <t>AHU-30</t>
  </si>
  <si>
    <t>Classrm W_Flr 2_Restroom_Zn</t>
  </si>
  <si>
    <t>AHU-31</t>
  </si>
  <si>
    <t>Classrm W_Flr 2_Storage - General_Zn</t>
  </si>
  <si>
    <t>AHU-32</t>
  </si>
  <si>
    <t>SkoolK-8 Kindergarten</t>
  </si>
  <si>
    <t>Kindergarten_Classroom-01_Zn</t>
  </si>
  <si>
    <t>AHU-33</t>
  </si>
  <si>
    <t>Kindergarten_Classroom-02_Zn</t>
  </si>
  <si>
    <t>AHU-34</t>
  </si>
  <si>
    <t>Kindergarten_EMT_Zn</t>
  </si>
  <si>
    <t>AHU-35</t>
  </si>
  <si>
    <t>Kindergarten_IDF Room_Zn</t>
  </si>
  <si>
    <t>AHU-36</t>
  </si>
  <si>
    <t>Kindergarten_Restroom_Zn</t>
  </si>
  <si>
    <t>AHU-37</t>
  </si>
  <si>
    <t>Kindergarten_Storage - General_Zn</t>
  </si>
  <si>
    <t>AHU-38</t>
  </si>
  <si>
    <t>Total (4 Buildings)</t>
  </si>
  <si>
    <t>Total (38 spaces)</t>
  </si>
  <si>
    <r>
      <t>Total (</t>
    </r>
    <r>
      <rPr>
        <sz val="10"/>
        <color rgb="FF000000"/>
        <rFont val="Arial"/>
        <family val="2"/>
      </rPr>
      <t>13</t>
    </r>
    <r>
      <rPr>
        <sz val="10"/>
        <color indexed="8"/>
        <rFont val="Arial"/>
        <family val="2"/>
      </rPr>
      <t xml:space="preserve"> Space types)</t>
    </r>
  </si>
  <si>
    <r>
      <t>Total (</t>
    </r>
    <r>
      <rPr>
        <sz val="10"/>
        <color rgb="FF000000"/>
        <rFont val="Arial"/>
        <family val="2"/>
      </rPr>
      <t>38</t>
    </r>
    <r>
      <rPr>
        <sz val="10"/>
        <color indexed="8"/>
        <rFont val="Arial"/>
        <family val="2"/>
      </rPr>
      <t xml:space="preserve"> HVAC </t>
    </r>
    <r>
      <rPr>
        <sz val="10"/>
        <color rgb="FF000000"/>
        <rFont val="Arial"/>
        <family val="2"/>
      </rPr>
      <t>Systems</t>
    </r>
    <r>
      <rPr>
        <sz val="10"/>
        <color indexed="8"/>
        <rFont val="Arial"/>
        <family val="2"/>
      </rPr>
      <t>)</t>
    </r>
  </si>
  <si>
    <r>
      <t>Total (</t>
    </r>
    <r>
      <rPr>
        <sz val="10"/>
        <color rgb="FF000000"/>
        <rFont val="Arial"/>
        <family val="2"/>
      </rPr>
      <t>3</t>
    </r>
    <r>
      <rPr>
        <sz val="10"/>
        <rFont val="Arial"/>
        <family val="2"/>
      </rPr>
      <t xml:space="preserve"> Schedule categories))</t>
    </r>
  </si>
  <si>
    <t xml:space="preserve"> Total (38 Conditioned zones)</t>
  </si>
  <si>
    <t>Area Distribution By Space Type</t>
  </si>
  <si>
    <t>Space Type</t>
  </si>
  <si>
    <t>% Area</t>
  </si>
  <si>
    <t>Total</t>
  </si>
  <si>
    <t>Element</t>
  </si>
  <si>
    <t>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</si>
  <si>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</si>
  <si>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</si>
  <si>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</si>
  <si>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</si>
  <si>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</si>
  <si>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</si>
  <si>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</si>
  <si>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</si>
  <si>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</si>
  <si>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</si>
  <si>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</si>
  <si>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</si>
  <si>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</si>
  <si>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</si>
  <si>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</si>
  <si>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</si>
  <si>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</si>
  <si>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</si>
  <si>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</si>
  <si>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</si>
  <si>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</si>
  <si>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</si>
  <si>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 xml:space="preserve">Metal framed wall:
</t>
    </r>
    <r>
      <rPr>
        <sz val="10"/>
        <color rgb="FF000000"/>
        <rFont val="Arial"/>
        <family val="2"/>
      </rPr>
      <t>Metal frame + insulation + Gypsum board</t>
    </r>
  </si>
  <si>
    <t>U-factor IP</t>
  </si>
  <si>
    <t>Pre 1978</t>
  </si>
  <si>
    <t>N/A</t>
  </si>
  <si>
    <r>
      <t>ASHRAE 90.1, 2022, Table A3.</t>
    </r>
    <r>
      <rPr>
        <sz val="10"/>
        <color rgb="FF000000"/>
        <rFont val="Arial"/>
        <family val="2"/>
      </rPr>
      <t>3</t>
    </r>
    <r>
      <rPr>
        <sz val="10"/>
        <color theme="1"/>
        <rFont val="Arial"/>
        <family val="2"/>
      </rPr>
      <t>.3.1, 3.5", R-0</t>
    </r>
  </si>
  <si>
    <t>1978-1997</t>
  </si>
  <si>
    <t xml:space="preserve">TABLE NO. 1-I </t>
  </si>
  <si>
    <t>1998-2007</t>
  </si>
  <si>
    <t>Table 1-H</t>
  </si>
  <si>
    <t>2008-2018</t>
  </si>
  <si>
    <t>Table 140.3-B</t>
  </si>
  <si>
    <t>Existing</t>
  </si>
  <si>
    <t>2019+</t>
  </si>
  <si>
    <t>Table 140.3-B (2025) Metal-framed walls</t>
  </si>
  <si>
    <t>Roof</t>
  </si>
  <si>
    <t>FlatRoof_WoodFramedAndOther_NonRes</t>
  </si>
  <si>
    <r>
      <rPr>
        <sz val="10"/>
        <color rgb="FF000000"/>
        <rFont val="Arial"/>
        <family val="2"/>
      </rPr>
      <t xml:space="preserve">Metal deck roof: 
</t>
    </r>
    <r>
      <rPr>
        <sz val="10"/>
        <color rgb="FF000000"/>
        <rFont val="Arial"/>
        <family val="2"/>
      </rPr>
      <t>roof membrane+roof insulation+metal decking</t>
    </r>
  </si>
  <si>
    <t>Considering 30 years for roof/ insultation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</si>
  <si>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</si>
  <si>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</si>
  <si>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</si>
  <si>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</si>
  <si>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</si>
  <si>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</si>
  <si>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</si>
  <si>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 xml:space="preserve">Table 1-H — WWR ≤10% (prototype 7.08%), SHGC non-north. </t>
  </si>
  <si>
    <t>Skylight</t>
  </si>
  <si>
    <t>Plastic curb-mounted</t>
  </si>
  <si>
    <t>Table 1-I Translucent (1992 term for this plastic curb product). 4 MPR skylights; CalBEM 63.97 ft² vs CEC 130.57 ft²; SRR ~0.17%/0.35% (0–2% bin).</t>
  </si>
  <si>
    <t>Table 1-H plastic w/curb U-factor (U does not vary by SRR).</t>
  </si>
  <si>
    <t>Table 1-I Translucent SHGC (1992 term; same plastic curb product).</t>
  </si>
  <si>
    <t>Table 1-H plastic w/curb, SRR 0–2% (K8 ~0.17% CalBEM / 0.35% CBECC). Not 2.1–5%.</t>
  </si>
  <si>
    <t>Table 140.3-B plastic curb SHGC = NR; used 2001 Table 1-H 0–2% SRR.</t>
  </si>
  <si>
    <t>Table 140.3-B (2025) plastic curb SHGC = NR; same 2001 0–2% SRR values.</t>
  </si>
  <si>
    <t>Floor: SlabOnGrade_Unheated_NonRes is a 4 in. concrete slab-on-grade with no insulation. It is the same for every vintage (F-factor 0.73), so it is documented here instead of as a table row.</t>
  </si>
  <si>
    <t>Infiltration</t>
  </si>
  <si>
    <t>Zones</t>
  </si>
  <si>
    <t>I_75
6-Sided Inifltration rate 
@ 75 pa</t>
  </si>
  <si>
    <t>Note</t>
  </si>
  <si>
    <t xml:space="preserve"> I-design (cfm/ft²) 
(4-sided Infiltration rate at normal presure) 
(Design flow rate approach and Flow/Exterior Wall Area calulation method) </t>
  </si>
  <si>
    <t>2022 CASE report (Table 38)</t>
  </si>
  <si>
    <t>Floor or roof area (ft2)</t>
  </si>
  <si>
    <t>Walls area (ft2)</t>
  </si>
  <si>
    <t>Building 4 sided area (ft2)=</t>
  </si>
  <si>
    <t>2022 CASE report (Table 38) &amp;
T24, 2008-2016 (Table 140.3-B)--Air barrier is required in CZ 10-16</t>
  </si>
  <si>
    <t>Building 6 sided area (ft2)=</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</si>
  <si>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</si>
  <si>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</si>
  <si>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</si>
  <si>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Infiltration_rate_report_14May2025-Short-Version.docx</t>
  </si>
  <si>
    <t xml:space="preserve">Heating </t>
  </si>
  <si>
    <t>Cooling</t>
  </si>
  <si>
    <t>Air Distribution</t>
  </si>
  <si>
    <t>Other Systems</t>
  </si>
  <si>
    <t>Source</t>
  </si>
  <si>
    <t>Exisiting</t>
  </si>
  <si>
    <r>
      <t xml:space="preserve">All Space Types </t>
    </r>
    <r>
      <rPr>
        <sz val="10"/>
        <color rgb="FF000000"/>
        <rFont val="Arial"/>
        <family val="2"/>
      </rPr>
      <t>except MPR/refrigerated storage</t>
    </r>
  </si>
  <si>
    <t>Gas Furnace</t>
  </si>
  <si>
    <t>PSZAC (DX cooling)</t>
  </si>
  <si>
    <t>CAV</t>
  </si>
  <si>
    <t>OA mixing. Air-side economizer: not modeled (see Economizer / ERV).</t>
  </si>
  <si>
    <t>Engineering Judgement</t>
  </si>
  <si>
    <t>System 3a</t>
  </si>
  <si>
    <t>Admin/MPR Multipurpose Room</t>
  </si>
  <si>
    <t>SZHP (DX heating)</t>
  </si>
  <si>
    <t>SZHP (DX cooling)</t>
  </si>
  <si>
    <t>SZVAV (single-zone VAV)</t>
  </si>
  <si>
    <t>VAV:NoReheat terminal, Fan:VariableVolume. Theater and other Admin zones remain CAV. Kitchen makeup loop BaseAirSys13 is also VAV (exhaust makeup).</t>
  </si>
  <si>
    <t>Admin/MPR_Storage - Refrigerated</t>
  </si>
  <si>
    <t>n/a (walk-in refrigeration)</t>
  </si>
  <si>
    <t>Walk-in cooler (not PSZ DX)</t>
  </si>
  <si>
    <t>n/a</t>
  </si>
  <si>
    <t>n/a — walk-in refrigeration, not an air-side HVAC OA system.</t>
  </si>
  <si>
    <t xml:space="preserve">Refrigeration system; 35°F product; equipment W/ft² on Equipment tab. </t>
  </si>
  <si>
    <t>New Construction</t>
  </si>
  <si>
    <r>
      <rPr>
        <sz val="10"/>
        <color rgb="FF000000"/>
        <rFont val="Arial"/>
        <family val="2"/>
      </rPr>
      <t xml:space="preserve">All Space Types </t>
    </r>
    <r>
      <rPr>
        <sz val="10"/>
        <color rgb="FF000000"/>
        <rFont val="Arial"/>
        <family val="2"/>
      </rPr>
      <t>except MPR and refrigerated storage</t>
    </r>
  </si>
  <si>
    <t>SZHP</t>
  </si>
  <si>
    <t>ACM 2025</t>
  </si>
  <si>
    <t>System 3b</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</si>
  <si>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</si>
  <si>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</si>
  <si>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</si>
  <si>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Cooling DX</t>
  </si>
  <si>
    <t xml:space="preserve">Sources </t>
  </si>
  <si>
    <t xml:space="preserve">Thermal Efficiency of 80%
</t>
  </si>
  <si>
    <t xml:space="preserve"> EER 11.2 for &lt;65 kBtu/h
EER 10.3 for 65-135 kBtu/h
</t>
  </si>
  <si>
    <t>2005 Title 20 Appliance Efficiency Regulations, 2005 T24 Standards, Tables 112-A, 112-B</t>
  </si>
  <si>
    <t>EER 11.2 for &lt;65 kBtu/h
EER 11.2 for 65–135 kBtu/h</t>
  </si>
  <si>
    <r>
      <t>2013 Title 20 Appliance Efficiency Regulations, 2013 T24 Tables 11</t>
    </r>
    <r>
      <rPr>
        <sz val="10"/>
        <color rgb="FF000000"/>
        <rFont val="Arial"/>
        <family val="2"/>
      </rPr>
      <t>0.2</t>
    </r>
  </si>
  <si>
    <t>2013 T24 Table 110.2-A (air-cooled packaged AC). Existing vintage is PSZAC + gas furnace, not HP.</t>
  </si>
  <si>
    <r>
      <t xml:space="preserve">Heating @ 47°F:
&lt;65 kBtu/h (AHRI 210/240): federal minimum HSPF2 / 10 CFR 430
65–135 kBtu/h: COP </t>
    </r>
    <r>
      <rPr>
        <sz val="10"/>
        <color rgb="FF000000"/>
        <rFont val="Arial"/>
        <family val="2"/>
      </rPr>
      <t>3.40</t>
    </r>
    <r>
      <rPr>
        <sz val="10"/>
        <color theme="1"/>
        <rFont val="Arial"/>
        <family val="2"/>
      </rPr>
      <t xml:space="preserve"> (10 CFR 431 / T24 Table 110.2-B)
Heating @ 17°F: COP 2.25 (Table 110.2-B)</t>
    </r>
  </si>
  <si>
    <t>&lt;65 kBtu/h packaged HP (10 CFR 430.32): SEER2 13.4 (pair to HSPF2 6.7)
65–135 kBtu/h: EER 11.0 + federal min IEER (Table 110.2-B)
135–240 kBtu/h: EER 10.6 + federal min IEER (MPR bin)
≥240 kBtu/h: EER 9.5 + federal min IEER</t>
  </si>
  <si>
    <t>T24 2025 Table 110.2-B; 10 CFR 431.97 (COP @ 47°F); 10 CFR 430.32 (HSPF2/SEER2 &lt;65 kBtu/h); AHRI 340/360 (≥65) / AHRI 210/240 (&lt;65)</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</si>
  <si>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</si>
  <si>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</si>
  <si>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</si>
  <si>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</si>
  <si>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</si>
  <si>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</si>
  <si>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</si>
  <si>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</si>
  <si>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</si>
  <si>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</si>
  <si>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</si>
  <si>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CAV, PSZ classrooms/admin (except MPR), design airflow &lt; 7,437 cfm</t>
  </si>
  <si>
    <t>ASHRAE 90.1, 2004, Table 10.8 *</t>
  </si>
  <si>
    <t>Fan power formula: PNNL 20405, 2010, section 5.2.2.5
TSP and fan efficiency: PNNL 20405, 2010, Table 5.11, 90.1-04ac values
Motor and drive efficiency: ASHRAE 90.1, 2004, Table 10.8</t>
  </si>
  <si>
    <t>PNNL 20405, 2010, Table 5.11</t>
  </si>
  <si>
    <t>SZVAV, Admin/MPR Multipurpose Room, VAV &gt; 4,648 cfm</t>
  </si>
  <si>
    <t>Brake horsepower (bhp) = (Supply cfm × TSP in w.c.) / (6356 × fan efficiency)</t>
  </si>
  <si>
    <t>Fan power (w/cfm) = (bhp ×  746) / ( supply cfm × motor efficiency )</t>
  </si>
  <si>
    <t>SZHP (System 3b), CAV classrooms/admin, ≤5,000 cfm</t>
  </si>
  <si>
    <t>TSP = fan power × motor efficiency × fan efficiency × 6356 / 746</t>
  </si>
  <si>
    <t>2025 ACM Table 12 **</t>
  </si>
  <si>
    <t>Fan power index: [ACM 2025, Table 13]
Motor efficiency: [ACM 2025, Table 12]</t>
  </si>
  <si>
    <t>SZVAVHP (System 7b), MPR/cafeteria,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</si>
  <si>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</si>
  <si>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Packaged SZHP. Same index as Hotel Small System 3b ≤5,000 cfm.
     Note: Single-zone VAV heat pump, not System 6. ACM System 7b &gt;10,000 cfm = 0.676; &gt;5,000–10,000 cfm = 0.720. PNNL row was VAV &gt;4,648 cfm.</t>
  </si>
  <si>
    <t>Economizer / ERV</t>
  </si>
  <si>
    <t>Air-side economizer: not modeled. EnergyPlus Controller:OutdoorAir Economizer Control Type = NoEconomizer on existing PSZAC and NC SZHP units. ERV: not modeled. T24 §140.4(e) would require an air economizer when cooling capacity ≥ 54,000 Btu/h (with listed exceptions); CBECC Standard Design uses FixedDryBulb on units that meet that threshold. This prototype does not include economizers.</t>
  </si>
  <si>
    <t>Background Data [To be deleted prior to publication]</t>
  </si>
  <si>
    <t>Setpoint</t>
  </si>
  <si>
    <t>School Heating Setpoint (F)</t>
  </si>
  <si>
    <t>T24 2022 - Appendix 5.4B</t>
  </si>
  <si>
    <t>School Heating Setback (F)</t>
  </si>
  <si>
    <t>School Cooling Setpoint (F)</t>
  </si>
  <si>
    <t>School Cooling Setback (F)</t>
  </si>
  <si>
    <t>Kitchen Heating Setpoint (F)</t>
  </si>
  <si>
    <t>T24 2022 - Appendix 5.4B (school kitchen occupied 70/75; not commercial restaurant 66–79)</t>
  </si>
  <si>
    <t>Kitchen Heating Setback (F)</t>
  </si>
  <si>
    <t>Kitchen Cooling Setpoint (F)</t>
  </si>
  <si>
    <t>Kitchen Cooling Setback (F)</t>
  </si>
  <si>
    <t>Restrooms Heating Setpoint (F)</t>
  </si>
  <si>
    <t>PNNL 90.1 Primary School bathroom (HTGSETP_SCH_Setback / CLGSETP_SCH_Setup)</t>
  </si>
  <si>
    <t>Restrooms Heating Setback (F)</t>
  </si>
  <si>
    <t>Restrooms Cooling Setpoint (F)</t>
  </si>
  <si>
    <t>Restrooms Cooling Setback (F)</t>
  </si>
  <si>
    <t>Storage and Electrical/Mechanical (non-refrigerated) Heating Setpoint (F)</t>
  </si>
  <si>
    <t>Engineering Judgment (semi-conditioned storage / electrical-mechanical)</t>
  </si>
  <si>
    <t>Storage and Electrical/Mechanical (non-refrigerated) Heating Setback (F)</t>
  </si>
  <si>
    <t>Storage and Electrical/Mechanical (non-refrigerated) Cooling Setpoint (F)</t>
  </si>
  <si>
    <t>Storage and Electrical/Mechanical (non-refrigerated) Cooling Setback (F)</t>
  </si>
  <si>
    <t>Refrigerated storage setpoint (F)</t>
  </si>
  <si>
    <t>Engineering judgment, medium-temp cooler within T24 28–55°F</t>
  </si>
  <si>
    <t>Refrigerated storage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</si>
  <si>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</si>
  <si>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</si>
  <si>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</si>
  <si>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</si>
  <si>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</si>
  <si>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</si>
  <si>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</si>
  <si>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</si>
  <si>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WH Type</t>
  </si>
  <si>
    <t>Efficiency</t>
  </si>
  <si>
    <t>Number of WH</t>
  </si>
  <si>
    <t>Tank Volume (gal)</t>
  </si>
  <si>
    <t>Tank Loss</t>
  </si>
  <si>
    <t xml:space="preserve">Existing  </t>
  </si>
  <si>
    <t>Electric</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</si>
  <si>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</si>
  <si>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</si>
  <si>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</si>
  <si>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HPWH</t>
  </si>
  <si>
    <t>Peak Hot Water Consumption</t>
  </si>
  <si>
    <t>Space Name</t>
  </si>
  <si>
    <t>Baseline WH Type
[T24, 2022, Appendix 5.4A , sheet: "2022 SpaceFuncData-Input"]</t>
  </si>
  <si>
    <t xml:space="preserve"> Total Area (ft²) </t>
  </si>
  <si>
    <t xml:space="preserve"> Number of People </t>
  </si>
  <si>
    <t xml:space="preserve"> Hot Water Usage Specification
(gal/hr per person) 
[T24, 2022, Appendix 5.4A , sheet: "2022 SpaceFuncData-Input"] </t>
  </si>
  <si>
    <t>Peak Hot Water Usage
(gal/hr)</t>
  </si>
  <si>
    <t xml:space="preserve"> Peak Hot Water Usage
(gal/min) </t>
  </si>
  <si>
    <t>Plant peak hot water (gal/hr)</t>
  </si>
  <si>
    <t>Water Heater Name</t>
  </si>
  <si>
    <t>WH type</t>
  </si>
  <si>
    <t>HPWH - Admin</t>
  </si>
  <si>
    <t>Minimum peak hot water usage is 75 gal/hr according to ACM 2025, §5.9.2</t>
  </si>
  <si>
    <t>HPWH - North Classroom</t>
  </si>
  <si>
    <t>HPWH - West Classroom</t>
  </si>
  <si>
    <t>HPWH - Kindergarten</t>
  </si>
  <si>
    <t>Design supply temperature (°F)</t>
  </si>
  <si>
    <t>CEC-400-2022-009-CMF-REV2-AP5.4B</t>
  </si>
  <si>
    <t>WH system factor</t>
  </si>
  <si>
    <t>2025 ACM §5.9.2 Rated Capacity</t>
  </si>
  <si>
    <t>Water mass conversion (lb/gal)</t>
  </si>
  <si>
    <t>Reheat multiplier</t>
  </si>
  <si>
    <t>2025 ACM §5.9.2 Storage Volume</t>
  </si>
  <si>
    <t>Commercial HPWH configuration</t>
  </si>
  <si>
    <t>Unitary storage HPWH (integrated)</t>
  </si>
  <si>
    <t>Distributed unitary storage HPWH; retain the K-8 prototype's 4 water heaters and 4 service-water loops.</t>
  </si>
  <si>
    <t>Selected commercial COPh</t>
  </si>
  <si>
    <t>ENERGY STAR Certified Commercial Water Heaters export, filtered Electric Heat Pump (2026-09-03): integrated 119-gal CHP family COPh = 4.3.</t>
  </si>
  <si>
    <t>ENERGY STAR minimum commercial COPh</t>
  </si>
  <si>
    <t>ENERGY STAR commercial electric heat pump water-heater criterion; shown as the floor, not the selected enhanced value.</t>
  </si>
  <si>
    <t>Design COPh</t>
  </si>
  <si>
    <t>Use commercial COPh directly.</t>
  </si>
  <si>
    <t>Climate Zone Water Heater Sizing and Loss Coefficients (Individual WH)</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</si>
  <si>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</si>
  <si>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</si>
  <si>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</si>
  <si>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</si>
  <si>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</si>
  <si>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</si>
  <si>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</si>
  <si>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(%/hr)
[DEER Commercial HPWH Calculator V1.0.3.2; NREL 64904. Not Title 20 Table F-4]</t>
  </si>
  <si>
    <t xml:space="preserve">Off/On Cycle Loss Coefficient to Ambient Temp </t>
  </si>
  <si>
    <t>Source/Note</t>
  </si>
  <si>
    <t>HPWH_SkoolK-8_Admin</t>
  </si>
  <si>
    <t>CZ01</t>
  </si>
  <si>
    <t>%/hr</t>
  </si>
  <si>
    <t>Btu/h·°F</t>
  </si>
  <si>
    <t>Approach: distributed unitary storage HPWH. The K-8 Prototype has 4 water heaters and 4 service-water loops; retain one plant for Admin, North Classroom, West Classroom, and Kindergarten.
Efficiency: commercial COPh = 4.3 from the ENERGY STAR Certified Commercial Water Heaters export (Electric Heat Pump filter). The only integrated commercial family in that export is 119 gal: AO Smith CAHP-120 100, Lochinvar CHPA120PD 100, and State CSHP-120-DHPT 100. Required electric input (col E) = required WH capacity (col D) / COPh.
Tank loss: DEER Commercial HPWH Calculator §1.7.2 states HPWH standby losses are not published and uses UA = 4.37 Btu/h·°F for HPWHs (from NREL 64904). Therefore I = 4.37 constant for one unitary tank per plant; G (%/hr) = I / (0.0834 × F). Do not scale UA by assumed cylinder area.
Title 20 Table F-4 electric-storage standby (0.30 + 27/V %/hr) is not used because 10 CFR 431.102 excludes commercial heat pump water heaters. The 40/50/66/80/120-gal rows are retained as prototype storage-sizing bins; they are not represented as ENERGY STAR commercial market rows.
Sources:
https://www.energystar.gov/productfinder/product/certified-commercial-water-heaters/results
https://cedars.cpuc.ca.gov/deer-resources/tools/water-heaters/
https://www.ecfr.gov/current/title-10/chapter-II/subchapter-D/part-431/subpart-G/section-431.102
https://www.nlr.gov/docs/fy16osti/64904.pdf</t>
  </si>
  <si>
    <t>CZ02</t>
  </si>
  <si>
    <t>CZ03</t>
  </si>
  <si>
    <t>CZ04</t>
  </si>
  <si>
    <t>CZ05</t>
  </si>
  <si>
    <t>CZ06</t>
  </si>
  <si>
    <t>CZ07</t>
  </si>
  <si>
    <t>CZ08</t>
  </si>
  <si>
    <t>CZ09</t>
  </si>
  <si>
    <t>HPWH_SkoolK-8_North Classrooms</t>
  </si>
  <si>
    <t>Same DEER HPWH UA method as the first plant table. Peak cell $F$53.</t>
  </si>
  <si>
    <t>HPWH_SkoolK-8_West Classrooms</t>
  </si>
  <si>
    <t>Same DEER HPWH UA method as the first plant table. Peak cell $F$54.</t>
  </si>
  <si>
    <t>HPWH_SkoolK-8_Kindergarten</t>
  </si>
  <si>
    <t>Same DEER HPWH UA method as the first plant table. Peak cell $F$55.</t>
  </si>
  <si>
    <t>Market data — integrated HPWH</t>
  </si>
  <si>
    <t>Catalog tank (gal)</t>
  </si>
  <si>
    <t>Tank source</t>
  </si>
  <si>
    <t>Heating output (Btu/h)</t>
  </si>
  <si>
    <t>Output source</t>
  </si>
  <si>
    <t>UEF</t>
  </si>
  <si>
    <t>ENERGY STAR</t>
  </si>
  <si>
    <t>ENERGY STAR integrated HPWH</t>
  </si>
  <si>
    <t>Typical ENERGY STAR integrated HPWH size class</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</si>
  <si>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</si>
  <si>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</si>
  <si>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</si>
  <si>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</si>
  <si>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</si>
  <si>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</si>
  <si>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</si>
  <si>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</si>
  <si>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</si>
  <si>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</si>
  <si>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</si>
  <si>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</si>
  <si>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</si>
  <si>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</si>
  <si>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</si>
  <si>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</si>
  <si>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</si>
  <si>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</si>
  <si>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</si>
  <si>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360 ft² of gross building area </t>
  </si>
  <si>
    <t>(ft²)</t>
  </si>
  <si>
    <t>(W/ft²)</t>
  </si>
  <si>
    <t>Building Entrance</t>
  </si>
  <si>
    <t>Two required exits per building (4 buildings). Exterior classroom access</t>
  </si>
  <si>
    <t>(count)</t>
  </si>
  <si>
    <t>(W/ea)</t>
  </si>
  <si>
    <t>Hardscape Ornamental Light</t>
  </si>
  <si>
    <r>
      <t xml:space="preserve">Hardscape ornamental: 0.1 ft² per 1 ft² GFA, </t>
    </r>
    <r>
      <rPr>
        <sz val="10"/>
        <color rgb="FF000000"/>
        <rFont val="Arial"/>
        <family val="2"/>
      </rPr>
      <t>then 25% of that area</t>
    </r>
  </si>
  <si>
    <t>Building façade</t>
  </si>
  <si>
    <t>0.1 W per 1 ft² of facade area
Façade Area = Perimeter × 0.25 × max(height, 30) (30 ft is the max height that is lit). The 0.25 factor assumes that only 0.25 of the perimeter walls are lit.
Formula developed based on the 2019 Outdoor Lighting CASE report</t>
  </si>
  <si>
    <t>Student pickup / drop-off (walkway)</t>
  </si>
  <si>
    <t xml:space="preserve"> Allowance: walkway LPD on assumed 4,000 ft² loading loop (site program does not list a separate canopy). T24 2025 Table 140.7-B walkways.</t>
  </si>
  <si>
    <t>Non-motion-controlled Luminaires</t>
  </si>
  <si>
    <t>North Classroom</t>
  </si>
  <si>
    <t>West Classroom</t>
  </si>
  <si>
    <t>Kindergarten</t>
  </si>
  <si>
    <t>MPR/Admin</t>
  </si>
  <si>
    <t>Perimeter of each buildings (ft)</t>
  </si>
  <si>
    <t>Max Height that is lit for each buildings (ft)</t>
  </si>
  <si>
    <t>Each building footprint</t>
  </si>
  <si>
    <t>Floors</t>
  </si>
  <si>
    <t>Floor area of each building (ft²)</t>
  </si>
  <si>
    <t>Wall area of each building (ft²)</t>
  </si>
  <si>
    <t>Total Perimeter (ft)</t>
  </si>
  <si>
    <t>Total floor area (ft²)</t>
  </si>
  <si>
    <t>Plug load Power Density (W/ft²)</t>
  </si>
  <si>
    <t>Gas Power Density (Btu/hr-ft²)</t>
  </si>
  <si>
    <t>Refrigeration Power Density (W/ft²)</t>
  </si>
  <si>
    <t>T24 2022 - Appendix 5.4A</t>
  </si>
  <si>
    <t>Plug 1.5 W/ft²; gas 17.54 Btu/h-ft²; refrigeration 1.12 W/ft² — all T24 2022 Appendix 5.4A (ACM 2025 table unchanged). Not from the Plug Loads and Schedules project.</t>
  </si>
  <si>
    <t>Plug 0.7 W/ft² — Plug Loads and Schedules project with CEC, 2025 (Appendix 5.4A office ≤250 ft² is 1.5 W/ft²). Gas 0 and refrigeration 0 — Appendix 5.4A has no process gas or commercial refrigeration for this space.</t>
  </si>
  <si>
    <t>Plug 0.8 W/ft² — Plug Loads and Schedules project with CEC, 2025 (Appendix 5.4A classroom is 1.0 W/ft²). Gas 0 and refrigeration 0 — Appendix 5.4A has no process gas or commercial refrigeration for this space.</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</si>
  <si>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</si>
  <si>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</si>
  <si>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</si>
  <si>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</si>
  <si>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</si>
  <si>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</si>
  <si>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</si>
  <si>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</si>
  <si>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</si>
  <si>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</si>
  <si>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</si>
  <si>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</si>
  <si>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</si>
  <si>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</si>
  <si>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</si>
  <si>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</si>
  <si>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Elevator count (C20:C21 = 2) is one elevator per two-story classroom building from the CEC SchoolKto8 layout. It is not taken from an accessibility code or an external school-design publication. F19 is the cab lighting/ventilation shutoff requirement, not a count source.</t>
  </si>
  <si>
    <t>SchoolK8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</si>
  <si>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</si>
  <si>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</si>
  <si>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</si>
  <si>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</si>
  <si>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</si>
  <si>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</si>
  <si>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</si>
  <si>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</si>
  <si>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</si>
  <si>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</si>
  <si>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</si>
  <si>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</si>
  <si>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</si>
  <si>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</si>
  <si>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</si>
  <si>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</si>
  <si>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</si>
  <si>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</si>
  <si>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</si>
  <si>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</si>
  <si>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</si>
  <si>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</si>
  <si>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</si>
  <si>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</si>
  <si>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</si>
  <si>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</si>
  <si>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</si>
  <si>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</si>
  <si>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</si>
  <si>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</si>
  <si>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</si>
  <si>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</si>
  <si>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</si>
  <si>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</si>
  <si>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</si>
  <si>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</si>
  <si>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</si>
  <si>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</si>
  <si>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</si>
  <si>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</si>
  <si>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</si>
  <si>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</si>
  <si>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</si>
  <si>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</si>
  <si>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</si>
  <si>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</si>
  <si>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</si>
  <si>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</si>
  <si>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</si>
  <si>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</si>
  <si>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</si>
  <si>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</si>
  <si>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</si>
  <si>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</si>
  <si>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</si>
  <si>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</si>
  <si>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</si>
  <si>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</si>
  <si>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</si>
  <si>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</si>
  <si>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</si>
  <si>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</si>
  <si>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</si>
  <si>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</si>
  <si>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</si>
  <si>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</si>
  <si>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</si>
  <si>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</si>
  <si>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</si>
  <si>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</si>
  <si>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</si>
  <si>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</si>
  <si>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</si>
  <si>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</si>
  <si>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</si>
  <si>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</si>
  <si>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</si>
  <si>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</si>
  <si>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</si>
  <si>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</si>
  <si>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</si>
  <si>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</si>
  <si>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</si>
  <si>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</si>
  <si>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Schedules - SchoolLarge</t>
  </si>
  <si>
    <t>Zone</t>
  </si>
  <si>
    <t>Schedule</t>
  </si>
  <si>
    <t>Type</t>
  </si>
  <si>
    <t>Hour</t>
  </si>
  <si>
    <t>School Zones</t>
  </si>
  <si>
    <t xml:space="preserve"> Classroom</t>
  </si>
  <si>
    <t>Occupancy</t>
  </si>
  <si>
    <t>T24 2022 - Appendix 5.4B [School]</t>
  </si>
  <si>
    <t>Weekday</t>
  </si>
  <si>
    <t>Saturday</t>
  </si>
  <si>
    <t>Sunday</t>
  </si>
  <si>
    <t>Lights</t>
  </si>
  <si>
    <t>ElecEquipment</t>
  </si>
  <si>
    <t>ServiceHotWater</t>
  </si>
  <si>
    <t>GasEquipment</t>
  </si>
  <si>
    <t>Refrigeration</t>
  </si>
  <si>
    <t>HVACAvail</t>
  </si>
  <si>
    <t>HtgSetpt</t>
  </si>
  <si>
    <t>T24 2022 - Appendix 5.4B
Updated based on the Plug Loads project</t>
  </si>
  <si>
    <t>ClgSetpt</t>
  </si>
  <si>
    <r>
      <t xml:space="preserve">T24 2022 - Appendix 5.4B
</t>
    </r>
    <r>
      <rPr>
        <sz val="9"/>
        <color rgb="FF00B050"/>
        <rFont val="Arial"/>
        <family val="2"/>
      </rPr>
      <t xml:space="preserve">
Updated based on the Plug Loads project</t>
    </r>
  </si>
  <si>
    <t>Kitchen Zone</t>
  </si>
  <si>
    <t>OAControl</t>
  </si>
  <si>
    <t>MPR Zone</t>
  </si>
  <si>
    <t>T24 2022 - Appendix 5.4B, [School]
Updated base on Plug load and schedules project with CEC, 2025</t>
  </si>
  <si>
    <t>ExtLightingNonMotionCtrl</t>
  </si>
  <si>
    <t>ExtLightingMotionCtrl</t>
  </si>
  <si>
    <t>Auditorium</t>
  </si>
  <si>
    <t>PerformanceSpcPeopleActivityLevel</t>
  </si>
  <si>
    <t xml:space="preserve">Based on Activilty level schedules in  CEC Prototypes </t>
  </si>
  <si>
    <t>Gym</t>
  </si>
  <si>
    <t>GymPeopleActivityLevel</t>
  </si>
  <si>
    <t>Restroom, Coridor, Lobby, Mechanical RM, Lounge, Storage, Theater</t>
  </si>
  <si>
    <t>CommonAreaPeopleActivityLevel</t>
  </si>
  <si>
    <t>MeetingPeopleActivityLevel</t>
  </si>
  <si>
    <t>DiningArea</t>
  </si>
  <si>
    <t>DiningAreaPeopleActivityLevel</t>
  </si>
  <si>
    <t>Library, office, MultiMeetingRm</t>
  </si>
  <si>
    <t>FunctionalAreaPeopleActivityLevel</t>
  </si>
  <si>
    <t>Based on Activilty level schedules in  CEC Prototypes and assumed spaces for Basement</t>
  </si>
  <si>
    <t>RefStorage</t>
  </si>
  <si>
    <t>RefStoragePeopleActivityLevel</t>
  </si>
  <si>
    <t>Refrigerated storage (walk-in)</t>
  </si>
  <si>
    <t>Refrigerated storage zone</t>
  </si>
  <si>
    <t>T24 2025 §100.1 cooler: ≥28°F and &lt;55°F. Engineering judgment, medium-temp. Compressor available every hour</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</si>
  <si>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</si>
  <si>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</si>
  <si>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</si>
  <si>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</si>
  <si>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</si>
  <si>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</si>
  <si>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</si>
  <si>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</si>
  <si>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</si>
  <si>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</si>
  <si>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</si>
  <si>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</si>
  <si>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</si>
  <si>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</si>
  <si>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</si>
  <si>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</si>
  <si>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</si>
  <si>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</si>
  <si>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</si>
  <si>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</si>
  <si>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</si>
  <si>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</si>
  <si>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</si>
  <si>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</si>
  <si>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</si>
  <si>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</si>
  <si>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</si>
  <si>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</si>
  <si>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</si>
  <si>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</si>
  <si>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</si>
  <si>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</si>
  <si>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</si>
  <si>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</si>
  <si>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</si>
  <si>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</si>
  <si>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</si>
  <si>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</si>
  <si>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</si>
  <si>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</si>
  <si>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</si>
  <si>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</si>
  <si>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</si>
  <si>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</si>
  <si>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</si>
  <si>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</si>
  <si>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</si>
  <si>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</si>
  <si>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</si>
  <si>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</si>
  <si>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</si>
  <si>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</si>
  <si>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</si>
  <si>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</si>
  <si>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</si>
  <si>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</si>
  <si>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</si>
  <si>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</si>
  <si>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</si>
  <si>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</si>
  <si>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</si>
  <si>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</si>
  <si>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</si>
  <si>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</si>
  <si>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</si>
  <si>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</si>
  <si>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</si>
  <si>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</si>
  <si>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</si>
  <si>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</si>
  <si>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</si>
  <si>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</si>
  <si>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</si>
  <si>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</si>
  <si>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</si>
  <si>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</si>
  <si>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</si>
  <si>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</si>
  <si>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</si>
  <si>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</si>
  <si>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</si>
  <si>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</si>
  <si>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</si>
  <si>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</si>
  <si>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Transportation Function (Baggage Area)</t>
  </si>
  <si>
    <t>Transportation Function (Ticketing Area)</t>
  </si>
  <si>
    <t>Videoconferencing Studio</t>
  </si>
  <si>
    <t>High-Rise Residential Living Spaces</t>
  </si>
  <si>
    <t>Hotel/Motel Guest Room</t>
  </si>
  <si>
    <t>All other</t>
  </si>
  <si>
    <t>Attic</t>
  </si>
  <si>
    <t>Reception Area</t>
  </si>
  <si>
    <t>Plenum</t>
  </si>
  <si>
    <t>Computer Room</t>
  </si>
  <si>
    <t>Server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</si>
</sst>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0.0000"/>
  </numFmts>
  <fonts count="58"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b/>
      <sz val="9"/>
      <color theme="1"/>
      <name val="Arial"/>
      <family val="2"/>
    </font>
    <font>
      <sz val="9"/>
      <name val="Arial"/>
      <family val="2"/>
    </font>
    <font>
      <sz val="9"/>
      <color rgb="FF00B050"/>
      <name val="Arial"/>
      <family val="2"/>
    </font>
    <font>
      <b/>
      <sz val="9"/>
      <name val="Arial"/>
      <family val="2"/>
    </font>
    <font>
      <sz val="9"/>
      <color theme="1"/>
      <name val="Calibri"/>
      <family val="2"/>
      <scheme val="minor"/>
    </font>
    <font>
      <b/>
      <sz val="12"/>
      <color rgb="FFFFFFFF"/>
      <name val="Calibri"/>
      <family val="2"/>
    </font>
    <font>
      <b/>
      <sz val="11"/>
      <name val="Calibri"/>
      <family val="2"/>
    </font>
    <font>
      <sz val="11"/>
      <color rgb="FF000000"/>
      <name val="Calibri"/>
      <family val="2"/>
    </font>
    <font>
      <b/>
      <sz val="14"/>
      <color rgb="FFFFFFFF"/>
      <name val="Calibri"/>
      <family val="2"/>
    </font>
    <font>
      <sz val="11"/>
      <color theme="1"/>
      <name val="Calibri"/>
      <family val="2"/>
    </font>
    <font>
      <b/>
      <sz val="11"/>
      <color rgb="FF000000"/>
      <name val="Calibri"/>
      <family val="2"/>
    </font>
    <font>
      <b/>
      <sz val="14"/>
      <color theme="0"/>
      <name val="Arial"/>
      <family val="2"/>
    </font>
    <font>
      <sz val="9"/>
      <color rgb="FF000000"/>
      <name val="Arial"/>
      <family val="2"/>
    </font>
    <font>
      <b/>
      <sz val="11"/>
      <color rgb="FF000000"/>
      <name val="Calibri"/>
      <family val="2"/>
      <scheme val="minor"/>
    </font>
    <font>
      <b/>
      <sz val="10"/>
      <color rgb="FF000000"/>
      <name val="Calibri"/>
      <family val="2"/>
      <scheme val="minor"/>
    </font>
    <font>
      <u/>
      <sz val="10"/>
      <color rgb="FF000000"/>
      <name val="Arial"/>
      <family val="2"/>
    </font>
    <font>
      <b/>
      <sz val="11"/>
      <color rgb="FF000000"/>
      <name val="Arial"/>
      <family val="2"/>
    </font>
    <font>
      <sz val="11"/>
      <color rgb="FF000000"/>
      <name val="Arial"/>
      <family val="2"/>
    </font>
    <font>
      <u/>
      <sz val="11"/>
      <color rgb="FF000000"/>
      <name val="Calibri"/>
      <family val="2"/>
      <scheme val="minor"/>
    </font>
    <font>
      <sz val="12"/>
      <color theme="0"/>
      <name val="Arial"/>
      <family val="2"/>
    </font>
    <font>
      <sz val="11"/>
      <color rgb="FF0563C1"/>
      <name val="Calibri"/>
      <family val="2"/>
    </font>
    <font>
      <sz val="11"/>
      <color rgb="FF0563C1"/>
      <name val="Calibri"/>
      <family val="2"/>
      <scheme val="minor"/>
    </font>
    <font>
      <b/>
      <sz val="12"/>
      <color rgb="FFFFFFFF"/>
      <name val="Arial"/>
    </font>
    <font>
      <sz val="10"/>
      <color rgb="FFFFFFFF"/>
      <name val="Arial"/>
    </font>
  </fonts>
  <fills count="33">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A6A6A6"/>
        <bgColor rgb="FF000000"/>
      </patternFill>
    </fill>
    <fill>
      <patternFill patternType="solid">
        <fgColor rgb="FFFFF2CC"/>
        <bgColor rgb="FF000000"/>
      </patternFill>
    </fill>
    <fill>
      <patternFill patternType="solid">
        <fgColor rgb="FFFFFF00"/>
        <bgColor rgb="FF000000"/>
      </patternFill>
    </fill>
    <fill>
      <patternFill patternType="solid">
        <fgColor rgb="FF244062"/>
      </patternFill>
    </fill>
    <fill>
      <patternFill patternType="solid">
        <fgColor rgb="FFD9E1F2"/>
      </patternFill>
    </fill>
    <fill>
      <patternFill patternType="solid">
        <fgColor rgb="FFCFE2F3"/>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D9D9D9"/>
        <bgColor indexed="64"/>
      </patternFill>
    </fill>
    <fill>
      <patternFill patternType="solid">
        <fgColor rgb="FFFFFFFF"/>
        <bgColor indexed="64"/>
      </patternFill>
    </fill>
    <fill>
      <patternFill patternType="solid">
        <fgColor rgb="FF203764"/>
        <bgColor indexed="64"/>
      </patternFill>
    </fill>
    <fill>
      <patternFill patternType="solid">
        <fgColor rgb="FFD9E1F2"/>
        <bgColor indexed="64"/>
      </patternFill>
    </fill>
    <fill>
      <patternFill patternType="solid">
        <fgColor rgb="FFFFFFFF"/>
        <bgColor rgb="FF000000"/>
      </patternFill>
    </fill>
    <fill>
      <patternFill patternType="solid">
        <fgColor rgb="FFC2BCBC"/>
        <bgColor indexed="64"/>
      </patternFill>
    </fill>
    <fill>
      <patternFill patternType="solid">
        <fgColor rgb="FF969595"/>
        <bgColor indexed="64"/>
      </patternFill>
    </fill>
  </fills>
  <borders count="17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tint="-0.499984740745262"/>
      </left>
      <right style="thin">
        <color rgb="FF80808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theme="1" tint="0.34998626667073579"/>
      </left>
      <right style="thin">
        <color theme="1" tint="0.34998626667073579"/>
      </right>
      <top style="medium">
        <color rgb="FF000000"/>
      </top>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right/>
      <top style="medium">
        <color indexed="64"/>
      </top>
      <bottom style="medium">
        <color rgb="FF000000"/>
      </bottom>
      <diagonal/>
    </border>
    <border>
      <left/>
      <right style="thin">
        <color theme="1" tint="0.34998626667073579"/>
      </right>
      <top style="medium">
        <color indexed="64"/>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rgb="FF808080"/>
      </left>
      <right/>
      <top/>
      <bottom/>
      <diagonal/>
    </border>
    <border>
      <left style="thin">
        <color rgb="FF808080"/>
      </left>
      <right/>
      <top/>
      <bottom style="thin">
        <color rgb="FF808080"/>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808080"/>
      </left>
      <right style="thin">
        <color rgb="FF808080"/>
      </right>
      <top style="thin">
        <color indexed="64"/>
      </top>
      <bottom style="thin">
        <color rgb="FF808080"/>
      </bottom>
      <diagonal/>
    </border>
    <border>
      <left style="thin">
        <color rgb="FF808080"/>
      </left>
      <right/>
      <top style="thin">
        <color indexed="64"/>
      </top>
      <bottom style="thin">
        <color rgb="FF80808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bottom/>
      <diagonal/>
    </border>
    <border>
      <left style="thin">
        <color rgb="FF808080"/>
      </left>
      <right style="thin">
        <color rgb="FF808080"/>
      </right>
      <top/>
      <bottom style="thin">
        <color indexed="64"/>
      </bottom>
      <diagonal/>
    </border>
    <border>
      <left style="thin">
        <color rgb="FF808080"/>
      </left>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808080"/>
      </left>
      <right/>
      <top style="thin">
        <color rgb="FF808080"/>
      </top>
      <bottom style="thin">
        <color indexed="64"/>
      </bottom>
      <diagonal/>
    </border>
    <border>
      <left/>
      <right style="thin">
        <color indexed="64"/>
      </right>
      <top style="thin">
        <color rgb="FF808080"/>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indexed="64"/>
      </left>
      <right/>
      <top style="thin">
        <color indexed="64"/>
      </top>
      <bottom style="thin">
        <color theme="1" tint="0.249977111117893"/>
      </bottom>
      <diagonal/>
    </border>
    <border>
      <left/>
      <right/>
      <top style="thin">
        <color indexed="64"/>
      </top>
      <bottom style="thin">
        <color theme="1" tint="0.249977111117893"/>
      </bottom>
      <diagonal/>
    </border>
    <border>
      <left style="thin">
        <color rgb="FF808080"/>
      </left>
      <right style="thin">
        <color rgb="FF808080"/>
      </right>
      <top style="thin">
        <color theme="1" tint="0.249977111117893"/>
      </top>
      <bottom style="thin">
        <color rgb="FF808080"/>
      </bottom>
      <diagonal/>
    </border>
    <border>
      <left style="thin">
        <color rgb="FF808080"/>
      </left>
      <right/>
      <top style="thin">
        <color theme="1" tint="0.249977111117893"/>
      </top>
      <bottom style="thin">
        <color rgb="FF808080"/>
      </bottom>
      <diagonal/>
    </border>
    <border>
      <left style="thin">
        <color rgb="FF000000"/>
      </left>
      <right style="thin">
        <color theme="1" tint="0.249977111117893"/>
      </right>
      <top style="thin">
        <color theme="1" tint="0.249977111117893"/>
      </top>
      <bottom style="thin">
        <color rgb="FF000000"/>
      </bottom>
      <diagonal/>
    </border>
    <border>
      <left style="thin">
        <color rgb="FF000000"/>
      </left>
      <right style="thin">
        <color theme="1" tint="0.249977111117893"/>
      </right>
      <top/>
      <bottom/>
      <diagonal/>
    </border>
    <border>
      <left style="thin">
        <color rgb="FF808080"/>
      </left>
      <right style="thin">
        <color rgb="FF808080"/>
      </right>
      <top style="thin">
        <color rgb="FF808080"/>
      </top>
      <bottom style="thin">
        <color theme="1" tint="0.249977111117893"/>
      </bottom>
      <diagonal/>
    </border>
    <border>
      <left style="thin">
        <color rgb="FF808080"/>
      </left>
      <right style="thin">
        <color rgb="FF808080"/>
      </right>
      <top/>
      <bottom style="thin">
        <color theme="1" tint="0.249977111117893"/>
      </bottom>
      <diagonal/>
    </border>
    <border>
      <left style="thin">
        <color rgb="FF808080"/>
      </left>
      <right/>
      <top/>
      <bottom style="thin">
        <color theme="1" tint="0.249977111117893"/>
      </bottom>
      <diagonal/>
    </border>
    <border>
      <left style="thin">
        <color rgb="FF000000"/>
      </left>
      <right style="thin">
        <color theme="1" tint="0.249977111117893"/>
      </right>
      <top/>
      <bottom style="thin">
        <color theme="1" tint="0.249977111117893"/>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rgb="FF808080"/>
      </right>
      <top style="thin">
        <color indexed="64"/>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style="thin">
        <color indexed="64"/>
      </bottom>
      <diagonal/>
    </border>
    <border>
      <left/>
      <right style="thin">
        <color rgb="FF808080"/>
      </right>
      <top style="thin">
        <color rgb="FF808080"/>
      </top>
      <bottom/>
      <diagonal/>
    </border>
    <border>
      <left/>
      <right style="thin">
        <color rgb="FF808080"/>
      </right>
      <top style="thin">
        <color theme="1" tint="0.249977111117893"/>
      </top>
      <bottom style="thin">
        <color rgb="FF808080"/>
      </bottom>
      <diagonal/>
    </border>
    <border>
      <left/>
      <right style="thin">
        <color rgb="FF808080"/>
      </right>
      <top style="thin">
        <color rgb="FF808080"/>
      </top>
      <bottom style="thin">
        <color theme="1" tint="0.249977111117893"/>
      </bottom>
      <diagonal/>
    </border>
    <border>
      <left style="thin">
        <color theme="0" tint="-0.249977111117893"/>
      </left>
      <right style="thin">
        <color theme="0" tint="-0.249977111117893"/>
      </right>
      <top style="thin">
        <color theme="0" tint="-0.249977111117893"/>
      </top>
      <bottom style="thin">
        <color theme="1" tint="0.249977111117893"/>
      </bottom>
      <diagonal/>
    </border>
    <border>
      <left style="thin">
        <color theme="0" tint="-0.249977111117893"/>
      </left>
      <right style="thin">
        <color theme="0" tint="-0.249977111117893"/>
      </right>
      <top/>
      <bottom style="thin">
        <color theme="0" tint="-0.249977111117893"/>
      </bottom>
      <diagonal/>
    </border>
    <border>
      <left style="thin">
        <color theme="1" tint="0.34998626667073579"/>
      </left>
      <right style="thin">
        <color theme="1" tint="0.34998626667073579"/>
      </right>
      <top style="thin">
        <color theme="1" tint="0.34998626667073579"/>
      </top>
      <bottom/>
      <diagonal/>
    </border>
    <border>
      <left style="thin">
        <color rgb="FF000000"/>
      </left>
      <right/>
      <top/>
      <bottom/>
      <diagonal/>
    </border>
    <border>
      <left style="medium">
        <color indexed="64"/>
      </left>
      <right/>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s>
  <cellStyleXfs count="1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xf numFmtId="0" fontId="4" fillId="0" borderId="0"/>
    <xf numFmtId="43" fontId="2" fillId="0" borderId="0"/>
    <xf numFmtId="0" fontId="43" fillId="0" borderId="0"/>
    <xf numFmtId="0" fontId="8" fillId="0" borderId="0"/>
  </cellStyleXfs>
  <cellXfs count="742">
    <xf numFmtId="0" fontId="0" fillId="0" borderId="0" xfId="0"/>
    <xf numFmtId="0" fontId="8" fillId="0" borderId="0" xfId="5"/>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15" fillId="0" borderId="0" xfId="5" applyFont="1"/>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7" fontId="15"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2" xfId="4" applyBorder="1" applyAlignment="1">
      <alignment horizontal="center" vertical="center"/>
    </xf>
    <xf numFmtId="9" fontId="6" fillId="0" borderId="22"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4"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2"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7" fontId="22" fillId="0" borderId="0" xfId="0" applyNumberFormat="1" applyFont="1" applyAlignment="1">
      <alignment horizontal="center" vertical="center"/>
    </xf>
    <xf numFmtId="0" fontId="25" fillId="0" borderId="0" xfId="0" applyFont="1"/>
    <xf numFmtId="0" fontId="25" fillId="0" borderId="0" xfId="0" applyFont="1" applyAlignment="1">
      <alignment wrapText="1"/>
    </xf>
    <xf numFmtId="0" fontId="25"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9" fillId="6"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4" xfId="0" applyFont="1" applyBorder="1" applyAlignment="1">
      <alignment horizontal="center" vertical="center" wrapText="1"/>
    </xf>
    <xf numFmtId="0" fontId="12" fillId="0" borderId="0" xfId="0" applyFont="1" applyAlignment="1">
      <alignment vertical="center"/>
    </xf>
    <xf numFmtId="0" fontId="27" fillId="0" borderId="0" xfId="0" applyFont="1"/>
    <xf numFmtId="0" fontId="11" fillId="0" borderId="0" xfId="0" applyFont="1" applyAlignment="1">
      <alignment horizontal="center"/>
    </xf>
    <xf numFmtId="43" fontId="6" fillId="0" borderId="0" xfId="0" applyNumberFormat="1" applyFont="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21" fillId="0" borderId="0" xfId="0" applyFont="1"/>
    <xf numFmtId="0" fontId="19" fillId="10" borderId="2" xfId="0" applyFont="1" applyFill="1" applyBorder="1" applyAlignment="1">
      <alignment horizontal="center" vertical="center"/>
    </xf>
    <xf numFmtId="0" fontId="29" fillId="0" borderId="0" xfId="0" applyFont="1" applyAlignment="1">
      <alignment vertical="center"/>
    </xf>
    <xf numFmtId="0" fontId="23" fillId="10" borderId="2" xfId="0" applyFont="1" applyFill="1" applyBorder="1" applyAlignment="1">
      <alignment horizontal="center" vertical="center"/>
    </xf>
    <xf numFmtId="0" fontId="7" fillId="2" borderId="0" xfId="0" applyFont="1" applyFill="1" applyAlignment="1">
      <alignment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17" fillId="0" borderId="0" xfId="0" applyFont="1"/>
    <xf numFmtId="169" fontId="30"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168" fontId="6" fillId="0" borderId="2" xfId="0" applyNumberFormat="1" applyFont="1" applyBorder="1" applyAlignment="1">
      <alignment horizontal="right" vertical="center"/>
    </xf>
    <xf numFmtId="3" fontId="6" fillId="0" borderId="0" xfId="0" applyNumberFormat="1" applyFont="1"/>
    <xf numFmtId="168" fontId="6" fillId="0" borderId="2" xfId="6" applyNumberFormat="1" applyFont="1" applyBorder="1" applyAlignment="1">
      <alignment horizontal="right" vertical="center"/>
    </xf>
    <xf numFmtId="0" fontId="6" fillId="7"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3" borderId="2" xfId="0" applyFont="1" applyFill="1" applyBorder="1" applyAlignment="1">
      <alignment horizontal="center" vertical="center"/>
    </xf>
    <xf numFmtId="0" fontId="11" fillId="0" borderId="0" xfId="0" applyFont="1" applyAlignment="1">
      <alignment vertical="center"/>
    </xf>
    <xf numFmtId="0" fontId="6" fillId="4" borderId="0" xfId="0" applyFont="1" applyFill="1"/>
    <xf numFmtId="0" fontId="6" fillId="4" borderId="0" xfId="0" applyFont="1" applyFill="1" applyAlignment="1">
      <alignment horizontal="center"/>
    </xf>
    <xf numFmtId="165" fontId="11" fillId="0" borderId="0" xfId="2" applyNumberFormat="1" applyFont="1"/>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0" fillId="0" borderId="0" xfId="0" applyAlignment="1">
      <alignment horizontal="left"/>
    </xf>
    <xf numFmtId="0" fontId="6" fillId="0" borderId="24" xfId="4" applyBorder="1" applyAlignment="1">
      <alignment horizontal="center" vertical="center"/>
    </xf>
    <xf numFmtId="0" fontId="23" fillId="10" borderId="45" xfId="0" applyFont="1" applyFill="1" applyBorder="1" applyAlignment="1">
      <alignment horizontal="center" vertical="center" wrapText="1"/>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0" fontId="7" fillId="6" borderId="46" xfId="0" applyFont="1" applyFill="1" applyBorder="1" applyAlignment="1">
      <alignment horizontal="center" vertical="center"/>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wrapText="1"/>
    </xf>
    <xf numFmtId="0" fontId="7" fillId="6" borderId="49" xfId="0" applyFont="1" applyFill="1" applyBorder="1" applyAlignment="1">
      <alignment horizontal="center" vertical="center"/>
    </xf>
    <xf numFmtId="0" fontId="6" fillId="0" borderId="50" xfId="0" applyFont="1" applyBorder="1" applyAlignment="1">
      <alignment horizontal="center" vertical="center"/>
    </xf>
    <xf numFmtId="0" fontId="6" fillId="0" borderId="55" xfId="0" applyFont="1" applyBorder="1" applyAlignment="1">
      <alignment horizontal="center" vertical="center"/>
    </xf>
    <xf numFmtId="0" fontId="1" fillId="0" borderId="56" xfId="0" applyFont="1" applyBorder="1" applyAlignment="1">
      <alignment horizontal="center" vertical="center"/>
    </xf>
    <xf numFmtId="0" fontId="6" fillId="0" borderId="56" xfId="0" applyFont="1" applyBorder="1" applyAlignment="1">
      <alignment horizontal="center" vertical="center" wrapText="1"/>
    </xf>
    <xf numFmtId="0" fontId="7" fillId="6" borderId="59" xfId="0" applyFont="1" applyFill="1" applyBorder="1" applyAlignment="1">
      <alignment horizontal="center" vertical="center"/>
    </xf>
    <xf numFmtId="0" fontId="8" fillId="0" borderId="2" xfId="5" applyBorder="1" applyAlignment="1">
      <alignment horizontal="center" vertical="center"/>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1" fillId="0" borderId="2" xfId="1" applyBorder="1" applyAlignment="1">
      <alignment vertical="center" wrapText="1"/>
    </xf>
    <xf numFmtId="0" fontId="6" fillId="11" borderId="2" xfId="0" applyFont="1" applyFill="1" applyBorder="1" applyAlignment="1">
      <alignment horizontal="center" vertical="center"/>
    </xf>
    <xf numFmtId="0" fontId="1" fillId="11" borderId="2" xfId="0" applyFont="1" applyFill="1" applyBorder="1" applyAlignment="1">
      <alignment horizontal="center" vertical="center"/>
    </xf>
    <xf numFmtId="2" fontId="6" fillId="0" borderId="2" xfId="0" applyNumberFormat="1" applyFont="1" applyBorder="1" applyAlignment="1">
      <alignment horizontal="center" vertical="center"/>
    </xf>
    <xf numFmtId="2" fontId="6" fillId="7" borderId="2" xfId="0" applyNumberFormat="1" applyFont="1" applyFill="1" applyBorder="1" applyAlignment="1">
      <alignment horizontal="center" vertical="center"/>
    </xf>
    <xf numFmtId="0" fontId="7" fillId="0" borderId="0" xfId="0" applyFont="1" applyAlignment="1">
      <alignment vertical="center" wrapText="1"/>
    </xf>
    <xf numFmtId="0" fontId="23"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9" fillId="6" borderId="2" xfId="0" applyFont="1" applyFill="1" applyBorder="1" applyAlignment="1">
      <alignment vertical="center"/>
    </xf>
    <xf numFmtId="0" fontId="1" fillId="0" borderId="2" xfId="1" applyBorder="1" applyAlignment="1">
      <alignment vertical="center"/>
    </xf>
    <xf numFmtId="0" fontId="31" fillId="0" borderId="2" xfId="0" applyFont="1" applyBorder="1" applyAlignment="1">
      <alignment horizontal="left" vertical="top" wrapText="1"/>
    </xf>
    <xf numFmtId="168" fontId="6" fillId="0" borderId="2" xfId="6" applyNumberFormat="1" applyFont="1" applyBorder="1" applyAlignment="1">
      <alignment horizontal="center" vertical="center"/>
    </xf>
    <xf numFmtId="43" fontId="6" fillId="0" borderId="0" xfId="0" applyNumberFormat="1" applyFont="1" applyAlignment="1">
      <alignment horizontal="center" vertical="top" wrapText="1"/>
    </xf>
    <xf numFmtId="168" fontId="31" fillId="0" borderId="2" xfId="6" applyNumberFormat="1" applyFont="1" applyBorder="1" applyAlignment="1">
      <alignment horizontal="center" vertical="center" wrapText="1"/>
    </xf>
    <xf numFmtId="0" fontId="33" fillId="0" borderId="0" xfId="0" applyFont="1" applyAlignment="1">
      <alignment horizontal="right" vertical="center" wrapText="1"/>
    </xf>
    <xf numFmtId="43" fontId="6" fillId="0" borderId="2" xfId="0" applyNumberFormat="1" applyFont="1" applyBorder="1" applyAlignment="1">
      <alignment vertical="center"/>
    </xf>
    <xf numFmtId="0" fontId="19" fillId="10" borderId="63" xfId="0" applyFont="1" applyFill="1" applyBorder="1" applyAlignment="1">
      <alignment horizontal="center" vertical="center"/>
    </xf>
    <xf numFmtId="0" fontId="19" fillId="10" borderId="64" xfId="0" applyFont="1" applyFill="1" applyBorder="1" applyAlignment="1">
      <alignment horizontal="center" vertical="center"/>
    </xf>
    <xf numFmtId="0" fontId="19" fillId="10" borderId="65" xfId="0" applyFont="1" applyFill="1" applyBorder="1" applyAlignment="1">
      <alignment horizontal="center" vertical="center" wrapText="1"/>
    </xf>
    <xf numFmtId="0" fontId="23" fillId="10" borderId="64" xfId="0" applyFont="1" applyFill="1" applyBorder="1" applyAlignment="1">
      <alignment horizontal="center" vertical="center" wrapText="1"/>
    </xf>
    <xf numFmtId="0" fontId="23" fillId="10" borderId="64" xfId="0" applyFont="1" applyFill="1" applyBorder="1" applyAlignment="1">
      <alignment horizontal="center" vertical="center"/>
    </xf>
    <xf numFmtId="0" fontId="23" fillId="10" borderId="37" xfId="0" applyFont="1" applyFill="1" applyBorder="1" applyAlignment="1">
      <alignment horizontal="center" vertical="center"/>
    </xf>
    <xf numFmtId="1" fontId="6" fillId="0" borderId="0" xfId="0" applyNumberFormat="1" applyFont="1" applyAlignment="1">
      <alignment horizontal="left" vertical="center"/>
    </xf>
    <xf numFmtId="0" fontId="1" fillId="16" borderId="2" xfId="0" applyFont="1" applyFill="1" applyBorder="1" applyAlignment="1">
      <alignment horizontal="center" vertical="center"/>
    </xf>
    <xf numFmtId="0" fontId="11" fillId="0" borderId="0" xfId="0" applyFont="1" applyAlignment="1">
      <alignment wrapText="1"/>
    </xf>
    <xf numFmtId="0" fontId="26" fillId="0" borderId="0" xfId="0" applyFont="1" applyAlignment="1">
      <alignment vertical="center" wrapText="1"/>
    </xf>
    <xf numFmtId="1" fontId="6" fillId="0" borderId="2" xfId="0" applyNumberFormat="1" applyFont="1" applyBorder="1" applyAlignment="1">
      <alignment vertical="center"/>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11" fontId="6" fillId="0" borderId="0" xfId="0" applyNumberFormat="1" applyFont="1"/>
    <xf numFmtId="11" fontId="7" fillId="0" borderId="0" xfId="0" applyNumberFormat="1" applyFont="1" applyAlignment="1">
      <alignment vertical="center"/>
    </xf>
    <xf numFmtId="0" fontId="16" fillId="0" borderId="0" xfId="0" applyFont="1"/>
    <xf numFmtId="0" fontId="30" fillId="0" borderId="0" xfId="0" applyFont="1"/>
    <xf numFmtId="3" fontId="6" fillId="0" borderId="0" xfId="0" applyNumberFormat="1" applyFont="1" applyAlignment="1">
      <alignment horizontal="left"/>
    </xf>
    <xf numFmtId="9" fontId="6" fillId="0" borderId="2" xfId="0" applyNumberFormat="1" applyFont="1" applyBorder="1" applyAlignment="1">
      <alignment horizontal="center" vertical="center"/>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0" fontId="6" fillId="0" borderId="3" xfId="0" applyFont="1" applyBorder="1" applyAlignment="1">
      <alignment vertical="center"/>
    </xf>
    <xf numFmtId="0" fontId="1" fillId="0" borderId="2" xfId="3" applyFont="1" applyFill="1" applyBorder="1" applyAlignment="1">
      <alignment horizontal="center" vertical="center" wrapText="1"/>
    </xf>
    <xf numFmtId="3" fontId="1" fillId="0" borderId="2" xfId="7" applyNumberFormat="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2" fillId="0" borderId="76" xfId="0" applyFont="1" applyBorder="1" applyAlignment="1">
      <alignment horizontal="center" vertical="center"/>
    </xf>
    <xf numFmtId="165" fontId="35" fillId="0" borderId="68" xfId="0" applyNumberFormat="1" applyFont="1" applyBorder="1" applyAlignment="1">
      <alignment horizontal="center" vertical="center"/>
    </xf>
    <xf numFmtId="0" fontId="22" fillId="0" borderId="80" xfId="0" applyFont="1" applyBorder="1" applyAlignment="1">
      <alignment horizontal="center" vertical="center"/>
    </xf>
    <xf numFmtId="0" fontId="22" fillId="0" borderId="84" xfId="0" applyFont="1" applyBorder="1" applyAlignment="1">
      <alignment horizontal="center" vertical="center"/>
    </xf>
    <xf numFmtId="1" fontId="35" fillId="0" borderId="71" xfId="0" applyNumberFormat="1" applyFont="1" applyBorder="1" applyAlignment="1">
      <alignment horizontal="center" vertical="center"/>
    </xf>
    <xf numFmtId="1" fontId="35" fillId="0" borderId="70" xfId="0" applyNumberFormat="1" applyFont="1" applyBorder="1" applyAlignment="1">
      <alignment horizontal="center" vertical="center"/>
    </xf>
    <xf numFmtId="1" fontId="35" fillId="0" borderId="69" xfId="0" applyNumberFormat="1" applyFont="1" applyBorder="1" applyAlignment="1">
      <alignment horizontal="center" vertical="center"/>
    </xf>
    <xf numFmtId="1" fontId="35" fillId="0" borderId="68" xfId="0" applyNumberFormat="1" applyFont="1" applyBorder="1" applyAlignment="1">
      <alignment horizontal="center" vertical="center"/>
    </xf>
    <xf numFmtId="1" fontId="35" fillId="0" borderId="67" xfId="0" applyNumberFormat="1" applyFont="1" applyBorder="1" applyAlignment="1">
      <alignment horizontal="center" vertical="center"/>
    </xf>
    <xf numFmtId="1" fontId="35" fillId="0" borderId="66" xfId="0" applyNumberFormat="1" applyFont="1" applyBorder="1" applyAlignment="1">
      <alignment horizontal="center" vertical="center"/>
    </xf>
    <xf numFmtId="2" fontId="35" fillId="0" borderId="68" xfId="0" applyNumberFormat="1" applyFont="1" applyBorder="1" applyAlignment="1">
      <alignment horizontal="center" vertical="center"/>
    </xf>
    <xf numFmtId="0" fontId="22" fillId="0" borderId="95" xfId="0" applyFont="1" applyBorder="1" applyAlignment="1">
      <alignment horizontal="center" vertical="center"/>
    </xf>
    <xf numFmtId="2" fontId="35" fillId="0" borderId="93" xfId="0" applyNumberFormat="1" applyFont="1" applyBorder="1" applyAlignment="1">
      <alignment horizontal="center" vertical="center"/>
    </xf>
    <xf numFmtId="2" fontId="35" fillId="0" borderId="96" xfId="0" applyNumberFormat="1" applyFont="1" applyBorder="1" applyAlignment="1">
      <alignment horizontal="center" vertical="center"/>
    </xf>
    <xf numFmtId="2" fontId="35" fillId="0" borderId="97" xfId="0" applyNumberFormat="1" applyFont="1" applyBorder="1" applyAlignment="1">
      <alignment horizontal="center" vertical="center"/>
    </xf>
    <xf numFmtId="0" fontId="22" fillId="0" borderId="101" xfId="0" applyFont="1" applyBorder="1" applyAlignment="1">
      <alignment horizontal="center" vertical="center"/>
    </xf>
    <xf numFmtId="2" fontId="35" fillId="0" borderId="98" xfId="0" applyNumberFormat="1" applyFont="1" applyBorder="1" applyAlignment="1">
      <alignment horizontal="center" vertical="center"/>
    </xf>
    <xf numFmtId="2" fontId="35" fillId="0" borderId="102"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07" xfId="0" applyNumberFormat="1" applyFont="1" applyBorder="1" applyAlignment="1">
      <alignment horizontal="center" vertical="center"/>
    </xf>
    <xf numFmtId="0" fontId="22" fillId="0" borderId="60" xfId="0" applyFont="1" applyBorder="1" applyAlignment="1">
      <alignment horizontal="center" vertical="center"/>
    </xf>
    <xf numFmtId="0" fontId="22" fillId="0" borderId="11" xfId="0" applyFont="1" applyBorder="1" applyAlignment="1">
      <alignment horizontal="center" vertical="center"/>
    </xf>
    <xf numFmtId="0" fontId="22" fillId="0" borderId="61" xfId="0" applyFont="1" applyBorder="1" applyAlignment="1">
      <alignment horizontal="center" vertical="center"/>
    </xf>
    <xf numFmtId="165" fontId="35" fillId="0" borderId="93" xfId="0" applyNumberFormat="1" applyFont="1" applyBorder="1" applyAlignment="1">
      <alignment horizontal="center" vertical="center"/>
    </xf>
    <xf numFmtId="165" fontId="35" fillId="0" borderId="96" xfId="0" applyNumberFormat="1" applyFont="1" applyBorder="1" applyAlignment="1">
      <alignment horizontal="center" vertical="center"/>
    </xf>
    <xf numFmtId="165" fontId="35" fillId="0" borderId="97" xfId="0" applyNumberFormat="1" applyFont="1" applyBorder="1" applyAlignment="1">
      <alignment horizontal="center" vertical="center"/>
    </xf>
    <xf numFmtId="165" fontId="35" fillId="0" borderId="98" xfId="0" applyNumberFormat="1" applyFont="1" applyBorder="1" applyAlignment="1">
      <alignment horizontal="center" vertical="center"/>
    </xf>
    <xf numFmtId="165" fontId="35" fillId="0" borderId="102"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32" xfId="0" applyNumberFormat="1" applyFont="1" applyBorder="1" applyAlignment="1">
      <alignment horizontal="center" vertical="center"/>
    </xf>
    <xf numFmtId="2" fontId="22" fillId="0" borderId="9" xfId="0" applyNumberFormat="1" applyFont="1" applyBorder="1" applyAlignment="1">
      <alignment horizontal="center" vertical="center"/>
    </xf>
    <xf numFmtId="0" fontId="22" fillId="0" borderId="72" xfId="0" applyFont="1" applyBorder="1" applyAlignment="1">
      <alignment horizontal="center" vertical="center"/>
    </xf>
    <xf numFmtId="2" fontId="22" fillId="0" borderId="27" xfId="0" applyNumberFormat="1" applyFont="1" applyBorder="1" applyAlignment="1">
      <alignment horizontal="center" vertical="center"/>
    </xf>
    <xf numFmtId="2" fontId="22" fillId="0" borderId="31" xfId="0" applyNumberFormat="1" applyFont="1" applyBorder="1" applyAlignment="1">
      <alignment horizontal="center" vertical="center"/>
    </xf>
    <xf numFmtId="0" fontId="22" fillId="0" borderId="73" xfId="0" applyFont="1" applyBorder="1" applyAlignment="1">
      <alignment horizontal="center" vertical="center"/>
    </xf>
    <xf numFmtId="2" fontId="22" fillId="0" borderId="26" xfId="0" applyNumberFormat="1" applyFont="1" applyBorder="1" applyAlignment="1">
      <alignment horizontal="center" vertical="center"/>
    </xf>
    <xf numFmtId="2" fontId="22" fillId="0" borderId="28" xfId="0" applyNumberFormat="1" applyFont="1" applyBorder="1" applyAlignment="1">
      <alignment horizontal="center" vertical="center"/>
    </xf>
    <xf numFmtId="0" fontId="22" fillId="0" borderId="74" xfId="0" applyFont="1" applyBorder="1" applyAlignment="1">
      <alignment horizontal="center" vertical="center"/>
    </xf>
    <xf numFmtId="2" fontId="22" fillId="0" borderId="29" xfId="0" applyNumberFormat="1" applyFont="1" applyBorder="1" applyAlignment="1">
      <alignment horizontal="center" vertical="center"/>
    </xf>
    <xf numFmtId="2" fontId="22" fillId="0" borderId="30" xfId="0" applyNumberFormat="1" applyFont="1" applyBorder="1" applyAlignment="1">
      <alignment horizontal="center" vertical="center"/>
    </xf>
    <xf numFmtId="0" fontId="22" fillId="0" borderId="75" xfId="0" applyFont="1" applyBorder="1" applyAlignment="1">
      <alignment horizontal="center" vertical="center"/>
    </xf>
    <xf numFmtId="0" fontId="38" fillId="0" borderId="0" xfId="0" applyFont="1"/>
    <xf numFmtId="0" fontId="22" fillId="0" borderId="108" xfId="0" applyFont="1" applyBorder="1" applyAlignment="1">
      <alignment horizontal="center" vertical="center"/>
    </xf>
    <xf numFmtId="0" fontId="22" fillId="0" borderId="109" xfId="0" applyFont="1" applyBorder="1" applyAlignment="1">
      <alignment horizontal="center" vertical="center"/>
    </xf>
    <xf numFmtId="0" fontId="22" fillId="0" borderId="110" xfId="0" applyFont="1" applyBorder="1" applyAlignment="1">
      <alignment horizontal="center" vertical="center"/>
    </xf>
    <xf numFmtId="0" fontId="22" fillId="0" borderId="111" xfId="0" applyFont="1" applyBorder="1" applyAlignment="1">
      <alignment horizontal="center" vertical="center"/>
    </xf>
    <xf numFmtId="0" fontId="22" fillId="0" borderId="0" xfId="0" applyFont="1" applyAlignment="1">
      <alignment horizontal="left" vertical="center" wrapText="1"/>
    </xf>
    <xf numFmtId="0" fontId="22" fillId="0" borderId="20" xfId="0" applyFont="1" applyBorder="1" applyAlignment="1">
      <alignment horizontal="center" vertical="center"/>
    </xf>
    <xf numFmtId="0" fontId="22" fillId="0" borderId="121" xfId="0" applyFont="1" applyBorder="1" applyAlignment="1">
      <alignment horizontal="center" vertical="center"/>
    </xf>
    <xf numFmtId="2" fontId="22" fillId="0" borderId="122" xfId="0" applyNumberFormat="1" applyFont="1" applyBorder="1" applyAlignment="1">
      <alignment horizontal="center" vertical="center"/>
    </xf>
    <xf numFmtId="2" fontId="22" fillId="0" borderId="123" xfId="0" applyNumberFormat="1" applyFont="1" applyBorder="1" applyAlignment="1">
      <alignment horizontal="center" vertical="center"/>
    </xf>
    <xf numFmtId="0" fontId="22" fillId="0" borderId="124" xfId="0" applyFont="1" applyBorder="1" applyAlignment="1">
      <alignment horizontal="center" vertical="center"/>
    </xf>
    <xf numFmtId="2" fontId="22" fillId="0" borderId="125" xfId="0" applyNumberFormat="1" applyFont="1" applyBorder="1" applyAlignment="1">
      <alignment horizontal="center" vertical="center"/>
    </xf>
    <xf numFmtId="2" fontId="22" fillId="0" borderId="126" xfId="0" applyNumberFormat="1" applyFont="1" applyBorder="1" applyAlignment="1">
      <alignment horizontal="center" vertical="center"/>
    </xf>
    <xf numFmtId="0" fontId="22" fillId="0" borderId="127" xfId="0" applyFont="1" applyBorder="1" applyAlignment="1">
      <alignment horizontal="center" vertical="center"/>
    </xf>
    <xf numFmtId="2" fontId="22" fillId="0" borderId="128" xfId="0" applyNumberFormat="1" applyFont="1" applyBorder="1" applyAlignment="1">
      <alignment horizontal="center" vertical="center"/>
    </xf>
    <xf numFmtId="2" fontId="22" fillId="0" borderId="129" xfId="0" applyNumberFormat="1" applyFont="1" applyBorder="1" applyAlignment="1">
      <alignment horizontal="center" vertical="center"/>
    </xf>
    <xf numFmtId="9" fontId="6" fillId="0" borderId="24" xfId="2" applyFont="1" applyFill="1" applyBorder="1" applyAlignment="1">
      <alignment horizontal="center" vertical="center"/>
    </xf>
    <xf numFmtId="0" fontId="23" fillId="6" borderId="2"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0" fontId="19" fillId="17"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6" fillId="0" borderId="2" xfId="4" applyBorder="1" applyAlignment="1">
      <alignment horizontal="center" vertical="center"/>
    </xf>
    <xf numFmtId="170" fontId="6" fillId="0" borderId="2" xfId="6" applyNumberFormat="1" applyFont="1" applyBorder="1" applyAlignment="1">
      <alignment vertical="center"/>
    </xf>
    <xf numFmtId="170" fontId="6" fillId="0" borderId="2" xfId="0" applyNumberFormat="1" applyFont="1" applyBorder="1" applyAlignment="1">
      <alignment vertical="center"/>
    </xf>
    <xf numFmtId="170" fontId="6" fillId="0" borderId="2" xfId="0" applyNumberFormat="1" applyFont="1" applyBorder="1"/>
    <xf numFmtId="166" fontId="6" fillId="0" borderId="0" xfId="0" applyNumberFormat="1" applyFont="1" applyAlignment="1">
      <alignment horizontal="center" vertical="top" wrapText="1"/>
    </xf>
    <xf numFmtId="165" fontId="6" fillId="0" borderId="0" xfId="0" applyNumberFormat="1" applyFont="1" applyAlignment="1">
      <alignment vertical="center"/>
    </xf>
    <xf numFmtId="0" fontId="41" fillId="0" borderId="0" xfId="0" applyFont="1" applyAlignment="1">
      <alignment horizontal="center" vertical="center" wrapText="1"/>
    </xf>
    <xf numFmtId="0" fontId="40" fillId="0" borderId="0" xfId="0" applyFont="1" applyAlignment="1">
      <alignment horizontal="center" vertical="center" wrapText="1"/>
    </xf>
    <xf numFmtId="0" fontId="40" fillId="18" borderId="21" xfId="0" applyFont="1" applyFill="1" applyBorder="1" applyAlignment="1">
      <alignment horizontal="center" vertical="center" wrapText="1"/>
    </xf>
    <xf numFmtId="0" fontId="40" fillId="18" borderId="0" xfId="0" applyFont="1" applyFill="1" applyAlignment="1">
      <alignment horizontal="center" vertical="center" wrapText="1"/>
    </xf>
    <xf numFmtId="0" fontId="40" fillId="18" borderId="130" xfId="0" applyFont="1" applyFill="1" applyBorder="1" applyAlignment="1">
      <alignment horizontal="center" vertical="center" wrapText="1"/>
    </xf>
    <xf numFmtId="0" fontId="41" fillId="0" borderId="21" xfId="0" applyFont="1" applyBorder="1" applyAlignment="1">
      <alignment horizontal="center" vertical="center" wrapText="1"/>
    </xf>
    <xf numFmtId="0" fontId="41" fillId="0" borderId="130" xfId="0" applyFont="1" applyBorder="1" applyAlignment="1">
      <alignment horizontal="center" vertical="center" wrapText="1"/>
    </xf>
    <xf numFmtId="0" fontId="0" fillId="0" borderId="21" xfId="0" applyBorder="1" applyAlignment="1">
      <alignment horizontal="center" vertical="center" wrapText="1"/>
    </xf>
    <xf numFmtId="0" fontId="40" fillId="21" borderId="21" xfId="0" applyFont="1" applyFill="1" applyBorder="1" applyAlignment="1">
      <alignment horizontal="center" vertical="center" wrapText="1"/>
    </xf>
    <xf numFmtId="0" fontId="40" fillId="21" borderId="0" xfId="0" applyFont="1" applyFill="1" applyAlignment="1">
      <alignment horizontal="center" vertical="center" wrapText="1"/>
    </xf>
    <xf numFmtId="0" fontId="40" fillId="21" borderId="130" xfId="0" applyFont="1" applyFill="1" applyBorder="1" applyAlignment="1">
      <alignment horizontal="center" vertical="center" wrapText="1"/>
    </xf>
    <xf numFmtId="0" fontId="0" fillId="0" borderId="0" xfId="0" applyAlignment="1">
      <alignment horizontal="center" vertical="center" wrapText="1"/>
    </xf>
    <xf numFmtId="0" fontId="0" fillId="0" borderId="130" xfId="0" applyBorder="1" applyAlignment="1">
      <alignment horizontal="center" vertical="center" wrapText="1"/>
    </xf>
    <xf numFmtId="0" fontId="0" fillId="0" borderId="131" xfId="0" applyBorder="1" applyAlignment="1">
      <alignment horizontal="center" vertical="center" wrapText="1"/>
    </xf>
    <xf numFmtId="0" fontId="0" fillId="0" borderId="132" xfId="0" applyBorder="1" applyAlignment="1">
      <alignment horizontal="center" vertical="center" wrapText="1"/>
    </xf>
    <xf numFmtId="0" fontId="0" fillId="0" borderId="133" xfId="0" applyBorder="1" applyAlignment="1">
      <alignment horizontal="center" vertical="center" wrapText="1"/>
    </xf>
    <xf numFmtId="0" fontId="7" fillId="10" borderId="2" xfId="0" applyFont="1" applyFill="1" applyBorder="1" applyAlignment="1">
      <alignment horizontal="center" vertical="center" wrapText="1"/>
    </xf>
    <xf numFmtId="1" fontId="10" fillId="0" borderId="2" xfId="13" applyNumberFormat="1" applyFont="1" applyBorder="1" applyAlignment="1">
      <alignment horizontal="left" vertical="center" wrapText="1"/>
    </xf>
    <xf numFmtId="168" fontId="6" fillId="0" borderId="2" xfId="14" applyNumberFormat="1" applyFont="1" applyBorder="1" applyAlignment="1">
      <alignment horizontal="left" vertical="center" wrapText="1"/>
    </xf>
    <xf numFmtId="43" fontId="6" fillId="0" borderId="2" xfId="14" applyFont="1" applyBorder="1" applyAlignment="1">
      <alignment horizontal="left" vertical="center"/>
    </xf>
    <xf numFmtId="0" fontId="10" fillId="0" borderId="0" xfId="13" applyFont="1" applyAlignment="1">
      <alignment horizontal="left" vertical="center" wrapText="1"/>
    </xf>
    <xf numFmtId="168" fontId="6" fillId="0" borderId="0" xfId="14" applyNumberFormat="1" applyFont="1" applyAlignment="1">
      <alignment vertical="center"/>
    </xf>
    <xf numFmtId="43" fontId="6" fillId="0" borderId="0" xfId="0" applyNumberFormat="1" applyFont="1" applyAlignment="1">
      <alignment vertical="center"/>
    </xf>
    <xf numFmtId="0" fontId="41" fillId="0" borderId="0" xfId="15" applyFont="1" applyAlignment="1">
      <alignment vertical="center" wrapText="1"/>
    </xf>
    <xf numFmtId="0" fontId="6" fillId="0" borderId="0" xfId="15" applyFont="1"/>
    <xf numFmtId="0" fontId="41" fillId="0" borderId="0" xfId="15" applyFont="1" applyAlignment="1">
      <alignment vertical="center"/>
    </xf>
    <xf numFmtId="165" fontId="6" fillId="0" borderId="0" xfId="15" applyNumberFormat="1" applyFont="1" applyAlignment="1">
      <alignment horizontal="left"/>
    </xf>
    <xf numFmtId="0" fontId="43" fillId="0" borderId="0" xfId="15"/>
    <xf numFmtId="0" fontId="6" fillId="0" borderId="0" xfId="15" applyFont="1" applyAlignment="1">
      <alignment wrapText="1"/>
    </xf>
    <xf numFmtId="3" fontId="10" fillId="0" borderId="2" xfId="6" applyNumberFormat="1" applyFont="1" applyFill="1" applyBorder="1" applyAlignment="1">
      <alignment horizontal="center" vertical="center" wrapText="1"/>
    </xf>
    <xf numFmtId="3" fontId="21" fillId="0" borderId="2" xfId="7" applyNumberFormat="1" applyFont="1" applyBorder="1" applyAlignment="1">
      <alignment horizontal="center" vertical="center"/>
    </xf>
    <xf numFmtId="166" fontId="21" fillId="0" borderId="2" xfId="7" applyNumberFormat="1" applyFont="1" applyBorder="1" applyAlignment="1">
      <alignment horizontal="center" vertical="center"/>
    </xf>
    <xf numFmtId="1" fontId="21" fillId="0" borderId="2" xfId="7" applyNumberFormat="1" applyFont="1" applyBorder="1" applyAlignment="1">
      <alignment horizontal="center" vertical="center"/>
    </xf>
    <xf numFmtId="0" fontId="44" fillId="20" borderId="26" xfId="0" applyFont="1" applyFill="1" applyBorder="1" applyAlignment="1">
      <alignment horizontal="center" vertical="center" wrapText="1"/>
    </xf>
    <xf numFmtId="167" fontId="21" fillId="16" borderId="2" xfId="0" applyNumberFormat="1" applyFont="1" applyFill="1" applyBorder="1" applyAlignment="1">
      <alignment horizontal="center" vertical="center"/>
    </xf>
    <xf numFmtId="0" fontId="21" fillId="16" borderId="2" xfId="0" applyFont="1" applyFill="1" applyBorder="1" applyAlignment="1">
      <alignment horizontal="center" vertical="center"/>
    </xf>
    <xf numFmtId="0" fontId="21" fillId="5" borderId="2" xfId="0" applyFont="1" applyFill="1" applyBorder="1" applyAlignment="1">
      <alignment horizontal="center" vertical="center" wrapText="1"/>
    </xf>
    <xf numFmtId="0" fontId="21" fillId="0" borderId="56" xfId="0" applyFont="1" applyBorder="1" applyAlignment="1">
      <alignment horizontal="center" vertical="center" wrapText="1"/>
    </xf>
    <xf numFmtId="2" fontId="21" fillId="0" borderId="2" xfId="0" applyNumberFormat="1" applyFont="1" applyBorder="1" applyAlignment="1">
      <alignment horizontal="center" vertical="center"/>
    </xf>
    <xf numFmtId="0" fontId="21" fillId="0" borderId="2" xfId="0" applyFont="1" applyBorder="1" applyAlignment="1">
      <alignment vertical="center" wrapText="1"/>
    </xf>
    <xf numFmtId="0" fontId="21" fillId="0" borderId="2" xfId="0" applyFont="1" applyBorder="1" applyAlignment="1">
      <alignment vertical="center"/>
    </xf>
    <xf numFmtId="169" fontId="21" fillId="0" borderId="2" xfId="0" applyNumberFormat="1" applyFont="1" applyBorder="1" applyAlignment="1">
      <alignment vertical="center"/>
    </xf>
    <xf numFmtId="0" fontId="21" fillId="5" borderId="2"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32" xfId="0" applyFont="1" applyBorder="1" applyAlignment="1">
      <alignment horizontal="center" vertical="center"/>
    </xf>
    <xf numFmtId="0" fontId="21" fillId="0" borderId="9" xfId="0" applyFont="1" applyBorder="1" applyAlignment="1">
      <alignment horizontal="center" vertical="center" wrapText="1"/>
    </xf>
    <xf numFmtId="0" fontId="21" fillId="0" borderId="57" xfId="0" applyFont="1" applyBorder="1" applyAlignment="1">
      <alignment horizontal="center" vertical="center" wrapText="1"/>
    </xf>
    <xf numFmtId="0" fontId="35" fillId="0" borderId="75" xfId="0" applyFont="1" applyBorder="1" applyAlignment="1">
      <alignment horizontal="center" vertical="center"/>
    </xf>
    <xf numFmtId="165" fontId="35" fillId="4" borderId="0" xfId="0" applyNumberFormat="1" applyFont="1" applyFill="1" applyAlignment="1">
      <alignment horizontal="center" vertical="center"/>
    </xf>
    <xf numFmtId="0" fontId="35" fillId="4" borderId="0" xfId="0" applyFont="1" applyFill="1" applyAlignment="1">
      <alignment horizontal="center" vertical="center"/>
    </xf>
    <xf numFmtId="0" fontId="35" fillId="0" borderId="0" xfId="0" applyFont="1" applyAlignment="1">
      <alignment horizontal="center" vertical="center"/>
    </xf>
    <xf numFmtId="167" fontId="35" fillId="0" borderId="0" xfId="0" applyNumberFormat="1" applyFont="1" applyAlignment="1">
      <alignment horizontal="center" vertical="center"/>
    </xf>
    <xf numFmtId="0" fontId="35" fillId="0" borderId="73" xfId="0" applyFont="1" applyBorder="1" applyAlignment="1">
      <alignment horizontal="center" vertical="center"/>
    </xf>
    <xf numFmtId="0" fontId="35" fillId="0" borderId="74" xfId="0" applyFont="1" applyBorder="1" applyAlignment="1">
      <alignment horizontal="center" vertical="center"/>
    </xf>
    <xf numFmtId="2" fontId="46" fillId="0" borderId="2" xfId="0" applyNumberFormat="1" applyFont="1" applyBorder="1" applyAlignment="1">
      <alignment horizontal="center" vertical="center"/>
    </xf>
    <xf numFmtId="0" fontId="22" fillId="0" borderId="0" xfId="0" applyFont="1" applyAlignment="1">
      <alignment horizontal="center" vertical="center" wrapText="1"/>
    </xf>
    <xf numFmtId="0" fontId="35" fillId="0" borderId="0" xfId="0" applyFont="1" applyAlignment="1">
      <alignment horizontal="center" vertical="center" wrapText="1"/>
    </xf>
    <xf numFmtId="1" fontId="35" fillId="0" borderId="0" xfId="0" applyNumberFormat="1" applyFont="1" applyAlignment="1">
      <alignment horizontal="center" vertical="center"/>
    </xf>
    <xf numFmtId="0" fontId="46" fillId="0" borderId="84" xfId="0" applyFont="1" applyBorder="1" applyAlignment="1">
      <alignment horizontal="center" vertical="center"/>
    </xf>
    <xf numFmtId="0" fontId="46" fillId="0" borderId="80" xfId="0" applyFont="1" applyBorder="1" applyAlignment="1">
      <alignment horizontal="center" vertical="center"/>
    </xf>
    <xf numFmtId="0" fontId="46" fillId="0" borderId="76" xfId="0" applyFont="1" applyBorder="1" applyAlignment="1">
      <alignment horizontal="center" vertical="center"/>
    </xf>
    <xf numFmtId="165" fontId="46" fillId="0" borderId="66" xfId="0" applyNumberFormat="1" applyFont="1" applyBorder="1" applyAlignment="1">
      <alignment horizontal="center" vertical="center"/>
    </xf>
    <xf numFmtId="165" fontId="46" fillId="0" borderId="67" xfId="0" applyNumberFormat="1" applyFont="1" applyBorder="1" applyAlignment="1">
      <alignment horizontal="center" vertical="center"/>
    </xf>
    <xf numFmtId="165" fontId="46" fillId="0" borderId="68" xfId="0" applyNumberFormat="1" applyFont="1" applyBorder="1" applyAlignment="1">
      <alignment horizontal="center" vertical="center"/>
    </xf>
    <xf numFmtId="165" fontId="46" fillId="0" borderId="69" xfId="0" applyNumberFormat="1" applyFont="1" applyBorder="1" applyAlignment="1">
      <alignment horizontal="center" vertical="center"/>
    </xf>
    <xf numFmtId="165" fontId="46" fillId="0" borderId="70" xfId="0" applyNumberFormat="1" applyFont="1" applyBorder="1" applyAlignment="1">
      <alignment horizontal="center" vertical="center"/>
    </xf>
    <xf numFmtId="165" fontId="46" fillId="0" borderId="71" xfId="0" applyNumberFormat="1" applyFont="1" applyBorder="1" applyAlignment="1">
      <alignment horizontal="center" vertical="center"/>
    </xf>
    <xf numFmtId="165" fontId="21" fillId="23" borderId="44" xfId="15" applyNumberFormat="1" applyFont="1" applyFill="1" applyBorder="1" applyAlignment="1">
      <alignment horizontal="center" vertical="center" wrapText="1"/>
    </xf>
    <xf numFmtId="3" fontId="21" fillId="0" borderId="44" xfId="15" applyNumberFormat="1" applyFont="1" applyBorder="1" applyAlignment="1">
      <alignment horizontal="center" vertical="center" wrapText="1"/>
    </xf>
    <xf numFmtId="2" fontId="21" fillId="0" borderId="44" xfId="15" applyNumberFormat="1" applyFont="1" applyBorder="1" applyAlignment="1">
      <alignment horizontal="center" vertical="center" wrapText="1"/>
    </xf>
    <xf numFmtId="2" fontId="21" fillId="8" borderId="43" xfId="15" applyNumberFormat="1" applyFont="1" applyFill="1" applyBorder="1" applyAlignment="1">
      <alignment horizontal="center" vertical="center" wrapText="1"/>
    </xf>
    <xf numFmtId="3" fontId="21" fillId="0" borderId="136" xfId="15" applyNumberFormat="1" applyFont="1" applyBorder="1" applyAlignment="1">
      <alignment horizontal="center" vertical="center" wrapText="1"/>
    </xf>
    <xf numFmtId="0" fontId="8" fillId="0" borderId="0" xfId="5" applyBorder="1" applyAlignment="1">
      <alignment horizontal="left"/>
    </xf>
    <xf numFmtId="0" fontId="6" fillId="0" borderId="0" xfId="0" applyFont="1" applyAlignment="1">
      <alignment horizontal="left"/>
    </xf>
    <xf numFmtId="0" fontId="48" fillId="26" borderId="65" xfId="0" applyFont="1" applyFill="1" applyBorder="1" applyAlignment="1">
      <alignment horizontal="center" vertical="center"/>
    </xf>
    <xf numFmtId="164" fontId="48" fillId="0" borderId="26" xfId="0" applyNumberFormat="1" applyFont="1" applyBorder="1" applyAlignment="1">
      <alignment horizontal="center"/>
    </xf>
    <xf numFmtId="0" fontId="21" fillId="0" borderId="22" xfId="0" applyFont="1" applyBorder="1" applyAlignment="1">
      <alignment horizontal="center" vertical="top" wrapText="1"/>
    </xf>
    <xf numFmtId="0" fontId="21" fillId="0" borderId="54" xfId="0" applyFont="1" applyBorder="1" applyAlignment="1">
      <alignment horizontal="center" vertical="top" wrapText="1"/>
    </xf>
    <xf numFmtId="0" fontId="6" fillId="0" borderId="0" xfId="0" applyFont="1" applyAlignment="1">
      <alignment vertical="top" wrapText="1"/>
    </xf>
    <xf numFmtId="0" fontId="21" fillId="0" borderId="0" xfId="0" applyFont="1" applyAlignment="1">
      <alignment vertical="top"/>
    </xf>
    <xf numFmtId="0" fontId="21" fillId="7" borderId="2" xfId="0" applyFont="1" applyFill="1" applyBorder="1" applyAlignment="1">
      <alignment horizontal="center" vertical="center"/>
    </xf>
    <xf numFmtId="2" fontId="21" fillId="7" borderId="2" xfId="0"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11" borderId="2" xfId="0" applyFont="1" applyFill="1" applyBorder="1" applyAlignment="1">
      <alignment horizontal="center" vertical="center" wrapText="1"/>
    </xf>
    <xf numFmtId="0" fontId="21" fillId="13" borderId="2" xfId="0" applyFont="1" applyFill="1" applyBorder="1" applyAlignment="1">
      <alignment horizontal="center" vertical="center"/>
    </xf>
    <xf numFmtId="0" fontId="21" fillId="14" borderId="2" xfId="0" applyFont="1" applyFill="1" applyBorder="1" applyAlignment="1">
      <alignment horizontal="center" vertical="center"/>
    </xf>
    <xf numFmtId="0" fontId="21" fillId="15" borderId="2" xfId="0" applyFont="1" applyFill="1" applyBorder="1" applyAlignment="1">
      <alignment horizontal="center" vertical="center"/>
    </xf>
    <xf numFmtId="167" fontId="21" fillId="7" borderId="2" xfId="0" applyNumberFormat="1" applyFont="1" applyFill="1" applyBorder="1" applyAlignment="1">
      <alignment horizontal="center" vertical="center" wrapText="1"/>
    </xf>
    <xf numFmtId="168" fontId="21" fillId="0" borderId="2" xfId="0" applyNumberFormat="1" applyFont="1" applyBorder="1" applyAlignment="1">
      <alignment horizontal="right" vertical="center"/>
    </xf>
    <xf numFmtId="165" fontId="34" fillId="4" borderId="0" xfId="0" applyNumberFormat="1" applyFont="1" applyFill="1" applyAlignment="1">
      <alignment horizontal="center" vertical="center"/>
    </xf>
    <xf numFmtId="0" fontId="21" fillId="0" borderId="0" xfId="0" applyFont="1" applyAlignment="1">
      <alignment vertical="center" wrapText="1"/>
    </xf>
    <xf numFmtId="0" fontId="6" fillId="0" borderId="2" xfId="0" applyFont="1" applyBorder="1" applyAlignment="1">
      <alignment horizontal="left" vertical="center"/>
    </xf>
    <xf numFmtId="0" fontId="49" fillId="0" borderId="0" xfId="5" applyFont="1" applyAlignment="1">
      <alignment horizontal="left" vertical="center"/>
    </xf>
    <xf numFmtId="0" fontId="8" fillId="0" borderId="0" xfId="5" applyBorder="1" applyAlignment="1"/>
    <xf numFmtId="0" fontId="15" fillId="0" borderId="0" xfId="5" applyFont="1" applyAlignment="1">
      <alignment horizontal="left" vertical="center"/>
    </xf>
    <xf numFmtId="0" fontId="15" fillId="0" borderId="0" xfId="5" applyFont="1" applyAlignment="1">
      <alignment vertical="center"/>
    </xf>
    <xf numFmtId="0" fontId="21" fillId="0" borderId="0" xfId="15" applyFont="1"/>
    <xf numFmtId="1" fontId="10" fillId="0" borderId="12" xfId="13" applyNumberFormat="1" applyFont="1" applyBorder="1" applyAlignment="1">
      <alignment horizontal="left" vertical="center" wrapText="1"/>
    </xf>
    <xf numFmtId="0" fontId="6" fillId="0" borderId="12" xfId="0" applyFont="1" applyBorder="1" applyAlignment="1">
      <alignment vertical="center"/>
    </xf>
    <xf numFmtId="168" fontId="6" fillId="0" borderId="12" xfId="14" applyNumberFormat="1" applyFont="1" applyBorder="1" applyAlignment="1">
      <alignment horizontal="left" vertical="center" wrapText="1"/>
    </xf>
    <xf numFmtId="43" fontId="6" fillId="0" borderId="12" xfId="14" applyFont="1" applyBorder="1" applyAlignment="1">
      <alignment horizontal="left" vertical="center"/>
    </xf>
    <xf numFmtId="43" fontId="6" fillId="0" borderId="12" xfId="0" applyNumberFormat="1" applyFont="1" applyBorder="1" applyAlignment="1">
      <alignment vertical="center"/>
    </xf>
    <xf numFmtId="165" fontId="21" fillId="23" borderId="39" xfId="15" applyNumberFormat="1" applyFont="1" applyFill="1" applyBorder="1" applyAlignment="1">
      <alignment horizontal="center" vertical="center" wrapText="1"/>
    </xf>
    <xf numFmtId="3" fontId="21" fillId="0" borderId="39" xfId="15" applyNumberFormat="1" applyFont="1" applyBorder="1" applyAlignment="1">
      <alignment horizontal="center" vertical="center" wrapText="1"/>
    </xf>
    <xf numFmtId="2" fontId="21" fillId="0" borderId="39" xfId="15" applyNumberFormat="1" applyFont="1" applyBorder="1" applyAlignment="1">
      <alignment horizontal="center" vertical="center" wrapText="1"/>
    </xf>
    <xf numFmtId="2" fontId="21" fillId="8" borderId="41" xfId="15" applyNumberFormat="1" applyFont="1" applyFill="1" applyBorder="1" applyAlignment="1">
      <alignment horizontal="center" vertical="center" wrapText="1"/>
    </xf>
    <xf numFmtId="3" fontId="21" fillId="0" borderId="135" xfId="15" applyNumberFormat="1" applyFont="1" applyBorder="1" applyAlignment="1">
      <alignment horizontal="center" vertical="center" wrapText="1"/>
    </xf>
    <xf numFmtId="165" fontId="21" fillId="23" borderId="141" xfId="15" applyNumberFormat="1" applyFont="1" applyFill="1" applyBorder="1" applyAlignment="1">
      <alignment horizontal="center" vertical="center" wrapText="1"/>
    </xf>
    <xf numFmtId="3" fontId="21" fillId="0" borderId="141" xfId="15" applyNumberFormat="1" applyFont="1" applyBorder="1" applyAlignment="1">
      <alignment horizontal="center" vertical="center" wrapText="1"/>
    </xf>
    <xf numFmtId="2" fontId="21" fillId="0" borderId="141" xfId="15" applyNumberFormat="1" applyFont="1" applyBorder="1" applyAlignment="1">
      <alignment horizontal="center" vertical="center" wrapText="1"/>
    </xf>
    <xf numFmtId="2" fontId="21" fillId="8" borderId="141" xfId="15" applyNumberFormat="1" applyFont="1" applyFill="1" applyBorder="1" applyAlignment="1">
      <alignment horizontal="center" vertical="center" wrapText="1"/>
    </xf>
    <xf numFmtId="3" fontId="21" fillId="0" borderId="142" xfId="15" applyNumberFormat="1" applyFont="1" applyBorder="1" applyAlignment="1">
      <alignment horizontal="center" vertical="center" wrapText="1"/>
    </xf>
    <xf numFmtId="165" fontId="21" fillId="23" borderId="57" xfId="15" applyNumberFormat="1" applyFont="1" applyFill="1" applyBorder="1" applyAlignment="1">
      <alignment horizontal="center" vertical="center" wrapText="1"/>
    </xf>
    <xf numFmtId="3" fontId="21" fillId="0" borderId="57" xfId="15" applyNumberFormat="1" applyFont="1" applyBorder="1" applyAlignment="1">
      <alignment horizontal="center" vertical="center" wrapText="1"/>
    </xf>
    <xf numFmtId="2" fontId="21" fillId="0" borderId="57" xfId="15" applyNumberFormat="1" applyFont="1" applyBorder="1" applyAlignment="1">
      <alignment horizontal="center" vertical="center" wrapText="1"/>
    </xf>
    <xf numFmtId="2" fontId="21" fillId="8" borderId="145" xfId="15" applyNumberFormat="1" applyFont="1" applyFill="1" applyBorder="1" applyAlignment="1">
      <alignment horizontal="center" vertical="center" wrapText="1"/>
    </xf>
    <xf numFmtId="3" fontId="21" fillId="0" borderId="146" xfId="15" applyNumberFormat="1" applyFont="1" applyBorder="1" applyAlignment="1">
      <alignment horizontal="center" vertical="center" wrapText="1"/>
    </xf>
    <xf numFmtId="0" fontId="52" fillId="0" borderId="0" xfId="16" applyFont="1" applyAlignment="1">
      <alignment horizontal="left" vertical="top"/>
    </xf>
    <xf numFmtId="0" fontId="21" fillId="0" borderId="0" xfId="15" applyFont="1" applyAlignment="1">
      <alignment vertical="center" wrapText="1"/>
    </xf>
    <xf numFmtId="165" fontId="21" fillId="0" borderId="0" xfId="15" applyNumberFormat="1" applyFont="1" applyAlignment="1">
      <alignment horizontal="left" vertical="top" wrapText="1"/>
    </xf>
    <xf numFmtId="0" fontId="21" fillId="0" borderId="0" xfId="15" applyFont="1" applyAlignment="1">
      <alignment vertical="top"/>
    </xf>
    <xf numFmtId="165" fontId="21" fillId="0" borderId="0" xfId="15" applyNumberFormat="1" applyFont="1" applyAlignment="1">
      <alignment horizontal="left" vertical="center" wrapText="1"/>
    </xf>
    <xf numFmtId="0" fontId="21" fillId="0" borderId="0" xfId="15" applyFont="1" applyAlignment="1">
      <alignment vertical="center"/>
    </xf>
    <xf numFmtId="43" fontId="21" fillId="0" borderId="0" xfId="14" applyFont="1" applyAlignment="1">
      <alignment horizontal="center" vertical="center"/>
    </xf>
    <xf numFmtId="43" fontId="21" fillId="0" borderId="0" xfId="14" applyFont="1" applyAlignment="1">
      <alignment vertical="center"/>
    </xf>
    <xf numFmtId="0" fontId="50" fillId="24" borderId="151" xfId="15" applyFont="1" applyFill="1" applyBorder="1" applyAlignment="1">
      <alignment vertical="center" wrapText="1"/>
    </xf>
    <xf numFmtId="1" fontId="21" fillId="25" borderId="151" xfId="14" applyNumberFormat="1" applyFont="1" applyFill="1" applyBorder="1" applyAlignment="1">
      <alignment horizontal="left" vertical="center"/>
    </xf>
    <xf numFmtId="0" fontId="51" fillId="7" borderId="151" xfId="15" applyFont="1" applyFill="1" applyBorder="1" applyAlignment="1">
      <alignment horizontal="left" vertical="center"/>
    </xf>
    <xf numFmtId="3" fontId="21" fillId="25" borderId="151" xfId="15" applyNumberFormat="1" applyFont="1" applyFill="1" applyBorder="1" applyAlignment="1">
      <alignment horizontal="left" vertical="center"/>
    </xf>
    <xf numFmtId="3" fontId="21" fillId="25" borderId="151" xfId="14" applyNumberFormat="1" applyFont="1" applyFill="1" applyBorder="1" applyAlignment="1">
      <alignment horizontal="left" vertical="center"/>
    </xf>
    <xf numFmtId="2" fontId="21" fillId="25" borderId="151" xfId="15" applyNumberFormat="1" applyFont="1" applyFill="1" applyBorder="1" applyAlignment="1">
      <alignment horizontal="left" vertical="center"/>
    </xf>
    <xf numFmtId="0" fontId="21" fillId="25" borderId="151" xfId="15" applyFont="1" applyFill="1" applyBorder="1" applyAlignment="1">
      <alignment horizontal="left" vertical="center"/>
    </xf>
    <xf numFmtId="3" fontId="21" fillId="0" borderId="2" xfId="0" applyNumberFormat="1" applyFont="1" applyBorder="1" applyAlignment="1">
      <alignment horizontal="center" vertical="center" wrapText="1"/>
    </xf>
    <xf numFmtId="168" fontId="21" fillId="0" borderId="2" xfId="0" applyNumberFormat="1" applyFont="1" applyBorder="1" applyAlignment="1">
      <alignment horizontal="center" vertical="center" wrapText="1"/>
    </xf>
    <xf numFmtId="0" fontId="52" fillId="0" borderId="0" xfId="5" applyFont="1" applyAlignment="1">
      <alignment horizontal="left" vertical="center"/>
    </xf>
    <xf numFmtId="0" fontId="12" fillId="9" borderId="0" xfId="0" applyFont="1" applyFill="1" applyAlignment="1">
      <alignment vertical="center" wrapText="1"/>
    </xf>
    <xf numFmtId="3" fontId="0" fillId="0" borderId="0" xfId="0" applyNumberFormat="1"/>
    <xf numFmtId="167" fontId="6" fillId="0" borderId="2" xfId="0" applyNumberFormat="1" applyFont="1" applyBorder="1" applyAlignment="1">
      <alignment horizontal="center" vertical="center" wrapText="1"/>
    </xf>
    <xf numFmtId="0" fontId="6" fillId="5"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52" fillId="0" borderId="2" xfId="5" applyFont="1" applyBorder="1" applyAlignment="1">
      <alignment horizontal="center" vertical="center"/>
    </xf>
    <xf numFmtId="3" fontId="21" fillId="0" borderId="0" xfId="0" applyNumberFormat="1" applyFont="1" applyAlignment="1">
      <alignment horizontal="left"/>
    </xf>
    <xf numFmtId="1" fontId="21" fillId="0" borderId="0" xfId="0" applyNumberFormat="1" applyFont="1" applyAlignment="1">
      <alignment horizontal="left"/>
    </xf>
    <xf numFmtId="1" fontId="10" fillId="0" borderId="13" xfId="13" applyNumberFormat="1" applyFont="1" applyBorder="1" applyAlignment="1">
      <alignment horizontal="left" vertical="center" wrapText="1"/>
    </xf>
    <xf numFmtId="0" fontId="6" fillId="0" borderId="14" xfId="0" applyFont="1" applyBorder="1" applyAlignment="1">
      <alignment vertical="center"/>
    </xf>
    <xf numFmtId="168" fontId="6" fillId="0" borderId="14" xfId="14" applyNumberFormat="1" applyFont="1" applyBorder="1" applyAlignment="1">
      <alignment horizontal="left" vertical="center" wrapText="1"/>
    </xf>
    <xf numFmtId="43" fontId="6" fillId="0" borderId="14" xfId="14" applyFont="1" applyBorder="1" applyAlignment="1">
      <alignment horizontal="left" vertical="center"/>
    </xf>
    <xf numFmtId="1" fontId="6" fillId="0" borderId="14" xfId="0" applyNumberFormat="1" applyFont="1" applyBorder="1" applyAlignment="1">
      <alignment vertical="center"/>
    </xf>
    <xf numFmtId="1" fontId="10" fillId="0" borderId="0" xfId="13" applyNumberFormat="1" applyFont="1" applyAlignment="1">
      <alignment horizontal="left" vertical="center" wrapText="1"/>
    </xf>
    <xf numFmtId="168" fontId="6" fillId="0" borderId="0" xfId="14" applyNumberFormat="1" applyFont="1" applyAlignment="1">
      <alignment horizontal="left" vertical="center" wrapText="1"/>
    </xf>
    <xf numFmtId="43" fontId="6" fillId="0" borderId="0" xfId="14" applyFont="1" applyAlignment="1">
      <alignment horizontal="left" vertical="center"/>
    </xf>
    <xf numFmtId="1" fontId="6" fillId="0" borderId="0" xfId="0" applyNumberFormat="1" applyFont="1" applyAlignment="1">
      <alignment vertical="center"/>
    </xf>
    <xf numFmtId="1" fontId="6" fillId="0" borderId="13" xfId="0" applyNumberFormat="1" applyFont="1" applyBorder="1" applyAlignment="1">
      <alignment vertical="center"/>
    </xf>
    <xf numFmtId="43" fontId="6" fillId="0" borderId="151" xfId="0" applyNumberFormat="1" applyFont="1" applyBorder="1" applyAlignment="1">
      <alignment vertical="center"/>
    </xf>
    <xf numFmtId="0" fontId="53" fillId="0" borderId="0" xfId="0" applyFont="1" applyAlignment="1">
      <alignment vertical="center" wrapText="1"/>
    </xf>
    <xf numFmtId="43" fontId="21" fillId="0" borderId="151" xfId="14" applyFont="1" applyBorder="1" applyAlignment="1">
      <alignment horizontal="center" vertical="center"/>
    </xf>
    <xf numFmtId="2" fontId="21" fillId="0" borderId="151" xfId="0" applyNumberFormat="1" applyFont="1" applyBorder="1" applyAlignment="1">
      <alignment horizontal="center" vertical="center" wrapText="1"/>
    </xf>
    <xf numFmtId="165" fontId="21" fillId="23" borderId="156" xfId="15" applyNumberFormat="1" applyFont="1" applyFill="1" applyBorder="1" applyAlignment="1">
      <alignment horizontal="center" vertical="center" wrapText="1"/>
    </xf>
    <xf numFmtId="3" fontId="21" fillId="0" borderId="156" xfId="15" applyNumberFormat="1" applyFont="1" applyBorder="1" applyAlignment="1">
      <alignment horizontal="center" vertical="center" wrapText="1"/>
    </xf>
    <xf numFmtId="2" fontId="21" fillId="0" borderId="156" xfId="15" applyNumberFormat="1" applyFont="1" applyBorder="1" applyAlignment="1">
      <alignment horizontal="center" vertical="center" wrapText="1"/>
    </xf>
    <xf numFmtId="2" fontId="21" fillId="8" borderId="156" xfId="15" applyNumberFormat="1" applyFont="1" applyFill="1" applyBorder="1" applyAlignment="1">
      <alignment horizontal="center" vertical="center" wrapText="1"/>
    </xf>
    <xf numFmtId="3" fontId="21" fillId="0" borderId="157" xfId="15" applyNumberFormat="1" applyFont="1" applyBorder="1" applyAlignment="1">
      <alignment horizontal="center" vertical="center" wrapText="1"/>
    </xf>
    <xf numFmtId="165" fontId="21" fillId="23" borderId="160" xfId="15" applyNumberFormat="1" applyFont="1" applyFill="1" applyBorder="1" applyAlignment="1">
      <alignment horizontal="center" vertical="center" wrapText="1"/>
    </xf>
    <xf numFmtId="3" fontId="21" fillId="0" borderId="160" xfId="15" applyNumberFormat="1" applyFont="1" applyBorder="1" applyAlignment="1">
      <alignment horizontal="center" vertical="center" wrapText="1"/>
    </xf>
    <xf numFmtId="2" fontId="21" fillId="0" borderId="160" xfId="15" applyNumberFormat="1" applyFont="1" applyBorder="1" applyAlignment="1">
      <alignment horizontal="center" vertical="center" wrapText="1"/>
    </xf>
    <xf numFmtId="2" fontId="21" fillId="8" borderId="161" xfId="15" applyNumberFormat="1" applyFont="1" applyFill="1" applyBorder="1" applyAlignment="1">
      <alignment horizontal="center" vertical="center" wrapText="1"/>
    </xf>
    <xf numFmtId="3" fontId="21" fillId="0" borderId="162" xfId="15" applyNumberFormat="1" applyFont="1" applyBorder="1" applyAlignment="1">
      <alignment horizontal="center" vertical="center" wrapText="1"/>
    </xf>
    <xf numFmtId="171" fontId="6" fillId="0" borderId="0" xfId="0" applyNumberFormat="1" applyFont="1" applyAlignment="1">
      <alignment horizontal="center" vertical="center" wrapText="1"/>
    </xf>
    <xf numFmtId="0" fontId="6" fillId="0" borderId="10" xfId="0" applyFont="1" applyBorder="1" applyAlignment="1">
      <alignment vertical="center"/>
    </xf>
    <xf numFmtId="0" fontId="10" fillId="0" borderId="11" xfId="3" applyFont="1" applyFill="1" applyBorder="1" applyAlignment="1">
      <alignment horizontal="center" vertical="center" wrapText="1"/>
    </xf>
    <xf numFmtId="0" fontId="19" fillId="10" borderId="11" xfId="0" applyFont="1" applyFill="1" applyBorder="1" applyAlignment="1">
      <alignment horizontal="center" vertical="center" wrapText="1"/>
    </xf>
    <xf numFmtId="0" fontId="21" fillId="0" borderId="164" xfId="0" applyFont="1" applyBorder="1" applyAlignment="1">
      <alignment vertical="center"/>
    </xf>
    <xf numFmtId="0" fontId="21" fillId="0" borderId="164" xfId="3" applyFont="1" applyFill="1" applyBorder="1" applyAlignment="1">
      <alignment horizontal="center" vertical="center" wrapText="1"/>
    </xf>
    <xf numFmtId="0" fontId="55" fillId="0" borderId="0" xfId="0" applyFont="1" applyAlignment="1">
      <alignment horizontal="center" vertical="center"/>
    </xf>
    <xf numFmtId="0" fontId="6" fillId="0" borderId="165" xfId="15" applyFont="1" applyBorder="1"/>
    <xf numFmtId="0" fontId="21" fillId="0" borderId="166" xfId="15" applyFont="1" applyBorder="1" applyAlignment="1">
      <alignment horizontal="center" vertical="center" wrapText="1"/>
    </xf>
    <xf numFmtId="0" fontId="21" fillId="0" borderId="167" xfId="15" applyFont="1" applyBorder="1" applyAlignment="1">
      <alignment horizontal="center" vertical="center" wrapText="1"/>
    </xf>
    <xf numFmtId="0" fontId="21" fillId="0" borderId="168" xfId="15" applyFont="1" applyBorder="1" applyAlignment="1">
      <alignment horizontal="center" vertical="center" wrapText="1"/>
    </xf>
    <xf numFmtId="0" fontId="6" fillId="0" borderId="165" xfId="0" applyFont="1" applyBorder="1"/>
    <xf numFmtId="0" fontId="21" fillId="0" borderId="169" xfId="15" applyFont="1" applyBorder="1" applyAlignment="1">
      <alignment horizontal="center" vertical="center" wrapText="1"/>
    </xf>
    <xf numFmtId="0" fontId="21" fillId="0" borderId="170" xfId="15" applyFont="1" applyBorder="1" applyAlignment="1">
      <alignment horizontal="center" vertical="center" wrapText="1"/>
    </xf>
    <xf numFmtId="0" fontId="21" fillId="0" borderId="171" xfId="15" applyFont="1" applyBorder="1" applyAlignment="1">
      <alignment horizontal="center" vertical="center" wrapText="1"/>
    </xf>
    <xf numFmtId="0" fontId="6" fillId="0" borderId="172" xfId="15" applyFont="1" applyBorder="1"/>
    <xf numFmtId="0" fontId="6" fillId="0" borderId="172" xfId="0" applyFont="1" applyBorder="1"/>
    <xf numFmtId="0" fontId="6" fillId="0" borderId="173" xfId="15" applyFont="1" applyBorder="1"/>
    <xf numFmtId="0" fontId="6" fillId="0" borderId="173" xfId="0" applyFont="1" applyBorder="1"/>
    <xf numFmtId="0" fontId="7" fillId="6" borderId="174" xfId="0" applyFont="1" applyFill="1" applyBorder="1" applyAlignment="1">
      <alignment horizontal="center" vertical="center"/>
    </xf>
    <xf numFmtId="0" fontId="7" fillId="10" borderId="174" xfId="0" applyFont="1" applyFill="1" applyBorder="1" applyAlignment="1">
      <alignment horizontal="center" vertical="center" wrapText="1"/>
    </xf>
    <xf numFmtId="0" fontId="32" fillId="30" borderId="175" xfId="0" applyFont="1" applyFill="1" applyBorder="1" applyAlignment="1">
      <alignment horizontal="left" vertical="center"/>
    </xf>
    <xf numFmtId="164" fontId="6" fillId="0" borderId="2" xfId="2" applyNumberFormat="1" applyFont="1" applyFill="1" applyBorder="1" applyAlignment="1">
      <alignment horizontal="center" vertical="center"/>
    </xf>
    <xf numFmtId="3" fontId="21" fillId="0" borderId="2" xfId="3" applyNumberFormat="1" applyFont="1" applyFill="1" applyBorder="1" applyAlignment="1">
      <alignment horizontal="center" vertical="center" wrapText="1"/>
    </xf>
    <xf numFmtId="1" fontId="21" fillId="0" borderId="2" xfId="0" applyNumberFormat="1" applyFont="1" applyBorder="1" applyAlignment="1">
      <alignment horizontal="center" vertical="center" wrapText="1"/>
    </xf>
    <xf numFmtId="0" fontId="21" fillId="0" borderId="0" xfId="0" applyFont="1" applyAlignment="1">
      <alignment vertical="center"/>
    </xf>
    <xf numFmtId="0" fontId="8" fillId="0" borderId="0" xfId="5" applyAlignment="1">
      <alignment horizontal="left" vertical="center"/>
    </xf>
    <xf numFmtId="0" fontId="52" fillId="0" borderId="0" xfId="5" applyFont="1" applyAlignment="1">
      <alignment vertical="center"/>
    </xf>
    <xf numFmtId="0" fontId="1" fillId="0" borderId="0" xfId="0" applyFont="1" applyAlignment="1">
      <alignment vertical="center"/>
    </xf>
    <xf numFmtId="0" fontId="52" fillId="0" borderId="0" xfId="5" applyFont="1" applyAlignment="1">
      <alignment horizontal="left"/>
    </xf>
    <xf numFmtId="1" fontId="1" fillId="0" borderId="2" xfId="7" applyNumberFormat="1" applyFont="1" applyBorder="1" applyAlignment="1">
      <alignment horizontal="center" vertical="center"/>
    </xf>
    <xf numFmtId="0" fontId="21" fillId="0" borderId="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2" xfId="0" applyFont="1" applyBorder="1" applyAlignment="1">
      <alignment horizontal="left" vertical="center" wrapText="1"/>
    </xf>
    <xf numFmtId="0" fontId="21" fillId="0" borderId="12" xfId="0" applyFont="1" applyBorder="1" applyAlignment="1">
      <alignment horizontal="center" vertical="center"/>
    </xf>
    <xf numFmtId="0" fontId="23" fillId="29" borderId="12" xfId="0" applyFont="1" applyFill="1" applyBorder="1" applyAlignment="1">
      <alignment horizontal="center" vertical="center"/>
    </xf>
    <xf numFmtId="0" fontId="6" fillId="32" borderId="2" xfId="0" applyFont="1" applyFill="1" applyBorder="1" applyAlignment="1">
      <alignment horizontal="center" vertical="center"/>
    </xf>
    <xf numFmtId="0" fontId="1" fillId="32" borderId="2" xfId="0" applyFont="1" applyFill="1" applyBorder="1" applyAlignment="1">
      <alignment horizontal="center" vertical="center"/>
    </xf>
    <xf numFmtId="0" fontId="1" fillId="32" borderId="2" xfId="0" applyFont="1" applyFill="1" applyBorder="1" applyAlignment="1">
      <alignment horizontal="center" vertical="center" wrapText="1"/>
    </xf>
    <xf numFmtId="0" fontId="6" fillId="32" borderId="2" xfId="0" applyFont="1" applyFill="1" applyBorder="1" applyAlignment="1">
      <alignment horizontal="center" vertical="center" wrapText="1"/>
    </xf>
    <xf numFmtId="0" fontId="21" fillId="32" borderId="2" xfId="0" applyFont="1" applyFill="1" applyBorder="1" applyAlignment="1">
      <alignment horizontal="center" vertical="center"/>
    </xf>
    <xf numFmtId="0" fontId="21" fillId="32" borderId="2" xfId="0" applyFont="1" applyFill="1" applyBorder="1" applyAlignment="1">
      <alignment horizontal="center" vertical="center" wrapText="1"/>
    </xf>
    <xf numFmtId="49" fontId="21" fillId="32" borderId="2" xfId="0" applyNumberFormat="1" applyFont="1" applyFill="1" applyBorder="1" applyAlignment="1">
      <alignment horizontal="center" vertical="center" wrapText="1"/>
    </xf>
    <xf numFmtId="0" fontId="21" fillId="0" borderId="0" xfId="0" applyFont="1" applyAlignment="1">
      <alignment vertical="top" wrapText="1"/>
    </xf>
    <xf numFmtId="0" fontId="21" fillId="0" borderId="0" xfId="0" applyFont="1" applyAlignment="1">
      <alignment horizontal="left" vertical="top" wrapText="1"/>
    </xf>
    <xf numFmtId="0" fontId="6" fillId="0" borderId="0" xfId="0" applyFont="1" applyAlignment="1">
      <alignment horizontal="left" vertical="center"/>
    </xf>
    <xf numFmtId="0" fontId="21" fillId="0" borderId="0" xfId="0" applyFont="1" applyAlignment="1">
      <alignment wrapText="1"/>
    </xf>
    <xf numFmtId="0" fontId="21" fillId="0" borderId="2" xfId="0" applyFont="1" applyBorder="1" applyAlignment="1">
      <alignment horizontal="center" vertical="center" wrapText="1"/>
    </xf>
    <xf numFmtId="0" fontId="21" fillId="0" borderId="2" xfId="0" applyFont="1" applyBorder="1" applyAlignment="1">
      <alignment horizontal="center" vertical="center"/>
    </xf>
    <xf numFmtId="0" fontId="21" fillId="0" borderId="12" xfId="0" applyFont="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0" xfId="0" applyFont="1" applyAlignment="1">
      <alignment horizontal="center"/>
    </xf>
    <xf numFmtId="0" fontId="21" fillId="0" borderId="26" xfId="0" applyFont="1" applyBorder="1" applyAlignment="1">
      <alignment horizontal="center" vertical="center" wrapText="1"/>
    </xf>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19" fillId="6" borderId="2" xfId="0" applyFont="1" applyFill="1" applyBorder="1" applyAlignment="1">
      <alignment horizontal="center" vertical="center" wrapText="1"/>
    </xf>
    <xf numFmtId="0" fontId="23" fillId="6" borderId="17" xfId="0" applyFont="1" applyFill="1" applyBorder="1" applyAlignment="1">
      <alignment horizontal="center" vertical="center"/>
    </xf>
    <xf numFmtId="0" fontId="6" fillId="0" borderId="0" xfId="0" applyFont="1" applyAlignment="1">
      <alignment horizontal="center" vertical="center"/>
    </xf>
    <xf numFmtId="0" fontId="21" fillId="0" borderId="0" xfId="0" applyFont="1" applyAlignment="1">
      <alignment horizontal="center"/>
    </xf>
    <xf numFmtId="0" fontId="21" fillId="0" borderId="0" xfId="0" applyFont="1" applyAlignment="1">
      <alignment horizontal="left" vertical="center"/>
    </xf>
    <xf numFmtId="0" fontId="23" fillId="6" borderId="164" xfId="0" applyFont="1" applyFill="1" applyBorder="1" applyAlignment="1">
      <alignment horizontal="center" vertical="center" wrapText="1"/>
    </xf>
    <xf numFmtId="164" fontId="16" fillId="0" borderId="65" xfId="0" applyNumberFormat="1" applyFont="1" applyBorder="1" applyAlignment="1">
      <alignment horizontal="center"/>
    </xf>
    <xf numFmtId="0" fontId="23" fillId="6" borderId="22" xfId="0" applyFont="1" applyFill="1" applyBorder="1" applyAlignment="1">
      <alignment horizontal="center" vertical="center" wrapText="1"/>
    </xf>
    <xf numFmtId="3" fontId="16" fillId="0" borderId="0" xfId="0" applyNumberFormat="1" applyFont="1"/>
    <xf numFmtId="0" fontId="51" fillId="0" borderId="0" xfId="0" applyFont="1" applyAlignment="1">
      <alignment wrapText="1"/>
    </xf>
    <xf numFmtId="0" fontId="21" fillId="0" borderId="1" xfId="0" applyFont="1" applyBorder="1" applyAlignment="1">
      <alignment horizontal="center" vertical="center"/>
    </xf>
    <xf numFmtId="0" fontId="21" fillId="0" borderId="0" xfId="0" applyFont="1" applyAlignment="1">
      <alignment horizontal="left" vertical="center" wrapText="1"/>
    </xf>
    <xf numFmtId="0" fontId="21" fillId="0" borderId="58" xfId="0" applyFont="1" applyBorder="1" applyAlignment="1">
      <alignment horizontal="center" vertical="center" wrapText="1"/>
    </xf>
    <xf numFmtId="0" fontId="21" fillId="27" borderId="0" xfId="0" applyFont="1" applyFill="1" applyAlignment="1">
      <alignment vertical="center"/>
    </xf>
    <xf numFmtId="0" fontId="21" fillId="27" borderId="177" xfId="0" applyFont="1" applyFill="1" applyBorder="1" applyAlignment="1">
      <alignment vertical="center"/>
    </xf>
    <xf numFmtId="0" fontId="13" fillId="0" borderId="0" xfId="0" applyFont="1" applyAlignment="1">
      <alignment wrapText="1"/>
    </xf>
    <xf numFmtId="0" fontId="23" fillId="0" borderId="0" xfId="0" applyFont="1" applyAlignment="1">
      <alignment vertical="top" wrapText="1"/>
    </xf>
    <xf numFmtId="0" fontId="13" fillId="0" borderId="2" xfId="0" applyFont="1" applyBorder="1" applyAlignment="1">
      <alignment vertical="center"/>
    </xf>
    <xf numFmtId="1" fontId="13" fillId="0" borderId="2" xfId="0" applyNumberFormat="1" applyFont="1" applyBorder="1" applyAlignment="1">
      <alignment horizontal="center" vertical="center"/>
    </xf>
    <xf numFmtId="168" fontId="21" fillId="0" borderId="2" xfId="6" applyNumberFormat="1" applyFont="1" applyFill="1" applyBorder="1" applyAlignment="1">
      <alignment horizontal="center" vertical="center"/>
    </xf>
    <xf numFmtId="168" fontId="21" fillId="0" borderId="2" xfId="6" applyNumberFormat="1" applyFont="1" applyBorder="1" applyAlignment="1">
      <alignment horizontal="center" vertical="center" wrapText="1"/>
    </xf>
    <xf numFmtId="168" fontId="21" fillId="0" borderId="2" xfId="6" applyNumberFormat="1" applyFont="1" applyBorder="1" applyAlignment="1">
      <alignment horizontal="center" vertical="center"/>
    </xf>
    <xf numFmtId="0" fontId="23" fillId="10" borderId="2" xfId="0" applyFont="1" applyFill="1" applyBorder="1" applyAlignment="1">
      <alignment horizontal="center" vertical="center" wrapText="1"/>
    </xf>
    <xf numFmtId="0" fontId="23" fillId="0" borderId="0" xfId="13" applyFont="1" applyAlignment="1">
      <alignment vertical="center" wrapText="1"/>
    </xf>
    <xf numFmtId="0" fontId="23" fillId="20" borderId="39" xfId="15" applyFont="1" applyFill="1" applyBorder="1" applyAlignment="1">
      <alignment horizontal="center" vertical="center" wrapText="1"/>
    </xf>
    <xf numFmtId="167" fontId="21" fillId="0" borderId="0" xfId="15" applyNumberFormat="1" applyFont="1" applyAlignment="1">
      <alignment horizontal="left" vertical="center" wrapText="1"/>
    </xf>
    <xf numFmtId="0" fontId="21" fillId="0" borderId="0" xfId="15" applyFont="1" applyAlignment="1">
      <alignment horizontal="left" vertical="center" wrapText="1"/>
    </xf>
    <xf numFmtId="2" fontId="21" fillId="0" borderId="0" xfId="15" applyNumberFormat="1" applyFont="1" applyAlignment="1">
      <alignment horizontal="left" vertical="center" wrapText="1"/>
    </xf>
    <xf numFmtId="0" fontId="23" fillId="20" borderId="160" xfId="15" applyFont="1" applyFill="1" applyBorder="1" applyAlignment="1">
      <alignment horizontal="left" vertical="center" wrapText="1"/>
    </xf>
    <xf numFmtId="0" fontId="23" fillId="20" borderId="12" xfId="15" applyFont="1" applyFill="1" applyBorder="1" applyAlignment="1">
      <alignment horizontal="center" vertical="center" wrapText="1"/>
    </xf>
    <xf numFmtId="0" fontId="23" fillId="24" borderId="151" xfId="15" applyFont="1" applyFill="1" applyBorder="1" applyAlignment="1">
      <alignment vertical="center" wrapText="1"/>
    </xf>
    <xf numFmtId="2" fontId="13" fillId="0" borderId="26" xfId="0" applyNumberFormat="1" applyFont="1" applyBorder="1" applyAlignment="1">
      <alignment horizontal="center" vertical="center" wrapText="1"/>
    </xf>
    <xf numFmtId="0" fontId="13" fillId="0" borderId="26" xfId="0" applyFont="1" applyBorder="1" applyAlignment="1">
      <alignment horizontal="center" vertical="center" wrapText="1"/>
    </xf>
    <xf numFmtId="1" fontId="13" fillId="0" borderId="26" xfId="0" applyNumberFormat="1" applyFont="1" applyBorder="1" applyAlignment="1">
      <alignment horizontal="center" vertical="center" wrapText="1"/>
    </xf>
    <xf numFmtId="165" fontId="21" fillId="0" borderId="2" xfId="0" applyNumberFormat="1" applyFont="1" applyBorder="1" applyAlignment="1">
      <alignment horizontal="center" vertical="center"/>
    </xf>
    <xf numFmtId="170" fontId="21" fillId="0" borderId="2" xfId="0" applyNumberFormat="1" applyFont="1" applyBorder="1" applyAlignment="1">
      <alignment vertical="center"/>
    </xf>
    <xf numFmtId="0" fontId="21" fillId="0" borderId="0" xfId="0" applyFont="1" applyAlignment="1">
      <alignment horizontal="left"/>
    </xf>
    <xf numFmtId="1" fontId="46" fillId="0" borderId="1" xfId="0" applyNumberFormat="1" applyFont="1" applyBorder="1" applyAlignment="1">
      <alignment horizontal="center" vertical="center"/>
    </xf>
    <xf numFmtId="1" fontId="46" fillId="0" borderId="2" xfId="0" applyNumberFormat="1" applyFont="1" applyBorder="1" applyAlignment="1">
      <alignment horizontal="center" vertical="center"/>
    </xf>
    <xf numFmtId="1" fontId="46" fillId="0" borderId="32" xfId="0" applyNumberFormat="1" applyFont="1" applyBorder="1" applyAlignment="1">
      <alignment horizontal="center" vertical="center"/>
    </xf>
    <xf numFmtId="1" fontId="46" fillId="0" borderId="5" xfId="0" applyNumberFormat="1" applyFont="1" applyBorder="1" applyAlignment="1">
      <alignment horizontal="center" vertical="center"/>
    </xf>
    <xf numFmtId="1" fontId="46" fillId="0" borderId="7" xfId="0" applyNumberFormat="1" applyFont="1" applyBorder="1" applyAlignment="1">
      <alignment horizontal="center" vertical="center"/>
    </xf>
    <xf numFmtId="1" fontId="46" fillId="0" borderId="9" xfId="0" applyNumberFormat="1" applyFont="1" applyBorder="1" applyAlignment="1">
      <alignment horizontal="center" vertical="center"/>
    </xf>
    <xf numFmtId="1" fontId="35" fillId="0" borderId="1" xfId="0" applyNumberFormat="1" applyFont="1" applyBorder="1" applyAlignment="1">
      <alignment horizontal="center" vertical="center"/>
    </xf>
    <xf numFmtId="1" fontId="35" fillId="0" borderId="2" xfId="0" applyNumberFormat="1" applyFont="1" applyBorder="1" applyAlignment="1">
      <alignment horizontal="center" vertical="center"/>
    </xf>
    <xf numFmtId="1" fontId="35" fillId="0" borderId="32" xfId="0" applyNumberFormat="1" applyFont="1" applyBorder="1" applyAlignment="1">
      <alignment horizontal="center" vertical="center"/>
    </xf>
    <xf numFmtId="1" fontId="22" fillId="0" borderId="1" xfId="0" applyNumberFormat="1" applyFont="1" applyBorder="1" applyAlignment="1">
      <alignment horizontal="center" vertical="center"/>
    </xf>
    <xf numFmtId="1" fontId="22" fillId="0" borderId="2" xfId="0" applyNumberFormat="1" applyFont="1" applyBorder="1" applyAlignment="1">
      <alignment horizontal="center" vertical="center"/>
    </xf>
    <xf numFmtId="1" fontId="22" fillId="0" borderId="32" xfId="0" applyNumberFormat="1" applyFont="1" applyBorder="1" applyAlignment="1">
      <alignment horizontal="center" vertical="center"/>
    </xf>
    <xf numFmtId="1" fontId="22" fillId="0" borderId="17" xfId="0" applyNumberFormat="1" applyFont="1" applyBorder="1" applyAlignment="1">
      <alignment horizontal="center" vertical="center"/>
    </xf>
    <xf numFmtId="1" fontId="22" fillId="0" borderId="107" xfId="0" applyNumberFormat="1" applyFont="1" applyBorder="1" applyAlignment="1">
      <alignment horizontal="center" vertical="center"/>
    </xf>
    <xf numFmtId="1" fontId="22" fillId="0" borderId="7" xfId="0" applyNumberFormat="1" applyFont="1" applyBorder="1" applyAlignment="1">
      <alignment horizontal="center" vertical="center"/>
    </xf>
    <xf numFmtId="1" fontId="22" fillId="0" borderId="9" xfId="0" applyNumberFormat="1" applyFont="1" applyBorder="1" applyAlignment="1">
      <alignment horizontal="center" vertical="center"/>
    </xf>
    <xf numFmtId="0" fontId="18" fillId="0" borderId="0" xfId="0" applyFont="1" applyAlignment="1">
      <alignment horizontal="left" vertical="center"/>
    </xf>
    <xf numFmtId="0" fontId="12" fillId="9" borderId="2" xfId="1" applyFont="1" applyFill="1" applyBorder="1" applyAlignment="1">
      <alignment horizontal="center" vertical="center" wrapText="1"/>
    </xf>
    <xf numFmtId="0" fontId="39" fillId="9" borderId="34" xfId="0" applyFont="1" applyFill="1" applyBorder="1" applyAlignment="1">
      <alignment horizontal="center" vertical="center" wrapText="1"/>
    </xf>
    <xf numFmtId="0" fontId="39" fillId="9" borderId="35" xfId="0" applyFont="1" applyFill="1" applyBorder="1" applyAlignment="1">
      <alignment horizontal="center" vertical="center" wrapText="1"/>
    </xf>
    <xf numFmtId="0" fontId="39" fillId="9" borderId="36" xfId="0" applyFont="1" applyFill="1" applyBorder="1" applyAlignment="1">
      <alignment horizontal="center" vertical="center" wrapText="1"/>
    </xf>
    <xf numFmtId="0" fontId="6" fillId="0" borderId="0" xfId="0" applyFont="1" applyAlignment="1">
      <alignment horizontal="left" vertical="center"/>
    </xf>
    <xf numFmtId="0" fontId="12" fillId="9" borderId="0" xfId="0" applyFont="1" applyFill="1" applyAlignment="1">
      <alignment horizontal="center" vertical="center"/>
    </xf>
    <xf numFmtId="0" fontId="6" fillId="0" borderId="0" xfId="0" applyFont="1" applyAlignment="1">
      <alignment horizontal="left" vertical="center" wrapText="1"/>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vertical="top" wrapText="1"/>
    </xf>
    <xf numFmtId="0" fontId="21" fillId="0" borderId="0" xfId="0" applyFont="1" applyAlignment="1">
      <alignment horizontal="left" vertical="top" wrapText="1"/>
    </xf>
    <xf numFmtId="0" fontId="16" fillId="0" borderId="138" xfId="0" applyFont="1" applyBorder="1" applyAlignment="1">
      <alignment horizontal="left" vertical="center" wrapText="1"/>
    </xf>
    <xf numFmtId="0" fontId="0" fillId="0" borderId="137" xfId="0" applyBorder="1" applyAlignment="1">
      <alignment horizontal="left" vertical="center" wrapText="1"/>
    </xf>
    <xf numFmtId="0" fontId="48" fillId="0" borderId="139" xfId="0" applyFont="1" applyBorder="1" applyAlignment="1">
      <alignment horizontal="center"/>
    </xf>
    <xf numFmtId="0" fontId="0" fillId="0" borderId="140" xfId="0" applyBorder="1" applyAlignment="1">
      <alignment horizontal="center"/>
    </xf>
    <xf numFmtId="0" fontId="47" fillId="0" borderId="138" xfId="0" applyFont="1" applyBorder="1" applyAlignment="1">
      <alignment horizontal="center" vertical="center"/>
    </xf>
    <xf numFmtId="0" fontId="0" fillId="0" borderId="137" xfId="0" applyBorder="1" applyAlignment="1">
      <alignment horizontal="center" vertical="center"/>
    </xf>
    <xf numFmtId="0" fontId="0" fillId="0" borderId="108" xfId="0" applyBorder="1" applyAlignment="1">
      <alignment horizontal="center" vertical="center"/>
    </xf>
    <xf numFmtId="0" fontId="48" fillId="26" borderId="138" xfId="0" applyFont="1" applyFill="1" applyBorder="1" applyAlignment="1">
      <alignment horizontal="center" vertical="center"/>
    </xf>
    <xf numFmtId="0" fontId="48" fillId="26" borderId="137" xfId="0" applyFont="1" applyFill="1" applyBorder="1" applyAlignment="1">
      <alignment horizontal="center" vertical="center"/>
    </xf>
    <xf numFmtId="0" fontId="6" fillId="0" borderId="0" xfId="0" applyFont="1" applyAlignment="1">
      <alignment horizontal="center"/>
    </xf>
    <xf numFmtId="0" fontId="12" fillId="9"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6" fillId="0" borderId="2" xfId="0" applyFont="1" applyBorder="1" applyAlignment="1">
      <alignment horizontal="center" vertical="center"/>
    </xf>
    <xf numFmtId="0" fontId="21" fillId="0" borderId="2" xfId="0" applyFont="1" applyBorder="1" applyAlignment="1">
      <alignment horizontal="center" vertical="center" wrapText="1"/>
    </xf>
    <xf numFmtId="0" fontId="23" fillId="6" borderId="2" xfId="0" applyFont="1" applyFill="1" applyBorder="1" applyAlignment="1">
      <alignment horizontal="center" vertical="center" wrapText="1"/>
    </xf>
    <xf numFmtId="171" fontId="21" fillId="0" borderId="2" xfId="0" applyNumberFormat="1" applyFont="1" applyBorder="1" applyAlignment="1">
      <alignment horizontal="center" vertical="center" wrapText="1"/>
    </xf>
    <xf numFmtId="0" fontId="21" fillId="0" borderId="2" xfId="0" applyFont="1" applyBorder="1" applyAlignment="1">
      <alignment horizontal="center" vertical="center"/>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1" xfId="0" applyFont="1" applyBorder="1" applyAlignment="1">
      <alignment horizontal="left" vertical="center"/>
    </xf>
    <xf numFmtId="0" fontId="21" fillId="0" borderId="178" xfId="0" applyFont="1" applyBorder="1" applyAlignment="1">
      <alignment horizontal="center" vertical="center" wrapText="1"/>
    </xf>
    <xf numFmtId="0" fontId="21" fillId="0" borderId="0" xfId="0" applyFont="1" applyAlignment="1">
      <alignment wrapText="1"/>
    </xf>
    <xf numFmtId="0" fontId="21" fillId="0" borderId="151" xfId="0" applyFont="1" applyBorder="1" applyAlignment="1">
      <alignment horizontal="center" vertical="center"/>
    </xf>
    <xf numFmtId="0" fontId="51" fillId="0" borderId="151" xfId="0" applyFont="1" applyBorder="1" applyAlignment="1">
      <alignment horizontal="center" vertical="center"/>
    </xf>
    <xf numFmtId="0" fontId="6" fillId="0" borderId="63" xfId="0" applyFont="1" applyBorder="1" applyAlignment="1">
      <alignment horizontal="center" vertical="center" wrapText="1"/>
    </xf>
    <xf numFmtId="0" fontId="6" fillId="0" borderId="103" xfId="0" applyFont="1" applyBorder="1" applyAlignment="1">
      <alignment horizontal="center" vertical="center" wrapText="1"/>
    </xf>
    <xf numFmtId="0" fontId="6" fillId="0" borderId="105" xfId="0" applyFont="1" applyBorder="1" applyAlignment="1">
      <alignment horizontal="center" vertical="center" wrapText="1"/>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45" fillId="9" borderId="176" xfId="0" applyFont="1" applyFill="1" applyBorder="1" applyAlignment="1">
      <alignment horizontal="center" vertical="center" wrapText="1"/>
    </xf>
    <xf numFmtId="0" fontId="45" fillId="9" borderId="19" xfId="0" applyFont="1" applyFill="1" applyBorder="1" applyAlignment="1">
      <alignment horizontal="center" vertical="center" wrapText="1"/>
    </xf>
    <xf numFmtId="0" fontId="21" fillId="0" borderId="26" xfId="0" applyFont="1" applyBorder="1" applyAlignment="1">
      <alignment horizontal="center" vertical="center"/>
    </xf>
    <xf numFmtId="0" fontId="54" fillId="0" borderId="26" xfId="0" applyFont="1" applyBorder="1" applyAlignment="1">
      <alignment horizontal="center" vertical="center"/>
    </xf>
    <xf numFmtId="0" fontId="21" fillId="0" borderId="26" xfId="0" applyFont="1" applyBorder="1" applyAlignment="1">
      <alignment horizontal="center" vertical="center" wrapText="1"/>
    </xf>
    <xf numFmtId="0" fontId="21" fillId="31" borderId="26" xfId="0"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3" xfId="0" applyFont="1" applyBorder="1" applyAlignment="1">
      <alignment horizontal="center" vertical="center" wrapText="1"/>
    </xf>
    <xf numFmtId="0" fontId="21" fillId="0" borderId="51" xfId="0" applyFont="1" applyBorder="1" applyAlignment="1">
      <alignment horizontal="center" vertical="center" wrapText="1"/>
    </xf>
    <xf numFmtId="0" fontId="21" fillId="0" borderId="52" xfId="0" applyFont="1" applyBorder="1" applyAlignment="1">
      <alignment horizontal="center" vertical="center" wrapText="1"/>
    </xf>
    <xf numFmtId="0" fontId="21" fillId="0" borderId="53" xfId="0" applyFont="1" applyBorder="1" applyAlignment="1">
      <alignment horizontal="center" vertical="center" wrapText="1"/>
    </xf>
    <xf numFmtId="0" fontId="56" fillId="9" borderId="138" xfId="0" applyFont="1" applyFill="1" applyBorder="1" applyAlignment="1">
      <alignment horizontal="center" vertical="center" wrapText="1"/>
    </xf>
    <xf numFmtId="0" fontId="56" fillId="9" borderId="137" xfId="0" applyFont="1" applyFill="1" applyBorder="1" applyAlignment="1">
      <alignment horizontal="center" vertical="center" wrapText="1"/>
    </xf>
    <xf numFmtId="0" fontId="56" fillId="9" borderId="108" xfId="0" applyFont="1" applyFill="1" applyBorder="1" applyAlignment="1">
      <alignment horizontal="center" vertical="center" wrapText="1"/>
    </xf>
    <xf numFmtId="0" fontId="6" fillId="0" borderId="25" xfId="0" applyFont="1" applyBorder="1" applyAlignment="1">
      <alignment horizontal="center" vertical="center" wrapText="1"/>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62" xfId="0" applyFont="1" applyBorder="1" applyAlignment="1">
      <alignment horizontal="center" vertical="center" wrapText="1"/>
    </xf>
    <xf numFmtId="0" fontId="6" fillId="0" borderId="40"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33" xfId="0" applyFont="1" applyBorder="1" applyAlignment="1">
      <alignment horizontal="center" vertical="center"/>
    </xf>
    <xf numFmtId="0" fontId="28" fillId="28" borderId="2" xfId="0" applyFont="1" applyFill="1" applyBorder="1" applyAlignment="1">
      <alignment horizontal="center" vertical="center"/>
    </xf>
    <xf numFmtId="0" fontId="28" fillId="28" borderId="0" xfId="0" applyFont="1" applyFill="1" applyAlignment="1">
      <alignment horizontal="center" vertical="center"/>
    </xf>
    <xf numFmtId="0" fontId="21" fillId="0" borderId="0" xfId="0" applyFont="1"/>
    <xf numFmtId="0" fontId="0" fillId="0" borderId="2" xfId="0" applyBorder="1" applyAlignment="1">
      <alignment horizontal="center" vertical="center" wrapText="1"/>
    </xf>
    <xf numFmtId="0" fontId="13" fillId="0" borderId="2"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28" fillId="12" borderId="21" xfId="0" applyFont="1" applyFill="1" applyBorder="1" applyAlignment="1">
      <alignment horizontal="center" vertical="center"/>
    </xf>
    <xf numFmtId="0" fontId="28" fillId="12" borderId="0" xfId="0" applyFont="1" applyFill="1" applyAlignment="1">
      <alignment horizontal="center" vertical="center"/>
    </xf>
    <xf numFmtId="0" fontId="12" fillId="9" borderId="18" xfId="0" applyFont="1" applyFill="1" applyBorder="1" applyAlignment="1">
      <alignment horizontal="center" vertical="center" wrapText="1"/>
    </xf>
    <xf numFmtId="0" fontId="12" fillId="9" borderId="19" xfId="0" applyFont="1" applyFill="1" applyBorder="1" applyAlignment="1">
      <alignment horizontal="center" vertical="center" wrapText="1"/>
    </xf>
    <xf numFmtId="0" fontId="21" fillId="0" borderId="158" xfId="0" applyFont="1" applyBorder="1" applyAlignment="1">
      <alignment horizontal="center" vertical="top" wrapText="1"/>
    </xf>
    <xf numFmtId="0" fontId="13" fillId="0" borderId="159" xfId="0" applyFont="1" applyBorder="1"/>
    <xf numFmtId="0" fontId="13" fillId="0" borderId="163" xfId="0" applyFont="1" applyBorder="1"/>
    <xf numFmtId="0" fontId="23" fillId="20" borderId="149" xfId="15" applyFont="1" applyFill="1" applyBorder="1" applyAlignment="1">
      <alignment horizontal="center" vertical="center" wrapText="1"/>
    </xf>
    <xf numFmtId="0" fontId="23" fillId="20" borderId="150" xfId="15" applyFont="1" applyFill="1" applyBorder="1" applyAlignment="1">
      <alignment horizontal="center" vertical="center" wrapText="1"/>
    </xf>
    <xf numFmtId="0" fontId="23" fillId="20" borderId="12" xfId="15" applyFont="1" applyFill="1" applyBorder="1" applyAlignment="1">
      <alignment horizontal="center" vertical="center" wrapText="1"/>
    </xf>
    <xf numFmtId="0" fontId="13" fillId="0" borderId="15" xfId="0" applyFont="1" applyBorder="1"/>
    <xf numFmtId="0" fontId="21" fillId="0" borderId="148" xfId="0" applyFont="1" applyBorder="1" applyAlignment="1">
      <alignment horizontal="center" vertical="top" wrapText="1"/>
    </xf>
    <xf numFmtId="0" fontId="21" fillId="0" borderId="144" xfId="0" applyFont="1" applyBorder="1" applyAlignment="1">
      <alignment horizontal="center" vertical="top" wrapText="1"/>
    </xf>
    <xf numFmtId="0" fontId="21" fillId="0" borderId="147" xfId="0" applyFont="1" applyBorder="1" applyAlignment="1">
      <alignment horizontal="center" vertical="top" wrapText="1"/>
    </xf>
    <xf numFmtId="0" fontId="12" fillId="22" borderId="135" xfId="15" applyFont="1" applyFill="1" applyBorder="1" applyAlignment="1">
      <alignment horizontal="center" vertical="center" wrapText="1"/>
    </xf>
    <xf numFmtId="0" fontId="12" fillId="22" borderId="0" xfId="15" applyFont="1" applyFill="1" applyAlignment="1">
      <alignment horizontal="center" vertical="center" wrapText="1"/>
    </xf>
    <xf numFmtId="0" fontId="21" fillId="0" borderId="143" xfId="0" applyFont="1" applyBorder="1" applyAlignment="1">
      <alignment horizontal="center" vertical="top" wrapText="1"/>
    </xf>
    <xf numFmtId="0" fontId="13" fillId="0" borderId="144" xfId="0" applyFont="1" applyBorder="1"/>
    <xf numFmtId="0" fontId="13" fillId="0" borderId="147" xfId="0" applyFont="1" applyBorder="1"/>
    <xf numFmtId="0" fontId="50" fillId="24" borderId="152" xfId="15" applyFont="1" applyFill="1" applyBorder="1" applyAlignment="1">
      <alignment horizontal="center" vertical="center" wrapText="1"/>
    </xf>
    <xf numFmtId="0" fontId="50" fillId="24" borderId="153" xfId="15" applyFont="1" applyFill="1" applyBorder="1" applyAlignment="1">
      <alignment horizontal="center" vertical="center" wrapText="1"/>
    </xf>
    <xf numFmtId="0" fontId="12" fillId="9" borderId="154" xfId="0" applyFont="1" applyFill="1" applyBorder="1" applyAlignment="1">
      <alignment horizontal="center" vertical="center" wrapText="1"/>
    </xf>
    <xf numFmtId="0" fontId="12" fillId="9" borderId="155" xfId="0" applyFont="1" applyFill="1" applyBorder="1" applyAlignment="1">
      <alignment horizontal="center" vertical="center" wrapText="1"/>
    </xf>
    <xf numFmtId="43" fontId="21" fillId="0" borderId="151" xfId="0" applyNumberFormat="1" applyFont="1" applyBorder="1" applyAlignment="1">
      <alignment horizontal="center" wrapText="1"/>
    </xf>
    <xf numFmtId="0" fontId="12" fillId="9" borderId="134" xfId="0" applyFont="1" applyFill="1" applyBorder="1" applyAlignment="1">
      <alignment horizontal="center" vertical="center" wrapText="1"/>
    </xf>
    <xf numFmtId="0" fontId="12" fillId="9" borderId="0" xfId="0" applyFont="1" applyFill="1" applyAlignment="1">
      <alignment horizontal="center" vertical="center" wrapText="1"/>
    </xf>
    <xf numFmtId="0" fontId="0" fillId="0" borderId="10" xfId="0" applyBorder="1"/>
    <xf numFmtId="0" fontId="0" fillId="0" borderId="11" xfId="0" applyBorder="1"/>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12" fillId="9" borderId="2" xfId="0" applyFont="1" applyFill="1" applyBorder="1" applyAlignment="1">
      <alignment horizontal="center" vertical="center"/>
    </xf>
    <xf numFmtId="0" fontId="13" fillId="0" borderId="26" xfId="0" applyFont="1" applyBorder="1" applyAlignment="1">
      <alignment horizontal="center" vertical="center" wrapText="1"/>
    </xf>
    <xf numFmtId="0" fontId="12" fillId="9" borderId="13" xfId="0" applyFont="1" applyFill="1" applyBorder="1" applyAlignment="1">
      <alignment horizontal="center" vertical="center"/>
    </xf>
    <xf numFmtId="0" fontId="12" fillId="9" borderId="14" xfId="0" applyFont="1" applyFill="1" applyBorder="1" applyAlignment="1">
      <alignment horizontal="center" vertical="center"/>
    </xf>
    <xf numFmtId="0" fontId="42" fillId="19" borderId="0" xfId="0" applyFont="1" applyFill="1" applyAlignment="1">
      <alignment horizontal="center" vertical="center"/>
    </xf>
    <xf numFmtId="0" fontId="0" fillId="0" borderId="0" xfId="0"/>
    <xf numFmtId="0" fontId="44" fillId="19" borderId="0" xfId="0" applyFont="1" applyFill="1" applyAlignment="1">
      <alignment horizontal="center" vertical="center"/>
    </xf>
    <xf numFmtId="0" fontId="13" fillId="0" borderId="0" xfId="0" applyFont="1"/>
    <xf numFmtId="0" fontId="13" fillId="0" borderId="137" xfId="0" applyFont="1" applyBorder="1" applyAlignment="1">
      <alignment horizontal="left" wrapText="1"/>
    </xf>
    <xf numFmtId="0" fontId="23" fillId="6" borderId="116" xfId="0" applyFont="1" applyFill="1" applyBorder="1" applyAlignment="1">
      <alignment horizontal="center" vertical="center" wrapText="1"/>
    </xf>
    <xf numFmtId="0" fontId="23" fillId="6" borderId="117" xfId="0" applyFont="1" applyFill="1" applyBorder="1" applyAlignment="1">
      <alignment horizontal="center" vertical="center" wrapText="1"/>
    </xf>
    <xf numFmtId="0" fontId="46" fillId="0" borderId="90" xfId="0" applyFont="1" applyBorder="1" applyAlignment="1">
      <alignment horizontal="center" vertical="center" wrapText="1"/>
    </xf>
    <xf numFmtId="0" fontId="46" fillId="0" borderId="89" xfId="0" applyFont="1" applyBorder="1" applyAlignment="1">
      <alignment horizontal="center" vertical="center" wrapText="1"/>
    </xf>
    <xf numFmtId="0" fontId="46" fillId="0" borderId="88" xfId="0" applyFont="1" applyBorder="1" applyAlignment="1">
      <alignment horizontal="center" vertical="center" wrapText="1"/>
    </xf>
    <xf numFmtId="0" fontId="46" fillId="0" borderId="66" xfId="0" applyFont="1" applyBorder="1" applyAlignment="1">
      <alignment horizontal="center" vertical="center"/>
    </xf>
    <xf numFmtId="0" fontId="46" fillId="0" borderId="68" xfId="0" applyFont="1" applyBorder="1" applyAlignment="1">
      <alignment horizontal="center" vertical="center"/>
    </xf>
    <xf numFmtId="0" fontId="46" fillId="0" borderId="70" xfId="0" applyFont="1" applyBorder="1" applyAlignment="1">
      <alignment horizontal="center" vertical="center"/>
    </xf>
    <xf numFmtId="0" fontId="46" fillId="0" borderId="86" xfId="0" applyFont="1" applyBorder="1" applyAlignment="1">
      <alignment horizontal="center" vertical="center" wrapText="1"/>
    </xf>
    <xf numFmtId="0" fontId="46" fillId="0" borderId="82" xfId="0" applyFont="1" applyBorder="1" applyAlignment="1">
      <alignment horizontal="center" vertical="center" wrapText="1"/>
    </xf>
    <xf numFmtId="0" fontId="46" fillId="0" borderId="78" xfId="0" applyFont="1" applyBorder="1" applyAlignment="1">
      <alignment horizontal="center" vertical="center" wrapText="1"/>
    </xf>
    <xf numFmtId="0" fontId="46" fillId="0" borderId="85" xfId="0" applyFont="1" applyBorder="1" applyAlignment="1">
      <alignment horizontal="center" vertical="center" wrapText="1"/>
    </xf>
    <xf numFmtId="0" fontId="46" fillId="0" borderId="81" xfId="0" applyFont="1" applyBorder="1" applyAlignment="1">
      <alignment horizontal="center" vertical="center" wrapText="1"/>
    </xf>
    <xf numFmtId="0" fontId="46" fillId="0" borderId="77"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92"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32"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103" xfId="0" applyFont="1" applyBorder="1" applyAlignment="1">
      <alignment horizontal="center" vertical="center" wrapText="1"/>
    </xf>
    <xf numFmtId="0" fontId="22" fillId="0" borderId="105" xfId="0" applyFont="1" applyBorder="1" applyAlignment="1">
      <alignment horizontal="center" vertical="center" wrapText="1"/>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32" xfId="0" applyFont="1" applyBorder="1" applyAlignment="1">
      <alignment horizontal="center" vertical="center"/>
    </xf>
    <xf numFmtId="0" fontId="22" fillId="0" borderId="17"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64" xfId="0" applyFont="1" applyBorder="1" applyAlignment="1">
      <alignment horizontal="center" vertical="center"/>
    </xf>
    <xf numFmtId="0" fontId="22" fillId="0" borderId="16" xfId="0" applyFont="1" applyBorder="1" applyAlignment="1">
      <alignment horizontal="center" vertical="center"/>
    </xf>
    <xf numFmtId="0" fontId="22" fillId="0" borderId="92" xfId="0" applyFont="1" applyBorder="1" applyAlignment="1">
      <alignment horizontal="center" vertical="center"/>
    </xf>
    <xf numFmtId="0" fontId="22" fillId="0" borderId="37"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106" xfId="0" applyFont="1" applyBorder="1" applyAlignment="1">
      <alignment horizontal="center" vertical="center" wrapText="1"/>
    </xf>
    <xf numFmtId="0" fontId="46" fillId="0" borderId="37" xfId="0" applyFont="1" applyBorder="1" applyAlignment="1">
      <alignment horizontal="center" vertical="center" wrapText="1"/>
    </xf>
    <xf numFmtId="0" fontId="22" fillId="0" borderId="90"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66" xfId="0" applyFont="1" applyBorder="1" applyAlignment="1">
      <alignment horizontal="center" vertical="center"/>
    </xf>
    <xf numFmtId="0" fontId="22" fillId="0" borderId="68" xfId="0" applyFont="1" applyBorder="1" applyAlignment="1">
      <alignment horizontal="center" vertical="center"/>
    </xf>
    <xf numFmtId="0" fontId="22" fillId="0" borderId="70" xfId="0" applyFont="1" applyBorder="1" applyAlignment="1">
      <alignment horizontal="center" vertical="center"/>
    </xf>
    <xf numFmtId="0" fontId="35" fillId="0" borderId="86" xfId="0" applyFont="1" applyBorder="1" applyAlignment="1">
      <alignment horizontal="center" vertical="center" wrapText="1"/>
    </xf>
    <xf numFmtId="0" fontId="35" fillId="0" borderId="82" xfId="0" applyFont="1" applyBorder="1" applyAlignment="1">
      <alignment horizontal="center" vertical="center" wrapText="1"/>
    </xf>
    <xf numFmtId="0" fontId="35" fillId="0" borderId="78"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81"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120" xfId="0" applyFont="1" applyBorder="1" applyAlignment="1">
      <alignment horizontal="center" vertical="center" wrapText="1"/>
    </xf>
    <xf numFmtId="0" fontId="22" fillId="0" borderId="107"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86" xfId="0" applyFont="1" applyBorder="1" applyAlignment="1">
      <alignment horizontal="center" vertical="center"/>
    </xf>
    <xf numFmtId="0" fontId="22" fillId="0" borderId="82" xfId="0" applyFont="1" applyBorder="1" applyAlignment="1">
      <alignment horizontal="center" vertical="center"/>
    </xf>
    <xf numFmtId="0" fontId="22" fillId="0" borderId="78" xfId="0" applyFont="1" applyBorder="1" applyAlignment="1">
      <alignment horizontal="center" vertical="center"/>
    </xf>
    <xf numFmtId="0" fontId="19" fillId="6" borderId="0" xfId="0" applyFont="1" applyFill="1" applyAlignment="1">
      <alignment horizontal="center" vertical="center" wrapText="1"/>
    </xf>
    <xf numFmtId="0" fontId="19" fillId="6" borderId="91" xfId="0" applyFont="1" applyFill="1" applyBorder="1" applyAlignment="1">
      <alignment horizontal="center" vertical="center" wrapText="1"/>
    </xf>
    <xf numFmtId="0" fontId="19" fillId="6" borderId="116" xfId="0" applyFont="1" applyFill="1" applyBorder="1" applyAlignment="1">
      <alignment horizontal="center" vertical="center" wrapText="1"/>
    </xf>
    <xf numFmtId="0" fontId="19" fillId="6" borderId="117" xfId="0" applyFont="1" applyFill="1" applyBorder="1" applyAlignment="1">
      <alignment horizontal="center" vertical="center" wrapText="1"/>
    </xf>
    <xf numFmtId="0" fontId="22" fillId="0" borderId="118"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19" xfId="0" applyFont="1" applyBorder="1" applyAlignment="1">
      <alignment horizontal="center" vertical="center" wrapText="1"/>
    </xf>
    <xf numFmtId="0" fontId="37" fillId="6" borderId="0" xfId="0" applyFont="1" applyFill="1" applyAlignment="1">
      <alignment horizontal="center" vertical="center" wrapText="1"/>
    </xf>
    <xf numFmtId="0" fontId="37" fillId="6" borderId="91" xfId="0" applyFont="1" applyFill="1" applyBorder="1" applyAlignment="1">
      <alignment horizontal="center" vertical="center" wrapText="1"/>
    </xf>
    <xf numFmtId="0" fontId="7" fillId="6" borderId="12" xfId="0" applyFont="1" applyFill="1" applyBorder="1" applyAlignment="1">
      <alignment horizontal="center" vertical="center"/>
    </xf>
    <xf numFmtId="0" fontId="7" fillId="6" borderId="92" xfId="0" applyFont="1" applyFill="1" applyBorder="1" applyAlignment="1">
      <alignment horizontal="center" vertical="center"/>
    </xf>
    <xf numFmtId="0" fontId="12" fillId="9" borderId="3"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35" fillId="0" borderId="1" xfId="0" applyFont="1" applyBorder="1" applyAlignment="1">
      <alignment horizontal="center" vertical="center"/>
    </xf>
    <xf numFmtId="0" fontId="35" fillId="0" borderId="2" xfId="0" applyFont="1" applyBorder="1" applyAlignment="1">
      <alignment horizontal="center" vertical="center"/>
    </xf>
    <xf numFmtId="0" fontId="35" fillId="0" borderId="32" xfId="0" applyFont="1" applyBorder="1" applyAlignment="1">
      <alignment horizontal="center" vertical="center"/>
    </xf>
    <xf numFmtId="0" fontId="19" fillId="6" borderId="2" xfId="0" applyFont="1" applyFill="1" applyBorder="1" applyAlignment="1">
      <alignment horizontal="center" vertical="center" wrapText="1"/>
    </xf>
    <xf numFmtId="0" fontId="22" fillId="0" borderId="113" xfId="0" applyFont="1" applyBorder="1" applyAlignment="1">
      <alignment horizontal="center" vertical="center" wrapText="1"/>
    </xf>
    <xf numFmtId="0" fontId="22" fillId="0" borderId="114" xfId="0" applyFont="1" applyBorder="1" applyAlignment="1">
      <alignment horizontal="center" vertical="center" wrapText="1"/>
    </xf>
    <xf numFmtId="0" fontId="22" fillId="0" borderId="115" xfId="0" applyFont="1" applyBorder="1" applyAlignment="1">
      <alignment horizontal="center" vertical="center" wrapText="1"/>
    </xf>
    <xf numFmtId="0" fontId="22" fillId="0" borderId="112" xfId="0" applyFont="1" applyBorder="1" applyAlignment="1">
      <alignment horizontal="center" vertical="center"/>
    </xf>
    <xf numFmtId="0" fontId="22" fillId="0" borderId="99" xfId="0" applyFont="1" applyBorder="1" applyAlignment="1">
      <alignment horizontal="center" vertical="center"/>
    </xf>
    <xf numFmtId="0" fontId="35" fillId="0" borderId="112" xfId="0" applyFont="1" applyBorder="1" applyAlignment="1">
      <alignment horizontal="center" vertical="center" wrapText="1"/>
    </xf>
    <xf numFmtId="0" fontId="35" fillId="0" borderId="99" xfId="0" applyFont="1" applyBorder="1" applyAlignment="1">
      <alignment horizontal="center" vertical="center" wrapText="1"/>
    </xf>
    <xf numFmtId="0" fontId="22" fillId="0" borderId="94" xfId="0" applyFont="1" applyBorder="1" applyAlignment="1">
      <alignment horizontal="center" vertical="center" wrapText="1"/>
    </xf>
    <xf numFmtId="0" fontId="22" fillId="0" borderId="100"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6"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64"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92"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7"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66" xfId="0" applyFont="1" applyBorder="1" applyAlignment="1">
      <alignment horizontal="center" vertical="center" wrapText="1"/>
    </xf>
    <xf numFmtId="0" fontId="28" fillId="12" borderId="18" xfId="0" applyFont="1" applyFill="1" applyBorder="1" applyAlignment="1">
      <alignment horizontal="center" vertical="center"/>
    </xf>
    <xf numFmtId="0" fontId="28" fillId="12" borderId="19" xfId="0" applyFont="1" applyFill="1" applyBorder="1" applyAlignment="1">
      <alignment horizontal="center" vertical="center"/>
    </xf>
    <xf numFmtId="0" fontId="12" fillId="9" borderId="18" xfId="0" applyFont="1" applyFill="1" applyBorder="1" applyAlignment="1">
      <alignment horizontal="center" vertical="center"/>
    </xf>
    <xf numFmtId="0" fontId="12" fillId="9" borderId="19" xfId="0" applyFont="1" applyFill="1" applyBorder="1" applyAlignment="1">
      <alignment horizontal="center" vertical="center"/>
    </xf>
    <xf numFmtId="0" fontId="23" fillId="6" borderId="151"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3" fillId="6" borderId="13" xfId="0" applyFont="1" applyFill="1" applyBorder="1" applyAlignment="1">
      <alignment horizontal="center" vertical="center"/>
    </xf>
    <xf numFmtId="0" fontId="23" fillId="6" borderId="17" xfId="0" applyFont="1" applyFill="1" applyBorder="1" applyAlignment="1">
      <alignment horizontal="center" vertical="center"/>
    </xf>
    <xf numFmtId="0" fontId="23" fillId="6" borderId="12" xfId="0" applyFont="1" applyFill="1" applyBorder="1" applyAlignment="1">
      <alignment horizontal="center" vertical="center"/>
    </xf>
    <xf numFmtId="0" fontId="9" fillId="9" borderId="0" xfId="0" applyFont="1" applyFill="1" applyAlignment="1">
      <alignment horizontal="center" vertical="center" wrapText="1"/>
    </xf>
    <xf numFmtId="0" fontId="0" fillId="0" borderId="0" xfId="0" applyAlignment="1">
      <alignment horizontal="center"/>
    </xf>
  </cellXfs>
  <cellStyles count="17">
    <cellStyle name="Comma" xfId="6" builtinId="3"/>
    <cellStyle name="Comma 2" xfId="14" xr:uid="{10C27430-1C0B-4940-87DB-0A0C74EA1F54}"/>
    <cellStyle name="Hyperlink" xfId="5" builtinId="8"/>
    <cellStyle name="Hyperlink 2" xfId="10" xr:uid="{10C1E3C0-F46B-4E25-BD9A-EE5D62F88FF2}"/>
    <cellStyle name="Hyperlink 3" xfId="16" xr:uid="{DC437F70-9733-489E-92E1-36C230F7D7D6}"/>
    <cellStyle name="Normal" xfId="0" builtinId="0"/>
    <cellStyle name="Normal 2" xfId="3" xr:uid="{E38C2638-0821-4BB2-9C33-A89D3950ADA6}"/>
    <cellStyle name="Normal 2 2" xfId="4" xr:uid="{7604919E-E68F-4366-A693-6A7B8B8DA661}"/>
    <cellStyle name="Normal 2 3" xfId="9" xr:uid="{8A1E39CD-7ABA-4D79-A464-67010D1209C1}"/>
    <cellStyle name="Normal 2 4" xfId="13" xr:uid="{2E8CF887-5657-4591-8DDF-E77002908140}"/>
    <cellStyle name="Normal 3" xfId="7" xr:uid="{1C10DAE4-4F9C-4E19-81E4-5574511A6741}"/>
    <cellStyle name="Normal 4" xfId="11" xr:uid="{43272557-B37F-4996-BC18-AA3EDEAFA379}"/>
    <cellStyle name="Normal 5" xfId="12" xr:uid="{642BE191-BE2F-4847-8420-1C59B95E270E}"/>
    <cellStyle name="Normal 7" xfId="15" xr:uid="{20BD91B0-F33E-404A-B5CE-709AF934ECC1}"/>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002F8E"/>
      <color rgb="FF969595"/>
      <color rgb="FFA6A6A6"/>
      <color rgb="FF92D050"/>
      <color rgb="FFFF9900"/>
      <color rgb="FFCCCCFF"/>
      <color rgb="FF8238BA"/>
      <color rgb="FFFFEBCD"/>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ECC3-45CC-AFB4-A1C2E8AD9A13}"/>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CC3-45CC-AFB4-A1C2E8AD9A13}"/>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CC3-45CC-AFB4-A1C2E8AD9A1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A884-45DA-B242-C539CE566B49}"/>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884-45DA-B242-C539CE566B49}"/>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884-45DA-B242-C539CE566B4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DAEC-489F-99D6-0E232B5AE10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DAEC-489F-99D6-0E232B5AE108}"/>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DAEC-489F-99D6-0E232B5AE1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583-4470-9C02-D77A781E801D}"/>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583-4470-9C02-D77A781E801D}"/>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583-4470-9C02-D77A781E801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928-486F-AD09-6687CB59802E}"/>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928-486F-AD09-6687CB59802E}"/>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928-486F-AD09-6687CB5980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D430-4B33-ABA5-469C290B479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D430-4B33-ABA5-469C290B479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D430-4B33-ABA5-469C290B47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B102-4386-B25D-61197DE420C2}"/>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B102-4386-B25D-61197DE420C2}"/>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102-4386-B25D-61197DE420C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FD9-4F1C-BE71-3F3F6591949A}"/>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FD9-4F1C-BE71-3F3F6591949A}"/>
            </c:ext>
          </c:extLst>
        </c:ser>
        <c:ser>
          <c:idx val="2"/>
          <c:order val="2"/>
          <c:tx>
            <c:strRef>
              <c:f>Schedules!$E$102</c:f>
              <c:strCache>
                <c:ptCount val="1"/>
                <c:pt idx="0">
                  <c:v>Sunday</c:v>
                </c:pt>
              </c:strCache>
            </c:strRef>
          </c:tx>
          <c:spPr>
            <a:ln w="28575" cap="rnd">
              <a:solidFill>
                <a:schemeClr val="accent3"/>
              </a:solidFill>
              <a:round/>
            </a:ln>
            <a:effectLst/>
          </c:spPr>
          <c:marker>
            <c:symbol val="none"/>
          </c:marker>
          <c:val>
            <c:numRef>
              <c:f>Schedules!$F$102:$AC$102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FD9-4F1C-BE71-3F3F6591949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valAx>
      <c:spPr>
        <a:noFill/>
        <a:ln>
          <a:noFill/>
        </a:ln>
        <a:effectLst/>
      </c:spPr>
    </c:plotArea>
    <c:legend>
      <c:legendPos val="b"/>
      <c:layout>
        <c:manualLayout>
          <c:xMode val="edge"/>
          <c:yMode val="edge"/>
          <c:x val="0.73178227104726823"/>
          <c:y val="3.6261079321075841E-2"/>
          <c:w val="0.25000866211892492"/>
          <c:h val="0.25176692913385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"Lights"</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14FA-4DE6-ADBA-318885809DF5}"/>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4FA-4DE6-ADBA-318885809DF5}"/>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4FA-4DE6-ADBA-318885809D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"ElecEquipment"</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DDF0-49C5-B82C-CB253C75153C}"/>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DF0-49C5-B82C-CB253C75153C}"/>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DF0-49C5-B82C-CB253C75153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"ClgSetpt"</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1C5D-418E-A547-988E5FE86238}"/>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1C5D-418E-A547-988E5FE86238}"/>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1C5D-418E-A547-988E5FE862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BAAB-49B8-9664-9F966712AFE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BAAB-49B8-9664-9F966712AFE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BAAB-49B8-9664-9F966712AF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"HtgSetpt"</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2A7-4D3D-A30D-4A55D420040A}"/>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2A7-4D3D-A30D-4A55D420040A}"/>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2A7-4D3D-A30D-4A55D42004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730-4346-86E8-4E37599B673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730-4346-86E8-4E37599B673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730-4346-86E8-4E37599B67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"OAControl"</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F7A4-4874-9A64-2DEE1A0544B3}"/>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F7A4-4874-9A64-2DEE1A0544B3}"/>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F7A4-4874-9A64-2DEE1A0544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C30-4A88-BA4C-35C7C61E9A0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C30-4A88-BA4C-35C7C61E9A0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C30-4A88-BA4C-35C7C61E9A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"Infilitration"</c:f>
          <c:strCache>
            <c:ptCount val="1"/>
            <c:pt idx="0">
              <c:v>Infilitration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D1BC-48E7-AFE4-A9C8634B74C8}"/>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1BC-48E7-AFE4-A9C8634B74C8}"/>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1BC-48E7-AFE4-A9C8634B74C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CEC8-4868-A598-721A29ACE9E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CEC8-4868-A598-721A29ACE9E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CEC8-4868-A598-721A29ACE9E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D440-4A54-A598-8BDF7700067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440-4A54-A598-8BDF7700067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440-4A54-A598-8BDF770006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3FB8-41F8-ADDA-7D42BA65F1B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FB8-41F8-ADDA-7D42BA65F1B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FB8-41F8-ADDA-7D42BA65F1B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Lit>
          </c:val>
          <c:smooth val="0"/>
          <c:extLst>
            <c:ext xmlns:c16="http://schemas.microsoft.com/office/drawing/2014/chart" uri="{C3380CC4-5D6E-409C-BE32-E72D297353CC}">
              <c16:uniqueId val="{00000000-33F5-4274-AB81-EF20F46B9B8A}"/>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3F5-4274-AB81-EF20F46B9B8A}"/>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3F5-4274-AB81-EF20F46B9B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Lit>
          </c:val>
          <c:smooth val="0"/>
          <c:extLst>
            <c:ext xmlns:c16="http://schemas.microsoft.com/office/drawing/2014/chart" uri="{C3380CC4-5D6E-409C-BE32-E72D297353CC}">
              <c16:uniqueId val="{00000000-CCAC-40D2-975B-F4C86270D9A7}"/>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CCAC-40D2-975B-F4C86270D9A7}"/>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CCAC-40D2-975B-F4C86270D9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77B1-4078-A194-29579769AED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77B1-4078-A194-29579769AED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77B1-4078-A194-29579769AED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1C27-4BDE-A6B4-D0C7D6BCBF03}"/>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1C27-4BDE-A6B4-D0C7D6BCBF03}"/>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1C27-4BDE-A6B4-D0C7D6BCBF0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Lit>
          </c:val>
          <c:smooth val="0"/>
          <c:extLst>
            <c:ext xmlns:c16="http://schemas.microsoft.com/office/drawing/2014/chart" uri="{C3380CC4-5D6E-409C-BE32-E72D297353CC}">
              <c16:uniqueId val="{00000000-6592-4F91-BA71-D7523EBE2E1B}"/>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6592-4F91-BA71-D7523EBE2E1B}"/>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6592-4F91-BA71-D7523EBE2E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7FD-4DC9-9CEB-8BAD0287030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7FD-4DC9-9CEB-8BAD0287030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7FD-4DC9-9CEB-8BAD028703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1589-4066-8011-8C7CA1C09EC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589-4066-8011-8C7CA1C09EC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589-4066-8011-8C7CA1C09E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FCF-4AFB-ADCC-AD3EC7C6D0AC}"/>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FCF-4AFB-ADCC-AD3EC7C6D0AC}"/>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FCF-4AFB-ADCC-AD3EC7C6D0A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BF3E-4BA0-9118-0E16A341FD8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BF3E-4BA0-9118-0E16A341FD8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BF3E-4BA0-9118-0E16A341FD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446-4248-A874-CE9D00430E0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446-4248-A874-CE9D00430E0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446-4248-A874-CE9D00430E0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2974-41AF-A9C0-D7B4A8B7998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2974-41AF-A9C0-D7B4A8B7998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2974-41AF-A9C0-D7B4A8B7998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A625-4D08-8A00-5AD3F5EF36B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A625-4D08-8A00-5AD3F5EF36B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A625-4D08-8A00-5AD3F5EF36B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0.1</c:v>
              </c:pt>
              <c:pt idx="6">
                <c:v>0.5</c:v>
              </c:pt>
              <c:pt idx="7">
                <c:v>0.95</c:v>
              </c:pt>
              <c:pt idx="8">
                <c:v>0.95</c:v>
              </c:pt>
              <c:pt idx="9">
                <c:v>0.95</c:v>
              </c:pt>
              <c:pt idx="10">
                <c:v>0.95</c:v>
              </c:pt>
              <c:pt idx="11">
                <c:v>0.95</c:v>
              </c:pt>
              <c:pt idx="12">
                <c:v>0.95</c:v>
              </c:pt>
              <c:pt idx="13">
                <c:v>0.95</c:v>
              </c:pt>
              <c:pt idx="14">
                <c:v>0.5</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99C0-4AB1-AA1B-3A0222DEC84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99C0-4AB1-AA1B-3A0222DEC84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99C0-4AB1-AA1B-3A0222DEC84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5887927312668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B33B-4DE4-9071-7AB31389C76C}"/>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B33B-4DE4-9071-7AB31389C76C}"/>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B33B-4DE4-9071-7AB31389C76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05B8-4FCC-898E-AE826739ECA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05B8-4FCC-898E-AE826739ECA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05B8-4FCC-898E-AE826739ECA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366193710039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1B5-4C34-AE17-97FBA5A0B83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1B5-4C34-AE17-97FBA5A0B83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1B5-4C34-AE17-97FBA5A0B8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136-4400-A009-290E20735ED1}"/>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136-4400-A009-290E20735ED1}"/>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136-4400-A009-290E20735ED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87E-4D70-84AE-9D03EBB7642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87E-4D70-84AE-9D03EBB7642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87E-4D70-84AE-9D03EBB764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8C6E-41FD-AB9E-D63AAD97EE5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8C6E-41FD-AB9E-D63AAD97EE5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8C6E-41FD-AB9E-D63AAD97EE5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5C5F-4736-9903-1B0FA65005F2}"/>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5C5F-4736-9903-1B0FA65005F2}"/>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5C5F-4736-9903-1B0FA65005F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Schedules!$C$56</c:f>
          <c:strCache>
            <c:ptCount val="1"/>
            <c:pt idx="0">
              <c:v>Infiltration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EE02-423C-B828-632D629FA3C7}"/>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E02-423C-B828-632D629FA3C7}"/>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E02-423C-B828-632D629FA3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6BC-450B-A66C-0CDE1D937EB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6BC-450B-A66C-0CDE1D937EB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6BC-450B-A66C-0CDE1D937E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FEFF-4088-A6F0-7DD547693743}"/>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FEFF-4088-A6F0-7DD547693743}"/>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FEFF-4088-A6F0-7DD54769374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1B9F-4576-9ED3-11C657CBE0B3}"/>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1B9F-4576-9ED3-11C657CBE0B3}"/>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1B9F-4576-9ED3-11C657CBE0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0D5-40F5-B974-4711497B34E2}"/>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0D5-40F5-B974-4711497B34E2}"/>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0D5-40F5-B974-4711497B34E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Schedules!$E$65</c:f>
              <c:strCache>
                <c:ptCount val="1"/>
                <c:pt idx="0">
                  <c:v>Weekday</c:v>
                </c:pt>
              </c:strCache>
            </c:strRef>
          </c:tx>
          <c:spPr>
            <a:ln w="28575" cap="rnd">
              <a:solidFill>
                <a:schemeClr val="accent1"/>
              </a:solidFill>
              <a:round/>
            </a:ln>
            <a:effectLst/>
          </c:spPr>
          <c:marker>
            <c:symbol val="none"/>
          </c:marker>
          <c:val>
            <c:numRef>
              <c:f>Schedules!$F$65:$AC$65</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B872-4118-876F-8E1CD508FA0F}"/>
            </c:ext>
          </c:extLst>
        </c:ser>
        <c:ser>
          <c:idx val="1"/>
          <c:order val="1"/>
          <c:tx>
            <c:strRef>
              <c:f>Schedules!$E$66</c:f>
              <c:strCache>
                <c:ptCount val="1"/>
                <c:pt idx="0">
                  <c:v>Saturday</c:v>
                </c:pt>
              </c:strCache>
            </c:strRef>
          </c:tx>
          <c:spPr>
            <a:ln w="28575" cap="rnd">
              <a:solidFill>
                <a:schemeClr val="accent2"/>
              </a:solidFill>
              <a:round/>
            </a:ln>
            <a:effectLst/>
          </c:spPr>
          <c:marker>
            <c:symbol val="none"/>
          </c:marker>
          <c:val>
            <c:numRef>
              <c:f>Schedules!$F$66:$AC$66</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B872-4118-876F-8E1CD508FA0F}"/>
            </c:ext>
          </c:extLst>
        </c:ser>
        <c:ser>
          <c:idx val="2"/>
          <c:order val="2"/>
          <c:tx>
            <c:strRef>
              <c:f>Schedules!$E$67</c:f>
              <c:strCache>
                <c:ptCount val="1"/>
                <c:pt idx="0">
                  <c:v>Sunday</c:v>
                </c:pt>
              </c:strCache>
            </c:strRef>
          </c:tx>
          <c:spPr>
            <a:ln w="28575" cap="rnd">
              <a:solidFill>
                <a:schemeClr val="accent3"/>
              </a:solidFill>
              <a:round/>
            </a:ln>
            <a:effectLst/>
          </c:spPr>
          <c:marker>
            <c:symbol val="none"/>
          </c:marker>
          <c:val>
            <c:numRef>
              <c:f>Schedules!$F$67:$AC$67</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B872-4118-876F-8E1CD508FA0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4414-4C74-9A0C-3BDA403EF7B9}"/>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4414-4C74-9A0C-3BDA403EF7B9}"/>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4414-4C74-9A0C-3BDA403EF7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"Gas Equipment"</a:t>
            </a:r>
          </a:p>
        </c:rich>
      </c:tx>
      <c:layout>
        <c:manualLayout>
          <c:xMode val="edge"/>
          <c:yMode val="edge"/>
          <c:x val="0.34534724639853209"/>
          <c:y val="4.102828686152672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4551-44E0-A136-EAD7A7EA9A52}"/>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4551-44E0-A136-EAD7A7EA9A52}"/>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4551-44E0-A136-EAD7A7EA9A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CEUS 2022</a:t>
            </a:r>
          </a:p>
        </c:rich>
      </c:tx>
      <c:layout>
        <c:manualLayout>
          <c:xMode val="edge"/>
          <c:yMode val="edge"/>
          <c:x val="0.30244144420479152"/>
          <c:y val="1.489814628404368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462C-47F2-A8F3-462BF3129E8F}"/>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462C-47F2-A8F3-462BF3129E8F}"/>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462C-47F2-A8F3-462BF3129E8F}"/>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462C-47F2-A8F3-462BF3129E8F}"/>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numCache>
            </c:numRef>
          </c:val>
          <c:extLst>
            <c:ext xmlns:c16="http://schemas.microsoft.com/office/drawing/2014/chart" uri="{C3380CC4-5D6E-409C-BE32-E72D297353CC}">
              <c16:uniqueId val="{00000000-F016-400D-BFE4-22E3EA1F5954}"/>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numCache>
            </c:numRef>
          </c:val>
          <c:extLst>
            <c:ext xmlns:c16="http://schemas.microsoft.com/office/drawing/2014/chart" uri="{C3380CC4-5D6E-409C-BE32-E72D297353CC}">
              <c16:uniqueId val="{00000001-F016-400D-BFE4-22E3EA1F5954}"/>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016-400D-BFE4-22E3EA1F5954}"/>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016-400D-BFE4-22E3EA1F595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0" Type="http://schemas.openxmlformats.org/officeDocument/2006/relationships/chart" Target="../charts/chart20.xml"/><Relationship Id="rId41" Type="http://schemas.openxmlformats.org/officeDocument/2006/relationships/chart" Target="../charts/chart4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editAs="oneCell">
    <xdr:from>
      <xdr:col>0</xdr:col>
      <xdr:colOff>742951</xdr:colOff>
      <xdr:row>31</xdr:row>
      <xdr:rowOff>133351</xdr:rowOff>
    </xdr:from>
    <xdr:to>
      <xdr:col>2</xdr:col>
      <xdr:colOff>1887372</xdr:colOff>
      <xdr:row>42</xdr:row>
      <xdr:rowOff>57151</xdr:rowOff>
    </xdr:to>
    <xdr:pic>
      <xdr:nvPicPr>
        <xdr:cNvPr id="3" name="Picture 1">
          <a:extLst>
            <a:ext uri="{FF2B5EF4-FFF2-40B4-BE49-F238E27FC236}">
              <a16:creationId xmlns:a16="http://schemas.microsoft.com/office/drawing/2014/main" id="{4809C3EC-C295-1CFB-0BD1-5A8A93451A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1" y="3790951"/>
          <a:ext cx="7798586" cy="176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78442</xdr:colOff>
      <xdr:row>7</xdr:row>
      <xdr:rowOff>11208</xdr:rowOff>
    </xdr:from>
    <xdr:to>
      <xdr:col>1</xdr:col>
      <xdr:colOff>3350559</xdr:colOff>
      <xdr:row>7</xdr:row>
      <xdr:rowOff>1216825</xdr:rowOff>
    </xdr:to>
    <xdr:pic>
      <xdr:nvPicPr>
        <xdr:cNvPr id="2" name="Picture 1">
          <a:extLst>
            <a:ext uri="{FF2B5EF4-FFF2-40B4-BE49-F238E27FC236}">
              <a16:creationId xmlns:a16="http://schemas.microsoft.com/office/drawing/2014/main" id="{0783D2F8-7136-31A9-51CC-D557C356E996}"/>
            </a:ext>
          </a:extLst>
        </xdr:cNvPr>
        <xdr:cNvPicPr>
          <a:picLocks noChangeAspect="1"/>
        </xdr:cNvPicPr>
      </xdr:nvPicPr>
      <xdr:blipFill>
        <a:blip xmlns:r="http://schemas.openxmlformats.org/officeDocument/2006/relationships" r:embed="rId1"/>
        <a:stretch>
          <a:fillRect/>
        </a:stretch>
      </xdr:blipFill>
      <xdr:spPr>
        <a:xfrm>
          <a:off x="1748118" y="1568826"/>
          <a:ext cx="3272117" cy="1205617"/>
        </a:xfrm>
        <a:prstGeom prst="rect">
          <a:avLst/>
        </a:prstGeom>
      </xdr:spPr>
    </xdr:pic>
    <xdr:clientData/>
  </xdr:twoCellAnchor>
  <xdr:twoCellAnchor editAs="oneCell">
    <xdr:from>
      <xdr:col>1</xdr:col>
      <xdr:colOff>66675</xdr:colOff>
      <xdr:row>36</xdr:row>
      <xdr:rowOff>123825</xdr:rowOff>
    </xdr:from>
    <xdr:to>
      <xdr:col>1</xdr:col>
      <xdr:colOff>3331172</xdr:colOff>
      <xdr:row>36</xdr:row>
      <xdr:rowOff>1314202</xdr:rowOff>
    </xdr:to>
    <xdr:pic>
      <xdr:nvPicPr>
        <xdr:cNvPr id="4" name="Picture 3">
          <a:extLst>
            <a:ext uri="{FF2B5EF4-FFF2-40B4-BE49-F238E27FC236}">
              <a16:creationId xmlns:a16="http://schemas.microsoft.com/office/drawing/2014/main" id="{7FC1030A-EF40-4280-969A-4157B496E263}"/>
            </a:ext>
            <a:ext uri="{147F2762-F138-4A5C-976F-8EAC2B608ADB}">
              <a16:predDERef xmlns:a16="http://schemas.microsoft.com/office/drawing/2014/main" pred="{0783D2F8-7136-31A9-51CC-D557C356E996}"/>
            </a:ext>
          </a:extLst>
        </xdr:cNvPr>
        <xdr:cNvPicPr>
          <a:picLocks noChangeAspect="1"/>
        </xdr:cNvPicPr>
      </xdr:nvPicPr>
      <xdr:blipFill>
        <a:blip xmlns:r="http://schemas.openxmlformats.org/officeDocument/2006/relationships" r:embed="rId1"/>
        <a:stretch>
          <a:fillRect/>
        </a:stretch>
      </xdr:blipFill>
      <xdr:spPr>
        <a:xfrm>
          <a:off x="2381250" y="8077200"/>
          <a:ext cx="3272117" cy="1205617"/>
        </a:xfrm>
        <a:prstGeom prst="rect">
          <a:avLst/>
        </a:prstGeom>
      </xdr:spPr>
    </xdr:pic>
    <xdr:clientData/>
  </xdr:twoCellAnchor>
  <xdr:twoCellAnchor editAs="oneCell">
    <xdr:from>
      <xdr:col>4</xdr:col>
      <xdr:colOff>38100</xdr:colOff>
      <xdr:row>36</xdr:row>
      <xdr:rowOff>276225</xdr:rowOff>
    </xdr:from>
    <xdr:to>
      <xdr:col>4</xdr:col>
      <xdr:colOff>3543300</xdr:colOff>
      <xdr:row>36</xdr:row>
      <xdr:rowOff>1371600</xdr:rowOff>
    </xdr:to>
    <xdr:pic>
      <xdr:nvPicPr>
        <xdr:cNvPr id="5" name="Picture 4">
          <a:extLst>
            <a:ext uri="{FF2B5EF4-FFF2-40B4-BE49-F238E27FC236}">
              <a16:creationId xmlns:a16="http://schemas.microsoft.com/office/drawing/2014/main" id="{EC9E11EA-2B30-AD76-2C9B-652C702C6CA6}"/>
            </a:ext>
            <a:ext uri="{147F2762-F138-4A5C-976F-8EAC2B608ADB}">
              <a16:predDERef xmlns:a16="http://schemas.microsoft.com/office/drawing/2014/main" pred="{7FC1030A-EF40-4280-969A-4157B496E263}"/>
            </a:ext>
          </a:extLst>
        </xdr:cNvPr>
        <xdr:cNvPicPr>
          <a:picLocks noChangeAspect="1"/>
        </xdr:cNvPicPr>
      </xdr:nvPicPr>
      <xdr:blipFill>
        <a:blip xmlns:r="http://schemas.openxmlformats.org/officeDocument/2006/relationships" r:embed="rId2"/>
        <a:stretch>
          <a:fillRect/>
        </a:stretch>
      </xdr:blipFill>
      <xdr:spPr>
        <a:xfrm>
          <a:off x="12668250" y="8229600"/>
          <a:ext cx="3505200" cy="1095375"/>
        </a:xfrm>
        <a:prstGeom prst="rect">
          <a:avLst/>
        </a:prstGeom>
      </xdr:spPr>
    </xdr:pic>
    <xdr:clientData/>
  </xdr:twoCellAnchor>
  <xdr:twoCellAnchor editAs="oneCell">
    <xdr:from>
      <xdr:col>3</xdr:col>
      <xdr:colOff>228600</xdr:colOff>
      <xdr:row>36</xdr:row>
      <xdr:rowOff>114300</xdr:rowOff>
    </xdr:from>
    <xdr:to>
      <xdr:col>3</xdr:col>
      <xdr:colOff>3482340</xdr:colOff>
      <xdr:row>36</xdr:row>
      <xdr:rowOff>1503045</xdr:rowOff>
    </xdr:to>
    <xdr:pic>
      <xdr:nvPicPr>
        <xdr:cNvPr id="6" name="Picture 5">
          <a:extLst>
            <a:ext uri="{FF2B5EF4-FFF2-40B4-BE49-F238E27FC236}">
              <a16:creationId xmlns:a16="http://schemas.microsoft.com/office/drawing/2014/main" id="{CDB2B5C7-C95E-791F-6D61-220919D3036B}"/>
            </a:ext>
            <a:ext uri="{147F2762-F138-4A5C-976F-8EAC2B608ADB}">
              <a16:predDERef xmlns:a16="http://schemas.microsoft.com/office/drawing/2014/main" pred="{EC9E11EA-2B30-AD76-2C9B-652C702C6CA6}"/>
            </a:ext>
          </a:extLst>
        </xdr:cNvPr>
        <xdr:cNvPicPr>
          <a:picLocks noChangeAspect="1"/>
        </xdr:cNvPicPr>
      </xdr:nvPicPr>
      <xdr:blipFill>
        <a:blip xmlns:r="http://schemas.openxmlformats.org/officeDocument/2006/relationships" r:embed="rId3"/>
        <a:stretch>
          <a:fillRect/>
        </a:stretch>
      </xdr:blipFill>
      <xdr:spPr>
        <a:xfrm>
          <a:off x="9277350" y="8067675"/>
          <a:ext cx="3248025" cy="1400175"/>
        </a:xfrm>
        <a:prstGeom prst="rect">
          <a:avLst/>
        </a:prstGeom>
      </xdr:spPr>
    </xdr:pic>
    <xdr:clientData/>
  </xdr:twoCellAnchor>
  <xdr:twoCellAnchor editAs="oneCell">
    <xdr:from>
      <xdr:col>2</xdr:col>
      <xdr:colOff>104775</xdr:colOff>
      <xdr:row>36</xdr:row>
      <xdr:rowOff>104775</xdr:rowOff>
    </xdr:from>
    <xdr:to>
      <xdr:col>2</xdr:col>
      <xdr:colOff>3390900</xdr:colOff>
      <xdr:row>36</xdr:row>
      <xdr:rowOff>1348740</xdr:rowOff>
    </xdr:to>
    <xdr:pic>
      <xdr:nvPicPr>
        <xdr:cNvPr id="7" name="Picture 6">
          <a:extLst>
            <a:ext uri="{FF2B5EF4-FFF2-40B4-BE49-F238E27FC236}">
              <a16:creationId xmlns:a16="http://schemas.microsoft.com/office/drawing/2014/main" id="{AF1D4F97-13CC-9664-E0D2-8C8A4CC883F1}"/>
            </a:ext>
            <a:ext uri="{147F2762-F138-4A5C-976F-8EAC2B608ADB}">
              <a16:predDERef xmlns:a16="http://schemas.microsoft.com/office/drawing/2014/main" pred="{CDB2B5C7-C95E-791F-6D61-220919D3036B}"/>
            </a:ext>
          </a:extLst>
        </xdr:cNvPr>
        <xdr:cNvPicPr>
          <a:picLocks noChangeAspect="1"/>
        </xdr:cNvPicPr>
      </xdr:nvPicPr>
      <xdr:blipFill>
        <a:blip xmlns:r="http://schemas.openxmlformats.org/officeDocument/2006/relationships" r:embed="rId4"/>
        <a:stretch>
          <a:fillRect/>
        </a:stretch>
      </xdr:blipFill>
      <xdr:spPr>
        <a:xfrm>
          <a:off x="5838825" y="8058150"/>
          <a:ext cx="3286125" cy="123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13</xdr:col>
      <xdr:colOff>1019175</xdr:colOff>
      <xdr:row>1</xdr:row>
      <xdr:rowOff>152400</xdr:rowOff>
    </xdr:from>
    <xdr:to>
      <xdr:col>19</xdr:col>
      <xdr:colOff>1196642</xdr:colOff>
      <xdr:row>40</xdr:row>
      <xdr:rowOff>289560</xdr:rowOff>
    </xdr:to>
    <xdr:pic>
      <xdr:nvPicPr>
        <xdr:cNvPr id="7" name="Picture 11">
          <a:extLst>
            <a:ext uri="{FF2B5EF4-FFF2-40B4-BE49-F238E27FC236}">
              <a16:creationId xmlns:a16="http://schemas.microsoft.com/office/drawing/2014/main" id="{8161CDC1-0CA7-159C-7854-FDC29F8CA14C}"/>
            </a:ext>
            <a:ext uri="{147F2762-F138-4A5C-976F-8EAC2B608ADB}">
              <a16:predDERef xmlns:a16="http://schemas.microsoft.com/office/drawing/2014/main" pred="{FF40FE3C-E6C5-09A2-37A1-9423E7B0FE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17025" y="571500"/>
          <a:ext cx="8159417" cy="93192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1728509</xdr:colOff>
      <xdr:row>1</xdr:row>
      <xdr:rowOff>183775</xdr:rowOff>
    </xdr:from>
    <xdr:to>
      <xdr:col>27</xdr:col>
      <xdr:colOff>514350</xdr:colOff>
      <xdr:row>24</xdr:row>
      <xdr:rowOff>212508</xdr:rowOff>
    </xdr:to>
    <xdr:pic>
      <xdr:nvPicPr>
        <xdr:cNvPr id="13" name="Picture 12">
          <a:extLst>
            <a:ext uri="{FF2B5EF4-FFF2-40B4-BE49-F238E27FC236}">
              <a16:creationId xmlns:a16="http://schemas.microsoft.com/office/drawing/2014/main" id="{AAAF3727-38B7-D1BF-2A7E-19CE61E1C9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608309" y="602875"/>
          <a:ext cx="6767791" cy="5553233"/>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704850</xdr:colOff>
      <xdr:row>263</xdr:row>
      <xdr:rowOff>24765</xdr:rowOff>
    </xdr:from>
    <xdr:to>
      <xdr:col>12</xdr:col>
      <xdr:colOff>994362</xdr:colOff>
      <xdr:row>290</xdr:row>
      <xdr:rowOff>92868</xdr:rowOff>
    </xdr:to>
    <xdr:pic>
      <xdr:nvPicPr>
        <xdr:cNvPr id="2" name="Picture 1">
          <a:extLst>
            <a:ext uri="{FF2B5EF4-FFF2-40B4-BE49-F238E27FC236}">
              <a16:creationId xmlns:a16="http://schemas.microsoft.com/office/drawing/2014/main" id="{8D505639-00D7-4627-83B7-0AAF0601356F}"/>
            </a:ext>
          </a:extLst>
        </xdr:cNvPr>
        <xdr:cNvPicPr>
          <a:picLocks noChangeAspect="1"/>
        </xdr:cNvPicPr>
      </xdr:nvPicPr>
      <xdr:blipFill>
        <a:blip xmlns:r="http://schemas.openxmlformats.org/officeDocument/2006/relationships" r:embed="rId1"/>
        <a:stretch>
          <a:fillRect/>
        </a:stretch>
      </xdr:blipFill>
      <xdr:spPr>
        <a:xfrm>
          <a:off x="5895975" y="92049600"/>
          <a:ext cx="13557837" cy="0"/>
        </a:xfrm>
        <a:prstGeom prst="rect">
          <a:avLst/>
        </a:prstGeom>
        <a:ln>
          <a:prstDash val="solid"/>
        </a:ln>
      </xdr:spPr>
    </xdr:pic>
    <xdr:clientData/>
  </xdr:twoCellAnchor>
  <xdr:twoCellAnchor>
    <xdr:from>
      <xdr:col>0</xdr:col>
      <xdr:colOff>60465</xdr:colOff>
      <xdr:row>262</xdr:row>
      <xdr:rowOff>89040</xdr:rowOff>
    </xdr:from>
    <xdr:to>
      <xdr:col>3</xdr:col>
      <xdr:colOff>664368</xdr:colOff>
      <xdr:row>305</xdr:row>
      <xdr:rowOff>17150</xdr:rowOff>
    </xdr:to>
    <xdr:pic>
      <xdr:nvPicPr>
        <xdr:cNvPr id="3" name="Picture 2">
          <a:extLst>
            <a:ext uri="{FF2B5EF4-FFF2-40B4-BE49-F238E27FC236}">
              <a16:creationId xmlns:a16="http://schemas.microsoft.com/office/drawing/2014/main" id="{479E601B-8B92-4F90-B36D-7E85068DD7E9}"/>
            </a:ext>
          </a:extLst>
        </xdr:cNvPr>
        <xdr:cNvPicPr>
          <a:picLocks noChangeAspect="1"/>
        </xdr:cNvPicPr>
      </xdr:nvPicPr>
      <xdr:blipFill>
        <a:blip xmlns:r="http://schemas.openxmlformats.org/officeDocument/2006/relationships" r:embed="rId2"/>
        <a:stretch>
          <a:fillRect/>
        </a:stretch>
      </xdr:blipFill>
      <xdr:spPr>
        <a:xfrm>
          <a:off x="60465" y="92049600"/>
          <a:ext cx="7299978" cy="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2" name="Chart 5">
          <a:extLst>
            <a:ext uri="{FF2B5EF4-FFF2-40B4-BE49-F238E27FC236}">
              <a16:creationId xmlns:a16="http://schemas.microsoft.com/office/drawing/2014/main" id="{BD4BD8E0-75A6-40DD-8188-71BA83AEFED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0B4114ED-4943-4B79-96A6-084A4BE382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E6571EAA-D7FB-4B5F-9E61-FB346F762C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307008</xdr:colOff>
      <xdr:row>15</xdr:row>
      <xdr:rowOff>31750</xdr:rowOff>
    </xdr:from>
    <xdr:to>
      <xdr:col>36</xdr:col>
      <xdr:colOff>11733</xdr:colOff>
      <xdr:row>17</xdr:row>
      <xdr:rowOff>448469</xdr:rowOff>
    </xdr:to>
    <xdr:graphicFrame macro="">
      <xdr:nvGraphicFramePr>
        <xdr:cNvPr id="6" name="Chart 5">
          <a:extLst>
            <a:ext uri="{FF2B5EF4-FFF2-40B4-BE49-F238E27FC236}">
              <a16:creationId xmlns:a16="http://schemas.microsoft.com/office/drawing/2014/main" id="{55C97101-4C7D-4B10-9F38-D13B2B2AB9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0C34A962-B32B-4D9A-9747-BAD86963B0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A7C7E533-92CE-4411-ABC4-38EC3EB2637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9" name="Chart 8">
          <a:extLst>
            <a:ext uri="{FF2B5EF4-FFF2-40B4-BE49-F238E27FC236}">
              <a16:creationId xmlns:a16="http://schemas.microsoft.com/office/drawing/2014/main" id="{9DCF57D9-5490-414B-92A6-C89D504659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37837</xdr:colOff>
      <xdr:row>98</xdr:row>
      <xdr:rowOff>293159</xdr:rowOff>
    </xdr:from>
    <xdr:to>
      <xdr:col>36</xdr:col>
      <xdr:colOff>158751</xdr:colOff>
      <xdr:row>102</xdr:row>
      <xdr:rowOff>158750</xdr:rowOff>
    </xdr:to>
    <xdr:graphicFrame macro="">
      <xdr:nvGraphicFramePr>
        <xdr:cNvPr id="15" name="Chart 5">
          <a:extLst>
            <a:ext uri="{FF2B5EF4-FFF2-40B4-BE49-F238E27FC236}">
              <a16:creationId xmlns:a16="http://schemas.microsoft.com/office/drawing/2014/main" id="{48798457-C199-4767-A625-8785E7F372BB}"/>
            </a:ext>
            <a:ext uri="{147F2762-F138-4A5C-976F-8EAC2B608ADB}">
              <a16:predDERef xmlns:a16="http://schemas.microsoft.com/office/drawing/2014/main" pred="{9DCF57D9-5490-414B-92A6-C89D50465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285750</xdr:colOff>
      <xdr:row>74</xdr:row>
      <xdr:rowOff>0</xdr:rowOff>
    </xdr:from>
    <xdr:to>
      <xdr:col>36</xdr:col>
      <xdr:colOff>0</xdr:colOff>
      <xdr:row>76</xdr:row>
      <xdr:rowOff>304800</xdr:rowOff>
    </xdr:to>
    <xdr:graphicFrame macro="">
      <xdr:nvGraphicFramePr>
        <xdr:cNvPr id="51" name="Chart 5">
          <a:extLst>
            <a:ext uri="{FF2B5EF4-FFF2-40B4-BE49-F238E27FC236}">
              <a16:creationId xmlns:a16="http://schemas.microsoft.com/office/drawing/2014/main" id="{FD4BD8A9-0333-4D45-AA31-348555E16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287460</xdr:colOff>
      <xdr:row>77</xdr:row>
      <xdr:rowOff>31712</xdr:rowOff>
    </xdr:from>
    <xdr:to>
      <xdr:col>35</xdr:col>
      <xdr:colOff>618930</xdr:colOff>
      <xdr:row>79</xdr:row>
      <xdr:rowOff>304800</xdr:rowOff>
    </xdr:to>
    <xdr:graphicFrame macro="">
      <xdr:nvGraphicFramePr>
        <xdr:cNvPr id="52" name="Chart 5">
          <a:extLst>
            <a:ext uri="{FF2B5EF4-FFF2-40B4-BE49-F238E27FC236}">
              <a16:creationId xmlns:a16="http://schemas.microsoft.com/office/drawing/2014/main" id="{6BC53BF2-7DE9-4ECB-BD2D-565DD9944E3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282165</xdr:colOff>
      <xdr:row>83</xdr:row>
      <xdr:rowOff>75079</xdr:rowOff>
    </xdr:from>
    <xdr:to>
      <xdr:col>35</xdr:col>
      <xdr:colOff>620471</xdr:colOff>
      <xdr:row>85</xdr:row>
      <xdr:rowOff>247650</xdr:rowOff>
    </xdr:to>
    <xdr:graphicFrame macro="">
      <xdr:nvGraphicFramePr>
        <xdr:cNvPr id="54" name="Chart 5">
          <a:extLst>
            <a:ext uri="{FF2B5EF4-FFF2-40B4-BE49-F238E27FC236}">
              <a16:creationId xmlns:a16="http://schemas.microsoft.com/office/drawing/2014/main" id="{D5580AB3-CADC-4D27-847A-CEED6D85CB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56" name="Chart 5">
          <a:extLst>
            <a:ext uri="{FF2B5EF4-FFF2-40B4-BE49-F238E27FC236}">
              <a16:creationId xmlns:a16="http://schemas.microsoft.com/office/drawing/2014/main" id="{0E9309E0-63F9-45FE-9169-13D3616D0D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282165</xdr:colOff>
      <xdr:row>80</xdr:row>
      <xdr:rowOff>75079</xdr:rowOff>
    </xdr:from>
    <xdr:to>
      <xdr:col>35</xdr:col>
      <xdr:colOff>620471</xdr:colOff>
      <xdr:row>82</xdr:row>
      <xdr:rowOff>276225</xdr:rowOff>
    </xdr:to>
    <xdr:graphicFrame macro="">
      <xdr:nvGraphicFramePr>
        <xdr:cNvPr id="57" name="Chart 5">
          <a:extLst>
            <a:ext uri="{FF2B5EF4-FFF2-40B4-BE49-F238E27FC236}">
              <a16:creationId xmlns:a16="http://schemas.microsoft.com/office/drawing/2014/main" id="{CC0BFAC6-552F-4BD9-9434-BF1B929D70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58" name="Chart 5">
          <a:extLst>
            <a:ext uri="{FF2B5EF4-FFF2-40B4-BE49-F238E27FC236}">
              <a16:creationId xmlns:a16="http://schemas.microsoft.com/office/drawing/2014/main" id="{D6CA1050-5A0F-4687-8B53-4E6CF3EBA7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282165</xdr:colOff>
      <xdr:row>86</xdr:row>
      <xdr:rowOff>75079</xdr:rowOff>
    </xdr:from>
    <xdr:to>
      <xdr:col>35</xdr:col>
      <xdr:colOff>620471</xdr:colOff>
      <xdr:row>88</xdr:row>
      <xdr:rowOff>276225</xdr:rowOff>
    </xdr:to>
    <xdr:graphicFrame macro="">
      <xdr:nvGraphicFramePr>
        <xdr:cNvPr id="59" name="Chart 5">
          <a:extLst>
            <a:ext uri="{FF2B5EF4-FFF2-40B4-BE49-F238E27FC236}">
              <a16:creationId xmlns:a16="http://schemas.microsoft.com/office/drawing/2014/main" id="{FD3263E4-D1D4-4055-97F6-509B31B200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60" name="Chart 5">
          <a:extLst>
            <a:ext uri="{FF2B5EF4-FFF2-40B4-BE49-F238E27FC236}">
              <a16:creationId xmlns:a16="http://schemas.microsoft.com/office/drawing/2014/main" id="{E4967475-5670-4525-A440-494BACE5D8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282165</xdr:colOff>
      <xdr:row>89</xdr:row>
      <xdr:rowOff>75079</xdr:rowOff>
    </xdr:from>
    <xdr:to>
      <xdr:col>35</xdr:col>
      <xdr:colOff>620471</xdr:colOff>
      <xdr:row>92</xdr:row>
      <xdr:rowOff>0</xdr:rowOff>
    </xdr:to>
    <xdr:graphicFrame macro="">
      <xdr:nvGraphicFramePr>
        <xdr:cNvPr id="61" name="Chart 5">
          <a:extLst>
            <a:ext uri="{FF2B5EF4-FFF2-40B4-BE49-F238E27FC236}">
              <a16:creationId xmlns:a16="http://schemas.microsoft.com/office/drawing/2014/main" id="{8529D48E-60FA-4086-A99C-39ABCD9BB03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62" name="Chart 5">
          <a:extLst>
            <a:ext uri="{FF2B5EF4-FFF2-40B4-BE49-F238E27FC236}">
              <a16:creationId xmlns:a16="http://schemas.microsoft.com/office/drawing/2014/main" id="{B6CF2F46-7DDD-4B86-A80A-D4CC4CE565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285750</xdr:colOff>
      <xdr:row>74</xdr:row>
      <xdr:rowOff>0</xdr:rowOff>
    </xdr:from>
    <xdr:to>
      <xdr:col>36</xdr:col>
      <xdr:colOff>0</xdr:colOff>
      <xdr:row>77</xdr:row>
      <xdr:rowOff>9525</xdr:rowOff>
    </xdr:to>
    <xdr:graphicFrame macro="">
      <xdr:nvGraphicFramePr>
        <xdr:cNvPr id="63" name="Chart 5">
          <a:extLst>
            <a:ext uri="{FF2B5EF4-FFF2-40B4-BE49-F238E27FC236}">
              <a16:creationId xmlns:a16="http://schemas.microsoft.com/office/drawing/2014/main" id="{8794EF1E-D9A6-47F2-BA1C-C5373819375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287460</xdr:colOff>
      <xdr:row>77</xdr:row>
      <xdr:rowOff>31712</xdr:rowOff>
    </xdr:from>
    <xdr:to>
      <xdr:col>35</xdr:col>
      <xdr:colOff>618930</xdr:colOff>
      <xdr:row>79</xdr:row>
      <xdr:rowOff>238125</xdr:rowOff>
    </xdr:to>
    <xdr:graphicFrame macro="">
      <xdr:nvGraphicFramePr>
        <xdr:cNvPr id="64" name="Chart 5">
          <a:extLst>
            <a:ext uri="{FF2B5EF4-FFF2-40B4-BE49-F238E27FC236}">
              <a16:creationId xmlns:a16="http://schemas.microsoft.com/office/drawing/2014/main" id="{55859D34-D68A-4895-9509-28434D1576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264163</xdr:colOff>
      <xdr:row>68</xdr:row>
      <xdr:rowOff>30732</xdr:rowOff>
    </xdr:from>
    <xdr:to>
      <xdr:col>35</xdr:col>
      <xdr:colOff>618967</xdr:colOff>
      <xdr:row>70</xdr:row>
      <xdr:rowOff>301624</xdr:rowOff>
    </xdr:to>
    <xdr:graphicFrame macro="">
      <xdr:nvGraphicFramePr>
        <xdr:cNvPr id="65" name="Chart 5">
          <a:extLst>
            <a:ext uri="{FF2B5EF4-FFF2-40B4-BE49-F238E27FC236}">
              <a16:creationId xmlns:a16="http://schemas.microsoft.com/office/drawing/2014/main" id="{E7B140FA-5746-4BFC-9DA1-5BCDD263A2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282165</xdr:colOff>
      <xdr:row>83</xdr:row>
      <xdr:rowOff>75079</xdr:rowOff>
    </xdr:from>
    <xdr:to>
      <xdr:col>35</xdr:col>
      <xdr:colOff>620471</xdr:colOff>
      <xdr:row>85</xdr:row>
      <xdr:rowOff>304800</xdr:rowOff>
    </xdr:to>
    <xdr:graphicFrame macro="">
      <xdr:nvGraphicFramePr>
        <xdr:cNvPr id="66" name="Chart 5">
          <a:extLst>
            <a:ext uri="{FF2B5EF4-FFF2-40B4-BE49-F238E27FC236}">
              <a16:creationId xmlns:a16="http://schemas.microsoft.com/office/drawing/2014/main" id="{91DAC5CC-C685-4981-9792-2CE5617ECA6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264583</xdr:colOff>
      <xdr:row>71</xdr:row>
      <xdr:rowOff>10583</xdr:rowOff>
    </xdr:from>
    <xdr:to>
      <xdr:col>35</xdr:col>
      <xdr:colOff>599863</xdr:colOff>
      <xdr:row>73</xdr:row>
      <xdr:rowOff>248708</xdr:rowOff>
    </xdr:to>
    <xdr:graphicFrame macro="">
      <xdr:nvGraphicFramePr>
        <xdr:cNvPr id="67" name="Chart 5">
          <a:extLst>
            <a:ext uri="{FF2B5EF4-FFF2-40B4-BE49-F238E27FC236}">
              <a16:creationId xmlns:a16="http://schemas.microsoft.com/office/drawing/2014/main" id="{3405B444-2B47-4137-A0F3-32F2064BE6A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68" name="Chart 5">
          <a:extLst>
            <a:ext uri="{FF2B5EF4-FFF2-40B4-BE49-F238E27FC236}">
              <a16:creationId xmlns:a16="http://schemas.microsoft.com/office/drawing/2014/main" id="{5666D157-4AC2-49A2-95EE-9AC0AEDBDD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285975</xdr:colOff>
      <xdr:row>80</xdr:row>
      <xdr:rowOff>75078</xdr:rowOff>
    </xdr:from>
    <xdr:to>
      <xdr:col>35</xdr:col>
      <xdr:colOff>622376</xdr:colOff>
      <xdr:row>82</xdr:row>
      <xdr:rowOff>257175</xdr:rowOff>
    </xdr:to>
    <xdr:graphicFrame macro="">
      <xdr:nvGraphicFramePr>
        <xdr:cNvPr id="69" name="Chart 5">
          <a:extLst>
            <a:ext uri="{FF2B5EF4-FFF2-40B4-BE49-F238E27FC236}">
              <a16:creationId xmlns:a16="http://schemas.microsoft.com/office/drawing/2014/main" id="{51D930F0-95E7-40F6-A702-377EC377B0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70" name="Chart 5">
          <a:extLst>
            <a:ext uri="{FF2B5EF4-FFF2-40B4-BE49-F238E27FC236}">
              <a16:creationId xmlns:a16="http://schemas.microsoft.com/office/drawing/2014/main" id="{21397374-C0DF-4543-9E68-8AE7C07AC3F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282165</xdr:colOff>
      <xdr:row>86</xdr:row>
      <xdr:rowOff>75079</xdr:rowOff>
    </xdr:from>
    <xdr:to>
      <xdr:col>35</xdr:col>
      <xdr:colOff>620471</xdr:colOff>
      <xdr:row>88</xdr:row>
      <xdr:rowOff>314325</xdr:rowOff>
    </xdr:to>
    <xdr:graphicFrame macro="">
      <xdr:nvGraphicFramePr>
        <xdr:cNvPr id="71" name="Chart 5">
          <a:extLst>
            <a:ext uri="{FF2B5EF4-FFF2-40B4-BE49-F238E27FC236}">
              <a16:creationId xmlns:a16="http://schemas.microsoft.com/office/drawing/2014/main" id="{75A433B1-2905-4CE1-86C0-6291DF25C6C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72" name="Chart 5">
          <a:extLst>
            <a:ext uri="{FF2B5EF4-FFF2-40B4-BE49-F238E27FC236}">
              <a16:creationId xmlns:a16="http://schemas.microsoft.com/office/drawing/2014/main" id="{75F60ED8-C2C1-40DC-82CA-DF30A0CC3D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282165</xdr:colOff>
      <xdr:row>89</xdr:row>
      <xdr:rowOff>75078</xdr:rowOff>
    </xdr:from>
    <xdr:to>
      <xdr:col>35</xdr:col>
      <xdr:colOff>620471</xdr:colOff>
      <xdr:row>91</xdr:row>
      <xdr:rowOff>266699</xdr:rowOff>
    </xdr:to>
    <xdr:graphicFrame macro="">
      <xdr:nvGraphicFramePr>
        <xdr:cNvPr id="73" name="Chart 5">
          <a:extLst>
            <a:ext uri="{FF2B5EF4-FFF2-40B4-BE49-F238E27FC236}">
              <a16:creationId xmlns:a16="http://schemas.microsoft.com/office/drawing/2014/main" id="{AE66355D-5855-4238-8686-3E4F3A0E4B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74" name="Chart 5">
          <a:extLst>
            <a:ext uri="{FF2B5EF4-FFF2-40B4-BE49-F238E27FC236}">
              <a16:creationId xmlns:a16="http://schemas.microsoft.com/office/drawing/2014/main" id="{8AB26A6C-0D7F-437E-B57C-EB647C228F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285750</xdr:colOff>
      <xdr:row>40</xdr:row>
      <xdr:rowOff>0</xdr:rowOff>
    </xdr:from>
    <xdr:to>
      <xdr:col>36</xdr:col>
      <xdr:colOff>0</xdr:colOff>
      <xdr:row>42</xdr:row>
      <xdr:rowOff>304800</xdr:rowOff>
    </xdr:to>
    <xdr:graphicFrame macro="">
      <xdr:nvGraphicFramePr>
        <xdr:cNvPr id="75" name="Chart 5">
          <a:extLst>
            <a:ext uri="{FF2B5EF4-FFF2-40B4-BE49-F238E27FC236}">
              <a16:creationId xmlns:a16="http://schemas.microsoft.com/office/drawing/2014/main" id="{4001D1E9-9239-44DB-A4F8-DC3E507ACA8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287460</xdr:colOff>
      <xdr:row>43</xdr:row>
      <xdr:rowOff>31712</xdr:rowOff>
    </xdr:from>
    <xdr:to>
      <xdr:col>35</xdr:col>
      <xdr:colOff>618930</xdr:colOff>
      <xdr:row>45</xdr:row>
      <xdr:rowOff>304800</xdr:rowOff>
    </xdr:to>
    <xdr:graphicFrame macro="">
      <xdr:nvGraphicFramePr>
        <xdr:cNvPr id="76" name="Chart 5">
          <a:extLst>
            <a:ext uri="{FF2B5EF4-FFF2-40B4-BE49-F238E27FC236}">
              <a16:creationId xmlns:a16="http://schemas.microsoft.com/office/drawing/2014/main" id="{7A295F88-AEA3-4E0F-B8BF-89EEBED7E3E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285329</xdr:colOff>
      <xdr:row>33</xdr:row>
      <xdr:rowOff>411733</xdr:rowOff>
    </xdr:from>
    <xdr:to>
      <xdr:col>36</xdr:col>
      <xdr:colOff>15716</xdr:colOff>
      <xdr:row>36</xdr:row>
      <xdr:rowOff>295275</xdr:rowOff>
    </xdr:to>
    <xdr:graphicFrame macro="">
      <xdr:nvGraphicFramePr>
        <xdr:cNvPr id="77" name="Chart 5">
          <a:extLst>
            <a:ext uri="{FF2B5EF4-FFF2-40B4-BE49-F238E27FC236}">
              <a16:creationId xmlns:a16="http://schemas.microsoft.com/office/drawing/2014/main" id="{D3D407CA-E5DD-455A-9602-E9448AFC3A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282165</xdr:colOff>
      <xdr:row>49</xdr:row>
      <xdr:rowOff>75079</xdr:rowOff>
    </xdr:from>
    <xdr:to>
      <xdr:col>35</xdr:col>
      <xdr:colOff>620471</xdr:colOff>
      <xdr:row>51</xdr:row>
      <xdr:rowOff>247650</xdr:rowOff>
    </xdr:to>
    <xdr:graphicFrame macro="">
      <xdr:nvGraphicFramePr>
        <xdr:cNvPr id="11" name="Chart 5">
          <a:extLst>
            <a:ext uri="{FF2B5EF4-FFF2-40B4-BE49-F238E27FC236}">
              <a16:creationId xmlns:a16="http://schemas.microsoft.com/office/drawing/2014/main" id="{CA4F6987-2615-4A0C-8C50-0F3C5CBDC5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285750</xdr:colOff>
      <xdr:row>37</xdr:row>
      <xdr:rowOff>0</xdr:rowOff>
    </xdr:from>
    <xdr:to>
      <xdr:col>35</xdr:col>
      <xdr:colOff>630555</xdr:colOff>
      <xdr:row>39</xdr:row>
      <xdr:rowOff>209550</xdr:rowOff>
    </xdr:to>
    <xdr:graphicFrame macro="">
      <xdr:nvGraphicFramePr>
        <xdr:cNvPr id="79" name="Chart 5">
          <a:extLst>
            <a:ext uri="{FF2B5EF4-FFF2-40B4-BE49-F238E27FC236}">
              <a16:creationId xmlns:a16="http://schemas.microsoft.com/office/drawing/2014/main" id="{69A25DCC-7898-429F-AA49-83B03479125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29</xdr:col>
      <xdr:colOff>284629</xdr:colOff>
      <xdr:row>49</xdr:row>
      <xdr:rowOff>0</xdr:rowOff>
    </xdr:from>
    <xdr:to>
      <xdr:col>36</xdr:col>
      <xdr:colOff>6275</xdr:colOff>
      <xdr:row>49</xdr:row>
      <xdr:rowOff>31376</xdr:rowOff>
    </xdr:to>
    <xdr:graphicFrame macro="">
      <xdr:nvGraphicFramePr>
        <xdr:cNvPr id="10" name="Chart 5">
          <a:extLst>
            <a:ext uri="{FF2B5EF4-FFF2-40B4-BE49-F238E27FC236}">
              <a16:creationId xmlns:a16="http://schemas.microsoft.com/office/drawing/2014/main" id="{6829BDD2-7A65-4411-8B52-1F882DBACC4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29</xdr:col>
      <xdr:colOff>282165</xdr:colOff>
      <xdr:row>46</xdr:row>
      <xdr:rowOff>75079</xdr:rowOff>
    </xdr:from>
    <xdr:to>
      <xdr:col>35</xdr:col>
      <xdr:colOff>620471</xdr:colOff>
      <xdr:row>48</xdr:row>
      <xdr:rowOff>276225</xdr:rowOff>
    </xdr:to>
    <xdr:graphicFrame macro="">
      <xdr:nvGraphicFramePr>
        <xdr:cNvPr id="14" name="Chart 5">
          <a:extLst>
            <a:ext uri="{FF2B5EF4-FFF2-40B4-BE49-F238E27FC236}">
              <a16:creationId xmlns:a16="http://schemas.microsoft.com/office/drawing/2014/main" id="{6BD97EE3-BCE2-4759-9F78-5141D3A26F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29</xdr:col>
      <xdr:colOff>284629</xdr:colOff>
      <xdr:row>46</xdr:row>
      <xdr:rowOff>0</xdr:rowOff>
    </xdr:from>
    <xdr:to>
      <xdr:col>36</xdr:col>
      <xdr:colOff>6275</xdr:colOff>
      <xdr:row>46</xdr:row>
      <xdr:rowOff>31376</xdr:rowOff>
    </xdr:to>
    <xdr:graphicFrame macro="">
      <xdr:nvGraphicFramePr>
        <xdr:cNvPr id="13" name="Chart 5">
          <a:extLst>
            <a:ext uri="{FF2B5EF4-FFF2-40B4-BE49-F238E27FC236}">
              <a16:creationId xmlns:a16="http://schemas.microsoft.com/office/drawing/2014/main" id="{139D5527-1D03-4BF9-A4D8-DB0ADB052B7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29</xdr:col>
      <xdr:colOff>282165</xdr:colOff>
      <xdr:row>52</xdr:row>
      <xdr:rowOff>75079</xdr:rowOff>
    </xdr:from>
    <xdr:to>
      <xdr:col>35</xdr:col>
      <xdr:colOff>620471</xdr:colOff>
      <xdr:row>54</xdr:row>
      <xdr:rowOff>276225</xdr:rowOff>
    </xdr:to>
    <xdr:graphicFrame macro="">
      <xdr:nvGraphicFramePr>
        <xdr:cNvPr id="83" name="Chart 5">
          <a:extLst>
            <a:ext uri="{FF2B5EF4-FFF2-40B4-BE49-F238E27FC236}">
              <a16:creationId xmlns:a16="http://schemas.microsoft.com/office/drawing/2014/main" id="{98A54E58-FC5A-4A14-ACBC-FE8DFF2D9F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29</xdr:col>
      <xdr:colOff>284629</xdr:colOff>
      <xdr:row>52</xdr:row>
      <xdr:rowOff>0</xdr:rowOff>
    </xdr:from>
    <xdr:to>
      <xdr:col>36</xdr:col>
      <xdr:colOff>6275</xdr:colOff>
      <xdr:row>52</xdr:row>
      <xdr:rowOff>31376</xdr:rowOff>
    </xdr:to>
    <xdr:graphicFrame macro="">
      <xdr:nvGraphicFramePr>
        <xdr:cNvPr id="84" name="Chart 5">
          <a:extLst>
            <a:ext uri="{FF2B5EF4-FFF2-40B4-BE49-F238E27FC236}">
              <a16:creationId xmlns:a16="http://schemas.microsoft.com/office/drawing/2014/main" id="{DD501FCF-F4B0-420D-BAE4-8EF2D2578DF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29</xdr:col>
      <xdr:colOff>275167</xdr:colOff>
      <xdr:row>55</xdr:row>
      <xdr:rowOff>75079</xdr:rowOff>
    </xdr:from>
    <xdr:to>
      <xdr:col>35</xdr:col>
      <xdr:colOff>620471</xdr:colOff>
      <xdr:row>59</xdr:row>
      <xdr:rowOff>10584</xdr:rowOff>
    </xdr:to>
    <xdr:graphicFrame macro="">
      <xdr:nvGraphicFramePr>
        <xdr:cNvPr id="85" name="Chart 5">
          <a:extLst>
            <a:ext uri="{FF2B5EF4-FFF2-40B4-BE49-F238E27FC236}">
              <a16:creationId xmlns:a16="http://schemas.microsoft.com/office/drawing/2014/main" id="{9B0FDAF8-DDC4-43D5-B6CF-2718D115F76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29</xdr:col>
      <xdr:colOff>284629</xdr:colOff>
      <xdr:row>55</xdr:row>
      <xdr:rowOff>0</xdr:rowOff>
    </xdr:from>
    <xdr:to>
      <xdr:col>36</xdr:col>
      <xdr:colOff>6275</xdr:colOff>
      <xdr:row>55</xdr:row>
      <xdr:rowOff>31376</xdr:rowOff>
    </xdr:to>
    <xdr:graphicFrame macro="">
      <xdr:nvGraphicFramePr>
        <xdr:cNvPr id="86" name="Chart 5">
          <a:extLst>
            <a:ext uri="{FF2B5EF4-FFF2-40B4-BE49-F238E27FC236}">
              <a16:creationId xmlns:a16="http://schemas.microsoft.com/office/drawing/2014/main" id="{1D6F9F08-6EC4-44F6-BEF2-70AD985837C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29</xdr:col>
      <xdr:colOff>324498</xdr:colOff>
      <xdr:row>27</xdr:row>
      <xdr:rowOff>75079</xdr:rowOff>
    </xdr:from>
    <xdr:to>
      <xdr:col>36</xdr:col>
      <xdr:colOff>38387</xdr:colOff>
      <xdr:row>29</xdr:row>
      <xdr:rowOff>247650</xdr:rowOff>
    </xdr:to>
    <xdr:graphicFrame macro="">
      <xdr:nvGraphicFramePr>
        <xdr:cNvPr id="19" name="Chart 5">
          <a:extLst>
            <a:ext uri="{FF2B5EF4-FFF2-40B4-BE49-F238E27FC236}">
              <a16:creationId xmlns:a16="http://schemas.microsoft.com/office/drawing/2014/main" id="{4B3D2273-A362-4644-BAF3-5CE54F124E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29</xdr:col>
      <xdr:colOff>324499</xdr:colOff>
      <xdr:row>24</xdr:row>
      <xdr:rowOff>75079</xdr:rowOff>
    </xdr:from>
    <xdr:to>
      <xdr:col>36</xdr:col>
      <xdr:colOff>38388</xdr:colOff>
      <xdr:row>26</xdr:row>
      <xdr:rowOff>276225</xdr:rowOff>
    </xdr:to>
    <xdr:graphicFrame macro="">
      <xdr:nvGraphicFramePr>
        <xdr:cNvPr id="20" name="Chart 5">
          <a:extLst>
            <a:ext uri="{FF2B5EF4-FFF2-40B4-BE49-F238E27FC236}">
              <a16:creationId xmlns:a16="http://schemas.microsoft.com/office/drawing/2014/main" id="{49CA9D29-CE80-401F-B1BD-AE51B45D59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29</xdr:col>
      <xdr:colOff>275167</xdr:colOff>
      <xdr:row>59</xdr:row>
      <xdr:rowOff>52917</xdr:rowOff>
    </xdr:from>
    <xdr:to>
      <xdr:col>35</xdr:col>
      <xdr:colOff>587043</xdr:colOff>
      <xdr:row>61</xdr:row>
      <xdr:rowOff>0</xdr:rowOff>
    </xdr:to>
    <xdr:graphicFrame macro="">
      <xdr:nvGraphicFramePr>
        <xdr:cNvPr id="16" name="Chart 5">
          <a:extLst>
            <a:ext uri="{FF2B5EF4-FFF2-40B4-BE49-F238E27FC236}">
              <a16:creationId xmlns:a16="http://schemas.microsoft.com/office/drawing/2014/main" id="{91E510C2-A7D3-413B-B74D-5CE10A3065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29</xdr:col>
      <xdr:colOff>278355</xdr:colOff>
      <xdr:row>64</xdr:row>
      <xdr:rowOff>75079</xdr:rowOff>
    </xdr:from>
    <xdr:to>
      <xdr:col>35</xdr:col>
      <xdr:colOff>618566</xdr:colOff>
      <xdr:row>66</xdr:row>
      <xdr:rowOff>349624</xdr:rowOff>
    </xdr:to>
    <xdr:graphicFrame macro="">
      <xdr:nvGraphicFramePr>
        <xdr:cNvPr id="5" name="Chart 5">
          <a:extLst>
            <a:ext uri="{FF2B5EF4-FFF2-40B4-BE49-F238E27FC236}">
              <a16:creationId xmlns:a16="http://schemas.microsoft.com/office/drawing/2014/main" id="{D8A56B32-D7FF-4338-BF53-9CE6AB4142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29</xdr:col>
      <xdr:colOff>273063</xdr:colOff>
      <xdr:row>95</xdr:row>
      <xdr:rowOff>56029</xdr:rowOff>
    </xdr:from>
    <xdr:to>
      <xdr:col>35</xdr:col>
      <xdr:colOff>433358</xdr:colOff>
      <xdr:row>97</xdr:row>
      <xdr:rowOff>311524</xdr:rowOff>
    </xdr:to>
    <xdr:graphicFrame macro="">
      <xdr:nvGraphicFramePr>
        <xdr:cNvPr id="18" name="Chart 5">
          <a:extLst>
            <a:ext uri="{FF2B5EF4-FFF2-40B4-BE49-F238E27FC236}">
              <a16:creationId xmlns:a16="http://schemas.microsoft.com/office/drawing/2014/main" id="{EBBA6A57-EC19-4744-A6ED-C139B735D79B}"/>
            </a:ext>
            <a:ext uri="{147F2762-F138-4A5C-976F-8EAC2B608ADB}">
              <a16:predDERef xmlns:a16="http://schemas.microsoft.com/office/drawing/2014/main" pred="{D8A56B32-D7FF-4338-BF53-9CE6AB414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29</xdr:col>
      <xdr:colOff>264582</xdr:colOff>
      <xdr:row>61</xdr:row>
      <xdr:rowOff>105833</xdr:rowOff>
    </xdr:from>
    <xdr:to>
      <xdr:col>35</xdr:col>
      <xdr:colOff>604793</xdr:colOff>
      <xdr:row>63</xdr:row>
      <xdr:rowOff>380378</xdr:rowOff>
    </xdr:to>
    <xdr:graphicFrame macro="">
      <xdr:nvGraphicFramePr>
        <xdr:cNvPr id="17" name="Chart 5">
          <a:extLst>
            <a:ext uri="{FF2B5EF4-FFF2-40B4-BE49-F238E27FC236}">
              <a16:creationId xmlns:a16="http://schemas.microsoft.com/office/drawing/2014/main" id="{8980A6C7-7FDF-401B-A56C-BDE18736DEE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3BD03696-966F-4219-B013-5B9A1B922230}"/>
            </a:ext>
            <a:ext uri="{147F2762-F138-4A5C-976F-8EAC2B608ADB}">
              <a16:predDERef xmlns:a16="http://schemas.microsoft.com/office/drawing/2014/main" pre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3" Type="http://schemas.openxmlformats.org/officeDocument/2006/relationships/hyperlink" Target="https://efiling.energy.ca.gov/GetDocument.aspx?tn=265693&amp;DocumentContentId=102545" TargetMode="External"/><Relationship Id="rId18" Type="http://schemas.openxmlformats.org/officeDocument/2006/relationships/hyperlink" Target="https://www.energy.ca.gov/publications/2025/2025-nonresidential-and-multifamily-alternative-calculation-method-reference" TargetMode="External"/><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1" Type="http://schemas.openxmlformats.org/officeDocument/2006/relationships/hyperlink" Target="https://www.govinfo.gov/content/pkg/FR-2009-03-23/pdf/FR-2009-03-23.pdf" TargetMode="External"/><Relationship Id="rId7" Type="http://schemas.openxmlformats.org/officeDocument/2006/relationships/hyperlink" Target="https://www.energy.ca.gov/publications/2023/2022-california-commercial-end-use-survey-ceus-final-report" TargetMode="External"/><Relationship Id="rId12" Type="http://schemas.openxmlformats.org/officeDocument/2006/relationships/hyperlink" Target="https://www.thefreelibrary.com/Determining+Vintage+Bins+for+Prototype+Development%3a+An+Analysis+of...-a0879271125" TargetMode="External"/><Relationship Id="rId17" Type="http://schemas.openxmlformats.org/officeDocument/2006/relationships/hyperlink" Target="https://www.energy.ca.gov/publications/2022/2022-nonresidential-and-multifamily-alternative-calculation-method-reference" TargetMode="External"/><Relationship Id="rId2" Type="http://schemas.openxmlformats.org/officeDocument/2006/relationships/hyperlink" Target="https://title24stakeholders.com/wp-content/uploads/2016/10/T24-2019-CASE-Study-Results-Report-Outdoor-Sources_Final_with-Attachments.pdf" TargetMode="External"/><Relationship Id="rId16" Type="http://schemas.openxmlformats.org/officeDocument/2006/relationships/hyperlink" Target="https://www.ashrae.org/technical-resources/standards-and-guidelines/read-only-versions-of-ashrae-standards" TargetMode="External"/><Relationship Id="rId20" Type="http://schemas.openxmlformats.org/officeDocument/2006/relationships/hyperlink" Target="https://www.govinfo.gov/content/pkg/CFR-2024-title10-vol3/pdf/CFR-2024-title10-vol3-part431-subpartF.pdf" TargetMode="External"/><Relationship Id="rId1" Type="http://schemas.openxmlformats.org/officeDocument/2006/relationships/hyperlink" Target="https://title24stakeholders.com/wp-content/uploads/2020/10/2022-T24-Final-CASE-Report_Reduce-Infiltration.pdf" TargetMode="External"/><Relationship Id="rId6" Type="http://schemas.openxmlformats.org/officeDocument/2006/relationships/hyperlink" Target="https://efiling.energy.ca.gov/GetDocument.aspx?tn=265691&amp;DocumentContentId=102542" TargetMode="External"/><Relationship Id="rId11" Type="http://schemas.openxmlformats.org/officeDocument/2006/relationships/hyperlink" Target="https://www.grainger.com/category/plumbing/water-heaters/electric-tank-water-heaters" TargetMode="External"/><Relationship Id="rId5" Type="http://schemas.openxmlformats.org/officeDocument/2006/relationships/hyperlink" Target="https://www.pnnl.gov/main/publications/external/technical_reports/PNNL-20405.pdf" TargetMode="External"/><Relationship Id="rId15" Type="http://schemas.openxmlformats.org/officeDocument/2006/relationships/hyperlink" Target="https://codes.iccsafe.org/codes/united-states/california" TargetMode="External"/><Relationship Id="rId10" Type="http://schemas.openxmlformats.org/officeDocument/2006/relationships/hyperlink" Target="https://www.grainger.com/category/plumbing/water-heaters/gas-tank-water-heaters" TargetMode="External"/><Relationship Id="rId19" Type="http://schemas.openxmlformats.org/officeDocument/2006/relationships/hyperlink" Target="https://www.energy.ca.gov/publications/2022/2022-nonresidential-and-multifamily-alternative-calculation-method-reference" TargetMode="External"/><Relationship Id="rId4" Type="http://schemas.openxmlformats.org/officeDocument/2006/relationships/hyperlink" Target="https://title24stakeholders.com/wp-content/uploads/2017/09/2019-T24-CASE-Report_Fume-Hoods_Final_September-2017.pdf?" TargetMode="External"/><Relationship Id="rId9" Type="http://schemas.openxmlformats.org/officeDocument/2006/relationships/hyperlink" Target="https://www.energystar.gov/productfinder/product/certified-commercial-water-heaters/results?fuel_filter=Gas&amp;markets_filter=United+States" TargetMode="External"/><Relationship Id="rId14" Type="http://schemas.openxmlformats.org/officeDocument/2006/relationships/hyperlink" Target="https://www.energy.ca.gov/publications/2025/2025-building-energy-efficiency-standards-residential-and-nonresidential"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5" Type="http://schemas.openxmlformats.org/officeDocument/2006/relationships/hyperlink" Target="https://title24stakeholders.com/wp-content/uploads/2020/10/2022-T24-Final-CASE-Report_Reduce-Infiltration.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60"/>
  <sheetViews>
    <sheetView zoomScaleNormal="100" workbookViewId="0">
      <selection sqref="A1:C1"/>
    </sheetView>
  </sheetViews>
  <sheetFormatPr defaultColWidth="9.33203125" defaultRowHeight="13.2" x14ac:dyDescent="0.25"/>
  <cols>
    <col min="1" max="1" width="16.109375" style="4" bestFit="1" customWidth="1"/>
    <col min="2" max="2" width="83.6640625" style="4" customWidth="1"/>
    <col min="3" max="3" width="30.88671875" style="4" customWidth="1"/>
    <col min="4" max="7" width="9.33203125" style="4"/>
    <col min="8" max="8" width="21.6640625" style="4" customWidth="1"/>
    <col min="9" max="9" width="10.6640625" style="4" customWidth="1"/>
    <col min="10" max="10" width="9.6640625" style="4" customWidth="1"/>
    <col min="11" max="11" width="9.6640625" style="4" bestFit="1" customWidth="1"/>
    <col min="12" max="16384" width="9.33203125" style="4"/>
  </cols>
  <sheetData>
    <row r="1" spans="1:7" ht="20.399999999999999" customHeight="1" x14ac:dyDescent="0.3">
      <c r="A1" s="516" t="s">
        <v>0</v>
      </c>
      <c r="B1" s="516"/>
      <c r="C1" s="516"/>
      <c r="D1"/>
      <c r="E1"/>
      <c r="F1"/>
    </row>
    <row r="2" spans="1:7" x14ac:dyDescent="0.25">
      <c r="A2" s="515" t="s">
        <v>1</v>
      </c>
      <c r="B2" s="424" t="s">
        <v>2</v>
      </c>
      <c r="C2" s="460"/>
      <c r="D2" s="451"/>
      <c r="E2" s="451"/>
      <c r="F2" s="451"/>
    </row>
    <row r="3" spans="1:7" ht="14.4" x14ac:dyDescent="0.25">
      <c r="A3" s="515"/>
      <c r="B3" s="424" t="s">
        <v>3</v>
      </c>
      <c r="C3" s="425" t="s">
        <v>4</v>
      </c>
      <c r="D3" s="4" t="s">
        <v>5</v>
      </c>
    </row>
    <row r="4" spans="1:7" ht="14.4" x14ac:dyDescent="0.25">
      <c r="A4" s="515"/>
      <c r="B4" s="424" t="s">
        <v>6</v>
      </c>
      <c r="C4" s="425" t="s">
        <v>7</v>
      </c>
      <c r="D4" s="4" t="s">
        <v>5</v>
      </c>
    </row>
    <row r="5" spans="1:7" x14ac:dyDescent="0.25">
      <c r="A5" s="515"/>
      <c r="C5" s="324"/>
      <c r="D5" s="4" t="s">
        <v>5</v>
      </c>
    </row>
    <row r="6" spans="1:7" x14ac:dyDescent="0.25">
      <c r="A6" s="515" t="s">
        <v>8</v>
      </c>
      <c r="B6" s="4" t="s">
        <v>9</v>
      </c>
      <c r="C6" s="324" t="s">
        <v>10</v>
      </c>
      <c r="D6" s="71" t="s">
        <v>5</v>
      </c>
      <c r="E6" s="71"/>
      <c r="F6" s="71"/>
    </row>
    <row r="7" spans="1:7" ht="15" customHeight="1" x14ac:dyDescent="0.3">
      <c r="A7" s="515"/>
      <c r="C7" s="324"/>
      <c r="D7" s="323" t="s">
        <v>5</v>
      </c>
      <c r="E7" s="323"/>
      <c r="F7" s="323"/>
    </row>
    <row r="8" spans="1:7" ht="15" customHeight="1" x14ac:dyDescent="0.3">
      <c r="A8" s="515"/>
      <c r="C8" s="324"/>
      <c r="D8" s="323" t="s">
        <v>5</v>
      </c>
      <c r="E8" s="323"/>
      <c r="F8" s="323"/>
    </row>
    <row r="9" spans="1:7" ht="12.75" customHeight="1" x14ac:dyDescent="0.3">
      <c r="A9" s="518" t="s">
        <v>11</v>
      </c>
      <c r="B9" s="518" t="s">
        <v>12</v>
      </c>
      <c r="C9" s="425" t="s">
        <v>13</v>
      </c>
      <c r="D9" s="323" t="s">
        <v>5</v>
      </c>
      <c r="E9" s="323"/>
      <c r="F9" s="323"/>
    </row>
    <row r="10" spans="1:7" ht="12.75" customHeight="1" x14ac:dyDescent="0.3">
      <c r="A10" s="518"/>
      <c r="B10" s="518"/>
      <c r="C10" s="425" t="s">
        <v>14</v>
      </c>
      <c r="D10" s="323" t="s">
        <v>5</v>
      </c>
      <c r="E10" s="323"/>
      <c r="F10" s="323"/>
    </row>
    <row r="11" spans="1:7" ht="12.75" customHeight="1" x14ac:dyDescent="0.3">
      <c r="A11" s="518"/>
      <c r="B11" s="424" t="s">
        <v>15</v>
      </c>
      <c r="C11" s="57" t="s">
        <v>16</v>
      </c>
      <c r="D11" s="323" t="s">
        <v>5</v>
      </c>
      <c r="E11" s="323"/>
      <c r="F11" s="323"/>
    </row>
    <row r="12" spans="1:7" ht="12.75" customHeight="1" x14ac:dyDescent="0.3">
      <c r="A12" s="518"/>
      <c r="B12" s="71" t="s">
        <v>17</v>
      </c>
      <c r="C12" s="428" t="s">
        <v>18</v>
      </c>
      <c r="D12" s="323" t="s">
        <v>5</v>
      </c>
      <c r="E12" s="323"/>
      <c r="F12" s="323"/>
    </row>
    <row r="13" spans="1:7" ht="12.75" customHeight="1" x14ac:dyDescent="0.3">
      <c r="A13" s="518"/>
      <c r="B13" s="427" t="s">
        <v>19</v>
      </c>
      <c r="C13" s="364" t="s">
        <v>20</v>
      </c>
      <c r="D13" s="323" t="s">
        <v>5</v>
      </c>
      <c r="E13" s="323"/>
      <c r="F13" s="323"/>
    </row>
    <row r="14" spans="1:7" x14ac:dyDescent="0.25">
      <c r="A14" s="518"/>
      <c r="C14" s="324"/>
      <c r="D14" s="4" t="s">
        <v>5</v>
      </c>
      <c r="G14" s="4" t="s">
        <v>5</v>
      </c>
    </row>
    <row r="15" spans="1:7" ht="14.4" x14ac:dyDescent="0.25">
      <c r="A15" s="461"/>
      <c r="B15" s="424" t="s">
        <v>21</v>
      </c>
      <c r="C15" s="425" t="s">
        <v>22</v>
      </c>
      <c r="D15" s="4" t="s">
        <v>5</v>
      </c>
    </row>
    <row r="16" spans="1:7" ht="14.4" x14ac:dyDescent="0.25">
      <c r="A16" s="461"/>
      <c r="B16" s="424" t="s">
        <v>23</v>
      </c>
      <c r="C16" s="364" t="s">
        <v>24</v>
      </c>
      <c r="D16" s="4" t="s">
        <v>5</v>
      </c>
    </row>
    <row r="17" spans="1:7" ht="14.4" x14ac:dyDescent="0.25">
      <c r="A17" s="461"/>
      <c r="B17" s="424" t="s">
        <v>25</v>
      </c>
      <c r="C17" s="425" t="s">
        <v>22</v>
      </c>
      <c r="D17" s="4" t="s">
        <v>5</v>
      </c>
    </row>
    <row r="18" spans="1:7" ht="14.4" x14ac:dyDescent="0.3">
      <c r="A18" s="519" t="s">
        <v>26</v>
      </c>
      <c r="B18" s="320" t="s">
        <v>27</v>
      </c>
      <c r="C18" s="322" t="s">
        <v>28</v>
      </c>
      <c r="D18" s="323" t="s">
        <v>5</v>
      </c>
      <c r="E18" s="323"/>
      <c r="F18" s="323"/>
      <c r="G18" s="4" t="s">
        <v>5</v>
      </c>
    </row>
    <row r="19" spans="1:7" ht="14.4" x14ac:dyDescent="0.3">
      <c r="A19" s="519"/>
      <c r="B19" s="71" t="s">
        <v>29</v>
      </c>
      <c r="C19" s="322" t="s">
        <v>30</v>
      </c>
      <c r="D19" s="323" t="s">
        <v>5</v>
      </c>
      <c r="E19" s="323"/>
      <c r="F19" s="323"/>
    </row>
    <row r="20" spans="1:7" x14ac:dyDescent="0.25">
      <c r="A20" s="519"/>
      <c r="B20" s="445" t="s">
        <v>31</v>
      </c>
      <c r="C20" s="324" t="s">
        <v>32</v>
      </c>
      <c r="D20" s="4" t="s">
        <v>5</v>
      </c>
    </row>
    <row r="21" spans="1:7" ht="14.4" x14ac:dyDescent="0.3">
      <c r="A21" s="519"/>
      <c r="B21" s="71" t="s">
        <v>33</v>
      </c>
      <c r="C21" s="324" t="s">
        <v>34</v>
      </c>
      <c r="D21" s="323" t="s">
        <v>5</v>
      </c>
      <c r="E21" s="323"/>
      <c r="F21" s="323"/>
    </row>
    <row r="22" spans="1:7" ht="14.4" x14ac:dyDescent="0.3">
      <c r="A22" s="519"/>
      <c r="B22" s="71" t="s">
        <v>35</v>
      </c>
      <c r="C22" s="324" t="s">
        <v>36</v>
      </c>
      <c r="D22" s="302" t="s">
        <v>5</v>
      </c>
      <c r="E22" s="302"/>
      <c r="F22" s="302"/>
      <c r="G22" s="4" t="s">
        <v>5</v>
      </c>
    </row>
    <row r="23" spans="1:7" ht="26.4" x14ac:dyDescent="0.3">
      <c r="A23" s="519"/>
      <c r="B23" s="320" t="s">
        <v>37</v>
      </c>
      <c r="C23" s="364" t="s">
        <v>38</v>
      </c>
      <c r="D23" s="302" t="s">
        <v>5</v>
      </c>
      <c r="E23" s="302"/>
      <c r="F23" s="302"/>
    </row>
    <row r="24" spans="1:7" ht="39.6" x14ac:dyDescent="0.3">
      <c r="A24" s="519"/>
      <c r="B24" s="320" t="s">
        <v>39</v>
      </c>
      <c r="C24" s="426" t="s">
        <v>40</v>
      </c>
      <c r="D24" s="302" t="s">
        <v>5</v>
      </c>
      <c r="E24" s="302"/>
      <c r="F24" s="302"/>
    </row>
    <row r="25" spans="1:7" ht="30" customHeight="1" x14ac:dyDescent="0.25">
      <c r="A25" s="519"/>
      <c r="B25" s="424" t="s">
        <v>41</v>
      </c>
      <c r="C25" s="425" t="s">
        <v>42</v>
      </c>
      <c r="D25" s="4" t="s">
        <v>5</v>
      </c>
    </row>
    <row r="26" spans="1:7" ht="14.4" x14ac:dyDescent="0.25">
      <c r="A26" s="519"/>
      <c r="B26" s="424" t="s">
        <v>43</v>
      </c>
      <c r="C26" s="425" t="s">
        <v>44</v>
      </c>
      <c r="D26" s="4" t="s">
        <v>5</v>
      </c>
    </row>
    <row r="27" spans="1:7" ht="14.4" x14ac:dyDescent="0.25">
      <c r="A27" s="519"/>
      <c r="B27" s="424" t="s">
        <v>45</v>
      </c>
      <c r="C27" s="425" t="s">
        <v>46</v>
      </c>
      <c r="D27" s="4" t="s">
        <v>5</v>
      </c>
    </row>
    <row r="28" spans="1:7" customFormat="1" ht="14.4" x14ac:dyDescent="0.3">
      <c r="C28" s="325"/>
      <c r="D28" s="4" t="s">
        <v>5</v>
      </c>
    </row>
    <row r="29" spans="1:7" customFormat="1" ht="14.4" x14ac:dyDescent="0.3"/>
    <row r="30" spans="1:7" customFormat="1" ht="14.4" x14ac:dyDescent="0.3"/>
    <row r="31" spans="1:7" ht="18.600000000000001" customHeight="1" x14ac:dyDescent="0.3">
      <c r="A31" s="516" t="s">
        <v>47</v>
      </c>
      <c r="B31" s="516"/>
      <c r="C31" s="516"/>
      <c r="D31"/>
      <c r="E31"/>
      <c r="F31"/>
      <c r="G31"/>
    </row>
    <row r="32" spans="1:7" x14ac:dyDescent="0.25">
      <c r="C32" s="451"/>
      <c r="D32" s="451"/>
      <c r="E32" s="451"/>
      <c r="F32" s="451"/>
    </row>
    <row r="33" spans="1:11" ht="14.4" x14ac:dyDescent="0.3">
      <c r="B33"/>
      <c r="C33" s="451"/>
      <c r="D33" s="451"/>
      <c r="E33" s="451"/>
      <c r="F33" s="451"/>
    </row>
    <row r="34" spans="1:11" x14ac:dyDescent="0.25">
      <c r="C34" s="451"/>
      <c r="D34" s="451"/>
      <c r="E34" s="451"/>
      <c r="F34" s="451"/>
    </row>
    <row r="35" spans="1:11" ht="14.4" x14ac:dyDescent="0.3">
      <c r="B35"/>
      <c r="C35" s="451"/>
      <c r="D35" s="451"/>
      <c r="E35" s="451"/>
      <c r="F35" s="451"/>
    </row>
    <row r="36" spans="1:11" x14ac:dyDescent="0.25">
      <c r="C36" s="451"/>
      <c r="D36" s="451"/>
      <c r="E36" s="451"/>
      <c r="F36" s="451"/>
    </row>
    <row r="37" spans="1:11" x14ac:dyDescent="0.25">
      <c r="C37" s="451"/>
      <c r="D37" s="451"/>
      <c r="E37" s="451"/>
      <c r="F37" s="451"/>
    </row>
    <row r="38" spans="1:11" x14ac:dyDescent="0.25">
      <c r="C38" s="451"/>
      <c r="D38" s="451"/>
      <c r="E38" s="451"/>
      <c r="F38" s="451"/>
    </row>
    <row r="39" spans="1:11" x14ac:dyDescent="0.25">
      <c r="C39" s="451"/>
      <c r="D39" s="451"/>
      <c r="E39" s="451"/>
      <c r="F39" s="451"/>
    </row>
    <row r="40" spans="1:11" x14ac:dyDescent="0.25">
      <c r="C40" s="451"/>
      <c r="D40" s="451"/>
      <c r="E40" s="451"/>
      <c r="F40" s="451"/>
    </row>
    <row r="41" spans="1:11" x14ac:dyDescent="0.25">
      <c r="C41" s="451"/>
      <c r="D41" s="451"/>
      <c r="E41" s="451"/>
      <c r="F41" s="451"/>
    </row>
    <row r="42" spans="1:11" x14ac:dyDescent="0.25">
      <c r="C42" s="451"/>
      <c r="D42" s="451"/>
      <c r="E42" s="451"/>
      <c r="F42" s="451"/>
    </row>
    <row r="43" spans="1:11" ht="20.25" customHeight="1" x14ac:dyDescent="0.25">
      <c r="A43" s="445"/>
      <c r="B43" s="71" t="s">
        <v>48</v>
      </c>
      <c r="C43" s="451"/>
      <c r="D43" s="451"/>
      <c r="E43" s="451"/>
      <c r="F43" s="451"/>
    </row>
    <row r="44" spans="1:11" ht="19.2" customHeight="1" x14ac:dyDescent="0.3">
      <c r="A44" s="516" t="s">
        <v>49</v>
      </c>
      <c r="B44" s="516"/>
      <c r="C44" s="516"/>
      <c r="D44"/>
      <c r="E44"/>
      <c r="F44"/>
    </row>
    <row r="45" spans="1:11" ht="37.950000000000003" customHeight="1" x14ac:dyDescent="0.25">
      <c r="A45" s="8" t="s">
        <v>50</v>
      </c>
      <c r="B45" s="517" t="s">
        <v>51</v>
      </c>
      <c r="C45" s="517"/>
      <c r="D45" s="517"/>
      <c r="E45" s="517"/>
      <c r="F45" s="517"/>
      <c r="H45" s="8"/>
      <c r="I45" s="459"/>
      <c r="J45" s="459"/>
      <c r="K45" s="459"/>
    </row>
    <row r="46" spans="1:11" ht="18" customHeight="1" x14ac:dyDescent="0.25">
      <c r="A46" s="520" t="s">
        <v>52</v>
      </c>
      <c r="B46" s="520"/>
      <c r="C46" s="520"/>
      <c r="D46" s="320"/>
      <c r="E46" s="320"/>
      <c r="F46" s="320"/>
      <c r="H46" s="8"/>
      <c r="I46" s="28"/>
      <c r="J46" s="28"/>
      <c r="K46" s="28"/>
    </row>
    <row r="47" spans="1:11" ht="48" customHeight="1" x14ac:dyDescent="0.25">
      <c r="A47" s="442" t="s">
        <v>53</v>
      </c>
      <c r="B47" s="522" t="s">
        <v>54</v>
      </c>
      <c r="C47" s="522"/>
      <c r="D47" s="522"/>
      <c r="E47" s="522"/>
      <c r="F47" s="522"/>
    </row>
    <row r="48" spans="1:11" ht="48" customHeight="1" x14ac:dyDescent="0.3">
      <c r="A48" s="443" t="s">
        <v>55</v>
      </c>
      <c r="B48" s="521" t="s">
        <v>56</v>
      </c>
      <c r="C48" s="521"/>
      <c r="D48" s="521"/>
      <c r="E48" s="521"/>
      <c r="F48" s="521"/>
      <c r="H48"/>
    </row>
    <row r="49" spans="1:7" ht="60" customHeight="1" x14ac:dyDescent="0.25">
      <c r="A49" s="443" t="s">
        <v>57</v>
      </c>
      <c r="B49" s="521" t="s">
        <v>58</v>
      </c>
      <c r="C49" s="521"/>
      <c r="D49" s="521"/>
      <c r="E49" s="521"/>
      <c r="F49" s="521"/>
    </row>
    <row r="50" spans="1:7" ht="48" customHeight="1" x14ac:dyDescent="0.25">
      <c r="A50" s="443" t="s">
        <v>59</v>
      </c>
      <c r="B50" s="521" t="s">
        <v>60</v>
      </c>
      <c r="C50" s="521"/>
      <c r="D50" s="521"/>
      <c r="E50" s="521"/>
      <c r="F50" s="521"/>
    </row>
    <row r="51" spans="1:7" ht="56.25" customHeight="1" x14ac:dyDescent="0.25">
      <c r="A51" s="443" t="s">
        <v>61</v>
      </c>
      <c r="B51" s="521" t="s">
        <v>62</v>
      </c>
      <c r="C51" s="521"/>
      <c r="D51" s="521"/>
      <c r="E51" s="521"/>
      <c r="F51" s="521"/>
    </row>
    <row r="52" spans="1:7" ht="60" customHeight="1" x14ac:dyDescent="0.25">
      <c r="A52" s="443" t="s">
        <v>63</v>
      </c>
      <c r="B52" s="521" t="s">
        <v>64</v>
      </c>
      <c r="C52" s="521"/>
      <c r="D52" s="521"/>
      <c r="E52" s="521"/>
      <c r="F52" s="521"/>
    </row>
    <row r="53" spans="1:7" ht="66" customHeight="1" x14ac:dyDescent="0.25">
      <c r="A53" s="443" t="s">
        <v>65</v>
      </c>
      <c r="B53" s="521" t="s">
        <v>66</v>
      </c>
      <c r="C53" s="521"/>
      <c r="D53" s="521"/>
      <c r="E53" s="521"/>
      <c r="F53" s="521"/>
    </row>
    <row r="60" spans="1:7" ht="14.4" x14ac:dyDescent="0.3">
      <c r="G60"/>
    </row>
  </sheetData>
  <mergeCells count="17">
    <mergeCell ref="A46:C46"/>
    <mergeCell ref="B52:F52"/>
    <mergeCell ref="B53:F53"/>
    <mergeCell ref="B48:F48"/>
    <mergeCell ref="B49:F49"/>
    <mergeCell ref="B50:F50"/>
    <mergeCell ref="B51:F51"/>
    <mergeCell ref="B47:F47"/>
    <mergeCell ref="A2:A5"/>
    <mergeCell ref="A6:A8"/>
    <mergeCell ref="A1:C1"/>
    <mergeCell ref="B45:F45"/>
    <mergeCell ref="A9:A14"/>
    <mergeCell ref="A18:A27"/>
    <mergeCell ref="A31:C31"/>
    <mergeCell ref="A44:C44"/>
    <mergeCell ref="B9:B10"/>
  </mergeCells>
  <phoneticPr fontId="5" type="noConversion"/>
  <hyperlinks>
    <hyperlink ref="C18" r:id="rId1" xr:uid="{E864610B-B6CB-4D7D-8E7A-ADEB74F9D08F}"/>
    <hyperlink ref="C19" r:id="rId2" xr:uid="{C7B98ED6-F285-456B-8617-9DFBA59B4488}"/>
    <hyperlink ref="C22" r:id="rId3"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20" r:id="rId4" xr:uid="{AC8A87CD-B523-4A49-AE6F-94E4A4371B42}"/>
    <hyperlink ref="C21" r:id="rId5" xr:uid="{B4DC8529-A292-4E97-9A42-146954FC4775}"/>
    <hyperlink ref="C6" r:id="rId6" xr:uid="{F1DA41F1-AEC3-40E6-9B73-A2B2C6E1457A}"/>
    <hyperlink ref="C3" r:id="rId7" xr:uid="{87B110B3-416C-48BB-8204-1E5EBFF027D0}"/>
    <hyperlink ref="C4" r:id="rId8" xr:uid="{BD4737A7-4A50-490B-AC58-B69766795EE3}"/>
    <hyperlink ref="C25" r:id="rId9" xr:uid="{13A377BA-3746-41F8-A06B-6B8E949D8022}"/>
    <hyperlink ref="C26" r:id="rId10" xr:uid="{573DC42B-AF50-497A-9A13-E126FBD19FAC}"/>
    <hyperlink ref="C27" r:id="rId11" xr:uid="{672EFD5F-E18A-47AA-9F51-C2E093EBE105}"/>
    <hyperlink ref="C23" r:id="rId12" xr:uid="{0AE58DE6-7481-4F12-8958-4DB487F30BA8}"/>
    <hyperlink ref="C24" r:id="rId13" xr:uid="{5132E826-5FE9-4895-A29C-6BDA40E202E1}"/>
    <hyperlink ref="C9" r:id="rId14" xr:uid="{2CF5F852-8353-43E8-A86D-D78096FCD0ED}"/>
    <hyperlink ref="C10" r:id="rId15" xr:uid="{457ECDB9-4F25-45B5-A48A-769EA5520936}"/>
    <hyperlink ref="C11" r:id="rId16" xr:uid="{972F5BD6-C586-4CEF-8AEF-4EAA8E14C9AF}"/>
    <hyperlink ref="C15" r:id="rId17" xr:uid="{9DC4BCA6-72DE-490A-B554-0690D316B330}"/>
    <hyperlink ref="C16" r:id="rId18" xr:uid="{C4FD3723-4A9B-482B-A35F-B7B1371760EE}"/>
    <hyperlink ref="C17" r:id="rId19" xr:uid="{347088C3-31B6-47A5-87AF-A5FEF5E64BA8}"/>
    <hyperlink ref="C13" r:id="rId20" xr:uid="{1E8524F1-A12D-4A10-8DEB-2F23C283CE37}"/>
    <hyperlink ref="C12" r:id="rId21" display="https://www.govinfo.gov/content/pkg/FR-2009-03-23/pdf/FR-2009-03-23.pdf" xr:uid="{5BE1E4BC-88C9-48C0-90AD-AB3E44BA606F}"/>
  </hyperlinks>
  <pageMargins left="0.7" right="0.7" top="0.75" bottom="0.75" header="0.3" footer="0.3"/>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45"/>
  <sheetViews>
    <sheetView tabSelected="1" zoomScale="115" zoomScaleNormal="115" workbookViewId="0">
      <selection sqref="A1:C1"/>
    </sheetView>
  </sheetViews>
  <sheetFormatPr defaultColWidth="9.33203125" defaultRowHeight="13.8" x14ac:dyDescent="0.25"/>
  <cols>
    <col min="1" max="1" width="34.6640625" style="2" customWidth="1"/>
    <col min="2" max="2" width="51.33203125" style="2" customWidth="1"/>
    <col min="3" max="3" width="56.33203125" style="2" customWidth="1"/>
    <col min="4" max="5" width="53.6640625" style="2" customWidth="1"/>
    <col min="6" max="9" width="8.6640625" style="2" customWidth="1"/>
    <col min="10" max="16384" width="9.33203125" style="2"/>
  </cols>
  <sheetData>
    <row r="1" spans="1:9" ht="17.399999999999999" x14ac:dyDescent="0.25">
      <c r="A1" s="510" t="s">
        <v>67</v>
      </c>
      <c r="B1" s="510"/>
      <c r="C1" s="510"/>
      <c r="D1" s="11"/>
      <c r="E1" s="11"/>
      <c r="F1" s="11"/>
    </row>
    <row r="2" spans="1:9" ht="25.2" customHeight="1" x14ac:dyDescent="0.25">
      <c r="A2" s="511" t="s">
        <v>68</v>
      </c>
      <c r="B2" s="511"/>
      <c r="C2" s="511"/>
      <c r="D2" s="11"/>
      <c r="E2" s="11"/>
      <c r="F2" s="11"/>
    </row>
    <row r="3" spans="1:9" ht="20.399999999999999" customHeight="1" x14ac:dyDescent="0.25">
      <c r="A3" s="121" t="s">
        <v>69</v>
      </c>
      <c r="B3" s="453" t="s">
        <v>70</v>
      </c>
      <c r="C3" s="453" t="s">
        <v>0</v>
      </c>
    </row>
    <row r="4" spans="1:9" ht="16.2" customHeight="1" x14ac:dyDescent="0.25">
      <c r="A4" s="14" t="s">
        <v>71</v>
      </c>
      <c r="B4" s="449" t="s">
        <v>72</v>
      </c>
      <c r="C4" s="14"/>
    </row>
    <row r="5" spans="1:9" ht="16.2" customHeight="1" x14ac:dyDescent="0.25">
      <c r="A5" s="14" t="s">
        <v>73</v>
      </c>
      <c r="B5" s="449" t="s">
        <v>74</v>
      </c>
      <c r="C5" s="14"/>
    </row>
    <row r="6" spans="1:9" ht="16.2" customHeight="1" x14ac:dyDescent="0.25">
      <c r="A6" s="268" t="s">
        <v>75</v>
      </c>
      <c r="B6" s="447" t="s">
        <v>76</v>
      </c>
      <c r="C6" s="14"/>
    </row>
    <row r="7" spans="1:9" ht="83.25" customHeight="1" x14ac:dyDescent="0.25">
      <c r="A7" s="14" t="s">
        <v>77</v>
      </c>
      <c r="B7" s="450" t="s">
        <v>78</v>
      </c>
      <c r="C7" s="15" t="s">
        <v>79</v>
      </c>
      <c r="D7" s="57"/>
    </row>
    <row r="8" spans="1:9" ht="97.2" customHeight="1" x14ac:dyDescent="0.3">
      <c r="A8" s="14" t="s">
        <v>80</v>
      </c>
      <c r="B8"/>
      <c r="C8" s="267" t="s">
        <v>81</v>
      </c>
      <c r="D8"/>
      <c r="I8" s="3"/>
    </row>
    <row r="9" spans="1:9" ht="25.95" customHeight="1" x14ac:dyDescent="0.25">
      <c r="A9" s="112" t="s">
        <v>82</v>
      </c>
      <c r="B9" s="12">
        <v>49979.360000000001</v>
      </c>
      <c r="C9" s="267" t="s">
        <v>83</v>
      </c>
    </row>
    <row r="10" spans="1:9" ht="19.2" customHeight="1" x14ac:dyDescent="0.25">
      <c r="A10" s="112" t="s">
        <v>84</v>
      </c>
      <c r="B10" s="56" t="s">
        <v>85</v>
      </c>
      <c r="C10" s="268" t="s">
        <v>86</v>
      </c>
    </row>
    <row r="11" spans="1:9" ht="19.2" customHeight="1" x14ac:dyDescent="0.25">
      <c r="A11" s="122" t="s">
        <v>87</v>
      </c>
      <c r="B11" s="56" t="s">
        <v>85</v>
      </c>
      <c r="C11" s="268" t="s">
        <v>86</v>
      </c>
    </row>
    <row r="12" spans="1:9" ht="19.2" customHeight="1" x14ac:dyDescent="0.25">
      <c r="A12" s="122" t="s">
        <v>88</v>
      </c>
      <c r="B12" s="449" t="s">
        <v>89</v>
      </c>
      <c r="C12" s="268" t="s">
        <v>86</v>
      </c>
    </row>
    <row r="13" spans="1:9" ht="19.2" customHeight="1" x14ac:dyDescent="0.25">
      <c r="A13" s="122" t="s">
        <v>90</v>
      </c>
      <c r="B13" s="147">
        <v>7.0800000000000002E-2</v>
      </c>
      <c r="C13" s="268" t="s">
        <v>86</v>
      </c>
    </row>
    <row r="14" spans="1:9" ht="19.2" customHeight="1" x14ac:dyDescent="0.25">
      <c r="A14" s="112" t="s">
        <v>91</v>
      </c>
      <c r="B14" s="13" t="s">
        <v>92</v>
      </c>
      <c r="C14" s="268" t="s">
        <v>86</v>
      </c>
    </row>
    <row r="15" spans="1:9" ht="39" customHeight="1" x14ac:dyDescent="0.25">
      <c r="A15" s="112" t="s">
        <v>93</v>
      </c>
      <c r="B15" s="56" t="s">
        <v>94</v>
      </c>
      <c r="C15" s="268" t="s">
        <v>86</v>
      </c>
    </row>
    <row r="16" spans="1:9" ht="38.25" customHeight="1" x14ac:dyDescent="0.25">
      <c r="A16" s="112" t="s">
        <v>95</v>
      </c>
      <c r="B16" s="450" t="s">
        <v>94</v>
      </c>
      <c r="C16" s="268" t="s">
        <v>86</v>
      </c>
    </row>
    <row r="17" spans="1:3" ht="30.6" customHeight="1" x14ac:dyDescent="0.25">
      <c r="A17" s="112" t="s">
        <v>96</v>
      </c>
      <c r="B17" s="56" t="s">
        <v>85</v>
      </c>
      <c r="C17" s="268" t="s">
        <v>86</v>
      </c>
    </row>
    <row r="18" spans="1:3" x14ac:dyDescent="0.25">
      <c r="A18" s="77"/>
      <c r="B18" s="7"/>
      <c r="C18" s="6"/>
    </row>
    <row r="19" spans="1:3" x14ac:dyDescent="0.25">
      <c r="A19" s="77"/>
      <c r="B19" s="7"/>
      <c r="C19" s="6"/>
    </row>
    <row r="21" spans="1:3" ht="18" x14ac:dyDescent="0.25">
      <c r="A21" s="123" t="s">
        <v>97</v>
      </c>
      <c r="B21" s="126">
        <v>42450.09</v>
      </c>
      <c r="C21" s="127"/>
    </row>
    <row r="22" spans="1:3" ht="18" x14ac:dyDescent="0.25">
      <c r="A22" s="123" t="s">
        <v>98</v>
      </c>
      <c r="B22" s="126">
        <v>42450.09</v>
      </c>
      <c r="C22" s="127"/>
    </row>
    <row r="23" spans="1:3" ht="22.2" customHeight="1" x14ac:dyDescent="0.25">
      <c r="A23" s="123" t="s">
        <v>99</v>
      </c>
      <c r="B23" s="126">
        <v>37687.78</v>
      </c>
      <c r="C23" s="6"/>
    </row>
    <row r="24" spans="1:3" x14ac:dyDescent="0.25">
      <c r="A24" s="123" t="s">
        <v>100</v>
      </c>
      <c r="B24" s="126">
        <v>0</v>
      </c>
      <c r="C24" s="6"/>
    </row>
    <row r="25" spans="1:3" x14ac:dyDescent="0.25">
      <c r="A25" s="77"/>
      <c r="B25" s="7"/>
      <c r="C25" s="6"/>
    </row>
    <row r="26" spans="1:3" s="5" customFormat="1" ht="13.2" x14ac:dyDescent="0.25"/>
    <row r="27" spans="1:3" s="5" customFormat="1" ht="13.2" x14ac:dyDescent="0.25"/>
    <row r="28" spans="1:3" s="5" customFormat="1" ht="13.2" x14ac:dyDescent="0.25"/>
    <row r="29" spans="1:3" s="5" customFormat="1" ht="13.2" x14ac:dyDescent="0.25"/>
    <row r="30" spans="1:3" s="5" customFormat="1" ht="13.2" x14ac:dyDescent="0.25"/>
    <row r="31" spans="1:3" x14ac:dyDescent="0.25">
      <c r="A31" s="77"/>
      <c r="B31" s="7"/>
      <c r="C31" s="6"/>
    </row>
    <row r="32" spans="1:3" x14ac:dyDescent="0.25">
      <c r="A32" s="77"/>
      <c r="B32" s="7"/>
      <c r="C32" s="6"/>
    </row>
    <row r="33" spans="1:5" x14ac:dyDescent="0.25">
      <c r="A33" s="77"/>
      <c r="B33" s="7"/>
      <c r="C33" s="6"/>
    </row>
    <row r="34" spans="1:5" x14ac:dyDescent="0.25">
      <c r="A34" s="77"/>
      <c r="B34" s="7"/>
      <c r="C34" s="6"/>
    </row>
    <row r="35" spans="1:5" ht="15.6" x14ac:dyDescent="0.25">
      <c r="A35" s="512" t="s">
        <v>101</v>
      </c>
      <c r="B35" s="513"/>
      <c r="C35" s="513"/>
      <c r="D35" s="513"/>
      <c r="E35" s="514"/>
    </row>
    <row r="36" spans="1:5" customFormat="1" ht="14.4" x14ac:dyDescent="0.3">
      <c r="A36" s="230" t="s">
        <v>102</v>
      </c>
      <c r="B36" s="231" t="s">
        <v>103</v>
      </c>
      <c r="C36" s="231" t="s">
        <v>104</v>
      </c>
      <c r="D36" s="231" t="s">
        <v>105</v>
      </c>
      <c r="E36" s="232" t="s">
        <v>106</v>
      </c>
    </row>
    <row r="37" spans="1:5" customFormat="1" ht="129" customHeight="1" x14ac:dyDescent="0.3">
      <c r="A37" s="233" t="s">
        <v>53</v>
      </c>
      <c r="B37" s="228"/>
      <c r="C37" s="228"/>
      <c r="D37" s="228"/>
      <c r="E37" s="234"/>
    </row>
    <row r="38" spans="1:5" ht="14.4" x14ac:dyDescent="0.25">
      <c r="A38" s="236" t="s">
        <v>107</v>
      </c>
      <c r="B38" s="237"/>
      <c r="C38" s="237"/>
      <c r="D38" s="237"/>
      <c r="E38" s="238"/>
    </row>
    <row r="39" spans="1:5" ht="72" x14ac:dyDescent="0.25">
      <c r="A39" s="235" t="s">
        <v>108</v>
      </c>
      <c r="B39" s="239" t="s">
        <v>109</v>
      </c>
      <c r="C39" s="239" t="s">
        <v>110</v>
      </c>
      <c r="D39" s="239" t="s">
        <v>111</v>
      </c>
      <c r="E39" s="240" t="s">
        <v>112</v>
      </c>
    </row>
    <row r="40" spans="1:5" ht="29.4" thickBot="1" x14ac:dyDescent="0.3">
      <c r="A40" s="241" t="s">
        <v>113</v>
      </c>
      <c r="B40" s="242" t="s">
        <v>114</v>
      </c>
      <c r="C40" s="242" t="s">
        <v>115</v>
      </c>
      <c r="D40" s="242" t="s">
        <v>116</v>
      </c>
      <c r="E40" s="243" t="s">
        <v>117</v>
      </c>
    </row>
    <row r="41" spans="1:5" ht="14.4" x14ac:dyDescent="0.25">
      <c r="A41" s="228"/>
      <c r="B41" s="228"/>
      <c r="C41" s="228"/>
      <c r="D41" s="228"/>
      <c r="E41" s="228"/>
    </row>
    <row r="42" spans="1:5" ht="14.4" x14ac:dyDescent="0.25">
      <c r="A42" s="228"/>
      <c r="B42" s="228"/>
      <c r="C42" s="228"/>
      <c r="D42" s="228"/>
      <c r="E42" s="228"/>
    </row>
    <row r="43" spans="1:5" ht="14.4" x14ac:dyDescent="0.25">
      <c r="A43" s="229"/>
      <c r="B43" s="229"/>
      <c r="C43" s="229"/>
      <c r="D43" s="229"/>
      <c r="E43" s="229"/>
    </row>
    <row r="44" spans="1:5" ht="78.75" customHeight="1" x14ac:dyDescent="0.25">
      <c r="A44" s="228"/>
      <c r="B44" s="228"/>
      <c r="C44" s="228"/>
      <c r="D44" s="228"/>
      <c r="E44" s="228"/>
    </row>
    <row r="45" spans="1:5" ht="55.5" customHeight="1" x14ac:dyDescent="0.25">
      <c r="A45" s="228"/>
      <c r="B45" s="228"/>
      <c r="C45" s="228"/>
      <c r="D45" s="228"/>
      <c r="E45" s="228"/>
    </row>
  </sheetData>
  <mergeCells count="3">
    <mergeCell ref="A1:C1"/>
    <mergeCell ref="A2:C2"/>
    <mergeCell ref="A35:E3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C115"/>
  <sheetViews>
    <sheetView zoomScale="70" zoomScaleNormal="70" workbookViewId="0">
      <pane xSplit="2" topLeftCell="C1" activePane="topRight" state="frozen"/>
      <selection pane="topRight" sqref="A1:M1"/>
    </sheetView>
  </sheetViews>
  <sheetFormatPr defaultColWidth="8.6640625" defaultRowHeight="13.2" x14ac:dyDescent="0.25"/>
  <cols>
    <col min="1" max="1" width="35.44140625" style="4" customWidth="1"/>
    <col min="2" max="2" width="50.33203125" style="4" customWidth="1"/>
    <col min="3" max="3" width="53.6640625" style="4" customWidth="1"/>
    <col min="4" max="4" width="18.44140625" style="4" customWidth="1"/>
    <col min="5" max="5" width="20" style="4" customWidth="1"/>
    <col min="6" max="6" width="19" style="4" customWidth="1"/>
    <col min="7" max="7" width="14.6640625" style="4" customWidth="1"/>
    <col min="8" max="8" width="12.6640625" style="4" customWidth="1"/>
    <col min="9" max="9" width="12" style="4" bestFit="1" customWidth="1"/>
    <col min="10" max="11" width="11.33203125" style="4" customWidth="1"/>
    <col min="12" max="12" width="32.5546875" style="4" customWidth="1"/>
    <col min="13" max="15" width="24.44140625" style="4" customWidth="1"/>
    <col min="16" max="16" width="7.33203125" style="4" customWidth="1"/>
    <col min="17" max="17" width="12.88671875" style="4" customWidth="1"/>
    <col min="18" max="18" width="25.33203125" style="4" customWidth="1"/>
    <col min="19" max="19" width="22.33203125" style="4" bestFit="1" customWidth="1"/>
    <col min="20" max="20" width="25.6640625" style="4" customWidth="1"/>
    <col min="21" max="22" width="8.6640625" style="4"/>
    <col min="23" max="23" width="42.6640625" style="4" customWidth="1"/>
    <col min="24" max="25" width="4.6640625" style="4" customWidth="1"/>
    <col min="26" max="26" width="12.6640625" style="4" customWidth="1"/>
    <col min="27" max="16384" width="8.6640625" style="4"/>
  </cols>
  <sheetData>
    <row r="1" spans="1:19" ht="33" customHeight="1" x14ac:dyDescent="0.25">
      <c r="A1" s="516" t="str">
        <f>"Proposed Layout - "&amp;Prototype!B4</f>
        <v>Proposed Layout - K-8 School</v>
      </c>
      <c r="B1" s="516"/>
      <c r="C1" s="516"/>
      <c r="D1" s="516"/>
      <c r="E1" s="516"/>
      <c r="F1" s="516"/>
      <c r="G1" s="516"/>
      <c r="H1" s="516"/>
      <c r="I1" s="516"/>
      <c r="J1" s="516"/>
      <c r="K1" s="516"/>
      <c r="L1" s="516"/>
      <c r="M1" s="516"/>
    </row>
    <row r="2" spans="1:19" ht="39.75" customHeight="1" x14ac:dyDescent="0.25">
      <c r="A2" s="462" t="s">
        <v>118</v>
      </c>
      <c r="B2" s="72" t="s">
        <v>119</v>
      </c>
      <c r="C2" s="402" t="s">
        <v>120</v>
      </c>
      <c r="D2" s="457" t="s">
        <v>121</v>
      </c>
      <c r="E2" s="72" t="s">
        <v>122</v>
      </c>
      <c r="F2" s="26" t="s">
        <v>123</v>
      </c>
      <c r="G2" s="27" t="s">
        <v>124</v>
      </c>
      <c r="H2" s="27" t="s">
        <v>125</v>
      </c>
      <c r="I2" s="26" t="s">
        <v>126</v>
      </c>
      <c r="J2" s="26" t="s">
        <v>127</v>
      </c>
      <c r="K2" s="97" t="s">
        <v>128</v>
      </c>
      <c r="L2" s="26" t="s">
        <v>129</v>
      </c>
      <c r="M2" s="26" t="s">
        <v>49</v>
      </c>
      <c r="O2" s="141"/>
      <c r="P2" s="141"/>
      <c r="Q2" s="141"/>
      <c r="R2" s="141"/>
    </row>
    <row r="3" spans="1:19" s="6" customFormat="1" ht="18" customHeight="1" x14ac:dyDescent="0.3">
      <c r="A3" s="403" t="s">
        <v>130</v>
      </c>
      <c r="B3" s="150" t="s">
        <v>131</v>
      </c>
      <c r="C3" s="400" t="s">
        <v>132</v>
      </c>
      <c r="D3" s="98" t="s">
        <v>133</v>
      </c>
      <c r="E3" s="152" t="s">
        <v>134</v>
      </c>
      <c r="F3" s="98" t="s">
        <v>135</v>
      </c>
      <c r="G3" s="140">
        <f>H3/$H$41</f>
        <v>1.1508748509635075E-2</v>
      </c>
      <c r="H3" s="257">
        <v>575.20000000000005</v>
      </c>
      <c r="I3" s="16">
        <f>H3*14</f>
        <v>8052.8000000000011</v>
      </c>
      <c r="J3" s="16">
        <v>1</v>
      </c>
      <c r="K3" s="259">
        <f>L3*H3/1000</f>
        <v>18.981600000000004</v>
      </c>
      <c r="L3" s="260">
        <v>33</v>
      </c>
      <c r="M3" s="260"/>
      <c r="N3" s="141"/>
      <c r="O3" s="141"/>
      <c r="P3" s="141"/>
      <c r="Q3" s="141"/>
      <c r="R3" s="141"/>
      <c r="S3" s="141"/>
    </row>
    <row r="4" spans="1:19" s="6" customFormat="1" ht="18" customHeight="1" x14ac:dyDescent="0.3">
      <c r="A4" s="403" t="s">
        <v>130</v>
      </c>
      <c r="B4" s="150" t="s">
        <v>136</v>
      </c>
      <c r="C4" s="400" t="s">
        <v>137</v>
      </c>
      <c r="D4" s="98" t="s">
        <v>138</v>
      </c>
      <c r="E4" s="152" t="s">
        <v>134</v>
      </c>
      <c r="F4" s="98" t="s">
        <v>135</v>
      </c>
      <c r="G4" s="140">
        <f t="shared" ref="G4:G40" si="0">H4/$H$41</f>
        <v>3.3508625658946876E-2</v>
      </c>
      <c r="H4" s="257">
        <v>1674.74</v>
      </c>
      <c r="I4" s="16">
        <f t="shared" ref="I4:I40" si="1">H4*14</f>
        <v>23446.36</v>
      </c>
      <c r="J4" s="16">
        <v>1</v>
      </c>
      <c r="K4" s="259">
        <f t="shared" ref="K4:K40" si="2">L4*H4/1000</f>
        <v>55.266419999999997</v>
      </c>
      <c r="L4" s="260">
        <v>33</v>
      </c>
      <c r="M4" s="260"/>
      <c r="N4" s="141"/>
      <c r="O4" s="141"/>
      <c r="P4" s="141"/>
      <c r="Q4" s="141"/>
      <c r="R4" s="141"/>
      <c r="S4" s="141"/>
    </row>
    <row r="5" spans="1:19" s="6" customFormat="1" ht="18" customHeight="1" x14ac:dyDescent="0.3">
      <c r="A5" s="403" t="s">
        <v>130</v>
      </c>
      <c r="B5" s="150" t="s">
        <v>139</v>
      </c>
      <c r="C5" s="400" t="s">
        <v>140</v>
      </c>
      <c r="D5" s="98" t="s">
        <v>141</v>
      </c>
      <c r="E5" s="152" t="s">
        <v>134</v>
      </c>
      <c r="F5" s="98" t="s">
        <v>135</v>
      </c>
      <c r="G5" s="140">
        <f t="shared" si="0"/>
        <v>2.3239988819386874E-2</v>
      </c>
      <c r="H5" s="257">
        <v>1161.52</v>
      </c>
      <c r="I5" s="16">
        <f t="shared" si="1"/>
        <v>16261.279999999999</v>
      </c>
      <c r="J5" s="16">
        <v>1</v>
      </c>
      <c r="K5" s="259">
        <f t="shared" si="2"/>
        <v>5.8076000000000008</v>
      </c>
      <c r="L5" s="260">
        <v>5</v>
      </c>
      <c r="M5" s="260"/>
      <c r="N5" s="141"/>
      <c r="O5" s="141"/>
      <c r="P5" s="141"/>
      <c r="Q5" s="141"/>
      <c r="R5" s="141"/>
      <c r="S5" s="141"/>
    </row>
    <row r="6" spans="1:19" s="6" customFormat="1" ht="18" customHeight="1" x14ac:dyDescent="0.3">
      <c r="A6" s="403" t="s">
        <v>130</v>
      </c>
      <c r="B6" s="150" t="s">
        <v>142</v>
      </c>
      <c r="C6" s="400" t="s">
        <v>143</v>
      </c>
      <c r="D6" s="98" t="s">
        <v>144</v>
      </c>
      <c r="E6" s="152" t="s">
        <v>134</v>
      </c>
      <c r="F6" s="98" t="s">
        <v>135</v>
      </c>
      <c r="G6" s="140">
        <f t="shared" si="0"/>
        <v>5.5664967365535003E-3</v>
      </c>
      <c r="H6" s="257">
        <v>278.20999999999998</v>
      </c>
      <c r="I6" s="16">
        <f t="shared" si="1"/>
        <v>3894.9399999999996</v>
      </c>
      <c r="J6" s="16">
        <v>1</v>
      </c>
      <c r="K6" s="259">
        <f t="shared" si="2"/>
        <v>1.3910499999999999</v>
      </c>
      <c r="L6" s="260">
        <v>5</v>
      </c>
      <c r="M6" s="260"/>
      <c r="N6" s="141"/>
      <c r="O6" s="141"/>
      <c r="P6" s="141"/>
      <c r="Q6" s="141"/>
      <c r="R6" s="141"/>
      <c r="S6" s="141"/>
    </row>
    <row r="7" spans="1:19" s="6" customFormat="1" ht="18" customHeight="1" x14ac:dyDescent="0.3">
      <c r="A7" s="403" t="s">
        <v>130</v>
      </c>
      <c r="B7" s="150" t="s">
        <v>145</v>
      </c>
      <c r="C7" s="400" t="s">
        <v>143</v>
      </c>
      <c r="D7" s="98" t="s">
        <v>146</v>
      </c>
      <c r="E7" s="152" t="s">
        <v>134</v>
      </c>
      <c r="F7" s="98" t="s">
        <v>135</v>
      </c>
      <c r="G7" s="140">
        <f t="shared" si="0"/>
        <v>6.8074087368448213E-3</v>
      </c>
      <c r="H7" s="257">
        <v>340.23</v>
      </c>
      <c r="I7" s="16">
        <f t="shared" si="1"/>
        <v>4763.22</v>
      </c>
      <c r="J7" s="16">
        <v>1</v>
      </c>
      <c r="K7" s="259">
        <f t="shared" si="2"/>
        <v>1.7011500000000002</v>
      </c>
      <c r="L7" s="260">
        <v>5</v>
      </c>
      <c r="M7" s="260"/>
      <c r="N7" s="141"/>
      <c r="O7" s="141"/>
      <c r="P7" s="141"/>
      <c r="Q7" s="141"/>
      <c r="R7" s="141"/>
      <c r="S7" s="141"/>
    </row>
    <row r="8" spans="1:19" s="6" customFormat="1" ht="18" customHeight="1" x14ac:dyDescent="0.3">
      <c r="A8" s="403" t="s">
        <v>130</v>
      </c>
      <c r="B8" s="150" t="s">
        <v>147</v>
      </c>
      <c r="C8" s="400" t="s">
        <v>148</v>
      </c>
      <c r="D8" s="98" t="s">
        <v>149</v>
      </c>
      <c r="E8" s="152" t="s">
        <v>150</v>
      </c>
      <c r="F8" s="98" t="s">
        <v>135</v>
      </c>
      <c r="G8" s="140">
        <f t="shared" si="0"/>
        <v>2.9157030190656658E-2</v>
      </c>
      <c r="H8" s="257">
        <v>1457.25</v>
      </c>
      <c r="I8" s="16">
        <f t="shared" si="1"/>
        <v>20401.5</v>
      </c>
      <c r="J8" s="16">
        <v>1</v>
      </c>
      <c r="K8" s="259">
        <f t="shared" si="2"/>
        <v>4.3717499999999996</v>
      </c>
      <c r="L8" s="260">
        <v>3</v>
      </c>
      <c r="M8" s="260"/>
      <c r="N8" s="141"/>
      <c r="O8" s="141"/>
      <c r="P8" s="141"/>
      <c r="Q8" s="141"/>
      <c r="R8" s="141"/>
      <c r="S8" s="141"/>
    </row>
    <row r="9" spans="1:19" s="6" customFormat="1" ht="18" customHeight="1" x14ac:dyDescent="0.3">
      <c r="A9" s="403" t="s">
        <v>130</v>
      </c>
      <c r="B9" s="150" t="s">
        <v>151</v>
      </c>
      <c r="C9" s="400" t="s">
        <v>152</v>
      </c>
      <c r="D9" s="98" t="s">
        <v>153</v>
      </c>
      <c r="E9" s="152" t="s">
        <v>134</v>
      </c>
      <c r="F9" s="98" t="s">
        <v>135</v>
      </c>
      <c r="G9" s="140">
        <f t="shared" si="0"/>
        <v>2.4839648839111012E-2</v>
      </c>
      <c r="H9" s="257">
        <v>1241.47</v>
      </c>
      <c r="I9" s="16">
        <f t="shared" si="1"/>
        <v>17380.580000000002</v>
      </c>
      <c r="J9" s="16">
        <v>1</v>
      </c>
      <c r="K9" s="259">
        <f t="shared" si="2"/>
        <v>40.968510000000002</v>
      </c>
      <c r="L9" s="260">
        <v>33</v>
      </c>
      <c r="M9" s="260"/>
      <c r="N9" s="141"/>
      <c r="O9" s="141"/>
      <c r="P9" s="141"/>
      <c r="Q9" s="141"/>
      <c r="R9" s="141"/>
      <c r="S9" s="141"/>
    </row>
    <row r="10" spans="1:19" s="6" customFormat="1" ht="18" customHeight="1" x14ac:dyDescent="0.3">
      <c r="A10" s="403" t="s">
        <v>130</v>
      </c>
      <c r="B10" s="150" t="s">
        <v>154</v>
      </c>
      <c r="C10" s="400" t="s">
        <v>137</v>
      </c>
      <c r="D10" s="98" t="s">
        <v>155</v>
      </c>
      <c r="E10" s="152" t="s">
        <v>134</v>
      </c>
      <c r="F10" s="98" t="s">
        <v>135</v>
      </c>
      <c r="G10" s="140">
        <f t="shared" si="0"/>
        <v>0.11028930536739456</v>
      </c>
      <c r="H10" s="257">
        <v>5512.19</v>
      </c>
      <c r="I10" s="258">
        <f>H10*25</f>
        <v>137804.75</v>
      </c>
      <c r="J10" s="16">
        <v>1</v>
      </c>
      <c r="K10" s="259">
        <f t="shared" si="2"/>
        <v>181.90226999999999</v>
      </c>
      <c r="L10" s="260">
        <v>33</v>
      </c>
      <c r="M10" s="260"/>
      <c r="N10" s="141"/>
      <c r="O10" s="141"/>
      <c r="P10" s="141"/>
      <c r="Q10" s="141"/>
      <c r="R10" s="141"/>
      <c r="S10" s="141"/>
    </row>
    <row r="11" spans="1:19" s="6" customFormat="1" ht="18" customHeight="1" x14ac:dyDescent="0.3">
      <c r="A11" s="403" t="s">
        <v>130</v>
      </c>
      <c r="B11" s="150" t="s">
        <v>156</v>
      </c>
      <c r="C11" s="400" t="s">
        <v>157</v>
      </c>
      <c r="D11" s="98" t="s">
        <v>158</v>
      </c>
      <c r="E11" s="152" t="s">
        <v>134</v>
      </c>
      <c r="F11" s="98" t="s">
        <v>135</v>
      </c>
      <c r="G11" s="140">
        <f t="shared" si="0"/>
        <v>2.0975654555069417E-2</v>
      </c>
      <c r="H11" s="257">
        <v>1048.3499999999999</v>
      </c>
      <c r="I11" s="16">
        <f t="shared" si="1"/>
        <v>14676.899999999998</v>
      </c>
      <c r="J11" s="16">
        <v>1</v>
      </c>
      <c r="K11" s="259">
        <f t="shared" si="2"/>
        <v>5.2417499999999997</v>
      </c>
      <c r="L11" s="260">
        <v>5</v>
      </c>
      <c r="M11" s="260"/>
      <c r="N11" s="141"/>
      <c r="O11" s="141"/>
      <c r="P11" s="141"/>
      <c r="Q11" s="141"/>
      <c r="R11" s="141"/>
      <c r="S11" s="141"/>
    </row>
    <row r="12" spans="1:19" s="6" customFormat="1" ht="18" customHeight="1" x14ac:dyDescent="0.3">
      <c r="A12" s="403" t="s">
        <v>130</v>
      </c>
      <c r="B12" s="150" t="s">
        <v>159</v>
      </c>
      <c r="C12" s="400" t="s">
        <v>160</v>
      </c>
      <c r="D12" s="98" t="s">
        <v>161</v>
      </c>
      <c r="E12" s="152" t="s">
        <v>134</v>
      </c>
      <c r="F12" s="98" t="s">
        <v>135</v>
      </c>
      <c r="G12" s="140">
        <f t="shared" si="0"/>
        <v>1.8030839524387759E-2</v>
      </c>
      <c r="H12" s="257">
        <v>901.17</v>
      </c>
      <c r="I12" s="16">
        <f t="shared" si="1"/>
        <v>12616.38</v>
      </c>
      <c r="J12" s="16">
        <v>1</v>
      </c>
      <c r="K12" s="259">
        <f t="shared" si="2"/>
        <v>4.5058499999999997</v>
      </c>
      <c r="L12" s="260">
        <v>5</v>
      </c>
      <c r="M12" s="260"/>
      <c r="N12" s="141"/>
      <c r="O12" s="141"/>
      <c r="P12" s="141"/>
      <c r="Q12" s="141"/>
      <c r="R12" s="141"/>
      <c r="S12" s="141"/>
    </row>
    <row r="13" spans="1:19" s="6" customFormat="1" ht="18" customHeight="1" x14ac:dyDescent="0.3">
      <c r="A13" s="403" t="s">
        <v>130</v>
      </c>
      <c r="B13" s="150" t="s">
        <v>162</v>
      </c>
      <c r="C13" s="400" t="s">
        <v>163</v>
      </c>
      <c r="D13" s="98" t="s">
        <v>164</v>
      </c>
      <c r="E13" s="152" t="s">
        <v>134</v>
      </c>
      <c r="F13" s="98" t="s">
        <v>135</v>
      </c>
      <c r="G13" s="140">
        <f t="shared" si="0"/>
        <v>2.4964900517953702E-2</v>
      </c>
      <c r="H13" s="257">
        <v>1247.73</v>
      </c>
      <c r="I13" s="16">
        <f t="shared" si="1"/>
        <v>17468.22</v>
      </c>
      <c r="J13" s="16">
        <v>1</v>
      </c>
      <c r="K13" s="259">
        <f t="shared" si="2"/>
        <v>6.2386499999999998</v>
      </c>
      <c r="L13" s="260">
        <v>5</v>
      </c>
      <c r="M13" s="260"/>
      <c r="N13" s="141"/>
      <c r="O13" s="141"/>
      <c r="P13" s="141"/>
      <c r="Q13" s="141"/>
      <c r="R13" s="141"/>
      <c r="S13" s="141"/>
    </row>
    <row r="14" spans="1:19" s="6" customFormat="1" ht="18" customHeight="1" x14ac:dyDescent="0.3">
      <c r="A14" s="403" t="s">
        <v>130</v>
      </c>
      <c r="B14" s="150" t="s">
        <v>165</v>
      </c>
      <c r="C14" s="400" t="s">
        <v>166</v>
      </c>
      <c r="D14" s="98" t="s">
        <v>167</v>
      </c>
      <c r="E14" s="152" t="s">
        <v>134</v>
      </c>
      <c r="F14" s="98" t="s">
        <v>135</v>
      </c>
      <c r="G14" s="140">
        <f t="shared" si="0"/>
        <v>5.0364780508437767E-3</v>
      </c>
      <c r="H14" s="257">
        <v>251.72</v>
      </c>
      <c r="I14" s="16">
        <f t="shared" si="1"/>
        <v>3524.08</v>
      </c>
      <c r="J14" s="16">
        <v>1</v>
      </c>
      <c r="K14" s="259">
        <f t="shared" si="2"/>
        <v>0</v>
      </c>
      <c r="L14" s="258">
        <v>0</v>
      </c>
      <c r="M14" s="260"/>
      <c r="N14" s="141"/>
      <c r="O14" s="141"/>
      <c r="P14" s="141"/>
      <c r="Q14" s="141"/>
      <c r="R14" s="141"/>
      <c r="S14" s="141"/>
    </row>
    <row r="15" spans="1:19" s="6" customFormat="1" ht="18" customHeight="1" x14ac:dyDescent="0.3">
      <c r="A15" s="403" t="s">
        <v>130</v>
      </c>
      <c r="B15" s="150" t="s">
        <v>168</v>
      </c>
      <c r="C15" s="400" t="s">
        <v>169</v>
      </c>
      <c r="D15" s="98" t="s">
        <v>170</v>
      </c>
      <c r="E15" s="152" t="s">
        <v>134</v>
      </c>
      <c r="F15" s="98" t="s">
        <v>135</v>
      </c>
      <c r="G15" s="140">
        <f t="shared" si="0"/>
        <v>2.1319996630609784E-2</v>
      </c>
      <c r="H15" s="257">
        <v>1065.56</v>
      </c>
      <c r="I15" s="258">
        <f>H15*25</f>
        <v>26639</v>
      </c>
      <c r="J15" s="16">
        <v>1</v>
      </c>
      <c r="K15" s="259">
        <f t="shared" si="2"/>
        <v>35.163479999999993</v>
      </c>
      <c r="L15" s="260">
        <v>33</v>
      </c>
      <c r="M15" s="260"/>
      <c r="N15" s="141"/>
      <c r="O15" s="141"/>
      <c r="P15" s="141"/>
      <c r="Q15" s="141"/>
      <c r="R15" s="141"/>
      <c r="S15" s="141"/>
    </row>
    <row r="16" spans="1:19" s="6" customFormat="1" ht="18" customHeight="1" x14ac:dyDescent="0.3">
      <c r="A16" s="403" t="s">
        <v>171</v>
      </c>
      <c r="B16" s="150" t="s">
        <v>172</v>
      </c>
      <c r="C16" s="400" t="s">
        <v>173</v>
      </c>
      <c r="D16" s="98" t="s">
        <v>174</v>
      </c>
      <c r="E16" s="152" t="s">
        <v>175</v>
      </c>
      <c r="F16" s="98" t="s">
        <v>135</v>
      </c>
      <c r="G16" s="140">
        <f t="shared" si="0"/>
        <v>2.0043269853141404E-2</v>
      </c>
      <c r="H16" s="257">
        <v>1001.75</v>
      </c>
      <c r="I16" s="16">
        <f t="shared" si="1"/>
        <v>14024.5</v>
      </c>
      <c r="J16" s="16">
        <v>1</v>
      </c>
      <c r="K16" s="259">
        <f t="shared" si="2"/>
        <v>25.043749999999999</v>
      </c>
      <c r="L16" s="260">
        <v>25</v>
      </c>
      <c r="M16" s="260"/>
      <c r="N16" s="141"/>
      <c r="O16" s="141"/>
      <c r="P16" s="141"/>
      <c r="Q16" s="141"/>
      <c r="R16" s="141"/>
      <c r="S16" s="141"/>
    </row>
    <row r="17" spans="1:26" s="6" customFormat="1" ht="17.7" customHeight="1" x14ac:dyDescent="0.3">
      <c r="A17" s="403" t="s">
        <v>171</v>
      </c>
      <c r="B17" s="150" t="s">
        <v>176</v>
      </c>
      <c r="C17" s="400" t="s">
        <v>173</v>
      </c>
      <c r="D17" s="98" t="s">
        <v>177</v>
      </c>
      <c r="E17" s="152" t="s">
        <v>175</v>
      </c>
      <c r="F17" s="98" t="s">
        <v>135</v>
      </c>
      <c r="G17" s="140">
        <f t="shared" si="0"/>
        <v>0.12113057847667945</v>
      </c>
      <c r="H17" s="257">
        <v>6054.03</v>
      </c>
      <c r="I17" s="16">
        <f t="shared" si="1"/>
        <v>84756.42</v>
      </c>
      <c r="J17" s="16">
        <v>1</v>
      </c>
      <c r="K17" s="259">
        <f t="shared" si="2"/>
        <v>151.35075000000001</v>
      </c>
      <c r="L17" s="260">
        <v>25</v>
      </c>
      <c r="M17" s="260"/>
      <c r="N17" s="141"/>
      <c r="O17" s="141"/>
      <c r="P17" s="141"/>
      <c r="Q17" s="141"/>
      <c r="R17" s="141"/>
      <c r="S17" s="141"/>
    </row>
    <row r="18" spans="1:26" s="6" customFormat="1" ht="17.7" customHeight="1" x14ac:dyDescent="0.3">
      <c r="A18" s="403" t="s">
        <v>171</v>
      </c>
      <c r="B18" s="150" t="s">
        <v>178</v>
      </c>
      <c r="C18" s="400" t="s">
        <v>157</v>
      </c>
      <c r="D18" s="98" t="s">
        <v>179</v>
      </c>
      <c r="E18" s="152" t="s">
        <v>175</v>
      </c>
      <c r="F18" s="98" t="s">
        <v>135</v>
      </c>
      <c r="G18" s="140">
        <f t="shared" si="0"/>
        <v>5.7649786301828118E-3</v>
      </c>
      <c r="H18" s="257">
        <v>288.13</v>
      </c>
      <c r="I18" s="16">
        <f t="shared" si="1"/>
        <v>4033.8199999999997</v>
      </c>
      <c r="J18" s="16">
        <v>1</v>
      </c>
      <c r="K18" s="259">
        <f t="shared" si="2"/>
        <v>1.44065</v>
      </c>
      <c r="L18" s="260">
        <v>5</v>
      </c>
      <c r="M18" s="260"/>
      <c r="N18" s="141"/>
      <c r="O18" s="141"/>
      <c r="P18" s="141"/>
      <c r="Q18" s="141"/>
      <c r="R18" s="141"/>
      <c r="S18" s="141"/>
      <c r="W18"/>
      <c r="X18"/>
      <c r="Y18"/>
      <c r="Z18"/>
    </row>
    <row r="19" spans="1:26" s="6" customFormat="1" ht="17.7" customHeight="1" x14ac:dyDescent="0.3">
      <c r="A19" s="403" t="s">
        <v>171</v>
      </c>
      <c r="B19" s="150" t="s">
        <v>180</v>
      </c>
      <c r="C19" s="400" t="s">
        <v>160</v>
      </c>
      <c r="D19" s="98" t="s">
        <v>181</v>
      </c>
      <c r="E19" s="152" t="s">
        <v>175</v>
      </c>
      <c r="F19" s="98" t="s">
        <v>135</v>
      </c>
      <c r="G19" s="140">
        <f t="shared" si="0"/>
        <v>1.0658397654872399E-2</v>
      </c>
      <c r="H19" s="257">
        <v>532.70000000000005</v>
      </c>
      <c r="I19" s="16">
        <f t="shared" si="1"/>
        <v>7457.8000000000011</v>
      </c>
      <c r="J19" s="16">
        <v>1</v>
      </c>
      <c r="K19" s="259">
        <f t="shared" si="2"/>
        <v>2.6635</v>
      </c>
      <c r="L19" s="260">
        <v>5</v>
      </c>
      <c r="M19" s="260"/>
      <c r="N19" s="141"/>
      <c r="O19" s="141"/>
      <c r="P19" s="141"/>
      <c r="Q19" s="141"/>
      <c r="R19" s="141"/>
      <c r="S19" s="141"/>
      <c r="W19"/>
      <c r="X19"/>
      <c r="Y19"/>
      <c r="Z19"/>
    </row>
    <row r="20" spans="1:26" s="6" customFormat="1" ht="17.7" customHeight="1" x14ac:dyDescent="0.3">
      <c r="A20" s="403" t="s">
        <v>171</v>
      </c>
      <c r="B20" s="150" t="s">
        <v>182</v>
      </c>
      <c r="C20" s="400" t="s">
        <v>173</v>
      </c>
      <c r="D20" s="98" t="s">
        <v>183</v>
      </c>
      <c r="E20" s="152" t="s">
        <v>175</v>
      </c>
      <c r="F20" s="98" t="s">
        <v>135</v>
      </c>
      <c r="G20" s="140">
        <f t="shared" si="0"/>
        <v>0.12113057847667945</v>
      </c>
      <c r="H20" s="257">
        <v>6054.03</v>
      </c>
      <c r="I20" s="16">
        <f t="shared" si="1"/>
        <v>84756.42</v>
      </c>
      <c r="J20" s="16">
        <v>1</v>
      </c>
      <c r="K20" s="259">
        <f t="shared" si="2"/>
        <v>151.35075000000001</v>
      </c>
      <c r="L20" s="260">
        <v>25</v>
      </c>
      <c r="M20" s="260"/>
      <c r="N20" s="141"/>
      <c r="O20" s="141"/>
      <c r="P20" s="141"/>
      <c r="Q20" s="141"/>
      <c r="R20" s="141"/>
      <c r="S20" s="141"/>
      <c r="W20"/>
      <c r="X20"/>
      <c r="Y20"/>
      <c r="Z20"/>
    </row>
    <row r="21" spans="1:26" s="6" customFormat="1" ht="17.7" customHeight="1" x14ac:dyDescent="0.3">
      <c r="A21" s="403" t="s">
        <v>171</v>
      </c>
      <c r="B21" s="150" t="s">
        <v>184</v>
      </c>
      <c r="C21" s="400" t="s">
        <v>173</v>
      </c>
      <c r="D21" s="98" t="s">
        <v>185</v>
      </c>
      <c r="E21" s="152" t="s">
        <v>175</v>
      </c>
      <c r="F21" s="98" t="s">
        <v>135</v>
      </c>
      <c r="G21" s="140">
        <f t="shared" si="0"/>
        <v>2.0043269853141404E-2</v>
      </c>
      <c r="H21" s="257">
        <v>1001.75</v>
      </c>
      <c r="I21" s="16">
        <f t="shared" si="1"/>
        <v>14024.5</v>
      </c>
      <c r="J21" s="16">
        <v>1</v>
      </c>
      <c r="K21" s="259">
        <f t="shared" si="2"/>
        <v>25.043749999999999</v>
      </c>
      <c r="L21" s="260">
        <v>25</v>
      </c>
      <c r="M21" s="260"/>
      <c r="N21" s="141"/>
      <c r="O21" s="141"/>
      <c r="P21" s="141"/>
      <c r="Q21" s="141"/>
      <c r="R21" s="141"/>
      <c r="S21" s="141"/>
      <c r="W21"/>
      <c r="X21"/>
      <c r="Y21"/>
      <c r="Z21"/>
    </row>
    <row r="22" spans="1:26" s="6" customFormat="1" ht="17.7" customHeight="1" x14ac:dyDescent="0.3">
      <c r="A22" s="403" t="s">
        <v>171</v>
      </c>
      <c r="B22" s="150" t="s">
        <v>186</v>
      </c>
      <c r="C22" s="400" t="s">
        <v>157</v>
      </c>
      <c r="D22" s="98" t="s">
        <v>187</v>
      </c>
      <c r="E22" s="152" t="s">
        <v>175</v>
      </c>
      <c r="F22" s="98" t="s">
        <v>135</v>
      </c>
      <c r="G22" s="140">
        <f t="shared" si="0"/>
        <v>5.7649786301828118E-3</v>
      </c>
      <c r="H22" s="257">
        <v>288.13</v>
      </c>
      <c r="I22" s="16">
        <f t="shared" si="1"/>
        <v>4033.8199999999997</v>
      </c>
      <c r="J22" s="16">
        <v>1</v>
      </c>
      <c r="K22" s="259">
        <f t="shared" si="2"/>
        <v>1.44065</v>
      </c>
      <c r="L22" s="260">
        <v>5</v>
      </c>
      <c r="M22" s="260"/>
      <c r="N22" s="141"/>
      <c r="O22" s="141"/>
      <c r="P22" s="141"/>
      <c r="Q22" s="141"/>
      <c r="R22" s="141"/>
      <c r="S22" s="141"/>
      <c r="W22"/>
      <c r="X22"/>
      <c r="Y22"/>
      <c r="Z22"/>
    </row>
    <row r="23" spans="1:26" s="6" customFormat="1" ht="17.7" customHeight="1" x14ac:dyDescent="0.3">
      <c r="A23" s="403" t="s">
        <v>171</v>
      </c>
      <c r="B23" s="150" t="s">
        <v>188</v>
      </c>
      <c r="C23" s="400" t="s">
        <v>160</v>
      </c>
      <c r="D23" s="98" t="s">
        <v>189</v>
      </c>
      <c r="E23" s="152" t="s">
        <v>175</v>
      </c>
      <c r="F23" s="98" t="s">
        <v>135</v>
      </c>
      <c r="G23" s="140">
        <f t="shared" si="0"/>
        <v>1.0658397654872399E-2</v>
      </c>
      <c r="H23" s="257">
        <v>532.70000000000005</v>
      </c>
      <c r="I23" s="16">
        <f t="shared" si="1"/>
        <v>7457.8000000000011</v>
      </c>
      <c r="J23" s="16">
        <v>1</v>
      </c>
      <c r="K23" s="259">
        <f t="shared" si="2"/>
        <v>2.6635</v>
      </c>
      <c r="L23" s="260">
        <v>5</v>
      </c>
      <c r="M23" s="260"/>
      <c r="N23" s="141"/>
      <c r="O23" s="141"/>
      <c r="P23" s="141"/>
      <c r="Q23" s="141"/>
      <c r="R23" s="141"/>
      <c r="S23" s="141"/>
      <c r="W23"/>
      <c r="X23"/>
      <c r="Y23"/>
      <c r="Z23"/>
    </row>
    <row r="24" spans="1:26" s="6" customFormat="1" ht="17.7" customHeight="1" x14ac:dyDescent="0.3">
      <c r="A24" s="403" t="s">
        <v>190</v>
      </c>
      <c r="B24" s="150" t="s">
        <v>191</v>
      </c>
      <c r="C24" s="400" t="s">
        <v>173</v>
      </c>
      <c r="D24" s="98" t="s">
        <v>192</v>
      </c>
      <c r="E24" s="152" t="s">
        <v>175</v>
      </c>
      <c r="F24" s="98" t="s">
        <v>135</v>
      </c>
      <c r="G24" s="140">
        <f t="shared" si="0"/>
        <v>4.1115764364376736E-2</v>
      </c>
      <c r="H24" s="257">
        <v>2054.94</v>
      </c>
      <c r="I24" s="16">
        <f t="shared" si="1"/>
        <v>28769.16</v>
      </c>
      <c r="J24" s="16">
        <v>1</v>
      </c>
      <c r="K24" s="259">
        <f t="shared" si="2"/>
        <v>51.3735</v>
      </c>
      <c r="L24" s="260">
        <v>25</v>
      </c>
      <c r="M24" s="260"/>
      <c r="N24" s="141"/>
      <c r="O24" s="141"/>
      <c r="P24" s="141"/>
      <c r="Q24" s="141"/>
      <c r="R24" s="141"/>
      <c r="S24" s="141"/>
      <c r="W24"/>
      <c r="X24"/>
      <c r="Y24"/>
      <c r="Z24"/>
    </row>
    <row r="25" spans="1:26" s="6" customFormat="1" ht="17.7" customHeight="1" x14ac:dyDescent="0.3">
      <c r="A25" s="403" t="s">
        <v>190</v>
      </c>
      <c r="B25" s="150" t="s">
        <v>193</v>
      </c>
      <c r="C25" s="400" t="s">
        <v>143</v>
      </c>
      <c r="D25" s="98" t="s">
        <v>194</v>
      </c>
      <c r="E25" s="152" t="s">
        <v>175</v>
      </c>
      <c r="F25" s="98" t="s">
        <v>135</v>
      </c>
      <c r="G25" s="140">
        <f t="shared" si="0"/>
        <v>2.4211989867019127E-3</v>
      </c>
      <c r="H25" s="257">
        <v>121.01</v>
      </c>
      <c r="I25" s="16">
        <f t="shared" si="1"/>
        <v>1694.14</v>
      </c>
      <c r="J25" s="16">
        <v>1</v>
      </c>
      <c r="K25" s="259">
        <f t="shared" si="2"/>
        <v>0.60505000000000009</v>
      </c>
      <c r="L25" s="260">
        <v>5</v>
      </c>
      <c r="M25" s="260"/>
      <c r="N25" s="141"/>
      <c r="O25" s="141"/>
      <c r="P25" s="141"/>
      <c r="Q25" s="141"/>
      <c r="R25" s="141"/>
      <c r="S25" s="141"/>
      <c r="W25"/>
      <c r="X25"/>
      <c r="Y25"/>
      <c r="Z25"/>
    </row>
    <row r="26" spans="1:26" s="6" customFormat="1" ht="17.7" customHeight="1" x14ac:dyDescent="0.3">
      <c r="A26" s="403" t="s">
        <v>190</v>
      </c>
      <c r="B26" s="150" t="s">
        <v>195</v>
      </c>
      <c r="C26" s="400" t="s">
        <v>143</v>
      </c>
      <c r="D26" s="98" t="s">
        <v>196</v>
      </c>
      <c r="E26" s="152" t="s">
        <v>175</v>
      </c>
      <c r="F26" s="98" t="s">
        <v>135</v>
      </c>
      <c r="G26" s="140">
        <f t="shared" si="0"/>
        <v>1.9610091123597592E-3</v>
      </c>
      <c r="H26" s="257">
        <v>98.01</v>
      </c>
      <c r="I26" s="16">
        <f t="shared" si="1"/>
        <v>1372.14</v>
      </c>
      <c r="J26" s="16">
        <v>1</v>
      </c>
      <c r="K26" s="259">
        <f t="shared" si="2"/>
        <v>0.49004999999999999</v>
      </c>
      <c r="L26" s="260">
        <v>5</v>
      </c>
      <c r="M26" s="260"/>
      <c r="N26" s="141"/>
      <c r="O26" s="141"/>
      <c r="P26" s="141"/>
      <c r="Q26" s="141"/>
      <c r="R26" s="141"/>
      <c r="S26" s="141"/>
      <c r="W26"/>
      <c r="X26"/>
      <c r="Y26"/>
      <c r="Z26"/>
    </row>
    <row r="27" spans="1:26" s="6" customFormat="1" ht="17.7" customHeight="1" x14ac:dyDescent="0.3">
      <c r="A27" s="403" t="s">
        <v>190</v>
      </c>
      <c r="B27" s="150" t="s">
        <v>197</v>
      </c>
      <c r="C27" s="400" t="s">
        <v>198</v>
      </c>
      <c r="D27" s="98" t="s">
        <v>199</v>
      </c>
      <c r="E27" s="152" t="s">
        <v>175</v>
      </c>
      <c r="F27" s="98" t="s">
        <v>135</v>
      </c>
      <c r="G27" s="140">
        <f t="shared" si="0"/>
        <v>2.3952482794400966E-2</v>
      </c>
      <c r="H27" s="257">
        <v>1197.1300000000001</v>
      </c>
      <c r="I27" s="16">
        <f t="shared" si="1"/>
        <v>16759.82</v>
      </c>
      <c r="J27" s="16">
        <v>1</v>
      </c>
      <c r="K27" s="259">
        <f t="shared" si="2"/>
        <v>11.971300000000001</v>
      </c>
      <c r="L27" s="260">
        <v>10</v>
      </c>
      <c r="M27" s="260"/>
      <c r="N27" s="141"/>
      <c r="O27" s="141"/>
      <c r="P27" s="141"/>
      <c r="Q27" s="141"/>
      <c r="R27" s="141"/>
      <c r="S27" s="141"/>
      <c r="W27"/>
      <c r="X27"/>
      <c r="Y27"/>
      <c r="Z27"/>
    </row>
    <row r="28" spans="1:26" s="6" customFormat="1" ht="17.7" customHeight="1" x14ac:dyDescent="0.3">
      <c r="A28" s="403" t="s">
        <v>190</v>
      </c>
      <c r="B28" s="150" t="s">
        <v>200</v>
      </c>
      <c r="C28" s="400" t="s">
        <v>160</v>
      </c>
      <c r="D28" s="98" t="s">
        <v>201</v>
      </c>
      <c r="E28" s="152" t="s">
        <v>175</v>
      </c>
      <c r="F28" s="98" t="s">
        <v>135</v>
      </c>
      <c r="G28" s="140">
        <f t="shared" si="0"/>
        <v>1.1265648206449978E-2</v>
      </c>
      <c r="H28" s="257">
        <v>563.04999999999995</v>
      </c>
      <c r="I28" s="16">
        <f t="shared" si="1"/>
        <v>7882.6999999999989</v>
      </c>
      <c r="J28" s="16">
        <v>1</v>
      </c>
      <c r="K28" s="259">
        <f t="shared" si="2"/>
        <v>2.8152499999999998</v>
      </c>
      <c r="L28" s="260">
        <v>5</v>
      </c>
      <c r="M28" s="260"/>
      <c r="N28" s="141"/>
      <c r="O28" s="141"/>
      <c r="P28" s="141"/>
      <c r="Q28" s="141"/>
      <c r="R28" s="141"/>
      <c r="S28" s="141"/>
      <c r="W28"/>
      <c r="X28"/>
      <c r="Y28"/>
      <c r="Z28"/>
    </row>
    <row r="29" spans="1:26" s="6" customFormat="1" ht="17.7" customHeight="1" x14ac:dyDescent="0.3">
      <c r="A29" s="403" t="s">
        <v>190</v>
      </c>
      <c r="B29" s="150" t="s">
        <v>202</v>
      </c>
      <c r="C29" s="400" t="s">
        <v>163</v>
      </c>
      <c r="D29" s="98" t="s">
        <v>203</v>
      </c>
      <c r="E29" s="152" t="s">
        <v>175</v>
      </c>
      <c r="F29" s="98" t="s">
        <v>135</v>
      </c>
      <c r="G29" s="140">
        <f t="shared" si="0"/>
        <v>7.6199439888898143E-3</v>
      </c>
      <c r="H29" s="257">
        <v>380.84</v>
      </c>
      <c r="I29" s="16">
        <f t="shared" si="1"/>
        <v>5331.7599999999993</v>
      </c>
      <c r="J29" s="16">
        <v>1</v>
      </c>
      <c r="K29" s="259">
        <f t="shared" si="2"/>
        <v>1.9041999999999999</v>
      </c>
      <c r="L29" s="260">
        <v>5</v>
      </c>
      <c r="M29" s="260"/>
      <c r="N29" s="141"/>
      <c r="O29" s="141"/>
      <c r="P29" s="141"/>
      <c r="Q29" s="141"/>
      <c r="R29" s="141"/>
      <c r="S29" s="141"/>
      <c r="W29"/>
      <c r="X29"/>
      <c r="Y29"/>
      <c r="Z29"/>
    </row>
    <row r="30" spans="1:26" s="6" customFormat="1" ht="17.7" customHeight="1" x14ac:dyDescent="0.3">
      <c r="A30" s="403" t="s">
        <v>190</v>
      </c>
      <c r="B30" s="150" t="s">
        <v>204</v>
      </c>
      <c r="C30" s="400" t="s">
        <v>173</v>
      </c>
      <c r="D30" s="98" t="s">
        <v>205</v>
      </c>
      <c r="E30" s="152" t="s">
        <v>175</v>
      </c>
      <c r="F30" s="98" t="s">
        <v>135</v>
      </c>
      <c r="G30" s="140">
        <f t="shared" si="0"/>
        <v>6.5068047076223642E-2</v>
      </c>
      <c r="H30" s="257">
        <v>3252.06</v>
      </c>
      <c r="I30" s="16">
        <f t="shared" si="1"/>
        <v>45528.84</v>
      </c>
      <c r="J30" s="16">
        <v>1</v>
      </c>
      <c r="K30" s="259">
        <f t="shared" si="2"/>
        <v>81.301500000000004</v>
      </c>
      <c r="L30" s="260">
        <v>25</v>
      </c>
      <c r="M30" s="260"/>
      <c r="N30" s="141"/>
      <c r="O30" s="141"/>
      <c r="P30" s="141"/>
      <c r="Q30" s="141"/>
      <c r="R30" s="141"/>
      <c r="S30" s="141"/>
      <c r="W30"/>
      <c r="X30"/>
      <c r="Y30"/>
      <c r="Z30"/>
    </row>
    <row r="31" spans="1:26" s="6" customFormat="1" ht="17.7" customHeight="1" x14ac:dyDescent="0.3">
      <c r="A31" s="403" t="s">
        <v>190</v>
      </c>
      <c r="B31" s="150" t="s">
        <v>206</v>
      </c>
      <c r="C31" s="400" t="s">
        <v>173</v>
      </c>
      <c r="D31" s="98" t="s">
        <v>207</v>
      </c>
      <c r="E31" s="152" t="s">
        <v>175</v>
      </c>
      <c r="F31" s="98" t="s">
        <v>135</v>
      </c>
      <c r="G31" s="140">
        <f t="shared" si="0"/>
        <v>7.6199439888898143E-3</v>
      </c>
      <c r="H31" s="257">
        <v>380.84</v>
      </c>
      <c r="I31" s="16">
        <f t="shared" si="1"/>
        <v>5331.7599999999993</v>
      </c>
      <c r="J31" s="16">
        <v>1</v>
      </c>
      <c r="K31" s="259">
        <f t="shared" si="2"/>
        <v>9.5210000000000008</v>
      </c>
      <c r="L31" s="260">
        <v>25</v>
      </c>
      <c r="M31" s="260"/>
      <c r="N31" s="141"/>
      <c r="O31" s="141"/>
      <c r="P31" s="141"/>
      <c r="Q31" s="141"/>
      <c r="R31" s="141"/>
      <c r="S31" s="141"/>
    </row>
    <row r="32" spans="1:26" s="6" customFormat="1" ht="17.7" customHeight="1" x14ac:dyDescent="0.3">
      <c r="A32" s="403" t="s">
        <v>190</v>
      </c>
      <c r="B32" s="150" t="s">
        <v>208</v>
      </c>
      <c r="C32" s="400" t="s">
        <v>143</v>
      </c>
      <c r="D32" s="98" t="s">
        <v>209</v>
      </c>
      <c r="E32" s="152" t="s">
        <v>175</v>
      </c>
      <c r="F32" s="98" t="s">
        <v>135</v>
      </c>
      <c r="G32" s="140">
        <f t="shared" si="0"/>
        <v>2.4211989867019127E-3</v>
      </c>
      <c r="H32" s="257">
        <v>121.01</v>
      </c>
      <c r="I32" s="16">
        <f t="shared" si="1"/>
        <v>1694.14</v>
      </c>
      <c r="J32" s="16">
        <v>1</v>
      </c>
      <c r="K32" s="259">
        <f t="shared" si="2"/>
        <v>0.60505000000000009</v>
      </c>
      <c r="L32" s="260">
        <v>5</v>
      </c>
      <c r="M32" s="260"/>
      <c r="N32" s="141"/>
      <c r="O32" s="141"/>
      <c r="P32" s="141"/>
      <c r="Q32" s="141"/>
      <c r="R32" s="141"/>
      <c r="S32" s="141"/>
    </row>
    <row r="33" spans="1:29" s="6" customFormat="1" ht="17.7" customHeight="1" x14ac:dyDescent="0.3">
      <c r="A33" s="403" t="s">
        <v>190</v>
      </c>
      <c r="B33" s="150" t="s">
        <v>210</v>
      </c>
      <c r="C33" s="400" t="s">
        <v>160</v>
      </c>
      <c r="D33" s="98" t="s">
        <v>211</v>
      </c>
      <c r="E33" s="152" t="s">
        <v>175</v>
      </c>
      <c r="F33" s="98" t="s">
        <v>135</v>
      </c>
      <c r="G33" s="140">
        <f t="shared" si="0"/>
        <v>1.1265648206449978E-2</v>
      </c>
      <c r="H33" s="257">
        <v>563.04999999999995</v>
      </c>
      <c r="I33" s="16">
        <f t="shared" si="1"/>
        <v>7882.6999999999989</v>
      </c>
      <c r="J33" s="16">
        <v>1</v>
      </c>
      <c r="K33" s="259">
        <f t="shared" si="2"/>
        <v>2.8152499999999998</v>
      </c>
      <c r="L33" s="260">
        <v>5</v>
      </c>
      <c r="M33" s="260"/>
      <c r="N33" s="141"/>
      <c r="O33" s="141"/>
      <c r="P33" s="141"/>
      <c r="Q33" s="141"/>
      <c r="R33" s="141"/>
      <c r="S33" s="141"/>
      <c r="W33" s="141"/>
      <c r="X33" s="141"/>
      <c r="Y33" s="141"/>
      <c r="Z33" s="141"/>
    </row>
    <row r="34" spans="1:29" s="6" customFormat="1" ht="17.7" customHeight="1" x14ac:dyDescent="0.3">
      <c r="A34" s="403" t="s">
        <v>190</v>
      </c>
      <c r="B34" s="150" t="s">
        <v>212</v>
      </c>
      <c r="C34" s="400" t="s">
        <v>163</v>
      </c>
      <c r="D34" s="98" t="s">
        <v>213</v>
      </c>
      <c r="E34" s="152" t="s">
        <v>175</v>
      </c>
      <c r="F34" s="98" t="s">
        <v>135</v>
      </c>
      <c r="G34" s="140">
        <f t="shared" si="0"/>
        <v>1.9610091123597592E-3</v>
      </c>
      <c r="H34" s="257">
        <v>98.01</v>
      </c>
      <c r="I34" s="16">
        <f t="shared" si="1"/>
        <v>1372.14</v>
      </c>
      <c r="J34" s="16">
        <v>1</v>
      </c>
      <c r="K34" s="259">
        <f t="shared" si="2"/>
        <v>0.49004999999999999</v>
      </c>
      <c r="L34" s="260">
        <v>5</v>
      </c>
      <c r="M34" s="260"/>
      <c r="N34" s="141"/>
      <c r="O34" s="141"/>
      <c r="P34" s="141"/>
      <c r="Q34" s="141"/>
      <c r="R34" s="141"/>
      <c r="S34" s="141"/>
    </row>
    <row r="35" spans="1:29" s="6" customFormat="1" ht="17.7" customHeight="1" x14ac:dyDescent="0.3">
      <c r="A35" s="403" t="s">
        <v>214</v>
      </c>
      <c r="B35" s="150" t="s">
        <v>215</v>
      </c>
      <c r="C35" s="400" t="s">
        <v>173</v>
      </c>
      <c r="D35" s="98" t="s">
        <v>216</v>
      </c>
      <c r="E35" s="152" t="s">
        <v>175</v>
      </c>
      <c r="F35" s="98" t="s">
        <v>135</v>
      </c>
      <c r="G35" s="140">
        <f t="shared" si="0"/>
        <v>0.10993615965947548</v>
      </c>
      <c r="H35" s="257">
        <v>5494.54</v>
      </c>
      <c r="I35" s="16">
        <f t="shared" si="1"/>
        <v>76923.56</v>
      </c>
      <c r="J35" s="16">
        <v>1</v>
      </c>
      <c r="K35" s="259">
        <f t="shared" si="2"/>
        <v>137.36349999999999</v>
      </c>
      <c r="L35" s="260">
        <v>25</v>
      </c>
      <c r="M35" s="260"/>
      <c r="N35" s="141"/>
      <c r="O35" s="141"/>
      <c r="P35" s="141"/>
      <c r="Q35" s="141"/>
      <c r="R35" s="141"/>
      <c r="S35" s="141"/>
    </row>
    <row r="36" spans="1:29" s="6" customFormat="1" ht="17.7" customHeight="1" x14ac:dyDescent="0.3">
      <c r="A36" s="403" t="s">
        <v>214</v>
      </c>
      <c r="B36" s="150" t="s">
        <v>217</v>
      </c>
      <c r="C36" s="400" t="s">
        <v>173</v>
      </c>
      <c r="D36" s="98" t="s">
        <v>218</v>
      </c>
      <c r="E36" s="152" t="s">
        <v>175</v>
      </c>
      <c r="F36" s="98" t="s">
        <v>135</v>
      </c>
      <c r="G36" s="140">
        <f t="shared" si="0"/>
        <v>2.8814688940656911E-2</v>
      </c>
      <c r="H36" s="257">
        <v>1440.14</v>
      </c>
      <c r="I36" s="16">
        <f t="shared" si="1"/>
        <v>20161.960000000003</v>
      </c>
      <c r="J36" s="16">
        <v>1</v>
      </c>
      <c r="K36" s="259">
        <f t="shared" si="2"/>
        <v>36.003500000000003</v>
      </c>
      <c r="L36" s="260">
        <v>25</v>
      </c>
      <c r="M36" s="260"/>
      <c r="N36" s="141"/>
      <c r="O36"/>
      <c r="P36" s="141"/>
      <c r="Q36" s="141"/>
      <c r="R36" s="141"/>
      <c r="S36" s="141"/>
    </row>
    <row r="37" spans="1:29" s="6" customFormat="1" ht="17.7" customHeight="1" x14ac:dyDescent="0.3">
      <c r="A37" s="403" t="s">
        <v>214</v>
      </c>
      <c r="B37" s="150" t="s">
        <v>219</v>
      </c>
      <c r="C37" s="400" t="s">
        <v>143</v>
      </c>
      <c r="D37" s="98" t="s">
        <v>220</v>
      </c>
      <c r="E37" s="152" t="s">
        <v>175</v>
      </c>
      <c r="F37" s="98" t="s">
        <v>135</v>
      </c>
      <c r="G37" s="140">
        <f t="shared" si="0"/>
        <v>3.4188106012540769E-3</v>
      </c>
      <c r="H37" s="257">
        <v>170.87</v>
      </c>
      <c r="I37" s="16">
        <f t="shared" si="1"/>
        <v>2392.1800000000003</v>
      </c>
      <c r="J37" s="16">
        <v>1</v>
      </c>
      <c r="K37" s="259">
        <f t="shared" si="2"/>
        <v>0.85435000000000005</v>
      </c>
      <c r="L37" s="260">
        <v>5</v>
      </c>
      <c r="M37" s="260"/>
      <c r="N37" s="141"/>
      <c r="O37" s="141"/>
      <c r="P37" s="141"/>
      <c r="Q37" s="141"/>
      <c r="R37" s="141"/>
      <c r="S37" s="141"/>
    </row>
    <row r="38" spans="1:29" s="6" customFormat="1" ht="17.7" customHeight="1" x14ac:dyDescent="0.3">
      <c r="A38" s="403" t="s">
        <v>214</v>
      </c>
      <c r="B38" s="150" t="s">
        <v>221</v>
      </c>
      <c r="C38" s="400" t="s">
        <v>143</v>
      </c>
      <c r="D38" s="98" t="s">
        <v>222</v>
      </c>
      <c r="E38" s="152" t="s">
        <v>175</v>
      </c>
      <c r="F38" s="98" t="s">
        <v>135</v>
      </c>
      <c r="G38" s="140">
        <f t="shared" si="0"/>
        <v>1.7103056721203165E-3</v>
      </c>
      <c r="H38" s="257">
        <v>85.48</v>
      </c>
      <c r="I38" s="16">
        <f t="shared" si="1"/>
        <v>1196.72</v>
      </c>
      <c r="J38" s="16">
        <v>1</v>
      </c>
      <c r="K38" s="259">
        <f t="shared" si="2"/>
        <v>0.42740000000000006</v>
      </c>
      <c r="L38" s="260">
        <v>5</v>
      </c>
      <c r="M38" s="260"/>
      <c r="N38" s="141"/>
      <c r="O38" s="141"/>
      <c r="P38" s="141"/>
      <c r="Q38" s="141"/>
      <c r="R38" s="141"/>
      <c r="S38" s="141"/>
    </row>
    <row r="39" spans="1:29" s="6" customFormat="1" ht="17.7" customHeight="1" x14ac:dyDescent="0.3">
      <c r="A39" s="403" t="s">
        <v>214</v>
      </c>
      <c r="B39" s="150" t="s">
        <v>223</v>
      </c>
      <c r="C39" s="400" t="s">
        <v>160</v>
      </c>
      <c r="D39" s="98" t="s">
        <v>224</v>
      </c>
      <c r="E39" s="152" t="s">
        <v>175</v>
      </c>
      <c r="F39" s="98" t="s">
        <v>135</v>
      </c>
      <c r="G39" s="140">
        <f t="shared" si="0"/>
        <v>5.3227961857062207E-3</v>
      </c>
      <c r="H39" s="257">
        <v>266.02999999999997</v>
      </c>
      <c r="I39" s="16">
        <f t="shared" si="1"/>
        <v>3724.4199999999996</v>
      </c>
      <c r="J39" s="16">
        <v>1</v>
      </c>
      <c r="K39" s="259">
        <f t="shared" si="2"/>
        <v>1.3301499999999999</v>
      </c>
      <c r="L39" s="260">
        <v>5</v>
      </c>
      <c r="M39" s="260"/>
      <c r="N39" s="141"/>
      <c r="O39" s="141"/>
      <c r="P39" s="141"/>
      <c r="Q39" s="141"/>
      <c r="R39" s="141"/>
      <c r="S39" s="141"/>
    </row>
    <row r="40" spans="1:29" s="6" customFormat="1" ht="17.7" customHeight="1" x14ac:dyDescent="0.3">
      <c r="A40" s="403" t="s">
        <v>214</v>
      </c>
      <c r="B40" s="150" t="s">
        <v>225</v>
      </c>
      <c r="C40" s="400" t="s">
        <v>163</v>
      </c>
      <c r="D40" s="98" t="s">
        <v>226</v>
      </c>
      <c r="E40" s="152" t="s">
        <v>175</v>
      </c>
      <c r="F40" s="98" t="s">
        <v>135</v>
      </c>
      <c r="G40" s="140">
        <f t="shared" si="0"/>
        <v>2.3685772749836576E-2</v>
      </c>
      <c r="H40" s="257">
        <v>1183.8</v>
      </c>
      <c r="I40" s="16">
        <f t="shared" si="1"/>
        <v>16573.2</v>
      </c>
      <c r="J40" s="16">
        <v>1</v>
      </c>
      <c r="K40" s="259">
        <f t="shared" si="2"/>
        <v>5.9189999999999996</v>
      </c>
      <c r="L40" s="260">
        <v>5</v>
      </c>
      <c r="M40" s="260"/>
      <c r="N40" s="141"/>
      <c r="O40" s="141"/>
      <c r="P40" s="141"/>
      <c r="Q40" s="141"/>
      <c r="R40" s="141"/>
      <c r="S40" s="141"/>
    </row>
    <row r="41" spans="1:29" s="5" customFormat="1" ht="42" customHeight="1" x14ac:dyDescent="0.3">
      <c r="A41" s="404" t="s">
        <v>227</v>
      </c>
      <c r="B41" s="98" t="s">
        <v>228</v>
      </c>
      <c r="C41" s="401" t="s">
        <v>229</v>
      </c>
      <c r="D41" s="98" t="s">
        <v>230</v>
      </c>
      <c r="E41" s="151" t="s">
        <v>231</v>
      </c>
      <c r="F41" s="99" t="s">
        <v>232</v>
      </c>
      <c r="G41" s="421">
        <f>H41/$H$41</f>
        <v>1</v>
      </c>
      <c r="H41" s="99">
        <f>SUM(H3:H40)</f>
        <v>49979.37000000001</v>
      </c>
      <c r="I41" s="99">
        <f>SUM(I3:I40)</f>
        <v>772066.42999999993</v>
      </c>
      <c r="J41" s="99"/>
      <c r="K41" s="422">
        <f>SUM(K3:K40)</f>
        <v>1068.3274800000004</v>
      </c>
      <c r="L41" s="429"/>
      <c r="M41" s="260"/>
      <c r="N41"/>
      <c r="O41"/>
      <c r="P41"/>
      <c r="Q41" s="141"/>
      <c r="R41" s="141"/>
      <c r="S41" s="141"/>
      <c r="T41" s="141"/>
      <c r="U41" s="141"/>
      <c r="V41" s="141"/>
      <c r="AA41" s="127"/>
      <c r="AB41" s="127"/>
      <c r="AC41" s="127"/>
    </row>
    <row r="42" spans="1:29" ht="18" x14ac:dyDescent="0.3">
      <c r="H42" s="18"/>
      <c r="I42" s="18"/>
      <c r="J42" s="18"/>
      <c r="K42" s="18"/>
      <c r="L42" s="19"/>
      <c r="M42"/>
      <c r="N42"/>
      <c r="O42"/>
      <c r="P42"/>
      <c r="Q42" s="141"/>
      <c r="R42" s="141"/>
      <c r="AA42" s="127"/>
      <c r="AB42" s="127"/>
      <c r="AC42" s="127"/>
    </row>
    <row r="43" spans="1:29" ht="18" x14ac:dyDescent="0.3">
      <c r="B43" s="5"/>
      <c r="C43" s="5"/>
      <c r="D43" s="5"/>
      <c r="E43" s="5"/>
      <c r="F43" s="5"/>
      <c r="G43" s="5"/>
      <c r="H43" s="20"/>
      <c r="J43" s="18"/>
      <c r="K43" s="226"/>
      <c r="L43" s="18"/>
      <c r="M43"/>
      <c r="N43"/>
      <c r="O43" s="527" t="s">
        <v>233</v>
      </c>
      <c r="P43" s="528"/>
      <c r="Q43" s="528"/>
      <c r="R43" s="529"/>
      <c r="AA43" s="127"/>
      <c r="AB43" s="127"/>
      <c r="AC43" s="127"/>
    </row>
    <row r="44" spans="1:29" ht="18" x14ac:dyDescent="0.3">
      <c r="B44" s="9"/>
      <c r="C44" s="9"/>
      <c r="D44" s="9"/>
      <c r="E44" s="9"/>
      <c r="F44" s="9"/>
      <c r="H44" s="125"/>
      <c r="I44" s="18"/>
      <c r="J44" s="18"/>
      <c r="K44" s="18"/>
      <c r="L44" s="18"/>
      <c r="M44"/>
      <c r="N44"/>
      <c r="O44" s="530" t="s">
        <v>234</v>
      </c>
      <c r="P44" s="531"/>
      <c r="Q44" s="531"/>
      <c r="R44" s="304" t="s">
        <v>235</v>
      </c>
      <c r="AA44" s="127"/>
      <c r="AB44" s="127"/>
      <c r="AC44" s="127"/>
    </row>
    <row r="45" spans="1:29" ht="18" x14ac:dyDescent="0.3">
      <c r="B45" s="21"/>
      <c r="C45" s="21"/>
      <c r="D45" s="21"/>
      <c r="E45" s="21"/>
      <c r="F45" s="21"/>
      <c r="H45" s="18"/>
      <c r="I45" s="18"/>
      <c r="J45" s="18"/>
      <c r="K45" s="18"/>
      <c r="L45" s="18"/>
      <c r="O45" s="523" t="s">
        <v>132</v>
      </c>
      <c r="P45" s="524"/>
      <c r="Q45" s="524"/>
      <c r="R45" s="463">
        <f t="shared" ref="R45:R57" si="3">SUMIF($C$3:$C$40,O45,$G$3:$G$40)</f>
        <v>1.1508748509635075E-2</v>
      </c>
      <c r="AA45" s="127"/>
      <c r="AB45" s="127"/>
      <c r="AC45" s="127"/>
    </row>
    <row r="46" spans="1:29" ht="18" x14ac:dyDescent="0.3">
      <c r="B46" s="18"/>
      <c r="C46" s="18"/>
      <c r="D46" s="18"/>
      <c r="E46" s="18"/>
      <c r="F46" s="18"/>
      <c r="H46" s="18"/>
      <c r="I46" s="18"/>
      <c r="J46" s="18"/>
      <c r="K46" s="18"/>
      <c r="L46" s="18"/>
      <c r="O46" s="523" t="s">
        <v>137</v>
      </c>
      <c r="P46" s="524"/>
      <c r="Q46" s="524"/>
      <c r="R46" s="463">
        <f t="shared" si="3"/>
        <v>0.14379793102634145</v>
      </c>
      <c r="AA46" s="127"/>
      <c r="AB46" s="127"/>
      <c r="AC46" s="127"/>
    </row>
    <row r="47" spans="1:29" ht="18" x14ac:dyDescent="0.3">
      <c r="B47" s="18"/>
      <c r="C47" s="18"/>
      <c r="D47" s="18"/>
      <c r="E47" s="18"/>
      <c r="F47" s="18"/>
      <c r="H47" s="18"/>
      <c r="I47" s="18"/>
      <c r="J47" s="18"/>
      <c r="K47" s="18"/>
      <c r="L47" s="18"/>
      <c r="O47" s="523" t="s">
        <v>140</v>
      </c>
      <c r="P47" s="524"/>
      <c r="Q47" s="524"/>
      <c r="R47" s="463">
        <f t="shared" si="3"/>
        <v>2.3239988819386874E-2</v>
      </c>
      <c r="AA47" s="127"/>
      <c r="AB47" s="127"/>
      <c r="AC47" s="127"/>
    </row>
    <row r="48" spans="1:29" ht="14.4" customHeight="1" x14ac:dyDescent="0.3">
      <c r="H48" s="18"/>
      <c r="I48" s="18"/>
      <c r="J48" s="18"/>
      <c r="K48" s="18"/>
      <c r="L48" s="18"/>
      <c r="O48" s="523" t="s">
        <v>143</v>
      </c>
      <c r="P48" s="524"/>
      <c r="Q48" s="524"/>
      <c r="R48" s="463">
        <f t="shared" si="3"/>
        <v>2.4306428832536298E-2</v>
      </c>
    </row>
    <row r="49" spans="2:19" ht="14.4" customHeight="1" x14ac:dyDescent="0.3">
      <c r="H49" s="18"/>
      <c r="I49" s="18"/>
      <c r="J49" s="18"/>
      <c r="K49" s="18"/>
      <c r="L49" s="18"/>
      <c r="O49" s="523" t="s">
        <v>148</v>
      </c>
      <c r="P49" s="524"/>
      <c r="Q49" s="524"/>
      <c r="R49" s="463">
        <f t="shared" si="3"/>
        <v>2.9157030190656658E-2</v>
      </c>
    </row>
    <row r="50" spans="2:19" ht="14.4" customHeight="1" x14ac:dyDescent="0.3">
      <c r="H50" s="18"/>
      <c r="I50" s="18"/>
      <c r="J50" s="18"/>
      <c r="K50" s="18"/>
      <c r="L50" s="18"/>
      <c r="O50" s="523" t="s">
        <v>152</v>
      </c>
      <c r="P50" s="524"/>
      <c r="Q50" s="524"/>
      <c r="R50" s="463">
        <f t="shared" si="3"/>
        <v>2.4839648839111012E-2</v>
      </c>
    </row>
    <row r="51" spans="2:19" ht="14.4" customHeight="1" x14ac:dyDescent="0.3">
      <c r="H51" s="18"/>
      <c r="I51" s="18"/>
      <c r="J51" s="18"/>
      <c r="K51" s="18"/>
      <c r="L51" s="18"/>
      <c r="O51" s="523" t="s">
        <v>157</v>
      </c>
      <c r="P51" s="524"/>
      <c r="Q51" s="524"/>
      <c r="R51" s="463">
        <f t="shared" si="3"/>
        <v>3.2505611815435043E-2</v>
      </c>
    </row>
    <row r="52" spans="2:19" ht="14.4" customHeight="1" x14ac:dyDescent="0.3">
      <c r="H52" s="18"/>
      <c r="I52" s="18"/>
      <c r="J52" s="18"/>
      <c r="K52" s="18"/>
      <c r="L52" s="18"/>
      <c r="O52" s="523" t="s">
        <v>160</v>
      </c>
      <c r="P52" s="524"/>
      <c r="Q52" s="524"/>
      <c r="R52" s="463">
        <f t="shared" si="3"/>
        <v>6.7201727432738737E-2</v>
      </c>
    </row>
    <row r="53" spans="2:19" ht="14.4" customHeight="1" x14ac:dyDescent="0.3">
      <c r="H53" s="18"/>
      <c r="I53" s="18"/>
      <c r="J53" s="18"/>
      <c r="K53" s="18"/>
      <c r="L53" s="18"/>
      <c r="O53" s="523" t="s">
        <v>163</v>
      </c>
      <c r="P53" s="524"/>
      <c r="Q53" s="524"/>
      <c r="R53" s="463">
        <f t="shared" si="3"/>
        <v>5.8231626369039849E-2</v>
      </c>
    </row>
    <row r="54" spans="2:19" ht="14.4" customHeight="1" x14ac:dyDescent="0.3">
      <c r="H54" s="18"/>
      <c r="I54" s="18"/>
      <c r="J54" s="18"/>
      <c r="K54" s="18"/>
      <c r="L54" s="18"/>
      <c r="O54" s="523" t="s">
        <v>166</v>
      </c>
      <c r="P54" s="524"/>
      <c r="Q54" s="524"/>
      <c r="R54" s="463">
        <f t="shared" si="3"/>
        <v>5.0364780508437767E-3</v>
      </c>
    </row>
    <row r="55" spans="2:19" ht="14.4" customHeight="1" x14ac:dyDescent="0.3">
      <c r="H55" s="18"/>
      <c r="I55" s="18"/>
      <c r="J55" s="18"/>
      <c r="K55" s="18"/>
      <c r="L55" s="18"/>
      <c r="O55" s="523" t="s">
        <v>169</v>
      </c>
      <c r="P55" s="524"/>
      <c r="Q55" s="524"/>
      <c r="R55" s="463">
        <f t="shared" si="3"/>
        <v>2.1319996630609784E-2</v>
      </c>
    </row>
    <row r="56" spans="2:19" ht="14.4" customHeight="1" x14ac:dyDescent="0.3">
      <c r="H56" s="18"/>
      <c r="I56" s="18"/>
      <c r="J56" s="18"/>
      <c r="K56" s="18"/>
      <c r="L56" s="18"/>
      <c r="O56" s="523" t="s">
        <v>173</v>
      </c>
      <c r="P56" s="524"/>
      <c r="Q56" s="524"/>
      <c r="R56" s="463">
        <f t="shared" si="3"/>
        <v>0.53490230068926425</v>
      </c>
    </row>
    <row r="57" spans="2:19" ht="14.4" customHeight="1" x14ac:dyDescent="0.3">
      <c r="H57" s="18"/>
      <c r="I57" s="18"/>
      <c r="J57" s="18"/>
      <c r="K57" s="18"/>
      <c r="L57" s="18"/>
      <c r="O57" s="523" t="s">
        <v>198</v>
      </c>
      <c r="P57" s="524"/>
      <c r="Q57" s="524"/>
      <c r="R57" s="463">
        <f t="shared" si="3"/>
        <v>2.3952482794400966E-2</v>
      </c>
    </row>
    <row r="58" spans="2:19" ht="14.4" customHeight="1" x14ac:dyDescent="0.3">
      <c r="H58" s="18"/>
      <c r="I58" s="18"/>
      <c r="J58" s="18"/>
      <c r="K58" s="18"/>
      <c r="L58" s="18"/>
      <c r="O58" s="525" t="s">
        <v>236</v>
      </c>
      <c r="P58" s="526"/>
      <c r="Q58" s="526"/>
      <c r="R58" s="305">
        <f>SUM(R45:R57)</f>
        <v>0.99999999999999978</v>
      </c>
    </row>
    <row r="59" spans="2:19" ht="14.4" customHeight="1" x14ac:dyDescent="0.25">
      <c r="H59" s="18"/>
      <c r="I59" s="18"/>
      <c r="J59" s="18"/>
      <c r="K59" s="18"/>
      <c r="L59" s="18"/>
      <c r="Q59" s="35"/>
      <c r="R59" s="35"/>
    </row>
    <row r="60" spans="2:19" ht="14.4" customHeight="1" x14ac:dyDescent="0.25">
      <c r="H60" s="18"/>
      <c r="I60" s="18"/>
      <c r="J60" s="18"/>
      <c r="K60" s="18"/>
      <c r="L60" s="18"/>
      <c r="Q60" s="35"/>
      <c r="R60" s="35"/>
    </row>
    <row r="61" spans="2:19" ht="14.4" customHeight="1" x14ac:dyDescent="0.25">
      <c r="H61" s="18"/>
      <c r="I61" s="18"/>
      <c r="J61" s="18"/>
      <c r="K61" s="18"/>
      <c r="L61" s="18"/>
      <c r="Q61" s="35"/>
      <c r="R61" s="35"/>
    </row>
    <row r="62" spans="2:19" ht="14.4" customHeight="1" x14ac:dyDescent="0.25">
      <c r="B62" s="17"/>
      <c r="C62" s="17"/>
      <c r="D62" s="17"/>
      <c r="E62" s="17"/>
      <c r="F62" s="17"/>
      <c r="G62" s="17"/>
      <c r="Q62" s="35"/>
      <c r="R62" s="35"/>
      <c r="S62" s="35"/>
    </row>
    <row r="63" spans="2:19" ht="14.4" customHeight="1" x14ac:dyDescent="0.25">
      <c r="Q63" s="35"/>
      <c r="R63" s="35"/>
      <c r="S63" s="35"/>
    </row>
    <row r="64" spans="2:19" ht="14.4" customHeight="1" x14ac:dyDescent="0.25">
      <c r="Q64" s="35"/>
      <c r="R64" s="35"/>
      <c r="S64" s="35"/>
    </row>
    <row r="65" spans="6:20" ht="14.4" customHeight="1" x14ac:dyDescent="0.25">
      <c r="Q65" s="35"/>
      <c r="R65" s="35"/>
      <c r="S65" s="35"/>
    </row>
    <row r="66" spans="6:20" ht="14.4" customHeight="1" x14ac:dyDescent="0.25">
      <c r="Q66" s="35"/>
      <c r="R66" s="35"/>
      <c r="S66" s="35"/>
    </row>
    <row r="67" spans="6:20" ht="14.4" customHeight="1" x14ac:dyDescent="0.25">
      <c r="Q67" s="35"/>
      <c r="R67" s="35"/>
      <c r="S67" s="35"/>
    </row>
    <row r="68" spans="6:20" ht="14.4" customHeight="1" x14ac:dyDescent="0.25">
      <c r="Q68" s="35"/>
      <c r="R68" s="35"/>
      <c r="S68" s="35"/>
    </row>
    <row r="69" spans="6:20" ht="14.4" customHeight="1" x14ac:dyDescent="0.25">
      <c r="Q69" s="35"/>
      <c r="R69" s="35"/>
      <c r="S69" s="35"/>
    </row>
    <row r="70" spans="6:20" ht="14.4" customHeight="1" x14ac:dyDescent="0.25">
      <c r="Q70" s="35"/>
      <c r="R70" s="35"/>
      <c r="S70" s="35"/>
    </row>
    <row r="71" spans="6:20" ht="14.4" customHeight="1" x14ac:dyDescent="0.25">
      <c r="Q71" s="35"/>
      <c r="R71" s="35"/>
      <c r="S71" s="35"/>
    </row>
    <row r="72" spans="6:20" ht="14.4" customHeight="1" x14ac:dyDescent="0.25">
      <c r="Q72" s="35"/>
      <c r="R72" s="35"/>
      <c r="S72" s="35"/>
      <c r="T72" s="142"/>
    </row>
    <row r="73" spans="6:20" ht="14.4" customHeight="1" x14ac:dyDescent="0.25">
      <c r="Q73" s="35"/>
      <c r="R73" s="35"/>
      <c r="S73" s="35"/>
      <c r="T73" s="142"/>
    </row>
    <row r="74" spans="6:20" ht="14.4" customHeight="1" x14ac:dyDescent="0.25">
      <c r="Q74" s="35"/>
      <c r="R74" s="35"/>
      <c r="S74" s="35"/>
      <c r="T74" s="142"/>
    </row>
    <row r="75" spans="6:20" ht="14.4" customHeight="1" x14ac:dyDescent="0.25">
      <c r="Q75" s="35"/>
      <c r="R75" s="35"/>
      <c r="S75" s="35"/>
      <c r="T75" s="142"/>
    </row>
    <row r="76" spans="6:20" ht="14.4" customHeight="1" x14ac:dyDescent="0.25">
      <c r="Q76" s="35"/>
      <c r="R76" s="35"/>
      <c r="S76" s="35"/>
      <c r="T76" s="142"/>
    </row>
    <row r="77" spans="6:20" ht="14.4" customHeight="1" x14ac:dyDescent="0.25">
      <c r="Q77" s="35"/>
      <c r="R77" s="35"/>
      <c r="S77" s="35"/>
      <c r="T77" s="142"/>
    </row>
    <row r="78" spans="6:20" ht="14.4" customHeight="1" x14ac:dyDescent="0.25">
      <c r="Q78" s="35"/>
      <c r="R78" s="35"/>
      <c r="S78" s="35"/>
      <c r="T78" s="142"/>
    </row>
    <row r="79" spans="6:20" ht="14.4" customHeight="1" x14ac:dyDescent="0.25">
      <c r="F79" s="10"/>
      <c r="Q79" s="35"/>
      <c r="R79" s="35"/>
      <c r="S79" s="143"/>
      <c r="T79" s="142"/>
    </row>
    <row r="80" spans="6:20" ht="14.4" customHeight="1" x14ac:dyDescent="0.25">
      <c r="Q80" s="35"/>
      <c r="R80" s="35"/>
      <c r="S80" s="143"/>
      <c r="T80" s="142"/>
    </row>
    <row r="81" spans="17:20" ht="14.4" customHeight="1" x14ac:dyDescent="0.25">
      <c r="Q81" s="35"/>
      <c r="R81" s="35"/>
      <c r="S81" s="143"/>
      <c r="T81" s="142"/>
    </row>
    <row r="82" spans="17:20" ht="14.4" customHeight="1" x14ac:dyDescent="0.25">
      <c r="Q82" s="35"/>
      <c r="R82" s="35"/>
      <c r="S82" s="143"/>
      <c r="T82" s="142"/>
    </row>
    <row r="83" spans="17:20" ht="14.4" customHeight="1" x14ac:dyDescent="0.25">
      <c r="Q83" s="35"/>
      <c r="R83" s="35"/>
      <c r="S83" s="143"/>
      <c r="T83" s="142"/>
    </row>
    <row r="84" spans="17:20" x14ac:dyDescent="0.25">
      <c r="S84" s="142"/>
      <c r="T84" s="142"/>
    </row>
    <row r="85" spans="17:20" x14ac:dyDescent="0.25">
      <c r="S85" s="142"/>
      <c r="T85" s="142"/>
    </row>
    <row r="86" spans="17:20" x14ac:dyDescent="0.25">
      <c r="S86" s="142"/>
      <c r="T86" s="142"/>
    </row>
    <row r="87" spans="17:20" x14ac:dyDescent="0.25">
      <c r="S87" s="142"/>
      <c r="T87" s="142"/>
    </row>
    <row r="88" spans="17:20" x14ac:dyDescent="0.25">
      <c r="S88" s="142"/>
      <c r="T88" s="142"/>
    </row>
    <row r="89" spans="17:20" x14ac:dyDescent="0.25">
      <c r="S89" s="142"/>
      <c r="T89" s="142"/>
    </row>
    <row r="90" spans="17:20" x14ac:dyDescent="0.25">
      <c r="S90" s="142"/>
      <c r="T90" s="142"/>
    </row>
    <row r="91" spans="17:20" x14ac:dyDescent="0.25">
      <c r="S91" s="142"/>
      <c r="T91" s="142"/>
    </row>
    <row r="92" spans="17:20" x14ac:dyDescent="0.25">
      <c r="S92" s="142"/>
      <c r="T92" s="142"/>
    </row>
    <row r="93" spans="17:20" x14ac:dyDescent="0.25">
      <c r="S93" s="142"/>
      <c r="T93" s="142"/>
    </row>
    <row r="94" spans="17:20" x14ac:dyDescent="0.25">
      <c r="S94" s="142"/>
      <c r="T94" s="142"/>
    </row>
    <row r="95" spans="17:20" x14ac:dyDescent="0.25">
      <c r="S95" s="142"/>
      <c r="T95" s="142"/>
    </row>
    <row r="96" spans="17:20" x14ac:dyDescent="0.25">
      <c r="S96" s="142"/>
      <c r="T96" s="142"/>
    </row>
    <row r="97" spans="19:20" x14ac:dyDescent="0.25">
      <c r="S97" s="142"/>
      <c r="T97" s="142"/>
    </row>
    <row r="98" spans="19:20" x14ac:dyDescent="0.25">
      <c r="S98" s="142"/>
      <c r="T98" s="142"/>
    </row>
    <row r="99" spans="19:20" x14ac:dyDescent="0.25">
      <c r="S99" s="142"/>
      <c r="T99" s="142"/>
    </row>
    <row r="100" spans="19:20" x14ac:dyDescent="0.25">
      <c r="S100" s="142"/>
      <c r="T100" s="142"/>
    </row>
    <row r="101" spans="19:20" x14ac:dyDescent="0.25">
      <c r="S101" s="142"/>
      <c r="T101" s="142"/>
    </row>
    <row r="102" spans="19:20" x14ac:dyDescent="0.25">
      <c r="S102" s="142"/>
      <c r="T102" s="142"/>
    </row>
    <row r="103" spans="19:20" x14ac:dyDescent="0.25">
      <c r="S103" s="142"/>
      <c r="T103" s="142"/>
    </row>
    <row r="104" spans="19:20" x14ac:dyDescent="0.25">
      <c r="S104" s="142"/>
      <c r="T104" s="142"/>
    </row>
    <row r="105" spans="19:20" x14ac:dyDescent="0.25">
      <c r="S105" s="142"/>
      <c r="T105" s="142"/>
    </row>
    <row r="106" spans="19:20" x14ac:dyDescent="0.25">
      <c r="S106" s="142"/>
      <c r="T106" s="142"/>
    </row>
    <row r="107" spans="19:20" x14ac:dyDescent="0.25">
      <c r="S107" s="142"/>
      <c r="T107" s="142"/>
    </row>
    <row r="108" spans="19:20" x14ac:dyDescent="0.25">
      <c r="S108" s="142"/>
      <c r="T108" s="142"/>
    </row>
    <row r="109" spans="19:20" x14ac:dyDescent="0.25">
      <c r="S109" s="142"/>
    </row>
    <row r="110" spans="19:20" x14ac:dyDescent="0.25">
      <c r="S110" s="142"/>
    </row>
    <row r="111" spans="19:20" x14ac:dyDescent="0.25">
      <c r="S111" s="142"/>
    </row>
    <row r="112" spans="19:20" x14ac:dyDescent="0.25">
      <c r="S112" s="142"/>
    </row>
    <row r="113" spans="19:19" x14ac:dyDescent="0.25">
      <c r="S113" s="142"/>
    </row>
    <row r="114" spans="19:19" x14ac:dyDescent="0.25">
      <c r="S114" s="142"/>
    </row>
    <row r="115" spans="19:19" x14ac:dyDescent="0.25">
      <c r="S115" s="142"/>
    </row>
  </sheetData>
  <autoFilter ref="C2:M41" xr:uid="{2E9DC9C1-ABE9-4C74-8C0A-F769CBEC5074}"/>
  <mergeCells count="17">
    <mergeCell ref="O43:R43"/>
    <mergeCell ref="O44:Q44"/>
    <mergeCell ref="O45:Q45"/>
    <mergeCell ref="O46:Q46"/>
    <mergeCell ref="A1:M1"/>
    <mergeCell ref="O47:Q47"/>
    <mergeCell ref="O48:Q48"/>
    <mergeCell ref="O49:Q49"/>
    <mergeCell ref="O50:Q50"/>
    <mergeCell ref="O51:Q51"/>
    <mergeCell ref="O57:Q57"/>
    <mergeCell ref="O58:Q58"/>
    <mergeCell ref="O52:Q52"/>
    <mergeCell ref="O53:Q53"/>
    <mergeCell ref="O54:Q54"/>
    <mergeCell ref="O55:Q55"/>
    <mergeCell ref="O56:Q56"/>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Data!$A$2:$A$200</xm:f>
          </x14:formula1>
          <xm:sqref>C3:C40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72"/>
  <sheetViews>
    <sheetView zoomScale="90" zoomScaleNormal="90" workbookViewId="0">
      <selection sqref="A1:X1"/>
    </sheetView>
  </sheetViews>
  <sheetFormatPr defaultColWidth="9.33203125" defaultRowHeight="13.8" x14ac:dyDescent="0.25"/>
  <cols>
    <col min="1" max="1" width="15.44140625" style="53" customWidth="1"/>
    <col min="2" max="2" width="13.5546875" style="54" customWidth="1"/>
    <col min="3" max="3" width="19.109375" style="53" customWidth="1"/>
    <col min="4" max="4" width="41.44140625" style="53" bestFit="1" customWidth="1"/>
    <col min="5" max="5" width="11.6640625" style="53" customWidth="1"/>
    <col min="6" max="6" width="20" style="53" customWidth="1"/>
    <col min="7" max="7" width="20.5546875" style="55" customWidth="1"/>
    <col min="8" max="8" width="68.109375" style="53" customWidth="1"/>
    <col min="9" max="9" width="6.88671875" style="53" customWidth="1"/>
    <col min="10" max="12" width="7" style="53" customWidth="1"/>
    <col min="13" max="13" width="7.88671875" style="53" customWidth="1"/>
    <col min="14" max="14" width="8.6640625" style="53" customWidth="1"/>
    <col min="15" max="15" width="7" style="53" customWidth="1"/>
    <col min="16" max="16" width="7.109375" style="53" customWidth="1"/>
    <col min="17" max="17" width="7.5546875" style="53" customWidth="1"/>
    <col min="18" max="21" width="7" style="53" customWidth="1"/>
    <col min="22" max="22" width="7.6640625" style="53" customWidth="1"/>
    <col min="23" max="24" width="7" style="53" customWidth="1"/>
    <col min="25" max="25" width="9.33203125" style="53"/>
    <col min="26" max="26" width="22.6640625" style="53" customWidth="1"/>
    <col min="27" max="30" width="7.6640625" style="53" customWidth="1"/>
    <col min="31" max="31" width="9.6640625" style="53" customWidth="1"/>
    <col min="32" max="32" width="7.5546875" style="53" customWidth="1"/>
    <col min="33" max="33" width="11.44140625" style="53" customWidth="1"/>
    <col min="34" max="42" width="7.6640625" style="53" customWidth="1"/>
    <col min="43" max="46" width="10.44140625" style="53" customWidth="1"/>
    <col min="47" max="47" width="9.88671875" style="53" customWidth="1"/>
    <col min="48" max="48" width="10.44140625" style="53" customWidth="1"/>
    <col min="49" max="49" width="21.6640625" style="53" customWidth="1"/>
    <col min="50" max="50" width="10.44140625" style="53" customWidth="1"/>
    <col min="51" max="53" width="7.44140625" style="53" customWidth="1"/>
    <col min="54" max="54" width="7.6640625" style="53" customWidth="1"/>
    <col min="55" max="55" width="7.44140625" style="53" customWidth="1"/>
    <col min="56" max="56" width="13.6640625" style="53" customWidth="1"/>
    <col min="57" max="60" width="7.44140625" style="53" customWidth="1"/>
    <col min="61" max="62" width="9.6640625" style="53" bestFit="1" customWidth="1"/>
    <col min="63" max="16384" width="9.33203125" style="53"/>
  </cols>
  <sheetData>
    <row r="1" spans="1:50" ht="15.6" x14ac:dyDescent="0.25">
      <c r="A1" s="533" t="str">
        <f>"Envelope - "&amp;Prototype!A2</f>
        <v>Envelope - SchoolK-8</v>
      </c>
      <c r="B1" s="533"/>
      <c r="C1" s="533"/>
      <c r="D1" s="533"/>
      <c r="E1" s="533"/>
      <c r="F1" s="533"/>
      <c r="G1" s="533"/>
      <c r="H1" s="533"/>
      <c r="I1" s="533"/>
      <c r="J1" s="533"/>
      <c r="K1" s="533"/>
      <c r="L1" s="533"/>
      <c r="M1" s="533"/>
      <c r="N1" s="533"/>
      <c r="O1" s="533"/>
      <c r="P1" s="533"/>
      <c r="Q1" s="533"/>
      <c r="R1" s="533"/>
      <c r="S1" s="533"/>
      <c r="T1" s="533"/>
      <c r="U1" s="533"/>
      <c r="V1" s="533"/>
      <c r="W1" s="533"/>
      <c r="X1" s="533"/>
      <c r="Y1" s="2"/>
    </row>
    <row r="2" spans="1:50" ht="26.4" x14ac:dyDescent="0.25">
      <c r="A2" s="453" t="s">
        <v>237</v>
      </c>
      <c r="B2" s="453" t="s">
        <v>8</v>
      </c>
      <c r="C2" s="453" t="s">
        <v>238</v>
      </c>
      <c r="D2" s="453" t="s">
        <v>239</v>
      </c>
      <c r="E2" s="454" t="s">
        <v>240</v>
      </c>
      <c r="F2" s="453" t="s">
        <v>241</v>
      </c>
      <c r="G2" s="454" t="s">
        <v>242</v>
      </c>
      <c r="H2" s="453" t="s">
        <v>49</v>
      </c>
      <c r="I2" s="453" t="s">
        <v>243</v>
      </c>
      <c r="J2" s="453" t="s">
        <v>244</v>
      </c>
      <c r="K2" s="453" t="s">
        <v>245</v>
      </c>
      <c r="L2" s="453" t="s">
        <v>246</v>
      </c>
      <c r="M2" s="453" t="s">
        <v>247</v>
      </c>
      <c r="N2" s="453" t="s">
        <v>248</v>
      </c>
      <c r="O2" s="453" t="s">
        <v>249</v>
      </c>
      <c r="P2" s="453" t="s">
        <v>250</v>
      </c>
      <c r="Q2" s="453" t="s">
        <v>251</v>
      </c>
      <c r="R2" s="453" t="s">
        <v>252</v>
      </c>
      <c r="S2" s="453" t="s">
        <v>253</v>
      </c>
      <c r="T2" s="453" t="s">
        <v>254</v>
      </c>
      <c r="U2" s="453" t="s">
        <v>255</v>
      </c>
      <c r="V2" s="453" t="s">
        <v>256</v>
      </c>
      <c r="W2" s="453" t="s">
        <v>257</v>
      </c>
      <c r="X2" s="453" t="s">
        <v>258</v>
      </c>
      <c r="Y2" s="2"/>
    </row>
    <row r="3" spans="1:50" x14ac:dyDescent="0.25">
      <c r="A3" s="538" t="s">
        <v>259</v>
      </c>
      <c r="B3" s="534" t="str">
        <f>Prototype!A2</f>
        <v>SchoolK-8</v>
      </c>
      <c r="C3" s="535" t="s">
        <v>260</v>
      </c>
      <c r="D3" s="535" t="s">
        <v>261</v>
      </c>
      <c r="E3" s="538" t="s">
        <v>262</v>
      </c>
      <c r="F3" s="449" t="s">
        <v>263</v>
      </c>
      <c r="G3" s="449" t="s">
        <v>264</v>
      </c>
      <c r="H3" s="367" t="s">
        <v>265</v>
      </c>
      <c r="I3" s="447">
        <v>0.35199999999999998</v>
      </c>
      <c r="J3" s="447">
        <v>0.35199999999999998</v>
      </c>
      <c r="K3" s="447">
        <v>0.35199999999999998</v>
      </c>
      <c r="L3" s="447">
        <v>0.35199999999999998</v>
      </c>
      <c r="M3" s="447">
        <v>0.35199999999999998</v>
      </c>
      <c r="N3" s="447">
        <v>0.35199999999999998</v>
      </c>
      <c r="O3" s="447">
        <v>0.35199999999999998</v>
      </c>
      <c r="P3" s="447">
        <v>0.35199999999999998</v>
      </c>
      <c r="Q3" s="447">
        <v>0.35199999999999998</v>
      </c>
      <c r="R3" s="447">
        <v>0.35199999999999998</v>
      </c>
      <c r="S3" s="447">
        <v>0.35199999999999998</v>
      </c>
      <c r="T3" s="447">
        <v>0.35199999999999998</v>
      </c>
      <c r="U3" s="447">
        <v>0.35199999999999998</v>
      </c>
      <c r="V3" s="447">
        <v>0.35199999999999998</v>
      </c>
      <c r="W3" s="447">
        <v>0.35199999999999998</v>
      </c>
      <c r="X3" s="447">
        <v>0.35199999999999998</v>
      </c>
      <c r="Y3" s="2"/>
    </row>
    <row r="4" spans="1:50" x14ac:dyDescent="0.25">
      <c r="A4" s="538"/>
      <c r="B4" s="534"/>
      <c r="C4" s="536"/>
      <c r="D4" s="536"/>
      <c r="E4" s="538"/>
      <c r="F4" s="86" t="s">
        <v>266</v>
      </c>
      <c r="G4" s="310">
        <v>1992</v>
      </c>
      <c r="H4" s="317" t="s">
        <v>267</v>
      </c>
      <c r="I4" s="314">
        <v>0.182</v>
      </c>
      <c r="J4" s="314">
        <v>0.189</v>
      </c>
      <c r="K4" s="314">
        <v>0.189</v>
      </c>
      <c r="L4" s="314">
        <v>0.189</v>
      </c>
      <c r="M4" s="314">
        <v>0.189</v>
      </c>
      <c r="N4" s="314">
        <v>0.189</v>
      </c>
      <c r="O4" s="314">
        <v>0.189</v>
      </c>
      <c r="P4" s="314">
        <v>0.189</v>
      </c>
      <c r="Q4" s="314">
        <v>0.189</v>
      </c>
      <c r="R4" s="314">
        <v>0.189</v>
      </c>
      <c r="S4" s="314">
        <v>0.182</v>
      </c>
      <c r="T4" s="314">
        <v>0.182</v>
      </c>
      <c r="U4" s="314">
        <v>0.182</v>
      </c>
      <c r="V4" s="314">
        <v>0.182</v>
      </c>
      <c r="W4" s="314">
        <v>0.182</v>
      </c>
      <c r="X4" s="314">
        <v>0.182</v>
      </c>
      <c r="Y4" s="2"/>
    </row>
    <row r="5" spans="1:50" x14ac:dyDescent="0.25">
      <c r="A5" s="538"/>
      <c r="B5" s="534"/>
      <c r="C5" s="536"/>
      <c r="D5" s="536"/>
      <c r="E5" s="538"/>
      <c r="F5" s="87" t="s">
        <v>268</v>
      </c>
      <c r="G5" s="87">
        <v>2001</v>
      </c>
      <c r="H5" s="368" t="s">
        <v>269</v>
      </c>
      <c r="I5" s="315">
        <v>0.182</v>
      </c>
      <c r="J5" s="315">
        <v>0.182</v>
      </c>
      <c r="K5" s="315">
        <v>0.189</v>
      </c>
      <c r="L5" s="315">
        <v>0.189</v>
      </c>
      <c r="M5" s="315">
        <v>0.189</v>
      </c>
      <c r="N5" s="315">
        <v>0.189</v>
      </c>
      <c r="O5" s="315">
        <v>0.189</v>
      </c>
      <c r="P5" s="315">
        <v>0.189</v>
      </c>
      <c r="Q5" s="315">
        <v>0.189</v>
      </c>
      <c r="R5" s="315">
        <v>0.182</v>
      </c>
      <c r="S5" s="315">
        <v>0.182</v>
      </c>
      <c r="T5" s="315">
        <v>0.182</v>
      </c>
      <c r="U5" s="315">
        <v>0.182</v>
      </c>
      <c r="V5" s="315">
        <v>0.182</v>
      </c>
      <c r="W5" s="315">
        <v>0.182</v>
      </c>
      <c r="X5" s="315">
        <v>0.182</v>
      </c>
      <c r="Y5" s="2"/>
    </row>
    <row r="6" spans="1:50" x14ac:dyDescent="0.25">
      <c r="A6" s="538"/>
      <c r="B6" s="534"/>
      <c r="C6" s="536"/>
      <c r="D6" s="536"/>
      <c r="E6" s="538"/>
      <c r="F6" s="88" t="s">
        <v>270</v>
      </c>
      <c r="G6" s="88">
        <v>2013</v>
      </c>
      <c r="H6" s="369" t="s">
        <v>271</v>
      </c>
      <c r="I6" s="316">
        <v>9.8000000000000004E-2</v>
      </c>
      <c r="J6" s="316">
        <v>6.2E-2</v>
      </c>
      <c r="K6" s="316">
        <v>8.2000000000000003E-2</v>
      </c>
      <c r="L6" s="316">
        <v>6.2E-2</v>
      </c>
      <c r="M6" s="316">
        <v>6.2E-2</v>
      </c>
      <c r="N6" s="316">
        <v>9.8000000000000004E-2</v>
      </c>
      <c r="O6" s="316">
        <v>9.8000000000000004E-2</v>
      </c>
      <c r="P6" s="316">
        <v>6.2E-2</v>
      </c>
      <c r="Q6" s="316">
        <v>6.2E-2</v>
      </c>
      <c r="R6" s="316">
        <v>6.2E-2</v>
      </c>
      <c r="S6" s="316">
        <v>6.2E-2</v>
      </c>
      <c r="T6" s="316">
        <v>6.2E-2</v>
      </c>
      <c r="U6" s="316">
        <v>6.2E-2</v>
      </c>
      <c r="V6" s="316">
        <v>6.2E-2</v>
      </c>
      <c r="W6" s="316">
        <v>6.2E-2</v>
      </c>
      <c r="X6" s="316">
        <v>6.2E-2</v>
      </c>
      <c r="Y6" s="2"/>
    </row>
    <row r="7" spans="1:50" x14ac:dyDescent="0.25">
      <c r="A7" s="538"/>
      <c r="B7" s="534"/>
      <c r="C7" s="537"/>
      <c r="D7" s="537"/>
      <c r="E7" s="538"/>
      <c r="F7" s="113" t="s">
        <v>273</v>
      </c>
      <c r="G7" s="114">
        <v>2025</v>
      </c>
      <c r="H7" s="313" t="s">
        <v>274</v>
      </c>
      <c r="I7" s="262">
        <v>0.06</v>
      </c>
      <c r="J7" s="263">
        <v>5.5E-2</v>
      </c>
      <c r="K7" s="263">
        <v>7.0999999999999994E-2</v>
      </c>
      <c r="L7" s="263">
        <v>5.5E-2</v>
      </c>
      <c r="M7" s="263">
        <v>5.5E-2</v>
      </c>
      <c r="N7" s="262">
        <v>0.06</v>
      </c>
      <c r="O7" s="262">
        <v>0.06</v>
      </c>
      <c r="P7" s="263">
        <v>5.5E-2</v>
      </c>
      <c r="Q7" s="263">
        <v>5.5E-2</v>
      </c>
      <c r="R7" s="263">
        <v>5.5E-2</v>
      </c>
      <c r="S7" s="263">
        <v>5.5E-2</v>
      </c>
      <c r="T7" s="263">
        <v>5.5E-2</v>
      </c>
      <c r="U7" s="263">
        <v>5.5E-2</v>
      </c>
      <c r="V7" s="263">
        <v>5.5E-2</v>
      </c>
      <c r="W7" s="263">
        <v>5.5E-2</v>
      </c>
      <c r="X7" s="263">
        <v>5.5E-2</v>
      </c>
      <c r="Y7" s="2"/>
    </row>
    <row r="8" spans="1:50" x14ac:dyDescent="0.25">
      <c r="A8" s="538" t="s">
        <v>275</v>
      </c>
      <c r="B8" s="534" t="str">
        <f t="shared" ref="B8" si="0">$B$3</f>
        <v>SchoolK-8</v>
      </c>
      <c r="C8" s="535" t="s">
        <v>276</v>
      </c>
      <c r="D8" s="543" t="s">
        <v>277</v>
      </c>
      <c r="E8" s="538" t="s">
        <v>262</v>
      </c>
      <c r="F8" s="449" t="s">
        <v>263</v>
      </c>
      <c r="G8" s="449" t="s">
        <v>264</v>
      </c>
      <c r="H8" s="539" t="s">
        <v>278</v>
      </c>
      <c r="I8" s="447">
        <v>5.7000000000000002E-2</v>
      </c>
      <c r="J8" s="447">
        <v>5.7000000000000002E-2</v>
      </c>
      <c r="K8" s="447">
        <v>5.7000000000000002E-2</v>
      </c>
      <c r="L8" s="447">
        <v>5.7000000000000002E-2</v>
      </c>
      <c r="M8" s="447">
        <v>5.7000000000000002E-2</v>
      </c>
      <c r="N8" s="447">
        <v>7.8E-2</v>
      </c>
      <c r="O8" s="447">
        <v>7.8E-2</v>
      </c>
      <c r="P8" s="447">
        <v>7.8E-2</v>
      </c>
      <c r="Q8" s="447">
        <v>7.8E-2</v>
      </c>
      <c r="R8" s="447">
        <v>7.8E-2</v>
      </c>
      <c r="S8" s="447">
        <v>5.7000000000000002E-2</v>
      </c>
      <c r="T8" s="447">
        <v>5.7000000000000002E-2</v>
      </c>
      <c r="U8" s="447">
        <v>5.7000000000000002E-2</v>
      </c>
      <c r="V8" s="447">
        <v>5.7000000000000002E-2</v>
      </c>
      <c r="W8" s="447">
        <v>5.7000000000000002E-2</v>
      </c>
      <c r="X8" s="447">
        <v>5.7000000000000002E-2</v>
      </c>
      <c r="Y8" s="89"/>
    </row>
    <row r="9" spans="1:50" x14ac:dyDescent="0.25">
      <c r="A9" s="538"/>
      <c r="B9" s="534"/>
      <c r="C9" s="536"/>
      <c r="D9" s="544"/>
      <c r="E9" s="538"/>
      <c r="F9" s="86" t="s">
        <v>266</v>
      </c>
      <c r="G9" s="449" t="s">
        <v>264</v>
      </c>
      <c r="H9" s="534"/>
      <c r="I9" s="314">
        <v>5.7000000000000002E-2</v>
      </c>
      <c r="J9" s="314">
        <v>5.7000000000000002E-2</v>
      </c>
      <c r="K9" s="314">
        <v>5.7000000000000002E-2</v>
      </c>
      <c r="L9" s="314">
        <v>5.7000000000000002E-2</v>
      </c>
      <c r="M9" s="314">
        <v>5.7000000000000002E-2</v>
      </c>
      <c r="N9" s="314">
        <v>7.8E-2</v>
      </c>
      <c r="O9" s="314">
        <v>7.8E-2</v>
      </c>
      <c r="P9" s="314">
        <v>7.8E-2</v>
      </c>
      <c r="Q9" s="314">
        <v>7.8E-2</v>
      </c>
      <c r="R9" s="314">
        <v>7.8E-2</v>
      </c>
      <c r="S9" s="314">
        <v>5.7000000000000002E-2</v>
      </c>
      <c r="T9" s="314">
        <v>5.7000000000000002E-2</v>
      </c>
      <c r="U9" s="314">
        <v>5.7000000000000002E-2</v>
      </c>
      <c r="V9" s="314">
        <v>5.7000000000000002E-2</v>
      </c>
      <c r="W9" s="314">
        <v>5.7000000000000002E-2</v>
      </c>
      <c r="X9" s="314">
        <v>5.7000000000000002E-2</v>
      </c>
      <c r="Y9" s="89"/>
    </row>
    <row r="10" spans="1:50" x14ac:dyDescent="0.25">
      <c r="A10" s="538"/>
      <c r="B10" s="534"/>
      <c r="C10" s="536"/>
      <c r="D10" s="544"/>
      <c r="E10" s="538"/>
      <c r="F10" s="87" t="s">
        <v>268</v>
      </c>
      <c r="G10" s="87">
        <v>2001</v>
      </c>
      <c r="H10" s="368" t="s">
        <v>269</v>
      </c>
      <c r="I10" s="315">
        <v>5.7000000000000002E-2</v>
      </c>
      <c r="J10" s="315">
        <v>5.7000000000000002E-2</v>
      </c>
      <c r="K10" s="315">
        <v>5.7000000000000002E-2</v>
      </c>
      <c r="L10" s="315">
        <v>5.7000000000000002E-2</v>
      </c>
      <c r="M10" s="315">
        <v>5.7000000000000002E-2</v>
      </c>
      <c r="N10" s="315">
        <v>7.8E-2</v>
      </c>
      <c r="O10" s="315">
        <v>7.8E-2</v>
      </c>
      <c r="P10" s="315">
        <v>7.8E-2</v>
      </c>
      <c r="Q10" s="315">
        <v>7.8E-2</v>
      </c>
      <c r="R10" s="315">
        <v>5.7000000000000002E-2</v>
      </c>
      <c r="S10" s="315">
        <v>5.7000000000000002E-2</v>
      </c>
      <c r="T10" s="315">
        <v>5.7000000000000002E-2</v>
      </c>
      <c r="U10" s="315">
        <v>5.7000000000000002E-2</v>
      </c>
      <c r="V10" s="315">
        <v>5.7000000000000002E-2</v>
      </c>
      <c r="W10" s="315">
        <v>5.7000000000000002E-2</v>
      </c>
      <c r="X10" s="315">
        <v>5.7000000000000002E-2</v>
      </c>
      <c r="Y10" s="89"/>
    </row>
    <row r="11" spans="1:50" x14ac:dyDescent="0.25">
      <c r="A11" s="538"/>
      <c r="B11" s="534"/>
      <c r="C11" s="536"/>
      <c r="D11" s="544"/>
      <c r="E11" s="538"/>
      <c r="F11" s="88" t="s">
        <v>270</v>
      </c>
      <c r="G11" s="88">
        <v>2013</v>
      </c>
      <c r="H11" s="369" t="s">
        <v>271</v>
      </c>
      <c r="I11" s="316">
        <v>4.9000000000000002E-2</v>
      </c>
      <c r="J11" s="316">
        <v>3.9E-2</v>
      </c>
      <c r="K11" s="316">
        <v>3.9E-2</v>
      </c>
      <c r="L11" s="316">
        <v>3.9E-2</v>
      </c>
      <c r="M11" s="316">
        <v>4.9000000000000002E-2</v>
      </c>
      <c r="N11" s="316">
        <v>7.4999999999999997E-2</v>
      </c>
      <c r="O11" s="316">
        <v>6.7000000000000004E-2</v>
      </c>
      <c r="P11" s="316">
        <v>6.7000000000000004E-2</v>
      </c>
      <c r="Q11" s="316">
        <v>3.9E-2</v>
      </c>
      <c r="R11" s="316">
        <v>3.9E-2</v>
      </c>
      <c r="S11" s="316">
        <v>3.9E-2</v>
      </c>
      <c r="T11" s="316">
        <v>3.9E-2</v>
      </c>
      <c r="U11" s="316">
        <v>3.9E-2</v>
      </c>
      <c r="V11" s="316">
        <v>3.9E-2</v>
      </c>
      <c r="W11" s="316">
        <v>3.9E-2</v>
      </c>
      <c r="X11" s="316">
        <v>3.9E-2</v>
      </c>
      <c r="Y11" s="89"/>
    </row>
    <row r="12" spans="1:50" x14ac:dyDescent="0.25">
      <c r="A12" s="538"/>
      <c r="B12" s="534"/>
      <c r="C12" s="537"/>
      <c r="D12" s="545"/>
      <c r="E12" s="538"/>
      <c r="F12" s="113" t="s">
        <v>273</v>
      </c>
      <c r="G12" s="114">
        <v>2025</v>
      </c>
      <c r="H12" s="370" t="s">
        <v>271</v>
      </c>
      <c r="I12" s="136">
        <v>2.8000000000000001E-2</v>
      </c>
      <c r="J12" s="136">
        <v>2.8000000000000001E-2</v>
      </c>
      <c r="K12" s="136">
        <v>2.8000000000000001E-2</v>
      </c>
      <c r="L12" s="136">
        <v>2.8000000000000001E-2</v>
      </c>
      <c r="M12" s="136">
        <v>2.8000000000000001E-2</v>
      </c>
      <c r="N12" s="136">
        <v>4.7E-2</v>
      </c>
      <c r="O12" s="136">
        <v>4.7E-2</v>
      </c>
      <c r="P12" s="136">
        <v>4.7E-2</v>
      </c>
      <c r="Q12" s="136">
        <v>2.8000000000000001E-2</v>
      </c>
      <c r="R12" s="136">
        <v>2.8000000000000001E-2</v>
      </c>
      <c r="S12" s="136">
        <v>2.8000000000000001E-2</v>
      </c>
      <c r="T12" s="136">
        <v>2.8000000000000001E-2</v>
      </c>
      <c r="U12" s="136">
        <v>2.8000000000000001E-2</v>
      </c>
      <c r="V12" s="136">
        <v>2.8000000000000001E-2</v>
      </c>
      <c r="W12" s="136">
        <v>2.8000000000000001E-2</v>
      </c>
      <c r="X12" s="136">
        <v>2.8000000000000001E-2</v>
      </c>
      <c r="Y12" s="89"/>
    </row>
    <row r="13" spans="1:50" x14ac:dyDescent="0.25">
      <c r="A13" s="538" t="s">
        <v>279</v>
      </c>
      <c r="B13" s="546" t="s">
        <v>68</v>
      </c>
      <c r="C13" s="535" t="s">
        <v>280</v>
      </c>
      <c r="D13" s="534" t="s">
        <v>281</v>
      </c>
      <c r="E13" s="538" t="s">
        <v>262</v>
      </c>
      <c r="F13" s="449" t="s">
        <v>263</v>
      </c>
      <c r="G13" s="449" t="s">
        <v>264</v>
      </c>
      <c r="H13" s="534" t="s">
        <v>282</v>
      </c>
      <c r="I13" s="115">
        <f>0.33*1.12+0.67*I16</f>
        <v>0.61080000000000001</v>
      </c>
      <c r="J13" s="115">
        <f t="shared" ref="J13:X13" si="1">0.33*1.12+0.67*J16</f>
        <v>0.61080000000000001</v>
      </c>
      <c r="K13" s="115">
        <f t="shared" si="1"/>
        <v>0.61080000000000001</v>
      </c>
      <c r="L13" s="115">
        <f t="shared" si="1"/>
        <v>0.61080000000000001</v>
      </c>
      <c r="M13" s="115">
        <f t="shared" si="1"/>
        <v>0.61080000000000001</v>
      </c>
      <c r="N13" s="115">
        <f t="shared" si="1"/>
        <v>0.61080000000000001</v>
      </c>
      <c r="O13" s="115">
        <f t="shared" si="1"/>
        <v>0.61080000000000001</v>
      </c>
      <c r="P13" s="115">
        <f t="shared" si="1"/>
        <v>0.61080000000000001</v>
      </c>
      <c r="Q13" s="115">
        <f t="shared" si="1"/>
        <v>0.61080000000000001</v>
      </c>
      <c r="R13" s="115">
        <f t="shared" si="1"/>
        <v>0.61080000000000001</v>
      </c>
      <c r="S13" s="115">
        <f t="shared" si="1"/>
        <v>0.61080000000000001</v>
      </c>
      <c r="T13" s="115">
        <f t="shared" si="1"/>
        <v>0.61080000000000001</v>
      </c>
      <c r="U13" s="115">
        <f t="shared" si="1"/>
        <v>0.61080000000000001</v>
      </c>
      <c r="V13" s="115">
        <f t="shared" si="1"/>
        <v>0.61080000000000001</v>
      </c>
      <c r="W13" s="115">
        <f t="shared" si="1"/>
        <v>0.61080000000000001</v>
      </c>
      <c r="X13" s="115">
        <f t="shared" si="1"/>
        <v>0.61080000000000001</v>
      </c>
      <c r="Y13" s="89"/>
    </row>
    <row r="14" spans="1:50" x14ac:dyDescent="0.25">
      <c r="A14" s="538"/>
      <c r="B14" s="547"/>
      <c r="C14" s="536"/>
      <c r="D14" s="534"/>
      <c r="E14" s="538"/>
      <c r="F14" s="86" t="s">
        <v>266</v>
      </c>
      <c r="G14" s="86" t="s">
        <v>264</v>
      </c>
      <c r="H14" s="534"/>
      <c r="I14" s="116">
        <f>0.33*1.12+0.67*I16</f>
        <v>0.61080000000000001</v>
      </c>
      <c r="J14" s="116">
        <f t="shared" ref="J14:X14" si="2">0.33*1.12+0.67*J16</f>
        <v>0.61080000000000001</v>
      </c>
      <c r="K14" s="116">
        <f t="shared" si="2"/>
        <v>0.61080000000000001</v>
      </c>
      <c r="L14" s="116">
        <f t="shared" si="2"/>
        <v>0.61080000000000001</v>
      </c>
      <c r="M14" s="116">
        <f t="shared" si="2"/>
        <v>0.61080000000000001</v>
      </c>
      <c r="N14" s="116">
        <f t="shared" si="2"/>
        <v>0.61080000000000001</v>
      </c>
      <c r="O14" s="116">
        <f t="shared" si="2"/>
        <v>0.61080000000000001</v>
      </c>
      <c r="P14" s="116">
        <f t="shared" si="2"/>
        <v>0.61080000000000001</v>
      </c>
      <c r="Q14" s="116">
        <f t="shared" si="2"/>
        <v>0.61080000000000001</v>
      </c>
      <c r="R14" s="116">
        <f t="shared" si="2"/>
        <v>0.61080000000000001</v>
      </c>
      <c r="S14" s="116">
        <f t="shared" si="2"/>
        <v>0.61080000000000001</v>
      </c>
      <c r="T14" s="116">
        <f t="shared" si="2"/>
        <v>0.61080000000000001</v>
      </c>
      <c r="U14" s="116">
        <f t="shared" si="2"/>
        <v>0.61080000000000001</v>
      </c>
      <c r="V14" s="116">
        <f t="shared" si="2"/>
        <v>0.61080000000000001</v>
      </c>
      <c r="W14" s="116">
        <f t="shared" si="2"/>
        <v>0.61080000000000001</v>
      </c>
      <c r="X14" s="116">
        <f t="shared" si="2"/>
        <v>0.61080000000000001</v>
      </c>
      <c r="Y14" s="89"/>
    </row>
    <row r="15" spans="1:50" x14ac:dyDescent="0.25">
      <c r="A15" s="538"/>
      <c r="B15" s="547"/>
      <c r="C15" s="536"/>
      <c r="D15" s="538" t="s">
        <v>283</v>
      </c>
      <c r="E15" s="538"/>
      <c r="F15" s="87" t="s">
        <v>268</v>
      </c>
      <c r="G15" s="87">
        <v>2001</v>
      </c>
      <c r="H15" s="368" t="s">
        <v>269</v>
      </c>
      <c r="I15" s="87">
        <v>0.49</v>
      </c>
      <c r="J15" s="87">
        <v>0.49</v>
      </c>
      <c r="K15" s="87">
        <v>0.81</v>
      </c>
      <c r="L15" s="87">
        <v>0.81</v>
      </c>
      <c r="M15" s="87">
        <v>0.81</v>
      </c>
      <c r="N15" s="87">
        <v>0.81</v>
      </c>
      <c r="O15" s="87">
        <v>0.81</v>
      </c>
      <c r="P15" s="87">
        <v>0.81</v>
      </c>
      <c r="Q15" s="87">
        <v>0.81</v>
      </c>
      <c r="R15" s="87">
        <v>0.49</v>
      </c>
      <c r="S15" s="87">
        <v>0.49</v>
      </c>
      <c r="T15" s="87">
        <v>0.49</v>
      </c>
      <c r="U15" s="87">
        <v>0.49</v>
      </c>
      <c r="V15" s="87">
        <v>0.49</v>
      </c>
      <c r="W15" s="87">
        <v>0.49</v>
      </c>
      <c r="X15" s="87">
        <v>0.49</v>
      </c>
      <c r="Y15" s="89"/>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x14ac:dyDescent="0.25">
      <c r="A16" s="538"/>
      <c r="B16" s="547"/>
      <c r="C16" s="536"/>
      <c r="D16" s="538"/>
      <c r="E16" s="538"/>
      <c r="F16" s="88" t="s">
        <v>270</v>
      </c>
      <c r="G16" s="88">
        <v>2013</v>
      </c>
      <c r="H16" s="369" t="s">
        <v>271</v>
      </c>
      <c r="I16" s="88">
        <v>0.36</v>
      </c>
      <c r="J16" s="88">
        <v>0.36</v>
      </c>
      <c r="K16" s="88">
        <v>0.36</v>
      </c>
      <c r="L16" s="88">
        <v>0.36</v>
      </c>
      <c r="M16" s="88">
        <v>0.36</v>
      </c>
      <c r="N16" s="88">
        <v>0.36</v>
      </c>
      <c r="O16" s="88">
        <v>0.36</v>
      </c>
      <c r="P16" s="88">
        <v>0.36</v>
      </c>
      <c r="Q16" s="88">
        <v>0.36</v>
      </c>
      <c r="R16" s="88">
        <v>0.36</v>
      </c>
      <c r="S16" s="88">
        <v>0.36</v>
      </c>
      <c r="T16" s="88">
        <v>0.36</v>
      </c>
      <c r="U16" s="88">
        <v>0.36</v>
      </c>
      <c r="V16" s="88">
        <v>0.36</v>
      </c>
      <c r="W16" s="88">
        <v>0.36</v>
      </c>
      <c r="X16" s="88">
        <v>0.36</v>
      </c>
      <c r="Y16" s="89"/>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62" x14ac:dyDescent="0.25">
      <c r="A17" s="538"/>
      <c r="B17" s="547"/>
      <c r="C17" s="537"/>
      <c r="D17" s="538"/>
      <c r="E17" s="538"/>
      <c r="F17" s="435" t="s">
        <v>273</v>
      </c>
      <c r="G17" s="436">
        <v>2025</v>
      </c>
      <c r="H17" s="437" t="s">
        <v>271</v>
      </c>
      <c r="I17" s="436">
        <v>0.36</v>
      </c>
      <c r="J17" s="436">
        <v>0.36</v>
      </c>
      <c r="K17" s="436">
        <v>0.36</v>
      </c>
      <c r="L17" s="436">
        <v>0.36</v>
      </c>
      <c r="M17" s="436">
        <v>0.36</v>
      </c>
      <c r="N17" s="436">
        <v>0.36</v>
      </c>
      <c r="O17" s="436">
        <v>0.36</v>
      </c>
      <c r="P17" s="436">
        <v>0.36</v>
      </c>
      <c r="Q17" s="436">
        <v>0.34</v>
      </c>
      <c r="R17" s="436">
        <v>0.36</v>
      </c>
      <c r="S17" s="436">
        <v>0.34</v>
      </c>
      <c r="T17" s="436">
        <v>0.34</v>
      </c>
      <c r="U17" s="436">
        <v>0.34</v>
      </c>
      <c r="V17" s="436">
        <v>0.34</v>
      </c>
      <c r="W17" s="436">
        <v>0.34</v>
      </c>
      <c r="X17" s="436">
        <v>0.36</v>
      </c>
      <c r="Y17" s="89"/>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62" x14ac:dyDescent="0.25">
      <c r="A18" s="538"/>
      <c r="B18" s="547"/>
      <c r="C18" s="535" t="s">
        <v>280</v>
      </c>
      <c r="D18" s="534" t="s">
        <v>281</v>
      </c>
      <c r="E18" s="538" t="s">
        <v>284</v>
      </c>
      <c r="F18" s="449" t="s">
        <v>263</v>
      </c>
      <c r="G18" s="449" t="s">
        <v>264</v>
      </c>
      <c r="H18" s="534" t="s">
        <v>285</v>
      </c>
      <c r="I18" s="115">
        <f>0.79*0.33+0.67*I21</f>
        <v>0.42820000000000003</v>
      </c>
      <c r="J18" s="115">
        <f t="shared" ref="J18:X18" si="3">0.79*0.33+0.67*J21</f>
        <v>0.42820000000000003</v>
      </c>
      <c r="K18" s="115">
        <f t="shared" si="3"/>
        <v>0.42820000000000003</v>
      </c>
      <c r="L18" s="115">
        <f t="shared" si="3"/>
        <v>0.42820000000000003</v>
      </c>
      <c r="M18" s="115">
        <f t="shared" si="3"/>
        <v>0.42820000000000003</v>
      </c>
      <c r="N18" s="115">
        <f t="shared" si="3"/>
        <v>0.42820000000000003</v>
      </c>
      <c r="O18" s="115">
        <f t="shared" si="3"/>
        <v>0.42820000000000003</v>
      </c>
      <c r="P18" s="115">
        <f t="shared" si="3"/>
        <v>0.42820000000000003</v>
      </c>
      <c r="Q18" s="115">
        <f t="shared" si="3"/>
        <v>0.42820000000000003</v>
      </c>
      <c r="R18" s="115">
        <f t="shared" si="3"/>
        <v>0.42820000000000003</v>
      </c>
      <c r="S18" s="115">
        <f t="shared" si="3"/>
        <v>0.42820000000000003</v>
      </c>
      <c r="T18" s="115">
        <f t="shared" si="3"/>
        <v>0.42820000000000003</v>
      </c>
      <c r="U18" s="115">
        <f t="shared" si="3"/>
        <v>0.42820000000000003</v>
      </c>
      <c r="V18" s="115">
        <f t="shared" si="3"/>
        <v>0.42820000000000003</v>
      </c>
      <c r="W18" s="115">
        <f t="shared" si="3"/>
        <v>0.42820000000000003</v>
      </c>
      <c r="X18" s="115">
        <f t="shared" si="3"/>
        <v>0.42820000000000003</v>
      </c>
      <c r="Y18" s="89"/>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62" x14ac:dyDescent="0.25">
      <c r="A19" s="538"/>
      <c r="B19" s="547"/>
      <c r="C19" s="536"/>
      <c r="D19" s="534"/>
      <c r="E19" s="538"/>
      <c r="F19" s="86" t="s">
        <v>266</v>
      </c>
      <c r="G19" s="86" t="s">
        <v>264</v>
      </c>
      <c r="H19" s="534"/>
      <c r="I19" s="116">
        <f>0.79*0.33+0.67*I21</f>
        <v>0.42820000000000003</v>
      </c>
      <c r="J19" s="116">
        <f t="shared" ref="J19:X19" si="4">0.79*0.33+0.67*J21</f>
        <v>0.42820000000000003</v>
      </c>
      <c r="K19" s="116">
        <f t="shared" si="4"/>
        <v>0.42820000000000003</v>
      </c>
      <c r="L19" s="116">
        <f t="shared" si="4"/>
        <v>0.42820000000000003</v>
      </c>
      <c r="M19" s="116">
        <f t="shared" si="4"/>
        <v>0.42820000000000003</v>
      </c>
      <c r="N19" s="116">
        <f t="shared" si="4"/>
        <v>0.42820000000000003</v>
      </c>
      <c r="O19" s="116">
        <f t="shared" si="4"/>
        <v>0.42820000000000003</v>
      </c>
      <c r="P19" s="116">
        <f t="shared" si="4"/>
        <v>0.42820000000000003</v>
      </c>
      <c r="Q19" s="116">
        <f t="shared" si="4"/>
        <v>0.42820000000000003</v>
      </c>
      <c r="R19" s="116">
        <f t="shared" si="4"/>
        <v>0.42820000000000003</v>
      </c>
      <c r="S19" s="116">
        <f t="shared" si="4"/>
        <v>0.42820000000000003</v>
      </c>
      <c r="T19" s="116">
        <f t="shared" si="4"/>
        <v>0.42820000000000003</v>
      </c>
      <c r="U19" s="116">
        <f t="shared" si="4"/>
        <v>0.42820000000000003</v>
      </c>
      <c r="V19" s="116">
        <f t="shared" si="4"/>
        <v>0.42820000000000003</v>
      </c>
      <c r="W19" s="116">
        <f t="shared" si="4"/>
        <v>0.42820000000000003</v>
      </c>
      <c r="X19" s="116">
        <f t="shared" si="4"/>
        <v>0.42820000000000003</v>
      </c>
      <c r="Y19" s="89"/>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62" x14ac:dyDescent="0.25">
      <c r="A20" s="538"/>
      <c r="B20" s="547"/>
      <c r="C20" s="536"/>
      <c r="D20" s="538" t="s">
        <v>283</v>
      </c>
      <c r="E20" s="538"/>
      <c r="F20" s="87" t="s">
        <v>268</v>
      </c>
      <c r="G20" s="87">
        <v>2001</v>
      </c>
      <c r="H20" s="264" t="s">
        <v>286</v>
      </c>
      <c r="I20" s="87">
        <v>0.43</v>
      </c>
      <c r="J20" s="270">
        <v>0.31</v>
      </c>
      <c r="K20" s="87">
        <v>0.41</v>
      </c>
      <c r="L20" s="87">
        <v>0.41</v>
      </c>
      <c r="M20" s="87">
        <v>0.41</v>
      </c>
      <c r="N20" s="87">
        <v>0.34</v>
      </c>
      <c r="O20" s="87">
        <v>0.34</v>
      </c>
      <c r="P20" s="87">
        <v>0.34</v>
      </c>
      <c r="Q20" s="87">
        <v>0.34</v>
      </c>
      <c r="R20" s="87">
        <v>0.31</v>
      </c>
      <c r="S20" s="87">
        <v>0.31</v>
      </c>
      <c r="T20" s="87">
        <v>0.31</v>
      </c>
      <c r="U20" s="87">
        <v>0.31</v>
      </c>
      <c r="V20" s="87">
        <v>0.31</v>
      </c>
      <c r="W20" s="87">
        <v>0.31</v>
      </c>
      <c r="X20" s="87">
        <v>0.43</v>
      </c>
      <c r="Y20" s="89"/>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62" x14ac:dyDescent="0.25">
      <c r="A21" s="538"/>
      <c r="B21" s="547"/>
      <c r="C21" s="536"/>
      <c r="D21" s="538"/>
      <c r="E21" s="538"/>
      <c r="F21" s="88" t="s">
        <v>270</v>
      </c>
      <c r="G21" s="88">
        <v>2013</v>
      </c>
      <c r="H21" s="369" t="s">
        <v>271</v>
      </c>
      <c r="I21" s="88">
        <v>0.25</v>
      </c>
      <c r="J21" s="88">
        <v>0.25</v>
      </c>
      <c r="K21" s="88">
        <v>0.25</v>
      </c>
      <c r="L21" s="88">
        <v>0.25</v>
      </c>
      <c r="M21" s="88">
        <v>0.25</v>
      </c>
      <c r="N21" s="88">
        <v>0.25</v>
      </c>
      <c r="O21" s="88">
        <v>0.25</v>
      </c>
      <c r="P21" s="88">
        <v>0.25</v>
      </c>
      <c r="Q21" s="88">
        <v>0.25</v>
      </c>
      <c r="R21" s="88">
        <v>0.25</v>
      </c>
      <c r="S21" s="88">
        <v>0.25</v>
      </c>
      <c r="T21" s="88">
        <v>0.25</v>
      </c>
      <c r="U21" s="88">
        <v>0.25</v>
      </c>
      <c r="V21" s="88">
        <v>0.25</v>
      </c>
      <c r="W21" s="88">
        <v>0.25</v>
      </c>
      <c r="X21" s="88">
        <v>0.25</v>
      </c>
      <c r="Y21" s="89"/>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62" x14ac:dyDescent="0.25">
      <c r="A22" s="538"/>
      <c r="B22" s="548"/>
      <c r="C22" s="537"/>
      <c r="D22" s="538"/>
      <c r="E22" s="538"/>
      <c r="F22" s="435" t="s">
        <v>273</v>
      </c>
      <c r="G22" s="436">
        <v>2025</v>
      </c>
      <c r="H22" s="438" t="s">
        <v>271</v>
      </c>
      <c r="I22" s="436">
        <v>0.25</v>
      </c>
      <c r="J22" s="436">
        <v>0.25</v>
      </c>
      <c r="K22" s="436">
        <v>0.25</v>
      </c>
      <c r="L22" s="436">
        <v>0.25</v>
      </c>
      <c r="M22" s="436">
        <v>0.25</v>
      </c>
      <c r="N22" s="436">
        <v>0.25</v>
      </c>
      <c r="O22" s="436">
        <v>0.25</v>
      </c>
      <c r="P22" s="436">
        <v>0.25</v>
      </c>
      <c r="Q22" s="436">
        <v>0.22</v>
      </c>
      <c r="R22" s="436">
        <v>0.25</v>
      </c>
      <c r="S22" s="436">
        <v>0.22</v>
      </c>
      <c r="T22" s="436">
        <v>0.22</v>
      </c>
      <c r="U22" s="436">
        <v>0.22</v>
      </c>
      <c r="V22" s="436">
        <v>0.22</v>
      </c>
      <c r="W22" s="436">
        <v>0.22</v>
      </c>
      <c r="X22" s="436">
        <v>0.25</v>
      </c>
      <c r="Y22" s="89"/>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62" customFormat="1" ht="16.95" customHeight="1" x14ac:dyDescent="0.3">
      <c r="A23" s="542" t="s">
        <v>287</v>
      </c>
      <c r="B23" s="542" t="s">
        <v>68</v>
      </c>
      <c r="C23" s="542" t="s">
        <v>287</v>
      </c>
      <c r="D23" s="535" t="s">
        <v>288</v>
      </c>
      <c r="E23" s="542" t="s">
        <v>262</v>
      </c>
      <c r="F23" s="447" t="s">
        <v>263</v>
      </c>
      <c r="G23" s="447">
        <v>1992</v>
      </c>
      <c r="H23" s="539" t="s">
        <v>289</v>
      </c>
      <c r="I23" s="266">
        <v>0.85</v>
      </c>
      <c r="J23" s="266">
        <v>1.31</v>
      </c>
      <c r="K23" s="266">
        <v>1.31</v>
      </c>
      <c r="L23" s="266">
        <v>1.31</v>
      </c>
      <c r="M23" s="266">
        <v>1.31</v>
      </c>
      <c r="N23" s="266">
        <v>1.31</v>
      </c>
      <c r="O23" s="266">
        <v>1.31</v>
      </c>
      <c r="P23" s="266">
        <v>1.31</v>
      </c>
      <c r="Q23" s="266">
        <v>1.31</v>
      </c>
      <c r="R23" s="266">
        <v>1.31</v>
      </c>
      <c r="S23" s="266">
        <v>0.85</v>
      </c>
      <c r="T23" s="266">
        <v>0.85</v>
      </c>
      <c r="U23" s="266">
        <v>0.85</v>
      </c>
      <c r="V23" s="266">
        <v>0.85</v>
      </c>
      <c r="W23" s="266">
        <v>0.85</v>
      </c>
      <c r="X23" s="266">
        <v>0.85</v>
      </c>
    </row>
    <row r="24" spans="1:62" customFormat="1" ht="16.95" customHeight="1" x14ac:dyDescent="0.3">
      <c r="A24" s="542"/>
      <c r="B24" s="542"/>
      <c r="C24" s="542"/>
      <c r="D24" s="536"/>
      <c r="E24" s="542"/>
      <c r="F24" s="310" t="s">
        <v>266</v>
      </c>
      <c r="G24" s="310">
        <v>1992</v>
      </c>
      <c r="H24" s="539"/>
      <c r="I24" s="311">
        <f t="shared" ref="I24:X24" si="5">I23</f>
        <v>0.85</v>
      </c>
      <c r="J24" s="311">
        <f t="shared" si="5"/>
        <v>1.31</v>
      </c>
      <c r="K24" s="311">
        <f t="shared" si="5"/>
        <v>1.31</v>
      </c>
      <c r="L24" s="311">
        <f t="shared" si="5"/>
        <v>1.31</v>
      </c>
      <c r="M24" s="311">
        <f t="shared" si="5"/>
        <v>1.31</v>
      </c>
      <c r="N24" s="311">
        <f t="shared" si="5"/>
        <v>1.31</v>
      </c>
      <c r="O24" s="311">
        <f t="shared" si="5"/>
        <v>1.31</v>
      </c>
      <c r="P24" s="311">
        <f t="shared" si="5"/>
        <v>1.31</v>
      </c>
      <c r="Q24" s="311">
        <f t="shared" si="5"/>
        <v>1.31</v>
      </c>
      <c r="R24" s="311">
        <f t="shared" si="5"/>
        <v>1.31</v>
      </c>
      <c r="S24" s="311">
        <f t="shared" si="5"/>
        <v>0.85</v>
      </c>
      <c r="T24" s="311">
        <f t="shared" si="5"/>
        <v>0.85</v>
      </c>
      <c r="U24" s="311">
        <f t="shared" si="5"/>
        <v>0.85</v>
      </c>
      <c r="V24" s="311">
        <f t="shared" si="5"/>
        <v>0.85</v>
      </c>
      <c r="W24" s="311">
        <f t="shared" si="5"/>
        <v>0.85</v>
      </c>
      <c r="X24" s="311">
        <f t="shared" si="5"/>
        <v>0.85</v>
      </c>
    </row>
    <row r="25" spans="1:62" customFormat="1" ht="17.399999999999999" customHeight="1" x14ac:dyDescent="0.3">
      <c r="A25" s="542"/>
      <c r="B25" s="542"/>
      <c r="C25" s="542"/>
      <c r="D25" s="536"/>
      <c r="E25" s="542"/>
      <c r="F25" s="270" t="s">
        <v>268</v>
      </c>
      <c r="G25" s="270">
        <v>2001</v>
      </c>
      <c r="H25" s="264" t="s">
        <v>290</v>
      </c>
      <c r="I25" s="270">
        <v>0.87</v>
      </c>
      <c r="J25" s="270">
        <v>1.1000000000000001</v>
      </c>
      <c r="K25" s="270">
        <v>1.3</v>
      </c>
      <c r="L25" s="270">
        <v>1.3</v>
      </c>
      <c r="M25" s="270">
        <v>1.3</v>
      </c>
      <c r="N25" s="270">
        <v>1.3</v>
      </c>
      <c r="O25" s="270">
        <v>1.3</v>
      </c>
      <c r="P25" s="270">
        <v>1.3</v>
      </c>
      <c r="Q25" s="270">
        <v>1.3</v>
      </c>
      <c r="R25" s="270">
        <v>1.1000000000000001</v>
      </c>
      <c r="S25" s="270">
        <v>1.1000000000000001</v>
      </c>
      <c r="T25" s="270">
        <v>1.1000000000000001</v>
      </c>
      <c r="U25" s="270">
        <v>1.1000000000000001</v>
      </c>
      <c r="V25" s="270">
        <v>1.1000000000000001</v>
      </c>
      <c r="W25" s="270">
        <v>1.1000000000000001</v>
      </c>
      <c r="X25" s="270">
        <v>0.87</v>
      </c>
    </row>
    <row r="26" spans="1:62" customFormat="1" ht="14.4" x14ac:dyDescent="0.3">
      <c r="A26" s="542"/>
      <c r="B26" s="542"/>
      <c r="C26" s="542"/>
      <c r="D26" s="536"/>
      <c r="E26" s="542"/>
      <c r="F26" s="312" t="s">
        <v>270</v>
      </c>
      <c r="G26" s="312">
        <v>2013</v>
      </c>
      <c r="H26" s="371" t="s">
        <v>271</v>
      </c>
      <c r="I26" s="312">
        <v>0.88</v>
      </c>
      <c r="J26" s="312">
        <v>0.88</v>
      </c>
      <c r="K26" s="312">
        <v>0.88</v>
      </c>
      <c r="L26" s="312">
        <v>0.88</v>
      </c>
      <c r="M26" s="312">
        <v>0.88</v>
      </c>
      <c r="N26" s="312">
        <v>0.88</v>
      </c>
      <c r="O26" s="312">
        <v>0.88</v>
      </c>
      <c r="P26" s="312">
        <v>0.88</v>
      </c>
      <c r="Q26" s="312">
        <v>0.88</v>
      </c>
      <c r="R26" s="312">
        <v>0.88</v>
      </c>
      <c r="S26" s="312">
        <v>0.88</v>
      </c>
      <c r="T26" s="312">
        <v>0.88</v>
      </c>
      <c r="U26" s="312">
        <v>0.88</v>
      </c>
      <c r="V26" s="312">
        <v>0.88</v>
      </c>
      <c r="W26" s="312">
        <v>0.88</v>
      </c>
      <c r="X26" s="312">
        <v>0.88</v>
      </c>
    </row>
    <row r="27" spans="1:62" customFormat="1" ht="14.4" x14ac:dyDescent="0.3">
      <c r="A27" s="542"/>
      <c r="B27" s="542"/>
      <c r="C27" s="542"/>
      <c r="D27" s="536"/>
      <c r="E27" s="542"/>
      <c r="F27" s="439" t="s">
        <v>273</v>
      </c>
      <c r="G27" s="439">
        <v>2025</v>
      </c>
      <c r="H27" s="440" t="s">
        <v>271</v>
      </c>
      <c r="I27" s="439">
        <v>0.88</v>
      </c>
      <c r="J27" s="439">
        <v>0.88</v>
      </c>
      <c r="K27" s="439">
        <v>0.88</v>
      </c>
      <c r="L27" s="439">
        <v>0.88</v>
      </c>
      <c r="M27" s="439">
        <v>0.88</v>
      </c>
      <c r="N27" s="439">
        <v>0.88</v>
      </c>
      <c r="O27" s="439">
        <v>0.88</v>
      </c>
      <c r="P27" s="439">
        <v>0.88</v>
      </c>
      <c r="Q27" s="439">
        <v>0.88</v>
      </c>
      <c r="R27" s="439">
        <v>0.88</v>
      </c>
      <c r="S27" s="439">
        <v>0.88</v>
      </c>
      <c r="T27" s="439">
        <v>0.88</v>
      </c>
      <c r="U27" s="439">
        <v>0.88</v>
      </c>
      <c r="V27" s="439">
        <v>0.88</v>
      </c>
      <c r="W27" s="439">
        <v>0.88</v>
      </c>
      <c r="X27" s="439">
        <v>0.88</v>
      </c>
    </row>
    <row r="28" spans="1:62" x14ac:dyDescent="0.25">
      <c r="A28" s="542"/>
      <c r="B28" s="542"/>
      <c r="C28" s="542"/>
      <c r="D28" s="536"/>
      <c r="E28" s="542" t="s">
        <v>284</v>
      </c>
      <c r="F28" s="447" t="s">
        <v>263</v>
      </c>
      <c r="G28" s="447">
        <v>1992</v>
      </c>
      <c r="H28" s="539" t="s">
        <v>291</v>
      </c>
      <c r="I28" s="266">
        <v>0.81</v>
      </c>
      <c r="J28" s="266">
        <v>0.86</v>
      </c>
      <c r="K28" s="266">
        <v>0.86</v>
      </c>
      <c r="L28" s="266">
        <v>0.86</v>
      </c>
      <c r="M28" s="266">
        <v>0.86</v>
      </c>
      <c r="N28" s="266">
        <v>0.86</v>
      </c>
      <c r="O28" s="266">
        <v>0.86</v>
      </c>
      <c r="P28" s="266">
        <v>0.86</v>
      </c>
      <c r="Q28" s="266">
        <v>0.86</v>
      </c>
      <c r="R28" s="266">
        <v>0.86</v>
      </c>
      <c r="S28" s="266">
        <v>0.81</v>
      </c>
      <c r="T28" s="266">
        <v>0.81</v>
      </c>
      <c r="U28" s="266">
        <v>0.81</v>
      </c>
      <c r="V28" s="266">
        <v>0.81</v>
      </c>
      <c r="W28" s="266">
        <v>0.81</v>
      </c>
      <c r="X28" s="266">
        <v>0.81</v>
      </c>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row>
    <row r="29" spans="1:62" x14ac:dyDescent="0.25">
      <c r="A29" s="542"/>
      <c r="B29" s="542"/>
      <c r="C29" s="542"/>
      <c r="D29" s="536"/>
      <c r="E29" s="542"/>
      <c r="F29" s="310" t="s">
        <v>266</v>
      </c>
      <c r="G29" s="310">
        <v>1992</v>
      </c>
      <c r="H29" s="539"/>
      <c r="I29" s="310">
        <f t="shared" ref="I29:X29" si="6">I28</f>
        <v>0.81</v>
      </c>
      <c r="J29" s="310">
        <f t="shared" si="6"/>
        <v>0.86</v>
      </c>
      <c r="K29" s="310">
        <f t="shared" si="6"/>
        <v>0.86</v>
      </c>
      <c r="L29" s="310">
        <f t="shared" si="6"/>
        <v>0.86</v>
      </c>
      <c r="M29" s="310">
        <f t="shared" si="6"/>
        <v>0.86</v>
      </c>
      <c r="N29" s="310">
        <f t="shared" si="6"/>
        <v>0.86</v>
      </c>
      <c r="O29" s="310">
        <f t="shared" si="6"/>
        <v>0.86</v>
      </c>
      <c r="P29" s="310">
        <f t="shared" si="6"/>
        <v>0.86</v>
      </c>
      <c r="Q29" s="310">
        <f t="shared" si="6"/>
        <v>0.86</v>
      </c>
      <c r="R29" s="310">
        <f t="shared" si="6"/>
        <v>0.86</v>
      </c>
      <c r="S29" s="310">
        <f t="shared" si="6"/>
        <v>0.81</v>
      </c>
      <c r="T29" s="310">
        <f t="shared" si="6"/>
        <v>0.81</v>
      </c>
      <c r="U29" s="310">
        <f t="shared" si="6"/>
        <v>0.81</v>
      </c>
      <c r="V29" s="310">
        <f t="shared" si="6"/>
        <v>0.81</v>
      </c>
      <c r="W29" s="310">
        <f t="shared" si="6"/>
        <v>0.81</v>
      </c>
      <c r="X29" s="310">
        <f t="shared" si="6"/>
        <v>0.81</v>
      </c>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row>
    <row r="30" spans="1:62" ht="26.4" x14ac:dyDescent="0.25">
      <c r="A30" s="542"/>
      <c r="B30" s="542"/>
      <c r="C30" s="542"/>
      <c r="D30" s="536"/>
      <c r="E30" s="542"/>
      <c r="F30" s="270" t="s">
        <v>268</v>
      </c>
      <c r="G30" s="270">
        <v>2001</v>
      </c>
      <c r="H30" s="264" t="s">
        <v>292</v>
      </c>
      <c r="I30" s="270">
        <v>0.77</v>
      </c>
      <c r="J30" s="270">
        <v>0.77</v>
      </c>
      <c r="K30" s="270">
        <v>0.79</v>
      </c>
      <c r="L30" s="270">
        <v>0.79</v>
      </c>
      <c r="M30" s="270">
        <v>0.79</v>
      </c>
      <c r="N30" s="270">
        <v>0.77</v>
      </c>
      <c r="O30" s="270">
        <v>0.77</v>
      </c>
      <c r="P30" s="270">
        <v>0.77</v>
      </c>
      <c r="Q30" s="270">
        <v>0.77</v>
      </c>
      <c r="R30" s="270">
        <v>0.77</v>
      </c>
      <c r="S30" s="270">
        <v>0.77</v>
      </c>
      <c r="T30" s="270">
        <v>0.77</v>
      </c>
      <c r="U30" s="270">
        <v>0.77</v>
      </c>
      <c r="V30" s="270">
        <v>0.71</v>
      </c>
      <c r="W30" s="270">
        <v>0.71</v>
      </c>
      <c r="X30" s="270">
        <v>0.77</v>
      </c>
      <c r="Y30" s="64"/>
      <c r="Z30" s="64"/>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row>
    <row r="31" spans="1:62" x14ac:dyDescent="0.25">
      <c r="A31" s="542"/>
      <c r="B31" s="542"/>
      <c r="C31" s="542"/>
      <c r="D31" s="536"/>
      <c r="E31" s="542"/>
      <c r="F31" s="312" t="s">
        <v>270</v>
      </c>
      <c r="G31" s="312">
        <v>2013</v>
      </c>
      <c r="H31" s="312" t="s">
        <v>293</v>
      </c>
      <c r="I31" s="312">
        <v>0.77</v>
      </c>
      <c r="J31" s="312">
        <v>0.77</v>
      </c>
      <c r="K31" s="312">
        <v>0.79</v>
      </c>
      <c r="L31" s="312">
        <v>0.79</v>
      </c>
      <c r="M31" s="312">
        <v>0.79</v>
      </c>
      <c r="N31" s="312">
        <v>0.77</v>
      </c>
      <c r="O31" s="312">
        <v>0.77</v>
      </c>
      <c r="P31" s="312">
        <v>0.77</v>
      </c>
      <c r="Q31" s="312">
        <v>0.77</v>
      </c>
      <c r="R31" s="312">
        <v>0.77</v>
      </c>
      <c r="S31" s="312">
        <v>0.77</v>
      </c>
      <c r="T31" s="312">
        <v>0.77</v>
      </c>
      <c r="U31" s="312">
        <v>0.77</v>
      </c>
      <c r="V31" s="312">
        <v>0.71</v>
      </c>
      <c r="W31" s="312">
        <v>0.71</v>
      </c>
      <c r="X31" s="312">
        <v>0.77</v>
      </c>
      <c r="Y31" s="117"/>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row>
    <row r="32" spans="1:62" x14ac:dyDescent="0.25">
      <c r="A32" s="542"/>
      <c r="B32" s="542"/>
      <c r="C32" s="542"/>
      <c r="D32" s="550"/>
      <c r="E32" s="542"/>
      <c r="F32" s="439" t="s">
        <v>273</v>
      </c>
      <c r="G32" s="439">
        <v>2025</v>
      </c>
      <c r="H32" s="441" t="s">
        <v>294</v>
      </c>
      <c r="I32" s="439">
        <v>0.77</v>
      </c>
      <c r="J32" s="439">
        <v>0.77</v>
      </c>
      <c r="K32" s="439">
        <v>0.79</v>
      </c>
      <c r="L32" s="439">
        <v>0.79</v>
      </c>
      <c r="M32" s="439">
        <v>0.79</v>
      </c>
      <c r="N32" s="439">
        <v>0.77</v>
      </c>
      <c r="O32" s="439">
        <v>0.77</v>
      </c>
      <c r="P32" s="439">
        <v>0.77</v>
      </c>
      <c r="Q32" s="439">
        <v>0.77</v>
      </c>
      <c r="R32" s="439">
        <v>0.77</v>
      </c>
      <c r="S32" s="439">
        <v>0.77</v>
      </c>
      <c r="T32" s="439">
        <v>0.77</v>
      </c>
      <c r="U32" s="439">
        <v>0.77</v>
      </c>
      <c r="V32" s="439">
        <v>0.71</v>
      </c>
      <c r="W32" s="439">
        <v>0.71</v>
      </c>
      <c r="X32" s="439">
        <v>0.77</v>
      </c>
      <c r="Y32" s="8"/>
      <c r="Z32" s="2"/>
      <c r="AA32" s="532"/>
      <c r="AB32" s="532"/>
      <c r="AC32" s="532"/>
      <c r="AD32" s="532"/>
      <c r="AE32" s="532"/>
      <c r="AF32" s="532"/>
      <c r="AG32" s="532"/>
      <c r="AH32" s="532"/>
      <c r="AI32" s="532"/>
      <c r="AJ32" s="532"/>
      <c r="AK32" s="532"/>
      <c r="AL32" s="532"/>
      <c r="AM32" s="532"/>
      <c r="AN32" s="532"/>
      <c r="AO32" s="532"/>
      <c r="AP32" s="532"/>
      <c r="AQ32" s="532"/>
      <c r="AR32" s="532"/>
      <c r="AS32" s="532"/>
      <c r="AT32" s="532"/>
      <c r="AU32" s="532"/>
      <c r="AV32" s="532"/>
      <c r="AW32" s="532"/>
      <c r="AX32" s="2"/>
      <c r="AY32" s="2"/>
      <c r="AZ32" s="2"/>
      <c r="BA32" s="2"/>
      <c r="BB32" s="2"/>
      <c r="BC32" s="2"/>
      <c r="BD32" s="2"/>
      <c r="BE32" s="2"/>
      <c r="BF32" s="2"/>
      <c r="BG32" s="2"/>
      <c r="BH32" s="2"/>
      <c r="BI32" s="2"/>
      <c r="BJ32" s="2"/>
    </row>
    <row r="33" spans="1:62" x14ac:dyDescent="0.25">
      <c r="A33" s="4"/>
      <c r="B33" s="10"/>
      <c r="C33" s="10"/>
      <c r="D33" s="4"/>
      <c r="E33" s="90"/>
      <c r="F33" s="90"/>
      <c r="G33" s="91"/>
      <c r="H33" s="90"/>
      <c r="I33" s="90"/>
      <c r="J33" s="90"/>
      <c r="K33" s="90"/>
      <c r="L33" s="90"/>
      <c r="M33" s="90"/>
      <c r="N33" s="90"/>
      <c r="O33" s="90"/>
      <c r="P33" s="90"/>
      <c r="Q33" s="90"/>
      <c r="R33" s="90"/>
      <c r="S33" s="90"/>
      <c r="T33" s="90"/>
      <c r="U33" s="90"/>
      <c r="V33" s="90"/>
      <c r="W33" s="90"/>
      <c r="X33" s="90"/>
      <c r="Y33" s="2"/>
      <c r="Z33" s="4"/>
      <c r="AA33" s="4"/>
      <c r="AB33" s="4"/>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4" spans="1:62" ht="14.4" x14ac:dyDescent="0.3">
      <c r="A34" t="s">
        <v>295</v>
      </c>
      <c r="B34" s="10"/>
      <c r="C34" s="10"/>
      <c r="D34" s="4"/>
      <c r="E34" s="90"/>
      <c r="F34" s="90"/>
      <c r="G34" s="91"/>
      <c r="H34" s="90"/>
      <c r="I34" s="90"/>
      <c r="J34" s="90"/>
      <c r="K34" s="90"/>
      <c r="L34" s="90"/>
      <c r="M34" s="90"/>
      <c r="N34" s="90"/>
      <c r="O34" s="90"/>
      <c r="P34" s="90"/>
      <c r="Q34" s="90"/>
      <c r="R34" s="90"/>
      <c r="S34" s="90"/>
      <c r="T34" s="90"/>
      <c r="U34" s="90"/>
      <c r="V34" s="90"/>
      <c r="W34" s="90"/>
      <c r="X34" s="90"/>
      <c r="Y34" s="2"/>
      <c r="Z34" s="4"/>
      <c r="AA34" s="4"/>
      <c r="AB34" s="4"/>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ht="15.6" x14ac:dyDescent="0.25">
      <c r="A35" s="4"/>
      <c r="B35" s="10"/>
      <c r="C35" s="4"/>
      <c r="D35" s="4"/>
      <c r="E35" s="64"/>
      <c r="F35" s="64"/>
      <c r="G35" s="64"/>
      <c r="H35" s="64"/>
      <c r="I35" s="64"/>
      <c r="J35" s="64"/>
      <c r="K35" s="64"/>
      <c r="L35" s="64"/>
      <c r="M35" s="65"/>
      <c r="N35" s="65"/>
      <c r="O35" s="65"/>
      <c r="P35" s="65"/>
      <c r="Q35" s="65"/>
      <c r="R35" s="65"/>
      <c r="S35" s="65"/>
      <c r="T35" s="65"/>
      <c r="U35" s="65"/>
      <c r="V35" s="65"/>
      <c r="W35" s="65"/>
      <c r="X35" s="65"/>
      <c r="Y35" s="2"/>
      <c r="Z35" s="4"/>
      <c r="AA35" s="4"/>
      <c r="AB35" s="4"/>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ht="15.6" x14ac:dyDescent="0.25">
      <c r="A36" s="2"/>
      <c r="B36" s="137"/>
      <c r="C36" s="516" t="s">
        <v>296</v>
      </c>
      <c r="D36" s="516"/>
      <c r="E36" s="516"/>
      <c r="F36" s="516"/>
      <c r="G36" s="516"/>
      <c r="H36" s="516"/>
      <c r="I36" s="516"/>
      <c r="J36" s="516"/>
      <c r="K36" s="516"/>
      <c r="L36" s="516"/>
      <c r="M36" s="516"/>
      <c r="N36" s="516"/>
      <c r="O36" s="516"/>
      <c r="P36" s="516"/>
      <c r="Q36" s="516"/>
      <c r="R36" s="516"/>
      <c r="S36" s="516"/>
      <c r="T36" s="516"/>
      <c r="U36" s="516"/>
      <c r="V36" s="516"/>
      <c r="W36" s="516"/>
      <c r="X36" s="516"/>
      <c r="Y36" s="2"/>
      <c r="Z36" s="4"/>
      <c r="AA36" s="4"/>
      <c r="AB36" s="4"/>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ht="45" customHeight="1" x14ac:dyDescent="0.25">
      <c r="A37" s="2"/>
      <c r="B37" s="137"/>
      <c r="C37" s="464"/>
      <c r="D37" s="464" t="s">
        <v>118</v>
      </c>
      <c r="E37" s="455" t="s">
        <v>297</v>
      </c>
      <c r="F37" s="453" t="s">
        <v>241</v>
      </c>
      <c r="G37" s="454" t="s">
        <v>298</v>
      </c>
      <c r="H37" s="454" t="s">
        <v>299</v>
      </c>
      <c r="I37" s="540" t="s">
        <v>300</v>
      </c>
      <c r="J37" s="540"/>
      <c r="K37" s="540"/>
      <c r="L37" s="540"/>
      <c r="M37" s="540"/>
      <c r="N37" s="540"/>
      <c r="O37" s="540"/>
      <c r="P37" s="540"/>
      <c r="Q37" s="540"/>
      <c r="R37" s="540"/>
      <c r="S37" s="540"/>
      <c r="T37" s="540"/>
      <c r="U37" s="540"/>
      <c r="V37" s="540"/>
      <c r="W37" s="540"/>
      <c r="X37" s="540"/>
      <c r="Y37" s="2"/>
      <c r="Z37" s="4"/>
      <c r="AA37" s="4"/>
      <c r="AB37" s="4"/>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ht="14.4" x14ac:dyDescent="0.3">
      <c r="A38" s="2"/>
      <c r="B38" s="137"/>
      <c r="C38" s="552" t="s">
        <v>296</v>
      </c>
      <c r="D38" s="552" t="s">
        <v>130</v>
      </c>
      <c r="E38" s="549"/>
      <c r="F38" s="449" t="s">
        <v>263</v>
      </c>
      <c r="G38" s="450">
        <v>1.1000000000000001</v>
      </c>
      <c r="H38" s="109" t="s">
        <v>301</v>
      </c>
      <c r="I38" s="541" t="e">
        <f>0.112*G38*#REF!</f>
        <v>#REF!</v>
      </c>
      <c r="J38" s="541"/>
      <c r="K38" s="541"/>
      <c r="L38" s="541"/>
      <c r="M38" s="541"/>
      <c r="N38" s="541"/>
      <c r="O38" s="541"/>
      <c r="P38" s="541"/>
      <c r="Q38" s="541"/>
      <c r="R38" s="541"/>
      <c r="S38" s="541"/>
      <c r="T38" s="541"/>
      <c r="U38" s="541"/>
      <c r="V38" s="541"/>
      <c r="W38" s="541"/>
      <c r="X38" s="541"/>
      <c r="Y38" s="2"/>
      <c r="Z38" s="445" t="s">
        <v>302</v>
      </c>
      <c r="AA38" s="144">
        <v>16755.34</v>
      </c>
      <c r="AB38" s="4"/>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row>
    <row r="39" spans="1:62" ht="14.4" x14ac:dyDescent="0.3">
      <c r="A39" s="2"/>
      <c r="B39" s="137"/>
      <c r="C39" s="552"/>
      <c r="D39" s="552"/>
      <c r="E39" s="549"/>
      <c r="F39" s="449" t="s">
        <v>266</v>
      </c>
      <c r="G39" s="450">
        <v>1.1000000000000001</v>
      </c>
      <c r="H39" s="109" t="s">
        <v>301</v>
      </c>
      <c r="I39" s="541" t="e">
        <f>0.112*G39*#REF!</f>
        <v>#REF!</v>
      </c>
      <c r="J39" s="541"/>
      <c r="K39" s="541"/>
      <c r="L39" s="541"/>
      <c r="M39" s="541"/>
      <c r="N39" s="541"/>
      <c r="O39" s="541"/>
      <c r="P39" s="541"/>
      <c r="Q39" s="541"/>
      <c r="R39" s="541"/>
      <c r="S39" s="541"/>
      <c r="T39" s="541"/>
      <c r="U39" s="541"/>
      <c r="V39" s="541"/>
      <c r="W39" s="541"/>
      <c r="X39" s="541"/>
      <c r="Y39" s="2"/>
      <c r="Z39" s="445" t="s">
        <v>303</v>
      </c>
      <c r="AA39" s="144">
        <v>14068</v>
      </c>
      <c r="AB39" s="4"/>
      <c r="AC39" s="2"/>
      <c r="AD39" s="2"/>
      <c r="AE39" s="71"/>
      <c r="AF39" s="4"/>
      <c r="AG39" s="4"/>
      <c r="AH39" s="4"/>
      <c r="AI39" s="4"/>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row>
    <row r="40" spans="1:62" ht="27" x14ac:dyDescent="0.3">
      <c r="A40" s="2"/>
      <c r="B40" s="137"/>
      <c r="C40" s="552"/>
      <c r="D40" s="552"/>
      <c r="E40" s="549"/>
      <c r="F40" s="449" t="s">
        <v>268</v>
      </c>
      <c r="G40" s="450">
        <v>1.1000000000000001</v>
      </c>
      <c r="H40" s="109" t="s">
        <v>301</v>
      </c>
      <c r="I40" s="541" t="e">
        <f>0.112*G40*#REF!</f>
        <v>#REF!</v>
      </c>
      <c r="J40" s="541"/>
      <c r="K40" s="541"/>
      <c r="L40" s="541"/>
      <c r="M40" s="541"/>
      <c r="N40" s="541"/>
      <c r="O40" s="541"/>
      <c r="P40" s="541"/>
      <c r="Q40" s="541"/>
      <c r="R40" s="541"/>
      <c r="S40" s="541"/>
      <c r="T40" s="541"/>
      <c r="U40" s="541"/>
      <c r="V40" s="541"/>
      <c r="W40" s="541"/>
      <c r="X40" s="541"/>
      <c r="Y40" s="2"/>
      <c r="Z40" s="445" t="s">
        <v>304</v>
      </c>
      <c r="AA40" s="465">
        <f>AA39</f>
        <v>14068</v>
      </c>
      <c r="AB40" s="4"/>
      <c r="AC40" s="366"/>
      <c r="AD40" s="2"/>
      <c r="AE40" s="71"/>
      <c r="AF40" s="71"/>
      <c r="AG40" s="71"/>
      <c r="AH40" s="71"/>
      <c r="AI40" s="71"/>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ht="27" x14ac:dyDescent="0.3">
      <c r="A41" s="2"/>
      <c r="B41" s="137"/>
      <c r="C41" s="552"/>
      <c r="D41" s="552"/>
      <c r="E41" s="549"/>
      <c r="F41" s="449" t="s">
        <v>270</v>
      </c>
      <c r="G41" s="450">
        <v>1</v>
      </c>
      <c r="H41" s="450" t="s">
        <v>305</v>
      </c>
      <c r="I41" s="541" t="e">
        <f>0.112*G41*#REF!</f>
        <v>#REF!</v>
      </c>
      <c r="J41" s="541"/>
      <c r="K41" s="541"/>
      <c r="L41" s="541"/>
      <c r="M41" s="541"/>
      <c r="N41" s="541"/>
      <c r="O41" s="541"/>
      <c r="P41" s="541"/>
      <c r="Q41" s="541"/>
      <c r="R41" s="541"/>
      <c r="S41" s="541"/>
      <c r="T41" s="541"/>
      <c r="U41" s="541"/>
      <c r="V41" s="541"/>
      <c r="W41" s="541"/>
      <c r="X41" s="541"/>
      <c r="Y41" s="2"/>
      <c r="Z41" s="445" t="s">
        <v>306</v>
      </c>
      <c r="AA41" s="144">
        <f>AA39+(2*AA38)</f>
        <v>47578.68</v>
      </c>
      <c r="AB41" s="4"/>
      <c r="AC41" s="2"/>
      <c r="AD41" s="2"/>
      <c r="AE41" s="71"/>
      <c r="AF41" s="373"/>
      <c r="AG41" s="2"/>
      <c r="AH41" s="374"/>
      <c r="AI41" s="551"/>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ht="26.4" x14ac:dyDescent="0.25">
      <c r="A42" s="2"/>
      <c r="B42" s="137"/>
      <c r="C42" s="552"/>
      <c r="D42" s="552"/>
      <c r="E42" s="549"/>
      <c r="F42" s="449" t="s">
        <v>273</v>
      </c>
      <c r="G42" s="450">
        <v>0.6</v>
      </c>
      <c r="H42" s="450" t="s">
        <v>307</v>
      </c>
      <c r="I42" s="541" t="e">
        <f>0.112*G42*#REF!</f>
        <v>#REF!</v>
      </c>
      <c r="J42" s="541"/>
      <c r="K42" s="541"/>
      <c r="L42" s="541"/>
      <c r="M42" s="541"/>
      <c r="N42" s="541"/>
      <c r="O42" s="541"/>
      <c r="P42" s="541"/>
      <c r="Q42" s="541"/>
      <c r="R42" s="541"/>
      <c r="S42" s="541"/>
      <c r="T42" s="541"/>
      <c r="U42" s="541"/>
      <c r="V42" s="541"/>
      <c r="W42" s="541"/>
      <c r="X42" s="541"/>
      <c r="Y42" s="2"/>
      <c r="Z42" s="4"/>
      <c r="AA42" s="4"/>
      <c r="AB42" s="4"/>
      <c r="AC42" s="2"/>
      <c r="AD42" s="2"/>
      <c r="AE42" s="71"/>
      <c r="AF42" s="2"/>
      <c r="AG42" s="2"/>
      <c r="AH42" s="374"/>
      <c r="AI42" s="551"/>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ht="14.4" x14ac:dyDescent="0.3">
      <c r="A43" s="2"/>
      <c r="B43" s="137"/>
      <c r="C43" s="552"/>
      <c r="D43" s="552" t="s">
        <v>171</v>
      </c>
      <c r="E43" s="549"/>
      <c r="F43" s="447" t="s">
        <v>263</v>
      </c>
      <c r="G43" s="446">
        <v>1.1000000000000001</v>
      </c>
      <c r="H43" s="372" t="s">
        <v>301</v>
      </c>
      <c r="I43" s="541" t="e">
        <f>0.112*G43*#REF!</f>
        <v>#REF!</v>
      </c>
      <c r="J43" s="541"/>
      <c r="K43" s="541"/>
      <c r="L43" s="541"/>
      <c r="M43" s="541"/>
      <c r="N43" s="541"/>
      <c r="O43" s="541"/>
      <c r="P43" s="541"/>
      <c r="Q43" s="541"/>
      <c r="R43" s="541"/>
      <c r="S43" s="541"/>
      <c r="T43" s="541"/>
      <c r="U43" s="541"/>
      <c r="V43" s="541"/>
      <c r="W43" s="541"/>
      <c r="X43" s="541"/>
      <c r="Y43" s="2"/>
      <c r="Z43" s="445" t="s">
        <v>302</v>
      </c>
      <c r="AA43" s="144">
        <v>15753.22</v>
      </c>
      <c r="AB43" s="4"/>
      <c r="AC43" s="2"/>
      <c r="AD43" s="2"/>
      <c r="AE43" s="71"/>
      <c r="AF43" s="373"/>
      <c r="AG43" s="2"/>
      <c r="AH43" s="374"/>
      <c r="AI43" s="551"/>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ht="14.4" x14ac:dyDescent="0.3">
      <c r="A44" s="2"/>
      <c r="B44" s="137"/>
      <c r="C44" s="552"/>
      <c r="D44" s="552"/>
      <c r="E44" s="549"/>
      <c r="F44" s="447" t="s">
        <v>266</v>
      </c>
      <c r="G44" s="446">
        <v>1.1000000000000001</v>
      </c>
      <c r="H44" s="372" t="s">
        <v>301</v>
      </c>
      <c r="I44" s="541" t="e">
        <f>0.112*G44*#REF!</f>
        <v>#REF!</v>
      </c>
      <c r="J44" s="541"/>
      <c r="K44" s="541"/>
      <c r="L44" s="541"/>
      <c r="M44" s="541"/>
      <c r="N44" s="541"/>
      <c r="O44" s="541"/>
      <c r="P44" s="541"/>
      <c r="Q44" s="541"/>
      <c r="R44" s="541"/>
      <c r="S44" s="541"/>
      <c r="T44" s="541"/>
      <c r="U44" s="541"/>
      <c r="V44" s="541"/>
      <c r="W44" s="541"/>
      <c r="X44" s="541"/>
      <c r="Y44" s="2"/>
      <c r="Z44" s="445" t="s">
        <v>303</v>
      </c>
      <c r="AA44" s="144">
        <v>15041.600000000002</v>
      </c>
      <c r="AB44" s="4"/>
      <c r="AC44" s="2"/>
      <c r="AD44" s="2"/>
      <c r="AE44" s="71"/>
      <c r="AF44" s="373"/>
      <c r="AG44" s="373"/>
      <c r="AH44" s="4"/>
      <c r="AI44" s="4"/>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ht="27" x14ac:dyDescent="0.3">
      <c r="A45" s="2"/>
      <c r="B45" s="137"/>
      <c r="C45" s="552"/>
      <c r="D45" s="552"/>
      <c r="E45" s="549"/>
      <c r="F45" s="447" t="s">
        <v>268</v>
      </c>
      <c r="G45" s="446">
        <v>1.1000000000000001</v>
      </c>
      <c r="H45" s="372" t="s">
        <v>301</v>
      </c>
      <c r="I45" s="541" t="e">
        <f>0.112*G45*#REF!</f>
        <v>#REF!</v>
      </c>
      <c r="J45" s="541"/>
      <c r="K45" s="541"/>
      <c r="L45" s="541"/>
      <c r="M45" s="541"/>
      <c r="N45" s="541"/>
      <c r="O45" s="541"/>
      <c r="P45" s="541"/>
      <c r="Q45" s="541"/>
      <c r="R45" s="541"/>
      <c r="S45" s="541"/>
      <c r="T45" s="541"/>
      <c r="U45" s="541"/>
      <c r="V45" s="541"/>
      <c r="W45" s="541"/>
      <c r="X45" s="541"/>
      <c r="Y45" s="2"/>
      <c r="Z45" s="445" t="s">
        <v>304</v>
      </c>
      <c r="AA45" s="465">
        <f>AA44</f>
        <v>15041.600000000002</v>
      </c>
      <c r="AB45" s="4"/>
      <c r="AC45" s="2"/>
      <c r="AD45" s="2"/>
      <c r="AE45" s="4"/>
      <c r="AF45" s="4"/>
      <c r="AG45" s="4"/>
      <c r="AH45" s="4"/>
      <c r="AI45" s="4"/>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ht="27" x14ac:dyDescent="0.3">
      <c r="A46" s="2"/>
      <c r="B46" s="137"/>
      <c r="C46" s="552"/>
      <c r="D46" s="552"/>
      <c r="E46" s="549"/>
      <c r="F46" s="447" t="s">
        <v>270</v>
      </c>
      <c r="G46" s="446">
        <v>1</v>
      </c>
      <c r="H46" s="446" t="s">
        <v>305</v>
      </c>
      <c r="I46" s="541" t="e">
        <f>0.112*G46*#REF!</f>
        <v>#REF!</v>
      </c>
      <c r="J46" s="541"/>
      <c r="K46" s="541"/>
      <c r="L46" s="541"/>
      <c r="M46" s="541"/>
      <c r="N46" s="541"/>
      <c r="O46" s="541"/>
      <c r="P46" s="541"/>
      <c r="Q46" s="541"/>
      <c r="R46" s="541"/>
      <c r="S46" s="541"/>
      <c r="T46" s="541"/>
      <c r="U46" s="541"/>
      <c r="V46" s="541"/>
      <c r="W46" s="541"/>
      <c r="X46" s="541"/>
      <c r="Y46" s="2"/>
      <c r="Z46" s="445" t="s">
        <v>306</v>
      </c>
      <c r="AA46" s="144">
        <f>AA44+(2*AA43)</f>
        <v>46548.04</v>
      </c>
      <c r="AB46" s="4"/>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ht="26.4" x14ac:dyDescent="0.25">
      <c r="A47" s="2"/>
      <c r="B47" s="137"/>
      <c r="C47" s="552"/>
      <c r="D47" s="552"/>
      <c r="E47" s="549"/>
      <c r="F47" s="447" t="s">
        <v>273</v>
      </c>
      <c r="G47" s="446">
        <v>0.6</v>
      </c>
      <c r="H47" s="446" t="s">
        <v>307</v>
      </c>
      <c r="I47" s="541" t="e">
        <f>0.112*G47*#REF!</f>
        <v>#REF!</v>
      </c>
      <c r="J47" s="541"/>
      <c r="K47" s="541"/>
      <c r="L47" s="541"/>
      <c r="M47" s="541"/>
      <c r="N47" s="541"/>
      <c r="O47" s="541"/>
      <c r="P47" s="541"/>
      <c r="Q47" s="541"/>
      <c r="R47" s="541"/>
      <c r="S47" s="541"/>
      <c r="T47" s="541"/>
      <c r="U47" s="541"/>
      <c r="V47" s="541"/>
      <c r="W47" s="541"/>
      <c r="X47" s="541"/>
      <c r="Y47" s="2"/>
      <c r="Z47" s="4"/>
      <c r="AA47" s="4"/>
      <c r="AB47" s="4"/>
      <c r="AC47" s="2"/>
      <c r="AD47" s="2"/>
      <c r="AE47" s="2"/>
      <c r="AF47" s="373"/>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ht="14.4" x14ac:dyDescent="0.3">
      <c r="A48" s="2"/>
      <c r="B48" s="137"/>
      <c r="C48" s="552"/>
      <c r="D48" s="553" t="s">
        <v>190</v>
      </c>
      <c r="E48" s="549"/>
      <c r="F48" s="447" t="s">
        <v>263</v>
      </c>
      <c r="G48" s="446">
        <v>1.1000000000000001</v>
      </c>
      <c r="H48" s="372" t="s">
        <v>301</v>
      </c>
      <c r="I48" s="541" t="e">
        <f>0.112*G48*#REF!</f>
        <v>#REF!</v>
      </c>
      <c r="J48" s="541"/>
      <c r="K48" s="541"/>
      <c r="L48" s="541"/>
      <c r="M48" s="541"/>
      <c r="N48" s="541"/>
      <c r="O48" s="541"/>
      <c r="P48" s="541"/>
      <c r="Q48" s="541"/>
      <c r="R48" s="541"/>
      <c r="S48" s="541"/>
      <c r="T48" s="541"/>
      <c r="U48" s="541"/>
      <c r="V48" s="541"/>
      <c r="W48" s="541"/>
      <c r="X48" s="541"/>
      <c r="Y48" s="2"/>
      <c r="Z48" s="445" t="s">
        <v>302</v>
      </c>
      <c r="AA48" s="144">
        <v>8829.9500000000007</v>
      </c>
      <c r="AB48" s="4"/>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ht="14.4" x14ac:dyDescent="0.3">
      <c r="A49" s="2"/>
      <c r="B49" s="137"/>
      <c r="C49" s="552"/>
      <c r="D49" s="553"/>
      <c r="E49" s="549"/>
      <c r="F49" s="447" t="s">
        <v>266</v>
      </c>
      <c r="G49" s="446">
        <v>1.1000000000000001</v>
      </c>
      <c r="H49" s="372" t="s">
        <v>301</v>
      </c>
      <c r="I49" s="541" t="e">
        <f>0.112*G49*#REF!</f>
        <v>#REF!</v>
      </c>
      <c r="J49" s="541"/>
      <c r="K49" s="541"/>
      <c r="L49" s="541"/>
      <c r="M49" s="541"/>
      <c r="N49" s="541"/>
      <c r="O49" s="541"/>
      <c r="P49" s="541"/>
      <c r="Q49" s="541"/>
      <c r="R49" s="541"/>
      <c r="S49" s="541"/>
      <c r="T49" s="541"/>
      <c r="U49" s="541"/>
      <c r="V49" s="541"/>
      <c r="W49" s="541"/>
      <c r="X49" s="541"/>
      <c r="Y49" s="2"/>
      <c r="Z49" s="445" t="s">
        <v>303</v>
      </c>
      <c r="AA49" s="144">
        <v>9143.6800000000021</v>
      </c>
      <c r="AB49" s="4"/>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ht="27" x14ac:dyDescent="0.3">
      <c r="A50" s="2"/>
      <c r="B50" s="137"/>
      <c r="C50" s="552"/>
      <c r="D50" s="553"/>
      <c r="E50" s="549"/>
      <c r="F50" s="447" t="s">
        <v>268</v>
      </c>
      <c r="G50" s="446">
        <v>1.1000000000000001</v>
      </c>
      <c r="H50" s="372" t="s">
        <v>301</v>
      </c>
      <c r="I50" s="541" t="e">
        <f>0.112*G50*#REF!</f>
        <v>#REF!</v>
      </c>
      <c r="J50" s="541"/>
      <c r="K50" s="541"/>
      <c r="L50" s="541"/>
      <c r="M50" s="541"/>
      <c r="N50" s="541"/>
      <c r="O50" s="541"/>
      <c r="P50" s="541"/>
      <c r="Q50" s="541"/>
      <c r="R50" s="541"/>
      <c r="S50" s="541"/>
      <c r="T50" s="541"/>
      <c r="U50" s="541"/>
      <c r="V50" s="541"/>
      <c r="W50" s="541"/>
      <c r="X50" s="541"/>
      <c r="Y50" s="2"/>
      <c r="Z50" s="445" t="s">
        <v>304</v>
      </c>
      <c r="AA50" s="465">
        <f>AA49</f>
        <v>9143.6800000000021</v>
      </c>
      <c r="AB50" s="4"/>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ht="27" x14ac:dyDescent="0.3">
      <c r="A51" s="2"/>
      <c r="B51" s="137"/>
      <c r="C51" s="552"/>
      <c r="D51" s="553"/>
      <c r="E51" s="549"/>
      <c r="F51" s="447" t="s">
        <v>270</v>
      </c>
      <c r="G51" s="446">
        <v>1</v>
      </c>
      <c r="H51" s="446" t="s">
        <v>305</v>
      </c>
      <c r="I51" s="541" t="e">
        <f>0.112*G51*#REF!</f>
        <v>#REF!</v>
      </c>
      <c r="J51" s="541"/>
      <c r="K51" s="541"/>
      <c r="L51" s="541"/>
      <c r="M51" s="541"/>
      <c r="N51" s="541"/>
      <c r="O51" s="541"/>
      <c r="P51" s="541"/>
      <c r="Q51" s="541"/>
      <c r="R51" s="541"/>
      <c r="S51" s="541"/>
      <c r="T51" s="541"/>
      <c r="U51" s="541"/>
      <c r="V51" s="541"/>
      <c r="W51" s="541"/>
      <c r="X51" s="541"/>
      <c r="Y51" s="2"/>
      <c r="Z51" s="445" t="s">
        <v>306</v>
      </c>
      <c r="AA51" s="144">
        <f>AA49+(2*AA48)</f>
        <v>26803.58</v>
      </c>
      <c r="AB51" s="4"/>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ht="26.4" x14ac:dyDescent="0.25">
      <c r="A52" s="2"/>
      <c r="B52" s="137"/>
      <c r="C52" s="552"/>
      <c r="D52" s="553"/>
      <c r="E52" s="549"/>
      <c r="F52" s="447" t="s">
        <v>273</v>
      </c>
      <c r="G52" s="446">
        <v>0.6</v>
      </c>
      <c r="H52" s="446" t="s">
        <v>307</v>
      </c>
      <c r="I52" s="541" t="e">
        <f>0.112*G52*#REF!</f>
        <v>#REF!</v>
      </c>
      <c r="J52" s="541"/>
      <c r="K52" s="541"/>
      <c r="L52" s="541"/>
      <c r="M52" s="541"/>
      <c r="N52" s="541"/>
      <c r="O52" s="541"/>
      <c r="P52" s="541"/>
      <c r="Q52" s="541"/>
      <c r="R52" s="541"/>
      <c r="S52" s="541"/>
      <c r="T52" s="541"/>
      <c r="U52" s="541"/>
      <c r="V52" s="541"/>
      <c r="W52" s="541"/>
      <c r="X52" s="541"/>
      <c r="Y52" s="2"/>
      <c r="Z52" s="4"/>
      <c r="AA52" s="4"/>
      <c r="AB52" s="4"/>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ht="14.4" x14ac:dyDescent="0.3">
      <c r="A53" s="2"/>
      <c r="B53" s="137"/>
      <c r="C53" s="552"/>
      <c r="D53" s="553" t="s">
        <v>214</v>
      </c>
      <c r="E53" s="549"/>
      <c r="F53" s="447" t="s">
        <v>263</v>
      </c>
      <c r="G53" s="446">
        <v>1.1000000000000001</v>
      </c>
      <c r="H53" s="372" t="s">
        <v>301</v>
      </c>
      <c r="I53" s="541" t="e">
        <f>0.112*G53*#REF!</f>
        <v>#REF!</v>
      </c>
      <c r="J53" s="541"/>
      <c r="K53" s="541"/>
      <c r="L53" s="541"/>
      <c r="M53" s="541"/>
      <c r="N53" s="541"/>
      <c r="O53" s="541"/>
      <c r="P53" s="541"/>
      <c r="Q53" s="541"/>
      <c r="R53" s="541"/>
      <c r="S53" s="541"/>
      <c r="T53" s="541"/>
      <c r="U53" s="541"/>
      <c r="V53" s="541"/>
      <c r="W53" s="541"/>
      <c r="X53" s="541"/>
      <c r="Y53" s="2"/>
      <c r="Z53" s="445" t="s">
        <v>302</v>
      </c>
      <c r="AA53" s="144">
        <v>8640.8599999999988</v>
      </c>
      <c r="AB53" s="4"/>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ht="14.4" x14ac:dyDescent="0.3">
      <c r="A54" s="2"/>
      <c r="B54" s="137"/>
      <c r="C54" s="552"/>
      <c r="D54" s="553"/>
      <c r="E54" s="549"/>
      <c r="F54" s="447" t="s">
        <v>266</v>
      </c>
      <c r="G54" s="446">
        <v>1.1000000000000001</v>
      </c>
      <c r="H54" s="372" t="s">
        <v>301</v>
      </c>
      <c r="I54" s="541" t="e">
        <f>0.112*G54*#REF!</f>
        <v>#REF!</v>
      </c>
      <c r="J54" s="541"/>
      <c r="K54" s="541"/>
      <c r="L54" s="541"/>
      <c r="M54" s="541"/>
      <c r="N54" s="541"/>
      <c r="O54" s="541"/>
      <c r="P54" s="541"/>
      <c r="Q54" s="541"/>
      <c r="R54" s="541"/>
      <c r="S54" s="541"/>
      <c r="T54" s="541"/>
      <c r="U54" s="541"/>
      <c r="V54" s="541"/>
      <c r="W54" s="541"/>
      <c r="X54" s="541"/>
      <c r="Y54" s="2"/>
      <c r="Z54" s="445" t="s">
        <v>303</v>
      </c>
      <c r="AA54" s="144">
        <v>6636</v>
      </c>
      <c r="AB54" s="4"/>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ht="27" x14ac:dyDescent="0.3">
      <c r="A55" s="2"/>
      <c r="B55" s="137"/>
      <c r="C55" s="552"/>
      <c r="D55" s="553"/>
      <c r="E55" s="549"/>
      <c r="F55" s="447" t="s">
        <v>268</v>
      </c>
      <c r="G55" s="446">
        <v>1.1000000000000001</v>
      </c>
      <c r="H55" s="372" t="s">
        <v>301</v>
      </c>
      <c r="I55" s="541" t="e">
        <f>0.112*G55*#REF!</f>
        <v>#REF!</v>
      </c>
      <c r="J55" s="541"/>
      <c r="K55" s="541"/>
      <c r="L55" s="541"/>
      <c r="M55" s="541"/>
      <c r="N55" s="541"/>
      <c r="O55" s="541"/>
      <c r="P55" s="541"/>
      <c r="Q55" s="541"/>
      <c r="R55" s="541"/>
      <c r="S55" s="541"/>
      <c r="T55" s="541"/>
      <c r="U55" s="541"/>
      <c r="V55" s="541"/>
      <c r="W55" s="541"/>
      <c r="X55" s="541"/>
      <c r="Y55" s="2"/>
      <c r="Z55" s="445" t="s">
        <v>304</v>
      </c>
      <c r="AA55" s="465">
        <f>AA54</f>
        <v>6636</v>
      </c>
      <c r="AB55" s="4"/>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ht="27" x14ac:dyDescent="0.3">
      <c r="A56" s="2"/>
      <c r="B56" s="137"/>
      <c r="C56" s="552"/>
      <c r="D56" s="553"/>
      <c r="E56" s="549"/>
      <c r="F56" s="447" t="s">
        <v>270</v>
      </c>
      <c r="G56" s="446">
        <v>1</v>
      </c>
      <c r="H56" s="446" t="s">
        <v>305</v>
      </c>
      <c r="I56" s="541" t="e">
        <f>0.112*G56*#REF!</f>
        <v>#REF!</v>
      </c>
      <c r="J56" s="541"/>
      <c r="K56" s="541"/>
      <c r="L56" s="541"/>
      <c r="M56" s="541"/>
      <c r="N56" s="541"/>
      <c r="O56" s="541"/>
      <c r="P56" s="541"/>
      <c r="Q56" s="541"/>
      <c r="R56" s="541"/>
      <c r="S56" s="541"/>
      <c r="T56" s="541"/>
      <c r="U56" s="541"/>
      <c r="V56" s="541"/>
      <c r="W56" s="541"/>
      <c r="X56" s="541"/>
      <c r="Y56" s="2"/>
      <c r="Z56" s="445" t="s">
        <v>306</v>
      </c>
      <c r="AA56" s="144">
        <f>AA54+(2*AA53)</f>
        <v>23917.719999999998</v>
      </c>
      <c r="AB56" s="4"/>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ht="26.4" x14ac:dyDescent="0.25">
      <c r="A57" s="2"/>
      <c r="B57" s="137"/>
      <c r="C57" s="552"/>
      <c r="D57" s="553"/>
      <c r="E57" s="549"/>
      <c r="F57" s="447" t="s">
        <v>273</v>
      </c>
      <c r="G57" s="446">
        <v>0.6</v>
      </c>
      <c r="H57" s="446" t="s">
        <v>307</v>
      </c>
      <c r="I57" s="541" t="e">
        <f>0.112*G57*#REF!</f>
        <v>#REF!</v>
      </c>
      <c r="J57" s="541"/>
      <c r="K57" s="541"/>
      <c r="L57" s="541"/>
      <c r="M57" s="541"/>
      <c r="N57" s="541"/>
      <c r="O57" s="541"/>
      <c r="P57" s="541"/>
      <c r="Q57" s="541"/>
      <c r="R57" s="541"/>
      <c r="S57" s="541"/>
      <c r="T57" s="541"/>
      <c r="U57" s="541"/>
      <c r="V57" s="541"/>
      <c r="W57" s="541"/>
      <c r="X57" s="541"/>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x14ac:dyDescent="0.25">
      <c r="A58" s="2"/>
      <c r="B58" s="137"/>
      <c r="C58" s="2"/>
      <c r="D58" s="2"/>
      <c r="E58" s="4" t="s">
        <v>308</v>
      </c>
      <c r="F58" s="2"/>
      <c r="G58" s="66"/>
      <c r="H58" s="7"/>
      <c r="I58" s="399"/>
      <c r="J58" s="399"/>
      <c r="K58" s="399"/>
      <c r="L58" s="399"/>
      <c r="M58" s="399"/>
      <c r="N58" s="399"/>
      <c r="O58" s="399"/>
      <c r="P58" s="399"/>
      <c r="Q58" s="399"/>
      <c r="R58" s="399"/>
      <c r="S58" s="399"/>
      <c r="T58" s="399"/>
      <c r="U58" s="399"/>
      <c r="V58" s="399"/>
      <c r="W58" s="399"/>
      <c r="X58" s="399"/>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ht="14.4" x14ac:dyDescent="0.3">
      <c r="A59" s="2"/>
      <c r="B59" s="137"/>
      <c r="C59" s="2"/>
      <c r="D59" s="2"/>
      <c r="E59" s="4" t="s">
        <v>309</v>
      </c>
      <c r="F59" s="2"/>
      <c r="G59" s="1" t="s">
        <v>310</v>
      </c>
      <c r="H59" s="7"/>
      <c r="I59" s="7"/>
      <c r="J59" s="7"/>
      <c r="K59" s="7"/>
      <c r="L59" s="7"/>
      <c r="M59" s="7"/>
      <c r="N59" s="7"/>
      <c r="O59" s="7"/>
      <c r="P59" s="7"/>
      <c r="Q59" s="7"/>
      <c r="R59" s="7"/>
      <c r="S59" s="7"/>
      <c r="T59" s="7"/>
      <c r="U59" s="7"/>
      <c r="V59" s="7"/>
      <c r="W59" s="7"/>
      <c r="X59" s="7"/>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x14ac:dyDescent="0.25">
      <c r="A60" s="2"/>
      <c r="B60" s="137"/>
      <c r="C60" s="2"/>
      <c r="D60" s="2"/>
      <c r="E60" s="444"/>
      <c r="F60" s="459"/>
      <c r="G60" s="7"/>
      <c r="H60" s="7"/>
      <c r="I60" s="7"/>
      <c r="J60" s="7"/>
      <c r="K60" s="7"/>
      <c r="L60" s="7"/>
      <c r="M60" s="7"/>
      <c r="N60" s="7"/>
      <c r="O60" s="7"/>
      <c r="P60" s="7"/>
      <c r="Q60" s="7"/>
      <c r="R60" s="7"/>
      <c r="S60" s="7"/>
      <c r="T60" s="7"/>
      <c r="U60" s="7"/>
      <c r="V60" s="7"/>
      <c r="W60" s="7"/>
      <c r="X60" s="7"/>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x14ac:dyDescent="0.25">
      <c r="A61" s="2"/>
      <c r="B61" s="137"/>
      <c r="C61" s="2"/>
      <c r="D61" s="2"/>
      <c r="E61" s="2"/>
      <c r="F61" s="2"/>
      <c r="G61" s="66"/>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x14ac:dyDescent="0.25">
      <c r="A62" s="2"/>
      <c r="B62" s="137"/>
      <c r="C62" s="2"/>
      <c r="D62" s="2"/>
      <c r="E62" s="2"/>
      <c r="F62" s="2"/>
      <c r="G62" s="66"/>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ht="14.4" x14ac:dyDescent="0.3">
      <c r="A63" s="2"/>
      <c r="B63" s="137"/>
      <c r="C63" s="2"/>
      <c r="D63" s="2"/>
      <c r="E63" s="2"/>
      <c r="F63" s="2"/>
      <c r="G63" s="66"/>
      <c r="H63" s="2"/>
      <c r="I63" s="2"/>
      <c r="J63" s="2"/>
      <c r="K63" s="2"/>
      <c r="L63" s="2"/>
      <c r="M63" s="2"/>
      <c r="N63" s="2"/>
      <c r="O63" s="2"/>
      <c r="P63" s="2"/>
      <c r="Q63" s="2"/>
      <c r="R63" s="2"/>
      <c r="S63" s="2"/>
      <c r="T63" s="2"/>
      <c r="U63" s="2"/>
      <c r="V63" s="2"/>
      <c r="W63" s="2"/>
      <c r="X63" s="2"/>
      <c r="Y63" s="2"/>
      <c r="Z63" s="466"/>
      <c r="AA63"/>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x14ac:dyDescent="0.25">
      <c r="A64" s="2"/>
      <c r="B64" s="137"/>
      <c r="C64" s="2"/>
      <c r="D64" s="2"/>
      <c r="E64" s="2"/>
      <c r="F64" s="2"/>
      <c r="G64" s="66"/>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x14ac:dyDescent="0.25">
      <c r="A65" s="2"/>
      <c r="B65" s="137"/>
      <c r="C65" s="2"/>
      <c r="D65" s="2"/>
      <c r="E65" s="2"/>
      <c r="F65" s="2"/>
      <c r="G65" s="66"/>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x14ac:dyDescent="0.25">
      <c r="A66" s="2"/>
      <c r="B66" s="137"/>
      <c r="C66" s="2"/>
      <c r="D66" s="2"/>
      <c r="E66" s="2"/>
      <c r="F66" s="2"/>
      <c r="G66" s="66"/>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x14ac:dyDescent="0.25">
      <c r="A67" s="2"/>
      <c r="B67" s="137"/>
      <c r="C67" s="2"/>
      <c r="D67" s="2"/>
      <c r="E67" s="2"/>
      <c r="F67" s="2"/>
      <c r="G67" s="66"/>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x14ac:dyDescent="0.25">
      <c r="A68" s="2"/>
      <c r="B68" s="137"/>
      <c r="C68" s="2"/>
      <c r="D68" s="2"/>
      <c r="E68" s="2"/>
      <c r="F68" s="2"/>
      <c r="G68" s="6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x14ac:dyDescent="0.25">
      <c r="A69" s="2"/>
      <c r="B69" s="137"/>
      <c r="C69" s="2"/>
      <c r="D69" s="2"/>
      <c r="E69" s="2"/>
      <c r="F69" s="2"/>
      <c r="G69" s="6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x14ac:dyDescent="0.25">
      <c r="A70" s="2"/>
      <c r="B70" s="137"/>
      <c r="C70" s="2"/>
      <c r="D70" s="2"/>
      <c r="E70" s="2"/>
      <c r="F70" s="2"/>
      <c r="G70" s="6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row r="71" spans="1:62" x14ac:dyDescent="0.25">
      <c r="A71" s="2"/>
      <c r="B71" s="137"/>
      <c r="C71" s="2"/>
      <c r="D71" s="2"/>
      <c r="E71" s="2"/>
      <c r="F71" s="2"/>
      <c r="G71" s="6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row>
    <row r="72" spans="1:62" x14ac:dyDescent="0.25">
      <c r="A72" s="2"/>
      <c r="B72" s="137"/>
      <c r="C72" s="2"/>
      <c r="D72" s="2"/>
      <c r="E72" s="2"/>
      <c r="F72" s="2"/>
      <c r="G72" s="6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row>
  </sheetData>
  <mergeCells count="69">
    <mergeCell ref="AI41:AI43"/>
    <mergeCell ref="D43:D47"/>
    <mergeCell ref="D38:D42"/>
    <mergeCell ref="C38:C57"/>
    <mergeCell ref="D48:D52"/>
    <mergeCell ref="D53:D57"/>
    <mergeCell ref="E53:E57"/>
    <mergeCell ref="I53:X53"/>
    <mergeCell ref="I54:X54"/>
    <mergeCell ref="I55:X55"/>
    <mergeCell ref="I56:X56"/>
    <mergeCell ref="I57:X57"/>
    <mergeCell ref="E48:E52"/>
    <mergeCell ref="I48:X48"/>
    <mergeCell ref="I49:X49"/>
    <mergeCell ref="I50:X50"/>
    <mergeCell ref="I51:X51"/>
    <mergeCell ref="I52:X52"/>
    <mergeCell ref="E43:E47"/>
    <mergeCell ref="I43:X43"/>
    <mergeCell ref="I44:X44"/>
    <mergeCell ref="I45:X45"/>
    <mergeCell ref="I46:X46"/>
    <mergeCell ref="I47:X47"/>
    <mergeCell ref="I40:X40"/>
    <mergeCell ref="I41:X41"/>
    <mergeCell ref="I42:X42"/>
    <mergeCell ref="H28:H29"/>
    <mergeCell ref="E28:E32"/>
    <mergeCell ref="E38:E42"/>
    <mergeCell ref="C36:X36"/>
    <mergeCell ref="D23:D32"/>
    <mergeCell ref="A8:A12"/>
    <mergeCell ref="I37:X37"/>
    <mergeCell ref="I38:X38"/>
    <mergeCell ref="I39:X39"/>
    <mergeCell ref="A23:A32"/>
    <mergeCell ref="B23:B32"/>
    <mergeCell ref="C23:C32"/>
    <mergeCell ref="E23:E27"/>
    <mergeCell ref="H23:H24"/>
    <mergeCell ref="B8:B12"/>
    <mergeCell ref="E8:E12"/>
    <mergeCell ref="E13:E17"/>
    <mergeCell ref="D8:D12"/>
    <mergeCell ref="D15:D17"/>
    <mergeCell ref="D13:D14"/>
    <mergeCell ref="B13:B22"/>
    <mergeCell ref="A1:X1"/>
    <mergeCell ref="D18:D19"/>
    <mergeCell ref="C18:C22"/>
    <mergeCell ref="E18:E22"/>
    <mergeCell ref="A13:A22"/>
    <mergeCell ref="D3:D7"/>
    <mergeCell ref="B3:B7"/>
    <mergeCell ref="A3:A7"/>
    <mergeCell ref="C3:C7"/>
    <mergeCell ref="C8:C12"/>
    <mergeCell ref="H8:H9"/>
    <mergeCell ref="H13:H14"/>
    <mergeCell ref="H18:H19"/>
    <mergeCell ref="D20:D22"/>
    <mergeCell ref="E3:E7"/>
    <mergeCell ref="C13:C17"/>
    <mergeCell ref="AP32:AS32"/>
    <mergeCell ref="AT32:AW32"/>
    <mergeCell ref="AF32:AJ32"/>
    <mergeCell ref="AA32:AE32"/>
    <mergeCell ref="AK32:AO32"/>
  </mergeCells>
  <phoneticPr fontId="5" type="noConversion"/>
  <hyperlinks>
    <hyperlink ref="G59"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38" r:id="rId2" xr:uid="{41AD9FFF-609E-4AE3-98F2-52C38EDBABB6}"/>
    <hyperlink ref="H43" r:id="rId3" xr:uid="{FAC93252-8F2E-4D75-BF52-61318B354327}"/>
    <hyperlink ref="H48" r:id="rId4" xr:uid="{DAFCACFB-75BE-4F61-981C-68DC15C0065B}"/>
    <hyperlink ref="H53" r:id="rId5" xr:uid="{47CF2320-71B4-4B89-BDBF-3C77A76A263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8"/>
  <sheetViews>
    <sheetView zoomScale="80" zoomScaleNormal="80" zoomScaleSheetLayoutView="40" workbookViewId="0">
      <selection sqref="A1:H1"/>
    </sheetView>
  </sheetViews>
  <sheetFormatPr defaultColWidth="8.6640625" defaultRowHeight="13.2" x14ac:dyDescent="0.25"/>
  <cols>
    <col min="1" max="1" width="39" style="4" customWidth="1"/>
    <col min="2" max="2" width="34.6640625" style="4" customWidth="1"/>
    <col min="3" max="3" width="29.109375" style="4" customWidth="1"/>
    <col min="4" max="4" width="29.44140625" style="4" customWidth="1"/>
    <col min="5" max="5" width="37.44140625" style="4" bestFit="1" customWidth="1"/>
    <col min="6" max="6" width="48.33203125" style="4" bestFit="1" customWidth="1"/>
    <col min="7" max="7" width="34" style="4" customWidth="1"/>
    <col min="8" max="8" width="33.88671875" style="4" customWidth="1"/>
    <col min="9" max="11" width="12.6640625" style="4" customWidth="1"/>
    <col min="12" max="19" width="15.33203125" style="4" customWidth="1"/>
    <col min="20" max="20" width="14.6640625" style="4" customWidth="1"/>
    <col min="21" max="21" width="13.5546875" style="4" customWidth="1"/>
    <col min="22" max="22" width="15.6640625" style="4" customWidth="1"/>
    <col min="23" max="29" width="11" style="4" customWidth="1"/>
    <col min="30" max="38" width="6.5546875" style="4" customWidth="1"/>
    <col min="39" max="39" width="8.6640625" style="4" customWidth="1"/>
    <col min="40" max="16384" width="8.6640625" style="4"/>
  </cols>
  <sheetData>
    <row r="1" spans="1:10" ht="27" customHeight="1" x14ac:dyDescent="0.25">
      <c r="A1" s="560" t="str">
        <f>"HVAC system - "&amp;Prototype!A2</f>
        <v>HVAC system - SchoolK-8</v>
      </c>
      <c r="B1" s="561"/>
      <c r="C1" s="561"/>
      <c r="D1" s="561"/>
      <c r="E1" s="561"/>
      <c r="F1" s="561"/>
      <c r="G1" s="561"/>
      <c r="H1" s="561"/>
    </row>
    <row r="2" spans="1:10" ht="19.2" customHeight="1" thickBot="1" x14ac:dyDescent="0.3">
      <c r="A2" s="108" t="s">
        <v>241</v>
      </c>
      <c r="B2" s="61" t="s">
        <v>297</v>
      </c>
      <c r="C2" s="61" t="s">
        <v>311</v>
      </c>
      <c r="D2" s="61" t="s">
        <v>312</v>
      </c>
      <c r="E2" s="61" t="s">
        <v>313</v>
      </c>
      <c r="F2" s="61" t="s">
        <v>314</v>
      </c>
      <c r="G2" s="61" t="s">
        <v>315</v>
      </c>
      <c r="H2" s="61" t="s">
        <v>299</v>
      </c>
    </row>
    <row r="3" spans="1:10" ht="42" customHeight="1" x14ac:dyDescent="0.25">
      <c r="A3" s="554" t="s">
        <v>316</v>
      </c>
      <c r="B3" s="271" t="s">
        <v>317</v>
      </c>
      <c r="C3" s="430" t="s">
        <v>318</v>
      </c>
      <c r="D3" s="430" t="s">
        <v>319</v>
      </c>
      <c r="E3" s="430" t="s">
        <v>320</v>
      </c>
      <c r="F3" s="430" t="s">
        <v>321</v>
      </c>
      <c r="G3" s="467" t="s">
        <v>322</v>
      </c>
      <c r="H3" s="272" t="s">
        <v>323</v>
      </c>
      <c r="I3" s="444"/>
      <c r="J3" s="444"/>
    </row>
    <row r="4" spans="1:10" ht="72" customHeight="1" x14ac:dyDescent="0.25">
      <c r="A4" s="555"/>
      <c r="B4" s="446" t="s">
        <v>324</v>
      </c>
      <c r="C4" s="446" t="s">
        <v>325</v>
      </c>
      <c r="D4" s="446" t="s">
        <v>326</v>
      </c>
      <c r="E4" s="446" t="s">
        <v>327</v>
      </c>
      <c r="F4" s="446" t="s">
        <v>321</v>
      </c>
      <c r="G4" s="447" t="s">
        <v>322</v>
      </c>
      <c r="H4" s="273" t="s">
        <v>328</v>
      </c>
      <c r="I4" s="444"/>
      <c r="J4" s="444"/>
    </row>
    <row r="5" spans="1:10" ht="41.25" customHeight="1" x14ac:dyDescent="0.25">
      <c r="A5" s="556"/>
      <c r="B5" s="274" t="s">
        <v>329</v>
      </c>
      <c r="C5" s="274" t="s">
        <v>330</v>
      </c>
      <c r="D5" s="274" t="s">
        <v>331</v>
      </c>
      <c r="E5" s="274" t="s">
        <v>332</v>
      </c>
      <c r="F5" s="431" t="s">
        <v>333</v>
      </c>
      <c r="G5" s="274" t="s">
        <v>322</v>
      </c>
      <c r="H5" s="275" t="s">
        <v>334</v>
      </c>
      <c r="I5" s="444"/>
      <c r="J5" s="444"/>
    </row>
    <row r="6" spans="1:10" ht="47.25" customHeight="1" x14ac:dyDescent="0.25">
      <c r="A6" s="557" t="s">
        <v>335</v>
      </c>
      <c r="B6" s="271" t="s">
        <v>336</v>
      </c>
      <c r="C6" s="430" t="s">
        <v>337</v>
      </c>
      <c r="D6" s="430" t="s">
        <v>337</v>
      </c>
      <c r="E6" s="271" t="s">
        <v>320</v>
      </c>
      <c r="F6" s="430" t="s">
        <v>321</v>
      </c>
      <c r="G6" s="467" t="s">
        <v>338</v>
      </c>
      <c r="H6" s="272" t="s">
        <v>339</v>
      </c>
      <c r="I6" s="468"/>
      <c r="J6" s="468"/>
    </row>
    <row r="7" spans="1:10" ht="68.25" customHeight="1" x14ac:dyDescent="0.25">
      <c r="A7" s="558"/>
      <c r="B7" s="446" t="s">
        <v>324</v>
      </c>
      <c r="C7" s="446" t="s">
        <v>325</v>
      </c>
      <c r="D7" s="446" t="s">
        <v>326</v>
      </c>
      <c r="E7" s="446" t="s">
        <v>327</v>
      </c>
      <c r="F7" s="446" t="s">
        <v>321</v>
      </c>
      <c r="G7" s="447" t="s">
        <v>322</v>
      </c>
      <c r="H7" s="273" t="s">
        <v>328</v>
      </c>
      <c r="I7" s="468"/>
      <c r="J7" s="468"/>
    </row>
    <row r="8" spans="1:10" ht="45.75" customHeight="1" x14ac:dyDescent="0.25">
      <c r="A8" s="559"/>
      <c r="B8" s="274" t="s">
        <v>329</v>
      </c>
      <c r="C8" s="274" t="s">
        <v>330</v>
      </c>
      <c r="D8" s="274" t="s">
        <v>331</v>
      </c>
      <c r="E8" s="274" t="s">
        <v>332</v>
      </c>
      <c r="F8" s="431" t="s">
        <v>333</v>
      </c>
      <c r="G8" s="274" t="s">
        <v>322</v>
      </c>
      <c r="H8" s="275" t="s">
        <v>334</v>
      </c>
    </row>
    <row r="9" spans="1:10" x14ac:dyDescent="0.25">
      <c r="A9" s="444"/>
      <c r="B9" s="459"/>
      <c r="C9" s="459"/>
      <c r="D9" s="459"/>
      <c r="E9" s="459"/>
    </row>
    <row r="10" spans="1:10" x14ac:dyDescent="0.25">
      <c r="A10" s="459"/>
      <c r="B10" s="459"/>
      <c r="C10" s="459"/>
      <c r="D10" s="459"/>
      <c r="E10" s="459"/>
    </row>
    <row r="11" spans="1:10" ht="40.5" customHeight="1" x14ac:dyDescent="0.25">
      <c r="A11" s="572" t="s">
        <v>340</v>
      </c>
      <c r="B11" s="573"/>
      <c r="C11" s="573"/>
      <c r="D11" s="573"/>
      <c r="E11" s="573"/>
      <c r="F11" s="573"/>
      <c r="G11" s="574"/>
      <c r="H11" s="78"/>
    </row>
    <row r="12" spans="1:10" ht="43.95" customHeight="1" x14ac:dyDescent="0.25">
      <c r="A12" s="100" t="s">
        <v>241</v>
      </c>
      <c r="B12" s="101" t="s">
        <v>341</v>
      </c>
      <c r="C12" s="102" t="s">
        <v>318</v>
      </c>
      <c r="D12" s="457" t="s">
        <v>342</v>
      </c>
      <c r="E12" s="457" t="s">
        <v>343</v>
      </c>
      <c r="F12" s="61" t="s">
        <v>344</v>
      </c>
      <c r="G12" s="103" t="s">
        <v>299</v>
      </c>
    </row>
    <row r="13" spans="1:10" ht="22.2" customHeight="1" x14ac:dyDescent="0.25">
      <c r="A13" s="104" t="s">
        <v>263</v>
      </c>
      <c r="B13" s="581">
        <v>2008</v>
      </c>
      <c r="C13" s="575" t="s">
        <v>345</v>
      </c>
      <c r="D13" s="582" t="s">
        <v>332</v>
      </c>
      <c r="E13" s="578" t="s">
        <v>346</v>
      </c>
      <c r="F13" s="566" t="s">
        <v>347</v>
      </c>
      <c r="G13" s="569"/>
    </row>
    <row r="14" spans="1:10" ht="20.399999999999999" customHeight="1" x14ac:dyDescent="0.25">
      <c r="A14" s="104" t="s">
        <v>266</v>
      </c>
      <c r="B14" s="579"/>
      <c r="C14" s="576"/>
      <c r="D14" s="576"/>
      <c r="E14" s="579"/>
      <c r="F14" s="567"/>
      <c r="G14" s="570"/>
    </row>
    <row r="15" spans="1:10" ht="19.95" customHeight="1" x14ac:dyDescent="0.25">
      <c r="A15" s="104" t="s">
        <v>268</v>
      </c>
      <c r="B15" s="580"/>
      <c r="C15" s="577"/>
      <c r="D15" s="577"/>
      <c r="E15" s="580"/>
      <c r="F15" s="568"/>
      <c r="G15" s="571"/>
    </row>
    <row r="16" spans="1:10" ht="57.6" customHeight="1" x14ac:dyDescent="0.25">
      <c r="A16" s="104" t="s">
        <v>270</v>
      </c>
      <c r="B16" s="62">
        <v>2013</v>
      </c>
      <c r="C16" s="94" t="s">
        <v>345</v>
      </c>
      <c r="D16" s="93" t="s">
        <v>332</v>
      </c>
      <c r="E16" s="306" t="s">
        <v>348</v>
      </c>
      <c r="F16" s="63" t="s">
        <v>349</v>
      </c>
      <c r="G16" s="307" t="s">
        <v>350</v>
      </c>
    </row>
    <row r="17" spans="1:40" ht="118.5" customHeight="1" x14ac:dyDescent="0.25">
      <c r="A17" s="105" t="s">
        <v>335</v>
      </c>
      <c r="B17" s="106">
        <v>2025</v>
      </c>
      <c r="C17" s="107" t="s">
        <v>332</v>
      </c>
      <c r="D17" s="107" t="s">
        <v>351</v>
      </c>
      <c r="E17" s="265" t="s">
        <v>352</v>
      </c>
      <c r="F17" s="276" t="s">
        <v>353</v>
      </c>
      <c r="G17" s="469"/>
    </row>
    <row r="18" spans="1:40" x14ac:dyDescent="0.25">
      <c r="B18" s="6"/>
      <c r="C18" s="6"/>
      <c r="D18" s="34"/>
      <c r="E18" s="6"/>
    </row>
    <row r="19" spans="1:40" x14ac:dyDescent="0.25">
      <c r="A19" s="35"/>
      <c r="B19" s="6"/>
      <c r="C19" s="6" t="s">
        <v>354</v>
      </c>
      <c r="D19" s="6" t="s">
        <v>355</v>
      </c>
      <c r="E19" s="6"/>
    </row>
    <row r="20" spans="1:40" x14ac:dyDescent="0.25">
      <c r="A20" s="71"/>
      <c r="B20" s="71"/>
      <c r="C20" s="71"/>
      <c r="D20" s="71"/>
      <c r="E20" s="71"/>
    </row>
    <row r="21" spans="1:40" ht="22.35" customHeight="1" x14ac:dyDescent="0.3">
      <c r="A21" s="583" t="s">
        <v>356</v>
      </c>
      <c r="B21" s="584"/>
      <c r="C21" s="584"/>
      <c r="D21" s="584"/>
      <c r="E21" s="584"/>
      <c r="F21" s="584"/>
      <c r="G21" s="584"/>
      <c r="H21" s="584"/>
      <c r="I21"/>
    </row>
    <row r="22" spans="1:40" ht="27.6" customHeight="1" x14ac:dyDescent="0.3">
      <c r="A22" s="434" t="s">
        <v>241</v>
      </c>
      <c r="B22" s="418" t="s">
        <v>357</v>
      </c>
      <c r="C22" s="418" t="s">
        <v>358</v>
      </c>
      <c r="D22" s="419" t="s">
        <v>359</v>
      </c>
      <c r="E22" s="419" t="s">
        <v>360</v>
      </c>
      <c r="F22" s="419" t="s">
        <v>361</v>
      </c>
      <c r="G22" s="419" t="s">
        <v>362</v>
      </c>
      <c r="H22" s="434" t="s">
        <v>363</v>
      </c>
      <c r="I22"/>
    </row>
    <row r="23" spans="1:40" ht="60.45" customHeight="1" x14ac:dyDescent="0.25">
      <c r="A23" s="562" t="s">
        <v>272</v>
      </c>
      <c r="B23" s="563" t="s">
        <v>364</v>
      </c>
      <c r="C23" s="452" t="s">
        <v>365</v>
      </c>
      <c r="D23" s="452">
        <v>2.5</v>
      </c>
      <c r="E23" s="564">
        <v>0.65</v>
      </c>
      <c r="F23" s="564" t="s">
        <v>366</v>
      </c>
      <c r="G23" s="565"/>
      <c r="H23" s="564" t="s">
        <v>367</v>
      </c>
      <c r="I23" s="405" t="s">
        <v>368</v>
      </c>
    </row>
    <row r="24" spans="1:40" ht="60.45" customHeight="1" x14ac:dyDescent="0.3">
      <c r="A24" s="562"/>
      <c r="B24" s="563"/>
      <c r="C24" s="452" t="s">
        <v>369</v>
      </c>
      <c r="D24" s="452">
        <v>5.58</v>
      </c>
      <c r="E24" s="564"/>
      <c r="F24" s="564"/>
      <c r="G24" s="565"/>
      <c r="H24" s="564"/>
      <c r="I24"/>
    </row>
    <row r="25" spans="1:40" ht="21.6" customHeight="1" x14ac:dyDescent="0.3">
      <c r="A25" s="420" t="s">
        <v>370</v>
      </c>
      <c r="B25" s="470"/>
      <c r="C25" s="470"/>
      <c r="D25" s="470"/>
      <c r="E25" s="470"/>
      <c r="F25" s="470"/>
      <c r="G25" s="470"/>
      <c r="H25" s="471"/>
      <c r="I25"/>
    </row>
    <row r="26" spans="1:40" ht="19.350000000000001" customHeight="1" x14ac:dyDescent="0.3">
      <c r="A26" s="420" t="s">
        <v>371</v>
      </c>
      <c r="B26" s="470"/>
      <c r="C26" s="470"/>
      <c r="D26" s="470"/>
      <c r="E26" s="470"/>
      <c r="F26" s="470"/>
      <c r="G26" s="470"/>
      <c r="H26" s="471"/>
      <c r="I26"/>
    </row>
    <row r="27" spans="1:40" ht="44.25" customHeight="1" x14ac:dyDescent="0.3">
      <c r="A27" s="542" t="s">
        <v>335</v>
      </c>
      <c r="B27" s="539" t="s">
        <v>338</v>
      </c>
      <c r="C27" s="446" t="s">
        <v>372</v>
      </c>
      <c r="D27" s="446" t="s">
        <v>373</v>
      </c>
      <c r="E27" s="539">
        <v>0.65</v>
      </c>
      <c r="F27" s="539" t="s">
        <v>374</v>
      </c>
      <c r="G27" s="446">
        <v>0.74399999999999999</v>
      </c>
      <c r="H27" s="539" t="s">
        <v>375</v>
      </c>
      <c r="I27" s="472"/>
    </row>
    <row r="28" spans="1:40" ht="44.25" customHeight="1" x14ac:dyDescent="0.3">
      <c r="A28" s="542"/>
      <c r="B28" s="539"/>
      <c r="C28" s="446" t="s">
        <v>376</v>
      </c>
      <c r="D28" s="446" t="s">
        <v>373</v>
      </c>
      <c r="E28" s="539"/>
      <c r="F28" s="539"/>
      <c r="G28" s="446">
        <v>0.67600000000000005</v>
      </c>
      <c r="H28" s="539"/>
      <c r="I28" s="472"/>
      <c r="J28" s="71"/>
      <c r="K28" s="71"/>
      <c r="L28" s="71"/>
      <c r="M28" s="71"/>
      <c r="N28" s="71"/>
      <c r="O28" s="71"/>
      <c r="P28" s="71"/>
      <c r="Q28" s="71"/>
      <c r="R28" s="71"/>
      <c r="S28" s="71"/>
      <c r="T28" s="71"/>
      <c r="U28" s="71"/>
      <c r="V28" s="71"/>
      <c r="W28" s="71"/>
      <c r="X28" s="71"/>
      <c r="Y28" s="71"/>
      <c r="Z28" s="71"/>
      <c r="AA28" s="71"/>
      <c r="AB28" s="71"/>
      <c r="AC28" s="71"/>
      <c r="AD28" s="71"/>
      <c r="AE28" s="585"/>
      <c r="AF28" s="585"/>
      <c r="AG28" s="585"/>
      <c r="AH28" s="585"/>
      <c r="AI28" s="585"/>
      <c r="AJ28" s="585"/>
      <c r="AK28" s="585"/>
      <c r="AL28" s="585"/>
      <c r="AM28" s="585"/>
      <c r="AN28" s="585"/>
    </row>
    <row r="29" spans="1:40" ht="12.75" customHeight="1" x14ac:dyDescent="0.3">
      <c r="A29" s="424"/>
      <c r="B29" s="424"/>
      <c r="C29" s="424"/>
      <c r="D29" s="320"/>
      <c r="E29" s="424"/>
      <c r="F29" s="320"/>
      <c r="G29" s="424"/>
      <c r="H29" s="424"/>
      <c r="I29"/>
      <c r="J29" s="71"/>
      <c r="K29" s="71"/>
      <c r="L29" s="71"/>
      <c r="M29" s="71"/>
      <c r="N29" s="71"/>
      <c r="O29" s="71"/>
      <c r="P29" s="71"/>
      <c r="Q29" s="71"/>
      <c r="R29" s="71"/>
      <c r="S29" s="71"/>
      <c r="T29" s="71"/>
      <c r="U29" s="71"/>
      <c r="V29" s="71"/>
      <c r="W29" s="71"/>
      <c r="X29" s="71"/>
      <c r="Y29" s="71"/>
      <c r="Z29" s="71"/>
      <c r="AA29" s="71"/>
      <c r="AB29" s="71"/>
      <c r="AC29" s="71"/>
      <c r="AD29" s="71"/>
      <c r="AE29" s="585"/>
      <c r="AF29" s="585"/>
      <c r="AG29" s="585"/>
      <c r="AH29" s="585"/>
      <c r="AI29" s="585"/>
      <c r="AJ29" s="585"/>
      <c r="AK29" s="585"/>
      <c r="AL29" s="585"/>
      <c r="AM29" s="585"/>
      <c r="AN29" s="585"/>
    </row>
    <row r="30" spans="1:40" ht="31.5" customHeight="1" x14ac:dyDescent="0.3">
      <c r="A30" s="522" t="s">
        <v>377</v>
      </c>
      <c r="B30" s="522"/>
      <c r="C30" s="522"/>
      <c r="D30" s="522"/>
      <c r="E30" s="522"/>
      <c r="F30" s="522"/>
      <c r="G30" s="522"/>
      <c r="H30" s="522"/>
      <c r="I30"/>
      <c r="J30" s="71"/>
      <c r="K30" s="71"/>
      <c r="L30" s="71"/>
      <c r="M30" s="71"/>
      <c r="N30" s="71"/>
      <c r="O30" s="71"/>
      <c r="P30" s="71"/>
      <c r="Q30" s="71"/>
      <c r="R30" s="71"/>
      <c r="S30" s="71"/>
      <c r="T30" s="71"/>
      <c r="U30" s="71"/>
      <c r="V30" s="71"/>
      <c r="W30" s="71"/>
      <c r="X30" s="71"/>
      <c r="Y30" s="71"/>
      <c r="Z30" s="71"/>
      <c r="AA30" s="71"/>
      <c r="AB30" s="71"/>
      <c r="AC30" s="71"/>
      <c r="AD30" s="71"/>
      <c r="AE30" s="585"/>
      <c r="AF30" s="585"/>
      <c r="AG30" s="585"/>
      <c r="AH30" s="585"/>
      <c r="AI30" s="585"/>
      <c r="AJ30" s="585"/>
      <c r="AK30" s="585"/>
      <c r="AL30" s="585"/>
      <c r="AM30" s="585"/>
      <c r="AN30" s="585"/>
    </row>
    <row r="31" spans="1:40" ht="57" customHeight="1" x14ac:dyDescent="0.3">
      <c r="A31" s="522" t="s">
        <v>378</v>
      </c>
      <c r="B31" s="522"/>
      <c r="C31" s="522"/>
      <c r="D31" s="522"/>
      <c r="E31" s="522"/>
      <c r="F31" s="522"/>
      <c r="G31" s="522"/>
      <c r="H31" s="522"/>
      <c r="I31"/>
    </row>
    <row r="32" spans="1:40" x14ac:dyDescent="0.25">
      <c r="A32" s="473" t="s">
        <v>379</v>
      </c>
      <c r="B32" s="309" t="s">
        <v>380</v>
      </c>
      <c r="C32" s="308"/>
      <c r="D32" s="308"/>
      <c r="E32" s="308"/>
      <c r="F32" s="308"/>
      <c r="G32" s="308"/>
    </row>
    <row r="33" spans="1:38" ht="48" customHeight="1" x14ac:dyDescent="0.25">
      <c r="A33" s="73"/>
      <c r="B33" s="308"/>
      <c r="C33" s="308"/>
      <c r="D33" s="308"/>
      <c r="E33" s="308"/>
      <c r="F33" s="308"/>
      <c r="G33" s="308"/>
    </row>
    <row r="34" spans="1:38" s="22" customFormat="1" hidden="1" x14ac:dyDescent="0.25">
      <c r="A34" s="22" t="s">
        <v>381</v>
      </c>
    </row>
    <row r="35" spans="1:38" x14ac:dyDescent="0.25">
      <c r="U35" s="31"/>
      <c r="V35" s="49"/>
      <c r="W35" s="50"/>
      <c r="X35" s="50"/>
      <c r="Y35" s="50"/>
      <c r="Z35" s="50"/>
      <c r="AA35" s="50"/>
      <c r="AB35" s="50"/>
      <c r="AC35" s="50"/>
      <c r="AD35" s="50"/>
      <c r="AE35" s="50"/>
      <c r="AF35" s="50"/>
      <c r="AG35" s="50"/>
      <c r="AH35" s="50"/>
      <c r="AI35" s="50"/>
      <c r="AJ35" s="50"/>
      <c r="AK35" s="50"/>
      <c r="AL35" s="50"/>
    </row>
    <row r="36" spans="1:38" x14ac:dyDescent="0.25">
      <c r="U36" s="31"/>
      <c r="V36" s="49"/>
      <c r="W36" s="50"/>
      <c r="X36" s="50"/>
      <c r="Y36" s="50"/>
      <c r="Z36" s="50"/>
      <c r="AA36" s="50"/>
      <c r="AB36" s="50"/>
      <c r="AC36" s="50"/>
      <c r="AD36" s="50"/>
      <c r="AE36" s="50"/>
      <c r="AF36" s="50"/>
      <c r="AG36" s="50"/>
      <c r="AH36" s="50"/>
      <c r="AI36" s="50"/>
      <c r="AJ36" s="50"/>
      <c r="AK36" s="50"/>
      <c r="AL36" s="50"/>
    </row>
    <row r="37" spans="1:38" x14ac:dyDescent="0.25">
      <c r="U37" s="31"/>
      <c r="V37" s="49"/>
      <c r="W37" s="50"/>
      <c r="X37" s="50"/>
      <c r="Y37" s="50"/>
      <c r="Z37" s="50"/>
      <c r="AA37" s="50"/>
      <c r="AB37" s="50"/>
      <c r="AC37" s="50"/>
      <c r="AD37" s="50"/>
      <c r="AE37" s="50"/>
      <c r="AF37" s="50"/>
      <c r="AG37" s="50"/>
      <c r="AH37" s="50"/>
      <c r="AI37" s="50"/>
      <c r="AJ37" s="50"/>
      <c r="AK37" s="50"/>
      <c r="AL37" s="50"/>
    </row>
    <row r="38" spans="1:38" x14ac:dyDescent="0.25">
      <c r="U38" s="31"/>
      <c r="V38" s="49"/>
      <c r="W38" s="50"/>
      <c r="X38" s="50"/>
      <c r="Y38" s="50"/>
      <c r="Z38" s="50"/>
      <c r="AA38" s="50"/>
      <c r="AB38" s="50"/>
      <c r="AC38" s="50"/>
      <c r="AD38" s="50"/>
      <c r="AE38" s="50"/>
      <c r="AF38" s="50"/>
      <c r="AG38" s="50"/>
      <c r="AH38" s="50"/>
      <c r="AI38" s="50"/>
      <c r="AJ38" s="50"/>
      <c r="AK38" s="50"/>
      <c r="AL38" s="50"/>
    </row>
    <row r="39" spans="1:38" x14ac:dyDescent="0.25">
      <c r="U39" s="31"/>
      <c r="V39" s="49"/>
      <c r="W39" s="50"/>
      <c r="X39" s="50"/>
      <c r="Y39" s="50"/>
      <c r="Z39" s="50"/>
      <c r="AA39" s="50"/>
      <c r="AB39" s="50"/>
      <c r="AC39" s="50"/>
      <c r="AD39" s="50"/>
      <c r="AE39" s="50"/>
      <c r="AF39" s="50"/>
      <c r="AG39" s="50"/>
      <c r="AH39" s="50"/>
      <c r="AI39" s="50"/>
      <c r="AJ39" s="50"/>
      <c r="AK39" s="50"/>
      <c r="AL39" s="50"/>
    </row>
    <row r="40" spans="1:38" x14ac:dyDescent="0.25">
      <c r="U40" s="31"/>
      <c r="W40" s="30"/>
      <c r="X40" s="30"/>
      <c r="Y40" s="30"/>
      <c r="Z40" s="30"/>
      <c r="AA40" s="30"/>
      <c r="AB40" s="30"/>
      <c r="AC40" s="30"/>
      <c r="AD40" s="30"/>
      <c r="AE40" s="30"/>
      <c r="AF40" s="30"/>
      <c r="AG40" s="30"/>
      <c r="AH40" s="30"/>
      <c r="AI40" s="30"/>
      <c r="AJ40" s="30"/>
      <c r="AK40" s="30"/>
      <c r="AL40" s="30"/>
    </row>
    <row r="41" spans="1:38" x14ac:dyDescent="0.25">
      <c r="U41" s="32"/>
      <c r="W41" s="31"/>
      <c r="X41" s="31"/>
      <c r="Y41" s="31"/>
      <c r="Z41" s="31"/>
      <c r="AA41" s="31"/>
      <c r="AB41" s="31"/>
      <c r="AC41" s="31"/>
      <c r="AD41" s="31"/>
      <c r="AE41" s="31"/>
      <c r="AF41" s="31"/>
      <c r="AG41" s="31"/>
      <c r="AH41" s="31"/>
      <c r="AI41" s="31"/>
      <c r="AJ41" s="31"/>
      <c r="AK41" s="31"/>
      <c r="AL41" s="31"/>
    </row>
    <row r="42" spans="1:38" x14ac:dyDescent="0.25">
      <c r="U42" s="31"/>
    </row>
    <row r="45" spans="1:38" x14ac:dyDescent="0.25">
      <c r="U45" s="29"/>
      <c r="V45" s="29"/>
      <c r="W45" s="48"/>
      <c r="X45" s="48"/>
      <c r="Y45" s="48"/>
      <c r="Z45" s="48"/>
      <c r="AA45" s="48"/>
      <c r="AB45" s="48"/>
      <c r="AC45" s="48"/>
      <c r="AD45" s="48"/>
      <c r="AE45" s="48"/>
      <c r="AF45" s="48"/>
      <c r="AG45" s="48"/>
      <c r="AH45" s="48"/>
      <c r="AI45" s="48"/>
      <c r="AJ45" s="48"/>
      <c r="AK45" s="48"/>
      <c r="AL45" s="48"/>
    </row>
    <row r="46" spans="1:38" x14ac:dyDescent="0.25">
      <c r="V46" s="33"/>
    </row>
    <row r="47" spans="1:38" x14ac:dyDescent="0.25">
      <c r="U47" s="31"/>
      <c r="V47" s="33"/>
    </row>
    <row r="48" spans="1:38" x14ac:dyDescent="0.25">
      <c r="U48" s="31"/>
      <c r="V48" s="33"/>
    </row>
    <row r="49" spans="21:22" x14ac:dyDescent="0.25">
      <c r="U49" s="31"/>
      <c r="V49" s="33"/>
    </row>
    <row r="50" spans="21:22" x14ac:dyDescent="0.25">
      <c r="U50" s="31"/>
      <c r="V50" s="33"/>
    </row>
    <row r="51" spans="21:22" x14ac:dyDescent="0.25">
      <c r="U51" s="31"/>
      <c r="V51" s="33"/>
    </row>
    <row r="52" spans="21:22" x14ac:dyDescent="0.25">
      <c r="U52" s="31"/>
      <c r="V52" s="33"/>
    </row>
    <row r="53" spans="21:22" x14ac:dyDescent="0.25">
      <c r="U53" s="31"/>
      <c r="V53" s="33"/>
    </row>
    <row r="54" spans="21:22" x14ac:dyDescent="0.25">
      <c r="U54" s="31"/>
      <c r="V54" s="33"/>
    </row>
    <row r="55" spans="21:22" x14ac:dyDescent="0.25">
      <c r="U55" s="31"/>
      <c r="V55" s="33"/>
    </row>
    <row r="56" spans="21:22" x14ac:dyDescent="0.25">
      <c r="U56" s="31"/>
      <c r="V56" s="33"/>
    </row>
    <row r="57" spans="21:22" x14ac:dyDescent="0.25">
      <c r="U57" s="31"/>
      <c r="V57" s="33"/>
    </row>
    <row r="58" spans="21:22" x14ac:dyDescent="0.25">
      <c r="U58" s="31"/>
      <c r="V58" s="33"/>
    </row>
    <row r="59" spans="21:22" x14ac:dyDescent="0.25">
      <c r="U59" s="31"/>
      <c r="V59" s="33"/>
    </row>
    <row r="60" spans="21:22" x14ac:dyDescent="0.25">
      <c r="U60" s="31"/>
      <c r="V60" s="33"/>
    </row>
    <row r="61" spans="21:22" x14ac:dyDescent="0.25">
      <c r="U61" s="31"/>
      <c r="V61" s="33"/>
    </row>
    <row r="62" spans="21:22" x14ac:dyDescent="0.25">
      <c r="U62" s="31"/>
      <c r="V62" s="33"/>
    </row>
    <row r="63" spans="21:22" x14ac:dyDescent="0.25">
      <c r="U63" s="31"/>
      <c r="V63" s="33"/>
    </row>
    <row r="64" spans="21:22" x14ac:dyDescent="0.25">
      <c r="U64" s="31"/>
      <c r="V64" s="33"/>
    </row>
    <row r="65" spans="21:38" x14ac:dyDescent="0.25">
      <c r="U65" s="31"/>
      <c r="V65" s="33"/>
    </row>
    <row r="66" spans="21:38" x14ac:dyDescent="0.25">
      <c r="U66" s="31"/>
      <c r="V66" s="33"/>
    </row>
    <row r="67" spans="21:38" x14ac:dyDescent="0.25">
      <c r="U67" s="31"/>
      <c r="W67" s="30"/>
      <c r="X67" s="30"/>
      <c r="Y67" s="30"/>
      <c r="Z67" s="30"/>
      <c r="AA67" s="30"/>
      <c r="AB67" s="30"/>
      <c r="AC67" s="30"/>
      <c r="AD67" s="30"/>
      <c r="AE67" s="30"/>
      <c r="AF67" s="30"/>
      <c r="AG67" s="30"/>
      <c r="AH67" s="30"/>
      <c r="AI67" s="30"/>
      <c r="AJ67" s="30"/>
      <c r="AK67" s="30"/>
      <c r="AL67" s="30"/>
    </row>
    <row r="68" spans="21:38" x14ac:dyDescent="0.25">
      <c r="U68" s="32"/>
      <c r="W68" s="31"/>
      <c r="X68" s="31"/>
      <c r="Y68" s="31"/>
      <c r="Z68" s="31"/>
      <c r="AA68" s="31"/>
      <c r="AB68" s="31"/>
      <c r="AC68" s="31"/>
      <c r="AD68" s="31"/>
      <c r="AE68" s="31"/>
      <c r="AF68" s="31"/>
      <c r="AG68" s="31"/>
      <c r="AH68" s="31"/>
      <c r="AI68" s="31"/>
      <c r="AJ68" s="31"/>
      <c r="AK68" s="31"/>
      <c r="AL68" s="31"/>
    </row>
  </sheetData>
  <mergeCells count="39">
    <mergeCell ref="AE30:AF30"/>
    <mergeCell ref="AG30:AH30"/>
    <mergeCell ref="AI30:AJ30"/>
    <mergeCell ref="AK30:AL30"/>
    <mergeCell ref="AM30:AN30"/>
    <mergeCell ref="AM28:AN28"/>
    <mergeCell ref="AE29:AF29"/>
    <mergeCell ref="AG29:AH29"/>
    <mergeCell ref="AI29:AJ29"/>
    <mergeCell ref="AK29:AL29"/>
    <mergeCell ref="AM29:AN29"/>
    <mergeCell ref="AI28:AJ28"/>
    <mergeCell ref="AK28:AL28"/>
    <mergeCell ref="B13:B15"/>
    <mergeCell ref="D13:D15"/>
    <mergeCell ref="A21:H21"/>
    <mergeCell ref="AE28:AF28"/>
    <mergeCell ref="AG28:AH28"/>
    <mergeCell ref="A27:A28"/>
    <mergeCell ref="B27:B28"/>
    <mergeCell ref="E27:E28"/>
    <mergeCell ref="F27:F28"/>
    <mergeCell ref="H27:H28"/>
    <mergeCell ref="A30:H30"/>
    <mergeCell ref="A31:H31"/>
    <mergeCell ref="A3:A5"/>
    <mergeCell ref="A6:A8"/>
    <mergeCell ref="A1:H1"/>
    <mergeCell ref="A23:A24"/>
    <mergeCell ref="B23:B24"/>
    <mergeCell ref="E23:E24"/>
    <mergeCell ref="F23:F24"/>
    <mergeCell ref="G23:G24"/>
    <mergeCell ref="H23:H24"/>
    <mergeCell ref="F13:F15"/>
    <mergeCell ref="G13:G15"/>
    <mergeCell ref="A11:G11"/>
    <mergeCell ref="C13:C15"/>
    <mergeCell ref="E13:E15"/>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37"/>
  <sheetViews>
    <sheetView zoomScale="80" zoomScaleNormal="80" workbookViewId="0">
      <selection sqref="A1:R1"/>
    </sheetView>
  </sheetViews>
  <sheetFormatPr defaultRowHeight="14.4" x14ac:dyDescent="0.3"/>
  <cols>
    <col min="1" max="1" width="63.88671875" customWidth="1"/>
    <col min="18" max="18" width="74" customWidth="1"/>
  </cols>
  <sheetData>
    <row r="1" spans="1:18" ht="24" customHeight="1" x14ac:dyDescent="0.3">
      <c r="A1" s="533" t="str">
        <f>"Thermostat Setpoints - "&amp;Prototype!A2</f>
        <v>Thermostat Setpoints - SchoolK-8</v>
      </c>
      <c r="B1" s="533"/>
      <c r="C1" s="533"/>
      <c r="D1" s="533"/>
      <c r="E1" s="533"/>
      <c r="F1" s="533"/>
      <c r="G1" s="533"/>
      <c r="H1" s="533"/>
      <c r="I1" s="533"/>
      <c r="J1" s="533"/>
      <c r="K1" s="533"/>
      <c r="L1" s="533"/>
      <c r="M1" s="533"/>
      <c r="N1" s="533"/>
      <c r="O1" s="533"/>
      <c r="P1" s="533"/>
      <c r="Q1" s="533"/>
      <c r="R1" s="533"/>
    </row>
    <row r="2" spans="1:18" ht="22.5" customHeight="1" x14ac:dyDescent="0.3">
      <c r="A2" s="457" t="s">
        <v>382</v>
      </c>
      <c r="B2" s="453" t="s">
        <v>243</v>
      </c>
      <c r="C2" s="453" t="s">
        <v>244</v>
      </c>
      <c r="D2" s="453" t="s">
        <v>245</v>
      </c>
      <c r="E2" s="453" t="s">
        <v>246</v>
      </c>
      <c r="F2" s="453" t="s">
        <v>247</v>
      </c>
      <c r="G2" s="453" t="s">
        <v>248</v>
      </c>
      <c r="H2" s="453" t="s">
        <v>249</v>
      </c>
      <c r="I2" s="453" t="s">
        <v>250</v>
      </c>
      <c r="J2" s="453" t="s">
        <v>251</v>
      </c>
      <c r="K2" s="453" t="s">
        <v>252</v>
      </c>
      <c r="L2" s="453" t="s">
        <v>253</v>
      </c>
      <c r="M2" s="453" t="s">
        <v>254</v>
      </c>
      <c r="N2" s="453" t="s">
        <v>255</v>
      </c>
      <c r="O2" s="453" t="s">
        <v>256</v>
      </c>
      <c r="P2" s="453" t="s">
        <v>257</v>
      </c>
      <c r="Q2" s="453" t="s">
        <v>258</v>
      </c>
      <c r="R2" s="74" t="s">
        <v>315</v>
      </c>
    </row>
    <row r="3" spans="1:18" x14ac:dyDescent="0.3">
      <c r="A3" s="321" t="s">
        <v>383</v>
      </c>
      <c r="B3" s="449">
        <v>70</v>
      </c>
      <c r="C3" s="449">
        <v>70</v>
      </c>
      <c r="D3" s="449">
        <v>70</v>
      </c>
      <c r="E3" s="449">
        <v>70</v>
      </c>
      <c r="F3" s="449">
        <v>70</v>
      </c>
      <c r="G3" s="449">
        <v>70</v>
      </c>
      <c r="H3" s="449">
        <v>70</v>
      </c>
      <c r="I3" s="449">
        <v>70</v>
      </c>
      <c r="J3" s="449">
        <v>70</v>
      </c>
      <c r="K3" s="449">
        <v>70</v>
      </c>
      <c r="L3" s="449">
        <v>70</v>
      </c>
      <c r="M3" s="449">
        <v>70</v>
      </c>
      <c r="N3" s="449">
        <v>70</v>
      </c>
      <c r="O3" s="449">
        <v>70</v>
      </c>
      <c r="P3" s="449">
        <v>70</v>
      </c>
      <c r="Q3" s="449">
        <v>70</v>
      </c>
      <c r="R3" s="586" t="s">
        <v>384</v>
      </c>
    </row>
    <row r="4" spans="1:18" x14ac:dyDescent="0.3">
      <c r="A4" s="321" t="s">
        <v>385</v>
      </c>
      <c r="B4" s="449">
        <v>60</v>
      </c>
      <c r="C4" s="449">
        <v>60</v>
      </c>
      <c r="D4" s="449">
        <v>60</v>
      </c>
      <c r="E4" s="449">
        <v>60</v>
      </c>
      <c r="F4" s="449">
        <v>60</v>
      </c>
      <c r="G4" s="449">
        <v>60</v>
      </c>
      <c r="H4" s="449">
        <v>60</v>
      </c>
      <c r="I4" s="449">
        <v>60</v>
      </c>
      <c r="J4" s="449">
        <v>60</v>
      </c>
      <c r="K4" s="449">
        <v>60</v>
      </c>
      <c r="L4" s="449">
        <v>60</v>
      </c>
      <c r="M4" s="449">
        <v>60</v>
      </c>
      <c r="N4" s="449">
        <v>60</v>
      </c>
      <c r="O4" s="449">
        <v>60</v>
      </c>
      <c r="P4" s="449">
        <v>60</v>
      </c>
      <c r="Q4" s="449">
        <v>60</v>
      </c>
      <c r="R4" s="586"/>
    </row>
    <row r="5" spans="1:18" x14ac:dyDescent="0.3">
      <c r="A5" s="321" t="s">
        <v>386</v>
      </c>
      <c r="B5" s="449">
        <v>75</v>
      </c>
      <c r="C5" s="449">
        <v>75</v>
      </c>
      <c r="D5" s="449">
        <v>75</v>
      </c>
      <c r="E5" s="449">
        <v>75</v>
      </c>
      <c r="F5" s="449">
        <v>75</v>
      </c>
      <c r="G5" s="449">
        <v>75</v>
      </c>
      <c r="H5" s="449">
        <v>75</v>
      </c>
      <c r="I5" s="449">
        <v>75</v>
      </c>
      <c r="J5" s="449">
        <v>75</v>
      </c>
      <c r="K5" s="449">
        <v>75</v>
      </c>
      <c r="L5" s="449">
        <v>75</v>
      </c>
      <c r="M5" s="449">
        <v>75</v>
      </c>
      <c r="N5" s="449">
        <v>75</v>
      </c>
      <c r="O5" s="449">
        <v>75</v>
      </c>
      <c r="P5" s="449">
        <v>75</v>
      </c>
      <c r="Q5" s="449">
        <v>75</v>
      </c>
      <c r="R5" s="586" t="s">
        <v>384</v>
      </c>
    </row>
    <row r="6" spans="1:18" x14ac:dyDescent="0.3">
      <c r="A6" s="321" t="s">
        <v>387</v>
      </c>
      <c r="B6" s="449">
        <v>85</v>
      </c>
      <c r="C6" s="449">
        <v>85</v>
      </c>
      <c r="D6" s="449">
        <v>85</v>
      </c>
      <c r="E6" s="449">
        <v>85</v>
      </c>
      <c r="F6" s="449">
        <v>85</v>
      </c>
      <c r="G6" s="449">
        <v>85</v>
      </c>
      <c r="H6" s="449">
        <v>85</v>
      </c>
      <c r="I6" s="449">
        <v>85</v>
      </c>
      <c r="J6" s="449">
        <v>85</v>
      </c>
      <c r="K6" s="449">
        <v>85</v>
      </c>
      <c r="L6" s="449">
        <v>85</v>
      </c>
      <c r="M6" s="449">
        <v>85</v>
      </c>
      <c r="N6" s="449">
        <v>85</v>
      </c>
      <c r="O6" s="449">
        <v>85</v>
      </c>
      <c r="P6" s="449">
        <v>85</v>
      </c>
      <c r="Q6" s="449">
        <v>85</v>
      </c>
      <c r="R6" s="586"/>
    </row>
    <row r="7" spans="1:18" ht="30.75" customHeight="1" x14ac:dyDescent="0.3">
      <c r="A7" s="432" t="s">
        <v>388</v>
      </c>
      <c r="B7" s="447">
        <v>70</v>
      </c>
      <c r="C7" s="447">
        <v>70</v>
      </c>
      <c r="D7" s="447">
        <v>70</v>
      </c>
      <c r="E7" s="447">
        <v>70</v>
      </c>
      <c r="F7" s="447">
        <v>70</v>
      </c>
      <c r="G7" s="447">
        <v>70</v>
      </c>
      <c r="H7" s="447">
        <v>70</v>
      </c>
      <c r="I7" s="447">
        <v>70</v>
      </c>
      <c r="J7" s="447">
        <v>70</v>
      </c>
      <c r="K7" s="447">
        <v>70</v>
      </c>
      <c r="L7" s="447">
        <v>70</v>
      </c>
      <c r="M7" s="447">
        <v>70</v>
      </c>
      <c r="N7" s="447">
        <v>70</v>
      </c>
      <c r="O7" s="447">
        <v>70</v>
      </c>
      <c r="P7" s="447">
        <v>70</v>
      </c>
      <c r="Q7" s="447">
        <v>70</v>
      </c>
      <c r="R7" s="588" t="s">
        <v>389</v>
      </c>
    </row>
    <row r="8" spans="1:18" x14ac:dyDescent="0.3">
      <c r="A8" s="432" t="s">
        <v>390</v>
      </c>
      <c r="B8" s="447">
        <v>60</v>
      </c>
      <c r="C8" s="447">
        <v>60</v>
      </c>
      <c r="D8" s="447">
        <v>60</v>
      </c>
      <c r="E8" s="447">
        <v>60</v>
      </c>
      <c r="F8" s="447">
        <v>60</v>
      </c>
      <c r="G8" s="447">
        <v>60</v>
      </c>
      <c r="H8" s="447">
        <v>60</v>
      </c>
      <c r="I8" s="447">
        <v>60</v>
      </c>
      <c r="J8" s="447">
        <v>60</v>
      </c>
      <c r="K8" s="447">
        <v>60</v>
      </c>
      <c r="L8" s="447">
        <v>60</v>
      </c>
      <c r="M8" s="447">
        <v>60</v>
      </c>
      <c r="N8" s="447">
        <v>60</v>
      </c>
      <c r="O8" s="447">
        <v>60</v>
      </c>
      <c r="P8" s="447">
        <v>60</v>
      </c>
      <c r="Q8" s="447">
        <v>60</v>
      </c>
      <c r="R8" s="589"/>
    </row>
    <row r="9" spans="1:18" x14ac:dyDescent="0.3">
      <c r="A9" s="432" t="s">
        <v>391</v>
      </c>
      <c r="B9" s="447">
        <v>75</v>
      </c>
      <c r="C9" s="447">
        <v>75</v>
      </c>
      <c r="D9" s="447">
        <v>75</v>
      </c>
      <c r="E9" s="447">
        <v>75</v>
      </c>
      <c r="F9" s="447">
        <v>75</v>
      </c>
      <c r="G9" s="447">
        <v>75</v>
      </c>
      <c r="H9" s="447">
        <v>75</v>
      </c>
      <c r="I9" s="447">
        <v>75</v>
      </c>
      <c r="J9" s="447">
        <v>75</v>
      </c>
      <c r="K9" s="447">
        <v>75</v>
      </c>
      <c r="L9" s="447">
        <v>75</v>
      </c>
      <c r="M9" s="447">
        <v>75</v>
      </c>
      <c r="N9" s="447">
        <v>75</v>
      </c>
      <c r="O9" s="447">
        <v>75</v>
      </c>
      <c r="P9" s="447">
        <v>75</v>
      </c>
      <c r="Q9" s="447">
        <v>75</v>
      </c>
      <c r="R9" s="589"/>
    </row>
    <row r="10" spans="1:18" x14ac:dyDescent="0.3">
      <c r="A10" s="432" t="s">
        <v>392</v>
      </c>
      <c r="B10" s="447">
        <v>85</v>
      </c>
      <c r="C10" s="447">
        <v>85</v>
      </c>
      <c r="D10" s="447">
        <v>85</v>
      </c>
      <c r="E10" s="447">
        <v>85</v>
      </c>
      <c r="F10" s="447">
        <v>85</v>
      </c>
      <c r="G10" s="447">
        <v>85</v>
      </c>
      <c r="H10" s="447">
        <v>85</v>
      </c>
      <c r="I10" s="447">
        <v>85</v>
      </c>
      <c r="J10" s="447">
        <v>85</v>
      </c>
      <c r="K10" s="447">
        <v>85</v>
      </c>
      <c r="L10" s="447">
        <v>85</v>
      </c>
      <c r="M10" s="447">
        <v>85</v>
      </c>
      <c r="N10" s="447">
        <v>85</v>
      </c>
      <c r="O10" s="447">
        <v>85</v>
      </c>
      <c r="P10" s="447">
        <v>85</v>
      </c>
      <c r="Q10" s="447">
        <v>85</v>
      </c>
      <c r="R10" s="590"/>
    </row>
    <row r="11" spans="1:18" x14ac:dyDescent="0.3">
      <c r="A11" s="432" t="s">
        <v>393</v>
      </c>
      <c r="B11" s="447">
        <v>60</v>
      </c>
      <c r="C11" s="447">
        <v>60</v>
      </c>
      <c r="D11" s="447">
        <v>60</v>
      </c>
      <c r="E11" s="447">
        <v>60</v>
      </c>
      <c r="F11" s="447">
        <v>60</v>
      </c>
      <c r="G11" s="447">
        <v>60</v>
      </c>
      <c r="H11" s="447">
        <v>60</v>
      </c>
      <c r="I11" s="447">
        <v>60</v>
      </c>
      <c r="J11" s="447">
        <v>60</v>
      </c>
      <c r="K11" s="447">
        <v>60</v>
      </c>
      <c r="L11" s="447">
        <v>60</v>
      </c>
      <c r="M11" s="447">
        <v>60</v>
      </c>
      <c r="N11" s="447">
        <v>60</v>
      </c>
      <c r="O11" s="447">
        <v>60</v>
      </c>
      <c r="P11" s="447">
        <v>60</v>
      </c>
      <c r="Q11" s="447">
        <v>60</v>
      </c>
      <c r="R11" s="588" t="s">
        <v>394</v>
      </c>
    </row>
    <row r="12" spans="1:18" x14ac:dyDescent="0.3">
      <c r="A12" s="432" t="s">
        <v>395</v>
      </c>
      <c r="B12" s="447">
        <v>60</v>
      </c>
      <c r="C12" s="447">
        <v>60</v>
      </c>
      <c r="D12" s="447">
        <v>60</v>
      </c>
      <c r="E12" s="447">
        <v>60</v>
      </c>
      <c r="F12" s="447">
        <v>60</v>
      </c>
      <c r="G12" s="447">
        <v>60</v>
      </c>
      <c r="H12" s="447">
        <v>60</v>
      </c>
      <c r="I12" s="447">
        <v>60</v>
      </c>
      <c r="J12" s="447">
        <v>60</v>
      </c>
      <c r="K12" s="447">
        <v>60</v>
      </c>
      <c r="L12" s="447">
        <v>60</v>
      </c>
      <c r="M12" s="447">
        <v>60</v>
      </c>
      <c r="N12" s="447">
        <v>60</v>
      </c>
      <c r="O12" s="447">
        <v>60</v>
      </c>
      <c r="P12" s="447">
        <v>60</v>
      </c>
      <c r="Q12" s="447">
        <v>60</v>
      </c>
      <c r="R12" s="589"/>
    </row>
    <row r="13" spans="1:18" x14ac:dyDescent="0.3">
      <c r="A13" s="432" t="s">
        <v>396</v>
      </c>
      <c r="B13" s="447">
        <v>80</v>
      </c>
      <c r="C13" s="447">
        <v>80</v>
      </c>
      <c r="D13" s="447">
        <v>80</v>
      </c>
      <c r="E13" s="447">
        <v>80</v>
      </c>
      <c r="F13" s="447">
        <v>80</v>
      </c>
      <c r="G13" s="447">
        <v>80</v>
      </c>
      <c r="H13" s="447">
        <v>80</v>
      </c>
      <c r="I13" s="447">
        <v>80</v>
      </c>
      <c r="J13" s="447">
        <v>80</v>
      </c>
      <c r="K13" s="447">
        <v>80</v>
      </c>
      <c r="L13" s="447">
        <v>80</v>
      </c>
      <c r="M13" s="447">
        <v>80</v>
      </c>
      <c r="N13" s="447">
        <v>80</v>
      </c>
      <c r="O13" s="447">
        <v>80</v>
      </c>
      <c r="P13" s="447">
        <v>80</v>
      </c>
      <c r="Q13" s="447">
        <v>80</v>
      </c>
      <c r="R13" s="589"/>
    </row>
    <row r="14" spans="1:18" x14ac:dyDescent="0.3">
      <c r="A14" s="432" t="s">
        <v>397</v>
      </c>
      <c r="B14" s="447">
        <v>80</v>
      </c>
      <c r="C14" s="447">
        <v>80</v>
      </c>
      <c r="D14" s="447">
        <v>80</v>
      </c>
      <c r="E14" s="447">
        <v>80</v>
      </c>
      <c r="F14" s="447">
        <v>80</v>
      </c>
      <c r="G14" s="447">
        <v>80</v>
      </c>
      <c r="H14" s="447">
        <v>80</v>
      </c>
      <c r="I14" s="447">
        <v>80</v>
      </c>
      <c r="J14" s="447">
        <v>80</v>
      </c>
      <c r="K14" s="447">
        <v>80</v>
      </c>
      <c r="L14" s="447">
        <v>80</v>
      </c>
      <c r="M14" s="447">
        <v>80</v>
      </c>
      <c r="N14" s="447">
        <v>80</v>
      </c>
      <c r="O14" s="447">
        <v>80</v>
      </c>
      <c r="P14" s="447">
        <v>80</v>
      </c>
      <c r="Q14" s="447">
        <v>80</v>
      </c>
      <c r="R14" s="590"/>
    </row>
    <row r="15" spans="1:18" x14ac:dyDescent="0.3">
      <c r="A15" s="432" t="s">
        <v>398</v>
      </c>
      <c r="B15" s="447">
        <v>60</v>
      </c>
      <c r="C15" s="447">
        <v>60</v>
      </c>
      <c r="D15" s="447">
        <v>60</v>
      </c>
      <c r="E15" s="447">
        <v>60</v>
      </c>
      <c r="F15" s="447">
        <v>60</v>
      </c>
      <c r="G15" s="447">
        <v>60</v>
      </c>
      <c r="H15" s="447">
        <v>60</v>
      </c>
      <c r="I15" s="447">
        <v>60</v>
      </c>
      <c r="J15" s="447">
        <v>60</v>
      </c>
      <c r="K15" s="447">
        <v>60</v>
      </c>
      <c r="L15" s="447">
        <v>60</v>
      </c>
      <c r="M15" s="447">
        <v>60</v>
      </c>
      <c r="N15" s="447">
        <v>60</v>
      </c>
      <c r="O15" s="447">
        <v>60</v>
      </c>
      <c r="P15" s="447">
        <v>60</v>
      </c>
      <c r="Q15" s="447">
        <v>60</v>
      </c>
      <c r="R15" s="588" t="s">
        <v>399</v>
      </c>
    </row>
    <row r="16" spans="1:18" x14ac:dyDescent="0.3">
      <c r="A16" s="432" t="s">
        <v>400</v>
      </c>
      <c r="B16" s="447">
        <v>60</v>
      </c>
      <c r="C16" s="447">
        <v>60</v>
      </c>
      <c r="D16" s="447">
        <v>60</v>
      </c>
      <c r="E16" s="447">
        <v>60</v>
      </c>
      <c r="F16" s="447">
        <v>60</v>
      </c>
      <c r="G16" s="447">
        <v>60</v>
      </c>
      <c r="H16" s="447">
        <v>60</v>
      </c>
      <c r="I16" s="447">
        <v>60</v>
      </c>
      <c r="J16" s="447">
        <v>60</v>
      </c>
      <c r="K16" s="447">
        <v>60</v>
      </c>
      <c r="L16" s="447">
        <v>60</v>
      </c>
      <c r="M16" s="447">
        <v>60</v>
      </c>
      <c r="N16" s="447">
        <v>60</v>
      </c>
      <c r="O16" s="447">
        <v>60</v>
      </c>
      <c r="P16" s="447">
        <v>60</v>
      </c>
      <c r="Q16" s="447">
        <v>60</v>
      </c>
      <c r="R16" s="589"/>
    </row>
    <row r="17" spans="1:18" x14ac:dyDescent="0.3">
      <c r="A17" s="432" t="s">
        <v>401</v>
      </c>
      <c r="B17" s="447">
        <v>85</v>
      </c>
      <c r="C17" s="447">
        <v>85</v>
      </c>
      <c r="D17" s="447">
        <v>85</v>
      </c>
      <c r="E17" s="447">
        <v>85</v>
      </c>
      <c r="F17" s="447">
        <v>85</v>
      </c>
      <c r="G17" s="447">
        <v>85</v>
      </c>
      <c r="H17" s="447">
        <v>85</v>
      </c>
      <c r="I17" s="447">
        <v>85</v>
      </c>
      <c r="J17" s="447">
        <v>85</v>
      </c>
      <c r="K17" s="447">
        <v>85</v>
      </c>
      <c r="L17" s="447">
        <v>85</v>
      </c>
      <c r="M17" s="447">
        <v>85</v>
      </c>
      <c r="N17" s="447">
        <v>85</v>
      </c>
      <c r="O17" s="447">
        <v>85</v>
      </c>
      <c r="P17" s="447">
        <v>85</v>
      </c>
      <c r="Q17" s="447">
        <v>85</v>
      </c>
      <c r="R17" s="589"/>
    </row>
    <row r="18" spans="1:18" x14ac:dyDescent="0.3">
      <c r="A18" s="432" t="s">
        <v>402</v>
      </c>
      <c r="B18" s="447">
        <v>85</v>
      </c>
      <c r="C18" s="447">
        <v>85</v>
      </c>
      <c r="D18" s="447">
        <v>85</v>
      </c>
      <c r="E18" s="447">
        <v>85</v>
      </c>
      <c r="F18" s="447">
        <v>85</v>
      </c>
      <c r="G18" s="447">
        <v>85</v>
      </c>
      <c r="H18" s="447">
        <v>85</v>
      </c>
      <c r="I18" s="447">
        <v>85</v>
      </c>
      <c r="J18" s="447">
        <v>85</v>
      </c>
      <c r="K18" s="447">
        <v>85</v>
      </c>
      <c r="L18" s="447">
        <v>85</v>
      </c>
      <c r="M18" s="447">
        <v>85</v>
      </c>
      <c r="N18" s="447">
        <v>85</v>
      </c>
      <c r="O18" s="447">
        <v>85</v>
      </c>
      <c r="P18" s="447">
        <v>85</v>
      </c>
      <c r="Q18" s="447">
        <v>85</v>
      </c>
      <c r="R18" s="590"/>
    </row>
    <row r="19" spans="1:18" x14ac:dyDescent="0.3">
      <c r="A19" s="474" t="s">
        <v>403</v>
      </c>
      <c r="B19" s="475">
        <v>35</v>
      </c>
      <c r="C19" s="475">
        <v>35</v>
      </c>
      <c r="D19" s="475">
        <v>35</v>
      </c>
      <c r="E19" s="475">
        <v>35</v>
      </c>
      <c r="F19" s="475">
        <v>35</v>
      </c>
      <c r="G19" s="475">
        <v>35</v>
      </c>
      <c r="H19" s="475">
        <v>35</v>
      </c>
      <c r="I19" s="475">
        <v>35</v>
      </c>
      <c r="J19" s="475">
        <v>35</v>
      </c>
      <c r="K19" s="475">
        <v>35</v>
      </c>
      <c r="L19" s="475">
        <v>35</v>
      </c>
      <c r="M19" s="475">
        <v>35</v>
      </c>
      <c r="N19" s="475">
        <v>35</v>
      </c>
      <c r="O19" s="475">
        <v>35</v>
      </c>
      <c r="P19" s="475">
        <v>35</v>
      </c>
      <c r="Q19" s="475">
        <v>35</v>
      </c>
      <c r="R19" s="587" t="s">
        <v>404</v>
      </c>
    </row>
    <row r="20" spans="1:18" x14ac:dyDescent="0.3">
      <c r="A20" s="474" t="s">
        <v>405</v>
      </c>
      <c r="B20" s="475">
        <v>35</v>
      </c>
      <c r="C20" s="475">
        <v>35</v>
      </c>
      <c r="D20" s="475">
        <v>35</v>
      </c>
      <c r="E20" s="475">
        <v>35</v>
      </c>
      <c r="F20" s="475">
        <v>35</v>
      </c>
      <c r="G20" s="475">
        <v>35</v>
      </c>
      <c r="H20" s="475">
        <v>35</v>
      </c>
      <c r="I20" s="475">
        <v>35</v>
      </c>
      <c r="J20" s="475">
        <v>35</v>
      </c>
      <c r="K20" s="475">
        <v>35</v>
      </c>
      <c r="L20" s="475">
        <v>35</v>
      </c>
      <c r="M20" s="475">
        <v>35</v>
      </c>
      <c r="N20" s="475">
        <v>35</v>
      </c>
      <c r="O20" s="475">
        <v>35</v>
      </c>
      <c r="P20" s="475">
        <v>35</v>
      </c>
      <c r="Q20" s="475">
        <v>35</v>
      </c>
      <c r="R20" s="587"/>
    </row>
    <row r="21" spans="1:18" x14ac:dyDescent="0.3">
      <c r="A21" s="95"/>
      <c r="B21" s="95"/>
      <c r="C21" s="95"/>
      <c r="D21" s="95"/>
      <c r="E21" s="95"/>
      <c r="F21" s="95"/>
      <c r="G21" s="95"/>
      <c r="H21" s="95"/>
      <c r="I21" s="95"/>
    </row>
    <row r="22" spans="1:18" x14ac:dyDescent="0.3">
      <c r="A22" s="95"/>
      <c r="B22" s="95"/>
      <c r="C22" s="95"/>
      <c r="D22" s="95"/>
      <c r="E22" s="95"/>
      <c r="F22" s="95"/>
      <c r="G22" s="95"/>
      <c r="H22" s="95"/>
      <c r="I22" s="95"/>
    </row>
    <row r="23" spans="1:18" x14ac:dyDescent="0.3">
      <c r="A23" s="138"/>
      <c r="B23" s="138"/>
      <c r="C23" s="138"/>
      <c r="D23" s="138"/>
      <c r="E23" s="138"/>
      <c r="F23" s="138"/>
      <c r="G23" s="138"/>
      <c r="H23" s="138"/>
      <c r="I23" s="138"/>
    </row>
    <row r="24" spans="1:18" x14ac:dyDescent="0.3">
      <c r="A24" s="95"/>
      <c r="B24" s="95"/>
      <c r="C24" s="95"/>
      <c r="D24" s="95"/>
      <c r="E24" s="95"/>
      <c r="F24" s="95"/>
      <c r="G24" s="95"/>
      <c r="H24" s="95"/>
      <c r="I24" s="95"/>
    </row>
    <row r="25" spans="1:18" x14ac:dyDescent="0.3">
      <c r="A25" s="95"/>
      <c r="B25" s="95"/>
      <c r="C25" s="95"/>
      <c r="D25" s="95"/>
      <c r="E25" s="95"/>
      <c r="F25" s="95"/>
      <c r="G25" s="95"/>
      <c r="H25" s="95"/>
      <c r="I25" s="95"/>
    </row>
    <row r="26" spans="1:18" x14ac:dyDescent="0.3">
      <c r="A26" s="95"/>
      <c r="B26" s="95"/>
      <c r="C26" s="95"/>
      <c r="D26" s="95"/>
      <c r="E26" s="95"/>
      <c r="F26" s="95"/>
      <c r="G26" s="95"/>
      <c r="H26" s="95"/>
      <c r="I26" s="95"/>
    </row>
    <row r="27" spans="1:18" x14ac:dyDescent="0.3">
      <c r="A27" s="95"/>
      <c r="B27" s="95"/>
      <c r="C27" s="95"/>
      <c r="D27" s="95"/>
      <c r="E27" s="95"/>
      <c r="F27" s="95"/>
      <c r="G27" s="95"/>
      <c r="H27" s="95"/>
      <c r="I27" s="95"/>
    </row>
    <row r="28" spans="1:18" x14ac:dyDescent="0.3">
      <c r="A28" s="95"/>
      <c r="B28" s="95"/>
      <c r="C28" s="95"/>
      <c r="D28" s="95"/>
      <c r="E28" s="95"/>
      <c r="F28" s="95"/>
      <c r="G28" s="95"/>
      <c r="H28" s="95"/>
      <c r="I28" s="95"/>
    </row>
    <row r="29" spans="1:18" x14ac:dyDescent="0.3">
      <c r="A29" s="95"/>
      <c r="B29" s="95"/>
      <c r="C29" s="95"/>
      <c r="D29" s="95"/>
      <c r="E29" s="95"/>
      <c r="F29" s="95"/>
      <c r="G29" s="95"/>
      <c r="H29" s="95"/>
      <c r="I29" s="95"/>
    </row>
    <row r="30" spans="1:18" x14ac:dyDescent="0.3">
      <c r="A30" s="95"/>
      <c r="B30" s="95"/>
      <c r="C30" s="95"/>
      <c r="D30" s="95"/>
      <c r="E30" s="95"/>
      <c r="F30" s="95"/>
      <c r="G30" s="95"/>
      <c r="H30" s="95"/>
      <c r="I30" s="95"/>
    </row>
    <row r="31" spans="1:18" x14ac:dyDescent="0.3">
      <c r="A31" s="95"/>
      <c r="B31" s="95"/>
      <c r="C31" s="95"/>
      <c r="D31" s="95"/>
      <c r="E31" s="95"/>
      <c r="F31" s="95"/>
      <c r="G31" s="95"/>
      <c r="H31" s="95"/>
      <c r="I31" s="95"/>
    </row>
    <row r="32" spans="1:18" x14ac:dyDescent="0.3">
      <c r="A32" s="95"/>
      <c r="B32" s="95"/>
      <c r="C32" s="95"/>
      <c r="D32" s="95"/>
      <c r="E32" s="95"/>
      <c r="F32" s="95"/>
      <c r="G32" s="95"/>
      <c r="H32" s="95"/>
      <c r="I32" s="95"/>
    </row>
    <row r="33" spans="1:9" x14ac:dyDescent="0.3">
      <c r="A33" s="95"/>
      <c r="B33" s="95"/>
      <c r="C33" s="95"/>
      <c r="D33" s="95"/>
      <c r="E33" s="95"/>
      <c r="F33" s="95"/>
      <c r="G33" s="95"/>
      <c r="H33" s="95"/>
      <c r="I33" s="95"/>
    </row>
    <row r="34" spans="1:9" x14ac:dyDescent="0.3">
      <c r="A34" s="95"/>
      <c r="B34" s="95"/>
      <c r="C34" s="95"/>
      <c r="D34" s="95"/>
      <c r="E34" s="95"/>
      <c r="F34" s="95"/>
      <c r="G34" s="95"/>
      <c r="H34" s="95"/>
      <c r="I34" s="95"/>
    </row>
    <row r="35" spans="1:9" x14ac:dyDescent="0.3">
      <c r="A35" s="95"/>
      <c r="B35" s="95"/>
      <c r="C35" s="95"/>
      <c r="D35" s="95"/>
      <c r="E35" s="95"/>
      <c r="F35" s="95"/>
      <c r="G35" s="95"/>
      <c r="H35" s="95"/>
      <c r="I35" s="95"/>
    </row>
    <row r="36" spans="1:9" x14ac:dyDescent="0.3">
      <c r="A36" s="95"/>
      <c r="B36" s="95"/>
      <c r="C36" s="95"/>
      <c r="D36" s="95"/>
      <c r="E36" s="95"/>
      <c r="F36" s="95"/>
      <c r="G36" s="95"/>
      <c r="H36" s="95"/>
      <c r="I36" s="95"/>
    </row>
    <row r="37" spans="1:9" x14ac:dyDescent="0.3">
      <c r="A37" s="95"/>
      <c r="B37" s="95"/>
      <c r="C37" s="95"/>
      <c r="D37" s="95"/>
      <c r="E37" s="95"/>
      <c r="F37" s="95"/>
      <c r="G37" s="95"/>
      <c r="H37" s="95"/>
      <c r="I37" s="95"/>
    </row>
  </sheetData>
  <mergeCells count="7">
    <mergeCell ref="R3:R4"/>
    <mergeCell ref="A1:R1"/>
    <mergeCell ref="R5:R6"/>
    <mergeCell ref="R19:R20"/>
    <mergeCell ref="R7:R10"/>
    <mergeCell ref="R11:R14"/>
    <mergeCell ref="R15:R18"/>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43"/>
  <sheetViews>
    <sheetView zoomScaleNormal="100" workbookViewId="0">
      <pane xSplit="1" topLeftCell="B1" activePane="topRight" state="frozen"/>
      <selection pane="topRight" sqref="A1:L1"/>
    </sheetView>
  </sheetViews>
  <sheetFormatPr defaultColWidth="9.33203125" defaultRowHeight="13.8" x14ac:dyDescent="0.25"/>
  <cols>
    <col min="1" max="1" width="54" style="53" customWidth="1"/>
    <col min="2" max="2" width="49.6640625" style="53" customWidth="1"/>
    <col min="3" max="5" width="20.33203125" style="53" customWidth="1"/>
    <col min="6" max="6" width="25.33203125" style="53" bestFit="1" customWidth="1"/>
    <col min="7" max="7" width="19.6640625" style="53" customWidth="1"/>
    <col min="8" max="8" width="23.6640625" style="53" customWidth="1"/>
    <col min="9" max="9" width="13.6640625" style="53" customWidth="1"/>
    <col min="10" max="10" width="11.6640625" style="53" customWidth="1"/>
    <col min="11" max="11" width="13.6640625" style="53" customWidth="1"/>
    <col min="12" max="12" width="68.33203125" style="53" customWidth="1"/>
    <col min="13" max="13" width="12.33203125" style="53" customWidth="1"/>
    <col min="14" max="14" width="13.6640625" style="53" customWidth="1"/>
    <col min="15" max="15" width="12.33203125" style="53" customWidth="1"/>
    <col min="16" max="16" width="18.109375" style="53" customWidth="1"/>
    <col min="17" max="17" width="17.109375" style="53" customWidth="1"/>
    <col min="18" max="18" width="22.44140625" style="53" customWidth="1"/>
    <col min="19" max="19" width="21.6640625" style="53" customWidth="1"/>
    <col min="20" max="20" width="9.33203125" style="53" customWidth="1"/>
    <col min="21" max="21" width="23.33203125" style="53" customWidth="1"/>
    <col min="22" max="25" width="11.33203125" style="53" customWidth="1"/>
    <col min="26" max="16384" width="9.33203125" style="53"/>
  </cols>
  <sheetData>
    <row r="1" spans="1:22" ht="30" customHeight="1" thickBot="1" x14ac:dyDescent="0.3">
      <c r="A1" s="591" t="str">
        <f>"Outdoor Airflow Rate - "&amp;Prototype!A2</f>
        <v>Outdoor Airflow Rate - SchoolK-8</v>
      </c>
      <c r="B1" s="592"/>
      <c r="C1" s="592"/>
      <c r="D1" s="592"/>
      <c r="E1" s="592"/>
      <c r="F1" s="592"/>
      <c r="G1" s="592"/>
      <c r="H1" s="592"/>
      <c r="I1" s="592"/>
      <c r="J1" s="592"/>
      <c r="K1" s="592"/>
      <c r="L1" s="592"/>
      <c r="M1" s="2"/>
      <c r="N1" s="2"/>
      <c r="O1" s="2"/>
      <c r="P1" s="2"/>
      <c r="Q1" s="2"/>
      <c r="R1" s="2"/>
      <c r="S1" s="2"/>
      <c r="T1" s="2"/>
      <c r="U1" s="2"/>
      <c r="V1" s="2"/>
    </row>
    <row r="2" spans="1:22" ht="66" x14ac:dyDescent="0.25">
      <c r="A2" s="129" t="s">
        <v>234</v>
      </c>
      <c r="B2" s="130" t="s">
        <v>119</v>
      </c>
      <c r="C2" s="130" t="s">
        <v>128</v>
      </c>
      <c r="D2" s="131" t="s">
        <v>406</v>
      </c>
      <c r="E2" s="132" t="s">
        <v>407</v>
      </c>
      <c r="F2" s="132" t="s">
        <v>408</v>
      </c>
      <c r="G2" s="132" t="s">
        <v>409</v>
      </c>
      <c r="H2" s="132" t="s">
        <v>410</v>
      </c>
      <c r="I2" s="132" t="s">
        <v>411</v>
      </c>
      <c r="J2" s="132" t="s">
        <v>412</v>
      </c>
      <c r="K2" s="133" t="s">
        <v>413</v>
      </c>
      <c r="L2" s="134" t="s">
        <v>49</v>
      </c>
      <c r="M2" s="2"/>
      <c r="N2" s="2"/>
      <c r="O2" s="2"/>
      <c r="P2" s="2"/>
      <c r="Q2" s="2"/>
      <c r="R2" s="2"/>
      <c r="S2" s="2"/>
      <c r="T2" s="2"/>
      <c r="U2" s="2"/>
      <c r="V2" s="2"/>
    </row>
    <row r="3" spans="1:22" x14ac:dyDescent="0.25">
      <c r="A3" s="321" t="str">
        <f>Zones!C3</f>
        <v>Lounge, Breakroom, or Waiting Area</v>
      </c>
      <c r="B3" s="321" t="str">
        <f>Zones!B3</f>
        <v>Admin/MPR_Breakroom_Zn</v>
      </c>
      <c r="C3" s="124">
        <f>Zones!K3</f>
        <v>18.981600000000004</v>
      </c>
      <c r="D3" s="124">
        <f>Zones!H3</f>
        <v>575.20000000000005</v>
      </c>
      <c r="E3" s="449">
        <v>15</v>
      </c>
      <c r="F3" s="449">
        <v>0.15</v>
      </c>
      <c r="G3" s="115"/>
      <c r="H3" s="476">
        <f t="shared" ref="H3" si="0">C3*E3</f>
        <v>284.72400000000005</v>
      </c>
      <c r="I3" s="477">
        <f t="shared" ref="I3" si="1">D3*F3</f>
        <v>86.28</v>
      </c>
      <c r="J3" s="477">
        <f t="shared" ref="J3" si="2">G3*D3</f>
        <v>0</v>
      </c>
      <c r="K3" s="478">
        <f>MAX(H3,I3,J3)</f>
        <v>284.72400000000005</v>
      </c>
      <c r="L3" s="478"/>
      <c r="M3" s="2"/>
      <c r="N3" s="2"/>
      <c r="O3" s="2"/>
      <c r="P3" s="2"/>
      <c r="Q3" s="2"/>
      <c r="R3" s="2"/>
      <c r="S3" s="2"/>
      <c r="T3" s="2"/>
      <c r="U3" s="2"/>
      <c r="V3" s="92"/>
    </row>
    <row r="4" spans="1:22" x14ac:dyDescent="0.25">
      <c r="A4" s="321" t="str">
        <f>Zones!C4</f>
        <v>Convention, Conference, Multipurpose and Meeting Area</v>
      </c>
      <c r="B4" s="321" t="str">
        <f>Zones!B4</f>
        <v>Admin/MPR_Conference Room Zns 3_Zn</v>
      </c>
      <c r="C4" s="124">
        <f>Zones!K4</f>
        <v>55.266419999999997</v>
      </c>
      <c r="D4" s="124">
        <f>Zones!H4</f>
        <v>1674.74</v>
      </c>
      <c r="E4" s="449">
        <v>15</v>
      </c>
      <c r="F4" s="449">
        <v>0.15</v>
      </c>
      <c r="G4" s="115"/>
      <c r="H4" s="476">
        <f t="shared" ref="H4:H40" si="3">C4*E4</f>
        <v>828.99629999999991</v>
      </c>
      <c r="I4" s="477">
        <f t="shared" ref="I4:I40" si="4">D4*F4</f>
        <v>251.21099999999998</v>
      </c>
      <c r="J4" s="477">
        <f t="shared" ref="J4:J40" si="5">G4*D4</f>
        <v>0</v>
      </c>
      <c r="K4" s="478">
        <f t="shared" ref="K4:K40" si="6">MAX(H4,I4,J4)</f>
        <v>828.99629999999991</v>
      </c>
      <c r="L4" s="478"/>
      <c r="M4" s="2"/>
      <c r="N4" s="2"/>
      <c r="O4" s="2"/>
      <c r="P4" s="2"/>
      <c r="Q4" s="2"/>
      <c r="R4" s="2"/>
      <c r="S4" s="2"/>
      <c r="T4" s="2"/>
      <c r="U4" s="2"/>
      <c r="V4" s="92"/>
    </row>
    <row r="5" spans="1:22" x14ac:dyDescent="0.25">
      <c r="A5" s="321" t="str">
        <f>Zones!C5</f>
        <v>Corridor Area</v>
      </c>
      <c r="B5" s="321" t="str">
        <f>Zones!B5</f>
        <v>Admin/MPR_Corridor_Zn</v>
      </c>
      <c r="C5" s="124">
        <f>Zones!K5</f>
        <v>5.8076000000000008</v>
      </c>
      <c r="D5" s="124">
        <f>Zones!H5</f>
        <v>1161.52</v>
      </c>
      <c r="E5" s="447">
        <v>15</v>
      </c>
      <c r="F5" s="449">
        <v>0.15</v>
      </c>
      <c r="G5" s="115"/>
      <c r="H5" s="476">
        <f t="shared" si="3"/>
        <v>87.114000000000004</v>
      </c>
      <c r="I5" s="477">
        <f t="shared" si="4"/>
        <v>174.22799999999998</v>
      </c>
      <c r="J5" s="477">
        <f t="shared" si="5"/>
        <v>0</v>
      </c>
      <c r="K5" s="478">
        <f t="shared" si="6"/>
        <v>174.22799999999998</v>
      </c>
      <c r="L5" s="478"/>
      <c r="M5" s="2"/>
      <c r="N5" s="2"/>
      <c r="O5" s="2"/>
      <c r="P5" s="2"/>
      <c r="Q5" s="2"/>
      <c r="R5" s="2"/>
      <c r="S5" s="2"/>
      <c r="T5" s="2"/>
      <c r="U5" s="2"/>
      <c r="V5" s="92"/>
    </row>
    <row r="6" spans="1:22" x14ac:dyDescent="0.25">
      <c r="A6" s="321" t="str">
        <f>Zones!C6</f>
        <v>Electrical, Mechanical, Telephone Rooms</v>
      </c>
      <c r="B6" s="321" t="str">
        <f>Zones!B6</f>
        <v>Admin/MPR_EMT_Zn</v>
      </c>
      <c r="C6" s="124">
        <f>Zones!K6</f>
        <v>1.3910499999999999</v>
      </c>
      <c r="D6" s="124">
        <f>Zones!H6</f>
        <v>278.20999999999998</v>
      </c>
      <c r="E6" s="447">
        <v>15</v>
      </c>
      <c r="F6" s="449">
        <v>0.15</v>
      </c>
      <c r="G6" s="115"/>
      <c r="H6" s="476">
        <f t="shared" si="3"/>
        <v>20.865749999999998</v>
      </c>
      <c r="I6" s="477">
        <f t="shared" si="4"/>
        <v>41.731499999999997</v>
      </c>
      <c r="J6" s="477">
        <f t="shared" si="5"/>
        <v>0</v>
      </c>
      <c r="K6" s="478">
        <f t="shared" si="6"/>
        <v>41.731499999999997</v>
      </c>
      <c r="L6" s="478"/>
      <c r="M6" s="2"/>
      <c r="N6" s="2"/>
      <c r="O6" s="2"/>
      <c r="P6" s="2"/>
      <c r="Q6" s="2"/>
      <c r="R6" s="2"/>
      <c r="S6" s="2"/>
      <c r="T6" s="2"/>
      <c r="U6" s="2"/>
      <c r="V6" s="92"/>
    </row>
    <row r="7" spans="1:22" x14ac:dyDescent="0.25">
      <c r="A7" s="321" t="str">
        <f>Zones!C7</f>
        <v>Electrical, Mechanical, Telephone Rooms</v>
      </c>
      <c r="B7" s="321" t="str">
        <f>Zones!B7</f>
        <v>Admin/MPR_IDF Room_Zn</v>
      </c>
      <c r="C7" s="124">
        <f>Zones!K7</f>
        <v>1.7011500000000002</v>
      </c>
      <c r="D7" s="124">
        <f>Zones!H7</f>
        <v>340.23</v>
      </c>
      <c r="E7" s="447">
        <v>15</v>
      </c>
      <c r="F7" s="449">
        <v>0.15</v>
      </c>
      <c r="G7" s="115"/>
      <c r="H7" s="476">
        <f t="shared" si="3"/>
        <v>25.517250000000004</v>
      </c>
      <c r="I7" s="477">
        <f t="shared" si="4"/>
        <v>51.034500000000001</v>
      </c>
      <c r="J7" s="477">
        <f t="shared" si="5"/>
        <v>0</v>
      </c>
      <c r="K7" s="478">
        <f t="shared" si="6"/>
        <v>51.034500000000001</v>
      </c>
      <c r="L7" s="478"/>
      <c r="M7" s="2"/>
      <c r="N7" s="2"/>
      <c r="O7" s="2"/>
      <c r="P7" s="2"/>
      <c r="Q7" s="2"/>
      <c r="R7" s="2"/>
      <c r="S7" s="2"/>
      <c r="T7" s="2"/>
      <c r="U7" s="2"/>
      <c r="V7" s="92"/>
    </row>
    <row r="8" spans="1:22" x14ac:dyDescent="0.25">
      <c r="A8" s="321" t="str">
        <f>Zones!C8</f>
        <v>Kitchen/Food Preparation Area</v>
      </c>
      <c r="B8" s="321" t="str">
        <f>Zones!B8</f>
        <v>Admin/MPR_Kitchen_Zn</v>
      </c>
      <c r="C8" s="124">
        <f>Zones!K8</f>
        <v>4.3717499999999996</v>
      </c>
      <c r="D8" s="124">
        <f>Zones!H8</f>
        <v>1457.25</v>
      </c>
      <c r="E8" s="447">
        <v>15</v>
      </c>
      <c r="F8" s="449">
        <v>0.15</v>
      </c>
      <c r="G8" s="266">
        <v>0.7</v>
      </c>
      <c r="H8" s="476">
        <f t="shared" si="3"/>
        <v>65.576249999999987</v>
      </c>
      <c r="I8" s="477">
        <f t="shared" si="4"/>
        <v>218.58750000000001</v>
      </c>
      <c r="J8" s="477">
        <f t="shared" si="5"/>
        <v>1020.0749999999999</v>
      </c>
      <c r="K8" s="478">
        <f t="shared" si="6"/>
        <v>1020.0749999999999</v>
      </c>
      <c r="L8" s="478"/>
      <c r="M8" s="2"/>
      <c r="N8" s="2"/>
      <c r="O8" s="2"/>
      <c r="P8" s="2"/>
      <c r="Q8" s="2"/>
      <c r="R8" s="2"/>
      <c r="S8" s="2"/>
      <c r="T8" s="2"/>
      <c r="U8" s="2"/>
      <c r="V8" s="92"/>
    </row>
    <row r="9" spans="1:22" x14ac:dyDescent="0.25">
      <c r="A9" s="321" t="str">
        <f>Zones!C9</f>
        <v>Lobby, Main Entry</v>
      </c>
      <c r="B9" s="321" t="str">
        <f>Zones!B9</f>
        <v>Admin/MPR_Lobby_Zn</v>
      </c>
      <c r="C9" s="124">
        <f>Zones!K9</f>
        <v>40.968510000000002</v>
      </c>
      <c r="D9" s="124">
        <f>Zones!H9</f>
        <v>1241.47</v>
      </c>
      <c r="E9" s="449">
        <v>15</v>
      </c>
      <c r="F9" s="449">
        <v>0.15</v>
      </c>
      <c r="G9" s="115"/>
      <c r="H9" s="476">
        <f t="shared" si="3"/>
        <v>614.52764999999999</v>
      </c>
      <c r="I9" s="477">
        <f t="shared" si="4"/>
        <v>186.22049999999999</v>
      </c>
      <c r="J9" s="477">
        <f t="shared" si="5"/>
        <v>0</v>
      </c>
      <c r="K9" s="478">
        <f t="shared" si="6"/>
        <v>614.52764999999999</v>
      </c>
      <c r="L9" s="478"/>
      <c r="M9" s="2"/>
      <c r="N9" s="2"/>
      <c r="O9" s="2"/>
      <c r="P9" s="2"/>
      <c r="Q9" s="2"/>
      <c r="R9" s="2"/>
      <c r="S9" s="2"/>
      <c r="T9" s="2"/>
      <c r="U9" s="2"/>
      <c r="V9" s="92"/>
    </row>
    <row r="10" spans="1:22" x14ac:dyDescent="0.25">
      <c r="A10" s="321" t="str">
        <f>Zones!C10</f>
        <v>Convention, Conference, Multipurpose and Meeting Area</v>
      </c>
      <c r="B10" s="321" t="str">
        <f>Zones!B10</f>
        <v>Admin/MPR_Multipurpose Room Zns 3_Zn</v>
      </c>
      <c r="C10" s="124">
        <f>Zones!K10</f>
        <v>181.90226999999999</v>
      </c>
      <c r="D10" s="124">
        <f>Zones!H10</f>
        <v>5512.19</v>
      </c>
      <c r="E10" s="449">
        <v>15</v>
      </c>
      <c r="F10" s="449">
        <v>0.15</v>
      </c>
      <c r="G10" s="115"/>
      <c r="H10" s="476">
        <f t="shared" si="3"/>
        <v>2728.5340499999998</v>
      </c>
      <c r="I10" s="477">
        <f t="shared" si="4"/>
        <v>826.82849999999996</v>
      </c>
      <c r="J10" s="477">
        <f t="shared" si="5"/>
        <v>0</v>
      </c>
      <c r="K10" s="478">
        <f t="shared" si="6"/>
        <v>2728.5340499999998</v>
      </c>
      <c r="L10" s="478"/>
      <c r="M10" s="2"/>
      <c r="N10" s="2"/>
      <c r="O10" s="2"/>
      <c r="P10" s="2"/>
      <c r="Q10" s="2"/>
      <c r="R10" s="2"/>
      <c r="S10" s="2"/>
      <c r="T10" s="2"/>
      <c r="U10" s="2"/>
      <c r="V10" s="92"/>
    </row>
    <row r="11" spans="1:22" x14ac:dyDescent="0.25">
      <c r="A11" s="321" t="str">
        <f>Zones!C11</f>
        <v>Office Area (&lt;250 square feet)</v>
      </c>
      <c r="B11" s="321" t="str">
        <f>Zones!B11</f>
        <v>Admin/MPR_Office - LT 250 sf Zns 6_Zn</v>
      </c>
      <c r="C11" s="124">
        <f>Zones!K11</f>
        <v>5.2417499999999997</v>
      </c>
      <c r="D11" s="124">
        <f>Zones!H11</f>
        <v>1048.3499999999999</v>
      </c>
      <c r="E11" s="447">
        <v>15</v>
      </c>
      <c r="F11" s="449">
        <v>0.15</v>
      </c>
      <c r="G11" s="115"/>
      <c r="H11" s="476">
        <f t="shared" si="3"/>
        <v>78.626249999999999</v>
      </c>
      <c r="I11" s="477">
        <f t="shared" si="4"/>
        <v>157.25249999999997</v>
      </c>
      <c r="J11" s="477">
        <f t="shared" si="5"/>
        <v>0</v>
      </c>
      <c r="K11" s="478">
        <f t="shared" si="6"/>
        <v>157.25249999999997</v>
      </c>
      <c r="L11" s="478"/>
      <c r="M11" s="2"/>
      <c r="N11" s="2"/>
      <c r="O11" s="2"/>
      <c r="P11" s="2"/>
      <c r="Q11" s="2"/>
      <c r="R11" s="2"/>
      <c r="S11" s="2"/>
      <c r="T11" s="2"/>
      <c r="U11" s="2"/>
      <c r="V11" s="92"/>
    </row>
    <row r="12" spans="1:22" x14ac:dyDescent="0.25">
      <c r="A12" s="321" t="str">
        <f>Zones!C12</f>
        <v>Restrooms</v>
      </c>
      <c r="B12" s="321" t="str">
        <f>Zones!B12</f>
        <v>Admin/MPR_Restroom Zns 3_Zn</v>
      </c>
      <c r="C12" s="124">
        <f>Zones!K12</f>
        <v>4.5058499999999997</v>
      </c>
      <c r="D12" s="124">
        <f>Zones!H12</f>
        <v>901.17</v>
      </c>
      <c r="E12" s="447">
        <v>0</v>
      </c>
      <c r="F12" s="447">
        <v>0</v>
      </c>
      <c r="G12" s="266">
        <v>0.5</v>
      </c>
      <c r="H12" s="476">
        <f t="shared" si="3"/>
        <v>0</v>
      </c>
      <c r="I12" s="477">
        <f t="shared" si="4"/>
        <v>0</v>
      </c>
      <c r="J12" s="477">
        <f t="shared" si="5"/>
        <v>450.58499999999998</v>
      </c>
      <c r="K12" s="478">
        <f t="shared" si="6"/>
        <v>450.58499999999998</v>
      </c>
      <c r="L12" s="478"/>
      <c r="M12" s="2"/>
      <c r="N12" s="2"/>
      <c r="O12" s="2"/>
      <c r="P12" s="2"/>
      <c r="Q12" s="2"/>
      <c r="R12" s="2"/>
      <c r="S12" s="2"/>
      <c r="T12" s="2"/>
      <c r="U12" s="2"/>
      <c r="V12" s="92"/>
    </row>
    <row r="13" spans="1:22" x14ac:dyDescent="0.25">
      <c r="A13" s="321" t="str">
        <f>Zones!C13</f>
        <v>Storage (General)</v>
      </c>
      <c r="B13" s="321" t="str">
        <f>Zones!B13</f>
        <v>Admin/MPR_Storage - General_Zn</v>
      </c>
      <c r="C13" s="124">
        <f>Zones!K13</f>
        <v>6.2386499999999998</v>
      </c>
      <c r="D13" s="124">
        <f>Zones!H13</f>
        <v>1247.73</v>
      </c>
      <c r="E13" s="447">
        <v>15</v>
      </c>
      <c r="F13" s="449">
        <v>0.15</v>
      </c>
      <c r="G13" s="115"/>
      <c r="H13" s="476">
        <f t="shared" si="3"/>
        <v>93.57974999999999</v>
      </c>
      <c r="I13" s="477">
        <f t="shared" si="4"/>
        <v>187.15950000000001</v>
      </c>
      <c r="J13" s="477">
        <f t="shared" si="5"/>
        <v>0</v>
      </c>
      <c r="K13" s="478">
        <f t="shared" si="6"/>
        <v>187.15950000000001</v>
      </c>
      <c r="L13" s="478"/>
      <c r="M13" s="2"/>
      <c r="N13" s="2"/>
      <c r="O13" s="2"/>
      <c r="P13" s="2"/>
      <c r="Q13" s="2"/>
      <c r="R13" s="2"/>
      <c r="S13" s="2"/>
      <c r="T13" s="2"/>
      <c r="U13" s="2"/>
      <c r="V13" s="92"/>
    </row>
    <row r="14" spans="1:22" x14ac:dyDescent="0.25">
      <c r="A14" s="321" t="str">
        <f>Zones!C14</f>
        <v>Storage, Commercial/Industrial (Refrigerated)</v>
      </c>
      <c r="B14" s="321" t="str">
        <f>Zones!B14</f>
        <v>Admin/MPR_Storage - Refrigerated_Zn</v>
      </c>
      <c r="C14" s="124">
        <f>Zones!K14</f>
        <v>0</v>
      </c>
      <c r="D14" s="124">
        <f>Zones!H14</f>
        <v>251.72</v>
      </c>
      <c r="E14" s="447">
        <v>0</v>
      </c>
      <c r="F14" s="447">
        <v>0</v>
      </c>
      <c r="G14" s="115"/>
      <c r="H14" s="476">
        <f t="shared" si="3"/>
        <v>0</v>
      </c>
      <c r="I14" s="477">
        <f t="shared" si="4"/>
        <v>0</v>
      </c>
      <c r="J14" s="477">
        <f t="shared" si="5"/>
        <v>0</v>
      </c>
      <c r="K14" s="478">
        <f t="shared" si="6"/>
        <v>0</v>
      </c>
      <c r="L14" s="478"/>
      <c r="M14" s="2"/>
      <c r="N14" s="2"/>
      <c r="O14" s="2"/>
      <c r="P14" s="2"/>
      <c r="Q14" s="2"/>
      <c r="R14" s="2"/>
      <c r="S14" s="2"/>
      <c r="T14" s="2"/>
      <c r="U14" s="2"/>
      <c r="V14" s="92"/>
    </row>
    <row r="15" spans="1:22" x14ac:dyDescent="0.25">
      <c r="A15" s="321" t="str">
        <f>Zones!C15</f>
        <v>Theater Area (Performance)</v>
      </c>
      <c r="B15" s="321" t="str">
        <f>Zones!B15</f>
        <v>Admin/MPR_Theater - Performance_Zn</v>
      </c>
      <c r="C15" s="124">
        <f>Zones!K15</f>
        <v>35.163479999999993</v>
      </c>
      <c r="D15" s="124">
        <f>Zones!H15</f>
        <v>1065.56</v>
      </c>
      <c r="E15" s="449">
        <v>15</v>
      </c>
      <c r="F15" s="449">
        <v>0.15</v>
      </c>
      <c r="G15" s="115"/>
      <c r="H15" s="476">
        <f t="shared" si="3"/>
        <v>527.45219999999995</v>
      </c>
      <c r="I15" s="477">
        <f t="shared" si="4"/>
        <v>159.83399999999997</v>
      </c>
      <c r="J15" s="477">
        <f t="shared" si="5"/>
        <v>0</v>
      </c>
      <c r="K15" s="478">
        <f t="shared" si="6"/>
        <v>527.45219999999995</v>
      </c>
      <c r="L15" s="478"/>
      <c r="M15" s="2"/>
      <c r="N15" s="2"/>
      <c r="O15" s="2"/>
      <c r="P15" s="2"/>
      <c r="Q15" s="2"/>
      <c r="R15" s="2"/>
      <c r="S15" s="2"/>
      <c r="T15" s="2"/>
      <c r="U15" s="2"/>
      <c r="V15" s="92"/>
    </row>
    <row r="16" spans="1:22" x14ac:dyDescent="0.25">
      <c r="A16" s="321" t="str">
        <f>Zones!C16</f>
        <v>Classroom, Lecture, Training, Vocational Areas</v>
      </c>
      <c r="B16" s="321" t="str">
        <f>Zones!B16</f>
        <v>Classrm N_Flr 1_Classroom-01_Zn</v>
      </c>
      <c r="C16" s="124">
        <f>Zones!K16</f>
        <v>25.043749999999999</v>
      </c>
      <c r="D16" s="124">
        <f>Zones!H16</f>
        <v>1001.75</v>
      </c>
      <c r="E16" s="449">
        <v>15</v>
      </c>
      <c r="F16" s="449">
        <v>0.15</v>
      </c>
      <c r="G16" s="115"/>
      <c r="H16" s="476">
        <f t="shared" si="3"/>
        <v>375.65625</v>
      </c>
      <c r="I16" s="477">
        <f t="shared" si="4"/>
        <v>150.26249999999999</v>
      </c>
      <c r="J16" s="477">
        <f t="shared" si="5"/>
        <v>0</v>
      </c>
      <c r="K16" s="478">
        <f t="shared" si="6"/>
        <v>375.65625</v>
      </c>
      <c r="L16" s="478"/>
      <c r="M16" s="2"/>
      <c r="N16" s="2"/>
      <c r="O16" s="2"/>
      <c r="P16" s="2"/>
      <c r="Q16" s="2"/>
      <c r="R16" s="2"/>
      <c r="S16" s="2"/>
      <c r="T16" s="2"/>
      <c r="U16" s="2"/>
      <c r="V16" s="92"/>
    </row>
    <row r="17" spans="1:22" x14ac:dyDescent="0.25">
      <c r="A17" s="321" t="str">
        <f>Zones!C17</f>
        <v>Classroom, Lecture, Training, Vocational Areas</v>
      </c>
      <c r="B17" s="321" t="str">
        <f>Zones!B17</f>
        <v>Classrm N_Flr 1_Classroom-02 Zns 6_Zn</v>
      </c>
      <c r="C17" s="124">
        <f>Zones!K17</f>
        <v>151.35075000000001</v>
      </c>
      <c r="D17" s="124">
        <f>Zones!H17</f>
        <v>6054.03</v>
      </c>
      <c r="E17" s="449">
        <v>15</v>
      </c>
      <c r="F17" s="449">
        <v>0.15</v>
      </c>
      <c r="G17" s="115"/>
      <c r="H17" s="476">
        <f t="shared" si="3"/>
        <v>2270.26125</v>
      </c>
      <c r="I17" s="477">
        <f t="shared" si="4"/>
        <v>908.10449999999992</v>
      </c>
      <c r="J17" s="477">
        <f t="shared" si="5"/>
        <v>0</v>
      </c>
      <c r="K17" s="478">
        <f t="shared" si="6"/>
        <v>2270.26125</v>
      </c>
      <c r="L17" s="478"/>
      <c r="M17" s="2"/>
      <c r="N17" s="2"/>
      <c r="O17" s="2"/>
      <c r="P17" s="2"/>
      <c r="Q17" s="2"/>
      <c r="R17" s="2"/>
      <c r="S17" s="2"/>
      <c r="T17" s="2"/>
      <c r="U17" s="2"/>
      <c r="V17" s="92"/>
    </row>
    <row r="18" spans="1:22" x14ac:dyDescent="0.25">
      <c r="A18" s="321" t="str">
        <f>Zones!C18</f>
        <v>Office Area (&lt;250 square feet)</v>
      </c>
      <c r="B18" s="321" t="str">
        <f>Zones!B18</f>
        <v>Classrm N_Flr 1_Office - LT 250 sf_Zn</v>
      </c>
      <c r="C18" s="124">
        <f>Zones!K18</f>
        <v>1.44065</v>
      </c>
      <c r="D18" s="124">
        <f>Zones!H18</f>
        <v>288.13</v>
      </c>
      <c r="E18" s="447">
        <v>15</v>
      </c>
      <c r="F18" s="449">
        <v>0.15</v>
      </c>
      <c r="G18" s="115"/>
      <c r="H18" s="476">
        <f t="shared" si="3"/>
        <v>21.609749999999998</v>
      </c>
      <c r="I18" s="477">
        <f t="shared" si="4"/>
        <v>43.219499999999996</v>
      </c>
      <c r="J18" s="477">
        <f t="shared" si="5"/>
        <v>0</v>
      </c>
      <c r="K18" s="478">
        <f t="shared" si="6"/>
        <v>43.219499999999996</v>
      </c>
      <c r="L18" s="478"/>
      <c r="M18" s="2"/>
      <c r="N18" s="2"/>
      <c r="O18" s="2"/>
      <c r="P18" s="2"/>
      <c r="Q18" s="2"/>
      <c r="R18" s="2"/>
      <c r="S18" s="2"/>
      <c r="T18" s="2"/>
      <c r="U18" s="2"/>
      <c r="V18" s="92"/>
    </row>
    <row r="19" spans="1:22" x14ac:dyDescent="0.25">
      <c r="A19" s="321" t="str">
        <f>Zones!C19</f>
        <v>Restrooms</v>
      </c>
      <c r="B19" s="321" t="str">
        <f>Zones!B19</f>
        <v>Classrm N_Flr 1_Restroom_Zn</v>
      </c>
      <c r="C19" s="124">
        <f>Zones!K19</f>
        <v>2.6635</v>
      </c>
      <c r="D19" s="124">
        <f>Zones!H19</f>
        <v>532.70000000000005</v>
      </c>
      <c r="E19" s="447">
        <v>0</v>
      </c>
      <c r="F19" s="447">
        <v>0</v>
      </c>
      <c r="G19" s="266">
        <v>0.5</v>
      </c>
      <c r="H19" s="476">
        <f t="shared" si="3"/>
        <v>0</v>
      </c>
      <c r="I19" s="477">
        <f t="shared" si="4"/>
        <v>0</v>
      </c>
      <c r="J19" s="477">
        <f t="shared" si="5"/>
        <v>266.35000000000002</v>
      </c>
      <c r="K19" s="478">
        <f t="shared" si="6"/>
        <v>266.35000000000002</v>
      </c>
      <c r="L19" s="478"/>
      <c r="M19" s="2"/>
      <c r="N19" s="2"/>
      <c r="O19" s="2"/>
      <c r="P19" s="2"/>
      <c r="Q19" s="2"/>
      <c r="R19" s="2"/>
      <c r="S19" s="2"/>
      <c r="T19" s="2"/>
      <c r="U19" s="2"/>
      <c r="V19" s="92"/>
    </row>
    <row r="20" spans="1:22" x14ac:dyDescent="0.25">
      <c r="A20" s="321" t="str">
        <f>Zones!C20</f>
        <v>Classroom, Lecture, Training, Vocational Areas</v>
      </c>
      <c r="B20" s="321" t="str">
        <f>Zones!B20</f>
        <v>Classrm N_Flr 2_Classroom-01 Zns 6_Zn</v>
      </c>
      <c r="C20" s="124">
        <f>Zones!K20</f>
        <v>151.35075000000001</v>
      </c>
      <c r="D20" s="124">
        <f>Zones!H20</f>
        <v>6054.03</v>
      </c>
      <c r="E20" s="449">
        <v>15</v>
      </c>
      <c r="F20" s="449">
        <v>0.15</v>
      </c>
      <c r="G20" s="115"/>
      <c r="H20" s="476">
        <f t="shared" si="3"/>
        <v>2270.26125</v>
      </c>
      <c r="I20" s="477">
        <f t="shared" si="4"/>
        <v>908.10449999999992</v>
      </c>
      <c r="J20" s="477">
        <f t="shared" si="5"/>
        <v>0</v>
      </c>
      <c r="K20" s="478">
        <f t="shared" si="6"/>
        <v>2270.26125</v>
      </c>
      <c r="L20" s="478"/>
      <c r="M20" s="2"/>
      <c r="N20" s="2"/>
      <c r="O20" s="2"/>
      <c r="P20" s="2"/>
      <c r="Q20" s="2"/>
      <c r="R20" s="2"/>
      <c r="S20" s="2"/>
      <c r="T20" s="2"/>
      <c r="U20" s="2"/>
      <c r="V20" s="92"/>
    </row>
    <row r="21" spans="1:22" x14ac:dyDescent="0.25">
      <c r="A21" s="321" t="str">
        <f>Zones!C21</f>
        <v>Classroom, Lecture, Training, Vocational Areas</v>
      </c>
      <c r="B21" s="321" t="str">
        <f>Zones!B21</f>
        <v>Classrm N_Flr 2_Classroom-02_Zn</v>
      </c>
      <c r="C21" s="124">
        <f>Zones!K21</f>
        <v>25.043749999999999</v>
      </c>
      <c r="D21" s="124">
        <f>Zones!H21</f>
        <v>1001.75</v>
      </c>
      <c r="E21" s="449">
        <v>15</v>
      </c>
      <c r="F21" s="449">
        <v>0.15</v>
      </c>
      <c r="G21" s="115"/>
      <c r="H21" s="476">
        <f t="shared" si="3"/>
        <v>375.65625</v>
      </c>
      <c r="I21" s="477">
        <f t="shared" si="4"/>
        <v>150.26249999999999</v>
      </c>
      <c r="J21" s="477">
        <f t="shared" si="5"/>
        <v>0</v>
      </c>
      <c r="K21" s="478">
        <f t="shared" si="6"/>
        <v>375.65625</v>
      </c>
      <c r="L21" s="478"/>
      <c r="M21" s="2"/>
      <c r="N21" s="2"/>
      <c r="O21" s="2"/>
      <c r="P21" s="2"/>
      <c r="Q21" s="2"/>
      <c r="R21" s="2"/>
      <c r="S21" s="2"/>
      <c r="T21" s="2"/>
      <c r="U21" s="2"/>
      <c r="V21" s="92"/>
    </row>
    <row r="22" spans="1:22" x14ac:dyDescent="0.25">
      <c r="A22" s="321" t="str">
        <f>Zones!C22</f>
        <v>Office Area (&lt;250 square feet)</v>
      </c>
      <c r="B22" s="321" t="str">
        <f>Zones!B22</f>
        <v>Classrm N_Flr 2_Office - LT 250 sf_Zn</v>
      </c>
      <c r="C22" s="124">
        <f>Zones!K22</f>
        <v>1.44065</v>
      </c>
      <c r="D22" s="124">
        <f>Zones!H22</f>
        <v>288.13</v>
      </c>
      <c r="E22" s="447">
        <v>15</v>
      </c>
      <c r="F22" s="449">
        <v>0.15</v>
      </c>
      <c r="G22" s="115"/>
      <c r="H22" s="476">
        <f t="shared" si="3"/>
        <v>21.609749999999998</v>
      </c>
      <c r="I22" s="477">
        <f t="shared" si="4"/>
        <v>43.219499999999996</v>
      </c>
      <c r="J22" s="477">
        <f t="shared" si="5"/>
        <v>0</v>
      </c>
      <c r="K22" s="478">
        <f t="shared" si="6"/>
        <v>43.219499999999996</v>
      </c>
      <c r="L22" s="478"/>
      <c r="M22" s="2"/>
      <c r="N22" s="2"/>
      <c r="O22" s="2"/>
      <c r="P22" s="2"/>
      <c r="Q22" s="2"/>
      <c r="R22" s="2"/>
      <c r="S22" s="2"/>
      <c r="T22" s="2"/>
      <c r="U22" s="2"/>
      <c r="V22" s="92"/>
    </row>
    <row r="23" spans="1:22" x14ac:dyDescent="0.25">
      <c r="A23" s="321" t="str">
        <f>Zones!C23</f>
        <v>Restrooms</v>
      </c>
      <c r="B23" s="321" t="str">
        <f>Zones!B23</f>
        <v>Classrm N_Flr 2_Restroom_Zn</v>
      </c>
      <c r="C23" s="124">
        <f>Zones!K23</f>
        <v>2.6635</v>
      </c>
      <c r="D23" s="124">
        <f>Zones!H23</f>
        <v>532.70000000000005</v>
      </c>
      <c r="E23" s="447">
        <v>0</v>
      </c>
      <c r="F23" s="447">
        <v>0</v>
      </c>
      <c r="G23" s="266">
        <v>0.5</v>
      </c>
      <c r="H23" s="476">
        <f t="shared" si="3"/>
        <v>0</v>
      </c>
      <c r="I23" s="477">
        <f t="shared" si="4"/>
        <v>0</v>
      </c>
      <c r="J23" s="477">
        <f t="shared" si="5"/>
        <v>266.35000000000002</v>
      </c>
      <c r="K23" s="478">
        <f t="shared" si="6"/>
        <v>266.35000000000002</v>
      </c>
      <c r="L23" s="478"/>
      <c r="M23" s="2"/>
      <c r="N23" s="2"/>
      <c r="O23" s="2"/>
      <c r="P23" s="2"/>
      <c r="Q23" s="2"/>
      <c r="R23" s="2"/>
      <c r="S23" s="2"/>
      <c r="T23" s="2"/>
      <c r="U23" s="2"/>
      <c r="V23" s="92"/>
    </row>
    <row r="24" spans="1:22" x14ac:dyDescent="0.25">
      <c r="A24" s="321" t="str">
        <f>Zones!C24</f>
        <v>Classroom, Lecture, Training, Vocational Areas</v>
      </c>
      <c r="B24" s="321" t="str">
        <f>Zones!B24</f>
        <v>Classrm W_Flr 1_Classroom Zns 2_Zn</v>
      </c>
      <c r="C24" s="124">
        <f>Zones!K24</f>
        <v>51.3735</v>
      </c>
      <c r="D24" s="124">
        <f>Zones!H24</f>
        <v>2054.94</v>
      </c>
      <c r="E24" s="449">
        <v>15</v>
      </c>
      <c r="F24" s="449">
        <v>0.15</v>
      </c>
      <c r="G24" s="115"/>
      <c r="H24" s="476">
        <f t="shared" si="3"/>
        <v>770.60249999999996</v>
      </c>
      <c r="I24" s="477">
        <f t="shared" si="4"/>
        <v>308.24099999999999</v>
      </c>
      <c r="J24" s="477">
        <f t="shared" si="5"/>
        <v>0</v>
      </c>
      <c r="K24" s="478">
        <f t="shared" si="6"/>
        <v>770.60249999999996</v>
      </c>
      <c r="L24" s="478"/>
      <c r="M24" s="2"/>
      <c r="N24" s="2"/>
      <c r="O24" s="2"/>
      <c r="P24" s="2"/>
      <c r="Q24" s="2"/>
      <c r="R24" s="2"/>
      <c r="S24" s="2"/>
      <c r="T24" s="2"/>
      <c r="U24" s="2"/>
      <c r="V24" s="92"/>
    </row>
    <row r="25" spans="1:22" x14ac:dyDescent="0.25">
      <c r="A25" s="321" t="str">
        <f>Zones!C25</f>
        <v>Electrical, Mechanical, Telephone Rooms</v>
      </c>
      <c r="B25" s="321" t="str">
        <f>Zones!B25</f>
        <v>Classrm W_Flr 1_EMT-01_Zn</v>
      </c>
      <c r="C25" s="124">
        <f>Zones!K25</f>
        <v>0.60505000000000009</v>
      </c>
      <c r="D25" s="124">
        <f>Zones!H25</f>
        <v>121.01</v>
      </c>
      <c r="E25" s="449">
        <v>15</v>
      </c>
      <c r="F25" s="449">
        <v>0.15</v>
      </c>
      <c r="G25" s="115"/>
      <c r="H25" s="476">
        <f t="shared" si="3"/>
        <v>9.0757500000000011</v>
      </c>
      <c r="I25" s="477">
        <f t="shared" si="4"/>
        <v>18.151499999999999</v>
      </c>
      <c r="J25" s="477">
        <f t="shared" si="5"/>
        <v>0</v>
      </c>
      <c r="K25" s="478">
        <f t="shared" si="6"/>
        <v>18.151499999999999</v>
      </c>
      <c r="L25" s="478"/>
      <c r="M25" s="2"/>
      <c r="N25" s="2"/>
      <c r="O25" s="2"/>
      <c r="P25" s="2"/>
      <c r="Q25" s="2"/>
      <c r="R25" s="2"/>
      <c r="S25" s="2"/>
      <c r="T25" s="2"/>
      <c r="U25" s="2"/>
      <c r="V25" s="92"/>
    </row>
    <row r="26" spans="1:22" x14ac:dyDescent="0.25">
      <c r="A26" s="321" t="str">
        <f>Zones!C26</f>
        <v>Electrical, Mechanical, Telephone Rooms</v>
      </c>
      <c r="B26" s="321" t="str">
        <f>Zones!B26</f>
        <v>Classrm W_Flr 1_EMT-02_Zn</v>
      </c>
      <c r="C26" s="124">
        <f>Zones!K26</f>
        <v>0.49004999999999999</v>
      </c>
      <c r="D26" s="124">
        <f>Zones!H26</f>
        <v>98.01</v>
      </c>
      <c r="E26" s="449">
        <v>15</v>
      </c>
      <c r="F26" s="449">
        <v>0.15</v>
      </c>
      <c r="G26" s="115"/>
      <c r="H26" s="476">
        <f t="shared" si="3"/>
        <v>7.3507499999999997</v>
      </c>
      <c r="I26" s="477">
        <f t="shared" si="4"/>
        <v>14.701499999999999</v>
      </c>
      <c r="J26" s="477">
        <f t="shared" si="5"/>
        <v>0</v>
      </c>
      <c r="K26" s="478">
        <f t="shared" si="6"/>
        <v>14.701499999999999</v>
      </c>
      <c r="L26" s="478"/>
      <c r="M26" s="2"/>
      <c r="N26" s="2"/>
      <c r="O26" s="2"/>
      <c r="P26" s="2"/>
      <c r="Q26" s="2"/>
      <c r="R26" s="2"/>
      <c r="S26" s="2"/>
      <c r="T26" s="2"/>
      <c r="U26" s="2"/>
      <c r="V26" s="92"/>
    </row>
    <row r="27" spans="1:22" x14ac:dyDescent="0.25">
      <c r="A27" s="321" t="str">
        <f>Zones!C27</f>
        <v>Library (Reading Area)</v>
      </c>
      <c r="B27" s="321" t="str">
        <f>Zones!B27</f>
        <v>Classrm W_Flr 1_Library - Reading Area_Zn</v>
      </c>
      <c r="C27" s="124">
        <f>Zones!K27</f>
        <v>11.971300000000001</v>
      </c>
      <c r="D27" s="124">
        <f>Zones!H27</f>
        <v>1197.1300000000001</v>
      </c>
      <c r="E27" s="447">
        <v>15</v>
      </c>
      <c r="F27" s="449">
        <v>0.15</v>
      </c>
      <c r="G27" s="115"/>
      <c r="H27" s="476">
        <f t="shared" si="3"/>
        <v>179.56950000000001</v>
      </c>
      <c r="I27" s="477">
        <f t="shared" si="4"/>
        <v>179.56950000000001</v>
      </c>
      <c r="J27" s="477">
        <f t="shared" si="5"/>
        <v>0</v>
      </c>
      <c r="K27" s="478">
        <f t="shared" si="6"/>
        <v>179.56950000000001</v>
      </c>
      <c r="L27" s="478"/>
      <c r="M27" s="2"/>
      <c r="N27" s="2"/>
      <c r="O27" s="2"/>
      <c r="P27" s="2"/>
      <c r="Q27" s="2"/>
      <c r="R27" s="2"/>
      <c r="S27" s="2"/>
      <c r="T27" s="2"/>
      <c r="U27" s="2"/>
      <c r="V27" s="92"/>
    </row>
    <row r="28" spans="1:22" x14ac:dyDescent="0.25">
      <c r="A28" s="321" t="str">
        <f>Zones!C28</f>
        <v>Restrooms</v>
      </c>
      <c r="B28" s="321" t="str">
        <f>Zones!B28</f>
        <v>Classrm W_Flr 1_Restroom_Zn</v>
      </c>
      <c r="C28" s="124">
        <f>Zones!K28</f>
        <v>2.8152499999999998</v>
      </c>
      <c r="D28" s="124">
        <f>Zones!H28</f>
        <v>563.04999999999995</v>
      </c>
      <c r="E28" s="447">
        <v>0</v>
      </c>
      <c r="F28" s="447">
        <v>0</v>
      </c>
      <c r="G28" s="266">
        <v>0.5</v>
      </c>
      <c r="H28" s="476">
        <f t="shared" si="3"/>
        <v>0</v>
      </c>
      <c r="I28" s="477">
        <f t="shared" si="4"/>
        <v>0</v>
      </c>
      <c r="J28" s="477">
        <f t="shared" si="5"/>
        <v>281.52499999999998</v>
      </c>
      <c r="K28" s="478">
        <f t="shared" si="6"/>
        <v>281.52499999999998</v>
      </c>
      <c r="L28" s="478"/>
      <c r="M28" s="2"/>
      <c r="N28" s="2"/>
      <c r="O28" s="2"/>
      <c r="P28" s="2"/>
      <c r="Q28" s="2"/>
      <c r="R28" s="2"/>
      <c r="S28" s="2"/>
      <c r="T28" s="2"/>
      <c r="U28" s="2"/>
      <c r="V28" s="92"/>
    </row>
    <row r="29" spans="1:22" x14ac:dyDescent="0.25">
      <c r="A29" s="321" t="str">
        <f>Zones!C29</f>
        <v>Storage (General)</v>
      </c>
      <c r="B29" s="321" t="str">
        <f>Zones!B29</f>
        <v>Classrm W_Flr 1_Storage - General_Zn</v>
      </c>
      <c r="C29" s="124">
        <f>Zones!K29</f>
        <v>1.9041999999999999</v>
      </c>
      <c r="D29" s="124">
        <f>Zones!H29</f>
        <v>380.84</v>
      </c>
      <c r="E29" s="447">
        <v>15</v>
      </c>
      <c r="F29" s="449">
        <v>0.15</v>
      </c>
      <c r="G29" s="115"/>
      <c r="H29" s="476">
        <f t="shared" si="3"/>
        <v>28.562999999999999</v>
      </c>
      <c r="I29" s="477">
        <f t="shared" si="4"/>
        <v>57.125999999999998</v>
      </c>
      <c r="J29" s="477">
        <f t="shared" si="5"/>
        <v>0</v>
      </c>
      <c r="K29" s="478">
        <f t="shared" si="6"/>
        <v>57.125999999999998</v>
      </c>
      <c r="L29" s="478"/>
      <c r="M29" s="2"/>
      <c r="N29" s="2"/>
      <c r="O29" s="2"/>
      <c r="P29" s="2"/>
      <c r="Q29" s="2"/>
      <c r="R29" s="2"/>
      <c r="S29" s="2"/>
      <c r="T29" s="2"/>
      <c r="U29" s="2"/>
      <c r="V29" s="92"/>
    </row>
    <row r="30" spans="1:22" x14ac:dyDescent="0.25">
      <c r="A30" s="321" t="str">
        <f>Zones!C30</f>
        <v>Classroom, Lecture, Training, Vocational Areas</v>
      </c>
      <c r="B30" s="321" t="str">
        <f>Zones!B30</f>
        <v>Classrm W_Flr 2_Classroom-01 Zns 3_Zn</v>
      </c>
      <c r="C30" s="124">
        <f>Zones!K30</f>
        <v>81.301500000000004</v>
      </c>
      <c r="D30" s="124">
        <f>Zones!H30</f>
        <v>3252.06</v>
      </c>
      <c r="E30" s="449">
        <v>15</v>
      </c>
      <c r="F30" s="449">
        <v>0.15</v>
      </c>
      <c r="G30" s="115"/>
      <c r="H30" s="476">
        <f t="shared" si="3"/>
        <v>1219.5225</v>
      </c>
      <c r="I30" s="477">
        <f t="shared" si="4"/>
        <v>487.80899999999997</v>
      </c>
      <c r="J30" s="477">
        <f t="shared" si="5"/>
        <v>0</v>
      </c>
      <c r="K30" s="478">
        <f t="shared" si="6"/>
        <v>1219.5225</v>
      </c>
      <c r="L30" s="478"/>
      <c r="M30" s="2"/>
      <c r="N30" s="2"/>
      <c r="O30" s="2"/>
      <c r="P30" s="2"/>
      <c r="Q30" s="2"/>
      <c r="R30" s="2"/>
      <c r="S30" s="2"/>
      <c r="T30" s="2"/>
      <c r="U30" s="2"/>
      <c r="V30" s="92"/>
    </row>
    <row r="31" spans="1:22" x14ac:dyDescent="0.25">
      <c r="A31" s="321" t="str">
        <f>Zones!C31</f>
        <v>Classroom, Lecture, Training, Vocational Areas</v>
      </c>
      <c r="B31" s="321" t="str">
        <f>Zones!B31</f>
        <v>Classrm W_Flr 2_Classroom-02_Zn</v>
      </c>
      <c r="C31" s="124">
        <f>Zones!K31</f>
        <v>9.5210000000000008</v>
      </c>
      <c r="D31" s="124">
        <f>Zones!H31</f>
        <v>380.84</v>
      </c>
      <c r="E31" s="449">
        <v>15</v>
      </c>
      <c r="F31" s="449">
        <v>0.15</v>
      </c>
      <c r="G31" s="115"/>
      <c r="H31" s="476">
        <f t="shared" si="3"/>
        <v>142.815</v>
      </c>
      <c r="I31" s="477">
        <f t="shared" si="4"/>
        <v>57.125999999999998</v>
      </c>
      <c r="J31" s="477">
        <f t="shared" si="5"/>
        <v>0</v>
      </c>
      <c r="K31" s="478">
        <f t="shared" si="6"/>
        <v>142.815</v>
      </c>
      <c r="L31" s="478"/>
      <c r="M31" s="2"/>
      <c r="N31" s="2"/>
      <c r="O31" s="2"/>
      <c r="P31" s="2"/>
      <c r="Q31" s="2"/>
      <c r="R31" s="2"/>
      <c r="S31" s="2"/>
      <c r="T31" s="2"/>
      <c r="U31" s="2"/>
      <c r="V31" s="92"/>
    </row>
    <row r="32" spans="1:22" x14ac:dyDescent="0.25">
      <c r="A32" s="321" t="str">
        <f>Zones!C32</f>
        <v>Electrical, Mechanical, Telephone Rooms</v>
      </c>
      <c r="B32" s="321" t="str">
        <f>Zones!B32</f>
        <v>Classrm W_Flr 2_IDF Room_Zn</v>
      </c>
      <c r="C32" s="124">
        <f>Zones!K32</f>
        <v>0.60505000000000009</v>
      </c>
      <c r="D32" s="124">
        <f>Zones!H32</f>
        <v>121.01</v>
      </c>
      <c r="E32" s="447">
        <v>15</v>
      </c>
      <c r="F32" s="449">
        <v>0.15</v>
      </c>
      <c r="G32" s="115"/>
      <c r="H32" s="476">
        <f t="shared" si="3"/>
        <v>9.0757500000000011</v>
      </c>
      <c r="I32" s="477">
        <f t="shared" si="4"/>
        <v>18.151499999999999</v>
      </c>
      <c r="J32" s="477">
        <f t="shared" si="5"/>
        <v>0</v>
      </c>
      <c r="K32" s="478">
        <f t="shared" si="6"/>
        <v>18.151499999999999</v>
      </c>
      <c r="L32" s="478"/>
      <c r="M32" s="2"/>
      <c r="N32" s="2"/>
      <c r="O32" s="2"/>
      <c r="P32" s="2"/>
      <c r="Q32" s="2"/>
      <c r="R32" s="2"/>
      <c r="S32" s="2"/>
      <c r="T32" s="2"/>
      <c r="U32" s="2"/>
      <c r="V32" s="92"/>
    </row>
    <row r="33" spans="1:22" x14ac:dyDescent="0.25">
      <c r="A33" s="321" t="str">
        <f>Zones!C33</f>
        <v>Restrooms</v>
      </c>
      <c r="B33" s="321" t="str">
        <f>Zones!B33</f>
        <v>Classrm W_Flr 2_Restroom_Zn</v>
      </c>
      <c r="C33" s="124">
        <f>Zones!K33</f>
        <v>2.8152499999999998</v>
      </c>
      <c r="D33" s="124">
        <f>Zones!H33</f>
        <v>563.04999999999995</v>
      </c>
      <c r="E33" s="447">
        <v>0</v>
      </c>
      <c r="F33" s="447">
        <v>0</v>
      </c>
      <c r="G33" s="266">
        <v>0.5</v>
      </c>
      <c r="H33" s="476">
        <f t="shared" si="3"/>
        <v>0</v>
      </c>
      <c r="I33" s="477">
        <f t="shared" si="4"/>
        <v>0</v>
      </c>
      <c r="J33" s="477">
        <f t="shared" si="5"/>
        <v>281.52499999999998</v>
      </c>
      <c r="K33" s="478">
        <f t="shared" si="6"/>
        <v>281.52499999999998</v>
      </c>
      <c r="L33" s="478"/>
      <c r="M33" s="2"/>
      <c r="N33" s="2"/>
      <c r="O33" s="2"/>
      <c r="P33" s="2"/>
      <c r="Q33" s="2"/>
      <c r="R33" s="2"/>
      <c r="S33" s="2"/>
      <c r="T33" s="2"/>
      <c r="U33" s="2"/>
      <c r="V33" s="92"/>
    </row>
    <row r="34" spans="1:22" x14ac:dyDescent="0.25">
      <c r="A34" s="321" t="str">
        <f>Zones!C34</f>
        <v>Storage (General)</v>
      </c>
      <c r="B34" s="321" t="str">
        <f>Zones!B34</f>
        <v>Classrm W_Flr 2_Storage - General_Zn</v>
      </c>
      <c r="C34" s="124">
        <f>Zones!K34</f>
        <v>0.49004999999999999</v>
      </c>
      <c r="D34" s="124">
        <f>Zones!H34</f>
        <v>98.01</v>
      </c>
      <c r="E34" s="449">
        <v>15</v>
      </c>
      <c r="F34" s="449">
        <v>0.15</v>
      </c>
      <c r="G34" s="115"/>
      <c r="H34" s="476">
        <f t="shared" si="3"/>
        <v>7.3507499999999997</v>
      </c>
      <c r="I34" s="477">
        <f t="shared" si="4"/>
        <v>14.701499999999999</v>
      </c>
      <c r="J34" s="477">
        <f t="shared" si="5"/>
        <v>0</v>
      </c>
      <c r="K34" s="478">
        <f t="shared" si="6"/>
        <v>14.701499999999999</v>
      </c>
      <c r="L34" s="478"/>
      <c r="M34" s="2"/>
      <c r="N34" s="2"/>
      <c r="O34" s="2"/>
      <c r="P34" s="2"/>
      <c r="Q34" s="2"/>
      <c r="R34" s="2"/>
      <c r="S34" s="2"/>
      <c r="T34" s="2"/>
      <c r="U34" s="2"/>
      <c r="V34" s="92"/>
    </row>
    <row r="35" spans="1:22" x14ac:dyDescent="0.25">
      <c r="A35" s="321" t="str">
        <f>Zones!C35</f>
        <v>Classroom, Lecture, Training, Vocational Areas</v>
      </c>
      <c r="B35" s="321" t="str">
        <f>Zones!B35</f>
        <v>Kindergarten_Classroom-01_Zn</v>
      </c>
      <c r="C35" s="124">
        <f>Zones!K35</f>
        <v>137.36349999999999</v>
      </c>
      <c r="D35" s="124">
        <f>Zones!H35</f>
        <v>5494.54</v>
      </c>
      <c r="E35" s="449">
        <v>15</v>
      </c>
      <c r="F35" s="449">
        <v>0.15</v>
      </c>
      <c r="G35" s="115"/>
      <c r="H35" s="476">
        <f t="shared" si="3"/>
        <v>2060.4524999999999</v>
      </c>
      <c r="I35" s="477">
        <f t="shared" si="4"/>
        <v>824.18099999999993</v>
      </c>
      <c r="J35" s="477">
        <f t="shared" si="5"/>
        <v>0</v>
      </c>
      <c r="K35" s="478">
        <f t="shared" si="6"/>
        <v>2060.4524999999999</v>
      </c>
      <c r="L35" s="478"/>
      <c r="M35" s="2"/>
      <c r="N35" s="2"/>
      <c r="O35" s="2"/>
      <c r="P35" s="2"/>
      <c r="Q35" s="2"/>
      <c r="R35" s="2"/>
      <c r="S35" s="2"/>
      <c r="T35" s="2"/>
      <c r="U35" s="2"/>
      <c r="V35" s="92"/>
    </row>
    <row r="36" spans="1:22" x14ac:dyDescent="0.25">
      <c r="A36" s="321" t="str">
        <f>Zones!C36</f>
        <v>Classroom, Lecture, Training, Vocational Areas</v>
      </c>
      <c r="B36" s="321" t="str">
        <f>Zones!B36</f>
        <v>Kindergarten_Classroom-02_Zn</v>
      </c>
      <c r="C36" s="124">
        <f>Zones!K36</f>
        <v>36.003500000000003</v>
      </c>
      <c r="D36" s="124">
        <f>Zones!H36</f>
        <v>1440.14</v>
      </c>
      <c r="E36" s="447">
        <v>15</v>
      </c>
      <c r="F36" s="449">
        <v>0.15</v>
      </c>
      <c r="G36" s="115"/>
      <c r="H36" s="476">
        <f t="shared" si="3"/>
        <v>540.05250000000001</v>
      </c>
      <c r="I36" s="477">
        <f t="shared" si="4"/>
        <v>216.02100000000002</v>
      </c>
      <c r="J36" s="477">
        <f t="shared" si="5"/>
        <v>0</v>
      </c>
      <c r="K36" s="478">
        <f t="shared" si="6"/>
        <v>540.05250000000001</v>
      </c>
      <c r="L36" s="478"/>
      <c r="M36" s="2"/>
      <c r="N36" s="2"/>
      <c r="O36" s="2"/>
      <c r="P36" s="2"/>
      <c r="Q36" s="2"/>
      <c r="R36" s="2"/>
      <c r="S36" s="2"/>
      <c r="T36" s="2"/>
      <c r="U36" s="2"/>
      <c r="V36" s="2"/>
    </row>
    <row r="37" spans="1:22" x14ac:dyDescent="0.25">
      <c r="A37" s="321" t="str">
        <f>Zones!C37</f>
        <v>Electrical, Mechanical, Telephone Rooms</v>
      </c>
      <c r="B37" s="321" t="str">
        <f>Zones!B37</f>
        <v>Kindergarten_EMT_Zn</v>
      </c>
      <c r="C37" s="124">
        <f>Zones!K37</f>
        <v>0.85435000000000005</v>
      </c>
      <c r="D37" s="124">
        <f>Zones!H37</f>
        <v>170.87</v>
      </c>
      <c r="E37" s="447">
        <v>15</v>
      </c>
      <c r="F37" s="449">
        <v>0.15</v>
      </c>
      <c r="G37" s="115"/>
      <c r="H37" s="476">
        <f t="shared" si="3"/>
        <v>12.815250000000001</v>
      </c>
      <c r="I37" s="477">
        <f t="shared" si="4"/>
        <v>25.630500000000001</v>
      </c>
      <c r="J37" s="477">
        <f t="shared" si="5"/>
        <v>0</v>
      </c>
      <c r="K37" s="478">
        <f t="shared" si="6"/>
        <v>25.630500000000001</v>
      </c>
      <c r="L37" s="478"/>
      <c r="M37" s="2"/>
      <c r="N37" s="2"/>
      <c r="O37" s="2"/>
      <c r="P37" s="2"/>
      <c r="Q37" s="2"/>
      <c r="R37" s="2"/>
      <c r="S37" s="2"/>
      <c r="T37" s="2"/>
      <c r="U37" s="2"/>
      <c r="V37" s="2"/>
    </row>
    <row r="38" spans="1:22" x14ac:dyDescent="0.25">
      <c r="A38" s="321" t="str">
        <f>Zones!C38</f>
        <v>Electrical, Mechanical, Telephone Rooms</v>
      </c>
      <c r="B38" s="321" t="str">
        <f>Zones!B38</f>
        <v>Kindergarten_IDF Room_Zn</v>
      </c>
      <c r="C38" s="124">
        <f>Zones!K38</f>
        <v>0.42740000000000006</v>
      </c>
      <c r="D38" s="124">
        <f>Zones!H38</f>
        <v>85.48</v>
      </c>
      <c r="E38" s="449">
        <v>15</v>
      </c>
      <c r="F38" s="449">
        <v>0.15</v>
      </c>
      <c r="G38" s="115"/>
      <c r="H38" s="476">
        <f t="shared" si="3"/>
        <v>6.4110000000000005</v>
      </c>
      <c r="I38" s="477">
        <f t="shared" si="4"/>
        <v>12.822000000000001</v>
      </c>
      <c r="J38" s="477">
        <f t="shared" si="5"/>
        <v>0</v>
      </c>
      <c r="K38" s="478">
        <f t="shared" si="6"/>
        <v>12.822000000000001</v>
      </c>
      <c r="L38" s="478"/>
      <c r="M38" s="2"/>
      <c r="N38" s="2"/>
      <c r="O38" s="2"/>
      <c r="P38" s="2"/>
      <c r="Q38" s="2"/>
      <c r="R38" s="2"/>
      <c r="S38" s="2"/>
      <c r="T38" s="2"/>
      <c r="U38" s="2"/>
      <c r="V38" s="2"/>
    </row>
    <row r="39" spans="1:22" x14ac:dyDescent="0.25">
      <c r="A39" s="321" t="str">
        <f>Zones!C39</f>
        <v>Restrooms</v>
      </c>
      <c r="B39" s="321" t="str">
        <f>Zones!B39</f>
        <v>Kindergarten_Restroom_Zn</v>
      </c>
      <c r="C39" s="124">
        <f>Zones!K39</f>
        <v>1.3301499999999999</v>
      </c>
      <c r="D39" s="124">
        <f>Zones!H39</f>
        <v>266.02999999999997</v>
      </c>
      <c r="E39" s="447">
        <v>0</v>
      </c>
      <c r="F39" s="447">
        <v>0</v>
      </c>
      <c r="G39" s="266">
        <v>0.5</v>
      </c>
      <c r="H39" s="476">
        <f t="shared" si="3"/>
        <v>0</v>
      </c>
      <c r="I39" s="477">
        <f t="shared" si="4"/>
        <v>0</v>
      </c>
      <c r="J39" s="477">
        <f t="shared" si="5"/>
        <v>133.01499999999999</v>
      </c>
      <c r="K39" s="478">
        <f t="shared" si="6"/>
        <v>133.01499999999999</v>
      </c>
      <c r="L39" s="478"/>
      <c r="M39" s="2"/>
      <c r="N39" s="2"/>
      <c r="O39" s="2"/>
      <c r="P39" s="2"/>
      <c r="Q39" s="2"/>
      <c r="R39" s="2"/>
      <c r="S39" s="2"/>
      <c r="T39" s="2"/>
      <c r="U39" s="2"/>
      <c r="V39" s="2"/>
    </row>
    <row r="40" spans="1:22" x14ac:dyDescent="0.25">
      <c r="A40" s="321" t="str">
        <f>Zones!C40</f>
        <v>Storage (General)</v>
      </c>
      <c r="B40" s="321" t="str">
        <f>Zones!B40</f>
        <v>Kindergarten_Storage - General_Zn</v>
      </c>
      <c r="C40" s="124">
        <f>Zones!K40</f>
        <v>5.9189999999999996</v>
      </c>
      <c r="D40" s="124">
        <f>Zones!H40</f>
        <v>1183.8</v>
      </c>
      <c r="E40" s="447">
        <v>15</v>
      </c>
      <c r="F40" s="449">
        <v>0.15</v>
      </c>
      <c r="G40" s="115"/>
      <c r="H40" s="476">
        <f t="shared" si="3"/>
        <v>88.784999999999997</v>
      </c>
      <c r="I40" s="477">
        <f t="shared" si="4"/>
        <v>177.57</v>
      </c>
      <c r="J40" s="477">
        <f t="shared" si="5"/>
        <v>0</v>
      </c>
      <c r="K40" s="478">
        <f t="shared" si="6"/>
        <v>177.57</v>
      </c>
      <c r="L40" s="478"/>
      <c r="M40" s="2"/>
      <c r="N40" s="2"/>
      <c r="O40" s="2"/>
      <c r="P40" s="2"/>
      <c r="Q40" s="2"/>
      <c r="R40" s="2"/>
      <c r="S40" s="2"/>
      <c r="T40" s="2"/>
      <c r="U40" s="2"/>
      <c r="V40" s="2"/>
    </row>
    <row r="41" spans="1:22" x14ac:dyDescent="0.25">
      <c r="A41" s="321"/>
      <c r="B41" s="321" t="str">
        <f>Zones!B41</f>
        <v>Total (38 spaces)</v>
      </c>
      <c r="C41" s="124">
        <f>Zones!K41</f>
        <v>1068.3274800000004</v>
      </c>
      <c r="D41" s="124">
        <f>Zones!H41</f>
        <v>49979.37000000001</v>
      </c>
      <c r="E41" s="449"/>
      <c r="F41" s="449"/>
      <c r="G41" s="449"/>
      <c r="H41" s="476">
        <f>SUM(H3:H40)</f>
        <v>15773.009699999997</v>
      </c>
      <c r="I41" s="478">
        <f>SUM(I3:I40)</f>
        <v>6955.3424999999988</v>
      </c>
      <c r="J41" s="478">
        <f>SUM(J3:J40)</f>
        <v>2699.4249999999997</v>
      </c>
      <c r="K41" s="478">
        <f>SUM(K3:K40)</f>
        <v>18925.208199999994</v>
      </c>
      <c r="L41" s="449"/>
      <c r="M41" s="2"/>
      <c r="N41" s="2"/>
      <c r="O41" s="2"/>
      <c r="P41" s="2"/>
      <c r="Q41" s="2"/>
      <c r="R41" s="2"/>
      <c r="S41" s="2"/>
      <c r="T41" s="2"/>
      <c r="U41" s="2"/>
      <c r="V41" s="2"/>
    </row>
    <row r="42" spans="1:22" x14ac:dyDescent="0.25">
      <c r="A42" s="2"/>
      <c r="B42" s="2"/>
      <c r="C42" s="2"/>
      <c r="D42" s="2"/>
      <c r="E42" s="2"/>
      <c r="F42" s="2"/>
      <c r="G42" s="2"/>
      <c r="H42" s="2"/>
      <c r="I42" s="2"/>
      <c r="J42" s="2"/>
      <c r="K42" s="2"/>
      <c r="L42" s="2"/>
      <c r="M42" s="2"/>
      <c r="N42" s="2"/>
      <c r="O42" s="2"/>
      <c r="P42" s="2"/>
      <c r="Q42" s="2"/>
      <c r="R42" s="2"/>
      <c r="S42" s="2"/>
      <c r="T42" s="2"/>
      <c r="U42" s="2"/>
      <c r="V42" s="2"/>
    </row>
    <row r="43" spans="1:22" x14ac:dyDescent="0.25">
      <c r="A43" s="2"/>
      <c r="B43" s="2"/>
      <c r="C43" s="2"/>
      <c r="D43" s="2"/>
      <c r="E43" s="2"/>
      <c r="F43" s="2"/>
      <c r="G43" s="2"/>
      <c r="H43" s="2"/>
      <c r="I43" s="2"/>
      <c r="J43" s="2"/>
      <c r="K43" s="2"/>
      <c r="L43" s="2"/>
      <c r="M43" s="2"/>
      <c r="N43" s="2"/>
      <c r="O43" s="2"/>
      <c r="P43" s="2"/>
      <c r="Q43" s="2"/>
      <c r="R43" s="2"/>
      <c r="S43" s="2"/>
      <c r="T43" s="2"/>
      <c r="U43" s="2"/>
      <c r="V43" s="2"/>
    </row>
  </sheetData>
  <autoFilter ref="A2:L41" xr:uid="{9B1730C9-5C61-418E-9D38-D82374F9BCB6}"/>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4A1F-75FE-4806-A814-2E6208E1456F}">
  <dimension ref="A1:ET263"/>
  <sheetViews>
    <sheetView zoomScaleNormal="100" workbookViewId="0">
      <selection sqref="A1:G1"/>
    </sheetView>
  </sheetViews>
  <sheetFormatPr defaultColWidth="8.6640625" defaultRowHeight="13.2" x14ac:dyDescent="0.25"/>
  <cols>
    <col min="1" max="1" width="55.33203125" style="4" customWidth="1"/>
    <col min="2" max="3" width="22.5546875" style="4" customWidth="1"/>
    <col min="4" max="4" width="30" style="4" bestFit="1" customWidth="1"/>
    <col min="5" max="6" width="31.5546875" style="4" customWidth="1"/>
    <col min="7" max="7" width="26.5546875" style="4" customWidth="1"/>
    <col min="8" max="8" width="20.5546875" style="4" customWidth="1"/>
    <col min="9" max="9" width="23" style="4" customWidth="1"/>
    <col min="10" max="10" width="18.5546875" style="4" customWidth="1"/>
    <col min="11" max="11" width="14.5546875" style="4" customWidth="1"/>
    <col min="12" max="12" width="93" style="4" customWidth="1"/>
    <col min="13" max="13" width="15.33203125" style="4" customWidth="1"/>
    <col min="14" max="14" width="12.33203125" style="4" customWidth="1"/>
    <col min="15" max="15" width="13.33203125" style="4" customWidth="1"/>
    <col min="16" max="16" width="15.33203125" style="4" customWidth="1"/>
    <col min="17" max="17" width="11" style="4" customWidth="1"/>
    <col min="18" max="21" width="15.33203125" style="4" customWidth="1"/>
    <col min="22" max="22" width="7.6640625" style="4" hidden="1" customWidth="1"/>
    <col min="23" max="23" width="12.44140625" style="4" hidden="1" customWidth="1"/>
    <col min="24" max="39" width="6.5546875" style="4" hidden="1" customWidth="1"/>
    <col min="40" max="40" width="15.33203125" style="4" customWidth="1"/>
    <col min="41" max="41" width="11.33203125" style="4" customWidth="1"/>
    <col min="42" max="42" width="6.33203125" style="4" customWidth="1"/>
    <col min="43" max="46" width="4.6640625" style="4" customWidth="1"/>
    <col min="47" max="47" width="6.33203125" style="4" customWidth="1"/>
    <col min="48" max="62" width="4.6640625" style="4" customWidth="1"/>
    <col min="63" max="64" width="8.6640625" style="4" customWidth="1"/>
    <col min="65" max="16384" width="8.6640625" style="4"/>
  </cols>
  <sheetData>
    <row r="1" spans="1:9" ht="23.25" customHeight="1" x14ac:dyDescent="0.25">
      <c r="A1" s="593" t="str">
        <f>"Water Heater - "&amp;Prototype!A2</f>
        <v>Water Heater - SchoolK-8</v>
      </c>
      <c r="B1" s="594"/>
      <c r="C1" s="594"/>
      <c r="D1" s="594"/>
      <c r="E1" s="594"/>
      <c r="F1" s="594"/>
      <c r="G1" s="594"/>
    </row>
    <row r="2" spans="1:9" ht="14.4" x14ac:dyDescent="0.3">
      <c r="A2" s="221" t="s">
        <v>241</v>
      </c>
      <c r="B2" s="221" t="s">
        <v>414</v>
      </c>
      <c r="C2" s="221" t="s">
        <v>415</v>
      </c>
      <c r="D2" s="479" t="s">
        <v>416</v>
      </c>
      <c r="E2" s="244" t="s">
        <v>417</v>
      </c>
      <c r="F2" s="244" t="s">
        <v>418</v>
      </c>
      <c r="G2" s="244" t="s">
        <v>315</v>
      </c>
      <c r="H2"/>
    </row>
    <row r="3" spans="1:9" ht="52.8" x14ac:dyDescent="0.3">
      <c r="A3" s="450" t="s">
        <v>419</v>
      </c>
      <c r="B3" s="450" t="s">
        <v>420</v>
      </c>
      <c r="C3" s="76">
        <v>0.98</v>
      </c>
      <c r="D3" s="423">
        <v>4</v>
      </c>
      <c r="E3" s="362" t="s">
        <v>421</v>
      </c>
      <c r="F3" s="363" t="s">
        <v>422</v>
      </c>
      <c r="G3" s="446" t="s">
        <v>423</v>
      </c>
      <c r="H3"/>
    </row>
    <row r="4" spans="1:9" ht="52.8" x14ac:dyDescent="0.3">
      <c r="A4" s="450" t="s">
        <v>335</v>
      </c>
      <c r="B4" s="450" t="s">
        <v>424</v>
      </c>
      <c r="C4" s="76">
        <f>B64</f>
        <v>4.3</v>
      </c>
      <c r="D4" s="423">
        <v>4</v>
      </c>
      <c r="E4" s="362" t="str">
        <f>E3</f>
        <v>See table below for CZ-specific values: Climate Zone Water Heater Sizing and Loss Coefficients, Storage Volume column (col F)</v>
      </c>
      <c r="F4" s="362" t="str">
        <f>F3</f>
        <v>See table below: Climate Zone Water Heater Sizing and Loss Coefficients, Standby Loss column (col G)</v>
      </c>
      <c r="G4" s="446" t="str">
        <f>G3</f>
        <v>See table below for sources: Climate Zone Water Heater Sizing and Loss Coefficients</v>
      </c>
      <c r="H4"/>
    </row>
    <row r="5" spans="1:9" x14ac:dyDescent="0.25">
      <c r="F5" s="10"/>
    </row>
    <row r="6" spans="1:9" ht="15.75" customHeight="1" x14ac:dyDescent="0.3">
      <c r="A6" s="533" t="s">
        <v>425</v>
      </c>
      <c r="B6" s="617"/>
      <c r="C6" s="617"/>
      <c r="D6" s="617"/>
      <c r="E6" s="617"/>
      <c r="F6" s="617"/>
      <c r="G6" s="618"/>
      <c r="H6" s="78"/>
      <c r="I6" s="78"/>
    </row>
    <row r="7" spans="1:9" ht="52.8" x14ac:dyDescent="0.25">
      <c r="A7" s="221" t="s">
        <v>426</v>
      </c>
      <c r="B7" s="221" t="s">
        <v>427</v>
      </c>
      <c r="C7" s="221" t="s">
        <v>428</v>
      </c>
      <c r="D7" s="221" t="s">
        <v>429</v>
      </c>
      <c r="E7" s="221" t="s">
        <v>430</v>
      </c>
      <c r="F7" s="221" t="s">
        <v>431</v>
      </c>
      <c r="G7" s="221" t="s">
        <v>432</v>
      </c>
    </row>
    <row r="8" spans="1:9" x14ac:dyDescent="0.25">
      <c r="A8" s="245" t="str">
        <f>Zones!B3</f>
        <v>Admin/MPR_Breakroom_Zn</v>
      </c>
      <c r="B8" s="14" t="s">
        <v>424</v>
      </c>
      <c r="C8" s="246">
        <f>Zones!H3</f>
        <v>575.20000000000005</v>
      </c>
      <c r="D8" s="246">
        <f>Zones!K3</f>
        <v>18.981600000000004</v>
      </c>
      <c r="E8" s="247">
        <v>0.09</v>
      </c>
      <c r="F8" s="139">
        <f t="shared" ref="F8:F45" si="0">E8*D8</f>
        <v>1.7083440000000003</v>
      </c>
      <c r="G8" s="128">
        <f t="shared" ref="G8:G45" si="1">F8/60</f>
        <v>2.8472400000000005E-2</v>
      </c>
    </row>
    <row r="9" spans="1:9" x14ac:dyDescent="0.25">
      <c r="A9" s="245" t="str">
        <f>Zones!B4</f>
        <v>Admin/MPR_Conference Room Zns 3_Zn</v>
      </c>
      <c r="B9" s="14" t="s">
        <v>424</v>
      </c>
      <c r="C9" s="246">
        <f>Zones!H4</f>
        <v>1674.74</v>
      </c>
      <c r="D9" s="246">
        <f>Zones!K4</f>
        <v>55.266419999999997</v>
      </c>
      <c r="E9" s="247">
        <v>0.09</v>
      </c>
      <c r="F9" s="139">
        <f t="shared" si="0"/>
        <v>4.9739777999999992</v>
      </c>
      <c r="G9" s="128">
        <f t="shared" si="1"/>
        <v>8.2899629999999988E-2</v>
      </c>
    </row>
    <row r="10" spans="1:9" x14ac:dyDescent="0.25">
      <c r="A10" s="245" t="str">
        <f>Zones!B5</f>
        <v>Admin/MPR_Corridor_Zn</v>
      </c>
      <c r="B10" s="14" t="s">
        <v>424</v>
      </c>
      <c r="C10" s="246">
        <f>Zones!H5</f>
        <v>1161.52</v>
      </c>
      <c r="D10" s="246">
        <f>Zones!K5</f>
        <v>5.8076000000000008</v>
      </c>
      <c r="E10" s="247">
        <v>0</v>
      </c>
      <c r="F10" s="139">
        <f t="shared" si="0"/>
        <v>0</v>
      </c>
      <c r="G10" s="128">
        <f t="shared" si="1"/>
        <v>0</v>
      </c>
    </row>
    <row r="11" spans="1:9" x14ac:dyDescent="0.25">
      <c r="A11" s="245" t="str">
        <f>Zones!B6</f>
        <v>Admin/MPR_EMT_Zn</v>
      </c>
      <c r="B11" s="14" t="s">
        <v>424</v>
      </c>
      <c r="C11" s="246">
        <f>Zones!H6</f>
        <v>278.20999999999998</v>
      </c>
      <c r="D11" s="246">
        <f>Zones!K6</f>
        <v>1.3910499999999999</v>
      </c>
      <c r="E11" s="247">
        <v>0.18</v>
      </c>
      <c r="F11" s="139">
        <f t="shared" si="0"/>
        <v>0.25038899999999997</v>
      </c>
      <c r="G11" s="128">
        <f t="shared" si="1"/>
        <v>4.1731499999999996E-3</v>
      </c>
    </row>
    <row r="12" spans="1:9" x14ac:dyDescent="0.25">
      <c r="A12" s="245" t="str">
        <f>Zones!B7</f>
        <v>Admin/MPR_IDF Room_Zn</v>
      </c>
      <c r="B12" s="14" t="s">
        <v>424</v>
      </c>
      <c r="C12" s="246">
        <f>Zones!H7</f>
        <v>340.23</v>
      </c>
      <c r="D12" s="246">
        <f>Zones!K7</f>
        <v>1.7011500000000002</v>
      </c>
      <c r="E12" s="247">
        <v>0.18</v>
      </c>
      <c r="F12" s="139">
        <f t="shared" si="0"/>
        <v>0.30620700000000001</v>
      </c>
      <c r="G12" s="128">
        <f t="shared" si="1"/>
        <v>5.1034499999999998E-3</v>
      </c>
    </row>
    <row r="13" spans="1:9" x14ac:dyDescent="0.25">
      <c r="A13" s="245" t="str">
        <f>Zones!B8</f>
        <v>Admin/MPR_Kitchen_Zn</v>
      </c>
      <c r="B13" s="14" t="s">
        <v>424</v>
      </c>
      <c r="C13" s="246">
        <f>Zones!H8</f>
        <v>1457.25</v>
      </c>
      <c r="D13" s="246">
        <f>Zones!K8</f>
        <v>4.3717499999999996</v>
      </c>
      <c r="E13" s="247">
        <v>0.57799999999999996</v>
      </c>
      <c r="F13" s="139">
        <f t="shared" si="0"/>
        <v>2.5268714999999995</v>
      </c>
      <c r="G13" s="128">
        <f t="shared" si="1"/>
        <v>4.2114524999999993E-2</v>
      </c>
    </row>
    <row r="14" spans="1:9" x14ac:dyDescent="0.25">
      <c r="A14" s="245" t="str">
        <f>Zones!B9</f>
        <v>Admin/MPR_Lobby_Zn</v>
      </c>
      <c r="B14" s="14" t="s">
        <v>424</v>
      </c>
      <c r="C14" s="246">
        <f>Zones!H9</f>
        <v>1241.47</v>
      </c>
      <c r="D14" s="246">
        <f>Zones!K9</f>
        <v>40.968510000000002</v>
      </c>
      <c r="E14" s="247">
        <v>0.09</v>
      </c>
      <c r="F14" s="139">
        <f t="shared" si="0"/>
        <v>3.6871659000000001</v>
      </c>
      <c r="G14" s="128">
        <f t="shared" si="1"/>
        <v>6.1452764999999999E-2</v>
      </c>
    </row>
    <row r="15" spans="1:9" x14ac:dyDescent="0.25">
      <c r="A15" s="245" t="str">
        <f>Zones!B10</f>
        <v>Admin/MPR_Multipurpose Room Zns 3_Zn</v>
      </c>
      <c r="B15" s="14" t="s">
        <v>424</v>
      </c>
      <c r="C15" s="246">
        <f>Zones!H10</f>
        <v>5512.19</v>
      </c>
      <c r="D15" s="246">
        <f>Zones!K10</f>
        <v>181.90226999999999</v>
      </c>
      <c r="E15" s="247">
        <v>0.09</v>
      </c>
      <c r="F15" s="139">
        <f t="shared" si="0"/>
        <v>16.371204299999999</v>
      </c>
      <c r="G15" s="128">
        <f t="shared" si="1"/>
        <v>0.27285340499999999</v>
      </c>
    </row>
    <row r="16" spans="1:9" x14ac:dyDescent="0.25">
      <c r="A16" s="245" t="str">
        <f>Zones!B11</f>
        <v>Admin/MPR_Office - LT 250 sf Zns 6_Zn</v>
      </c>
      <c r="B16" s="14" t="s">
        <v>424</v>
      </c>
      <c r="C16" s="246">
        <f>Zones!H11</f>
        <v>1048.3499999999999</v>
      </c>
      <c r="D16" s="246">
        <f>Zones!K11</f>
        <v>5.2417499999999997</v>
      </c>
      <c r="E16" s="247">
        <v>0.18</v>
      </c>
      <c r="F16" s="139">
        <f t="shared" si="0"/>
        <v>0.94351499999999988</v>
      </c>
      <c r="G16" s="128">
        <f t="shared" si="1"/>
        <v>1.572525E-2</v>
      </c>
    </row>
    <row r="17" spans="1:7" x14ac:dyDescent="0.25">
      <c r="A17" s="245" t="str">
        <f>Zones!B12</f>
        <v>Admin/MPR_Restroom Zns 3_Zn</v>
      </c>
      <c r="B17" s="14" t="s">
        <v>424</v>
      </c>
      <c r="C17" s="246">
        <f>Zones!H12</f>
        <v>901.17</v>
      </c>
      <c r="D17" s="246">
        <f>Zones!K12</f>
        <v>4.5058499999999997</v>
      </c>
      <c r="E17" s="247">
        <v>0</v>
      </c>
      <c r="F17" s="139">
        <f t="shared" si="0"/>
        <v>0</v>
      </c>
      <c r="G17" s="128">
        <f t="shared" si="1"/>
        <v>0</v>
      </c>
    </row>
    <row r="18" spans="1:7" x14ac:dyDescent="0.25">
      <c r="A18" s="245" t="str">
        <f>Zones!B13</f>
        <v>Admin/MPR_Storage - General_Zn</v>
      </c>
      <c r="B18" s="14" t="s">
        <v>424</v>
      </c>
      <c r="C18" s="246">
        <f>Zones!H13</f>
        <v>1247.73</v>
      </c>
      <c r="D18" s="246">
        <f>Zones!K13</f>
        <v>6.2386499999999998</v>
      </c>
      <c r="E18" s="247">
        <v>0</v>
      </c>
      <c r="F18" s="139">
        <f t="shared" si="0"/>
        <v>0</v>
      </c>
      <c r="G18" s="128">
        <f t="shared" si="1"/>
        <v>0</v>
      </c>
    </row>
    <row r="19" spans="1:7" x14ac:dyDescent="0.25">
      <c r="A19" s="245" t="str">
        <f>Zones!B14</f>
        <v>Admin/MPR_Storage - Refrigerated_Zn</v>
      </c>
      <c r="B19" s="14" t="s">
        <v>424</v>
      </c>
      <c r="C19" s="246">
        <f>Zones!H14</f>
        <v>251.72</v>
      </c>
      <c r="D19" s="246">
        <f>Zones!K14</f>
        <v>0</v>
      </c>
      <c r="E19" s="247">
        <v>0.18</v>
      </c>
      <c r="F19" s="139">
        <f t="shared" si="0"/>
        <v>0</v>
      </c>
      <c r="G19" s="128">
        <f t="shared" si="1"/>
        <v>0</v>
      </c>
    </row>
    <row r="20" spans="1:7" x14ac:dyDescent="0.25">
      <c r="A20" s="245" t="str">
        <f>Zones!B15</f>
        <v>Admin/MPR_Theater - Performance_Zn</v>
      </c>
      <c r="B20" s="14" t="s">
        <v>424</v>
      </c>
      <c r="C20" s="246">
        <f>Zones!H15</f>
        <v>1065.56</v>
      </c>
      <c r="D20" s="246">
        <f>Zones!K15</f>
        <v>35.163479999999993</v>
      </c>
      <c r="E20" s="247">
        <v>0.09</v>
      </c>
      <c r="F20" s="139">
        <f t="shared" si="0"/>
        <v>3.1647131999999991</v>
      </c>
      <c r="G20" s="128">
        <f t="shared" si="1"/>
        <v>5.2745219999999989E-2</v>
      </c>
    </row>
    <row r="21" spans="1:7" x14ac:dyDescent="0.25">
      <c r="A21" s="245" t="str">
        <f>Zones!B16</f>
        <v>Classrm N_Flr 1_Classroom-01_Zn</v>
      </c>
      <c r="B21" s="14" t="s">
        <v>424</v>
      </c>
      <c r="C21" s="246">
        <f>Zones!H16</f>
        <v>1001.75</v>
      </c>
      <c r="D21" s="246">
        <f>Zones!K16</f>
        <v>25.043749999999999</v>
      </c>
      <c r="E21" s="247">
        <v>0.18</v>
      </c>
      <c r="F21" s="139">
        <f t="shared" si="0"/>
        <v>4.5078749999999994</v>
      </c>
      <c r="G21" s="128">
        <f t="shared" si="1"/>
        <v>7.5131249999999997E-2</v>
      </c>
    </row>
    <row r="22" spans="1:7" x14ac:dyDescent="0.25">
      <c r="A22" s="245" t="str">
        <f>Zones!B17</f>
        <v>Classrm N_Flr 1_Classroom-02 Zns 6_Zn</v>
      </c>
      <c r="B22" s="14" t="s">
        <v>424</v>
      </c>
      <c r="C22" s="246">
        <f>Zones!H17</f>
        <v>6054.03</v>
      </c>
      <c r="D22" s="246">
        <f>Zones!K17</f>
        <v>151.35075000000001</v>
      </c>
      <c r="E22" s="247">
        <v>0.18</v>
      </c>
      <c r="F22" s="139">
        <f t="shared" si="0"/>
        <v>27.243134999999999</v>
      </c>
      <c r="G22" s="128">
        <f t="shared" si="1"/>
        <v>0.45405224999999999</v>
      </c>
    </row>
    <row r="23" spans="1:7" x14ac:dyDescent="0.25">
      <c r="A23" s="245" t="str">
        <f>Zones!B18</f>
        <v>Classrm N_Flr 1_Office - LT 250 sf_Zn</v>
      </c>
      <c r="B23" s="14" t="s">
        <v>424</v>
      </c>
      <c r="C23" s="246">
        <f>Zones!H18</f>
        <v>288.13</v>
      </c>
      <c r="D23" s="246">
        <f>Zones!K18</f>
        <v>1.44065</v>
      </c>
      <c r="E23" s="247">
        <v>0.18</v>
      </c>
      <c r="F23" s="139">
        <f t="shared" si="0"/>
        <v>0.25931699999999996</v>
      </c>
      <c r="G23" s="128">
        <f t="shared" si="1"/>
        <v>4.3219499999999998E-3</v>
      </c>
    </row>
    <row r="24" spans="1:7" x14ac:dyDescent="0.25">
      <c r="A24" s="245" t="str">
        <f>Zones!B19</f>
        <v>Classrm N_Flr 1_Restroom_Zn</v>
      </c>
      <c r="B24" s="14" t="s">
        <v>424</v>
      </c>
      <c r="C24" s="246">
        <f>Zones!H19</f>
        <v>532.70000000000005</v>
      </c>
      <c r="D24" s="246">
        <f>Zones!K19</f>
        <v>2.6635</v>
      </c>
      <c r="E24" s="247">
        <v>0</v>
      </c>
      <c r="F24" s="139">
        <f t="shared" si="0"/>
        <v>0</v>
      </c>
      <c r="G24" s="128">
        <f t="shared" si="1"/>
        <v>0</v>
      </c>
    </row>
    <row r="25" spans="1:7" x14ac:dyDescent="0.25">
      <c r="A25" s="245" t="str">
        <f>Zones!B20</f>
        <v>Classrm N_Flr 2_Classroom-01 Zns 6_Zn</v>
      </c>
      <c r="B25" s="14" t="s">
        <v>424</v>
      </c>
      <c r="C25" s="246">
        <f>Zones!H20</f>
        <v>6054.03</v>
      </c>
      <c r="D25" s="246">
        <f>Zones!K20</f>
        <v>151.35075000000001</v>
      </c>
      <c r="E25" s="247">
        <v>0.18</v>
      </c>
      <c r="F25" s="139">
        <f t="shared" si="0"/>
        <v>27.243134999999999</v>
      </c>
      <c r="G25" s="128">
        <f t="shared" si="1"/>
        <v>0.45405224999999999</v>
      </c>
    </row>
    <row r="26" spans="1:7" x14ac:dyDescent="0.25">
      <c r="A26" s="245" t="str">
        <f>Zones!B21</f>
        <v>Classrm N_Flr 2_Classroom-02_Zn</v>
      </c>
      <c r="B26" s="14" t="s">
        <v>424</v>
      </c>
      <c r="C26" s="246">
        <f>Zones!H21</f>
        <v>1001.75</v>
      </c>
      <c r="D26" s="246">
        <f>Zones!K21</f>
        <v>25.043749999999999</v>
      </c>
      <c r="E26" s="247">
        <v>0.18</v>
      </c>
      <c r="F26" s="139">
        <f t="shared" si="0"/>
        <v>4.5078749999999994</v>
      </c>
      <c r="G26" s="128">
        <f t="shared" si="1"/>
        <v>7.5131249999999997E-2</v>
      </c>
    </row>
    <row r="27" spans="1:7" x14ac:dyDescent="0.25">
      <c r="A27" s="245" t="str">
        <f>Zones!B22</f>
        <v>Classrm N_Flr 2_Office - LT 250 sf_Zn</v>
      </c>
      <c r="B27" s="14" t="s">
        <v>424</v>
      </c>
      <c r="C27" s="246">
        <f>Zones!H22</f>
        <v>288.13</v>
      </c>
      <c r="D27" s="246">
        <f>Zones!K22</f>
        <v>1.44065</v>
      </c>
      <c r="E27" s="247">
        <v>0.18</v>
      </c>
      <c r="F27" s="139">
        <f t="shared" si="0"/>
        <v>0.25931699999999996</v>
      </c>
      <c r="G27" s="128">
        <f t="shared" si="1"/>
        <v>4.3219499999999998E-3</v>
      </c>
    </row>
    <row r="28" spans="1:7" x14ac:dyDescent="0.25">
      <c r="A28" s="245" t="str">
        <f>Zones!B23</f>
        <v>Classrm N_Flr 2_Restroom_Zn</v>
      </c>
      <c r="B28" s="14" t="s">
        <v>424</v>
      </c>
      <c r="C28" s="246">
        <f>Zones!H23</f>
        <v>532.70000000000005</v>
      </c>
      <c r="D28" s="246">
        <f>Zones!K23</f>
        <v>2.6635</v>
      </c>
      <c r="E28" s="247">
        <v>0</v>
      </c>
      <c r="F28" s="139">
        <f t="shared" si="0"/>
        <v>0</v>
      </c>
      <c r="G28" s="128">
        <f t="shared" si="1"/>
        <v>0</v>
      </c>
    </row>
    <row r="29" spans="1:7" x14ac:dyDescent="0.25">
      <c r="A29" s="245" t="str">
        <f>Zones!B24</f>
        <v>Classrm W_Flr 1_Classroom Zns 2_Zn</v>
      </c>
      <c r="B29" s="14" t="s">
        <v>424</v>
      </c>
      <c r="C29" s="246">
        <f>Zones!H24</f>
        <v>2054.94</v>
      </c>
      <c r="D29" s="246">
        <f>Zones!K24</f>
        <v>51.3735</v>
      </c>
      <c r="E29" s="247">
        <v>0.18</v>
      </c>
      <c r="F29" s="139">
        <f t="shared" si="0"/>
        <v>9.2472300000000001</v>
      </c>
      <c r="G29" s="128">
        <f t="shared" si="1"/>
        <v>0.15412049999999999</v>
      </c>
    </row>
    <row r="30" spans="1:7" x14ac:dyDescent="0.25">
      <c r="A30" s="245" t="str">
        <f>Zones!B25</f>
        <v>Classrm W_Flr 1_EMT-01_Zn</v>
      </c>
      <c r="B30" s="14" t="s">
        <v>424</v>
      </c>
      <c r="C30" s="246">
        <f>Zones!H25</f>
        <v>121.01</v>
      </c>
      <c r="D30" s="246">
        <f>Zones!K25</f>
        <v>0.60505000000000009</v>
      </c>
      <c r="E30" s="247">
        <v>0.18</v>
      </c>
      <c r="F30" s="139">
        <f t="shared" si="0"/>
        <v>0.10890900000000001</v>
      </c>
      <c r="G30" s="128">
        <f t="shared" si="1"/>
        <v>1.8151500000000002E-3</v>
      </c>
    </row>
    <row r="31" spans="1:7" x14ac:dyDescent="0.25">
      <c r="A31" s="245" t="str">
        <f>Zones!B26</f>
        <v>Classrm W_Flr 1_EMT-02_Zn</v>
      </c>
      <c r="B31" s="14" t="s">
        <v>424</v>
      </c>
      <c r="C31" s="246">
        <f>Zones!H26</f>
        <v>98.01</v>
      </c>
      <c r="D31" s="246">
        <f>Zones!K26</f>
        <v>0.49004999999999999</v>
      </c>
      <c r="E31" s="247">
        <v>0.18</v>
      </c>
      <c r="F31" s="139">
        <f t="shared" si="0"/>
        <v>8.8208999999999996E-2</v>
      </c>
      <c r="G31" s="128">
        <f t="shared" si="1"/>
        <v>1.4701499999999999E-3</v>
      </c>
    </row>
    <row r="32" spans="1:7" x14ac:dyDescent="0.25">
      <c r="A32" s="245" t="str">
        <f>Zones!B27</f>
        <v>Classrm W_Flr 1_Library - Reading Area_Zn</v>
      </c>
      <c r="B32" s="14" t="s">
        <v>424</v>
      </c>
      <c r="C32" s="246">
        <f>Zones!H27</f>
        <v>1197.1300000000001</v>
      </c>
      <c r="D32" s="246">
        <f>Zones!K27</f>
        <v>11.971300000000001</v>
      </c>
      <c r="E32" s="247">
        <v>0.18</v>
      </c>
      <c r="F32" s="139">
        <f t="shared" si="0"/>
        <v>2.1548340000000001</v>
      </c>
      <c r="G32" s="128">
        <f t="shared" si="1"/>
        <v>3.5913900000000006E-2</v>
      </c>
    </row>
    <row r="33" spans="1:7" x14ac:dyDescent="0.25">
      <c r="A33" s="245" t="str">
        <f>Zones!B28</f>
        <v>Classrm W_Flr 1_Restroom_Zn</v>
      </c>
      <c r="B33" s="14" t="s">
        <v>424</v>
      </c>
      <c r="C33" s="246">
        <f>Zones!H28</f>
        <v>563.04999999999995</v>
      </c>
      <c r="D33" s="246">
        <f>Zones!K28</f>
        <v>2.8152499999999998</v>
      </c>
      <c r="E33" s="247">
        <v>0</v>
      </c>
      <c r="F33" s="139">
        <f t="shared" si="0"/>
        <v>0</v>
      </c>
      <c r="G33" s="128">
        <f t="shared" si="1"/>
        <v>0</v>
      </c>
    </row>
    <row r="34" spans="1:7" x14ac:dyDescent="0.25">
      <c r="A34" s="245" t="str">
        <f>Zones!B29</f>
        <v>Classrm W_Flr 1_Storage - General_Zn</v>
      </c>
      <c r="B34" s="14" t="s">
        <v>424</v>
      </c>
      <c r="C34" s="246">
        <f>Zones!H29</f>
        <v>380.84</v>
      </c>
      <c r="D34" s="246">
        <f>Zones!K29</f>
        <v>1.9041999999999999</v>
      </c>
      <c r="E34" s="247">
        <v>0</v>
      </c>
      <c r="F34" s="139">
        <f t="shared" si="0"/>
        <v>0</v>
      </c>
      <c r="G34" s="128">
        <f t="shared" si="1"/>
        <v>0</v>
      </c>
    </row>
    <row r="35" spans="1:7" x14ac:dyDescent="0.25">
      <c r="A35" s="245" t="str">
        <f>Zones!B30</f>
        <v>Classrm W_Flr 2_Classroom-01 Zns 3_Zn</v>
      </c>
      <c r="B35" s="14" t="s">
        <v>424</v>
      </c>
      <c r="C35" s="246">
        <f>Zones!H30</f>
        <v>3252.06</v>
      </c>
      <c r="D35" s="246">
        <f>Zones!K30</f>
        <v>81.301500000000004</v>
      </c>
      <c r="E35" s="247">
        <v>0.18</v>
      </c>
      <c r="F35" s="139">
        <f t="shared" si="0"/>
        <v>14.634270000000001</v>
      </c>
      <c r="G35" s="128">
        <f t="shared" si="1"/>
        <v>0.24390450000000002</v>
      </c>
    </row>
    <row r="36" spans="1:7" x14ac:dyDescent="0.25">
      <c r="A36" s="245" t="str">
        <f>Zones!B31</f>
        <v>Classrm W_Flr 2_Classroom-02_Zn</v>
      </c>
      <c r="B36" s="14" t="s">
        <v>424</v>
      </c>
      <c r="C36" s="246">
        <f>Zones!H31</f>
        <v>380.84</v>
      </c>
      <c r="D36" s="246">
        <f>Zones!K31</f>
        <v>9.5210000000000008</v>
      </c>
      <c r="E36" s="247">
        <v>0.18</v>
      </c>
      <c r="F36" s="139">
        <f t="shared" si="0"/>
        <v>1.7137800000000001</v>
      </c>
      <c r="G36" s="128">
        <f t="shared" si="1"/>
        <v>2.8563000000000002E-2</v>
      </c>
    </row>
    <row r="37" spans="1:7" x14ac:dyDescent="0.25">
      <c r="A37" s="245" t="str">
        <f>Zones!B32</f>
        <v>Classrm W_Flr 2_IDF Room_Zn</v>
      </c>
      <c r="B37" s="14" t="s">
        <v>424</v>
      </c>
      <c r="C37" s="246">
        <f>Zones!H32</f>
        <v>121.01</v>
      </c>
      <c r="D37" s="246">
        <f>Zones!K32</f>
        <v>0.60505000000000009</v>
      </c>
      <c r="E37" s="247">
        <v>0.18</v>
      </c>
      <c r="F37" s="139">
        <f t="shared" si="0"/>
        <v>0.10890900000000001</v>
      </c>
      <c r="G37" s="128">
        <f t="shared" si="1"/>
        <v>1.8151500000000002E-3</v>
      </c>
    </row>
    <row r="38" spans="1:7" x14ac:dyDescent="0.25">
      <c r="A38" s="245" t="str">
        <f>Zones!B33</f>
        <v>Classrm W_Flr 2_Restroom_Zn</v>
      </c>
      <c r="B38" s="14" t="s">
        <v>424</v>
      </c>
      <c r="C38" s="246">
        <f>Zones!H33</f>
        <v>563.04999999999995</v>
      </c>
      <c r="D38" s="246">
        <f>Zones!K33</f>
        <v>2.8152499999999998</v>
      </c>
      <c r="E38" s="247">
        <v>0</v>
      </c>
      <c r="F38" s="139">
        <f t="shared" si="0"/>
        <v>0</v>
      </c>
      <c r="G38" s="128">
        <f t="shared" si="1"/>
        <v>0</v>
      </c>
    </row>
    <row r="39" spans="1:7" x14ac:dyDescent="0.25">
      <c r="A39" s="245" t="str">
        <f>Zones!B34</f>
        <v>Classrm W_Flr 2_Storage - General_Zn</v>
      </c>
      <c r="B39" s="14" t="s">
        <v>424</v>
      </c>
      <c r="C39" s="246">
        <f>Zones!H34</f>
        <v>98.01</v>
      </c>
      <c r="D39" s="246">
        <f>Zones!K34</f>
        <v>0.49004999999999999</v>
      </c>
      <c r="E39" s="247">
        <v>0</v>
      </c>
      <c r="F39" s="139">
        <f t="shared" si="0"/>
        <v>0</v>
      </c>
      <c r="G39" s="128">
        <f t="shared" si="1"/>
        <v>0</v>
      </c>
    </row>
    <row r="40" spans="1:7" x14ac:dyDescent="0.25">
      <c r="A40" s="245" t="str">
        <f>Zones!B35</f>
        <v>Kindergarten_Classroom-01_Zn</v>
      </c>
      <c r="B40" s="14" t="s">
        <v>424</v>
      </c>
      <c r="C40" s="246">
        <f>Zones!H35</f>
        <v>5494.54</v>
      </c>
      <c r="D40" s="246">
        <f>Zones!K35</f>
        <v>137.36349999999999</v>
      </c>
      <c r="E40" s="247">
        <v>0.18</v>
      </c>
      <c r="F40" s="139">
        <f t="shared" si="0"/>
        <v>24.725429999999996</v>
      </c>
      <c r="G40" s="128">
        <f t="shared" si="1"/>
        <v>0.41209049999999992</v>
      </c>
    </row>
    <row r="41" spans="1:7" x14ac:dyDescent="0.25">
      <c r="A41" s="245" t="str">
        <f>Zones!B36</f>
        <v>Kindergarten_Classroom-02_Zn</v>
      </c>
      <c r="B41" s="14" t="s">
        <v>424</v>
      </c>
      <c r="C41" s="246">
        <f>Zones!H36</f>
        <v>1440.14</v>
      </c>
      <c r="D41" s="246">
        <f>Zones!K36</f>
        <v>36.003500000000003</v>
      </c>
      <c r="E41" s="247">
        <v>0.18</v>
      </c>
      <c r="F41" s="139">
        <f t="shared" si="0"/>
        <v>6.4806300000000006</v>
      </c>
      <c r="G41" s="128">
        <f t="shared" si="1"/>
        <v>0.10801050000000001</v>
      </c>
    </row>
    <row r="42" spans="1:7" x14ac:dyDescent="0.25">
      <c r="A42" s="245" t="str">
        <f>Zones!B37</f>
        <v>Kindergarten_EMT_Zn</v>
      </c>
      <c r="B42" s="14" t="s">
        <v>424</v>
      </c>
      <c r="C42" s="246">
        <f>Zones!H37</f>
        <v>170.87</v>
      </c>
      <c r="D42" s="246">
        <f>Zones!K37</f>
        <v>0.85435000000000005</v>
      </c>
      <c r="E42" s="247">
        <v>0.18</v>
      </c>
      <c r="F42" s="139">
        <f t="shared" si="0"/>
        <v>0.153783</v>
      </c>
      <c r="G42" s="128">
        <f t="shared" si="1"/>
        <v>2.5630499999999999E-3</v>
      </c>
    </row>
    <row r="43" spans="1:7" x14ac:dyDescent="0.25">
      <c r="A43" s="245" t="str">
        <f>Zones!B38</f>
        <v>Kindergarten_IDF Room_Zn</v>
      </c>
      <c r="B43" s="14" t="s">
        <v>424</v>
      </c>
      <c r="C43" s="246">
        <f>Zones!H38</f>
        <v>85.48</v>
      </c>
      <c r="D43" s="246">
        <f>Zones!K38</f>
        <v>0.42740000000000006</v>
      </c>
      <c r="E43" s="247">
        <v>0.18</v>
      </c>
      <c r="F43" s="139">
        <f t="shared" si="0"/>
        <v>7.6932000000000014E-2</v>
      </c>
      <c r="G43" s="128">
        <f t="shared" si="1"/>
        <v>1.2822000000000003E-3</v>
      </c>
    </row>
    <row r="44" spans="1:7" x14ac:dyDescent="0.25">
      <c r="A44" s="245" t="str">
        <f>Zones!B39</f>
        <v>Kindergarten_Restroom_Zn</v>
      </c>
      <c r="B44" s="14" t="s">
        <v>424</v>
      </c>
      <c r="C44" s="246">
        <f>Zones!H39</f>
        <v>266.02999999999997</v>
      </c>
      <c r="D44" s="246">
        <f>Zones!K39</f>
        <v>1.3301499999999999</v>
      </c>
      <c r="E44" s="247">
        <v>0</v>
      </c>
      <c r="F44" s="139">
        <f t="shared" si="0"/>
        <v>0</v>
      </c>
      <c r="G44" s="331">
        <f t="shared" si="1"/>
        <v>0</v>
      </c>
    </row>
    <row r="45" spans="1:7" x14ac:dyDescent="0.25">
      <c r="A45" s="327" t="str">
        <f>Zones!B40</f>
        <v>Kindergarten_Storage - General_Zn</v>
      </c>
      <c r="B45" s="328" t="s">
        <v>424</v>
      </c>
      <c r="C45" s="329">
        <f>Zones!H40</f>
        <v>1183.8</v>
      </c>
      <c r="D45" s="329">
        <f>Zones!K40</f>
        <v>5.9189999999999996</v>
      </c>
      <c r="E45" s="330">
        <v>0</v>
      </c>
      <c r="F45" s="384">
        <f t="shared" si="0"/>
        <v>0</v>
      </c>
      <c r="G45" s="385">
        <f t="shared" si="1"/>
        <v>0</v>
      </c>
    </row>
    <row r="46" spans="1:7" x14ac:dyDescent="0.25">
      <c r="A46" s="375"/>
      <c r="B46" s="376"/>
      <c r="C46" s="377"/>
      <c r="D46" s="377"/>
      <c r="E46" s="378"/>
      <c r="F46" s="379"/>
    </row>
    <row r="47" spans="1:7" x14ac:dyDescent="0.25">
      <c r="A47" s="380"/>
      <c r="B47" s="6"/>
      <c r="C47" s="381"/>
      <c r="D47" s="381"/>
      <c r="E47" s="382"/>
      <c r="F47" s="383"/>
      <c r="G47" s="250"/>
    </row>
    <row r="48" spans="1:7" x14ac:dyDescent="0.25">
      <c r="A48" s="380"/>
      <c r="B48" s="6"/>
      <c r="C48" s="381"/>
      <c r="D48" s="381"/>
      <c r="E48" s="382"/>
      <c r="F48" s="383"/>
      <c r="G48" s="250"/>
    </row>
    <row r="49" spans="1:19" x14ac:dyDescent="0.25">
      <c r="A49" s="380"/>
      <c r="B49" s="6"/>
      <c r="C49" s="381"/>
      <c r="D49" s="381"/>
      <c r="E49" s="382"/>
      <c r="F49" s="383"/>
      <c r="G49" s="250"/>
    </row>
    <row r="50" spans="1:19" ht="21" customHeight="1" x14ac:dyDescent="0.25">
      <c r="A50" s="615" t="s">
        <v>433</v>
      </c>
      <c r="B50" s="616"/>
      <c r="C50" s="616"/>
      <c r="D50" s="616"/>
      <c r="G50" s="386"/>
      <c r="H50" s="386"/>
      <c r="I50" s="386"/>
      <c r="J50" s="386"/>
      <c r="K50" s="480"/>
      <c r="L50" s="480"/>
      <c r="M50" s="480"/>
      <c r="N50" s="480"/>
      <c r="O50" s="480"/>
      <c r="P50" s="480"/>
      <c r="Q50" s="480"/>
      <c r="R50" s="67"/>
      <c r="S50" s="67"/>
    </row>
    <row r="51" spans="1:19" ht="26.4" x14ac:dyDescent="0.25">
      <c r="A51" s="481" t="s">
        <v>434</v>
      </c>
      <c r="B51" s="481" t="s">
        <v>435</v>
      </c>
      <c r="C51" s="481" t="s">
        <v>431</v>
      </c>
      <c r="D51" s="481" t="s">
        <v>49</v>
      </c>
      <c r="G51" s="386"/>
      <c r="H51" s="386"/>
      <c r="I51" s="386"/>
      <c r="J51" s="386"/>
      <c r="K51" s="480"/>
      <c r="L51" s="480"/>
      <c r="M51" s="480"/>
      <c r="N51" s="480"/>
      <c r="O51" s="480"/>
      <c r="P51" s="480"/>
      <c r="Q51" s="480"/>
      <c r="R51" s="67"/>
      <c r="S51" s="67"/>
    </row>
    <row r="52" spans="1:19" x14ac:dyDescent="0.25">
      <c r="A52" s="387" t="s">
        <v>436</v>
      </c>
      <c r="B52" s="387" t="s">
        <v>424</v>
      </c>
      <c r="C52" s="388">
        <f>MAX(SUMIF($B$8:$B$20,"*HPWH*",$F$8:$F$20),75)</f>
        <v>75</v>
      </c>
      <c r="D52" s="614" t="s">
        <v>437</v>
      </c>
      <c r="G52" s="353"/>
    </row>
    <row r="53" spans="1:19" x14ac:dyDescent="0.25">
      <c r="A53" s="387" t="s">
        <v>438</v>
      </c>
      <c r="B53" s="387" t="s">
        <v>424</v>
      </c>
      <c r="C53" s="388">
        <f>MAX(SUMIF($B$21:$B$28,"*HPWH*",$F$21:$F$28),75)</f>
        <v>75</v>
      </c>
      <c r="D53" s="614"/>
      <c r="G53" s="353"/>
    </row>
    <row r="54" spans="1:19" x14ac:dyDescent="0.25">
      <c r="A54" s="387" t="s">
        <v>439</v>
      </c>
      <c r="B54" s="387" t="s">
        <v>424</v>
      </c>
      <c r="C54" s="388">
        <f>MAX(SUMIF($B$29:$B$39,"*HPWH*",$F$29:$F$39),75)</f>
        <v>75</v>
      </c>
      <c r="D54" s="614"/>
      <c r="G54" s="353"/>
    </row>
    <row r="55" spans="1:19" x14ac:dyDescent="0.25">
      <c r="A55" s="387" t="s">
        <v>440</v>
      </c>
      <c r="B55" s="387" t="s">
        <v>424</v>
      </c>
      <c r="C55" s="388">
        <f>MAX(SUMIF($B$40:$B$45,"*HPWH*",$F$40:$F$45),75)</f>
        <v>75</v>
      </c>
      <c r="D55" s="614"/>
      <c r="G55" s="353"/>
    </row>
    <row r="56" spans="1:19" ht="14.4" x14ac:dyDescent="0.3">
      <c r="A56" s="353"/>
      <c r="B56" s="354"/>
      <c r="C56" s="71"/>
      <c r="D56" s="71"/>
      <c r="E56" s="71"/>
      <c r="F56" s="71"/>
      <c r="G56" s="71"/>
      <c r="H56"/>
    </row>
    <row r="57" spans="1:19" s="252" customFormat="1" ht="14.4" x14ac:dyDescent="0.25">
      <c r="A57" s="348" t="s">
        <v>441</v>
      </c>
      <c r="B57" s="351">
        <v>135</v>
      </c>
      <c r="C57" s="352" t="s">
        <v>442</v>
      </c>
      <c r="D57" s="251"/>
      <c r="E57" s="251"/>
    </row>
    <row r="58" spans="1:19" s="252" customFormat="1" ht="14.4" x14ac:dyDescent="0.25">
      <c r="A58" s="251" t="s">
        <v>443</v>
      </c>
      <c r="B58" s="482">
        <v>0.6</v>
      </c>
      <c r="C58" s="352" t="s">
        <v>444</v>
      </c>
      <c r="D58" s="253"/>
      <c r="E58" s="253"/>
    </row>
    <row r="59" spans="1:19" s="252" customFormat="1" x14ac:dyDescent="0.25">
      <c r="A59" s="483" t="s">
        <v>445</v>
      </c>
      <c r="B59" s="484">
        <v>8.2876999999999992</v>
      </c>
      <c r="C59" s="352" t="s">
        <v>444</v>
      </c>
      <c r="D59" s="352"/>
      <c r="E59" s="352"/>
    </row>
    <row r="60" spans="1:19" s="252" customFormat="1" ht="14.4" x14ac:dyDescent="0.3">
      <c r="A60" s="252" t="s">
        <v>446</v>
      </c>
      <c r="B60" s="254">
        <v>0.4</v>
      </c>
      <c r="C60" s="255" t="s">
        <v>447</v>
      </c>
      <c r="D60" s="255"/>
      <c r="F60" s="255"/>
      <c r="G60" s="255"/>
    </row>
    <row r="61" spans="1:19" s="252" customFormat="1" ht="26.4" x14ac:dyDescent="0.25">
      <c r="A61" s="348" t="s">
        <v>448</v>
      </c>
      <c r="B61" s="349" t="s">
        <v>449</v>
      </c>
      <c r="C61" s="350" t="s">
        <v>450</v>
      </c>
      <c r="D61" s="251"/>
      <c r="E61" s="251"/>
    </row>
    <row r="62" spans="1:19" s="252" customFormat="1" ht="14.4" x14ac:dyDescent="0.25">
      <c r="A62" s="348" t="s">
        <v>451</v>
      </c>
      <c r="B62" s="351">
        <v>4.3</v>
      </c>
      <c r="C62" s="352" t="s">
        <v>452</v>
      </c>
      <c r="D62" s="251"/>
      <c r="E62" s="251"/>
    </row>
    <row r="63" spans="1:19" s="252" customFormat="1" ht="14.4" x14ac:dyDescent="0.25">
      <c r="A63" s="348" t="s">
        <v>453</v>
      </c>
      <c r="B63" s="351">
        <v>3</v>
      </c>
      <c r="C63" s="352" t="s">
        <v>454</v>
      </c>
      <c r="D63" s="251"/>
      <c r="E63" s="251"/>
    </row>
    <row r="64" spans="1:19" s="252" customFormat="1" ht="14.4" x14ac:dyDescent="0.25">
      <c r="A64" s="348" t="s">
        <v>455</v>
      </c>
      <c r="B64" s="351">
        <f>B62</f>
        <v>4.3</v>
      </c>
      <c r="C64" s="352" t="s">
        <v>456</v>
      </c>
      <c r="D64" s="251"/>
      <c r="E64" s="251"/>
    </row>
    <row r="65" spans="1:12" s="252" customFormat="1" ht="14.4" x14ac:dyDescent="0.25">
      <c r="A65" s="348"/>
      <c r="B65" s="351"/>
      <c r="C65" s="352"/>
      <c r="D65" s="251"/>
      <c r="E65" s="251"/>
    </row>
    <row r="66" spans="1:12" x14ac:dyDescent="0.25">
      <c r="A66" s="248"/>
      <c r="B66" s="248"/>
      <c r="C66" s="249"/>
      <c r="D66" s="249"/>
      <c r="E66" s="249"/>
      <c r="F66" s="249"/>
      <c r="G66" s="250"/>
      <c r="H66" s="67"/>
      <c r="I66" s="67"/>
    </row>
    <row r="67" spans="1:12" s="326" customFormat="1" ht="21" customHeight="1" x14ac:dyDescent="0.25">
      <c r="A67" s="605" t="s">
        <v>457</v>
      </c>
      <c r="B67" s="606"/>
      <c r="C67" s="606"/>
      <c r="D67" s="606"/>
      <c r="E67" s="606"/>
      <c r="F67" s="606"/>
      <c r="G67" s="606"/>
      <c r="H67" s="606"/>
      <c r="I67" s="606"/>
      <c r="J67" s="606"/>
      <c r="K67" s="606"/>
      <c r="L67" s="606"/>
    </row>
    <row r="68" spans="1:12" s="326" customFormat="1" ht="52.95" customHeight="1" x14ac:dyDescent="0.3">
      <c r="A68" s="485" t="s">
        <v>458</v>
      </c>
      <c r="B68" s="481" t="s">
        <v>459</v>
      </c>
      <c r="C68" s="481" t="s">
        <v>460</v>
      </c>
      <c r="D68" s="481" t="s">
        <v>461</v>
      </c>
      <c r="E68" s="481" t="s">
        <v>462</v>
      </c>
      <c r="F68" s="481" t="s">
        <v>463</v>
      </c>
      <c r="G68" s="481" t="s">
        <v>464</v>
      </c>
      <c r="H68" s="598" t="s">
        <v>465</v>
      </c>
      <c r="I68" s="599"/>
      <c r="J68" s="600" t="s">
        <v>466</v>
      </c>
      <c r="K68" s="601"/>
      <c r="L68" s="486" t="s">
        <v>467</v>
      </c>
    </row>
    <row r="69" spans="1:12" s="252" customFormat="1" x14ac:dyDescent="0.25">
      <c r="A69" s="416" t="s">
        <v>468</v>
      </c>
      <c r="B69" s="407" t="s">
        <v>469</v>
      </c>
      <c r="C69" s="337">
        <v>47.9</v>
      </c>
      <c r="D69" s="338">
        <f t="shared" ref="D69:D84" si="2">$C$52*($B$57-C69)*$B$59</f>
        <v>54139.400249999992</v>
      </c>
      <c r="E69" s="338">
        <f>D69*$B$58</f>
        <v>32483.640149999992</v>
      </c>
      <c r="F69" s="338">
        <f t="shared" ref="F69:F100" si="3">_xlfn.LET(_xlpm.x,_xlfn.XLOOKUP(E69,$C$137:$C$141,$C$137:$C$141,"",1),IF(_xlpm.x="",E69/$B$64,_xlpm.x/$B$64))</f>
        <v>7554.3349186046498</v>
      </c>
      <c r="G69" s="338">
        <f t="shared" ref="G69:G84" si="4">_xlfn.LET(_xlpm.v,MAX(30,$C$52*$B$60),_xlpm.x,_xlfn.XLOOKUP(_xlpm.v,$A$137:$A$141,$A$137:$A$141,"",1),IF(_xlpm.x="",ROUNDUP(_xlpm.v,0),_xlpm.x))</f>
        <v>40</v>
      </c>
      <c r="H69" s="339">
        <f t="shared" ref="H69:H84" si="5">IF(AND(ISNUMBER(J69),G69&gt;0),J69/(0.0834*G69),NA())</f>
        <v>1.3099520383693044</v>
      </c>
      <c r="I69" s="338" t="s">
        <v>470</v>
      </c>
      <c r="J69" s="340">
        <v>4.37</v>
      </c>
      <c r="K69" s="341" t="s">
        <v>471</v>
      </c>
      <c r="L69" s="602" t="s">
        <v>472</v>
      </c>
    </row>
    <row r="70" spans="1:12" s="252" customFormat="1" x14ac:dyDescent="0.25">
      <c r="A70" s="406" t="s">
        <v>468</v>
      </c>
      <c r="B70" s="408" t="s">
        <v>473</v>
      </c>
      <c r="C70" s="297">
        <v>50.8</v>
      </c>
      <c r="D70" s="298">
        <f t="shared" si="2"/>
        <v>52336.825499999992</v>
      </c>
      <c r="E70" s="298">
        <f t="shared" ref="E70:E84" si="6">D70*$B$58</f>
        <v>31402.095299999994</v>
      </c>
      <c r="F70" s="298">
        <f t="shared" si="3"/>
        <v>7302.8128604651147</v>
      </c>
      <c r="G70" s="298">
        <f t="shared" si="4"/>
        <v>40</v>
      </c>
      <c r="H70" s="299">
        <f t="shared" si="5"/>
        <v>1.3099520383693044</v>
      </c>
      <c r="I70" s="298" t="s">
        <v>470</v>
      </c>
      <c r="J70" s="300">
        <v>4.37</v>
      </c>
      <c r="K70" s="301" t="s">
        <v>471</v>
      </c>
      <c r="L70" s="603"/>
    </row>
    <row r="71" spans="1:12" s="252" customFormat="1" x14ac:dyDescent="0.25">
      <c r="A71" s="406" t="s">
        <v>468</v>
      </c>
      <c r="B71" s="408" t="s">
        <v>474</v>
      </c>
      <c r="C71" s="297">
        <v>52.2</v>
      </c>
      <c r="D71" s="298">
        <f t="shared" si="2"/>
        <v>51466.616999999998</v>
      </c>
      <c r="E71" s="298">
        <f t="shared" si="6"/>
        <v>30879.970199999996</v>
      </c>
      <c r="F71" s="298">
        <f t="shared" si="3"/>
        <v>7181.3884186046507</v>
      </c>
      <c r="G71" s="298">
        <f t="shared" si="4"/>
        <v>40</v>
      </c>
      <c r="H71" s="299">
        <f t="shared" si="5"/>
        <v>1.3099520383693044</v>
      </c>
      <c r="I71" s="298" t="s">
        <v>470</v>
      </c>
      <c r="J71" s="300">
        <v>4.37</v>
      </c>
      <c r="K71" s="301" t="s">
        <v>471</v>
      </c>
      <c r="L71" s="603"/>
    </row>
    <row r="72" spans="1:12" s="252" customFormat="1" x14ac:dyDescent="0.25">
      <c r="A72" s="406" t="s">
        <v>468</v>
      </c>
      <c r="B72" s="408" t="s">
        <v>475</v>
      </c>
      <c r="C72" s="297">
        <v>52.7</v>
      </c>
      <c r="D72" s="298">
        <f t="shared" si="2"/>
        <v>51155.828249999991</v>
      </c>
      <c r="E72" s="298">
        <f t="shared" si="6"/>
        <v>30693.496949999993</v>
      </c>
      <c r="F72" s="298">
        <f t="shared" si="3"/>
        <v>7138.0225465116264</v>
      </c>
      <c r="G72" s="298">
        <f t="shared" si="4"/>
        <v>40</v>
      </c>
      <c r="H72" s="299">
        <f t="shared" si="5"/>
        <v>1.3099520383693044</v>
      </c>
      <c r="I72" s="298" t="s">
        <v>470</v>
      </c>
      <c r="J72" s="300">
        <v>4.37</v>
      </c>
      <c r="K72" s="301" t="s">
        <v>471</v>
      </c>
      <c r="L72" s="603"/>
    </row>
    <row r="73" spans="1:12" s="252" customFormat="1" x14ac:dyDescent="0.25">
      <c r="A73" s="406" t="s">
        <v>468</v>
      </c>
      <c r="B73" s="408" t="s">
        <v>476</v>
      </c>
      <c r="C73" s="297">
        <v>51.6</v>
      </c>
      <c r="D73" s="298">
        <f t="shared" si="2"/>
        <v>51839.563499999997</v>
      </c>
      <c r="E73" s="298">
        <f t="shared" si="6"/>
        <v>31103.738099999995</v>
      </c>
      <c r="F73" s="298">
        <f t="shared" si="3"/>
        <v>7233.4274651162787</v>
      </c>
      <c r="G73" s="298">
        <f t="shared" si="4"/>
        <v>40</v>
      </c>
      <c r="H73" s="299">
        <f t="shared" si="5"/>
        <v>1.3099520383693044</v>
      </c>
      <c r="I73" s="298" t="s">
        <v>470</v>
      </c>
      <c r="J73" s="300">
        <v>4.37</v>
      </c>
      <c r="K73" s="301" t="s">
        <v>471</v>
      </c>
      <c r="L73" s="603"/>
    </row>
    <row r="74" spans="1:12" s="252" customFormat="1" x14ac:dyDescent="0.25">
      <c r="A74" s="406" t="s">
        <v>468</v>
      </c>
      <c r="B74" s="408" t="s">
        <v>477</v>
      </c>
      <c r="C74" s="297">
        <v>56.8</v>
      </c>
      <c r="D74" s="298">
        <f t="shared" si="2"/>
        <v>48607.360499999995</v>
      </c>
      <c r="E74" s="298">
        <f t="shared" si="6"/>
        <v>29164.416299999997</v>
      </c>
      <c r="F74" s="298">
        <f t="shared" si="3"/>
        <v>6782.4223953488372</v>
      </c>
      <c r="G74" s="298">
        <f t="shared" si="4"/>
        <v>40</v>
      </c>
      <c r="H74" s="299">
        <f t="shared" si="5"/>
        <v>1.3099520383693044</v>
      </c>
      <c r="I74" s="298" t="s">
        <v>470</v>
      </c>
      <c r="J74" s="300">
        <v>4.37</v>
      </c>
      <c r="K74" s="301" t="s">
        <v>471</v>
      </c>
      <c r="L74" s="603"/>
    </row>
    <row r="75" spans="1:12" s="252" customFormat="1" x14ac:dyDescent="0.25">
      <c r="A75" s="406" t="s">
        <v>468</v>
      </c>
      <c r="B75" s="408" t="s">
        <v>478</v>
      </c>
      <c r="C75" s="297">
        <v>58.4</v>
      </c>
      <c r="D75" s="298">
        <f t="shared" si="2"/>
        <v>47612.836499999998</v>
      </c>
      <c r="E75" s="298">
        <f t="shared" si="6"/>
        <v>28567.701899999996</v>
      </c>
      <c r="F75" s="298">
        <f t="shared" si="3"/>
        <v>6643.6516046511624</v>
      </c>
      <c r="G75" s="298">
        <f t="shared" si="4"/>
        <v>40</v>
      </c>
      <c r="H75" s="299">
        <f t="shared" si="5"/>
        <v>1.3099520383693044</v>
      </c>
      <c r="I75" s="298" t="s">
        <v>470</v>
      </c>
      <c r="J75" s="300">
        <v>4.37</v>
      </c>
      <c r="K75" s="301" t="s">
        <v>471</v>
      </c>
      <c r="L75" s="603"/>
    </row>
    <row r="76" spans="1:12" s="252" customFormat="1" x14ac:dyDescent="0.25">
      <c r="A76" s="406" t="s">
        <v>468</v>
      </c>
      <c r="B76" s="408" t="s">
        <v>479</v>
      </c>
      <c r="C76" s="297">
        <v>58.4</v>
      </c>
      <c r="D76" s="298">
        <f t="shared" si="2"/>
        <v>47612.836499999998</v>
      </c>
      <c r="E76" s="298">
        <f t="shared" si="6"/>
        <v>28567.701899999996</v>
      </c>
      <c r="F76" s="298">
        <f t="shared" si="3"/>
        <v>6643.6516046511624</v>
      </c>
      <c r="G76" s="298">
        <f t="shared" si="4"/>
        <v>40</v>
      </c>
      <c r="H76" s="299">
        <f t="shared" si="5"/>
        <v>1.3099520383693044</v>
      </c>
      <c r="I76" s="298" t="s">
        <v>470</v>
      </c>
      <c r="J76" s="300">
        <v>4.37</v>
      </c>
      <c r="K76" s="301" t="s">
        <v>471</v>
      </c>
      <c r="L76" s="603"/>
    </row>
    <row r="77" spans="1:12" s="252" customFormat="1" x14ac:dyDescent="0.25">
      <c r="A77" s="406" t="s">
        <v>468</v>
      </c>
      <c r="B77" s="408" t="s">
        <v>480</v>
      </c>
      <c r="C77" s="297">
        <v>57.6</v>
      </c>
      <c r="D77" s="298">
        <f t="shared" si="2"/>
        <v>48110.098499999993</v>
      </c>
      <c r="E77" s="298">
        <f t="shared" si="6"/>
        <v>28866.059099999995</v>
      </c>
      <c r="F77" s="298">
        <f t="shared" si="3"/>
        <v>6713.0369999999994</v>
      </c>
      <c r="G77" s="298">
        <f t="shared" si="4"/>
        <v>40</v>
      </c>
      <c r="H77" s="299">
        <f t="shared" si="5"/>
        <v>1.3099520383693044</v>
      </c>
      <c r="I77" s="298" t="s">
        <v>470</v>
      </c>
      <c r="J77" s="300">
        <v>4.37</v>
      </c>
      <c r="K77" s="301" t="s">
        <v>471</v>
      </c>
      <c r="L77" s="603"/>
    </row>
    <row r="78" spans="1:12" s="252" customFormat="1" x14ac:dyDescent="0.25">
      <c r="A78" s="406" t="s">
        <v>468</v>
      </c>
      <c r="B78" s="408" t="s">
        <v>252</v>
      </c>
      <c r="C78" s="297">
        <v>57.1</v>
      </c>
      <c r="D78" s="298">
        <f t="shared" si="2"/>
        <v>48420.887249999992</v>
      </c>
      <c r="E78" s="298">
        <f t="shared" si="6"/>
        <v>29052.532349999994</v>
      </c>
      <c r="F78" s="298">
        <f t="shared" si="3"/>
        <v>6756.4028720930219</v>
      </c>
      <c r="G78" s="298">
        <f t="shared" si="4"/>
        <v>40</v>
      </c>
      <c r="H78" s="299">
        <f t="shared" si="5"/>
        <v>1.3099520383693044</v>
      </c>
      <c r="I78" s="298" t="s">
        <v>470</v>
      </c>
      <c r="J78" s="300">
        <v>4.37</v>
      </c>
      <c r="K78" s="301" t="s">
        <v>471</v>
      </c>
      <c r="L78" s="603"/>
    </row>
    <row r="79" spans="1:12" s="252" customFormat="1" x14ac:dyDescent="0.25">
      <c r="A79" s="406" t="s">
        <v>468</v>
      </c>
      <c r="B79" s="408" t="s">
        <v>253</v>
      </c>
      <c r="C79" s="297">
        <v>50.5</v>
      </c>
      <c r="D79" s="298">
        <f t="shared" si="2"/>
        <v>52523.298749999994</v>
      </c>
      <c r="E79" s="298">
        <f t="shared" si="6"/>
        <v>31513.979249999997</v>
      </c>
      <c r="F79" s="298">
        <f t="shared" si="3"/>
        <v>7328.83238372093</v>
      </c>
      <c r="G79" s="298">
        <f t="shared" si="4"/>
        <v>40</v>
      </c>
      <c r="H79" s="299">
        <f t="shared" si="5"/>
        <v>1.3099520383693044</v>
      </c>
      <c r="I79" s="298" t="s">
        <v>470</v>
      </c>
      <c r="J79" s="300">
        <v>4.37</v>
      </c>
      <c r="K79" s="301" t="s">
        <v>471</v>
      </c>
      <c r="L79" s="603"/>
    </row>
    <row r="80" spans="1:12" s="252" customFormat="1" x14ac:dyDescent="0.25">
      <c r="A80" s="406" t="s">
        <v>468</v>
      </c>
      <c r="B80" s="408" t="s">
        <v>254</v>
      </c>
      <c r="C80" s="297">
        <v>51.4</v>
      </c>
      <c r="D80" s="298">
        <f t="shared" si="2"/>
        <v>51963.878999999994</v>
      </c>
      <c r="E80" s="298">
        <f t="shared" si="6"/>
        <v>31178.327399999995</v>
      </c>
      <c r="F80" s="298">
        <f t="shared" si="3"/>
        <v>7250.7738139534877</v>
      </c>
      <c r="G80" s="298">
        <f t="shared" si="4"/>
        <v>40</v>
      </c>
      <c r="H80" s="299">
        <f t="shared" si="5"/>
        <v>1.3099520383693044</v>
      </c>
      <c r="I80" s="298" t="s">
        <v>470</v>
      </c>
      <c r="J80" s="300">
        <v>4.37</v>
      </c>
      <c r="K80" s="301" t="s">
        <v>471</v>
      </c>
      <c r="L80" s="603"/>
    </row>
    <row r="81" spans="1:12" s="252" customFormat="1" x14ac:dyDescent="0.25">
      <c r="A81" s="406" t="s">
        <v>468</v>
      </c>
      <c r="B81" s="408" t="s">
        <v>255</v>
      </c>
      <c r="C81" s="297">
        <v>51.7</v>
      </c>
      <c r="D81" s="298">
        <f t="shared" si="2"/>
        <v>51777.405749999998</v>
      </c>
      <c r="E81" s="298">
        <f t="shared" si="6"/>
        <v>31066.443449999999</v>
      </c>
      <c r="F81" s="298">
        <f t="shared" si="3"/>
        <v>7224.7542906976742</v>
      </c>
      <c r="G81" s="298">
        <f t="shared" si="4"/>
        <v>40</v>
      </c>
      <c r="H81" s="299">
        <f t="shared" si="5"/>
        <v>1.3099520383693044</v>
      </c>
      <c r="I81" s="298" t="s">
        <v>470</v>
      </c>
      <c r="J81" s="300">
        <v>4.37</v>
      </c>
      <c r="K81" s="301" t="s">
        <v>471</v>
      </c>
      <c r="L81" s="603"/>
    </row>
    <row r="82" spans="1:12" s="252" customFormat="1" x14ac:dyDescent="0.25">
      <c r="A82" s="406" t="s">
        <v>468</v>
      </c>
      <c r="B82" s="408" t="s">
        <v>256</v>
      </c>
      <c r="C82" s="297">
        <v>50.1</v>
      </c>
      <c r="D82" s="298">
        <f t="shared" si="2"/>
        <v>52771.929749999996</v>
      </c>
      <c r="E82" s="298">
        <f t="shared" si="6"/>
        <v>31663.157849999996</v>
      </c>
      <c r="F82" s="298">
        <f t="shared" si="3"/>
        <v>7363.525081395348</v>
      </c>
      <c r="G82" s="298">
        <f t="shared" si="4"/>
        <v>40</v>
      </c>
      <c r="H82" s="299">
        <f t="shared" si="5"/>
        <v>1.3099520383693044</v>
      </c>
      <c r="I82" s="298" t="s">
        <v>470</v>
      </c>
      <c r="J82" s="300">
        <v>4.37</v>
      </c>
      <c r="K82" s="301" t="s">
        <v>471</v>
      </c>
      <c r="L82" s="603"/>
    </row>
    <row r="83" spans="1:12" s="252" customFormat="1" x14ac:dyDescent="0.25">
      <c r="A83" s="406" t="s">
        <v>468</v>
      </c>
      <c r="B83" s="408" t="s">
        <v>257</v>
      </c>
      <c r="C83" s="297">
        <v>63.2</v>
      </c>
      <c r="D83" s="298">
        <f t="shared" si="2"/>
        <v>44629.264499999997</v>
      </c>
      <c r="E83" s="298">
        <f t="shared" si="6"/>
        <v>26777.558699999998</v>
      </c>
      <c r="F83" s="298">
        <f t="shared" si="3"/>
        <v>6227.339232558139</v>
      </c>
      <c r="G83" s="298">
        <f t="shared" si="4"/>
        <v>40</v>
      </c>
      <c r="H83" s="299">
        <f t="shared" si="5"/>
        <v>1.3099520383693044</v>
      </c>
      <c r="I83" s="298" t="s">
        <v>470</v>
      </c>
      <c r="J83" s="300">
        <v>4.37</v>
      </c>
      <c r="K83" s="301" t="s">
        <v>471</v>
      </c>
      <c r="L83" s="603"/>
    </row>
    <row r="84" spans="1:12" s="252" customFormat="1" x14ac:dyDescent="0.25">
      <c r="A84" s="414" t="s">
        <v>468</v>
      </c>
      <c r="B84" s="409" t="s">
        <v>258</v>
      </c>
      <c r="C84" s="342">
        <v>41.4</v>
      </c>
      <c r="D84" s="343">
        <f t="shared" si="2"/>
        <v>58179.653999999995</v>
      </c>
      <c r="E84" s="343">
        <f t="shared" si="6"/>
        <v>34907.792399999998</v>
      </c>
      <c r="F84" s="343">
        <f t="shared" si="3"/>
        <v>8118.0912558139535</v>
      </c>
      <c r="G84" s="343">
        <f t="shared" si="4"/>
        <v>40</v>
      </c>
      <c r="H84" s="344">
        <f t="shared" si="5"/>
        <v>1.3099520383693044</v>
      </c>
      <c r="I84" s="343" t="s">
        <v>470</v>
      </c>
      <c r="J84" s="345">
        <v>4.37</v>
      </c>
      <c r="K84" s="346" t="s">
        <v>471</v>
      </c>
      <c r="L84" s="604"/>
    </row>
    <row r="85" spans="1:12" s="252" customFormat="1" x14ac:dyDescent="0.25">
      <c r="A85" s="416" t="s">
        <v>481</v>
      </c>
      <c r="B85" s="407" t="s">
        <v>469</v>
      </c>
      <c r="C85" s="337">
        <v>47.9</v>
      </c>
      <c r="D85" s="338">
        <f t="shared" ref="D85:D100" si="7">$C$53*($B$57-C85)*$B$59</f>
        <v>54139.400249999992</v>
      </c>
      <c r="E85" s="338">
        <f t="shared" ref="E85:E100" si="8">D85*$B$58</f>
        <v>32483.640149999992</v>
      </c>
      <c r="F85" s="338">
        <f t="shared" si="3"/>
        <v>7554.3349186046498</v>
      </c>
      <c r="G85" s="338">
        <f t="shared" ref="G85:G100" si="9">_xlfn.LET(_xlpm.v,MAX(30,$C$53*$B$60),_xlpm.x,_xlfn.XLOOKUP(_xlpm.v,$A$137:$A$141,$A$137:$A$141,"",1),IF(_xlpm.x="",ROUNDUP(_xlpm.v,0),_xlpm.x))</f>
        <v>40</v>
      </c>
      <c r="H85" s="339">
        <f t="shared" ref="H85:H100" si="10">IF(AND(ISNUMBER(J85),G85&gt;0),J85/(0.0834*G85),NA())</f>
        <v>1.3099520383693044</v>
      </c>
      <c r="I85" s="338" t="s">
        <v>470</v>
      </c>
      <c r="J85" s="340">
        <v>4.37</v>
      </c>
      <c r="K85" s="341" t="s">
        <v>471</v>
      </c>
      <c r="L85" s="607" t="s">
        <v>482</v>
      </c>
    </row>
    <row r="86" spans="1:12" s="252" customFormat="1" x14ac:dyDescent="0.25">
      <c r="A86" s="406" t="s">
        <v>481</v>
      </c>
      <c r="B86" s="408" t="s">
        <v>473</v>
      </c>
      <c r="C86" s="297">
        <v>50.8</v>
      </c>
      <c r="D86" s="298">
        <f t="shared" si="7"/>
        <v>52336.825499999992</v>
      </c>
      <c r="E86" s="298">
        <f t="shared" si="8"/>
        <v>31402.095299999994</v>
      </c>
      <c r="F86" s="298">
        <f t="shared" si="3"/>
        <v>7302.8128604651147</v>
      </c>
      <c r="G86" s="298">
        <f t="shared" si="9"/>
        <v>40</v>
      </c>
      <c r="H86" s="299">
        <f t="shared" si="10"/>
        <v>1.3099520383693044</v>
      </c>
      <c r="I86" s="298" t="s">
        <v>470</v>
      </c>
      <c r="J86" s="300">
        <v>4.37</v>
      </c>
      <c r="K86" s="301" t="s">
        <v>471</v>
      </c>
      <c r="L86" s="608"/>
    </row>
    <row r="87" spans="1:12" s="252" customFormat="1" x14ac:dyDescent="0.25">
      <c r="A87" s="406" t="s">
        <v>481</v>
      </c>
      <c r="B87" s="408" t="s">
        <v>474</v>
      </c>
      <c r="C87" s="297">
        <v>52.2</v>
      </c>
      <c r="D87" s="298">
        <f t="shared" si="7"/>
        <v>51466.616999999998</v>
      </c>
      <c r="E87" s="298">
        <f t="shared" si="8"/>
        <v>30879.970199999996</v>
      </c>
      <c r="F87" s="298">
        <f t="shared" si="3"/>
        <v>7181.3884186046507</v>
      </c>
      <c r="G87" s="298">
        <f t="shared" si="9"/>
        <v>40</v>
      </c>
      <c r="H87" s="299">
        <f t="shared" si="10"/>
        <v>1.3099520383693044</v>
      </c>
      <c r="I87" s="298" t="s">
        <v>470</v>
      </c>
      <c r="J87" s="300">
        <v>4.37</v>
      </c>
      <c r="K87" s="301" t="s">
        <v>471</v>
      </c>
      <c r="L87" s="608"/>
    </row>
    <row r="88" spans="1:12" s="252" customFormat="1" x14ac:dyDescent="0.25">
      <c r="A88" s="406" t="s">
        <v>481</v>
      </c>
      <c r="B88" s="408" t="s">
        <v>475</v>
      </c>
      <c r="C88" s="297">
        <v>52.7</v>
      </c>
      <c r="D88" s="298">
        <f t="shared" si="7"/>
        <v>51155.828249999991</v>
      </c>
      <c r="E88" s="298">
        <f t="shared" si="8"/>
        <v>30693.496949999993</v>
      </c>
      <c r="F88" s="298">
        <f t="shared" si="3"/>
        <v>7138.0225465116264</v>
      </c>
      <c r="G88" s="298">
        <f t="shared" si="9"/>
        <v>40</v>
      </c>
      <c r="H88" s="299">
        <f t="shared" si="10"/>
        <v>1.3099520383693044</v>
      </c>
      <c r="I88" s="298" t="s">
        <v>470</v>
      </c>
      <c r="J88" s="300">
        <v>4.37</v>
      </c>
      <c r="K88" s="301" t="s">
        <v>471</v>
      </c>
      <c r="L88" s="608"/>
    </row>
    <row r="89" spans="1:12" s="252" customFormat="1" x14ac:dyDescent="0.25">
      <c r="A89" s="406" t="s">
        <v>481</v>
      </c>
      <c r="B89" s="408" t="s">
        <v>476</v>
      </c>
      <c r="C89" s="297">
        <v>51.6</v>
      </c>
      <c r="D89" s="298">
        <f t="shared" si="7"/>
        <v>51839.563499999997</v>
      </c>
      <c r="E89" s="298">
        <f t="shared" si="8"/>
        <v>31103.738099999995</v>
      </c>
      <c r="F89" s="298">
        <f t="shared" si="3"/>
        <v>7233.4274651162787</v>
      </c>
      <c r="G89" s="298">
        <f t="shared" si="9"/>
        <v>40</v>
      </c>
      <c r="H89" s="299">
        <f t="shared" si="10"/>
        <v>1.3099520383693044</v>
      </c>
      <c r="I89" s="298" t="s">
        <v>470</v>
      </c>
      <c r="J89" s="300">
        <v>4.37</v>
      </c>
      <c r="K89" s="301" t="s">
        <v>471</v>
      </c>
      <c r="L89" s="608"/>
    </row>
    <row r="90" spans="1:12" s="252" customFormat="1" x14ac:dyDescent="0.25">
      <c r="A90" s="406" t="s">
        <v>481</v>
      </c>
      <c r="B90" s="408" t="s">
        <v>477</v>
      </c>
      <c r="C90" s="297">
        <v>56.8</v>
      </c>
      <c r="D90" s="298">
        <f t="shared" si="7"/>
        <v>48607.360499999995</v>
      </c>
      <c r="E90" s="298">
        <f t="shared" si="8"/>
        <v>29164.416299999997</v>
      </c>
      <c r="F90" s="298">
        <f t="shared" si="3"/>
        <v>6782.4223953488372</v>
      </c>
      <c r="G90" s="298">
        <f t="shared" si="9"/>
        <v>40</v>
      </c>
      <c r="H90" s="299">
        <f t="shared" si="10"/>
        <v>1.3099520383693044</v>
      </c>
      <c r="I90" s="298" t="s">
        <v>470</v>
      </c>
      <c r="J90" s="300">
        <v>4.37</v>
      </c>
      <c r="K90" s="301" t="s">
        <v>471</v>
      </c>
      <c r="L90" s="608"/>
    </row>
    <row r="91" spans="1:12" s="252" customFormat="1" x14ac:dyDescent="0.25">
      <c r="A91" s="406" t="s">
        <v>481</v>
      </c>
      <c r="B91" s="408" t="s">
        <v>478</v>
      </c>
      <c r="C91" s="297">
        <v>58.4</v>
      </c>
      <c r="D91" s="298">
        <f t="shared" si="7"/>
        <v>47612.836499999998</v>
      </c>
      <c r="E91" s="298">
        <f t="shared" si="8"/>
        <v>28567.701899999996</v>
      </c>
      <c r="F91" s="298">
        <f t="shared" si="3"/>
        <v>6643.6516046511624</v>
      </c>
      <c r="G91" s="298">
        <f t="shared" si="9"/>
        <v>40</v>
      </c>
      <c r="H91" s="299">
        <f t="shared" si="10"/>
        <v>1.3099520383693044</v>
      </c>
      <c r="I91" s="298" t="s">
        <v>470</v>
      </c>
      <c r="J91" s="300">
        <v>4.37</v>
      </c>
      <c r="K91" s="301" t="s">
        <v>471</v>
      </c>
      <c r="L91" s="608"/>
    </row>
    <row r="92" spans="1:12" s="252" customFormat="1" x14ac:dyDescent="0.25">
      <c r="A92" s="406" t="s">
        <v>481</v>
      </c>
      <c r="B92" s="408" t="s">
        <v>479</v>
      </c>
      <c r="C92" s="297">
        <v>58.4</v>
      </c>
      <c r="D92" s="298">
        <f t="shared" si="7"/>
        <v>47612.836499999998</v>
      </c>
      <c r="E92" s="298">
        <f t="shared" si="8"/>
        <v>28567.701899999996</v>
      </c>
      <c r="F92" s="298">
        <f t="shared" si="3"/>
        <v>6643.6516046511624</v>
      </c>
      <c r="G92" s="298">
        <f t="shared" si="9"/>
        <v>40</v>
      </c>
      <c r="H92" s="299">
        <f t="shared" si="10"/>
        <v>1.3099520383693044</v>
      </c>
      <c r="I92" s="298" t="s">
        <v>470</v>
      </c>
      <c r="J92" s="300">
        <v>4.37</v>
      </c>
      <c r="K92" s="301" t="s">
        <v>471</v>
      </c>
      <c r="L92" s="608"/>
    </row>
    <row r="93" spans="1:12" s="252" customFormat="1" x14ac:dyDescent="0.25">
      <c r="A93" s="406" t="s">
        <v>481</v>
      </c>
      <c r="B93" s="408" t="s">
        <v>480</v>
      </c>
      <c r="C93" s="297">
        <v>57.6</v>
      </c>
      <c r="D93" s="298">
        <f t="shared" si="7"/>
        <v>48110.098499999993</v>
      </c>
      <c r="E93" s="298">
        <f t="shared" si="8"/>
        <v>28866.059099999995</v>
      </c>
      <c r="F93" s="298">
        <f t="shared" si="3"/>
        <v>6713.0369999999994</v>
      </c>
      <c r="G93" s="298">
        <f t="shared" si="9"/>
        <v>40</v>
      </c>
      <c r="H93" s="299">
        <f t="shared" si="10"/>
        <v>1.3099520383693044</v>
      </c>
      <c r="I93" s="298" t="s">
        <v>470</v>
      </c>
      <c r="J93" s="300">
        <v>4.37</v>
      </c>
      <c r="K93" s="301" t="s">
        <v>471</v>
      </c>
      <c r="L93" s="608"/>
    </row>
    <row r="94" spans="1:12" s="252" customFormat="1" x14ac:dyDescent="0.25">
      <c r="A94" s="406" t="s">
        <v>481</v>
      </c>
      <c r="B94" s="408" t="s">
        <v>252</v>
      </c>
      <c r="C94" s="297">
        <v>57.1</v>
      </c>
      <c r="D94" s="298">
        <f t="shared" si="7"/>
        <v>48420.887249999992</v>
      </c>
      <c r="E94" s="298">
        <f t="shared" si="8"/>
        <v>29052.532349999994</v>
      </c>
      <c r="F94" s="298">
        <f t="shared" si="3"/>
        <v>6756.4028720930219</v>
      </c>
      <c r="G94" s="298">
        <f t="shared" si="9"/>
        <v>40</v>
      </c>
      <c r="H94" s="299">
        <f t="shared" si="10"/>
        <v>1.3099520383693044</v>
      </c>
      <c r="I94" s="298" t="s">
        <v>470</v>
      </c>
      <c r="J94" s="300">
        <v>4.37</v>
      </c>
      <c r="K94" s="301" t="s">
        <v>471</v>
      </c>
      <c r="L94" s="608"/>
    </row>
    <row r="95" spans="1:12" s="252" customFormat="1" x14ac:dyDescent="0.25">
      <c r="A95" s="406" t="s">
        <v>481</v>
      </c>
      <c r="B95" s="408" t="s">
        <v>253</v>
      </c>
      <c r="C95" s="297">
        <v>50.5</v>
      </c>
      <c r="D95" s="298">
        <f t="shared" si="7"/>
        <v>52523.298749999994</v>
      </c>
      <c r="E95" s="298">
        <f t="shared" si="8"/>
        <v>31513.979249999997</v>
      </c>
      <c r="F95" s="298">
        <f t="shared" si="3"/>
        <v>7328.83238372093</v>
      </c>
      <c r="G95" s="298">
        <f t="shared" si="9"/>
        <v>40</v>
      </c>
      <c r="H95" s="299">
        <f t="shared" si="10"/>
        <v>1.3099520383693044</v>
      </c>
      <c r="I95" s="298" t="s">
        <v>470</v>
      </c>
      <c r="J95" s="300">
        <v>4.37</v>
      </c>
      <c r="K95" s="301" t="s">
        <v>471</v>
      </c>
      <c r="L95" s="608"/>
    </row>
    <row r="96" spans="1:12" s="252" customFormat="1" x14ac:dyDescent="0.25">
      <c r="A96" s="406" t="s">
        <v>481</v>
      </c>
      <c r="B96" s="408" t="s">
        <v>254</v>
      </c>
      <c r="C96" s="297">
        <v>51.4</v>
      </c>
      <c r="D96" s="298">
        <f t="shared" si="7"/>
        <v>51963.878999999994</v>
      </c>
      <c r="E96" s="298">
        <f t="shared" si="8"/>
        <v>31178.327399999995</v>
      </c>
      <c r="F96" s="298">
        <f t="shared" si="3"/>
        <v>7250.7738139534877</v>
      </c>
      <c r="G96" s="298">
        <f t="shared" si="9"/>
        <v>40</v>
      </c>
      <c r="H96" s="299">
        <f t="shared" si="10"/>
        <v>1.3099520383693044</v>
      </c>
      <c r="I96" s="298" t="s">
        <v>470</v>
      </c>
      <c r="J96" s="300">
        <v>4.37</v>
      </c>
      <c r="K96" s="301" t="s">
        <v>471</v>
      </c>
      <c r="L96" s="608"/>
    </row>
    <row r="97" spans="1:12" s="252" customFormat="1" x14ac:dyDescent="0.25">
      <c r="A97" s="406" t="s">
        <v>481</v>
      </c>
      <c r="B97" s="408" t="s">
        <v>255</v>
      </c>
      <c r="C97" s="297">
        <v>51.7</v>
      </c>
      <c r="D97" s="298">
        <f t="shared" si="7"/>
        <v>51777.405749999998</v>
      </c>
      <c r="E97" s="298">
        <f t="shared" si="8"/>
        <v>31066.443449999999</v>
      </c>
      <c r="F97" s="298">
        <f t="shared" si="3"/>
        <v>7224.7542906976742</v>
      </c>
      <c r="G97" s="298">
        <f t="shared" si="9"/>
        <v>40</v>
      </c>
      <c r="H97" s="299">
        <f t="shared" si="10"/>
        <v>1.3099520383693044</v>
      </c>
      <c r="I97" s="298" t="s">
        <v>470</v>
      </c>
      <c r="J97" s="300">
        <v>4.37</v>
      </c>
      <c r="K97" s="301" t="s">
        <v>471</v>
      </c>
      <c r="L97" s="608"/>
    </row>
    <row r="98" spans="1:12" s="252" customFormat="1" x14ac:dyDescent="0.25">
      <c r="A98" s="406" t="s">
        <v>481</v>
      </c>
      <c r="B98" s="408" t="s">
        <v>256</v>
      </c>
      <c r="C98" s="297">
        <v>50.1</v>
      </c>
      <c r="D98" s="298">
        <f t="shared" si="7"/>
        <v>52771.929749999996</v>
      </c>
      <c r="E98" s="298">
        <f t="shared" si="8"/>
        <v>31663.157849999996</v>
      </c>
      <c r="F98" s="298">
        <f t="shared" si="3"/>
        <v>7363.525081395348</v>
      </c>
      <c r="G98" s="298">
        <f t="shared" si="9"/>
        <v>40</v>
      </c>
      <c r="H98" s="299">
        <f t="shared" si="10"/>
        <v>1.3099520383693044</v>
      </c>
      <c r="I98" s="298" t="s">
        <v>470</v>
      </c>
      <c r="J98" s="300">
        <v>4.37</v>
      </c>
      <c r="K98" s="301" t="s">
        <v>471</v>
      </c>
      <c r="L98" s="608"/>
    </row>
    <row r="99" spans="1:12" s="252" customFormat="1" x14ac:dyDescent="0.25">
      <c r="A99" s="406" t="s">
        <v>481</v>
      </c>
      <c r="B99" s="408" t="s">
        <v>257</v>
      </c>
      <c r="C99" s="297">
        <v>63.2</v>
      </c>
      <c r="D99" s="298">
        <f t="shared" si="7"/>
        <v>44629.264499999997</v>
      </c>
      <c r="E99" s="298">
        <f t="shared" si="8"/>
        <v>26777.558699999998</v>
      </c>
      <c r="F99" s="298">
        <f t="shared" si="3"/>
        <v>6227.339232558139</v>
      </c>
      <c r="G99" s="298">
        <f t="shared" si="9"/>
        <v>40</v>
      </c>
      <c r="H99" s="299">
        <f t="shared" si="10"/>
        <v>1.3099520383693044</v>
      </c>
      <c r="I99" s="298" t="s">
        <v>470</v>
      </c>
      <c r="J99" s="300">
        <v>4.37</v>
      </c>
      <c r="K99" s="301" t="s">
        <v>471</v>
      </c>
      <c r="L99" s="608"/>
    </row>
    <row r="100" spans="1:12" s="252" customFormat="1" x14ac:dyDescent="0.25">
      <c r="A100" s="414" t="s">
        <v>481</v>
      </c>
      <c r="B100" s="409" t="s">
        <v>258</v>
      </c>
      <c r="C100" s="342">
        <v>41.4</v>
      </c>
      <c r="D100" s="343">
        <f t="shared" si="7"/>
        <v>58179.653999999995</v>
      </c>
      <c r="E100" s="343">
        <f t="shared" si="8"/>
        <v>34907.792399999998</v>
      </c>
      <c r="F100" s="343">
        <f t="shared" si="3"/>
        <v>8118.0912558139535</v>
      </c>
      <c r="G100" s="343">
        <f t="shared" si="9"/>
        <v>40</v>
      </c>
      <c r="H100" s="344">
        <f t="shared" si="10"/>
        <v>1.3099520383693044</v>
      </c>
      <c r="I100" s="343" t="s">
        <v>470</v>
      </c>
      <c r="J100" s="345">
        <v>4.37</v>
      </c>
      <c r="K100" s="346" t="s">
        <v>471</v>
      </c>
      <c r="L100" s="609"/>
    </row>
    <row r="101" spans="1:12" s="252" customFormat="1" x14ac:dyDescent="0.25">
      <c r="A101" s="417" t="s">
        <v>483</v>
      </c>
      <c r="B101" s="407" t="s">
        <v>469</v>
      </c>
      <c r="C101" s="337">
        <v>47.9</v>
      </c>
      <c r="D101" s="338">
        <f t="shared" ref="D101:D116" si="11">$C$54*($B$57-C101)*$B$59</f>
        <v>54139.400249999992</v>
      </c>
      <c r="E101" s="338">
        <f t="shared" ref="E101:E116" si="12">D101*$B$58</f>
        <v>32483.640149999992</v>
      </c>
      <c r="F101" s="338">
        <f t="shared" ref="F101:F132" si="13">_xlfn.LET(_xlpm.x,_xlfn.XLOOKUP(E101,$C$137:$C$141,$C$137:$C$141,"",1),IF(_xlpm.x="",E101/$B$64,_xlpm.x/$B$64))</f>
        <v>7554.3349186046498</v>
      </c>
      <c r="G101" s="338">
        <f t="shared" ref="G101:G116" si="14">_xlfn.LET(_xlpm.v,MAX(30,$C$54*$B$60),_xlpm.x,_xlfn.XLOOKUP(_xlpm.v,$A$137:$A$141,$A$137:$A$141,"",1),IF(_xlpm.x="",ROUNDUP(_xlpm.v,0),_xlpm.x))</f>
        <v>40</v>
      </c>
      <c r="H101" s="339">
        <f t="shared" ref="H101:H116" si="15">IF(AND(ISNUMBER(J101),G101&gt;0),J101/(0.0834*G101),NA())</f>
        <v>1.3099520383693044</v>
      </c>
      <c r="I101" s="338" t="s">
        <v>470</v>
      </c>
      <c r="J101" s="340">
        <v>4.37</v>
      </c>
      <c r="K101" s="341" t="s">
        <v>471</v>
      </c>
      <c r="L101" s="602" t="s">
        <v>484</v>
      </c>
    </row>
    <row r="102" spans="1:12" s="252" customFormat="1" x14ac:dyDescent="0.25">
      <c r="A102" s="410" t="s">
        <v>483</v>
      </c>
      <c r="B102" s="408" t="s">
        <v>473</v>
      </c>
      <c r="C102" s="297">
        <v>50.8</v>
      </c>
      <c r="D102" s="298">
        <f t="shared" si="11"/>
        <v>52336.825499999992</v>
      </c>
      <c r="E102" s="298">
        <f t="shared" si="12"/>
        <v>31402.095299999994</v>
      </c>
      <c r="F102" s="298">
        <f t="shared" si="13"/>
        <v>7302.8128604651147</v>
      </c>
      <c r="G102" s="298">
        <f t="shared" si="14"/>
        <v>40</v>
      </c>
      <c r="H102" s="299">
        <f t="shared" si="15"/>
        <v>1.3099520383693044</v>
      </c>
      <c r="I102" s="298" t="s">
        <v>470</v>
      </c>
      <c r="J102" s="300">
        <v>4.37</v>
      </c>
      <c r="K102" s="301" t="s">
        <v>471</v>
      </c>
      <c r="L102" s="603"/>
    </row>
    <row r="103" spans="1:12" s="252" customFormat="1" x14ac:dyDescent="0.25">
      <c r="A103" s="410" t="s">
        <v>483</v>
      </c>
      <c r="B103" s="408" t="s">
        <v>474</v>
      </c>
      <c r="C103" s="297">
        <v>52.2</v>
      </c>
      <c r="D103" s="298">
        <f t="shared" si="11"/>
        <v>51466.616999999998</v>
      </c>
      <c r="E103" s="298">
        <f t="shared" si="12"/>
        <v>30879.970199999996</v>
      </c>
      <c r="F103" s="298">
        <f t="shared" si="13"/>
        <v>7181.3884186046507</v>
      </c>
      <c r="G103" s="298">
        <f t="shared" si="14"/>
        <v>40</v>
      </c>
      <c r="H103" s="299">
        <f t="shared" si="15"/>
        <v>1.3099520383693044</v>
      </c>
      <c r="I103" s="298" t="s">
        <v>470</v>
      </c>
      <c r="J103" s="300">
        <v>4.37</v>
      </c>
      <c r="K103" s="301" t="s">
        <v>471</v>
      </c>
      <c r="L103" s="603"/>
    </row>
    <row r="104" spans="1:12" s="252" customFormat="1" x14ac:dyDescent="0.25">
      <c r="A104" s="410" t="s">
        <v>483</v>
      </c>
      <c r="B104" s="408" t="s">
        <v>475</v>
      </c>
      <c r="C104" s="297">
        <v>52.7</v>
      </c>
      <c r="D104" s="298">
        <f t="shared" si="11"/>
        <v>51155.828249999991</v>
      </c>
      <c r="E104" s="298">
        <f t="shared" si="12"/>
        <v>30693.496949999993</v>
      </c>
      <c r="F104" s="298">
        <f t="shared" si="13"/>
        <v>7138.0225465116264</v>
      </c>
      <c r="G104" s="298">
        <f t="shared" si="14"/>
        <v>40</v>
      </c>
      <c r="H104" s="299">
        <f t="shared" si="15"/>
        <v>1.3099520383693044</v>
      </c>
      <c r="I104" s="298" t="s">
        <v>470</v>
      </c>
      <c r="J104" s="300">
        <v>4.37</v>
      </c>
      <c r="K104" s="301" t="s">
        <v>471</v>
      </c>
      <c r="L104" s="603"/>
    </row>
    <row r="105" spans="1:12" s="252" customFormat="1" x14ac:dyDescent="0.25">
      <c r="A105" s="410" t="s">
        <v>483</v>
      </c>
      <c r="B105" s="408" t="s">
        <v>476</v>
      </c>
      <c r="C105" s="297">
        <v>51.6</v>
      </c>
      <c r="D105" s="298">
        <f t="shared" si="11"/>
        <v>51839.563499999997</v>
      </c>
      <c r="E105" s="298">
        <f t="shared" si="12"/>
        <v>31103.738099999995</v>
      </c>
      <c r="F105" s="298">
        <f t="shared" si="13"/>
        <v>7233.4274651162787</v>
      </c>
      <c r="G105" s="298">
        <f t="shared" si="14"/>
        <v>40</v>
      </c>
      <c r="H105" s="299">
        <f t="shared" si="15"/>
        <v>1.3099520383693044</v>
      </c>
      <c r="I105" s="298" t="s">
        <v>470</v>
      </c>
      <c r="J105" s="300">
        <v>4.37</v>
      </c>
      <c r="K105" s="301" t="s">
        <v>471</v>
      </c>
      <c r="L105" s="603"/>
    </row>
    <row r="106" spans="1:12" s="252" customFormat="1" x14ac:dyDescent="0.25">
      <c r="A106" s="410" t="s">
        <v>483</v>
      </c>
      <c r="B106" s="408" t="s">
        <v>477</v>
      </c>
      <c r="C106" s="297">
        <v>56.8</v>
      </c>
      <c r="D106" s="298">
        <f t="shared" si="11"/>
        <v>48607.360499999995</v>
      </c>
      <c r="E106" s="298">
        <f t="shared" si="12"/>
        <v>29164.416299999997</v>
      </c>
      <c r="F106" s="298">
        <f t="shared" si="13"/>
        <v>6782.4223953488372</v>
      </c>
      <c r="G106" s="298">
        <f t="shared" si="14"/>
        <v>40</v>
      </c>
      <c r="H106" s="299">
        <f t="shared" si="15"/>
        <v>1.3099520383693044</v>
      </c>
      <c r="I106" s="298" t="s">
        <v>470</v>
      </c>
      <c r="J106" s="300">
        <v>4.37</v>
      </c>
      <c r="K106" s="301" t="s">
        <v>471</v>
      </c>
      <c r="L106" s="603"/>
    </row>
    <row r="107" spans="1:12" s="252" customFormat="1" x14ac:dyDescent="0.25">
      <c r="A107" s="410" t="s">
        <v>483</v>
      </c>
      <c r="B107" s="408" t="s">
        <v>478</v>
      </c>
      <c r="C107" s="297">
        <v>58.4</v>
      </c>
      <c r="D107" s="298">
        <f t="shared" si="11"/>
        <v>47612.836499999998</v>
      </c>
      <c r="E107" s="298">
        <f t="shared" si="12"/>
        <v>28567.701899999996</v>
      </c>
      <c r="F107" s="298">
        <f t="shared" si="13"/>
        <v>6643.6516046511624</v>
      </c>
      <c r="G107" s="298">
        <f t="shared" si="14"/>
        <v>40</v>
      </c>
      <c r="H107" s="299">
        <f t="shared" si="15"/>
        <v>1.3099520383693044</v>
      </c>
      <c r="I107" s="298" t="s">
        <v>470</v>
      </c>
      <c r="J107" s="300">
        <v>4.37</v>
      </c>
      <c r="K107" s="301" t="s">
        <v>471</v>
      </c>
      <c r="L107" s="603"/>
    </row>
    <row r="108" spans="1:12" s="252" customFormat="1" x14ac:dyDescent="0.25">
      <c r="A108" s="410" t="s">
        <v>483</v>
      </c>
      <c r="B108" s="408" t="s">
        <v>479</v>
      </c>
      <c r="C108" s="297">
        <v>58.4</v>
      </c>
      <c r="D108" s="298">
        <f t="shared" si="11"/>
        <v>47612.836499999998</v>
      </c>
      <c r="E108" s="298">
        <f t="shared" si="12"/>
        <v>28567.701899999996</v>
      </c>
      <c r="F108" s="298">
        <f t="shared" si="13"/>
        <v>6643.6516046511624</v>
      </c>
      <c r="G108" s="298">
        <f t="shared" si="14"/>
        <v>40</v>
      </c>
      <c r="H108" s="299">
        <f t="shared" si="15"/>
        <v>1.3099520383693044</v>
      </c>
      <c r="I108" s="298" t="s">
        <v>470</v>
      </c>
      <c r="J108" s="300">
        <v>4.37</v>
      </c>
      <c r="K108" s="301" t="s">
        <v>471</v>
      </c>
      <c r="L108" s="603"/>
    </row>
    <row r="109" spans="1:12" s="252" customFormat="1" x14ac:dyDescent="0.25">
      <c r="A109" s="410" t="s">
        <v>483</v>
      </c>
      <c r="B109" s="408" t="s">
        <v>480</v>
      </c>
      <c r="C109" s="297">
        <v>57.6</v>
      </c>
      <c r="D109" s="298">
        <f t="shared" si="11"/>
        <v>48110.098499999993</v>
      </c>
      <c r="E109" s="298">
        <f t="shared" si="12"/>
        <v>28866.059099999995</v>
      </c>
      <c r="F109" s="298">
        <f t="shared" si="13"/>
        <v>6713.0369999999994</v>
      </c>
      <c r="G109" s="298">
        <f t="shared" si="14"/>
        <v>40</v>
      </c>
      <c r="H109" s="299">
        <f t="shared" si="15"/>
        <v>1.3099520383693044</v>
      </c>
      <c r="I109" s="298" t="s">
        <v>470</v>
      </c>
      <c r="J109" s="300">
        <v>4.37</v>
      </c>
      <c r="K109" s="301" t="s">
        <v>471</v>
      </c>
      <c r="L109" s="603"/>
    </row>
    <row r="110" spans="1:12" s="252" customFormat="1" x14ac:dyDescent="0.25">
      <c r="A110" s="410" t="s">
        <v>483</v>
      </c>
      <c r="B110" s="408" t="s">
        <v>252</v>
      </c>
      <c r="C110" s="297">
        <v>57.1</v>
      </c>
      <c r="D110" s="298">
        <f t="shared" si="11"/>
        <v>48420.887249999992</v>
      </c>
      <c r="E110" s="298">
        <f t="shared" si="12"/>
        <v>29052.532349999994</v>
      </c>
      <c r="F110" s="298">
        <f t="shared" si="13"/>
        <v>6756.4028720930219</v>
      </c>
      <c r="G110" s="298">
        <f t="shared" si="14"/>
        <v>40</v>
      </c>
      <c r="H110" s="299">
        <f t="shared" si="15"/>
        <v>1.3099520383693044</v>
      </c>
      <c r="I110" s="298" t="s">
        <v>470</v>
      </c>
      <c r="J110" s="300">
        <v>4.37</v>
      </c>
      <c r="K110" s="301" t="s">
        <v>471</v>
      </c>
      <c r="L110" s="603"/>
    </row>
    <row r="111" spans="1:12" s="252" customFormat="1" x14ac:dyDescent="0.25">
      <c r="A111" s="410" t="s">
        <v>483</v>
      </c>
      <c r="B111" s="408" t="s">
        <v>253</v>
      </c>
      <c r="C111" s="297">
        <v>50.5</v>
      </c>
      <c r="D111" s="298">
        <f t="shared" si="11"/>
        <v>52523.298749999994</v>
      </c>
      <c r="E111" s="298">
        <f t="shared" si="12"/>
        <v>31513.979249999997</v>
      </c>
      <c r="F111" s="298">
        <f t="shared" si="13"/>
        <v>7328.83238372093</v>
      </c>
      <c r="G111" s="298">
        <f t="shared" si="14"/>
        <v>40</v>
      </c>
      <c r="H111" s="299">
        <f t="shared" si="15"/>
        <v>1.3099520383693044</v>
      </c>
      <c r="I111" s="298" t="s">
        <v>470</v>
      </c>
      <c r="J111" s="300">
        <v>4.37</v>
      </c>
      <c r="K111" s="301" t="s">
        <v>471</v>
      </c>
      <c r="L111" s="603"/>
    </row>
    <row r="112" spans="1:12" s="252" customFormat="1" x14ac:dyDescent="0.25">
      <c r="A112" s="410" t="s">
        <v>483</v>
      </c>
      <c r="B112" s="408" t="s">
        <v>254</v>
      </c>
      <c r="C112" s="297">
        <v>51.4</v>
      </c>
      <c r="D112" s="298">
        <f t="shared" si="11"/>
        <v>51963.878999999994</v>
      </c>
      <c r="E112" s="298">
        <f t="shared" si="12"/>
        <v>31178.327399999995</v>
      </c>
      <c r="F112" s="298">
        <f t="shared" si="13"/>
        <v>7250.7738139534877</v>
      </c>
      <c r="G112" s="298">
        <f t="shared" si="14"/>
        <v>40</v>
      </c>
      <c r="H112" s="299">
        <f t="shared" si="15"/>
        <v>1.3099520383693044</v>
      </c>
      <c r="I112" s="298" t="s">
        <v>470</v>
      </c>
      <c r="J112" s="300">
        <v>4.37</v>
      </c>
      <c r="K112" s="301" t="s">
        <v>471</v>
      </c>
      <c r="L112" s="603"/>
    </row>
    <row r="113" spans="1:12" s="252" customFormat="1" x14ac:dyDescent="0.25">
      <c r="A113" s="410" t="s">
        <v>483</v>
      </c>
      <c r="B113" s="408" t="s">
        <v>255</v>
      </c>
      <c r="C113" s="297">
        <v>51.7</v>
      </c>
      <c r="D113" s="298">
        <f t="shared" si="11"/>
        <v>51777.405749999998</v>
      </c>
      <c r="E113" s="298">
        <f t="shared" si="12"/>
        <v>31066.443449999999</v>
      </c>
      <c r="F113" s="298">
        <f t="shared" si="13"/>
        <v>7224.7542906976742</v>
      </c>
      <c r="G113" s="298">
        <f t="shared" si="14"/>
        <v>40</v>
      </c>
      <c r="H113" s="299">
        <f t="shared" si="15"/>
        <v>1.3099520383693044</v>
      </c>
      <c r="I113" s="298" t="s">
        <v>470</v>
      </c>
      <c r="J113" s="300">
        <v>4.37</v>
      </c>
      <c r="K113" s="301" t="s">
        <v>471</v>
      </c>
      <c r="L113" s="603"/>
    </row>
    <row r="114" spans="1:12" s="252" customFormat="1" x14ac:dyDescent="0.25">
      <c r="A114" s="410" t="s">
        <v>483</v>
      </c>
      <c r="B114" s="408" t="s">
        <v>256</v>
      </c>
      <c r="C114" s="297">
        <v>50.1</v>
      </c>
      <c r="D114" s="298">
        <f t="shared" si="11"/>
        <v>52771.929749999996</v>
      </c>
      <c r="E114" s="298">
        <f t="shared" si="12"/>
        <v>31663.157849999996</v>
      </c>
      <c r="F114" s="298">
        <f t="shared" si="13"/>
        <v>7363.525081395348</v>
      </c>
      <c r="G114" s="298">
        <f t="shared" si="14"/>
        <v>40</v>
      </c>
      <c r="H114" s="299">
        <f t="shared" si="15"/>
        <v>1.3099520383693044</v>
      </c>
      <c r="I114" s="298" t="s">
        <v>470</v>
      </c>
      <c r="J114" s="300">
        <v>4.37</v>
      </c>
      <c r="K114" s="301" t="s">
        <v>471</v>
      </c>
      <c r="L114" s="603"/>
    </row>
    <row r="115" spans="1:12" s="252" customFormat="1" x14ac:dyDescent="0.25">
      <c r="A115" s="410" t="s">
        <v>483</v>
      </c>
      <c r="B115" s="408" t="s">
        <v>257</v>
      </c>
      <c r="C115" s="297">
        <v>63.2</v>
      </c>
      <c r="D115" s="298">
        <f t="shared" si="11"/>
        <v>44629.264499999997</v>
      </c>
      <c r="E115" s="298">
        <f t="shared" si="12"/>
        <v>26777.558699999998</v>
      </c>
      <c r="F115" s="298">
        <f t="shared" si="13"/>
        <v>6227.339232558139</v>
      </c>
      <c r="G115" s="298">
        <f t="shared" si="14"/>
        <v>40</v>
      </c>
      <c r="H115" s="299">
        <f t="shared" si="15"/>
        <v>1.3099520383693044</v>
      </c>
      <c r="I115" s="298" t="s">
        <v>470</v>
      </c>
      <c r="J115" s="300">
        <v>4.37</v>
      </c>
      <c r="K115" s="301" t="s">
        <v>471</v>
      </c>
      <c r="L115" s="603"/>
    </row>
    <row r="116" spans="1:12" s="252" customFormat="1" x14ac:dyDescent="0.25">
      <c r="A116" s="415" t="s">
        <v>483</v>
      </c>
      <c r="B116" s="411" t="s">
        <v>258</v>
      </c>
      <c r="C116" s="332">
        <v>41.4</v>
      </c>
      <c r="D116" s="333">
        <f t="shared" si="11"/>
        <v>58179.653999999995</v>
      </c>
      <c r="E116" s="333">
        <f t="shared" si="12"/>
        <v>34907.792399999998</v>
      </c>
      <c r="F116" s="333">
        <f t="shared" si="13"/>
        <v>8118.0912558139535</v>
      </c>
      <c r="G116" s="333">
        <f t="shared" si="14"/>
        <v>40</v>
      </c>
      <c r="H116" s="334">
        <f t="shared" si="15"/>
        <v>1.3099520383693044</v>
      </c>
      <c r="I116" s="333" t="s">
        <v>470</v>
      </c>
      <c r="J116" s="335">
        <v>4.37</v>
      </c>
      <c r="K116" s="336" t="s">
        <v>471</v>
      </c>
      <c r="L116" s="603"/>
    </row>
    <row r="117" spans="1:12" s="252" customFormat="1" x14ac:dyDescent="0.25">
      <c r="A117" s="416" t="s">
        <v>485</v>
      </c>
      <c r="B117" s="412" t="s">
        <v>469</v>
      </c>
      <c r="C117" s="389">
        <v>47.9</v>
      </c>
      <c r="D117" s="390">
        <f t="shared" ref="D117:D132" si="16">$C$55*($B$57-C117)*$B$59</f>
        <v>54139.400249999992</v>
      </c>
      <c r="E117" s="390">
        <f t="shared" ref="E117:E132" si="17">D117*$B$58</f>
        <v>32483.640149999992</v>
      </c>
      <c r="F117" s="390">
        <f t="shared" si="13"/>
        <v>7554.3349186046498</v>
      </c>
      <c r="G117" s="390">
        <f t="shared" ref="G117:G132" si="18">_xlfn.LET(_xlpm.v,MAX(30,$C$55*$B$60),_xlpm.x,_xlfn.XLOOKUP(_xlpm.v,$A$137:$A$141,$A$137:$A$141,"",1),IF(_xlpm.x="",ROUNDUP(_xlpm.v,0),_xlpm.x))</f>
        <v>40</v>
      </c>
      <c r="H117" s="391">
        <f t="shared" ref="H117:H132" si="19">IF(AND(ISNUMBER(J117),G117&gt;0),J117/(0.0834*G117),NA())</f>
        <v>1.3099520383693044</v>
      </c>
      <c r="I117" s="390" t="s">
        <v>470</v>
      </c>
      <c r="J117" s="392">
        <v>4.37</v>
      </c>
      <c r="K117" s="393" t="s">
        <v>471</v>
      </c>
      <c r="L117" s="595" t="s">
        <v>486</v>
      </c>
    </row>
    <row r="118" spans="1:12" s="252" customFormat="1" x14ac:dyDescent="0.25">
      <c r="A118" s="406" t="s">
        <v>485</v>
      </c>
      <c r="B118" s="408" t="s">
        <v>473</v>
      </c>
      <c r="C118" s="297">
        <v>50.8</v>
      </c>
      <c r="D118" s="298">
        <f t="shared" si="16"/>
        <v>52336.825499999992</v>
      </c>
      <c r="E118" s="298">
        <f t="shared" si="17"/>
        <v>31402.095299999994</v>
      </c>
      <c r="F118" s="298">
        <f t="shared" si="13"/>
        <v>7302.8128604651147</v>
      </c>
      <c r="G118" s="298">
        <f t="shared" si="18"/>
        <v>40</v>
      </c>
      <c r="H118" s="299">
        <f t="shared" si="19"/>
        <v>1.3099520383693044</v>
      </c>
      <c r="I118" s="298" t="s">
        <v>470</v>
      </c>
      <c r="J118" s="300">
        <v>4.37</v>
      </c>
      <c r="K118" s="301" t="s">
        <v>471</v>
      </c>
      <c r="L118" s="596"/>
    </row>
    <row r="119" spans="1:12" s="252" customFormat="1" x14ac:dyDescent="0.25">
      <c r="A119" s="406" t="s">
        <v>485</v>
      </c>
      <c r="B119" s="408" t="s">
        <v>474</v>
      </c>
      <c r="C119" s="297">
        <v>52.2</v>
      </c>
      <c r="D119" s="298">
        <f t="shared" si="16"/>
        <v>51466.616999999998</v>
      </c>
      <c r="E119" s="298">
        <f t="shared" si="17"/>
        <v>30879.970199999996</v>
      </c>
      <c r="F119" s="298">
        <f t="shared" si="13"/>
        <v>7181.3884186046507</v>
      </c>
      <c r="G119" s="298">
        <f t="shared" si="18"/>
        <v>40</v>
      </c>
      <c r="H119" s="299">
        <f t="shared" si="19"/>
        <v>1.3099520383693044</v>
      </c>
      <c r="I119" s="298" t="s">
        <v>470</v>
      </c>
      <c r="J119" s="300">
        <v>4.37</v>
      </c>
      <c r="K119" s="301" t="s">
        <v>471</v>
      </c>
      <c r="L119" s="596"/>
    </row>
    <row r="120" spans="1:12" s="252" customFormat="1" x14ac:dyDescent="0.25">
      <c r="A120" s="406" t="s">
        <v>485</v>
      </c>
      <c r="B120" s="408" t="s">
        <v>475</v>
      </c>
      <c r="C120" s="297">
        <v>52.7</v>
      </c>
      <c r="D120" s="298">
        <f t="shared" si="16"/>
        <v>51155.828249999991</v>
      </c>
      <c r="E120" s="298">
        <f t="shared" si="17"/>
        <v>30693.496949999993</v>
      </c>
      <c r="F120" s="298">
        <f t="shared" si="13"/>
        <v>7138.0225465116264</v>
      </c>
      <c r="G120" s="298">
        <f t="shared" si="18"/>
        <v>40</v>
      </c>
      <c r="H120" s="299">
        <f t="shared" si="19"/>
        <v>1.3099520383693044</v>
      </c>
      <c r="I120" s="298" t="s">
        <v>470</v>
      </c>
      <c r="J120" s="300">
        <v>4.37</v>
      </c>
      <c r="K120" s="301" t="s">
        <v>471</v>
      </c>
      <c r="L120" s="596"/>
    </row>
    <row r="121" spans="1:12" s="252" customFormat="1" x14ac:dyDescent="0.25">
      <c r="A121" s="406" t="s">
        <v>485</v>
      </c>
      <c r="B121" s="408" t="s">
        <v>476</v>
      </c>
      <c r="C121" s="297">
        <v>51.6</v>
      </c>
      <c r="D121" s="298">
        <f t="shared" si="16"/>
        <v>51839.563499999997</v>
      </c>
      <c r="E121" s="298">
        <f t="shared" si="17"/>
        <v>31103.738099999995</v>
      </c>
      <c r="F121" s="298">
        <f t="shared" si="13"/>
        <v>7233.4274651162787</v>
      </c>
      <c r="G121" s="298">
        <f t="shared" si="18"/>
        <v>40</v>
      </c>
      <c r="H121" s="299">
        <f t="shared" si="19"/>
        <v>1.3099520383693044</v>
      </c>
      <c r="I121" s="298" t="s">
        <v>470</v>
      </c>
      <c r="J121" s="300">
        <v>4.37</v>
      </c>
      <c r="K121" s="301" t="s">
        <v>471</v>
      </c>
      <c r="L121" s="596"/>
    </row>
    <row r="122" spans="1:12" s="252" customFormat="1" x14ac:dyDescent="0.25">
      <c r="A122" s="406" t="s">
        <v>485</v>
      </c>
      <c r="B122" s="408" t="s">
        <v>477</v>
      </c>
      <c r="C122" s="297">
        <v>56.8</v>
      </c>
      <c r="D122" s="298">
        <f t="shared" si="16"/>
        <v>48607.360499999995</v>
      </c>
      <c r="E122" s="298">
        <f t="shared" si="17"/>
        <v>29164.416299999997</v>
      </c>
      <c r="F122" s="298">
        <f t="shared" si="13"/>
        <v>6782.4223953488372</v>
      </c>
      <c r="G122" s="298">
        <f t="shared" si="18"/>
        <v>40</v>
      </c>
      <c r="H122" s="299">
        <f t="shared" si="19"/>
        <v>1.3099520383693044</v>
      </c>
      <c r="I122" s="298" t="s">
        <v>470</v>
      </c>
      <c r="J122" s="300">
        <v>4.37</v>
      </c>
      <c r="K122" s="301" t="s">
        <v>471</v>
      </c>
      <c r="L122" s="596"/>
    </row>
    <row r="123" spans="1:12" s="252" customFormat="1" x14ac:dyDescent="0.25">
      <c r="A123" s="406" t="s">
        <v>485</v>
      </c>
      <c r="B123" s="408" t="s">
        <v>478</v>
      </c>
      <c r="C123" s="297">
        <v>58.4</v>
      </c>
      <c r="D123" s="298">
        <f t="shared" si="16"/>
        <v>47612.836499999998</v>
      </c>
      <c r="E123" s="298">
        <f t="shared" si="17"/>
        <v>28567.701899999996</v>
      </c>
      <c r="F123" s="298">
        <f t="shared" si="13"/>
        <v>6643.6516046511624</v>
      </c>
      <c r="G123" s="298">
        <f t="shared" si="18"/>
        <v>40</v>
      </c>
      <c r="H123" s="299">
        <f t="shared" si="19"/>
        <v>1.3099520383693044</v>
      </c>
      <c r="I123" s="298" t="s">
        <v>470</v>
      </c>
      <c r="J123" s="300">
        <v>4.37</v>
      </c>
      <c r="K123" s="301" t="s">
        <v>471</v>
      </c>
      <c r="L123" s="596"/>
    </row>
    <row r="124" spans="1:12" s="252" customFormat="1" x14ac:dyDescent="0.25">
      <c r="A124" s="406" t="s">
        <v>485</v>
      </c>
      <c r="B124" s="408" t="s">
        <v>479</v>
      </c>
      <c r="C124" s="297">
        <v>58.4</v>
      </c>
      <c r="D124" s="298">
        <f t="shared" si="16"/>
        <v>47612.836499999998</v>
      </c>
      <c r="E124" s="298">
        <f t="shared" si="17"/>
        <v>28567.701899999996</v>
      </c>
      <c r="F124" s="298">
        <f t="shared" si="13"/>
        <v>6643.6516046511624</v>
      </c>
      <c r="G124" s="298">
        <f t="shared" si="18"/>
        <v>40</v>
      </c>
      <c r="H124" s="299">
        <f t="shared" si="19"/>
        <v>1.3099520383693044</v>
      </c>
      <c r="I124" s="298" t="s">
        <v>470</v>
      </c>
      <c r="J124" s="300">
        <v>4.37</v>
      </c>
      <c r="K124" s="301" t="s">
        <v>471</v>
      </c>
      <c r="L124" s="596"/>
    </row>
    <row r="125" spans="1:12" s="252" customFormat="1" x14ac:dyDescent="0.25">
      <c r="A125" s="406" t="s">
        <v>485</v>
      </c>
      <c r="B125" s="408" t="s">
        <v>480</v>
      </c>
      <c r="C125" s="297">
        <v>57.6</v>
      </c>
      <c r="D125" s="298">
        <f t="shared" si="16"/>
        <v>48110.098499999993</v>
      </c>
      <c r="E125" s="298">
        <f t="shared" si="17"/>
        <v>28866.059099999995</v>
      </c>
      <c r="F125" s="298">
        <f t="shared" si="13"/>
        <v>6713.0369999999994</v>
      </c>
      <c r="G125" s="298">
        <f t="shared" si="18"/>
        <v>40</v>
      </c>
      <c r="H125" s="299">
        <f t="shared" si="19"/>
        <v>1.3099520383693044</v>
      </c>
      <c r="I125" s="298" t="s">
        <v>470</v>
      </c>
      <c r="J125" s="300">
        <v>4.37</v>
      </c>
      <c r="K125" s="301" t="s">
        <v>471</v>
      </c>
      <c r="L125" s="596"/>
    </row>
    <row r="126" spans="1:12" s="252" customFormat="1" x14ac:dyDescent="0.25">
      <c r="A126" s="406" t="s">
        <v>485</v>
      </c>
      <c r="B126" s="408" t="s">
        <v>252</v>
      </c>
      <c r="C126" s="297">
        <v>57.1</v>
      </c>
      <c r="D126" s="298">
        <f t="shared" si="16"/>
        <v>48420.887249999992</v>
      </c>
      <c r="E126" s="298">
        <f t="shared" si="17"/>
        <v>29052.532349999994</v>
      </c>
      <c r="F126" s="298">
        <f t="shared" si="13"/>
        <v>6756.4028720930219</v>
      </c>
      <c r="G126" s="298">
        <f t="shared" si="18"/>
        <v>40</v>
      </c>
      <c r="H126" s="299">
        <f t="shared" si="19"/>
        <v>1.3099520383693044</v>
      </c>
      <c r="I126" s="298" t="s">
        <v>470</v>
      </c>
      <c r="J126" s="300">
        <v>4.37</v>
      </c>
      <c r="K126" s="301" t="s">
        <v>471</v>
      </c>
      <c r="L126" s="596"/>
    </row>
    <row r="127" spans="1:12" s="252" customFormat="1" x14ac:dyDescent="0.25">
      <c r="A127" s="406" t="s">
        <v>485</v>
      </c>
      <c r="B127" s="408" t="s">
        <v>253</v>
      </c>
      <c r="C127" s="297">
        <v>50.5</v>
      </c>
      <c r="D127" s="298">
        <f t="shared" si="16"/>
        <v>52523.298749999994</v>
      </c>
      <c r="E127" s="298">
        <f t="shared" si="17"/>
        <v>31513.979249999997</v>
      </c>
      <c r="F127" s="298">
        <f t="shared" si="13"/>
        <v>7328.83238372093</v>
      </c>
      <c r="G127" s="298">
        <f t="shared" si="18"/>
        <v>40</v>
      </c>
      <c r="H127" s="299">
        <f t="shared" si="19"/>
        <v>1.3099520383693044</v>
      </c>
      <c r="I127" s="298" t="s">
        <v>470</v>
      </c>
      <c r="J127" s="300">
        <v>4.37</v>
      </c>
      <c r="K127" s="301" t="s">
        <v>471</v>
      </c>
      <c r="L127" s="596"/>
    </row>
    <row r="128" spans="1:12" s="252" customFormat="1" x14ac:dyDescent="0.25">
      <c r="A128" s="406" t="s">
        <v>485</v>
      </c>
      <c r="B128" s="408" t="s">
        <v>254</v>
      </c>
      <c r="C128" s="297">
        <v>51.4</v>
      </c>
      <c r="D128" s="298">
        <f t="shared" si="16"/>
        <v>51963.878999999994</v>
      </c>
      <c r="E128" s="298">
        <f t="shared" si="17"/>
        <v>31178.327399999995</v>
      </c>
      <c r="F128" s="298">
        <f t="shared" si="13"/>
        <v>7250.7738139534877</v>
      </c>
      <c r="G128" s="298">
        <f t="shared" si="18"/>
        <v>40</v>
      </c>
      <c r="H128" s="299">
        <f t="shared" si="19"/>
        <v>1.3099520383693044</v>
      </c>
      <c r="I128" s="298" t="s">
        <v>470</v>
      </c>
      <c r="J128" s="300">
        <v>4.37</v>
      </c>
      <c r="K128" s="301" t="s">
        <v>471</v>
      </c>
      <c r="L128" s="596"/>
    </row>
    <row r="129" spans="1:150" s="252" customFormat="1" x14ac:dyDescent="0.25">
      <c r="A129" s="406" t="s">
        <v>485</v>
      </c>
      <c r="B129" s="408" t="s">
        <v>255</v>
      </c>
      <c r="C129" s="297">
        <v>51.7</v>
      </c>
      <c r="D129" s="298">
        <f t="shared" si="16"/>
        <v>51777.405749999998</v>
      </c>
      <c r="E129" s="298">
        <f t="shared" si="17"/>
        <v>31066.443449999999</v>
      </c>
      <c r="F129" s="298">
        <f t="shared" si="13"/>
        <v>7224.7542906976742</v>
      </c>
      <c r="G129" s="298">
        <f t="shared" si="18"/>
        <v>40</v>
      </c>
      <c r="H129" s="299">
        <f t="shared" si="19"/>
        <v>1.3099520383693044</v>
      </c>
      <c r="I129" s="298" t="s">
        <v>470</v>
      </c>
      <c r="J129" s="300">
        <v>4.37</v>
      </c>
      <c r="K129" s="301" t="s">
        <v>471</v>
      </c>
      <c r="L129" s="596"/>
    </row>
    <row r="130" spans="1:150" s="252" customFormat="1" x14ac:dyDescent="0.25">
      <c r="A130" s="406" t="s">
        <v>485</v>
      </c>
      <c r="B130" s="408" t="s">
        <v>256</v>
      </c>
      <c r="C130" s="297">
        <v>50.1</v>
      </c>
      <c r="D130" s="298">
        <f t="shared" si="16"/>
        <v>52771.929749999996</v>
      </c>
      <c r="E130" s="298">
        <f t="shared" si="17"/>
        <v>31663.157849999996</v>
      </c>
      <c r="F130" s="298">
        <f t="shared" si="13"/>
        <v>7363.525081395348</v>
      </c>
      <c r="G130" s="298">
        <f t="shared" si="18"/>
        <v>40</v>
      </c>
      <c r="H130" s="299">
        <f t="shared" si="19"/>
        <v>1.3099520383693044</v>
      </c>
      <c r="I130" s="298" t="s">
        <v>470</v>
      </c>
      <c r="J130" s="300">
        <v>4.37</v>
      </c>
      <c r="K130" s="301" t="s">
        <v>471</v>
      </c>
      <c r="L130" s="596"/>
    </row>
    <row r="131" spans="1:150" s="252" customFormat="1" x14ac:dyDescent="0.25">
      <c r="A131" s="406" t="s">
        <v>485</v>
      </c>
      <c r="B131" s="408" t="s">
        <v>257</v>
      </c>
      <c r="C131" s="297">
        <v>63.2</v>
      </c>
      <c r="D131" s="298">
        <f t="shared" si="16"/>
        <v>44629.264499999997</v>
      </c>
      <c r="E131" s="298">
        <f t="shared" si="17"/>
        <v>26777.558699999998</v>
      </c>
      <c r="F131" s="298">
        <f t="shared" si="13"/>
        <v>6227.339232558139</v>
      </c>
      <c r="G131" s="298">
        <f t="shared" si="18"/>
        <v>40</v>
      </c>
      <c r="H131" s="299">
        <f t="shared" si="19"/>
        <v>1.3099520383693044</v>
      </c>
      <c r="I131" s="298" t="s">
        <v>470</v>
      </c>
      <c r="J131" s="300">
        <v>4.37</v>
      </c>
      <c r="K131" s="301" t="s">
        <v>471</v>
      </c>
      <c r="L131" s="596"/>
    </row>
    <row r="132" spans="1:150" s="252" customFormat="1" x14ac:dyDescent="0.25">
      <c r="A132" s="414" t="s">
        <v>485</v>
      </c>
      <c r="B132" s="413" t="s">
        <v>258</v>
      </c>
      <c r="C132" s="394">
        <v>41.4</v>
      </c>
      <c r="D132" s="395">
        <f t="shared" si="16"/>
        <v>58179.653999999995</v>
      </c>
      <c r="E132" s="395">
        <f t="shared" si="17"/>
        <v>34907.792399999998</v>
      </c>
      <c r="F132" s="395">
        <f t="shared" si="13"/>
        <v>8118.0912558139535</v>
      </c>
      <c r="G132" s="395">
        <f t="shared" si="18"/>
        <v>40</v>
      </c>
      <c r="H132" s="396">
        <f t="shared" si="19"/>
        <v>1.3099520383693044</v>
      </c>
      <c r="I132" s="395" t="s">
        <v>470</v>
      </c>
      <c r="J132" s="397">
        <v>4.37</v>
      </c>
      <c r="K132" s="398" t="s">
        <v>471</v>
      </c>
      <c r="L132" s="597"/>
    </row>
    <row r="133" spans="1:150" x14ac:dyDescent="0.25">
      <c r="A133" s="248"/>
      <c r="B133" s="248"/>
      <c r="C133" s="249"/>
      <c r="D133" s="249"/>
      <c r="E133" s="249"/>
      <c r="F133" s="249"/>
      <c r="G133" s="250"/>
      <c r="H133" s="67"/>
      <c r="I133" s="67"/>
    </row>
    <row r="134" spans="1:150" x14ac:dyDescent="0.25">
      <c r="A134" s="248"/>
      <c r="B134" s="248"/>
      <c r="C134" s="249"/>
      <c r="D134" s="249"/>
      <c r="E134" s="249"/>
      <c r="F134" s="249"/>
      <c r="G134" s="250"/>
      <c r="H134" s="67"/>
      <c r="I134" s="67"/>
    </row>
    <row r="135" spans="1:150" s="252" customFormat="1" ht="14.4" customHeight="1" x14ac:dyDescent="0.25">
      <c r="A135" s="612" t="s">
        <v>487</v>
      </c>
      <c r="B135" s="613"/>
      <c r="C135" s="613"/>
      <c r="D135" s="613"/>
      <c r="E135" s="613"/>
      <c r="F135" s="613"/>
      <c r="G135" s="613"/>
      <c r="H135" s="67"/>
    </row>
    <row r="136" spans="1:150" s="256" customFormat="1" ht="14.4" x14ac:dyDescent="0.25">
      <c r="A136" s="355" t="s">
        <v>488</v>
      </c>
      <c r="B136" s="355" t="s">
        <v>489</v>
      </c>
      <c r="C136" s="355" t="s">
        <v>490</v>
      </c>
      <c r="D136" s="355" t="s">
        <v>491</v>
      </c>
      <c r="E136" s="487" t="s">
        <v>492</v>
      </c>
      <c r="F136" s="610" t="s">
        <v>49</v>
      </c>
      <c r="G136" s="611"/>
      <c r="H136" s="347" t="str">
        <f>HYPERLINK("#'Notes'!A1","Sources and links → Notes tab")</f>
        <v>Sources and links → Notes tab</v>
      </c>
    </row>
    <row r="137" spans="1:150" s="252" customFormat="1" ht="13.8" x14ac:dyDescent="0.25">
      <c r="A137" s="356">
        <v>40</v>
      </c>
      <c r="B137" s="357" t="s">
        <v>493</v>
      </c>
      <c r="C137" s="358">
        <v>14000</v>
      </c>
      <c r="D137" s="359" t="s">
        <v>494</v>
      </c>
      <c r="E137" s="360">
        <v>3.5</v>
      </c>
      <c r="F137" s="361" t="s">
        <v>495</v>
      </c>
      <c r="G137" s="361"/>
      <c r="H137" s="67"/>
    </row>
    <row r="138" spans="1:150" s="252" customFormat="1" ht="13.8" x14ac:dyDescent="0.25">
      <c r="A138" s="356">
        <v>50</v>
      </c>
      <c r="B138" s="357" t="s">
        <v>493</v>
      </c>
      <c r="C138" s="358">
        <v>16000</v>
      </c>
      <c r="D138" s="359" t="s">
        <v>494</v>
      </c>
      <c r="E138" s="360">
        <v>3.75</v>
      </c>
      <c r="F138" s="361" t="s">
        <v>495</v>
      </c>
      <c r="G138" s="361"/>
      <c r="H138" s="67"/>
    </row>
    <row r="139" spans="1:150" s="252" customFormat="1" ht="13.8" x14ac:dyDescent="0.25">
      <c r="A139" s="356">
        <v>66</v>
      </c>
      <c r="B139" s="357" t="s">
        <v>493</v>
      </c>
      <c r="C139" s="358">
        <v>18000</v>
      </c>
      <c r="D139" s="359" t="s">
        <v>494</v>
      </c>
      <c r="E139" s="360">
        <v>3.7</v>
      </c>
      <c r="F139" s="361" t="s">
        <v>495</v>
      </c>
      <c r="G139" s="361"/>
      <c r="H139" s="67"/>
    </row>
    <row r="140" spans="1:150" s="252" customFormat="1" ht="13.8" x14ac:dyDescent="0.25">
      <c r="A140" s="356">
        <v>80</v>
      </c>
      <c r="B140" s="357" t="s">
        <v>493</v>
      </c>
      <c r="C140" s="358">
        <v>20000</v>
      </c>
      <c r="D140" s="359" t="s">
        <v>494</v>
      </c>
      <c r="E140" s="360">
        <v>3.88</v>
      </c>
      <c r="F140" s="361" t="s">
        <v>495</v>
      </c>
      <c r="G140" s="361"/>
      <c r="H140" s="67"/>
    </row>
    <row r="141" spans="1:150" s="252" customFormat="1" ht="13.8" x14ac:dyDescent="0.25">
      <c r="A141" s="356">
        <v>120</v>
      </c>
      <c r="B141" s="357" t="s">
        <v>493</v>
      </c>
      <c r="C141" s="358">
        <v>25000</v>
      </c>
      <c r="D141" s="359" t="s">
        <v>494</v>
      </c>
      <c r="E141" s="360">
        <v>3.5</v>
      </c>
      <c r="F141" s="361" t="s">
        <v>495</v>
      </c>
      <c r="G141" s="361"/>
      <c r="H141" s="67"/>
    </row>
    <row r="142" spans="1:150" x14ac:dyDescent="0.25">
      <c r="A142" s="248"/>
      <c r="B142" s="248"/>
      <c r="C142" s="249"/>
      <c r="D142" s="249"/>
      <c r="E142" s="249"/>
      <c r="F142" s="249"/>
      <c r="G142" s="250"/>
      <c r="H142" s="67"/>
      <c r="I142" s="67"/>
    </row>
    <row r="143" spans="1:150" hidden="1" x14ac:dyDescent="0.25">
      <c r="A143" s="75" t="s">
        <v>381</v>
      </c>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c r="BO143" s="75"/>
      <c r="BP143" s="75"/>
      <c r="BQ143" s="75"/>
      <c r="BR143" s="75"/>
      <c r="BS143" s="75"/>
      <c r="BT143" s="75"/>
      <c r="BU143" s="75"/>
      <c r="BV143" s="75"/>
      <c r="BW143" s="75"/>
      <c r="BX143" s="75"/>
      <c r="BY143" s="75"/>
      <c r="BZ143" s="75"/>
      <c r="CA143" s="75"/>
      <c r="CB143" s="75"/>
      <c r="CC143" s="75"/>
      <c r="CD143" s="75"/>
      <c r="CE143" s="75"/>
      <c r="CF143" s="75"/>
      <c r="CG143" s="75"/>
      <c r="CH143" s="75"/>
      <c r="CI143" s="75"/>
      <c r="CJ143" s="75"/>
      <c r="CK143" s="75"/>
      <c r="CL143" s="75"/>
      <c r="CM143" s="75"/>
      <c r="CN143" s="75"/>
      <c r="CO143" s="75"/>
      <c r="CP143" s="75"/>
      <c r="CQ143" s="75"/>
      <c r="CR143" s="75"/>
      <c r="CS143" s="75"/>
      <c r="CT143" s="75"/>
      <c r="CU143" s="75"/>
      <c r="CV143" s="75"/>
      <c r="CW143" s="75"/>
      <c r="CX143" s="75"/>
      <c r="CY143" s="75"/>
      <c r="CZ143" s="75"/>
      <c r="DA143" s="75"/>
      <c r="DB143" s="75"/>
      <c r="DC143" s="75"/>
      <c r="DD143" s="75"/>
      <c r="DE143" s="75"/>
      <c r="DF143" s="75"/>
      <c r="DG143" s="75"/>
      <c r="DH143" s="75"/>
      <c r="DI143" s="75"/>
      <c r="DJ143" s="75"/>
      <c r="DK143" s="75"/>
      <c r="DL143" s="75"/>
      <c r="DM143" s="75"/>
      <c r="DN143" s="75"/>
      <c r="DO143" s="75"/>
      <c r="DP143" s="75"/>
      <c r="DQ143" s="75"/>
      <c r="DR143" s="75"/>
      <c r="DS143" s="75"/>
      <c r="DT143" s="75"/>
      <c r="DU143" s="75"/>
      <c r="DV143" s="75"/>
      <c r="DW143" s="75"/>
      <c r="DX143" s="75"/>
      <c r="DY143" s="75"/>
      <c r="DZ143" s="75"/>
      <c r="EA143" s="75"/>
      <c r="EB143" s="75"/>
      <c r="EC143" s="75"/>
      <c r="ED143" s="75"/>
      <c r="EE143" s="75"/>
      <c r="EF143" s="75"/>
      <c r="EG143" s="75"/>
      <c r="EH143" s="75"/>
      <c r="EI143" s="75"/>
      <c r="EJ143" s="75"/>
      <c r="EK143" s="75"/>
      <c r="EL143" s="75"/>
      <c r="EM143" s="75"/>
      <c r="EN143" s="75"/>
      <c r="EO143" s="75"/>
      <c r="EP143" s="75"/>
      <c r="EQ143" s="75"/>
      <c r="ER143" s="75"/>
      <c r="ES143" s="75"/>
      <c r="ET143" s="75"/>
    </row>
    <row r="144" spans="1:150" ht="14.4" x14ac:dyDescent="0.25">
      <c r="A144" s="69"/>
    </row>
    <row r="145" spans="1:1" ht="14.4" x14ac:dyDescent="0.25">
      <c r="A145" s="68"/>
    </row>
    <row r="146" spans="1:1" ht="14.4" x14ac:dyDescent="0.25">
      <c r="A146" s="69"/>
    </row>
    <row r="147" spans="1:1" ht="14.4" x14ac:dyDescent="0.25">
      <c r="A147" s="70"/>
    </row>
    <row r="148" spans="1:1" ht="14.4" x14ac:dyDescent="0.25">
      <c r="A148" s="69"/>
    </row>
    <row r="149" spans="1:1" ht="14.4" x14ac:dyDescent="0.25">
      <c r="A149" s="70"/>
    </row>
    <row r="150" spans="1:1" ht="14.4" x14ac:dyDescent="0.25">
      <c r="A150" s="69"/>
    </row>
    <row r="151" spans="1:1" ht="14.4" x14ac:dyDescent="0.25">
      <c r="A151" s="70"/>
    </row>
    <row r="152" spans="1:1" ht="14.4" x14ac:dyDescent="0.25">
      <c r="A152" s="69"/>
    </row>
    <row r="153" spans="1:1" ht="14.4" x14ac:dyDescent="0.25">
      <c r="A153" s="68"/>
    </row>
    <row r="154" spans="1:1" ht="14.4" x14ac:dyDescent="0.25">
      <c r="A154" s="69"/>
    </row>
    <row r="155" spans="1:1" ht="14.4" x14ac:dyDescent="0.25">
      <c r="A155" s="68"/>
    </row>
    <row r="156" spans="1:1" ht="14.4" x14ac:dyDescent="0.25">
      <c r="A156" s="68"/>
    </row>
    <row r="157" spans="1:1" ht="14.4" x14ac:dyDescent="0.25">
      <c r="A157" s="70"/>
    </row>
    <row r="158" spans="1:1" ht="14.4" x14ac:dyDescent="0.25">
      <c r="A158" s="70"/>
    </row>
    <row r="159" spans="1:1" ht="14.4" x14ac:dyDescent="0.25">
      <c r="A159" s="70"/>
    </row>
    <row r="160" spans="1:1" ht="14.4" x14ac:dyDescent="0.25">
      <c r="A160" s="70"/>
    </row>
    <row r="161" spans="1:1" ht="14.4" x14ac:dyDescent="0.25">
      <c r="A161" s="70"/>
    </row>
    <row r="162" spans="1:1" ht="14.4" x14ac:dyDescent="0.25">
      <c r="A162" s="70"/>
    </row>
    <row r="163" spans="1:1" ht="14.4" x14ac:dyDescent="0.25">
      <c r="A163" s="68"/>
    </row>
    <row r="164" spans="1:1" ht="14.4" x14ac:dyDescent="0.25">
      <c r="A164" s="69"/>
    </row>
    <row r="165" spans="1:1" ht="14.4" x14ac:dyDescent="0.25">
      <c r="A165" s="68"/>
    </row>
    <row r="166" spans="1:1" ht="14.4" x14ac:dyDescent="0.25">
      <c r="A166" s="68"/>
    </row>
    <row r="167" spans="1:1" ht="14.4" x14ac:dyDescent="0.25">
      <c r="A167" s="70"/>
    </row>
    <row r="168" spans="1:1" ht="14.4" x14ac:dyDescent="0.25">
      <c r="A168" s="70"/>
    </row>
    <row r="169" spans="1:1" ht="14.4" x14ac:dyDescent="0.25">
      <c r="A169" s="68"/>
    </row>
    <row r="170" spans="1:1" ht="14.4" x14ac:dyDescent="0.25">
      <c r="A170" s="69"/>
    </row>
    <row r="171" spans="1:1" ht="14.4" x14ac:dyDescent="0.25">
      <c r="A171" s="68"/>
    </row>
    <row r="172" spans="1:1" ht="14.4" x14ac:dyDescent="0.25">
      <c r="A172" s="68"/>
    </row>
    <row r="173" spans="1:1" ht="14.4" x14ac:dyDescent="0.25">
      <c r="A173" s="70"/>
    </row>
    <row r="174" spans="1:1" ht="14.4" x14ac:dyDescent="0.25">
      <c r="A174" s="70"/>
    </row>
    <row r="175" spans="1:1" ht="14.4" x14ac:dyDescent="0.25">
      <c r="A175" s="70"/>
    </row>
    <row r="176" spans="1:1" ht="14.4" x14ac:dyDescent="0.25">
      <c r="A176" s="70"/>
    </row>
    <row r="177" spans="1:1" ht="14.4" x14ac:dyDescent="0.25">
      <c r="A177" s="70"/>
    </row>
    <row r="178" spans="1:1" ht="14.4" x14ac:dyDescent="0.25">
      <c r="A178" s="70"/>
    </row>
    <row r="179" spans="1:1" ht="14.4" x14ac:dyDescent="0.25">
      <c r="A179" s="70"/>
    </row>
    <row r="180" spans="1:1" ht="14.4" x14ac:dyDescent="0.25">
      <c r="A180" s="70"/>
    </row>
    <row r="181" spans="1:1" ht="14.4" x14ac:dyDescent="0.25">
      <c r="A181" s="68"/>
    </row>
    <row r="182" spans="1:1" ht="14.4" x14ac:dyDescent="0.25">
      <c r="A182" s="69"/>
    </row>
    <row r="183" spans="1:1" ht="14.4" x14ac:dyDescent="0.25">
      <c r="A183" s="68"/>
    </row>
    <row r="184" spans="1:1" ht="14.4" x14ac:dyDescent="0.25">
      <c r="A184" s="68"/>
    </row>
    <row r="185" spans="1:1" ht="14.4" x14ac:dyDescent="0.25">
      <c r="A185" s="70"/>
    </row>
    <row r="186" spans="1:1" ht="14.4" x14ac:dyDescent="0.25">
      <c r="A186" s="70"/>
    </row>
    <row r="187" spans="1:1" ht="14.4" x14ac:dyDescent="0.25">
      <c r="A187" s="70"/>
    </row>
    <row r="188" spans="1:1" ht="14.4" x14ac:dyDescent="0.25">
      <c r="A188" s="70"/>
    </row>
    <row r="194" spans="1:1" ht="14.4" x14ac:dyDescent="0.25">
      <c r="A194" s="68"/>
    </row>
    <row r="195" spans="1:1" ht="14.4" x14ac:dyDescent="0.25">
      <c r="A195" s="68"/>
    </row>
    <row r="263" s="75" customFormat="1" x14ac:dyDescent="0.3"/>
  </sheetData>
  <mergeCells count="13">
    <mergeCell ref="F136:G136"/>
    <mergeCell ref="A135:G135"/>
    <mergeCell ref="D52:D55"/>
    <mergeCell ref="A50:D50"/>
    <mergeCell ref="A6:G6"/>
    <mergeCell ref="A1:G1"/>
    <mergeCell ref="L117:L132"/>
    <mergeCell ref="H68:I68"/>
    <mergeCell ref="J68:K68"/>
    <mergeCell ref="L69:L84"/>
    <mergeCell ref="A67:L67"/>
    <mergeCell ref="L101:L116"/>
    <mergeCell ref="L85:L100"/>
  </mergeCells>
  <phoneticPr fontId="5" type="noConversion"/>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16"/>
  <sheetViews>
    <sheetView zoomScale="90" zoomScaleNormal="90" workbookViewId="0">
      <selection sqref="A1:G1"/>
    </sheetView>
  </sheetViews>
  <sheetFormatPr defaultColWidth="8.6640625" defaultRowHeight="13.2" x14ac:dyDescent="0.25"/>
  <cols>
    <col min="1" max="1" width="49.6640625" style="4" bestFit="1" customWidth="1"/>
    <col min="2" max="2" width="21.44140625" style="4" bestFit="1" customWidth="1"/>
    <col min="3" max="3" width="26.5546875" style="4" customWidth="1"/>
    <col min="4" max="4" width="30.109375" style="4" customWidth="1"/>
    <col min="5" max="5" width="18.33203125" style="4" customWidth="1"/>
    <col min="6" max="6" width="28.44140625" style="4" customWidth="1"/>
    <col min="7" max="7" width="30" style="4" customWidth="1"/>
    <col min="8" max="8" width="10.5546875" style="4" customWidth="1"/>
    <col min="9" max="9" width="11.44140625" style="4" customWidth="1"/>
    <col min="10" max="16384" width="8.6640625" style="4"/>
  </cols>
  <sheetData>
    <row r="1" spans="1:7" ht="25.95" customHeight="1" x14ac:dyDescent="0.25">
      <c r="A1" s="533" t="str">
        <f>"Interior Lighting - "&amp;Prototype!A2</f>
        <v>Interior Lighting - SchoolK-8</v>
      </c>
      <c r="B1" s="533"/>
      <c r="C1" s="533"/>
      <c r="D1" s="533"/>
      <c r="E1" s="533"/>
      <c r="F1" s="533"/>
      <c r="G1" s="533"/>
    </row>
    <row r="2" spans="1:7" ht="25.95" customHeight="1" x14ac:dyDescent="0.25">
      <c r="A2" s="619" t="s">
        <v>234</v>
      </c>
      <c r="B2" s="620" t="s">
        <v>496</v>
      </c>
      <c r="C2" s="620"/>
      <c r="D2" s="620"/>
      <c r="E2" s="620" t="s">
        <v>272</v>
      </c>
      <c r="F2" s="620"/>
      <c r="G2" s="620"/>
    </row>
    <row r="3" spans="1:7" ht="43.2" customHeight="1" x14ac:dyDescent="0.25">
      <c r="A3" s="619"/>
      <c r="B3" s="454" t="s">
        <v>497</v>
      </c>
      <c r="C3" s="454" t="s">
        <v>498</v>
      </c>
      <c r="D3" s="453" t="s">
        <v>315</v>
      </c>
      <c r="E3" s="454" t="s">
        <v>499</v>
      </c>
      <c r="F3" s="454" t="s">
        <v>500</v>
      </c>
      <c r="G3" s="454" t="s">
        <v>315</v>
      </c>
    </row>
    <row r="4" spans="1:7" ht="27" customHeight="1" x14ac:dyDescent="0.25">
      <c r="A4" s="111" t="str">
        <f>Zones!C3</f>
        <v>Lounge, Breakroom, or Waiting Area</v>
      </c>
      <c r="B4" s="76">
        <v>0.55000000000000004</v>
      </c>
      <c r="C4" s="446">
        <v>0.25</v>
      </c>
      <c r="D4" s="546" t="s">
        <v>501</v>
      </c>
      <c r="E4" s="76">
        <v>0.9</v>
      </c>
      <c r="F4" s="446">
        <v>0.25</v>
      </c>
      <c r="G4" s="546" t="s">
        <v>502</v>
      </c>
    </row>
    <row r="5" spans="1:7" ht="24" customHeight="1" x14ac:dyDescent="0.25">
      <c r="A5" s="111" t="str">
        <f>Zones!C4</f>
        <v>Convention, Conference, Multipurpose and Meeting Area</v>
      </c>
      <c r="B5" s="76">
        <v>0.75</v>
      </c>
      <c r="C5" s="446">
        <v>0.25</v>
      </c>
      <c r="D5" s="536"/>
      <c r="E5" s="76">
        <v>1.2</v>
      </c>
      <c r="F5" s="446">
        <v>0.2</v>
      </c>
      <c r="G5" s="536"/>
    </row>
    <row r="6" spans="1:7" ht="22.95" customHeight="1" x14ac:dyDescent="0.25">
      <c r="A6" s="111" t="str">
        <f>Zones!C5</f>
        <v>Corridor Area</v>
      </c>
      <c r="B6" s="76">
        <v>0.4</v>
      </c>
      <c r="C6" s="446"/>
      <c r="D6" s="547"/>
      <c r="E6" s="76">
        <v>0.6</v>
      </c>
      <c r="F6" s="446"/>
      <c r="G6" s="547"/>
    </row>
    <row r="7" spans="1:7" ht="21" customHeight="1" x14ac:dyDescent="0.25">
      <c r="A7" s="111" t="str">
        <f>Zones!C6</f>
        <v>Electrical, Mechanical, Telephone Rooms</v>
      </c>
      <c r="B7" s="76">
        <v>0.4</v>
      </c>
      <c r="C7" s="446"/>
      <c r="D7" s="547"/>
      <c r="E7" s="76">
        <v>0.55000000000000004</v>
      </c>
      <c r="F7" s="446"/>
      <c r="G7" s="547"/>
    </row>
    <row r="8" spans="1:7" ht="27" customHeight="1" x14ac:dyDescent="0.25">
      <c r="A8" s="111" t="str">
        <f>Zones!C8</f>
        <v>Kitchen/Food Preparation Area</v>
      </c>
      <c r="B8" s="76">
        <v>0.95</v>
      </c>
      <c r="C8" s="448"/>
      <c r="D8" s="547"/>
      <c r="E8" s="76">
        <v>1.2</v>
      </c>
      <c r="F8" s="433"/>
      <c r="G8" s="547"/>
    </row>
    <row r="9" spans="1:7" s="5" customFormat="1" ht="27" customHeight="1" x14ac:dyDescent="0.25">
      <c r="A9" s="111" t="str">
        <f>Zones!C9</f>
        <v>Lobby, Main Entry</v>
      </c>
      <c r="B9" s="76">
        <v>0.7</v>
      </c>
      <c r="C9" s="446">
        <v>0.25</v>
      </c>
      <c r="D9" s="536"/>
      <c r="E9" s="76">
        <v>0.95</v>
      </c>
      <c r="F9" s="447">
        <v>0.2</v>
      </c>
      <c r="G9" s="536"/>
    </row>
    <row r="10" spans="1:7" ht="27" customHeight="1" x14ac:dyDescent="0.25">
      <c r="A10" s="111" t="str">
        <f>Zones!C12</f>
        <v>Restrooms</v>
      </c>
      <c r="B10" s="76">
        <v>0.65</v>
      </c>
      <c r="C10" s="447"/>
      <c r="D10" s="547"/>
      <c r="E10" s="76">
        <v>0.6</v>
      </c>
      <c r="F10" s="447"/>
      <c r="G10" s="547"/>
    </row>
    <row r="11" spans="1:7" ht="27" customHeight="1" x14ac:dyDescent="0.25">
      <c r="A11" s="111" t="str">
        <f>Zones!C13</f>
        <v>Storage (General)</v>
      </c>
      <c r="B11" s="76">
        <v>0.4</v>
      </c>
      <c r="C11" s="447"/>
      <c r="D11" s="547"/>
      <c r="E11" s="76">
        <v>0.6</v>
      </c>
      <c r="F11" s="447"/>
      <c r="G11" s="547"/>
    </row>
    <row r="12" spans="1:7" ht="27" customHeight="1" x14ac:dyDescent="0.25">
      <c r="A12" s="111" t="str">
        <f>Zones!C14</f>
        <v>Storage, Commercial/Industrial (Refrigerated)</v>
      </c>
      <c r="B12" s="76">
        <v>0.4</v>
      </c>
      <c r="C12" s="447"/>
      <c r="D12" s="547"/>
      <c r="E12" s="76">
        <v>0.7</v>
      </c>
      <c r="F12" s="447"/>
      <c r="G12" s="547"/>
    </row>
    <row r="13" spans="1:7" ht="27" customHeight="1" x14ac:dyDescent="0.25">
      <c r="A13" s="111" t="str">
        <f>Zones!C15</f>
        <v>Theater Area (Performance)</v>
      </c>
      <c r="B13" s="76">
        <v>0.8</v>
      </c>
      <c r="C13" s="447"/>
      <c r="D13" s="547"/>
      <c r="E13" s="76">
        <v>1.4</v>
      </c>
      <c r="F13" s="447"/>
      <c r="G13" s="547"/>
    </row>
    <row r="14" spans="1:7" ht="27" customHeight="1" x14ac:dyDescent="0.25">
      <c r="A14" s="111" t="str">
        <f>Zones!C16</f>
        <v>Classroom, Lecture, Training, Vocational Areas</v>
      </c>
      <c r="B14" s="76">
        <v>0.6</v>
      </c>
      <c r="C14" s="447"/>
      <c r="D14" s="547"/>
      <c r="E14" s="76">
        <v>1.2</v>
      </c>
      <c r="F14" s="447"/>
      <c r="G14" s="547"/>
    </row>
    <row r="15" spans="1:7" ht="27" customHeight="1" x14ac:dyDescent="0.25">
      <c r="A15" s="111" t="str">
        <f>Zones!C22</f>
        <v>Office Area (&lt;250 square feet)</v>
      </c>
      <c r="B15" s="76">
        <v>0.65</v>
      </c>
      <c r="C15" s="447">
        <v>0.1</v>
      </c>
      <c r="D15" s="536"/>
      <c r="E15" s="76">
        <v>1</v>
      </c>
      <c r="F15" s="447">
        <v>0.1</v>
      </c>
      <c r="G15" s="536"/>
    </row>
    <row r="16" spans="1:7" ht="27" customHeight="1" x14ac:dyDescent="0.25">
      <c r="A16" s="111" t="str">
        <f>Zones!C27</f>
        <v>Library (Reading Area)</v>
      </c>
      <c r="B16" s="76">
        <v>0.8</v>
      </c>
      <c r="C16" s="447"/>
      <c r="D16" s="548"/>
      <c r="E16" s="76">
        <v>1.1000000000000001</v>
      </c>
      <c r="F16" s="447"/>
      <c r="G16" s="548"/>
    </row>
  </sheetData>
  <autoFilter ref="A2:G16"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16"/>
    <mergeCell ref="G4:G1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9"/>
  <sheetViews>
    <sheetView zoomScale="85" zoomScaleNormal="85" workbookViewId="0">
      <selection sqref="A1:D1"/>
    </sheetView>
  </sheetViews>
  <sheetFormatPr defaultColWidth="8.6640625" defaultRowHeight="13.2" x14ac:dyDescent="0.25"/>
  <cols>
    <col min="1" max="1" width="32" style="4" customWidth="1"/>
    <col min="2" max="2" width="30.33203125" style="4" customWidth="1"/>
    <col min="3" max="3" width="21.33203125" style="4" customWidth="1"/>
    <col min="4" max="4" width="36.33203125" style="4" customWidth="1"/>
    <col min="5" max="5" width="38.88671875" style="4" customWidth="1"/>
    <col min="6" max="6" width="17.109375" style="4" customWidth="1"/>
    <col min="7" max="7" width="17.5546875" style="4" customWidth="1"/>
    <col min="8" max="8" width="15.5546875" style="4" customWidth="1"/>
    <col min="9" max="9" width="13.33203125" style="4" customWidth="1"/>
    <col min="10" max="16384" width="8.6640625" style="4"/>
  </cols>
  <sheetData>
    <row r="1" spans="1:7" ht="25.2" customHeight="1" x14ac:dyDescent="0.25">
      <c r="A1" s="621" t="str">
        <f>"Exterior Lighting - "&amp;Prototype!A2</f>
        <v>Exterior Lighting - SchoolK-8</v>
      </c>
      <c r="B1" s="621"/>
      <c r="C1" s="621"/>
      <c r="D1" s="621"/>
    </row>
    <row r="2" spans="1:7" ht="37.200000000000003" customHeight="1" x14ac:dyDescent="0.25">
      <c r="A2" s="455" t="s">
        <v>503</v>
      </c>
      <c r="B2" s="455" t="s">
        <v>504</v>
      </c>
      <c r="C2" s="455" t="s">
        <v>505</v>
      </c>
      <c r="D2" s="455" t="s">
        <v>315</v>
      </c>
    </row>
    <row r="3" spans="1:7" ht="45.6" customHeight="1" x14ac:dyDescent="0.25">
      <c r="A3" s="38">
        <f>G15</f>
        <v>1375.1198222222222</v>
      </c>
      <c r="B3" s="38">
        <f>G16</f>
        <v>4697.6743880000004</v>
      </c>
      <c r="C3" s="38">
        <f>A3+B3</f>
        <v>6072.7942102222223</v>
      </c>
      <c r="D3" s="450" t="s">
        <v>506</v>
      </c>
      <c r="E3" s="71"/>
    </row>
    <row r="4" spans="1:7" ht="22.2" customHeight="1" x14ac:dyDescent="0.25">
      <c r="A4" s="51"/>
      <c r="B4" s="51"/>
      <c r="C4" s="51"/>
    </row>
    <row r="5" spans="1:7" ht="14.4" x14ac:dyDescent="0.3">
      <c r="A5"/>
      <c r="C5" s="79"/>
      <c r="E5" s="80"/>
    </row>
    <row r="6" spans="1:7" ht="14.4" x14ac:dyDescent="0.3">
      <c r="A6"/>
      <c r="C6" s="79"/>
      <c r="E6" s="80"/>
    </row>
    <row r="7" spans="1:7" ht="15.6" x14ac:dyDescent="0.25">
      <c r="A7" s="621" t="str">
        <f>"Exterior Lighting"</f>
        <v>Exterior Lighting</v>
      </c>
      <c r="B7" s="621"/>
      <c r="C7" s="621"/>
      <c r="D7" s="621"/>
      <c r="E7" s="621"/>
      <c r="F7" s="621"/>
      <c r="G7" s="621"/>
    </row>
    <row r="8" spans="1:7" ht="51.6" customHeight="1" x14ac:dyDescent="0.25">
      <c r="A8" s="118" t="s">
        <v>507</v>
      </c>
      <c r="B8" s="540" t="s">
        <v>508</v>
      </c>
      <c r="C8" s="540"/>
      <c r="D8" s="455" t="s">
        <v>509</v>
      </c>
      <c r="E8" s="455" t="s">
        <v>510</v>
      </c>
      <c r="F8" s="455" t="s">
        <v>509</v>
      </c>
      <c r="G8" s="455" t="s">
        <v>511</v>
      </c>
    </row>
    <row r="9" spans="1:7" ht="21" customHeight="1" x14ac:dyDescent="0.25">
      <c r="A9" s="14" t="s">
        <v>512</v>
      </c>
      <c r="B9" s="14"/>
      <c r="C9" s="81"/>
      <c r="D9" s="449"/>
      <c r="E9" s="449">
        <v>200</v>
      </c>
      <c r="F9" s="447" t="s">
        <v>513</v>
      </c>
      <c r="G9" s="119">
        <f>$E9</f>
        <v>200</v>
      </c>
    </row>
    <row r="10" spans="1:7" ht="39.6" x14ac:dyDescent="0.25">
      <c r="A10" s="14" t="s">
        <v>514</v>
      </c>
      <c r="B10" s="15" t="s">
        <v>515</v>
      </c>
      <c r="C10" s="82">
        <f>B28/360*400</f>
        <v>55532.62222222222</v>
      </c>
      <c r="D10" s="449" t="s">
        <v>516</v>
      </c>
      <c r="E10" s="449">
        <v>1.9E-2</v>
      </c>
      <c r="F10" s="447" t="s">
        <v>517</v>
      </c>
      <c r="G10" s="119">
        <f t="shared" ref="G10:G13" si="0">E10*C10</f>
        <v>1055.1198222222222</v>
      </c>
    </row>
    <row r="11" spans="1:7" ht="39.6" x14ac:dyDescent="0.25">
      <c r="A11" s="14" t="s">
        <v>518</v>
      </c>
      <c r="B11" s="267" t="s">
        <v>519</v>
      </c>
      <c r="C11" s="81">
        <v>8</v>
      </c>
      <c r="D11" s="449" t="s">
        <v>520</v>
      </c>
      <c r="E11" s="449">
        <v>15</v>
      </c>
      <c r="F11" s="447" t="s">
        <v>521</v>
      </c>
      <c r="G11" s="119">
        <f t="shared" si="0"/>
        <v>120</v>
      </c>
    </row>
    <row r="12" spans="1:7" ht="39.6" customHeight="1" x14ac:dyDescent="0.25">
      <c r="A12" s="14" t="s">
        <v>522</v>
      </c>
      <c r="B12" s="15" t="s">
        <v>523</v>
      </c>
      <c r="C12" s="85">
        <f>B28*0.1*0.25</f>
        <v>1249.4840000000002</v>
      </c>
      <c r="D12" s="449" t="s">
        <v>516</v>
      </c>
      <c r="E12" s="449">
        <v>7.0000000000000001E-3</v>
      </c>
      <c r="F12" s="447" t="s">
        <v>517</v>
      </c>
      <c r="G12" s="120">
        <f t="shared" si="0"/>
        <v>8.7463880000000014</v>
      </c>
    </row>
    <row r="13" spans="1:7" ht="118.8" x14ac:dyDescent="0.25">
      <c r="A13" s="14" t="s">
        <v>524</v>
      </c>
      <c r="B13" s="267" t="s">
        <v>525</v>
      </c>
      <c r="C13" s="318">
        <f>0.25*4*(B21*B22+C21*C22+D21*D22+E21*E22)</f>
        <v>44889.280000000006</v>
      </c>
      <c r="D13" s="449" t="s">
        <v>516</v>
      </c>
      <c r="E13" s="449">
        <v>0.1</v>
      </c>
      <c r="F13" s="447" t="s">
        <v>517</v>
      </c>
      <c r="G13" s="120">
        <f t="shared" si="0"/>
        <v>4488.9280000000008</v>
      </c>
    </row>
    <row r="14" spans="1:7" ht="66" x14ac:dyDescent="0.25">
      <c r="A14" s="268" t="s">
        <v>526</v>
      </c>
      <c r="B14" s="267" t="s">
        <v>527</v>
      </c>
      <c r="C14" s="83"/>
      <c r="D14" s="449"/>
      <c r="E14" s="449"/>
      <c r="F14" s="447"/>
      <c r="G14" s="269">
        <v>200</v>
      </c>
    </row>
    <row r="15" spans="1:7" x14ac:dyDescent="0.25">
      <c r="A15" s="14" t="s">
        <v>503</v>
      </c>
      <c r="B15" s="14"/>
      <c r="C15" s="81"/>
      <c r="D15" s="449"/>
      <c r="E15" s="449"/>
      <c r="F15" s="449"/>
      <c r="G15" s="120">
        <f>G10+G9+G11</f>
        <v>1375.1198222222222</v>
      </c>
    </row>
    <row r="16" spans="1:7" x14ac:dyDescent="0.25">
      <c r="A16" s="14" t="s">
        <v>528</v>
      </c>
      <c r="B16" s="14"/>
      <c r="C16" s="81"/>
      <c r="D16" s="449"/>
      <c r="E16" s="449"/>
      <c r="F16" s="449"/>
      <c r="G16" s="120">
        <f>G12+G13+G14</f>
        <v>4697.6743880000004</v>
      </c>
    </row>
    <row r="17" spans="1:9" x14ac:dyDescent="0.25">
      <c r="A17" s="14" t="s">
        <v>236</v>
      </c>
      <c r="B17" s="14"/>
      <c r="C17" s="81"/>
      <c r="D17" s="449"/>
      <c r="E17" s="449"/>
      <c r="F17" s="449"/>
      <c r="G17" s="120">
        <f>G15+G16</f>
        <v>6072.7942102222223</v>
      </c>
    </row>
    <row r="20" spans="1:9" x14ac:dyDescent="0.25">
      <c r="B20" s="84" t="s">
        <v>529</v>
      </c>
      <c r="C20" s="4" t="s">
        <v>530</v>
      </c>
      <c r="D20" s="4" t="s">
        <v>531</v>
      </c>
      <c r="E20" s="4" t="s">
        <v>532</v>
      </c>
    </row>
    <row r="21" spans="1:9" x14ac:dyDescent="0.25">
      <c r="A21" s="4" t="s">
        <v>533</v>
      </c>
      <c r="B21" s="146">
        <f>(235.1+33.5)*2</f>
        <v>537.20000000000005</v>
      </c>
      <c r="C21" s="146">
        <f>(129.08+34.2)*2</f>
        <v>326.56000000000006</v>
      </c>
      <c r="D21" s="146">
        <f>(192+45)*2</f>
        <v>474</v>
      </c>
      <c r="E21" s="146">
        <f>(195.8+85.56)*2</f>
        <v>562.72</v>
      </c>
      <c r="F21" s="303"/>
    </row>
    <row r="22" spans="1:9" ht="27.75" customHeight="1" x14ac:dyDescent="0.25">
      <c r="A22" s="10" t="s">
        <v>534</v>
      </c>
      <c r="B22" s="303">
        <v>28</v>
      </c>
      <c r="C22" s="303">
        <v>28</v>
      </c>
      <c r="D22" s="303">
        <v>14</v>
      </c>
      <c r="E22" s="303">
        <v>25</v>
      </c>
      <c r="F22" s="303"/>
    </row>
    <row r="23" spans="1:9" x14ac:dyDescent="0.25">
      <c r="A23" s="10" t="s">
        <v>535</v>
      </c>
      <c r="B23" s="146">
        <v>7876</v>
      </c>
      <c r="C23" s="146">
        <v>4415</v>
      </c>
      <c r="D23" s="146">
        <v>8640</v>
      </c>
      <c r="E23" s="146">
        <v>16754</v>
      </c>
      <c r="F23" s="303"/>
    </row>
    <row r="24" spans="1:9" x14ac:dyDescent="0.25">
      <c r="A24" s="4" t="s">
        <v>536</v>
      </c>
      <c r="B24" s="4">
        <v>2</v>
      </c>
      <c r="C24" s="4">
        <v>2</v>
      </c>
      <c r="D24" s="4">
        <v>1</v>
      </c>
      <c r="E24" s="4">
        <v>1</v>
      </c>
    </row>
    <row r="25" spans="1:9" x14ac:dyDescent="0.25">
      <c r="A25" s="71" t="s">
        <v>537</v>
      </c>
      <c r="B25" s="71">
        <f>SUMIF(Zones!$A$3:$A$40,"SkoolK-8 North Classrooms",Zones!$H$3:$H$40)</f>
        <v>15753.22</v>
      </c>
      <c r="C25" s="71">
        <f>SUMIF(Zones!$A$3:$A$40,"SkoolK-8 West Classrooms",Zones!$H$3:$H$40)</f>
        <v>8829.9500000000007</v>
      </c>
      <c r="D25" s="71">
        <f>SUMIF(Zones!$A$3:$A$40,"SkoolK-8 Kindergarten",Zones!$H$3:$H$40)</f>
        <v>8640.8599999999988</v>
      </c>
      <c r="E25" s="71">
        <f>SUMIF(Zones!$A$3:$A$40,"SkoolK-8 Admin/MPR",Zones!$H$3:$H$40)</f>
        <v>16755.34</v>
      </c>
    </row>
    <row r="26" spans="1:9" x14ac:dyDescent="0.25">
      <c r="A26" s="71" t="s">
        <v>538</v>
      </c>
      <c r="B26" s="71">
        <f>B21*B22</f>
        <v>15041.600000000002</v>
      </c>
      <c r="C26" s="71">
        <f>C21*C22</f>
        <v>9143.6800000000021</v>
      </c>
      <c r="D26" s="71">
        <f>D21*D22</f>
        <v>6636</v>
      </c>
      <c r="E26" s="71">
        <f>E21*E22</f>
        <v>14068</v>
      </c>
    </row>
    <row r="27" spans="1:9" ht="14.4" x14ac:dyDescent="0.3">
      <c r="A27" s="71" t="s">
        <v>539</v>
      </c>
      <c r="B27" s="373">
        <f>SUM(B21:E21)</f>
        <v>1900.4800000000002</v>
      </c>
      <c r="C27" s="460"/>
      <c r="D27" s="144"/>
      <c r="E27" s="71"/>
      <c r="F27" s="145"/>
      <c r="G27" s="71"/>
      <c r="H27" s="71"/>
      <c r="I27" s="71"/>
    </row>
    <row r="28" spans="1:9" ht="14.25" customHeight="1" x14ac:dyDescent="0.3">
      <c r="A28" s="71" t="s">
        <v>540</v>
      </c>
      <c r="B28" s="373">
        <f>Prototype!B9</f>
        <v>49979.360000000001</v>
      </c>
      <c r="C28" s="71"/>
      <c r="D28" s="144"/>
      <c r="E28" s="71"/>
      <c r="F28" s="145"/>
      <c r="G28" s="71"/>
      <c r="H28" s="71"/>
      <c r="I28" s="71"/>
    </row>
    <row r="29" spans="1:9" s="22" customFormat="1" ht="13.2" hidden="1" customHeight="1" x14ac:dyDescent="0.25">
      <c r="A29" s="22" t="s">
        <v>381</v>
      </c>
      <c r="E29" s="23"/>
      <c r="F29" s="24"/>
      <c r="G29" s="25"/>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56"/>
  <sheetViews>
    <sheetView zoomScale="90" zoomScaleNormal="90" workbookViewId="0">
      <selection sqref="A1:E1"/>
    </sheetView>
  </sheetViews>
  <sheetFormatPr defaultColWidth="8.6640625" defaultRowHeight="13.2" x14ac:dyDescent="0.25"/>
  <cols>
    <col min="1" max="1" width="51.109375" style="4" bestFit="1" customWidth="1"/>
    <col min="2" max="2" width="23.5546875" style="4" customWidth="1"/>
    <col min="3" max="3" width="18.44140625" style="4" bestFit="1" customWidth="1"/>
    <col min="4" max="4" width="23.33203125" style="4" customWidth="1"/>
    <col min="5" max="5" width="68.44140625" style="4" customWidth="1"/>
    <col min="6" max="6" width="63.88671875" style="4" customWidth="1"/>
    <col min="7" max="7" width="16.33203125" style="4" customWidth="1"/>
    <col min="8" max="8" width="10.6640625" style="4" bestFit="1" customWidth="1"/>
    <col min="9" max="9" width="10.5546875" style="4" bestFit="1" customWidth="1"/>
    <col min="10" max="10" width="11.33203125" style="4" customWidth="1"/>
    <col min="11" max="11" width="54.33203125" style="4" customWidth="1"/>
    <col min="12" max="16384" width="8.6640625" style="4"/>
  </cols>
  <sheetData>
    <row r="1" spans="1:5" ht="23.4" customHeight="1" x14ac:dyDescent="0.25">
      <c r="A1" s="623" t="str">
        <f>"Equipment - "&amp;Prototype!A2</f>
        <v>Equipment - SchoolK-8</v>
      </c>
      <c r="B1" s="624"/>
      <c r="C1" s="624"/>
      <c r="D1" s="624"/>
      <c r="E1" s="624"/>
    </row>
    <row r="2" spans="1:5" ht="40.950000000000003" customHeight="1" x14ac:dyDescent="0.25">
      <c r="A2" s="453" t="s">
        <v>234</v>
      </c>
      <c r="B2" s="454" t="s">
        <v>541</v>
      </c>
      <c r="C2" s="454" t="s">
        <v>542</v>
      </c>
      <c r="D2" s="454" t="s">
        <v>543</v>
      </c>
      <c r="E2" s="456" t="s">
        <v>315</v>
      </c>
    </row>
    <row r="3" spans="1:5" ht="20.399999999999999" customHeight="1" x14ac:dyDescent="0.25">
      <c r="A3" s="110" t="str">
        <f>Zones!C3</f>
        <v>Lounge, Breakroom, or Waiting Area</v>
      </c>
      <c r="B3" s="148">
        <v>1</v>
      </c>
      <c r="C3" s="148">
        <v>0</v>
      </c>
      <c r="D3" s="149">
        <v>0</v>
      </c>
      <c r="E3" s="534" t="s">
        <v>544</v>
      </c>
    </row>
    <row r="4" spans="1:5" ht="20.399999999999999" customHeight="1" x14ac:dyDescent="0.25">
      <c r="A4" s="110" t="str">
        <f>Zones!C4</f>
        <v>Convention, Conference, Multipurpose and Meeting Area</v>
      </c>
      <c r="B4" s="148">
        <v>1</v>
      </c>
      <c r="C4" s="148">
        <v>0</v>
      </c>
      <c r="D4" s="149">
        <v>0</v>
      </c>
      <c r="E4" s="534"/>
    </row>
    <row r="5" spans="1:5" ht="20.399999999999999" customHeight="1" x14ac:dyDescent="0.25">
      <c r="A5" s="110" t="str">
        <f>Zones!C5</f>
        <v>Corridor Area</v>
      </c>
      <c r="B5" s="148">
        <v>0</v>
      </c>
      <c r="C5" s="148">
        <v>0</v>
      </c>
      <c r="D5" s="149">
        <v>0</v>
      </c>
      <c r="E5" s="534"/>
    </row>
    <row r="6" spans="1:5" ht="20.399999999999999" customHeight="1" x14ac:dyDescent="0.25">
      <c r="A6" s="110" t="str">
        <f>Zones!C6</f>
        <v>Electrical, Mechanical, Telephone Rooms</v>
      </c>
      <c r="B6" s="148">
        <v>3</v>
      </c>
      <c r="C6" s="148">
        <v>0</v>
      </c>
      <c r="D6" s="149">
        <v>0</v>
      </c>
      <c r="E6" s="534"/>
    </row>
    <row r="7" spans="1:5" ht="54" customHeight="1" x14ac:dyDescent="0.25">
      <c r="A7" s="110" t="str">
        <f>Zones!C8</f>
        <v>Kitchen/Food Preparation Area</v>
      </c>
      <c r="B7" s="148">
        <v>1.5</v>
      </c>
      <c r="C7" s="148">
        <v>17.537679999999998</v>
      </c>
      <c r="D7" s="149">
        <v>1.1200000000000001</v>
      </c>
      <c r="E7" s="446" t="s">
        <v>545</v>
      </c>
    </row>
    <row r="8" spans="1:5" ht="20.399999999999999" customHeight="1" x14ac:dyDescent="0.25">
      <c r="A8" s="110" t="str">
        <f>Zones!C9</f>
        <v>Lobby, Main Entry</v>
      </c>
      <c r="B8" s="148">
        <v>0.5</v>
      </c>
      <c r="C8" s="148">
        <v>0</v>
      </c>
      <c r="D8" s="149">
        <v>0</v>
      </c>
      <c r="E8" s="450" t="s">
        <v>544</v>
      </c>
    </row>
    <row r="9" spans="1:5" ht="68.25" customHeight="1" x14ac:dyDescent="0.25">
      <c r="A9" s="110" t="str">
        <f>Zones!C11</f>
        <v>Office Area (&lt;250 square feet)</v>
      </c>
      <c r="B9" s="148">
        <v>0.7</v>
      </c>
      <c r="C9" s="148">
        <v>0</v>
      </c>
      <c r="D9" s="149">
        <v>0</v>
      </c>
      <c r="E9" s="446" t="s">
        <v>546</v>
      </c>
    </row>
    <row r="10" spans="1:5" ht="20.399999999999999" customHeight="1" x14ac:dyDescent="0.25">
      <c r="A10" s="110" t="str">
        <f>Zones!C12</f>
        <v>Restrooms</v>
      </c>
      <c r="B10" s="148">
        <v>0</v>
      </c>
      <c r="C10" s="148">
        <v>0</v>
      </c>
      <c r="D10" s="149">
        <v>0</v>
      </c>
      <c r="E10" s="534" t="s">
        <v>544</v>
      </c>
    </row>
    <row r="11" spans="1:5" ht="20.399999999999999" customHeight="1" x14ac:dyDescent="0.25">
      <c r="A11" s="110" t="str">
        <f>Zones!C13</f>
        <v>Storage (General)</v>
      </c>
      <c r="B11" s="148">
        <v>0.2</v>
      </c>
      <c r="C11" s="148">
        <v>0</v>
      </c>
      <c r="D11" s="149">
        <v>0</v>
      </c>
      <c r="E11" s="534"/>
    </row>
    <row r="12" spans="1:5" ht="20.399999999999999" customHeight="1" x14ac:dyDescent="0.25">
      <c r="A12" s="110" t="str">
        <f>Zones!C14</f>
        <v>Storage, Commercial/Industrial (Refrigerated)</v>
      </c>
      <c r="B12" s="148">
        <v>0.2</v>
      </c>
      <c r="C12" s="148">
        <v>0</v>
      </c>
      <c r="D12" s="149">
        <v>10</v>
      </c>
      <c r="E12" s="534"/>
    </row>
    <row r="13" spans="1:5" ht="20.399999999999999" customHeight="1" x14ac:dyDescent="0.25">
      <c r="A13" s="110" t="str">
        <f>Zones!C15</f>
        <v>Theater Area (Performance)</v>
      </c>
      <c r="B13" s="148">
        <v>0.5</v>
      </c>
      <c r="C13" s="148">
        <v>0</v>
      </c>
      <c r="D13" s="149">
        <v>0</v>
      </c>
      <c r="E13" s="534"/>
    </row>
    <row r="14" spans="1:5" ht="67.5" customHeight="1" x14ac:dyDescent="0.25">
      <c r="A14" s="110" t="str">
        <f>Zones!C16</f>
        <v>Classroom, Lecture, Training, Vocational Areas</v>
      </c>
      <c r="B14" s="148">
        <v>0.8</v>
      </c>
      <c r="C14" s="148">
        <v>0</v>
      </c>
      <c r="D14" s="149">
        <v>0</v>
      </c>
      <c r="E14" s="446" t="s">
        <v>547</v>
      </c>
    </row>
    <row r="15" spans="1:5" ht="20.399999999999999" customHeight="1" x14ac:dyDescent="0.25">
      <c r="A15" s="110" t="str">
        <f>Zones!C27</f>
        <v>Library (Reading Area)</v>
      </c>
      <c r="B15" s="148">
        <v>1.5</v>
      </c>
      <c r="C15" s="148">
        <v>0</v>
      </c>
      <c r="D15" s="149">
        <v>0</v>
      </c>
      <c r="E15" s="450"/>
    </row>
    <row r="16" spans="1:5" ht="15" customHeight="1" x14ac:dyDescent="0.25">
      <c r="A16" s="135"/>
    </row>
    <row r="17" spans="1:11" ht="18" customHeight="1" x14ac:dyDescent="0.25">
      <c r="A17" s="64"/>
      <c r="B17" s="64"/>
      <c r="C17" s="64"/>
      <c r="D17" s="64"/>
      <c r="E17" s="6"/>
      <c r="F17" s="227"/>
    </row>
    <row r="18" spans="1:11" ht="18" customHeight="1" x14ac:dyDescent="0.3">
      <c r="A18" s="625" t="s">
        <v>548</v>
      </c>
      <c r="B18" s="626"/>
      <c r="C18" s="626"/>
      <c r="D18" s="626"/>
      <c r="E18" s="626"/>
      <c r="F18" s="626"/>
      <c r="G18" s="626"/>
      <c r="H18" s="626"/>
      <c r="I18" s="626"/>
      <c r="J18" s="626"/>
      <c r="K18" s="626"/>
    </row>
    <row r="19" spans="1:11" ht="43.95" customHeight="1" x14ac:dyDescent="0.25">
      <c r="A19" s="261" t="s">
        <v>241</v>
      </c>
      <c r="B19" s="261" t="s">
        <v>549</v>
      </c>
      <c r="C19" s="261" t="s">
        <v>550</v>
      </c>
      <c r="D19" s="261" t="s">
        <v>551</v>
      </c>
      <c r="E19" s="261" t="s">
        <v>552</v>
      </c>
      <c r="F19" s="261" t="s">
        <v>553</v>
      </c>
      <c r="G19" s="261" t="s">
        <v>554</v>
      </c>
      <c r="H19" s="261" t="s">
        <v>555</v>
      </c>
      <c r="I19" s="261" t="s">
        <v>556</v>
      </c>
      <c r="J19" s="261" t="s">
        <v>557</v>
      </c>
      <c r="K19" s="261" t="s">
        <v>299</v>
      </c>
    </row>
    <row r="20" spans="1:11" ht="52.2" customHeight="1" x14ac:dyDescent="0.25">
      <c r="A20" s="489" t="s">
        <v>272</v>
      </c>
      <c r="B20" s="489" t="s">
        <v>558</v>
      </c>
      <c r="C20" s="489">
        <v>2</v>
      </c>
      <c r="D20" s="488">
        <v>1.1399999999999999</v>
      </c>
      <c r="E20" s="488">
        <v>0.33</v>
      </c>
      <c r="F20" s="489" t="s">
        <v>559</v>
      </c>
      <c r="G20" s="488">
        <f>ROUND(INDEX($C:$C,MATCH("Annual energy consumption of the elevator - Existing",$B:$B,0))/INDEX($C:$C,MATCH("Equivalent full load hours",$B:$B,0))*1000,2)</f>
        <v>6379.25</v>
      </c>
      <c r="H20" s="488">
        <f>ROUND(C20*INDEX($C:$C,MATCH("Cab fan airflow",$B:$B,0))*E20,2)</f>
        <v>165</v>
      </c>
      <c r="I20" s="488">
        <f>ROUND(C20*INDEX($C:$C,MATCH("Cab floor area",$B:$B,0))*D20,2)</f>
        <v>68.17</v>
      </c>
      <c r="J20" s="488">
        <f>ROUND(SUM(G20:I20),2)</f>
        <v>6612.42</v>
      </c>
      <c r="K20" s="489" t="s">
        <v>560</v>
      </c>
    </row>
    <row r="21" spans="1:11" ht="52.2" customHeight="1" x14ac:dyDescent="0.25">
      <c r="A21" s="489" t="s">
        <v>335</v>
      </c>
      <c r="B21" s="489" t="s">
        <v>561</v>
      </c>
      <c r="C21" s="489">
        <v>2</v>
      </c>
      <c r="D21" s="488">
        <v>0.6</v>
      </c>
      <c r="E21" s="488">
        <v>0.33</v>
      </c>
      <c r="F21" s="489" t="s">
        <v>562</v>
      </c>
      <c r="G21" s="488">
        <f>ROUND(INDEX($C:$C,MATCH("Annual energy consumption of the elevator - New Construction",$B:$B,0))/INDEX($C:$C,MATCH("Equivalent full load hours",$B:$B,0))*1000,2)</f>
        <v>3329.02</v>
      </c>
      <c r="H21" s="488">
        <f>ROUND(C21*INDEX($C:$C,MATCH("Cab fan airflow",$B:$B,0))*E21,2)</f>
        <v>165</v>
      </c>
      <c r="I21" s="488">
        <f>ROUND(C21*INDEX($C:$C,MATCH("Cab floor area",$B:$B,0))*D21,2)</f>
        <v>35.880000000000003</v>
      </c>
      <c r="J21" s="488">
        <f>ROUND(SUM(G21:I21),2)</f>
        <v>3529.9</v>
      </c>
      <c r="K21" s="489" t="s">
        <v>563</v>
      </c>
    </row>
    <row r="22" spans="1:11" ht="48" customHeight="1" x14ac:dyDescent="0.3">
      <c r="A22" s="629" t="s">
        <v>564</v>
      </c>
      <c r="B22" s="629"/>
      <c r="C22" s="629"/>
      <c r="D22" s="629"/>
      <c r="E22" s="629"/>
      <c r="F22" s="629"/>
      <c r="G22" s="629"/>
      <c r="H22" s="629"/>
      <c r="I22" s="629"/>
      <c r="J22" s="629"/>
      <c r="K22" s="629"/>
    </row>
    <row r="23" spans="1:11" ht="14.4" x14ac:dyDescent="0.3">
      <c r="A23"/>
      <c r="B23"/>
      <c r="C23"/>
      <c r="D23"/>
      <c r="E23"/>
      <c r="F23"/>
      <c r="G23"/>
      <c r="H23"/>
      <c r="I23"/>
      <c r="J23"/>
      <c r="K23"/>
    </row>
    <row r="24" spans="1:11" ht="14.4" x14ac:dyDescent="0.3">
      <c r="A24" s="627" t="s">
        <v>565</v>
      </c>
      <c r="B24" s="628"/>
      <c r="C24" s="628"/>
      <c r="D24" s="628"/>
      <c r="E24" s="628"/>
      <c r="F24"/>
      <c r="G24"/>
      <c r="H24"/>
      <c r="I24"/>
      <c r="J24"/>
      <c r="K24"/>
    </row>
    <row r="25" spans="1:11" ht="14.4" x14ac:dyDescent="0.3">
      <c r="A25" s="261" t="s">
        <v>566</v>
      </c>
      <c r="B25" s="261" t="s">
        <v>567</v>
      </c>
      <c r="C25" s="261" t="s">
        <v>70</v>
      </c>
      <c r="D25" s="261" t="s">
        <v>568</v>
      </c>
      <c r="E25" s="261" t="s">
        <v>315</v>
      </c>
      <c r="F25"/>
      <c r="G25"/>
      <c r="H25"/>
      <c r="I25"/>
      <c r="J25"/>
      <c r="K25"/>
    </row>
    <row r="26" spans="1:11" ht="43.2" x14ac:dyDescent="0.3">
      <c r="A26" s="622" t="s">
        <v>561</v>
      </c>
      <c r="B26" s="489" t="s">
        <v>569</v>
      </c>
      <c r="C26" s="489">
        <v>31634.71</v>
      </c>
      <c r="D26" s="489" t="s">
        <v>570</v>
      </c>
      <c r="E26" s="489" t="s">
        <v>571</v>
      </c>
      <c r="F26"/>
      <c r="G26"/>
      <c r="H26"/>
      <c r="I26"/>
      <c r="J26"/>
      <c r="K26"/>
    </row>
    <row r="27" spans="1:11" ht="57.6" x14ac:dyDescent="0.3">
      <c r="A27" s="622"/>
      <c r="B27" s="489" t="s">
        <v>572</v>
      </c>
      <c r="C27" s="489">
        <v>16508.63</v>
      </c>
      <c r="D27" s="489" t="s">
        <v>570</v>
      </c>
      <c r="E27" s="489" t="s">
        <v>571</v>
      </c>
      <c r="F27"/>
      <c r="G27"/>
      <c r="H27"/>
      <c r="I27"/>
      <c r="J27"/>
      <c r="K27"/>
    </row>
    <row r="28" spans="1:11" ht="28.8" x14ac:dyDescent="0.3">
      <c r="A28" s="489" t="s">
        <v>573</v>
      </c>
      <c r="B28" s="489" t="s">
        <v>574</v>
      </c>
      <c r="C28" s="489" t="s">
        <v>575</v>
      </c>
      <c r="D28" s="489" t="s">
        <v>576</v>
      </c>
      <c r="E28" s="489" t="s">
        <v>577</v>
      </c>
      <c r="F28"/>
      <c r="G28"/>
      <c r="H28"/>
      <c r="I28"/>
      <c r="J28"/>
      <c r="K28"/>
    </row>
    <row r="29" spans="1:11" ht="28.8" x14ac:dyDescent="0.3">
      <c r="A29" s="489" t="s">
        <v>578</v>
      </c>
      <c r="B29" s="489" t="s">
        <v>579</v>
      </c>
      <c r="C29" s="489" t="s">
        <v>580</v>
      </c>
      <c r="D29" s="489" t="s">
        <v>576</v>
      </c>
      <c r="E29" s="489" t="s">
        <v>577</v>
      </c>
      <c r="F29"/>
      <c r="G29"/>
      <c r="H29"/>
      <c r="I29"/>
      <c r="J29"/>
      <c r="K29"/>
    </row>
    <row r="30" spans="1:11" ht="14.4" x14ac:dyDescent="0.3">
      <c r="A30" s="489" t="s">
        <v>581</v>
      </c>
      <c r="B30" s="489" t="s">
        <v>582</v>
      </c>
      <c r="C30" s="489">
        <v>1361</v>
      </c>
      <c r="D30" s="489" t="s">
        <v>583</v>
      </c>
      <c r="E30" s="489" t="s">
        <v>584</v>
      </c>
      <c r="F30"/>
      <c r="G30"/>
      <c r="H30"/>
      <c r="I30"/>
      <c r="J30"/>
      <c r="K30"/>
    </row>
    <row r="31" spans="1:11" ht="14.4" x14ac:dyDescent="0.3">
      <c r="A31" s="489" t="s">
        <v>585</v>
      </c>
      <c r="B31" s="489" t="s">
        <v>586</v>
      </c>
      <c r="C31" s="489">
        <v>29.9</v>
      </c>
      <c r="D31" s="489" t="s">
        <v>587</v>
      </c>
      <c r="E31" s="489" t="s">
        <v>588</v>
      </c>
      <c r="F31"/>
      <c r="G31"/>
      <c r="H31"/>
      <c r="I31"/>
      <c r="J31"/>
      <c r="K31"/>
    </row>
    <row r="32" spans="1:11" ht="14.4" x14ac:dyDescent="0.3">
      <c r="A32" s="489" t="s">
        <v>589</v>
      </c>
      <c r="B32" s="489" t="s">
        <v>590</v>
      </c>
      <c r="C32" s="489">
        <v>250</v>
      </c>
      <c r="D32" s="489" t="s">
        <v>591</v>
      </c>
      <c r="E32" s="489" t="s">
        <v>592</v>
      </c>
      <c r="F32"/>
      <c r="G32"/>
      <c r="H32"/>
      <c r="I32"/>
      <c r="J32"/>
      <c r="K32"/>
    </row>
    <row r="33" spans="1:11" ht="14.4" x14ac:dyDescent="0.3">
      <c r="A33" s="489" t="s">
        <v>593</v>
      </c>
      <c r="B33" s="489" t="s">
        <v>594</v>
      </c>
      <c r="C33" s="489">
        <v>2</v>
      </c>
      <c r="D33" s="489" t="s">
        <v>595</v>
      </c>
      <c r="E33" s="489" t="s">
        <v>596</v>
      </c>
      <c r="F33"/>
      <c r="G33"/>
      <c r="H33"/>
      <c r="I33"/>
      <c r="J33"/>
      <c r="K33"/>
    </row>
    <row r="34" spans="1:11" ht="14.4" x14ac:dyDescent="0.3">
      <c r="A34" s="489" t="s">
        <v>597</v>
      </c>
      <c r="B34" s="489" t="s">
        <v>598</v>
      </c>
      <c r="C34" s="489">
        <v>260</v>
      </c>
      <c r="D34" s="489" t="s">
        <v>599</v>
      </c>
      <c r="E34" s="489" t="s">
        <v>596</v>
      </c>
      <c r="F34"/>
      <c r="G34"/>
      <c r="H34"/>
      <c r="I34"/>
      <c r="J34"/>
      <c r="K34"/>
    </row>
    <row r="35" spans="1:11" ht="14.4" x14ac:dyDescent="0.3">
      <c r="A35" s="489" t="s">
        <v>600</v>
      </c>
      <c r="B35" s="489" t="s">
        <v>601</v>
      </c>
      <c r="C35" s="489">
        <v>2</v>
      </c>
      <c r="D35" s="489" t="s">
        <v>602</v>
      </c>
      <c r="E35" s="489" t="s">
        <v>603</v>
      </c>
      <c r="F35"/>
      <c r="G35"/>
      <c r="H35"/>
      <c r="I35"/>
      <c r="J35"/>
      <c r="K35"/>
    </row>
    <row r="36" spans="1:11" ht="14.4" x14ac:dyDescent="0.3">
      <c r="A36" s="489" t="s">
        <v>604</v>
      </c>
      <c r="B36" s="489" t="s">
        <v>605</v>
      </c>
      <c r="C36" s="489">
        <v>4.2699999999999996</v>
      </c>
      <c r="D36" s="489" t="s">
        <v>606</v>
      </c>
      <c r="E36" s="489" t="s">
        <v>603</v>
      </c>
      <c r="F36"/>
      <c r="G36"/>
      <c r="H36"/>
      <c r="I36"/>
      <c r="J36"/>
      <c r="K36"/>
    </row>
    <row r="37" spans="1:11" ht="14.4" x14ac:dyDescent="0.3">
      <c r="A37" s="489" t="s">
        <v>607</v>
      </c>
      <c r="B37" s="489" t="s">
        <v>608</v>
      </c>
      <c r="C37" s="489">
        <v>1</v>
      </c>
      <c r="D37" s="489" t="s">
        <v>609</v>
      </c>
      <c r="E37" s="489" t="s">
        <v>596</v>
      </c>
      <c r="F37"/>
      <c r="G37"/>
      <c r="H37"/>
      <c r="I37"/>
      <c r="J37"/>
      <c r="K37"/>
    </row>
    <row r="38" spans="1:11" ht="14.4" x14ac:dyDescent="0.3">
      <c r="A38" s="489" t="s">
        <v>610</v>
      </c>
      <c r="B38" s="489" t="s">
        <v>611</v>
      </c>
      <c r="C38" s="489">
        <v>125</v>
      </c>
      <c r="D38" s="489" t="s">
        <v>612</v>
      </c>
      <c r="E38" s="489" t="s">
        <v>596</v>
      </c>
      <c r="F38"/>
      <c r="G38"/>
      <c r="H38"/>
      <c r="I38"/>
      <c r="J38"/>
      <c r="K38"/>
    </row>
    <row r="39" spans="1:11" ht="28.8" x14ac:dyDescent="0.3">
      <c r="A39" s="489" t="s">
        <v>613</v>
      </c>
      <c r="B39" s="489" t="s">
        <v>614</v>
      </c>
      <c r="C39" s="489">
        <v>1</v>
      </c>
      <c r="D39" s="489" t="s">
        <v>615</v>
      </c>
      <c r="E39" s="489" t="s">
        <v>616</v>
      </c>
      <c r="F39"/>
      <c r="G39"/>
      <c r="H39"/>
      <c r="I39"/>
      <c r="J39"/>
      <c r="K39"/>
    </row>
    <row r="40" spans="1:11" ht="14.4" x14ac:dyDescent="0.3">
      <c r="A40" s="489" t="s">
        <v>617</v>
      </c>
      <c r="B40" s="489" t="s">
        <v>618</v>
      </c>
      <c r="C40" s="489">
        <v>1</v>
      </c>
      <c r="D40" s="489" t="s">
        <v>619</v>
      </c>
      <c r="E40" s="489" t="s">
        <v>620</v>
      </c>
      <c r="F40"/>
      <c r="G40"/>
      <c r="H40"/>
      <c r="I40"/>
      <c r="J40"/>
      <c r="K40"/>
    </row>
    <row r="41" spans="1:11" ht="14.4" x14ac:dyDescent="0.3">
      <c r="A41" s="489" t="s">
        <v>621</v>
      </c>
      <c r="B41" s="489" t="s">
        <v>622</v>
      </c>
      <c r="C41" s="489">
        <v>1.25</v>
      </c>
      <c r="D41" s="489" t="s">
        <v>623</v>
      </c>
      <c r="E41" s="489" t="s">
        <v>620</v>
      </c>
      <c r="F41"/>
      <c r="G41"/>
      <c r="H41"/>
      <c r="I41"/>
      <c r="J41"/>
      <c r="K41"/>
    </row>
    <row r="42" spans="1:11" ht="14.4" x14ac:dyDescent="0.3">
      <c r="A42" s="489" t="s">
        <v>624</v>
      </c>
      <c r="B42" s="489" t="s">
        <v>625</v>
      </c>
      <c r="C42" s="489">
        <v>8</v>
      </c>
      <c r="D42" s="489" t="s">
        <v>626</v>
      </c>
      <c r="E42" s="489" t="s">
        <v>620</v>
      </c>
      <c r="F42"/>
      <c r="G42"/>
      <c r="H42"/>
      <c r="I42"/>
      <c r="J42"/>
      <c r="K42"/>
    </row>
    <row r="43" spans="1:11" ht="28.8" x14ac:dyDescent="0.3">
      <c r="A43" s="489" t="s">
        <v>627</v>
      </c>
      <c r="B43" s="489" t="s">
        <v>628</v>
      </c>
      <c r="C43" s="489">
        <v>8.5399999999999991</v>
      </c>
      <c r="D43" s="489" t="s">
        <v>629</v>
      </c>
      <c r="E43" s="489" t="s">
        <v>630</v>
      </c>
      <c r="F43"/>
      <c r="G43"/>
      <c r="H43"/>
      <c r="I43"/>
      <c r="J43"/>
      <c r="K43"/>
    </row>
    <row r="44" spans="1:11" ht="14.4" x14ac:dyDescent="0.3">
      <c r="A44" s="489" t="s">
        <v>631</v>
      </c>
      <c r="B44" s="489" t="s">
        <v>632</v>
      </c>
      <c r="C44" s="489">
        <v>18.34</v>
      </c>
      <c r="D44" s="489" t="s">
        <v>633</v>
      </c>
      <c r="E44" s="489" t="s">
        <v>634</v>
      </c>
      <c r="F44"/>
      <c r="G44"/>
      <c r="H44"/>
      <c r="I44"/>
      <c r="J44"/>
      <c r="K44"/>
    </row>
    <row r="45" spans="1:11" ht="14.4" x14ac:dyDescent="0.3">
      <c r="A45" s="489" t="s">
        <v>635</v>
      </c>
      <c r="B45" s="489" t="s">
        <v>636</v>
      </c>
      <c r="C45" s="489">
        <v>23.36</v>
      </c>
      <c r="D45" s="489" t="s">
        <v>637</v>
      </c>
      <c r="E45" s="489" t="s">
        <v>638</v>
      </c>
      <c r="F45"/>
      <c r="G45"/>
      <c r="H45"/>
      <c r="I45"/>
      <c r="J45"/>
      <c r="K45"/>
    </row>
    <row r="46" spans="1:11" ht="14.4" x14ac:dyDescent="0.3">
      <c r="A46" s="489" t="s">
        <v>639</v>
      </c>
      <c r="B46" s="489" t="s">
        <v>640</v>
      </c>
      <c r="C46" s="489">
        <v>8594.43</v>
      </c>
      <c r="D46" s="489" t="s">
        <v>641</v>
      </c>
      <c r="E46" s="489" t="s">
        <v>642</v>
      </c>
      <c r="F46"/>
      <c r="G46"/>
      <c r="H46"/>
      <c r="I46"/>
      <c r="J46"/>
      <c r="K46"/>
    </row>
    <row r="47" spans="1:11" ht="14.4" x14ac:dyDescent="0.3">
      <c r="A47" s="489" t="s">
        <v>643</v>
      </c>
      <c r="B47" s="489" t="s">
        <v>643</v>
      </c>
      <c r="C47" s="489">
        <v>40</v>
      </c>
      <c r="D47" s="489" t="s">
        <v>644</v>
      </c>
      <c r="E47" s="489" t="s">
        <v>645</v>
      </c>
      <c r="F47"/>
      <c r="G47"/>
      <c r="H47"/>
      <c r="I47"/>
      <c r="J47"/>
      <c r="K47"/>
    </row>
    <row r="48" spans="1:11" ht="14.4" x14ac:dyDescent="0.3">
      <c r="A48" s="489" t="s">
        <v>646</v>
      </c>
      <c r="B48" s="489" t="s">
        <v>647</v>
      </c>
      <c r="C48" s="490">
        <f>Schedules!AD100</f>
        <v>4959</v>
      </c>
      <c r="D48" s="489" t="s">
        <v>648</v>
      </c>
      <c r="E48" s="489" t="s">
        <v>649</v>
      </c>
      <c r="F48"/>
      <c r="G48"/>
      <c r="H48"/>
      <c r="I48"/>
      <c r="J48"/>
      <c r="K48"/>
    </row>
    <row r="50" spans="1:5" x14ac:dyDescent="0.25">
      <c r="A50" s="71"/>
    </row>
    <row r="51" spans="1:5" x14ac:dyDescent="0.25">
      <c r="A51" s="71"/>
      <c r="B51" s="71"/>
      <c r="C51" s="71"/>
      <c r="D51" s="71"/>
      <c r="E51" s="71"/>
    </row>
    <row r="52" spans="1:5" ht="39.6" customHeight="1" x14ac:dyDescent="0.25">
      <c r="A52" s="71"/>
      <c r="B52" s="71"/>
      <c r="C52" s="71"/>
      <c r="D52" s="71"/>
      <c r="E52" s="551"/>
    </row>
    <row r="53" spans="1:5" x14ac:dyDescent="0.25">
      <c r="A53" s="71"/>
      <c r="B53" s="71"/>
      <c r="C53" s="71"/>
      <c r="D53" s="71"/>
      <c r="E53" s="551"/>
    </row>
    <row r="54" spans="1:5" x14ac:dyDescent="0.25">
      <c r="A54" s="71"/>
      <c r="B54" s="71"/>
      <c r="C54" s="71"/>
      <c r="D54" s="71"/>
      <c r="E54" s="551"/>
    </row>
    <row r="55" spans="1:5" x14ac:dyDescent="0.25">
      <c r="A55" s="71"/>
      <c r="B55" s="71"/>
      <c r="C55" s="71"/>
      <c r="D55" s="71"/>
      <c r="E55" s="551"/>
    </row>
    <row r="56" spans="1:5" x14ac:dyDescent="0.25">
      <c r="A56" s="71"/>
      <c r="B56" s="71"/>
      <c r="C56" s="71"/>
    </row>
  </sheetData>
  <autoFilter ref="A2:E15" xr:uid="{84519C81-B0B9-4AE9-9154-3628732CA590}"/>
  <mergeCells count="8">
    <mergeCell ref="E52:E55"/>
    <mergeCell ref="A26:A27"/>
    <mergeCell ref="A1:E1"/>
    <mergeCell ref="E3:E6"/>
    <mergeCell ref="E10:E13"/>
    <mergeCell ref="A18:K18"/>
    <mergeCell ref="A24:E24"/>
    <mergeCell ref="A22:K22"/>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2B4C-25C9-41C7-A8AC-09AC0F00160D}">
  <dimension ref="A1:AP149"/>
  <sheetViews>
    <sheetView zoomScale="90" zoomScaleNormal="90" workbookViewId="0">
      <selection sqref="A1:AC1"/>
    </sheetView>
  </sheetViews>
  <sheetFormatPr defaultColWidth="9.33203125" defaultRowHeight="11.4" x14ac:dyDescent="0.3"/>
  <cols>
    <col min="1" max="1" width="14.33203125" style="39" customWidth="1"/>
    <col min="2" max="2" width="25.5546875" style="39" bestFit="1" customWidth="1"/>
    <col min="3" max="3" width="33.109375" style="39" customWidth="1"/>
    <col min="4" max="4" width="16.6640625" style="39" customWidth="1"/>
    <col min="5" max="5" width="24.33203125" style="39" bestFit="1" customWidth="1"/>
    <col min="6" max="6" width="9.33203125" style="39"/>
    <col min="7" max="29" width="5.6640625" style="39" customWidth="1"/>
    <col min="30" max="30" width="8.5546875" style="39" customWidth="1"/>
    <col min="31" max="16384" width="9.33203125" style="39"/>
  </cols>
  <sheetData>
    <row r="1" spans="1:39" ht="24" customHeight="1" x14ac:dyDescent="0.3">
      <c r="A1" s="704" t="s">
        <v>650</v>
      </c>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6"/>
      <c r="AD1" s="40"/>
      <c r="AE1" s="40"/>
      <c r="AF1" s="40"/>
      <c r="AG1" s="40"/>
      <c r="AH1" s="40"/>
      <c r="AI1" s="41"/>
      <c r="AJ1" s="41"/>
      <c r="AK1" s="41"/>
    </row>
    <row r="2" spans="1:39" ht="24" customHeight="1" x14ac:dyDescent="0.3">
      <c r="A2" s="619" t="s">
        <v>651</v>
      </c>
      <c r="B2" s="702" t="s">
        <v>122</v>
      </c>
      <c r="C2" s="619" t="s">
        <v>652</v>
      </c>
      <c r="D2" s="619" t="s">
        <v>315</v>
      </c>
      <c r="E2" s="619" t="s">
        <v>653</v>
      </c>
      <c r="F2" s="710" t="s">
        <v>654</v>
      </c>
      <c r="G2" s="710"/>
      <c r="H2" s="710"/>
      <c r="I2" s="710"/>
      <c r="J2" s="710"/>
      <c r="K2" s="710"/>
      <c r="L2" s="710"/>
      <c r="M2" s="710"/>
      <c r="N2" s="710"/>
      <c r="O2" s="710"/>
      <c r="P2" s="710"/>
      <c r="Q2" s="710"/>
      <c r="R2" s="710"/>
      <c r="S2" s="710"/>
      <c r="T2" s="710"/>
      <c r="U2" s="710"/>
      <c r="V2" s="710"/>
      <c r="W2" s="710"/>
      <c r="X2" s="710"/>
      <c r="Y2" s="710"/>
      <c r="Z2" s="710"/>
      <c r="AA2" s="710"/>
      <c r="AB2" s="710"/>
      <c r="AC2" s="710"/>
      <c r="AD2" s="40"/>
      <c r="AE2" s="40"/>
      <c r="AF2" s="40"/>
      <c r="AG2" s="40"/>
      <c r="AH2" s="40"/>
      <c r="AI2" s="41"/>
      <c r="AJ2" s="41"/>
      <c r="AK2" s="41"/>
    </row>
    <row r="3" spans="1:39" ht="25.2" customHeight="1" thickBot="1" x14ac:dyDescent="0.35">
      <c r="A3" s="702"/>
      <c r="B3" s="703"/>
      <c r="C3" s="702"/>
      <c r="D3" s="702"/>
      <c r="E3" s="702"/>
      <c r="F3" s="456">
        <v>1</v>
      </c>
      <c r="G3" s="456">
        <v>2</v>
      </c>
      <c r="H3" s="456">
        <v>3</v>
      </c>
      <c r="I3" s="456">
        <v>4</v>
      </c>
      <c r="J3" s="456">
        <v>5</v>
      </c>
      <c r="K3" s="456">
        <v>6</v>
      </c>
      <c r="L3" s="456">
        <v>7</v>
      </c>
      <c r="M3" s="456">
        <v>8</v>
      </c>
      <c r="N3" s="456">
        <v>9</v>
      </c>
      <c r="O3" s="456">
        <v>10</v>
      </c>
      <c r="P3" s="456">
        <v>11</v>
      </c>
      <c r="Q3" s="456">
        <v>12</v>
      </c>
      <c r="R3" s="456">
        <v>13</v>
      </c>
      <c r="S3" s="456">
        <v>14</v>
      </c>
      <c r="T3" s="456">
        <v>15</v>
      </c>
      <c r="U3" s="456">
        <v>16</v>
      </c>
      <c r="V3" s="456">
        <v>17</v>
      </c>
      <c r="W3" s="456">
        <v>18</v>
      </c>
      <c r="X3" s="456">
        <v>19</v>
      </c>
      <c r="Y3" s="456">
        <v>20</v>
      </c>
      <c r="Z3" s="456">
        <v>21</v>
      </c>
      <c r="AA3" s="456">
        <v>22</v>
      </c>
      <c r="AB3" s="456">
        <v>23</v>
      </c>
      <c r="AC3" s="456">
        <v>24</v>
      </c>
      <c r="AD3" s="41"/>
      <c r="AE3" s="41"/>
      <c r="AF3" s="41"/>
      <c r="AG3" s="41"/>
      <c r="AH3" s="41"/>
      <c r="AI3" s="41"/>
      <c r="AJ3" s="41"/>
      <c r="AK3" s="41"/>
    </row>
    <row r="4" spans="1:39" ht="25.2" customHeight="1" x14ac:dyDescent="0.3">
      <c r="A4" s="644" t="s">
        <v>655</v>
      </c>
      <c r="B4" s="647" t="s">
        <v>656</v>
      </c>
      <c r="C4" s="707" t="s">
        <v>657</v>
      </c>
      <c r="D4" s="653" t="s">
        <v>658</v>
      </c>
      <c r="E4" s="178" t="s">
        <v>659</v>
      </c>
      <c r="F4" s="174">
        <v>0</v>
      </c>
      <c r="G4" s="174">
        <v>0</v>
      </c>
      <c r="H4" s="174">
        <v>0</v>
      </c>
      <c r="I4" s="174">
        <v>0</v>
      </c>
      <c r="J4" s="174">
        <v>0</v>
      </c>
      <c r="K4" s="174">
        <v>0</v>
      </c>
      <c r="L4" s="174">
        <v>0</v>
      </c>
      <c r="M4" s="174">
        <v>0.05</v>
      </c>
      <c r="N4" s="174">
        <v>0.75</v>
      </c>
      <c r="O4" s="174">
        <v>0.9</v>
      </c>
      <c r="P4" s="174">
        <v>0.9</v>
      </c>
      <c r="Q4" s="174">
        <v>0.8</v>
      </c>
      <c r="R4" s="174">
        <v>0.8</v>
      </c>
      <c r="S4" s="174">
        <v>0.8</v>
      </c>
      <c r="T4" s="174">
        <v>0.8</v>
      </c>
      <c r="U4" s="174">
        <v>0.45</v>
      </c>
      <c r="V4" s="174">
        <v>0.15</v>
      </c>
      <c r="W4" s="174">
        <v>0.05</v>
      </c>
      <c r="X4" s="174">
        <v>0.15</v>
      </c>
      <c r="Y4" s="174">
        <v>0.2</v>
      </c>
      <c r="Z4" s="174">
        <v>0.2</v>
      </c>
      <c r="AA4" s="174">
        <v>0.1</v>
      </c>
      <c r="AB4" s="174">
        <v>0</v>
      </c>
      <c r="AC4" s="175">
        <v>0</v>
      </c>
      <c r="AD4" s="41"/>
      <c r="AE4" s="41"/>
      <c r="AF4" s="41"/>
      <c r="AG4" s="41"/>
      <c r="AH4" s="41"/>
      <c r="AI4" s="41"/>
      <c r="AJ4" s="41"/>
      <c r="AK4" s="41"/>
    </row>
    <row r="5" spans="1:39" ht="33" customHeight="1" x14ac:dyDescent="0.3">
      <c r="A5" s="645"/>
      <c r="B5" s="648"/>
      <c r="C5" s="708"/>
      <c r="D5" s="654"/>
      <c r="E5" s="179" t="s">
        <v>660</v>
      </c>
      <c r="F5" s="186">
        <v>0</v>
      </c>
      <c r="G5" s="186">
        <v>0</v>
      </c>
      <c r="H5" s="186">
        <v>0</v>
      </c>
      <c r="I5" s="186">
        <v>0</v>
      </c>
      <c r="J5" s="186">
        <v>0</v>
      </c>
      <c r="K5" s="186">
        <v>0</v>
      </c>
      <c r="L5" s="186">
        <v>0</v>
      </c>
      <c r="M5" s="186">
        <v>0</v>
      </c>
      <c r="N5" s="186">
        <v>0.1</v>
      </c>
      <c r="O5" s="186">
        <v>0.1</v>
      </c>
      <c r="P5" s="186">
        <v>0.1</v>
      </c>
      <c r="Q5" s="186">
        <v>0.1</v>
      </c>
      <c r="R5" s="186">
        <v>0.1</v>
      </c>
      <c r="S5" s="186">
        <v>0</v>
      </c>
      <c r="T5" s="186">
        <v>0</v>
      </c>
      <c r="U5" s="186">
        <v>0</v>
      </c>
      <c r="V5" s="186">
        <v>0</v>
      </c>
      <c r="W5" s="186">
        <v>0</v>
      </c>
      <c r="X5" s="186">
        <v>0</v>
      </c>
      <c r="Y5" s="186">
        <v>0</v>
      </c>
      <c r="Z5" s="186">
        <v>0</v>
      </c>
      <c r="AA5" s="186">
        <v>0</v>
      </c>
      <c r="AB5" s="186">
        <v>0</v>
      </c>
      <c r="AC5" s="187">
        <v>0</v>
      </c>
      <c r="AD5" s="41"/>
      <c r="AE5" s="41"/>
      <c r="AF5" s="41"/>
      <c r="AG5" s="41"/>
      <c r="AH5" s="41"/>
      <c r="AI5" s="41"/>
      <c r="AJ5" s="41"/>
      <c r="AK5" s="41"/>
    </row>
    <row r="6" spans="1:39" ht="33" customHeight="1" thickBot="1" x14ac:dyDescent="0.35">
      <c r="A6" s="646"/>
      <c r="B6" s="649"/>
      <c r="C6" s="709"/>
      <c r="D6" s="655"/>
      <c r="E6" s="180" t="s">
        <v>661</v>
      </c>
      <c r="F6" s="188">
        <v>0</v>
      </c>
      <c r="G6" s="188">
        <v>0</v>
      </c>
      <c r="H6" s="188">
        <v>0</v>
      </c>
      <c r="I6" s="188">
        <v>0</v>
      </c>
      <c r="J6" s="188">
        <v>0</v>
      </c>
      <c r="K6" s="188">
        <v>0</v>
      </c>
      <c r="L6" s="188">
        <v>0</v>
      </c>
      <c r="M6" s="188">
        <v>0</v>
      </c>
      <c r="N6" s="188">
        <v>0</v>
      </c>
      <c r="O6" s="188">
        <v>0</v>
      </c>
      <c r="P6" s="188">
        <v>0</v>
      </c>
      <c r="Q6" s="188">
        <v>0</v>
      </c>
      <c r="R6" s="188">
        <v>0</v>
      </c>
      <c r="S6" s="188">
        <v>0</v>
      </c>
      <c r="T6" s="188">
        <v>0</v>
      </c>
      <c r="U6" s="188">
        <v>0</v>
      </c>
      <c r="V6" s="188">
        <v>0</v>
      </c>
      <c r="W6" s="188">
        <v>0</v>
      </c>
      <c r="X6" s="188">
        <v>0</v>
      </c>
      <c r="Y6" s="188">
        <v>0</v>
      </c>
      <c r="Z6" s="188">
        <v>0</v>
      </c>
      <c r="AA6" s="188">
        <v>0</v>
      </c>
      <c r="AB6" s="188">
        <v>0</v>
      </c>
      <c r="AC6" s="189">
        <v>0</v>
      </c>
      <c r="AD6" s="41"/>
      <c r="AE6" s="41"/>
      <c r="AF6" s="41"/>
      <c r="AG6" s="41"/>
      <c r="AH6" s="41"/>
      <c r="AI6" s="41"/>
      <c r="AJ6" s="41"/>
      <c r="AK6" s="41"/>
    </row>
    <row r="7" spans="1:39" ht="38.700000000000003" customHeight="1" x14ac:dyDescent="0.3">
      <c r="A7" s="644" t="s">
        <v>655</v>
      </c>
      <c r="B7" s="647" t="s">
        <v>656</v>
      </c>
      <c r="C7" s="707" t="s">
        <v>662</v>
      </c>
      <c r="D7" s="653" t="s">
        <v>658</v>
      </c>
      <c r="E7" s="190" t="s">
        <v>659</v>
      </c>
      <c r="F7" s="191">
        <v>0.05</v>
      </c>
      <c r="G7" s="191">
        <v>0.05</v>
      </c>
      <c r="H7" s="191">
        <v>0.05</v>
      </c>
      <c r="I7" s="191">
        <v>0.05</v>
      </c>
      <c r="J7" s="191">
        <v>0.05</v>
      </c>
      <c r="K7" s="191">
        <v>0.05</v>
      </c>
      <c r="L7" s="191">
        <v>0.05</v>
      </c>
      <c r="M7" s="191">
        <v>0.3</v>
      </c>
      <c r="N7" s="191">
        <v>0.6</v>
      </c>
      <c r="O7" s="191">
        <v>0.65</v>
      </c>
      <c r="P7" s="191">
        <v>0.65</v>
      </c>
      <c r="Q7" s="191">
        <v>0.65</v>
      </c>
      <c r="R7" s="191">
        <v>0.55000000000000004</v>
      </c>
      <c r="S7" s="191">
        <v>0.55000000000000004</v>
      </c>
      <c r="T7" s="191">
        <v>0.55000000000000004</v>
      </c>
      <c r="U7" s="191">
        <v>0.5</v>
      </c>
      <c r="V7" s="191">
        <v>0.35</v>
      </c>
      <c r="W7" s="191">
        <v>0.35</v>
      </c>
      <c r="X7" s="191">
        <v>0.35</v>
      </c>
      <c r="Y7" s="191">
        <v>0.35</v>
      </c>
      <c r="Z7" s="191">
        <v>0.35</v>
      </c>
      <c r="AA7" s="191">
        <v>0.3</v>
      </c>
      <c r="AB7" s="191">
        <v>0.05</v>
      </c>
      <c r="AC7" s="192">
        <v>0.05</v>
      </c>
      <c r="AD7" s="41"/>
      <c r="AE7" s="41"/>
      <c r="AF7" s="41"/>
      <c r="AG7" s="41"/>
      <c r="AH7" s="41"/>
      <c r="AI7" s="41"/>
      <c r="AJ7" s="41"/>
      <c r="AK7" s="41"/>
      <c r="AM7" s="52"/>
    </row>
    <row r="8" spans="1:39" ht="38.700000000000003" customHeight="1" x14ac:dyDescent="0.3">
      <c r="A8" s="645"/>
      <c r="B8" s="648"/>
      <c r="C8" s="708"/>
      <c r="D8" s="654"/>
      <c r="E8" s="193" t="s">
        <v>660</v>
      </c>
      <c r="F8" s="194">
        <v>0.05</v>
      </c>
      <c r="G8" s="194">
        <v>0.05</v>
      </c>
      <c r="H8" s="194">
        <v>0.05</v>
      </c>
      <c r="I8" s="194">
        <v>0.05</v>
      </c>
      <c r="J8" s="194">
        <v>0.05</v>
      </c>
      <c r="K8" s="194">
        <v>0.05</v>
      </c>
      <c r="L8" s="194">
        <v>0.05</v>
      </c>
      <c r="M8" s="194">
        <v>0.05</v>
      </c>
      <c r="N8" s="194">
        <v>0.15</v>
      </c>
      <c r="O8" s="194">
        <v>0.15</v>
      </c>
      <c r="P8" s="194">
        <v>0.15</v>
      </c>
      <c r="Q8" s="194">
        <v>0.15</v>
      </c>
      <c r="R8" s="194">
        <v>0.15</v>
      </c>
      <c r="S8" s="194">
        <v>0.05</v>
      </c>
      <c r="T8" s="194">
        <v>0.05</v>
      </c>
      <c r="U8" s="194">
        <v>0.05</v>
      </c>
      <c r="V8" s="194">
        <v>0.05</v>
      </c>
      <c r="W8" s="194">
        <v>0.05</v>
      </c>
      <c r="X8" s="194">
        <v>0.05</v>
      </c>
      <c r="Y8" s="194">
        <v>0.05</v>
      </c>
      <c r="Z8" s="194">
        <v>0.05</v>
      </c>
      <c r="AA8" s="194">
        <v>0.05</v>
      </c>
      <c r="AB8" s="194">
        <v>0.05</v>
      </c>
      <c r="AC8" s="195">
        <v>0.05</v>
      </c>
      <c r="AD8" s="41"/>
      <c r="AE8" s="41"/>
      <c r="AF8" s="41"/>
      <c r="AG8" s="41"/>
      <c r="AH8" s="41"/>
      <c r="AI8" s="41"/>
      <c r="AJ8" s="41"/>
      <c r="AK8" s="41"/>
      <c r="AM8" s="52"/>
    </row>
    <row r="9" spans="1:39" ht="38.700000000000003" customHeight="1" thickBot="1" x14ac:dyDescent="0.35">
      <c r="A9" s="646"/>
      <c r="B9" s="649"/>
      <c r="C9" s="709"/>
      <c r="D9" s="655"/>
      <c r="E9" s="196" t="s">
        <v>661</v>
      </c>
      <c r="F9" s="197">
        <v>0.05</v>
      </c>
      <c r="G9" s="197">
        <v>0.05</v>
      </c>
      <c r="H9" s="197">
        <v>0.05</v>
      </c>
      <c r="I9" s="197">
        <v>0.05</v>
      </c>
      <c r="J9" s="197">
        <v>0.05</v>
      </c>
      <c r="K9" s="197">
        <v>0.05</v>
      </c>
      <c r="L9" s="197">
        <v>0.05</v>
      </c>
      <c r="M9" s="197">
        <v>0.05</v>
      </c>
      <c r="N9" s="197">
        <v>0.05</v>
      </c>
      <c r="O9" s="197">
        <v>0.05</v>
      </c>
      <c r="P9" s="197">
        <v>0.05</v>
      </c>
      <c r="Q9" s="197">
        <v>0.05</v>
      </c>
      <c r="R9" s="197">
        <v>0.05</v>
      </c>
      <c r="S9" s="197">
        <v>0.05</v>
      </c>
      <c r="T9" s="197">
        <v>0.05</v>
      </c>
      <c r="U9" s="197">
        <v>0.05</v>
      </c>
      <c r="V9" s="197">
        <v>0.05</v>
      </c>
      <c r="W9" s="197">
        <v>0.05</v>
      </c>
      <c r="X9" s="197">
        <v>0.05</v>
      </c>
      <c r="Y9" s="197">
        <v>0.05</v>
      </c>
      <c r="Z9" s="197">
        <v>0.05</v>
      </c>
      <c r="AA9" s="197">
        <v>0.05</v>
      </c>
      <c r="AB9" s="197">
        <v>0.05</v>
      </c>
      <c r="AC9" s="198">
        <v>0.05</v>
      </c>
      <c r="AD9" s="41"/>
      <c r="AE9" s="41"/>
      <c r="AF9" s="41"/>
      <c r="AG9" s="41"/>
      <c r="AH9" s="41"/>
      <c r="AI9" s="41"/>
      <c r="AJ9" s="41"/>
      <c r="AK9" s="41"/>
      <c r="AM9" s="52"/>
    </row>
    <row r="10" spans="1:39" ht="36" customHeight="1" x14ac:dyDescent="0.3">
      <c r="A10" s="644" t="s">
        <v>655</v>
      </c>
      <c r="B10" s="647" t="s">
        <v>656</v>
      </c>
      <c r="C10" s="650" t="s">
        <v>663</v>
      </c>
      <c r="D10" s="653" t="s">
        <v>658</v>
      </c>
      <c r="E10" s="199" t="s">
        <v>659</v>
      </c>
      <c r="F10" s="174">
        <v>0.05</v>
      </c>
      <c r="G10" s="174">
        <v>0.05</v>
      </c>
      <c r="H10" s="174">
        <v>0.05</v>
      </c>
      <c r="I10" s="174">
        <v>0.05</v>
      </c>
      <c r="J10" s="174">
        <v>0.05</v>
      </c>
      <c r="K10" s="174">
        <v>0.05</v>
      </c>
      <c r="L10" s="174">
        <v>0.05</v>
      </c>
      <c r="M10" s="174">
        <v>0.3</v>
      </c>
      <c r="N10" s="174">
        <v>0.85</v>
      </c>
      <c r="O10" s="174">
        <v>0.95</v>
      </c>
      <c r="P10" s="174">
        <v>0.95</v>
      </c>
      <c r="Q10" s="174">
        <v>0.95</v>
      </c>
      <c r="R10" s="174">
        <v>0.8</v>
      </c>
      <c r="S10" s="174">
        <v>0.8</v>
      </c>
      <c r="T10" s="174">
        <v>0.8</v>
      </c>
      <c r="U10" s="174">
        <v>0.7</v>
      </c>
      <c r="V10" s="174">
        <v>0.5</v>
      </c>
      <c r="W10" s="174">
        <v>0.5</v>
      </c>
      <c r="X10" s="174">
        <v>0.35</v>
      </c>
      <c r="Y10" s="174">
        <v>0.35</v>
      </c>
      <c r="Z10" s="174">
        <v>0.35</v>
      </c>
      <c r="AA10" s="174">
        <v>0.3</v>
      </c>
      <c r="AB10" s="174">
        <v>0.05</v>
      </c>
      <c r="AC10" s="175">
        <v>0.05</v>
      </c>
      <c r="AD10" s="42"/>
      <c r="AE10" s="41"/>
      <c r="AF10" s="41"/>
      <c r="AG10" s="41"/>
      <c r="AH10" s="41"/>
      <c r="AI10" s="41"/>
      <c r="AJ10" s="41"/>
      <c r="AK10" s="41"/>
      <c r="AM10" s="52"/>
    </row>
    <row r="11" spans="1:39" ht="36" customHeight="1" x14ac:dyDescent="0.3">
      <c r="A11" s="645"/>
      <c r="B11" s="648"/>
      <c r="C11" s="651"/>
      <c r="D11" s="654"/>
      <c r="E11" s="193" t="s">
        <v>660</v>
      </c>
      <c r="F11" s="186">
        <v>0.05</v>
      </c>
      <c r="G11" s="186">
        <v>0.05</v>
      </c>
      <c r="H11" s="186">
        <v>0.05</v>
      </c>
      <c r="I11" s="186">
        <v>0.05</v>
      </c>
      <c r="J11" s="186">
        <v>0.05</v>
      </c>
      <c r="K11" s="186">
        <v>0.05</v>
      </c>
      <c r="L11" s="186">
        <v>0.05</v>
      </c>
      <c r="M11" s="186">
        <v>0.05</v>
      </c>
      <c r="N11" s="186">
        <v>0.15</v>
      </c>
      <c r="O11" s="186">
        <v>0.15</v>
      </c>
      <c r="P11" s="186">
        <v>0.15</v>
      </c>
      <c r="Q11" s="186">
        <v>0.15</v>
      </c>
      <c r="R11" s="186">
        <v>0.15</v>
      </c>
      <c r="S11" s="186">
        <v>0.05</v>
      </c>
      <c r="T11" s="186">
        <v>0.05</v>
      </c>
      <c r="U11" s="186">
        <v>0.05</v>
      </c>
      <c r="V11" s="186">
        <v>0.05</v>
      </c>
      <c r="W11" s="186">
        <v>0.05</v>
      </c>
      <c r="X11" s="186">
        <v>0.05</v>
      </c>
      <c r="Y11" s="186">
        <v>0.05</v>
      </c>
      <c r="Z11" s="186">
        <v>0.05</v>
      </c>
      <c r="AA11" s="186">
        <v>0.05</v>
      </c>
      <c r="AB11" s="186">
        <v>0.05</v>
      </c>
      <c r="AC11" s="187">
        <v>0.05</v>
      </c>
      <c r="AD11" s="42"/>
      <c r="AE11" s="41"/>
      <c r="AF11" s="41"/>
      <c r="AG11" s="41"/>
      <c r="AH11" s="41"/>
      <c r="AI11" s="41"/>
      <c r="AJ11" s="41"/>
      <c r="AK11" s="41"/>
      <c r="AM11" s="52"/>
    </row>
    <row r="12" spans="1:39" ht="36" customHeight="1" thickBot="1" x14ac:dyDescent="0.35">
      <c r="A12" s="646"/>
      <c r="B12" s="649"/>
      <c r="C12" s="652"/>
      <c r="D12" s="655"/>
      <c r="E12" s="196" t="s">
        <v>661</v>
      </c>
      <c r="F12" s="188">
        <v>0.05</v>
      </c>
      <c r="G12" s="188">
        <v>0.05</v>
      </c>
      <c r="H12" s="188">
        <v>0.05</v>
      </c>
      <c r="I12" s="188">
        <v>0.05</v>
      </c>
      <c r="J12" s="188">
        <v>0.05</v>
      </c>
      <c r="K12" s="188">
        <v>0.05</v>
      </c>
      <c r="L12" s="188">
        <v>0.05</v>
      </c>
      <c r="M12" s="188">
        <v>0.05</v>
      </c>
      <c r="N12" s="188">
        <v>0.05</v>
      </c>
      <c r="O12" s="188">
        <v>0.05</v>
      </c>
      <c r="P12" s="188">
        <v>0.05</v>
      </c>
      <c r="Q12" s="188">
        <v>0.05</v>
      </c>
      <c r="R12" s="188">
        <v>0.05</v>
      </c>
      <c r="S12" s="188">
        <v>0.05</v>
      </c>
      <c r="T12" s="188">
        <v>0.05</v>
      </c>
      <c r="U12" s="188">
        <v>0.05</v>
      </c>
      <c r="V12" s="188">
        <v>0.05</v>
      </c>
      <c r="W12" s="188">
        <v>0.05</v>
      </c>
      <c r="X12" s="188">
        <v>0.05</v>
      </c>
      <c r="Y12" s="188">
        <v>0.05</v>
      </c>
      <c r="Z12" s="188">
        <v>0.05</v>
      </c>
      <c r="AA12" s="188">
        <v>0.05</v>
      </c>
      <c r="AB12" s="188">
        <v>0.05</v>
      </c>
      <c r="AC12" s="189">
        <v>0.05</v>
      </c>
      <c r="AD12" s="42"/>
      <c r="AE12" s="41"/>
      <c r="AF12" s="41"/>
      <c r="AG12" s="41"/>
      <c r="AH12" s="41"/>
      <c r="AI12" s="41"/>
      <c r="AJ12" s="41"/>
      <c r="AK12" s="41"/>
      <c r="AM12" s="52"/>
    </row>
    <row r="13" spans="1:39" ht="36" customHeight="1" x14ac:dyDescent="0.3">
      <c r="A13" s="644" t="s">
        <v>655</v>
      </c>
      <c r="B13" s="647" t="s">
        <v>656</v>
      </c>
      <c r="C13" s="650" t="s">
        <v>664</v>
      </c>
      <c r="D13" s="653" t="s">
        <v>658</v>
      </c>
      <c r="E13" s="178" t="s">
        <v>659</v>
      </c>
      <c r="F13" s="174">
        <v>0.05</v>
      </c>
      <c r="G13" s="174">
        <v>0.05</v>
      </c>
      <c r="H13" s="174">
        <v>0.05</v>
      </c>
      <c r="I13" s="174">
        <v>0.05</v>
      </c>
      <c r="J13" s="174">
        <v>0.05</v>
      </c>
      <c r="K13" s="174">
        <v>0.05</v>
      </c>
      <c r="L13" s="174">
        <v>0.05</v>
      </c>
      <c r="M13" s="174">
        <v>0.1</v>
      </c>
      <c r="N13" s="174">
        <v>0.34</v>
      </c>
      <c r="O13" s="174">
        <v>0.6</v>
      </c>
      <c r="P13" s="174">
        <v>0.63</v>
      </c>
      <c r="Q13" s="174">
        <v>0.72</v>
      </c>
      <c r="R13" s="174">
        <v>0.79</v>
      </c>
      <c r="S13" s="174">
        <v>0.83</v>
      </c>
      <c r="T13" s="174">
        <v>0.61</v>
      </c>
      <c r="U13" s="174">
        <v>0.65</v>
      </c>
      <c r="V13" s="174">
        <v>0.1</v>
      </c>
      <c r="W13" s="174">
        <v>0.1</v>
      </c>
      <c r="X13" s="174">
        <v>0.19</v>
      </c>
      <c r="Y13" s="174">
        <v>0.25</v>
      </c>
      <c r="Z13" s="174">
        <v>0.22</v>
      </c>
      <c r="AA13" s="174">
        <v>0.22</v>
      </c>
      <c r="AB13" s="174">
        <v>0.12</v>
      </c>
      <c r="AC13" s="175">
        <v>0.09</v>
      </c>
      <c r="AD13" s="41"/>
      <c r="AE13" s="41"/>
      <c r="AF13" s="41"/>
      <c r="AG13" s="41"/>
      <c r="AH13" s="41"/>
      <c r="AI13" s="41"/>
      <c r="AJ13" s="41"/>
      <c r="AK13" s="41"/>
      <c r="AM13" s="52"/>
    </row>
    <row r="14" spans="1:39" ht="36" customHeight="1" x14ac:dyDescent="0.3">
      <c r="A14" s="645"/>
      <c r="B14" s="648"/>
      <c r="C14" s="651"/>
      <c r="D14" s="654"/>
      <c r="E14" s="179" t="s">
        <v>660</v>
      </c>
      <c r="F14" s="186">
        <v>0.03</v>
      </c>
      <c r="G14" s="186">
        <v>0.03</v>
      </c>
      <c r="H14" s="186">
        <v>0.03</v>
      </c>
      <c r="I14" s="186">
        <v>0.03</v>
      </c>
      <c r="J14" s="186">
        <v>0.03</v>
      </c>
      <c r="K14" s="186">
        <v>0.03</v>
      </c>
      <c r="L14" s="186">
        <v>0.03</v>
      </c>
      <c r="M14" s="186">
        <v>0.03</v>
      </c>
      <c r="N14" s="186">
        <v>0.03</v>
      </c>
      <c r="O14" s="186">
        <v>0.05</v>
      </c>
      <c r="P14" s="186">
        <v>0.05</v>
      </c>
      <c r="Q14" s="186">
        <v>0.05</v>
      </c>
      <c r="R14" s="186">
        <v>0.05</v>
      </c>
      <c r="S14" s="186">
        <v>0.03</v>
      </c>
      <c r="T14" s="186">
        <v>0.03</v>
      </c>
      <c r="U14" s="186">
        <v>0.03</v>
      </c>
      <c r="V14" s="186">
        <v>0.03</v>
      </c>
      <c r="W14" s="186">
        <v>0.03</v>
      </c>
      <c r="X14" s="186">
        <v>0.03</v>
      </c>
      <c r="Y14" s="186">
        <v>0.03</v>
      </c>
      <c r="Z14" s="186">
        <v>0.03</v>
      </c>
      <c r="AA14" s="186">
        <v>0.03</v>
      </c>
      <c r="AB14" s="186">
        <v>0.03</v>
      </c>
      <c r="AC14" s="187">
        <v>0.03</v>
      </c>
      <c r="AD14" s="41"/>
      <c r="AE14" s="41"/>
      <c r="AF14" s="41"/>
      <c r="AG14" s="41"/>
      <c r="AH14" s="41"/>
      <c r="AI14" s="41"/>
      <c r="AJ14" s="41"/>
      <c r="AK14" s="41"/>
      <c r="AM14" s="52"/>
    </row>
    <row r="15" spans="1:39" ht="36" customHeight="1" thickBot="1" x14ac:dyDescent="0.35">
      <c r="A15" s="646"/>
      <c r="B15" s="649"/>
      <c r="C15" s="652"/>
      <c r="D15" s="655"/>
      <c r="E15" s="180" t="s">
        <v>661</v>
      </c>
      <c r="F15" s="188">
        <v>0.03</v>
      </c>
      <c r="G15" s="188">
        <v>0.03</v>
      </c>
      <c r="H15" s="188">
        <v>0.03</v>
      </c>
      <c r="I15" s="188">
        <v>0.03</v>
      </c>
      <c r="J15" s="188">
        <v>0.03</v>
      </c>
      <c r="K15" s="188">
        <v>0.03</v>
      </c>
      <c r="L15" s="188">
        <v>0.03</v>
      </c>
      <c r="M15" s="188">
        <v>0.03</v>
      </c>
      <c r="N15" s="188">
        <v>0.05</v>
      </c>
      <c r="O15" s="188">
        <v>0.05</v>
      </c>
      <c r="P15" s="188">
        <v>0.05</v>
      </c>
      <c r="Q15" s="188">
        <v>0.05</v>
      </c>
      <c r="R15" s="188">
        <v>0.05</v>
      </c>
      <c r="S15" s="188">
        <v>0.05</v>
      </c>
      <c r="T15" s="188">
        <v>0.03</v>
      </c>
      <c r="U15" s="188">
        <v>0.03</v>
      </c>
      <c r="V15" s="188">
        <v>0.03</v>
      </c>
      <c r="W15" s="188">
        <v>0.03</v>
      </c>
      <c r="X15" s="188">
        <v>0.03</v>
      </c>
      <c r="Y15" s="188">
        <v>0.03</v>
      </c>
      <c r="Z15" s="188">
        <v>0.03</v>
      </c>
      <c r="AA15" s="188">
        <v>0.03</v>
      </c>
      <c r="AB15" s="188">
        <v>0.03</v>
      </c>
      <c r="AC15" s="189">
        <v>0.03</v>
      </c>
      <c r="AD15" s="41"/>
      <c r="AE15" s="41"/>
      <c r="AF15" s="41"/>
      <c r="AG15" s="41"/>
      <c r="AH15" s="41"/>
      <c r="AI15" s="41"/>
      <c r="AJ15" s="41"/>
      <c r="AK15" s="41"/>
      <c r="AM15" s="52"/>
    </row>
    <row r="16" spans="1:39" ht="36" customHeight="1" x14ac:dyDescent="0.3">
      <c r="A16" s="644" t="s">
        <v>655</v>
      </c>
      <c r="B16" s="647" t="s">
        <v>656</v>
      </c>
      <c r="C16" s="650" t="s">
        <v>665</v>
      </c>
      <c r="D16" s="653" t="s">
        <v>658</v>
      </c>
      <c r="E16" s="199" t="s">
        <v>659</v>
      </c>
      <c r="F16" s="174">
        <v>0</v>
      </c>
      <c r="G16" s="174">
        <v>0</v>
      </c>
      <c r="H16" s="174">
        <v>0</v>
      </c>
      <c r="I16" s="174">
        <v>0</v>
      </c>
      <c r="J16" s="174">
        <v>0</v>
      </c>
      <c r="K16" s="174">
        <v>0</v>
      </c>
      <c r="L16" s="174">
        <v>0</v>
      </c>
      <c r="M16" s="174">
        <v>0.5</v>
      </c>
      <c r="N16" s="174">
        <v>0.5</v>
      </c>
      <c r="O16" s="174">
        <v>0.75</v>
      </c>
      <c r="P16" s="174">
        <v>0.9</v>
      </c>
      <c r="Q16" s="174">
        <v>0.9</v>
      </c>
      <c r="R16" s="174">
        <v>0.9</v>
      </c>
      <c r="S16" s="174">
        <v>0</v>
      </c>
      <c r="T16" s="174">
        <v>0</v>
      </c>
      <c r="U16" s="174">
        <v>0</v>
      </c>
      <c r="V16" s="174">
        <v>0</v>
      </c>
      <c r="W16" s="174">
        <v>0</v>
      </c>
      <c r="X16" s="174">
        <v>0</v>
      </c>
      <c r="Y16" s="174">
        <v>0</v>
      </c>
      <c r="Z16" s="174">
        <v>0</v>
      </c>
      <c r="AA16" s="174">
        <v>0</v>
      </c>
      <c r="AB16" s="174">
        <v>0</v>
      </c>
      <c r="AC16" s="175">
        <v>0</v>
      </c>
      <c r="AD16" s="42"/>
      <c r="AE16" s="41"/>
      <c r="AF16" s="41"/>
      <c r="AG16" s="41"/>
      <c r="AH16" s="41"/>
      <c r="AI16" s="41"/>
      <c r="AJ16" s="41"/>
      <c r="AK16" s="41"/>
      <c r="AM16" s="52"/>
    </row>
    <row r="17" spans="1:39" ht="36" customHeight="1" x14ac:dyDescent="0.3">
      <c r="A17" s="645"/>
      <c r="B17" s="648"/>
      <c r="C17" s="651"/>
      <c r="D17" s="654"/>
      <c r="E17" s="193" t="s">
        <v>660</v>
      </c>
      <c r="F17" s="186">
        <v>0</v>
      </c>
      <c r="G17" s="186">
        <v>0</v>
      </c>
      <c r="H17" s="186">
        <v>0</v>
      </c>
      <c r="I17" s="186">
        <v>0</v>
      </c>
      <c r="J17" s="186">
        <v>0</v>
      </c>
      <c r="K17" s="186">
        <v>0</v>
      </c>
      <c r="L17" s="186">
        <v>0</v>
      </c>
      <c r="M17" s="186">
        <v>0</v>
      </c>
      <c r="N17" s="186">
        <v>0</v>
      </c>
      <c r="O17" s="186">
        <v>0</v>
      </c>
      <c r="P17" s="186">
        <v>0</v>
      </c>
      <c r="Q17" s="186">
        <v>0</v>
      </c>
      <c r="R17" s="186">
        <v>0</v>
      </c>
      <c r="S17" s="186">
        <v>0</v>
      </c>
      <c r="T17" s="186">
        <v>0</v>
      </c>
      <c r="U17" s="186">
        <v>0</v>
      </c>
      <c r="V17" s="186">
        <v>0</v>
      </c>
      <c r="W17" s="186">
        <v>0</v>
      </c>
      <c r="X17" s="186">
        <v>0</v>
      </c>
      <c r="Y17" s="186">
        <v>0</v>
      </c>
      <c r="Z17" s="186">
        <v>0</v>
      </c>
      <c r="AA17" s="186">
        <v>0</v>
      </c>
      <c r="AB17" s="186">
        <v>0</v>
      </c>
      <c r="AC17" s="187">
        <v>0</v>
      </c>
      <c r="AD17" s="42"/>
      <c r="AE17" s="41"/>
      <c r="AF17" s="41"/>
      <c r="AG17" s="41"/>
      <c r="AH17" s="41"/>
      <c r="AI17" s="41"/>
      <c r="AJ17" s="41"/>
      <c r="AK17" s="41"/>
      <c r="AM17" s="52"/>
    </row>
    <row r="18" spans="1:39" ht="36" customHeight="1" thickBot="1" x14ac:dyDescent="0.35">
      <c r="A18" s="646"/>
      <c r="B18" s="649"/>
      <c r="C18" s="652"/>
      <c r="D18" s="655"/>
      <c r="E18" s="196" t="s">
        <v>661</v>
      </c>
      <c r="F18" s="188">
        <v>0</v>
      </c>
      <c r="G18" s="188">
        <v>0</v>
      </c>
      <c r="H18" s="188">
        <v>0</v>
      </c>
      <c r="I18" s="188">
        <v>0</v>
      </c>
      <c r="J18" s="188">
        <v>0</v>
      </c>
      <c r="K18" s="188">
        <v>0</v>
      </c>
      <c r="L18" s="188">
        <v>0</v>
      </c>
      <c r="M18" s="188">
        <v>0</v>
      </c>
      <c r="N18" s="188">
        <v>0</v>
      </c>
      <c r="O18" s="188">
        <v>0</v>
      </c>
      <c r="P18" s="188">
        <v>0</v>
      </c>
      <c r="Q18" s="188">
        <v>0</v>
      </c>
      <c r="R18" s="188">
        <v>0</v>
      </c>
      <c r="S18" s="188">
        <v>0</v>
      </c>
      <c r="T18" s="188">
        <v>0</v>
      </c>
      <c r="U18" s="188">
        <v>0</v>
      </c>
      <c r="V18" s="188">
        <v>0</v>
      </c>
      <c r="W18" s="188">
        <v>0</v>
      </c>
      <c r="X18" s="188">
        <v>0</v>
      </c>
      <c r="Y18" s="188">
        <v>0</v>
      </c>
      <c r="Z18" s="188">
        <v>0</v>
      </c>
      <c r="AA18" s="188">
        <v>0</v>
      </c>
      <c r="AB18" s="188">
        <v>0</v>
      </c>
      <c r="AC18" s="189">
        <v>0</v>
      </c>
      <c r="AD18" s="42"/>
      <c r="AE18" s="41"/>
      <c r="AF18" s="41"/>
      <c r="AG18" s="41"/>
      <c r="AH18" s="41"/>
      <c r="AI18" s="41"/>
      <c r="AJ18" s="41"/>
      <c r="AK18" s="41"/>
      <c r="AM18" s="52"/>
    </row>
    <row r="19" spans="1:39" ht="36" customHeight="1" x14ac:dyDescent="0.3">
      <c r="A19" s="644" t="s">
        <v>655</v>
      </c>
      <c r="B19" s="647" t="s">
        <v>656</v>
      </c>
      <c r="C19" s="650" t="s">
        <v>666</v>
      </c>
      <c r="D19" s="653" t="s">
        <v>658</v>
      </c>
      <c r="E19" s="199" t="s">
        <v>659</v>
      </c>
      <c r="F19" s="174">
        <v>0.9</v>
      </c>
      <c r="G19" s="174">
        <v>0.9</v>
      </c>
      <c r="H19" s="174">
        <v>0.9</v>
      </c>
      <c r="I19" s="174">
        <v>0.9</v>
      </c>
      <c r="J19" s="174">
        <v>0.9</v>
      </c>
      <c r="K19" s="174">
        <v>0.9</v>
      </c>
      <c r="L19" s="174">
        <v>0.9</v>
      </c>
      <c r="M19" s="174">
        <v>0.9</v>
      </c>
      <c r="N19" s="174">
        <v>0.9</v>
      </c>
      <c r="O19" s="174">
        <v>0.9</v>
      </c>
      <c r="P19" s="174">
        <v>0.9</v>
      </c>
      <c r="Q19" s="174">
        <v>0.9</v>
      </c>
      <c r="R19" s="174">
        <v>0.9</v>
      </c>
      <c r="S19" s="174">
        <v>0.9</v>
      </c>
      <c r="T19" s="174">
        <v>0.9</v>
      </c>
      <c r="U19" s="174">
        <v>0.9</v>
      </c>
      <c r="V19" s="174">
        <v>0.9</v>
      </c>
      <c r="W19" s="174">
        <v>0.9</v>
      </c>
      <c r="X19" s="174">
        <v>0.9</v>
      </c>
      <c r="Y19" s="174">
        <v>0.9</v>
      </c>
      <c r="Z19" s="174">
        <v>0.9</v>
      </c>
      <c r="AA19" s="174">
        <v>0.9</v>
      </c>
      <c r="AB19" s="174">
        <v>0.9</v>
      </c>
      <c r="AC19" s="175">
        <v>0.9</v>
      </c>
      <c r="AD19" s="42"/>
      <c r="AE19" s="41"/>
      <c r="AF19" s="41"/>
      <c r="AG19" s="41"/>
      <c r="AH19" s="41"/>
      <c r="AI19" s="41"/>
      <c r="AJ19" s="41"/>
      <c r="AK19" s="41"/>
      <c r="AM19" s="52"/>
    </row>
    <row r="20" spans="1:39" ht="36" customHeight="1" x14ac:dyDescent="0.3">
      <c r="A20" s="645"/>
      <c r="B20" s="648"/>
      <c r="C20" s="651"/>
      <c r="D20" s="654"/>
      <c r="E20" s="193" t="s">
        <v>660</v>
      </c>
      <c r="F20" s="186">
        <v>0.9</v>
      </c>
      <c r="G20" s="186">
        <v>0.9</v>
      </c>
      <c r="H20" s="186">
        <v>0.9</v>
      </c>
      <c r="I20" s="186">
        <v>0.9</v>
      </c>
      <c r="J20" s="186">
        <v>0.9</v>
      </c>
      <c r="K20" s="186">
        <v>0.9</v>
      </c>
      <c r="L20" s="186">
        <v>0.9</v>
      </c>
      <c r="M20" s="186">
        <v>0.9</v>
      </c>
      <c r="N20" s="186">
        <v>0.9</v>
      </c>
      <c r="O20" s="186">
        <v>0.9</v>
      </c>
      <c r="P20" s="186">
        <v>0.9</v>
      </c>
      <c r="Q20" s="186">
        <v>0.9</v>
      </c>
      <c r="R20" s="186">
        <v>0.9</v>
      </c>
      <c r="S20" s="186">
        <v>0.9</v>
      </c>
      <c r="T20" s="186">
        <v>0.9</v>
      </c>
      <c r="U20" s="186">
        <v>0.9</v>
      </c>
      <c r="V20" s="186">
        <v>0.9</v>
      </c>
      <c r="W20" s="186">
        <v>0.9</v>
      </c>
      <c r="X20" s="186">
        <v>0.9</v>
      </c>
      <c r="Y20" s="186">
        <v>0.9</v>
      </c>
      <c r="Z20" s="186">
        <v>0.9</v>
      </c>
      <c r="AA20" s="186">
        <v>0.9</v>
      </c>
      <c r="AB20" s="186">
        <v>0.9</v>
      </c>
      <c r="AC20" s="187">
        <v>0.9</v>
      </c>
      <c r="AD20" s="42"/>
      <c r="AE20" s="41"/>
      <c r="AF20" s="41"/>
      <c r="AG20" s="41"/>
      <c r="AH20" s="41"/>
      <c r="AI20" s="41"/>
      <c r="AJ20" s="41"/>
      <c r="AK20" s="41"/>
      <c r="AM20" s="52"/>
    </row>
    <row r="21" spans="1:39" ht="36" customHeight="1" thickBot="1" x14ac:dyDescent="0.35">
      <c r="A21" s="646"/>
      <c r="B21" s="649"/>
      <c r="C21" s="652"/>
      <c r="D21" s="655"/>
      <c r="E21" s="196" t="s">
        <v>661</v>
      </c>
      <c r="F21" s="188">
        <v>0.9</v>
      </c>
      <c r="G21" s="188">
        <v>0.9</v>
      </c>
      <c r="H21" s="188">
        <v>0.9</v>
      </c>
      <c r="I21" s="188">
        <v>0.9</v>
      </c>
      <c r="J21" s="188">
        <v>0.9</v>
      </c>
      <c r="K21" s="188">
        <v>0.9</v>
      </c>
      <c r="L21" s="188">
        <v>0.9</v>
      </c>
      <c r="M21" s="188">
        <v>0.9</v>
      </c>
      <c r="N21" s="188">
        <v>0.9</v>
      </c>
      <c r="O21" s="188">
        <v>0.9</v>
      </c>
      <c r="P21" s="188">
        <v>0.9</v>
      </c>
      <c r="Q21" s="188">
        <v>0.9</v>
      </c>
      <c r="R21" s="188">
        <v>0.9</v>
      </c>
      <c r="S21" s="188">
        <v>0.9</v>
      </c>
      <c r="T21" s="188">
        <v>0.9</v>
      </c>
      <c r="U21" s="188">
        <v>0.9</v>
      </c>
      <c r="V21" s="188">
        <v>0.9</v>
      </c>
      <c r="W21" s="188">
        <v>0.9</v>
      </c>
      <c r="X21" s="188">
        <v>0.9</v>
      </c>
      <c r="Y21" s="188">
        <v>0.9</v>
      </c>
      <c r="Z21" s="188">
        <v>0.9</v>
      </c>
      <c r="AA21" s="188">
        <v>0.9</v>
      </c>
      <c r="AB21" s="188">
        <v>0.9</v>
      </c>
      <c r="AC21" s="189">
        <v>0.9</v>
      </c>
      <c r="AD21" s="42"/>
      <c r="AE21" s="41"/>
      <c r="AF21" s="41"/>
      <c r="AG21" s="41"/>
      <c r="AH21" s="41"/>
      <c r="AI21" s="41"/>
      <c r="AJ21" s="41"/>
      <c r="AK21" s="41"/>
      <c r="AM21" s="52"/>
    </row>
    <row r="22" spans="1:39" ht="36" customHeight="1" x14ac:dyDescent="0.3">
      <c r="A22" s="644" t="s">
        <v>655</v>
      </c>
      <c r="B22" s="647" t="s">
        <v>656</v>
      </c>
      <c r="C22" s="650" t="s">
        <v>667</v>
      </c>
      <c r="D22" s="653" t="s">
        <v>658</v>
      </c>
      <c r="E22" s="199" t="s">
        <v>659</v>
      </c>
      <c r="F22" s="174">
        <v>0</v>
      </c>
      <c r="G22" s="174">
        <v>0</v>
      </c>
      <c r="H22" s="174">
        <v>0</v>
      </c>
      <c r="I22" s="174">
        <v>0</v>
      </c>
      <c r="J22" s="174">
        <v>0</v>
      </c>
      <c r="K22" s="174">
        <v>0</v>
      </c>
      <c r="L22" s="174">
        <v>1</v>
      </c>
      <c r="M22" s="174">
        <v>1</v>
      </c>
      <c r="N22" s="174">
        <v>1</v>
      </c>
      <c r="O22" s="174">
        <v>1</v>
      </c>
      <c r="P22" s="174">
        <v>1</v>
      </c>
      <c r="Q22" s="174">
        <v>1</v>
      </c>
      <c r="R22" s="174">
        <v>1</v>
      </c>
      <c r="S22" s="174">
        <v>1</v>
      </c>
      <c r="T22" s="174">
        <v>1</v>
      </c>
      <c r="U22" s="174">
        <v>1</v>
      </c>
      <c r="V22" s="174">
        <v>1</v>
      </c>
      <c r="W22" s="174">
        <v>1</v>
      </c>
      <c r="X22" s="174">
        <v>1</v>
      </c>
      <c r="Y22" s="174">
        <v>1</v>
      </c>
      <c r="Z22" s="174">
        <v>1</v>
      </c>
      <c r="AA22" s="174">
        <v>1</v>
      </c>
      <c r="AB22" s="174">
        <v>0</v>
      </c>
      <c r="AC22" s="175">
        <v>0</v>
      </c>
      <c r="AD22" s="42"/>
      <c r="AE22" s="41"/>
      <c r="AF22" s="41"/>
      <c r="AG22" s="41"/>
      <c r="AH22" s="41"/>
      <c r="AI22" s="41"/>
      <c r="AJ22" s="41"/>
      <c r="AK22" s="41"/>
      <c r="AM22" s="52"/>
    </row>
    <row r="23" spans="1:39" ht="36" customHeight="1" x14ac:dyDescent="0.3">
      <c r="A23" s="645"/>
      <c r="B23" s="648"/>
      <c r="C23" s="651"/>
      <c r="D23" s="654"/>
      <c r="E23" s="193" t="s">
        <v>660</v>
      </c>
      <c r="F23" s="186">
        <v>0</v>
      </c>
      <c r="G23" s="186">
        <v>0</v>
      </c>
      <c r="H23" s="186">
        <v>0</v>
      </c>
      <c r="I23" s="186">
        <v>0</v>
      </c>
      <c r="J23" s="186">
        <v>0</v>
      </c>
      <c r="K23" s="186">
        <v>0</v>
      </c>
      <c r="L23" s="186">
        <v>0</v>
      </c>
      <c r="M23" s="284">
        <v>0</v>
      </c>
      <c r="N23" s="284">
        <v>0</v>
      </c>
      <c r="O23" s="284">
        <v>0</v>
      </c>
      <c r="P23" s="284">
        <v>0</v>
      </c>
      <c r="Q23" s="284">
        <v>0</v>
      </c>
      <c r="R23" s="284">
        <v>0</v>
      </c>
      <c r="S23" s="186">
        <v>0</v>
      </c>
      <c r="T23" s="186">
        <v>0</v>
      </c>
      <c r="U23" s="186">
        <v>0</v>
      </c>
      <c r="V23" s="186">
        <v>0</v>
      </c>
      <c r="W23" s="186">
        <v>0</v>
      </c>
      <c r="X23" s="186">
        <v>0</v>
      </c>
      <c r="Y23" s="186">
        <v>0</v>
      </c>
      <c r="Z23" s="186">
        <v>0</v>
      </c>
      <c r="AA23" s="186">
        <v>0</v>
      </c>
      <c r="AB23" s="186">
        <v>0</v>
      </c>
      <c r="AC23" s="187">
        <v>0</v>
      </c>
      <c r="AD23" s="42"/>
      <c r="AE23" s="41"/>
      <c r="AF23" s="41"/>
      <c r="AG23" s="41"/>
      <c r="AH23" s="41"/>
      <c r="AI23" s="41"/>
      <c r="AJ23" s="41"/>
      <c r="AK23" s="41"/>
      <c r="AM23" s="52"/>
    </row>
    <row r="24" spans="1:39" ht="36" customHeight="1" thickBot="1" x14ac:dyDescent="0.35">
      <c r="A24" s="646"/>
      <c r="B24" s="649"/>
      <c r="C24" s="652"/>
      <c r="D24" s="655"/>
      <c r="E24" s="196" t="s">
        <v>661</v>
      </c>
      <c r="F24" s="188">
        <v>0</v>
      </c>
      <c r="G24" s="188">
        <v>0</v>
      </c>
      <c r="H24" s="188">
        <v>0</v>
      </c>
      <c r="I24" s="188">
        <v>0</v>
      </c>
      <c r="J24" s="188">
        <v>0</v>
      </c>
      <c r="K24" s="188">
        <v>0</v>
      </c>
      <c r="L24" s="188">
        <v>0</v>
      </c>
      <c r="M24" s="188">
        <v>0</v>
      </c>
      <c r="N24" s="188">
        <v>0</v>
      </c>
      <c r="O24" s="188">
        <v>0</v>
      </c>
      <c r="P24" s="188">
        <v>0</v>
      </c>
      <c r="Q24" s="188">
        <v>0</v>
      </c>
      <c r="R24" s="188">
        <v>0</v>
      </c>
      <c r="S24" s="188">
        <v>0</v>
      </c>
      <c r="T24" s="188">
        <v>0</v>
      </c>
      <c r="U24" s="188">
        <v>0</v>
      </c>
      <c r="V24" s="188">
        <v>0</v>
      </c>
      <c r="W24" s="188">
        <v>0</v>
      </c>
      <c r="X24" s="188">
        <v>0</v>
      </c>
      <c r="Y24" s="188">
        <v>0</v>
      </c>
      <c r="Z24" s="188">
        <v>0</v>
      </c>
      <c r="AA24" s="188">
        <v>0</v>
      </c>
      <c r="AB24" s="188">
        <v>0</v>
      </c>
      <c r="AC24" s="189">
        <v>0</v>
      </c>
      <c r="AD24" s="42"/>
      <c r="AE24" s="41"/>
      <c r="AF24" s="41"/>
      <c r="AG24" s="41"/>
      <c r="AH24" s="41"/>
      <c r="AI24" s="41"/>
      <c r="AJ24" s="41"/>
      <c r="AK24" s="41"/>
      <c r="AM24" s="52"/>
    </row>
    <row r="25" spans="1:39" s="280" customFormat="1" ht="36" customHeight="1" x14ac:dyDescent="0.3">
      <c r="A25" s="720" t="s">
        <v>655</v>
      </c>
      <c r="B25" s="723" t="s">
        <v>656</v>
      </c>
      <c r="C25" s="650" t="s">
        <v>668</v>
      </c>
      <c r="D25" s="726" t="s">
        <v>669</v>
      </c>
      <c r="E25" s="277" t="s">
        <v>659</v>
      </c>
      <c r="F25" s="500">
        <f>IF(F22=0,Thermostat!$B$4,Thermostat!$B$3)</f>
        <v>60</v>
      </c>
      <c r="G25" s="500">
        <f>IF(G22=0,Thermostat!$B$4,Thermostat!$B$3)</f>
        <v>60</v>
      </c>
      <c r="H25" s="500">
        <f>IF(H22=0,Thermostat!$B$4,Thermostat!$B$3)</f>
        <v>60</v>
      </c>
      <c r="I25" s="500">
        <f>IF(I22=0,Thermostat!$B$4,Thermostat!$B$3)</f>
        <v>60</v>
      </c>
      <c r="J25" s="500">
        <f>IF(J22=0,Thermostat!$B$4,Thermostat!$B$3)</f>
        <v>60</v>
      </c>
      <c r="K25" s="500">
        <f>IF(K22=0,Thermostat!$B$4,Thermostat!$B$3)</f>
        <v>60</v>
      </c>
      <c r="L25" s="500">
        <f>IF(L22=0,Thermostat!$B$4,Thermostat!$B$3)</f>
        <v>70</v>
      </c>
      <c r="M25" s="500">
        <f>IF(M22=0,Thermostat!$B$4,Thermostat!$B$3)</f>
        <v>70</v>
      </c>
      <c r="N25" s="500">
        <f>IF(N22=0,Thermostat!$B$4,Thermostat!$B$3)</f>
        <v>70</v>
      </c>
      <c r="O25" s="500">
        <f>IF(O22=0,Thermostat!$B$4,Thermostat!$B$3)</f>
        <v>70</v>
      </c>
      <c r="P25" s="500">
        <f>IF(P22=0,Thermostat!$B$4,Thermostat!$B$3)</f>
        <v>70</v>
      </c>
      <c r="Q25" s="500">
        <f>IF(Q22=0,Thermostat!$B$4,Thermostat!$B$3)</f>
        <v>70</v>
      </c>
      <c r="R25" s="500">
        <f>IF(R22=0,Thermostat!$B$4,Thermostat!$B$3)</f>
        <v>70</v>
      </c>
      <c r="S25" s="500">
        <f>IF(S22=0,Thermostat!$B$4,Thermostat!$B$3)</f>
        <v>70</v>
      </c>
      <c r="T25" s="500">
        <f>IF(T22=0,Thermostat!$B$4,Thermostat!$B$3)</f>
        <v>70</v>
      </c>
      <c r="U25" s="500">
        <f>IF(U22=0,Thermostat!$B$4,Thermostat!$B$3)</f>
        <v>70</v>
      </c>
      <c r="V25" s="500">
        <f>IF(V22=0,Thermostat!$B$4,Thermostat!$B$3)</f>
        <v>70</v>
      </c>
      <c r="W25" s="500">
        <f>IF(W22=0,Thermostat!$B$4,Thermostat!$B$3)</f>
        <v>70</v>
      </c>
      <c r="X25" s="500">
        <f>IF(X22=0,Thermostat!$B$4,Thermostat!$B$3)</f>
        <v>70</v>
      </c>
      <c r="Y25" s="500">
        <f>IF(Y22=0,Thermostat!$B$4,Thermostat!$B$3)</f>
        <v>70</v>
      </c>
      <c r="Z25" s="500">
        <f>IF(Z22=0,Thermostat!$B$4,Thermostat!$B$3)</f>
        <v>70</v>
      </c>
      <c r="AA25" s="500">
        <f>IF(AA22=0,Thermostat!$B$4,Thermostat!$B$3)</f>
        <v>70</v>
      </c>
      <c r="AB25" s="500">
        <f>IF(AB22=0,Thermostat!$B$4,Thermostat!$B$3)</f>
        <v>60</v>
      </c>
      <c r="AC25" s="500">
        <f>IF(AC22=0,Thermostat!$B$4,Thermostat!$B$3)</f>
        <v>60</v>
      </c>
      <c r="AD25" s="278"/>
      <c r="AE25" s="279"/>
      <c r="AF25" s="279"/>
      <c r="AG25" s="279"/>
      <c r="AH25" s="279"/>
      <c r="AI25" s="279"/>
      <c r="AJ25" s="279"/>
      <c r="AK25" s="279"/>
      <c r="AM25" s="281"/>
    </row>
    <row r="26" spans="1:39" s="280" customFormat="1" ht="36" customHeight="1" x14ac:dyDescent="0.3">
      <c r="A26" s="721"/>
      <c r="B26" s="724"/>
      <c r="C26" s="651"/>
      <c r="D26" s="727"/>
      <c r="E26" s="282" t="s">
        <v>660</v>
      </c>
      <c r="F26" s="501">
        <f>IF(F23=0,Thermostat!$B$4,Thermostat!$B$3)</f>
        <v>60</v>
      </c>
      <c r="G26" s="501">
        <f>IF(G23=0,Thermostat!$B$4,Thermostat!$B$3)</f>
        <v>60</v>
      </c>
      <c r="H26" s="501">
        <f>IF(H23=0,Thermostat!$B$4,Thermostat!$B$3)</f>
        <v>60</v>
      </c>
      <c r="I26" s="501">
        <f>IF(I23=0,Thermostat!$B$4,Thermostat!$B$3)</f>
        <v>60</v>
      </c>
      <c r="J26" s="501">
        <f>IF(J23=0,Thermostat!$B$4,Thermostat!$B$3)</f>
        <v>60</v>
      </c>
      <c r="K26" s="501">
        <f>IF(K23=0,Thermostat!$B$4,Thermostat!$B$3)</f>
        <v>60</v>
      </c>
      <c r="L26" s="501">
        <f>IF(L23=0,Thermostat!$B$4,Thermostat!$B$3)</f>
        <v>60</v>
      </c>
      <c r="M26" s="501">
        <f>IF(M23=0,Thermostat!$B$4,Thermostat!$B$3)</f>
        <v>60</v>
      </c>
      <c r="N26" s="501">
        <f>IF(N23=0,Thermostat!$B$4,Thermostat!$B$3)</f>
        <v>60</v>
      </c>
      <c r="O26" s="501">
        <f>IF(O23=0,Thermostat!$B$4,Thermostat!$B$3)</f>
        <v>60</v>
      </c>
      <c r="P26" s="501">
        <f>IF(P23=0,Thermostat!$B$4,Thermostat!$B$3)</f>
        <v>60</v>
      </c>
      <c r="Q26" s="501">
        <f>IF(Q23=0,Thermostat!$B$4,Thermostat!$B$3)</f>
        <v>60</v>
      </c>
      <c r="R26" s="501">
        <f>IF(R23=0,Thermostat!$B$4,Thermostat!$B$3)</f>
        <v>60</v>
      </c>
      <c r="S26" s="501">
        <f>IF(S23=0,Thermostat!$B$4,Thermostat!$B$3)</f>
        <v>60</v>
      </c>
      <c r="T26" s="501">
        <f>IF(T23=0,Thermostat!$B$4,Thermostat!$B$3)</f>
        <v>60</v>
      </c>
      <c r="U26" s="501">
        <f>IF(U23=0,Thermostat!$B$4,Thermostat!$B$3)</f>
        <v>60</v>
      </c>
      <c r="V26" s="501">
        <f>IF(V23=0,Thermostat!$B$4,Thermostat!$B$3)</f>
        <v>60</v>
      </c>
      <c r="W26" s="501">
        <f>IF(W23=0,Thermostat!$B$4,Thermostat!$B$3)</f>
        <v>60</v>
      </c>
      <c r="X26" s="501">
        <f>IF(X23=0,Thermostat!$B$4,Thermostat!$B$3)</f>
        <v>60</v>
      </c>
      <c r="Y26" s="501">
        <f>IF(Y23=0,Thermostat!$B$4,Thermostat!$B$3)</f>
        <v>60</v>
      </c>
      <c r="Z26" s="501">
        <f>IF(Z23=0,Thermostat!$B$4,Thermostat!$B$3)</f>
        <v>60</v>
      </c>
      <c r="AA26" s="501">
        <f>IF(AA23=0,Thermostat!$B$4,Thermostat!$B$3)</f>
        <v>60</v>
      </c>
      <c r="AB26" s="501">
        <f>IF(AB23=0,Thermostat!$B$4,Thermostat!$B$3)</f>
        <v>60</v>
      </c>
      <c r="AC26" s="501">
        <f>IF(AC23=0,Thermostat!$B$4,Thermostat!$B$3)</f>
        <v>60</v>
      </c>
      <c r="AD26" s="278"/>
      <c r="AE26" s="279"/>
      <c r="AF26" s="279"/>
      <c r="AG26" s="279"/>
      <c r="AH26" s="279"/>
      <c r="AI26" s="279"/>
      <c r="AJ26" s="279"/>
      <c r="AK26" s="279"/>
      <c r="AM26" s="281"/>
    </row>
    <row r="27" spans="1:39" s="280" customFormat="1" ht="36" customHeight="1" thickBot="1" x14ac:dyDescent="0.35">
      <c r="A27" s="722"/>
      <c r="B27" s="725"/>
      <c r="C27" s="652"/>
      <c r="D27" s="728"/>
      <c r="E27" s="283" t="s">
        <v>661</v>
      </c>
      <c r="F27" s="502">
        <f>IF(F24=0,Thermostat!$B$4,Thermostat!$B$3)</f>
        <v>60</v>
      </c>
      <c r="G27" s="502">
        <f>IF(G24=0,Thermostat!$B$4,Thermostat!$B$3)</f>
        <v>60</v>
      </c>
      <c r="H27" s="502">
        <f>IF(H24=0,Thermostat!$B$4,Thermostat!$B$3)</f>
        <v>60</v>
      </c>
      <c r="I27" s="502">
        <f>IF(I24=0,Thermostat!$B$4,Thermostat!$B$3)</f>
        <v>60</v>
      </c>
      <c r="J27" s="502">
        <f>IF(J24=0,Thermostat!$B$4,Thermostat!$B$3)</f>
        <v>60</v>
      </c>
      <c r="K27" s="502">
        <f>IF(K24=0,Thermostat!$B$4,Thermostat!$B$3)</f>
        <v>60</v>
      </c>
      <c r="L27" s="502">
        <f>IF(L24=0,Thermostat!$B$4,Thermostat!$B$3)</f>
        <v>60</v>
      </c>
      <c r="M27" s="502">
        <f>IF(M24=0,Thermostat!$B$4,Thermostat!$B$3)</f>
        <v>60</v>
      </c>
      <c r="N27" s="502">
        <f>IF(N24=0,Thermostat!$B$4,Thermostat!$B$3)</f>
        <v>60</v>
      </c>
      <c r="O27" s="502">
        <f>IF(O24=0,Thermostat!$B$4,Thermostat!$B$3)</f>
        <v>60</v>
      </c>
      <c r="P27" s="502">
        <f>IF(P24=0,Thermostat!$B$4,Thermostat!$B$3)</f>
        <v>60</v>
      </c>
      <c r="Q27" s="502">
        <f>IF(Q24=0,Thermostat!$B$4,Thermostat!$B$3)</f>
        <v>60</v>
      </c>
      <c r="R27" s="502">
        <f>IF(R24=0,Thermostat!$B$4,Thermostat!$B$3)</f>
        <v>60</v>
      </c>
      <c r="S27" s="502">
        <f>IF(S24=0,Thermostat!$B$4,Thermostat!$B$3)</f>
        <v>60</v>
      </c>
      <c r="T27" s="502">
        <f>IF(T24=0,Thermostat!$B$4,Thermostat!$B$3)</f>
        <v>60</v>
      </c>
      <c r="U27" s="502">
        <f>IF(U24=0,Thermostat!$B$4,Thermostat!$B$3)</f>
        <v>60</v>
      </c>
      <c r="V27" s="502">
        <f>IF(V24=0,Thermostat!$B$4,Thermostat!$B$3)</f>
        <v>60</v>
      </c>
      <c r="W27" s="502">
        <f>IF(W24=0,Thermostat!$B$4,Thermostat!$B$3)</f>
        <v>60</v>
      </c>
      <c r="X27" s="502">
        <f>IF(X24=0,Thermostat!$B$4,Thermostat!$B$3)</f>
        <v>60</v>
      </c>
      <c r="Y27" s="502">
        <f>IF(Y24=0,Thermostat!$B$4,Thermostat!$B$3)</f>
        <v>60</v>
      </c>
      <c r="Z27" s="502">
        <f>IF(Z24=0,Thermostat!$B$4,Thermostat!$B$3)</f>
        <v>60</v>
      </c>
      <c r="AA27" s="502">
        <f>IF(AA24=0,Thermostat!$B$4,Thermostat!$B$3)</f>
        <v>60</v>
      </c>
      <c r="AB27" s="502">
        <f>IF(AB24=0,Thermostat!$B$4,Thermostat!$B$3)</f>
        <v>60</v>
      </c>
      <c r="AC27" s="502">
        <f>IF(AC24=0,Thermostat!$B$4,Thermostat!$B$3)</f>
        <v>60</v>
      </c>
      <c r="AD27" s="278"/>
      <c r="AE27" s="279"/>
      <c r="AF27" s="279"/>
      <c r="AG27" s="279"/>
      <c r="AH27" s="279"/>
      <c r="AI27" s="279"/>
      <c r="AJ27" s="279"/>
      <c r="AK27" s="279"/>
      <c r="AM27" s="281"/>
    </row>
    <row r="28" spans="1:39" ht="36" customHeight="1" x14ac:dyDescent="0.3">
      <c r="A28" s="644" t="s">
        <v>655</v>
      </c>
      <c r="B28" s="647" t="s">
        <v>656</v>
      </c>
      <c r="C28" s="650" t="s">
        <v>670</v>
      </c>
      <c r="D28" s="653" t="s">
        <v>671</v>
      </c>
      <c r="E28" s="199" t="s">
        <v>659</v>
      </c>
      <c r="F28" s="503">
        <f>IF(F22=0,Thermostat!$B$6,Thermostat!$B$5)</f>
        <v>85</v>
      </c>
      <c r="G28" s="503">
        <f>IF(G22=0,Thermostat!$B$6,Thermostat!$B$5)</f>
        <v>85</v>
      </c>
      <c r="H28" s="503">
        <f>IF(H22=0,Thermostat!$B$6,Thermostat!$B$5)</f>
        <v>85</v>
      </c>
      <c r="I28" s="503">
        <f>IF(I22=0,Thermostat!$B$6,Thermostat!$B$5)</f>
        <v>85</v>
      </c>
      <c r="J28" s="503">
        <f>IF(J22=0,Thermostat!$B$6,Thermostat!$B$5)</f>
        <v>85</v>
      </c>
      <c r="K28" s="503">
        <f>IF(K22=0,Thermostat!$B$6,Thermostat!$B$5)</f>
        <v>85</v>
      </c>
      <c r="L28" s="503">
        <f>IF(L22=0,Thermostat!$B$6,Thermostat!$B$5)</f>
        <v>75</v>
      </c>
      <c r="M28" s="503">
        <f>IF(M22=0,Thermostat!$B$6,Thermostat!$B$5)</f>
        <v>75</v>
      </c>
      <c r="N28" s="503">
        <f>IF(N22=0,Thermostat!$B$6,Thermostat!$B$5)</f>
        <v>75</v>
      </c>
      <c r="O28" s="503">
        <f>IF(O22=0,Thermostat!$B$6,Thermostat!$B$5)</f>
        <v>75</v>
      </c>
      <c r="P28" s="503">
        <f>IF(P22=0,Thermostat!$B$6,Thermostat!$B$5)</f>
        <v>75</v>
      </c>
      <c r="Q28" s="503">
        <f>IF(Q22=0,Thermostat!$B$6,Thermostat!$B$5)</f>
        <v>75</v>
      </c>
      <c r="R28" s="503">
        <f>IF(R22=0,Thermostat!$B$6,Thermostat!$B$5)</f>
        <v>75</v>
      </c>
      <c r="S28" s="503">
        <f>IF(S22=0,Thermostat!$B$6,Thermostat!$B$5)</f>
        <v>75</v>
      </c>
      <c r="T28" s="503">
        <f>IF(T22=0,Thermostat!$B$6,Thermostat!$B$5)</f>
        <v>75</v>
      </c>
      <c r="U28" s="503">
        <f>IF(U22=0,Thermostat!$B$6,Thermostat!$B$5)</f>
        <v>75</v>
      </c>
      <c r="V28" s="503">
        <f>IF(V22=0,Thermostat!$B$6,Thermostat!$B$5)</f>
        <v>75</v>
      </c>
      <c r="W28" s="503">
        <f>IF(W22=0,Thermostat!$B$6,Thermostat!$B$5)</f>
        <v>75</v>
      </c>
      <c r="X28" s="503">
        <f>IF(X22=0,Thermostat!$B$6,Thermostat!$B$5)</f>
        <v>75</v>
      </c>
      <c r="Y28" s="503">
        <f>IF(Y22=0,Thermostat!$B$6,Thermostat!$B$5)</f>
        <v>75</v>
      </c>
      <c r="Z28" s="503">
        <f>IF(Z22=0,Thermostat!$B$6,Thermostat!$B$5)</f>
        <v>75</v>
      </c>
      <c r="AA28" s="503">
        <f>IF(AA22=0,Thermostat!$B$6,Thermostat!$B$5)</f>
        <v>75</v>
      </c>
      <c r="AB28" s="503">
        <f>IF(AB22=0,Thermostat!$B$6,Thermostat!$B$5)</f>
        <v>85</v>
      </c>
      <c r="AC28" s="503">
        <f>IF(AC22=0,Thermostat!$B$6,Thermostat!$B$5)</f>
        <v>85</v>
      </c>
      <c r="AD28" s="42"/>
      <c r="AE28" s="41"/>
      <c r="AF28" s="41"/>
      <c r="AG28" s="41"/>
      <c r="AH28" s="41"/>
      <c r="AI28" s="41"/>
      <c r="AJ28" s="41"/>
      <c r="AK28" s="41"/>
      <c r="AM28" s="52"/>
    </row>
    <row r="29" spans="1:39" ht="36" customHeight="1" x14ac:dyDescent="0.3">
      <c r="A29" s="645"/>
      <c r="B29" s="648"/>
      <c r="C29" s="651"/>
      <c r="D29" s="654"/>
      <c r="E29" s="193" t="s">
        <v>660</v>
      </c>
      <c r="F29" s="504">
        <f>IF(F23=0,Thermostat!$B$6,Thermostat!$B$5)</f>
        <v>85</v>
      </c>
      <c r="G29" s="504">
        <f>IF(G23=0,Thermostat!$B$6,Thermostat!$B$5)</f>
        <v>85</v>
      </c>
      <c r="H29" s="504">
        <f>IF(H23=0,Thermostat!$B$6,Thermostat!$B$5)</f>
        <v>85</v>
      </c>
      <c r="I29" s="504">
        <f>IF(I23=0,Thermostat!$B$6,Thermostat!$B$5)</f>
        <v>85</v>
      </c>
      <c r="J29" s="504">
        <f>IF(J23=0,Thermostat!$B$6,Thermostat!$B$5)</f>
        <v>85</v>
      </c>
      <c r="K29" s="504">
        <f>IF(K23=0,Thermostat!$B$6,Thermostat!$B$5)</f>
        <v>85</v>
      </c>
      <c r="L29" s="504">
        <f>IF(L23=0,Thermostat!$B$6,Thermostat!$B$5)</f>
        <v>85</v>
      </c>
      <c r="M29" s="504">
        <f>IF(M23=0,Thermostat!$B$6,Thermostat!$B$5)</f>
        <v>85</v>
      </c>
      <c r="N29" s="504">
        <f>IF(N23=0,Thermostat!$B$6,Thermostat!$B$5)</f>
        <v>85</v>
      </c>
      <c r="O29" s="504">
        <f>IF(O23=0,Thermostat!$B$6,Thermostat!$B$5)</f>
        <v>85</v>
      </c>
      <c r="P29" s="504">
        <f>IF(P23=0,Thermostat!$B$6,Thermostat!$B$5)</f>
        <v>85</v>
      </c>
      <c r="Q29" s="504">
        <f>IF(Q23=0,Thermostat!$B$6,Thermostat!$B$5)</f>
        <v>85</v>
      </c>
      <c r="R29" s="504">
        <f>IF(R23=0,Thermostat!$B$6,Thermostat!$B$5)</f>
        <v>85</v>
      </c>
      <c r="S29" s="504">
        <f>IF(S23=0,Thermostat!$B$6,Thermostat!$B$5)</f>
        <v>85</v>
      </c>
      <c r="T29" s="504">
        <f>IF(T23=0,Thermostat!$B$6,Thermostat!$B$5)</f>
        <v>85</v>
      </c>
      <c r="U29" s="504">
        <f>IF(U23=0,Thermostat!$B$6,Thermostat!$B$5)</f>
        <v>85</v>
      </c>
      <c r="V29" s="504">
        <f>IF(V23=0,Thermostat!$B$6,Thermostat!$B$5)</f>
        <v>85</v>
      </c>
      <c r="W29" s="504">
        <f>IF(W23=0,Thermostat!$B$6,Thermostat!$B$5)</f>
        <v>85</v>
      </c>
      <c r="X29" s="504">
        <f>IF(X23=0,Thermostat!$B$6,Thermostat!$B$5)</f>
        <v>85</v>
      </c>
      <c r="Y29" s="504">
        <f>IF(Y23=0,Thermostat!$B$6,Thermostat!$B$5)</f>
        <v>85</v>
      </c>
      <c r="Z29" s="504">
        <f>IF(Z23=0,Thermostat!$B$6,Thermostat!$B$5)</f>
        <v>85</v>
      </c>
      <c r="AA29" s="504">
        <f>IF(AA23=0,Thermostat!$B$6,Thermostat!$B$5)</f>
        <v>85</v>
      </c>
      <c r="AB29" s="504">
        <f>IF(AB23=0,Thermostat!$B$6,Thermostat!$B$5)</f>
        <v>85</v>
      </c>
      <c r="AC29" s="504">
        <f>IF(AC23=0,Thermostat!$B$6,Thermostat!$B$5)</f>
        <v>85</v>
      </c>
      <c r="AD29" s="42"/>
      <c r="AE29" s="41"/>
      <c r="AF29" s="41"/>
      <c r="AG29" s="41"/>
      <c r="AH29" s="41"/>
      <c r="AI29" s="41"/>
      <c r="AJ29" s="41"/>
      <c r="AK29" s="41"/>
      <c r="AM29" s="52"/>
    </row>
    <row r="30" spans="1:39" ht="36" customHeight="1" thickBot="1" x14ac:dyDescent="0.35">
      <c r="A30" s="646"/>
      <c r="B30" s="649"/>
      <c r="C30" s="652"/>
      <c r="D30" s="655"/>
      <c r="E30" s="196" t="s">
        <v>661</v>
      </c>
      <c r="F30" s="505">
        <f>IF(F24=0,Thermostat!$B$6,Thermostat!$B$5)</f>
        <v>85</v>
      </c>
      <c r="G30" s="505">
        <f>IF(G24=0,Thermostat!$B$6,Thermostat!$B$5)</f>
        <v>85</v>
      </c>
      <c r="H30" s="505">
        <f>IF(H24=0,Thermostat!$B$6,Thermostat!$B$5)</f>
        <v>85</v>
      </c>
      <c r="I30" s="505">
        <f>IF(I24=0,Thermostat!$B$6,Thermostat!$B$5)</f>
        <v>85</v>
      </c>
      <c r="J30" s="505">
        <f>IF(J24=0,Thermostat!$B$6,Thermostat!$B$5)</f>
        <v>85</v>
      </c>
      <c r="K30" s="505">
        <f>IF(K24=0,Thermostat!$B$6,Thermostat!$B$5)</f>
        <v>85</v>
      </c>
      <c r="L30" s="505">
        <f>IF(L24=0,Thermostat!$B$6,Thermostat!$B$5)</f>
        <v>85</v>
      </c>
      <c r="M30" s="505">
        <f>IF(M24=0,Thermostat!$B$6,Thermostat!$B$5)</f>
        <v>85</v>
      </c>
      <c r="N30" s="505">
        <f>IF(N24=0,Thermostat!$B$6,Thermostat!$B$5)</f>
        <v>85</v>
      </c>
      <c r="O30" s="505">
        <f>IF(O24=0,Thermostat!$B$6,Thermostat!$B$5)</f>
        <v>85</v>
      </c>
      <c r="P30" s="505">
        <f>IF(P24=0,Thermostat!$B$6,Thermostat!$B$5)</f>
        <v>85</v>
      </c>
      <c r="Q30" s="505">
        <f>IF(Q24=0,Thermostat!$B$6,Thermostat!$B$5)</f>
        <v>85</v>
      </c>
      <c r="R30" s="505">
        <f>IF(R24=0,Thermostat!$B$6,Thermostat!$B$5)</f>
        <v>85</v>
      </c>
      <c r="S30" s="505">
        <f>IF(S24=0,Thermostat!$B$6,Thermostat!$B$5)</f>
        <v>85</v>
      </c>
      <c r="T30" s="505">
        <f>IF(T24=0,Thermostat!$B$6,Thermostat!$B$5)</f>
        <v>85</v>
      </c>
      <c r="U30" s="505">
        <f>IF(U24=0,Thermostat!$B$6,Thermostat!$B$5)</f>
        <v>85</v>
      </c>
      <c r="V30" s="505">
        <f>IF(V24=0,Thermostat!$B$6,Thermostat!$B$5)</f>
        <v>85</v>
      </c>
      <c r="W30" s="505">
        <f>IF(W24=0,Thermostat!$B$6,Thermostat!$B$5)</f>
        <v>85</v>
      </c>
      <c r="X30" s="505">
        <f>IF(X24=0,Thermostat!$B$6,Thermostat!$B$5)</f>
        <v>85</v>
      </c>
      <c r="Y30" s="505">
        <f>IF(Y24=0,Thermostat!$B$6,Thermostat!$B$5)</f>
        <v>85</v>
      </c>
      <c r="Z30" s="505">
        <f>IF(Z24=0,Thermostat!$B$6,Thermostat!$B$5)</f>
        <v>85</v>
      </c>
      <c r="AA30" s="505">
        <f>IF(AA24=0,Thermostat!$B$6,Thermostat!$B$5)</f>
        <v>85</v>
      </c>
      <c r="AB30" s="505">
        <f>IF(AB24=0,Thermostat!$B$6,Thermostat!$B$5)</f>
        <v>85</v>
      </c>
      <c r="AC30" s="505">
        <f>IF(AC24=0,Thermostat!$B$6,Thermostat!$B$5)</f>
        <v>85</v>
      </c>
      <c r="AD30" s="42"/>
      <c r="AE30" s="41"/>
      <c r="AF30" s="41"/>
      <c r="AG30" s="41"/>
      <c r="AH30" s="41"/>
      <c r="AI30" s="41"/>
      <c r="AJ30" s="41"/>
      <c r="AK30" s="41"/>
      <c r="AM30" s="52"/>
    </row>
    <row r="31" spans="1:39" ht="36" customHeight="1" x14ac:dyDescent="0.3">
      <c r="A31" s="644" t="s">
        <v>655</v>
      </c>
      <c r="B31" s="647" t="s">
        <v>656</v>
      </c>
      <c r="C31" s="650" t="s">
        <v>296</v>
      </c>
      <c r="D31" s="653" t="s">
        <v>671</v>
      </c>
      <c r="E31" s="199" t="s">
        <v>659</v>
      </c>
      <c r="F31" s="174">
        <v>1</v>
      </c>
      <c r="G31" s="174">
        <v>1</v>
      </c>
      <c r="H31" s="174">
        <v>1</v>
      </c>
      <c r="I31" s="174">
        <v>1</v>
      </c>
      <c r="J31" s="174">
        <v>1</v>
      </c>
      <c r="K31" s="174">
        <v>1</v>
      </c>
      <c r="L31" s="174">
        <v>1</v>
      </c>
      <c r="M31" s="174">
        <v>0.25</v>
      </c>
      <c r="N31" s="174">
        <v>0.25</v>
      </c>
      <c r="O31" s="174">
        <v>0.25</v>
      </c>
      <c r="P31" s="174">
        <v>0.25</v>
      </c>
      <c r="Q31" s="174">
        <v>0.25</v>
      </c>
      <c r="R31" s="174">
        <v>0.25</v>
      </c>
      <c r="S31" s="174">
        <v>0.25</v>
      </c>
      <c r="T31" s="174">
        <v>0.25</v>
      </c>
      <c r="U31" s="174">
        <v>0.25</v>
      </c>
      <c r="V31" s="174">
        <v>1</v>
      </c>
      <c r="W31" s="174">
        <v>1</v>
      </c>
      <c r="X31" s="174">
        <v>1</v>
      </c>
      <c r="Y31" s="174">
        <v>1</v>
      </c>
      <c r="Z31" s="174">
        <v>1</v>
      </c>
      <c r="AA31" s="174">
        <v>1</v>
      </c>
      <c r="AB31" s="174">
        <v>1</v>
      </c>
      <c r="AC31" s="174">
        <v>1</v>
      </c>
      <c r="AD31" s="42"/>
      <c r="AE31" s="41"/>
      <c r="AF31" s="41"/>
      <c r="AG31" s="41"/>
      <c r="AH31" s="41"/>
      <c r="AI31" s="41"/>
      <c r="AJ31" s="41"/>
      <c r="AK31" s="41"/>
      <c r="AM31" s="52"/>
    </row>
    <row r="32" spans="1:39" ht="36" customHeight="1" x14ac:dyDescent="0.3">
      <c r="A32" s="645"/>
      <c r="B32" s="648"/>
      <c r="C32" s="651"/>
      <c r="D32" s="654"/>
      <c r="E32" s="193" t="s">
        <v>660</v>
      </c>
      <c r="F32" s="186">
        <v>1</v>
      </c>
      <c r="G32" s="186">
        <v>1</v>
      </c>
      <c r="H32" s="186">
        <v>1</v>
      </c>
      <c r="I32" s="186">
        <v>1</v>
      </c>
      <c r="J32" s="186">
        <v>1</v>
      </c>
      <c r="K32" s="186">
        <v>1</v>
      </c>
      <c r="L32" s="186">
        <v>1</v>
      </c>
      <c r="M32" s="186">
        <v>1</v>
      </c>
      <c r="N32" s="186">
        <v>1</v>
      </c>
      <c r="O32" s="186">
        <v>1</v>
      </c>
      <c r="P32" s="186">
        <v>1</v>
      </c>
      <c r="Q32" s="186">
        <v>1</v>
      </c>
      <c r="R32" s="186">
        <v>1</v>
      </c>
      <c r="S32" s="186">
        <v>1</v>
      </c>
      <c r="T32" s="186">
        <v>1</v>
      </c>
      <c r="U32" s="186">
        <v>1</v>
      </c>
      <c r="V32" s="186">
        <v>1</v>
      </c>
      <c r="W32" s="186">
        <v>1</v>
      </c>
      <c r="X32" s="186">
        <v>1</v>
      </c>
      <c r="Y32" s="186">
        <v>1</v>
      </c>
      <c r="Z32" s="186">
        <v>1</v>
      </c>
      <c r="AA32" s="186">
        <v>1</v>
      </c>
      <c r="AB32" s="186">
        <v>1</v>
      </c>
      <c r="AC32" s="186">
        <v>1</v>
      </c>
      <c r="AD32" s="42"/>
      <c r="AE32" s="41"/>
      <c r="AF32" s="41"/>
      <c r="AG32" s="41"/>
      <c r="AH32" s="41"/>
      <c r="AI32" s="41"/>
      <c r="AJ32" s="41"/>
      <c r="AK32" s="41"/>
      <c r="AM32" s="52"/>
    </row>
    <row r="33" spans="1:39" ht="36" customHeight="1" thickBot="1" x14ac:dyDescent="0.35">
      <c r="A33" s="646"/>
      <c r="B33" s="649"/>
      <c r="C33" s="652"/>
      <c r="D33" s="655"/>
      <c r="E33" s="196" t="s">
        <v>661</v>
      </c>
      <c r="F33" s="188">
        <v>1</v>
      </c>
      <c r="G33" s="188">
        <v>1</v>
      </c>
      <c r="H33" s="188">
        <v>1</v>
      </c>
      <c r="I33" s="188">
        <v>1</v>
      </c>
      <c r="J33" s="188">
        <v>1</v>
      </c>
      <c r="K33" s="188">
        <v>1</v>
      </c>
      <c r="L33" s="188">
        <v>1</v>
      </c>
      <c r="M33" s="188">
        <v>1</v>
      </c>
      <c r="N33" s="188">
        <v>1</v>
      </c>
      <c r="O33" s="188">
        <v>1</v>
      </c>
      <c r="P33" s="188">
        <v>1</v>
      </c>
      <c r="Q33" s="188">
        <v>1</v>
      </c>
      <c r="R33" s="188">
        <v>1</v>
      </c>
      <c r="S33" s="188">
        <v>1</v>
      </c>
      <c r="T33" s="188">
        <v>1</v>
      </c>
      <c r="U33" s="188">
        <v>1</v>
      </c>
      <c r="V33" s="188">
        <v>1</v>
      </c>
      <c r="W33" s="188">
        <v>1</v>
      </c>
      <c r="X33" s="188">
        <v>1</v>
      </c>
      <c r="Y33" s="188">
        <v>1</v>
      </c>
      <c r="Z33" s="188">
        <v>1</v>
      </c>
      <c r="AA33" s="188">
        <v>1</v>
      </c>
      <c r="AB33" s="188">
        <v>1</v>
      </c>
      <c r="AC33" s="188">
        <v>1</v>
      </c>
      <c r="AD33" s="42"/>
      <c r="AE33" s="41"/>
      <c r="AF33" s="41"/>
      <c r="AG33" s="41"/>
      <c r="AH33" s="41"/>
      <c r="AI33" s="41"/>
      <c r="AJ33" s="41"/>
      <c r="AK33" s="41"/>
      <c r="AM33" s="52"/>
    </row>
    <row r="34" spans="1:39" ht="35.25" customHeight="1" thickBot="1" x14ac:dyDescent="0.35">
      <c r="A34" s="700" t="s">
        <v>150</v>
      </c>
      <c r="B34" s="700"/>
      <c r="C34" s="700" t="s">
        <v>26</v>
      </c>
      <c r="D34" s="700"/>
      <c r="E34" s="700"/>
      <c r="F34" s="700"/>
      <c r="G34" s="700"/>
      <c r="H34" s="700"/>
      <c r="I34" s="700"/>
      <c r="J34" s="700"/>
      <c r="K34" s="700"/>
      <c r="L34" s="700"/>
      <c r="M34" s="700"/>
      <c r="N34" s="700"/>
      <c r="O34" s="700"/>
      <c r="P34" s="700"/>
      <c r="Q34" s="700"/>
      <c r="R34" s="700"/>
      <c r="S34" s="700"/>
      <c r="T34" s="700"/>
      <c r="U34" s="700"/>
      <c r="V34" s="700"/>
      <c r="W34" s="700"/>
      <c r="X34" s="700"/>
      <c r="Y34" s="700"/>
      <c r="Z34" s="700"/>
      <c r="AA34" s="700"/>
      <c r="AB34" s="700"/>
      <c r="AC34" s="701"/>
    </row>
    <row r="35" spans="1:39" s="200" customFormat="1" ht="25.2" customHeight="1" x14ac:dyDescent="0.25">
      <c r="A35" s="656" t="s">
        <v>672</v>
      </c>
      <c r="B35" s="647" t="s">
        <v>150</v>
      </c>
      <c r="C35" s="647" t="s">
        <v>657</v>
      </c>
      <c r="D35" s="668" t="s">
        <v>671</v>
      </c>
      <c r="E35" s="199" t="s">
        <v>659</v>
      </c>
      <c r="F35" s="174">
        <v>0</v>
      </c>
      <c r="G35" s="174">
        <v>0</v>
      </c>
      <c r="H35" s="174">
        <v>0</v>
      </c>
      <c r="I35" s="174">
        <v>0</v>
      </c>
      <c r="J35" s="174">
        <v>0</v>
      </c>
      <c r="K35" s="174">
        <v>0.1</v>
      </c>
      <c r="L35" s="174">
        <v>0.5</v>
      </c>
      <c r="M35" s="174">
        <v>0.95</v>
      </c>
      <c r="N35" s="174">
        <v>0.95</v>
      </c>
      <c r="O35" s="174">
        <v>0.95</v>
      </c>
      <c r="P35" s="174">
        <v>0.95</v>
      </c>
      <c r="Q35" s="174">
        <v>0.95</v>
      </c>
      <c r="R35" s="174">
        <v>0.95</v>
      </c>
      <c r="S35" s="174">
        <v>0.95</v>
      </c>
      <c r="T35" s="174">
        <v>0.5</v>
      </c>
      <c r="U35" s="174">
        <v>0</v>
      </c>
      <c r="V35" s="174">
        <v>0</v>
      </c>
      <c r="W35" s="174">
        <v>0</v>
      </c>
      <c r="X35" s="174">
        <v>0</v>
      </c>
      <c r="Y35" s="174">
        <v>0</v>
      </c>
      <c r="Z35" s="174">
        <v>0</v>
      </c>
      <c r="AA35" s="174">
        <v>0</v>
      </c>
      <c r="AB35" s="174">
        <v>0</v>
      </c>
      <c r="AC35" s="175">
        <v>0</v>
      </c>
      <c r="AD35" s="41"/>
      <c r="AE35" s="41"/>
      <c r="AF35" s="41"/>
      <c r="AG35" s="41"/>
      <c r="AH35" s="41"/>
      <c r="AI35" s="41"/>
      <c r="AJ35" s="41"/>
    </row>
    <row r="36" spans="1:39" s="200" customFormat="1" ht="25.2" customHeight="1" x14ac:dyDescent="0.25">
      <c r="A36" s="657"/>
      <c r="B36" s="648"/>
      <c r="C36" s="648"/>
      <c r="D36" s="669"/>
      <c r="E36" s="193" t="s">
        <v>660</v>
      </c>
      <c r="F36" s="186">
        <v>0</v>
      </c>
      <c r="G36" s="186">
        <v>0</v>
      </c>
      <c r="H36" s="186">
        <v>0</v>
      </c>
      <c r="I36" s="186">
        <v>0</v>
      </c>
      <c r="J36" s="186">
        <v>0</v>
      </c>
      <c r="K36" s="186">
        <v>0</v>
      </c>
      <c r="L36" s="186">
        <v>0</v>
      </c>
      <c r="M36" s="186">
        <v>0</v>
      </c>
      <c r="N36" s="186">
        <v>0</v>
      </c>
      <c r="O36" s="186">
        <v>0</v>
      </c>
      <c r="P36" s="186">
        <v>0</v>
      </c>
      <c r="Q36" s="186">
        <v>0</v>
      </c>
      <c r="R36" s="186">
        <v>0</v>
      </c>
      <c r="S36" s="186">
        <v>0</v>
      </c>
      <c r="T36" s="186">
        <v>0</v>
      </c>
      <c r="U36" s="186">
        <v>0</v>
      </c>
      <c r="V36" s="186">
        <v>0</v>
      </c>
      <c r="W36" s="186">
        <v>0</v>
      </c>
      <c r="X36" s="186">
        <v>0</v>
      </c>
      <c r="Y36" s="186">
        <v>0</v>
      </c>
      <c r="Z36" s="186">
        <v>0</v>
      </c>
      <c r="AA36" s="186">
        <v>0</v>
      </c>
      <c r="AB36" s="186">
        <v>0</v>
      </c>
      <c r="AC36" s="187">
        <v>0</v>
      </c>
      <c r="AD36" s="41"/>
      <c r="AE36" s="41"/>
      <c r="AF36" s="41"/>
      <c r="AG36" s="41"/>
      <c r="AH36" s="41"/>
      <c r="AI36" s="41"/>
      <c r="AJ36" s="41"/>
    </row>
    <row r="37" spans="1:39" s="200" customFormat="1" ht="25.2" customHeight="1" thickBot="1" x14ac:dyDescent="0.3">
      <c r="A37" s="658"/>
      <c r="B37" s="649"/>
      <c r="C37" s="649"/>
      <c r="D37" s="670"/>
      <c r="E37" s="196" t="s">
        <v>661</v>
      </c>
      <c r="F37" s="188">
        <v>0</v>
      </c>
      <c r="G37" s="188">
        <v>0</v>
      </c>
      <c r="H37" s="188">
        <v>0</v>
      </c>
      <c r="I37" s="188">
        <v>0</v>
      </c>
      <c r="J37" s="188">
        <v>0</v>
      </c>
      <c r="K37" s="188">
        <v>0</v>
      </c>
      <c r="L37" s="188">
        <v>0</v>
      </c>
      <c r="M37" s="188">
        <v>0</v>
      </c>
      <c r="N37" s="188">
        <v>0</v>
      </c>
      <c r="O37" s="188">
        <v>0</v>
      </c>
      <c r="P37" s="188">
        <v>0</v>
      </c>
      <c r="Q37" s="188">
        <v>0</v>
      </c>
      <c r="R37" s="188">
        <v>0</v>
      </c>
      <c r="S37" s="188">
        <v>0</v>
      </c>
      <c r="T37" s="188">
        <v>0</v>
      </c>
      <c r="U37" s="188">
        <v>0</v>
      </c>
      <c r="V37" s="188">
        <v>0</v>
      </c>
      <c r="W37" s="188">
        <v>0</v>
      </c>
      <c r="X37" s="188">
        <v>0</v>
      </c>
      <c r="Y37" s="188">
        <v>0</v>
      </c>
      <c r="Z37" s="188">
        <v>0</v>
      </c>
      <c r="AA37" s="188">
        <v>0</v>
      </c>
      <c r="AB37" s="188">
        <v>0</v>
      </c>
      <c r="AC37" s="189">
        <v>0</v>
      </c>
      <c r="AD37" s="41"/>
      <c r="AE37" s="41"/>
      <c r="AF37" s="41"/>
      <c r="AG37" s="41"/>
      <c r="AH37" s="41"/>
      <c r="AI37" s="41"/>
      <c r="AJ37" s="41"/>
    </row>
    <row r="38" spans="1:39" s="200" customFormat="1" ht="25.2" customHeight="1" x14ac:dyDescent="0.25">
      <c r="A38" s="656" t="s">
        <v>672</v>
      </c>
      <c r="B38" s="647" t="s">
        <v>150</v>
      </c>
      <c r="C38" s="647" t="s">
        <v>667</v>
      </c>
      <c r="D38" s="668" t="s">
        <v>671</v>
      </c>
      <c r="E38" s="199" t="s">
        <v>659</v>
      </c>
      <c r="F38" s="176">
        <v>0</v>
      </c>
      <c r="G38" s="176">
        <v>0</v>
      </c>
      <c r="H38" s="176">
        <v>0</v>
      </c>
      <c r="I38" s="176">
        <v>0</v>
      </c>
      <c r="J38" s="176">
        <v>0</v>
      </c>
      <c r="K38" s="176">
        <v>1</v>
      </c>
      <c r="L38" s="176">
        <v>1</v>
      </c>
      <c r="M38" s="176">
        <v>1</v>
      </c>
      <c r="N38" s="176">
        <v>1</v>
      </c>
      <c r="O38" s="176">
        <v>1</v>
      </c>
      <c r="P38" s="176">
        <v>1</v>
      </c>
      <c r="Q38" s="176">
        <v>1</v>
      </c>
      <c r="R38" s="176">
        <v>1</v>
      </c>
      <c r="S38" s="176">
        <v>1</v>
      </c>
      <c r="T38" s="176">
        <v>1</v>
      </c>
      <c r="U38" s="176">
        <v>0</v>
      </c>
      <c r="V38" s="176">
        <v>0</v>
      </c>
      <c r="W38" s="176">
        <v>0</v>
      </c>
      <c r="X38" s="176">
        <v>0</v>
      </c>
      <c r="Y38" s="176">
        <v>0</v>
      </c>
      <c r="Z38" s="176">
        <v>0</v>
      </c>
      <c r="AA38" s="176">
        <v>0</v>
      </c>
      <c r="AB38" s="176">
        <v>0</v>
      </c>
      <c r="AC38" s="177">
        <v>0</v>
      </c>
      <c r="AD38" s="41"/>
      <c r="AE38" s="41"/>
      <c r="AF38" s="41"/>
      <c r="AG38" s="41"/>
      <c r="AH38" s="41"/>
      <c r="AI38" s="41"/>
      <c r="AJ38" s="41"/>
    </row>
    <row r="39" spans="1:39" s="200" customFormat="1" ht="25.2" customHeight="1" x14ac:dyDescent="0.25">
      <c r="A39" s="657"/>
      <c r="B39" s="648"/>
      <c r="C39" s="648"/>
      <c r="D39" s="669"/>
      <c r="E39" s="193" t="s">
        <v>660</v>
      </c>
      <c r="F39" s="186">
        <v>0</v>
      </c>
      <c r="G39" s="186">
        <v>0</v>
      </c>
      <c r="H39" s="186">
        <v>0</v>
      </c>
      <c r="I39" s="186">
        <v>0</v>
      </c>
      <c r="J39" s="186">
        <v>0</v>
      </c>
      <c r="K39" s="186">
        <v>0</v>
      </c>
      <c r="L39" s="186">
        <v>0</v>
      </c>
      <c r="M39" s="186">
        <v>0</v>
      </c>
      <c r="N39" s="186">
        <v>0</v>
      </c>
      <c r="O39" s="186">
        <v>0</v>
      </c>
      <c r="P39" s="186">
        <v>0</v>
      </c>
      <c r="Q39" s="186">
        <v>0</v>
      </c>
      <c r="R39" s="186">
        <v>0</v>
      </c>
      <c r="S39" s="186">
        <v>0</v>
      </c>
      <c r="T39" s="186">
        <v>0</v>
      </c>
      <c r="U39" s="186">
        <v>0</v>
      </c>
      <c r="V39" s="186">
        <v>0</v>
      </c>
      <c r="W39" s="186">
        <v>0</v>
      </c>
      <c r="X39" s="186">
        <v>0</v>
      </c>
      <c r="Y39" s="186">
        <v>0</v>
      </c>
      <c r="Z39" s="186">
        <v>0</v>
      </c>
      <c r="AA39" s="186">
        <v>0</v>
      </c>
      <c r="AB39" s="186">
        <v>0</v>
      </c>
      <c r="AC39" s="187">
        <v>0</v>
      </c>
      <c r="AD39" s="41"/>
      <c r="AE39" s="41"/>
      <c r="AF39" s="41"/>
      <c r="AG39" s="41"/>
      <c r="AH39" s="41"/>
      <c r="AI39" s="41"/>
      <c r="AJ39" s="41"/>
    </row>
    <row r="40" spans="1:39" s="200" customFormat="1" ht="25.2" customHeight="1" thickBot="1" x14ac:dyDescent="0.3">
      <c r="A40" s="658"/>
      <c r="B40" s="649"/>
      <c r="C40" s="649"/>
      <c r="D40" s="670"/>
      <c r="E40" s="196" t="s">
        <v>661</v>
      </c>
      <c r="F40" s="188">
        <v>0</v>
      </c>
      <c r="G40" s="188">
        <v>0</v>
      </c>
      <c r="H40" s="188">
        <v>0</v>
      </c>
      <c r="I40" s="188">
        <v>0</v>
      </c>
      <c r="J40" s="188">
        <v>0</v>
      </c>
      <c r="K40" s="188">
        <v>0</v>
      </c>
      <c r="L40" s="188">
        <v>0</v>
      </c>
      <c r="M40" s="188">
        <v>0</v>
      </c>
      <c r="N40" s="188">
        <v>0</v>
      </c>
      <c r="O40" s="188">
        <v>0</v>
      </c>
      <c r="P40" s="188">
        <v>0</v>
      </c>
      <c r="Q40" s="188">
        <v>0</v>
      </c>
      <c r="R40" s="188">
        <v>0</v>
      </c>
      <c r="S40" s="188">
        <v>0</v>
      </c>
      <c r="T40" s="188">
        <v>0</v>
      </c>
      <c r="U40" s="188">
        <v>0</v>
      </c>
      <c r="V40" s="188">
        <v>0</v>
      </c>
      <c r="W40" s="188">
        <v>0</v>
      </c>
      <c r="X40" s="188">
        <v>0</v>
      </c>
      <c r="Y40" s="188">
        <v>0</v>
      </c>
      <c r="Z40" s="188">
        <v>0</v>
      </c>
      <c r="AA40" s="188">
        <v>0</v>
      </c>
      <c r="AB40" s="188">
        <v>0</v>
      </c>
      <c r="AC40" s="189">
        <v>0</v>
      </c>
      <c r="AD40" s="41"/>
      <c r="AE40" s="41"/>
      <c r="AF40" s="41"/>
      <c r="AG40" s="41"/>
      <c r="AH40" s="41"/>
      <c r="AI40" s="41"/>
      <c r="AJ40" s="41"/>
    </row>
    <row r="41" spans="1:39" s="200" customFormat="1" ht="25.2" customHeight="1" x14ac:dyDescent="0.25">
      <c r="A41" s="656" t="s">
        <v>672</v>
      </c>
      <c r="B41" s="647" t="s">
        <v>150</v>
      </c>
      <c r="C41" s="647" t="s">
        <v>662</v>
      </c>
      <c r="D41" s="668" t="s">
        <v>671</v>
      </c>
      <c r="E41" s="199" t="s">
        <v>659</v>
      </c>
      <c r="F41" s="174">
        <v>0</v>
      </c>
      <c r="G41" s="174">
        <v>0</v>
      </c>
      <c r="H41" s="174">
        <v>0</v>
      </c>
      <c r="I41" s="174">
        <v>0</v>
      </c>
      <c r="J41" s="174">
        <v>0</v>
      </c>
      <c r="K41" s="174">
        <v>1</v>
      </c>
      <c r="L41" s="174">
        <v>1</v>
      </c>
      <c r="M41" s="174">
        <v>1</v>
      </c>
      <c r="N41" s="174">
        <v>1</v>
      </c>
      <c r="O41" s="174">
        <v>1</v>
      </c>
      <c r="P41" s="174">
        <v>1</v>
      </c>
      <c r="Q41" s="174">
        <v>1</v>
      </c>
      <c r="R41" s="174">
        <v>1</v>
      </c>
      <c r="S41" s="174">
        <v>1</v>
      </c>
      <c r="T41" s="174">
        <v>1</v>
      </c>
      <c r="U41" s="174">
        <v>0</v>
      </c>
      <c r="V41" s="174">
        <v>0</v>
      </c>
      <c r="W41" s="174">
        <v>0</v>
      </c>
      <c r="X41" s="174">
        <v>0</v>
      </c>
      <c r="Y41" s="174">
        <v>0</v>
      </c>
      <c r="Z41" s="174">
        <v>0</v>
      </c>
      <c r="AA41" s="174">
        <v>0</v>
      </c>
      <c r="AB41" s="174">
        <v>0</v>
      </c>
      <c r="AC41" s="175">
        <v>0</v>
      </c>
      <c r="AD41" s="41"/>
      <c r="AE41" s="41"/>
      <c r="AF41" s="41"/>
      <c r="AG41" s="41"/>
      <c r="AH41" s="41"/>
      <c r="AI41" s="41"/>
      <c r="AJ41" s="41"/>
    </row>
    <row r="42" spans="1:39" s="200" customFormat="1" ht="25.2" customHeight="1" x14ac:dyDescent="0.25">
      <c r="A42" s="657"/>
      <c r="B42" s="648"/>
      <c r="C42" s="648"/>
      <c r="D42" s="669"/>
      <c r="E42" s="193" t="s">
        <v>660</v>
      </c>
      <c r="F42" s="186">
        <v>0</v>
      </c>
      <c r="G42" s="186">
        <v>0</v>
      </c>
      <c r="H42" s="186">
        <v>0</v>
      </c>
      <c r="I42" s="186">
        <v>0</v>
      </c>
      <c r="J42" s="186">
        <v>0</v>
      </c>
      <c r="K42" s="186">
        <v>0</v>
      </c>
      <c r="L42" s="186">
        <v>0</v>
      </c>
      <c r="M42" s="186">
        <v>0</v>
      </c>
      <c r="N42" s="186">
        <v>0</v>
      </c>
      <c r="O42" s="186">
        <v>0</v>
      </c>
      <c r="P42" s="186">
        <v>0</v>
      </c>
      <c r="Q42" s="186">
        <v>0</v>
      </c>
      <c r="R42" s="186">
        <v>0</v>
      </c>
      <c r="S42" s="186">
        <v>0</v>
      </c>
      <c r="T42" s="186">
        <v>0</v>
      </c>
      <c r="U42" s="186">
        <v>0</v>
      </c>
      <c r="V42" s="186">
        <v>0</v>
      </c>
      <c r="W42" s="186">
        <v>0</v>
      </c>
      <c r="X42" s="186">
        <v>0</v>
      </c>
      <c r="Y42" s="186">
        <v>0</v>
      </c>
      <c r="Z42" s="186">
        <v>0</v>
      </c>
      <c r="AA42" s="186">
        <v>0</v>
      </c>
      <c r="AB42" s="186">
        <v>0</v>
      </c>
      <c r="AC42" s="187">
        <v>0</v>
      </c>
      <c r="AD42" s="41"/>
      <c r="AE42" s="41"/>
      <c r="AF42" s="41"/>
      <c r="AG42" s="41"/>
      <c r="AH42" s="41"/>
      <c r="AI42" s="41"/>
      <c r="AJ42" s="41"/>
    </row>
    <row r="43" spans="1:39" s="200" customFormat="1" ht="25.2" customHeight="1" thickBot="1" x14ac:dyDescent="0.3">
      <c r="A43" s="658"/>
      <c r="B43" s="649"/>
      <c r="C43" s="649"/>
      <c r="D43" s="670"/>
      <c r="E43" s="196" t="s">
        <v>661</v>
      </c>
      <c r="F43" s="188">
        <v>0</v>
      </c>
      <c r="G43" s="188">
        <v>0</v>
      </c>
      <c r="H43" s="188">
        <v>0</v>
      </c>
      <c r="I43" s="188">
        <v>0</v>
      </c>
      <c r="J43" s="188">
        <v>0</v>
      </c>
      <c r="K43" s="188">
        <v>0</v>
      </c>
      <c r="L43" s="188">
        <v>0</v>
      </c>
      <c r="M43" s="188">
        <v>0</v>
      </c>
      <c r="N43" s="188">
        <v>0</v>
      </c>
      <c r="O43" s="188">
        <v>0</v>
      </c>
      <c r="P43" s="188">
        <v>0</v>
      </c>
      <c r="Q43" s="188">
        <v>0</v>
      </c>
      <c r="R43" s="188">
        <v>0</v>
      </c>
      <c r="S43" s="188">
        <v>0</v>
      </c>
      <c r="T43" s="188">
        <v>0</v>
      </c>
      <c r="U43" s="188">
        <v>0</v>
      </c>
      <c r="V43" s="188">
        <v>0</v>
      </c>
      <c r="W43" s="188">
        <v>0</v>
      </c>
      <c r="X43" s="188">
        <v>0</v>
      </c>
      <c r="Y43" s="188">
        <v>0</v>
      </c>
      <c r="Z43" s="188">
        <v>0</v>
      </c>
      <c r="AA43" s="188">
        <v>0</v>
      </c>
      <c r="AB43" s="188">
        <v>0</v>
      </c>
      <c r="AC43" s="189">
        <v>0</v>
      </c>
      <c r="AD43" s="41"/>
      <c r="AE43" s="41"/>
      <c r="AF43" s="41"/>
      <c r="AG43" s="41"/>
      <c r="AH43" s="41"/>
      <c r="AI43" s="41"/>
      <c r="AJ43" s="41"/>
    </row>
    <row r="44" spans="1:39" s="200" customFormat="1" ht="25.2" customHeight="1" x14ac:dyDescent="0.25">
      <c r="A44" s="656" t="s">
        <v>672</v>
      </c>
      <c r="B44" s="647" t="s">
        <v>150</v>
      </c>
      <c r="C44" s="647" t="s">
        <v>663</v>
      </c>
      <c r="D44" s="668" t="s">
        <v>671</v>
      </c>
      <c r="E44" s="199" t="s">
        <v>659</v>
      </c>
      <c r="F44" s="176">
        <v>0.15</v>
      </c>
      <c r="G44" s="176">
        <v>0.15</v>
      </c>
      <c r="H44" s="176">
        <v>0.15</v>
      </c>
      <c r="I44" s="176">
        <v>0.15</v>
      </c>
      <c r="J44" s="176">
        <v>0.15</v>
      </c>
      <c r="K44" s="176">
        <v>0.2</v>
      </c>
      <c r="L44" s="176">
        <v>0.3</v>
      </c>
      <c r="M44" s="176">
        <v>0.9</v>
      </c>
      <c r="N44" s="176">
        <v>0.9</v>
      </c>
      <c r="O44" s="176">
        <v>0.8</v>
      </c>
      <c r="P44" s="176">
        <v>0.8</v>
      </c>
      <c r="Q44" s="176">
        <v>0.8</v>
      </c>
      <c r="R44" s="176">
        <v>0.9</v>
      </c>
      <c r="S44" s="176">
        <v>0.9</v>
      </c>
      <c r="T44" s="176">
        <v>0.9</v>
      </c>
      <c r="U44" s="176">
        <v>0.7</v>
      </c>
      <c r="V44" s="176">
        <v>0.2</v>
      </c>
      <c r="W44" s="176">
        <v>0.15</v>
      </c>
      <c r="X44" s="176">
        <v>0.15</v>
      </c>
      <c r="Y44" s="176">
        <v>0.15</v>
      </c>
      <c r="Z44" s="176">
        <v>0.15</v>
      </c>
      <c r="AA44" s="176">
        <v>0.15</v>
      </c>
      <c r="AB44" s="176">
        <v>0.15</v>
      </c>
      <c r="AC44" s="177">
        <v>0.15</v>
      </c>
      <c r="AD44" s="41"/>
      <c r="AE44" s="41"/>
      <c r="AF44" s="41"/>
      <c r="AG44" s="41"/>
      <c r="AH44" s="41"/>
      <c r="AI44" s="41"/>
      <c r="AJ44" s="41"/>
    </row>
    <row r="45" spans="1:39" s="200" customFormat="1" ht="25.2" customHeight="1" x14ac:dyDescent="0.25">
      <c r="A45" s="657"/>
      <c r="B45" s="648"/>
      <c r="C45" s="648"/>
      <c r="D45" s="669"/>
      <c r="E45" s="193" t="s">
        <v>660</v>
      </c>
      <c r="F45" s="186">
        <v>0</v>
      </c>
      <c r="G45" s="186">
        <v>0</v>
      </c>
      <c r="H45" s="186">
        <v>0</v>
      </c>
      <c r="I45" s="186">
        <v>0</v>
      </c>
      <c r="J45" s="186">
        <v>0</v>
      </c>
      <c r="K45" s="186">
        <v>0</v>
      </c>
      <c r="L45" s="186">
        <v>0</v>
      </c>
      <c r="M45" s="186">
        <v>0</v>
      </c>
      <c r="N45" s="186">
        <v>0</v>
      </c>
      <c r="O45" s="186">
        <v>0</v>
      </c>
      <c r="P45" s="186">
        <v>0</v>
      </c>
      <c r="Q45" s="186">
        <v>0</v>
      </c>
      <c r="R45" s="186">
        <v>0</v>
      </c>
      <c r="S45" s="186">
        <v>0</v>
      </c>
      <c r="T45" s="186">
        <v>0</v>
      </c>
      <c r="U45" s="186">
        <v>0</v>
      </c>
      <c r="V45" s="186">
        <v>0</v>
      </c>
      <c r="W45" s="186">
        <v>0</v>
      </c>
      <c r="X45" s="186">
        <v>0</v>
      </c>
      <c r="Y45" s="186">
        <v>0</v>
      </c>
      <c r="Z45" s="186">
        <v>0</v>
      </c>
      <c r="AA45" s="186">
        <v>0</v>
      </c>
      <c r="AB45" s="186">
        <v>0</v>
      </c>
      <c r="AC45" s="187">
        <v>0</v>
      </c>
      <c r="AD45" s="41"/>
      <c r="AE45" s="41"/>
      <c r="AF45" s="41"/>
      <c r="AG45" s="41"/>
      <c r="AH45" s="41"/>
      <c r="AI45" s="41"/>
      <c r="AJ45" s="41"/>
    </row>
    <row r="46" spans="1:39" s="200" customFormat="1" ht="25.2" customHeight="1" thickBot="1" x14ac:dyDescent="0.3">
      <c r="A46" s="658"/>
      <c r="B46" s="649"/>
      <c r="C46" s="649"/>
      <c r="D46" s="670"/>
      <c r="E46" s="201" t="s">
        <v>661</v>
      </c>
      <c r="F46" s="188">
        <v>0</v>
      </c>
      <c r="G46" s="188">
        <v>0</v>
      </c>
      <c r="H46" s="188">
        <v>0</v>
      </c>
      <c r="I46" s="188">
        <v>0</v>
      </c>
      <c r="J46" s="188">
        <v>0</v>
      </c>
      <c r="K46" s="188">
        <v>0</v>
      </c>
      <c r="L46" s="188">
        <v>0</v>
      </c>
      <c r="M46" s="188">
        <v>0</v>
      </c>
      <c r="N46" s="188">
        <v>0</v>
      </c>
      <c r="O46" s="188">
        <v>0</v>
      </c>
      <c r="P46" s="188">
        <v>0</v>
      </c>
      <c r="Q46" s="188">
        <v>0</v>
      </c>
      <c r="R46" s="188">
        <v>0</v>
      </c>
      <c r="S46" s="188">
        <v>0</v>
      </c>
      <c r="T46" s="188">
        <v>0</v>
      </c>
      <c r="U46" s="188">
        <v>0</v>
      </c>
      <c r="V46" s="188">
        <v>0</v>
      </c>
      <c r="W46" s="188">
        <v>0</v>
      </c>
      <c r="X46" s="188">
        <v>0</v>
      </c>
      <c r="Y46" s="188">
        <v>0</v>
      </c>
      <c r="Z46" s="188">
        <v>0</v>
      </c>
      <c r="AA46" s="188">
        <v>0</v>
      </c>
      <c r="AB46" s="188">
        <v>0</v>
      </c>
      <c r="AC46" s="189">
        <v>0</v>
      </c>
      <c r="AD46" s="41"/>
      <c r="AE46" s="41"/>
      <c r="AF46" s="41"/>
      <c r="AG46" s="41"/>
      <c r="AH46" s="41"/>
      <c r="AI46" s="41"/>
      <c r="AJ46" s="41"/>
    </row>
    <row r="47" spans="1:39" s="200" customFormat="1" ht="25.2" customHeight="1" x14ac:dyDescent="0.25">
      <c r="A47" s="656" t="s">
        <v>672</v>
      </c>
      <c r="B47" s="647" t="s">
        <v>150</v>
      </c>
      <c r="C47" s="647" t="s">
        <v>668</v>
      </c>
      <c r="D47" s="671" t="s">
        <v>389</v>
      </c>
      <c r="E47" s="202" t="s">
        <v>659</v>
      </c>
      <c r="F47" s="494">
        <f>IF(F38=0,Thermostat!$B$8,Thermostat!$B$7)</f>
        <v>60</v>
      </c>
      <c r="G47" s="494">
        <f>IF(G38=0,Thermostat!$B$8,Thermostat!$B$7)</f>
        <v>60</v>
      </c>
      <c r="H47" s="494">
        <f>IF(H38=0,Thermostat!$B$8,Thermostat!$B$7)</f>
        <v>60</v>
      </c>
      <c r="I47" s="494">
        <f>IF(I38=0,Thermostat!$B$8,Thermostat!$B$7)</f>
        <v>60</v>
      </c>
      <c r="J47" s="494">
        <f>IF(J38=0,Thermostat!$B$8,Thermostat!$B$7)</f>
        <v>60</v>
      </c>
      <c r="K47" s="494">
        <f>IF(K38=0,Thermostat!$B$8,Thermostat!$B$7)</f>
        <v>70</v>
      </c>
      <c r="L47" s="494">
        <f>IF(L38=0,Thermostat!$B$8,Thermostat!$B$7)</f>
        <v>70</v>
      </c>
      <c r="M47" s="494">
        <f>IF(M38=0,Thermostat!$B$8,Thermostat!$B$7)</f>
        <v>70</v>
      </c>
      <c r="N47" s="494">
        <f>IF(N38=0,Thermostat!$B$8,Thermostat!$B$7)</f>
        <v>70</v>
      </c>
      <c r="O47" s="494">
        <f>IF(O38=0,Thermostat!$B$8,Thermostat!$B$7)</f>
        <v>70</v>
      </c>
      <c r="P47" s="494">
        <f>IF(P38=0,Thermostat!$B$8,Thermostat!$B$7)</f>
        <v>70</v>
      </c>
      <c r="Q47" s="494">
        <f>IF(Q38=0,Thermostat!$B$8,Thermostat!$B$7)</f>
        <v>70</v>
      </c>
      <c r="R47" s="494">
        <f>IF(R38=0,Thermostat!$B$8,Thermostat!$B$7)</f>
        <v>70</v>
      </c>
      <c r="S47" s="494">
        <f>IF(S38=0,Thermostat!$B$8,Thermostat!$B$7)</f>
        <v>70</v>
      </c>
      <c r="T47" s="494">
        <f>IF(T38=0,Thermostat!$B$8,Thermostat!$B$7)</f>
        <v>70</v>
      </c>
      <c r="U47" s="494">
        <f>IF(U38=0,Thermostat!$B$8,Thermostat!$B$7)</f>
        <v>60</v>
      </c>
      <c r="V47" s="494">
        <f>IF(V38=0,Thermostat!$B$8,Thermostat!$B$7)</f>
        <v>60</v>
      </c>
      <c r="W47" s="494">
        <f>IF(W38=0,Thermostat!$B$8,Thermostat!$B$7)</f>
        <v>60</v>
      </c>
      <c r="X47" s="494">
        <f>IF(X38=0,Thermostat!$B$8,Thermostat!$B$7)</f>
        <v>60</v>
      </c>
      <c r="Y47" s="494">
        <f>IF(Y38=0,Thermostat!$B$8,Thermostat!$B$7)</f>
        <v>60</v>
      </c>
      <c r="Z47" s="494">
        <f>IF(Z38=0,Thermostat!$B$8,Thermostat!$B$7)</f>
        <v>60</v>
      </c>
      <c r="AA47" s="494">
        <f>IF(AA38=0,Thermostat!$B$8,Thermostat!$B$7)</f>
        <v>60</v>
      </c>
      <c r="AB47" s="494">
        <f>IF(AB38=0,Thermostat!$B$8,Thermostat!$B$7)</f>
        <v>60</v>
      </c>
      <c r="AC47" s="494">
        <f>IF(AC38=0,Thermostat!$B$8,Thermostat!$B$7)</f>
        <v>60</v>
      </c>
      <c r="AD47" s="41"/>
      <c r="AE47" s="41"/>
      <c r="AF47" s="41"/>
      <c r="AG47" s="41"/>
      <c r="AH47" s="41"/>
      <c r="AI47" s="41"/>
      <c r="AJ47" s="41"/>
    </row>
    <row r="48" spans="1:39" s="200" customFormat="1" ht="25.2" customHeight="1" x14ac:dyDescent="0.25">
      <c r="A48" s="657"/>
      <c r="B48" s="648"/>
      <c r="C48" s="648"/>
      <c r="D48" s="669"/>
      <c r="E48" s="203" t="s">
        <v>660</v>
      </c>
      <c r="F48" s="495">
        <f>IF(F39=0,Thermostat!$B$8,Thermostat!$B$7)</f>
        <v>60</v>
      </c>
      <c r="G48" s="495">
        <f>IF(G39=0,Thermostat!$B$8,Thermostat!$B$7)</f>
        <v>60</v>
      </c>
      <c r="H48" s="495">
        <f>IF(H39=0,Thermostat!$B$8,Thermostat!$B$7)</f>
        <v>60</v>
      </c>
      <c r="I48" s="495">
        <f>IF(I39=0,Thermostat!$B$8,Thermostat!$B$7)</f>
        <v>60</v>
      </c>
      <c r="J48" s="495">
        <f>IF(J39=0,Thermostat!$B$8,Thermostat!$B$7)</f>
        <v>60</v>
      </c>
      <c r="K48" s="495">
        <f>IF(K39=0,Thermostat!$B$8,Thermostat!$B$7)</f>
        <v>60</v>
      </c>
      <c r="L48" s="495">
        <f>IF(L39=0,Thermostat!$B$8,Thermostat!$B$7)</f>
        <v>60</v>
      </c>
      <c r="M48" s="495">
        <f>IF(M39=0,Thermostat!$B$8,Thermostat!$B$7)</f>
        <v>60</v>
      </c>
      <c r="N48" s="495">
        <f>IF(N39=0,Thermostat!$B$8,Thermostat!$B$7)</f>
        <v>60</v>
      </c>
      <c r="O48" s="495">
        <f>IF(O39=0,Thermostat!$B$8,Thermostat!$B$7)</f>
        <v>60</v>
      </c>
      <c r="P48" s="495">
        <f>IF(P39=0,Thermostat!$B$8,Thermostat!$B$7)</f>
        <v>60</v>
      </c>
      <c r="Q48" s="495">
        <f>IF(Q39=0,Thermostat!$B$8,Thermostat!$B$7)</f>
        <v>60</v>
      </c>
      <c r="R48" s="495">
        <f>IF(R39=0,Thermostat!$B$8,Thermostat!$B$7)</f>
        <v>60</v>
      </c>
      <c r="S48" s="495">
        <f>IF(S39=0,Thermostat!$B$8,Thermostat!$B$7)</f>
        <v>60</v>
      </c>
      <c r="T48" s="495">
        <f>IF(T39=0,Thermostat!$B$8,Thermostat!$B$7)</f>
        <v>60</v>
      </c>
      <c r="U48" s="495">
        <f>IF(U39=0,Thermostat!$B$8,Thermostat!$B$7)</f>
        <v>60</v>
      </c>
      <c r="V48" s="495">
        <f>IF(V39=0,Thermostat!$B$8,Thermostat!$B$7)</f>
        <v>60</v>
      </c>
      <c r="W48" s="495">
        <f>IF(W39=0,Thermostat!$B$8,Thermostat!$B$7)</f>
        <v>60</v>
      </c>
      <c r="X48" s="495">
        <f>IF(X39=0,Thermostat!$B$8,Thermostat!$B$7)</f>
        <v>60</v>
      </c>
      <c r="Y48" s="495">
        <f>IF(Y39=0,Thermostat!$B$8,Thermostat!$B$7)</f>
        <v>60</v>
      </c>
      <c r="Z48" s="495">
        <f>IF(Z39=0,Thermostat!$B$8,Thermostat!$B$7)</f>
        <v>60</v>
      </c>
      <c r="AA48" s="495">
        <f>IF(AA39=0,Thermostat!$B$8,Thermostat!$B$7)</f>
        <v>60</v>
      </c>
      <c r="AB48" s="495">
        <f>IF(AB39=0,Thermostat!$B$8,Thermostat!$B$7)</f>
        <v>60</v>
      </c>
      <c r="AC48" s="495">
        <f>IF(AC39=0,Thermostat!$B$8,Thermostat!$B$7)</f>
        <v>60</v>
      </c>
      <c r="AD48" s="41"/>
      <c r="AE48" s="41"/>
      <c r="AF48" s="41"/>
      <c r="AG48" s="41"/>
      <c r="AH48" s="41"/>
      <c r="AI48" s="41"/>
      <c r="AJ48" s="41"/>
    </row>
    <row r="49" spans="1:41" ht="25.2" customHeight="1" thickBot="1" x14ac:dyDescent="0.35">
      <c r="A49" s="658"/>
      <c r="B49" s="649"/>
      <c r="C49" s="649"/>
      <c r="D49" s="670"/>
      <c r="E49" s="204" t="s">
        <v>661</v>
      </c>
      <c r="F49" s="496">
        <f>IF(F40=0,Thermostat!$B$8,Thermostat!$B$7)</f>
        <v>60</v>
      </c>
      <c r="G49" s="496">
        <f>IF(G40=0,Thermostat!$B$8,Thermostat!$B$7)</f>
        <v>60</v>
      </c>
      <c r="H49" s="496">
        <f>IF(H40=0,Thermostat!$B$8,Thermostat!$B$7)</f>
        <v>60</v>
      </c>
      <c r="I49" s="496">
        <f>IF(I40=0,Thermostat!$B$8,Thermostat!$B$7)</f>
        <v>60</v>
      </c>
      <c r="J49" s="496">
        <f>IF(J40=0,Thermostat!$B$8,Thermostat!$B$7)</f>
        <v>60</v>
      </c>
      <c r="K49" s="496">
        <f>IF(K40=0,Thermostat!$B$8,Thermostat!$B$7)</f>
        <v>60</v>
      </c>
      <c r="L49" s="496">
        <f>IF(L40=0,Thermostat!$B$8,Thermostat!$B$7)</f>
        <v>60</v>
      </c>
      <c r="M49" s="496">
        <f>IF(M40=0,Thermostat!$B$8,Thermostat!$B$7)</f>
        <v>60</v>
      </c>
      <c r="N49" s="496">
        <f>IF(N40=0,Thermostat!$B$8,Thermostat!$B$7)</f>
        <v>60</v>
      </c>
      <c r="O49" s="496">
        <f>IF(O40=0,Thermostat!$B$8,Thermostat!$B$7)</f>
        <v>60</v>
      </c>
      <c r="P49" s="496">
        <f>IF(P40=0,Thermostat!$B$8,Thermostat!$B$7)</f>
        <v>60</v>
      </c>
      <c r="Q49" s="496">
        <f>IF(Q40=0,Thermostat!$B$8,Thermostat!$B$7)</f>
        <v>60</v>
      </c>
      <c r="R49" s="496">
        <f>IF(R40=0,Thermostat!$B$8,Thermostat!$B$7)</f>
        <v>60</v>
      </c>
      <c r="S49" s="496">
        <f>IF(S40=0,Thermostat!$B$8,Thermostat!$B$7)</f>
        <v>60</v>
      </c>
      <c r="T49" s="496">
        <f>IF(T40=0,Thermostat!$B$8,Thermostat!$B$7)</f>
        <v>60</v>
      </c>
      <c r="U49" s="496">
        <f>IF(U40=0,Thermostat!$B$8,Thermostat!$B$7)</f>
        <v>60</v>
      </c>
      <c r="V49" s="496">
        <f>IF(V40=0,Thermostat!$B$8,Thermostat!$B$7)</f>
        <v>60</v>
      </c>
      <c r="W49" s="496">
        <f>IF(W40=0,Thermostat!$B$8,Thermostat!$B$7)</f>
        <v>60</v>
      </c>
      <c r="X49" s="496">
        <f>IF(X40=0,Thermostat!$B$8,Thermostat!$B$7)</f>
        <v>60</v>
      </c>
      <c r="Y49" s="496">
        <f>IF(Y40=0,Thermostat!$B$8,Thermostat!$B$7)</f>
        <v>60</v>
      </c>
      <c r="Z49" s="496">
        <f>IF(Z40=0,Thermostat!$B$8,Thermostat!$B$7)</f>
        <v>60</v>
      </c>
      <c r="AA49" s="496">
        <f>IF(AA40=0,Thermostat!$B$8,Thermostat!$B$7)</f>
        <v>60</v>
      </c>
      <c r="AB49" s="496">
        <f>IF(AB40=0,Thermostat!$B$8,Thermostat!$B$7)</f>
        <v>60</v>
      </c>
      <c r="AC49" s="496">
        <f>IF(AC40=0,Thermostat!$B$8,Thermostat!$B$7)</f>
        <v>60</v>
      </c>
    </row>
    <row r="50" spans="1:41" s="200" customFormat="1" ht="25.2" customHeight="1" x14ac:dyDescent="0.25">
      <c r="A50" s="656" t="s">
        <v>672</v>
      </c>
      <c r="B50" s="647" t="s">
        <v>150</v>
      </c>
      <c r="C50" s="647" t="s">
        <v>670</v>
      </c>
      <c r="D50" s="671" t="s">
        <v>389</v>
      </c>
      <c r="E50" s="202" t="s">
        <v>659</v>
      </c>
      <c r="F50" s="494">
        <f>IF(F38=0,Thermostat!$B$10,Thermostat!$B$9)</f>
        <v>85</v>
      </c>
      <c r="G50" s="494">
        <f>IF(G38=0,Thermostat!$B$10,Thermostat!$B$9)</f>
        <v>85</v>
      </c>
      <c r="H50" s="494">
        <f>IF(H38=0,Thermostat!$B$10,Thermostat!$B$9)</f>
        <v>85</v>
      </c>
      <c r="I50" s="494">
        <f>IF(I38=0,Thermostat!$B$10,Thermostat!$B$9)</f>
        <v>85</v>
      </c>
      <c r="J50" s="494">
        <f>IF(J38=0,Thermostat!$B$10,Thermostat!$B$9)</f>
        <v>85</v>
      </c>
      <c r="K50" s="494">
        <f>IF(K38=0,Thermostat!$B$10,Thermostat!$B$9)</f>
        <v>75</v>
      </c>
      <c r="L50" s="494">
        <f>IF(L38=0,Thermostat!$B$10,Thermostat!$B$9)</f>
        <v>75</v>
      </c>
      <c r="M50" s="494">
        <f>IF(M38=0,Thermostat!$B$10,Thermostat!$B$9)</f>
        <v>75</v>
      </c>
      <c r="N50" s="494">
        <f>IF(N38=0,Thermostat!$B$10,Thermostat!$B$9)</f>
        <v>75</v>
      </c>
      <c r="O50" s="494">
        <f>IF(O38=0,Thermostat!$B$10,Thermostat!$B$9)</f>
        <v>75</v>
      </c>
      <c r="P50" s="494">
        <f>IF(P38=0,Thermostat!$B$10,Thermostat!$B$9)</f>
        <v>75</v>
      </c>
      <c r="Q50" s="494">
        <f>IF(Q38=0,Thermostat!$B$10,Thermostat!$B$9)</f>
        <v>75</v>
      </c>
      <c r="R50" s="494">
        <f>IF(R38=0,Thermostat!$B$10,Thermostat!$B$9)</f>
        <v>75</v>
      </c>
      <c r="S50" s="494">
        <f>IF(S38=0,Thermostat!$B$10,Thermostat!$B$9)</f>
        <v>75</v>
      </c>
      <c r="T50" s="494">
        <f>IF(T38=0,Thermostat!$B$10,Thermostat!$B$9)</f>
        <v>75</v>
      </c>
      <c r="U50" s="494">
        <f>IF(U38=0,Thermostat!$B$10,Thermostat!$B$9)</f>
        <v>85</v>
      </c>
      <c r="V50" s="494">
        <f>IF(V38=0,Thermostat!$B$10,Thermostat!$B$9)</f>
        <v>85</v>
      </c>
      <c r="W50" s="494">
        <f>IF(W38=0,Thermostat!$B$10,Thermostat!$B$9)</f>
        <v>85</v>
      </c>
      <c r="X50" s="494">
        <f>IF(X38=0,Thermostat!$B$10,Thermostat!$B$9)</f>
        <v>85</v>
      </c>
      <c r="Y50" s="494">
        <f>IF(Y38=0,Thermostat!$B$10,Thermostat!$B$9)</f>
        <v>85</v>
      </c>
      <c r="Z50" s="494">
        <f>IF(Z38=0,Thermostat!$B$10,Thermostat!$B$9)</f>
        <v>85</v>
      </c>
      <c r="AA50" s="494">
        <f>IF(AA38=0,Thermostat!$B$10,Thermostat!$B$9)</f>
        <v>85</v>
      </c>
      <c r="AB50" s="494">
        <f>IF(AB38=0,Thermostat!$B$10,Thermostat!$B$9)</f>
        <v>85</v>
      </c>
      <c r="AC50" s="497">
        <f>IF(AC38=0,Thermostat!$B$10,Thermostat!$B$9)</f>
        <v>85</v>
      </c>
      <c r="AD50" s="41"/>
      <c r="AE50" s="41"/>
      <c r="AF50" s="41"/>
      <c r="AG50" s="41"/>
      <c r="AH50" s="41"/>
      <c r="AI50" s="41"/>
      <c r="AJ50" s="41"/>
    </row>
    <row r="51" spans="1:41" s="200" customFormat="1" ht="25.2" customHeight="1" x14ac:dyDescent="0.25">
      <c r="A51" s="657"/>
      <c r="B51" s="648"/>
      <c r="C51" s="648"/>
      <c r="D51" s="669"/>
      <c r="E51" s="203" t="s">
        <v>660</v>
      </c>
      <c r="F51" s="495">
        <f>IF(F39=0,Thermostat!$B$10,Thermostat!$B$9)</f>
        <v>85</v>
      </c>
      <c r="G51" s="495">
        <f>IF(G39=0,Thermostat!$B$10,Thermostat!$B$9)</f>
        <v>85</v>
      </c>
      <c r="H51" s="495">
        <f>IF(H39=0,Thermostat!$B$10,Thermostat!$B$9)</f>
        <v>85</v>
      </c>
      <c r="I51" s="495">
        <f>IF(I39=0,Thermostat!$B$10,Thermostat!$B$9)</f>
        <v>85</v>
      </c>
      <c r="J51" s="495">
        <f>IF(J39=0,Thermostat!$B$10,Thermostat!$B$9)</f>
        <v>85</v>
      </c>
      <c r="K51" s="495">
        <f>IF(K39=0,Thermostat!$B$10,Thermostat!$B$9)</f>
        <v>85</v>
      </c>
      <c r="L51" s="495">
        <f>IF(L39=0,Thermostat!$B$10,Thermostat!$B$9)</f>
        <v>85</v>
      </c>
      <c r="M51" s="495">
        <f>IF(M39=0,Thermostat!$B$10,Thermostat!$B$9)</f>
        <v>85</v>
      </c>
      <c r="N51" s="495">
        <f>IF(N39=0,Thermostat!$B$10,Thermostat!$B$9)</f>
        <v>85</v>
      </c>
      <c r="O51" s="495">
        <f>IF(O39=0,Thermostat!$B$10,Thermostat!$B$9)</f>
        <v>85</v>
      </c>
      <c r="P51" s="495">
        <f>IF(P39=0,Thermostat!$B$10,Thermostat!$B$9)</f>
        <v>85</v>
      </c>
      <c r="Q51" s="495">
        <f>IF(Q39=0,Thermostat!$B$10,Thermostat!$B$9)</f>
        <v>85</v>
      </c>
      <c r="R51" s="495">
        <f>IF(R39=0,Thermostat!$B$10,Thermostat!$B$9)</f>
        <v>85</v>
      </c>
      <c r="S51" s="495">
        <f>IF(S39=0,Thermostat!$B$10,Thermostat!$B$9)</f>
        <v>85</v>
      </c>
      <c r="T51" s="495">
        <f>IF(T39=0,Thermostat!$B$10,Thermostat!$B$9)</f>
        <v>85</v>
      </c>
      <c r="U51" s="495">
        <f>IF(U39=0,Thermostat!$B$10,Thermostat!$B$9)</f>
        <v>85</v>
      </c>
      <c r="V51" s="495">
        <f>IF(V39=0,Thermostat!$B$10,Thermostat!$B$9)</f>
        <v>85</v>
      </c>
      <c r="W51" s="495">
        <f>IF(W39=0,Thermostat!$B$10,Thermostat!$B$9)</f>
        <v>85</v>
      </c>
      <c r="X51" s="495">
        <f>IF(X39=0,Thermostat!$B$10,Thermostat!$B$9)</f>
        <v>85</v>
      </c>
      <c r="Y51" s="495">
        <f>IF(Y39=0,Thermostat!$B$10,Thermostat!$B$9)</f>
        <v>85</v>
      </c>
      <c r="Z51" s="495">
        <f>IF(Z39=0,Thermostat!$B$10,Thermostat!$B$9)</f>
        <v>85</v>
      </c>
      <c r="AA51" s="495">
        <f>IF(AA39=0,Thermostat!$B$10,Thermostat!$B$9)</f>
        <v>85</v>
      </c>
      <c r="AB51" s="495">
        <f>IF(AB39=0,Thermostat!$B$10,Thermostat!$B$9)</f>
        <v>85</v>
      </c>
      <c r="AC51" s="498">
        <f>IF(AC39=0,Thermostat!$B$10,Thermostat!$B$9)</f>
        <v>85</v>
      </c>
      <c r="AD51" s="41"/>
      <c r="AE51" s="41"/>
      <c r="AF51" s="41"/>
      <c r="AG51" s="41"/>
      <c r="AH51" s="41"/>
      <c r="AI51" s="41"/>
      <c r="AJ51" s="41"/>
    </row>
    <row r="52" spans="1:41" s="200" customFormat="1" ht="25.2" customHeight="1" thickBot="1" x14ac:dyDescent="0.3">
      <c r="A52" s="658"/>
      <c r="B52" s="649"/>
      <c r="C52" s="649"/>
      <c r="D52" s="670"/>
      <c r="E52" s="204" t="s">
        <v>661</v>
      </c>
      <c r="F52" s="496">
        <f>IF(F40=0,Thermostat!$B$10,Thermostat!$B$9)</f>
        <v>85</v>
      </c>
      <c r="G52" s="496">
        <f>IF(G40=0,Thermostat!$B$10,Thermostat!$B$9)</f>
        <v>85</v>
      </c>
      <c r="H52" s="496">
        <f>IF(H40=0,Thermostat!$B$10,Thermostat!$B$9)</f>
        <v>85</v>
      </c>
      <c r="I52" s="496">
        <f>IF(I40=0,Thermostat!$B$10,Thermostat!$B$9)</f>
        <v>85</v>
      </c>
      <c r="J52" s="496">
        <f>IF(J40=0,Thermostat!$B$10,Thermostat!$B$9)</f>
        <v>85</v>
      </c>
      <c r="K52" s="496">
        <f>IF(K40=0,Thermostat!$B$10,Thermostat!$B$9)</f>
        <v>85</v>
      </c>
      <c r="L52" s="496">
        <f>IF(L40=0,Thermostat!$B$10,Thermostat!$B$9)</f>
        <v>85</v>
      </c>
      <c r="M52" s="496">
        <f>IF(M40=0,Thermostat!$B$10,Thermostat!$B$9)</f>
        <v>85</v>
      </c>
      <c r="N52" s="496">
        <f>IF(N40=0,Thermostat!$B$10,Thermostat!$B$9)</f>
        <v>85</v>
      </c>
      <c r="O52" s="496">
        <f>IF(O40=0,Thermostat!$B$10,Thermostat!$B$9)</f>
        <v>85</v>
      </c>
      <c r="P52" s="496">
        <f>IF(P40=0,Thermostat!$B$10,Thermostat!$B$9)</f>
        <v>85</v>
      </c>
      <c r="Q52" s="496">
        <f>IF(Q40=0,Thermostat!$B$10,Thermostat!$B$9)</f>
        <v>85</v>
      </c>
      <c r="R52" s="496">
        <f>IF(R40=0,Thermostat!$B$10,Thermostat!$B$9)</f>
        <v>85</v>
      </c>
      <c r="S52" s="496">
        <f>IF(S40=0,Thermostat!$B$10,Thermostat!$B$9)</f>
        <v>85</v>
      </c>
      <c r="T52" s="496">
        <f>IF(T40=0,Thermostat!$B$10,Thermostat!$B$9)</f>
        <v>85</v>
      </c>
      <c r="U52" s="496">
        <f>IF(U40=0,Thermostat!$B$10,Thermostat!$B$9)</f>
        <v>85</v>
      </c>
      <c r="V52" s="496">
        <f>IF(V40=0,Thermostat!$B$10,Thermostat!$B$9)</f>
        <v>85</v>
      </c>
      <c r="W52" s="496">
        <f>IF(W40=0,Thermostat!$B$10,Thermostat!$B$9)</f>
        <v>85</v>
      </c>
      <c r="X52" s="496">
        <f>IF(X40=0,Thermostat!$B$10,Thermostat!$B$9)</f>
        <v>85</v>
      </c>
      <c r="Y52" s="496">
        <f>IF(Y40=0,Thermostat!$B$10,Thermostat!$B$9)</f>
        <v>85</v>
      </c>
      <c r="Z52" s="496">
        <f>IF(Z40=0,Thermostat!$B$10,Thermostat!$B$9)</f>
        <v>85</v>
      </c>
      <c r="AA52" s="496">
        <f>IF(AA40=0,Thermostat!$B$10,Thermostat!$B$9)</f>
        <v>85</v>
      </c>
      <c r="AB52" s="496">
        <f>IF(AB40=0,Thermostat!$B$10,Thermostat!$B$9)</f>
        <v>85</v>
      </c>
      <c r="AC52" s="499">
        <f>IF(AC40=0,Thermostat!$B$10,Thermostat!$B$9)</f>
        <v>85</v>
      </c>
      <c r="AD52" s="41"/>
      <c r="AE52" s="41"/>
      <c r="AF52" s="41"/>
      <c r="AG52" s="41"/>
      <c r="AH52" s="41"/>
      <c r="AI52" s="41"/>
      <c r="AJ52" s="41"/>
    </row>
    <row r="53" spans="1:41" s="200" customFormat="1" ht="25.2" customHeight="1" x14ac:dyDescent="0.25">
      <c r="A53" s="656" t="s">
        <v>672</v>
      </c>
      <c r="B53" s="647" t="s">
        <v>150</v>
      </c>
      <c r="C53" s="647" t="s">
        <v>673</v>
      </c>
      <c r="D53" s="668" t="s">
        <v>671</v>
      </c>
      <c r="E53" s="199" t="s">
        <v>659</v>
      </c>
      <c r="F53" s="174">
        <v>0</v>
      </c>
      <c r="G53" s="174">
        <v>0</v>
      </c>
      <c r="H53" s="174">
        <v>0</v>
      </c>
      <c r="I53" s="174">
        <v>0</v>
      </c>
      <c r="J53" s="174">
        <v>0</v>
      </c>
      <c r="K53" s="174">
        <v>1</v>
      </c>
      <c r="L53" s="174">
        <v>1</v>
      </c>
      <c r="M53" s="174">
        <v>1</v>
      </c>
      <c r="N53" s="174">
        <v>1</v>
      </c>
      <c r="O53" s="174">
        <v>1</v>
      </c>
      <c r="P53" s="174">
        <v>1</v>
      </c>
      <c r="Q53" s="174">
        <v>1</v>
      </c>
      <c r="R53" s="174">
        <v>1</v>
      </c>
      <c r="S53" s="174">
        <v>1</v>
      </c>
      <c r="T53" s="174">
        <v>1</v>
      </c>
      <c r="U53" s="174">
        <v>0</v>
      </c>
      <c r="V53" s="174">
        <v>0</v>
      </c>
      <c r="W53" s="174">
        <v>0</v>
      </c>
      <c r="X53" s="174">
        <v>0</v>
      </c>
      <c r="Y53" s="174">
        <v>0</v>
      </c>
      <c r="Z53" s="174">
        <v>0</v>
      </c>
      <c r="AA53" s="174">
        <v>0</v>
      </c>
      <c r="AB53" s="174">
        <v>0</v>
      </c>
      <c r="AC53" s="175">
        <v>0</v>
      </c>
      <c r="AD53" s="41"/>
      <c r="AE53" s="41"/>
      <c r="AF53" s="41"/>
      <c r="AG53" s="41"/>
      <c r="AH53" s="41"/>
      <c r="AI53" s="41"/>
      <c r="AJ53" s="41"/>
    </row>
    <row r="54" spans="1:41" s="200" customFormat="1" ht="25.2" customHeight="1" x14ac:dyDescent="0.25">
      <c r="A54" s="657"/>
      <c r="B54" s="648"/>
      <c r="C54" s="648"/>
      <c r="D54" s="669"/>
      <c r="E54" s="193" t="s">
        <v>660</v>
      </c>
      <c r="F54" s="186">
        <v>0</v>
      </c>
      <c r="G54" s="186">
        <v>0</v>
      </c>
      <c r="H54" s="186">
        <v>0</v>
      </c>
      <c r="I54" s="186">
        <v>0</v>
      </c>
      <c r="J54" s="186">
        <v>0</v>
      </c>
      <c r="K54" s="186">
        <v>0</v>
      </c>
      <c r="L54" s="186">
        <v>0</v>
      </c>
      <c r="M54" s="186">
        <v>0</v>
      </c>
      <c r="N54" s="186">
        <v>0</v>
      </c>
      <c r="O54" s="186">
        <v>0</v>
      </c>
      <c r="P54" s="186">
        <v>0</v>
      </c>
      <c r="Q54" s="186">
        <v>0</v>
      </c>
      <c r="R54" s="186">
        <v>0</v>
      </c>
      <c r="S54" s="186">
        <v>0</v>
      </c>
      <c r="T54" s="186">
        <v>0</v>
      </c>
      <c r="U54" s="186">
        <v>0</v>
      </c>
      <c r="V54" s="186">
        <v>0</v>
      </c>
      <c r="W54" s="186">
        <v>0</v>
      </c>
      <c r="X54" s="186">
        <v>0</v>
      </c>
      <c r="Y54" s="186">
        <v>0</v>
      </c>
      <c r="Z54" s="186">
        <v>0</v>
      </c>
      <c r="AA54" s="186">
        <v>0</v>
      </c>
      <c r="AB54" s="186">
        <v>0</v>
      </c>
      <c r="AC54" s="187">
        <v>0</v>
      </c>
      <c r="AD54" s="41"/>
      <c r="AE54" s="41"/>
      <c r="AF54" s="41"/>
      <c r="AG54" s="41"/>
      <c r="AH54" s="41"/>
      <c r="AI54" s="41"/>
      <c r="AJ54" s="41"/>
    </row>
    <row r="55" spans="1:41" s="200" customFormat="1" ht="25.2" customHeight="1" thickBot="1" x14ac:dyDescent="0.3">
      <c r="A55" s="658"/>
      <c r="B55" s="649"/>
      <c r="C55" s="649"/>
      <c r="D55" s="670"/>
      <c r="E55" s="196" t="s">
        <v>661</v>
      </c>
      <c r="F55" s="188">
        <v>0</v>
      </c>
      <c r="G55" s="188">
        <v>0</v>
      </c>
      <c r="H55" s="188">
        <v>0</v>
      </c>
      <c r="I55" s="188">
        <v>0</v>
      </c>
      <c r="J55" s="188">
        <v>0</v>
      </c>
      <c r="K55" s="188">
        <v>0</v>
      </c>
      <c r="L55" s="188">
        <v>0</v>
      </c>
      <c r="M55" s="188">
        <v>0</v>
      </c>
      <c r="N55" s="188">
        <v>0</v>
      </c>
      <c r="O55" s="188">
        <v>0</v>
      </c>
      <c r="P55" s="188">
        <v>0</v>
      </c>
      <c r="Q55" s="188">
        <v>0</v>
      </c>
      <c r="R55" s="188">
        <v>0</v>
      </c>
      <c r="S55" s="188">
        <v>0</v>
      </c>
      <c r="T55" s="188">
        <v>0</v>
      </c>
      <c r="U55" s="188">
        <v>0</v>
      </c>
      <c r="V55" s="188">
        <v>0</v>
      </c>
      <c r="W55" s="188">
        <v>0</v>
      </c>
      <c r="X55" s="188">
        <v>0</v>
      </c>
      <c r="Y55" s="188">
        <v>0</v>
      </c>
      <c r="Z55" s="188">
        <v>0</v>
      </c>
      <c r="AA55" s="188">
        <v>0</v>
      </c>
      <c r="AB55" s="188">
        <v>0</v>
      </c>
      <c r="AC55" s="189">
        <v>0</v>
      </c>
      <c r="AD55" s="41"/>
      <c r="AE55" s="41"/>
      <c r="AF55" s="41"/>
      <c r="AG55" s="41"/>
      <c r="AH55" s="41"/>
      <c r="AI55" s="41"/>
      <c r="AJ55" s="41"/>
    </row>
    <row r="56" spans="1:41" s="200" customFormat="1" ht="25.2" customHeight="1" x14ac:dyDescent="0.25">
      <c r="A56" s="656" t="s">
        <v>672</v>
      </c>
      <c r="B56" s="647" t="s">
        <v>150</v>
      </c>
      <c r="C56" s="647" t="s">
        <v>296</v>
      </c>
      <c r="D56" s="668" t="s">
        <v>671</v>
      </c>
      <c r="E56" s="199" t="s">
        <v>659</v>
      </c>
      <c r="F56" s="174">
        <v>1</v>
      </c>
      <c r="G56" s="174">
        <v>1</v>
      </c>
      <c r="H56" s="174">
        <v>1</v>
      </c>
      <c r="I56" s="174">
        <v>1</v>
      </c>
      <c r="J56" s="174">
        <v>1</v>
      </c>
      <c r="K56" s="174">
        <v>0.25</v>
      </c>
      <c r="L56" s="174">
        <v>0.25</v>
      </c>
      <c r="M56" s="174">
        <v>0.25</v>
      </c>
      <c r="N56" s="174">
        <v>0.25</v>
      </c>
      <c r="O56" s="174">
        <v>0.25</v>
      </c>
      <c r="P56" s="174">
        <v>0.25</v>
      </c>
      <c r="Q56" s="174">
        <v>0.25</v>
      </c>
      <c r="R56" s="174">
        <v>0.25</v>
      </c>
      <c r="S56" s="174">
        <v>0.25</v>
      </c>
      <c r="T56" s="174">
        <v>0.25</v>
      </c>
      <c r="U56" s="174">
        <v>1</v>
      </c>
      <c r="V56" s="174">
        <v>1</v>
      </c>
      <c r="W56" s="174">
        <v>1</v>
      </c>
      <c r="X56" s="174">
        <v>1</v>
      </c>
      <c r="Y56" s="174">
        <v>1</v>
      </c>
      <c r="Z56" s="174">
        <v>1</v>
      </c>
      <c r="AA56" s="174">
        <v>1</v>
      </c>
      <c r="AB56" s="174">
        <v>1</v>
      </c>
      <c r="AC56" s="175">
        <v>1</v>
      </c>
      <c r="AD56" s="41"/>
      <c r="AE56" s="41"/>
      <c r="AF56" s="41"/>
      <c r="AG56" s="41"/>
      <c r="AH56" s="41"/>
      <c r="AI56" s="41"/>
      <c r="AJ56" s="41"/>
    </row>
    <row r="57" spans="1:41" s="200" customFormat="1" ht="25.2" customHeight="1" x14ac:dyDescent="0.25">
      <c r="A57" s="657"/>
      <c r="B57" s="648"/>
      <c r="C57" s="648"/>
      <c r="D57" s="669"/>
      <c r="E57" s="193" t="s">
        <v>660</v>
      </c>
      <c r="F57" s="186">
        <v>1</v>
      </c>
      <c r="G57" s="186">
        <v>1</v>
      </c>
      <c r="H57" s="186">
        <v>1</v>
      </c>
      <c r="I57" s="186">
        <v>1</v>
      </c>
      <c r="J57" s="186">
        <v>1</v>
      </c>
      <c r="K57" s="186">
        <v>1</v>
      </c>
      <c r="L57" s="186">
        <v>1</v>
      </c>
      <c r="M57" s="186">
        <v>1</v>
      </c>
      <c r="N57" s="186">
        <v>1</v>
      </c>
      <c r="O57" s="186">
        <v>1</v>
      </c>
      <c r="P57" s="186">
        <v>1</v>
      </c>
      <c r="Q57" s="186">
        <v>1</v>
      </c>
      <c r="R57" s="186">
        <v>1</v>
      </c>
      <c r="S57" s="186">
        <v>1</v>
      </c>
      <c r="T57" s="186">
        <v>1</v>
      </c>
      <c r="U57" s="186">
        <v>1</v>
      </c>
      <c r="V57" s="186">
        <v>1</v>
      </c>
      <c r="W57" s="186">
        <v>1</v>
      </c>
      <c r="X57" s="186">
        <v>1</v>
      </c>
      <c r="Y57" s="186">
        <v>1</v>
      </c>
      <c r="Z57" s="186">
        <v>1</v>
      </c>
      <c r="AA57" s="186">
        <v>1</v>
      </c>
      <c r="AB57" s="186">
        <v>1</v>
      </c>
      <c r="AC57" s="187">
        <v>1</v>
      </c>
      <c r="AD57" s="41"/>
      <c r="AE57" s="41"/>
      <c r="AF57" s="41"/>
      <c r="AG57" s="41"/>
      <c r="AH57" s="41"/>
      <c r="AI57" s="41"/>
      <c r="AJ57" s="41"/>
    </row>
    <row r="58" spans="1:41" s="200" customFormat="1" ht="25.2" customHeight="1" thickBot="1" x14ac:dyDescent="0.3">
      <c r="A58" s="658"/>
      <c r="B58" s="649"/>
      <c r="C58" s="649"/>
      <c r="D58" s="670"/>
      <c r="E58" s="196" t="s">
        <v>661</v>
      </c>
      <c r="F58" s="188">
        <v>1</v>
      </c>
      <c r="G58" s="188">
        <v>1</v>
      </c>
      <c r="H58" s="188">
        <v>1</v>
      </c>
      <c r="I58" s="188">
        <v>1</v>
      </c>
      <c r="J58" s="188">
        <v>1</v>
      </c>
      <c r="K58" s="188">
        <v>1</v>
      </c>
      <c r="L58" s="188">
        <v>1</v>
      </c>
      <c r="M58" s="188">
        <v>1</v>
      </c>
      <c r="N58" s="188">
        <v>1</v>
      </c>
      <c r="O58" s="188">
        <v>1</v>
      </c>
      <c r="P58" s="188">
        <v>1</v>
      </c>
      <c r="Q58" s="188">
        <v>1</v>
      </c>
      <c r="R58" s="188">
        <v>1</v>
      </c>
      <c r="S58" s="188">
        <v>1</v>
      </c>
      <c r="T58" s="188">
        <v>1</v>
      </c>
      <c r="U58" s="188">
        <v>1</v>
      </c>
      <c r="V58" s="188">
        <v>1</v>
      </c>
      <c r="W58" s="188">
        <v>1</v>
      </c>
      <c r="X58" s="188">
        <v>1</v>
      </c>
      <c r="Y58" s="188">
        <v>1</v>
      </c>
      <c r="Z58" s="188">
        <v>1</v>
      </c>
      <c r="AA58" s="188">
        <v>1</v>
      </c>
      <c r="AB58" s="188">
        <v>1</v>
      </c>
      <c r="AC58" s="189">
        <v>1</v>
      </c>
      <c r="AD58" s="41"/>
      <c r="AE58" s="41"/>
      <c r="AF58" s="41"/>
      <c r="AG58" s="41"/>
      <c r="AH58" s="41"/>
      <c r="AI58" s="41"/>
      <c r="AJ58" s="41"/>
    </row>
    <row r="59" spans="1:41" ht="36" customHeight="1" x14ac:dyDescent="0.3">
      <c r="A59" s="656" t="s">
        <v>672</v>
      </c>
      <c r="B59" s="647" t="s">
        <v>150</v>
      </c>
      <c r="C59" s="650" t="s">
        <v>666</v>
      </c>
      <c r="D59" s="653" t="s">
        <v>658</v>
      </c>
      <c r="E59" s="199" t="s">
        <v>659</v>
      </c>
      <c r="F59" s="174">
        <v>0.9</v>
      </c>
      <c r="G59" s="174">
        <v>0.9</v>
      </c>
      <c r="H59" s="174">
        <v>0.9</v>
      </c>
      <c r="I59" s="174">
        <v>0.9</v>
      </c>
      <c r="J59" s="174">
        <v>0.9</v>
      </c>
      <c r="K59" s="174">
        <v>0.9</v>
      </c>
      <c r="L59" s="174">
        <v>0.9</v>
      </c>
      <c r="M59" s="174">
        <v>0.9</v>
      </c>
      <c r="N59" s="174">
        <v>0.9</v>
      </c>
      <c r="O59" s="174">
        <v>0.9</v>
      </c>
      <c r="P59" s="174">
        <v>0.9</v>
      </c>
      <c r="Q59" s="174">
        <v>0.9</v>
      </c>
      <c r="R59" s="174">
        <v>0.9</v>
      </c>
      <c r="S59" s="174">
        <v>0.9</v>
      </c>
      <c r="T59" s="174">
        <v>0.9</v>
      </c>
      <c r="U59" s="174">
        <v>0.9</v>
      </c>
      <c r="V59" s="174">
        <v>0.9</v>
      </c>
      <c r="W59" s="174">
        <v>0.9</v>
      </c>
      <c r="X59" s="174">
        <v>0.9</v>
      </c>
      <c r="Y59" s="174">
        <v>0.9</v>
      </c>
      <c r="Z59" s="174">
        <v>0.9</v>
      </c>
      <c r="AA59" s="174">
        <v>0.9</v>
      </c>
      <c r="AB59" s="174">
        <v>0.9</v>
      </c>
      <c r="AC59" s="175">
        <v>0.9</v>
      </c>
      <c r="AD59" s="42"/>
      <c r="AE59" s="41"/>
      <c r="AF59" s="41"/>
      <c r="AG59" s="41"/>
      <c r="AH59" s="41"/>
      <c r="AI59" s="41"/>
      <c r="AJ59" s="41"/>
      <c r="AK59" s="41"/>
      <c r="AM59" s="52"/>
    </row>
    <row r="60" spans="1:41" ht="36" customHeight="1" x14ac:dyDescent="0.3">
      <c r="A60" s="657"/>
      <c r="B60" s="648"/>
      <c r="C60" s="651"/>
      <c r="D60" s="654"/>
      <c r="E60" s="193" t="s">
        <v>660</v>
      </c>
      <c r="F60" s="186">
        <v>0.9</v>
      </c>
      <c r="G60" s="186">
        <v>0.9</v>
      </c>
      <c r="H60" s="186">
        <v>0.9</v>
      </c>
      <c r="I60" s="186">
        <v>0.9</v>
      </c>
      <c r="J60" s="186">
        <v>0.9</v>
      </c>
      <c r="K60" s="186">
        <v>0.9</v>
      </c>
      <c r="L60" s="186">
        <v>0.9</v>
      </c>
      <c r="M60" s="186">
        <v>0.9</v>
      </c>
      <c r="N60" s="186">
        <v>0.9</v>
      </c>
      <c r="O60" s="186">
        <v>0.9</v>
      </c>
      <c r="P60" s="186">
        <v>0.9</v>
      </c>
      <c r="Q60" s="186">
        <v>0.9</v>
      </c>
      <c r="R60" s="186">
        <v>0.9</v>
      </c>
      <c r="S60" s="186">
        <v>0.9</v>
      </c>
      <c r="T60" s="186">
        <v>0.9</v>
      </c>
      <c r="U60" s="186">
        <v>0.9</v>
      </c>
      <c r="V60" s="186">
        <v>0.9</v>
      </c>
      <c r="W60" s="186">
        <v>0.9</v>
      </c>
      <c r="X60" s="186">
        <v>0.9</v>
      </c>
      <c r="Y60" s="186">
        <v>0.9</v>
      </c>
      <c r="Z60" s="186">
        <v>0.9</v>
      </c>
      <c r="AA60" s="186">
        <v>0.9</v>
      </c>
      <c r="AB60" s="186">
        <v>0.9</v>
      </c>
      <c r="AC60" s="187">
        <v>0.9</v>
      </c>
      <c r="AD60" s="42"/>
      <c r="AE60" s="41"/>
      <c r="AF60" s="41"/>
      <c r="AG60" s="41"/>
      <c r="AH60" s="41"/>
      <c r="AI60" s="41"/>
      <c r="AJ60" s="41"/>
      <c r="AK60" s="41"/>
      <c r="AM60" s="52"/>
    </row>
    <row r="61" spans="1:41" ht="36" customHeight="1" thickBot="1" x14ac:dyDescent="0.35">
      <c r="A61" s="658"/>
      <c r="B61" s="649"/>
      <c r="C61" s="652"/>
      <c r="D61" s="655"/>
      <c r="E61" s="196" t="s">
        <v>661</v>
      </c>
      <c r="F61" s="188">
        <v>0.9</v>
      </c>
      <c r="G61" s="188">
        <v>0.9</v>
      </c>
      <c r="H61" s="188">
        <v>0.9</v>
      </c>
      <c r="I61" s="188">
        <v>0.9</v>
      </c>
      <c r="J61" s="188">
        <v>0.9</v>
      </c>
      <c r="K61" s="188">
        <v>0.9</v>
      </c>
      <c r="L61" s="188">
        <v>0.9</v>
      </c>
      <c r="M61" s="188">
        <v>0.9</v>
      </c>
      <c r="N61" s="188">
        <v>0.9</v>
      </c>
      <c r="O61" s="188">
        <v>0.9</v>
      </c>
      <c r="P61" s="188">
        <v>0.9</v>
      </c>
      <c r="Q61" s="188">
        <v>0.9</v>
      </c>
      <c r="R61" s="188">
        <v>0.9</v>
      </c>
      <c r="S61" s="188">
        <v>0.9</v>
      </c>
      <c r="T61" s="188">
        <v>0.9</v>
      </c>
      <c r="U61" s="188">
        <v>0.9</v>
      </c>
      <c r="V61" s="188">
        <v>0.9</v>
      </c>
      <c r="W61" s="188">
        <v>0.9</v>
      </c>
      <c r="X61" s="188">
        <v>0.9</v>
      </c>
      <c r="Y61" s="188">
        <v>0.9</v>
      </c>
      <c r="Z61" s="188">
        <v>0.9</v>
      </c>
      <c r="AA61" s="188">
        <v>0.9</v>
      </c>
      <c r="AB61" s="188">
        <v>0.9</v>
      </c>
      <c r="AC61" s="189">
        <v>0.9</v>
      </c>
      <c r="AD61" s="42"/>
      <c r="AE61" s="41"/>
      <c r="AF61" s="41"/>
      <c r="AG61" s="41"/>
      <c r="AH61" s="41"/>
      <c r="AI61" s="41"/>
      <c r="AJ61" s="41"/>
      <c r="AK61" s="41"/>
      <c r="AM61" s="52"/>
    </row>
    <row r="62" spans="1:41" ht="38.700000000000003" customHeight="1" x14ac:dyDescent="0.3">
      <c r="A62" s="656" t="s">
        <v>672</v>
      </c>
      <c r="B62" s="659" t="s">
        <v>150</v>
      </c>
      <c r="C62" s="662" t="s">
        <v>665</v>
      </c>
      <c r="D62" s="653" t="s">
        <v>658</v>
      </c>
      <c r="E62" s="206" t="s">
        <v>659</v>
      </c>
      <c r="F62" s="176">
        <v>0</v>
      </c>
      <c r="G62" s="176">
        <v>0</v>
      </c>
      <c r="H62" s="176">
        <v>0</v>
      </c>
      <c r="I62" s="176">
        <v>0</v>
      </c>
      <c r="J62" s="176">
        <v>0</v>
      </c>
      <c r="K62" s="176">
        <v>0</v>
      </c>
      <c r="L62" s="176">
        <v>0</v>
      </c>
      <c r="M62" s="176">
        <v>0.5</v>
      </c>
      <c r="N62" s="176">
        <v>0.5</v>
      </c>
      <c r="O62" s="176">
        <v>0.75</v>
      </c>
      <c r="P62" s="176">
        <v>0.9</v>
      </c>
      <c r="Q62" s="176">
        <v>0.9</v>
      </c>
      <c r="R62" s="176">
        <v>0.9</v>
      </c>
      <c r="S62" s="176">
        <v>0</v>
      </c>
      <c r="T62" s="176">
        <v>0</v>
      </c>
      <c r="U62" s="176">
        <v>0</v>
      </c>
      <c r="V62" s="176">
        <v>0</v>
      </c>
      <c r="W62" s="176">
        <v>0</v>
      </c>
      <c r="X62" s="176">
        <v>0</v>
      </c>
      <c r="Y62" s="176">
        <v>0</v>
      </c>
      <c r="Z62" s="176">
        <v>0</v>
      </c>
      <c r="AA62" s="176">
        <v>0</v>
      </c>
      <c r="AB62" s="176">
        <v>0</v>
      </c>
      <c r="AC62" s="177">
        <v>0</v>
      </c>
      <c r="AD62" s="41"/>
      <c r="AE62" s="41"/>
      <c r="AF62" s="41"/>
      <c r="AG62" s="41"/>
      <c r="AH62" s="41"/>
      <c r="AI62" s="41"/>
      <c r="AJ62" s="41"/>
      <c r="AK62" s="41"/>
      <c r="AM62" s="52"/>
      <c r="AO62" s="205"/>
    </row>
    <row r="63" spans="1:41" ht="38.700000000000003" customHeight="1" x14ac:dyDescent="0.3">
      <c r="A63" s="657"/>
      <c r="B63" s="660"/>
      <c r="C63" s="663"/>
      <c r="D63" s="654"/>
      <c r="E63" s="179" t="s">
        <v>660</v>
      </c>
      <c r="F63" s="186">
        <v>0</v>
      </c>
      <c r="G63" s="186">
        <v>0</v>
      </c>
      <c r="H63" s="186">
        <v>0</v>
      </c>
      <c r="I63" s="186">
        <v>0</v>
      </c>
      <c r="J63" s="186">
        <v>0</v>
      </c>
      <c r="K63" s="186">
        <v>0</v>
      </c>
      <c r="L63" s="186">
        <v>0</v>
      </c>
      <c r="M63" s="186">
        <v>0</v>
      </c>
      <c r="N63" s="186">
        <v>0</v>
      </c>
      <c r="O63" s="186">
        <v>0</v>
      </c>
      <c r="P63" s="186">
        <v>0</v>
      </c>
      <c r="Q63" s="186">
        <v>0</v>
      </c>
      <c r="R63" s="186">
        <v>0</v>
      </c>
      <c r="S63" s="186">
        <v>0</v>
      </c>
      <c r="T63" s="186">
        <v>0</v>
      </c>
      <c r="U63" s="186">
        <v>0</v>
      </c>
      <c r="V63" s="186">
        <v>0</v>
      </c>
      <c r="W63" s="186">
        <v>0</v>
      </c>
      <c r="X63" s="186">
        <v>0</v>
      </c>
      <c r="Y63" s="186">
        <v>0</v>
      </c>
      <c r="Z63" s="186">
        <v>0</v>
      </c>
      <c r="AA63" s="186">
        <v>0</v>
      </c>
      <c r="AB63" s="186">
        <v>0</v>
      </c>
      <c r="AC63" s="187">
        <v>0</v>
      </c>
      <c r="AD63" s="41"/>
      <c r="AE63" s="41"/>
      <c r="AF63" s="41"/>
      <c r="AG63" s="41"/>
      <c r="AH63" s="41"/>
      <c r="AI63" s="41"/>
      <c r="AJ63" s="41"/>
      <c r="AK63" s="41"/>
      <c r="AM63" s="52"/>
      <c r="AO63" s="205"/>
    </row>
    <row r="64" spans="1:41" ht="38.700000000000003" customHeight="1" thickBot="1" x14ac:dyDescent="0.35">
      <c r="A64" s="658"/>
      <c r="B64" s="661"/>
      <c r="C64" s="664"/>
      <c r="D64" s="655"/>
      <c r="E64" s="180" t="s">
        <v>661</v>
      </c>
      <c r="F64" s="188">
        <v>0</v>
      </c>
      <c r="G64" s="188">
        <v>0</v>
      </c>
      <c r="H64" s="188">
        <v>0</v>
      </c>
      <c r="I64" s="188">
        <v>0</v>
      </c>
      <c r="J64" s="188">
        <v>0</v>
      </c>
      <c r="K64" s="188">
        <v>0</v>
      </c>
      <c r="L64" s="188">
        <v>0</v>
      </c>
      <c r="M64" s="188">
        <v>0</v>
      </c>
      <c r="N64" s="188">
        <v>0</v>
      </c>
      <c r="O64" s="188">
        <v>0</v>
      </c>
      <c r="P64" s="188">
        <v>0</v>
      </c>
      <c r="Q64" s="188">
        <v>0</v>
      </c>
      <c r="R64" s="188">
        <v>0</v>
      </c>
      <c r="S64" s="188">
        <v>0</v>
      </c>
      <c r="T64" s="188">
        <v>0</v>
      </c>
      <c r="U64" s="188">
        <v>0</v>
      </c>
      <c r="V64" s="188">
        <v>0</v>
      </c>
      <c r="W64" s="188">
        <v>0</v>
      </c>
      <c r="X64" s="188">
        <v>0</v>
      </c>
      <c r="Y64" s="188">
        <v>0</v>
      </c>
      <c r="Z64" s="188">
        <v>0</v>
      </c>
      <c r="AA64" s="188">
        <v>0</v>
      </c>
      <c r="AB64" s="188">
        <v>0</v>
      </c>
      <c r="AC64" s="189">
        <v>0</v>
      </c>
      <c r="AD64" s="41"/>
      <c r="AE64" s="41"/>
      <c r="AF64" s="41"/>
      <c r="AG64" s="41"/>
      <c r="AH64" s="41"/>
      <c r="AI64" s="41"/>
      <c r="AJ64" s="41"/>
      <c r="AK64" s="41"/>
      <c r="AM64" s="52"/>
      <c r="AO64" s="205"/>
    </row>
    <row r="65" spans="1:39" ht="38.700000000000003" customHeight="1" x14ac:dyDescent="0.3">
      <c r="A65" s="656" t="s">
        <v>672</v>
      </c>
      <c r="B65" s="665" t="s">
        <v>150</v>
      </c>
      <c r="C65" s="647" t="s">
        <v>664</v>
      </c>
      <c r="D65" s="653" t="s">
        <v>658</v>
      </c>
      <c r="E65" s="207" t="s">
        <v>659</v>
      </c>
      <c r="F65" s="208">
        <v>0.05</v>
      </c>
      <c r="G65" s="208">
        <v>0.05</v>
      </c>
      <c r="H65" s="208">
        <v>0.05</v>
      </c>
      <c r="I65" s="208">
        <v>0.05</v>
      </c>
      <c r="J65" s="208">
        <v>0.05</v>
      </c>
      <c r="K65" s="208">
        <v>0.05</v>
      </c>
      <c r="L65" s="208">
        <v>0.05</v>
      </c>
      <c r="M65" s="208">
        <v>0.1</v>
      </c>
      <c r="N65" s="208">
        <v>0.34</v>
      </c>
      <c r="O65" s="208">
        <v>0.6</v>
      </c>
      <c r="P65" s="208">
        <v>0.63</v>
      </c>
      <c r="Q65" s="208">
        <v>0.72</v>
      </c>
      <c r="R65" s="208">
        <v>0.79</v>
      </c>
      <c r="S65" s="208">
        <v>0.83</v>
      </c>
      <c r="T65" s="208">
        <v>0.61</v>
      </c>
      <c r="U65" s="208">
        <v>0.65</v>
      </c>
      <c r="V65" s="208">
        <v>0.1</v>
      </c>
      <c r="W65" s="208">
        <v>0.1</v>
      </c>
      <c r="X65" s="208">
        <v>0.19</v>
      </c>
      <c r="Y65" s="208">
        <v>0.25</v>
      </c>
      <c r="Z65" s="208">
        <v>0.22</v>
      </c>
      <c r="AA65" s="208">
        <v>0.22</v>
      </c>
      <c r="AB65" s="208">
        <v>0.12</v>
      </c>
      <c r="AC65" s="209">
        <v>0.09</v>
      </c>
      <c r="AD65" s="41"/>
      <c r="AE65" s="41"/>
      <c r="AF65" s="41"/>
      <c r="AG65" s="41"/>
      <c r="AH65" s="41"/>
      <c r="AI65" s="41"/>
      <c r="AJ65" s="41"/>
      <c r="AK65" s="41"/>
      <c r="AM65" s="52"/>
    </row>
    <row r="66" spans="1:39" ht="38.700000000000003" customHeight="1" x14ac:dyDescent="0.3">
      <c r="A66" s="657"/>
      <c r="B66" s="666"/>
      <c r="C66" s="648"/>
      <c r="D66" s="654"/>
      <c r="E66" s="210" t="s">
        <v>660</v>
      </c>
      <c r="F66" s="211">
        <v>0.03</v>
      </c>
      <c r="G66" s="211">
        <v>0.03</v>
      </c>
      <c r="H66" s="211">
        <v>0.03</v>
      </c>
      <c r="I66" s="211">
        <v>0.03</v>
      </c>
      <c r="J66" s="211">
        <v>0.03</v>
      </c>
      <c r="K66" s="211">
        <v>0.03</v>
      </c>
      <c r="L66" s="211">
        <v>0.03</v>
      </c>
      <c r="M66" s="211">
        <v>0.03</v>
      </c>
      <c r="N66" s="211">
        <v>0.03</v>
      </c>
      <c r="O66" s="211">
        <v>0.05</v>
      </c>
      <c r="P66" s="211">
        <v>0.05</v>
      </c>
      <c r="Q66" s="211">
        <v>0.05</v>
      </c>
      <c r="R66" s="211">
        <v>0.05</v>
      </c>
      <c r="S66" s="211">
        <v>0.03</v>
      </c>
      <c r="T66" s="211">
        <v>0.03</v>
      </c>
      <c r="U66" s="211">
        <v>0.03</v>
      </c>
      <c r="V66" s="211">
        <v>0.03</v>
      </c>
      <c r="W66" s="211">
        <v>0.03</v>
      </c>
      <c r="X66" s="211">
        <v>0.03</v>
      </c>
      <c r="Y66" s="211">
        <v>0.03</v>
      </c>
      <c r="Z66" s="211">
        <v>0.03</v>
      </c>
      <c r="AA66" s="211">
        <v>0.03</v>
      </c>
      <c r="AB66" s="211">
        <v>0.03</v>
      </c>
      <c r="AC66" s="212">
        <v>0.03</v>
      </c>
      <c r="AD66" s="41"/>
      <c r="AE66" s="41"/>
      <c r="AF66" s="41"/>
      <c r="AG66" s="41"/>
      <c r="AH66" s="41"/>
      <c r="AI66" s="41"/>
      <c r="AJ66" s="41"/>
      <c r="AK66" s="41"/>
      <c r="AM66" s="52"/>
    </row>
    <row r="67" spans="1:39" ht="38.700000000000003" customHeight="1" thickBot="1" x14ac:dyDescent="0.35">
      <c r="A67" s="658"/>
      <c r="B67" s="667"/>
      <c r="C67" s="649"/>
      <c r="D67" s="655"/>
      <c r="E67" s="213" t="s">
        <v>661</v>
      </c>
      <c r="F67" s="214">
        <v>0.03</v>
      </c>
      <c r="G67" s="214">
        <v>0.03</v>
      </c>
      <c r="H67" s="214">
        <v>0.03</v>
      </c>
      <c r="I67" s="214">
        <v>0.03</v>
      </c>
      <c r="J67" s="214">
        <v>0.03</v>
      </c>
      <c r="K67" s="214">
        <v>0.03</v>
      </c>
      <c r="L67" s="214">
        <v>0.03</v>
      </c>
      <c r="M67" s="214">
        <v>0.03</v>
      </c>
      <c r="N67" s="214">
        <v>0.05</v>
      </c>
      <c r="O67" s="214">
        <v>0.05</v>
      </c>
      <c r="P67" s="214">
        <v>0.05</v>
      </c>
      <c r="Q67" s="214">
        <v>0.05</v>
      </c>
      <c r="R67" s="214">
        <v>0.05</v>
      </c>
      <c r="S67" s="214">
        <v>0.05</v>
      </c>
      <c r="T67" s="214">
        <v>0.03</v>
      </c>
      <c r="U67" s="214">
        <v>0.03</v>
      </c>
      <c r="V67" s="214">
        <v>0.03</v>
      </c>
      <c r="W67" s="214">
        <v>0.03</v>
      </c>
      <c r="X67" s="214">
        <v>0.03</v>
      </c>
      <c r="Y67" s="214">
        <v>0.03</v>
      </c>
      <c r="Z67" s="214">
        <v>0.03</v>
      </c>
      <c r="AA67" s="214">
        <v>0.03</v>
      </c>
      <c r="AB67" s="214">
        <v>0.03</v>
      </c>
      <c r="AC67" s="215">
        <v>0.03</v>
      </c>
      <c r="AD67" s="41"/>
      <c r="AE67" s="41"/>
      <c r="AF67" s="41"/>
      <c r="AG67" s="41"/>
      <c r="AH67" s="41"/>
      <c r="AI67" s="41"/>
      <c r="AJ67" s="41"/>
      <c r="AK67" s="41"/>
      <c r="AM67" s="52"/>
    </row>
    <row r="68" spans="1:39" ht="35.25" customHeight="1" thickBot="1" x14ac:dyDescent="0.35">
      <c r="A68" s="693" t="s">
        <v>134</v>
      </c>
      <c r="B68" s="693"/>
      <c r="C68" s="693" t="s">
        <v>26</v>
      </c>
      <c r="D68" s="693"/>
      <c r="E68" s="693"/>
      <c r="F68" s="693"/>
      <c r="G68" s="693"/>
      <c r="H68" s="693"/>
      <c r="I68" s="693"/>
      <c r="J68" s="693"/>
      <c r="K68" s="693"/>
      <c r="L68" s="693"/>
      <c r="M68" s="693"/>
      <c r="N68" s="693"/>
      <c r="O68" s="693"/>
      <c r="P68" s="693"/>
      <c r="Q68" s="693"/>
      <c r="R68" s="693"/>
      <c r="S68" s="693"/>
      <c r="T68" s="693"/>
      <c r="U68" s="693"/>
      <c r="V68" s="693"/>
      <c r="W68" s="693"/>
      <c r="X68" s="693"/>
      <c r="Y68" s="693"/>
      <c r="Z68" s="693"/>
      <c r="AA68" s="693"/>
      <c r="AB68" s="693"/>
      <c r="AC68" s="694"/>
    </row>
    <row r="69" spans="1:39" customFormat="1" ht="26.4" customHeight="1" x14ac:dyDescent="0.3">
      <c r="A69" s="644" t="s">
        <v>674</v>
      </c>
      <c r="B69" s="686" t="s">
        <v>134</v>
      </c>
      <c r="C69" s="686" t="s">
        <v>657</v>
      </c>
      <c r="D69" s="653" t="s">
        <v>671</v>
      </c>
      <c r="E69" s="155" t="s">
        <v>659</v>
      </c>
      <c r="F69" s="174">
        <v>0</v>
      </c>
      <c r="G69" s="174">
        <v>0</v>
      </c>
      <c r="H69" s="174">
        <v>0</v>
      </c>
      <c r="I69" s="174">
        <v>0</v>
      </c>
      <c r="J69" s="174">
        <v>0</v>
      </c>
      <c r="K69" s="174">
        <v>0</v>
      </c>
      <c r="L69" s="174">
        <v>0.1</v>
      </c>
      <c r="M69" s="174">
        <v>0.5</v>
      </c>
      <c r="N69" s="174">
        <v>0.25</v>
      </c>
      <c r="O69" s="174">
        <v>0.25</v>
      </c>
      <c r="P69" s="174">
        <v>0.05</v>
      </c>
      <c r="Q69" s="174">
        <v>0.25</v>
      </c>
      <c r="R69" s="174">
        <v>0.95</v>
      </c>
      <c r="S69" s="174">
        <v>0.95</v>
      </c>
      <c r="T69" s="174">
        <v>0.25</v>
      </c>
      <c r="U69" s="174">
        <v>0.2</v>
      </c>
      <c r="V69" s="174">
        <v>0.2</v>
      </c>
      <c r="W69" s="174">
        <v>0.2</v>
      </c>
      <c r="X69" s="174">
        <v>0.15</v>
      </c>
      <c r="Y69" s="174">
        <v>0.15</v>
      </c>
      <c r="Z69" s="174">
        <v>0</v>
      </c>
      <c r="AA69" s="174">
        <v>0</v>
      </c>
      <c r="AB69" s="174">
        <v>0</v>
      </c>
      <c r="AC69" s="175">
        <v>0</v>
      </c>
      <c r="AD69" s="41"/>
      <c r="AE69" s="41"/>
      <c r="AF69" s="41"/>
      <c r="AG69" s="41"/>
      <c r="AH69" s="41"/>
      <c r="AI69" s="41"/>
      <c r="AJ69" s="41"/>
    </row>
    <row r="70" spans="1:39" customFormat="1" ht="26.4" customHeight="1" x14ac:dyDescent="0.3">
      <c r="A70" s="645"/>
      <c r="B70" s="663"/>
      <c r="C70" s="663"/>
      <c r="D70" s="654"/>
      <c r="E70" s="153" t="s">
        <v>660</v>
      </c>
      <c r="F70" s="186">
        <v>0</v>
      </c>
      <c r="G70" s="186">
        <v>0</v>
      </c>
      <c r="H70" s="186">
        <v>0</v>
      </c>
      <c r="I70" s="186">
        <v>0</v>
      </c>
      <c r="J70" s="186">
        <v>0</v>
      </c>
      <c r="K70" s="186">
        <v>0</v>
      </c>
      <c r="L70" s="186">
        <v>0</v>
      </c>
      <c r="M70" s="186">
        <v>0</v>
      </c>
      <c r="N70" s="186">
        <v>0</v>
      </c>
      <c r="O70" s="186">
        <v>0</v>
      </c>
      <c r="P70" s="186">
        <v>0</v>
      </c>
      <c r="Q70" s="186">
        <v>0</v>
      </c>
      <c r="R70" s="186">
        <v>0</v>
      </c>
      <c r="S70" s="186">
        <v>0</v>
      </c>
      <c r="T70" s="186">
        <v>0</v>
      </c>
      <c r="U70" s="186">
        <v>0</v>
      </c>
      <c r="V70" s="186">
        <v>0</v>
      </c>
      <c r="W70" s="186">
        <v>0</v>
      </c>
      <c r="X70" s="186">
        <v>0</v>
      </c>
      <c r="Y70" s="186">
        <v>0</v>
      </c>
      <c r="Z70" s="186">
        <v>0</v>
      </c>
      <c r="AA70" s="186">
        <v>0</v>
      </c>
      <c r="AB70" s="186">
        <v>0</v>
      </c>
      <c r="AC70" s="187">
        <v>0</v>
      </c>
      <c r="AD70" s="41"/>
      <c r="AE70" s="41"/>
      <c r="AF70" s="41"/>
      <c r="AG70" s="41"/>
      <c r="AH70" s="41"/>
      <c r="AI70" s="41"/>
      <c r="AJ70" s="41"/>
    </row>
    <row r="71" spans="1:39" customFormat="1" ht="26.4" customHeight="1" thickBot="1" x14ac:dyDescent="0.35">
      <c r="A71" s="646"/>
      <c r="B71" s="664"/>
      <c r="C71" s="664"/>
      <c r="D71" s="655"/>
      <c r="E71" s="154" t="s">
        <v>661</v>
      </c>
      <c r="F71" s="188">
        <v>0</v>
      </c>
      <c r="G71" s="188">
        <v>0</v>
      </c>
      <c r="H71" s="188">
        <v>0</v>
      </c>
      <c r="I71" s="188">
        <v>0</v>
      </c>
      <c r="J71" s="188">
        <v>0</v>
      </c>
      <c r="K71" s="188">
        <v>0</v>
      </c>
      <c r="L71" s="188">
        <v>0</v>
      </c>
      <c r="M71" s="188">
        <v>0</v>
      </c>
      <c r="N71" s="188">
        <v>0</v>
      </c>
      <c r="O71" s="188">
        <v>0</v>
      </c>
      <c r="P71" s="188">
        <v>0</v>
      </c>
      <c r="Q71" s="188">
        <v>0</v>
      </c>
      <c r="R71" s="188">
        <v>0</v>
      </c>
      <c r="S71" s="188">
        <v>0</v>
      </c>
      <c r="T71" s="188">
        <v>0</v>
      </c>
      <c r="U71" s="188">
        <v>0</v>
      </c>
      <c r="V71" s="188">
        <v>0</v>
      </c>
      <c r="W71" s="188">
        <v>0</v>
      </c>
      <c r="X71" s="188">
        <v>0</v>
      </c>
      <c r="Y71" s="188">
        <v>0</v>
      </c>
      <c r="Z71" s="188">
        <v>0</v>
      </c>
      <c r="AA71" s="188">
        <v>0</v>
      </c>
      <c r="AB71" s="188">
        <v>0</v>
      </c>
      <c r="AC71" s="189">
        <v>0</v>
      </c>
      <c r="AD71" s="41"/>
      <c r="AE71" s="41"/>
      <c r="AF71" s="41"/>
      <c r="AG71" s="41"/>
      <c r="AH71" s="41"/>
      <c r="AI71" s="41"/>
      <c r="AJ71" s="41"/>
    </row>
    <row r="72" spans="1:39" customFormat="1" ht="26.4" customHeight="1" x14ac:dyDescent="0.3">
      <c r="A72" s="644" t="s">
        <v>674</v>
      </c>
      <c r="B72" s="686" t="s">
        <v>134</v>
      </c>
      <c r="C72" s="686" t="s">
        <v>667</v>
      </c>
      <c r="D72" s="653" t="s">
        <v>671</v>
      </c>
      <c r="E72" s="178" t="s">
        <v>659</v>
      </c>
      <c r="F72" s="174">
        <v>0</v>
      </c>
      <c r="G72" s="174">
        <v>0</v>
      </c>
      <c r="H72" s="174">
        <v>0</v>
      </c>
      <c r="I72" s="174">
        <v>0</v>
      </c>
      <c r="J72" s="174">
        <v>0</v>
      </c>
      <c r="K72" s="174">
        <v>0</v>
      </c>
      <c r="L72" s="174">
        <v>1</v>
      </c>
      <c r="M72" s="174">
        <v>1</v>
      </c>
      <c r="N72" s="174">
        <v>1</v>
      </c>
      <c r="O72" s="174">
        <v>1</v>
      </c>
      <c r="P72" s="174">
        <v>1</v>
      </c>
      <c r="Q72" s="174">
        <v>1</v>
      </c>
      <c r="R72" s="174">
        <v>1</v>
      </c>
      <c r="S72" s="174">
        <v>1</v>
      </c>
      <c r="T72" s="174">
        <v>1</v>
      </c>
      <c r="U72" s="174">
        <v>1</v>
      </c>
      <c r="V72" s="174">
        <v>1</v>
      </c>
      <c r="W72" s="174">
        <v>1</v>
      </c>
      <c r="X72" s="174">
        <v>1</v>
      </c>
      <c r="Y72" s="174">
        <v>1</v>
      </c>
      <c r="Z72" s="174">
        <v>0</v>
      </c>
      <c r="AA72" s="174">
        <v>0</v>
      </c>
      <c r="AB72" s="174">
        <v>0</v>
      </c>
      <c r="AC72" s="175">
        <v>0</v>
      </c>
      <c r="AD72" s="41"/>
      <c r="AE72" s="41"/>
      <c r="AF72" s="41"/>
      <c r="AG72" s="41"/>
      <c r="AH72" s="41"/>
      <c r="AI72" s="41"/>
      <c r="AJ72" s="41"/>
    </row>
    <row r="73" spans="1:39" customFormat="1" ht="26.4" customHeight="1" x14ac:dyDescent="0.3">
      <c r="A73" s="645"/>
      <c r="B73" s="663"/>
      <c r="C73" s="663"/>
      <c r="D73" s="654"/>
      <c r="E73" s="179" t="s">
        <v>660</v>
      </c>
      <c r="F73" s="186">
        <v>0</v>
      </c>
      <c r="G73" s="186">
        <v>0</v>
      </c>
      <c r="H73" s="186">
        <v>0</v>
      </c>
      <c r="I73" s="186">
        <v>0</v>
      </c>
      <c r="J73" s="186">
        <v>0</v>
      </c>
      <c r="K73" s="186">
        <v>0</v>
      </c>
      <c r="L73" s="186">
        <v>0</v>
      </c>
      <c r="M73" s="284">
        <v>1</v>
      </c>
      <c r="N73" s="284">
        <v>1</v>
      </c>
      <c r="O73" s="284">
        <v>1</v>
      </c>
      <c r="P73" s="284">
        <v>1</v>
      </c>
      <c r="Q73" s="284">
        <v>1</v>
      </c>
      <c r="R73" s="284">
        <v>1</v>
      </c>
      <c r="S73" s="284">
        <v>1</v>
      </c>
      <c r="T73" s="284">
        <v>1</v>
      </c>
      <c r="U73" s="284">
        <v>1</v>
      </c>
      <c r="V73" s="284">
        <v>1</v>
      </c>
      <c r="W73" s="284">
        <v>1</v>
      </c>
      <c r="X73" s="186">
        <v>0</v>
      </c>
      <c r="Y73" s="186">
        <v>0</v>
      </c>
      <c r="Z73" s="186">
        <v>0</v>
      </c>
      <c r="AA73" s="186">
        <v>0</v>
      </c>
      <c r="AB73" s="186">
        <v>0</v>
      </c>
      <c r="AC73" s="187">
        <v>0</v>
      </c>
      <c r="AD73" s="41"/>
      <c r="AE73" s="41"/>
      <c r="AF73" s="41"/>
      <c r="AG73" s="41"/>
      <c r="AH73" s="41"/>
      <c r="AI73" s="41"/>
      <c r="AJ73" s="41"/>
    </row>
    <row r="74" spans="1:39" customFormat="1" ht="26.4" customHeight="1" thickBot="1" x14ac:dyDescent="0.35">
      <c r="A74" s="646"/>
      <c r="B74" s="664"/>
      <c r="C74" s="664"/>
      <c r="D74" s="655"/>
      <c r="E74" s="180" t="s">
        <v>661</v>
      </c>
      <c r="F74" s="188">
        <v>0</v>
      </c>
      <c r="G74" s="188">
        <v>0</v>
      </c>
      <c r="H74" s="188">
        <v>0</v>
      </c>
      <c r="I74" s="188">
        <v>0</v>
      </c>
      <c r="J74" s="188">
        <v>0</v>
      </c>
      <c r="K74" s="188">
        <v>0</v>
      </c>
      <c r="L74" s="188">
        <v>0</v>
      </c>
      <c r="M74" s="188">
        <v>0</v>
      </c>
      <c r="N74" s="188">
        <v>0</v>
      </c>
      <c r="O74" s="188">
        <v>0</v>
      </c>
      <c r="P74" s="188">
        <v>0</v>
      </c>
      <c r="Q74" s="188">
        <v>0</v>
      </c>
      <c r="R74" s="188">
        <v>0</v>
      </c>
      <c r="S74" s="188">
        <v>0</v>
      </c>
      <c r="T74" s="188">
        <v>0</v>
      </c>
      <c r="U74" s="188">
        <v>0</v>
      </c>
      <c r="V74" s="188">
        <v>0</v>
      </c>
      <c r="W74" s="188">
        <v>0</v>
      </c>
      <c r="X74" s="188">
        <v>0</v>
      </c>
      <c r="Y74" s="188">
        <v>0</v>
      </c>
      <c r="Z74" s="188">
        <v>0</v>
      </c>
      <c r="AA74" s="188">
        <v>0</v>
      </c>
      <c r="AB74" s="188">
        <v>0</v>
      </c>
      <c r="AC74" s="189">
        <v>0</v>
      </c>
      <c r="AD74" s="41"/>
      <c r="AE74" s="41"/>
      <c r="AF74" s="41"/>
      <c r="AG74" s="41"/>
      <c r="AH74" s="41"/>
      <c r="AI74" s="41"/>
      <c r="AJ74" s="41"/>
    </row>
    <row r="75" spans="1:39" customFormat="1" ht="26.4" customHeight="1" x14ac:dyDescent="0.3">
      <c r="A75" s="644" t="s">
        <v>674</v>
      </c>
      <c r="B75" s="686" t="s">
        <v>134</v>
      </c>
      <c r="C75" s="686" t="s">
        <v>662</v>
      </c>
      <c r="D75" s="653" t="s">
        <v>671</v>
      </c>
      <c r="E75" s="178" t="s">
        <v>659</v>
      </c>
      <c r="F75" s="174">
        <v>0</v>
      </c>
      <c r="G75" s="174">
        <v>0</v>
      </c>
      <c r="H75" s="174">
        <v>0</v>
      </c>
      <c r="I75" s="174">
        <v>0</v>
      </c>
      <c r="J75" s="174">
        <v>0</v>
      </c>
      <c r="K75" s="174">
        <v>0</v>
      </c>
      <c r="L75" s="174">
        <v>1</v>
      </c>
      <c r="M75" s="174">
        <v>1</v>
      </c>
      <c r="N75" s="174">
        <v>1</v>
      </c>
      <c r="O75" s="174">
        <v>1</v>
      </c>
      <c r="P75" s="174">
        <v>1</v>
      </c>
      <c r="Q75" s="174">
        <v>1</v>
      </c>
      <c r="R75" s="174">
        <v>1</v>
      </c>
      <c r="S75" s="174">
        <v>1</v>
      </c>
      <c r="T75" s="174">
        <v>1</v>
      </c>
      <c r="U75" s="174">
        <v>1</v>
      </c>
      <c r="V75" s="174">
        <v>1</v>
      </c>
      <c r="W75" s="174">
        <v>1</v>
      </c>
      <c r="X75" s="174">
        <v>1</v>
      </c>
      <c r="Y75" s="174">
        <v>1</v>
      </c>
      <c r="Z75" s="174">
        <v>0</v>
      </c>
      <c r="AA75" s="174">
        <v>0</v>
      </c>
      <c r="AB75" s="174">
        <v>0</v>
      </c>
      <c r="AC75" s="175">
        <v>0</v>
      </c>
      <c r="AD75" s="41"/>
      <c r="AE75" s="41"/>
      <c r="AF75" s="41"/>
      <c r="AG75" s="41"/>
      <c r="AH75" s="41"/>
      <c r="AI75" s="41"/>
      <c r="AJ75" s="41"/>
    </row>
    <row r="76" spans="1:39" customFormat="1" ht="26.4" customHeight="1" x14ac:dyDescent="0.3">
      <c r="A76" s="645"/>
      <c r="B76" s="663"/>
      <c r="C76" s="663"/>
      <c r="D76" s="654"/>
      <c r="E76" s="179" t="s">
        <v>660</v>
      </c>
      <c r="F76" s="186">
        <v>0</v>
      </c>
      <c r="G76" s="186">
        <v>0</v>
      </c>
      <c r="H76" s="186">
        <v>0</v>
      </c>
      <c r="I76" s="186">
        <v>0</v>
      </c>
      <c r="J76" s="186">
        <v>0</v>
      </c>
      <c r="K76" s="186">
        <v>0</v>
      </c>
      <c r="L76" s="186">
        <v>0</v>
      </c>
      <c r="M76" s="186">
        <v>0</v>
      </c>
      <c r="N76" s="186">
        <v>0</v>
      </c>
      <c r="O76" s="186">
        <v>0</v>
      </c>
      <c r="P76" s="186">
        <v>0</v>
      </c>
      <c r="Q76" s="186">
        <v>0</v>
      </c>
      <c r="R76" s="186">
        <v>0</v>
      </c>
      <c r="S76" s="186">
        <v>0</v>
      </c>
      <c r="T76" s="186">
        <v>0</v>
      </c>
      <c r="U76" s="186">
        <v>0</v>
      </c>
      <c r="V76" s="186">
        <v>0</v>
      </c>
      <c r="W76" s="186">
        <v>0</v>
      </c>
      <c r="X76" s="186">
        <v>0</v>
      </c>
      <c r="Y76" s="186">
        <v>0</v>
      </c>
      <c r="Z76" s="186">
        <v>0</v>
      </c>
      <c r="AA76" s="186">
        <v>0</v>
      </c>
      <c r="AB76" s="186">
        <v>0</v>
      </c>
      <c r="AC76" s="187">
        <v>0</v>
      </c>
      <c r="AD76" s="41"/>
      <c r="AE76" s="41"/>
      <c r="AF76" s="41"/>
      <c r="AG76" s="41"/>
      <c r="AH76" s="41"/>
      <c r="AI76" s="41"/>
      <c r="AJ76" s="41"/>
    </row>
    <row r="77" spans="1:39" customFormat="1" ht="26.4" customHeight="1" thickBot="1" x14ac:dyDescent="0.35">
      <c r="A77" s="697"/>
      <c r="B77" s="698"/>
      <c r="C77" s="698"/>
      <c r="D77" s="699"/>
      <c r="E77" s="180" t="s">
        <v>661</v>
      </c>
      <c r="F77" s="188">
        <v>0</v>
      </c>
      <c r="G77" s="188">
        <v>0</v>
      </c>
      <c r="H77" s="188">
        <v>0</v>
      </c>
      <c r="I77" s="188">
        <v>0</v>
      </c>
      <c r="J77" s="188">
        <v>0</v>
      </c>
      <c r="K77" s="188">
        <v>0</v>
      </c>
      <c r="L77" s="188">
        <v>0</v>
      </c>
      <c r="M77" s="188">
        <v>0</v>
      </c>
      <c r="N77" s="188">
        <v>0</v>
      </c>
      <c r="O77" s="188">
        <v>0</v>
      </c>
      <c r="P77" s="188">
        <v>0</v>
      </c>
      <c r="Q77" s="188">
        <v>0</v>
      </c>
      <c r="R77" s="188">
        <v>0</v>
      </c>
      <c r="S77" s="188">
        <v>0</v>
      </c>
      <c r="T77" s="188">
        <v>0</v>
      </c>
      <c r="U77" s="188">
        <v>0</v>
      </c>
      <c r="V77" s="188">
        <v>0</v>
      </c>
      <c r="W77" s="188">
        <v>0</v>
      </c>
      <c r="X77" s="188">
        <v>0</v>
      </c>
      <c r="Y77" s="188">
        <v>0</v>
      </c>
      <c r="Z77" s="188">
        <v>0</v>
      </c>
      <c r="AA77" s="188">
        <v>0</v>
      </c>
      <c r="AB77" s="188">
        <v>0</v>
      </c>
      <c r="AC77" s="189">
        <v>0</v>
      </c>
      <c r="AD77" s="41"/>
      <c r="AE77" s="41"/>
      <c r="AF77" s="41"/>
      <c r="AG77" s="41"/>
      <c r="AH77" s="41"/>
      <c r="AI77" s="41"/>
      <c r="AJ77" s="41"/>
    </row>
    <row r="78" spans="1:39" customFormat="1" ht="26.4" customHeight="1" x14ac:dyDescent="0.3">
      <c r="A78" s="644" t="s">
        <v>674</v>
      </c>
      <c r="B78" s="686" t="s">
        <v>134</v>
      </c>
      <c r="C78" s="686" t="s">
        <v>663</v>
      </c>
      <c r="D78" s="653" t="s">
        <v>671</v>
      </c>
      <c r="E78" s="178" t="s">
        <v>659</v>
      </c>
      <c r="F78" s="174">
        <v>0.15</v>
      </c>
      <c r="G78" s="174">
        <v>0.15</v>
      </c>
      <c r="H78" s="174">
        <v>0.15</v>
      </c>
      <c r="I78" s="174">
        <v>0.15</v>
      </c>
      <c r="J78" s="174">
        <v>0.15</v>
      </c>
      <c r="K78" s="174">
        <v>0.2</v>
      </c>
      <c r="L78" s="174">
        <v>0.3</v>
      </c>
      <c r="M78" s="174">
        <v>0.9</v>
      </c>
      <c r="N78" s="174">
        <v>0.9</v>
      </c>
      <c r="O78" s="174">
        <v>0.8</v>
      </c>
      <c r="P78" s="174">
        <v>0.8</v>
      </c>
      <c r="Q78" s="174">
        <v>0.8</v>
      </c>
      <c r="R78" s="174">
        <v>0.9</v>
      </c>
      <c r="S78" s="174">
        <v>0.9</v>
      </c>
      <c r="T78" s="174">
        <v>0.9</v>
      </c>
      <c r="U78" s="174">
        <v>0.7</v>
      </c>
      <c r="V78" s="174">
        <v>0.2</v>
      </c>
      <c r="W78" s="174">
        <v>0.15</v>
      </c>
      <c r="X78" s="174">
        <v>0.15</v>
      </c>
      <c r="Y78" s="174">
        <v>0.15</v>
      </c>
      <c r="Z78" s="174">
        <v>0.15</v>
      </c>
      <c r="AA78" s="174">
        <v>0.15</v>
      </c>
      <c r="AB78" s="174">
        <v>0.15</v>
      </c>
      <c r="AC78" s="175">
        <v>0.15</v>
      </c>
      <c r="AD78" s="41"/>
      <c r="AE78" s="41"/>
      <c r="AF78" s="41"/>
      <c r="AG78" s="41"/>
      <c r="AH78" s="41"/>
      <c r="AI78" s="41"/>
      <c r="AJ78" s="41"/>
    </row>
    <row r="79" spans="1:39" customFormat="1" ht="26.4" customHeight="1" x14ac:dyDescent="0.3">
      <c r="A79" s="645"/>
      <c r="B79" s="663"/>
      <c r="C79" s="663"/>
      <c r="D79" s="654"/>
      <c r="E79" s="179" t="s">
        <v>660</v>
      </c>
      <c r="F79" s="186">
        <v>0</v>
      </c>
      <c r="G79" s="186">
        <v>0</v>
      </c>
      <c r="H79" s="186">
        <v>0</v>
      </c>
      <c r="I79" s="186">
        <v>0</v>
      </c>
      <c r="J79" s="186">
        <v>0</v>
      </c>
      <c r="K79" s="186">
        <v>0</v>
      </c>
      <c r="L79" s="186">
        <v>0</v>
      </c>
      <c r="M79" s="186">
        <v>0</v>
      </c>
      <c r="N79" s="186">
        <v>0</v>
      </c>
      <c r="O79" s="186">
        <v>0</v>
      </c>
      <c r="P79" s="186">
        <v>0</v>
      </c>
      <c r="Q79" s="186">
        <v>0</v>
      </c>
      <c r="R79" s="186">
        <v>0</v>
      </c>
      <c r="S79" s="186">
        <v>0</v>
      </c>
      <c r="T79" s="186">
        <v>0</v>
      </c>
      <c r="U79" s="186">
        <v>0</v>
      </c>
      <c r="V79" s="186">
        <v>0</v>
      </c>
      <c r="W79" s="186">
        <v>0</v>
      </c>
      <c r="X79" s="186">
        <v>0</v>
      </c>
      <c r="Y79" s="186">
        <v>0</v>
      </c>
      <c r="Z79" s="186">
        <v>0</v>
      </c>
      <c r="AA79" s="186">
        <v>0</v>
      </c>
      <c r="AB79" s="186">
        <v>0</v>
      </c>
      <c r="AC79" s="187">
        <v>0</v>
      </c>
      <c r="AD79" s="41"/>
      <c r="AE79" s="41"/>
      <c r="AF79" s="41"/>
      <c r="AG79" s="41"/>
      <c r="AH79" s="41"/>
      <c r="AI79" s="41"/>
      <c r="AJ79" s="41"/>
    </row>
    <row r="80" spans="1:39" customFormat="1" ht="26.4" customHeight="1" thickBot="1" x14ac:dyDescent="0.35">
      <c r="A80" s="646"/>
      <c r="B80" s="664"/>
      <c r="C80" s="664"/>
      <c r="D80" s="655"/>
      <c r="E80" s="180" t="s">
        <v>661</v>
      </c>
      <c r="F80" s="188">
        <v>0</v>
      </c>
      <c r="G80" s="188">
        <v>0</v>
      </c>
      <c r="H80" s="188">
        <v>0</v>
      </c>
      <c r="I80" s="188">
        <v>0</v>
      </c>
      <c r="J80" s="188">
        <v>0</v>
      </c>
      <c r="K80" s="188">
        <v>0</v>
      </c>
      <c r="L80" s="188">
        <v>0</v>
      </c>
      <c r="M80" s="188">
        <v>0</v>
      </c>
      <c r="N80" s="188">
        <v>0</v>
      </c>
      <c r="O80" s="188">
        <v>0</v>
      </c>
      <c r="P80" s="188">
        <v>0</v>
      </c>
      <c r="Q80" s="188">
        <v>0</v>
      </c>
      <c r="R80" s="188">
        <v>0</v>
      </c>
      <c r="S80" s="188">
        <v>0</v>
      </c>
      <c r="T80" s="188">
        <v>0</v>
      </c>
      <c r="U80" s="188">
        <v>0</v>
      </c>
      <c r="V80" s="188">
        <v>0</v>
      </c>
      <c r="W80" s="188">
        <v>0</v>
      </c>
      <c r="X80" s="188">
        <v>0</v>
      </c>
      <c r="Y80" s="188">
        <v>0</v>
      </c>
      <c r="Z80" s="188">
        <v>0</v>
      </c>
      <c r="AA80" s="188">
        <v>0</v>
      </c>
      <c r="AB80" s="188">
        <v>0</v>
      </c>
      <c r="AC80" s="189">
        <v>0</v>
      </c>
      <c r="AD80" s="41"/>
      <c r="AE80" s="41"/>
      <c r="AF80" s="41"/>
      <c r="AG80" s="41"/>
      <c r="AH80" s="41"/>
      <c r="AI80" s="41"/>
      <c r="AJ80" s="41"/>
    </row>
    <row r="81" spans="1:36" customFormat="1" ht="23.4" customHeight="1" x14ac:dyDescent="0.3">
      <c r="A81" s="644" t="s">
        <v>674</v>
      </c>
      <c r="B81" s="686" t="s">
        <v>134</v>
      </c>
      <c r="C81" s="647" t="s">
        <v>668</v>
      </c>
      <c r="D81" s="653" t="s">
        <v>671</v>
      </c>
      <c r="E81" s="178" t="s">
        <v>659</v>
      </c>
      <c r="F81" s="506">
        <f>IF(F72=1,Thermostat!$B$3,Thermostat!$B$4)</f>
        <v>60</v>
      </c>
      <c r="G81" s="506">
        <f>IF(G72=1,Thermostat!$B$3,Thermostat!$B$4)</f>
        <v>60</v>
      </c>
      <c r="H81" s="506">
        <f>IF(H72=1,Thermostat!$B$3,Thermostat!$B$4)</f>
        <v>60</v>
      </c>
      <c r="I81" s="506">
        <f>IF(I72=1,Thermostat!$B$3,Thermostat!$B$4)</f>
        <v>60</v>
      </c>
      <c r="J81" s="506">
        <f>IF(J72=1,Thermostat!$B$3,Thermostat!$B$4)</f>
        <v>60</v>
      </c>
      <c r="K81" s="506">
        <f>IF(K72=1,Thermostat!$B$3,Thermostat!$B$4)</f>
        <v>60</v>
      </c>
      <c r="L81" s="506">
        <f>IF(L72=1,Thermostat!$B$3,Thermostat!$B$4)</f>
        <v>70</v>
      </c>
      <c r="M81" s="506">
        <f>IF(M72=1,Thermostat!$B$3,Thermostat!$B$4)</f>
        <v>70</v>
      </c>
      <c r="N81" s="506">
        <f>IF(N72=1,Thermostat!$B$3,Thermostat!$B$4)</f>
        <v>70</v>
      </c>
      <c r="O81" s="506">
        <f>IF(O72=1,Thermostat!$B$3,Thermostat!$B$4)</f>
        <v>70</v>
      </c>
      <c r="P81" s="506">
        <f>IF(P72=1,Thermostat!$B$3,Thermostat!$B$4)</f>
        <v>70</v>
      </c>
      <c r="Q81" s="506">
        <f>IF(Q72=1,Thermostat!$B$3,Thermostat!$B$4)</f>
        <v>70</v>
      </c>
      <c r="R81" s="506">
        <f>IF(R72=1,Thermostat!$B$3,Thermostat!$B$4)</f>
        <v>70</v>
      </c>
      <c r="S81" s="506">
        <f>IF(S72=1,Thermostat!$B$3,Thermostat!$B$4)</f>
        <v>70</v>
      </c>
      <c r="T81" s="506">
        <f>IF(T72=1,Thermostat!$B$3,Thermostat!$B$4)</f>
        <v>70</v>
      </c>
      <c r="U81" s="506">
        <f>IF(U72=1,Thermostat!$B$3,Thermostat!$B$4)</f>
        <v>70</v>
      </c>
      <c r="V81" s="506">
        <f>IF(V72=1,Thermostat!$B$3,Thermostat!$B$4)</f>
        <v>70</v>
      </c>
      <c r="W81" s="506">
        <f>IF(W72=1,Thermostat!$B$3,Thermostat!$B$4)</f>
        <v>70</v>
      </c>
      <c r="X81" s="506">
        <f>IF(X72=1,Thermostat!$B$3,Thermostat!$B$4)</f>
        <v>70</v>
      </c>
      <c r="Y81" s="506">
        <f>IF(Y72=1,Thermostat!$B$3,Thermostat!$B$4)</f>
        <v>70</v>
      </c>
      <c r="Z81" s="506">
        <f>IF(Z72=1,Thermostat!$B$3,Thermostat!$B$4)</f>
        <v>60</v>
      </c>
      <c r="AA81" s="506">
        <f>IF(AA72=1,Thermostat!$B$3,Thermostat!$B$4)</f>
        <v>60</v>
      </c>
      <c r="AB81" s="506">
        <f>IF(AB72=1,Thermostat!$B$3,Thermostat!$B$4)</f>
        <v>60</v>
      </c>
      <c r="AC81" s="507">
        <f>IF(AC72=1,Thermostat!$B$3,Thermostat!$B$4)</f>
        <v>60</v>
      </c>
      <c r="AD81" s="41"/>
      <c r="AE81" s="41"/>
      <c r="AF81" s="41"/>
      <c r="AG81" s="41"/>
      <c r="AH81" s="41"/>
      <c r="AI81" s="41"/>
      <c r="AJ81" s="41"/>
    </row>
    <row r="82" spans="1:36" customFormat="1" ht="23.4" customHeight="1" x14ac:dyDescent="0.3">
      <c r="A82" s="645"/>
      <c r="B82" s="663"/>
      <c r="C82" s="648"/>
      <c r="D82" s="654"/>
      <c r="E82" s="179" t="s">
        <v>660</v>
      </c>
      <c r="F82" s="504">
        <f>IF(F73=1,Thermostat!$B$3,Thermostat!$B$4)</f>
        <v>60</v>
      </c>
      <c r="G82" s="504">
        <f>IF(G73=1,Thermostat!$B$3,Thermostat!$B$4)</f>
        <v>60</v>
      </c>
      <c r="H82" s="504">
        <f>IF(H73=1,Thermostat!$B$3,Thermostat!$B$4)</f>
        <v>60</v>
      </c>
      <c r="I82" s="504">
        <f>IF(I73=1,Thermostat!$B$3,Thermostat!$B$4)</f>
        <v>60</v>
      </c>
      <c r="J82" s="504">
        <f>IF(J73=1,Thermostat!$B$3,Thermostat!$B$4)</f>
        <v>60</v>
      </c>
      <c r="K82" s="504">
        <f>IF(K73=1,Thermostat!$B$3,Thermostat!$B$4)</f>
        <v>60</v>
      </c>
      <c r="L82" s="504">
        <f>IF(L73=1,Thermostat!$B$3,Thermostat!$B$4)</f>
        <v>60</v>
      </c>
      <c r="M82" s="504">
        <f>IF(M73=1,Thermostat!$B$3,Thermostat!$B$4)</f>
        <v>70</v>
      </c>
      <c r="N82" s="504">
        <f>IF(N73=1,Thermostat!$B$3,Thermostat!$B$4)</f>
        <v>70</v>
      </c>
      <c r="O82" s="504">
        <f>IF(O73=1,Thermostat!$B$3,Thermostat!$B$4)</f>
        <v>70</v>
      </c>
      <c r="P82" s="504">
        <f>IF(P73=1,Thermostat!$B$3,Thermostat!$B$4)</f>
        <v>70</v>
      </c>
      <c r="Q82" s="504">
        <f>IF(Q73=1,Thermostat!$B$3,Thermostat!$B$4)</f>
        <v>70</v>
      </c>
      <c r="R82" s="504">
        <f>IF(R73=1,Thermostat!$B$3,Thermostat!$B$4)</f>
        <v>70</v>
      </c>
      <c r="S82" s="504">
        <f>IF(S73=1,Thermostat!$B$3,Thermostat!$B$4)</f>
        <v>70</v>
      </c>
      <c r="T82" s="504">
        <f>IF(T73=1,Thermostat!$B$3,Thermostat!$B$4)</f>
        <v>70</v>
      </c>
      <c r="U82" s="504">
        <f>IF(U73=1,Thermostat!$B$3,Thermostat!$B$4)</f>
        <v>70</v>
      </c>
      <c r="V82" s="504">
        <f>IF(V73=1,Thermostat!$B$3,Thermostat!$B$4)</f>
        <v>70</v>
      </c>
      <c r="W82" s="504">
        <f>IF(W73=1,Thermostat!$B$3,Thermostat!$B$4)</f>
        <v>70</v>
      </c>
      <c r="X82" s="504">
        <f>IF(X73=1,Thermostat!$B$3,Thermostat!$B$4)</f>
        <v>60</v>
      </c>
      <c r="Y82" s="504">
        <f>IF(Y73=1,Thermostat!$B$3,Thermostat!$B$4)</f>
        <v>60</v>
      </c>
      <c r="Z82" s="504">
        <f>IF(Z73=1,Thermostat!$B$3,Thermostat!$B$4)</f>
        <v>60</v>
      </c>
      <c r="AA82" s="504">
        <f>IF(AA73=1,Thermostat!$B$3,Thermostat!$B$4)</f>
        <v>60</v>
      </c>
      <c r="AB82" s="504">
        <f>IF(AB73=1,Thermostat!$B$3,Thermostat!$B$4)</f>
        <v>60</v>
      </c>
      <c r="AC82" s="508">
        <f>IF(AC73=1,Thermostat!$B$3,Thermostat!$B$4)</f>
        <v>60</v>
      </c>
      <c r="AD82" s="41"/>
      <c r="AE82" s="41"/>
      <c r="AF82" s="41"/>
      <c r="AG82" s="41"/>
      <c r="AH82" s="41"/>
      <c r="AI82" s="41"/>
      <c r="AJ82" s="41"/>
    </row>
    <row r="83" spans="1:36" customFormat="1" ht="23.4" customHeight="1" thickBot="1" x14ac:dyDescent="0.35">
      <c r="A83" s="646"/>
      <c r="B83" s="664"/>
      <c r="C83" s="649"/>
      <c r="D83" s="655"/>
      <c r="E83" s="180" t="s">
        <v>661</v>
      </c>
      <c r="F83" s="505">
        <f>IF(F74=1,Thermostat!$B$3,Thermostat!$B$4)</f>
        <v>60</v>
      </c>
      <c r="G83" s="505">
        <f>IF(G74=1,Thermostat!$B$3,Thermostat!$B$4)</f>
        <v>60</v>
      </c>
      <c r="H83" s="505">
        <f>IF(H74=1,Thermostat!$B$3,Thermostat!$B$4)</f>
        <v>60</v>
      </c>
      <c r="I83" s="505">
        <f>IF(I74=1,Thermostat!$B$3,Thermostat!$B$4)</f>
        <v>60</v>
      </c>
      <c r="J83" s="505">
        <f>IF(J74=1,Thermostat!$B$3,Thermostat!$B$4)</f>
        <v>60</v>
      </c>
      <c r="K83" s="505">
        <f>IF(K74=1,Thermostat!$B$3,Thermostat!$B$4)</f>
        <v>60</v>
      </c>
      <c r="L83" s="505">
        <f>IF(L74=1,Thermostat!$B$3,Thermostat!$B$4)</f>
        <v>60</v>
      </c>
      <c r="M83" s="505">
        <f>IF(M74=1,Thermostat!$B$3,Thermostat!$B$4)</f>
        <v>60</v>
      </c>
      <c r="N83" s="505">
        <f>IF(N74=1,Thermostat!$B$3,Thermostat!$B$4)</f>
        <v>60</v>
      </c>
      <c r="O83" s="505">
        <f>IF(O74=1,Thermostat!$B$3,Thermostat!$B$4)</f>
        <v>60</v>
      </c>
      <c r="P83" s="505">
        <f>IF(P74=1,Thermostat!$B$3,Thermostat!$B$4)</f>
        <v>60</v>
      </c>
      <c r="Q83" s="505">
        <f>IF(Q74=1,Thermostat!$B$3,Thermostat!$B$4)</f>
        <v>60</v>
      </c>
      <c r="R83" s="505">
        <f>IF(R74=1,Thermostat!$B$3,Thermostat!$B$4)</f>
        <v>60</v>
      </c>
      <c r="S83" s="505">
        <f>IF(S74=1,Thermostat!$B$3,Thermostat!$B$4)</f>
        <v>60</v>
      </c>
      <c r="T83" s="505">
        <f>IF(T74=1,Thermostat!$B$3,Thermostat!$B$4)</f>
        <v>60</v>
      </c>
      <c r="U83" s="505">
        <f>IF(U74=1,Thermostat!$B$3,Thermostat!$B$4)</f>
        <v>60</v>
      </c>
      <c r="V83" s="505">
        <f>IF(V74=1,Thermostat!$B$3,Thermostat!$B$4)</f>
        <v>60</v>
      </c>
      <c r="W83" s="505">
        <f>IF(W74=1,Thermostat!$B$3,Thermostat!$B$4)</f>
        <v>60</v>
      </c>
      <c r="X83" s="505">
        <f>IF(X74=1,Thermostat!$B$3,Thermostat!$B$4)</f>
        <v>60</v>
      </c>
      <c r="Y83" s="505">
        <f>IF(Y74=1,Thermostat!$B$3,Thermostat!$B$4)</f>
        <v>60</v>
      </c>
      <c r="Z83" s="505">
        <f>IF(Z74=1,Thermostat!$B$3,Thermostat!$B$4)</f>
        <v>60</v>
      </c>
      <c r="AA83" s="505">
        <f>IF(AA74=1,Thermostat!$B$3,Thermostat!$B$4)</f>
        <v>60</v>
      </c>
      <c r="AB83" s="505">
        <f>IF(AB74=1,Thermostat!$B$3,Thermostat!$B$4)</f>
        <v>60</v>
      </c>
      <c r="AC83" s="509">
        <f>IF(AC74=1,Thermostat!$B$3,Thermostat!$B$4)</f>
        <v>60</v>
      </c>
      <c r="AD83" s="41"/>
      <c r="AE83" s="41"/>
      <c r="AF83" s="41"/>
      <c r="AG83" s="41"/>
      <c r="AH83" s="41"/>
      <c r="AI83" s="41"/>
      <c r="AJ83" s="41"/>
    </row>
    <row r="84" spans="1:36" customFormat="1" ht="24.6" customHeight="1" x14ac:dyDescent="0.3">
      <c r="A84" s="684" t="s">
        <v>674</v>
      </c>
      <c r="B84" s="662" t="s">
        <v>134</v>
      </c>
      <c r="C84" s="648" t="s">
        <v>670</v>
      </c>
      <c r="D84" s="685" t="s">
        <v>671</v>
      </c>
      <c r="E84" s="178" t="s">
        <v>659</v>
      </c>
      <c r="F84" s="503">
        <f>IF(F72=1,Thermostat!$B$5,Thermostat!$B$6)</f>
        <v>85</v>
      </c>
      <c r="G84" s="503">
        <f>IF(G72=1,Thermostat!$B$5,Thermostat!$B$6)</f>
        <v>85</v>
      </c>
      <c r="H84" s="503">
        <f>IF(H72=1,Thermostat!$B$5,Thermostat!$B$6)</f>
        <v>85</v>
      </c>
      <c r="I84" s="503">
        <f>IF(I72=1,Thermostat!$B$5,Thermostat!$B$6)</f>
        <v>85</v>
      </c>
      <c r="J84" s="503">
        <f>IF(J72=1,Thermostat!$B$5,Thermostat!$B$6)</f>
        <v>85</v>
      </c>
      <c r="K84" s="503">
        <f>IF(K72=1,Thermostat!$B$5,Thermostat!$B$6)</f>
        <v>85</v>
      </c>
      <c r="L84" s="503">
        <f>IF(L72=1,Thermostat!$B$5,Thermostat!$B$6)</f>
        <v>75</v>
      </c>
      <c r="M84" s="503">
        <f>IF(M72=1,Thermostat!$B$5,Thermostat!$B$6)</f>
        <v>75</v>
      </c>
      <c r="N84" s="503">
        <f>IF(N72=1,Thermostat!$B$5,Thermostat!$B$6)</f>
        <v>75</v>
      </c>
      <c r="O84" s="503">
        <f>IF(O72=1,Thermostat!$B$5,Thermostat!$B$6)</f>
        <v>75</v>
      </c>
      <c r="P84" s="503">
        <f>IF(P72=1,Thermostat!$B$5,Thermostat!$B$6)</f>
        <v>75</v>
      </c>
      <c r="Q84" s="503">
        <f>IF(Q72=1,Thermostat!$B$5,Thermostat!$B$6)</f>
        <v>75</v>
      </c>
      <c r="R84" s="503">
        <f>IF(R72=1,Thermostat!$B$5,Thermostat!$B$6)</f>
        <v>75</v>
      </c>
      <c r="S84" s="503">
        <f>IF(S72=1,Thermostat!$B$5,Thermostat!$B$6)</f>
        <v>75</v>
      </c>
      <c r="T84" s="503">
        <f>IF(T72=1,Thermostat!$B$5,Thermostat!$B$6)</f>
        <v>75</v>
      </c>
      <c r="U84" s="503">
        <f>IF(U72=1,Thermostat!$B$5,Thermostat!$B$6)</f>
        <v>75</v>
      </c>
      <c r="V84" s="503">
        <f>IF(V72=1,Thermostat!$B$5,Thermostat!$B$6)</f>
        <v>75</v>
      </c>
      <c r="W84" s="503">
        <f>IF(W72=1,Thermostat!$B$5,Thermostat!$B$6)</f>
        <v>75</v>
      </c>
      <c r="X84" s="503">
        <f>IF(X72=1,Thermostat!$B$5,Thermostat!$B$6)</f>
        <v>75</v>
      </c>
      <c r="Y84" s="503">
        <f>IF(Y72=1,Thermostat!$B$5,Thermostat!$B$6)</f>
        <v>75</v>
      </c>
      <c r="Z84" s="503">
        <f>IF(Z72=1,Thermostat!$B$5,Thermostat!$B$6)</f>
        <v>85</v>
      </c>
      <c r="AA84" s="503">
        <f>IF(AA72=1,Thermostat!$B$5,Thermostat!$B$6)</f>
        <v>85</v>
      </c>
      <c r="AB84" s="503">
        <f>IF(AB72=1,Thermostat!$B$5,Thermostat!$B$6)</f>
        <v>85</v>
      </c>
      <c r="AC84" s="503">
        <f>IF(AC72=1,Thermostat!$B$5,Thermostat!$B$6)</f>
        <v>85</v>
      </c>
      <c r="AD84" s="41"/>
      <c r="AE84" s="41"/>
      <c r="AF84" s="41"/>
      <c r="AG84" s="41"/>
      <c r="AH84" s="41"/>
      <c r="AI84" s="41"/>
      <c r="AJ84" s="41"/>
    </row>
    <row r="85" spans="1:36" customFormat="1" ht="25.2" customHeight="1" x14ac:dyDescent="0.3">
      <c r="A85" s="645"/>
      <c r="B85" s="663"/>
      <c r="C85" s="648"/>
      <c r="D85" s="654"/>
      <c r="E85" s="179" t="s">
        <v>660</v>
      </c>
      <c r="F85" s="504">
        <f>IF(F73=1,Thermostat!$B$5,Thermostat!$B$6)</f>
        <v>85</v>
      </c>
      <c r="G85" s="504">
        <f>IF(G73=1,Thermostat!$B$5,Thermostat!$B$6)</f>
        <v>85</v>
      </c>
      <c r="H85" s="504">
        <f>IF(H73=1,Thermostat!$B$5,Thermostat!$B$6)</f>
        <v>85</v>
      </c>
      <c r="I85" s="504">
        <f>IF(I73=1,Thermostat!$B$5,Thermostat!$B$6)</f>
        <v>85</v>
      </c>
      <c r="J85" s="504">
        <f>IF(J73=1,Thermostat!$B$5,Thermostat!$B$6)</f>
        <v>85</v>
      </c>
      <c r="K85" s="504">
        <f>IF(K73=1,Thermostat!$B$5,Thermostat!$B$6)</f>
        <v>85</v>
      </c>
      <c r="L85" s="504">
        <f>IF(L73=1,Thermostat!$B$5,Thermostat!$B$6)</f>
        <v>85</v>
      </c>
      <c r="M85" s="504">
        <f>IF(M73=1,Thermostat!$B$5,Thermostat!$B$6)</f>
        <v>75</v>
      </c>
      <c r="N85" s="504">
        <f>IF(N73=1,Thermostat!$B$5,Thermostat!$B$6)</f>
        <v>75</v>
      </c>
      <c r="O85" s="504">
        <f>IF(O73=1,Thermostat!$B$5,Thermostat!$B$6)</f>
        <v>75</v>
      </c>
      <c r="P85" s="504">
        <f>IF(P73=1,Thermostat!$B$5,Thermostat!$B$6)</f>
        <v>75</v>
      </c>
      <c r="Q85" s="504">
        <f>IF(Q73=1,Thermostat!$B$5,Thermostat!$B$6)</f>
        <v>75</v>
      </c>
      <c r="R85" s="504">
        <f>IF(R73=1,Thermostat!$B$5,Thermostat!$B$6)</f>
        <v>75</v>
      </c>
      <c r="S85" s="504">
        <f>IF(S73=1,Thermostat!$B$5,Thermostat!$B$6)</f>
        <v>75</v>
      </c>
      <c r="T85" s="504">
        <f>IF(T73=1,Thermostat!$B$5,Thermostat!$B$6)</f>
        <v>75</v>
      </c>
      <c r="U85" s="504">
        <f>IF(U73=1,Thermostat!$B$5,Thermostat!$B$6)</f>
        <v>75</v>
      </c>
      <c r="V85" s="504">
        <f>IF(V73=1,Thermostat!$B$5,Thermostat!$B$6)</f>
        <v>75</v>
      </c>
      <c r="W85" s="504">
        <f>IF(W73=1,Thermostat!$B$5,Thermostat!$B$6)</f>
        <v>75</v>
      </c>
      <c r="X85" s="504">
        <f>IF(X73=1,Thermostat!$B$5,Thermostat!$B$6)</f>
        <v>85</v>
      </c>
      <c r="Y85" s="504">
        <f>IF(Y73=1,Thermostat!$B$5,Thermostat!$B$6)</f>
        <v>85</v>
      </c>
      <c r="Z85" s="504">
        <f>IF(Z73=1,Thermostat!$B$5,Thermostat!$B$6)</f>
        <v>85</v>
      </c>
      <c r="AA85" s="504">
        <f>IF(AA73=1,Thermostat!$B$5,Thermostat!$B$6)</f>
        <v>85</v>
      </c>
      <c r="AB85" s="504">
        <f>IF(AB73=1,Thermostat!$B$5,Thermostat!$B$6)</f>
        <v>85</v>
      </c>
      <c r="AC85" s="504">
        <f>IF(AC73=1,Thermostat!$B$5,Thermostat!$B$6)</f>
        <v>85</v>
      </c>
      <c r="AD85" s="41"/>
      <c r="AE85" s="41"/>
      <c r="AF85" s="41"/>
      <c r="AG85" s="41"/>
      <c r="AH85" s="41"/>
      <c r="AI85" s="41"/>
      <c r="AJ85" s="41"/>
    </row>
    <row r="86" spans="1:36" customFormat="1" ht="25.2" customHeight="1" thickBot="1" x14ac:dyDescent="0.35">
      <c r="A86" s="646"/>
      <c r="B86" s="664"/>
      <c r="C86" s="649"/>
      <c r="D86" s="655"/>
      <c r="E86" s="180" t="s">
        <v>661</v>
      </c>
      <c r="F86" s="505">
        <f>IF(F74=1,Thermostat!$B$5,Thermostat!$B$6)</f>
        <v>85</v>
      </c>
      <c r="G86" s="505">
        <f>IF(G74=1,Thermostat!$B$5,Thermostat!$B$6)</f>
        <v>85</v>
      </c>
      <c r="H86" s="505">
        <f>IF(H74=1,Thermostat!$B$5,Thermostat!$B$6)</f>
        <v>85</v>
      </c>
      <c r="I86" s="505">
        <f>IF(I74=1,Thermostat!$B$5,Thermostat!$B$6)</f>
        <v>85</v>
      </c>
      <c r="J86" s="505">
        <f>IF(J74=1,Thermostat!$B$5,Thermostat!$B$6)</f>
        <v>85</v>
      </c>
      <c r="K86" s="505">
        <f>IF(K74=1,Thermostat!$B$5,Thermostat!$B$6)</f>
        <v>85</v>
      </c>
      <c r="L86" s="505">
        <f>IF(L74=1,Thermostat!$B$5,Thermostat!$B$6)</f>
        <v>85</v>
      </c>
      <c r="M86" s="505">
        <f>IF(M74=1,Thermostat!$B$5,Thermostat!$B$6)</f>
        <v>85</v>
      </c>
      <c r="N86" s="505">
        <f>IF(N74=1,Thermostat!$B$5,Thermostat!$B$6)</f>
        <v>85</v>
      </c>
      <c r="O86" s="505">
        <f>IF(O74=1,Thermostat!$B$5,Thermostat!$B$6)</f>
        <v>85</v>
      </c>
      <c r="P86" s="505">
        <f>IF(P74=1,Thermostat!$B$5,Thermostat!$B$6)</f>
        <v>85</v>
      </c>
      <c r="Q86" s="505">
        <f>IF(Q74=1,Thermostat!$B$5,Thermostat!$B$6)</f>
        <v>85</v>
      </c>
      <c r="R86" s="505">
        <f>IF(R74=1,Thermostat!$B$5,Thermostat!$B$6)</f>
        <v>85</v>
      </c>
      <c r="S86" s="505">
        <f>IF(S74=1,Thermostat!$B$5,Thermostat!$B$6)</f>
        <v>85</v>
      </c>
      <c r="T86" s="505">
        <f>IF(T74=1,Thermostat!$B$5,Thermostat!$B$6)</f>
        <v>85</v>
      </c>
      <c r="U86" s="505">
        <f>IF(U74=1,Thermostat!$B$5,Thermostat!$B$6)</f>
        <v>85</v>
      </c>
      <c r="V86" s="505">
        <f>IF(V74=1,Thermostat!$B$5,Thermostat!$B$6)</f>
        <v>85</v>
      </c>
      <c r="W86" s="505">
        <f>IF(W74=1,Thermostat!$B$5,Thermostat!$B$6)</f>
        <v>85</v>
      </c>
      <c r="X86" s="505">
        <f>IF(X74=1,Thermostat!$B$5,Thermostat!$B$6)</f>
        <v>85</v>
      </c>
      <c r="Y86" s="505">
        <f>IF(Y74=1,Thermostat!$B$5,Thermostat!$B$6)</f>
        <v>85</v>
      </c>
      <c r="Z86" s="505">
        <f>IF(Z74=1,Thermostat!$B$5,Thermostat!$B$6)</f>
        <v>85</v>
      </c>
      <c r="AA86" s="505">
        <f>IF(AA74=1,Thermostat!$B$5,Thermostat!$B$6)</f>
        <v>85</v>
      </c>
      <c r="AB86" s="505">
        <f>IF(AB74=1,Thermostat!$B$5,Thermostat!$B$6)</f>
        <v>85</v>
      </c>
      <c r="AC86" s="505">
        <f>IF(AC74=1,Thermostat!$B$5,Thermostat!$B$6)</f>
        <v>85</v>
      </c>
      <c r="AD86" s="41"/>
      <c r="AE86" s="41"/>
      <c r="AF86" s="41"/>
      <c r="AG86" s="41"/>
      <c r="AH86" s="41"/>
      <c r="AI86" s="41"/>
      <c r="AJ86" s="41"/>
    </row>
    <row r="87" spans="1:36" customFormat="1" ht="30" customHeight="1" x14ac:dyDescent="0.3">
      <c r="A87" s="644" t="s">
        <v>674</v>
      </c>
      <c r="B87" s="686" t="s">
        <v>134</v>
      </c>
      <c r="C87" s="686" t="s">
        <v>673</v>
      </c>
      <c r="D87" s="653" t="s">
        <v>671</v>
      </c>
      <c r="E87" s="178" t="s">
        <v>659</v>
      </c>
      <c r="F87" s="174">
        <v>0</v>
      </c>
      <c r="G87" s="174">
        <v>0</v>
      </c>
      <c r="H87" s="174">
        <v>0</v>
      </c>
      <c r="I87" s="174">
        <v>0</v>
      </c>
      <c r="J87" s="174">
        <v>0</v>
      </c>
      <c r="K87" s="174">
        <v>0</v>
      </c>
      <c r="L87" s="174">
        <v>1</v>
      </c>
      <c r="M87" s="174">
        <v>1</v>
      </c>
      <c r="N87" s="174">
        <v>1</v>
      </c>
      <c r="O87" s="174">
        <v>1</v>
      </c>
      <c r="P87" s="174">
        <v>1</v>
      </c>
      <c r="Q87" s="174">
        <v>1</v>
      </c>
      <c r="R87" s="174">
        <v>1</v>
      </c>
      <c r="S87" s="174">
        <v>1</v>
      </c>
      <c r="T87" s="174">
        <v>1</v>
      </c>
      <c r="U87" s="174">
        <v>1</v>
      </c>
      <c r="V87" s="174">
        <v>1</v>
      </c>
      <c r="W87" s="174">
        <v>1</v>
      </c>
      <c r="X87" s="174">
        <v>1</v>
      </c>
      <c r="Y87" s="174">
        <v>1</v>
      </c>
      <c r="Z87" s="174">
        <v>0</v>
      </c>
      <c r="AA87" s="174">
        <v>0</v>
      </c>
      <c r="AB87" s="174">
        <v>0</v>
      </c>
      <c r="AC87" s="175">
        <v>0</v>
      </c>
      <c r="AD87" s="41"/>
      <c r="AE87" s="41"/>
      <c r="AF87" s="41"/>
      <c r="AG87" s="41"/>
      <c r="AH87" s="41"/>
      <c r="AI87" s="41"/>
      <c r="AJ87" s="41"/>
    </row>
    <row r="88" spans="1:36" customFormat="1" ht="30" customHeight="1" x14ac:dyDescent="0.3">
      <c r="A88" s="645"/>
      <c r="B88" s="663"/>
      <c r="C88" s="663"/>
      <c r="D88" s="654"/>
      <c r="E88" s="179" t="s">
        <v>660</v>
      </c>
      <c r="F88" s="186">
        <v>0</v>
      </c>
      <c r="G88" s="186">
        <v>0</v>
      </c>
      <c r="H88" s="186">
        <v>0</v>
      </c>
      <c r="I88" s="186">
        <v>0</v>
      </c>
      <c r="J88" s="186">
        <v>0</v>
      </c>
      <c r="K88" s="186">
        <v>0</v>
      </c>
      <c r="L88" s="186">
        <v>0</v>
      </c>
      <c r="M88" s="186">
        <v>0</v>
      </c>
      <c r="N88" s="186">
        <v>0</v>
      </c>
      <c r="O88" s="186">
        <v>0</v>
      </c>
      <c r="P88" s="186">
        <v>0</v>
      </c>
      <c r="Q88" s="186">
        <v>0</v>
      </c>
      <c r="R88" s="186">
        <v>0</v>
      </c>
      <c r="S88" s="186">
        <v>0</v>
      </c>
      <c r="T88" s="186">
        <v>0</v>
      </c>
      <c r="U88" s="186">
        <v>0</v>
      </c>
      <c r="V88" s="186">
        <v>0</v>
      </c>
      <c r="W88" s="186">
        <v>0</v>
      </c>
      <c r="X88" s="186">
        <v>0</v>
      </c>
      <c r="Y88" s="186">
        <v>0</v>
      </c>
      <c r="Z88" s="186">
        <v>0</v>
      </c>
      <c r="AA88" s="186">
        <v>0</v>
      </c>
      <c r="AB88" s="186">
        <v>0</v>
      </c>
      <c r="AC88" s="187">
        <v>0</v>
      </c>
      <c r="AD88" s="41"/>
      <c r="AE88" s="41"/>
      <c r="AF88" s="41"/>
      <c r="AG88" s="41"/>
      <c r="AH88" s="41"/>
      <c r="AI88" s="41"/>
      <c r="AJ88" s="41"/>
    </row>
    <row r="89" spans="1:36" customFormat="1" ht="30" customHeight="1" thickBot="1" x14ac:dyDescent="0.35">
      <c r="A89" s="646"/>
      <c r="B89" s="664"/>
      <c r="C89" s="664"/>
      <c r="D89" s="655"/>
      <c r="E89" s="180" t="s">
        <v>661</v>
      </c>
      <c r="F89" s="188">
        <v>0</v>
      </c>
      <c r="G89" s="188">
        <v>0</v>
      </c>
      <c r="H89" s="188">
        <v>0</v>
      </c>
      <c r="I89" s="188">
        <v>0</v>
      </c>
      <c r="J89" s="188">
        <v>0</v>
      </c>
      <c r="K89" s="188">
        <v>0</v>
      </c>
      <c r="L89" s="188">
        <v>0</v>
      </c>
      <c r="M89" s="188">
        <v>0</v>
      </c>
      <c r="N89" s="188">
        <v>0</v>
      </c>
      <c r="O89" s="188">
        <v>0</v>
      </c>
      <c r="P89" s="188">
        <v>0</v>
      </c>
      <c r="Q89" s="188">
        <v>0</v>
      </c>
      <c r="R89" s="188">
        <v>0</v>
      </c>
      <c r="S89" s="188">
        <v>0</v>
      </c>
      <c r="T89" s="188">
        <v>0</v>
      </c>
      <c r="U89" s="188">
        <v>0</v>
      </c>
      <c r="V89" s="188">
        <v>0</v>
      </c>
      <c r="W89" s="188">
        <v>0</v>
      </c>
      <c r="X89" s="188">
        <v>0</v>
      </c>
      <c r="Y89" s="188">
        <v>0</v>
      </c>
      <c r="Z89" s="188">
        <v>0</v>
      </c>
      <c r="AA89" s="188">
        <v>0</v>
      </c>
      <c r="AB89" s="188">
        <v>0</v>
      </c>
      <c r="AC89" s="189">
        <v>0</v>
      </c>
      <c r="AD89" s="41"/>
      <c r="AE89" s="41"/>
      <c r="AF89" s="41"/>
      <c r="AG89" s="41"/>
      <c r="AH89" s="41"/>
      <c r="AI89" s="41"/>
      <c r="AJ89" s="41"/>
    </row>
    <row r="90" spans="1:36" customFormat="1" ht="26.4" customHeight="1" x14ac:dyDescent="0.3">
      <c r="A90" s="684" t="s">
        <v>674</v>
      </c>
      <c r="B90" s="662" t="s">
        <v>134</v>
      </c>
      <c r="C90" s="662" t="s">
        <v>296</v>
      </c>
      <c r="D90" s="685" t="s">
        <v>671</v>
      </c>
      <c r="E90" s="178" t="s">
        <v>659</v>
      </c>
      <c r="F90" s="174">
        <v>1</v>
      </c>
      <c r="G90" s="174">
        <v>1</v>
      </c>
      <c r="H90" s="174">
        <v>1</v>
      </c>
      <c r="I90" s="174">
        <v>1</v>
      </c>
      <c r="J90" s="174">
        <v>1</v>
      </c>
      <c r="K90" s="174">
        <v>1</v>
      </c>
      <c r="L90" s="174">
        <v>0.25</v>
      </c>
      <c r="M90" s="174">
        <v>0.25</v>
      </c>
      <c r="N90" s="174">
        <v>0.25</v>
      </c>
      <c r="O90" s="174">
        <v>0.25</v>
      </c>
      <c r="P90" s="174">
        <v>0.25</v>
      </c>
      <c r="Q90" s="174">
        <v>0.25</v>
      </c>
      <c r="R90" s="174">
        <v>0.25</v>
      </c>
      <c r="S90" s="174">
        <v>0.25</v>
      </c>
      <c r="T90" s="174">
        <v>0.25</v>
      </c>
      <c r="U90" s="174">
        <v>0.25</v>
      </c>
      <c r="V90" s="174">
        <v>0.25</v>
      </c>
      <c r="W90" s="174">
        <v>0.25</v>
      </c>
      <c r="X90" s="174">
        <v>1</v>
      </c>
      <c r="Y90" s="174">
        <v>1</v>
      </c>
      <c r="Z90" s="174">
        <v>1</v>
      </c>
      <c r="AA90" s="174">
        <v>1</v>
      </c>
      <c r="AB90" s="174">
        <v>1</v>
      </c>
      <c r="AC90" s="175">
        <v>1</v>
      </c>
      <c r="AD90" s="41"/>
      <c r="AE90" s="41"/>
      <c r="AF90" s="41"/>
      <c r="AG90" s="41"/>
      <c r="AH90" s="41"/>
      <c r="AI90" s="41"/>
      <c r="AJ90" s="41"/>
    </row>
    <row r="91" spans="1:36" customFormat="1" ht="26.4" customHeight="1" x14ac:dyDescent="0.3">
      <c r="A91" s="645"/>
      <c r="B91" s="663"/>
      <c r="C91" s="663"/>
      <c r="D91" s="654"/>
      <c r="E91" s="179" t="s">
        <v>660</v>
      </c>
      <c r="F91" s="186">
        <v>1</v>
      </c>
      <c r="G91" s="186">
        <v>1</v>
      </c>
      <c r="H91" s="186">
        <v>1</v>
      </c>
      <c r="I91" s="186">
        <v>1</v>
      </c>
      <c r="J91" s="186">
        <v>1</v>
      </c>
      <c r="K91" s="186">
        <v>1</v>
      </c>
      <c r="L91" s="186">
        <v>1</v>
      </c>
      <c r="M91" s="186">
        <v>1</v>
      </c>
      <c r="N91" s="186">
        <v>1</v>
      </c>
      <c r="O91" s="186">
        <v>1</v>
      </c>
      <c r="P91" s="186">
        <v>1</v>
      </c>
      <c r="Q91" s="186">
        <v>1</v>
      </c>
      <c r="R91" s="186">
        <v>1</v>
      </c>
      <c r="S91" s="186">
        <v>1</v>
      </c>
      <c r="T91" s="186">
        <v>1</v>
      </c>
      <c r="U91" s="186">
        <v>1</v>
      </c>
      <c r="V91" s="186">
        <v>1</v>
      </c>
      <c r="W91" s="186">
        <v>1</v>
      </c>
      <c r="X91" s="186">
        <v>1</v>
      </c>
      <c r="Y91" s="186">
        <v>1</v>
      </c>
      <c r="Z91" s="186">
        <v>1</v>
      </c>
      <c r="AA91" s="186">
        <v>1</v>
      </c>
      <c r="AB91" s="186">
        <v>1</v>
      </c>
      <c r="AC91" s="187">
        <v>1</v>
      </c>
      <c r="AD91" s="41"/>
      <c r="AE91" s="41"/>
      <c r="AF91" s="41"/>
      <c r="AG91" s="41"/>
      <c r="AH91" s="41"/>
      <c r="AI91" s="41"/>
      <c r="AJ91" s="41"/>
    </row>
    <row r="92" spans="1:36" customFormat="1" ht="26.4" customHeight="1" thickBot="1" x14ac:dyDescent="0.35">
      <c r="A92" s="646"/>
      <c r="B92" s="664"/>
      <c r="C92" s="664"/>
      <c r="D92" s="655"/>
      <c r="E92" s="180" t="s">
        <v>661</v>
      </c>
      <c r="F92" s="188">
        <v>1</v>
      </c>
      <c r="G92" s="188">
        <v>1</v>
      </c>
      <c r="H92" s="188">
        <v>1</v>
      </c>
      <c r="I92" s="188">
        <v>1</v>
      </c>
      <c r="J92" s="188">
        <v>1</v>
      </c>
      <c r="K92" s="188">
        <v>1</v>
      </c>
      <c r="L92" s="188">
        <v>1</v>
      </c>
      <c r="M92" s="188">
        <v>1</v>
      </c>
      <c r="N92" s="188">
        <v>1</v>
      </c>
      <c r="O92" s="188">
        <v>1</v>
      </c>
      <c r="P92" s="188">
        <v>1</v>
      </c>
      <c r="Q92" s="188">
        <v>1</v>
      </c>
      <c r="R92" s="188">
        <v>1</v>
      </c>
      <c r="S92" s="188">
        <v>1</v>
      </c>
      <c r="T92" s="188">
        <v>1</v>
      </c>
      <c r="U92" s="188">
        <v>1</v>
      </c>
      <c r="V92" s="188">
        <v>1</v>
      </c>
      <c r="W92" s="188">
        <v>1</v>
      </c>
      <c r="X92" s="188">
        <v>1</v>
      </c>
      <c r="Y92" s="188">
        <v>1</v>
      </c>
      <c r="Z92" s="188">
        <v>1</v>
      </c>
      <c r="AA92" s="188">
        <v>1</v>
      </c>
      <c r="AB92" s="188">
        <v>1</v>
      </c>
      <c r="AC92" s="189">
        <v>1</v>
      </c>
      <c r="AD92" s="41"/>
      <c r="AE92" s="41"/>
      <c r="AF92" s="41"/>
      <c r="AG92" s="41"/>
      <c r="AH92" s="41"/>
      <c r="AI92" s="41"/>
      <c r="AJ92" s="41"/>
    </row>
    <row r="93" spans="1:36" customFormat="1" ht="26.4" customHeight="1" x14ac:dyDescent="0.3">
      <c r="A93" s="684" t="s">
        <v>674</v>
      </c>
      <c r="B93" s="662" t="s">
        <v>134</v>
      </c>
      <c r="C93" s="662" t="s">
        <v>666</v>
      </c>
      <c r="D93" s="685" t="s">
        <v>658</v>
      </c>
      <c r="E93" s="178" t="s">
        <v>659</v>
      </c>
      <c r="F93" s="174">
        <v>0.9</v>
      </c>
      <c r="G93" s="174">
        <v>0.9</v>
      </c>
      <c r="H93" s="174">
        <v>0.9</v>
      </c>
      <c r="I93" s="174">
        <v>0.9</v>
      </c>
      <c r="J93" s="174">
        <v>0.9</v>
      </c>
      <c r="K93" s="174">
        <v>0.9</v>
      </c>
      <c r="L93" s="174">
        <v>0.9</v>
      </c>
      <c r="M93" s="174">
        <v>0.9</v>
      </c>
      <c r="N93" s="174">
        <v>0.9</v>
      </c>
      <c r="O93" s="174">
        <v>0.9</v>
      </c>
      <c r="P93" s="174">
        <v>0.9</v>
      </c>
      <c r="Q93" s="174">
        <v>0.9</v>
      </c>
      <c r="R93" s="174">
        <v>0.9</v>
      </c>
      <c r="S93" s="174">
        <v>0.9</v>
      </c>
      <c r="T93" s="174">
        <v>0.9</v>
      </c>
      <c r="U93" s="174">
        <v>0.9</v>
      </c>
      <c r="V93" s="174">
        <v>0.9</v>
      </c>
      <c r="W93" s="174">
        <v>0.9</v>
      </c>
      <c r="X93" s="174">
        <v>0.9</v>
      </c>
      <c r="Y93" s="174">
        <v>0.9</v>
      </c>
      <c r="Z93" s="174">
        <v>0.9</v>
      </c>
      <c r="AA93" s="174">
        <v>0.9</v>
      </c>
      <c r="AB93" s="174">
        <v>0.9</v>
      </c>
      <c r="AC93" s="175">
        <v>0.9</v>
      </c>
      <c r="AD93" s="41"/>
      <c r="AE93" s="41"/>
      <c r="AF93" s="41"/>
      <c r="AG93" s="41"/>
      <c r="AH93" s="41"/>
      <c r="AI93" s="41"/>
      <c r="AJ93" s="41"/>
    </row>
    <row r="94" spans="1:36" customFormat="1" ht="26.4" customHeight="1" x14ac:dyDescent="0.3">
      <c r="A94" s="645"/>
      <c r="B94" s="663"/>
      <c r="C94" s="663"/>
      <c r="D94" s="654"/>
      <c r="E94" s="179" t="s">
        <v>660</v>
      </c>
      <c r="F94" s="186">
        <v>0.9</v>
      </c>
      <c r="G94" s="186">
        <v>0.9</v>
      </c>
      <c r="H94" s="186">
        <v>0.9</v>
      </c>
      <c r="I94" s="186">
        <v>0.9</v>
      </c>
      <c r="J94" s="186">
        <v>0.9</v>
      </c>
      <c r="K94" s="186">
        <v>0.9</v>
      </c>
      <c r="L94" s="186">
        <v>0.9</v>
      </c>
      <c r="M94" s="186">
        <v>0.9</v>
      </c>
      <c r="N94" s="186">
        <v>0.9</v>
      </c>
      <c r="O94" s="186">
        <v>0.9</v>
      </c>
      <c r="P94" s="186">
        <v>0.9</v>
      </c>
      <c r="Q94" s="186">
        <v>0.9</v>
      </c>
      <c r="R94" s="186">
        <v>0.9</v>
      </c>
      <c r="S94" s="186">
        <v>0.9</v>
      </c>
      <c r="T94" s="186">
        <v>0.9</v>
      </c>
      <c r="U94" s="186">
        <v>0.9</v>
      </c>
      <c r="V94" s="186">
        <v>0.9</v>
      </c>
      <c r="W94" s="186">
        <v>0.9</v>
      </c>
      <c r="X94" s="186">
        <v>0.9</v>
      </c>
      <c r="Y94" s="186">
        <v>0.9</v>
      </c>
      <c r="Z94" s="186">
        <v>0.9</v>
      </c>
      <c r="AA94" s="186">
        <v>0.9</v>
      </c>
      <c r="AB94" s="186">
        <v>0.9</v>
      </c>
      <c r="AC94" s="187">
        <v>0.9</v>
      </c>
      <c r="AD94" s="41"/>
      <c r="AE94" s="41"/>
      <c r="AF94" s="41"/>
      <c r="AG94" s="41"/>
      <c r="AH94" s="41"/>
      <c r="AI94" s="41"/>
      <c r="AJ94" s="41"/>
    </row>
    <row r="95" spans="1:36" customFormat="1" ht="26.4" customHeight="1" thickBot="1" x14ac:dyDescent="0.35">
      <c r="A95" s="646"/>
      <c r="B95" s="664"/>
      <c r="C95" s="664"/>
      <c r="D95" s="655"/>
      <c r="E95" s="180" t="s">
        <v>661</v>
      </c>
      <c r="F95" s="188">
        <v>0.9</v>
      </c>
      <c r="G95" s="188">
        <v>0.9</v>
      </c>
      <c r="H95" s="188">
        <v>0.9</v>
      </c>
      <c r="I95" s="188">
        <v>0.9</v>
      </c>
      <c r="J95" s="188">
        <v>0.9</v>
      </c>
      <c r="K95" s="188">
        <v>0.9</v>
      </c>
      <c r="L95" s="188">
        <v>0.9</v>
      </c>
      <c r="M95" s="188">
        <v>0.9</v>
      </c>
      <c r="N95" s="188">
        <v>0.9</v>
      </c>
      <c r="O95" s="188">
        <v>0.9</v>
      </c>
      <c r="P95" s="188">
        <v>0.9</v>
      </c>
      <c r="Q95" s="188">
        <v>0.9</v>
      </c>
      <c r="R95" s="188">
        <v>0.9</v>
      </c>
      <c r="S95" s="188">
        <v>0.9</v>
      </c>
      <c r="T95" s="188">
        <v>0.9</v>
      </c>
      <c r="U95" s="188">
        <v>0.9</v>
      </c>
      <c r="V95" s="188">
        <v>0.9</v>
      </c>
      <c r="W95" s="188">
        <v>0.9</v>
      </c>
      <c r="X95" s="188">
        <v>0.9</v>
      </c>
      <c r="Y95" s="188">
        <v>0.9</v>
      </c>
      <c r="Z95" s="188">
        <v>0.9</v>
      </c>
      <c r="AA95" s="188">
        <v>0.9</v>
      </c>
      <c r="AB95" s="188">
        <v>0.9</v>
      </c>
      <c r="AC95" s="189">
        <v>0.9</v>
      </c>
      <c r="AD95" s="41"/>
      <c r="AE95" s="41"/>
      <c r="AF95" s="41"/>
      <c r="AG95" s="41"/>
      <c r="AH95" s="41"/>
      <c r="AI95" s="41"/>
      <c r="AJ95" s="41"/>
    </row>
    <row r="96" spans="1:36" customFormat="1" ht="26.4" customHeight="1" x14ac:dyDescent="0.3">
      <c r="A96" s="684" t="s">
        <v>674</v>
      </c>
      <c r="B96" s="662" t="s">
        <v>134</v>
      </c>
      <c r="C96" s="662" t="s">
        <v>664</v>
      </c>
      <c r="D96" s="685" t="s">
        <v>658</v>
      </c>
      <c r="E96" s="178" t="s">
        <v>659</v>
      </c>
      <c r="F96" s="174">
        <v>0.05</v>
      </c>
      <c r="G96" s="174">
        <v>0.05</v>
      </c>
      <c r="H96" s="174">
        <v>0.05</v>
      </c>
      <c r="I96" s="174">
        <v>0.05</v>
      </c>
      <c r="J96" s="174">
        <v>0.05</v>
      </c>
      <c r="K96" s="174">
        <v>0.05</v>
      </c>
      <c r="L96" s="174">
        <v>0.05</v>
      </c>
      <c r="M96" s="174">
        <v>0.1</v>
      </c>
      <c r="N96" s="174">
        <v>0.34</v>
      </c>
      <c r="O96" s="174">
        <v>0.6</v>
      </c>
      <c r="P96" s="174">
        <v>0.63</v>
      </c>
      <c r="Q96" s="174">
        <v>0.72</v>
      </c>
      <c r="R96" s="174">
        <v>0.79</v>
      </c>
      <c r="S96" s="174">
        <v>0.83</v>
      </c>
      <c r="T96" s="174">
        <v>0.61</v>
      </c>
      <c r="U96" s="174">
        <v>0.65</v>
      </c>
      <c r="V96" s="174">
        <v>0.1</v>
      </c>
      <c r="W96" s="174">
        <v>0.1</v>
      </c>
      <c r="X96" s="174">
        <v>0.19</v>
      </c>
      <c r="Y96" s="174">
        <v>0.25</v>
      </c>
      <c r="Z96" s="174">
        <v>0.22</v>
      </c>
      <c r="AA96" s="174">
        <v>0.22</v>
      </c>
      <c r="AB96" s="174">
        <v>0.12</v>
      </c>
      <c r="AC96" s="175">
        <v>0.09</v>
      </c>
      <c r="AD96" s="41"/>
      <c r="AE96" s="41"/>
      <c r="AF96" s="41"/>
      <c r="AG96" s="41"/>
      <c r="AH96" s="41"/>
      <c r="AI96" s="41"/>
      <c r="AJ96" s="41"/>
    </row>
    <row r="97" spans="1:36" customFormat="1" ht="26.4" customHeight="1" x14ac:dyDescent="0.3">
      <c r="A97" s="645"/>
      <c r="B97" s="663"/>
      <c r="C97" s="663"/>
      <c r="D97" s="654"/>
      <c r="E97" s="179" t="s">
        <v>660</v>
      </c>
      <c r="F97" s="186">
        <v>0.03</v>
      </c>
      <c r="G97" s="186">
        <v>0.03</v>
      </c>
      <c r="H97" s="186">
        <v>0.03</v>
      </c>
      <c r="I97" s="186">
        <v>0.03</v>
      </c>
      <c r="J97" s="186">
        <v>0.03</v>
      </c>
      <c r="K97" s="186">
        <v>0.03</v>
      </c>
      <c r="L97" s="186">
        <v>0.03</v>
      </c>
      <c r="M97" s="186">
        <v>0.03</v>
      </c>
      <c r="N97" s="186">
        <v>0.03</v>
      </c>
      <c r="O97" s="186">
        <v>0.05</v>
      </c>
      <c r="P97" s="186">
        <v>0.05</v>
      </c>
      <c r="Q97" s="186">
        <v>0.05</v>
      </c>
      <c r="R97" s="186">
        <v>0.05</v>
      </c>
      <c r="S97" s="186">
        <v>0.03</v>
      </c>
      <c r="T97" s="186">
        <v>0.03</v>
      </c>
      <c r="U97" s="186">
        <v>0.03</v>
      </c>
      <c r="V97" s="186">
        <v>0.03</v>
      </c>
      <c r="W97" s="186">
        <v>0.03</v>
      </c>
      <c r="X97" s="186">
        <v>0.03</v>
      </c>
      <c r="Y97" s="186">
        <v>0.03</v>
      </c>
      <c r="Z97" s="186">
        <v>0.03</v>
      </c>
      <c r="AA97" s="186">
        <v>0.03</v>
      </c>
      <c r="AB97" s="186">
        <v>0.03</v>
      </c>
      <c r="AC97" s="187">
        <v>0.03</v>
      </c>
      <c r="AD97" s="39"/>
      <c r="AE97" s="39"/>
      <c r="AF97" s="41"/>
      <c r="AG97" s="41"/>
      <c r="AH97" s="41"/>
      <c r="AI97" s="41"/>
      <c r="AJ97" s="41"/>
    </row>
    <row r="98" spans="1:36" customFormat="1" ht="26.4" customHeight="1" thickBot="1" x14ac:dyDescent="0.35">
      <c r="A98" s="646"/>
      <c r="B98" s="664"/>
      <c r="C98" s="664"/>
      <c r="D98" s="655"/>
      <c r="E98" s="180" t="s">
        <v>661</v>
      </c>
      <c r="F98" s="188">
        <v>0.03</v>
      </c>
      <c r="G98" s="188">
        <v>0.03</v>
      </c>
      <c r="H98" s="188">
        <v>0.03</v>
      </c>
      <c r="I98" s="188">
        <v>0.03</v>
      </c>
      <c r="J98" s="188">
        <v>0.03</v>
      </c>
      <c r="K98" s="188">
        <v>0.03</v>
      </c>
      <c r="L98" s="188">
        <v>0.03</v>
      </c>
      <c r="M98" s="188">
        <v>0.03</v>
      </c>
      <c r="N98" s="188">
        <v>0.05</v>
      </c>
      <c r="O98" s="188">
        <v>0.05</v>
      </c>
      <c r="P98" s="188">
        <v>0.05</v>
      </c>
      <c r="Q98" s="188">
        <v>0.05</v>
      </c>
      <c r="R98" s="188">
        <v>0.05</v>
      </c>
      <c r="S98" s="188">
        <v>0.05</v>
      </c>
      <c r="T98" s="188">
        <v>0.03</v>
      </c>
      <c r="U98" s="188">
        <v>0.03</v>
      </c>
      <c r="V98" s="188">
        <v>0.03</v>
      </c>
      <c r="W98" s="188">
        <v>0.03</v>
      </c>
      <c r="X98" s="188">
        <v>0.03</v>
      </c>
      <c r="Y98" s="188">
        <v>0.03</v>
      </c>
      <c r="Z98" s="188">
        <v>0.03</v>
      </c>
      <c r="AA98" s="188">
        <v>0.03</v>
      </c>
      <c r="AB98" s="188">
        <v>0.03</v>
      </c>
      <c r="AC98" s="189">
        <v>0.03</v>
      </c>
      <c r="AD98" s="39"/>
      <c r="AE98" s="39"/>
      <c r="AF98" s="41"/>
      <c r="AG98" s="41"/>
      <c r="AH98" s="41"/>
      <c r="AI98" s="41"/>
      <c r="AJ98" s="41"/>
    </row>
    <row r="99" spans="1:36" ht="25.2" customHeight="1" thickBot="1" x14ac:dyDescent="0.35">
      <c r="A99" s="695" t="s">
        <v>26</v>
      </c>
      <c r="B99" s="695"/>
      <c r="C99" s="695" t="s">
        <v>26</v>
      </c>
      <c r="D99" s="695"/>
      <c r="E99" s="695"/>
      <c r="F99" s="695"/>
      <c r="G99" s="695"/>
      <c r="H99" s="695"/>
      <c r="I99" s="695"/>
      <c r="J99" s="695"/>
      <c r="K99" s="695"/>
      <c r="L99" s="695"/>
      <c r="M99" s="695"/>
      <c r="N99" s="695"/>
      <c r="O99" s="695"/>
      <c r="P99" s="695"/>
      <c r="Q99" s="695"/>
      <c r="R99" s="695"/>
      <c r="S99" s="695"/>
      <c r="T99" s="695"/>
      <c r="U99" s="695"/>
      <c r="V99" s="695"/>
      <c r="W99" s="695"/>
      <c r="X99" s="695"/>
      <c r="Y99" s="695"/>
      <c r="Z99" s="695"/>
      <c r="AA99" s="695"/>
      <c r="AB99" s="695"/>
      <c r="AC99" s="696"/>
      <c r="AD99" s="319" t="s">
        <v>646</v>
      </c>
    </row>
    <row r="100" spans="1:36" ht="25.2" customHeight="1" x14ac:dyDescent="0.3">
      <c r="A100" s="711"/>
      <c r="B100" s="714" t="s">
        <v>118</v>
      </c>
      <c r="C100" s="716" t="s">
        <v>548</v>
      </c>
      <c r="D100" s="718" t="s">
        <v>675</v>
      </c>
      <c r="E100" s="167" t="s">
        <v>659</v>
      </c>
      <c r="F100" s="168">
        <v>0</v>
      </c>
      <c r="G100" s="168">
        <v>0</v>
      </c>
      <c r="H100" s="168">
        <v>0</v>
      </c>
      <c r="I100" s="168">
        <v>0</v>
      </c>
      <c r="J100" s="168">
        <v>0</v>
      </c>
      <c r="K100" s="168">
        <v>1</v>
      </c>
      <c r="L100" s="168">
        <v>1</v>
      </c>
      <c r="M100" s="168">
        <v>1</v>
      </c>
      <c r="N100" s="168">
        <v>1</v>
      </c>
      <c r="O100" s="168">
        <v>1</v>
      </c>
      <c r="P100" s="168">
        <v>1</v>
      </c>
      <c r="Q100" s="168">
        <v>1</v>
      </c>
      <c r="R100" s="168">
        <v>1</v>
      </c>
      <c r="S100" s="168">
        <v>1</v>
      </c>
      <c r="T100" s="168">
        <v>1</v>
      </c>
      <c r="U100" s="168">
        <v>1</v>
      </c>
      <c r="V100" s="168">
        <v>1</v>
      </c>
      <c r="W100" s="168">
        <v>1</v>
      </c>
      <c r="X100" s="168">
        <v>1</v>
      </c>
      <c r="Y100" s="168">
        <v>1</v>
      </c>
      <c r="Z100" s="168">
        <v>1</v>
      </c>
      <c r="AA100" s="168">
        <v>1</v>
      </c>
      <c r="AB100" s="168">
        <v>1</v>
      </c>
      <c r="AC100" s="169">
        <v>1</v>
      </c>
      <c r="AD100" s="42">
        <f>SUM(F100:AC100)*261+ SUM(F101:AC101)*52+ SUM(F102:AC102)*52</f>
        <v>4959</v>
      </c>
    </row>
    <row r="101" spans="1:36" ht="33.75" customHeight="1" x14ac:dyDescent="0.3">
      <c r="A101" s="712"/>
      <c r="B101" s="691"/>
      <c r="C101" s="679"/>
      <c r="D101" s="682"/>
      <c r="E101" s="158" t="s">
        <v>660</v>
      </c>
      <c r="F101" s="166">
        <v>0</v>
      </c>
      <c r="G101" s="166">
        <v>0</v>
      </c>
      <c r="H101" s="166">
        <v>0</v>
      </c>
      <c r="I101" s="166">
        <v>0</v>
      </c>
      <c r="J101" s="166">
        <v>0</v>
      </c>
      <c r="K101" s="166">
        <v>0</v>
      </c>
      <c r="L101" s="166">
        <v>0</v>
      </c>
      <c r="M101" s="166">
        <v>0</v>
      </c>
      <c r="N101" s="166">
        <v>0</v>
      </c>
      <c r="O101" s="166">
        <v>0</v>
      </c>
      <c r="P101" s="166">
        <v>0</v>
      </c>
      <c r="Q101" s="166">
        <v>0</v>
      </c>
      <c r="R101" s="166">
        <v>0</v>
      </c>
      <c r="S101" s="166">
        <v>0</v>
      </c>
      <c r="T101" s="166">
        <v>0</v>
      </c>
      <c r="U101" s="166">
        <v>0</v>
      </c>
      <c r="V101" s="166">
        <v>0</v>
      </c>
      <c r="W101" s="166">
        <v>0</v>
      </c>
      <c r="X101" s="166">
        <v>0</v>
      </c>
      <c r="Y101" s="166">
        <v>0</v>
      </c>
      <c r="Z101" s="166">
        <v>0</v>
      </c>
      <c r="AA101" s="166">
        <v>0</v>
      </c>
      <c r="AB101" s="166">
        <v>0</v>
      </c>
      <c r="AC101" s="170">
        <v>0</v>
      </c>
    </row>
    <row r="102" spans="1:36" ht="32.25" customHeight="1" thickBot="1" x14ac:dyDescent="0.35">
      <c r="A102" s="713"/>
      <c r="B102" s="715"/>
      <c r="C102" s="717"/>
      <c r="D102" s="719"/>
      <c r="E102" s="171" t="s">
        <v>661</v>
      </c>
      <c r="F102" s="172">
        <v>0</v>
      </c>
      <c r="G102" s="172">
        <v>0</v>
      </c>
      <c r="H102" s="172">
        <v>0</v>
      </c>
      <c r="I102" s="172">
        <v>0</v>
      </c>
      <c r="J102" s="172">
        <v>0</v>
      </c>
      <c r="K102" s="172">
        <v>0</v>
      </c>
      <c r="L102" s="172">
        <v>0</v>
      </c>
      <c r="M102" s="172">
        <v>0</v>
      </c>
      <c r="N102" s="172">
        <v>0</v>
      </c>
      <c r="O102" s="172">
        <v>0</v>
      </c>
      <c r="P102" s="172">
        <v>0</v>
      </c>
      <c r="Q102" s="172">
        <v>0</v>
      </c>
      <c r="R102" s="172">
        <v>0</v>
      </c>
      <c r="S102" s="172">
        <v>0</v>
      </c>
      <c r="T102" s="172">
        <v>0</v>
      </c>
      <c r="U102" s="172">
        <v>0</v>
      </c>
      <c r="V102" s="172">
        <v>0</v>
      </c>
      <c r="W102" s="172">
        <v>0</v>
      </c>
      <c r="X102" s="172">
        <v>0</v>
      </c>
      <c r="Y102" s="172">
        <v>0</v>
      </c>
      <c r="Z102" s="172">
        <v>0</v>
      </c>
      <c r="AA102" s="172">
        <v>0</v>
      </c>
      <c r="AB102" s="172">
        <v>0</v>
      </c>
      <c r="AC102" s="173">
        <v>0</v>
      </c>
    </row>
    <row r="103" spans="1:36" ht="25.2" customHeight="1" x14ac:dyDescent="0.3">
      <c r="A103" s="711"/>
      <c r="B103" s="714" t="s">
        <v>118</v>
      </c>
      <c r="C103" s="716" t="s">
        <v>676</v>
      </c>
      <c r="D103" s="718"/>
      <c r="E103" s="167" t="s">
        <v>659</v>
      </c>
      <c r="F103" s="181">
        <v>1</v>
      </c>
      <c r="G103" s="181">
        <v>1</v>
      </c>
      <c r="H103" s="181">
        <v>1</v>
      </c>
      <c r="I103" s="181">
        <v>1</v>
      </c>
      <c r="J103" s="181">
        <v>1</v>
      </c>
      <c r="K103" s="181">
        <v>1</v>
      </c>
      <c r="L103" s="181">
        <v>1</v>
      </c>
      <c r="M103" s="181">
        <v>1</v>
      </c>
      <c r="N103" s="181">
        <v>1</v>
      </c>
      <c r="O103" s="181">
        <v>1</v>
      </c>
      <c r="P103" s="181">
        <v>1</v>
      </c>
      <c r="Q103" s="181">
        <v>1</v>
      </c>
      <c r="R103" s="181">
        <v>1</v>
      </c>
      <c r="S103" s="181">
        <v>1</v>
      </c>
      <c r="T103" s="181">
        <v>1</v>
      </c>
      <c r="U103" s="181">
        <v>1</v>
      </c>
      <c r="V103" s="181">
        <v>1</v>
      </c>
      <c r="W103" s="181">
        <v>1</v>
      </c>
      <c r="X103" s="181">
        <v>1</v>
      </c>
      <c r="Y103" s="181">
        <v>1</v>
      </c>
      <c r="Z103" s="181">
        <v>1</v>
      </c>
      <c r="AA103" s="181">
        <v>1</v>
      </c>
      <c r="AB103" s="181">
        <v>1</v>
      </c>
      <c r="AC103" s="182">
        <v>1</v>
      </c>
    </row>
    <row r="104" spans="1:36" ht="25.2" customHeight="1" x14ac:dyDescent="0.3">
      <c r="A104" s="712"/>
      <c r="B104" s="691"/>
      <c r="C104" s="679"/>
      <c r="D104" s="682"/>
      <c r="E104" s="158" t="s">
        <v>660</v>
      </c>
      <c r="F104" s="157">
        <v>1</v>
      </c>
      <c r="G104" s="157">
        <v>1</v>
      </c>
      <c r="H104" s="157">
        <v>1</v>
      </c>
      <c r="I104" s="157">
        <v>1</v>
      </c>
      <c r="J104" s="157">
        <v>1</v>
      </c>
      <c r="K104" s="157">
        <v>1</v>
      </c>
      <c r="L104" s="157">
        <v>1</v>
      </c>
      <c r="M104" s="157">
        <v>1</v>
      </c>
      <c r="N104" s="157">
        <v>1</v>
      </c>
      <c r="O104" s="157">
        <v>1</v>
      </c>
      <c r="P104" s="157">
        <v>1</v>
      </c>
      <c r="Q104" s="157">
        <v>1</v>
      </c>
      <c r="R104" s="157">
        <v>1</v>
      </c>
      <c r="S104" s="157">
        <v>1</v>
      </c>
      <c r="T104" s="157">
        <v>1</v>
      </c>
      <c r="U104" s="157">
        <v>1</v>
      </c>
      <c r="V104" s="157">
        <v>1</v>
      </c>
      <c r="W104" s="157">
        <v>1</v>
      </c>
      <c r="X104" s="157">
        <v>1</v>
      </c>
      <c r="Y104" s="157">
        <v>1</v>
      </c>
      <c r="Z104" s="157">
        <v>1</v>
      </c>
      <c r="AA104" s="157">
        <v>1</v>
      </c>
      <c r="AB104" s="157">
        <v>1</v>
      </c>
      <c r="AC104" s="183">
        <v>1</v>
      </c>
    </row>
    <row r="105" spans="1:36" ht="25.2" customHeight="1" thickBot="1" x14ac:dyDescent="0.35">
      <c r="A105" s="713"/>
      <c r="B105" s="715"/>
      <c r="C105" s="717"/>
      <c r="D105" s="719"/>
      <c r="E105" s="171" t="s">
        <v>661</v>
      </c>
      <c r="F105" s="184">
        <v>1</v>
      </c>
      <c r="G105" s="184">
        <v>1</v>
      </c>
      <c r="H105" s="184">
        <v>1</v>
      </c>
      <c r="I105" s="184">
        <v>1</v>
      </c>
      <c r="J105" s="184">
        <v>1</v>
      </c>
      <c r="K105" s="184">
        <v>1</v>
      </c>
      <c r="L105" s="184">
        <v>1</v>
      </c>
      <c r="M105" s="184">
        <v>1</v>
      </c>
      <c r="N105" s="184">
        <v>1</v>
      </c>
      <c r="O105" s="184">
        <v>1</v>
      </c>
      <c r="P105" s="184">
        <v>1</v>
      </c>
      <c r="Q105" s="184">
        <v>1</v>
      </c>
      <c r="R105" s="184">
        <v>1</v>
      </c>
      <c r="S105" s="184">
        <v>1</v>
      </c>
      <c r="T105" s="184">
        <v>1</v>
      </c>
      <c r="U105" s="184">
        <v>1</v>
      </c>
      <c r="V105" s="184">
        <v>1</v>
      </c>
      <c r="W105" s="184">
        <v>1</v>
      </c>
      <c r="X105" s="184">
        <v>1</v>
      </c>
      <c r="Y105" s="184">
        <v>1</v>
      </c>
      <c r="Z105" s="184">
        <v>1</v>
      </c>
      <c r="AA105" s="184">
        <v>1</v>
      </c>
      <c r="AB105" s="184">
        <v>1</v>
      </c>
      <c r="AC105" s="185">
        <v>1</v>
      </c>
    </row>
    <row r="106" spans="1:36" ht="30.75" customHeight="1" x14ac:dyDescent="0.3">
      <c r="A106" s="711"/>
      <c r="B106" s="714" t="s">
        <v>118</v>
      </c>
      <c r="C106" s="716" t="s">
        <v>677</v>
      </c>
      <c r="D106" s="718"/>
      <c r="E106" s="167" t="s">
        <v>659</v>
      </c>
      <c r="F106" s="181">
        <v>0</v>
      </c>
      <c r="G106" s="181">
        <v>0</v>
      </c>
      <c r="H106" s="181">
        <v>0</v>
      </c>
      <c r="I106" s="181">
        <v>0</v>
      </c>
      <c r="J106" s="181">
        <v>0</v>
      </c>
      <c r="K106" s="181">
        <v>1</v>
      </c>
      <c r="L106" s="181">
        <v>1</v>
      </c>
      <c r="M106" s="181">
        <v>1</v>
      </c>
      <c r="N106" s="181">
        <v>1</v>
      </c>
      <c r="O106" s="181">
        <v>1</v>
      </c>
      <c r="P106" s="181">
        <v>1</v>
      </c>
      <c r="Q106" s="181">
        <v>1</v>
      </c>
      <c r="R106" s="181">
        <v>1</v>
      </c>
      <c r="S106" s="181">
        <v>1</v>
      </c>
      <c r="T106" s="181">
        <v>1</v>
      </c>
      <c r="U106" s="181">
        <v>1</v>
      </c>
      <c r="V106" s="181">
        <v>1</v>
      </c>
      <c r="W106" s="181">
        <v>1</v>
      </c>
      <c r="X106" s="181">
        <v>1</v>
      </c>
      <c r="Y106" s="181">
        <v>1</v>
      </c>
      <c r="Z106" s="181">
        <v>1</v>
      </c>
      <c r="AA106" s="181">
        <v>1</v>
      </c>
      <c r="AB106" s="181">
        <v>0</v>
      </c>
      <c r="AC106" s="182">
        <v>0</v>
      </c>
    </row>
    <row r="107" spans="1:36" ht="30.75" customHeight="1" x14ac:dyDescent="0.3">
      <c r="A107" s="712"/>
      <c r="B107" s="691"/>
      <c r="C107" s="679"/>
      <c r="D107" s="682"/>
      <c r="E107" s="158" t="s">
        <v>660</v>
      </c>
      <c r="F107" s="157">
        <v>0</v>
      </c>
      <c r="G107" s="157">
        <v>0</v>
      </c>
      <c r="H107" s="157">
        <v>0</v>
      </c>
      <c r="I107" s="157">
        <v>0</v>
      </c>
      <c r="J107" s="157">
        <v>0</v>
      </c>
      <c r="K107" s="157">
        <v>1</v>
      </c>
      <c r="L107" s="157">
        <v>1</v>
      </c>
      <c r="M107" s="157">
        <v>1</v>
      </c>
      <c r="N107" s="157">
        <v>1</v>
      </c>
      <c r="O107" s="157">
        <v>1</v>
      </c>
      <c r="P107" s="157">
        <v>1</v>
      </c>
      <c r="Q107" s="157">
        <v>1</v>
      </c>
      <c r="R107" s="157">
        <v>1</v>
      </c>
      <c r="S107" s="157">
        <v>1</v>
      </c>
      <c r="T107" s="157">
        <v>1</v>
      </c>
      <c r="U107" s="157">
        <v>1</v>
      </c>
      <c r="V107" s="157">
        <v>1</v>
      </c>
      <c r="W107" s="157">
        <v>1</v>
      </c>
      <c r="X107" s="157">
        <v>1</v>
      </c>
      <c r="Y107" s="157">
        <v>1</v>
      </c>
      <c r="Z107" s="157">
        <v>1</v>
      </c>
      <c r="AA107" s="157">
        <v>1</v>
      </c>
      <c r="AB107" s="157">
        <v>1</v>
      </c>
      <c r="AC107" s="183">
        <v>1</v>
      </c>
    </row>
    <row r="108" spans="1:36" ht="37.5" customHeight="1" thickBot="1" x14ac:dyDescent="0.35">
      <c r="A108" s="713"/>
      <c r="B108" s="715"/>
      <c r="C108" s="717"/>
      <c r="D108" s="719"/>
      <c r="E108" s="171" t="s">
        <v>661</v>
      </c>
      <c r="F108" s="184">
        <v>0</v>
      </c>
      <c r="G108" s="184">
        <v>0</v>
      </c>
      <c r="H108" s="184">
        <v>0</v>
      </c>
      <c r="I108" s="184">
        <v>0</v>
      </c>
      <c r="J108" s="184">
        <v>0</v>
      </c>
      <c r="K108" s="184">
        <v>1</v>
      </c>
      <c r="L108" s="184">
        <v>1</v>
      </c>
      <c r="M108" s="184">
        <v>1</v>
      </c>
      <c r="N108" s="184">
        <v>1</v>
      </c>
      <c r="O108" s="184">
        <v>1</v>
      </c>
      <c r="P108" s="184">
        <v>1</v>
      </c>
      <c r="Q108" s="184">
        <v>1</v>
      </c>
      <c r="R108" s="184">
        <v>1</v>
      </c>
      <c r="S108" s="184">
        <v>1</v>
      </c>
      <c r="T108" s="184">
        <v>1</v>
      </c>
      <c r="U108" s="184">
        <v>1</v>
      </c>
      <c r="V108" s="184">
        <v>1</v>
      </c>
      <c r="W108" s="184">
        <v>1</v>
      </c>
      <c r="X108" s="184">
        <v>1</v>
      </c>
      <c r="Y108" s="184">
        <v>1</v>
      </c>
      <c r="Z108" s="184">
        <v>1</v>
      </c>
      <c r="AA108" s="184">
        <v>1</v>
      </c>
      <c r="AB108" s="184">
        <v>1</v>
      </c>
      <c r="AC108" s="185">
        <v>1</v>
      </c>
    </row>
    <row r="109" spans="1:36" ht="36" customHeight="1" x14ac:dyDescent="0.3">
      <c r="A109" s="672" t="s">
        <v>678</v>
      </c>
      <c r="B109" s="675" t="s">
        <v>118</v>
      </c>
      <c r="C109" s="729" t="s">
        <v>679</v>
      </c>
      <c r="D109" s="681" t="s">
        <v>680</v>
      </c>
      <c r="E109" s="159" t="s">
        <v>659</v>
      </c>
      <c r="F109" s="165">
        <v>102.6</v>
      </c>
      <c r="G109" s="165">
        <v>102.6</v>
      </c>
      <c r="H109" s="165">
        <v>102.6</v>
      </c>
      <c r="I109" s="165">
        <v>102.6</v>
      </c>
      <c r="J109" s="165">
        <v>102.6</v>
      </c>
      <c r="K109" s="165">
        <v>102.6</v>
      </c>
      <c r="L109" s="165">
        <v>102.6</v>
      </c>
      <c r="M109" s="165">
        <v>102.6</v>
      </c>
      <c r="N109" s="165">
        <v>102.6</v>
      </c>
      <c r="O109" s="165">
        <v>102.6</v>
      </c>
      <c r="P109" s="165">
        <v>102.6</v>
      </c>
      <c r="Q109" s="165">
        <v>102.6</v>
      </c>
      <c r="R109" s="165">
        <v>102.6</v>
      </c>
      <c r="S109" s="165">
        <v>102.6</v>
      </c>
      <c r="T109" s="165">
        <v>102.6</v>
      </c>
      <c r="U109" s="165">
        <v>102.6</v>
      </c>
      <c r="V109" s="165">
        <v>102.6</v>
      </c>
      <c r="W109" s="165">
        <v>102.6</v>
      </c>
      <c r="X109" s="165">
        <v>102.6</v>
      </c>
      <c r="Y109" s="165">
        <v>102.6</v>
      </c>
      <c r="Z109" s="165">
        <v>102.6</v>
      </c>
      <c r="AA109" s="165">
        <v>102.6</v>
      </c>
      <c r="AB109" s="165">
        <v>102.6</v>
      </c>
      <c r="AC109" s="164">
        <v>102.6</v>
      </c>
    </row>
    <row r="110" spans="1:36" ht="36" customHeight="1" x14ac:dyDescent="0.3">
      <c r="A110" s="673"/>
      <c r="B110" s="676"/>
      <c r="C110" s="679"/>
      <c r="D110" s="682"/>
      <c r="E110" s="158" t="s">
        <v>660</v>
      </c>
      <c r="F110" s="163">
        <v>102.6</v>
      </c>
      <c r="G110" s="163">
        <v>102.6</v>
      </c>
      <c r="H110" s="163">
        <v>102.6</v>
      </c>
      <c r="I110" s="163">
        <v>102.6</v>
      </c>
      <c r="J110" s="163">
        <v>102.6</v>
      </c>
      <c r="K110" s="163">
        <v>102.6</v>
      </c>
      <c r="L110" s="163">
        <v>102.6</v>
      </c>
      <c r="M110" s="163">
        <v>102.6</v>
      </c>
      <c r="N110" s="163">
        <v>102.6</v>
      </c>
      <c r="O110" s="163">
        <v>102.6</v>
      </c>
      <c r="P110" s="163">
        <v>102.6</v>
      </c>
      <c r="Q110" s="163">
        <v>102.6</v>
      </c>
      <c r="R110" s="163">
        <v>102.6</v>
      </c>
      <c r="S110" s="163">
        <v>102.6</v>
      </c>
      <c r="T110" s="163">
        <v>102.6</v>
      </c>
      <c r="U110" s="163">
        <v>102.6</v>
      </c>
      <c r="V110" s="163">
        <v>102.6</v>
      </c>
      <c r="W110" s="163">
        <v>102.6</v>
      </c>
      <c r="X110" s="163">
        <v>102.6</v>
      </c>
      <c r="Y110" s="163">
        <v>102.6</v>
      </c>
      <c r="Z110" s="163">
        <v>102.6</v>
      </c>
      <c r="AA110" s="163">
        <v>102.6</v>
      </c>
      <c r="AB110" s="163">
        <v>102.6</v>
      </c>
      <c r="AC110" s="162">
        <v>102.6</v>
      </c>
    </row>
    <row r="111" spans="1:36" ht="36" customHeight="1" thickBot="1" x14ac:dyDescent="0.35">
      <c r="A111" s="674"/>
      <c r="B111" s="677"/>
      <c r="C111" s="680"/>
      <c r="D111" s="683"/>
      <c r="E111" s="156" t="s">
        <v>661</v>
      </c>
      <c r="F111" s="161">
        <v>102.6</v>
      </c>
      <c r="G111" s="161">
        <v>102.6</v>
      </c>
      <c r="H111" s="161">
        <v>102.6</v>
      </c>
      <c r="I111" s="161">
        <v>102.6</v>
      </c>
      <c r="J111" s="161">
        <v>102.6</v>
      </c>
      <c r="K111" s="161">
        <v>102.6</v>
      </c>
      <c r="L111" s="161">
        <v>102.6</v>
      </c>
      <c r="M111" s="161">
        <v>102.6</v>
      </c>
      <c r="N111" s="161">
        <v>102.6</v>
      </c>
      <c r="O111" s="161">
        <v>102.6</v>
      </c>
      <c r="P111" s="161">
        <v>102.6</v>
      </c>
      <c r="Q111" s="161">
        <v>102.6</v>
      </c>
      <c r="R111" s="161">
        <v>102.6</v>
      </c>
      <c r="S111" s="161">
        <v>102.6</v>
      </c>
      <c r="T111" s="161">
        <v>102.6</v>
      </c>
      <c r="U111" s="161">
        <v>102.6</v>
      </c>
      <c r="V111" s="161">
        <v>102.6</v>
      </c>
      <c r="W111" s="161">
        <v>102.6</v>
      </c>
      <c r="X111" s="161">
        <v>102.6</v>
      </c>
      <c r="Y111" s="161">
        <v>102.6</v>
      </c>
      <c r="Z111" s="161">
        <v>102.6</v>
      </c>
      <c r="AA111" s="161">
        <v>102.6</v>
      </c>
      <c r="AB111" s="161">
        <v>102.6</v>
      </c>
      <c r="AC111" s="160">
        <v>102.6</v>
      </c>
    </row>
    <row r="112" spans="1:36" ht="36" customHeight="1" x14ac:dyDescent="0.3">
      <c r="A112" s="687" t="s">
        <v>681</v>
      </c>
      <c r="B112" s="690" t="s">
        <v>118</v>
      </c>
      <c r="C112" s="678" t="s">
        <v>682</v>
      </c>
      <c r="D112" s="681" t="s">
        <v>680</v>
      </c>
      <c r="E112" s="159" t="s">
        <v>659</v>
      </c>
      <c r="F112" s="165">
        <v>331.2</v>
      </c>
      <c r="G112" s="165">
        <v>331.2</v>
      </c>
      <c r="H112" s="165">
        <v>331.2</v>
      </c>
      <c r="I112" s="165">
        <v>331.2</v>
      </c>
      <c r="J112" s="165">
        <v>331.2</v>
      </c>
      <c r="K112" s="165">
        <v>331.2</v>
      </c>
      <c r="L112" s="165">
        <v>331.2</v>
      </c>
      <c r="M112" s="165">
        <v>331.2</v>
      </c>
      <c r="N112" s="165">
        <v>331.2</v>
      </c>
      <c r="O112" s="165">
        <v>331.2</v>
      </c>
      <c r="P112" s="165">
        <v>331.2</v>
      </c>
      <c r="Q112" s="165">
        <v>331.2</v>
      </c>
      <c r="R112" s="165">
        <v>331.2</v>
      </c>
      <c r="S112" s="165">
        <v>331.2</v>
      </c>
      <c r="T112" s="165">
        <v>331.2</v>
      </c>
      <c r="U112" s="165">
        <v>331.2</v>
      </c>
      <c r="V112" s="165">
        <v>331.2</v>
      </c>
      <c r="W112" s="165">
        <v>331.2</v>
      </c>
      <c r="X112" s="165">
        <v>331.2</v>
      </c>
      <c r="Y112" s="165">
        <v>331.2</v>
      </c>
      <c r="Z112" s="165">
        <v>331.2</v>
      </c>
      <c r="AA112" s="165">
        <v>331.2</v>
      </c>
      <c r="AB112" s="165">
        <v>331.2</v>
      </c>
      <c r="AC112" s="164">
        <v>331.2</v>
      </c>
    </row>
    <row r="113" spans="1:29" ht="36" customHeight="1" x14ac:dyDescent="0.3">
      <c r="A113" s="688"/>
      <c r="B113" s="691"/>
      <c r="C113" s="679"/>
      <c r="D113" s="682"/>
      <c r="E113" s="158" t="s">
        <v>660</v>
      </c>
      <c r="F113" s="163">
        <v>331.2</v>
      </c>
      <c r="G113" s="163">
        <v>331.2</v>
      </c>
      <c r="H113" s="163">
        <v>331.2</v>
      </c>
      <c r="I113" s="163">
        <v>331.2</v>
      </c>
      <c r="J113" s="163">
        <v>331.2</v>
      </c>
      <c r="K113" s="163">
        <v>331.2</v>
      </c>
      <c r="L113" s="163">
        <v>331.2</v>
      </c>
      <c r="M113" s="163">
        <v>331.2</v>
      </c>
      <c r="N113" s="163">
        <v>331.2</v>
      </c>
      <c r="O113" s="163">
        <v>331.2</v>
      </c>
      <c r="P113" s="163">
        <v>331.2</v>
      </c>
      <c r="Q113" s="163">
        <v>331.2</v>
      </c>
      <c r="R113" s="163">
        <v>331.2</v>
      </c>
      <c r="S113" s="163">
        <v>331.2</v>
      </c>
      <c r="T113" s="163">
        <v>331.2</v>
      </c>
      <c r="U113" s="163">
        <v>331.2</v>
      </c>
      <c r="V113" s="163">
        <v>331.2</v>
      </c>
      <c r="W113" s="163">
        <v>331.2</v>
      </c>
      <c r="X113" s="163">
        <v>331.2</v>
      </c>
      <c r="Y113" s="163">
        <v>331.2</v>
      </c>
      <c r="Z113" s="163">
        <v>331.2</v>
      </c>
      <c r="AA113" s="163">
        <v>331.2</v>
      </c>
      <c r="AB113" s="163">
        <v>331.2</v>
      </c>
      <c r="AC113" s="162">
        <v>331.2</v>
      </c>
    </row>
    <row r="114" spans="1:29" ht="36" customHeight="1" thickBot="1" x14ac:dyDescent="0.35">
      <c r="A114" s="689"/>
      <c r="B114" s="692"/>
      <c r="C114" s="680"/>
      <c r="D114" s="683"/>
      <c r="E114" s="156" t="s">
        <v>661</v>
      </c>
      <c r="F114" s="161">
        <v>331.2</v>
      </c>
      <c r="G114" s="161">
        <v>331.2</v>
      </c>
      <c r="H114" s="161">
        <v>331.2</v>
      </c>
      <c r="I114" s="161">
        <v>331.2</v>
      </c>
      <c r="J114" s="161">
        <v>331.2</v>
      </c>
      <c r="K114" s="161">
        <v>331.2</v>
      </c>
      <c r="L114" s="161">
        <v>331.2</v>
      </c>
      <c r="M114" s="161">
        <v>331.2</v>
      </c>
      <c r="N114" s="161">
        <v>331.2</v>
      </c>
      <c r="O114" s="161">
        <v>331.2</v>
      </c>
      <c r="P114" s="161">
        <v>331.2</v>
      </c>
      <c r="Q114" s="161">
        <v>331.2</v>
      </c>
      <c r="R114" s="161">
        <v>331.2</v>
      </c>
      <c r="S114" s="161">
        <v>331.2</v>
      </c>
      <c r="T114" s="161">
        <v>331.2</v>
      </c>
      <c r="U114" s="161">
        <v>331.2</v>
      </c>
      <c r="V114" s="161">
        <v>331.2</v>
      </c>
      <c r="W114" s="161">
        <v>331.2</v>
      </c>
      <c r="X114" s="161">
        <v>331.2</v>
      </c>
      <c r="Y114" s="161">
        <v>331.2</v>
      </c>
      <c r="Z114" s="161">
        <v>331.2</v>
      </c>
      <c r="AA114" s="161">
        <v>331.2</v>
      </c>
      <c r="AB114" s="161">
        <v>331.2</v>
      </c>
      <c r="AC114" s="160">
        <v>331.2</v>
      </c>
    </row>
    <row r="115" spans="1:29" ht="36" customHeight="1" x14ac:dyDescent="0.3">
      <c r="A115" s="672" t="s">
        <v>683</v>
      </c>
      <c r="B115" s="675" t="s">
        <v>118</v>
      </c>
      <c r="C115" s="729" t="s">
        <v>684</v>
      </c>
      <c r="D115" s="681" t="s">
        <v>680</v>
      </c>
      <c r="E115" s="159" t="s">
        <v>659</v>
      </c>
      <c r="F115" s="165">
        <v>146.5</v>
      </c>
      <c r="G115" s="165">
        <v>146.5</v>
      </c>
      <c r="H115" s="165">
        <v>146.5</v>
      </c>
      <c r="I115" s="165">
        <v>146.5</v>
      </c>
      <c r="J115" s="165">
        <v>146.5</v>
      </c>
      <c r="K115" s="165">
        <v>146.5</v>
      </c>
      <c r="L115" s="165">
        <v>146.5</v>
      </c>
      <c r="M115" s="165">
        <v>146.5</v>
      </c>
      <c r="N115" s="165">
        <v>146.5</v>
      </c>
      <c r="O115" s="165">
        <v>146.5</v>
      </c>
      <c r="P115" s="165">
        <v>146.5</v>
      </c>
      <c r="Q115" s="165">
        <v>146.5</v>
      </c>
      <c r="R115" s="165">
        <v>146.5</v>
      </c>
      <c r="S115" s="165">
        <v>146.5</v>
      </c>
      <c r="T115" s="165">
        <v>146.5</v>
      </c>
      <c r="U115" s="165">
        <v>146.5</v>
      </c>
      <c r="V115" s="165">
        <v>146.5</v>
      </c>
      <c r="W115" s="165">
        <v>146.5</v>
      </c>
      <c r="X115" s="165">
        <v>146.5</v>
      </c>
      <c r="Y115" s="165">
        <v>146.5</v>
      </c>
      <c r="Z115" s="165">
        <v>146.5</v>
      </c>
      <c r="AA115" s="165">
        <v>146.5</v>
      </c>
      <c r="AB115" s="165">
        <v>146.5</v>
      </c>
      <c r="AC115" s="164">
        <v>146.5</v>
      </c>
    </row>
    <row r="116" spans="1:29" ht="36" customHeight="1" x14ac:dyDescent="0.3">
      <c r="A116" s="673"/>
      <c r="B116" s="676"/>
      <c r="C116" s="679"/>
      <c r="D116" s="682"/>
      <c r="E116" s="158" t="s">
        <v>660</v>
      </c>
      <c r="F116" s="163">
        <v>146.5</v>
      </c>
      <c r="G116" s="163">
        <v>146.5</v>
      </c>
      <c r="H116" s="163">
        <v>146.5</v>
      </c>
      <c r="I116" s="163">
        <v>146.5</v>
      </c>
      <c r="J116" s="163">
        <v>146.5</v>
      </c>
      <c r="K116" s="163">
        <v>146.5</v>
      </c>
      <c r="L116" s="163">
        <v>146.5</v>
      </c>
      <c r="M116" s="163">
        <v>146.5</v>
      </c>
      <c r="N116" s="163">
        <v>146.5</v>
      </c>
      <c r="O116" s="163">
        <v>146.5</v>
      </c>
      <c r="P116" s="163">
        <v>146.5</v>
      </c>
      <c r="Q116" s="163">
        <v>146.5</v>
      </c>
      <c r="R116" s="163">
        <v>146.5</v>
      </c>
      <c r="S116" s="163">
        <v>146.5</v>
      </c>
      <c r="T116" s="163">
        <v>146.5</v>
      </c>
      <c r="U116" s="163">
        <v>146.5</v>
      </c>
      <c r="V116" s="163">
        <v>146.5</v>
      </c>
      <c r="W116" s="163">
        <v>146.5</v>
      </c>
      <c r="X116" s="163">
        <v>146.5</v>
      </c>
      <c r="Y116" s="163">
        <v>146.5</v>
      </c>
      <c r="Z116" s="163">
        <v>146.5</v>
      </c>
      <c r="AA116" s="163">
        <v>146.5</v>
      </c>
      <c r="AB116" s="163">
        <v>146.5</v>
      </c>
      <c r="AC116" s="162">
        <v>146.5</v>
      </c>
    </row>
    <row r="117" spans="1:29" ht="36" customHeight="1" thickBot="1" x14ac:dyDescent="0.35">
      <c r="A117" s="674"/>
      <c r="B117" s="677"/>
      <c r="C117" s="680"/>
      <c r="D117" s="683"/>
      <c r="E117" s="156" t="s">
        <v>661</v>
      </c>
      <c r="F117" s="161">
        <v>146.5</v>
      </c>
      <c r="G117" s="161">
        <v>146.5</v>
      </c>
      <c r="H117" s="161">
        <v>146.5</v>
      </c>
      <c r="I117" s="161">
        <v>146.5</v>
      </c>
      <c r="J117" s="161">
        <v>146.5</v>
      </c>
      <c r="K117" s="161">
        <v>146.5</v>
      </c>
      <c r="L117" s="161">
        <v>146.5</v>
      </c>
      <c r="M117" s="161">
        <v>146.5</v>
      </c>
      <c r="N117" s="161">
        <v>146.5</v>
      </c>
      <c r="O117" s="161">
        <v>146.5</v>
      </c>
      <c r="P117" s="161">
        <v>146.5</v>
      </c>
      <c r="Q117" s="161">
        <v>146.5</v>
      </c>
      <c r="R117" s="161">
        <v>146.5</v>
      </c>
      <c r="S117" s="161">
        <v>146.5</v>
      </c>
      <c r="T117" s="161">
        <v>146.5</v>
      </c>
      <c r="U117" s="161">
        <v>146.5</v>
      </c>
      <c r="V117" s="161">
        <v>146.5</v>
      </c>
      <c r="W117" s="161">
        <v>146.5</v>
      </c>
      <c r="X117" s="161">
        <v>146.5</v>
      </c>
      <c r="Y117" s="161">
        <v>146.5</v>
      </c>
      <c r="Z117" s="161">
        <v>146.5</v>
      </c>
      <c r="AA117" s="161">
        <v>146.5</v>
      </c>
      <c r="AB117" s="161">
        <v>146.5</v>
      </c>
      <c r="AC117" s="160">
        <v>146.5</v>
      </c>
    </row>
    <row r="118" spans="1:29" ht="36" customHeight="1" x14ac:dyDescent="0.3">
      <c r="A118" s="672" t="s">
        <v>175</v>
      </c>
      <c r="B118" s="675" t="s">
        <v>118</v>
      </c>
      <c r="C118" s="729" t="s">
        <v>685</v>
      </c>
      <c r="D118" s="681" t="s">
        <v>680</v>
      </c>
      <c r="E118" s="159" t="s">
        <v>659</v>
      </c>
      <c r="F118" s="165">
        <v>117.2</v>
      </c>
      <c r="G118" s="165">
        <v>117.2</v>
      </c>
      <c r="H118" s="165">
        <v>117.2</v>
      </c>
      <c r="I118" s="165">
        <v>117.2</v>
      </c>
      <c r="J118" s="165">
        <v>117.2</v>
      </c>
      <c r="K118" s="165">
        <v>117.2</v>
      </c>
      <c r="L118" s="165">
        <v>117.2</v>
      </c>
      <c r="M118" s="165">
        <v>117.2</v>
      </c>
      <c r="N118" s="165">
        <v>117.2</v>
      </c>
      <c r="O118" s="165">
        <v>117.2</v>
      </c>
      <c r="P118" s="165">
        <v>117.2</v>
      </c>
      <c r="Q118" s="165">
        <v>117.2</v>
      </c>
      <c r="R118" s="165">
        <v>117.2</v>
      </c>
      <c r="S118" s="165">
        <v>117.2</v>
      </c>
      <c r="T118" s="165">
        <v>117.2</v>
      </c>
      <c r="U118" s="165">
        <v>117.2</v>
      </c>
      <c r="V118" s="165">
        <v>117.2</v>
      </c>
      <c r="W118" s="165">
        <v>117.2</v>
      </c>
      <c r="X118" s="165">
        <v>117.2</v>
      </c>
      <c r="Y118" s="165">
        <v>117.2</v>
      </c>
      <c r="Z118" s="165">
        <v>117.2</v>
      </c>
      <c r="AA118" s="165">
        <v>117.2</v>
      </c>
      <c r="AB118" s="165">
        <v>117.2</v>
      </c>
      <c r="AC118" s="164">
        <v>117.2</v>
      </c>
    </row>
    <row r="119" spans="1:29" ht="36" customHeight="1" x14ac:dyDescent="0.3">
      <c r="A119" s="673"/>
      <c r="B119" s="676"/>
      <c r="C119" s="679"/>
      <c r="D119" s="682"/>
      <c r="E119" s="158" t="s">
        <v>660</v>
      </c>
      <c r="F119" s="163">
        <v>117.2</v>
      </c>
      <c r="G119" s="163">
        <v>117.2</v>
      </c>
      <c r="H119" s="163">
        <v>117.2</v>
      </c>
      <c r="I119" s="163">
        <v>117.2</v>
      </c>
      <c r="J119" s="163">
        <v>117.2</v>
      </c>
      <c r="K119" s="163">
        <v>117.2</v>
      </c>
      <c r="L119" s="163">
        <v>117.2</v>
      </c>
      <c r="M119" s="163">
        <v>117.2</v>
      </c>
      <c r="N119" s="163">
        <v>117.2</v>
      </c>
      <c r="O119" s="163">
        <v>117.2</v>
      </c>
      <c r="P119" s="163">
        <v>117.2</v>
      </c>
      <c r="Q119" s="163">
        <v>117.2</v>
      </c>
      <c r="R119" s="163">
        <v>117.2</v>
      </c>
      <c r="S119" s="163">
        <v>117.2</v>
      </c>
      <c r="T119" s="163">
        <v>117.2</v>
      </c>
      <c r="U119" s="163">
        <v>117.2</v>
      </c>
      <c r="V119" s="163">
        <v>117.2</v>
      </c>
      <c r="W119" s="163">
        <v>117.2</v>
      </c>
      <c r="X119" s="163">
        <v>117.2</v>
      </c>
      <c r="Y119" s="163">
        <v>117.2</v>
      </c>
      <c r="Z119" s="163">
        <v>117.2</v>
      </c>
      <c r="AA119" s="163">
        <v>117.2</v>
      </c>
      <c r="AB119" s="163">
        <v>117.2</v>
      </c>
      <c r="AC119" s="162">
        <v>117.2</v>
      </c>
    </row>
    <row r="120" spans="1:29" ht="36" customHeight="1" thickBot="1" x14ac:dyDescent="0.35">
      <c r="A120" s="674"/>
      <c r="B120" s="677"/>
      <c r="C120" s="680"/>
      <c r="D120" s="683"/>
      <c r="E120" s="156" t="s">
        <v>661</v>
      </c>
      <c r="F120" s="161">
        <v>117.2</v>
      </c>
      <c r="G120" s="161">
        <v>117.2</v>
      </c>
      <c r="H120" s="161">
        <v>117.2</v>
      </c>
      <c r="I120" s="161">
        <v>117.2</v>
      </c>
      <c r="J120" s="161">
        <v>117.2</v>
      </c>
      <c r="K120" s="161">
        <v>117.2</v>
      </c>
      <c r="L120" s="161">
        <v>117.2</v>
      </c>
      <c r="M120" s="161">
        <v>117.2</v>
      </c>
      <c r="N120" s="161">
        <v>117.2</v>
      </c>
      <c r="O120" s="161">
        <v>117.2</v>
      </c>
      <c r="P120" s="161">
        <v>117.2</v>
      </c>
      <c r="Q120" s="161">
        <v>117.2</v>
      </c>
      <c r="R120" s="161">
        <v>117.2</v>
      </c>
      <c r="S120" s="161">
        <v>117.2</v>
      </c>
      <c r="T120" s="161">
        <v>117.2</v>
      </c>
      <c r="U120" s="161">
        <v>117.2</v>
      </c>
      <c r="V120" s="161">
        <v>117.2</v>
      </c>
      <c r="W120" s="161">
        <v>117.2</v>
      </c>
      <c r="X120" s="161">
        <v>117.2</v>
      </c>
      <c r="Y120" s="161">
        <v>117.2</v>
      </c>
      <c r="Z120" s="161">
        <v>117.2</v>
      </c>
      <c r="AA120" s="161">
        <v>117.2</v>
      </c>
      <c r="AB120" s="161">
        <v>117.2</v>
      </c>
      <c r="AC120" s="160">
        <v>117.2</v>
      </c>
    </row>
    <row r="121" spans="1:29" ht="36" customHeight="1" x14ac:dyDescent="0.3">
      <c r="A121" s="687" t="s">
        <v>686</v>
      </c>
      <c r="B121" s="690" t="s">
        <v>118</v>
      </c>
      <c r="C121" s="678" t="s">
        <v>687</v>
      </c>
      <c r="D121" s="681" t="s">
        <v>680</v>
      </c>
      <c r="E121" s="159" t="s">
        <v>659</v>
      </c>
      <c r="F121" s="165">
        <v>161.19999999999999</v>
      </c>
      <c r="G121" s="165">
        <v>161.19999999999999</v>
      </c>
      <c r="H121" s="165">
        <v>161.19999999999999</v>
      </c>
      <c r="I121" s="165">
        <v>161.19999999999999</v>
      </c>
      <c r="J121" s="165">
        <v>161.19999999999999</v>
      </c>
      <c r="K121" s="165">
        <v>161.19999999999999</v>
      </c>
      <c r="L121" s="165">
        <v>161.19999999999999</v>
      </c>
      <c r="M121" s="165">
        <v>161.19999999999999</v>
      </c>
      <c r="N121" s="165">
        <v>161.19999999999999</v>
      </c>
      <c r="O121" s="165">
        <v>161.19999999999999</v>
      </c>
      <c r="P121" s="165">
        <v>161.19999999999999</v>
      </c>
      <c r="Q121" s="165">
        <v>161.19999999999999</v>
      </c>
      <c r="R121" s="165">
        <v>161.19999999999999</v>
      </c>
      <c r="S121" s="165">
        <v>161.19999999999999</v>
      </c>
      <c r="T121" s="165">
        <v>161.19999999999999</v>
      </c>
      <c r="U121" s="165">
        <v>161.19999999999999</v>
      </c>
      <c r="V121" s="165">
        <v>161.19999999999999</v>
      </c>
      <c r="W121" s="165">
        <v>161.19999999999999</v>
      </c>
      <c r="X121" s="165">
        <v>161.19999999999999</v>
      </c>
      <c r="Y121" s="165">
        <v>161.19999999999999</v>
      </c>
      <c r="Z121" s="165">
        <v>161.19999999999999</v>
      </c>
      <c r="AA121" s="165">
        <v>161.19999999999999</v>
      </c>
      <c r="AB121" s="165">
        <v>161.19999999999999</v>
      </c>
      <c r="AC121" s="164">
        <v>161.19999999999999</v>
      </c>
    </row>
    <row r="122" spans="1:29" ht="36" customHeight="1" x14ac:dyDescent="0.3">
      <c r="A122" s="688"/>
      <c r="B122" s="691"/>
      <c r="C122" s="679"/>
      <c r="D122" s="682"/>
      <c r="E122" s="158" t="s">
        <v>660</v>
      </c>
      <c r="F122" s="163">
        <v>161.19999999999999</v>
      </c>
      <c r="G122" s="163">
        <v>161.19999999999999</v>
      </c>
      <c r="H122" s="163">
        <v>161.19999999999999</v>
      </c>
      <c r="I122" s="163">
        <v>161.19999999999999</v>
      </c>
      <c r="J122" s="163">
        <v>161.19999999999999</v>
      </c>
      <c r="K122" s="163">
        <v>161.19999999999999</v>
      </c>
      <c r="L122" s="163">
        <v>161.19999999999999</v>
      </c>
      <c r="M122" s="163">
        <v>161.19999999999999</v>
      </c>
      <c r="N122" s="163">
        <v>161.19999999999999</v>
      </c>
      <c r="O122" s="163">
        <v>161.19999999999999</v>
      </c>
      <c r="P122" s="163">
        <v>161.19999999999999</v>
      </c>
      <c r="Q122" s="163">
        <v>161.19999999999999</v>
      </c>
      <c r="R122" s="163">
        <v>161.19999999999999</v>
      </c>
      <c r="S122" s="163">
        <v>161.19999999999999</v>
      </c>
      <c r="T122" s="163">
        <v>161.19999999999999</v>
      </c>
      <c r="U122" s="163">
        <v>161.19999999999999</v>
      </c>
      <c r="V122" s="163">
        <v>161.19999999999999</v>
      </c>
      <c r="W122" s="163">
        <v>161.19999999999999</v>
      </c>
      <c r="X122" s="163">
        <v>161.19999999999999</v>
      </c>
      <c r="Y122" s="163">
        <v>161.19999999999999</v>
      </c>
      <c r="Z122" s="163">
        <v>161.19999999999999</v>
      </c>
      <c r="AA122" s="163">
        <v>161.19999999999999</v>
      </c>
      <c r="AB122" s="163">
        <v>161.19999999999999</v>
      </c>
      <c r="AC122" s="162">
        <v>161.19999999999999</v>
      </c>
    </row>
    <row r="123" spans="1:29" ht="36" customHeight="1" thickBot="1" x14ac:dyDescent="0.35">
      <c r="A123" s="689"/>
      <c r="B123" s="692"/>
      <c r="C123" s="680"/>
      <c r="D123" s="683"/>
      <c r="E123" s="156" t="s">
        <v>661</v>
      </c>
      <c r="F123" s="161">
        <v>161.19999999999999</v>
      </c>
      <c r="G123" s="161">
        <v>161.19999999999999</v>
      </c>
      <c r="H123" s="161">
        <v>161.19999999999999</v>
      </c>
      <c r="I123" s="161">
        <v>161.19999999999999</v>
      </c>
      <c r="J123" s="161">
        <v>161.19999999999999</v>
      </c>
      <c r="K123" s="161">
        <v>161.19999999999999</v>
      </c>
      <c r="L123" s="161">
        <v>161.19999999999999</v>
      </c>
      <c r="M123" s="161">
        <v>161.19999999999999</v>
      </c>
      <c r="N123" s="161">
        <v>161.19999999999999</v>
      </c>
      <c r="O123" s="161">
        <v>161.19999999999999</v>
      </c>
      <c r="P123" s="161">
        <v>161.19999999999999</v>
      </c>
      <c r="Q123" s="161">
        <v>161.19999999999999</v>
      </c>
      <c r="R123" s="161">
        <v>161.19999999999999</v>
      </c>
      <c r="S123" s="161">
        <v>161.19999999999999</v>
      </c>
      <c r="T123" s="161">
        <v>161.19999999999999</v>
      </c>
      <c r="U123" s="161">
        <v>161.19999999999999</v>
      </c>
      <c r="V123" s="161">
        <v>161.19999999999999</v>
      </c>
      <c r="W123" s="161">
        <v>161.19999999999999</v>
      </c>
      <c r="X123" s="161">
        <v>161.19999999999999</v>
      </c>
      <c r="Y123" s="161">
        <v>161.19999999999999</v>
      </c>
      <c r="Z123" s="161">
        <v>161.19999999999999</v>
      </c>
      <c r="AA123" s="161">
        <v>161.19999999999999</v>
      </c>
      <c r="AB123" s="161">
        <v>161.19999999999999</v>
      </c>
      <c r="AC123" s="160">
        <v>161.19999999999999</v>
      </c>
    </row>
    <row r="124" spans="1:29" ht="36" customHeight="1" x14ac:dyDescent="0.3">
      <c r="A124" s="687" t="s">
        <v>688</v>
      </c>
      <c r="B124" s="690" t="s">
        <v>118</v>
      </c>
      <c r="C124" s="678" t="s">
        <v>689</v>
      </c>
      <c r="D124" s="681" t="s">
        <v>690</v>
      </c>
      <c r="E124" s="159" t="s">
        <v>659</v>
      </c>
      <c r="F124" s="165">
        <v>131.9</v>
      </c>
      <c r="G124" s="165">
        <v>131.9</v>
      </c>
      <c r="H124" s="165">
        <v>131.9</v>
      </c>
      <c r="I124" s="165">
        <v>131.9</v>
      </c>
      <c r="J124" s="165">
        <v>131.9</v>
      </c>
      <c r="K124" s="165">
        <v>131.9</v>
      </c>
      <c r="L124" s="165">
        <v>131.9</v>
      </c>
      <c r="M124" s="165">
        <v>131.9</v>
      </c>
      <c r="N124" s="165">
        <v>131.9</v>
      </c>
      <c r="O124" s="165">
        <v>131.9</v>
      </c>
      <c r="P124" s="165">
        <v>131.9</v>
      </c>
      <c r="Q124" s="165">
        <v>131.9</v>
      </c>
      <c r="R124" s="165">
        <v>131.9</v>
      </c>
      <c r="S124" s="165">
        <v>131.9</v>
      </c>
      <c r="T124" s="165">
        <v>131.9</v>
      </c>
      <c r="U124" s="165">
        <v>131.9</v>
      </c>
      <c r="V124" s="165">
        <v>131.9</v>
      </c>
      <c r="W124" s="165">
        <v>131.9</v>
      </c>
      <c r="X124" s="165">
        <v>131.9</v>
      </c>
      <c r="Y124" s="165">
        <v>131.9</v>
      </c>
      <c r="Z124" s="165">
        <v>131.9</v>
      </c>
      <c r="AA124" s="165">
        <v>131.9</v>
      </c>
      <c r="AB124" s="165">
        <v>131.9</v>
      </c>
      <c r="AC124" s="164">
        <v>131.9</v>
      </c>
    </row>
    <row r="125" spans="1:29" ht="36" customHeight="1" x14ac:dyDescent="0.3">
      <c r="A125" s="688"/>
      <c r="B125" s="691"/>
      <c r="C125" s="679"/>
      <c r="D125" s="682"/>
      <c r="E125" s="158" t="s">
        <v>660</v>
      </c>
      <c r="F125" s="163">
        <v>131.9</v>
      </c>
      <c r="G125" s="163">
        <v>131.9</v>
      </c>
      <c r="H125" s="163">
        <v>131.9</v>
      </c>
      <c r="I125" s="163">
        <v>131.9</v>
      </c>
      <c r="J125" s="163">
        <v>131.9</v>
      </c>
      <c r="K125" s="163">
        <v>131.9</v>
      </c>
      <c r="L125" s="163">
        <v>131.9</v>
      </c>
      <c r="M125" s="163">
        <v>131.9</v>
      </c>
      <c r="N125" s="163">
        <v>131.9</v>
      </c>
      <c r="O125" s="163">
        <v>131.9</v>
      </c>
      <c r="P125" s="163">
        <v>131.9</v>
      </c>
      <c r="Q125" s="163">
        <v>131.9</v>
      </c>
      <c r="R125" s="163">
        <v>131.9</v>
      </c>
      <c r="S125" s="163">
        <v>131.9</v>
      </c>
      <c r="T125" s="163">
        <v>131.9</v>
      </c>
      <c r="U125" s="163">
        <v>131.9</v>
      </c>
      <c r="V125" s="163">
        <v>131.9</v>
      </c>
      <c r="W125" s="163">
        <v>131.9</v>
      </c>
      <c r="X125" s="163">
        <v>131.9</v>
      </c>
      <c r="Y125" s="163">
        <v>131.9</v>
      </c>
      <c r="Z125" s="163">
        <v>131.9</v>
      </c>
      <c r="AA125" s="163">
        <v>131.9</v>
      </c>
      <c r="AB125" s="163">
        <v>131.9</v>
      </c>
      <c r="AC125" s="162">
        <v>131.9</v>
      </c>
    </row>
    <row r="126" spans="1:29" ht="36" customHeight="1" thickBot="1" x14ac:dyDescent="0.35">
      <c r="A126" s="689"/>
      <c r="B126" s="692"/>
      <c r="C126" s="680"/>
      <c r="D126" s="683"/>
      <c r="E126" s="156" t="s">
        <v>661</v>
      </c>
      <c r="F126" s="161">
        <v>131.9</v>
      </c>
      <c r="G126" s="161">
        <v>131.9</v>
      </c>
      <c r="H126" s="161">
        <v>131.9</v>
      </c>
      <c r="I126" s="161">
        <v>131.9</v>
      </c>
      <c r="J126" s="161">
        <v>131.9</v>
      </c>
      <c r="K126" s="161">
        <v>131.9</v>
      </c>
      <c r="L126" s="161">
        <v>131.9</v>
      </c>
      <c r="M126" s="161">
        <v>131.9</v>
      </c>
      <c r="N126" s="161">
        <v>131.9</v>
      </c>
      <c r="O126" s="161">
        <v>131.9</v>
      </c>
      <c r="P126" s="161">
        <v>131.9</v>
      </c>
      <c r="Q126" s="161">
        <v>131.9</v>
      </c>
      <c r="R126" s="161">
        <v>131.9</v>
      </c>
      <c r="S126" s="161">
        <v>131.9</v>
      </c>
      <c r="T126" s="161">
        <v>131.9</v>
      </c>
      <c r="U126" s="161">
        <v>131.9</v>
      </c>
      <c r="V126" s="161">
        <v>131.9</v>
      </c>
      <c r="W126" s="161">
        <v>131.9</v>
      </c>
      <c r="X126" s="161">
        <v>131.9</v>
      </c>
      <c r="Y126" s="161">
        <v>131.9</v>
      </c>
      <c r="Z126" s="161">
        <v>131.9</v>
      </c>
      <c r="AA126" s="161">
        <v>131.9</v>
      </c>
      <c r="AB126" s="161">
        <v>131.9</v>
      </c>
      <c r="AC126" s="160">
        <v>131.9</v>
      </c>
    </row>
    <row r="127" spans="1:29" ht="36" customHeight="1" x14ac:dyDescent="0.3">
      <c r="A127" s="672" t="s">
        <v>691</v>
      </c>
      <c r="B127" s="675" t="s">
        <v>118</v>
      </c>
      <c r="C127" s="678" t="s">
        <v>692</v>
      </c>
      <c r="D127" s="681" t="s">
        <v>680</v>
      </c>
      <c r="E127" s="159" t="s">
        <v>659</v>
      </c>
      <c r="F127" s="165">
        <v>219.8</v>
      </c>
      <c r="G127" s="165">
        <v>219.8</v>
      </c>
      <c r="H127" s="165">
        <v>219.8</v>
      </c>
      <c r="I127" s="165">
        <v>219.8</v>
      </c>
      <c r="J127" s="165">
        <v>219.8</v>
      </c>
      <c r="K127" s="165">
        <v>219.8</v>
      </c>
      <c r="L127" s="165">
        <v>219.8</v>
      </c>
      <c r="M127" s="165">
        <v>219.8</v>
      </c>
      <c r="N127" s="165">
        <v>219.8</v>
      </c>
      <c r="O127" s="165">
        <v>219.8</v>
      </c>
      <c r="P127" s="165">
        <v>219.8</v>
      </c>
      <c r="Q127" s="165">
        <v>219.8</v>
      </c>
      <c r="R127" s="165">
        <v>219.8</v>
      </c>
      <c r="S127" s="165">
        <v>219.8</v>
      </c>
      <c r="T127" s="165">
        <v>219.8</v>
      </c>
      <c r="U127" s="165">
        <v>219.8</v>
      </c>
      <c r="V127" s="165">
        <v>219.8</v>
      </c>
      <c r="W127" s="165">
        <v>219.8</v>
      </c>
      <c r="X127" s="165">
        <v>219.8</v>
      </c>
      <c r="Y127" s="165">
        <v>219.8</v>
      </c>
      <c r="Z127" s="165">
        <v>219.8</v>
      </c>
      <c r="AA127" s="165">
        <v>219.8</v>
      </c>
      <c r="AB127" s="165">
        <v>219.8</v>
      </c>
      <c r="AC127" s="164">
        <v>219.8</v>
      </c>
    </row>
    <row r="128" spans="1:29" ht="36" customHeight="1" x14ac:dyDescent="0.3">
      <c r="A128" s="673"/>
      <c r="B128" s="676"/>
      <c r="C128" s="679"/>
      <c r="D128" s="682"/>
      <c r="E128" s="158" t="s">
        <v>660</v>
      </c>
      <c r="F128" s="163">
        <v>219.8</v>
      </c>
      <c r="G128" s="163">
        <v>219.8</v>
      </c>
      <c r="H128" s="163">
        <v>219.8</v>
      </c>
      <c r="I128" s="163">
        <v>219.8</v>
      </c>
      <c r="J128" s="163">
        <v>219.8</v>
      </c>
      <c r="K128" s="163">
        <v>219.8</v>
      </c>
      <c r="L128" s="163">
        <v>219.8</v>
      </c>
      <c r="M128" s="163">
        <v>219.8</v>
      </c>
      <c r="N128" s="163">
        <v>219.8</v>
      </c>
      <c r="O128" s="163">
        <v>219.8</v>
      </c>
      <c r="P128" s="163">
        <v>219.8</v>
      </c>
      <c r="Q128" s="163">
        <v>219.8</v>
      </c>
      <c r="R128" s="163">
        <v>219.8</v>
      </c>
      <c r="S128" s="163">
        <v>219.8</v>
      </c>
      <c r="T128" s="163">
        <v>219.8</v>
      </c>
      <c r="U128" s="163">
        <v>219.8</v>
      </c>
      <c r="V128" s="163">
        <v>219.8</v>
      </c>
      <c r="W128" s="163">
        <v>219.8</v>
      </c>
      <c r="X128" s="163">
        <v>219.8</v>
      </c>
      <c r="Y128" s="163">
        <v>219.8</v>
      </c>
      <c r="Z128" s="163">
        <v>219.8</v>
      </c>
      <c r="AA128" s="163">
        <v>219.8</v>
      </c>
      <c r="AB128" s="163">
        <v>219.8</v>
      </c>
      <c r="AC128" s="162">
        <v>219.8</v>
      </c>
    </row>
    <row r="129" spans="1:42" ht="36" customHeight="1" thickBot="1" x14ac:dyDescent="0.35">
      <c r="A129" s="674"/>
      <c r="B129" s="677"/>
      <c r="C129" s="680"/>
      <c r="D129" s="683"/>
      <c r="E129" s="156" t="s">
        <v>661</v>
      </c>
      <c r="F129" s="161">
        <v>219.8</v>
      </c>
      <c r="G129" s="161">
        <v>219.8</v>
      </c>
      <c r="H129" s="161">
        <v>219.8</v>
      </c>
      <c r="I129" s="161">
        <v>219.8</v>
      </c>
      <c r="J129" s="161">
        <v>219.8</v>
      </c>
      <c r="K129" s="161">
        <v>219.8</v>
      </c>
      <c r="L129" s="161">
        <v>219.8</v>
      </c>
      <c r="M129" s="161">
        <v>219.8</v>
      </c>
      <c r="N129" s="161">
        <v>219.8</v>
      </c>
      <c r="O129" s="161">
        <v>219.8</v>
      </c>
      <c r="P129" s="161">
        <v>219.8</v>
      </c>
      <c r="Q129" s="161">
        <v>219.8</v>
      </c>
      <c r="R129" s="161">
        <v>219.8</v>
      </c>
      <c r="S129" s="161">
        <v>219.8</v>
      </c>
      <c r="T129" s="161">
        <v>219.8</v>
      </c>
      <c r="U129" s="161">
        <v>219.8</v>
      </c>
      <c r="V129" s="161">
        <v>219.8</v>
      </c>
      <c r="W129" s="161">
        <v>219.8</v>
      </c>
      <c r="X129" s="161">
        <v>219.8</v>
      </c>
      <c r="Y129" s="161">
        <v>219.8</v>
      </c>
      <c r="Z129" s="161">
        <v>219.8</v>
      </c>
      <c r="AA129" s="161">
        <v>219.8</v>
      </c>
      <c r="AB129" s="161">
        <v>219.8</v>
      </c>
      <c r="AC129" s="160">
        <v>219.8</v>
      </c>
    </row>
    <row r="130" spans="1:42" ht="37.5" customHeight="1" thickBot="1" x14ac:dyDescent="0.35">
      <c r="A130" s="630" t="s">
        <v>693</v>
      </c>
      <c r="B130" s="630"/>
      <c r="C130" s="630" t="s">
        <v>26</v>
      </c>
      <c r="D130" s="630"/>
      <c r="E130" s="630"/>
      <c r="F130" s="630"/>
      <c r="G130" s="630"/>
      <c r="H130" s="630"/>
      <c r="I130" s="630"/>
      <c r="J130" s="630"/>
      <c r="K130" s="630"/>
      <c r="L130" s="630"/>
      <c r="M130" s="630"/>
      <c r="N130" s="630"/>
      <c r="O130" s="630"/>
      <c r="P130" s="630"/>
      <c r="Q130" s="630"/>
      <c r="R130" s="630"/>
      <c r="S130" s="630"/>
      <c r="T130" s="630"/>
      <c r="U130" s="630"/>
      <c r="V130" s="630"/>
      <c r="W130" s="630"/>
      <c r="X130" s="630"/>
      <c r="Y130" s="630"/>
      <c r="Z130" s="630"/>
      <c r="AA130" s="630"/>
      <c r="AB130" s="630"/>
      <c r="AC130" s="631"/>
    </row>
    <row r="131" spans="1:42" ht="30" customHeight="1" x14ac:dyDescent="0.3">
      <c r="A131" s="632" t="s">
        <v>694</v>
      </c>
      <c r="B131" s="635" t="s">
        <v>329</v>
      </c>
      <c r="C131" s="638" t="s">
        <v>667</v>
      </c>
      <c r="D131" s="641" t="s">
        <v>695</v>
      </c>
      <c r="E131" s="288" t="s">
        <v>659</v>
      </c>
      <c r="F131" s="291">
        <v>1</v>
      </c>
      <c r="G131" s="291">
        <v>1</v>
      </c>
      <c r="H131" s="291">
        <v>1</v>
      </c>
      <c r="I131" s="291">
        <v>1</v>
      </c>
      <c r="J131" s="291">
        <v>1</v>
      </c>
      <c r="K131" s="291">
        <v>1</v>
      </c>
      <c r="L131" s="291">
        <v>1</v>
      </c>
      <c r="M131" s="291">
        <v>1</v>
      </c>
      <c r="N131" s="291">
        <v>1</v>
      </c>
      <c r="O131" s="291">
        <v>1</v>
      </c>
      <c r="P131" s="291">
        <v>1</v>
      </c>
      <c r="Q131" s="291">
        <v>1</v>
      </c>
      <c r="R131" s="291">
        <v>1</v>
      </c>
      <c r="S131" s="291">
        <v>1</v>
      </c>
      <c r="T131" s="291">
        <v>1</v>
      </c>
      <c r="U131" s="291">
        <v>1</v>
      </c>
      <c r="V131" s="291">
        <v>1</v>
      </c>
      <c r="W131" s="291">
        <v>1</v>
      </c>
      <c r="X131" s="291">
        <v>1</v>
      </c>
      <c r="Y131" s="291">
        <v>1</v>
      </c>
      <c r="Z131" s="291">
        <v>1</v>
      </c>
      <c r="AA131" s="291">
        <v>1</v>
      </c>
      <c r="AB131" s="291">
        <v>1</v>
      </c>
      <c r="AC131" s="292">
        <v>1</v>
      </c>
    </row>
    <row r="132" spans="1:42" ht="30" customHeight="1" x14ac:dyDescent="0.3">
      <c r="A132" s="633"/>
      <c r="B132" s="636"/>
      <c r="C132" s="639"/>
      <c r="D132" s="642"/>
      <c r="E132" s="289" t="s">
        <v>660</v>
      </c>
      <c r="F132" s="293">
        <v>1</v>
      </c>
      <c r="G132" s="293">
        <v>1</v>
      </c>
      <c r="H132" s="293">
        <v>1</v>
      </c>
      <c r="I132" s="293">
        <v>1</v>
      </c>
      <c r="J132" s="293">
        <v>1</v>
      </c>
      <c r="K132" s="293">
        <v>1</v>
      </c>
      <c r="L132" s="293">
        <v>1</v>
      </c>
      <c r="M132" s="293">
        <v>1</v>
      </c>
      <c r="N132" s="293">
        <v>1</v>
      </c>
      <c r="O132" s="293">
        <v>1</v>
      </c>
      <c r="P132" s="293">
        <v>1</v>
      </c>
      <c r="Q132" s="293">
        <v>1</v>
      </c>
      <c r="R132" s="293">
        <v>1</v>
      </c>
      <c r="S132" s="293">
        <v>1</v>
      </c>
      <c r="T132" s="293">
        <v>1</v>
      </c>
      <c r="U132" s="293">
        <v>1</v>
      </c>
      <c r="V132" s="293">
        <v>1</v>
      </c>
      <c r="W132" s="293">
        <v>1</v>
      </c>
      <c r="X132" s="293">
        <v>1</v>
      </c>
      <c r="Y132" s="293">
        <v>1</v>
      </c>
      <c r="Z132" s="293">
        <v>1</v>
      </c>
      <c r="AA132" s="293">
        <v>1</v>
      </c>
      <c r="AB132" s="293">
        <v>1</v>
      </c>
      <c r="AC132" s="294">
        <v>1</v>
      </c>
    </row>
    <row r="133" spans="1:42" ht="30" customHeight="1" thickBot="1" x14ac:dyDescent="0.35">
      <c r="A133" s="634"/>
      <c r="B133" s="637"/>
      <c r="C133" s="640"/>
      <c r="D133" s="643"/>
      <c r="E133" s="290" t="s">
        <v>661</v>
      </c>
      <c r="F133" s="295">
        <v>1</v>
      </c>
      <c r="G133" s="295">
        <v>1</v>
      </c>
      <c r="H133" s="295">
        <v>1</v>
      </c>
      <c r="I133" s="295">
        <v>1</v>
      </c>
      <c r="J133" s="295">
        <v>1</v>
      </c>
      <c r="K133" s="295">
        <v>1</v>
      </c>
      <c r="L133" s="295">
        <v>1</v>
      </c>
      <c r="M133" s="295">
        <v>1</v>
      </c>
      <c r="N133" s="295">
        <v>1</v>
      </c>
      <c r="O133" s="295">
        <v>1</v>
      </c>
      <c r="P133" s="295">
        <v>1</v>
      </c>
      <c r="Q133" s="295">
        <v>1</v>
      </c>
      <c r="R133" s="295">
        <v>1</v>
      </c>
      <c r="S133" s="295">
        <v>1</v>
      </c>
      <c r="T133" s="295">
        <v>1</v>
      </c>
      <c r="U133" s="295">
        <v>1</v>
      </c>
      <c r="V133" s="295">
        <v>1</v>
      </c>
      <c r="W133" s="295">
        <v>1</v>
      </c>
      <c r="X133" s="295">
        <v>1</v>
      </c>
      <c r="Y133" s="295">
        <v>1</v>
      </c>
      <c r="Z133" s="295">
        <v>1</v>
      </c>
      <c r="AA133" s="295">
        <v>1</v>
      </c>
      <c r="AB133" s="295">
        <v>1</v>
      </c>
      <c r="AC133" s="296">
        <v>1</v>
      </c>
    </row>
    <row r="134" spans="1:42" ht="30" customHeight="1" x14ac:dyDescent="0.3">
      <c r="A134" s="632" t="s">
        <v>694</v>
      </c>
      <c r="B134" s="635" t="s">
        <v>329</v>
      </c>
      <c r="C134" s="638" t="s">
        <v>668</v>
      </c>
      <c r="D134" s="641" t="s">
        <v>695</v>
      </c>
      <c r="E134" s="288" t="s">
        <v>659</v>
      </c>
      <c r="F134" s="291">
        <f>Thermostat!$B$19</f>
        <v>35</v>
      </c>
      <c r="G134" s="291">
        <f>Thermostat!$B$19</f>
        <v>35</v>
      </c>
      <c r="H134" s="291">
        <f>Thermostat!$B$19</f>
        <v>35</v>
      </c>
      <c r="I134" s="291">
        <f>Thermostat!$B$19</f>
        <v>35</v>
      </c>
      <c r="J134" s="291">
        <f>Thermostat!$B$19</f>
        <v>35</v>
      </c>
      <c r="K134" s="291">
        <f>Thermostat!$B$19</f>
        <v>35</v>
      </c>
      <c r="L134" s="291">
        <f>Thermostat!$B$19</f>
        <v>35</v>
      </c>
      <c r="M134" s="291">
        <f>Thermostat!$B$19</f>
        <v>35</v>
      </c>
      <c r="N134" s="291">
        <f>Thermostat!$B$19</f>
        <v>35</v>
      </c>
      <c r="O134" s="291">
        <f>Thermostat!$B$19</f>
        <v>35</v>
      </c>
      <c r="P134" s="291">
        <f>Thermostat!$B$19</f>
        <v>35</v>
      </c>
      <c r="Q134" s="291">
        <f>Thermostat!$B$19</f>
        <v>35</v>
      </c>
      <c r="R134" s="291">
        <f>Thermostat!$B$19</f>
        <v>35</v>
      </c>
      <c r="S134" s="291">
        <f>Thermostat!$B$19</f>
        <v>35</v>
      </c>
      <c r="T134" s="291">
        <f>Thermostat!$B$19</f>
        <v>35</v>
      </c>
      <c r="U134" s="291">
        <f>Thermostat!$B$19</f>
        <v>35</v>
      </c>
      <c r="V134" s="291">
        <f>Thermostat!$B$19</f>
        <v>35</v>
      </c>
      <c r="W134" s="291">
        <f>Thermostat!$B$19</f>
        <v>35</v>
      </c>
      <c r="X134" s="291">
        <f>Thermostat!$B$19</f>
        <v>35</v>
      </c>
      <c r="Y134" s="291">
        <f>Thermostat!$B$19</f>
        <v>35</v>
      </c>
      <c r="Z134" s="291">
        <f>Thermostat!$B$19</f>
        <v>35</v>
      </c>
      <c r="AA134" s="291">
        <f>Thermostat!$B$19</f>
        <v>35</v>
      </c>
      <c r="AB134" s="291">
        <f>Thermostat!$B$19</f>
        <v>35</v>
      </c>
      <c r="AC134" s="292">
        <f>Thermostat!$B$19</f>
        <v>35</v>
      </c>
    </row>
    <row r="135" spans="1:42" ht="30" customHeight="1" x14ac:dyDescent="0.3">
      <c r="A135" s="633"/>
      <c r="B135" s="636"/>
      <c r="C135" s="639"/>
      <c r="D135" s="642"/>
      <c r="E135" s="289" t="s">
        <v>660</v>
      </c>
      <c r="F135" s="293">
        <f>Thermostat!$B$19</f>
        <v>35</v>
      </c>
      <c r="G135" s="293">
        <f>Thermostat!$B$19</f>
        <v>35</v>
      </c>
      <c r="H135" s="293">
        <f>Thermostat!$B$19</f>
        <v>35</v>
      </c>
      <c r="I135" s="293">
        <f>Thermostat!$B$19</f>
        <v>35</v>
      </c>
      <c r="J135" s="293">
        <f>Thermostat!$B$19</f>
        <v>35</v>
      </c>
      <c r="K135" s="293">
        <f>Thermostat!$B$19</f>
        <v>35</v>
      </c>
      <c r="L135" s="293">
        <f>Thermostat!$B$19</f>
        <v>35</v>
      </c>
      <c r="M135" s="293">
        <f>Thermostat!$B$19</f>
        <v>35</v>
      </c>
      <c r="N135" s="293">
        <f>Thermostat!$B$19</f>
        <v>35</v>
      </c>
      <c r="O135" s="293">
        <f>Thermostat!$B$19</f>
        <v>35</v>
      </c>
      <c r="P135" s="293">
        <f>Thermostat!$B$19</f>
        <v>35</v>
      </c>
      <c r="Q135" s="293">
        <f>Thermostat!$B$19</f>
        <v>35</v>
      </c>
      <c r="R135" s="293">
        <f>Thermostat!$B$19</f>
        <v>35</v>
      </c>
      <c r="S135" s="293">
        <f>Thermostat!$B$19</f>
        <v>35</v>
      </c>
      <c r="T135" s="293">
        <f>Thermostat!$B$19</f>
        <v>35</v>
      </c>
      <c r="U135" s="293">
        <f>Thermostat!$B$19</f>
        <v>35</v>
      </c>
      <c r="V135" s="293">
        <f>Thermostat!$B$19</f>
        <v>35</v>
      </c>
      <c r="W135" s="293">
        <f>Thermostat!$B$19</f>
        <v>35</v>
      </c>
      <c r="X135" s="293">
        <f>Thermostat!$B$19</f>
        <v>35</v>
      </c>
      <c r="Y135" s="293">
        <f>Thermostat!$B$19</f>
        <v>35</v>
      </c>
      <c r="Z135" s="293">
        <f>Thermostat!$B$19</f>
        <v>35</v>
      </c>
      <c r="AA135" s="293">
        <f>Thermostat!$B$19</f>
        <v>35</v>
      </c>
      <c r="AB135" s="293">
        <f>Thermostat!$B$19</f>
        <v>35</v>
      </c>
      <c r="AC135" s="294">
        <f>Thermostat!$B$19</f>
        <v>35</v>
      </c>
    </row>
    <row r="136" spans="1:42" ht="30" customHeight="1" thickBot="1" x14ac:dyDescent="0.35">
      <c r="A136" s="634"/>
      <c r="B136" s="637"/>
      <c r="C136" s="640"/>
      <c r="D136" s="643"/>
      <c r="E136" s="290" t="s">
        <v>661</v>
      </c>
      <c r="F136" s="295">
        <f>Thermostat!$B$19</f>
        <v>35</v>
      </c>
      <c r="G136" s="295">
        <f>Thermostat!$B$19</f>
        <v>35</v>
      </c>
      <c r="H136" s="295">
        <f>Thermostat!$B$19</f>
        <v>35</v>
      </c>
      <c r="I136" s="295">
        <f>Thermostat!$B$19</f>
        <v>35</v>
      </c>
      <c r="J136" s="295">
        <f>Thermostat!$B$19</f>
        <v>35</v>
      </c>
      <c r="K136" s="295">
        <f>Thermostat!$B$19</f>
        <v>35</v>
      </c>
      <c r="L136" s="295">
        <f>Thermostat!$B$19</f>
        <v>35</v>
      </c>
      <c r="M136" s="295">
        <f>Thermostat!$B$19</f>
        <v>35</v>
      </c>
      <c r="N136" s="295">
        <f>Thermostat!$B$19</f>
        <v>35</v>
      </c>
      <c r="O136" s="295">
        <f>Thermostat!$B$19</f>
        <v>35</v>
      </c>
      <c r="P136" s="295">
        <f>Thermostat!$B$19</f>
        <v>35</v>
      </c>
      <c r="Q136" s="295">
        <f>Thermostat!$B$19</f>
        <v>35</v>
      </c>
      <c r="R136" s="295">
        <f>Thermostat!$B$19</f>
        <v>35</v>
      </c>
      <c r="S136" s="295">
        <f>Thermostat!$B$19</f>
        <v>35</v>
      </c>
      <c r="T136" s="295">
        <f>Thermostat!$B$19</f>
        <v>35</v>
      </c>
      <c r="U136" s="295">
        <f>Thermostat!$B$19</f>
        <v>35</v>
      </c>
      <c r="V136" s="295">
        <f>Thermostat!$B$19</f>
        <v>35</v>
      </c>
      <c r="W136" s="295">
        <f>Thermostat!$B$19</f>
        <v>35</v>
      </c>
      <c r="X136" s="295">
        <f>Thermostat!$B$19</f>
        <v>35</v>
      </c>
      <c r="Y136" s="295">
        <f>Thermostat!$B$19</f>
        <v>35</v>
      </c>
      <c r="Z136" s="295">
        <f>Thermostat!$B$19</f>
        <v>35</v>
      </c>
      <c r="AA136" s="295">
        <f>Thermostat!$B$19</f>
        <v>35</v>
      </c>
      <c r="AB136" s="295">
        <f>Thermostat!$B$19</f>
        <v>35</v>
      </c>
      <c r="AC136" s="296">
        <f>Thermostat!$B$19</f>
        <v>35</v>
      </c>
    </row>
    <row r="137" spans="1:42" ht="30" customHeight="1" x14ac:dyDescent="0.3">
      <c r="A137" s="632" t="s">
        <v>694</v>
      </c>
      <c r="B137" s="635" t="s">
        <v>329</v>
      </c>
      <c r="C137" s="638" t="s">
        <v>670</v>
      </c>
      <c r="D137" s="641" t="s">
        <v>695</v>
      </c>
      <c r="E137" s="288" t="s">
        <v>659</v>
      </c>
      <c r="F137" s="291">
        <f>Thermostat!$B$20</f>
        <v>35</v>
      </c>
      <c r="G137" s="291">
        <f>Thermostat!$B$20</f>
        <v>35</v>
      </c>
      <c r="H137" s="291">
        <f>Thermostat!$B$20</f>
        <v>35</v>
      </c>
      <c r="I137" s="291">
        <f>Thermostat!$B$20</f>
        <v>35</v>
      </c>
      <c r="J137" s="291">
        <f>Thermostat!$B$20</f>
        <v>35</v>
      </c>
      <c r="K137" s="291">
        <f>Thermostat!$B$20</f>
        <v>35</v>
      </c>
      <c r="L137" s="291">
        <f>Thermostat!$B$20</f>
        <v>35</v>
      </c>
      <c r="M137" s="291">
        <f>Thermostat!$B$20</f>
        <v>35</v>
      </c>
      <c r="N137" s="291">
        <f>Thermostat!$B$20</f>
        <v>35</v>
      </c>
      <c r="O137" s="291">
        <f>Thermostat!$B$20</f>
        <v>35</v>
      </c>
      <c r="P137" s="291">
        <f>Thermostat!$B$20</f>
        <v>35</v>
      </c>
      <c r="Q137" s="291">
        <f>Thermostat!$B$20</f>
        <v>35</v>
      </c>
      <c r="R137" s="291">
        <f>Thermostat!$B$20</f>
        <v>35</v>
      </c>
      <c r="S137" s="291">
        <f>Thermostat!$B$20</f>
        <v>35</v>
      </c>
      <c r="T137" s="291">
        <f>Thermostat!$B$20</f>
        <v>35</v>
      </c>
      <c r="U137" s="291">
        <f>Thermostat!$B$20</f>
        <v>35</v>
      </c>
      <c r="V137" s="291">
        <f>Thermostat!$B$20</f>
        <v>35</v>
      </c>
      <c r="W137" s="291">
        <f>Thermostat!$B$20</f>
        <v>35</v>
      </c>
      <c r="X137" s="291">
        <f>Thermostat!$B$20</f>
        <v>35</v>
      </c>
      <c r="Y137" s="291">
        <f>Thermostat!$B$20</f>
        <v>35</v>
      </c>
      <c r="Z137" s="291">
        <f>Thermostat!$B$20</f>
        <v>35</v>
      </c>
      <c r="AA137" s="291">
        <f>Thermostat!$B$20</f>
        <v>35</v>
      </c>
      <c r="AB137" s="291">
        <f>Thermostat!$B$20</f>
        <v>35</v>
      </c>
      <c r="AC137" s="292">
        <f>Thermostat!$B$20</f>
        <v>35</v>
      </c>
    </row>
    <row r="138" spans="1:42" ht="30" customHeight="1" x14ac:dyDescent="0.3">
      <c r="A138" s="633"/>
      <c r="B138" s="636"/>
      <c r="C138" s="639"/>
      <c r="D138" s="642"/>
      <c r="E138" s="289" t="s">
        <v>660</v>
      </c>
      <c r="F138" s="293">
        <f>Thermostat!$B$20</f>
        <v>35</v>
      </c>
      <c r="G138" s="293">
        <f>Thermostat!$B$20</f>
        <v>35</v>
      </c>
      <c r="H138" s="293">
        <f>Thermostat!$B$20</f>
        <v>35</v>
      </c>
      <c r="I138" s="293">
        <f>Thermostat!$B$20</f>
        <v>35</v>
      </c>
      <c r="J138" s="293">
        <f>Thermostat!$B$20</f>
        <v>35</v>
      </c>
      <c r="K138" s="293">
        <f>Thermostat!$B$20</f>
        <v>35</v>
      </c>
      <c r="L138" s="293">
        <f>Thermostat!$B$20</f>
        <v>35</v>
      </c>
      <c r="M138" s="293">
        <f>Thermostat!$B$20</f>
        <v>35</v>
      </c>
      <c r="N138" s="293">
        <f>Thermostat!$B$20</f>
        <v>35</v>
      </c>
      <c r="O138" s="293">
        <f>Thermostat!$B$20</f>
        <v>35</v>
      </c>
      <c r="P138" s="293">
        <f>Thermostat!$B$20</f>
        <v>35</v>
      </c>
      <c r="Q138" s="293">
        <f>Thermostat!$B$20</f>
        <v>35</v>
      </c>
      <c r="R138" s="293">
        <f>Thermostat!$B$20</f>
        <v>35</v>
      </c>
      <c r="S138" s="293">
        <f>Thermostat!$B$20</f>
        <v>35</v>
      </c>
      <c r="T138" s="293">
        <f>Thermostat!$B$20</f>
        <v>35</v>
      </c>
      <c r="U138" s="293">
        <f>Thermostat!$B$20</f>
        <v>35</v>
      </c>
      <c r="V138" s="293">
        <f>Thermostat!$B$20</f>
        <v>35</v>
      </c>
      <c r="W138" s="293">
        <f>Thermostat!$B$20</f>
        <v>35</v>
      </c>
      <c r="X138" s="293">
        <f>Thermostat!$B$20</f>
        <v>35</v>
      </c>
      <c r="Y138" s="293">
        <f>Thermostat!$B$20</f>
        <v>35</v>
      </c>
      <c r="Z138" s="293">
        <f>Thermostat!$B$20</f>
        <v>35</v>
      </c>
      <c r="AA138" s="293">
        <f>Thermostat!$B$20</f>
        <v>35</v>
      </c>
      <c r="AB138" s="293">
        <f>Thermostat!$B$20</f>
        <v>35</v>
      </c>
      <c r="AC138" s="294">
        <f>Thermostat!$B$20</f>
        <v>35</v>
      </c>
    </row>
    <row r="139" spans="1:42" ht="30" customHeight="1" thickBot="1" x14ac:dyDescent="0.35">
      <c r="A139" s="634"/>
      <c r="B139" s="637"/>
      <c r="C139" s="640"/>
      <c r="D139" s="643"/>
      <c r="E139" s="290" t="s">
        <v>661</v>
      </c>
      <c r="F139" s="295">
        <f>Thermostat!$B$20</f>
        <v>35</v>
      </c>
      <c r="G139" s="295">
        <f>Thermostat!$B$20</f>
        <v>35</v>
      </c>
      <c r="H139" s="295">
        <f>Thermostat!$B$20</f>
        <v>35</v>
      </c>
      <c r="I139" s="295">
        <f>Thermostat!$B$20</f>
        <v>35</v>
      </c>
      <c r="J139" s="295">
        <f>Thermostat!$B$20</f>
        <v>35</v>
      </c>
      <c r="K139" s="295">
        <f>Thermostat!$B$20</f>
        <v>35</v>
      </c>
      <c r="L139" s="295">
        <f>Thermostat!$B$20</f>
        <v>35</v>
      </c>
      <c r="M139" s="295">
        <f>Thermostat!$B$20</f>
        <v>35</v>
      </c>
      <c r="N139" s="295">
        <f>Thermostat!$B$20</f>
        <v>35</v>
      </c>
      <c r="O139" s="295">
        <f>Thermostat!$B$20</f>
        <v>35</v>
      </c>
      <c r="P139" s="295">
        <f>Thermostat!$B$20</f>
        <v>35</v>
      </c>
      <c r="Q139" s="295">
        <f>Thermostat!$B$20</f>
        <v>35</v>
      </c>
      <c r="R139" s="295">
        <f>Thermostat!$B$20</f>
        <v>35</v>
      </c>
      <c r="S139" s="295">
        <f>Thermostat!$B$20</f>
        <v>35</v>
      </c>
      <c r="T139" s="295">
        <f>Thermostat!$B$20</f>
        <v>35</v>
      </c>
      <c r="U139" s="295">
        <f>Thermostat!$B$20</f>
        <v>35</v>
      </c>
      <c r="V139" s="295">
        <f>Thermostat!$B$20</f>
        <v>35</v>
      </c>
      <c r="W139" s="295">
        <f>Thermostat!$B$20</f>
        <v>35</v>
      </c>
      <c r="X139" s="295">
        <f>Thermostat!$B$20</f>
        <v>35</v>
      </c>
      <c r="Y139" s="295">
        <f>Thermostat!$B$20</f>
        <v>35</v>
      </c>
      <c r="Z139" s="295">
        <f>Thermostat!$B$20</f>
        <v>35</v>
      </c>
      <c r="AA139" s="295">
        <f>Thermostat!$B$20</f>
        <v>35</v>
      </c>
      <c r="AB139" s="295">
        <f>Thermostat!$B$20</f>
        <v>35</v>
      </c>
      <c r="AC139" s="296">
        <f>Thermostat!$B$20</f>
        <v>35</v>
      </c>
    </row>
    <row r="140" spans="1:42" x14ac:dyDescent="0.3">
      <c r="A140" s="285"/>
      <c r="C140" s="286"/>
      <c r="D140" s="285"/>
      <c r="F140" s="287"/>
      <c r="G140" s="287"/>
      <c r="H140" s="287"/>
      <c r="I140" s="287"/>
      <c r="J140" s="287"/>
      <c r="K140" s="287"/>
      <c r="L140" s="287"/>
      <c r="M140" s="287"/>
      <c r="N140" s="287"/>
      <c r="O140" s="287"/>
      <c r="P140" s="287"/>
      <c r="Q140" s="287"/>
      <c r="R140" s="287"/>
      <c r="S140" s="287"/>
      <c r="T140" s="287"/>
      <c r="U140" s="287"/>
      <c r="V140" s="287"/>
      <c r="W140" s="287"/>
      <c r="X140" s="287"/>
      <c r="Y140" s="287"/>
      <c r="Z140" s="287"/>
      <c r="AA140" s="287"/>
      <c r="AB140" s="287"/>
      <c r="AC140" s="287"/>
    </row>
    <row r="141" spans="1:42" customFormat="1" ht="14.4" x14ac:dyDescent="0.3">
      <c r="A141" s="218" t="s">
        <v>381</v>
      </c>
      <c r="B141" s="219"/>
      <c r="C141" s="75"/>
      <c r="D141" s="75"/>
      <c r="E141" s="75"/>
      <c r="F141" s="75"/>
      <c r="G141" s="75"/>
      <c r="H141" s="219"/>
      <c r="I141" s="219"/>
      <c r="J141" s="219"/>
      <c r="K141" s="219"/>
      <c r="L141" s="219"/>
      <c r="M141" s="219"/>
      <c r="N141" s="219"/>
      <c r="O141" s="219"/>
      <c r="P141" s="219"/>
      <c r="Q141" s="219"/>
      <c r="R141" s="219"/>
      <c r="S141" s="219"/>
      <c r="T141" s="219"/>
      <c r="U141" s="219"/>
      <c r="V141" s="219"/>
      <c r="W141" s="219"/>
      <c r="X141" s="219"/>
      <c r="Y141" s="219"/>
      <c r="Z141" s="219"/>
      <c r="AA141" s="219"/>
      <c r="AB141" s="219"/>
      <c r="AC141" s="219"/>
      <c r="AD141" s="219"/>
      <c r="AE141" s="219"/>
      <c r="AF141" s="219"/>
      <c r="AG141" s="219"/>
      <c r="AH141" s="219"/>
      <c r="AI141" s="219"/>
      <c r="AJ141" s="219"/>
      <c r="AK141" s="219"/>
      <c r="AL141" s="219"/>
      <c r="AM141" s="219"/>
      <c r="AN141" s="219"/>
      <c r="AO141" s="219"/>
      <c r="AP141" s="219"/>
    </row>
    <row r="142" spans="1:42" customFormat="1" ht="14.4" x14ac:dyDescent="0.3"/>
    <row r="143" spans="1:42" customFormat="1" ht="14.4" x14ac:dyDescent="0.3"/>
    <row r="144" spans="1:42" customFormat="1" ht="14.4" x14ac:dyDescent="0.3"/>
    <row r="145" customFormat="1" ht="14.4" x14ac:dyDescent="0.3"/>
    <row r="146" customFormat="1" ht="14.4" x14ac:dyDescent="0.3"/>
    <row r="147" customFormat="1" ht="14.4" x14ac:dyDescent="0.3"/>
    <row r="148" customFormat="1" ht="14.4" x14ac:dyDescent="0.3"/>
    <row r="149" customFormat="1" ht="14.4" x14ac:dyDescent="0.3"/>
  </sheetData>
  <mergeCells count="187">
    <mergeCell ref="D59:D61"/>
    <mergeCell ref="A93:A95"/>
    <mergeCell ref="B93:B95"/>
    <mergeCell ref="C93:C95"/>
    <mergeCell ref="D93:D95"/>
    <mergeCell ref="A124:A126"/>
    <mergeCell ref="B124:B126"/>
    <mergeCell ref="C124:C126"/>
    <mergeCell ref="D124:D126"/>
    <mergeCell ref="A109:A111"/>
    <mergeCell ref="B109:B111"/>
    <mergeCell ref="C109:C111"/>
    <mergeCell ref="D109:D111"/>
    <mergeCell ref="A112:A114"/>
    <mergeCell ref="B112:B114"/>
    <mergeCell ref="C112:C114"/>
    <mergeCell ref="D112:D114"/>
    <mergeCell ref="A115:A117"/>
    <mergeCell ref="B115:B117"/>
    <mergeCell ref="C115:C117"/>
    <mergeCell ref="D115:D117"/>
    <mergeCell ref="C121:C123"/>
    <mergeCell ref="D121:D123"/>
    <mergeCell ref="A118:A120"/>
    <mergeCell ref="B118:B120"/>
    <mergeCell ref="C118:C120"/>
    <mergeCell ref="D118:D120"/>
    <mergeCell ref="D16:D18"/>
    <mergeCell ref="C22:C24"/>
    <mergeCell ref="D22:D24"/>
    <mergeCell ref="A22:A24"/>
    <mergeCell ref="C78:C80"/>
    <mergeCell ref="D78:D80"/>
    <mergeCell ref="A81:A83"/>
    <mergeCell ref="B81:B83"/>
    <mergeCell ref="A100:A102"/>
    <mergeCell ref="B100:B102"/>
    <mergeCell ref="C100:C102"/>
    <mergeCell ref="D100:D102"/>
    <mergeCell ref="C44:C46"/>
    <mergeCell ref="D44:D46"/>
    <mergeCell ref="A47:A49"/>
    <mergeCell ref="B47:B49"/>
    <mergeCell ref="A59:A61"/>
    <mergeCell ref="B59:B61"/>
    <mergeCell ref="D41:D43"/>
    <mergeCell ref="A50:A52"/>
    <mergeCell ref="B50:B52"/>
    <mergeCell ref="C13:C15"/>
    <mergeCell ref="D13:D15"/>
    <mergeCell ref="A13:A15"/>
    <mergeCell ref="A103:A105"/>
    <mergeCell ref="B103:B105"/>
    <mergeCell ref="C103:C105"/>
    <mergeCell ref="D103:D105"/>
    <mergeCell ref="A106:A108"/>
    <mergeCell ref="B106:B108"/>
    <mergeCell ref="C106:C108"/>
    <mergeCell ref="D106:D108"/>
    <mergeCell ref="D19:D21"/>
    <mergeCell ref="A19:A21"/>
    <mergeCell ref="A25:A27"/>
    <mergeCell ref="B25:B27"/>
    <mergeCell ref="C25:C27"/>
    <mergeCell ref="D25:D27"/>
    <mergeCell ref="A28:A30"/>
    <mergeCell ref="B28:B30"/>
    <mergeCell ref="C28:C30"/>
    <mergeCell ref="D28:D30"/>
    <mergeCell ref="A78:A80"/>
    <mergeCell ref="B78:B80"/>
    <mergeCell ref="C59:C61"/>
    <mergeCell ref="D4:D6"/>
    <mergeCell ref="A7:A9"/>
    <mergeCell ref="C10:C12"/>
    <mergeCell ref="B2:B3"/>
    <mergeCell ref="B4:B6"/>
    <mergeCell ref="B7:B9"/>
    <mergeCell ref="A1:AC1"/>
    <mergeCell ref="C4:C6"/>
    <mergeCell ref="C7:C9"/>
    <mergeCell ref="C2:C3"/>
    <mergeCell ref="D10:D12"/>
    <mergeCell ref="D7:D9"/>
    <mergeCell ref="F2:AC2"/>
    <mergeCell ref="E2:E3"/>
    <mergeCell ref="A2:A3"/>
    <mergeCell ref="D2:D3"/>
    <mergeCell ref="B10:B12"/>
    <mergeCell ref="A4:A6"/>
    <mergeCell ref="A10:A12"/>
    <mergeCell ref="B13:B15"/>
    <mergeCell ref="B16:B18"/>
    <mergeCell ref="B19:B21"/>
    <mergeCell ref="B22:B24"/>
    <mergeCell ref="C16:C18"/>
    <mergeCell ref="A16:A18"/>
    <mergeCell ref="C19:C21"/>
    <mergeCell ref="A68:AC68"/>
    <mergeCell ref="A99:AC99"/>
    <mergeCell ref="A69:A71"/>
    <mergeCell ref="B69:B71"/>
    <mergeCell ref="C69:C71"/>
    <mergeCell ref="D69:D71"/>
    <mergeCell ref="A72:A74"/>
    <mergeCell ref="B72:B74"/>
    <mergeCell ref="C72:C74"/>
    <mergeCell ref="D72:D74"/>
    <mergeCell ref="A75:A77"/>
    <mergeCell ref="B75:B77"/>
    <mergeCell ref="C75:C77"/>
    <mergeCell ref="D75:D77"/>
    <mergeCell ref="A34:AC34"/>
    <mergeCell ref="A44:A46"/>
    <mergeCell ref="B44:B46"/>
    <mergeCell ref="A127:A129"/>
    <mergeCell ref="B127:B129"/>
    <mergeCell ref="C127:C129"/>
    <mergeCell ref="D127:D129"/>
    <mergeCell ref="C81:C83"/>
    <mergeCell ref="D81:D83"/>
    <mergeCell ref="A84:A86"/>
    <mergeCell ref="B84:B86"/>
    <mergeCell ref="C84:C86"/>
    <mergeCell ref="D84:D86"/>
    <mergeCell ref="A87:A89"/>
    <mergeCell ref="B87:B89"/>
    <mergeCell ref="C87:C89"/>
    <mergeCell ref="D87:D89"/>
    <mergeCell ref="A90:A92"/>
    <mergeCell ref="B90:B92"/>
    <mergeCell ref="C90:C92"/>
    <mergeCell ref="D90:D92"/>
    <mergeCell ref="A96:A98"/>
    <mergeCell ref="B96:B98"/>
    <mergeCell ref="C96:C98"/>
    <mergeCell ref="D96:D98"/>
    <mergeCell ref="A121:A123"/>
    <mergeCell ref="B121:B123"/>
    <mergeCell ref="D38:D40"/>
    <mergeCell ref="A41:A43"/>
    <mergeCell ref="B41:B43"/>
    <mergeCell ref="C41:C43"/>
    <mergeCell ref="C50:C52"/>
    <mergeCell ref="D50:D52"/>
    <mergeCell ref="C47:C49"/>
    <mergeCell ref="D47:D49"/>
    <mergeCell ref="A35:A37"/>
    <mergeCell ref="B35:B37"/>
    <mergeCell ref="C35:C37"/>
    <mergeCell ref="D35:D37"/>
    <mergeCell ref="A38:A40"/>
    <mergeCell ref="B38:B40"/>
    <mergeCell ref="C38:C40"/>
    <mergeCell ref="A137:A139"/>
    <mergeCell ref="B137:B139"/>
    <mergeCell ref="C137:C139"/>
    <mergeCell ref="D137:D139"/>
    <mergeCell ref="A31:A33"/>
    <mergeCell ref="B31:B33"/>
    <mergeCell ref="C31:C33"/>
    <mergeCell ref="D31:D33"/>
    <mergeCell ref="A62:A64"/>
    <mergeCell ref="B62:B64"/>
    <mergeCell ref="C62:C64"/>
    <mergeCell ref="D62:D64"/>
    <mergeCell ref="A65:A67"/>
    <mergeCell ref="B65:B67"/>
    <mergeCell ref="C65:C67"/>
    <mergeCell ref="D65:D67"/>
    <mergeCell ref="A53:A55"/>
    <mergeCell ref="B53:B55"/>
    <mergeCell ref="C53:C55"/>
    <mergeCell ref="A56:A58"/>
    <mergeCell ref="B56:B58"/>
    <mergeCell ref="C56:C58"/>
    <mergeCell ref="D56:D58"/>
    <mergeCell ref="D53:D55"/>
    <mergeCell ref="A130:AC130"/>
    <mergeCell ref="A131:A133"/>
    <mergeCell ref="B131:B133"/>
    <mergeCell ref="C131:C133"/>
    <mergeCell ref="D131:D133"/>
    <mergeCell ref="A134:A136"/>
    <mergeCell ref="B134:B136"/>
    <mergeCell ref="C134:C136"/>
    <mergeCell ref="D134:D1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Normal="100" workbookViewId="0">
      <selection sqref="A1:L1"/>
    </sheetView>
  </sheetViews>
  <sheetFormatPr defaultColWidth="8.6640625" defaultRowHeight="13.2" x14ac:dyDescent="0.25"/>
  <cols>
    <col min="1" max="1" width="17.33203125" style="4" bestFit="1" customWidth="1"/>
    <col min="2" max="2" width="15.44140625" style="4" customWidth="1"/>
    <col min="3" max="3" width="19.33203125" style="4" customWidth="1"/>
    <col min="4" max="5" width="18.33203125" style="4" customWidth="1"/>
    <col min="6" max="8" width="13.6640625" style="4" customWidth="1"/>
    <col min="9" max="9" width="10.6640625" style="4" customWidth="1"/>
    <col min="10" max="10" width="13" style="4" customWidth="1"/>
    <col min="11" max="11" width="11.109375" style="4" customWidth="1"/>
    <col min="12" max="12" width="13.6640625" style="4" customWidth="1"/>
    <col min="13" max="13" width="8.6640625" style="4"/>
    <col min="14" max="14" width="17.33203125" style="4" bestFit="1" customWidth="1"/>
    <col min="15" max="15" width="10.5546875" style="4" customWidth="1"/>
    <col min="16" max="16" width="11" style="4" customWidth="1"/>
    <col min="17" max="17" width="17.88671875" style="4" customWidth="1"/>
    <col min="18" max="19" width="10.5546875" style="4" bestFit="1" customWidth="1"/>
    <col min="20" max="21" width="11.44140625" style="4" bestFit="1" customWidth="1"/>
    <col min="22" max="22" width="14.88671875" style="4" bestFit="1" customWidth="1"/>
    <col min="23" max="16384" width="8.6640625" style="4"/>
  </cols>
  <sheetData>
    <row r="1" spans="1:24" ht="33" customHeight="1" x14ac:dyDescent="0.3">
      <c r="A1" s="730" t="str">
        <f>"CalBEM Energy Consumption - "&amp;Prototype!B4</f>
        <v>CalBEM Energy Consumption - K-8 School</v>
      </c>
      <c r="B1" s="731"/>
      <c r="C1" s="731"/>
      <c r="D1" s="731"/>
      <c r="E1" s="731"/>
      <c r="F1" s="731"/>
      <c r="G1" s="731"/>
      <c r="H1" s="731"/>
      <c r="I1" s="731"/>
      <c r="J1" s="731"/>
      <c r="K1" s="731"/>
      <c r="L1" s="731"/>
      <c r="M1"/>
      <c r="N1" s="732" t="str">
        <f>"Energy Consumption - "&amp;Prototype!A2</f>
        <v>Energy Consumption - SchoolK-8</v>
      </c>
      <c r="O1" s="733"/>
      <c r="P1" s="733"/>
      <c r="Q1" s="733"/>
      <c r="R1" s="733"/>
      <c r="S1" s="733"/>
      <c r="T1" s="733"/>
      <c r="U1" s="733"/>
      <c r="V1" s="733"/>
      <c r="W1"/>
      <c r="X1"/>
    </row>
    <row r="2" spans="1:24" ht="62.25" customHeight="1" x14ac:dyDescent="0.3">
      <c r="A2" s="457" t="s">
        <v>8</v>
      </c>
      <c r="B2" s="457" t="s">
        <v>696</v>
      </c>
      <c r="C2" s="457" t="s">
        <v>697</v>
      </c>
      <c r="D2" s="457" t="s">
        <v>698</v>
      </c>
      <c r="E2" s="457" t="s">
        <v>699</v>
      </c>
      <c r="F2" s="457" t="s">
        <v>700</v>
      </c>
      <c r="G2" s="457" t="s">
        <v>701</v>
      </c>
      <c r="H2" s="457" t="s">
        <v>702</v>
      </c>
      <c r="I2" s="220" t="s">
        <v>703</v>
      </c>
      <c r="J2" s="220" t="s">
        <v>704</v>
      </c>
      <c r="K2" s="220" t="s">
        <v>705</v>
      </c>
      <c r="L2" s="220" t="s">
        <v>706</v>
      </c>
      <c r="N2" s="217" t="s">
        <v>8</v>
      </c>
      <c r="O2" s="457" t="s">
        <v>696</v>
      </c>
      <c r="P2" s="457" t="s">
        <v>707</v>
      </c>
      <c r="Q2" s="457" t="s">
        <v>708</v>
      </c>
      <c r="R2" s="457" t="s">
        <v>709</v>
      </c>
      <c r="S2" s="221" t="s">
        <v>710</v>
      </c>
      <c r="T2" s="221" t="s">
        <v>711</v>
      </c>
      <c r="U2" s="221" t="s">
        <v>712</v>
      </c>
      <c r="V2" s="221" t="s">
        <v>713</v>
      </c>
      <c r="W2"/>
      <c r="X2"/>
    </row>
    <row r="3" spans="1:24" ht="19.2" customHeight="1" x14ac:dyDescent="0.3">
      <c r="A3" s="542" t="str">
        <f>Prototype!B4</f>
        <v>K-8 School</v>
      </c>
      <c r="B3" s="447">
        <v>1</v>
      </c>
      <c r="C3" s="491"/>
      <c r="D3" s="491"/>
      <c r="E3" s="491"/>
      <c r="F3" s="447"/>
      <c r="G3" s="447"/>
      <c r="H3" s="447"/>
      <c r="I3" s="447"/>
      <c r="J3" s="491"/>
      <c r="K3" s="491"/>
      <c r="L3" s="491"/>
      <c r="N3" s="538" t="str">
        <f>Prototype!B4</f>
        <v>K-8 School</v>
      </c>
      <c r="O3" s="222">
        <v>1</v>
      </c>
      <c r="P3" s="124">
        <v>7618.5336979987769</v>
      </c>
      <c r="Q3" s="223">
        <v>32.349175832782279</v>
      </c>
      <c r="R3" s="223">
        <v>12.848136512515758</v>
      </c>
      <c r="S3" s="224">
        <v>55.364803618873651</v>
      </c>
      <c r="T3" s="492">
        <f>S3*1.25</f>
        <v>69.206004523592071</v>
      </c>
      <c r="U3" s="492">
        <f>S3*0.75</f>
        <v>41.523602714155238</v>
      </c>
      <c r="V3" s="225">
        <f>T3-U3</f>
        <v>27.682401809436833</v>
      </c>
      <c r="W3"/>
      <c r="X3"/>
    </row>
    <row r="4" spans="1:24" ht="19.2" customHeight="1" x14ac:dyDescent="0.3">
      <c r="A4" s="542"/>
      <c r="B4" s="447">
        <v>2</v>
      </c>
      <c r="C4" s="491"/>
      <c r="D4" s="491"/>
      <c r="E4" s="491"/>
      <c r="F4" s="447"/>
      <c r="G4" s="447"/>
      <c r="H4" s="447"/>
      <c r="I4" s="447"/>
      <c r="J4" s="491"/>
      <c r="K4" s="491"/>
      <c r="L4" s="491"/>
      <c r="N4" s="538"/>
      <c r="O4" s="222">
        <v>2</v>
      </c>
      <c r="P4" s="124">
        <v>11477.670560957027</v>
      </c>
      <c r="Q4" s="223">
        <v>15.421598301121483</v>
      </c>
      <c r="R4" s="223">
        <v>12.913999186871132</v>
      </c>
      <c r="S4" s="224">
        <v>47.89328303362015</v>
      </c>
      <c r="T4" s="492">
        <f t="shared" ref="T4:T18" si="0">S4*1.25</f>
        <v>59.866603792025188</v>
      </c>
      <c r="U4" s="492">
        <f t="shared" ref="U4:U18" si="1">S4*0.75</f>
        <v>35.919962275215113</v>
      </c>
      <c r="V4" s="225">
        <f t="shared" ref="V4:V18" si="2">T4-U4</f>
        <v>23.946641516810075</v>
      </c>
      <c r="W4"/>
      <c r="X4"/>
    </row>
    <row r="5" spans="1:24" ht="19.2" customHeight="1" x14ac:dyDescent="0.3">
      <c r="A5" s="542"/>
      <c r="B5" s="447">
        <v>3</v>
      </c>
      <c r="C5" s="491"/>
      <c r="D5" s="491"/>
      <c r="E5" s="491"/>
      <c r="F5" s="447"/>
      <c r="G5" s="447"/>
      <c r="H5" s="447"/>
      <c r="I5" s="447"/>
      <c r="J5" s="491"/>
      <c r="K5" s="491"/>
      <c r="L5" s="491"/>
      <c r="N5" s="538"/>
      <c r="O5" s="222">
        <v>3</v>
      </c>
      <c r="P5" s="124">
        <v>46411.860464613921</v>
      </c>
      <c r="Q5" s="223">
        <v>20.479594859366287</v>
      </c>
      <c r="R5" s="223">
        <v>12.79924807855271</v>
      </c>
      <c r="S5" s="224">
        <v>100.09497401574612</v>
      </c>
      <c r="T5" s="492">
        <f t="shared" si="0"/>
        <v>125.11871751968265</v>
      </c>
      <c r="U5" s="492">
        <f t="shared" si="1"/>
        <v>75.071230511809588</v>
      </c>
      <c r="V5" s="225">
        <f t="shared" si="2"/>
        <v>50.047487007873059</v>
      </c>
      <c r="W5"/>
      <c r="X5"/>
    </row>
    <row r="6" spans="1:24" ht="19.2" customHeight="1" x14ac:dyDescent="0.3">
      <c r="A6" s="542"/>
      <c r="B6" s="447">
        <v>4</v>
      </c>
      <c r="C6" s="491"/>
      <c r="D6" s="491"/>
      <c r="E6" s="491"/>
      <c r="F6" s="447"/>
      <c r="G6" s="447"/>
      <c r="H6" s="447"/>
      <c r="I6" s="447"/>
      <c r="J6" s="491"/>
      <c r="K6" s="491"/>
      <c r="L6" s="491"/>
      <c r="N6" s="538"/>
      <c r="O6" s="222">
        <v>4</v>
      </c>
      <c r="P6" s="124">
        <v>23032.968012628033</v>
      </c>
      <c r="Q6" s="223">
        <v>21.493730276699399</v>
      </c>
      <c r="R6" s="223">
        <v>13.019766805689686</v>
      </c>
      <c r="S6" s="224">
        <v>106.62132635774194</v>
      </c>
      <c r="T6" s="492">
        <f t="shared" si="0"/>
        <v>133.27665794717743</v>
      </c>
      <c r="U6" s="492">
        <f t="shared" si="1"/>
        <v>79.965994768306444</v>
      </c>
      <c r="V6" s="225">
        <f t="shared" si="2"/>
        <v>53.310663178870982</v>
      </c>
      <c r="W6"/>
      <c r="X6"/>
    </row>
    <row r="7" spans="1:24" ht="19.2" customHeight="1" x14ac:dyDescent="0.3">
      <c r="A7" s="542"/>
      <c r="B7" s="447">
        <v>5</v>
      </c>
      <c r="C7" s="491"/>
      <c r="D7" s="491"/>
      <c r="E7" s="491"/>
      <c r="F7" s="447"/>
      <c r="G7" s="447"/>
      <c r="H7" s="447"/>
      <c r="I7" s="447"/>
      <c r="J7" s="491"/>
      <c r="K7" s="491"/>
      <c r="L7" s="491"/>
      <c r="N7" s="538"/>
      <c r="O7" s="222">
        <v>5</v>
      </c>
      <c r="P7" s="124">
        <v>5978.4428422392912</v>
      </c>
      <c r="Q7" s="223">
        <v>11.998072326077015</v>
      </c>
      <c r="R7" s="223">
        <v>11.585185132606563</v>
      </c>
      <c r="S7" s="224">
        <v>59.149270516191649</v>
      </c>
      <c r="T7" s="492">
        <f t="shared" si="0"/>
        <v>73.936588145239568</v>
      </c>
      <c r="U7" s="492">
        <f t="shared" si="1"/>
        <v>44.361952887143737</v>
      </c>
      <c r="V7" s="225">
        <f t="shared" si="2"/>
        <v>29.574635258095832</v>
      </c>
      <c r="W7"/>
      <c r="X7"/>
    </row>
    <row r="8" spans="1:24" ht="19.2" customHeight="1" x14ac:dyDescent="0.3">
      <c r="A8" s="542"/>
      <c r="B8" s="447">
        <v>6</v>
      </c>
      <c r="C8" s="491"/>
      <c r="D8" s="491"/>
      <c r="E8" s="491"/>
      <c r="F8" s="447"/>
      <c r="G8" s="447"/>
      <c r="H8" s="447"/>
      <c r="I8" s="447"/>
      <c r="J8" s="491"/>
      <c r="K8" s="491"/>
      <c r="L8" s="491"/>
      <c r="N8" s="538"/>
      <c r="O8" s="222">
        <v>6</v>
      </c>
      <c r="P8" s="124">
        <v>57755.958884938154</v>
      </c>
      <c r="Q8" s="223">
        <v>22.607348922099643</v>
      </c>
      <c r="R8" s="223">
        <v>9.9467421462334809</v>
      </c>
      <c r="S8" s="224">
        <v>82.347487870533669</v>
      </c>
      <c r="T8" s="492">
        <f t="shared" si="0"/>
        <v>102.93435983816708</v>
      </c>
      <c r="U8" s="492">
        <f t="shared" si="1"/>
        <v>61.760615902900255</v>
      </c>
      <c r="V8" s="225">
        <f t="shared" si="2"/>
        <v>41.173743935266828</v>
      </c>
      <c r="W8"/>
      <c r="X8"/>
    </row>
    <row r="9" spans="1:24" ht="19.2" customHeight="1" x14ac:dyDescent="0.3">
      <c r="A9" s="542"/>
      <c r="B9" s="447">
        <v>7</v>
      </c>
      <c r="C9" s="491"/>
      <c r="D9" s="491"/>
      <c r="E9" s="491"/>
      <c r="F9" s="447"/>
      <c r="G9" s="447"/>
      <c r="H9" s="447"/>
      <c r="I9" s="447"/>
      <c r="J9" s="491"/>
      <c r="K9" s="491"/>
      <c r="L9" s="491"/>
      <c r="N9" s="538"/>
      <c r="O9" s="222">
        <v>7</v>
      </c>
      <c r="P9" s="124">
        <v>35149.992570854702</v>
      </c>
      <c r="Q9" s="223">
        <v>24.848388187104383</v>
      </c>
      <c r="R9" s="223">
        <v>6.9700357314851695</v>
      </c>
      <c r="S9" s="224">
        <v>88.553475966326303</v>
      </c>
      <c r="T9" s="492">
        <f t="shared" si="0"/>
        <v>110.69184495790788</v>
      </c>
      <c r="U9" s="492">
        <f t="shared" si="1"/>
        <v>66.415106974744731</v>
      </c>
      <c r="V9" s="225">
        <f t="shared" si="2"/>
        <v>44.276737983163144</v>
      </c>
      <c r="W9"/>
      <c r="X9"/>
    </row>
    <row r="10" spans="1:24" ht="19.2" customHeight="1" x14ac:dyDescent="0.3">
      <c r="A10" s="542"/>
      <c r="B10" s="447">
        <v>8</v>
      </c>
      <c r="C10" s="491"/>
      <c r="D10" s="491"/>
      <c r="E10" s="491"/>
      <c r="F10" s="447"/>
      <c r="G10" s="447"/>
      <c r="H10" s="447"/>
      <c r="I10" s="447"/>
      <c r="J10" s="491"/>
      <c r="K10" s="491"/>
      <c r="L10" s="491"/>
      <c r="N10" s="538"/>
      <c r="O10" s="222">
        <v>8</v>
      </c>
      <c r="P10" s="124">
        <v>92353.411344595792</v>
      </c>
      <c r="Q10" s="223">
        <v>22.935329040550439</v>
      </c>
      <c r="R10" s="223">
        <v>8.842202966161631</v>
      </c>
      <c r="S10" s="224">
        <v>103.44180549732351</v>
      </c>
      <c r="T10" s="492">
        <f t="shared" si="0"/>
        <v>129.30225687165438</v>
      </c>
      <c r="U10" s="492">
        <f t="shared" si="1"/>
        <v>77.581354122992636</v>
      </c>
      <c r="V10" s="225">
        <f t="shared" si="2"/>
        <v>51.720902748661743</v>
      </c>
      <c r="W10"/>
      <c r="X10"/>
    </row>
    <row r="11" spans="1:24" ht="19.2" customHeight="1" x14ac:dyDescent="0.3">
      <c r="A11" s="542"/>
      <c r="B11" s="447">
        <v>9</v>
      </c>
      <c r="C11" s="491"/>
      <c r="D11" s="491"/>
      <c r="E11" s="491"/>
      <c r="F11" s="447"/>
      <c r="G11" s="447"/>
      <c r="H11" s="447"/>
      <c r="I11" s="447"/>
      <c r="J11" s="491"/>
      <c r="K11" s="491"/>
      <c r="L11" s="491"/>
      <c r="N11" s="538"/>
      <c r="O11" s="222">
        <v>9</v>
      </c>
      <c r="P11" s="124">
        <v>141795.4505918849</v>
      </c>
      <c r="Q11" s="223">
        <v>26.79734320498693</v>
      </c>
      <c r="R11" s="223">
        <v>10.089066914098808</v>
      </c>
      <c r="S11" s="224">
        <v>119.15131578438451</v>
      </c>
      <c r="T11" s="492">
        <f t="shared" si="0"/>
        <v>148.93914473048062</v>
      </c>
      <c r="U11" s="492">
        <f t="shared" si="1"/>
        <v>89.363486838288381</v>
      </c>
      <c r="V11" s="225">
        <f t="shared" si="2"/>
        <v>59.57565789219224</v>
      </c>
      <c r="W11"/>
      <c r="X11"/>
    </row>
    <row r="12" spans="1:24" ht="19.2" customHeight="1" x14ac:dyDescent="0.3">
      <c r="A12" s="542"/>
      <c r="B12" s="447">
        <v>10</v>
      </c>
      <c r="C12" s="491"/>
      <c r="D12" s="491"/>
      <c r="E12" s="491"/>
      <c r="F12" s="447"/>
      <c r="G12" s="447"/>
      <c r="H12" s="447"/>
      <c r="I12" s="447"/>
      <c r="J12" s="491"/>
      <c r="K12" s="491"/>
      <c r="L12" s="491"/>
      <c r="N12" s="538"/>
      <c r="O12" s="222">
        <v>10</v>
      </c>
      <c r="P12" s="124">
        <v>92589.866923099296</v>
      </c>
      <c r="Q12" s="223">
        <v>22.490400741547862</v>
      </c>
      <c r="R12" s="223">
        <v>10.108975274600024</v>
      </c>
      <c r="S12" s="224">
        <v>67.419104208774073</v>
      </c>
      <c r="T12" s="492">
        <f t="shared" si="0"/>
        <v>84.273880260967587</v>
      </c>
      <c r="U12" s="492">
        <f t="shared" si="1"/>
        <v>50.564328156580558</v>
      </c>
      <c r="V12" s="225">
        <f t="shared" si="2"/>
        <v>33.709552104387029</v>
      </c>
      <c r="W12"/>
      <c r="X12"/>
    </row>
    <row r="13" spans="1:24" ht="19.2" customHeight="1" x14ac:dyDescent="0.3">
      <c r="A13" s="542"/>
      <c r="B13" s="447">
        <v>11</v>
      </c>
      <c r="C13" s="491"/>
      <c r="D13" s="491"/>
      <c r="E13" s="491"/>
      <c r="F13" s="447"/>
      <c r="G13" s="447"/>
      <c r="H13" s="447"/>
      <c r="I13" s="447"/>
      <c r="J13" s="491"/>
      <c r="K13" s="491"/>
      <c r="L13" s="491"/>
      <c r="N13" s="538"/>
      <c r="O13" s="222">
        <v>11</v>
      </c>
      <c r="P13" s="124">
        <v>33810.488428667806</v>
      </c>
      <c r="Q13" s="223">
        <v>26.928661316570114</v>
      </c>
      <c r="R13" s="223">
        <v>8.7604369989222359</v>
      </c>
      <c r="S13" s="224">
        <v>68.839252987034271</v>
      </c>
      <c r="T13" s="492">
        <f t="shared" si="0"/>
        <v>86.049066233792843</v>
      </c>
      <c r="U13" s="492">
        <f t="shared" si="1"/>
        <v>51.6294397402757</v>
      </c>
      <c r="V13" s="225">
        <f t="shared" si="2"/>
        <v>34.419626493517143</v>
      </c>
      <c r="W13"/>
      <c r="X13"/>
    </row>
    <row r="14" spans="1:24" ht="19.2" customHeight="1" x14ac:dyDescent="0.3">
      <c r="A14" s="542"/>
      <c r="B14" s="447">
        <v>12</v>
      </c>
      <c r="C14" s="491"/>
      <c r="D14" s="491"/>
      <c r="E14" s="491"/>
      <c r="F14" s="447"/>
      <c r="G14" s="447"/>
      <c r="H14" s="447"/>
      <c r="I14" s="447"/>
      <c r="J14" s="491"/>
      <c r="K14" s="491"/>
      <c r="L14" s="491"/>
      <c r="N14" s="538"/>
      <c r="O14" s="222">
        <v>12</v>
      </c>
      <c r="P14" s="124">
        <v>108342.43412674296</v>
      </c>
      <c r="Q14" s="223">
        <v>31.799593721150607</v>
      </c>
      <c r="R14" s="223">
        <v>12.230299256797961</v>
      </c>
      <c r="S14" s="224">
        <v>85.58737128246608</v>
      </c>
      <c r="T14" s="492">
        <f t="shared" si="0"/>
        <v>106.98421410308259</v>
      </c>
      <c r="U14" s="492">
        <f t="shared" si="1"/>
        <v>64.190528461849567</v>
      </c>
      <c r="V14" s="225">
        <f t="shared" si="2"/>
        <v>42.793685641233026</v>
      </c>
      <c r="W14"/>
      <c r="X14"/>
    </row>
    <row r="15" spans="1:24" ht="19.2" customHeight="1" x14ac:dyDescent="0.3">
      <c r="A15" s="542"/>
      <c r="B15" s="447">
        <v>13</v>
      </c>
      <c r="C15" s="491"/>
      <c r="D15" s="491"/>
      <c r="E15" s="491"/>
      <c r="F15" s="447"/>
      <c r="G15" s="447"/>
      <c r="H15" s="447"/>
      <c r="I15" s="447"/>
      <c r="J15" s="491"/>
      <c r="K15" s="491"/>
      <c r="L15" s="491"/>
      <c r="N15" s="538"/>
      <c r="O15" s="222">
        <v>13</v>
      </c>
      <c r="P15" s="124">
        <v>46676.807804914482</v>
      </c>
      <c r="Q15" s="223">
        <v>32.656044140076112</v>
      </c>
      <c r="R15" s="223">
        <v>15.473533802907214</v>
      </c>
      <c r="S15" s="224">
        <v>57.735690126779041</v>
      </c>
      <c r="T15" s="492">
        <f t="shared" si="0"/>
        <v>72.169612658473795</v>
      </c>
      <c r="U15" s="492">
        <f t="shared" si="1"/>
        <v>43.301767595084279</v>
      </c>
      <c r="V15" s="225">
        <f t="shared" si="2"/>
        <v>28.867845063389517</v>
      </c>
      <c r="W15"/>
      <c r="X15"/>
    </row>
    <row r="16" spans="1:24" ht="19.2" customHeight="1" x14ac:dyDescent="0.3">
      <c r="A16" s="542"/>
      <c r="B16" s="447">
        <v>14</v>
      </c>
      <c r="C16" s="491"/>
      <c r="D16" s="491"/>
      <c r="E16" s="491"/>
      <c r="F16" s="447"/>
      <c r="G16" s="447"/>
      <c r="H16" s="447"/>
      <c r="I16" s="447"/>
      <c r="J16" s="491"/>
      <c r="K16" s="491"/>
      <c r="L16" s="491"/>
      <c r="N16" s="538"/>
      <c r="O16" s="222">
        <v>14</v>
      </c>
      <c r="P16" s="124">
        <v>22787.738910986311</v>
      </c>
      <c r="Q16" s="223">
        <v>21.807169831743543</v>
      </c>
      <c r="R16" s="223">
        <v>11.433166078385915</v>
      </c>
      <c r="S16" s="224">
        <v>68.502534470485045</v>
      </c>
      <c r="T16" s="492">
        <f t="shared" si="0"/>
        <v>85.628168088106307</v>
      </c>
      <c r="U16" s="492">
        <f t="shared" si="1"/>
        <v>51.376900852863784</v>
      </c>
      <c r="V16" s="225">
        <f t="shared" si="2"/>
        <v>34.251267235242523</v>
      </c>
      <c r="W16"/>
      <c r="X16"/>
    </row>
    <row r="17" spans="1:24" ht="19.2" customHeight="1" x14ac:dyDescent="0.3">
      <c r="A17" s="542"/>
      <c r="B17" s="447">
        <v>15</v>
      </c>
      <c r="C17" s="491"/>
      <c r="D17" s="491"/>
      <c r="E17" s="491"/>
      <c r="F17" s="447"/>
      <c r="G17" s="447"/>
      <c r="H17" s="447"/>
      <c r="I17" s="447"/>
      <c r="J17" s="491"/>
      <c r="K17" s="491"/>
      <c r="L17" s="491"/>
      <c r="N17" s="538"/>
      <c r="O17" s="222">
        <v>15</v>
      </c>
      <c r="P17" s="124">
        <v>54746.00286987007</v>
      </c>
      <c r="Q17" s="223">
        <v>21.954275213561427</v>
      </c>
      <c r="R17" s="223">
        <v>10.439126469769764</v>
      </c>
      <c r="S17" s="224">
        <v>47.715256155256746</v>
      </c>
      <c r="T17" s="492">
        <f t="shared" si="0"/>
        <v>59.644070194070935</v>
      </c>
      <c r="U17" s="492">
        <f t="shared" si="1"/>
        <v>35.786442116442558</v>
      </c>
      <c r="V17" s="225">
        <f t="shared" si="2"/>
        <v>23.857628077628377</v>
      </c>
      <c r="W17"/>
      <c r="X17"/>
    </row>
    <row r="18" spans="1:24" ht="19.2" customHeight="1" x14ac:dyDescent="0.3">
      <c r="A18" s="542"/>
      <c r="B18" s="447">
        <v>16</v>
      </c>
      <c r="C18" s="491"/>
      <c r="D18" s="491"/>
      <c r="E18" s="491"/>
      <c r="F18" s="447"/>
      <c r="G18" s="447"/>
      <c r="H18" s="447"/>
      <c r="I18" s="447"/>
      <c r="J18" s="491"/>
      <c r="K18" s="491"/>
      <c r="L18" s="491"/>
      <c r="N18" s="538"/>
      <c r="O18" s="222">
        <v>16</v>
      </c>
      <c r="P18" s="124">
        <v>85267.890424747078</v>
      </c>
      <c r="Q18" s="223">
        <v>27.026910677602114</v>
      </c>
      <c r="R18" s="223">
        <v>11.652926502476937</v>
      </c>
      <c r="S18" s="224">
        <v>67.576478394300892</v>
      </c>
      <c r="T18" s="492">
        <f t="shared" si="0"/>
        <v>84.470597992876122</v>
      </c>
      <c r="U18" s="492">
        <f t="shared" si="1"/>
        <v>50.682358795725669</v>
      </c>
      <c r="V18" s="225">
        <f t="shared" si="2"/>
        <v>33.788239197150453</v>
      </c>
      <c r="W18"/>
      <c r="X18"/>
    </row>
    <row r="19" spans="1:24" ht="12.75" customHeight="1" x14ac:dyDescent="0.25"/>
    <row r="20" spans="1:24" x14ac:dyDescent="0.25">
      <c r="Q20" s="4" t="s">
        <v>714</v>
      </c>
    </row>
    <row r="21" spans="1:24" ht="14.4" x14ac:dyDescent="0.3">
      <c r="A21"/>
      <c r="B21"/>
      <c r="Q21" s="4" t="s">
        <v>715</v>
      </c>
    </row>
    <row r="22" spans="1:24" ht="14.4" x14ac:dyDescent="0.3">
      <c r="A22"/>
      <c r="B22"/>
    </row>
    <row r="23" spans="1:24" ht="14.4" x14ac:dyDescent="0.3">
      <c r="A23"/>
      <c r="B23"/>
    </row>
    <row r="24" spans="1:24" ht="14.4" x14ac:dyDescent="0.3">
      <c r="A24"/>
      <c r="B24"/>
      <c r="O24"/>
      <c r="P24"/>
      <c r="Q24"/>
      <c r="R24"/>
      <c r="S24"/>
      <c r="T24"/>
      <c r="U24"/>
    </row>
    <row r="25" spans="1:24" customFormat="1" ht="14.4" x14ac:dyDescent="0.3"/>
    <row r="26" spans="1:24" ht="14.4" x14ac:dyDescent="0.3">
      <c r="A26"/>
      <c r="B26"/>
      <c r="O26"/>
      <c r="P26"/>
      <c r="Q26"/>
      <c r="R26"/>
      <c r="S26"/>
      <c r="T26"/>
      <c r="U26"/>
    </row>
    <row r="27" spans="1:24" ht="14.4" x14ac:dyDescent="0.3">
      <c r="A27"/>
      <c r="B27"/>
      <c r="O27"/>
      <c r="P27"/>
      <c r="Q27"/>
      <c r="R27"/>
      <c r="S27"/>
      <c r="T27"/>
      <c r="U27"/>
    </row>
    <row r="28" spans="1:24" ht="14.4" x14ac:dyDescent="0.3">
      <c r="A28"/>
      <c r="B28"/>
      <c r="O28"/>
      <c r="P28"/>
      <c r="Q28"/>
      <c r="R28"/>
      <c r="S28"/>
      <c r="T28"/>
      <c r="U28"/>
    </row>
    <row r="29" spans="1:24" ht="14.4" x14ac:dyDescent="0.3">
      <c r="A29"/>
      <c r="B29"/>
      <c r="O29"/>
      <c r="P29"/>
      <c r="Q29"/>
      <c r="R29"/>
      <c r="S29"/>
      <c r="T29"/>
      <c r="U29"/>
    </row>
    <row r="30" spans="1:24" ht="14.4" x14ac:dyDescent="0.3">
      <c r="A30"/>
      <c r="B30"/>
      <c r="O30"/>
      <c r="P30"/>
      <c r="Q30"/>
      <c r="R30"/>
      <c r="S30"/>
      <c r="T30"/>
      <c r="U30"/>
    </row>
    <row r="31" spans="1:24" ht="14.4" x14ac:dyDescent="0.3">
      <c r="A31"/>
      <c r="B31"/>
      <c r="O31"/>
      <c r="P31"/>
      <c r="Q31"/>
      <c r="R31"/>
      <c r="S31"/>
      <c r="T31"/>
      <c r="U31"/>
    </row>
    <row r="32" spans="1:24"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2"/>
  <sheetViews>
    <sheetView zoomScaleNormal="100" workbookViewId="0">
      <selection sqref="A1:E1"/>
    </sheetView>
  </sheetViews>
  <sheetFormatPr defaultColWidth="8.6640625" defaultRowHeight="13.2" x14ac:dyDescent="0.25"/>
  <cols>
    <col min="1" max="2" width="12" style="4" customWidth="1"/>
    <col min="3" max="6" width="13.6640625" style="4" customWidth="1"/>
    <col min="7" max="7" width="13.33203125" style="4" customWidth="1"/>
    <col min="8" max="8" width="12.6640625" style="4" bestFit="1" customWidth="1"/>
    <col min="9" max="9" width="20.44140625" style="4" bestFit="1" customWidth="1"/>
    <col min="10" max="10" width="12" style="4" customWidth="1"/>
    <col min="11" max="11" width="14.109375" style="4" customWidth="1"/>
    <col min="12" max="12" width="10.33203125" style="4" customWidth="1"/>
    <col min="13" max="27" width="5.6640625" style="4" customWidth="1"/>
    <col min="28" max="16384" width="8.6640625" style="4"/>
  </cols>
  <sheetData>
    <row r="1" spans="1:29" ht="28.95" customHeight="1" x14ac:dyDescent="0.3">
      <c r="A1" s="594" t="str">
        <f>"% of Floor Area per CZ and Vintage Bin - Schools"</f>
        <v>% of Floor Area per CZ and Vintage Bin - Schools</v>
      </c>
      <c r="B1" s="594"/>
      <c r="C1" s="616"/>
      <c r="D1" s="616"/>
      <c r="E1" s="616"/>
      <c r="F1" s="365"/>
      <c r="I1"/>
      <c r="J1"/>
      <c r="K1"/>
      <c r="L1"/>
      <c r="M1"/>
      <c r="N1"/>
      <c r="O1"/>
      <c r="P1"/>
      <c r="Q1"/>
      <c r="R1"/>
      <c r="S1"/>
      <c r="T1"/>
      <c r="U1"/>
      <c r="V1"/>
      <c r="W1"/>
      <c r="X1"/>
      <c r="Y1"/>
      <c r="Z1"/>
      <c r="AA1"/>
      <c r="AB1"/>
      <c r="AC1"/>
    </row>
    <row r="2" spans="1:29" ht="21" customHeight="1" x14ac:dyDescent="0.3">
      <c r="A2" s="739" t="s">
        <v>8</v>
      </c>
      <c r="B2" s="737" t="s">
        <v>696</v>
      </c>
      <c r="C2" s="734" t="s">
        <v>716</v>
      </c>
      <c r="D2" s="734"/>
      <c r="E2" s="734"/>
      <c r="F2" s="734"/>
      <c r="H2"/>
      <c r="I2"/>
      <c r="J2"/>
      <c r="K2"/>
      <c r="L2"/>
      <c r="M2"/>
      <c r="N2"/>
      <c r="O2"/>
      <c r="P2"/>
      <c r="Q2"/>
      <c r="R2"/>
      <c r="S2"/>
      <c r="T2"/>
      <c r="U2"/>
      <c r="V2"/>
      <c r="W2"/>
      <c r="X2"/>
      <c r="Y2"/>
      <c r="Z2"/>
      <c r="AA2"/>
      <c r="AB2"/>
    </row>
    <row r="3" spans="1:29" ht="21" customHeight="1" x14ac:dyDescent="0.3">
      <c r="A3" s="738"/>
      <c r="B3" s="738"/>
      <c r="C3" s="458" t="s">
        <v>717</v>
      </c>
      <c r="D3" s="458" t="s">
        <v>266</v>
      </c>
      <c r="E3" s="458" t="s">
        <v>268</v>
      </c>
      <c r="F3" s="458" t="s">
        <v>270</v>
      </c>
      <c r="H3"/>
      <c r="I3"/>
      <c r="J3"/>
      <c r="K3"/>
      <c r="L3"/>
      <c r="M3"/>
      <c r="N3"/>
      <c r="O3"/>
      <c r="P3"/>
      <c r="Q3"/>
      <c r="R3"/>
      <c r="S3"/>
      <c r="T3"/>
      <c r="U3"/>
      <c r="V3"/>
      <c r="W3"/>
      <c r="X3"/>
      <c r="Y3"/>
      <c r="Z3"/>
      <c r="AA3"/>
      <c r="AB3"/>
    </row>
    <row r="4" spans="1:29" ht="16.95" customHeight="1" x14ac:dyDescent="0.3">
      <c r="A4" s="735" t="str">
        <f>Prototype!B4</f>
        <v>K-8 School</v>
      </c>
      <c r="B4" s="96">
        <v>1</v>
      </c>
      <c r="C4" s="216"/>
      <c r="D4" s="216"/>
      <c r="E4" s="216"/>
      <c r="F4" s="216"/>
      <c r="G4" s="60">
        <f t="shared" ref="G4:G19" si="0">SUM(C4:F4)</f>
        <v>0</v>
      </c>
      <c r="H4"/>
      <c r="I4"/>
      <c r="J4"/>
      <c r="K4"/>
      <c r="L4"/>
      <c r="M4"/>
      <c r="N4"/>
      <c r="O4"/>
      <c r="P4"/>
      <c r="Q4"/>
      <c r="R4"/>
      <c r="S4"/>
      <c r="T4"/>
      <c r="U4"/>
      <c r="V4"/>
      <c r="W4"/>
      <c r="X4"/>
      <c r="Y4"/>
      <c r="Z4"/>
      <c r="AA4"/>
      <c r="AB4"/>
    </row>
    <row r="5" spans="1:29" ht="16.95" customHeight="1" x14ac:dyDescent="0.3">
      <c r="A5" s="736"/>
      <c r="B5" s="36">
        <v>2</v>
      </c>
      <c r="C5" s="37"/>
      <c r="D5" s="37"/>
      <c r="E5" s="37"/>
      <c r="F5" s="37"/>
      <c r="G5" s="60">
        <f t="shared" si="0"/>
        <v>0</v>
      </c>
      <c r="H5"/>
      <c r="I5"/>
      <c r="J5"/>
      <c r="K5"/>
      <c r="L5"/>
      <c r="M5"/>
      <c r="N5"/>
      <c r="O5"/>
      <c r="P5"/>
      <c r="Q5"/>
      <c r="R5"/>
      <c r="S5"/>
      <c r="T5"/>
      <c r="U5"/>
      <c r="V5"/>
      <c r="W5"/>
      <c r="X5"/>
      <c r="Y5"/>
      <c r="Z5"/>
      <c r="AA5"/>
      <c r="AB5"/>
    </row>
    <row r="6" spans="1:29" ht="16.95" customHeight="1" x14ac:dyDescent="0.3">
      <c r="A6" s="736"/>
      <c r="B6" s="36">
        <v>3</v>
      </c>
      <c r="C6" s="37"/>
      <c r="D6" s="37"/>
      <c r="E6" s="37"/>
      <c r="F6" s="37"/>
      <c r="G6" s="60">
        <f t="shared" si="0"/>
        <v>0</v>
      </c>
      <c r="H6"/>
      <c r="I6"/>
      <c r="J6"/>
      <c r="K6"/>
      <c r="L6"/>
      <c r="M6"/>
      <c r="N6"/>
      <c r="O6"/>
      <c r="P6"/>
      <c r="Q6"/>
      <c r="R6"/>
      <c r="S6"/>
      <c r="T6"/>
      <c r="U6"/>
      <c r="V6"/>
      <c r="W6"/>
      <c r="X6"/>
      <c r="Y6"/>
      <c r="Z6"/>
      <c r="AA6"/>
      <c r="AB6"/>
    </row>
    <row r="7" spans="1:29" ht="16.95" customHeight="1" x14ac:dyDescent="0.3">
      <c r="A7" s="736"/>
      <c r="B7" s="36">
        <v>4</v>
      </c>
      <c r="C7" s="37"/>
      <c r="D7" s="37"/>
      <c r="E7" s="37"/>
      <c r="F7" s="37"/>
      <c r="G7" s="60">
        <f t="shared" si="0"/>
        <v>0</v>
      </c>
      <c r="H7"/>
      <c r="I7"/>
      <c r="J7"/>
      <c r="K7"/>
      <c r="L7"/>
      <c r="M7"/>
      <c r="N7"/>
      <c r="O7"/>
      <c r="P7"/>
      <c r="Q7"/>
      <c r="R7"/>
      <c r="S7"/>
      <c r="T7"/>
      <c r="U7"/>
      <c r="V7"/>
      <c r="W7"/>
      <c r="X7"/>
      <c r="Y7"/>
      <c r="Z7"/>
      <c r="AA7"/>
      <c r="AB7"/>
    </row>
    <row r="8" spans="1:29" ht="16.95" customHeight="1" x14ac:dyDescent="0.3">
      <c r="A8" s="736"/>
      <c r="B8" s="36">
        <v>5</v>
      </c>
      <c r="C8" s="37"/>
      <c r="D8" s="37"/>
      <c r="E8" s="37"/>
      <c r="F8" s="37"/>
      <c r="G8" s="60">
        <f t="shared" si="0"/>
        <v>0</v>
      </c>
      <c r="H8"/>
      <c r="I8"/>
      <c r="J8"/>
      <c r="K8"/>
      <c r="L8"/>
      <c r="M8"/>
      <c r="N8"/>
      <c r="O8"/>
      <c r="P8"/>
      <c r="Q8"/>
      <c r="R8"/>
      <c r="S8"/>
      <c r="T8"/>
      <c r="U8"/>
      <c r="V8"/>
      <c r="W8"/>
      <c r="X8"/>
      <c r="Y8"/>
      <c r="Z8"/>
      <c r="AA8"/>
      <c r="AB8"/>
    </row>
    <row r="9" spans="1:29" ht="16.95" customHeight="1" x14ac:dyDescent="0.3">
      <c r="A9" s="736"/>
      <c r="B9" s="36">
        <v>6</v>
      </c>
      <c r="C9" s="37"/>
      <c r="D9" s="37"/>
      <c r="E9" s="37"/>
      <c r="F9" s="37"/>
      <c r="G9" s="60">
        <f t="shared" si="0"/>
        <v>0</v>
      </c>
      <c r="H9"/>
      <c r="I9"/>
      <c r="J9"/>
      <c r="K9"/>
      <c r="L9"/>
      <c r="M9"/>
      <c r="N9"/>
      <c r="O9"/>
      <c r="P9"/>
      <c r="Q9"/>
      <c r="R9"/>
      <c r="S9"/>
      <c r="T9"/>
      <c r="U9"/>
      <c r="V9"/>
      <c r="W9"/>
      <c r="X9"/>
      <c r="Y9"/>
      <c r="Z9"/>
      <c r="AA9"/>
      <c r="AB9"/>
    </row>
    <row r="10" spans="1:29" ht="16.95" customHeight="1" x14ac:dyDescent="0.3">
      <c r="A10" s="736"/>
      <c r="B10" s="36">
        <v>7</v>
      </c>
      <c r="C10" s="37"/>
      <c r="D10" s="37"/>
      <c r="E10" s="37"/>
      <c r="F10" s="37"/>
      <c r="G10" s="60">
        <f t="shared" si="0"/>
        <v>0</v>
      </c>
      <c r="H10"/>
      <c r="I10"/>
      <c r="J10"/>
      <c r="K10"/>
      <c r="L10"/>
      <c r="M10"/>
      <c r="N10"/>
      <c r="O10"/>
      <c r="P10"/>
      <c r="Q10"/>
      <c r="R10"/>
      <c r="S10"/>
      <c r="T10"/>
      <c r="U10"/>
      <c r="V10"/>
      <c r="W10"/>
      <c r="X10"/>
      <c r="Y10"/>
      <c r="Z10"/>
      <c r="AA10"/>
      <c r="AB10"/>
    </row>
    <row r="11" spans="1:29" ht="16.95" customHeight="1" x14ac:dyDescent="0.25">
      <c r="A11" s="736"/>
      <c r="B11" s="36">
        <v>8</v>
      </c>
      <c r="C11" s="37"/>
      <c r="D11" s="37"/>
      <c r="E11" s="37"/>
      <c r="F11" s="37"/>
      <c r="G11" s="60">
        <f t="shared" si="0"/>
        <v>0</v>
      </c>
      <c r="I11" s="6"/>
      <c r="J11" s="58"/>
      <c r="K11" s="28"/>
      <c r="L11" s="28"/>
      <c r="M11" s="28"/>
      <c r="N11" s="28"/>
      <c r="O11" s="59"/>
    </row>
    <row r="12" spans="1:29" ht="16.95" customHeight="1" x14ac:dyDescent="0.25">
      <c r="A12" s="736"/>
      <c r="B12" s="36">
        <v>9</v>
      </c>
      <c r="C12" s="37"/>
      <c r="D12" s="37"/>
      <c r="E12" s="37"/>
      <c r="F12" s="37"/>
      <c r="G12" s="60">
        <f t="shared" si="0"/>
        <v>0</v>
      </c>
      <c r="I12" s="6"/>
      <c r="J12" s="58"/>
      <c r="K12" s="28"/>
      <c r="L12" s="28"/>
      <c r="M12" s="28"/>
      <c r="N12" s="28"/>
      <c r="O12" s="59"/>
    </row>
    <row r="13" spans="1:29" ht="16.95" customHeight="1" x14ac:dyDescent="0.25">
      <c r="A13" s="736"/>
      <c r="B13" s="36">
        <v>10</v>
      </c>
      <c r="C13" s="37"/>
      <c r="D13" s="37"/>
      <c r="E13" s="37"/>
      <c r="F13" s="37"/>
      <c r="G13" s="60">
        <f t="shared" si="0"/>
        <v>0</v>
      </c>
      <c r="I13" s="6"/>
      <c r="J13" s="58"/>
      <c r="K13" s="28"/>
      <c r="L13" s="28"/>
      <c r="M13" s="28"/>
      <c r="N13" s="28"/>
      <c r="O13" s="59"/>
    </row>
    <row r="14" spans="1:29" ht="16.95" customHeight="1" x14ac:dyDescent="0.25">
      <c r="A14" s="736"/>
      <c r="B14" s="36">
        <v>11</v>
      </c>
      <c r="C14" s="37"/>
      <c r="D14" s="37"/>
      <c r="E14" s="37"/>
      <c r="F14" s="37"/>
      <c r="G14" s="60">
        <f t="shared" si="0"/>
        <v>0</v>
      </c>
      <c r="I14" s="6"/>
      <c r="J14" s="58"/>
      <c r="K14" s="28"/>
      <c r="L14" s="28"/>
      <c r="M14" s="28"/>
      <c r="N14" s="28"/>
      <c r="O14" s="59"/>
    </row>
    <row r="15" spans="1:29" ht="16.95" customHeight="1" x14ac:dyDescent="0.25">
      <c r="A15" s="736"/>
      <c r="B15" s="36">
        <v>12</v>
      </c>
      <c r="C15" s="37"/>
      <c r="D15" s="37"/>
      <c r="E15" s="37"/>
      <c r="F15" s="37"/>
      <c r="G15" s="60">
        <f t="shared" si="0"/>
        <v>0</v>
      </c>
      <c r="I15" s="6"/>
      <c r="J15" s="58"/>
      <c r="K15" s="28"/>
      <c r="L15" s="28"/>
      <c r="M15" s="28"/>
      <c r="N15" s="28"/>
      <c r="O15" s="59"/>
    </row>
    <row r="16" spans="1:29" ht="16.95" customHeight="1" x14ac:dyDescent="0.25">
      <c r="A16" s="736"/>
      <c r="B16" s="36">
        <v>13</v>
      </c>
      <c r="C16" s="37"/>
      <c r="D16" s="37"/>
      <c r="E16" s="37"/>
      <c r="F16" s="37"/>
      <c r="G16" s="60">
        <f t="shared" si="0"/>
        <v>0</v>
      </c>
      <c r="I16" s="6"/>
      <c r="J16" s="58"/>
      <c r="K16" s="28"/>
      <c r="L16" s="28"/>
      <c r="M16" s="28"/>
      <c r="N16" s="28"/>
      <c r="O16" s="59"/>
    </row>
    <row r="17" spans="1:15" ht="16.95" customHeight="1" x14ac:dyDescent="0.25">
      <c r="A17" s="736"/>
      <c r="B17" s="36">
        <v>14</v>
      </c>
      <c r="C17" s="37"/>
      <c r="D17" s="37"/>
      <c r="E17" s="37"/>
      <c r="F17" s="37"/>
      <c r="G17" s="60">
        <f t="shared" si="0"/>
        <v>0</v>
      </c>
      <c r="I17" s="6"/>
      <c r="J17" s="58"/>
      <c r="K17" s="28"/>
      <c r="L17" s="28"/>
      <c r="M17" s="28"/>
      <c r="N17" s="28"/>
      <c r="O17" s="59"/>
    </row>
    <row r="18" spans="1:15" ht="16.95" customHeight="1" x14ac:dyDescent="0.25">
      <c r="A18" s="736"/>
      <c r="B18" s="36">
        <v>15</v>
      </c>
      <c r="C18" s="37"/>
      <c r="D18" s="37"/>
      <c r="E18" s="37"/>
      <c r="F18" s="37"/>
      <c r="G18" s="60">
        <f t="shared" si="0"/>
        <v>0</v>
      </c>
      <c r="I18" s="6"/>
      <c r="J18" s="58"/>
      <c r="K18" s="28"/>
      <c r="L18" s="28"/>
      <c r="M18" s="28"/>
      <c r="N18" s="28"/>
      <c r="O18" s="59"/>
    </row>
    <row r="19" spans="1:15" ht="16.95" customHeight="1" x14ac:dyDescent="0.25">
      <c r="A19" s="736"/>
      <c r="B19" s="36">
        <v>16</v>
      </c>
      <c r="C19" s="47"/>
      <c r="D19" s="47"/>
      <c r="E19" s="47"/>
      <c r="F19" s="47"/>
      <c r="G19" s="60">
        <f t="shared" si="0"/>
        <v>0</v>
      </c>
      <c r="I19" s="6"/>
      <c r="J19" s="58"/>
      <c r="K19" s="28"/>
      <c r="L19" s="28"/>
      <c r="M19" s="28"/>
      <c r="N19" s="28"/>
      <c r="O19" s="59"/>
    </row>
    <row r="20" spans="1:15" x14ac:dyDescent="0.25">
      <c r="A20" s="736"/>
      <c r="B20" s="47" t="s">
        <v>718</v>
      </c>
      <c r="C20" s="47"/>
      <c r="D20" s="47"/>
      <c r="E20" s="47"/>
      <c r="F20" s="47"/>
    </row>
    <row r="22" spans="1:15" x14ac:dyDescent="0.25">
      <c r="A22" s="4" t="s">
        <v>719</v>
      </c>
    </row>
  </sheetData>
  <mergeCells count="5">
    <mergeCell ref="A1:E1"/>
    <mergeCell ref="C2:F2"/>
    <mergeCell ref="A4:A20"/>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740" t="str">
        <f>"PV - "&amp;Prototype!A2</f>
        <v>PV - SchoolK-8</v>
      </c>
      <c r="B1" s="740"/>
      <c r="C1" s="740"/>
      <c r="D1" s="740"/>
      <c r="E1" s="740"/>
      <c r="F1" s="740"/>
      <c r="G1" s="740"/>
      <c r="H1" s="740"/>
      <c r="I1" s="740"/>
      <c r="J1" s="740"/>
    </row>
    <row r="2" spans="1:10" x14ac:dyDescent="0.3">
      <c r="A2" t="s">
        <v>720</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8" ht="20.399999999999999" customHeight="1" x14ac:dyDescent="0.25">
      <c r="A1" s="616" t="str">
        <f>"EV Charger - "&amp;Prototype!A2</f>
        <v>EV Charger - SchoolK-8</v>
      </c>
      <c r="B1" s="616"/>
      <c r="C1" s="616"/>
      <c r="D1" s="616"/>
      <c r="E1" s="616"/>
      <c r="F1" s="616"/>
      <c r="G1" s="616"/>
      <c r="H1" s="616"/>
    </row>
    <row r="2" spans="1:8" ht="14.4" x14ac:dyDescent="0.3">
      <c r="A2" t="s">
        <v>720</v>
      </c>
      <c r="B2" s="43"/>
      <c r="C2" s="44"/>
      <c r="D2" s="45"/>
      <c r="E2" s="45"/>
    </row>
    <row r="3" spans="1:8" x14ac:dyDescent="0.25">
      <c r="A3" s="461"/>
      <c r="B3" s="493"/>
      <c r="C3" s="303"/>
      <c r="D3" s="46"/>
      <c r="E3" s="46"/>
    </row>
    <row r="11" spans="1:8" s="22" customFormat="1" hidden="1" x14ac:dyDescent="0.25">
      <c r="A11" s="22" t="s">
        <v>381</v>
      </c>
      <c r="E11" s="23"/>
      <c r="F11" s="24"/>
      <c r="G11" s="25"/>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B304-56AE-48A9-ACB2-6F3F57726C56}">
  <dimension ref="A1:G82"/>
  <sheetViews>
    <sheetView workbookViewId="0"/>
  </sheetViews>
  <sheetFormatPr defaultRowHeight="14.4" x14ac:dyDescent="0.3"/>
  <cols>
    <col min="1" max="1" width="58.6640625" customWidth="1"/>
    <col min="2" max="2" width="30.88671875" customWidth="1"/>
    <col min="3" max="3" width="30.33203125" customWidth="1"/>
  </cols>
  <sheetData>
    <row r="1" spans="1:7" x14ac:dyDescent="0.3">
      <c r="A1" t="s">
        <v>721</v>
      </c>
      <c r="B1" t="s">
        <v>722</v>
      </c>
      <c r="C1" t="s">
        <v>722</v>
      </c>
      <c r="D1" s="741" t="s">
        <v>723</v>
      </c>
      <c r="E1" s="741"/>
      <c r="F1" s="741"/>
      <c r="G1" s="741"/>
    </row>
    <row r="2" spans="1:7" x14ac:dyDescent="0.3">
      <c r="A2" s="444" t="s">
        <v>724</v>
      </c>
      <c r="D2">
        <v>2013</v>
      </c>
      <c r="E2">
        <v>2016</v>
      </c>
      <c r="F2">
        <v>2019</v>
      </c>
      <c r="G2">
        <v>2025</v>
      </c>
    </row>
    <row r="3" spans="1:7" x14ac:dyDescent="0.3">
      <c r="A3" s="444" t="s">
        <v>725</v>
      </c>
    </row>
    <row r="4" spans="1:7" x14ac:dyDescent="0.3">
      <c r="A4" t="s">
        <v>726</v>
      </c>
    </row>
    <row r="5" spans="1:7" x14ac:dyDescent="0.3">
      <c r="A5" t="s">
        <v>727</v>
      </c>
    </row>
    <row r="6" spans="1:7" x14ac:dyDescent="0.3">
      <c r="A6" t="s">
        <v>728</v>
      </c>
    </row>
    <row r="7" spans="1:7" x14ac:dyDescent="0.3">
      <c r="A7" t="s">
        <v>729</v>
      </c>
    </row>
    <row r="8" spans="1:7" x14ac:dyDescent="0.3">
      <c r="A8" t="s">
        <v>730</v>
      </c>
    </row>
    <row r="9" spans="1:7" x14ac:dyDescent="0.3">
      <c r="A9" t="s">
        <v>731</v>
      </c>
    </row>
    <row r="10" spans="1:7" x14ac:dyDescent="0.3">
      <c r="A10" t="s">
        <v>732</v>
      </c>
    </row>
    <row r="11" spans="1:7" x14ac:dyDescent="0.3">
      <c r="A11" t="s">
        <v>733</v>
      </c>
    </row>
    <row r="12" spans="1:7" x14ac:dyDescent="0.3">
      <c r="A12" t="s">
        <v>734</v>
      </c>
    </row>
    <row r="13" spans="1:7" x14ac:dyDescent="0.3">
      <c r="A13" t="s">
        <v>735</v>
      </c>
    </row>
    <row r="14" spans="1:7" x14ac:dyDescent="0.3">
      <c r="A14" t="s">
        <v>736</v>
      </c>
    </row>
    <row r="15" spans="1:7" x14ac:dyDescent="0.3">
      <c r="A15" t="s">
        <v>173</v>
      </c>
    </row>
    <row r="16" spans="1:7" x14ac:dyDescent="0.3">
      <c r="A16" t="s">
        <v>737</v>
      </c>
    </row>
    <row r="17" spans="1:1" x14ac:dyDescent="0.3">
      <c r="A17" t="s">
        <v>137</v>
      </c>
    </row>
    <row r="18" spans="1:1" x14ac:dyDescent="0.3">
      <c r="A18" t="s">
        <v>738</v>
      </c>
    </row>
    <row r="19" spans="1:1" x14ac:dyDescent="0.3">
      <c r="A19" t="s">
        <v>140</v>
      </c>
    </row>
    <row r="20" spans="1:1" x14ac:dyDescent="0.3">
      <c r="A20" t="s">
        <v>739</v>
      </c>
    </row>
    <row r="21" spans="1:1" x14ac:dyDescent="0.3">
      <c r="A21" t="s">
        <v>740</v>
      </c>
    </row>
    <row r="22" spans="1:1" x14ac:dyDescent="0.3">
      <c r="A22" t="s">
        <v>741</v>
      </c>
    </row>
    <row r="23" spans="1:1" x14ac:dyDescent="0.3">
      <c r="A23" t="s">
        <v>143</v>
      </c>
    </row>
    <row r="24" spans="1:1" x14ac:dyDescent="0.3">
      <c r="A24" t="s">
        <v>742</v>
      </c>
    </row>
    <row r="25" spans="1:1" x14ac:dyDescent="0.3">
      <c r="A25" t="s">
        <v>743</v>
      </c>
    </row>
    <row r="26" spans="1:1" x14ac:dyDescent="0.3">
      <c r="A26" t="s">
        <v>744</v>
      </c>
    </row>
    <row r="27" spans="1:1" x14ac:dyDescent="0.3">
      <c r="A27" t="s">
        <v>745</v>
      </c>
    </row>
    <row r="28" spans="1:1" x14ac:dyDescent="0.3">
      <c r="A28" t="s">
        <v>746</v>
      </c>
    </row>
    <row r="29" spans="1:1" x14ac:dyDescent="0.3">
      <c r="A29" t="s">
        <v>747</v>
      </c>
    </row>
    <row r="30" spans="1:1" x14ac:dyDescent="0.3">
      <c r="A30" t="s">
        <v>748</v>
      </c>
    </row>
    <row r="31" spans="1:1" x14ac:dyDescent="0.3">
      <c r="A31" t="s">
        <v>749</v>
      </c>
    </row>
    <row r="32" spans="1:1" x14ac:dyDescent="0.3">
      <c r="A32" t="s">
        <v>750</v>
      </c>
    </row>
    <row r="33" spans="1:1" x14ac:dyDescent="0.3">
      <c r="A33" t="s">
        <v>751</v>
      </c>
    </row>
    <row r="34" spans="1:1" x14ac:dyDescent="0.3">
      <c r="A34" t="s">
        <v>752</v>
      </c>
    </row>
    <row r="35" spans="1:1" x14ac:dyDescent="0.3">
      <c r="A35" t="s">
        <v>753</v>
      </c>
    </row>
    <row r="36" spans="1:1" x14ac:dyDescent="0.3">
      <c r="A36" t="s">
        <v>148</v>
      </c>
    </row>
    <row r="37" spans="1:1" x14ac:dyDescent="0.3">
      <c r="A37" t="s">
        <v>754</v>
      </c>
    </row>
    <row r="38" spans="1:1" x14ac:dyDescent="0.3">
      <c r="A38" t="s">
        <v>755</v>
      </c>
    </row>
    <row r="39" spans="1:1" x14ac:dyDescent="0.3">
      <c r="A39" t="s">
        <v>756</v>
      </c>
    </row>
    <row r="40" spans="1:1" x14ac:dyDescent="0.3">
      <c r="A40" t="s">
        <v>198</v>
      </c>
    </row>
    <row r="41" spans="1:1" x14ac:dyDescent="0.3">
      <c r="A41" t="s">
        <v>757</v>
      </c>
    </row>
    <row r="42" spans="1:1" x14ac:dyDescent="0.3">
      <c r="A42" t="s">
        <v>152</v>
      </c>
    </row>
    <row r="43" spans="1:1" x14ac:dyDescent="0.3">
      <c r="A43" t="s">
        <v>758</v>
      </c>
    </row>
    <row r="44" spans="1:1" x14ac:dyDescent="0.3">
      <c r="A44" t="s">
        <v>132</v>
      </c>
    </row>
    <row r="45" spans="1:1" x14ac:dyDescent="0.3">
      <c r="A45" t="s">
        <v>759</v>
      </c>
    </row>
    <row r="46" spans="1:1" x14ac:dyDescent="0.3">
      <c r="A46" t="s">
        <v>760</v>
      </c>
    </row>
    <row r="47" spans="1:1" x14ac:dyDescent="0.3">
      <c r="A47" t="s">
        <v>761</v>
      </c>
    </row>
    <row r="48" spans="1:1" x14ac:dyDescent="0.3">
      <c r="A48" t="s">
        <v>762</v>
      </c>
    </row>
    <row r="49" spans="1:1" x14ac:dyDescent="0.3">
      <c r="A49" t="s">
        <v>763</v>
      </c>
    </row>
    <row r="50" spans="1:1" x14ac:dyDescent="0.3">
      <c r="A50" t="s">
        <v>764</v>
      </c>
    </row>
    <row r="51" spans="1:1" x14ac:dyDescent="0.3">
      <c r="A51" t="s">
        <v>157</v>
      </c>
    </row>
    <row r="52" spans="1:1" x14ac:dyDescent="0.3">
      <c r="A52" t="s">
        <v>765</v>
      </c>
    </row>
    <row r="53" spans="1:1" x14ac:dyDescent="0.3">
      <c r="A53" t="s">
        <v>766</v>
      </c>
    </row>
    <row r="54" spans="1:1" x14ac:dyDescent="0.3">
      <c r="A54" t="s">
        <v>767</v>
      </c>
    </row>
    <row r="55" spans="1:1" x14ac:dyDescent="0.3">
      <c r="A55" t="s">
        <v>768</v>
      </c>
    </row>
    <row r="56" spans="1:1" x14ac:dyDescent="0.3">
      <c r="A56" t="s">
        <v>769</v>
      </c>
    </row>
    <row r="57" spans="1:1" x14ac:dyDescent="0.3">
      <c r="A57" t="s">
        <v>770</v>
      </c>
    </row>
    <row r="58" spans="1:1" x14ac:dyDescent="0.3">
      <c r="A58" t="s">
        <v>771</v>
      </c>
    </row>
    <row r="59" spans="1:1" x14ac:dyDescent="0.3">
      <c r="A59" t="s">
        <v>160</v>
      </c>
    </row>
    <row r="60" spans="1:1" x14ac:dyDescent="0.3">
      <c r="A60" t="s">
        <v>772</v>
      </c>
    </row>
    <row r="61" spans="1:1" x14ac:dyDescent="0.3">
      <c r="A61" t="s">
        <v>773</v>
      </c>
    </row>
    <row r="62" spans="1:1" x14ac:dyDescent="0.3">
      <c r="A62" t="s">
        <v>166</v>
      </c>
    </row>
    <row r="63" spans="1:1" x14ac:dyDescent="0.3">
      <c r="A63" t="s">
        <v>774</v>
      </c>
    </row>
    <row r="64" spans="1:1" x14ac:dyDescent="0.3">
      <c r="A64" t="s">
        <v>163</v>
      </c>
    </row>
    <row r="65" spans="1:1" x14ac:dyDescent="0.3">
      <c r="A65" t="s">
        <v>775</v>
      </c>
    </row>
    <row r="66" spans="1:1" x14ac:dyDescent="0.3">
      <c r="A66" t="s">
        <v>776</v>
      </c>
    </row>
    <row r="67" spans="1:1" x14ac:dyDescent="0.3">
      <c r="A67" t="s">
        <v>777</v>
      </c>
    </row>
    <row r="68" spans="1:1" x14ac:dyDescent="0.3">
      <c r="A68" t="s">
        <v>778</v>
      </c>
    </row>
    <row r="69" spans="1:1" x14ac:dyDescent="0.3">
      <c r="A69" t="s">
        <v>779</v>
      </c>
    </row>
    <row r="70" spans="1:1" x14ac:dyDescent="0.3">
      <c r="A70" t="s">
        <v>169</v>
      </c>
    </row>
    <row r="71" spans="1:1" x14ac:dyDescent="0.3">
      <c r="A71" t="s">
        <v>780</v>
      </c>
    </row>
    <row r="72" spans="1:1" x14ac:dyDescent="0.3">
      <c r="A72" t="s">
        <v>781</v>
      </c>
    </row>
    <row r="73" spans="1:1" x14ac:dyDescent="0.3">
      <c r="A73" t="s">
        <v>782</v>
      </c>
    </row>
    <row r="74" spans="1:1" x14ac:dyDescent="0.3">
      <c r="A74" t="s">
        <v>783</v>
      </c>
    </row>
    <row r="75" spans="1:1" x14ac:dyDescent="0.3">
      <c r="A75" t="s">
        <v>784</v>
      </c>
    </row>
    <row r="76" spans="1:1" x14ac:dyDescent="0.3">
      <c r="A76" t="s">
        <v>785</v>
      </c>
    </row>
    <row r="77" spans="1:1" x14ac:dyDescent="0.3">
      <c r="A77" t="s">
        <v>786</v>
      </c>
    </row>
    <row r="78" spans="1:1" x14ac:dyDescent="0.3">
      <c r="A78" t="s">
        <v>787</v>
      </c>
    </row>
    <row r="79" spans="1:1" x14ac:dyDescent="0.3">
      <c r="A79" t="s">
        <v>548</v>
      </c>
    </row>
    <row r="80" spans="1:1" x14ac:dyDescent="0.3">
      <c r="A80" t="s">
        <v>788</v>
      </c>
    </row>
    <row r="81" spans="1:1" x14ac:dyDescent="0.3">
      <c r="A81" t="s">
        <v>789</v>
      </c>
    </row>
    <row r="82" spans="1:1" x14ac:dyDescent="0.3">
      <c r="A82" t="s">
        <v>790</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706E3D4-CBD4-49C5-B359-604AA8990E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