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Check dictation and Spelling\Clean-uploaded to GH-6Oct2026\Without Weights\"/>
    </mc:Choice>
  </mc:AlternateContent>
  <xr:revisionPtr revIDLastSave="0" documentId="13_ncr:1_{CA580097-367C-417E-BB9C-85C74968D1AF}" xr6:coauthVersionLast="47" xr6:coauthVersionMax="47" xr10:uidLastSave="{00000000-0000-0000-0000-000000000000}"/>
  <bookViews>
    <workbookView xWindow="-108" yWindow="-108" windowWidth="23256" windowHeight="13896" tabRatio="890" firstSheet="1" activeTab="1" xr2:uid="{EAC23EE3-0CA0-4FF8-990D-9B21A59FA3E0}"/>
  </bookViews>
  <sheets>
    <sheet name="Notes" sheetId="23" r:id="rId1"/>
    <sheet name="Prototype" sheetId="2" r:id="rId2"/>
    <sheet name="Zones" sheetId="13" r:id="rId3"/>
    <sheet name="Envelope" sheetId="1" r:id="rId4"/>
    <sheet name="HVAC System" sheetId="14" r:id="rId5"/>
    <sheet name="Ventilation" sheetId="18" r:id="rId6"/>
    <sheet name="Thermostat" sheetId="30" r:id="rId7"/>
    <sheet name="Water Heater" sheetId="33" r:id="rId8"/>
    <sheet name="Interior Lights" sheetId="25" r:id="rId9"/>
    <sheet name="Ext Lighting" sheetId="9" r:id="rId10"/>
    <sheet name="Equipment" sheetId="29" r:id="rId11"/>
    <sheet name="Schedules" sheetId="28" r:id="rId12"/>
    <sheet name="Energy Usage" sheetId="20" state="hidden" r:id="rId13"/>
    <sheet name="Weights" sheetId="21" state="hidden" r:id="rId14"/>
    <sheet name="PV" sheetId="27" state="hidden" r:id="rId15"/>
    <sheet name="EV Charger" sheetId="22" state="hidden" r:id="rId16"/>
    <sheet name="Data" sheetId="31" state="hidden" r:id="rId17"/>
  </sheets>
  <definedNames>
    <definedName name="_xlnm._FilterDatabase" localSheetId="16" hidden="1">Data!$D$1:$G$1</definedName>
    <definedName name="nonparticipating_forecastzone_scale_factor" localSheetId="16">#REF!</definedName>
    <definedName name="nonparticipating_forecastzone_scale_factor" localSheetId="7">#REF!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13" l="1" a="1"/>
  <c r="D17" i="13"/>
  <c r="B94" i="28"/>
  <c r="A94" i="28"/>
  <c r="B88" i="28"/>
  <c r="B85" i="28"/>
  <c r="A85" i="28"/>
  <c r="B82" i="28"/>
  <c r="A82" i="28"/>
  <c r="B76" i="28"/>
  <c r="A76" i="28"/>
  <c r="A79" i="28" s="1"/>
  <c r="C11" i="9"/>
  <c r="B91" i="28" l="1"/>
  <c r="B79" i="28"/>
  <c r="A91" i="28"/>
  <c r="A88" i="28"/>
  <c r="AA38" i="1"/>
  <c r="AA39" i="1" s="1"/>
  <c r="I10" i="18" l="1"/>
  <c r="F4" i="25"/>
  <c r="C4" i="25"/>
  <c r="A20" i="33"/>
  <c r="A19" i="33"/>
  <c r="C18" i="33"/>
  <c r="A18" i="33"/>
  <c r="A17" i="33"/>
  <c r="A16" i="33"/>
  <c r="A15" i="33"/>
  <c r="A14" i="33"/>
  <c r="A13" i="33"/>
  <c r="A12" i="33"/>
  <c r="A11" i="33"/>
  <c r="A10" i="33"/>
  <c r="A9" i="33"/>
  <c r="A1" i="33"/>
  <c r="I52" i="33"/>
  <c r="C10" i="9" l="1"/>
  <c r="E31" i="29"/>
  <c r="F31" i="29"/>
  <c r="B67" i="1"/>
  <c r="B62" i="1" a="1"/>
  <c r="B62" i="1" s="1"/>
  <c r="B55" i="1"/>
  <c r="B53" i="1" s="1"/>
  <c r="B52" i="1" s="1" a="1"/>
  <c r="B52" i="1" s="1"/>
  <c r="C13" i="9"/>
  <c r="X29" i="1"/>
  <c r="W29" i="1"/>
  <c r="V29" i="1"/>
  <c r="U29" i="1"/>
  <c r="T29" i="1"/>
  <c r="S29" i="1"/>
  <c r="R29" i="1"/>
  <c r="Q29" i="1"/>
  <c r="P29" i="1"/>
  <c r="O29" i="1"/>
  <c r="N29" i="1"/>
  <c r="M29" i="1"/>
  <c r="L29" i="1"/>
  <c r="K29" i="1"/>
  <c r="J29" i="1"/>
  <c r="I29" i="1"/>
  <c r="X28" i="1"/>
  <c r="W28" i="1"/>
  <c r="V28" i="1"/>
  <c r="U28" i="1"/>
  <c r="T28" i="1"/>
  <c r="S28" i="1"/>
  <c r="R28" i="1"/>
  <c r="Q28" i="1"/>
  <c r="P28" i="1"/>
  <c r="O28" i="1"/>
  <c r="N28" i="1"/>
  <c r="M28" i="1"/>
  <c r="L28" i="1"/>
  <c r="K28" i="1"/>
  <c r="J28" i="1"/>
  <c r="I28" i="1"/>
  <c r="J18" i="1"/>
  <c r="J19" i="1" s="1"/>
  <c r="K18" i="1"/>
  <c r="K19" i="1" s="1"/>
  <c r="L18" i="1"/>
  <c r="L19" i="1" s="1"/>
  <c r="M18" i="1"/>
  <c r="M19" i="1" s="1"/>
  <c r="N18" i="1"/>
  <c r="N19" i="1" s="1"/>
  <c r="O18" i="1"/>
  <c r="O19" i="1" s="1"/>
  <c r="P18" i="1"/>
  <c r="P19" i="1" s="1"/>
  <c r="Q18" i="1"/>
  <c r="Q19" i="1" s="1"/>
  <c r="R18" i="1"/>
  <c r="R19" i="1" s="1"/>
  <c r="S18" i="1"/>
  <c r="S19" i="1" s="1"/>
  <c r="T18" i="1"/>
  <c r="T19" i="1" s="1"/>
  <c r="U18" i="1"/>
  <c r="U19" i="1" s="1"/>
  <c r="V18" i="1"/>
  <c r="V19" i="1" s="1"/>
  <c r="W18" i="1"/>
  <c r="W19" i="1" s="1"/>
  <c r="X18" i="1"/>
  <c r="X19" i="1" s="1"/>
  <c r="I18" i="1"/>
  <c r="C12" i="18"/>
  <c r="I12" i="18" s="1"/>
  <c r="H12" i="18"/>
  <c r="A12" i="18"/>
  <c r="A13" i="18"/>
  <c r="S75" i="20"/>
  <c r="N1" i="20"/>
  <c r="J4" i="20"/>
  <c r="K4" i="20"/>
  <c r="J5" i="20"/>
  <c r="K5" i="20"/>
  <c r="J6" i="20"/>
  <c r="K6" i="20"/>
  <c r="J7" i="20"/>
  <c r="K7" i="20"/>
  <c r="J8" i="20"/>
  <c r="K8" i="20"/>
  <c r="J9" i="20"/>
  <c r="K9" i="20"/>
  <c r="J10" i="20"/>
  <c r="K10" i="20"/>
  <c r="J11" i="20"/>
  <c r="K11" i="20"/>
  <c r="J12" i="20"/>
  <c r="K12" i="20"/>
  <c r="J13" i="20"/>
  <c r="K13" i="20"/>
  <c r="J14" i="20"/>
  <c r="K14" i="20"/>
  <c r="J15" i="20"/>
  <c r="K15" i="20"/>
  <c r="J16" i="20"/>
  <c r="K16" i="20"/>
  <c r="J17" i="20"/>
  <c r="K17" i="20"/>
  <c r="J18" i="20"/>
  <c r="K18" i="20"/>
  <c r="K3" i="20"/>
  <c r="J3" i="20"/>
  <c r="L3" i="20" s="1"/>
  <c r="S18" i="20"/>
  <c r="S17" i="20"/>
  <c r="S16" i="20"/>
  <c r="S15" i="20"/>
  <c r="S14" i="20"/>
  <c r="S13" i="20"/>
  <c r="S12" i="20"/>
  <c r="S11" i="20"/>
  <c r="S10" i="20"/>
  <c r="S9" i="20"/>
  <c r="S8" i="20"/>
  <c r="S7" i="20"/>
  <c r="S6" i="20"/>
  <c r="S5" i="20"/>
  <c r="S4" i="20"/>
  <c r="S3" i="20"/>
  <c r="I19" i="1" l="1"/>
  <c r="B51" i="1"/>
  <c r="L18" i="20"/>
  <c r="L17" i="20"/>
  <c r="L16" i="20"/>
  <c r="L15" i="20"/>
  <c r="L14" i="20"/>
  <c r="L13" i="20"/>
  <c r="L12" i="20"/>
  <c r="L11" i="20"/>
  <c r="L10" i="20"/>
  <c r="L9" i="20"/>
  <c r="L8" i="20"/>
  <c r="L7" i="20"/>
  <c r="L6" i="20"/>
  <c r="L5" i="20"/>
  <c r="L4" i="20"/>
  <c r="U3" i="20"/>
  <c r="T3" i="20"/>
  <c r="V3" i="20" s="1"/>
  <c r="U4" i="20"/>
  <c r="T4" i="20"/>
  <c r="V4" i="20" s="1"/>
  <c r="U5" i="20"/>
  <c r="T5" i="20"/>
  <c r="V5" i="20" s="1"/>
  <c r="U6" i="20"/>
  <c r="T6" i="20"/>
  <c r="V6" i="20" s="1"/>
  <c r="U7" i="20"/>
  <c r="T7" i="20"/>
  <c r="V7" i="20" s="1"/>
  <c r="U8" i="20"/>
  <c r="T8" i="20"/>
  <c r="V8" i="20" s="1"/>
  <c r="U9" i="20"/>
  <c r="T9" i="20"/>
  <c r="V9" i="20" s="1"/>
  <c r="U10" i="20"/>
  <c r="T10" i="20"/>
  <c r="V10" i="20" s="1"/>
  <c r="U11" i="20"/>
  <c r="T11" i="20"/>
  <c r="V11" i="20" s="1"/>
  <c r="U12" i="20"/>
  <c r="T12" i="20"/>
  <c r="V12" i="20" s="1"/>
  <c r="U13" i="20"/>
  <c r="T13" i="20"/>
  <c r="V13" i="20" s="1"/>
  <c r="U14" i="20"/>
  <c r="T14" i="20"/>
  <c r="V14" i="20" s="1"/>
  <c r="U15" i="20"/>
  <c r="T15" i="20"/>
  <c r="V15" i="20" s="1"/>
  <c r="U16" i="20"/>
  <c r="T16" i="20"/>
  <c r="V16" i="20" s="1"/>
  <c r="U17" i="20"/>
  <c r="T17" i="20"/>
  <c r="V17" i="20" s="1"/>
  <c r="U18" i="20"/>
  <c r="T18" i="20"/>
  <c r="V18" i="20" s="1"/>
  <c r="B20" i="9"/>
  <c r="H12" i="13"/>
  <c r="H3" i="13"/>
  <c r="E40" i="2"/>
  <c r="F35" i="2" s="1"/>
  <c r="I3" i="13" l="1"/>
  <c r="F38" i="2"/>
  <c r="F37" i="2"/>
  <c r="F36" i="2"/>
  <c r="F34" i="2"/>
  <c r="F39" i="2"/>
  <c r="C9" i="33" l="1"/>
  <c r="A4" i="18" l="1"/>
  <c r="A5" i="18"/>
  <c r="A6" i="18"/>
  <c r="A7" i="18"/>
  <c r="A8" i="18"/>
  <c r="A9" i="18"/>
  <c r="A10" i="18"/>
  <c r="A11" i="18"/>
  <c r="A14" i="18"/>
  <c r="H14" i="13"/>
  <c r="I14" i="13" s="1"/>
  <c r="H13" i="13"/>
  <c r="I13" i="13" s="1"/>
  <c r="H11" i="13"/>
  <c r="I11" i="13" s="1"/>
  <c r="H10" i="13"/>
  <c r="I10" i="13" s="1"/>
  <c r="C16" i="33" s="1"/>
  <c r="H9" i="13"/>
  <c r="I9" i="13" s="1"/>
  <c r="H8" i="13"/>
  <c r="I8" i="13" s="1"/>
  <c r="H7" i="13"/>
  <c r="I7" i="13" s="1"/>
  <c r="H6" i="13"/>
  <c r="I6" i="13" s="1"/>
  <c r="C12" i="33" s="1"/>
  <c r="H5" i="13"/>
  <c r="I5" i="13" s="1"/>
  <c r="C11" i="33" s="1"/>
  <c r="H4" i="13"/>
  <c r="I4" i="13" l="1"/>
  <c r="H15" i="13"/>
  <c r="C7" i="18"/>
  <c r="C13" i="33"/>
  <c r="C8" i="18"/>
  <c r="H8" i="18" s="1"/>
  <c r="C14" i="33"/>
  <c r="C9" i="18"/>
  <c r="H9" i="18" s="1"/>
  <c r="C15" i="33"/>
  <c r="C11" i="18"/>
  <c r="H11" i="18" s="1"/>
  <c r="C17" i="33"/>
  <c r="C19" i="33"/>
  <c r="C13" i="18"/>
  <c r="H13" i="18" s="1"/>
  <c r="C14" i="18"/>
  <c r="H14" i="18" s="1"/>
  <c r="C20" i="33"/>
  <c r="C5" i="18"/>
  <c r="H5" i="18" s="1"/>
  <c r="L5" i="13"/>
  <c r="D11" i="33" s="1"/>
  <c r="F11" i="33" s="1"/>
  <c r="G11" i="33" s="1"/>
  <c r="C6" i="18"/>
  <c r="L6" i="13"/>
  <c r="D12" i="33" s="1"/>
  <c r="F12" i="33" s="1"/>
  <c r="G12" i="33" s="1"/>
  <c r="C10" i="18"/>
  <c r="H10" i="18" s="1"/>
  <c r="J4" i="13"/>
  <c r="L4" i="13"/>
  <c r="D10" i="33" s="1"/>
  <c r="F10" i="33" s="1"/>
  <c r="G10" i="33" s="1"/>
  <c r="B5" i="18"/>
  <c r="G5" i="18" s="1"/>
  <c r="J5" i="18" s="1"/>
  <c r="J13" i="13"/>
  <c r="L14" i="13"/>
  <c r="D20" i="33" s="1"/>
  <c r="F20" i="33" s="1"/>
  <c r="G20" i="33" s="1"/>
  <c r="J12" i="13"/>
  <c r="J10" i="13"/>
  <c r="L11" i="13"/>
  <c r="D17" i="33" s="1"/>
  <c r="F17" i="33" s="1"/>
  <c r="G17" i="33" s="1"/>
  <c r="L9" i="13"/>
  <c r="D15" i="33" s="1"/>
  <c r="F15" i="33" s="1"/>
  <c r="G15" i="33" s="1"/>
  <c r="J7" i="13"/>
  <c r="J14" i="13"/>
  <c r="L13" i="13"/>
  <c r="J11" i="13"/>
  <c r="L12" i="13"/>
  <c r="J9" i="13"/>
  <c r="L10" i="13"/>
  <c r="D16" i="33" s="1"/>
  <c r="F16" i="33" s="1"/>
  <c r="G16" i="33" s="1"/>
  <c r="J8" i="13"/>
  <c r="L8" i="13"/>
  <c r="D14" i="33" s="1"/>
  <c r="F14" i="33" s="1"/>
  <c r="G14" i="33" s="1"/>
  <c r="J6" i="13"/>
  <c r="L7" i="13"/>
  <c r="D13" i="33" s="1"/>
  <c r="F13" i="33" s="1"/>
  <c r="G13" i="33" s="1"/>
  <c r="J5" i="13"/>
  <c r="H6" i="18"/>
  <c r="H7" i="18"/>
  <c r="A1" i="21"/>
  <c r="J1" i="21"/>
  <c r="B6" i="18" l="1"/>
  <c r="G6" i="18" s="1"/>
  <c r="J6" i="18" s="1"/>
  <c r="B4" i="18"/>
  <c r="G4" i="18" s="1"/>
  <c r="D18" i="33"/>
  <c r="F18" i="33" s="1"/>
  <c r="G18" i="33" s="1"/>
  <c r="B12" i="18"/>
  <c r="G12" i="18" s="1"/>
  <c r="J12" i="18" s="1"/>
  <c r="D19" i="33"/>
  <c r="F19" i="33" s="1"/>
  <c r="G19" i="33" s="1"/>
  <c r="B13" i="18"/>
  <c r="G13" i="18" s="1"/>
  <c r="J13" i="18"/>
  <c r="C4" i="18"/>
  <c r="H4" i="18" s="1"/>
  <c r="J4" i="18" s="1"/>
  <c r="C10" i="33"/>
  <c r="I15" i="13"/>
  <c r="AA37" i="1" s="1"/>
  <c r="AA40" i="1" s="1"/>
  <c r="AA41" i="1" s="1"/>
  <c r="B10" i="18"/>
  <c r="G10" i="18" s="1"/>
  <c r="J10" i="18" s="1"/>
  <c r="B9" i="18"/>
  <c r="G9" i="18" s="1"/>
  <c r="J9" i="18" s="1"/>
  <c r="B11" i="18"/>
  <c r="G11" i="18" s="1"/>
  <c r="J11" i="18" s="1"/>
  <c r="B7" i="18"/>
  <c r="G7" i="18" s="1"/>
  <c r="J7" i="18" s="1"/>
  <c r="B14" i="18"/>
  <c r="G14" i="18" s="1"/>
  <c r="J14" i="18" s="1"/>
  <c r="A1" i="30"/>
  <c r="I37" i="1" l="1"/>
  <c r="I38" i="1"/>
  <c r="I41" i="1"/>
  <c r="I40" i="1"/>
  <c r="I39" i="1"/>
  <c r="A1" i="22"/>
  <c r="A1" i="27"/>
  <c r="A1" i="28"/>
  <c r="A1" i="29"/>
  <c r="A1" i="9"/>
  <c r="A1" i="25"/>
  <c r="A1" i="18"/>
  <c r="A1" i="1"/>
  <c r="A1" i="14"/>
  <c r="A1" i="13"/>
  <c r="C48" i="2" l="1"/>
  <c r="X13" i="1" l="1"/>
  <c r="X14" i="1" s="1"/>
  <c r="W13" i="1"/>
  <c r="W14" i="1" s="1"/>
  <c r="V13" i="1"/>
  <c r="V14" i="1" s="1"/>
  <c r="U13" i="1"/>
  <c r="U14" i="1" s="1"/>
  <c r="T13" i="1"/>
  <c r="T14" i="1" s="1"/>
  <c r="S13" i="1"/>
  <c r="S14" i="1" s="1"/>
  <c r="R13" i="1"/>
  <c r="R14" i="1" s="1"/>
  <c r="Q13" i="1"/>
  <c r="Q14" i="1" s="1"/>
  <c r="P13" i="1"/>
  <c r="P14" i="1" s="1"/>
  <c r="O13" i="1"/>
  <c r="O14" i="1" s="1"/>
  <c r="N13" i="1"/>
  <c r="N14" i="1" s="1"/>
  <c r="M13" i="1"/>
  <c r="M14" i="1" s="1"/>
  <c r="L13" i="1"/>
  <c r="L14" i="1" s="1"/>
  <c r="K13" i="1"/>
  <c r="K14" i="1" s="1"/>
  <c r="J13" i="1"/>
  <c r="J14" i="1" s="1"/>
  <c r="I13" i="1"/>
  <c r="I14" i="1" l="1"/>
  <c r="H20" i="21"/>
  <c r="AB9" i="21"/>
  <c r="B8" i="18" l="1"/>
  <c r="G8" i="18" s="1"/>
  <c r="J8" i="18" s="1"/>
  <c r="C12" i="9" l="1"/>
  <c r="G10" i="9"/>
  <c r="G8" i="9"/>
  <c r="G12" i="9" l="1"/>
  <c r="A3" i="18" l="1"/>
  <c r="AB4" i="21" l="1"/>
  <c r="AB5" i="21"/>
  <c r="AB6" i="21"/>
  <c r="AB7" i="21"/>
  <c r="AB8" i="21"/>
  <c r="H5" i="21"/>
  <c r="H6" i="21"/>
  <c r="H7" i="21"/>
  <c r="H8" i="21"/>
  <c r="H9" i="21"/>
  <c r="H10" i="21"/>
  <c r="H11" i="21"/>
  <c r="H12" i="21"/>
  <c r="H13" i="21"/>
  <c r="H14" i="21"/>
  <c r="H15" i="21"/>
  <c r="H16" i="21"/>
  <c r="H17" i="21"/>
  <c r="H18" i="21"/>
  <c r="H19" i="21"/>
  <c r="H4" i="21"/>
  <c r="C3" i="18" l="1"/>
  <c r="H3" i="18" s="1"/>
  <c r="J3" i="13"/>
  <c r="J15" i="13" s="1"/>
  <c r="L3" i="13"/>
  <c r="D9" i="33" l="1"/>
  <c r="F9" i="33" s="1"/>
  <c r="L15" i="13"/>
  <c r="B3" i="18"/>
  <c r="G3" i="18" s="1"/>
  <c r="J3" i="18"/>
  <c r="F21" i="33" l="1"/>
  <c r="G9" i="33"/>
  <c r="F22" i="33"/>
  <c r="G11" i="9"/>
  <c r="G15" i="9" s="1"/>
  <c r="B3" i="9" s="1"/>
  <c r="G13" i="9"/>
  <c r="C9" i="9"/>
  <c r="G9" i="9" s="1"/>
  <c r="F33" i="33" l="1"/>
  <c r="G33" i="33" s="1"/>
  <c r="I33" i="33" s="1"/>
  <c r="F34" i="33"/>
  <c r="G34" i="33" s="1"/>
  <c r="I34" i="33" s="1"/>
  <c r="F35" i="33"/>
  <c r="G35" i="33" s="1"/>
  <c r="I35" i="33" s="1"/>
  <c r="F36" i="33"/>
  <c r="G36" i="33" s="1"/>
  <c r="I36" i="33" s="1"/>
  <c r="F37" i="33"/>
  <c r="G37" i="33" s="1"/>
  <c r="I37" i="33" s="1"/>
  <c r="F38" i="33"/>
  <c r="G38" i="33" s="1"/>
  <c r="I38" i="33" s="1"/>
  <c r="F39" i="33"/>
  <c r="G39" i="33" s="1"/>
  <c r="I39" i="33" s="1"/>
  <c r="F40" i="33"/>
  <c r="G40" i="33" s="1"/>
  <c r="I40" i="33" s="1"/>
  <c r="F41" i="33"/>
  <c r="G41" i="33" s="1"/>
  <c r="I41" i="33" s="1"/>
  <c r="F42" i="33"/>
  <c r="G42" i="33" s="1"/>
  <c r="I42" i="33" s="1"/>
  <c r="F43" i="33"/>
  <c r="G43" i="33" s="1"/>
  <c r="I43" i="33" s="1"/>
  <c r="F44" i="33"/>
  <c r="G44" i="33" s="1"/>
  <c r="I44" i="33" s="1"/>
  <c r="F45" i="33"/>
  <c r="G45" i="33" s="1"/>
  <c r="I45" i="33" s="1"/>
  <c r="F46" i="33"/>
  <c r="G46" i="33" s="1"/>
  <c r="I46" i="33" s="1"/>
  <c r="F47" i="33"/>
  <c r="G47" i="33" s="1"/>
  <c r="I47" i="33" s="1"/>
  <c r="C33" i="33"/>
  <c r="C34" i="33"/>
  <c r="C35" i="33"/>
  <c r="C36" i="33"/>
  <c r="C37" i="33"/>
  <c r="C38" i="33"/>
  <c r="C39" i="33"/>
  <c r="C40" i="33"/>
  <c r="C41" i="33"/>
  <c r="C42" i="33"/>
  <c r="C43" i="33"/>
  <c r="C44" i="33"/>
  <c r="C45" i="33"/>
  <c r="C46" i="33"/>
  <c r="C47" i="33"/>
  <c r="F32" i="33"/>
  <c r="G32" i="33" s="1"/>
  <c r="I32" i="33" s="1"/>
  <c r="C32" i="33"/>
  <c r="H46" i="33"/>
  <c r="D34" i="33"/>
  <c r="E34" i="33" s="1"/>
  <c r="H32" i="33"/>
  <c r="H35" i="33"/>
  <c r="D45" i="33"/>
  <c r="E45" i="33" s="1"/>
  <c r="D38" i="33"/>
  <c r="E38" i="33" s="1"/>
  <c r="D37" i="33"/>
  <c r="E37" i="33" s="1"/>
  <c r="D43" i="33"/>
  <c r="E43" i="33" s="1"/>
  <c r="H36" i="33"/>
  <c r="D36" i="33"/>
  <c r="E36" i="33" s="1"/>
  <c r="D39" i="33"/>
  <c r="E39" i="33" s="1"/>
  <c r="H41" i="33"/>
  <c r="H44" i="33"/>
  <c r="H47" i="33"/>
  <c r="D32" i="33"/>
  <c r="E32" i="33" s="1"/>
  <c r="D40" i="33"/>
  <c r="E40" i="33" s="1"/>
  <c r="H33" i="33"/>
  <c r="H42" i="33"/>
  <c r="H45" i="33"/>
  <c r="D41" i="33"/>
  <c r="E41" i="33" s="1"/>
  <c r="H34" i="33"/>
  <c r="H43" i="33"/>
  <c r="D46" i="33"/>
  <c r="E46" i="33" s="1"/>
  <c r="H39" i="33"/>
  <c r="D33" i="33"/>
  <c r="E33" i="33" s="1"/>
  <c r="D42" i="33"/>
  <c r="E42" i="33" s="1"/>
  <c r="H38" i="33"/>
  <c r="D35" i="33"/>
  <c r="E35" i="33" s="1"/>
  <c r="D44" i="33"/>
  <c r="E44" i="33" s="1"/>
  <c r="H37" i="33"/>
  <c r="D47" i="33"/>
  <c r="E47" i="33" s="1"/>
  <c r="H40" i="33"/>
  <c r="G14" i="9"/>
  <c r="G16" i="9"/>
  <c r="A3" i="9"/>
  <c r="C3" i="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60E794-86A0-4503-AF03-D26663285AE8}" keepAlive="1" name="Query - DDA CAS Data for CA Energy March 2025" description="Connection to the 'DDA CAS Data for CA Energy March 2025' query in the workbook." type="5" refreshedVersion="8" background="1" saveData="1">
    <dbPr connection="Provider=Microsoft.Mashup.OleDb.1;Data Source=$Workbook$;Location=&quot;DDA CAS Data for CA Energy March 2025&quot;;Extended Properties=&quot;&quot;" command="SELECT * FROM [DDA CAS Data for CA Energy March 2025]"/>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<sst xmlns="http://schemas.openxmlformats.org/spreadsheetml/2006/main" count="1602" uniqueCount="899">
  <si>
    <t>Data Sources</t>
  </si>
  <si>
    <t>Dataset</t>
  </si>
  <si>
    <t>Dodge 2023</t>
  </si>
  <si>
    <r>
      <t xml:space="preserve">Commercial End-Use Survey </t>
    </r>
    <r>
      <rPr>
        <sz val="10"/>
        <color rgb="FF000000"/>
        <rFont val="Arial"/>
        <family val="2"/>
      </rPr>
      <t>(CEUS) 2022</t>
    </r>
  </si>
  <si>
    <t>https://www.energy.ca.gov/publications/2023/2022-california-commercial-end-use-survey-ceus-final-report</t>
  </si>
  <si>
    <t xml:space="preserve"> </t>
  </si>
  <si>
    <r>
      <t>Commercial Buildings Energy Consumption Survey</t>
    </r>
    <r>
      <rPr>
        <sz val="10"/>
        <color rgb="FF000000"/>
        <rFont val="Arial"/>
        <family val="2"/>
      </rPr>
      <t xml:space="preserve"> (CBECS) 2018</t>
    </r>
  </si>
  <si>
    <t>https://www.eia.gov/consumption/commercial/data/2018/</t>
  </si>
  <si>
    <t>ComStock 2023</t>
  </si>
  <si>
    <t>https://comstock.nlr.gov/page/datasets</t>
  </si>
  <si>
    <r>
      <t>Database for Energy Efficient Resources</t>
    </r>
    <r>
      <rPr>
        <sz val="10"/>
        <color rgb="FF000000"/>
        <rFont val="Arial"/>
        <family val="2"/>
      </rPr>
      <t xml:space="preserve"> (DEER) Grocery Store prototype (June 2023)</t>
    </r>
  </si>
  <si>
    <t>https://github.com/sound-data/DEER-Prototypes-EnergyPlus</t>
  </si>
  <si>
    <t>Oak Ridge National Laboratory (ORNL) (2019) Supermarket Building Energy Model</t>
  </si>
  <si>
    <t>https://www.osti.gov/servlets/purl/3019970</t>
  </si>
  <si>
    <t>Codes</t>
  </si>
  <si>
    <t>Titile 24, part 6, referred to as T24 (1984, 1992,1998, 2001, 2005, 2008, 2013, 2016,2019, 2022, 2025)</t>
  </si>
  <si>
    <t>https://www.energy.ca.gov/publications/2025/2025-building-energy-efficiency-standards-residential-and-nonresidential</t>
  </si>
  <si>
    <t>https://codes.iccsafe.org/codes/united-states/california</t>
  </si>
  <si>
    <t>2010+</t>
  </si>
  <si>
    <r>
      <t>American Society of Heating, Refrigerating and Air-Conditioning Engineers</t>
    </r>
    <r>
      <rPr>
        <sz val="10"/>
        <color rgb="FF000000"/>
        <rFont val="Arial"/>
        <family val="2"/>
      </rPr>
      <t xml:space="preserve"> (ASHRAE) 90.1 (2022)</t>
    </r>
  </si>
  <si>
    <t>https://www.ashrae.org/technical-resources/standards-and-guidelines/read-only-versions-of-ashrae-standards</t>
  </si>
  <si>
    <r>
      <t xml:space="preserve">Code of Federal Regulations </t>
    </r>
    <r>
      <rPr>
        <sz val="10"/>
        <color rgb="FF000000"/>
        <rFont val="Arial"/>
        <family val="2"/>
      </rPr>
      <t>(CFR) Title 10 (2010)</t>
    </r>
  </si>
  <si>
    <t xml:space="preserve">https://www.govinfo.gov/content/pkg/FR-2009-03-23/pdf/FR-2009-03-23.pdf </t>
  </si>
  <si>
    <t>CFR Title 10 (2024)</t>
  </si>
  <si>
    <t>https://www.govinfo.gov/content/pkg/CFR-2024-title10-vol3/pdf/CFR-2024-title10-vol3-part431-subpartF.pdf</t>
  </si>
  <si>
    <t>Title 20</t>
  </si>
  <si>
    <t>https://govt.westlaw.com/calregs/Document/I270DCA634B4011EFA8F7F119BAF97AD6?viewType=FullText&amp;originationContext=documenttoc&amp;transitionType=CategoryPageItem&amp;contextData=(sc.Default)</t>
  </si>
  <si>
    <t>Others</t>
  </si>
  <si>
    <r>
      <t>Alternative Calculation Method</t>
    </r>
    <r>
      <rPr>
        <sz val="10"/>
        <color rgb="FF000000"/>
        <rFont val="Arial"/>
        <family val="2"/>
      </rPr>
      <t xml:space="preserve"> (ACM) (2022)</t>
    </r>
  </si>
  <si>
    <t>https://www.energy.ca.gov/publications/2022/2022-nonresidential-and-multifamily-alternative-calculation-method-reference</t>
  </si>
  <si>
    <t>ACM (2025)</t>
  </si>
  <si>
    <t>https://www.energy.ca.gov/publications/2025/2025-nonresidential-and-multifamily-alternative-calculation-method-reference</t>
  </si>
  <si>
    <t>Title 24, 2025,  Appendix B: Water Heating Calculation Method</t>
  </si>
  <si>
    <t>https://www.energy.ca.gov/sites/default/files/2025-11/CEC-400-2025-006-AP-B.pdf</t>
  </si>
  <si>
    <r>
      <t>Nonres ACM 2022,</t>
    </r>
    <r>
      <rPr>
        <sz val="10"/>
        <color rgb="FF000000"/>
        <rFont val="Arial"/>
        <family val="2"/>
      </rPr>
      <t xml:space="preserve"> Appendix 5.4A and Appendix 5.4B</t>
    </r>
  </si>
  <si>
    <r>
      <t xml:space="preserve">2022 Reduced infiltration </t>
    </r>
    <r>
      <rPr>
        <sz val="10"/>
        <color rgb="FF000000"/>
        <rFont val="Arial"/>
        <family val="2"/>
      </rPr>
      <t>Codes and Standards Enhancement</t>
    </r>
    <r>
      <rPr>
        <sz val="10"/>
        <color rgb="FF000000"/>
        <rFont val="Arial"/>
        <family val="2"/>
      </rPr>
      <t xml:space="preserve"> (CASE) report </t>
    </r>
  </si>
  <si>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</si>
  <si>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</si>
  <si>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</si>
  <si>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2011</t>
  </si>
  <si>
    <t>https://www.pnnl.gov/main/publications/external/technical_reports/PNNL-20405.pdf</t>
  </si>
  <si>
    <t>Air leakage Memo, NORESCO, 2025</t>
  </si>
  <si>
    <t>Infiltration_rate_report_14May2025-Short-Version.docx</t>
  </si>
  <si>
    <t>Retail Building Guide for Entrance Energy Efficiency Measures (2012)</t>
  </si>
  <si>
    <t>https://www.osti.gov/servlets/purl/1037934</t>
  </si>
  <si>
    <t>Yousefi, F., Athalye, R., (2025), "Determining Vintage Bins for Prototype Development: An Analysis of California Commercial Buildings," ASHRAE Annual Conference</t>
  </si>
  <si>
    <t>https://www.thefreelibrary.com/Determining+Vintage+Bins+for+Prototype+Development%3a+An+Analysis+of...-a0879271125</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</si>
  <si>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</si>
  <si>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</si>
  <si>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</si>
  <si>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</si>
  <si>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</si>
  <si>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</si>
  <si>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</si>
  <si>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</si>
  <si>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Construction Rate</t>
  </si>
  <si>
    <t>Notes</t>
  </si>
  <si>
    <t>The grocery prototype represents the "big-box" stand-alone retail model typical of Ralph's, Safeway, Albertsons. Where needed, the Grocery and Medium Retail could be weighted to represent a Super Walmart type of space.</t>
  </si>
  <si>
    <t>NORESCO, Updated September 2026</t>
  </si>
  <si>
    <t>RetailGrocery</t>
  </si>
  <si>
    <t>Characteristic</t>
  </si>
  <si>
    <t>Value</t>
  </si>
  <si>
    <t>Building Type</t>
  </si>
  <si>
    <t>Grocery</t>
  </si>
  <si>
    <t>Building Category</t>
  </si>
  <si>
    <t>Nonresidential</t>
  </si>
  <si>
    <t>Version</t>
  </si>
  <si>
    <t>v2-0</t>
  </si>
  <si>
    <t>Vintages</t>
  </si>
  <si>
    <t>4 Vintages: Pre-1978 , 1978-1997 ,1998-2007 ,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</si>
  <si>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</si>
  <si>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</si>
  <si>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t xml:space="preserve">Proposed Plan Based on Typical Grocery Store </t>
  </si>
  <si>
    <t>Total Floor Area (ft²)</t>
  </si>
  <si>
    <t>50,000  (250 ft x 200 ft)</t>
  </si>
  <si>
    <t>Aspect Ratio</t>
  </si>
  <si>
    <t>Number of Floors</t>
  </si>
  <si>
    <t>Roof type</t>
  </si>
  <si>
    <t>Flat</t>
  </si>
  <si>
    <t>WWR</t>
  </si>
  <si>
    <t>Shading Geometry</t>
  </si>
  <si>
    <t>N/A</t>
  </si>
  <si>
    <t>Floor to floor height (feet)</t>
  </si>
  <si>
    <t>Floor to ceiling height (feet)</t>
  </si>
  <si>
    <t>Glazing sill height (feet)</t>
  </si>
  <si>
    <t>3 ft (top of the window is 10 ft high with 7 ft high glass)</t>
  </si>
  <si>
    <t>CPUC (DEER 2023) Grocery prototype</t>
  </si>
  <si>
    <t>Skylight-to-Roof-Ratio (SRR)</t>
  </si>
  <si>
    <t>Title 24 Skylight Requirement</t>
  </si>
  <si>
    <t>Existing Grocery Prototypes</t>
  </si>
  <si>
    <t>CPUC: Retail_Grocery</t>
  </si>
  <si>
    <t>Geometry/ Floor plan</t>
  </si>
  <si>
    <t>Zones of DEER prototype</t>
  </si>
  <si>
    <t>Floor area</t>
  </si>
  <si>
    <t>Share</t>
  </si>
  <si>
    <t>Total floor area (ft²)</t>
  </si>
  <si>
    <t>IndLoadDock</t>
  </si>
  <si>
    <t>RefWalkInCool</t>
  </si>
  <si>
    <t>RefWalkInFreeze</t>
  </si>
  <si>
    <t>RefFoodPrep</t>
  </si>
  <si>
    <t>Grocery Sale</t>
  </si>
  <si>
    <t>Office</t>
  </si>
  <si>
    <t>Other Existing Retail Prototypes</t>
  </si>
  <si>
    <t>Large size prototype</t>
  </si>
  <si>
    <t>CEC: Retail_Large</t>
  </si>
  <si>
    <t>CPUC: Retail_Multistory Large (Rt3)</t>
  </si>
  <si>
    <t>CPUC: Retail_Single-Story Large (RtL)</t>
  </si>
  <si>
    <t>Geometry</t>
  </si>
  <si>
    <t>Medium size prototype</t>
  </si>
  <si>
    <t xml:space="preserve">CEC: Retail_Medium </t>
  </si>
  <si>
    <t>PNNL : Retail_Standalone</t>
  </si>
  <si>
    <t>PNNL: Retail_Stripmall</t>
  </si>
  <si>
    <t xml:space="preserve">zoning same as PNNL Stand alone with more skylight </t>
  </si>
  <si>
    <t>Small size prototype</t>
  </si>
  <si>
    <t>CEC: Retail_Stripmall (Mixed use)</t>
  </si>
  <si>
    <t xml:space="preserve">CPUC: Retail_Small (RtS) </t>
  </si>
  <si>
    <t>Spaces and Zoning layout  - "Rn" indicates which refrigerated cases are in each zone.</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</si>
  <si>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</si>
  <si>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</si>
  <si>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</si>
  <si>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HVAC System Name (NC)</t>
  </si>
  <si>
    <t>HVAC System Name (Existing)</t>
  </si>
  <si>
    <t>Schedule Category</t>
  </si>
  <si>
    <t>Conditioned (Y/N)</t>
  </si>
  <si>
    <t>Area Fraction</t>
  </si>
  <si>
    <t>Area (ft²)</t>
  </si>
  <si>
    <t>Volume (ft³)</t>
  </si>
  <si>
    <t>Multipliers</t>
  </si>
  <si>
    <t>Number of People</t>
  </si>
  <si>
    <t xml:space="preserve">People 
(Persons/1,000 ft²)
[T24, 2025,Table 120.1-A] </t>
  </si>
  <si>
    <t>--- 40 ft ---</t>
  </si>
  <si>
    <t>--- 70ft ---</t>
  </si>
  <si>
    <r>
      <rPr>
        <b/>
        <sz val="10"/>
        <color rgb="FF000000"/>
        <rFont val="Arial"/>
        <family val="2"/>
      </rPr>
      <t xml:space="preserve"> N        </t>
    </r>
    <r>
      <rPr>
        <sz val="10"/>
        <color rgb="FF000000"/>
        <rFont val="Arial"/>
        <family val="2"/>
      </rPr>
      <t xml:space="preserve">  --- 34 ft ---</t>
    </r>
  </si>
  <si>
    <t>250' North Façade</t>
  </si>
  <si>
    <t>--- 106 ft ---</t>
  </si>
  <si>
    <t>Checkout Area</t>
  </si>
  <si>
    <t>Retail Sales Area (Grocery Sales)</t>
  </si>
  <si>
    <t xml:space="preserve">SZVAVHP_Checkout Area_NC     </t>
  </si>
  <si>
    <t>PSZAC_Checkout Area_Existing</t>
  </si>
  <si>
    <t>Grocery Sales &amp; Office</t>
  </si>
  <si>
    <t>Y</t>
  </si>
  <si>
    <t>Back Office</t>
  </si>
  <si>
    <t>Refr Food Prep</t>
  </si>
  <si>
    <t xml:space="preserve">Walk-in Freezers         </t>
  </si>
  <si>
    <t>Loading Dock - Semi-Conditioned</t>
  </si>
  <si>
    <t>30 ft</t>
  </si>
  <si>
    <t>Produce</t>
  </si>
  <si>
    <t xml:space="preserve">SZVAVHP_Produce_NC                                       </t>
  </si>
  <si>
    <t>PSZAC_Produce_Existing</t>
  </si>
  <si>
    <t>(1200 sf)</t>
  </si>
  <si>
    <t>2100 sf)</t>
  </si>
  <si>
    <t xml:space="preserve">Walk-in Coolers           </t>
  </si>
  <si>
    <t>(stock area)</t>
  </si>
  <si>
    <t>3200 sf</t>
  </si>
  <si>
    <t>General Merch</t>
  </si>
  <si>
    <t xml:space="preserve">SZVAVHP_General Merch_NC             </t>
  </si>
  <si>
    <t>PSZAC_General Merch_Existing</t>
  </si>
  <si>
    <t>5000 sf (250'x20')</t>
  </si>
  <si>
    <t>Meat and Dairy</t>
  </si>
  <si>
    <t>R1, R2</t>
  </si>
  <si>
    <t>20'</t>
  </si>
  <si>
    <t>Frozen</t>
  </si>
  <si>
    <t xml:space="preserve">SZVAVHP_Frozen_NC                                         </t>
  </si>
  <si>
    <t>SPSZAC_Frozen_Existing</t>
  </si>
  <si>
    <t>Beverage</t>
  </si>
  <si>
    <t xml:space="preserve">SZVAVHP_Beverage_NC                                     </t>
  </si>
  <si>
    <t>PSZAC_Beverage_Existing</t>
  </si>
  <si>
    <t>Grocery - General</t>
  </si>
  <si>
    <t>Grocery - Frozen</t>
  </si>
  <si>
    <t>Bakery and Deli</t>
  </si>
  <si>
    <t xml:space="preserve">SZVAVHP_Bakery and Deli                                </t>
  </si>
  <si>
    <t>PSZAC_Bakery and Deli_Existing</t>
  </si>
  <si>
    <t xml:space="preserve">SZVAVHP_Meat and Dairy                     </t>
  </si>
  <si>
    <t>PSZAC_Meat and Dairy_Existing</t>
  </si>
  <si>
    <t xml:space="preserve">           200' totalEastFacade</t>
  </si>
  <si>
    <t>Lounge, Breakroom, or Waiting Area</t>
  </si>
  <si>
    <t xml:space="preserve">SZVAVHP_Back Office                                 </t>
  </si>
  <si>
    <t>PSZAC_Back Office_Existing</t>
  </si>
  <si>
    <t>R4, R7</t>
  </si>
  <si>
    <t>R5</t>
  </si>
  <si>
    <t>R6, R9</t>
  </si>
  <si>
    <t>R3,R10</t>
  </si>
  <si>
    <t>Loading Dock EL1</t>
  </si>
  <si>
    <t>Storage, Commercial/Industrial (Shipping &amp; Handling)</t>
  </si>
  <si>
    <t xml:space="preserve">SZVAVHP_Loading Dock EL1                        </t>
  </si>
  <si>
    <t>PSZAC_Loading Dock EL1_Existing</t>
  </si>
  <si>
    <t>Ancillary</t>
  </si>
  <si>
    <t>4400 sf</t>
  </si>
  <si>
    <t>7700 sf</t>
  </si>
  <si>
    <t>6600 sf</t>
  </si>
  <si>
    <t>110'</t>
  </si>
  <si>
    <t>Food Prep</t>
  </si>
  <si>
    <t>Storage, Commercial/Industrial (Refrigerated)</t>
  </si>
  <si>
    <t xml:space="preserve">SZVAVHP_RefFoodPRep Core                      </t>
  </si>
  <si>
    <t>PSZAC_RefFoodPRep Core_Existing</t>
  </si>
  <si>
    <t>Refrigeration</t>
  </si>
  <si>
    <t>(40'x110')</t>
  </si>
  <si>
    <t>(70'x110')</t>
  </si>
  <si>
    <t>(60'x110')</t>
  </si>
  <si>
    <t>RefWalkInCool Core</t>
  </si>
  <si>
    <t xml:space="preserve">                                -</t>
  </si>
  <si>
    <t>-</t>
  </si>
  <si>
    <t>Ref WalkInFreezer Core</t>
  </si>
  <si>
    <t xml:space="preserve">                                - </t>
  </si>
  <si>
    <t>Total (1 Building)</t>
  </si>
  <si>
    <t>Total (12 Thermal zones)</t>
  </si>
  <si>
    <t>Total (4 Space Types)</t>
  </si>
  <si>
    <t xml:space="preserve"> Total (12 Conditioned zones)</t>
  </si>
  <si>
    <t>Cashier area and front of the store</t>
  </si>
  <si>
    <t>40'</t>
  </si>
  <si>
    <t xml:space="preserve"> 10,000 sf (250'*40')</t>
  </si>
  <si>
    <t>Element</t>
  </si>
  <si>
    <t>Prototype</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</si>
  <si>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</si>
  <si>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</si>
  <si>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</si>
  <si>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</si>
  <si>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</si>
  <si>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</si>
  <si>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</si>
  <si>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</si>
  <si>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</si>
  <si>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</si>
  <si>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</si>
  <si>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</si>
  <si>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</si>
  <si>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</si>
  <si>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</si>
  <si>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</si>
  <si>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</si>
  <si>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</si>
  <si>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</si>
  <si>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</si>
  <si>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</si>
  <si>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</si>
  <si>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</si>
  <si>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t>Metal frame + insulation + Gypsum board</t>
  </si>
  <si>
    <t>U-factor IP</t>
  </si>
  <si>
    <t>Pre 1978</t>
  </si>
  <si>
    <t>ASHRAE 90.1, 2022, Table A3.3.3.1, 3.5", R-0</t>
  </si>
  <si>
    <t>1978-1997</t>
  </si>
  <si>
    <t>Package A with Heat Capacity 10.0-14.99 (Btu/F-ft²) - Still are lower than the next vintage!</t>
  </si>
  <si>
    <t>1998-2007</t>
  </si>
  <si>
    <t>Table 1-H</t>
  </si>
  <si>
    <t>2008-2018</t>
  </si>
  <si>
    <t>Table 140.3-B</t>
  </si>
  <si>
    <t>Existing</t>
  </si>
  <si>
    <t>2019+</t>
  </si>
  <si>
    <t>Roof</t>
  </si>
  <si>
    <t>FlatRoof_WoodFramedAndOther_NonRes</t>
  </si>
  <si>
    <t>Built-up roof: 
Roof membrane+ insulation+metal decking</t>
  </si>
  <si>
    <t>Considering 30 years for roof/ insulation replacement.</t>
  </si>
  <si>
    <t>Window</t>
  </si>
  <si>
    <t>FixedWindow_NonRes</t>
  </si>
  <si>
    <t xml:space="preserve">CBECS 2018 shows that ~ 50 % of retail that were built before 2000 are single pane </t>
  </si>
  <si>
    <t>2021 ASHRAE Handbook of Fundamentals - Section 15.9 Table 4 for single pane &amp; T24, 2013 Table 140.3-B for double pane (50%-50%)</t>
  </si>
  <si>
    <t>Double pane</t>
  </si>
  <si>
    <t xml:space="preserve">Table 140.3-B </t>
  </si>
  <si>
    <t>SHGC</t>
  </si>
  <si>
    <t>2021 ASHRAE Handbook of Fundamentals - Section 15.22 Table 10 for single pane &amp; T24, 2013 Table 140.3-B for double pane (50%-50%)</t>
  </si>
  <si>
    <t xml:space="preserve"> Table 1-H (Non north 0-10%)</t>
  </si>
  <si>
    <t>Skylight</t>
  </si>
  <si>
    <t>RetailMedium</t>
  </si>
  <si>
    <t>Translucent</t>
  </si>
  <si>
    <t>from 1992 code cycle</t>
  </si>
  <si>
    <t>Plastic curb mounted</t>
  </si>
  <si>
    <t>From 1992 code cycle</t>
  </si>
  <si>
    <t>Table 1-H (For SRR 2.1-5%)</t>
  </si>
  <si>
    <t xml:space="preserve">There is no requirement in the code (considered same as 2001) </t>
  </si>
  <si>
    <t>Infiltration</t>
  </si>
  <si>
    <t>Zones</t>
  </si>
  <si>
    <t xml:space="preserve">I_75 (cfm/ft²)
6-sdied Infiltration rate @ 75 pa </t>
  </si>
  <si>
    <t>Note</t>
  </si>
  <si>
    <t xml:space="preserve"> I-design (cfm/ft²) 
(4-sided Infiltration rate at normal pressure) 
(Design flow rate approach and Flow/Exterior Wall Area calculation method) </t>
  </si>
  <si>
    <t>2022 CASE report (Table 38)</t>
  </si>
  <si>
    <r>
      <t>Floor or roof area (ft</t>
    </r>
    <r>
      <rPr>
        <vertAlign val="superscript"/>
        <sz val="10"/>
        <color rgb="FF000000"/>
        <rFont val="Arial"/>
        <family val="2"/>
      </rPr>
      <t>2</t>
    </r>
    <r>
      <rPr>
        <sz val="10"/>
        <color rgb="FF000000"/>
        <rFont val="Arial"/>
        <family val="2"/>
      </rPr>
      <t>)</t>
    </r>
  </si>
  <si>
    <t>Walls area (ft2)</t>
  </si>
  <si>
    <t xml:space="preserve">Building 4 sided area (ft2) </t>
  </si>
  <si>
    <t>2022 CASE report (Table 38) &amp;
T24, part 6, 2008-2016 (Table 140.3-B), Dodge 2023 data</t>
  </si>
  <si>
    <t xml:space="preserve">Building 6 sided area (ft2) </t>
  </si>
  <si>
    <t>0.6 (barrier in all CZ)</t>
  </si>
  <si>
    <t>2022 CASE report (Table 38) &amp;  
T24, part 6, 2025 (Table 140.3-B)</t>
  </si>
  <si>
    <t xml:space="preserve">6 sided /4 sided factor </t>
  </si>
  <si>
    <t>Source:  T24 air barrier requirements (all editions) , the standardized infiltration rate reported in the 2022 CASE report, and Dodge 2023 data</t>
  </si>
  <si>
    <t>Entrance Door Infiltration</t>
  </si>
  <si>
    <t>Parameter</t>
  </si>
  <si>
    <t>Units</t>
  </si>
  <si>
    <t>Description</t>
  </si>
  <si>
    <t xml:space="preserve"> Source</t>
  </si>
  <si>
    <t>cfm</t>
  </si>
  <si>
    <t>Entrance infiltration airflow;CFM = CA × Door Area × Rp</t>
  </si>
  <si>
    <t>NREL, Retail Building Guide for Entrance Energy Efficiency Measures, Section 1</t>
  </si>
  <si>
    <t>CA</t>
  </si>
  <si>
    <t>cfm/ft²/√in.H₂O</t>
  </si>
  <si>
    <t>Airflow coefficient based on PPH and entrance/vestibule configuration</t>
  </si>
  <si>
    <t>NREL, Retail Building Guide for Entrance Energy Efficiency Measures, Section 1, Equations 1-1 through 1-4</t>
  </si>
  <si>
    <t>PPH</t>
  </si>
  <si>
    <t>people/hr</t>
  </si>
  <si>
    <t>Annual average one-way trips through each modeled entrance during entrance operating hours</t>
  </si>
  <si>
    <t>Transactions/week</t>
  </si>
  <si>
    <t>transactions/week</t>
  </si>
  <si>
    <t>Example weekly retail transaction volume used to estimate door traffic</t>
  </si>
  <si>
    <t>NREL, Retail Building Guide for Entrance Energy Efficiency Measures</t>
  </si>
  <si>
    <t>Operating hours/week</t>
  </si>
  <si>
    <t>hr/week</t>
  </si>
  <si>
    <t>Weekly hours during which the customer entrance is available for use</t>
  </si>
  <si>
    <t>8 AM–9 PM, 7 days/week</t>
  </si>
  <si>
    <t>Trips/customer</t>
  </si>
  <si>
    <t>one-way trips/customer</t>
  </si>
  <si>
    <t>Assumes each transaction represents one customer who enters once and exits once</t>
  </si>
  <si>
    <t>Assumed</t>
  </si>
  <si>
    <t>Number of main entrances</t>
  </si>
  <si>
    <t>entrance</t>
  </si>
  <si>
    <t>Number of equivalent customer entrances among which traffic is distributed</t>
  </si>
  <si>
    <t>Based on the Geometry</t>
  </si>
  <si>
    <t>Vestibule Type</t>
  </si>
  <si>
    <t>Sliding doors - across</t>
  </si>
  <si>
    <t>—</t>
  </si>
  <si>
    <t>Entrance/vestibule configuration used to select the CA equation</t>
  </si>
  <si>
    <t>Door Area</t>
  </si>
  <si>
    <t>ft²</t>
  </si>
  <si>
    <t>Effective/total open area of modeled entrance door</t>
  </si>
  <si>
    <t>Wind Speed</t>
  </si>
  <si>
    <t>mph</t>
  </si>
  <si>
    <t>Average wind speed while the entrance is in use</t>
  </si>
  <si>
    <t>Assumed based on representative California weather</t>
  </si>
  <si>
    <t>Wind Impact</t>
  </si>
  <si>
    <t>Moderate</t>
  </si>
  <si>
    <t>Wind-pressure exposure assumption; Moderate corresponds to Cp = 0.45</t>
  </si>
  <si>
    <t>Assumed; Cp definition and options from NREL, Retail Building Guide for Entrance Energy Efficiency Measures, Table 1-1</t>
  </si>
  <si>
    <t>Rp</t>
  </si>
  <si>
    <t>√in.H₂O</t>
  </si>
  <si>
    <t>Pressure factor based on average wind speed and wind-pressure impact</t>
  </si>
  <si>
    <t>NREL, Retail Building Guide for Entrance Energy Efficiency Measures, Section 1, Step 2, Table 1-1</t>
  </si>
  <si>
    <t>Loading Dock Infiltration</t>
  </si>
  <si>
    <t>Value / Formula</t>
  </si>
  <si>
    <t>Source</t>
  </si>
  <si>
    <t>Loading Dock CFM</t>
  </si>
  <si>
    <t>Design infiltration rate through loading dock when open</t>
  </si>
  <si>
    <t>Retail Building Guide for Entrance Energy Efficiency Measures, Section 5, Eq. 5-1</t>
  </si>
  <si>
    <t>Loading Dock Door Area</t>
  </si>
  <si>
    <t>Effective open area of loading dock door</t>
  </si>
  <si>
    <t>Loading Dock Door Number</t>
  </si>
  <si>
    <t>#</t>
  </si>
  <si>
    <t>Reference Door Area</t>
  </si>
  <si>
    <t>Reference effective door area used to produce Table 5-1</t>
  </si>
  <si>
    <t>Retail Building Guide for Entrance Energy Efficiency Measures, Section 5</t>
  </si>
  <si>
    <t>CFM230</t>
  </si>
  <si>
    <t>Infiltration rate for 230-ft² reference opening for climate Zone 3B</t>
  </si>
  <si>
    <t>Retail Building Guide for Entrance Energy Efficiency Measures, Table 5-1</t>
  </si>
  <si>
    <t>Vestibule Types:</t>
  </si>
  <si>
    <t>without a vestibule</t>
  </si>
  <si>
    <t>No vestibule</t>
  </si>
  <si>
    <t>vestibule with swinging doors</t>
  </si>
  <si>
    <t>Swinging doors</t>
  </si>
  <si>
    <t>vestibule with sliding doors, where the inner and outer doors are across from each other</t>
  </si>
  <si>
    <t>vestibule with sliding doors, where the outer doors are on the left or right side of the vestibule</t>
  </si>
  <si>
    <t>Sliding doors - side</t>
  </si>
  <si>
    <t>Wind speed</t>
  </si>
  <si>
    <t>(C_p=0.45)</t>
  </si>
  <si>
    <t>(C_p=0.70)</t>
  </si>
  <si>
    <t>5 mph</t>
  </si>
  <si>
    <t>10 mph</t>
  </si>
  <si>
    <t>15 mph</t>
  </si>
  <si>
    <t>20 mph</t>
  </si>
  <si>
    <t>Background Data [To be deleted prior to publication]</t>
  </si>
  <si>
    <t>Retail Standalone</t>
  </si>
  <si>
    <t>in.comstock_building_type</t>
  </si>
  <si>
    <t>Sum of calc.weighted.sqft</t>
  </si>
  <si>
    <t>%</t>
  </si>
  <si>
    <t>Mass</t>
  </si>
  <si>
    <t>SteelFramed</t>
  </si>
  <si>
    <t>WoodFramed</t>
  </si>
  <si>
    <t>Grand Total</t>
  </si>
  <si>
    <t xml:space="preserve">Heating </t>
  </si>
  <si>
    <t>Cooling</t>
  </si>
  <si>
    <t>Air Distribution</t>
  </si>
  <si>
    <t>Other systems</t>
  </si>
  <si>
    <t xml:space="preserve">Existing  </t>
  </si>
  <si>
    <t>PSZAC (furnace)</t>
  </si>
  <si>
    <t>PSZAC (DX cooling)</t>
  </si>
  <si>
    <t>PSZAC</t>
  </si>
  <si>
    <t>OA mixing 
Economizer for Vintage 3 and 4</t>
  </si>
  <si>
    <t>CEUS 2022</t>
  </si>
  <si>
    <t>New Construction</t>
  </si>
  <si>
    <t>SZVAVHP</t>
  </si>
  <si>
    <t>PSZVAVHP</t>
  </si>
  <si>
    <t xml:space="preserve">OA mixing 
Economizer </t>
  </si>
  <si>
    <t>Title 24, 2025, Engineering judgement</t>
  </si>
  <si>
    <r>
      <rPr>
        <b/>
        <sz val="12"/>
        <color rgb="FFFFFFFF"/>
        <rFont val="Arial"/>
      </rPr>
      <t xml:space="preserve">Efficiency of HVAC System
</t>
    </r>
    <r>
      <rPr>
        <sz val="10"/>
        <color rgb="FFFFFFFF"/>
        <rFont val="Arial"/>
      </rPr>
      <t xml:space="preserve"> (Efficiency is capacity-dependent. The following table provides a general estimate of system efficiency based on preliminary simulations in one climate zone, or assuming cooling load based on rule of thumb)</t>
    </r>
  </si>
  <si>
    <t>Upgrade/Installed year</t>
  </si>
  <si>
    <t>Thermal Efficiency of 80%</t>
  </si>
  <si>
    <t>SEER=13.0 for &lt;65 kBtu/h
EER 10.1 for  65-135 kBtu/h
EER 9.5 for 135-240 kBtu/h
EER 9.3 for 240-760 kBtu/h</t>
  </si>
  <si>
    <t>T24, Table 112-A (2008)
10 CFR § 431.97, Table 1 (2008)
California Title 20 Appliance Efficiency Regulations, Table E-4, Standards for Gas- and Oil-Fired Central Furnaces (2008)</t>
  </si>
  <si>
    <t>Thermal Efficiency of 80%;</t>
  </si>
  <si>
    <t>SEER 13 for &lt;65 kBtu/h
EER 11.0 for  65-135 kBtu/h
EER 10.8 for 135-240 kBtu/h
EER 9.8 for 240-760 kBtu/h</t>
  </si>
  <si>
    <t>T24, 2013  Table 110.2-J &amp; Table 110.2-A (2013)
10 CFR § 431.97(b) Table 1 (2013)</t>
  </si>
  <si>
    <t>HSPF 8.0 for &lt;65 kBtu/h
COP 3.4 for 65-135 kBtu/h
COP 3.3 for 135-240 kBtu/h
COP 3.2 for &gt;240 kBtu/h</t>
  </si>
  <si>
    <t>SEER 14 for &lt;65 kBtu/h
EER 10.8, IEER 13.9 for 65-135 kBtu/h
EER 10.4,  IEER = 13.3 135-240 kBtu/h
EER 9.3, IEER=12.3 for &gt;240 kBtu/h</t>
  </si>
  <si>
    <t xml:space="preserve"> 10 CFR § 431.97(b) Table 1 (2025)
Title 20 Appliance Efficiency Regulations, Section 1605.1, Table C-5 (2025)
T24, Table 110.2-B (2025)</t>
  </si>
  <si>
    <t>Fan Power</t>
  </si>
  <si>
    <t>Approach</t>
  </si>
  <si>
    <t>System</t>
  </si>
  <si>
    <t>Total Static Pressure (TSP)
(in w.c.)</t>
  </si>
  <si>
    <t>Fan Efficiency
[ACM 2025]</t>
  </si>
  <si>
    <t xml:space="preserve">Motor Efficiency </t>
  </si>
  <si>
    <t xml:space="preserve"> Fan Power Index 
(W/cfm)</t>
  </si>
  <si>
    <t>Data Source</t>
  </si>
  <si>
    <t>PNNL 90.1-2011, TSP</t>
  </si>
  <si>
    <t>CAV &lt; 7,437 cfm</t>
  </si>
  <si>
    <t>ASHRAE 90.1, 2004, Table 10.8 *</t>
  </si>
  <si>
    <t>Fan power formula: PNNL 20405, 2010, section 5.2.2.5
TSP and fan efficiecncy: PNNL 20405, 2010, Table 5.11, 90.1-04ac values
Motor and drive efficiency: ASHRAE 90.1, 2004, Table 10.8</t>
  </si>
  <si>
    <t>CAV &gt;= 7,437 cfm</t>
  </si>
  <si>
    <t>Brake horsepower (bhp) = (Supply cfm × TSP in w.c.) / (6356 × fan efficiency)</t>
  </si>
  <si>
    <t>Fan power (w/cfm) = (bhp ×  746) / ( supply cfm × motor efficiency )</t>
  </si>
  <si>
    <t>ACM 2025</t>
  </si>
  <si>
    <t>SZVAVHP (System 7b), ≤5,000 cfm</t>
  </si>
  <si>
    <t>TSP = fan power × motor efficiency × fan efficiency × 6356 / 746</t>
  </si>
  <si>
    <t>2025 ACM Table 12 **</t>
  </si>
  <si>
    <t>Fan power index: [ACM 2025, Table 13]
Motor efficiency: [ACM 2025, Table 12]</t>
  </si>
  <si>
    <t>SZVAVHP (System 7b), &gt;5,000 and ≤10,000 cfm</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</si>
  <si>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</si>
  <si>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HVAC New Construction is SZVAVHP, not multi-zone VAV. ACM System 7b ≤5,000 cfm.
     Note: ACM System 7b mid bin. Existing PSZAC CAV rows above stay on PNNL.</t>
  </si>
  <si>
    <t>Floor Area (ft²)</t>
  </si>
  <si>
    <t>cfm/person
[T24, 2025, Equation 120.1-F and Table 120.1-A]</t>
  </si>
  <si>
    <t>cfm/ft²  
[T24, 2025, Equation 120.1-F and Table 120.1-A]</t>
  </si>
  <si>
    <t>Required Exhaust Rate
[T24, 2025, Table 120.1-B – minimum exhaust rates]</t>
  </si>
  <si>
    <t>Total cfm 
Driven by People</t>
  </si>
  <si>
    <t>Total cfm 
Driven by Area</t>
  </si>
  <si>
    <t>Total cfm 
Driven by Exhaust</t>
  </si>
  <si>
    <t>Total cfm</t>
  </si>
  <si>
    <t xml:space="preserve">_ </t>
  </si>
  <si>
    <t>_</t>
  </si>
  <si>
    <r>
      <rPr>
        <sz val="10"/>
        <color rgb="FF000000"/>
        <rFont val="Arial"/>
        <family val="2"/>
      </rPr>
      <t>8*</t>
    </r>
    <r>
      <rPr>
        <sz val="10"/>
        <color rgb="FF000000"/>
        <rFont val="Arial"/>
        <family val="2"/>
      </rPr>
      <t>50/70</t>
    </r>
    <r>
      <rPr>
        <sz val="10"/>
        <color rgb="FF000000"/>
        <rFont val="Arial"/>
        <family val="2"/>
      </rPr>
      <t xml:space="preserve"> cfm/unit</t>
    </r>
  </si>
  <si>
    <t>Setpoint</t>
  </si>
  <si>
    <t>Grocery Sales &amp; Office Heating Setpoint (F)</t>
  </si>
  <si>
    <t>T24 2022 - Appendix 5.4B, [Retail]</t>
  </si>
  <si>
    <t>Grocery Sales &amp; Office Heating Setback (F)</t>
  </si>
  <si>
    <t>Grocery Sales &amp; Office Cooling Setpoint (F)</t>
  </si>
  <si>
    <t>Grocery Sales &amp; Office Cooling Setback (F)</t>
  </si>
  <si>
    <t>Dock/Storage Heating Setpoint (F)</t>
  </si>
  <si>
    <t>Engineering Judement</t>
  </si>
  <si>
    <t>Dock/Storage Heating Setback (F)</t>
  </si>
  <si>
    <t>Dock/StorageCooling Setpoint (F)</t>
  </si>
  <si>
    <t>Dock/Storage Cooling Setback (F)</t>
  </si>
  <si>
    <t>WH Type</t>
  </si>
  <si>
    <t>Efficiency</t>
  </si>
  <si>
    <t>Number of WH</t>
  </si>
  <si>
    <t>Tank Volume (gal)</t>
  </si>
  <si>
    <t>Tank Loss</t>
  </si>
  <si>
    <t xml:space="preserve">Electric </t>
  </si>
  <si>
    <t>See table below for CZ-specific values: Climate Zone Water Heater Sizing and Loss Coefficients, Storage Volume column (col F)</t>
  </si>
  <si>
    <t>See table below: Climate Zone Water Heater Sizing and Loss Coefficients, Standby Loss column (col G)</t>
  </si>
  <si>
    <t>See table below for sources: Climate Zone Water Heater Sizing and Loss Coefficients</t>
  </si>
  <si>
    <t>Electric</t>
  </si>
  <si>
    <t>Peak Hot Water Consumption</t>
  </si>
  <si>
    <t>Space Name</t>
  </si>
  <si>
    <t>Baseline WH Type 
[CEUS 2022]</t>
  </si>
  <si>
    <t>Total Area (ft²)</t>
  </si>
  <si>
    <t>Hot Water Usage Specification
(gal/hr per person)  
[T24, 2022, Appendix 5.4A , sheet: "2022 SpaceFuncData-Input"]</t>
  </si>
  <si>
    <t>Peak Hot Water Usage
(gal/hr)</t>
  </si>
  <si>
    <t>Peak Hot Water Usage
(gal/min)</t>
  </si>
  <si>
    <t xml:space="preserve">Electric resistance WH </t>
  </si>
  <si>
    <t>For space types marked with an asterisk (the ‘*’ symbol), the water‑heater type is listed as electric in Appendix 5.4A, sheet ‘2022 SpaceFuncData‑Input.’ However, we modified the value based on CEUS data, which indicates that gas is the primary fuel type.</t>
  </si>
  <si>
    <t>Total</t>
  </si>
  <si>
    <t>Gas storage</t>
  </si>
  <si>
    <t>Minimum peak hot water usage is 75 gal according to ACM 2025</t>
  </si>
  <si>
    <t xml:space="preserve">Total </t>
  </si>
  <si>
    <t>Electric resistance</t>
  </si>
  <si>
    <t>Design supply temperature (°F)</t>
  </si>
  <si>
    <t>CEC-400-2022-009-CMF-REV2-AP5.4B</t>
  </si>
  <si>
    <t>WH system factor</t>
  </si>
  <si>
    <t>2025 ACM §5.9.2 Rated Capacity</t>
  </si>
  <si>
    <t>Water mass conversion (lb/gal)</t>
  </si>
  <si>
    <t>Reheat multiplier</t>
  </si>
  <si>
    <t>2025 ACM §5.9.2 Storage Volume</t>
  </si>
  <si>
    <t>Climate Zone Water Heater Sizing and Loss Coefficients (Individual WH)</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</si>
  <si>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</si>
  <si>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</si>
  <si>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</si>
  <si>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</si>
  <si>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</si>
  <si>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</si>
  <si>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</si>
  <si>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</si>
  <si>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</si>
  <si>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CZ01</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</si>
  <si>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</si>
  <si>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</si>
  <si>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</si>
  <si>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</si>
  <si>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</si>
  <si>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</si>
  <si>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</si>
  <si>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</si>
  <si>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</si>
  <si>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</si>
  <si>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</si>
  <si>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</si>
  <si>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</si>
  <si>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</si>
  <si>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</si>
  <si>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</si>
  <si>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</si>
  <si>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</si>
  <si>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</si>
  <si>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</si>
  <si>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</si>
  <si>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</si>
  <si>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Space Type</t>
  </si>
  <si>
    <t xml:space="preserve">New Construction </t>
  </si>
  <si>
    <t>LPD (W/ft²)</t>
  </si>
  <si>
    <t>Additional LPD for Portable Lighting (W/ft²)</t>
  </si>
  <si>
    <t xml:space="preserve">LPD (W/ft²) </t>
  </si>
  <si>
    <t xml:space="preserve">T24, part 6, 2025, Table 140.6-C
(Area category method) </t>
  </si>
  <si>
    <t xml:space="preserve">T24, part 6, 2016, Table 140.6-C
(Area category method)
 </t>
  </si>
  <si>
    <t>Additional lighting was allocated for the Bakery &amp; Deli and Produce areas, which together represent about 27% of the store’s retail sales area; accordingly, the code allowance for extra lighting was multiplied by 27%.</t>
  </si>
  <si>
    <t>Motion Controlled Luminaires (W)</t>
  </si>
  <si>
    <t>Non-motion Controlled Luminaires (W)</t>
  </si>
  <si>
    <t>Total (W)</t>
  </si>
  <si>
    <t>T24, 2022</t>
  </si>
  <si>
    <t>Exterior Lighting</t>
  </si>
  <si>
    <t>Items (Assume LZ2)</t>
  </si>
  <si>
    <t>Assumptions
[2019 Outdoor Lighting CASE Report &amp; PNNL 90.1-2010 TSD]</t>
  </si>
  <si>
    <t>Unit</t>
  </si>
  <si>
    <t>Lighting Power Allowance 
[T24, 2025, Table 140.7-A &amp; 140.7-B]</t>
  </si>
  <si>
    <t>Exterior lighting power (w)</t>
  </si>
  <si>
    <t>IWA (Initial Wattage Allowance)</t>
  </si>
  <si>
    <t>W</t>
  </si>
  <si>
    <t>Parking area</t>
  </si>
  <si>
    <t xml:space="preserve">400 ft² for every parking space 
1 parking space per 360 ft² of gross building area </t>
  </si>
  <si>
    <t>(ft²)</t>
  </si>
  <si>
    <t>(W/ft²)</t>
  </si>
  <si>
    <t>Building Entrance</t>
  </si>
  <si>
    <r>
      <rPr>
        <sz val="10"/>
        <color rgb="FF000000"/>
        <rFont val="Arial"/>
        <family val="2"/>
      </rPr>
      <t xml:space="preserve">1 per </t>
    </r>
    <r>
      <rPr>
        <sz val="10"/>
        <color rgb="FF000000"/>
        <rFont val="Arial"/>
        <family val="2"/>
      </rPr>
      <t xml:space="preserve">5,000 </t>
    </r>
    <r>
      <rPr>
        <sz val="10"/>
        <color rgb="FF000000"/>
        <rFont val="Arial"/>
        <family val="2"/>
      </rPr>
      <t>sf footprint</t>
    </r>
  </si>
  <si>
    <t>(count)</t>
  </si>
  <si>
    <t>(W/ea)</t>
  </si>
  <si>
    <t>Hardscape Ornamental Light</t>
  </si>
  <si>
    <r>
      <t xml:space="preserve">0.1 ft² per 1 ft² of gross bldg area </t>
    </r>
    <r>
      <rPr>
        <sz val="10"/>
        <color rgb="FF000000"/>
        <rFont val="Arial"/>
        <family val="2"/>
      </rPr>
      <t xml:space="preserve"> [2019 Lighting CASE report,Table 36]</t>
    </r>
    <r>
      <rPr>
        <sz val="10"/>
        <color theme="1"/>
        <rFont val="Arial"/>
        <family val="2"/>
      </rPr>
      <t xml:space="preserve">
*The 0.5 multiplier has not been applied, as it is assumed it will be incorporated later during the measure analysis study.</t>
    </r>
  </si>
  <si>
    <t>Building façade</t>
  </si>
  <si>
    <t>0.1 W per 1 ft² of facade area 
Façade Area = Perimeter × 0.5 × 25 ft
The 0.5 factor assumes that only half of the perimeter walls are lit.
-Formula ia developed based on the 2019 Outdoor Lighting CASE report</t>
  </si>
  <si>
    <t>Sales canopy</t>
  </si>
  <si>
    <t>0.1 ft² per ft² of gross bldg area</t>
  </si>
  <si>
    <t>Motion controlled Luminaires</t>
  </si>
  <si>
    <t>Non-motion-controlled Luminaires</t>
  </si>
  <si>
    <t>*Developed based on 2019 Outdoor Lighting CASE Report</t>
  </si>
  <si>
    <t>Perimeter</t>
  </si>
  <si>
    <t>Total floor area</t>
  </si>
  <si>
    <t>Floors</t>
  </si>
  <si>
    <t>Plug Load Power Density (W/ft²)</t>
  </si>
  <si>
    <t>Proposed Updates to Equipment Power Densities and Schedules in the 2028 Energy Code Nonresidential and Multifamily Alternative Calculation Method (NRMFACM) Reference Manual, August 7, 2025</t>
  </si>
  <si>
    <t>Matches Retail/All Other; 
PNNL prototype =~0.7; T24 Appendix 5.4A =0.2</t>
  </si>
  <si>
    <t>T24 2022 - Appendix 5.4A: Space Use Data-T24N-2022</t>
  </si>
  <si>
    <t xml:space="preserve">Refrigeration Equipment </t>
  </si>
  <si>
    <t>Tag</t>
  </si>
  <si>
    <t>Equipment Type</t>
  </si>
  <si>
    <t>Location</t>
  </si>
  <si>
    <t>Duty / Type</t>
  </si>
  <si>
    <t>Number of Units</t>
  </si>
  <si>
    <t>Case Length (ft)</t>
  </si>
  <si>
    <t>Dimensions (LxDxH)</t>
  </si>
  <si>
    <t>Temp Range (°F)</t>
  </si>
  <si>
    <t>Refrigerant</t>
  </si>
  <si>
    <r>
      <rPr>
        <b/>
        <sz val="10"/>
        <color rgb="FF000000"/>
        <rFont val="Arial"/>
        <family val="2"/>
      </rPr>
      <t xml:space="preserve">Rated Power </t>
    </r>
    <r>
      <rPr>
        <b/>
        <sz val="10"/>
        <color rgb="FF000000"/>
        <rFont val="Arial"/>
        <family val="2"/>
      </rPr>
      <t>(W/m)</t>
    </r>
  </si>
  <si>
    <r>
      <rPr>
        <b/>
        <sz val="10"/>
        <color rgb="FF000000"/>
        <rFont val="Arial"/>
        <family val="2"/>
      </rPr>
      <t xml:space="preserve">Defrost Power </t>
    </r>
    <r>
      <rPr>
        <b/>
        <sz val="10"/>
        <color rgb="FF000000"/>
        <rFont val="Arial"/>
        <family val="2"/>
      </rPr>
      <t>(W/m)</t>
    </r>
  </si>
  <si>
    <t>Fan Power (W/m)</t>
  </si>
  <si>
    <t>Lights Power (W/m)</t>
  </si>
  <si>
    <t>Anti Sweat (W)</t>
  </si>
  <si>
    <t>Compressor Type</t>
  </si>
  <si>
    <t>Lighting</t>
  </si>
  <si>
    <t>Defrost Type</t>
  </si>
  <si>
    <t>R1</t>
  </si>
  <si>
    <t>Open Multideck Dairy Case</t>
  </si>
  <si>
    <t>Dairy Aisle</t>
  </si>
  <si>
    <t>Medium Temp</t>
  </si>
  <si>
    <t>12' x 42" x 84"</t>
  </si>
  <si>
    <t>34–38</t>
  </si>
  <si>
    <t>R-448A</t>
  </si>
  <si>
    <t>Remote</t>
  </si>
  <si>
    <t>LED canopy/shelves</t>
  </si>
  <si>
    <t>Off-cycle</t>
  </si>
  <si>
    <t>Glass end panels, night curtain</t>
  </si>
  <si>
    <t>Grocery Store 50% Energy Savings Technical Support Document NREl (2009)
ORNL Prototype Supermarket Building Energy Model (2019)
Performance Comparison of Three High Efficiency Medium-Temperature Display Cases (2009)</t>
  </si>
  <si>
    <t>R22</t>
  </si>
  <si>
    <t>R2</t>
  </si>
  <si>
    <t>Service Deli Case</t>
  </si>
  <si>
    <t>Deli Counter</t>
  </si>
  <si>
    <t>8' x 36" x 50"</t>
  </si>
  <si>
    <t>36–40</t>
  </si>
  <si>
    <t>LED top light</t>
  </si>
  <si>
    <t>Dual temp option for meats/cheeses</t>
  </si>
  <si>
    <t>R3</t>
  </si>
  <si>
    <t>Meat Self-Service Case</t>
  </si>
  <si>
    <t>Meat Department</t>
  </si>
  <si>
    <t>28–32</t>
  </si>
  <si>
    <t>LED lighting</t>
  </si>
  <si>
    <t>Gravity coil, low temp</t>
  </si>
  <si>
    <t>R4</t>
  </si>
  <si>
    <t>Produce Case (Refrigerated)</t>
  </si>
  <si>
    <t>Produce Aisle</t>
  </si>
  <si>
    <t>8' x 42" x 84"</t>
  </si>
  <si>
    <t>LED canopy light</t>
  </si>
  <si>
    <t>Mist system optional</t>
  </si>
  <si>
    <t>Frozen Food Upright Case</t>
  </si>
  <si>
    <t>Frozen Foods Aisle</t>
  </si>
  <si>
    <t>Low Temp</t>
  </si>
  <si>
    <t>12' x 36" x 84"</t>
  </si>
  <si>
    <t>-5 to 0</t>
  </si>
  <si>
    <t>LED door lighting</t>
  </si>
  <si>
    <t>Glass doors, anti-sweat heaters</t>
  </si>
  <si>
    <t>R6</t>
  </si>
  <si>
    <t>Ice Cream Low-Temp Case</t>
  </si>
  <si>
    <t>6' x 36" x 84"</t>
  </si>
  <si>
    <t>-10 to -20</t>
  </si>
  <si>
    <t>R-448A or CO₂</t>
  </si>
  <si>
    <t>Critical temp holding, tight door seals</t>
  </si>
  <si>
    <t>R7</t>
  </si>
  <si>
    <t>Walk-In Cooler (Produce)</t>
  </si>
  <si>
    <t>Back of House</t>
  </si>
  <si>
    <t>10' x 12' x 8'</t>
  </si>
  <si>
    <t>2917 (W)</t>
  </si>
  <si>
    <t>152 (W)</t>
  </si>
  <si>
    <t>60 (W)</t>
  </si>
  <si>
    <t>Remote condensing unit</t>
  </si>
  <si>
    <t>LED ceiling</t>
  </si>
  <si>
    <t>Floorless, strip curtain at door</t>
  </si>
  <si>
    <t>169 (W)</t>
  </si>
  <si>
    <t>120 (W)</t>
  </si>
  <si>
    <t>R8</t>
  </si>
  <si>
    <t>Walk-In Freezer</t>
  </si>
  <si>
    <t>10' x 10' x 8'</t>
  </si>
  <si>
    <t>2454 (W)</t>
  </si>
  <si>
    <t>1939 (W)</t>
  </si>
  <si>
    <t>128 (W)</t>
  </si>
  <si>
    <t>50 (W)</t>
  </si>
  <si>
    <t>Insulated floor, heated door frame</t>
  </si>
  <si>
    <t>196 (W)</t>
  </si>
  <si>
    <t>100 (W)</t>
  </si>
  <si>
    <t>R9</t>
  </si>
  <si>
    <t>Beverage Case</t>
  </si>
  <si>
    <t>Front of Store</t>
  </si>
  <si>
    <t>8' x 36" x 84"</t>
  </si>
  <si>
    <t>LED shelves</t>
  </si>
  <si>
    <t>Reach-in with glass doors</t>
  </si>
  <si>
    <t>R10</t>
  </si>
  <si>
    <t>Grab-n-Go Sandwich Cooler</t>
  </si>
  <si>
    <t>Front Grab-n-Go Area</t>
  </si>
  <si>
    <t>6' x 30" x 60"</t>
  </si>
  <si>
    <t>Self-contained</t>
  </si>
  <si>
    <t>LED canopy</t>
  </si>
  <si>
    <t>Plug-in, casters for mobility</t>
  </si>
  <si>
    <t>Refrigeration Systems</t>
  </si>
  <si>
    <t>Name</t>
  </si>
  <si>
    <t>Service</t>
  </si>
  <si>
    <t># of compressors</t>
  </si>
  <si>
    <t># of condensors</t>
  </si>
  <si>
    <t>Connected Load (KW)</t>
  </si>
  <si>
    <t xml:space="preserve">Heat Rejection </t>
  </si>
  <si>
    <t>Min SCT (°F)</t>
  </si>
  <si>
    <t>Condensor Design Capacity (kW)</t>
  </si>
  <si>
    <t>Condensor Fan Power (W)</t>
  </si>
  <si>
    <t>Fan Control</t>
  </si>
  <si>
    <t>LT_Refrigeration System</t>
  </si>
  <si>
    <t>Low Temp (R5, R6, R8)</t>
  </si>
  <si>
    <t>Outdoors</t>
  </si>
  <si>
    <t>Two Speed</t>
  </si>
  <si>
    <t xml:space="preserve">
ORNL Prototype Supermarket Building Energy (2019)
</t>
  </si>
  <si>
    <t>MT_Refrigeration System</t>
  </si>
  <si>
    <t>Medium Temp (R1–R4, R9, R7)</t>
  </si>
  <si>
    <t>R10_SelfContained System</t>
  </si>
  <si>
    <t>Medium Temp _ Self Contained</t>
  </si>
  <si>
    <t>Checkout_Area</t>
  </si>
  <si>
    <t>Fixed</t>
  </si>
  <si>
    <t>Zone</t>
  </si>
  <si>
    <t>Schedule</t>
  </si>
  <si>
    <t>Type</t>
  </si>
  <si>
    <t>Hour</t>
  </si>
  <si>
    <t>All</t>
  </si>
  <si>
    <t>Occupancy</t>
  </si>
  <si>
    <t>NLR Study "Final Optimization Report: Empowering Energy Efficiency in Existing Big-Box Retail/Grocery Stores", (2020)
&amp;
Adjusted based on Google Popular Time</t>
  </si>
  <si>
    <t>Weekday</t>
  </si>
  <si>
    <t>Saturday</t>
  </si>
  <si>
    <t>Sunday</t>
  </si>
  <si>
    <t>Lights</t>
  </si>
  <si>
    <t>T24 2022 - Appendix 5.4B</t>
  </si>
  <si>
    <t>ElecEquipment</t>
  </si>
  <si>
    <t>Plug load and schedules project with CEC, 2025</t>
  </si>
  <si>
    <t>HVACAvail</t>
  </si>
  <si>
    <t>ServiceHotWater</t>
  </si>
  <si>
    <t>HtgSetpt</t>
  </si>
  <si>
    <t>ClgSetpt</t>
  </si>
  <si>
    <t>Refrigeration Case Schedules</t>
  </si>
  <si>
    <t>CaseOperatingSched</t>
  </si>
  <si>
    <t>EnergyPlus example files _ Detailed_Supermarket</t>
  </si>
  <si>
    <t>CaseCleanedOnMonday</t>
  </si>
  <si>
    <t>Operating Schedule for Meat and Ice Cream Cases</t>
  </si>
  <si>
    <t>LightingSched_AllCases</t>
  </si>
  <si>
    <t>LightingSched_WalkIn</t>
  </si>
  <si>
    <t>RestockSched_AllCases</t>
  </si>
  <si>
    <t>RestockSched_WalkIn</t>
  </si>
  <si>
    <t>Tue/Fri</t>
  </si>
  <si>
    <t>Defrost_MTCases</t>
  </si>
  <si>
    <t xml:space="preserve"> 20 min defrost / 30 min drip</t>
  </si>
  <si>
    <t xml:space="preserve">DripDown_MTCases </t>
  </si>
  <si>
    <t>`EnergyPlus example files _ Detailed_Supermarket</t>
  </si>
  <si>
    <t>Defrost_LTCases</t>
  </si>
  <si>
    <t xml:space="preserve">DripDown_LTCases </t>
  </si>
  <si>
    <t>CaseCredit_LT</t>
  </si>
  <si>
    <t>Credit Schedule for Ice Cream and Frozen Food cases</t>
  </si>
  <si>
    <t>CaseCredit_MT</t>
  </si>
  <si>
    <t>WalkInDoorOpenSched</t>
  </si>
  <si>
    <t>Storage &amp; Loading Dock</t>
  </si>
  <si>
    <t xml:space="preserve">T24 2022 - Appendix 5.4B
</t>
  </si>
  <si>
    <t>Engineering Judgement</t>
  </si>
  <si>
    <t>Loading Dock Door Infiltration</t>
  </si>
  <si>
    <t>CASE Report - Dock Seals (2017)
Truck Trip Generation by Grocery Stores (2010)</t>
  </si>
  <si>
    <t>Other</t>
  </si>
  <si>
    <t>ExtLightingNonMotionCtrl</t>
  </si>
  <si>
    <t>ExtLightingMotionCtrl</t>
  </si>
  <si>
    <t>Retails</t>
  </si>
  <si>
    <t>RetailSalePeopleActivityLevel</t>
  </si>
  <si>
    <t xml:space="preserve">Based on Activilty level schedules in  CEC Prototypes </t>
  </si>
  <si>
    <t>CommonAreaPeopleActivityLevel</t>
  </si>
  <si>
    <t>RefFoodPRep Core, RefWalkInCool Core, Ref WalkInFreezer Core</t>
  </si>
  <si>
    <t>RefStoragePeopleActivityLevel</t>
  </si>
  <si>
    <t>SaleStoragePeopleActivityLevel</t>
  </si>
  <si>
    <t>CalBEM Energy Consumption - RetailGrocery</t>
  </si>
  <si>
    <t>National Average (EnergyStar Portfolio Manager)</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</si>
  <si>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</si>
  <si>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</si>
  <si>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</si>
  <si>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</si>
  <si>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</si>
  <si>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</si>
  <si>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</si>
  <si>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</si>
  <si>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eRange (25% Higher)</t>
  </si>
  <si>
    <t>Acceptable Range (25% Lower)</t>
  </si>
  <si>
    <t>National Average Acceptable Range</t>
  </si>
  <si>
    <t>Zip code</t>
  </si>
  <si>
    <t>Total Floorspace (Thousand of ft²)</t>
  </si>
  <si>
    <t>CEUS 2022 Electric Energy Intensity (kWh/ft²)</t>
  </si>
  <si>
    <t>CEUS 2022 Annual Gas Intensity (kWh/ft²)</t>
  </si>
  <si>
    <t>CEUS 2022 Total EUI (kBtu/ft²)</t>
  </si>
  <si>
    <t>Acceptable Range (25% Higher)</t>
  </si>
  <si>
    <t>CEUS 2022 Acceptable Range</t>
  </si>
  <si>
    <t>HotelSmall</t>
  </si>
  <si>
    <t>Retail</t>
  </si>
  <si>
    <r>
      <rPr>
        <b/>
        <sz val="10"/>
        <color rgb="FF000000"/>
        <rFont val="Arial"/>
        <family val="2"/>
      </rPr>
      <t xml:space="preserve">Ref: </t>
    </r>
    <r>
      <rPr>
        <sz val="10"/>
        <color rgb="FF000000"/>
        <rFont val="Arial"/>
        <family val="2"/>
      </rPr>
      <t xml:space="preserve">CEUS 2022 Report </t>
    </r>
  </si>
  <si>
    <t xml:space="preserve">And converted FZ level data to CZ level </t>
  </si>
  <si>
    <t>CEUS has only one category for all the retails</t>
  </si>
  <si>
    <t>Using Supermarket/Grocery Store use type</t>
  </si>
  <si>
    <t>Alternative One</t>
  </si>
  <si>
    <t>Alternative Two</t>
  </si>
  <si>
    <t>Food Store</t>
  </si>
  <si>
    <t>Electricity Usage (kWh/SqF)</t>
  </si>
  <si>
    <t>Gas Usage (kWh/SqF)</t>
  </si>
  <si>
    <t>CA Climate Zone</t>
  </si>
  <si>
    <t>Climate Character (short)</t>
  </si>
  <si>
    <t>HDD vs CDD Balance</t>
  </si>
  <si>
    <t>HVAC Dominance</t>
  </si>
  <si>
    <t>CZ 1</t>
  </si>
  <si>
    <t>Cool coastal / marine</t>
  </si>
  <si>
    <t>HDD ≫ CDD</t>
  </si>
  <si>
    <t>Heating-dominated</t>
  </si>
  <si>
    <t>CZ 2</t>
  </si>
  <si>
    <t>Coastal, slightly inland</t>
  </si>
  <si>
    <t>HDD &gt; CDD</t>
  </si>
  <si>
    <t>Heating-leaning</t>
  </si>
  <si>
    <t>CZ 3</t>
  </si>
  <si>
    <t>Mild coastal</t>
  </si>
  <si>
    <t>CZ 4</t>
  </si>
  <si>
    <t>Mild coastal / near inland</t>
  </si>
  <si>
    <t>HDD ≈ CDD (low total)</t>
  </si>
  <si>
    <t>Balanced (slight heating)</t>
  </si>
  <si>
    <t>CZ 5</t>
  </si>
  <si>
    <t>Mildest CA climate</t>
  </si>
  <si>
    <t>HDD ≈ CDD (low both)</t>
  </si>
  <si>
    <t>Balanced</t>
  </si>
  <si>
    <t>CZ 6</t>
  </si>
  <si>
    <t>Southern coastal</t>
  </si>
  <si>
    <t>CDD &gt; HDD</t>
  </si>
  <si>
    <t>Cooling-leaning</t>
  </si>
  <si>
    <t>CZ 7</t>
  </si>
  <si>
    <t>Inland SoCal</t>
  </si>
  <si>
    <t>Cooling-dominated</t>
  </si>
  <si>
    <t>CZ 8</t>
  </si>
  <si>
    <t>Inland SoCal (hotter)</t>
  </si>
  <si>
    <t>CDD ≫ HDD</t>
  </si>
  <si>
    <t>CZ 9</t>
  </si>
  <si>
    <t>LA Basin / inland</t>
  </si>
  <si>
    <t>CZ 10</t>
  </si>
  <si>
    <t>Inland valleys</t>
  </si>
  <si>
    <t>CZ 11</t>
  </si>
  <si>
    <t>Inland north / foothills</t>
  </si>
  <si>
    <t>CZ 12</t>
  </si>
  <si>
    <t>Inland north (milder)</t>
  </si>
  <si>
    <t>CZ 13</t>
  </si>
  <si>
    <t>Central Valley</t>
  </si>
  <si>
    <t>HDD ≈ CDD (both high)</t>
  </si>
  <si>
    <t>Mixed (high energy)</t>
  </si>
  <si>
    <t>CZ 14</t>
  </si>
  <si>
    <t>Desert</t>
  </si>
  <si>
    <t>CDD ≫≫ HDD</t>
  </si>
  <si>
    <t>Strongly cooling-dominated</t>
  </si>
  <si>
    <t>CZ 15</t>
  </si>
  <si>
    <t>Hot desert</t>
  </si>
  <si>
    <t>Extremely cooling-dominated</t>
  </si>
  <si>
    <t>CZ 16</t>
  </si>
  <si>
    <t>Extreme desert</t>
  </si>
  <si>
    <t>CDD ≫≫≫ HDD</t>
  </si>
  <si>
    <t>Extreme cooling-dominated</t>
  </si>
  <si>
    <t>Vintage Bin</t>
  </si>
  <si>
    <t>Pre-1978</t>
  </si>
  <si>
    <t>Not available</t>
  </si>
  <si>
    <t>Statewide</t>
  </si>
  <si>
    <t>Ref: CEUS 2022 dataset</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</si>
  <si>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</si>
  <si>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</si>
  <si>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</si>
  <si>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</si>
  <si>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</si>
  <si>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</si>
  <si>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</si>
  <si>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</si>
  <si>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</si>
  <si>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</si>
  <si>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</si>
  <si>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</si>
  <si>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</si>
  <si>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</si>
  <si>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</si>
  <si>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</si>
  <si>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</si>
  <si>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</si>
  <si>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</si>
  <si>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Convention, Conference, Multipurpose and Meeting Area</t>
  </si>
  <si>
    <t>Copy Room</t>
  </si>
  <si>
    <t>Corridor Area</t>
  </si>
  <si>
    <t>Dining Area (Bar/Lounge and Fine Dining)</t>
  </si>
  <si>
    <t>Dining Area (Cafeteria/Fast Food)</t>
  </si>
  <si>
    <t>Dining Area (Family and Leisure)</t>
  </si>
  <si>
    <t>Electrical, Mechanical, Telephone Rooms</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</si>
  <si>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</si>
  <si>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</si>
  <si>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</si>
  <si>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</si>
  <si>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</si>
  <si>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</si>
  <si>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</si>
  <si>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</si>
  <si>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</si>
  <si>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</si>
  <si>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</si>
  <si>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</si>
  <si>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</si>
  <si>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</si>
  <si>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</si>
  <si>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</si>
  <si>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Library (Reading Area)</t>
  </si>
  <si>
    <t>Library (Stacks Area)</t>
  </si>
  <si>
    <t>Lobby, Main Entry</t>
  </si>
  <si>
    <t>Locker Room</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</si>
  <si>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</si>
  <si>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</si>
  <si>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</si>
  <si>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</si>
  <si>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</si>
  <si>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(&gt;250 square feet)</t>
  </si>
  <si>
    <t>Office Area (&lt;250 square feet)</t>
  </si>
  <si>
    <t>Parking Garage Area (Parking Zone and Ramps)</t>
  </si>
  <si>
    <t>Parking Garage Area (Daylight Adaptation Zones)</t>
  </si>
  <si>
    <t>Pharmacy Area</t>
  </si>
  <si>
    <t>Retail Sales Area (Retail Merchandise Sales)</t>
  </si>
  <si>
    <t>Retail Sales Area (Fitting Room)</t>
  </si>
  <si>
    <t>Religious Worship Area</t>
  </si>
  <si>
    <t>Restrooms</t>
  </si>
  <si>
    <t>Stairwell</t>
  </si>
  <si>
    <t>Storage, Commercial/Industrial (Warehouse)</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</si>
  <si>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</si>
  <si>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</si>
  <si>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</si>
  <si>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</si>
  <si>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</si>
  <si>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</si>
  <si>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</si>
  <si>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</si>
  <si>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</si>
  <si>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</si>
  <si>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</si>
  <si>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</si>
  <si>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</si>
  <si>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</si>
  <si>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</si>
  <si>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Elevator</t>
  </si>
  <si>
    <t>Plenum</t>
  </si>
  <si>
    <t>IT Room (EPD 12)</t>
  </si>
  <si>
    <t>Computer Room (EPD 20)</t>
  </si>
  <si>
    <t>Server Room (EPD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</si>
</sst>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0.0%"/>
    <numFmt numFmtId="165" formatCode="0.0"/>
    <numFmt numFmtId="166" formatCode="0.000"/>
    <numFmt numFmtId="167" formatCode="_(* #,##0_);_(* \(#,##0\);_(* &quot;-&quot;??_);_(@_)"/>
    <numFmt numFmtId="168" formatCode="#,##0;\-0;[Color15]0"/>
    <numFmt numFmtId="169" formatCode="0.0000"/>
  </numFmts>
  <fonts count="72"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1"/>
      <color theme="0"/>
      <name val="Calibri"/>
      <family val="2"/>
      <scheme val="minor"/>
    </font>
    <font>
      <sz val="10"/>
      <color indexed="8"/>
      <name val="Arial"/>
      <family val="2"/>
    </font>
    <font>
      <sz val="11"/>
      <color theme="0"/>
      <name val="Calibri"/>
      <family val="2"/>
      <scheme val="minor"/>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b/>
      <sz val="10"/>
      <color rgb="FF000000"/>
      <name val="Arial"/>
      <family val="2"/>
    </font>
    <font>
      <b/>
      <sz val="9"/>
      <color theme="0"/>
      <name val="Arial"/>
      <family val="2"/>
    </font>
    <font>
      <sz val="11"/>
      <color theme="1"/>
      <name val="Arial"/>
      <family val="2"/>
    </font>
    <font>
      <b/>
      <sz val="12"/>
      <color theme="1"/>
      <name val="Arial"/>
      <family val="2"/>
    </font>
    <font>
      <b/>
      <sz val="14"/>
      <color theme="1"/>
      <name val="Arial"/>
      <family val="2"/>
    </font>
    <font>
      <sz val="11"/>
      <color theme="0"/>
      <name val="Arial"/>
      <family val="2"/>
    </font>
    <font>
      <b/>
      <sz val="11"/>
      <color rgb="FF0000CC"/>
      <name val="Arial"/>
      <family val="2"/>
    </font>
    <font>
      <sz val="11"/>
      <color rgb="FF000000"/>
      <name val="Arial"/>
      <family val="2"/>
    </font>
    <font>
      <b/>
      <sz val="12"/>
      <color rgb="FFFFFFFF"/>
      <name val="Arial"/>
      <family val="2"/>
    </font>
    <font>
      <sz val="10"/>
      <color rgb="FF0070C0"/>
      <name val="Arial"/>
      <family val="2"/>
    </font>
    <font>
      <b/>
      <sz val="11"/>
      <color theme="1"/>
      <name val="Arial"/>
      <family val="2"/>
    </font>
    <font>
      <b/>
      <sz val="12"/>
      <color rgb="FF0000CC"/>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0000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000000"/>
      <name val="Calibri"/>
      <family val="2"/>
      <scheme val="minor"/>
    </font>
    <font>
      <i/>
      <sz val="11"/>
      <color rgb="FF7F7F7F"/>
      <name val="Calibri"/>
      <family val="2"/>
      <scheme val="minor"/>
    </font>
    <font>
      <sz val="10"/>
      <color theme="0"/>
      <name val="Arial"/>
      <family val="2"/>
    </font>
    <font>
      <b/>
      <sz val="18"/>
      <color theme="3"/>
      <name val="Calibri Light"/>
      <family val="2"/>
      <scheme val="major"/>
    </font>
    <font>
      <sz val="11"/>
      <color rgb="FF9C6500"/>
      <name val="Calibri"/>
      <family val="2"/>
      <scheme val="minor"/>
    </font>
    <font>
      <sz val="11"/>
      <name val="Arial"/>
      <family val="2"/>
    </font>
    <font>
      <sz val="10"/>
      <color rgb="FF002060"/>
      <name val="Arial"/>
      <family val="2"/>
    </font>
    <font>
      <b/>
      <sz val="10"/>
      <color theme="0"/>
      <name val="Arial"/>
      <family val="2"/>
    </font>
    <font>
      <sz val="11"/>
      <color rgb="FF000000"/>
      <name val="Calibri"/>
      <family val="2"/>
    </font>
    <font>
      <b/>
      <sz val="11"/>
      <color theme="0"/>
      <name val="Arial"/>
      <family val="2"/>
    </font>
    <font>
      <sz val="11"/>
      <color theme="5" tint="-0.499984740745262"/>
      <name val="Calibri"/>
      <family val="2"/>
      <scheme val="minor"/>
    </font>
    <font>
      <b/>
      <sz val="9"/>
      <color rgb="FF000000"/>
      <name val="Arial"/>
      <family val="2"/>
    </font>
    <font>
      <sz val="11"/>
      <color theme="0"/>
      <name val="Calibri"/>
      <family val="2"/>
    </font>
    <font>
      <u/>
      <sz val="11"/>
      <color theme="10"/>
      <name val="Arial"/>
      <family val="2"/>
    </font>
    <font>
      <b/>
      <sz val="11"/>
      <name val="Calibri"/>
      <family val="2"/>
    </font>
    <font>
      <sz val="9"/>
      <color rgb="FF000000"/>
      <name val="Arial"/>
      <family val="2"/>
    </font>
    <font>
      <sz val="11"/>
      <color theme="1"/>
      <name val="Calibri"/>
      <family val="2"/>
    </font>
    <font>
      <sz val="9"/>
      <color theme="3" tint="-0.499984740745262"/>
      <name val="Arial"/>
      <family val="2"/>
    </font>
    <font>
      <u/>
      <sz val="10"/>
      <color theme="10"/>
      <name val="Calibri"/>
      <family val="2"/>
      <scheme val="minor"/>
    </font>
    <font>
      <b/>
      <sz val="11"/>
      <color rgb="FF000000"/>
      <name val="Calibri"/>
      <family val="2"/>
      <scheme val="minor"/>
    </font>
    <font>
      <b/>
      <sz val="12"/>
      <color rgb="FF000000"/>
      <name val="Arial"/>
      <family val="2"/>
    </font>
    <font>
      <u/>
      <sz val="11"/>
      <color rgb="FF000000"/>
      <name val="Calibri"/>
      <family val="2"/>
      <scheme val="minor"/>
    </font>
    <font>
      <vertAlign val="superscript"/>
      <sz val="10"/>
      <color rgb="FF000000"/>
      <name val="Arial"/>
      <family val="2"/>
    </font>
    <font>
      <u/>
      <sz val="10"/>
      <color rgb="FF000000"/>
      <name val="Arial"/>
      <family val="2"/>
    </font>
    <font>
      <u/>
      <sz val="10"/>
      <color rgb="FF0563C1"/>
      <name val="Arial"/>
      <family val="2"/>
    </font>
    <font>
      <b/>
      <sz val="12"/>
      <color rgb="FFFFFFFF"/>
      <name val="Arial"/>
    </font>
    <font>
      <sz val="10"/>
      <color rgb="FFFFFFFF"/>
      <name val="Arial"/>
    </font>
    <font>
      <u/>
      <sz val="11"/>
      <color theme="0"/>
      <name val="Calibri"/>
      <family val="2"/>
      <scheme val="minor"/>
    </font>
  </fonts>
  <fills count="72">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rgb="FF002060"/>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00000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203764"/>
        <bgColor rgb="FF000000"/>
      </patternFill>
    </fill>
    <fill>
      <patternFill patternType="solid">
        <fgColor rgb="FFD9E1F2"/>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000000"/>
      </patternFill>
    </fill>
    <fill>
      <patternFill patternType="solid">
        <fgColor theme="7" tint="-0.24994659260841701"/>
        <bgColor indexed="64"/>
      </patternFill>
    </fill>
    <fill>
      <patternFill patternType="solid">
        <fgColor theme="9" tint="0.59996337778862885"/>
        <bgColor indexed="64"/>
      </patternFill>
    </fill>
    <fill>
      <patternFill patternType="solid">
        <fgColor theme="8" tint="0.59996337778862885"/>
        <bgColor indexed="64"/>
      </patternFill>
    </fill>
    <fill>
      <patternFill patternType="solid">
        <fgColor theme="3" tint="0.79998168889431442"/>
        <bgColor indexed="64"/>
      </patternFill>
    </fill>
    <fill>
      <patternFill patternType="solid">
        <fgColor theme="8" tint="0.39994506668294322"/>
        <bgColor indexed="64"/>
      </patternFill>
    </fill>
    <fill>
      <patternFill patternType="solid">
        <fgColor theme="7" tint="0.39994506668294322"/>
        <bgColor indexed="64"/>
      </patternFill>
    </fill>
    <fill>
      <patternFill patternType="solid">
        <fgColor theme="0" tint="-0.499984740745262"/>
        <bgColor indexed="64"/>
      </patternFill>
    </fill>
    <fill>
      <patternFill patternType="solid">
        <fgColor theme="3" tint="0.39994506668294322"/>
        <bgColor indexed="64"/>
      </patternFill>
    </fill>
    <fill>
      <patternFill patternType="solid">
        <fgColor theme="3" tint="0.39997558519241921"/>
        <bgColor indexed="64"/>
      </patternFill>
    </fill>
    <fill>
      <patternFill patternType="solid">
        <fgColor rgb="FFD9D9D9"/>
        <bgColor rgb="FF000000"/>
      </patternFill>
    </fill>
    <fill>
      <patternFill patternType="solid">
        <fgColor theme="8" tint="0.79998168889431442"/>
        <bgColor indexed="64"/>
      </patternFill>
    </fill>
    <fill>
      <patternFill patternType="solid">
        <fgColor rgb="FFD9E1F2"/>
        <bgColor indexed="64"/>
      </patternFill>
    </fill>
    <fill>
      <patternFill patternType="solid">
        <fgColor rgb="FF203764"/>
        <bgColor indexed="64"/>
      </patternFill>
    </fill>
    <fill>
      <patternFill patternType="solid">
        <fgColor rgb="FFD6DCE4"/>
        <bgColor rgb="FF000000"/>
      </patternFill>
    </fill>
    <fill>
      <patternFill patternType="solid">
        <fgColor theme="7" tint="0.79998168889431442"/>
        <bgColor rgb="FF000000"/>
      </patternFill>
    </fill>
    <fill>
      <patternFill patternType="solid">
        <fgColor rgb="FFFFF2CC"/>
        <bgColor rgb="FF000000"/>
      </patternFill>
    </fill>
    <fill>
      <patternFill patternType="solid">
        <fgColor rgb="FF203864"/>
      </patternFill>
    </fill>
    <fill>
      <patternFill patternType="solid">
        <fgColor rgb="FFD9E1F2"/>
      </patternFill>
    </fill>
    <fill>
      <patternFill patternType="solid">
        <fgColor rgb="FFEAF1F8"/>
      </patternFill>
    </fill>
    <fill>
      <patternFill patternType="solid">
        <fgColor theme="5" tint="0.79998168889431442"/>
        <bgColor indexed="64"/>
      </patternFill>
    </fill>
    <fill>
      <patternFill patternType="solid">
        <fgColor rgb="FFF5F8FA"/>
        <bgColor indexed="64"/>
      </patternFill>
    </fill>
    <fill>
      <patternFill patternType="solid">
        <fgColor rgb="FFC2BCBC"/>
        <bgColor indexed="64"/>
      </patternFill>
    </fill>
    <fill>
      <patternFill patternType="solid">
        <fgColor rgb="FFBFBFBF"/>
        <bgColor indexed="64"/>
      </patternFill>
    </fill>
    <fill>
      <patternFill patternType="solid">
        <fgColor rgb="FF8C8B8B"/>
        <bgColor indexed="64"/>
      </patternFill>
    </fill>
  </fills>
  <borders count="249">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right/>
      <top/>
      <bottom style="thin">
        <color theme="0" tint="-0.499984740745262"/>
      </bottom>
      <diagonal/>
    </border>
    <border>
      <left style="thin">
        <color theme="0" tint="-0.499984740745262"/>
      </left>
      <right style="thin">
        <color theme="0" tint="-0.499984740745262"/>
      </right>
      <top style="thin">
        <color indexed="64"/>
      </top>
      <bottom/>
      <diagonal/>
    </border>
    <border>
      <left style="medium">
        <color indexed="64"/>
      </left>
      <right/>
      <top style="medium">
        <color indexed="64"/>
      </top>
      <bottom/>
      <diagonal/>
    </border>
    <border>
      <left style="thin">
        <color theme="1"/>
      </left>
      <right style="thin">
        <color theme="1"/>
      </right>
      <top style="thin">
        <color theme="1"/>
      </top>
      <bottom style="thin">
        <color theme="1"/>
      </bottom>
      <diagonal/>
    </border>
    <border>
      <left/>
      <right/>
      <top/>
      <bottom style="thin">
        <color rgb="FF000000"/>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diagonal/>
    </border>
    <border>
      <left/>
      <right style="thin">
        <color theme="1" tint="0.34998626667073579"/>
      </right>
      <top/>
      <bottom/>
      <diagonal/>
    </border>
    <border>
      <left/>
      <right style="thin">
        <color indexed="64"/>
      </right>
      <top style="medium">
        <color indexed="64"/>
      </top>
      <bottom style="thin">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right style="thin">
        <color rgb="FF000000"/>
      </right>
      <top style="medium">
        <color indexed="64"/>
      </top>
      <bottom style="thin">
        <color rgb="FF000000"/>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top style="dashDot">
        <color indexed="64"/>
      </top>
      <bottom/>
      <diagonal/>
    </border>
    <border>
      <left/>
      <right/>
      <top/>
      <bottom style="dashDot">
        <color indexed="64"/>
      </bottom>
      <diagonal/>
    </border>
    <border>
      <left/>
      <right/>
      <top style="thin">
        <color indexed="64"/>
      </top>
      <bottom style="dashDot">
        <color indexed="64"/>
      </bottom>
      <diagonal/>
    </border>
    <border>
      <left style="dashDot">
        <color indexed="64"/>
      </left>
      <right/>
      <top/>
      <bottom/>
      <diagonal/>
    </border>
    <border>
      <left style="dashDot">
        <color indexed="64"/>
      </left>
      <right/>
      <top style="dashDot">
        <color indexed="64"/>
      </top>
      <bottom/>
      <diagonal/>
    </border>
    <border>
      <left/>
      <right style="dashDot">
        <color indexed="64"/>
      </right>
      <top style="dashDot">
        <color indexed="64"/>
      </top>
      <bottom/>
      <diagonal/>
    </border>
    <border>
      <left/>
      <right style="dashDot">
        <color indexed="64"/>
      </right>
      <top/>
      <bottom/>
      <diagonal/>
    </border>
    <border>
      <left style="dashDot">
        <color indexed="64"/>
      </left>
      <right/>
      <top/>
      <bottom style="dashDot">
        <color indexed="64"/>
      </bottom>
      <diagonal/>
    </border>
    <border>
      <left/>
      <right style="dashDot">
        <color indexed="64"/>
      </right>
      <top/>
      <bottom style="dashDot">
        <color indexed="64"/>
      </bottom>
      <diagonal/>
    </border>
    <border>
      <left style="dashDot">
        <color indexed="64"/>
      </left>
      <right style="dashDot">
        <color indexed="64"/>
      </right>
      <top style="dashDot">
        <color indexed="64"/>
      </top>
      <bottom/>
      <diagonal/>
    </border>
    <border>
      <left style="dashDot">
        <color indexed="64"/>
      </left>
      <right style="dashDot">
        <color indexed="64"/>
      </right>
      <top/>
      <bottom/>
      <diagonal/>
    </border>
    <border>
      <left style="dashDot">
        <color indexed="64"/>
      </left>
      <right style="dashDot">
        <color indexed="64"/>
      </right>
      <top/>
      <bottom style="dashDot">
        <color indexed="64"/>
      </bottom>
      <diagonal/>
    </border>
    <border>
      <left style="thin">
        <color theme="1"/>
      </left>
      <right/>
      <top style="thin">
        <color theme="1"/>
      </top>
      <bottom style="thin">
        <color theme="1"/>
      </bottom>
      <diagonal/>
    </border>
    <border>
      <left style="thin">
        <color indexed="64"/>
      </left>
      <right/>
      <top/>
      <bottom style="dashDot">
        <color indexed="64"/>
      </bottom>
      <diagonal/>
    </border>
    <border>
      <left style="thin">
        <color indexed="64"/>
      </left>
      <right/>
      <top style="thin">
        <color indexed="64"/>
      </top>
      <bottom style="dashDot">
        <color indexed="64"/>
      </bottom>
      <diagonal/>
    </border>
    <border>
      <left/>
      <right style="thin">
        <color indexed="64"/>
      </right>
      <top/>
      <bottom style="dashDot">
        <color indexed="64"/>
      </bottom>
      <diagonal/>
    </border>
    <border>
      <left style="thin">
        <color indexed="64"/>
      </left>
      <right/>
      <top style="dashDot">
        <color indexed="64"/>
      </top>
      <bottom/>
      <diagonal/>
    </border>
    <border>
      <left/>
      <right style="thin">
        <color indexed="64"/>
      </right>
      <top style="dashDot">
        <color indexed="64"/>
      </top>
      <bottom/>
      <diagonal/>
    </border>
    <border>
      <left style="thin">
        <color indexed="64"/>
      </left>
      <right style="thin">
        <color indexed="64"/>
      </right>
      <top style="thin">
        <color indexed="64"/>
      </top>
      <bottom style="thin">
        <color rgb="FF000000"/>
      </bottom>
      <diagonal/>
    </border>
    <border>
      <left/>
      <right style="thin">
        <color indexed="64"/>
      </right>
      <top style="thin">
        <color indexed="64"/>
      </top>
      <bottom style="thin">
        <color rgb="FF000000"/>
      </bottom>
      <diagonal/>
    </border>
    <border>
      <left style="thin">
        <color theme="1"/>
      </left>
      <right style="thin">
        <color theme="1"/>
      </right>
      <top style="thin">
        <color theme="1"/>
      </top>
      <bottom style="thin">
        <color rgb="FF000000"/>
      </bottom>
      <diagonal/>
    </border>
    <border>
      <left style="thin">
        <color theme="1"/>
      </left>
      <right/>
      <top style="thin">
        <color theme="1"/>
      </top>
      <bottom style="thin">
        <color rgb="FF000000"/>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medium">
        <color indexed="64"/>
      </bottom>
      <diagonal/>
    </border>
    <border>
      <left style="medium">
        <color indexed="64"/>
      </left>
      <right style="thin">
        <color theme="1" tint="0.34998626667073579"/>
      </right>
      <top style="medium">
        <color indexed="64"/>
      </top>
      <bottom style="thin">
        <color theme="1" tint="0.34998626667073579"/>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bottom/>
      <diagonal/>
    </border>
    <border>
      <left style="thin">
        <color theme="1" tint="0.34998626667073579"/>
      </left>
      <right style="thin">
        <color theme="1" tint="0.34998626667073579"/>
      </right>
      <top/>
      <bottom style="medium">
        <color indexed="64"/>
      </bottom>
      <diagonal/>
    </border>
    <border>
      <left style="medium">
        <color theme="1" tint="0.34998626667073579"/>
      </left>
      <right style="thin">
        <color theme="1" tint="0.34998626667073579"/>
      </right>
      <top/>
      <bottom style="thin">
        <color theme="1" tint="0.34998626667073579"/>
      </bottom>
      <diagonal/>
    </border>
    <border>
      <left/>
      <right style="thin">
        <color theme="1" tint="0.34998626667073579"/>
      </right>
      <top/>
      <bottom style="thin">
        <color theme="1" tint="0.34998626667073579"/>
      </bottom>
      <diagonal/>
    </border>
    <border>
      <left style="medium">
        <color theme="1" tint="0.34998626667073579"/>
      </left>
      <right style="thin">
        <color theme="1" tint="0.34998626667073579"/>
      </right>
      <top style="thin">
        <color theme="1" tint="0.34998626667073579"/>
      </top>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indexed="64"/>
      </bottom>
      <diagonal/>
    </border>
    <border>
      <left style="thin">
        <color rgb="FF000000"/>
      </left>
      <right style="thin">
        <color rgb="FF000000"/>
      </right>
      <top style="thin">
        <color rgb="FF000000"/>
      </top>
      <bottom/>
      <diagonal/>
    </border>
    <border>
      <left style="medium">
        <color rgb="FF000000"/>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style="thin">
        <color theme="1" tint="0.34998626667073579"/>
      </bottom>
      <diagonal/>
    </border>
    <border>
      <left style="medium">
        <color rgb="FF000000"/>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rgb="FF000000"/>
      </right>
      <top style="thin">
        <color theme="1" tint="0.34998626667073579"/>
      </top>
      <bottom style="thin">
        <color theme="1" tint="0.34998626667073579"/>
      </bottom>
      <diagonal/>
    </border>
    <border>
      <left style="thin">
        <color theme="1" tint="0.34998626667073579"/>
      </left>
      <right style="medium">
        <color rgb="FF000000"/>
      </right>
      <top style="thin">
        <color theme="1" tint="0.34998626667073579"/>
      </top>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style="thin">
        <color theme="1" tint="0.34998626667073579"/>
      </top>
      <bottom style="medium">
        <color rgb="FF000000"/>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style="thin">
        <color theme="1" tint="0.34998626667073579"/>
      </left>
      <right style="medium">
        <color indexed="64"/>
      </right>
      <top/>
      <bottom style="thin">
        <color theme="1" tint="0.34998626667073579"/>
      </bottom>
      <diagonal/>
    </border>
    <border>
      <left style="thin">
        <color rgb="FF000000"/>
      </left>
      <right style="thin">
        <color rgb="FF000000"/>
      </right>
      <top/>
      <bottom style="thin">
        <color indexed="64"/>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style="thin">
        <color indexed="64"/>
      </bottom>
      <diagonal/>
    </border>
    <border>
      <left style="thin">
        <color rgb="FF000000"/>
      </left>
      <right style="thin">
        <color rgb="FF000000"/>
      </right>
      <top style="thin">
        <color indexed="64"/>
      </top>
      <bottom style="medium">
        <color rgb="FF000000"/>
      </bottom>
      <diagonal/>
    </border>
    <border>
      <left style="thin">
        <color rgb="FF000000"/>
      </left>
      <right style="medium">
        <color rgb="FF000000"/>
      </right>
      <top style="thin">
        <color rgb="FF000000"/>
      </top>
      <bottom/>
      <diagonal/>
    </border>
    <border>
      <left style="thin">
        <color indexed="64"/>
      </left>
      <right/>
      <top style="medium">
        <color rgb="FF000000"/>
      </top>
      <bottom/>
      <diagonal/>
    </border>
    <border>
      <left/>
      <right/>
      <top/>
      <bottom style="medium">
        <color rgb="FF000000"/>
      </bottom>
      <diagonal/>
    </border>
    <border>
      <left style="thin">
        <color rgb="FF000000"/>
      </left>
      <right style="medium">
        <color rgb="FF000000"/>
      </right>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style="medium">
        <color rgb="FF000000"/>
      </right>
      <top/>
      <bottom style="medium">
        <color rgb="FF000000"/>
      </bottom>
      <diagonal/>
    </border>
    <border>
      <left style="medium">
        <color indexed="64"/>
      </left>
      <right style="thin">
        <color rgb="FF000000"/>
      </right>
      <top style="medium">
        <color indexed="64"/>
      </top>
      <bottom/>
      <diagonal/>
    </border>
    <border>
      <left style="medium">
        <color indexed="64"/>
      </left>
      <right style="thin">
        <color rgb="FF000000"/>
      </right>
      <top/>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style="thin">
        <color theme="1" tint="0.34998626667073579"/>
      </right>
      <top/>
      <bottom/>
      <diagonal/>
    </border>
    <border>
      <left style="medium">
        <color rgb="FF000000"/>
      </left>
      <right style="thin">
        <color theme="1" tint="0.34998626667073579"/>
      </right>
      <top/>
      <bottom style="medium">
        <color rgb="FF000000"/>
      </bottom>
      <diagonal/>
    </border>
    <border>
      <left style="thin">
        <color theme="1" tint="0.34998626667073579"/>
      </left>
      <right style="thin">
        <color theme="1" tint="0.34998626667073579"/>
      </right>
      <top/>
      <bottom style="medium">
        <color rgb="FF000000"/>
      </bottom>
      <diagonal/>
    </border>
    <border>
      <left style="thin">
        <color theme="1" tint="0.34998626667073579"/>
      </left>
      <right style="medium">
        <color indexed="64"/>
      </right>
      <top style="thin">
        <color theme="1" tint="0.34998626667073579"/>
      </top>
      <bottom/>
      <diagonal/>
    </border>
    <border>
      <left style="thin">
        <color theme="1" tint="0.34998626667073579"/>
      </left>
      <right/>
      <top style="thin">
        <color theme="1" tint="0.34998626667073579"/>
      </top>
      <bottom style="medium">
        <color rgb="FF000000"/>
      </bottom>
      <diagonal/>
    </border>
    <border>
      <left style="thin">
        <color theme="1" tint="0.34998626667073579"/>
      </left>
      <right/>
      <top style="medium">
        <color rgb="FF000000"/>
      </top>
      <bottom style="thin">
        <color theme="1" tint="0.34998626667073579"/>
      </bottom>
      <diagonal/>
    </border>
    <border>
      <left style="thin">
        <color theme="1" tint="0.34998626667073579"/>
      </left>
      <right style="medium">
        <color rgb="FF000000"/>
      </right>
      <top/>
      <bottom style="thin">
        <color theme="1" tint="0.34998626667073579"/>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indexed="64"/>
      </left>
      <right style="medium">
        <color rgb="FF000000"/>
      </right>
      <top style="medium">
        <color rgb="FF000000"/>
      </top>
      <bottom/>
      <diagonal/>
    </border>
    <border>
      <left style="thin">
        <color indexed="64"/>
      </left>
      <right style="medium">
        <color rgb="FF000000"/>
      </right>
      <top style="thin">
        <color indexed="64"/>
      </top>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thin">
        <color rgb="FF000000"/>
      </top>
      <bottom/>
      <diagonal/>
    </border>
    <border>
      <left/>
      <right/>
      <top style="thin">
        <color rgb="FF000000"/>
      </top>
      <bottom style="medium">
        <color rgb="FF000000"/>
      </bottom>
      <diagonal/>
    </border>
    <border>
      <left/>
      <right/>
      <top style="medium">
        <color rgb="FF000000"/>
      </top>
      <bottom style="thin">
        <color rgb="FF000000"/>
      </bottom>
      <diagonal/>
    </border>
    <border>
      <left/>
      <right/>
      <top style="thin">
        <color rgb="FF000000"/>
      </top>
      <bottom style="thin">
        <color rgb="FF000000"/>
      </bottom>
      <diagonal/>
    </border>
    <border>
      <left style="thin">
        <color theme="1" tint="0.34998626667073579"/>
      </left>
      <right style="medium">
        <color rgb="FF000000"/>
      </right>
      <top style="medium">
        <color rgb="FF000000"/>
      </top>
      <bottom/>
      <diagonal/>
    </border>
    <border>
      <left style="thin">
        <color theme="1" tint="0.34998626667073579"/>
      </left>
      <right style="medium">
        <color rgb="FF000000"/>
      </right>
      <top/>
      <bottom style="medium">
        <color rgb="FF000000"/>
      </bottom>
      <diagonal/>
    </border>
    <border>
      <left/>
      <right style="medium">
        <color rgb="FF000000"/>
      </right>
      <top style="thin">
        <color theme="1" tint="0.34998626667073579"/>
      </top>
      <bottom style="thin">
        <color theme="1" tint="0.34998626667073579"/>
      </bottom>
      <diagonal/>
    </border>
    <border>
      <left/>
      <right style="thin">
        <color theme="1" tint="0.34998626667073579"/>
      </right>
      <top style="medium">
        <color rgb="FF000000"/>
      </top>
      <bottom style="thin">
        <color theme="1" tint="0.34998626667073579"/>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bottom/>
      <diagonal/>
    </border>
    <border>
      <left style="thin">
        <color theme="1" tint="0.34998626667073579"/>
      </left>
      <right/>
      <top/>
      <bottom style="thin">
        <color theme="1" tint="0.34998626667073579"/>
      </bottom>
      <diagonal/>
    </border>
    <border>
      <left/>
      <right style="medium">
        <color rgb="FF000000"/>
      </right>
      <top/>
      <bottom style="thin">
        <color theme="1" tint="0.34998626667073579"/>
      </bottom>
      <diagonal/>
    </border>
    <border>
      <left style="thin">
        <color rgb="FF000000"/>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indexed="64"/>
      </right>
      <top style="medium">
        <color rgb="FF000000"/>
      </top>
      <bottom/>
      <diagonal/>
    </border>
    <border>
      <left style="thin">
        <color theme="0" tint="-0.499984740745262"/>
      </left>
      <right style="thin">
        <color theme="0" tint="-0.499984740745262"/>
      </right>
      <top style="medium">
        <color rgb="FF000000"/>
      </top>
      <bottom/>
      <diagonal/>
    </border>
    <border>
      <left style="thin">
        <color theme="0" tint="-0.499984740745262"/>
      </left>
      <right/>
      <top style="medium">
        <color rgb="FF000000"/>
      </top>
      <bottom/>
      <diagonal/>
    </border>
    <border>
      <left style="thin">
        <color rgb="FF000000"/>
      </left>
      <right style="thin">
        <color rgb="FF000000"/>
      </right>
      <top style="medium">
        <color rgb="FF000000"/>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rgb="FF000000"/>
      </left>
      <right/>
      <top style="medium">
        <color rgb="FF000000"/>
      </top>
      <bottom style="thin">
        <color rgb="FF000000"/>
      </bottom>
      <diagonal/>
    </border>
    <border>
      <left style="thin">
        <color rgb="FF000000"/>
      </left>
      <right/>
      <top/>
      <bottom style="thin">
        <color rgb="FF000000"/>
      </bottom>
      <diagonal/>
    </border>
    <border>
      <left style="thin">
        <color rgb="FF000000"/>
      </left>
      <right style="medium">
        <color rgb="FF000000"/>
      </right>
      <top/>
      <bottom/>
      <diagonal/>
    </border>
    <border>
      <left style="thin">
        <color rgb="FF000000"/>
      </left>
      <right style="medium">
        <color rgb="FF000000"/>
      </right>
      <top/>
      <bottom style="medium">
        <color rgb="FF000000"/>
      </bottom>
      <diagonal/>
    </border>
    <border>
      <left style="thin">
        <color rgb="FF000000"/>
      </left>
      <right style="thin">
        <color rgb="FF000000"/>
      </right>
      <top/>
      <bottom/>
      <diagonal/>
    </border>
    <border>
      <left/>
      <right style="thin">
        <color rgb="FF000000"/>
      </right>
      <top style="thin">
        <color rgb="FF000000"/>
      </top>
      <bottom style="medium">
        <color rgb="FF000000"/>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top/>
      <bottom/>
      <diagonal/>
    </border>
    <border>
      <left/>
      <right style="thin">
        <color rgb="FF000000"/>
      </right>
      <top/>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style="thin">
        <color indexed="64"/>
      </left>
      <right style="thin">
        <color indexed="64"/>
      </right>
      <top style="medium">
        <color theme="1" tint="0.34998626667073579"/>
      </top>
      <bottom style="thin">
        <color indexed="64"/>
      </bottom>
      <diagonal/>
    </border>
    <border>
      <left/>
      <right style="medium">
        <color rgb="FF000000"/>
      </right>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indexed="64"/>
      </top>
      <bottom/>
      <diagonal/>
    </border>
    <border>
      <left style="medium">
        <color rgb="FF000000"/>
      </left>
      <right/>
      <top style="thin">
        <color rgb="FF000000"/>
      </top>
      <bottom style="medium">
        <color rgb="FF000000"/>
      </bottom>
      <diagonal/>
    </border>
    <border>
      <left style="medium">
        <color rgb="FF000000"/>
      </left>
      <right/>
      <top/>
      <bottom style="thin">
        <color rgb="FF000000"/>
      </bottom>
      <diagonal/>
    </border>
    <border>
      <left style="thin">
        <color rgb="FF808080"/>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thin">
        <color rgb="FF000000"/>
      </left>
      <right style="thin">
        <color rgb="FF000000"/>
      </right>
      <top style="thin">
        <color indexed="64"/>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medium">
        <color rgb="FF000000"/>
      </top>
      <bottom style="thin">
        <color rgb="FF000000"/>
      </bottom>
      <diagonal/>
    </border>
    <border>
      <left style="thin">
        <color rgb="FF000000"/>
      </left>
      <right style="thin">
        <color rgb="FF000000"/>
      </right>
      <top/>
      <bottom style="medium">
        <color rgb="FF000000"/>
      </bottom>
      <diagonal/>
    </border>
    <border>
      <left style="thin">
        <color rgb="FF000000"/>
      </left>
      <right style="thin">
        <color theme="1" tint="0.34998626667073579"/>
      </right>
      <top style="medium">
        <color rgb="FF000000"/>
      </top>
      <bottom/>
      <diagonal/>
    </border>
    <border>
      <left style="thin">
        <color rgb="FF000000"/>
      </left>
      <right style="thin">
        <color theme="1" tint="0.34998626667073579"/>
      </right>
      <top/>
      <bottom/>
      <diagonal/>
    </border>
    <border>
      <left style="thin">
        <color rgb="FF000000"/>
      </left>
      <right style="thin">
        <color theme="1" tint="0.34998626667073579"/>
      </right>
      <top/>
      <bottom style="medium">
        <color rgb="FF000000"/>
      </bottom>
      <diagonal/>
    </border>
    <border>
      <left/>
      <right style="medium">
        <color rgb="FF000000"/>
      </right>
      <top style="thin">
        <color theme="1" tint="0.34998626667073579"/>
      </top>
      <bottom/>
      <diagonal/>
    </border>
    <border>
      <left/>
      <right style="medium">
        <color rgb="FF000000"/>
      </right>
      <top style="thin">
        <color rgb="FF000000"/>
      </top>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thin">
        <color rgb="FF808080"/>
      </left>
      <right/>
      <top style="thin">
        <color rgb="FF808080"/>
      </top>
      <bottom style="thin">
        <color rgb="FF808080"/>
      </bottom>
      <diagonal/>
    </border>
    <border>
      <left/>
      <right style="thin">
        <color indexed="64"/>
      </right>
      <top style="thin">
        <color rgb="FF808080"/>
      </top>
      <bottom style="thin">
        <color rgb="FF808080"/>
      </bottom>
      <diagonal/>
    </border>
    <border>
      <left style="medium">
        <color indexed="64"/>
      </left>
      <right style="thin">
        <color theme="1" tint="0.34998626667073579"/>
      </right>
      <top/>
      <bottom style="thin">
        <color theme="1" tint="0.34998626667073579"/>
      </bottom>
      <diagonal/>
    </border>
    <border>
      <left style="medium">
        <color indexed="64"/>
      </left>
      <right style="thin">
        <color theme="1" tint="0.34998626667073579"/>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diagonal/>
    </border>
    <border>
      <left style="thin">
        <color theme="1" tint="0.34998626667073579"/>
      </left>
      <right style="thin">
        <color theme="1" tint="0.34998626667073579"/>
      </right>
      <top style="medium">
        <color indexed="64"/>
      </top>
      <bottom/>
      <diagonal/>
    </border>
    <border>
      <left style="medium">
        <color indexed="64"/>
      </left>
      <right style="thin">
        <color theme="1" tint="0.34998626667073579"/>
      </right>
      <top style="thin">
        <color theme="1" tint="0.34998626667073579"/>
      </top>
      <bottom style="medium">
        <color indexed="64"/>
      </bottom>
      <diagonal/>
    </border>
    <border>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rgb="FF000000"/>
      </top>
      <bottom/>
      <diagonal/>
    </border>
    <border>
      <left style="medium">
        <color indexed="64"/>
      </left>
      <right/>
      <top style="medium">
        <color rgb="FF000000"/>
      </top>
      <bottom style="thin">
        <color indexed="64"/>
      </bottom>
      <diagonal/>
    </border>
    <border>
      <left style="medium">
        <color indexed="64"/>
      </left>
      <right/>
      <top style="thin">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style="thin">
        <color theme="1" tint="0.34998626667073579"/>
      </right>
      <top style="thin">
        <color indexed="64"/>
      </top>
      <bottom style="medium">
        <color indexed="64"/>
      </bottom>
      <diagonal/>
    </border>
    <border>
      <left style="thin">
        <color theme="1" tint="0.34998626667073579"/>
      </left>
      <right style="medium">
        <color indexed="64"/>
      </right>
      <top style="thin">
        <color theme="1" tint="0.34998626667073579"/>
      </top>
      <bottom style="medium">
        <color theme="1" tint="0.34998626667073579"/>
      </bottom>
      <diagonal/>
    </border>
    <border>
      <left style="thin">
        <color theme="1" tint="0.34998626667073579"/>
      </left>
      <right style="medium">
        <color indexed="64"/>
      </right>
      <top style="medium">
        <color rgb="FF000000"/>
      </top>
      <bottom style="thin">
        <color theme="1" tint="0.34998626667073579"/>
      </bottom>
      <diagonal/>
    </border>
    <border>
      <left style="thin">
        <color indexed="64"/>
      </left>
      <right style="medium">
        <color rgb="FF000000"/>
      </right>
      <top style="thin">
        <color indexed="64"/>
      </top>
      <bottom style="thin">
        <color indexed="64"/>
      </bottom>
      <diagonal/>
    </border>
    <border>
      <left style="thin">
        <color theme="1" tint="0.34998626667073579"/>
      </left>
      <right style="medium">
        <color indexed="64"/>
      </right>
      <top style="thin">
        <color theme="1" tint="0.34998626667073579"/>
      </top>
      <bottom style="medium">
        <color rgb="FF000000"/>
      </bottom>
      <diagonal/>
    </border>
    <border>
      <left style="thin">
        <color indexed="64"/>
      </left>
      <right style="medium">
        <color rgb="FF000000"/>
      </right>
      <top style="thin">
        <color indexed="64"/>
      </top>
      <bottom style="medium">
        <color rgb="FF000000"/>
      </bottom>
      <diagonal/>
    </border>
    <border>
      <left style="thin">
        <color theme="1" tint="0.34998626667073579"/>
      </left>
      <right style="medium">
        <color rgb="FF000000"/>
      </right>
      <top style="medium">
        <color rgb="FF000000"/>
      </top>
      <bottom style="thin">
        <color rgb="FF000000"/>
      </bottom>
      <diagonal/>
    </border>
    <border>
      <left style="thin">
        <color indexed="64"/>
      </left>
      <right/>
      <top/>
      <bottom style="medium">
        <color rgb="FF000000"/>
      </bottom>
      <diagonal/>
    </border>
    <border>
      <left style="medium">
        <color indexed="64"/>
      </left>
      <right style="thin">
        <color theme="1" tint="0.34998626667073579"/>
      </right>
      <top style="thin">
        <color theme="1" tint="0.34998626667073579"/>
      </top>
      <bottom style="medium">
        <color rgb="FF000000"/>
      </bottom>
      <diagonal/>
    </border>
    <border>
      <left style="thin">
        <color indexed="64"/>
      </left>
      <right style="medium">
        <color rgb="FF000000"/>
      </right>
      <top style="medium">
        <color theme="1" tint="0.34998626667073579"/>
      </top>
      <bottom style="thin">
        <color indexed="64"/>
      </bottom>
      <diagonal/>
    </border>
    <border>
      <left/>
      <right style="thin">
        <color rgb="FF000000"/>
      </right>
      <top style="thin">
        <color rgb="FF000000"/>
      </top>
      <bottom/>
      <diagonal/>
    </border>
    <border>
      <left style="medium">
        <color indexed="64"/>
      </left>
      <right/>
      <top style="thin">
        <color indexed="64"/>
      </top>
      <bottom style="medium">
        <color rgb="FF000000"/>
      </bottom>
      <diagonal/>
    </border>
    <border>
      <left style="thin">
        <color theme="1" tint="0.34998626667073579"/>
      </left>
      <right style="thin">
        <color theme="1" tint="0.34998626667073579"/>
      </right>
      <top/>
      <bottom style="thin">
        <color indexed="64"/>
      </bottom>
      <diagonal/>
    </border>
    <border>
      <left style="medium">
        <color indexed="64"/>
      </left>
      <right style="thin">
        <color indexed="64"/>
      </right>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s>
  <cellStyleXfs count="57">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4" fillId="0" borderId="0"/>
    <xf numFmtId="0" fontId="16" fillId="0" borderId="0" applyNumberFormat="0" applyFill="0" applyBorder="0" applyAlignment="0" applyProtection="0"/>
    <xf numFmtId="0" fontId="6" fillId="0" borderId="0"/>
    <xf numFmtId="0" fontId="6" fillId="0" borderId="0"/>
    <xf numFmtId="0" fontId="35" fillId="0" borderId="36" applyNumberFormat="0" applyFill="0" applyAlignment="0" applyProtection="0"/>
    <xf numFmtId="0" fontId="36" fillId="0" borderId="37" applyNumberFormat="0" applyFill="0" applyAlignment="0" applyProtection="0"/>
    <xf numFmtId="0" fontId="37" fillId="0" borderId="38" applyNumberFormat="0" applyFill="0" applyAlignment="0" applyProtection="0"/>
    <xf numFmtId="0" fontId="37" fillId="0" borderId="0" applyNumberFormat="0" applyFill="0" applyBorder="0" applyAlignment="0" applyProtection="0"/>
    <xf numFmtId="0" fontId="38" fillId="16" borderId="0" applyNumberFormat="0" applyBorder="0" applyAlignment="0" applyProtection="0"/>
    <xf numFmtId="0" fontId="39" fillId="17" borderId="0" applyNumberFormat="0" applyBorder="0" applyAlignment="0" applyProtection="0"/>
    <xf numFmtId="0" fontId="40" fillId="19" borderId="39" applyNumberFormat="0" applyAlignment="0" applyProtection="0"/>
    <xf numFmtId="0" fontId="41" fillId="20" borderId="40" applyNumberFormat="0" applyAlignment="0" applyProtection="0"/>
    <xf numFmtId="0" fontId="42" fillId="20" borderId="39" applyNumberFormat="0" applyAlignment="0" applyProtection="0"/>
    <xf numFmtId="0" fontId="43" fillId="0" borderId="41" applyNumberFormat="0" applyFill="0" applyAlignment="0" applyProtection="0"/>
    <xf numFmtId="0" fontId="9" fillId="21" borderId="42" applyNumberFormat="0" applyAlignment="0" applyProtection="0"/>
    <xf numFmtId="0" fontId="44" fillId="0" borderId="0" applyNumberFormat="0" applyFill="0" applyBorder="0" applyAlignment="0" applyProtection="0"/>
    <xf numFmtId="0" fontId="2" fillId="22" borderId="43" applyNumberFormat="0" applyFont="0" applyAlignment="0" applyProtection="0"/>
    <xf numFmtId="0" fontId="45" fillId="0" borderId="0" applyNumberFormat="0" applyFill="0" applyBorder="0" applyAlignment="0" applyProtection="0"/>
    <xf numFmtId="0" fontId="3" fillId="0" borderId="44" applyNumberFormat="0" applyFill="0" applyAlignment="0" applyProtection="0"/>
    <xf numFmtId="0" fontId="11"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11"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11"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11"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11"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11" fillId="43"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47" fillId="0" borderId="0" applyNumberFormat="0" applyFill="0" applyBorder="0" applyAlignment="0" applyProtection="0"/>
    <xf numFmtId="0" fontId="48" fillId="18" borderId="0" applyNumberFormat="0" applyBorder="0" applyAlignment="0" applyProtection="0"/>
    <xf numFmtId="0" fontId="11" fillId="26" borderId="0" applyNumberFormat="0" applyBorder="0" applyAlignment="0" applyProtection="0"/>
    <xf numFmtId="0" fontId="11" fillId="30" borderId="0" applyNumberFormat="0" applyBorder="0" applyAlignment="0" applyProtection="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11" fillId="46" borderId="0" applyNumberFormat="0" applyBorder="0" applyAlignment="0" applyProtection="0"/>
    <xf numFmtId="0" fontId="2" fillId="0" borderId="0"/>
    <xf numFmtId="0" fontId="12" fillId="0" borderId="0"/>
    <xf numFmtId="0" fontId="60" fillId="0" borderId="0"/>
  </cellStyleXfs>
  <cellXfs count="1011">
    <xf numFmtId="0" fontId="0" fillId="0" borderId="0" xfId="0"/>
    <xf numFmtId="0" fontId="3" fillId="0" borderId="0" xfId="0" applyFont="1"/>
    <xf numFmtId="0" fontId="12" fillId="0" borderId="0" xfId="0" applyFont="1"/>
    <xf numFmtId="0" fontId="6" fillId="0" borderId="0" xfId="0" applyFont="1"/>
    <xf numFmtId="0" fontId="7" fillId="0" borderId="0" xfId="0" applyFont="1"/>
    <xf numFmtId="0" fontId="6" fillId="0" borderId="0" xfId="0" applyFont="1" applyAlignment="1">
      <alignment horizontal="center" vertical="center" wrapText="1"/>
    </xf>
    <xf numFmtId="0" fontId="16" fillId="0" borderId="0" xfId="5" applyFont="1"/>
    <xf numFmtId="0" fontId="6" fillId="0" borderId="0" xfId="0" applyFont="1" applyAlignment="1">
      <alignment wrapText="1"/>
    </xf>
    <xf numFmtId="0" fontId="15" fillId="0" borderId="0" xfId="0" applyFont="1" applyAlignment="1">
      <alignment vertical="center"/>
    </xf>
    <xf numFmtId="0" fontId="1" fillId="0" borderId="2" xfId="1" applyBorder="1" applyAlignment="1">
      <alignment vertical="center" wrapText="1"/>
    </xf>
    <xf numFmtId="0" fontId="1" fillId="0" borderId="2" xfId="1" applyBorder="1" applyAlignment="1">
      <alignment vertical="center"/>
    </xf>
    <xf numFmtId="0" fontId="6" fillId="0" borderId="2" xfId="0" applyFont="1" applyBorder="1" applyAlignment="1">
      <alignment vertical="center"/>
    </xf>
    <xf numFmtId="0" fontId="6" fillId="0" borderId="2" xfId="0" applyFont="1" applyBorder="1" applyAlignment="1">
      <alignment vertical="center" wrapText="1"/>
    </xf>
    <xf numFmtId="0" fontId="19" fillId="11" borderId="2" xfId="0" applyFont="1" applyFill="1" applyBorder="1" applyAlignment="1">
      <alignment vertical="center"/>
    </xf>
    <xf numFmtId="0" fontId="19" fillId="11" borderId="2" xfId="0" applyFont="1" applyFill="1" applyBorder="1" applyAlignment="1">
      <alignment horizontal="left" vertical="center"/>
    </xf>
    <xf numFmtId="3" fontId="6" fillId="0" borderId="2" xfId="7" applyNumberFormat="1" applyFont="1" applyBorder="1" applyAlignment="1">
      <alignment horizontal="center" vertical="center"/>
    </xf>
    <xf numFmtId="165" fontId="6" fillId="0" borderId="0" xfId="0" applyNumberFormat="1" applyFont="1" applyAlignment="1">
      <alignment horizontal="center" vertical="center"/>
    </xf>
    <xf numFmtId="0" fontId="6" fillId="0" borderId="0" xfId="0" applyFont="1" applyAlignment="1">
      <alignment horizontal="center" vertical="top" wrapText="1"/>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20" fillId="11" borderId="2" xfId="0" applyFont="1" applyFill="1" applyBorder="1" applyAlignment="1">
      <alignment horizontal="center" vertical="center" wrapText="1"/>
    </xf>
    <xf numFmtId="0" fontId="19" fillId="11" borderId="2" xfId="0" applyFont="1" applyFill="1" applyBorder="1" applyAlignment="1">
      <alignment horizontal="center" vertical="center"/>
    </xf>
    <xf numFmtId="9" fontId="6" fillId="0" borderId="0" xfId="2" applyFont="1" applyFill="1" applyBorder="1" applyAlignment="1">
      <alignment horizontal="center" vertical="center"/>
    </xf>
    <xf numFmtId="0" fontId="7" fillId="11" borderId="20" xfId="0" applyFont="1" applyFill="1" applyBorder="1" applyAlignment="1">
      <alignment horizontal="center" vertical="center"/>
    </xf>
    <xf numFmtId="9" fontId="6" fillId="0" borderId="0" xfId="0" applyNumberFormat="1" applyFont="1" applyAlignment="1">
      <alignment vertical="center"/>
    </xf>
    <xf numFmtId="0" fontId="7" fillId="0" borderId="0" xfId="0" applyFont="1" applyAlignment="1">
      <alignment vertical="center"/>
    </xf>
    <xf numFmtId="0" fontId="6" fillId="0" borderId="20" xfId="4" applyBorder="1" applyAlignment="1">
      <alignment horizontal="center" vertical="center"/>
    </xf>
    <xf numFmtId="0" fontId="23" fillId="11" borderId="9" xfId="0" applyFont="1" applyFill="1" applyBorder="1" applyAlignment="1">
      <alignment horizontal="center" vertical="center" wrapText="1"/>
    </xf>
    <xf numFmtId="9" fontId="6" fillId="0" borderId="20" xfId="2" applyFont="1" applyFill="1" applyBorder="1" applyAlignment="1">
      <alignment horizontal="center" vertical="center"/>
    </xf>
    <xf numFmtId="3" fontId="6" fillId="0" borderId="2" xfId="0" applyNumberFormat="1" applyFont="1" applyBorder="1" applyAlignment="1">
      <alignment horizontal="center" vertical="center"/>
    </xf>
    <xf numFmtId="0" fontId="22" fillId="0" borderId="0" xfId="0" applyFont="1" applyAlignment="1">
      <alignment horizontal="center" vertical="center"/>
    </xf>
    <xf numFmtId="0" fontId="24" fillId="5" borderId="0" xfId="0" applyFont="1" applyFill="1" applyAlignment="1">
      <alignment vertical="center" wrapText="1"/>
    </xf>
    <xf numFmtId="0" fontId="22" fillId="5" borderId="0" xfId="0" applyFont="1" applyFill="1" applyAlignment="1">
      <alignment horizontal="center" vertical="center"/>
    </xf>
    <xf numFmtId="0" fontId="23" fillId="0" borderId="0" xfId="0" applyFont="1" applyAlignment="1">
      <alignment horizontal="left" vertical="center" wrapText="1"/>
    </xf>
    <xf numFmtId="0" fontId="23" fillId="0" borderId="0" xfId="0" applyFont="1" applyAlignment="1">
      <alignment horizontal="left" vertical="center"/>
    </xf>
    <xf numFmtId="0" fontId="23" fillId="0" borderId="0" xfId="0" applyFont="1" applyAlignment="1">
      <alignment horizontal="center" vertical="center" wrapText="1"/>
    </xf>
    <xf numFmtId="10" fontId="6" fillId="0" borderId="0" xfId="8" applyNumberFormat="1" applyFont="1" applyFill="1" applyBorder="1" applyAlignment="1">
      <alignment horizontal="center"/>
    </xf>
    <xf numFmtId="9" fontId="6" fillId="0" borderId="20" xfId="0" applyNumberFormat="1" applyFont="1" applyBorder="1" applyAlignment="1">
      <alignment horizontal="center"/>
    </xf>
    <xf numFmtId="1" fontId="6" fillId="0" borderId="0" xfId="2" applyNumberFormat="1" applyFont="1" applyFill="1" applyBorder="1"/>
    <xf numFmtId="3" fontId="6" fillId="0" borderId="0" xfId="0" applyNumberFormat="1" applyFont="1" applyAlignment="1">
      <alignment horizontal="center" vertical="center"/>
    </xf>
    <xf numFmtId="166" fontId="22" fillId="0" borderId="0" xfId="0" applyNumberFormat="1" applyFont="1" applyAlignment="1">
      <alignment horizontal="center" vertical="center"/>
    </xf>
    <xf numFmtId="3" fontId="6" fillId="0" borderId="0" xfId="7" applyNumberFormat="1" applyFont="1" applyAlignment="1">
      <alignment horizontal="center" vertical="center"/>
    </xf>
    <xf numFmtId="9" fontId="6" fillId="0" borderId="22" xfId="0" applyNumberFormat="1" applyFont="1" applyBorder="1" applyAlignment="1">
      <alignment horizontal="center"/>
    </xf>
    <xf numFmtId="0" fontId="25" fillId="0" borderId="0" xfId="0" applyFont="1"/>
    <xf numFmtId="0" fontId="27" fillId="2" borderId="0" xfId="0" applyFont="1" applyFill="1"/>
    <xf numFmtId="0" fontId="25" fillId="0" borderId="0" xfId="0" applyFont="1" applyAlignment="1">
      <alignment wrapText="1"/>
    </xf>
    <xf numFmtId="0" fontId="25" fillId="0" borderId="0" xfId="0" applyFont="1" applyAlignment="1">
      <alignment horizontal="center"/>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6" fillId="0" borderId="2" xfId="0" applyFont="1" applyBorder="1"/>
    <xf numFmtId="0" fontId="7" fillId="11" borderId="23" xfId="0" applyFont="1" applyFill="1" applyBorder="1" applyAlignment="1">
      <alignment horizontal="center" vertical="center" wrapText="1"/>
    </xf>
    <xf numFmtId="0" fontId="16" fillId="0" borderId="20" xfId="5" applyFont="1" applyBorder="1" applyAlignment="1">
      <alignment horizontal="center" vertical="center"/>
    </xf>
    <xf numFmtId="0" fontId="19" fillId="11" borderId="9" xfId="0" applyFont="1" applyFill="1" applyBorder="1" applyAlignment="1">
      <alignment horizontal="center" vertical="center" wrapText="1"/>
    </xf>
    <xf numFmtId="0" fontId="7" fillId="11" borderId="23" xfId="0" applyFont="1" applyFill="1" applyBorder="1" applyAlignment="1">
      <alignment horizontal="center" vertical="center"/>
    </xf>
    <xf numFmtId="0" fontId="23" fillId="11" borderId="9" xfId="0" applyFont="1" applyFill="1" applyBorder="1" applyAlignment="1">
      <alignment horizontal="left" vertical="center" wrapText="1"/>
    </xf>
    <xf numFmtId="167" fontId="6" fillId="0" borderId="0" xfId="6" applyNumberFormat="1" applyFont="1" applyBorder="1" applyAlignment="1">
      <alignment vertical="center" wrapText="1"/>
    </xf>
    <xf numFmtId="0" fontId="12" fillId="0" borderId="0" xfId="0" applyFont="1" applyAlignment="1">
      <alignment vertical="center"/>
    </xf>
    <xf numFmtId="0" fontId="6" fillId="5" borderId="0" xfId="0" applyFont="1" applyFill="1"/>
    <xf numFmtId="0" fontId="6" fillId="5" borderId="0" xfId="0" applyFont="1" applyFill="1" applyAlignment="1">
      <alignment horizontal="center"/>
    </xf>
    <xf numFmtId="0" fontId="6" fillId="13" borderId="0" xfId="0" applyFont="1" applyFill="1"/>
    <xf numFmtId="0" fontId="12" fillId="0" borderId="0" xfId="0" applyFont="1" applyAlignment="1">
      <alignment wrapText="1"/>
    </xf>
    <xf numFmtId="0" fontId="12" fillId="0" borderId="0" xfId="0" applyFont="1" applyAlignment="1">
      <alignment horizontal="center"/>
    </xf>
    <xf numFmtId="0" fontId="15" fillId="2" borderId="0" xfId="0" applyFont="1" applyFill="1"/>
    <xf numFmtId="0" fontId="15" fillId="2" borderId="0" xfId="0" applyFont="1" applyFill="1" applyAlignment="1">
      <alignment wrapText="1"/>
    </xf>
    <xf numFmtId="0" fontId="15" fillId="2" borderId="0" xfId="0" applyFont="1" applyFill="1" applyAlignment="1">
      <alignment horizontal="left"/>
    </xf>
    <xf numFmtId="0" fontId="15" fillId="2" borderId="0" xfId="0" applyFont="1" applyFill="1" applyAlignment="1">
      <alignment horizontal="center"/>
    </xf>
    <xf numFmtId="0" fontId="23" fillId="15" borderId="35" xfId="0" applyFont="1" applyFill="1" applyBorder="1" applyAlignment="1">
      <alignment horizontal="center" vertical="center" wrapText="1"/>
    </xf>
    <xf numFmtId="0" fontId="33" fillId="0" borderId="0" xfId="0" applyFont="1"/>
    <xf numFmtId="167" fontId="6" fillId="0" borderId="2" xfId="6" applyNumberFormat="1" applyFont="1" applyBorder="1"/>
    <xf numFmtId="3" fontId="6" fillId="0" borderId="2" xfId="0" applyNumberFormat="1" applyFont="1" applyBorder="1"/>
    <xf numFmtId="0" fontId="12" fillId="5" borderId="0" xfId="0" applyFont="1" applyFill="1"/>
    <xf numFmtId="0" fontId="33" fillId="5" borderId="0" xfId="0" applyFont="1" applyFill="1"/>
    <xf numFmtId="0" fontId="29" fillId="0" borderId="0" xfId="0" applyFont="1" applyAlignment="1">
      <alignment vertical="center"/>
    </xf>
    <xf numFmtId="0" fontId="34" fillId="0" borderId="0" xfId="0" applyFont="1" applyAlignment="1">
      <alignment vertical="center"/>
    </xf>
    <xf numFmtId="0" fontId="6" fillId="0" borderId="22" xfId="4" applyBorder="1" applyAlignment="1">
      <alignment horizontal="center" vertical="center"/>
    </xf>
    <xf numFmtId="0" fontId="1" fillId="0" borderId="0" xfId="1" applyAlignment="1">
      <alignment vertical="center" wrapText="1"/>
    </xf>
    <xf numFmtId="0" fontId="12" fillId="0" borderId="2" xfId="0" applyFont="1" applyBorder="1" applyAlignment="1">
      <alignment vertical="center" wrapText="1"/>
    </xf>
    <xf numFmtId="0" fontId="12" fillId="0" borderId="2" xfId="0" applyFont="1" applyBorder="1" applyAlignment="1">
      <alignment vertical="center"/>
    </xf>
    <xf numFmtId="9" fontId="12" fillId="0" borderId="2" xfId="2" applyFont="1" applyBorder="1" applyAlignment="1">
      <alignment vertical="center"/>
    </xf>
    <xf numFmtId="0" fontId="12" fillId="12" borderId="2" xfId="0" applyFont="1" applyFill="1" applyBorder="1" applyAlignment="1">
      <alignment vertical="center" wrapText="1"/>
    </xf>
    <xf numFmtId="0" fontId="12" fillId="12" borderId="2" xfId="0" applyFont="1" applyFill="1" applyBorder="1" applyAlignment="1">
      <alignment vertical="center"/>
    </xf>
    <xf numFmtId="0" fontId="12" fillId="12" borderId="9" xfId="0" applyFont="1" applyFill="1" applyBorder="1" applyAlignment="1">
      <alignment horizontal="center" vertical="center" wrapText="1"/>
    </xf>
    <xf numFmtId="0" fontId="7" fillId="15" borderId="45" xfId="0" applyFont="1" applyFill="1" applyBorder="1" applyAlignment="1">
      <alignment horizontal="center" vertical="center"/>
    </xf>
    <xf numFmtId="0" fontId="6" fillId="5" borderId="0" xfId="0" applyFont="1" applyFill="1" applyAlignment="1">
      <alignment vertical="center"/>
    </xf>
    <xf numFmtId="0" fontId="6" fillId="5" borderId="49" xfId="0" applyFont="1" applyFill="1" applyBorder="1"/>
    <xf numFmtId="0" fontId="21" fillId="0" borderId="0" xfId="0" applyFont="1" applyAlignment="1">
      <alignment vertical="center" wrapText="1"/>
    </xf>
    <xf numFmtId="0" fontId="13" fillId="0" borderId="0" xfId="0" applyFont="1" applyAlignment="1">
      <alignment vertical="center" wrapText="1"/>
    </xf>
    <xf numFmtId="9" fontId="6" fillId="0" borderId="20" xfId="0" applyNumberFormat="1" applyFont="1" applyBorder="1" applyAlignment="1">
      <alignment horizontal="center" vertical="center"/>
    </xf>
    <xf numFmtId="9" fontId="6" fillId="0" borderId="0" xfId="0" applyNumberFormat="1" applyFont="1" applyAlignment="1">
      <alignment horizontal="left" vertical="center"/>
    </xf>
    <xf numFmtId="0" fontId="22" fillId="0" borderId="50" xfId="0" applyFont="1" applyBorder="1" applyAlignment="1">
      <alignment horizontal="center" vertical="center"/>
    </xf>
    <xf numFmtId="0" fontId="22" fillId="0" borderId="8" xfId="0" applyFont="1" applyBorder="1" applyAlignment="1">
      <alignment horizontal="center" vertical="center"/>
    </xf>
    <xf numFmtId="0" fontId="22" fillId="0" borderId="52" xfId="0" applyFont="1" applyBorder="1" applyAlignment="1">
      <alignment horizontal="center" vertical="center"/>
    </xf>
    <xf numFmtId="0" fontId="22" fillId="0" borderId="53" xfId="0" applyFont="1" applyBorder="1" applyAlignment="1">
      <alignment horizontal="center" vertical="center"/>
    </xf>
    <xf numFmtId="0" fontId="22" fillId="0" borderId="54" xfId="0" applyFont="1" applyBorder="1" applyAlignment="1">
      <alignment horizontal="center" vertical="center"/>
    </xf>
    <xf numFmtId="0" fontId="23" fillId="11" borderId="35" xfId="0" applyFont="1" applyFill="1" applyBorder="1" applyAlignment="1">
      <alignment horizontal="center" vertical="center" wrapText="1"/>
    </xf>
    <xf numFmtId="168" fontId="49" fillId="12" borderId="8" xfId="0" applyNumberFormat="1" applyFont="1" applyFill="1" applyBorder="1" applyAlignment="1">
      <alignment vertical="center"/>
    </xf>
    <xf numFmtId="0" fontId="12" fillId="0" borderId="0" xfId="0" applyFont="1" applyAlignment="1">
      <alignment horizontal="left" vertical="center"/>
    </xf>
    <xf numFmtId="168" fontId="49" fillId="0" borderId="0" xfId="0" applyNumberFormat="1" applyFont="1" applyAlignment="1">
      <alignment vertical="center"/>
    </xf>
    <xf numFmtId="168" fontId="49" fillId="0" borderId="0" xfId="0" applyNumberFormat="1" applyFont="1"/>
    <xf numFmtId="0" fontId="6" fillId="0" borderId="8" xfId="0" applyFont="1" applyBorder="1" applyAlignment="1">
      <alignment vertical="center" wrapText="1"/>
    </xf>
    <xf numFmtId="0" fontId="6" fillId="0" borderId="9" xfId="0" applyFont="1" applyBorder="1" applyAlignment="1">
      <alignment vertical="center"/>
    </xf>
    <xf numFmtId="164" fontId="6" fillId="0" borderId="0" xfId="0" applyNumberFormat="1" applyFont="1"/>
    <xf numFmtId="0" fontId="8" fillId="0" borderId="0" xfId="5"/>
    <xf numFmtId="0" fontId="12" fillId="0" borderId="0" xfId="0" applyFont="1" applyAlignment="1">
      <alignment horizontal="center" vertical="center"/>
    </xf>
    <xf numFmtId="0" fontId="23" fillId="15" borderId="2" xfId="0" applyFont="1" applyFill="1" applyBorder="1" applyAlignment="1">
      <alignment horizontal="center" vertical="center" wrapText="1"/>
    </xf>
    <xf numFmtId="0" fontId="10" fillId="0" borderId="2" xfId="3" applyFont="1" applyBorder="1" applyAlignment="1">
      <alignment horizontal="center" vertical="center" wrapText="1"/>
    </xf>
    <xf numFmtId="1" fontId="6" fillId="0" borderId="2" xfId="0" applyNumberFormat="1" applyFont="1" applyBorder="1" applyAlignment="1">
      <alignment horizontal="center" vertical="center"/>
    </xf>
    <xf numFmtId="0" fontId="6" fillId="0" borderId="0" xfId="0" applyFont="1" applyAlignment="1">
      <alignment horizontal="left" vertical="center"/>
    </xf>
    <xf numFmtId="0" fontId="8" fillId="0" borderId="0" xfId="5" applyAlignment="1">
      <alignment horizontal="left"/>
    </xf>
    <xf numFmtId="3" fontId="6" fillId="0" borderId="2" xfId="7" applyNumberFormat="1" applyFont="1" applyBorder="1" applyAlignment="1">
      <alignment horizontal="left" vertical="center"/>
    </xf>
    <xf numFmtId="3" fontId="6" fillId="0" borderId="8" xfId="7" applyNumberFormat="1" applyFont="1" applyBorder="1" applyAlignment="1">
      <alignment horizontal="left" vertical="center"/>
    </xf>
    <xf numFmtId="164" fontId="6" fillId="0" borderId="33" xfId="2" applyNumberFormat="1" applyFont="1" applyBorder="1" applyAlignment="1">
      <alignment horizontal="left" vertical="center"/>
    </xf>
    <xf numFmtId="0" fontId="26" fillId="5" borderId="32" xfId="0" applyFont="1" applyFill="1" applyBorder="1" applyAlignment="1">
      <alignment horizontal="center" vertical="center"/>
    </xf>
    <xf numFmtId="0" fontId="1" fillId="0" borderId="0" xfId="0" applyFont="1"/>
    <xf numFmtId="0" fontId="10" fillId="0" borderId="2" xfId="3" applyFont="1" applyFill="1" applyBorder="1" applyAlignment="1">
      <alignment horizontal="left" vertical="center" wrapText="1"/>
    </xf>
    <xf numFmtId="0" fontId="31" fillId="0" borderId="0" xfId="0" applyFont="1" applyAlignment="1">
      <alignment wrapText="1"/>
    </xf>
    <xf numFmtId="0" fontId="7" fillId="11" borderId="45" xfId="0" applyFont="1" applyFill="1" applyBorder="1" applyAlignment="1">
      <alignment horizontal="center" vertical="center"/>
    </xf>
    <xf numFmtId="0" fontId="7" fillId="49" borderId="0" xfId="0" applyFont="1" applyFill="1" applyAlignment="1">
      <alignment horizontal="center" vertical="center"/>
    </xf>
    <xf numFmtId="0" fontId="7" fillId="49" borderId="57" xfId="0" applyFont="1" applyFill="1" applyBorder="1" applyAlignment="1">
      <alignment horizontal="center" vertical="center"/>
    </xf>
    <xf numFmtId="0" fontId="7" fillId="50" borderId="59" xfId="0" applyFont="1" applyFill="1" applyBorder="1" applyAlignment="1">
      <alignment horizontal="left" vertical="center"/>
    </xf>
    <xf numFmtId="0" fontId="7" fillId="51" borderId="62" xfId="0" applyFont="1" applyFill="1" applyBorder="1" applyAlignment="1">
      <alignment horizontal="left" vertical="center"/>
    </xf>
    <xf numFmtId="0" fontId="7" fillId="51" borderId="63" xfId="0" applyFont="1" applyFill="1" applyBorder="1" applyAlignment="1">
      <alignment horizontal="left" vertical="center"/>
    </xf>
    <xf numFmtId="0" fontId="7" fillId="51" borderId="65" xfId="0" applyFont="1" applyFill="1" applyBorder="1" applyAlignment="1">
      <alignment horizontal="left" vertical="center"/>
    </xf>
    <xf numFmtId="0" fontId="7" fillId="53" borderId="61" xfId="0" applyFont="1" applyFill="1" applyBorder="1" applyAlignment="1">
      <alignment horizontal="left" vertical="center"/>
    </xf>
    <xf numFmtId="0" fontId="7" fillId="53" borderId="60" xfId="0" applyFont="1" applyFill="1" applyBorder="1" applyAlignment="1">
      <alignment horizontal="left" vertical="center"/>
    </xf>
    <xf numFmtId="0" fontId="7" fillId="53" borderId="64" xfId="0" applyFont="1" applyFill="1" applyBorder="1" applyAlignment="1">
      <alignment horizontal="left" vertical="center"/>
    </xf>
    <xf numFmtId="0" fontId="7" fillId="52" borderId="66" xfId="0" applyFont="1" applyFill="1" applyBorder="1" applyAlignment="1">
      <alignment horizontal="left" vertical="center"/>
    </xf>
    <xf numFmtId="0" fontId="7" fillId="52" borderId="67" xfId="0" applyFont="1" applyFill="1" applyBorder="1" applyAlignment="1">
      <alignment horizontal="left" vertical="center"/>
    </xf>
    <xf numFmtId="0" fontId="7" fillId="52" borderId="68" xfId="0" applyFont="1" applyFill="1" applyBorder="1" applyAlignment="1">
      <alignment horizontal="left" vertical="center"/>
    </xf>
    <xf numFmtId="0" fontId="20" fillId="11" borderId="9" xfId="0" applyFont="1" applyFill="1" applyBorder="1" applyAlignment="1">
      <alignment horizontal="center" vertical="center" wrapText="1"/>
    </xf>
    <xf numFmtId="0" fontId="51" fillId="54" borderId="9" xfId="0" applyFont="1" applyFill="1" applyBorder="1"/>
    <xf numFmtId="0" fontId="7" fillId="50" borderId="58" xfId="0" applyFont="1" applyFill="1" applyBorder="1" applyAlignment="1">
      <alignment horizontal="left" vertical="center"/>
    </xf>
    <xf numFmtId="0" fontId="51" fillId="55" borderId="17" xfId="0" applyFont="1" applyFill="1" applyBorder="1" applyAlignment="1">
      <alignment horizontal="left" vertical="center"/>
    </xf>
    <xf numFmtId="0" fontId="7" fillId="10" borderId="9" xfId="0" applyFont="1" applyFill="1" applyBorder="1" applyAlignment="1">
      <alignment horizontal="left" vertical="center"/>
    </xf>
    <xf numFmtId="0" fontId="7" fillId="10" borderId="16" xfId="0" applyFont="1" applyFill="1" applyBorder="1" applyAlignment="1">
      <alignment horizontal="left" vertical="center"/>
    </xf>
    <xf numFmtId="0" fontId="51" fillId="56" borderId="10" xfId="0" applyFont="1" applyFill="1" applyBorder="1" applyAlignment="1">
      <alignment horizontal="left" vertical="center"/>
    </xf>
    <xf numFmtId="0" fontId="7" fillId="55" borderId="12" xfId="0" applyFont="1" applyFill="1" applyBorder="1" applyAlignment="1">
      <alignment horizontal="center" vertical="center"/>
    </xf>
    <xf numFmtId="0" fontId="9" fillId="55" borderId="19" xfId="0" applyFont="1" applyFill="1" applyBorder="1" applyAlignment="1">
      <alignment horizontal="center" vertical="center"/>
    </xf>
    <xf numFmtId="0" fontId="51" fillId="54" borderId="16" xfId="0" applyFont="1" applyFill="1" applyBorder="1" applyAlignment="1">
      <alignment horizontal="left" vertical="center"/>
    </xf>
    <xf numFmtId="0" fontId="7" fillId="50" borderId="71" xfId="0" applyFont="1" applyFill="1" applyBorder="1" applyAlignment="1">
      <alignment horizontal="left" vertical="center"/>
    </xf>
    <xf numFmtId="0" fontId="7" fillId="50" borderId="72" xfId="0" applyFont="1" applyFill="1" applyBorder="1" applyAlignment="1">
      <alignment horizontal="left" vertical="center"/>
    </xf>
    <xf numFmtId="0" fontId="7" fillId="9" borderId="73" xfId="0" applyFont="1" applyFill="1" applyBorder="1" applyAlignment="1">
      <alignment horizontal="left" vertical="center"/>
    </xf>
    <xf numFmtId="0" fontId="7" fillId="48" borderId="74" xfId="0" applyFont="1" applyFill="1" applyBorder="1" applyAlignment="1">
      <alignment horizontal="left" vertical="center"/>
    </xf>
    <xf numFmtId="0" fontId="7" fillId="9" borderId="14" xfId="0" applyFont="1" applyFill="1" applyBorder="1" applyAlignment="1">
      <alignment horizontal="left" vertical="center"/>
    </xf>
    <xf numFmtId="0" fontId="7" fillId="48" borderId="15" xfId="0" applyFont="1" applyFill="1" applyBorder="1" applyAlignment="1">
      <alignment horizontal="left" vertical="center"/>
    </xf>
    <xf numFmtId="0" fontId="7" fillId="9" borderId="70" xfId="0" applyFont="1" applyFill="1" applyBorder="1" applyAlignment="1">
      <alignment horizontal="left" vertical="center"/>
    </xf>
    <xf numFmtId="0" fontId="7" fillId="48" borderId="72" xfId="0" applyFont="1" applyFill="1" applyBorder="1" applyAlignment="1">
      <alignment horizontal="left" vertical="center"/>
    </xf>
    <xf numFmtId="0" fontId="7" fillId="49" borderId="73" xfId="0" applyFont="1" applyFill="1" applyBorder="1" applyAlignment="1">
      <alignment horizontal="center" vertical="center"/>
    </xf>
    <xf numFmtId="0" fontId="7" fillId="49" borderId="15" xfId="0" applyFont="1" applyFill="1" applyBorder="1" applyAlignment="1">
      <alignment horizontal="center" vertical="center"/>
    </xf>
    <xf numFmtId="0" fontId="7" fillId="49" borderId="14" xfId="0" applyFont="1" applyFill="1" applyBorder="1" applyAlignment="1">
      <alignment horizontal="center" vertical="center"/>
    </xf>
    <xf numFmtId="0" fontId="7" fillId="49" borderId="17" xfId="0" applyFont="1" applyFill="1" applyBorder="1" applyAlignment="1">
      <alignment horizontal="center" vertical="center"/>
    </xf>
    <xf numFmtId="0" fontId="7" fillId="49" borderId="18" xfId="0" applyFont="1" applyFill="1" applyBorder="1" applyAlignment="1">
      <alignment horizontal="center" vertical="center"/>
    </xf>
    <xf numFmtId="0" fontId="7" fillId="49" borderId="19" xfId="0" applyFont="1" applyFill="1" applyBorder="1" applyAlignment="1">
      <alignment horizontal="center" vertical="center"/>
    </xf>
    <xf numFmtId="0" fontId="7" fillId="0" borderId="0" xfId="0" applyFont="1" applyAlignment="1">
      <alignment horizontal="center" vertical="center"/>
    </xf>
    <xf numFmtId="0" fontId="12" fillId="0" borderId="13" xfId="0" applyFont="1" applyBorder="1" applyAlignment="1">
      <alignment vertical="center"/>
    </xf>
    <xf numFmtId="0" fontId="7" fillId="58" borderId="2" xfId="0" applyFont="1" applyFill="1" applyBorder="1" applyAlignment="1">
      <alignment horizontal="center"/>
    </xf>
    <xf numFmtId="0" fontId="7" fillId="58" borderId="2" xfId="0" applyFont="1" applyFill="1" applyBorder="1" applyAlignment="1">
      <alignment horizontal="center" vertical="center"/>
    </xf>
    <xf numFmtId="0" fontId="17" fillId="0" borderId="2" xfId="0" applyFont="1" applyBorder="1" applyAlignment="1">
      <alignment vertical="center"/>
    </xf>
    <xf numFmtId="167" fontId="6" fillId="0" borderId="2" xfId="6" applyNumberFormat="1" applyFont="1" applyFill="1" applyBorder="1"/>
    <xf numFmtId="167" fontId="6" fillId="0" borderId="2" xfId="6" applyNumberFormat="1" applyFont="1" applyFill="1" applyBorder="1" applyAlignment="1">
      <alignment horizontal="center"/>
    </xf>
    <xf numFmtId="0" fontId="6" fillId="0" borderId="2" xfId="3" applyFont="1" applyFill="1" applyBorder="1" applyAlignment="1">
      <alignment horizontal="left" vertical="center" wrapText="1"/>
    </xf>
    <xf numFmtId="0" fontId="6" fillId="0" borderId="2" xfId="3" applyFont="1" applyBorder="1" applyAlignment="1">
      <alignment horizontal="center" vertical="center" wrapText="1"/>
    </xf>
    <xf numFmtId="3" fontId="6" fillId="0" borderId="69" xfId="7" applyNumberFormat="1" applyFont="1" applyBorder="1" applyAlignment="1">
      <alignment horizontal="left" vertical="center"/>
    </xf>
    <xf numFmtId="0" fontId="1" fillId="5" borderId="0" xfId="0" applyFont="1" applyFill="1"/>
    <xf numFmtId="9" fontId="1" fillId="5" borderId="0" xfId="0" applyNumberFormat="1" applyFont="1" applyFill="1"/>
    <xf numFmtId="1" fontId="50" fillId="0" borderId="2" xfId="7" applyNumberFormat="1" applyFont="1" applyBorder="1" applyAlignment="1">
      <alignment horizontal="center" vertical="center"/>
    </xf>
    <xf numFmtId="3" fontId="6" fillId="0" borderId="2" xfId="1" applyNumberFormat="1" applyFont="1" applyBorder="1" applyAlignment="1">
      <alignment horizontal="center" vertical="center" wrapText="1"/>
    </xf>
    <xf numFmtId="0" fontId="6" fillId="0" borderId="2" xfId="1" applyFont="1" applyBorder="1" applyAlignment="1">
      <alignment horizontal="center" vertical="center" wrapText="1"/>
    </xf>
    <xf numFmtId="1" fontId="6" fillId="0" borderId="0" xfId="2" applyNumberFormat="1" applyFont="1" applyFill="1" applyBorder="1" applyAlignment="1">
      <alignment horizontal="left"/>
    </xf>
    <xf numFmtId="0" fontId="33" fillId="0" borderId="27" xfId="0" applyFont="1" applyBorder="1" applyAlignment="1">
      <alignment vertical="center"/>
    </xf>
    <xf numFmtId="1" fontId="7" fillId="0" borderId="27" xfId="2" applyNumberFormat="1" applyFont="1" applyFill="1" applyBorder="1" applyAlignment="1">
      <alignment vertical="center"/>
    </xf>
    <xf numFmtId="0" fontId="6" fillId="0" borderId="27" xfId="0" applyFont="1" applyBorder="1"/>
    <xf numFmtId="0" fontId="6" fillId="0" borderId="27" xfId="0" applyFont="1" applyBorder="1" applyAlignment="1">
      <alignment horizontal="left"/>
    </xf>
    <xf numFmtId="9" fontId="12" fillId="0" borderId="27" xfId="0" applyNumberFormat="1" applyFont="1" applyBorder="1" applyAlignment="1">
      <alignment horizontal="left"/>
    </xf>
    <xf numFmtId="0" fontId="12" fillId="0" borderId="27" xfId="0" applyFont="1" applyBorder="1"/>
    <xf numFmtId="4" fontId="6" fillId="0" borderId="2" xfId="1" applyNumberFormat="1" applyFont="1" applyBorder="1" applyAlignment="1">
      <alignment horizontal="center" vertical="center" wrapText="1"/>
    </xf>
    <xf numFmtId="0" fontId="6" fillId="0" borderId="7" xfId="0" applyFont="1" applyBorder="1" applyAlignment="1">
      <alignment horizontal="left" vertical="center" wrapText="1"/>
    </xf>
    <xf numFmtId="0" fontId="6" fillId="5" borderId="0" xfId="0" quotePrefix="1" applyFont="1" applyFill="1"/>
    <xf numFmtId="0" fontId="7" fillId="5" borderId="0" xfId="0" applyFont="1" applyFill="1" applyAlignment="1">
      <alignment horizontal="left" vertical="center"/>
    </xf>
    <xf numFmtId="0" fontId="6" fillId="5" borderId="0" xfId="0" applyFont="1" applyFill="1" applyAlignment="1">
      <alignment horizontal="left" vertical="center"/>
    </xf>
    <xf numFmtId="0" fontId="54" fillId="0" borderId="0" xfId="0" applyFont="1"/>
    <xf numFmtId="165" fontId="6" fillId="0" borderId="27" xfId="0" applyNumberFormat="1" applyFont="1" applyBorder="1" applyAlignment="1">
      <alignment horizontal="center" vertical="center"/>
    </xf>
    <xf numFmtId="0" fontId="1" fillId="0" borderId="27" xfId="0" applyFont="1" applyBorder="1" applyAlignment="1">
      <alignment horizontal="center" vertical="center" wrapText="1"/>
    </xf>
    <xf numFmtId="164" fontId="6" fillId="0" borderId="33" xfId="2" applyNumberFormat="1" applyFont="1" applyFill="1" applyBorder="1" applyAlignment="1">
      <alignment horizontal="left" vertical="center"/>
    </xf>
    <xf numFmtId="0" fontId="6" fillId="5" borderId="0" xfId="0" applyFont="1" applyFill="1" applyAlignment="1">
      <alignment vertical="top"/>
    </xf>
    <xf numFmtId="0" fontId="6" fillId="0" borderId="0" xfId="0" quotePrefix="1" applyFont="1"/>
    <xf numFmtId="0" fontId="6" fillId="0" borderId="0" xfId="0" applyFont="1" applyAlignment="1">
      <alignment vertical="top"/>
    </xf>
    <xf numFmtId="0" fontId="51" fillId="0" borderId="0" xfId="0" applyFont="1"/>
    <xf numFmtId="0" fontId="7" fillId="0" borderId="0" xfId="0" applyFont="1" applyAlignment="1">
      <alignment horizontal="left" vertical="center"/>
    </xf>
    <xf numFmtId="0" fontId="6" fillId="0" borderId="0" xfId="0" applyFont="1" applyAlignment="1">
      <alignment horizontal="left" vertical="center" wrapText="1"/>
    </xf>
    <xf numFmtId="0" fontId="51" fillId="0" borderId="0" xfId="0" applyFont="1" applyAlignment="1">
      <alignment horizontal="left" vertical="center"/>
    </xf>
    <xf numFmtId="0" fontId="9" fillId="0" borderId="0" xfId="0" applyFont="1" applyAlignment="1">
      <alignment horizontal="center" vertical="center"/>
    </xf>
    <xf numFmtId="10" fontId="6" fillId="0" borderId="2" xfId="0" applyNumberFormat="1" applyFont="1" applyBorder="1" applyAlignment="1">
      <alignment horizontal="center" vertical="center" wrapText="1"/>
    </xf>
    <xf numFmtId="0" fontId="19" fillId="11" borderId="9" xfId="0" applyFont="1" applyFill="1" applyBorder="1" applyAlignment="1">
      <alignment horizontal="center" vertical="center"/>
    </xf>
    <xf numFmtId="0" fontId="6" fillId="0" borderId="0" xfId="3" applyFont="1" applyFill="1" applyBorder="1" applyAlignment="1">
      <alignment vertical="center" wrapText="1"/>
    </xf>
    <xf numFmtId="3" fontId="6" fillId="0" borderId="0" xfId="3" applyNumberFormat="1" applyFont="1" applyFill="1" applyBorder="1" applyAlignment="1">
      <alignment horizontal="center" vertical="center" wrapText="1"/>
    </xf>
    <xf numFmtId="9" fontId="10" fillId="0" borderId="0" xfId="2" applyFont="1" applyBorder="1" applyAlignment="1">
      <alignment horizontal="center" vertical="center" wrapText="1"/>
    </xf>
    <xf numFmtId="3" fontId="10" fillId="0" borderId="0" xfId="3" applyNumberFormat="1" applyFont="1" applyBorder="1" applyAlignment="1">
      <alignment horizontal="center" vertical="center" wrapText="1"/>
    </xf>
    <xf numFmtId="0" fontId="6" fillId="0" borderId="75" xfId="3" applyFont="1" applyFill="1" applyBorder="1" applyAlignment="1">
      <alignment horizontal="left" vertical="center" wrapText="1"/>
    </xf>
    <xf numFmtId="0" fontId="6" fillId="0" borderId="75" xfId="3" applyFont="1" applyBorder="1" applyAlignment="1">
      <alignment horizontal="center" vertical="center" wrapText="1"/>
    </xf>
    <xf numFmtId="164" fontId="6" fillId="0" borderId="77" xfId="2" applyNumberFormat="1" applyFont="1" applyFill="1" applyBorder="1" applyAlignment="1">
      <alignment horizontal="left" vertical="center"/>
    </xf>
    <xf numFmtId="3" fontId="6" fillId="0" borderId="78" xfId="7" applyNumberFormat="1" applyFont="1" applyBorder="1" applyAlignment="1">
      <alignment horizontal="left" vertical="center"/>
    </xf>
    <xf numFmtId="3" fontId="6" fillId="0" borderId="75" xfId="7" applyNumberFormat="1" applyFont="1" applyBorder="1" applyAlignment="1">
      <alignment horizontal="left" vertical="center"/>
    </xf>
    <xf numFmtId="3" fontId="6" fillId="0" borderId="76" xfId="7" applyNumberFormat="1" applyFont="1" applyBorder="1" applyAlignment="1">
      <alignment horizontal="left" vertical="center"/>
    </xf>
    <xf numFmtId="1" fontId="50" fillId="0" borderId="75" xfId="7" applyNumberFormat="1" applyFont="1" applyBorder="1" applyAlignment="1">
      <alignment horizontal="center" vertical="center"/>
    </xf>
    <xf numFmtId="0" fontId="6" fillId="0" borderId="34" xfId="0" applyFont="1" applyBorder="1" applyAlignment="1">
      <alignment horizontal="left" vertical="center"/>
    </xf>
    <xf numFmtId="0" fontId="30" fillId="0" borderId="0" xfId="0" applyFont="1" applyAlignment="1">
      <alignment vertical="center"/>
    </xf>
    <xf numFmtId="3" fontId="6" fillId="0" borderId="0" xfId="0" applyNumberFormat="1" applyFont="1" applyAlignment="1">
      <alignment horizontal="left"/>
    </xf>
    <xf numFmtId="0" fontId="28" fillId="0" borderId="0" xfId="0" quotePrefix="1" applyFont="1"/>
    <xf numFmtId="0" fontId="10" fillId="0" borderId="0" xfId="3" applyFont="1" applyBorder="1" applyAlignment="1">
      <alignment horizontal="center" vertical="center" wrapText="1"/>
    </xf>
    <xf numFmtId="1" fontId="6" fillId="0" borderId="0" xfId="0" applyNumberFormat="1" applyFont="1" applyAlignment="1">
      <alignment horizontal="center" vertical="center"/>
    </xf>
    <xf numFmtId="0" fontId="10" fillId="0" borderId="75" xfId="3" applyFont="1" applyBorder="1" applyAlignment="1">
      <alignment horizontal="center" vertical="center" wrapText="1"/>
    </xf>
    <xf numFmtId="3" fontId="6" fillId="0" borderId="75" xfId="0" applyNumberFormat="1" applyFont="1" applyBorder="1" applyAlignment="1">
      <alignment horizontal="center" vertical="center"/>
    </xf>
    <xf numFmtId="0" fontId="6" fillId="0" borderId="75" xfId="0" applyFont="1" applyBorder="1" applyAlignment="1">
      <alignment horizontal="center" vertical="center"/>
    </xf>
    <xf numFmtId="1" fontId="6" fillId="0" borderId="75" xfId="0" applyNumberFormat="1" applyFont="1" applyBorder="1" applyAlignment="1">
      <alignment horizontal="center" vertical="center"/>
    </xf>
    <xf numFmtId="0" fontId="6" fillId="0" borderId="75" xfId="0" applyFont="1" applyBorder="1" applyAlignment="1">
      <alignment vertical="center" wrapText="1"/>
    </xf>
    <xf numFmtId="0" fontId="7" fillId="59" borderId="45" xfId="0" applyFont="1" applyFill="1" applyBorder="1" applyAlignment="1">
      <alignment horizontal="center" vertical="center"/>
    </xf>
    <xf numFmtId="0" fontId="6" fillId="0" borderId="2" xfId="0" applyFont="1" applyBorder="1" applyAlignment="1">
      <alignment horizontal="right" vertical="center"/>
    </xf>
    <xf numFmtId="168" fontId="6" fillId="0" borderId="2" xfId="0" applyNumberFormat="1" applyFont="1" applyBorder="1" applyAlignment="1">
      <alignment vertical="center"/>
    </xf>
    <xf numFmtId="167" fontId="6" fillId="0" borderId="2" xfId="6" applyNumberFormat="1" applyFont="1" applyFill="1" applyBorder="1" applyAlignment="1">
      <alignment horizontal="right" vertical="center" wrapText="1"/>
    </xf>
    <xf numFmtId="167" fontId="6" fillId="0" borderId="8" xfId="6" applyNumberFormat="1" applyFont="1" applyFill="1" applyBorder="1" applyAlignment="1">
      <alignment horizontal="right" vertical="center"/>
    </xf>
    <xf numFmtId="0" fontId="6" fillId="0" borderId="13" xfId="0" applyFont="1" applyBorder="1" applyAlignment="1">
      <alignment horizontal="center" vertical="center"/>
    </xf>
    <xf numFmtId="0" fontId="6" fillId="0" borderId="9" xfId="0" applyFont="1" applyBorder="1" applyAlignment="1">
      <alignment horizontal="center" vertical="center"/>
    </xf>
    <xf numFmtId="2" fontId="22" fillId="0" borderId="35" xfId="0" applyNumberFormat="1" applyFont="1" applyBorder="1" applyAlignment="1">
      <alignment horizontal="center" vertical="center"/>
    </xf>
    <xf numFmtId="1" fontId="22" fillId="0" borderId="35" xfId="0" applyNumberFormat="1" applyFont="1" applyBorder="1" applyAlignment="1">
      <alignment horizontal="center" vertical="center"/>
    </xf>
    <xf numFmtId="0" fontId="22" fillId="0" borderId="86" xfId="0" applyFont="1" applyBorder="1" applyAlignment="1">
      <alignment horizontal="center" vertical="center"/>
    </xf>
    <xf numFmtId="0" fontId="22" fillId="0" borderId="56" xfId="0" applyFont="1" applyBorder="1" applyAlignment="1">
      <alignment horizontal="center" vertical="center"/>
    </xf>
    <xf numFmtId="0" fontId="22" fillId="0" borderId="90" xfId="0" applyFont="1" applyBorder="1" applyAlignment="1">
      <alignment horizontal="center" vertical="center"/>
    </xf>
    <xf numFmtId="0" fontId="22" fillId="0" borderId="47" xfId="0" applyFont="1" applyBorder="1" applyAlignment="1">
      <alignment horizontal="center" vertical="center"/>
    </xf>
    <xf numFmtId="1" fontId="22" fillId="0" borderId="81" xfId="0" applyNumberFormat="1" applyFont="1" applyBorder="1" applyAlignment="1">
      <alignment horizontal="center" vertical="center"/>
    </xf>
    <xf numFmtId="1" fontId="22" fillId="0" borderId="82" xfId="0" applyNumberFormat="1" applyFont="1" applyBorder="1" applyAlignment="1">
      <alignment horizontal="center" vertical="center"/>
    </xf>
    <xf numFmtId="1" fontId="22" fillId="0" borderId="83" xfId="0" applyNumberFormat="1" applyFont="1" applyBorder="1" applyAlignment="1">
      <alignment horizontal="center" vertical="center"/>
    </xf>
    <xf numFmtId="1" fontId="22" fillId="0" borderId="45" xfId="0" applyNumberFormat="1" applyFont="1" applyBorder="1" applyAlignment="1">
      <alignment horizontal="center" vertical="center"/>
    </xf>
    <xf numFmtId="1" fontId="22" fillId="0" borderId="80" xfId="0" applyNumberFormat="1" applyFont="1" applyBorder="1" applyAlignment="1">
      <alignment horizontal="center" vertical="center"/>
    </xf>
    <xf numFmtId="1" fontId="22" fillId="0" borderId="106" xfId="0" applyNumberFormat="1" applyFont="1" applyBorder="1" applyAlignment="1">
      <alignment horizontal="center" vertical="center"/>
    </xf>
    <xf numFmtId="1" fontId="22" fillId="0" borderId="0" xfId="0" applyNumberFormat="1" applyFont="1" applyAlignment="1">
      <alignment horizontal="center" vertical="center"/>
    </xf>
    <xf numFmtId="0" fontId="22" fillId="0" borderId="0" xfId="0" applyFont="1" applyAlignment="1">
      <alignment vertical="center" wrapText="1"/>
    </xf>
    <xf numFmtId="0" fontId="22" fillId="0" borderId="95" xfId="0" applyFont="1" applyBorder="1" applyAlignment="1">
      <alignment horizontal="center" vertical="center"/>
    </xf>
    <xf numFmtId="1" fontId="22" fillId="0" borderId="96" xfId="0" applyNumberFormat="1" applyFont="1" applyBorder="1" applyAlignment="1">
      <alignment horizontal="center" vertical="center"/>
    </xf>
    <xf numFmtId="1" fontId="22" fillId="0" borderId="97" xfId="0" applyNumberFormat="1" applyFont="1" applyBorder="1" applyAlignment="1">
      <alignment horizontal="center" vertical="center"/>
    </xf>
    <xf numFmtId="0" fontId="22" fillId="0" borderId="98" xfId="0" applyFont="1" applyBorder="1" applyAlignment="1">
      <alignment horizontal="center" vertical="center"/>
    </xf>
    <xf numFmtId="0" fontId="22" fillId="0" borderId="101" xfId="0" applyFont="1" applyBorder="1" applyAlignment="1">
      <alignment horizontal="center" vertical="center"/>
    </xf>
    <xf numFmtId="1" fontId="22" fillId="0" borderId="130" xfId="0" applyNumberFormat="1" applyFont="1" applyBorder="1" applyAlignment="1">
      <alignment horizontal="center" vertical="center"/>
    </xf>
    <xf numFmtId="1" fontId="22" fillId="0" borderId="99" xfId="0" applyNumberFormat="1" applyFont="1" applyBorder="1" applyAlignment="1">
      <alignment horizontal="center" vertical="center"/>
    </xf>
    <xf numFmtId="1" fontId="22" fillId="0" borderId="102" xfId="0" applyNumberFormat="1" applyFont="1" applyBorder="1" applyAlignment="1">
      <alignment horizontal="center" vertical="center"/>
    </xf>
    <xf numFmtId="1" fontId="22" fillId="0" borderId="103" xfId="0" applyNumberFormat="1" applyFont="1" applyBorder="1" applyAlignment="1">
      <alignment horizontal="center" vertical="center"/>
    </xf>
    <xf numFmtId="0" fontId="22" fillId="0" borderId="134" xfId="0" applyFont="1" applyBorder="1" applyAlignment="1">
      <alignment horizontal="center" vertical="center"/>
    </xf>
    <xf numFmtId="2" fontId="22" fillId="0" borderId="96" xfId="0" applyNumberFormat="1" applyFont="1" applyBorder="1" applyAlignment="1">
      <alignment horizontal="center" vertical="center"/>
    </xf>
    <xf numFmtId="0" fontId="22" fillId="0" borderId="135" xfId="0" applyFont="1" applyBorder="1" applyAlignment="1">
      <alignment horizontal="center" vertical="center"/>
    </xf>
    <xf numFmtId="2" fontId="22" fillId="0" borderId="99" xfId="0" applyNumberFormat="1" applyFont="1" applyBorder="1" applyAlignment="1">
      <alignment horizontal="center" vertical="center"/>
    </xf>
    <xf numFmtId="0" fontId="22" fillId="0" borderId="137" xfId="0" applyFont="1" applyBorder="1" applyAlignment="1">
      <alignment horizontal="center" vertical="center"/>
    </xf>
    <xf numFmtId="2" fontId="22" fillId="0" borderId="45" xfId="0" applyNumberFormat="1" applyFont="1" applyBorder="1" applyAlignment="1">
      <alignment horizontal="center" vertical="center"/>
    </xf>
    <xf numFmtId="2" fontId="22" fillId="0" borderId="100" xfId="0" applyNumberFormat="1" applyFont="1" applyBorder="1" applyAlignment="1">
      <alignment horizontal="center" vertical="center"/>
    </xf>
    <xf numFmtId="0" fontId="22" fillId="0" borderId="140" xfId="0" applyFont="1" applyBorder="1" applyAlignment="1">
      <alignment horizontal="center" vertical="center"/>
    </xf>
    <xf numFmtId="0" fontId="22" fillId="0" borderId="141" xfId="0" applyFont="1" applyBorder="1" applyAlignment="1">
      <alignment horizontal="center" vertical="center"/>
    </xf>
    <xf numFmtId="0" fontId="22" fillId="0" borderId="0" xfId="0" applyFont="1" applyAlignment="1">
      <alignment vertical="center"/>
    </xf>
    <xf numFmtId="0" fontId="19" fillId="0" borderId="0" xfId="0" applyFont="1" applyAlignment="1">
      <alignment vertical="center" wrapText="1"/>
    </xf>
    <xf numFmtId="1" fontId="22" fillId="0" borderId="100" xfId="0" applyNumberFormat="1" applyFont="1" applyBorder="1" applyAlignment="1">
      <alignment horizontal="center" vertical="center"/>
    </xf>
    <xf numFmtId="0" fontId="22" fillId="0" borderId="151" xfId="0" applyFont="1" applyBorder="1" applyAlignment="1">
      <alignment horizontal="center" vertical="center"/>
    </xf>
    <xf numFmtId="0" fontId="22" fillId="0" borderId="152" xfId="0" applyFont="1" applyBorder="1" applyAlignment="1">
      <alignment horizontal="center" vertical="center"/>
    </xf>
    <xf numFmtId="2" fontId="22" fillId="0" borderId="102" xfId="0" applyNumberFormat="1" applyFont="1" applyBorder="1" applyAlignment="1">
      <alignment horizontal="center" vertical="center"/>
    </xf>
    <xf numFmtId="0" fontId="22" fillId="0" borderId="136" xfId="0" applyFont="1" applyBorder="1" applyAlignment="1">
      <alignment horizontal="center" vertical="center"/>
    </xf>
    <xf numFmtId="2" fontId="22" fillId="0" borderId="27" xfId="0" applyNumberFormat="1" applyFont="1" applyBorder="1" applyAlignment="1">
      <alignment horizontal="center" vertical="center"/>
    </xf>
    <xf numFmtId="0" fontId="6" fillId="0" borderId="27" xfId="4" applyBorder="1" applyAlignment="1">
      <alignment horizontal="center" vertical="center"/>
    </xf>
    <xf numFmtId="2" fontId="6" fillId="0" borderId="27" xfId="0" applyNumberFormat="1" applyFont="1" applyBorder="1"/>
    <xf numFmtId="0" fontId="52" fillId="0" borderId="27" xfId="0" applyFont="1" applyBorder="1"/>
    <xf numFmtId="0" fontId="23" fillId="15" borderId="134" xfId="0" applyFont="1" applyFill="1" applyBorder="1" applyAlignment="1">
      <alignment horizontal="center" vertical="center" wrapText="1"/>
    </xf>
    <xf numFmtId="0" fontId="19" fillId="15" borderId="156" xfId="0" applyFont="1" applyFill="1" applyBorder="1" applyAlignment="1">
      <alignment horizontal="center" vertical="center" wrapText="1"/>
    </xf>
    <xf numFmtId="0" fontId="19" fillId="61" borderId="156" xfId="0" applyFont="1" applyFill="1" applyBorder="1" applyAlignment="1">
      <alignment horizontal="center" vertical="center" wrapText="1"/>
    </xf>
    <xf numFmtId="0" fontId="52" fillId="0" borderId="143" xfId="0" applyFont="1" applyBorder="1"/>
    <xf numFmtId="2" fontId="6" fillId="0" borderId="157" xfId="0" applyNumberFormat="1" applyFont="1" applyBorder="1"/>
    <xf numFmtId="0" fontId="23" fillId="11" borderId="159" xfId="0" applyFont="1" applyFill="1" applyBorder="1" applyAlignment="1">
      <alignment horizontal="center" vertical="center"/>
    </xf>
    <xf numFmtId="0" fontId="19" fillId="11" borderId="160" xfId="0" applyFont="1" applyFill="1" applyBorder="1" applyAlignment="1">
      <alignment horizontal="center" vertical="center" wrapText="1"/>
    </xf>
    <xf numFmtId="0" fontId="19" fillId="11" borderId="161" xfId="0" applyFont="1" applyFill="1" applyBorder="1" applyAlignment="1">
      <alignment horizontal="center" vertical="center" wrapText="1"/>
    </xf>
    <xf numFmtId="0" fontId="7" fillId="59" borderId="162" xfId="0" applyFont="1" applyFill="1" applyBorder="1" applyAlignment="1">
      <alignment horizontal="center" vertical="center" wrapText="1"/>
    </xf>
    <xf numFmtId="2" fontId="6" fillId="0" borderId="109" xfId="0" applyNumberFormat="1" applyFont="1" applyBorder="1"/>
    <xf numFmtId="0" fontId="6" fillId="0" borderId="143" xfId="4" applyBorder="1" applyAlignment="1">
      <alignment horizontal="center" vertical="center"/>
    </xf>
    <xf numFmtId="2" fontId="6" fillId="0" borderId="143" xfId="0" applyNumberFormat="1" applyFont="1" applyBorder="1"/>
    <xf numFmtId="2" fontId="6" fillId="0" borderId="158" xfId="0" applyNumberFormat="1" applyFont="1" applyBorder="1"/>
    <xf numFmtId="2" fontId="6" fillId="0" borderId="110" xfId="0" applyNumberFormat="1" applyFont="1" applyBorder="1"/>
    <xf numFmtId="165" fontId="52" fillId="0" borderId="157" xfId="0" applyNumberFormat="1" applyFont="1" applyBorder="1"/>
    <xf numFmtId="165" fontId="52" fillId="0" borderId="158" xfId="0" applyNumberFormat="1" applyFont="1" applyBorder="1"/>
    <xf numFmtId="0" fontId="46" fillId="0" borderId="0" xfId="0" applyFont="1"/>
    <xf numFmtId="165" fontId="56" fillId="0" borderId="0" xfId="0" applyNumberFormat="1" applyFont="1"/>
    <xf numFmtId="0" fontId="23" fillId="57" borderId="2" xfId="0" applyFont="1" applyFill="1" applyBorder="1" applyAlignment="1">
      <alignment wrapText="1"/>
    </xf>
    <xf numFmtId="0" fontId="23" fillId="57" borderId="8" xfId="0" applyFont="1" applyFill="1" applyBorder="1" applyAlignment="1">
      <alignment wrapText="1"/>
    </xf>
    <xf numFmtId="0" fontId="52" fillId="63" borderId="0" xfId="0" applyFont="1" applyFill="1"/>
    <xf numFmtId="0" fontId="52" fillId="63" borderId="15" xfId="0" applyFont="1" applyFill="1" applyBorder="1"/>
    <xf numFmtId="0" fontId="52" fillId="63" borderId="18" xfId="0" applyFont="1" applyFill="1" applyBorder="1"/>
    <xf numFmtId="0" fontId="52" fillId="63" borderId="19" xfId="0" applyFont="1" applyFill="1" applyBorder="1"/>
    <xf numFmtId="0" fontId="6" fillId="4" borderId="0" xfId="0" applyFont="1" applyFill="1"/>
    <xf numFmtId="0" fontId="7" fillId="0" borderId="0" xfId="0" applyFont="1" applyAlignment="1">
      <alignment wrapText="1"/>
    </xf>
    <xf numFmtId="0" fontId="7" fillId="0" borderId="0" xfId="0" applyFont="1" applyAlignment="1">
      <alignment horizontal="left"/>
    </xf>
    <xf numFmtId="0" fontId="7" fillId="0" borderId="0" xfId="0" applyFont="1" applyAlignment="1">
      <alignment horizontal="center"/>
    </xf>
    <xf numFmtId="0" fontId="19" fillId="61" borderId="169" xfId="0" applyFont="1" applyFill="1" applyBorder="1" applyAlignment="1">
      <alignment horizontal="center" vertical="center" wrapText="1"/>
    </xf>
    <xf numFmtId="0" fontId="52" fillId="0" borderId="157" xfId="0" applyFont="1" applyBorder="1"/>
    <xf numFmtId="0" fontId="52" fillId="0" borderId="158" xfId="0" applyFont="1" applyBorder="1"/>
    <xf numFmtId="165" fontId="52" fillId="0" borderId="2" xfId="0" applyNumberFormat="1" applyFont="1" applyBorder="1"/>
    <xf numFmtId="0" fontId="19" fillId="62" borderId="163" xfId="0" applyFont="1" applyFill="1" applyBorder="1" applyAlignment="1">
      <alignment horizontal="center" vertical="center" wrapText="1"/>
    </xf>
    <xf numFmtId="0" fontId="19" fillId="62" borderId="1" xfId="0" applyFont="1" applyFill="1" applyBorder="1" applyAlignment="1">
      <alignment horizontal="center" vertical="center" wrapText="1"/>
    </xf>
    <xf numFmtId="0" fontId="7" fillId="8" borderId="4" xfId="0" applyFont="1" applyFill="1" applyBorder="1" applyAlignment="1">
      <alignment horizontal="center" vertical="center" wrapText="1"/>
    </xf>
    <xf numFmtId="165" fontId="52" fillId="0" borderId="165" xfId="0" applyNumberFormat="1" applyFont="1" applyBorder="1"/>
    <xf numFmtId="165" fontId="6" fillId="0" borderId="5" xfId="0" applyNumberFormat="1" applyFont="1" applyBorder="1"/>
    <xf numFmtId="165" fontId="52" fillId="0" borderId="167" xfId="0" applyNumberFormat="1" applyFont="1" applyBorder="1"/>
    <xf numFmtId="165" fontId="52" fillId="0" borderId="29" xfId="0" applyNumberFormat="1" applyFont="1" applyBorder="1"/>
    <xf numFmtId="0" fontId="6" fillId="0" borderId="29" xfId="0" applyFont="1" applyBorder="1"/>
    <xf numFmtId="165" fontId="6" fillId="0" borderId="6" xfId="0" applyNumberFormat="1" applyFont="1" applyBorder="1"/>
    <xf numFmtId="0" fontId="19" fillId="0" borderId="0" xfId="0" applyFont="1" applyAlignment="1">
      <alignment horizontal="center" vertical="center" wrapText="1"/>
    </xf>
    <xf numFmtId="0" fontId="57" fillId="0" borderId="0" xfId="5" applyFont="1"/>
    <xf numFmtId="0" fontId="6" fillId="0" borderId="2" xfId="3" applyFont="1" applyFill="1" applyBorder="1" applyAlignment="1">
      <alignment horizontal="center" vertical="center" wrapText="1"/>
    </xf>
    <xf numFmtId="0" fontId="19" fillId="59" borderId="134" xfId="0" applyFont="1" applyFill="1" applyBorder="1" applyAlignment="1">
      <alignment horizontal="center" vertical="center" wrapText="1"/>
    </xf>
    <xf numFmtId="0" fontId="19" fillId="59" borderId="156" xfId="0" applyFont="1" applyFill="1" applyBorder="1" applyAlignment="1">
      <alignment horizontal="center" vertical="center" wrapText="1"/>
    </xf>
    <xf numFmtId="0" fontId="19" fillId="11" borderId="118" xfId="0" applyFont="1" applyFill="1" applyBorder="1" applyAlignment="1">
      <alignment horizontal="center" vertical="center" wrapText="1"/>
    </xf>
    <xf numFmtId="0" fontId="6" fillId="0" borderId="0" xfId="0" applyFont="1" applyAlignment="1">
      <alignment horizontal="left" wrapText="1"/>
    </xf>
    <xf numFmtId="0" fontId="6" fillId="0" borderId="120" xfId="0" applyFont="1" applyBorder="1" applyAlignment="1">
      <alignment horizontal="left" wrapText="1"/>
    </xf>
    <xf numFmtId="0" fontId="52" fillId="0" borderId="0" xfId="0" applyFont="1" applyAlignment="1">
      <alignment horizontal="center" vertical="center" wrapText="1"/>
    </xf>
    <xf numFmtId="0" fontId="58" fillId="0" borderId="0" xfId="0" applyFont="1" applyAlignment="1">
      <alignment horizontal="center" vertical="center" wrapText="1"/>
    </xf>
    <xf numFmtId="0" fontId="1" fillId="0" borderId="0" xfId="0" applyFont="1" applyAlignment="1">
      <alignment horizontal="center" vertical="center"/>
    </xf>
    <xf numFmtId="0" fontId="1" fillId="0" borderId="9" xfId="1" applyBorder="1" applyAlignment="1">
      <alignment vertical="center" wrapText="1"/>
    </xf>
    <xf numFmtId="0" fontId="6" fillId="0" borderId="9" xfId="0" applyFont="1" applyBorder="1" applyAlignment="1">
      <alignment horizontal="center" vertical="center" wrapText="1"/>
    </xf>
    <xf numFmtId="0" fontId="6" fillId="0" borderId="9" xfId="0" applyFont="1" applyBorder="1" applyAlignment="1">
      <alignment vertical="center" wrapText="1"/>
    </xf>
    <xf numFmtId="0" fontId="59" fillId="0" borderId="156" xfId="0" applyFont="1" applyBorder="1" applyAlignment="1">
      <alignment horizontal="center" vertical="center"/>
    </xf>
    <xf numFmtId="0" fontId="59" fillId="0" borderId="108" xfId="0" applyFont="1" applyBorder="1" applyAlignment="1">
      <alignment horizontal="center" vertical="center"/>
    </xf>
    <xf numFmtId="0" fontId="59" fillId="0" borderId="27" xfId="0" applyFont="1" applyBorder="1" applyAlignment="1">
      <alignment horizontal="center" vertical="center"/>
    </xf>
    <xf numFmtId="0" fontId="59" fillId="0" borderId="109" xfId="0" applyFont="1" applyBorder="1" applyAlignment="1">
      <alignment horizontal="center" vertical="center"/>
    </xf>
    <xf numFmtId="0" fontId="59" fillId="0" borderId="143" xfId="0" applyFont="1" applyBorder="1" applyAlignment="1">
      <alignment horizontal="center" vertical="center"/>
    </xf>
    <xf numFmtId="0" fontId="59" fillId="0" borderId="110" xfId="0" applyFont="1" applyBorder="1" applyAlignment="1">
      <alignment horizontal="center" vertical="center"/>
    </xf>
    <xf numFmtId="1" fontId="6" fillId="0" borderId="2" xfId="7" applyNumberFormat="1" applyFont="1" applyBorder="1" applyAlignment="1">
      <alignment horizontal="center" vertical="center"/>
    </xf>
    <xf numFmtId="0" fontId="10" fillId="0" borderId="2" xfId="3" applyFont="1" applyFill="1" applyBorder="1" applyAlignment="1">
      <alignment horizontal="center" vertical="center" wrapText="1"/>
    </xf>
    <xf numFmtId="0" fontId="12" fillId="0" borderId="0" xfId="0" applyFont="1" applyAlignment="1">
      <alignment horizontal="center" vertical="center" wrapText="1"/>
    </xf>
    <xf numFmtId="0" fontId="8" fillId="0" borderId="0" xfId="5" applyAlignment="1">
      <alignment horizontal="center" vertical="center" wrapText="1"/>
    </xf>
    <xf numFmtId="2" fontId="59" fillId="0" borderId="28" xfId="0" applyNumberFormat="1" applyFont="1" applyBorder="1" applyAlignment="1">
      <alignment horizontal="center" vertical="center"/>
    </xf>
    <xf numFmtId="2" fontId="59" fillId="0" borderId="27" xfId="0" applyNumberFormat="1" applyFont="1" applyBorder="1" applyAlignment="1">
      <alignment horizontal="center" vertical="center"/>
    </xf>
    <xf numFmtId="2" fontId="22" fillId="0" borderId="94" xfId="0" applyNumberFormat="1" applyFont="1" applyBorder="1" applyAlignment="1">
      <alignment horizontal="center" vertical="center"/>
    </xf>
    <xf numFmtId="2" fontId="59" fillId="0" borderId="94" xfId="0" applyNumberFormat="1" applyFont="1" applyBorder="1" applyAlignment="1">
      <alignment horizontal="center" vertical="center"/>
    </xf>
    <xf numFmtId="2" fontId="22" fillId="0" borderId="188" xfId="0" applyNumberFormat="1" applyFont="1" applyBorder="1" applyAlignment="1">
      <alignment horizontal="center" vertical="center"/>
    </xf>
    <xf numFmtId="2" fontId="59" fillId="0" borderId="188" xfId="0" applyNumberFormat="1" applyFont="1" applyBorder="1" applyAlignment="1">
      <alignment horizontal="center" vertical="center"/>
    </xf>
    <xf numFmtId="2" fontId="22" fillId="0" borderId="2" xfId="0" applyNumberFormat="1" applyFont="1" applyBorder="1" applyAlignment="1">
      <alignment horizontal="center" vertical="center"/>
    </xf>
    <xf numFmtId="2" fontId="59" fillId="0" borderId="2" xfId="0" applyNumberFormat="1" applyFont="1" applyBorder="1" applyAlignment="1">
      <alignment horizontal="center" vertical="center"/>
    </xf>
    <xf numFmtId="2" fontId="22" fillId="0" borderId="9" xfId="0" applyNumberFormat="1" applyFont="1" applyBorder="1" applyAlignment="1">
      <alignment horizontal="center" vertical="center"/>
    </xf>
    <xf numFmtId="2" fontId="59" fillId="0" borderId="9" xfId="0" applyNumberFormat="1" applyFont="1" applyBorder="1" applyAlignment="1">
      <alignment horizontal="center" vertical="center"/>
    </xf>
    <xf numFmtId="2" fontId="59" fillId="0" borderId="96" xfId="0" applyNumberFormat="1" applyFont="1" applyBorder="1" applyAlignment="1">
      <alignment horizontal="center" vertical="center"/>
    </xf>
    <xf numFmtId="2" fontId="59" fillId="0" borderId="35" xfId="0" applyNumberFormat="1" applyFont="1" applyBorder="1" applyAlignment="1">
      <alignment horizontal="center" vertical="center"/>
    </xf>
    <xf numFmtId="2" fontId="59" fillId="0" borderId="45" xfId="0" applyNumberFormat="1" applyFont="1" applyBorder="1" applyAlignment="1">
      <alignment horizontal="center" vertical="center"/>
    </xf>
    <xf numFmtId="2" fontId="59" fillId="0" borderId="99" xfId="0" applyNumberFormat="1" applyFont="1" applyBorder="1" applyAlignment="1">
      <alignment horizontal="center" vertical="center"/>
    </xf>
    <xf numFmtId="2" fontId="59" fillId="0" borderId="100" xfId="0" applyNumberFormat="1" applyFont="1" applyBorder="1" applyAlignment="1">
      <alignment horizontal="center" vertical="center"/>
    </xf>
    <xf numFmtId="2" fontId="59" fillId="0" borderId="97" xfId="0" applyNumberFormat="1" applyFont="1" applyBorder="1" applyAlignment="1">
      <alignment horizontal="center" vertical="center"/>
    </xf>
    <xf numFmtId="2" fontId="59" fillId="0" borderId="102" xfId="0" applyNumberFormat="1" applyFont="1" applyBorder="1" applyAlignment="1">
      <alignment horizontal="center" vertical="center"/>
    </xf>
    <xf numFmtId="2" fontId="59" fillId="0" borderId="103" xfId="0" applyNumberFormat="1" applyFont="1" applyBorder="1" applyAlignment="1">
      <alignment horizontal="center" vertical="center"/>
    </xf>
    <xf numFmtId="0" fontId="1" fillId="0" borderId="0" xfId="0" applyFont="1" applyAlignment="1">
      <alignment horizontal="center" vertical="center" wrapText="1"/>
    </xf>
    <xf numFmtId="0" fontId="31" fillId="0" borderId="0" xfId="0" applyFont="1" applyAlignment="1">
      <alignment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29" xfId="0" applyFont="1" applyBorder="1" applyAlignment="1">
      <alignment horizontal="center" vertical="center"/>
    </xf>
    <xf numFmtId="1" fontId="59" fillId="0" borderId="96" xfId="0" applyNumberFormat="1" applyFont="1" applyBorder="1" applyAlignment="1">
      <alignment horizontal="center" vertical="center"/>
    </xf>
    <xf numFmtId="1" fontId="59" fillId="0" borderId="97" xfId="0" applyNumberFormat="1" applyFont="1" applyBorder="1" applyAlignment="1">
      <alignment horizontal="center" vertical="center"/>
    </xf>
    <xf numFmtId="1" fontId="59" fillId="0" borderId="35" xfId="0" applyNumberFormat="1" applyFont="1" applyBorder="1" applyAlignment="1">
      <alignment horizontal="center" vertical="center"/>
    </xf>
    <xf numFmtId="1" fontId="59" fillId="0" borderId="99" xfId="0" applyNumberFormat="1" applyFont="1" applyBorder="1" applyAlignment="1">
      <alignment horizontal="center" vertical="center"/>
    </xf>
    <xf numFmtId="1" fontId="59" fillId="0" borderId="114" xfId="0" applyNumberFormat="1" applyFont="1" applyBorder="1" applyAlignment="1">
      <alignment horizontal="center" vertical="center"/>
    </xf>
    <xf numFmtId="1" fontId="59" fillId="0" borderId="138" xfId="0" applyNumberFormat="1" applyFont="1" applyBorder="1" applyAlignment="1">
      <alignment horizontal="center" vertical="center"/>
    </xf>
    <xf numFmtId="1" fontId="59" fillId="0" borderId="10" xfId="0" applyNumberFormat="1" applyFont="1" applyBorder="1" applyAlignment="1">
      <alignment horizontal="center" vertical="center"/>
    </xf>
    <xf numFmtId="1" fontId="59" fillId="0" borderId="139" xfId="0" applyNumberFormat="1" applyFont="1" applyBorder="1" applyAlignment="1">
      <alignment horizontal="center" vertical="center"/>
    </xf>
    <xf numFmtId="0" fontId="22" fillId="0" borderId="192" xfId="0" applyFont="1" applyBorder="1" applyAlignment="1">
      <alignment horizontal="center" vertical="center"/>
    </xf>
    <xf numFmtId="1" fontId="59" fillId="0" borderId="102" xfId="0" applyNumberFormat="1" applyFont="1" applyBorder="1" applyAlignment="1">
      <alignment horizontal="center" vertical="center"/>
    </xf>
    <xf numFmtId="1" fontId="59" fillId="0" borderId="103" xfId="0" applyNumberFormat="1" applyFont="1" applyBorder="1" applyAlignment="1">
      <alignment horizontal="center" vertical="center"/>
    </xf>
    <xf numFmtId="0" fontId="19" fillId="15" borderId="2" xfId="0" applyFont="1" applyFill="1" applyBorder="1" applyAlignment="1">
      <alignment horizontal="center" vertical="center" wrapText="1"/>
    </xf>
    <xf numFmtId="0" fontId="7" fillId="15" borderId="2" xfId="0" applyFont="1" applyFill="1" applyBorder="1" applyAlignment="1">
      <alignment horizontal="center" vertical="center" wrapText="1"/>
    </xf>
    <xf numFmtId="2" fontId="6" fillId="0" borderId="2" xfId="0" applyNumberFormat="1" applyFont="1" applyBorder="1" applyAlignment="1">
      <alignment horizontal="center" vertical="center" wrapText="1"/>
    </xf>
    <xf numFmtId="10" fontId="6" fillId="0" borderId="182" xfId="2" applyNumberFormat="1" applyFont="1" applyFill="1" applyBorder="1" applyAlignment="1">
      <alignment horizontal="center" vertical="center" wrapText="1"/>
    </xf>
    <xf numFmtId="43" fontId="6" fillId="0" borderId="2" xfId="6" applyFont="1" applyBorder="1" applyAlignment="1">
      <alignment horizontal="center" vertical="center"/>
    </xf>
    <xf numFmtId="0" fontId="6" fillId="0" borderId="0" xfId="56" applyFont="1"/>
    <xf numFmtId="0" fontId="52" fillId="0" borderId="0" xfId="56" applyFont="1" applyAlignment="1">
      <alignment vertical="center" wrapText="1"/>
    </xf>
    <xf numFmtId="0" fontId="52" fillId="0" borderId="0" xfId="56" applyFont="1" applyAlignment="1">
      <alignment vertical="center"/>
    </xf>
    <xf numFmtId="0" fontId="6" fillId="0" borderId="0" xfId="56" applyFont="1" applyAlignment="1">
      <alignment horizontal="left"/>
    </xf>
    <xf numFmtId="0" fontId="60" fillId="0" borderId="0" xfId="56"/>
    <xf numFmtId="0" fontId="8" fillId="0" borderId="0" xfId="5" applyAlignment="1">
      <alignment horizontal="left" vertical="top"/>
    </xf>
    <xf numFmtId="0" fontId="6" fillId="0" borderId="0" xfId="56" applyFont="1" applyAlignment="1">
      <alignment wrapText="1"/>
    </xf>
    <xf numFmtId="0" fontId="19" fillId="11" borderId="23" xfId="0" applyFont="1" applyFill="1" applyBorder="1" applyAlignment="1">
      <alignment horizontal="center" vertical="center" wrapText="1"/>
    </xf>
    <xf numFmtId="0" fontId="23" fillId="5" borderId="0" xfId="0" applyFont="1" applyFill="1"/>
    <xf numFmtId="1" fontId="1" fillId="0" borderId="0" xfId="7" applyNumberFormat="1" applyFont="1" applyAlignment="1">
      <alignment horizontal="center" vertical="center"/>
    </xf>
    <xf numFmtId="0" fontId="61" fillId="0" borderId="193" xfId="0" applyFont="1" applyBorder="1" applyAlignment="1">
      <alignment horizontal="center" vertical="center"/>
    </xf>
    <xf numFmtId="0" fontId="61" fillId="0" borderId="141" xfId="0" applyFont="1" applyBorder="1" applyAlignment="1">
      <alignment horizontal="center" vertical="center"/>
    </xf>
    <xf numFmtId="0" fontId="61" fillId="0" borderId="144" xfId="0" applyFont="1" applyBorder="1" applyAlignment="1">
      <alignment horizontal="center" vertical="center"/>
    </xf>
    <xf numFmtId="0" fontId="61" fillId="0" borderId="140" xfId="0" applyFont="1" applyBorder="1" applyAlignment="1">
      <alignment horizontal="center" vertical="center"/>
    </xf>
    <xf numFmtId="0" fontId="61" fillId="0" borderId="192" xfId="0" applyFont="1" applyBorder="1" applyAlignment="1">
      <alignment horizontal="center" vertical="center"/>
    </xf>
    <xf numFmtId="0" fontId="22" fillId="0" borderId="142" xfId="0" applyFont="1" applyBorder="1" applyAlignment="1">
      <alignment horizontal="center" vertical="center"/>
    </xf>
    <xf numFmtId="165" fontId="59" fillId="0" borderId="87" xfId="0" applyNumberFormat="1" applyFont="1" applyBorder="1" applyAlignment="1">
      <alignment horizontal="center" vertical="center"/>
    </xf>
    <xf numFmtId="165" fontId="59" fillId="0" borderId="27" xfId="0" applyNumberFormat="1" applyFont="1" applyBorder="1" applyAlignment="1">
      <alignment horizontal="center" vertical="center"/>
    </xf>
    <xf numFmtId="165" fontId="59" fillId="0" borderId="189" xfId="0" applyNumberFormat="1" applyFont="1" applyBorder="1" applyAlignment="1">
      <alignment horizontal="center" vertical="center"/>
    </xf>
    <xf numFmtId="165" fontId="59" fillId="0" borderId="153" xfId="0" applyNumberFormat="1" applyFont="1" applyBorder="1" applyAlignment="1">
      <alignment horizontal="center" vertical="center"/>
    </xf>
    <xf numFmtId="0" fontId="59" fillId="0" borderId="28" xfId="0" applyFont="1" applyBorder="1" applyAlignment="1">
      <alignment horizontal="center" vertical="center" wrapText="1"/>
    </xf>
    <xf numFmtId="0" fontId="59" fillId="0" borderId="51" xfId="0" applyFont="1" applyBorder="1" applyAlignment="1">
      <alignment horizontal="center" vertical="center" wrapText="1"/>
    </xf>
    <xf numFmtId="0" fontId="59" fillId="0" borderId="201" xfId="0" applyFont="1" applyBorder="1" applyAlignment="1">
      <alignment horizontal="center" vertical="center" wrapText="1"/>
    </xf>
    <xf numFmtId="0" fontId="59" fillId="0" borderId="190" xfId="0" applyFont="1" applyBorder="1" applyAlignment="1">
      <alignment horizontal="center" vertical="center" wrapText="1"/>
    </xf>
    <xf numFmtId="0" fontId="59" fillId="0" borderId="189" xfId="0" applyFont="1" applyBorder="1" applyAlignment="1">
      <alignment horizontal="center" vertical="center" wrapText="1"/>
    </xf>
    <xf numFmtId="0" fontId="59" fillId="0" borderId="181" xfId="0" applyFont="1" applyBorder="1" applyAlignment="1">
      <alignment horizontal="center" vertical="center" wrapText="1"/>
    </xf>
    <xf numFmtId="0" fontId="59" fillId="0" borderId="121" xfId="0" applyFont="1" applyBorder="1" applyAlignment="1">
      <alignment horizontal="center" vertical="center" wrapText="1"/>
    </xf>
    <xf numFmtId="0" fontId="59" fillId="0" borderId="183" xfId="0" applyFont="1" applyBorder="1" applyAlignment="1">
      <alignment horizontal="center" vertical="center" wrapText="1"/>
    </xf>
    <xf numFmtId="0" fontId="59" fillId="0" borderId="120" xfId="0" applyFont="1" applyBorder="1" applyAlignment="1">
      <alignment horizontal="center" vertical="center" wrapText="1"/>
    </xf>
    <xf numFmtId="1" fontId="22" fillId="0" borderId="154" xfId="0" applyNumberFormat="1" applyFont="1" applyBorder="1" applyAlignment="1">
      <alignment horizontal="center" vertical="center"/>
    </xf>
    <xf numFmtId="1" fontId="22" fillId="0" borderId="155" xfId="0" applyNumberFormat="1" applyFont="1" applyBorder="1" applyAlignment="1">
      <alignment horizontal="center" vertical="center"/>
    </xf>
    <xf numFmtId="1" fontId="22" fillId="0" borderId="55" xfId="0" applyNumberFormat="1" applyFont="1" applyBorder="1" applyAlignment="1">
      <alignment horizontal="center" vertical="center"/>
    </xf>
    <xf numFmtId="1" fontId="22" fillId="0" borderId="150" xfId="0" applyNumberFormat="1" applyFont="1" applyBorder="1" applyAlignment="1">
      <alignment horizontal="center" vertical="center"/>
    </xf>
    <xf numFmtId="1" fontId="59" fillId="0" borderId="80" xfId="0" applyNumberFormat="1" applyFont="1" applyBorder="1" applyAlignment="1">
      <alignment horizontal="center" vertical="center"/>
    </xf>
    <xf numFmtId="1" fontId="59" fillId="0" borderId="45" xfId="0" applyNumberFormat="1" applyFont="1" applyBorder="1" applyAlignment="1">
      <alignment horizontal="center" vertical="center"/>
    </xf>
    <xf numFmtId="1" fontId="22" fillId="0" borderId="46" xfId="0" applyNumberFormat="1" applyFont="1" applyBorder="1" applyAlignment="1">
      <alignment horizontal="center" vertical="center"/>
    </xf>
    <xf numFmtId="1" fontId="22" fillId="0" borderId="206" xfId="0" applyNumberFormat="1" applyFont="1" applyBorder="1" applyAlignment="1">
      <alignment horizontal="center" vertical="center"/>
    </xf>
    <xf numFmtId="0" fontId="22" fillId="0" borderId="146" xfId="0" applyFont="1" applyBorder="1" applyAlignment="1">
      <alignment horizontal="center" vertical="center"/>
    </xf>
    <xf numFmtId="0" fontId="22" fillId="0" borderId="147" xfId="0" applyFont="1" applyBorder="1" applyAlignment="1">
      <alignment horizontal="center" vertical="center"/>
    </xf>
    <xf numFmtId="0" fontId="22" fillId="0" borderId="145" xfId="0" applyFont="1" applyBorder="1" applyAlignment="1">
      <alignment horizontal="center" vertical="center"/>
    </xf>
    <xf numFmtId="0" fontId="22" fillId="0" borderId="34" xfId="0" applyFont="1" applyBorder="1" applyAlignment="1">
      <alignment horizontal="center" vertical="center"/>
    </xf>
    <xf numFmtId="165" fontId="59" fillId="0" borderId="80" xfId="0" applyNumberFormat="1" applyFont="1" applyBorder="1" applyAlignment="1">
      <alignment horizontal="center" vertical="center"/>
    </xf>
    <xf numFmtId="165" fontId="59" fillId="0" borderId="133" xfId="0" applyNumberFormat="1" applyFont="1" applyBorder="1" applyAlignment="1">
      <alignment horizontal="center" vertical="center"/>
    </xf>
    <xf numFmtId="165" fontId="59" fillId="0" borderId="129" xfId="0" applyNumberFormat="1" applyFont="1" applyBorder="1" applyAlignment="1">
      <alignment horizontal="center" vertical="center"/>
    </xf>
    <xf numFmtId="165" fontId="59" fillId="0" borderId="149" xfId="0" applyNumberFormat="1" applyFont="1" applyBorder="1" applyAlignment="1">
      <alignment horizontal="center" vertical="center"/>
    </xf>
    <xf numFmtId="165" fontId="59" fillId="0" borderId="96" xfId="0" applyNumberFormat="1" applyFont="1" applyBorder="1" applyAlignment="1">
      <alignment horizontal="center" vertical="center"/>
    </xf>
    <xf numFmtId="165" fontId="59" fillId="0" borderId="97" xfId="0" applyNumberFormat="1" applyFont="1" applyBorder="1" applyAlignment="1">
      <alignment horizontal="center" vertical="center"/>
    </xf>
    <xf numFmtId="0" fontId="22" fillId="0" borderId="200" xfId="0" applyFont="1" applyBorder="1" applyAlignment="1">
      <alignment horizontal="center" vertical="center"/>
    </xf>
    <xf numFmtId="0" fontId="62" fillId="0" borderId="0" xfId="5" applyFont="1" applyAlignment="1">
      <alignment horizontal="left"/>
    </xf>
    <xf numFmtId="0" fontId="19" fillId="59" borderId="117" xfId="0" applyFont="1" applyFill="1" applyBorder="1" applyAlignment="1">
      <alignment horizontal="center" vertical="center" wrapText="1"/>
    </xf>
    <xf numFmtId="0" fontId="7" fillId="0" borderId="14" xfId="0" applyFont="1" applyBorder="1" applyAlignment="1">
      <alignment vertical="center"/>
    </xf>
    <xf numFmtId="0" fontId="13" fillId="0" borderId="0" xfId="0" applyFont="1" applyAlignment="1">
      <alignment horizontal="center" vertical="center"/>
    </xf>
    <xf numFmtId="0" fontId="19" fillId="59" borderId="169" xfId="0" applyFont="1" applyFill="1" applyBorder="1" applyAlignment="1">
      <alignment horizontal="center" vertical="center" wrapText="1"/>
    </xf>
    <xf numFmtId="0" fontId="6" fillId="0" borderId="119" xfId="0" applyFont="1" applyBorder="1"/>
    <xf numFmtId="0" fontId="15" fillId="0" borderId="120" xfId="0" applyFont="1" applyBorder="1"/>
    <xf numFmtId="0" fontId="6" fillId="0" borderId="157" xfId="0" applyFont="1" applyBorder="1" applyAlignment="1">
      <alignment horizontal="center" vertical="center" wrapText="1"/>
    </xf>
    <xf numFmtId="0" fontId="63" fillId="11" borderId="158" xfId="0" applyFont="1" applyFill="1" applyBorder="1" applyAlignment="1">
      <alignment horizontal="center" vertical="center" wrapText="1"/>
    </xf>
    <xf numFmtId="0" fontId="63" fillId="11" borderId="145" xfId="0" applyFont="1" applyFill="1" applyBorder="1" applyAlignment="1">
      <alignment horizontal="center" vertical="center" wrapText="1"/>
    </xf>
    <xf numFmtId="0" fontId="63" fillId="11" borderId="174" xfId="0" applyFont="1" applyFill="1" applyBorder="1" applyAlignment="1">
      <alignment horizontal="center" vertical="center" wrapText="1"/>
    </xf>
    <xf numFmtId="0" fontId="63" fillId="0" borderId="180" xfId="0" applyFont="1" applyBorder="1" applyAlignment="1">
      <alignment horizontal="center" vertical="center" wrapText="1"/>
    </xf>
    <xf numFmtId="1" fontId="63" fillId="0" borderId="115" xfId="0" applyNumberFormat="1" applyFont="1" applyBorder="1" applyAlignment="1">
      <alignment horizontal="center" vertical="center" wrapText="1"/>
    </xf>
    <xf numFmtId="0" fontId="63" fillId="0" borderId="115" xfId="0" applyFont="1" applyBorder="1" applyAlignment="1">
      <alignment horizontal="center" vertical="center" wrapText="1"/>
    </xf>
    <xf numFmtId="0" fontId="63" fillId="0" borderId="181" xfId="0" applyFont="1" applyBorder="1" applyAlignment="1">
      <alignment horizontal="center" vertical="center" wrapText="1"/>
    </xf>
    <xf numFmtId="0" fontId="63" fillId="11" borderId="175" xfId="0" applyFont="1" applyFill="1" applyBorder="1" applyAlignment="1">
      <alignment horizontal="center" vertical="center" wrapText="1"/>
    </xf>
    <xf numFmtId="0" fontId="63" fillId="11" borderId="117" xfId="0" applyFont="1" applyFill="1" applyBorder="1" applyAlignment="1">
      <alignment horizontal="center" vertical="center" wrapText="1"/>
    </xf>
    <xf numFmtId="0" fontId="63" fillId="11" borderId="176" xfId="0" applyFont="1" applyFill="1" applyBorder="1" applyAlignment="1">
      <alignment horizontal="center" vertical="center" wrapText="1"/>
    </xf>
    <xf numFmtId="0" fontId="63" fillId="0" borderId="177" xfId="0" applyFont="1" applyBorder="1" applyAlignment="1">
      <alignment horizontal="center" vertical="center" wrapText="1"/>
    </xf>
    <xf numFmtId="1" fontId="63" fillId="0" borderId="178" xfId="0" applyNumberFormat="1" applyFont="1" applyBorder="1" applyAlignment="1">
      <alignment horizontal="center" vertical="center" wrapText="1"/>
    </xf>
    <xf numFmtId="0" fontId="63" fillId="0" borderId="178" xfId="0" applyFont="1" applyBorder="1" applyAlignment="1">
      <alignment horizontal="center" vertical="center" wrapText="1"/>
    </xf>
    <xf numFmtId="0" fontId="63" fillId="0" borderId="179" xfId="0" applyFont="1" applyBorder="1" applyAlignment="1">
      <alignment horizontal="center" vertical="center" wrapText="1"/>
    </xf>
    <xf numFmtId="0" fontId="30" fillId="0" borderId="0" xfId="0" applyFont="1" applyAlignment="1">
      <alignment horizontal="center" vertical="center" wrapText="1"/>
    </xf>
    <xf numFmtId="166" fontId="6" fillId="0" borderId="0" xfId="0" applyNumberFormat="1" applyFont="1" applyAlignment="1">
      <alignment horizontal="center" vertical="center" wrapText="1"/>
    </xf>
    <xf numFmtId="167" fontId="6" fillId="0" borderId="0" xfId="6" applyNumberFormat="1" applyFont="1" applyAlignment="1">
      <alignment horizontal="center" vertical="center"/>
    </xf>
    <xf numFmtId="165" fontId="6" fillId="0" borderId="0" xfId="0" applyNumberFormat="1" applyFont="1" applyAlignment="1">
      <alignment vertical="center"/>
    </xf>
    <xf numFmtId="0" fontId="6" fillId="0" borderId="208" xfId="0" applyFont="1" applyBorder="1" applyAlignment="1">
      <alignment horizontal="center" vertical="center" wrapText="1"/>
    </xf>
    <xf numFmtId="0" fontId="6" fillId="0" borderId="209" xfId="0" applyFont="1" applyBorder="1" applyAlignment="1">
      <alignment horizontal="center" vertical="center" wrapText="1"/>
    </xf>
    <xf numFmtId="0" fontId="6" fillId="0" borderId="210" xfId="0" applyFont="1" applyBorder="1"/>
    <xf numFmtId="0" fontId="63" fillId="11" borderId="185" xfId="0" applyFont="1" applyFill="1" applyBorder="1" applyAlignment="1">
      <alignment horizontal="center" vertical="center" wrapText="1"/>
    </xf>
    <xf numFmtId="0" fontId="63" fillId="11" borderId="178" xfId="0" applyFont="1" applyFill="1" applyBorder="1" applyAlignment="1">
      <alignment horizontal="center" vertical="center" wrapText="1"/>
    </xf>
    <xf numFmtId="0" fontId="63" fillId="11" borderId="186" xfId="0" applyFont="1" applyFill="1" applyBorder="1" applyAlignment="1">
      <alignment horizontal="center" vertical="center" wrapText="1"/>
    </xf>
    <xf numFmtId="0" fontId="6" fillId="0" borderId="109" xfId="0" applyFont="1" applyBorder="1" applyAlignment="1">
      <alignment vertical="center" wrapText="1"/>
    </xf>
    <xf numFmtId="0" fontId="6" fillId="0" borderId="110" xfId="0" applyFont="1" applyBorder="1" applyAlignment="1">
      <alignment vertical="center" wrapText="1"/>
    </xf>
    <xf numFmtId="0" fontId="7" fillId="11" borderId="16" xfId="0" applyFont="1" applyFill="1" applyBorder="1" applyAlignment="1">
      <alignment horizontal="center" vertical="center" wrapText="1"/>
    </xf>
    <xf numFmtId="0" fontId="7" fillId="11" borderId="17" xfId="0" applyFont="1" applyFill="1" applyBorder="1" applyAlignment="1">
      <alignment horizontal="center" vertical="center" wrapText="1"/>
    </xf>
    <xf numFmtId="164" fontId="7" fillId="0" borderId="0" xfId="0" applyNumberFormat="1" applyFont="1"/>
    <xf numFmtId="3" fontId="6" fillId="0" borderId="0" xfId="0" applyNumberFormat="1" applyFont="1" applyAlignment="1">
      <alignment horizontal="center" vertical="top" wrapText="1"/>
    </xf>
    <xf numFmtId="0" fontId="65" fillId="0" borderId="0" xfId="5" applyFont="1" applyAlignment="1"/>
    <xf numFmtId="0" fontId="30" fillId="12" borderId="12" xfId="56" applyFont="1" applyFill="1" applyBorder="1" applyAlignment="1">
      <alignment horizontal="left" vertical="center"/>
    </xf>
    <xf numFmtId="0" fontId="30" fillId="12" borderId="15" xfId="56" applyFont="1" applyFill="1" applyBorder="1" applyAlignment="1">
      <alignment horizontal="left" vertical="center"/>
    </xf>
    <xf numFmtId="0" fontId="67" fillId="0" borderId="0" xfId="0" applyFont="1"/>
    <xf numFmtId="0" fontId="68" fillId="0" borderId="0" xfId="0" applyFont="1"/>
    <xf numFmtId="0" fontId="67" fillId="0" borderId="0" xfId="5" applyFont="1" applyAlignment="1">
      <alignment vertical="center"/>
    </xf>
    <xf numFmtId="0" fontId="1" fillId="5" borderId="0" xfId="0" applyFont="1" applyFill="1" applyAlignment="1">
      <alignment vertical="center"/>
    </xf>
    <xf numFmtId="0" fontId="6" fillId="0" borderId="0" xfId="56" applyFont="1" applyAlignment="1">
      <alignment horizontal="left" vertical="center"/>
    </xf>
    <xf numFmtId="0" fontId="60" fillId="0" borderId="0" xfId="56" applyAlignment="1">
      <alignment horizontal="left" vertical="center"/>
    </xf>
    <xf numFmtId="0" fontId="32" fillId="47" borderId="182" xfId="0" applyFont="1" applyFill="1" applyBorder="1" applyAlignment="1">
      <alignment horizontal="left" vertical="center"/>
    </xf>
    <xf numFmtId="0" fontId="22" fillId="0" borderId="12" xfId="0" applyFont="1" applyBorder="1" applyAlignment="1">
      <alignment horizontal="center" vertical="center"/>
    </xf>
    <xf numFmtId="2" fontId="59" fillId="0" borderId="87" xfId="0" applyNumberFormat="1" applyFont="1" applyBorder="1" applyAlignment="1">
      <alignment horizontal="center" vertical="center"/>
    </xf>
    <xf numFmtId="2" fontId="59" fillId="0" borderId="153" xfId="0" applyNumberFormat="1" applyFont="1" applyBorder="1" applyAlignment="1">
      <alignment horizontal="center" vertical="center"/>
    </xf>
    <xf numFmtId="2" fontId="59" fillId="0" borderId="109" xfId="0" applyNumberFormat="1" applyFont="1" applyBorder="1" applyAlignment="1">
      <alignment horizontal="center" vertical="center"/>
    </xf>
    <xf numFmtId="2" fontId="59" fillId="0" borderId="129" xfId="0" applyNumberFormat="1" applyFont="1" applyBorder="1" applyAlignment="1">
      <alignment horizontal="center" vertical="center"/>
    </xf>
    <xf numFmtId="2" fontId="59" fillId="0" borderId="149" xfId="0" applyNumberFormat="1" applyFont="1" applyBorder="1" applyAlignment="1">
      <alignment horizontal="center" vertical="center"/>
    </xf>
    <xf numFmtId="0" fontId="59" fillId="0" borderId="19" xfId="0" applyFont="1" applyBorder="1" applyAlignment="1">
      <alignment horizontal="center" vertical="center"/>
    </xf>
    <xf numFmtId="0" fontId="59" fillId="0" borderId="8" xfId="0" applyFont="1" applyBorder="1" applyAlignment="1">
      <alignment horizontal="center" vertical="center"/>
    </xf>
    <xf numFmtId="0" fontId="59" fillId="0" borderId="12" xfId="0" applyFont="1" applyBorder="1" applyAlignment="1">
      <alignment horizontal="center" vertical="center"/>
    </xf>
    <xf numFmtId="0" fontId="59" fillId="0" borderId="86" xfId="0" applyFont="1" applyBorder="1" applyAlignment="1">
      <alignment horizontal="center" vertical="center"/>
    </xf>
    <xf numFmtId="0" fontId="59" fillId="0" borderId="56" xfId="0" applyFont="1" applyBorder="1" applyAlignment="1">
      <alignment horizontal="center" vertical="center"/>
    </xf>
    <xf numFmtId="0" fontId="59" fillId="0" borderId="47" xfId="0" applyFont="1" applyBorder="1" applyAlignment="1">
      <alignment horizontal="center" vertical="center"/>
    </xf>
    <xf numFmtId="0" fontId="59" fillId="0" borderId="151" xfId="0" applyFont="1" applyBorder="1" applyAlignment="1">
      <alignment horizontal="center" vertical="center"/>
    </xf>
    <xf numFmtId="2" fontId="59" fillId="0" borderId="235" xfId="0" applyNumberFormat="1" applyFont="1" applyBorder="1" applyAlignment="1">
      <alignment horizontal="center" vertical="center"/>
    </xf>
    <xf numFmtId="0" fontId="59" fillId="0" borderId="152" xfId="0" applyFont="1" applyBorder="1" applyAlignment="1">
      <alignment horizontal="center" vertical="center"/>
    </xf>
    <xf numFmtId="0" fontId="59" fillId="0" borderId="90" xfId="0" applyFont="1" applyBorder="1" applyAlignment="1">
      <alignment horizontal="center" vertical="center"/>
    </xf>
    <xf numFmtId="0" fontId="59" fillId="0" borderId="223" xfId="0" applyFont="1" applyBorder="1" applyAlignment="1">
      <alignment horizontal="center" vertical="center"/>
    </xf>
    <xf numFmtId="0" fontId="59" fillId="0" borderId="227" xfId="0" applyFont="1" applyBorder="1" applyAlignment="1">
      <alignment horizontal="center" vertical="center"/>
    </xf>
    <xf numFmtId="0" fontId="59" fillId="0" borderId="229" xfId="0" applyFont="1" applyBorder="1" applyAlignment="1">
      <alignment horizontal="center" vertical="center"/>
    </xf>
    <xf numFmtId="0" fontId="59" fillId="0" borderId="230" xfId="0" applyFont="1" applyBorder="1" applyAlignment="1">
      <alignment horizontal="center" vertical="center"/>
    </xf>
    <xf numFmtId="0" fontId="59" fillId="0" borderId="165" xfId="0" applyFont="1" applyBorder="1" applyAlignment="1">
      <alignment horizontal="center" vertical="center"/>
    </xf>
    <xf numFmtId="0" fontId="59" fillId="0" borderId="167" xfId="0" applyFont="1" applyBorder="1" applyAlignment="1">
      <alignment horizontal="center" vertical="center"/>
    </xf>
    <xf numFmtId="165" fontId="59" fillId="0" borderId="228" xfId="0" applyNumberFormat="1" applyFont="1" applyBorder="1" applyAlignment="1">
      <alignment horizontal="center" vertical="center"/>
    </xf>
    <xf numFmtId="165" fontId="59" fillId="0" borderId="238" xfId="0" applyNumberFormat="1" applyFont="1" applyBorder="1" applyAlignment="1">
      <alignment horizontal="center" vertical="center"/>
    </xf>
    <xf numFmtId="0" fontId="22" fillId="0" borderId="201" xfId="0" applyFont="1" applyBorder="1" applyAlignment="1">
      <alignment horizontal="center" vertical="center"/>
    </xf>
    <xf numFmtId="2" fontId="22" fillId="0" borderId="156" xfId="0" applyNumberFormat="1" applyFont="1" applyBorder="1" applyAlignment="1">
      <alignment horizontal="center" vertical="center"/>
    </xf>
    <xf numFmtId="2" fontId="59" fillId="0" borderId="156" xfId="0" applyNumberFormat="1" applyFont="1" applyBorder="1" applyAlignment="1">
      <alignment horizontal="center" vertical="center"/>
    </xf>
    <xf numFmtId="2" fontId="59" fillId="0" borderId="108" xfId="0" applyNumberFormat="1" applyFont="1" applyBorder="1" applyAlignment="1">
      <alignment horizontal="center" vertical="center"/>
    </xf>
    <xf numFmtId="2" fontId="59" fillId="0" borderId="116" xfId="0" applyNumberFormat="1" applyFont="1" applyBorder="1" applyAlignment="1">
      <alignment horizontal="center" vertical="center"/>
    </xf>
    <xf numFmtId="2" fontId="59" fillId="0" borderId="113" xfId="0" applyNumberFormat="1" applyFont="1" applyBorder="1" applyAlignment="1">
      <alignment horizontal="center" vertical="center"/>
    </xf>
    <xf numFmtId="2" fontId="59" fillId="0" borderId="241" xfId="0" applyNumberFormat="1" applyFont="1" applyBorder="1" applyAlignment="1">
      <alignment horizontal="center" vertical="center"/>
    </xf>
    <xf numFmtId="0" fontId="59" fillId="0" borderId="94" xfId="0" applyFont="1" applyBorder="1" applyAlignment="1">
      <alignment horizontal="center" vertical="center"/>
    </xf>
    <xf numFmtId="0" fontId="59" fillId="0" borderId="113" xfId="0" applyFont="1" applyBorder="1" applyAlignment="1">
      <alignment horizontal="center" vertical="center"/>
    </xf>
    <xf numFmtId="2" fontId="22" fillId="0" borderId="80" xfId="0" applyNumberFormat="1" applyFont="1" applyBorder="1" applyAlignment="1">
      <alignment horizontal="center" vertical="center"/>
    </xf>
    <xf numFmtId="0" fontId="22" fillId="0" borderId="242" xfId="0" applyFont="1" applyBorder="1" applyAlignment="1">
      <alignment horizontal="center" vertical="center"/>
    </xf>
    <xf numFmtId="2" fontId="59" fillId="0" borderId="139" xfId="0" applyNumberFormat="1" applyFont="1" applyBorder="1" applyAlignment="1">
      <alignment horizontal="center" vertical="center"/>
    </xf>
    <xf numFmtId="2" fontId="22" fillId="0" borderId="133" xfId="0" applyNumberFormat="1" applyFont="1" applyBorder="1" applyAlignment="1">
      <alignment horizontal="center" vertical="center"/>
    </xf>
    <xf numFmtId="0" fontId="59" fillId="0" borderId="243" xfId="0" applyFont="1" applyBorder="1" applyAlignment="1">
      <alignment horizontal="center" vertical="center"/>
    </xf>
    <xf numFmtId="1" fontId="59" fillId="0" borderId="211" xfId="0" applyNumberFormat="1" applyFont="1" applyBorder="1" applyAlignment="1">
      <alignment horizontal="center" vertical="center"/>
    </xf>
    <xf numFmtId="1" fontId="59" fillId="0" borderId="237" xfId="0" applyNumberFormat="1" applyFont="1" applyBorder="1" applyAlignment="1">
      <alignment horizontal="center" vertical="center"/>
    </xf>
    <xf numFmtId="0" fontId="59" fillId="0" borderId="245" xfId="0" applyFont="1" applyBorder="1" applyAlignment="1">
      <alignment horizontal="center" vertical="center"/>
    </xf>
    <xf numFmtId="1" fontId="59" fillId="0" borderId="133" xfId="0" applyNumberFormat="1" applyFont="1" applyBorder="1" applyAlignment="1">
      <alignment horizontal="center" vertical="center"/>
    </xf>
    <xf numFmtId="0" fontId="59" fillId="0" borderId="54" xfId="0" applyFont="1" applyBorder="1" applyAlignment="1">
      <alignment horizontal="center" vertical="center"/>
    </xf>
    <xf numFmtId="0" fontId="59" fillId="0" borderId="52" xfId="0" applyFont="1" applyBorder="1" applyAlignment="1">
      <alignment horizontal="center" vertical="center"/>
    </xf>
    <xf numFmtId="0" fontId="59" fillId="0" borderId="242" xfId="0" applyFont="1" applyBorder="1" applyAlignment="1">
      <alignment horizontal="center" vertical="center"/>
    </xf>
    <xf numFmtId="0" fontId="59" fillId="0" borderId="134" xfId="0" applyFont="1" applyBorder="1" applyAlignment="1">
      <alignment horizontal="center" vertical="center"/>
    </xf>
    <xf numFmtId="0" fontId="59" fillId="0" borderId="141" xfId="0" applyFont="1" applyBorder="1" applyAlignment="1">
      <alignment horizontal="center" vertical="center"/>
    </xf>
    <xf numFmtId="0" fontId="59" fillId="0" borderId="136" xfId="0" applyFont="1" applyBorder="1" applyAlignment="1">
      <alignment horizontal="center" vertical="center"/>
    </xf>
    <xf numFmtId="0" fontId="16" fillId="0" borderId="0" xfId="5" applyFont="1" applyAlignment="1">
      <alignment horizontal="left" vertical="center"/>
    </xf>
    <xf numFmtId="0" fontId="7" fillId="15" borderId="45" xfId="0" applyFont="1" applyFill="1" applyBorder="1" applyAlignment="1">
      <alignment horizontal="center" vertical="center" wrapText="1"/>
    </xf>
    <xf numFmtId="0" fontId="6" fillId="0" borderId="2" xfId="0" applyFont="1" applyBorder="1" applyAlignment="1">
      <alignment horizontal="center" vertical="center"/>
    </xf>
    <xf numFmtId="0" fontId="30" fillId="0" borderId="0" xfId="0" applyFont="1" applyAlignment="1">
      <alignment horizontal="left" vertical="center" wrapText="1"/>
    </xf>
    <xf numFmtId="0" fontId="65" fillId="0" borderId="0" xfId="5" applyFont="1" applyFill="1" applyBorder="1" applyAlignment="1">
      <alignment horizontal="center" vertical="center" wrapText="1"/>
    </xf>
    <xf numFmtId="0" fontId="6" fillId="0" borderId="20" xfId="0" applyFont="1" applyBorder="1" applyAlignment="1">
      <alignment horizontal="center" vertical="center"/>
    </xf>
    <xf numFmtId="0" fontId="6" fillId="0" borderId="20" xfId="0" applyFont="1" applyBorder="1" applyAlignment="1">
      <alignment horizontal="center" vertical="center" wrapText="1"/>
    </xf>
    <xf numFmtId="0" fontId="6" fillId="0" borderId="8" xfId="0" applyFont="1" applyBorder="1" applyAlignment="1">
      <alignment horizontal="left" vertical="center" wrapText="1"/>
    </xf>
    <xf numFmtId="0" fontId="6" fillId="0" borderId="76" xfId="0" applyFont="1" applyBorder="1" applyAlignment="1">
      <alignment horizontal="left" vertical="center"/>
    </xf>
    <xf numFmtId="3" fontId="6" fillId="0" borderId="75" xfId="7" applyNumberFormat="1" applyFont="1" applyBorder="1" applyAlignment="1">
      <alignment horizontal="center" vertical="center"/>
    </xf>
    <xf numFmtId="166" fontId="6" fillId="0" borderId="35" xfId="0" applyNumberFormat="1" applyFont="1" applyBorder="1" applyAlignment="1">
      <alignment horizontal="center" vertical="center"/>
    </xf>
    <xf numFmtId="0" fontId="6" fillId="0" borderId="35" xfId="0" applyFont="1" applyBorder="1" applyAlignment="1">
      <alignment horizontal="center" vertical="center"/>
    </xf>
    <xf numFmtId="0" fontId="6" fillId="12" borderId="35" xfId="0" applyFont="1" applyFill="1" applyBorder="1" applyAlignment="1">
      <alignment horizontal="center" vertical="center"/>
    </xf>
    <xf numFmtId="0" fontId="6" fillId="12" borderId="35" xfId="0" applyFont="1" applyFill="1" applyBorder="1" applyAlignment="1">
      <alignment horizontal="center" vertical="center" wrapText="1"/>
    </xf>
    <xf numFmtId="166" fontId="6" fillId="12" borderId="35" xfId="0" applyNumberFormat="1" applyFont="1" applyFill="1" applyBorder="1" applyAlignment="1">
      <alignment horizontal="center" vertical="center"/>
    </xf>
    <xf numFmtId="0" fontId="6" fillId="6" borderId="35" xfId="0" applyFont="1" applyFill="1" applyBorder="1" applyAlignment="1">
      <alignment horizontal="center" vertical="center"/>
    </xf>
    <xf numFmtId="0" fontId="6" fillId="70" borderId="35" xfId="0" applyFont="1" applyFill="1" applyBorder="1" applyAlignment="1">
      <alignment horizontal="center" vertical="center"/>
    </xf>
    <xf numFmtId="166" fontId="6" fillId="70" borderId="35" xfId="0" applyNumberFormat="1" applyFont="1" applyFill="1" applyBorder="1" applyAlignment="1">
      <alignment horizontal="center" vertical="center"/>
    </xf>
    <xf numFmtId="166" fontId="6" fillId="3" borderId="35" xfId="0" applyNumberFormat="1" applyFont="1" applyFill="1" applyBorder="1" applyAlignment="1">
      <alignment horizontal="center" vertical="center"/>
    </xf>
    <xf numFmtId="166" fontId="6" fillId="6" borderId="35" xfId="0" applyNumberFormat="1" applyFont="1" applyFill="1" applyBorder="1" applyAlignment="1">
      <alignment horizontal="center" vertical="center"/>
    </xf>
    <xf numFmtId="0" fontId="6" fillId="3" borderId="35" xfId="0" applyFont="1" applyFill="1" applyBorder="1" applyAlignment="1">
      <alignment horizontal="center" vertical="center"/>
    </xf>
    <xf numFmtId="2" fontId="6" fillId="12" borderId="35" xfId="0" applyNumberFormat="1" applyFont="1" applyFill="1" applyBorder="1" applyAlignment="1">
      <alignment horizontal="center" vertical="center"/>
    </xf>
    <xf numFmtId="0" fontId="6" fillId="5" borderId="35" xfId="0" applyFont="1" applyFill="1" applyBorder="1" applyAlignment="1">
      <alignment horizontal="center" vertical="center"/>
    </xf>
    <xf numFmtId="0" fontId="6" fillId="71" borderId="35" xfId="0" applyFont="1" applyFill="1" applyBorder="1" applyAlignment="1">
      <alignment horizontal="center" vertical="center"/>
    </xf>
    <xf numFmtId="0" fontId="1" fillId="71" borderId="35" xfId="0" applyFont="1" applyFill="1" applyBorder="1" applyAlignment="1">
      <alignment horizontal="center" vertical="center"/>
    </xf>
    <xf numFmtId="166" fontId="1" fillId="71" borderId="35" xfId="0" applyNumberFormat="1" applyFont="1" applyFill="1" applyBorder="1" applyAlignment="1">
      <alignment horizontal="center" vertical="center"/>
    </xf>
    <xf numFmtId="0" fontId="6" fillId="0" borderId="0" xfId="0" applyFont="1" applyAlignment="1">
      <alignment vertical="center" wrapText="1"/>
    </xf>
    <xf numFmtId="0" fontId="6" fillId="0" borderId="0" xfId="0" applyFont="1" applyAlignment="1">
      <alignment vertical="center"/>
    </xf>
    <xf numFmtId="0" fontId="6" fillId="0" borderId="0" xfId="0" applyFont="1" applyAlignment="1">
      <alignment horizontal="left"/>
    </xf>
    <xf numFmtId="0" fontId="6" fillId="0" borderId="0" xfId="0" applyFont="1" applyAlignment="1">
      <alignment horizontal="left" vertical="top" wrapText="1"/>
    </xf>
    <xf numFmtId="0" fontId="6" fillId="0" borderId="0" xfId="0" applyFont="1" applyAlignment="1">
      <alignment horizontal="center"/>
    </xf>
    <xf numFmtId="0" fontId="6" fillId="0" borderId="27" xfId="0" applyFont="1" applyBorder="1" applyAlignment="1">
      <alignment horizontal="center" vertical="center" wrapText="1"/>
    </xf>
    <xf numFmtId="0" fontId="6" fillId="0" borderId="27" xfId="0" applyFont="1" applyBorder="1" applyAlignment="1">
      <alignment horizontal="center" vertical="center"/>
    </xf>
    <xf numFmtId="0" fontId="6" fillId="0" borderId="2" xfId="0" applyFont="1" applyBorder="1" applyAlignment="1">
      <alignment horizontal="center" vertical="center" wrapText="1"/>
    </xf>
    <xf numFmtId="0" fontId="6" fillId="0" borderId="210" xfId="0" applyFont="1" applyBorder="1" applyAlignment="1">
      <alignment horizontal="center" vertical="center" wrapText="1"/>
    </xf>
    <xf numFmtId="0" fontId="7" fillId="11" borderId="118" xfId="0" applyFont="1" applyFill="1" applyBorder="1" applyAlignment="1">
      <alignment horizontal="center" vertical="center" wrapText="1"/>
    </xf>
    <xf numFmtId="0" fontId="7" fillId="11" borderId="2" xfId="0" applyFont="1" applyFill="1" applyBorder="1" applyAlignment="1">
      <alignment horizontal="center" vertical="center" wrapText="1"/>
    </xf>
    <xf numFmtId="0" fontId="59" fillId="0" borderId="109" xfId="0" applyFont="1" applyBorder="1" applyAlignment="1">
      <alignment horizontal="center" vertical="center" wrapText="1"/>
    </xf>
    <xf numFmtId="0" fontId="59" fillId="0" borderId="156" xfId="0" applyFont="1" applyBorder="1" applyAlignment="1">
      <alignment horizontal="center" vertical="center" wrapText="1"/>
    </xf>
    <xf numFmtId="0" fontId="59" fillId="0" borderId="27" xfId="0" applyFont="1" applyBorder="1" applyAlignment="1">
      <alignment horizontal="center" vertical="center" wrapText="1"/>
    </xf>
    <xf numFmtId="0" fontId="7" fillId="11" borderId="0" xfId="0" applyFont="1" applyFill="1" applyAlignment="1">
      <alignment horizontal="center" vertical="center"/>
    </xf>
    <xf numFmtId="0" fontId="59" fillId="0" borderId="173" xfId="0" applyFont="1" applyBorder="1" applyAlignment="1">
      <alignment horizontal="center" vertical="center" wrapText="1"/>
    </xf>
    <xf numFmtId="0" fontId="59" fillId="0" borderId="202" xfId="0" applyFont="1" applyBorder="1" applyAlignment="1">
      <alignment horizontal="center" vertical="center" wrapText="1"/>
    </xf>
    <xf numFmtId="0" fontId="19" fillId="11" borderId="2" xfId="0" applyFont="1" applyFill="1" applyBorder="1" applyAlignment="1">
      <alignment horizontal="center" vertical="center" wrapText="1"/>
    </xf>
    <xf numFmtId="0" fontId="7" fillId="11" borderId="2" xfId="0" applyFont="1" applyFill="1" applyBorder="1" applyAlignment="1">
      <alignment horizontal="center" vertical="center"/>
    </xf>
    <xf numFmtId="0" fontId="7" fillId="11" borderId="9" xfId="0" applyFont="1" applyFill="1" applyBorder="1" applyAlignment="1">
      <alignment horizontal="center" vertical="center"/>
    </xf>
    <xf numFmtId="0" fontId="7" fillId="11" borderId="10" xfId="0" applyFont="1" applyFill="1" applyBorder="1" applyAlignment="1">
      <alignment horizontal="center" vertical="center"/>
    </xf>
    <xf numFmtId="0" fontId="22" fillId="0" borderId="0" xfId="0" applyFont="1" applyAlignment="1">
      <alignment horizontal="center" vertical="center" wrapText="1"/>
    </xf>
    <xf numFmtId="9" fontId="6" fillId="0" borderId="22" xfId="2" applyFont="1" applyFill="1" applyBorder="1" applyAlignment="1">
      <alignment horizontal="center" vertical="center"/>
    </xf>
    <xf numFmtId="0" fontId="6" fillId="0" borderId="0" xfId="0" applyFont="1" applyAlignment="1">
      <alignment horizontal="center" vertical="center"/>
    </xf>
    <xf numFmtId="0" fontId="23" fillId="11" borderId="2" xfId="0" applyFont="1" applyFill="1" applyBorder="1" applyAlignment="1">
      <alignment horizontal="center" vertical="center"/>
    </xf>
    <xf numFmtId="0" fontId="21" fillId="0" borderId="0" xfId="0" applyFont="1"/>
    <xf numFmtId="0" fontId="21" fillId="0" borderId="0" xfId="0" applyFont="1" applyAlignment="1">
      <alignment horizontal="center"/>
    </xf>
    <xf numFmtId="0" fontId="21" fillId="0" borderId="0" xfId="0" applyFont="1" applyAlignment="1">
      <alignment wrapText="1"/>
    </xf>
    <xf numFmtId="0" fontId="21" fillId="0" borderId="0" xfId="0" applyFont="1" applyAlignment="1">
      <alignment vertical="center"/>
    </xf>
    <xf numFmtId="0" fontId="21" fillId="0" borderId="2" xfId="0" applyFont="1" applyBorder="1" applyAlignment="1">
      <alignment vertical="center"/>
    </xf>
    <xf numFmtId="0" fontId="21" fillId="0" borderId="2" xfId="0" applyFont="1" applyBorder="1" applyAlignment="1">
      <alignment horizontal="center" vertical="center"/>
    </xf>
    <xf numFmtId="0" fontId="14" fillId="0" borderId="0" xfId="0" applyFont="1" applyAlignment="1">
      <alignment horizontal="center" vertical="center" wrapText="1"/>
    </xf>
    <xf numFmtId="0" fontId="21" fillId="0" borderId="2" xfId="0" applyFont="1" applyBorder="1" applyAlignment="1">
      <alignment vertical="center" wrapText="1"/>
    </xf>
    <xf numFmtId="0" fontId="21" fillId="0" borderId="27" xfId="1" applyFont="1" applyBorder="1" applyAlignment="1">
      <alignment vertical="center" wrapText="1"/>
    </xf>
    <xf numFmtId="10" fontId="21" fillId="0" borderId="27" xfId="0" applyNumberFormat="1" applyFont="1" applyBorder="1" applyAlignment="1">
      <alignment horizontal="center" vertical="center" wrapText="1"/>
    </xf>
    <xf numFmtId="0" fontId="21" fillId="0" borderId="27" xfId="0" applyFont="1" applyBorder="1" applyAlignment="1">
      <alignment vertical="center" wrapText="1"/>
    </xf>
    <xf numFmtId="0" fontId="23" fillId="11" borderId="45" xfId="0" applyFont="1" applyFill="1" applyBorder="1" applyAlignment="1">
      <alignment horizontal="center" vertical="center" wrapText="1"/>
    </xf>
    <xf numFmtId="0" fontId="21" fillId="0" borderId="27" xfId="0" applyFont="1" applyBorder="1" applyAlignment="1">
      <alignment horizontal="center" vertical="center"/>
    </xf>
    <xf numFmtId="0" fontId="21" fillId="0" borderId="2" xfId="3" applyFont="1" applyFill="1" applyBorder="1" applyAlignment="1">
      <alignment horizontal="center" vertical="center" wrapText="1"/>
    </xf>
    <xf numFmtId="0" fontId="21" fillId="0" borderId="2" xfId="3" applyFont="1" applyFill="1" applyBorder="1" applyAlignment="1">
      <alignment horizontal="left" vertical="center" wrapText="1"/>
    </xf>
    <xf numFmtId="0" fontId="21" fillId="0" borderId="2" xfId="3" applyFont="1" applyBorder="1" applyAlignment="1">
      <alignment horizontal="center" vertical="center" wrapText="1"/>
    </xf>
    <xf numFmtId="3" fontId="21" fillId="0" borderId="75" xfId="7" applyNumberFormat="1" applyFont="1" applyBorder="1" applyAlignment="1">
      <alignment horizontal="center" vertical="center" wrapText="1"/>
    </xf>
    <xf numFmtId="0" fontId="21" fillId="0" borderId="0" xfId="3" applyFont="1" applyFill="1" applyBorder="1" applyAlignment="1">
      <alignment vertical="center" wrapText="1"/>
    </xf>
    <xf numFmtId="2" fontId="21" fillId="5" borderId="35" xfId="0" applyNumberFormat="1" applyFont="1" applyFill="1" applyBorder="1" applyAlignment="1">
      <alignment horizontal="center" vertical="center"/>
    </xf>
    <xf numFmtId="2" fontId="21" fillId="12" borderId="35" xfId="0" applyNumberFormat="1" applyFont="1" applyFill="1" applyBorder="1" applyAlignment="1">
      <alignment horizontal="center" vertical="center"/>
    </xf>
    <xf numFmtId="0" fontId="21" fillId="0" borderId="35" xfId="0" applyFont="1" applyBorder="1" applyAlignment="1">
      <alignment horizontal="center" vertical="center"/>
    </xf>
    <xf numFmtId="0" fontId="21" fillId="12" borderId="35" xfId="0" applyFont="1" applyFill="1" applyBorder="1" applyAlignment="1">
      <alignment horizontal="center" vertical="center"/>
    </xf>
    <xf numFmtId="0" fontId="21" fillId="6" borderId="35" xfId="0" applyFont="1" applyFill="1" applyBorder="1" applyAlignment="1">
      <alignment horizontal="center" vertical="center"/>
    </xf>
    <xf numFmtId="0" fontId="21" fillId="70" borderId="35" xfId="0" applyFont="1" applyFill="1" applyBorder="1" applyAlignment="1">
      <alignment horizontal="center" vertical="center"/>
    </xf>
    <xf numFmtId="0" fontId="21" fillId="3" borderId="35" xfId="0" applyFont="1" applyFill="1" applyBorder="1" applyAlignment="1">
      <alignment horizontal="center" vertical="center"/>
    </xf>
    <xf numFmtId="0" fontId="21" fillId="71" borderId="35" xfId="0" applyFont="1" applyFill="1" applyBorder="1" applyAlignment="1">
      <alignment horizontal="center" vertical="center"/>
    </xf>
    <xf numFmtId="2" fontId="21" fillId="0" borderId="35" xfId="0" applyNumberFormat="1" applyFont="1" applyBorder="1" applyAlignment="1">
      <alignment horizontal="center" vertical="center"/>
    </xf>
    <xf numFmtId="0" fontId="21" fillId="70" borderId="35" xfId="0" applyFont="1" applyFill="1" applyBorder="1" applyAlignment="1">
      <alignment horizontal="center" vertical="center" wrapText="1"/>
    </xf>
    <xf numFmtId="0" fontId="21" fillId="71" borderId="35" xfId="0" applyFont="1" applyFill="1" applyBorder="1" applyAlignment="1">
      <alignment horizontal="center" vertical="center" wrapText="1"/>
    </xf>
    <xf numFmtId="0" fontId="23" fillId="11" borderId="20" xfId="0" applyFont="1" applyFill="1" applyBorder="1" applyAlignment="1">
      <alignment horizontal="center" vertical="center" wrapText="1"/>
    </xf>
    <xf numFmtId="0" fontId="21" fillId="0" borderId="0" xfId="0" applyFont="1" applyAlignment="1">
      <alignment horizontal="left" vertical="center" wrapText="1"/>
    </xf>
    <xf numFmtId="3" fontId="14" fillId="0" borderId="0" xfId="0" applyNumberFormat="1" applyFont="1" applyAlignment="1">
      <alignment horizontal="center" vertical="center"/>
    </xf>
    <xf numFmtId="0" fontId="14" fillId="0" borderId="0" xfId="0" applyFont="1" applyAlignment="1">
      <alignment horizontal="center" vertical="center"/>
    </xf>
    <xf numFmtId="169" fontId="14" fillId="0" borderId="0" xfId="0" applyNumberFormat="1" applyFont="1" applyAlignment="1">
      <alignment horizontal="center" vertical="center"/>
    </xf>
    <xf numFmtId="0" fontId="30" fillId="0" borderId="0" xfId="0" applyFont="1" applyAlignment="1">
      <alignment vertical="center" wrapText="1"/>
    </xf>
    <xf numFmtId="0" fontId="14" fillId="0" borderId="182" xfId="0" applyFont="1" applyBorder="1" applyAlignment="1">
      <alignment horizontal="center" vertical="center" wrapText="1"/>
    </xf>
    <xf numFmtId="1" fontId="14" fillId="0" borderId="0" xfId="0" applyNumberFormat="1" applyFont="1" applyAlignment="1">
      <alignment horizontal="center" vertical="center" wrapText="1"/>
    </xf>
    <xf numFmtId="0" fontId="14" fillId="0" borderId="183" xfId="0" applyFont="1" applyBorder="1" applyAlignment="1">
      <alignment horizontal="center" vertical="center" wrapText="1"/>
    </xf>
    <xf numFmtId="0" fontId="14" fillId="0" borderId="170" xfId="0" applyFont="1" applyBorder="1" applyAlignment="1">
      <alignment horizontal="center" vertical="center" wrapText="1"/>
    </xf>
    <xf numFmtId="0" fontId="14" fillId="0" borderId="34" xfId="0" applyFont="1" applyBorder="1" applyAlignment="1">
      <alignment horizontal="center" vertical="center" wrapText="1"/>
    </xf>
    <xf numFmtId="0" fontId="14" fillId="0" borderId="51" xfId="0" applyFont="1" applyBorder="1" applyAlignment="1">
      <alignment horizontal="center" vertical="center" wrapText="1"/>
    </xf>
    <xf numFmtId="3" fontId="14" fillId="0" borderId="34" xfId="0" applyNumberFormat="1" applyFont="1" applyBorder="1" applyAlignment="1">
      <alignment horizontal="center" vertical="center" wrapText="1"/>
    </xf>
    <xf numFmtId="0" fontId="14" fillId="0" borderId="119" xfId="0" applyFont="1" applyBorder="1" applyAlignment="1">
      <alignment horizontal="center" vertical="center" wrapText="1"/>
    </xf>
    <xf numFmtId="0" fontId="14" fillId="0" borderId="187" xfId="0" applyFont="1" applyBorder="1" applyAlignment="1">
      <alignment horizontal="center" vertical="center" wrapText="1"/>
    </xf>
    <xf numFmtId="0" fontId="14" fillId="0" borderId="115" xfId="0" applyFont="1" applyBorder="1" applyAlignment="1">
      <alignment horizontal="center" vertical="center" wrapText="1"/>
    </xf>
    <xf numFmtId="0" fontId="23" fillId="11" borderId="2"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27" xfId="0" applyFont="1" applyBorder="1" applyAlignment="1">
      <alignment horizontal="center" vertical="center" wrapText="1"/>
    </xf>
    <xf numFmtId="0" fontId="21" fillId="5" borderId="0" xfId="0" applyFont="1" applyFill="1" applyAlignment="1">
      <alignment horizontal="center" vertical="center" wrapText="1"/>
    </xf>
    <xf numFmtId="0" fontId="21" fillId="0" borderId="52" xfId="0" applyFont="1" applyBorder="1" applyAlignment="1">
      <alignment horizontal="center" vertical="center" wrapText="1"/>
    </xf>
    <xf numFmtId="2" fontId="21" fillId="0" borderId="27" xfId="0" applyNumberFormat="1" applyFont="1" applyBorder="1" applyAlignment="1">
      <alignment horizontal="center" vertical="center" wrapText="1"/>
    </xf>
    <xf numFmtId="0" fontId="21" fillId="0" borderId="27" xfId="0" quotePrefix="1" applyFont="1" applyBorder="1" applyAlignment="1">
      <alignment horizontal="center" vertical="center" wrapText="1"/>
    </xf>
    <xf numFmtId="0" fontId="21" fillId="0" borderId="157" xfId="0" applyFont="1" applyBorder="1" applyAlignment="1">
      <alignment horizontal="center" vertical="center" wrapText="1"/>
    </xf>
    <xf numFmtId="0" fontId="21" fillId="0" borderId="248" xfId="0" applyFont="1" applyBorder="1" applyAlignment="1">
      <alignment horizontal="center" vertical="center" wrapText="1"/>
    </xf>
    <xf numFmtId="2" fontId="21" fillId="0" borderId="246" xfId="0" applyNumberFormat="1" applyFont="1" applyBorder="1" applyAlignment="1">
      <alignment horizontal="center" vertical="center" wrapText="1"/>
    </xf>
    <xf numFmtId="166" fontId="21" fillId="0" borderId="246" xfId="0" quotePrefix="1" applyNumberFormat="1" applyFont="1" applyBorder="1" applyAlignment="1">
      <alignment horizontal="center" vertical="center" wrapText="1"/>
    </xf>
    <xf numFmtId="0" fontId="21" fillId="5" borderId="0" xfId="0" applyFont="1" applyFill="1" applyAlignment="1">
      <alignment horizontal="center" vertical="center"/>
    </xf>
    <xf numFmtId="0" fontId="21" fillId="0" borderId="0" xfId="0" applyFont="1" applyAlignment="1">
      <alignment horizontal="center" vertical="center" wrapText="1"/>
    </xf>
    <xf numFmtId="2" fontId="21" fillId="0" borderId="0" xfId="0" applyNumberFormat="1" applyFont="1" applyAlignment="1">
      <alignment horizontal="center" vertical="center" wrapText="1"/>
    </xf>
    <xf numFmtId="0" fontId="21" fillId="0" borderId="0" xfId="0" quotePrefix="1" applyFont="1" applyAlignment="1">
      <alignment horizontal="center" vertical="center" wrapText="1"/>
    </xf>
    <xf numFmtId="0" fontId="21" fillId="0" borderId="0" xfId="0" applyFont="1" applyAlignment="1">
      <alignment horizontal="left" vertical="top" wrapText="1"/>
    </xf>
    <xf numFmtId="0" fontId="21" fillId="0" borderId="163" xfId="0" applyFont="1" applyBorder="1" applyAlignment="1">
      <alignment horizontal="left" vertical="center"/>
    </xf>
    <xf numFmtId="0" fontId="21" fillId="0" borderId="165" xfId="0" applyFont="1" applyBorder="1" applyAlignment="1">
      <alignment horizontal="left" vertical="center"/>
    </xf>
    <xf numFmtId="0" fontId="21" fillId="0" borderId="167" xfId="0" applyFont="1" applyBorder="1" applyAlignment="1">
      <alignment horizontal="left" vertical="center"/>
    </xf>
    <xf numFmtId="0" fontId="21" fillId="0" borderId="1" xfId="0" applyFont="1" applyBorder="1" applyAlignment="1">
      <alignment horizontal="center" vertical="center"/>
    </xf>
    <xf numFmtId="0" fontId="21" fillId="0" borderId="29" xfId="0" applyFont="1" applyBorder="1" applyAlignment="1">
      <alignment horizontal="center" vertical="center"/>
    </xf>
    <xf numFmtId="0" fontId="21" fillId="0" borderId="0" xfId="0" applyFont="1" applyAlignment="1">
      <alignment horizontal="center" vertical="center"/>
    </xf>
    <xf numFmtId="1" fontId="21" fillId="0" borderId="2" xfId="0" applyNumberFormat="1" applyFont="1" applyBorder="1" applyAlignment="1">
      <alignment horizontal="center" vertical="center" wrapText="1"/>
    </xf>
    <xf numFmtId="0" fontId="21" fillId="0" borderId="16" xfId="0" applyFont="1" applyBorder="1" applyAlignment="1">
      <alignment wrapText="1"/>
    </xf>
    <xf numFmtId="0" fontId="21" fillId="0" borderId="19" xfId="0" applyFont="1" applyBorder="1"/>
    <xf numFmtId="3" fontId="21" fillId="0" borderId="19" xfId="0" applyNumberFormat="1" applyFont="1" applyBorder="1" applyAlignment="1">
      <alignment wrapText="1"/>
    </xf>
    <xf numFmtId="0" fontId="21" fillId="0" borderId="18" xfId="0" applyFont="1" applyBorder="1"/>
    <xf numFmtId="43" fontId="23" fillId="0" borderId="2" xfId="6" applyFont="1" applyBorder="1" applyAlignment="1">
      <alignment horizontal="center" vertical="center"/>
    </xf>
    <xf numFmtId="2" fontId="23" fillId="0" borderId="2" xfId="0" applyNumberFormat="1" applyFont="1" applyBorder="1" applyAlignment="1">
      <alignment horizontal="center" vertical="center" wrapText="1"/>
    </xf>
    <xf numFmtId="0" fontId="21" fillId="0" borderId="0" xfId="56" applyFont="1" applyAlignment="1">
      <alignment vertical="center" wrapText="1"/>
    </xf>
    <xf numFmtId="165" fontId="21" fillId="0" borderId="0" xfId="56" applyNumberFormat="1" applyFont="1" applyAlignment="1">
      <alignment horizontal="left" vertical="center" wrapText="1"/>
    </xf>
    <xf numFmtId="0" fontId="21" fillId="0" borderId="0" xfId="56" applyFont="1" applyAlignment="1">
      <alignment vertical="center"/>
    </xf>
    <xf numFmtId="166" fontId="21" fillId="0" borderId="0" xfId="56" applyNumberFormat="1" applyFont="1" applyAlignment="1">
      <alignment horizontal="left" vertical="center" wrapText="1"/>
    </xf>
    <xf numFmtId="0" fontId="21" fillId="0" borderId="0" xfId="56" applyFont="1" applyAlignment="1">
      <alignment horizontal="left" vertical="center" wrapText="1"/>
    </xf>
    <xf numFmtId="169" fontId="21" fillId="0" borderId="0" xfId="56" applyNumberFormat="1" applyFont="1" applyAlignment="1">
      <alignment horizontal="left" vertical="center" wrapText="1"/>
    </xf>
    <xf numFmtId="0" fontId="23" fillId="65" borderId="195" xfId="56" applyFont="1" applyFill="1" applyBorder="1" applyAlignment="1">
      <alignment horizontal="center" vertical="center" wrapText="1"/>
    </xf>
    <xf numFmtId="0" fontId="23" fillId="65" borderId="9" xfId="56" applyFont="1" applyFill="1" applyBorder="1" applyAlignment="1">
      <alignment vertical="center" wrapText="1"/>
    </xf>
    <xf numFmtId="0" fontId="21" fillId="0" borderId="195" xfId="56" applyFont="1" applyBorder="1" applyAlignment="1">
      <alignment horizontal="center" vertical="center" wrapText="1"/>
    </xf>
    <xf numFmtId="165" fontId="21" fillId="66" borderId="195" xfId="56" applyNumberFormat="1" applyFont="1" applyFill="1" applyBorder="1" applyAlignment="1">
      <alignment horizontal="center" vertical="center" wrapText="1"/>
    </xf>
    <xf numFmtId="3" fontId="21" fillId="0" borderId="195" xfId="56" applyNumberFormat="1" applyFont="1" applyBorder="1" applyAlignment="1">
      <alignment horizontal="center" vertical="center" wrapText="1"/>
    </xf>
    <xf numFmtId="4" fontId="21" fillId="0" borderId="195" xfId="56" applyNumberFormat="1" applyFont="1" applyBorder="1" applyAlignment="1">
      <alignment horizontal="center" vertical="center" wrapText="1"/>
    </xf>
    <xf numFmtId="2" fontId="21" fillId="67" borderId="196" xfId="56" applyNumberFormat="1" applyFont="1" applyFill="1" applyBorder="1" applyAlignment="1">
      <alignment horizontal="center" vertical="center" wrapText="1"/>
    </xf>
    <xf numFmtId="3" fontId="21" fillId="0" borderId="197" xfId="56" applyNumberFormat="1" applyFont="1" applyBorder="1" applyAlignment="1">
      <alignment horizontal="center" vertical="center" wrapText="1"/>
    </xf>
    <xf numFmtId="0" fontId="21" fillId="0" borderId="94" xfId="0" applyFont="1" applyBorder="1" applyAlignment="1">
      <alignment horizontal="center" vertical="center" wrapText="1"/>
    </xf>
    <xf numFmtId="0" fontId="21" fillId="0" borderId="198" xfId="0" applyFont="1" applyBorder="1" applyAlignment="1">
      <alignment horizontal="center" vertical="center" wrapText="1"/>
    </xf>
    <xf numFmtId="0" fontId="23" fillId="6" borderId="199" xfId="56" applyFont="1" applyFill="1" applyBorder="1" applyAlignment="1">
      <alignment vertical="center" wrapText="1"/>
    </xf>
    <xf numFmtId="0" fontId="23" fillId="6" borderId="200" xfId="56" applyFont="1" applyFill="1" applyBorder="1" applyAlignment="1">
      <alignment vertical="center" wrapText="1"/>
    </xf>
    <xf numFmtId="0" fontId="23" fillId="58" borderId="3" xfId="56" applyFont="1" applyFill="1" applyBorder="1" applyAlignment="1">
      <alignment vertical="center" wrapText="1"/>
    </xf>
    <xf numFmtId="0" fontId="23" fillId="58" borderId="7" xfId="56" applyFont="1" applyFill="1" applyBorder="1" applyAlignment="1">
      <alignment vertical="center" wrapText="1"/>
    </xf>
    <xf numFmtId="0" fontId="23" fillId="58" borderId="7" xfId="56" applyFont="1" applyFill="1" applyBorder="1" applyAlignment="1">
      <alignment horizontal="left" vertical="center" wrapText="1"/>
    </xf>
    <xf numFmtId="0" fontId="23" fillId="58" borderId="8" xfId="56" applyFont="1" applyFill="1" applyBorder="1" applyAlignment="1">
      <alignment vertical="center" wrapText="1"/>
    </xf>
    <xf numFmtId="0" fontId="21" fillId="12" borderId="10" xfId="56" applyFont="1" applyFill="1" applyBorder="1" applyAlignment="1">
      <alignment horizontal="left" vertical="center"/>
    </xf>
    <xf numFmtId="0" fontId="21" fillId="68" borderId="11" xfId="56" applyFont="1" applyFill="1" applyBorder="1" applyAlignment="1">
      <alignment horizontal="left" vertical="center"/>
    </xf>
    <xf numFmtId="3" fontId="21" fillId="68" borderId="11" xfId="6" applyNumberFormat="1" applyFont="1" applyFill="1" applyBorder="1" applyAlignment="1">
      <alignment horizontal="left" vertical="center"/>
    </xf>
    <xf numFmtId="0" fontId="21" fillId="68" borderId="12" xfId="56" applyFont="1" applyFill="1" applyBorder="1" applyAlignment="1">
      <alignment horizontal="left" vertical="center"/>
    </xf>
    <xf numFmtId="0" fontId="21" fillId="12" borderId="14" xfId="56" applyFont="1" applyFill="1" applyBorder="1" applyAlignment="1">
      <alignment horizontal="left" vertical="center"/>
    </xf>
    <xf numFmtId="0" fontId="21" fillId="68" borderId="0" xfId="56" applyFont="1" applyFill="1" applyAlignment="1">
      <alignment horizontal="left" vertical="center"/>
    </xf>
    <xf numFmtId="3" fontId="21" fillId="68" borderId="0" xfId="6" applyNumberFormat="1" applyFont="1" applyFill="1" applyBorder="1" applyAlignment="1">
      <alignment horizontal="left" vertical="center"/>
    </xf>
    <xf numFmtId="0" fontId="21" fillId="68" borderId="15" xfId="56" applyFont="1" applyFill="1" applyBorder="1" applyAlignment="1">
      <alignment horizontal="left" vertical="center"/>
    </xf>
    <xf numFmtId="0" fontId="21" fillId="12" borderId="15" xfId="56" applyFont="1" applyFill="1" applyBorder="1" applyAlignment="1">
      <alignment horizontal="left" vertical="center"/>
    </xf>
    <xf numFmtId="0" fontId="21" fillId="68" borderId="18" xfId="56" applyFont="1" applyFill="1" applyBorder="1" applyAlignment="1">
      <alignment horizontal="left" vertical="center"/>
    </xf>
    <xf numFmtId="0" fontId="21" fillId="68" borderId="19" xfId="56" applyFont="1" applyFill="1" applyBorder="1" applyAlignment="1">
      <alignment horizontal="left" vertical="center"/>
    </xf>
    <xf numFmtId="0" fontId="21" fillId="12" borderId="17" xfId="56" applyFont="1" applyFill="1" applyBorder="1" applyAlignment="1">
      <alignment horizontal="left" vertical="center"/>
    </xf>
    <xf numFmtId="0" fontId="21" fillId="12" borderId="19" xfId="56" applyFont="1" applyFill="1" applyBorder="1" applyAlignment="1">
      <alignment horizontal="left" vertical="center"/>
    </xf>
    <xf numFmtId="2" fontId="21" fillId="0" borderId="2" xfId="0" applyNumberFormat="1" applyFont="1" applyBorder="1" applyAlignment="1">
      <alignment horizontal="center" vertical="center" wrapText="1"/>
    </xf>
    <xf numFmtId="2" fontId="21" fillId="0" borderId="2" xfId="0" applyNumberFormat="1" applyFont="1" applyBorder="1" applyAlignment="1">
      <alignment horizontal="center" vertical="center"/>
    </xf>
    <xf numFmtId="0" fontId="21" fillId="0" borderId="116" xfId="0" applyFont="1" applyBorder="1" applyAlignment="1">
      <alignment horizontal="center" vertical="center" wrapText="1"/>
    </xf>
    <xf numFmtId="0" fontId="21" fillId="0" borderId="208" xfId="0" applyFont="1" applyBorder="1" applyAlignment="1">
      <alignment horizontal="center" vertical="center" wrapText="1"/>
    </xf>
    <xf numFmtId="0" fontId="21" fillId="0" borderId="8" xfId="0" applyFont="1" applyBorder="1" applyAlignment="1">
      <alignment horizontal="right" vertical="center"/>
    </xf>
    <xf numFmtId="168" fontId="21" fillId="0" borderId="2" xfId="0" applyNumberFormat="1" applyFont="1" applyBorder="1" applyAlignment="1">
      <alignment vertical="center"/>
    </xf>
    <xf numFmtId="167" fontId="21" fillId="0" borderId="16" xfId="6" applyNumberFormat="1" applyFont="1" applyFill="1" applyBorder="1" applyAlignment="1">
      <alignment horizontal="right" vertical="center"/>
    </xf>
    <xf numFmtId="165" fontId="21" fillId="0" borderId="27" xfId="0" applyNumberFormat="1" applyFont="1" applyBorder="1" applyAlignment="1">
      <alignment horizontal="center" vertical="center"/>
    </xf>
    <xf numFmtId="0" fontId="23" fillId="59" borderId="156" xfId="0" applyFont="1" applyFill="1" applyBorder="1" applyAlignment="1">
      <alignment horizontal="center" vertical="center" wrapText="1"/>
    </xf>
    <xf numFmtId="0" fontId="23" fillId="59" borderId="169" xfId="0" applyFont="1" applyFill="1" applyBorder="1" applyAlignment="1">
      <alignment horizontal="center" vertical="center" wrapText="1"/>
    </xf>
    <xf numFmtId="0" fontId="21" fillId="0" borderId="28" xfId="0" applyFont="1" applyBorder="1" applyAlignment="1">
      <alignment horizontal="center" vertical="center" wrapText="1"/>
    </xf>
    <xf numFmtId="0" fontId="21" fillId="0" borderId="170" xfId="0" applyFont="1" applyBorder="1" applyAlignment="1">
      <alignment horizontal="center" vertical="center" wrapText="1"/>
    </xf>
    <xf numFmtId="0" fontId="21" fillId="0" borderId="34" xfId="0" applyFont="1" applyBorder="1" applyAlignment="1">
      <alignment horizontal="center" vertical="center" wrapText="1"/>
    </xf>
    <xf numFmtId="0" fontId="21" fillId="0" borderId="147" xfId="0" applyFont="1" applyBorder="1" applyAlignment="1">
      <alignment horizontal="center" vertical="center" wrapText="1"/>
    </xf>
    <xf numFmtId="0" fontId="21" fillId="0" borderId="173" xfId="0" applyFont="1" applyBorder="1" applyAlignment="1">
      <alignment horizontal="center" vertical="center" wrapText="1"/>
    </xf>
    <xf numFmtId="0" fontId="21" fillId="0" borderId="143" xfId="0" applyFont="1" applyBorder="1" applyAlignment="1">
      <alignment horizontal="center" vertical="center" wrapText="1"/>
    </xf>
    <xf numFmtId="0" fontId="21" fillId="0" borderId="202" xfId="0" applyFont="1" applyBorder="1" applyAlignment="1">
      <alignment horizontal="center" vertical="center" wrapText="1"/>
    </xf>
    <xf numFmtId="0" fontId="21" fillId="0" borderId="174" xfId="0" applyFont="1" applyBorder="1" applyAlignment="1">
      <alignment horizontal="center" vertical="center" wrapText="1"/>
    </xf>
    <xf numFmtId="0" fontId="23" fillId="0" borderId="202" xfId="0" applyFont="1" applyBorder="1" applyAlignment="1">
      <alignment horizontal="center" vertical="center" wrapText="1"/>
    </xf>
    <xf numFmtId="1" fontId="23" fillId="0" borderId="172" xfId="0" applyNumberFormat="1" applyFont="1" applyBorder="1" applyAlignment="1">
      <alignment horizontal="center" vertical="center" wrapText="1"/>
    </xf>
    <xf numFmtId="0" fontId="23" fillId="59" borderId="140" xfId="0" applyFont="1" applyFill="1" applyBorder="1" applyAlignment="1">
      <alignment horizontal="center" vertical="center" wrapText="1"/>
    </xf>
    <xf numFmtId="0" fontId="23" fillId="59" borderId="27" xfId="0" applyFont="1" applyFill="1" applyBorder="1" applyAlignment="1">
      <alignment horizontal="center" vertical="center" wrapText="1"/>
    </xf>
    <xf numFmtId="0" fontId="23" fillId="59" borderId="201" xfId="0" applyFont="1" applyFill="1" applyBorder="1" applyAlignment="1">
      <alignment horizontal="center" vertical="center" wrapText="1"/>
    </xf>
    <xf numFmtId="0" fontId="23" fillId="59" borderId="108" xfId="0" applyFont="1" applyFill="1" applyBorder="1" applyAlignment="1">
      <alignment horizontal="center" vertical="center" wrapText="1"/>
    </xf>
    <xf numFmtId="0" fontId="21" fillId="0" borderId="143" xfId="0" applyFont="1" applyBorder="1" applyAlignment="1">
      <alignment horizontal="center" vertical="center"/>
    </xf>
    <xf numFmtId="0" fontId="21" fillId="0" borderId="181" xfId="0" applyFont="1" applyBorder="1" applyAlignment="1">
      <alignment horizontal="center" vertical="center"/>
    </xf>
    <xf numFmtId="165" fontId="21" fillId="0" borderId="0" xfId="0" applyNumberFormat="1" applyFont="1" applyAlignment="1">
      <alignment horizontal="center" vertical="center"/>
    </xf>
    <xf numFmtId="0" fontId="21" fillId="0" borderId="27" xfId="0" applyFont="1" applyBorder="1"/>
    <xf numFmtId="3" fontId="21" fillId="0" borderId="27" xfId="0" applyNumberFormat="1" applyFont="1" applyBorder="1" applyAlignment="1">
      <alignment horizontal="center"/>
    </xf>
    <xf numFmtId="0" fontId="21" fillId="0" borderId="27" xfId="0" applyFont="1" applyBorder="1" applyAlignment="1">
      <alignment horizontal="center"/>
    </xf>
    <xf numFmtId="0" fontId="21" fillId="0" borderId="143" xfId="0" applyFont="1" applyBorder="1"/>
    <xf numFmtId="3" fontId="21" fillId="0" borderId="143" xfId="0" applyNumberFormat="1" applyFont="1" applyBorder="1" applyAlignment="1">
      <alignment horizontal="center"/>
    </xf>
    <xf numFmtId="0" fontId="21" fillId="0" borderId="143" xfId="0" applyFont="1" applyBorder="1" applyAlignment="1">
      <alignment horizontal="center"/>
    </xf>
    <xf numFmtId="0" fontId="21" fillId="0" borderId="0" xfId="0" applyFont="1" applyAlignment="1">
      <alignment horizontal="left" vertical="center"/>
    </xf>
    <xf numFmtId="0" fontId="21" fillId="0" borderId="0" xfId="0" applyFont="1" applyAlignment="1">
      <alignment horizontal="left"/>
    </xf>
    <xf numFmtId="0" fontId="53" fillId="7" borderId="0" xfId="0" applyFont="1" applyFill="1" applyAlignment="1">
      <alignment horizontal="center" vertical="center"/>
    </xf>
    <xf numFmtId="0" fontId="18" fillId="0" borderId="18" xfId="0" applyFont="1" applyBorder="1" applyAlignment="1">
      <alignment horizontal="left" vertical="center"/>
    </xf>
    <xf numFmtId="0" fontId="13" fillId="13" borderId="3" xfId="1" applyFont="1" applyFill="1" applyBorder="1" applyAlignment="1">
      <alignment horizontal="center" vertical="center" wrapText="1"/>
    </xf>
    <xf numFmtId="0" fontId="13" fillId="13" borderId="7" xfId="1" applyFont="1" applyFill="1" applyBorder="1" applyAlignment="1">
      <alignment horizontal="center" vertical="center" wrapText="1"/>
    </xf>
    <xf numFmtId="0" fontId="6" fillId="0" borderId="0" xfId="0" applyFont="1" applyAlignment="1">
      <alignment horizontal="left"/>
    </xf>
    <xf numFmtId="0" fontId="67" fillId="0" borderId="0" xfId="0" applyFont="1" applyAlignment="1">
      <alignment horizontal="left"/>
    </xf>
    <xf numFmtId="0" fontId="6" fillId="0" borderId="0" xfId="0" applyFont="1" applyAlignment="1">
      <alignment horizontal="left" vertical="top" wrapText="1"/>
    </xf>
    <xf numFmtId="0" fontId="6" fillId="0" borderId="0" xfId="0" applyFont="1" applyAlignment="1">
      <alignment horizontal="left" vertical="center"/>
    </xf>
    <xf numFmtId="0" fontId="13" fillId="13" borderId="0" xfId="0" applyFont="1" applyFill="1" applyAlignment="1">
      <alignment horizontal="center" vertical="center"/>
    </xf>
    <xf numFmtId="0" fontId="21" fillId="0" borderId="0" xfId="0" applyFont="1" applyAlignment="1">
      <alignment horizontal="left" wrapText="1"/>
    </xf>
    <xf numFmtId="0" fontId="6" fillId="0" borderId="0" xfId="0" applyFont="1" applyAlignment="1">
      <alignment vertical="center"/>
    </xf>
    <xf numFmtId="0" fontId="21" fillId="0" borderId="35" xfId="0" applyFont="1" applyBorder="1" applyAlignment="1">
      <alignment horizontal="center" vertical="center" wrapText="1"/>
    </xf>
    <xf numFmtId="0" fontId="21" fillId="0" borderId="35" xfId="0" applyFont="1" applyBorder="1" applyAlignment="1">
      <alignment horizontal="center" vertical="center"/>
    </xf>
    <xf numFmtId="0" fontId="6" fillId="0" borderId="35" xfId="0" applyFont="1" applyBorder="1" applyAlignment="1">
      <alignment horizontal="center" vertical="center" wrapText="1"/>
    </xf>
    <xf numFmtId="0" fontId="6" fillId="0" borderId="35" xfId="0" applyFont="1" applyBorder="1" applyAlignment="1">
      <alignment horizontal="center" vertical="center"/>
    </xf>
    <xf numFmtId="0" fontId="1" fillId="0" borderId="35" xfId="0" applyFont="1" applyBorder="1" applyAlignment="1">
      <alignment horizontal="center" vertical="center" wrapText="1"/>
    </xf>
    <xf numFmtId="0" fontId="13" fillId="13" borderId="0" xfId="0" applyFont="1" applyFill="1" applyAlignment="1">
      <alignment horizontal="center" vertical="center" wrapText="1"/>
    </xf>
    <xf numFmtId="0" fontId="6" fillId="0" borderId="45" xfId="0" applyFont="1" applyBorder="1" applyAlignment="1">
      <alignment horizontal="center" vertical="center"/>
    </xf>
    <xf numFmtId="0" fontId="6" fillId="0" borderId="87" xfId="0" applyFont="1" applyBorder="1" applyAlignment="1">
      <alignment horizontal="center" vertical="center"/>
    </xf>
    <xf numFmtId="0" fontId="6" fillId="0" borderId="80" xfId="0" applyFont="1" applyBorder="1" applyAlignment="1">
      <alignment horizontal="center" vertical="center"/>
    </xf>
    <xf numFmtId="0" fontId="1" fillId="0" borderId="45" xfId="0" applyFont="1" applyBorder="1" applyAlignment="1">
      <alignment horizontal="center" vertical="center" wrapText="1"/>
    </xf>
    <xf numFmtId="0" fontId="1" fillId="0" borderId="87" xfId="0" applyFont="1" applyBorder="1" applyAlignment="1">
      <alignment horizontal="center" vertical="center" wrapText="1"/>
    </xf>
    <xf numFmtId="0" fontId="1" fillId="0" borderId="80" xfId="0" applyFont="1" applyBorder="1" applyAlignment="1">
      <alignment horizontal="center" vertical="center" wrapText="1"/>
    </xf>
    <xf numFmtId="0" fontId="6" fillId="0" borderId="45" xfId="0" applyFont="1" applyBorder="1" applyAlignment="1">
      <alignment horizontal="center" vertical="center" wrapText="1"/>
    </xf>
    <xf numFmtId="0" fontId="6" fillId="0" borderId="87" xfId="0" applyFont="1" applyBorder="1" applyAlignment="1">
      <alignment horizontal="center" vertical="center" wrapText="1"/>
    </xf>
    <xf numFmtId="0" fontId="6" fillId="0" borderId="80" xfId="0" applyFont="1" applyBorder="1" applyAlignment="1">
      <alignment horizontal="center" vertical="center" wrapText="1"/>
    </xf>
    <xf numFmtId="0" fontId="12" fillId="6" borderId="2" xfId="0" applyFont="1" applyFill="1" applyBorder="1" applyAlignment="1">
      <alignment horizontal="center" vertical="center"/>
    </xf>
    <xf numFmtId="0" fontId="7" fillId="11" borderId="24" xfId="0" applyFont="1" applyFill="1" applyBorder="1" applyAlignment="1">
      <alignment horizontal="center" vertical="center" wrapText="1"/>
    </xf>
    <xf numFmtId="0" fontId="7" fillId="11" borderId="25" xfId="0" applyFont="1" applyFill="1" applyBorder="1" applyAlignment="1">
      <alignment horizontal="center" vertical="center" wrapText="1"/>
    </xf>
    <xf numFmtId="0" fontId="7" fillId="11" borderId="26" xfId="0" applyFont="1" applyFill="1" applyBorder="1" applyAlignment="1">
      <alignment horizontal="center" vertical="center" wrapText="1"/>
    </xf>
    <xf numFmtId="0" fontId="6" fillId="0" borderId="0" xfId="0" applyFont="1" applyAlignment="1">
      <alignment horizontal="center"/>
    </xf>
    <xf numFmtId="166" fontId="6" fillId="0" borderId="24" xfId="0" applyNumberFormat="1" applyFont="1" applyBorder="1" applyAlignment="1">
      <alignment horizontal="center" vertical="center" wrapText="1"/>
    </xf>
    <xf numFmtId="166" fontId="6" fillId="0" borderId="25" xfId="0" applyNumberFormat="1" applyFont="1" applyBorder="1" applyAlignment="1">
      <alignment horizontal="center" vertical="center" wrapText="1"/>
    </xf>
    <xf numFmtId="166" fontId="6" fillId="0" borderId="26" xfId="0" applyNumberFormat="1" applyFont="1" applyBorder="1" applyAlignment="1">
      <alignment horizontal="center" vertical="center" wrapText="1"/>
    </xf>
    <xf numFmtId="0" fontId="21" fillId="0" borderId="23" xfId="0" applyFont="1" applyBorder="1" applyAlignment="1">
      <alignment horizontal="center" vertical="center"/>
    </xf>
    <xf numFmtId="0" fontId="21" fillId="0" borderId="21" xfId="0" applyFont="1" applyBorder="1" applyAlignment="1">
      <alignment horizontal="center" vertical="center"/>
    </xf>
    <xf numFmtId="0" fontId="21" fillId="0" borderId="22" xfId="0" applyFont="1" applyBorder="1" applyAlignment="1">
      <alignment horizontal="center" vertical="center"/>
    </xf>
    <xf numFmtId="0" fontId="13" fillId="13" borderId="158" xfId="0" applyFont="1" applyFill="1" applyBorder="1" applyAlignment="1">
      <alignment horizontal="center" vertical="center" wrapText="1"/>
    </xf>
    <xf numFmtId="0" fontId="13" fillId="13" borderId="145" xfId="0" applyFont="1" applyFill="1" applyBorder="1" applyAlignment="1">
      <alignment horizontal="center" vertical="center" wrapText="1"/>
    </xf>
    <xf numFmtId="0" fontId="13" fillId="13" borderId="174" xfId="0" applyFont="1" applyFill="1" applyBorder="1" applyAlignment="1">
      <alignment horizontal="center" vertical="center" wrapText="1"/>
    </xf>
    <xf numFmtId="0" fontId="53" fillId="13" borderId="34" xfId="0" applyFont="1" applyFill="1" applyBorder="1" applyAlignment="1">
      <alignment horizontal="center" vertical="center" wrapText="1"/>
    </xf>
    <xf numFmtId="0" fontId="28" fillId="13" borderId="34" xfId="0" applyFont="1" applyFill="1" applyBorder="1" applyAlignment="1">
      <alignment horizontal="center" vertical="center" wrapText="1"/>
    </xf>
    <xf numFmtId="0" fontId="30" fillId="0" borderId="118" xfId="0" applyFont="1" applyBorder="1" applyAlignment="1">
      <alignment horizontal="center" vertical="center" wrapText="1"/>
    </xf>
    <xf numFmtId="0" fontId="30" fillId="0" borderId="120" xfId="0" applyFont="1" applyBorder="1" applyAlignment="1">
      <alignment horizontal="center" vertical="center" wrapText="1"/>
    </xf>
    <xf numFmtId="0" fontId="30" fillId="0" borderId="121" xfId="0" applyFont="1" applyBorder="1" applyAlignment="1">
      <alignment horizontal="center" vertical="center" wrapText="1"/>
    </xf>
    <xf numFmtId="0" fontId="13" fillId="13" borderId="30" xfId="0" applyFont="1" applyFill="1" applyBorder="1" applyAlignment="1">
      <alignment horizontal="center" vertical="center"/>
    </xf>
    <xf numFmtId="0" fontId="71" fillId="13" borderId="185" xfId="5" applyFont="1" applyFill="1" applyBorder="1" applyAlignment="1">
      <alignment horizontal="center" vertical="center" wrapText="1"/>
    </xf>
    <xf numFmtId="0" fontId="71" fillId="13" borderId="178" xfId="5" applyFont="1" applyFill="1" applyBorder="1" applyAlignment="1">
      <alignment horizontal="center" vertical="center" wrapText="1"/>
    </xf>
    <xf numFmtId="0" fontId="71" fillId="13" borderId="186" xfId="5" applyFont="1" applyFill="1" applyBorder="1" applyAlignment="1">
      <alignment horizontal="center" vertical="center" wrapText="1"/>
    </xf>
    <xf numFmtId="0" fontId="21" fillId="5" borderId="0" xfId="0" applyFont="1" applyFill="1" applyAlignment="1">
      <alignment horizontal="left" vertical="top" wrapText="1"/>
    </xf>
    <xf numFmtId="0" fontId="21" fillId="0" borderId="27" xfId="0" applyFont="1" applyBorder="1" applyAlignment="1">
      <alignment horizontal="center" vertical="center" wrapText="1"/>
    </xf>
    <xf numFmtId="0" fontId="0" fillId="0" borderId="27" xfId="0" applyBorder="1" applyAlignment="1">
      <alignment horizontal="center" vertical="center"/>
    </xf>
    <xf numFmtId="0" fontId="21" fillId="0" borderId="27" xfId="0" applyFont="1" applyBorder="1" applyAlignment="1">
      <alignment horizontal="center" vertical="center"/>
    </xf>
    <xf numFmtId="0" fontId="8" fillId="0" borderId="27" xfId="5" applyFill="1" applyBorder="1" applyAlignment="1">
      <alignment horizontal="center" vertical="center"/>
    </xf>
    <xf numFmtId="0" fontId="21" fillId="69" borderId="27" xfId="0" applyFont="1" applyFill="1" applyBorder="1" applyAlignment="1">
      <alignment horizontal="center" vertical="center" wrapText="1"/>
    </xf>
    <xf numFmtId="0" fontId="21" fillId="0" borderId="246" xfId="0" applyFont="1" applyBorder="1" applyAlignment="1">
      <alignment horizontal="center" vertical="center" wrapText="1"/>
    </xf>
    <xf numFmtId="0" fontId="21" fillId="0" borderId="157" xfId="0" applyFont="1" applyBorder="1" applyAlignment="1">
      <alignment horizontal="center" vertical="center" wrapText="1"/>
    </xf>
    <xf numFmtId="0" fontId="21" fillId="0" borderId="247" xfId="0" applyFont="1" applyBorder="1" applyAlignment="1">
      <alignment horizontal="center" vertical="center" wrapText="1"/>
    </xf>
    <xf numFmtId="0" fontId="21" fillId="5" borderId="157" xfId="0" applyFont="1" applyFill="1" applyBorder="1" applyAlignment="1">
      <alignment horizontal="center" vertical="center"/>
    </xf>
    <xf numFmtId="0" fontId="21" fillId="5" borderId="247" xfId="0" applyFont="1" applyFill="1" applyBorder="1" applyAlignment="1">
      <alignment horizontal="center" vertical="center"/>
    </xf>
    <xf numFmtId="0" fontId="13" fillId="13" borderId="18" xfId="0" applyFont="1" applyFill="1" applyBorder="1" applyAlignment="1">
      <alignment horizontal="center" vertical="center" wrapText="1"/>
    </xf>
    <xf numFmtId="0" fontId="31" fillId="14" borderId="10" xfId="0" applyFont="1" applyFill="1" applyBorder="1" applyAlignment="1">
      <alignment horizontal="center" vertical="center"/>
    </xf>
    <xf numFmtId="0" fontId="31" fillId="14" borderId="11" xfId="0" applyFont="1" applyFill="1" applyBorder="1" applyAlignment="1">
      <alignment horizontal="center" vertical="center"/>
    </xf>
    <xf numFmtId="0" fontId="31" fillId="14" borderId="12" xfId="0" applyFont="1" applyFill="1" applyBorder="1" applyAlignment="1">
      <alignment horizontal="center" vertical="center"/>
    </xf>
    <xf numFmtId="0" fontId="69" fillId="13" borderId="199" xfId="0" applyFont="1" applyFill="1" applyBorder="1" applyAlignment="1">
      <alignment horizontal="center" vertical="center" wrapText="1"/>
    </xf>
    <xf numFmtId="0" fontId="69" fillId="13" borderId="200" xfId="0" applyFont="1" applyFill="1" applyBorder="1" applyAlignment="1">
      <alignment horizontal="center" vertical="center" wrapText="1"/>
    </xf>
    <xf numFmtId="0" fontId="6" fillId="0" borderId="27" xfId="0" applyFont="1" applyBorder="1" applyAlignment="1">
      <alignment horizontal="center" vertical="center" wrapText="1"/>
    </xf>
    <xf numFmtId="0" fontId="6" fillId="0" borderId="27" xfId="0" applyFont="1" applyBorder="1" applyAlignment="1">
      <alignment horizontal="center" vertical="center"/>
    </xf>
    <xf numFmtId="0" fontId="0" fillId="0" borderId="164" xfId="0" applyBorder="1" applyAlignment="1">
      <alignment horizontal="center" vertical="center" wrapText="1"/>
    </xf>
    <xf numFmtId="0" fontId="0" fillId="0" borderId="166" xfId="0" applyBorder="1" applyAlignment="1">
      <alignment horizontal="center" vertical="center" wrapText="1"/>
    </xf>
    <xf numFmtId="0" fontId="0" fillId="0" borderId="168" xfId="0" applyBorder="1" applyAlignment="1">
      <alignment horizontal="center" vertical="center" wrapText="1"/>
    </xf>
    <xf numFmtId="0" fontId="14" fillId="0" borderId="164" xfId="0" applyFont="1" applyBorder="1" applyAlignment="1">
      <alignment horizontal="center" vertical="center" wrapText="1"/>
    </xf>
    <xf numFmtId="0" fontId="14" fillId="0" borderId="166" xfId="0" applyFont="1" applyBorder="1" applyAlignment="1">
      <alignment horizontal="center" vertical="center" wrapText="1"/>
    </xf>
    <xf numFmtId="0" fontId="14" fillId="0" borderId="168" xfId="0" applyFont="1" applyBorder="1" applyAlignment="1">
      <alignment horizontal="center" vertical="center" wrapText="1"/>
    </xf>
    <xf numFmtId="0" fontId="13" fillId="13" borderId="14" xfId="0" applyFont="1" applyFill="1" applyBorder="1" applyAlignment="1">
      <alignment horizontal="center" vertical="center" wrapText="1"/>
    </xf>
    <xf numFmtId="0" fontId="13" fillId="13" borderId="17" xfId="0" applyFont="1" applyFill="1" applyBorder="1" applyAlignment="1">
      <alignment horizontal="center" vertical="center" wrapText="1"/>
    </xf>
    <xf numFmtId="0" fontId="13" fillId="64" borderId="194" xfId="56" applyFont="1" applyFill="1" applyBorder="1" applyAlignment="1">
      <alignment horizontal="center" vertical="center" wrapText="1"/>
    </xf>
    <xf numFmtId="0" fontId="13" fillId="64" borderId="0" xfId="56" applyFont="1" applyFill="1" applyAlignment="1">
      <alignment horizontal="center" vertical="center" wrapText="1"/>
    </xf>
    <xf numFmtId="0" fontId="23" fillId="65" borderId="216" xfId="56" applyFont="1" applyFill="1" applyBorder="1" applyAlignment="1">
      <alignment horizontal="center" vertical="center" wrapText="1"/>
    </xf>
    <xf numFmtId="0" fontId="23" fillId="65" borderId="217" xfId="56" applyFont="1" applyFill="1" applyBorder="1" applyAlignment="1">
      <alignment horizontal="center" vertical="center" wrapText="1"/>
    </xf>
    <xf numFmtId="0" fontId="23" fillId="65" borderId="2" xfId="56" applyFont="1" applyFill="1" applyBorder="1" applyAlignment="1">
      <alignment horizontal="center" vertical="center" wrapText="1"/>
    </xf>
    <xf numFmtId="0" fontId="21" fillId="0" borderId="94" xfId="0" applyFont="1" applyBorder="1" applyAlignment="1">
      <alignment horizontal="center" vertical="center" wrapText="1"/>
    </xf>
    <xf numFmtId="0" fontId="21" fillId="0" borderId="105" xfId="0" applyFont="1" applyBorder="1" applyAlignment="1">
      <alignment horizontal="center" vertical="center" wrapText="1"/>
    </xf>
    <xf numFmtId="0" fontId="21" fillId="0" borderId="198" xfId="0" applyFont="1" applyBorder="1" applyAlignment="1">
      <alignment horizontal="center" vertical="center" wrapText="1"/>
    </xf>
    <xf numFmtId="0" fontId="31" fillId="14" borderId="17" xfId="0" applyFont="1" applyFill="1" applyBorder="1" applyAlignment="1">
      <alignment horizontal="center" wrapText="1"/>
    </xf>
    <xf numFmtId="0" fontId="31" fillId="14" borderId="18" xfId="0" applyFont="1" applyFill="1" applyBorder="1" applyAlignment="1">
      <alignment horizontal="center" wrapText="1"/>
    </xf>
    <xf numFmtId="0" fontId="6" fillId="0" borderId="2" xfId="0" applyFont="1" applyBorder="1" applyAlignment="1">
      <alignment horizontal="center" vertical="center" wrapText="1"/>
    </xf>
    <xf numFmtId="43" fontId="23" fillId="0" borderId="3" xfId="6" applyFont="1" applyBorder="1" applyAlignment="1">
      <alignment horizontal="left" vertical="center"/>
    </xf>
    <xf numFmtId="43" fontId="23" fillId="0" borderId="7" xfId="6" applyFont="1" applyBorder="1" applyAlignment="1">
      <alignment horizontal="left" vertical="center"/>
    </xf>
    <xf numFmtId="43" fontId="23" fillId="0" borderId="8" xfId="6" applyFont="1" applyBorder="1" applyAlignment="1">
      <alignment horizontal="left" vertical="center"/>
    </xf>
    <xf numFmtId="43" fontId="21" fillId="0" borderId="13" xfId="6" applyFont="1" applyBorder="1" applyAlignment="1">
      <alignment horizontal="center" vertical="center" wrapText="1"/>
    </xf>
    <xf numFmtId="43" fontId="21" fillId="0" borderId="16" xfId="6" applyFont="1" applyBorder="1" applyAlignment="1">
      <alignment horizontal="center" vertical="center" wrapText="1"/>
    </xf>
    <xf numFmtId="0" fontId="6" fillId="0" borderId="210" xfId="0" applyFont="1" applyBorder="1" applyAlignment="1">
      <alignment horizontal="center" vertical="center" wrapText="1"/>
    </xf>
    <xf numFmtId="0" fontId="6" fillId="0" borderId="3" xfId="0" applyFont="1" applyBorder="1" applyAlignment="1">
      <alignment horizontal="center" vertical="center" wrapText="1"/>
    </xf>
    <xf numFmtId="0" fontId="6" fillId="0" borderId="211" xfId="0" applyFont="1" applyBorder="1" applyAlignment="1">
      <alignment horizontal="center" vertical="center" wrapText="1"/>
    </xf>
    <xf numFmtId="0" fontId="13" fillId="13" borderId="184" xfId="0" applyFont="1" applyFill="1" applyBorder="1" applyAlignment="1">
      <alignment horizontal="center" vertical="center" wrapText="1"/>
    </xf>
    <xf numFmtId="0" fontId="13" fillId="13" borderId="117" xfId="0" applyFont="1" applyFill="1" applyBorder="1" applyAlignment="1">
      <alignment horizontal="center" vertical="center" wrapText="1"/>
    </xf>
    <xf numFmtId="0" fontId="13" fillId="13" borderId="118" xfId="0" applyFont="1" applyFill="1" applyBorder="1" applyAlignment="1">
      <alignment horizontal="center" vertical="center" wrapText="1"/>
    </xf>
    <xf numFmtId="0" fontId="7" fillId="11" borderId="118" xfId="0" applyFont="1" applyFill="1" applyBorder="1" applyAlignment="1">
      <alignment horizontal="center" vertical="center" wrapText="1"/>
    </xf>
    <xf numFmtId="0" fontId="7" fillId="11" borderId="212" xfId="0" applyFont="1" applyFill="1" applyBorder="1" applyAlignment="1">
      <alignment horizontal="center" vertical="center" wrapText="1"/>
    </xf>
    <xf numFmtId="0" fontId="7" fillId="11" borderId="208" xfId="0" applyFont="1" applyFill="1" applyBorder="1" applyAlignment="1">
      <alignment horizontal="center" vertical="center"/>
    </xf>
    <xf numFmtId="0" fontId="7" fillId="11" borderId="2" xfId="0" applyFont="1" applyFill="1" applyBorder="1" applyAlignment="1">
      <alignment horizontal="center" vertical="center" wrapText="1"/>
    </xf>
    <xf numFmtId="0" fontId="7" fillId="11" borderId="3" xfId="0" applyFont="1" applyFill="1" applyBorder="1" applyAlignment="1">
      <alignment horizontal="center" vertical="center" wrapText="1"/>
    </xf>
    <xf numFmtId="0" fontId="7" fillId="11" borderId="213" xfId="0" applyFont="1" applyFill="1" applyBorder="1" applyAlignment="1">
      <alignment horizontal="center" vertical="center" wrapText="1"/>
    </xf>
    <xf numFmtId="0" fontId="7" fillId="11" borderId="214" xfId="0" applyFont="1" applyFill="1" applyBorder="1" applyAlignment="1">
      <alignment horizontal="center" vertical="center" wrapText="1"/>
    </xf>
    <xf numFmtId="0" fontId="7" fillId="11" borderId="215" xfId="0" applyFont="1" applyFill="1" applyBorder="1" applyAlignment="1">
      <alignment horizontal="center" vertical="center" wrapText="1"/>
    </xf>
    <xf numFmtId="0" fontId="13" fillId="13" borderId="18" xfId="0" applyFont="1" applyFill="1" applyBorder="1" applyAlignment="1">
      <alignment horizontal="center" vertical="center"/>
    </xf>
    <xf numFmtId="0" fontId="6" fillId="12" borderId="2" xfId="0" applyFont="1" applyFill="1" applyBorder="1" applyAlignment="1">
      <alignment horizontal="left" vertical="center"/>
    </xf>
    <xf numFmtId="0" fontId="23" fillId="11" borderId="55" xfId="0" applyFont="1" applyFill="1" applyBorder="1" applyAlignment="1">
      <alignment horizontal="center" vertical="center" wrapText="1"/>
    </xf>
    <xf numFmtId="0" fontId="23" fillId="11" borderId="56" xfId="0" applyFont="1" applyFill="1" applyBorder="1" applyAlignment="1">
      <alignment horizontal="center" vertical="center" wrapText="1"/>
    </xf>
    <xf numFmtId="0" fontId="13" fillId="60" borderId="17" xfId="0" applyFont="1" applyFill="1" applyBorder="1" applyAlignment="1">
      <alignment horizontal="center" vertical="center"/>
    </xf>
    <xf numFmtId="0" fontId="13" fillId="60" borderId="18" xfId="0" applyFont="1" applyFill="1" applyBorder="1" applyAlignment="1">
      <alignment horizontal="center" vertical="center"/>
    </xf>
    <xf numFmtId="0" fontId="13" fillId="60" borderId="184" xfId="0" applyFont="1" applyFill="1" applyBorder="1" applyAlignment="1">
      <alignment horizontal="center" vertical="center"/>
    </xf>
    <xf numFmtId="0" fontId="13" fillId="60" borderId="117" xfId="0" applyFont="1" applyFill="1" applyBorder="1" applyAlignment="1">
      <alignment horizontal="center" vertical="center"/>
    </xf>
    <xf numFmtId="0" fontId="13" fillId="60" borderId="118" xfId="0" applyFont="1" applyFill="1" applyBorder="1" applyAlignment="1">
      <alignment horizontal="center" vertical="center"/>
    </xf>
    <xf numFmtId="0" fontId="6" fillId="0" borderId="94" xfId="0" applyFont="1" applyBorder="1" applyAlignment="1">
      <alignment horizontal="center" vertical="center" wrapText="1"/>
    </xf>
    <xf numFmtId="0" fontId="6" fillId="0" borderId="173" xfId="0" applyFont="1" applyBorder="1" applyAlignment="1">
      <alignment horizontal="center" vertical="center" wrapText="1"/>
    </xf>
    <xf numFmtId="0" fontId="6" fillId="0" borderId="28" xfId="0" applyFont="1" applyBorder="1" applyAlignment="1">
      <alignment horizontal="center" vertical="center" wrapText="1"/>
    </xf>
    <xf numFmtId="0" fontId="23" fillId="0" borderId="126" xfId="0" applyFont="1" applyBorder="1" applyAlignment="1">
      <alignment horizontal="center" vertical="center" wrapText="1"/>
    </xf>
    <xf numFmtId="0" fontId="21" fillId="0" borderId="202" xfId="0" applyFont="1" applyBorder="1" applyAlignment="1">
      <alignment horizontal="center" vertical="center" wrapText="1"/>
    </xf>
    <xf numFmtId="0" fontId="21" fillId="0" borderId="28" xfId="0" applyFont="1" applyBorder="1" applyAlignment="1">
      <alignment horizontal="center" vertical="center" wrapText="1"/>
    </xf>
    <xf numFmtId="0" fontId="6" fillId="0" borderId="137" xfId="0" applyFont="1" applyBorder="1" applyAlignment="1">
      <alignment horizontal="center" vertical="center" wrapText="1"/>
    </xf>
    <xf numFmtId="0" fontId="6" fillId="0" borderId="142" xfId="0" applyFont="1" applyBorder="1" applyAlignment="1">
      <alignment horizontal="center" vertical="center" wrapText="1"/>
    </xf>
    <xf numFmtId="0" fontId="21" fillId="0" borderId="173" xfId="0" applyFont="1" applyBorder="1" applyAlignment="1">
      <alignment horizontal="center" vertical="center" wrapText="1"/>
    </xf>
    <xf numFmtId="0" fontId="21" fillId="0" borderId="143" xfId="0" applyFont="1" applyBorder="1" applyAlignment="1">
      <alignment horizontal="center" vertical="center" wrapText="1"/>
    </xf>
    <xf numFmtId="0" fontId="6" fillId="0" borderId="143" xfId="0" applyFont="1" applyBorder="1" applyAlignment="1">
      <alignment horizontal="center" vertical="center" wrapText="1"/>
    </xf>
    <xf numFmtId="0" fontId="21" fillId="0" borderId="137" xfId="0" applyFont="1" applyBorder="1" applyAlignment="1">
      <alignment horizontal="center" vertical="center" wrapText="1"/>
    </xf>
    <xf numFmtId="0" fontId="21" fillId="0" borderId="125" xfId="0" applyFont="1" applyBorder="1" applyAlignment="1">
      <alignment horizontal="center" vertical="center" wrapText="1"/>
    </xf>
    <xf numFmtId="0" fontId="21" fillId="0" borderId="126" xfId="0" applyFont="1" applyBorder="1" applyAlignment="1">
      <alignment horizontal="center" vertical="center" wrapText="1"/>
    </xf>
    <xf numFmtId="0" fontId="21" fillId="0" borderId="113" xfId="0" applyFont="1" applyBorder="1" applyAlignment="1">
      <alignment horizontal="center" vertical="center" wrapText="1"/>
    </xf>
    <xf numFmtId="0" fontId="21" fillId="0" borderId="171" xfId="0" applyFont="1" applyBorder="1" applyAlignment="1">
      <alignment horizontal="center" vertical="center" wrapText="1"/>
    </xf>
    <xf numFmtId="0" fontId="21" fillId="0" borderId="172" xfId="0" applyFont="1" applyBorder="1" applyAlignment="1">
      <alignment horizontal="center" vertical="center" wrapText="1"/>
    </xf>
    <xf numFmtId="0" fontId="6" fillId="0" borderId="125" xfId="0" applyFont="1" applyBorder="1" applyAlignment="1">
      <alignment horizontal="center" vertical="center" wrapText="1"/>
    </xf>
    <xf numFmtId="0" fontId="6" fillId="0" borderId="135" xfId="0" applyFont="1" applyBorder="1" applyAlignment="1">
      <alignment horizontal="center" vertical="center" wrapText="1"/>
    </xf>
    <xf numFmtId="0" fontId="6" fillId="0" borderId="136" xfId="0" applyFont="1" applyBorder="1" applyAlignment="1">
      <alignment horizontal="center" vertical="center" wrapText="1"/>
    </xf>
    <xf numFmtId="0" fontId="21" fillId="0" borderId="207" xfId="0" applyFont="1" applyBorder="1" applyAlignment="1">
      <alignment horizontal="center" vertical="center" wrapText="1"/>
    </xf>
    <xf numFmtId="0" fontId="21" fillId="0" borderId="120" xfId="0" applyFont="1" applyBorder="1" applyAlignment="1">
      <alignment horizontal="center" vertical="center" wrapText="1"/>
    </xf>
    <xf numFmtId="0" fontId="21" fillId="0" borderId="121" xfId="0" applyFont="1" applyBorder="1" applyAlignment="1">
      <alignment horizontal="center" vertical="center" wrapText="1"/>
    </xf>
    <xf numFmtId="0" fontId="6" fillId="0" borderId="202" xfId="0" applyFont="1" applyBorder="1" applyAlignment="1">
      <alignment horizontal="center" vertical="center" wrapText="1"/>
    </xf>
    <xf numFmtId="0" fontId="64" fillId="60" borderId="119" xfId="0" applyFont="1" applyFill="1" applyBorder="1" applyAlignment="1">
      <alignment horizontal="center" vertical="center" wrapText="1"/>
    </xf>
    <xf numFmtId="0" fontId="64" fillId="60" borderId="0" xfId="0" applyFont="1" applyFill="1" applyAlignment="1">
      <alignment horizontal="center" vertical="center" wrapText="1"/>
    </xf>
    <xf numFmtId="0" fontId="59" fillId="0" borderId="162" xfId="0" applyFont="1" applyBorder="1" applyAlignment="1">
      <alignment horizontal="center" vertical="center" wrapText="1"/>
    </xf>
    <xf numFmtId="0" fontId="59" fillId="0" borderId="173" xfId="0" applyFont="1" applyBorder="1" applyAlignment="1">
      <alignment horizontal="center" vertical="center" wrapText="1"/>
    </xf>
    <xf numFmtId="0" fontId="59" fillId="0" borderId="202" xfId="0" applyFont="1" applyBorder="1" applyAlignment="1">
      <alignment horizontal="center" vertical="center" wrapText="1"/>
    </xf>
    <xf numFmtId="0" fontId="59" fillId="0" borderId="203" xfId="0" applyFont="1" applyBorder="1" applyAlignment="1">
      <alignment horizontal="center" vertical="center" wrapText="1"/>
    </xf>
    <xf numFmtId="0" fontId="59" fillId="0" borderId="204" xfId="0" applyFont="1" applyBorder="1" applyAlignment="1">
      <alignment horizontal="center" vertical="center" wrapText="1"/>
    </xf>
    <xf numFmtId="0" fontId="59" fillId="0" borderId="148" xfId="0" applyFont="1" applyBorder="1" applyAlignment="1">
      <alignment horizontal="center" vertical="center" wrapText="1"/>
    </xf>
    <xf numFmtId="0" fontId="59" fillId="0" borderId="153" xfId="0" applyFont="1" applyBorder="1" applyAlignment="1">
      <alignment horizontal="center" vertical="center" wrapText="1"/>
    </xf>
    <xf numFmtId="0" fontId="59" fillId="0" borderId="149" xfId="0" applyFont="1" applyBorder="1" applyAlignment="1">
      <alignment horizontal="center" vertical="center" wrapText="1"/>
    </xf>
    <xf numFmtId="0" fontId="59" fillId="0" borderId="124" xfId="0" applyFont="1" applyBorder="1" applyAlignment="1">
      <alignment horizontal="center" vertical="center" wrapText="1"/>
    </xf>
    <xf numFmtId="0" fontId="59" fillId="0" borderId="125" xfId="0" applyFont="1" applyBorder="1" applyAlignment="1">
      <alignment horizontal="center" vertical="center" wrapText="1"/>
    </xf>
    <xf numFmtId="0" fontId="59" fillId="0" borderId="96" xfId="0" applyFont="1" applyBorder="1" applyAlignment="1">
      <alignment horizontal="center" vertical="center" wrapText="1"/>
    </xf>
    <xf numFmtId="0" fontId="59" fillId="0" borderId="35" xfId="0" applyFont="1" applyBorder="1" applyAlignment="1">
      <alignment horizontal="center" vertical="center" wrapText="1"/>
    </xf>
    <xf numFmtId="0" fontId="59" fillId="0" borderId="45" xfId="0" applyFont="1" applyBorder="1" applyAlignment="1">
      <alignment horizontal="center" vertical="center" wrapText="1"/>
    </xf>
    <xf numFmtId="0" fontId="59" fillId="0" borderId="132" xfId="0" applyFont="1" applyBorder="1" applyAlignment="1">
      <alignment horizontal="center" vertical="center" wrapText="1"/>
    </xf>
    <xf numFmtId="0" fontId="59" fillId="0" borderId="55" xfId="0" applyFont="1" applyBorder="1" applyAlignment="1">
      <alignment horizontal="center" vertical="center" wrapText="1"/>
    </xf>
    <xf numFmtId="0" fontId="59" fillId="0" borderId="46" xfId="0" applyFont="1" applyBorder="1" applyAlignment="1">
      <alignment horizontal="center" vertical="center" wrapText="1"/>
    </xf>
    <xf numFmtId="0" fontId="22" fillId="0" borderId="0" xfId="0" applyFont="1" applyAlignment="1">
      <alignment horizontal="center" vertical="center" wrapText="1"/>
    </xf>
    <xf numFmtId="0" fontId="59" fillId="0" borderId="126" xfId="0" applyFont="1" applyBorder="1" applyAlignment="1">
      <alignment horizontal="center" vertical="center" wrapText="1"/>
    </xf>
    <xf numFmtId="0" fontId="59" fillId="0" borderId="205" xfId="0" applyFont="1" applyBorder="1" applyAlignment="1">
      <alignment horizontal="center" vertical="center" wrapText="1"/>
    </xf>
    <xf numFmtId="0" fontId="22" fillId="0" borderId="111" xfId="0" applyFont="1" applyBorder="1" applyAlignment="1">
      <alignment horizontal="center" vertical="center" wrapText="1"/>
    </xf>
    <xf numFmtId="0" fontId="22" fillId="0" borderId="104" xfId="0" applyFont="1" applyBorder="1" applyAlignment="1">
      <alignment horizontal="center" vertical="center" wrapText="1"/>
    </xf>
    <xf numFmtId="0" fontId="22" fillId="0" borderId="112" xfId="0" applyFont="1" applyBorder="1" applyAlignment="1">
      <alignment horizontal="center" vertical="center" wrapText="1"/>
    </xf>
    <xf numFmtId="0" fontId="22" fillId="0" borderId="96" xfId="0" applyFont="1" applyBorder="1" applyAlignment="1">
      <alignment horizontal="center" vertical="center" wrapText="1"/>
    </xf>
    <xf numFmtId="0" fontId="22" fillId="0" borderId="35" xfId="0" applyFont="1" applyBorder="1" applyAlignment="1">
      <alignment horizontal="center" vertical="center" wrapText="1"/>
    </xf>
    <xf numFmtId="0" fontId="22" fillId="0" borderId="102" xfId="0" applyFont="1" applyBorder="1" applyAlignment="1">
      <alignment horizontal="center" vertical="center" wrapText="1"/>
    </xf>
    <xf numFmtId="0" fontId="59" fillId="0" borderId="102" xfId="0" applyFont="1" applyBorder="1" applyAlignment="1">
      <alignment horizontal="center" vertical="center" wrapText="1"/>
    </xf>
    <xf numFmtId="0" fontId="7" fillId="11" borderId="187" xfId="0" applyFont="1" applyFill="1" applyBorder="1" applyAlignment="1">
      <alignment horizontal="center" vertical="center"/>
    </xf>
    <xf numFmtId="0" fontId="7" fillId="11" borderId="115" xfId="0" applyFont="1" applyFill="1" applyBorder="1" applyAlignment="1">
      <alignment horizontal="center" vertical="center"/>
    </xf>
    <xf numFmtId="0" fontId="7" fillId="11" borderId="121" xfId="0" applyFont="1" applyFill="1" applyBorder="1" applyAlignment="1">
      <alignment horizontal="center" vertical="center"/>
    </xf>
    <xf numFmtId="0" fontId="22" fillId="0" borderId="122" xfId="0" applyFont="1" applyBorder="1" applyAlignment="1">
      <alignment horizontal="center" vertical="center"/>
    </xf>
    <xf numFmtId="0" fontId="22" fillId="0" borderId="123" xfId="0" applyFont="1" applyBorder="1" applyAlignment="1">
      <alignment horizontal="center" vertical="center"/>
    </xf>
    <xf numFmtId="0" fontId="22" fillId="0" borderId="105" xfId="0" applyFont="1" applyBorder="1" applyAlignment="1">
      <alignment horizontal="center" vertical="center" wrapText="1"/>
    </xf>
    <xf numFmtId="0" fontId="22" fillId="0" borderId="114" xfId="0" applyFont="1" applyBorder="1" applyAlignment="1">
      <alignment horizontal="center" vertical="center"/>
    </xf>
    <xf numFmtId="0" fontId="22" fillId="0" borderId="14" xfId="0" applyFont="1" applyBorder="1" applyAlignment="1">
      <alignment horizontal="center" vertical="center"/>
    </xf>
    <xf numFmtId="0" fontId="22" fillId="0" borderId="132" xfId="0" applyFont="1" applyBorder="1" applyAlignment="1">
      <alignment horizontal="center" vertical="center" wrapText="1"/>
    </xf>
    <xf numFmtId="0" fontId="22" fillId="0" borderId="55" xfId="0" applyFont="1" applyBorder="1" applyAlignment="1">
      <alignment horizontal="center" vertical="center" wrapText="1"/>
    </xf>
    <xf numFmtId="0" fontId="22" fillId="0" borderId="131" xfId="0" applyFont="1" applyBorder="1" applyAlignment="1">
      <alignment horizontal="center" vertical="center" wrapText="1"/>
    </xf>
    <xf numFmtId="0" fontId="55" fillId="59" borderId="27" xfId="0" applyFont="1" applyFill="1" applyBorder="1" applyAlignment="1">
      <alignment horizontal="center" vertical="center" wrapText="1"/>
    </xf>
    <xf numFmtId="0" fontId="22" fillId="59" borderId="94" xfId="0" applyFont="1" applyFill="1" applyBorder="1" applyAlignment="1">
      <alignment horizontal="center" vertical="center" wrapText="1"/>
    </xf>
    <xf numFmtId="0" fontId="59" fillId="0" borderId="108" xfId="0" applyFont="1" applyBorder="1" applyAlignment="1">
      <alignment horizontal="center" vertical="center" wrapText="1"/>
    </xf>
    <xf numFmtId="0" fontId="59" fillId="0" borderId="109" xfId="0" applyFont="1" applyBorder="1" applyAlignment="1">
      <alignment horizontal="center" vertical="center" wrapText="1"/>
    </xf>
    <xf numFmtId="0" fontId="59" fillId="0" borderId="113" xfId="0" applyFont="1" applyBorder="1" applyAlignment="1">
      <alignment horizontal="center" vertical="center" wrapText="1"/>
    </xf>
    <xf numFmtId="0" fontId="22" fillId="0" borderId="108" xfId="0" applyFont="1" applyBorder="1" applyAlignment="1">
      <alignment horizontal="center" vertical="center" wrapText="1"/>
    </xf>
    <xf numFmtId="0" fontId="22" fillId="0" borderId="109" xfId="0" applyFont="1" applyBorder="1" applyAlignment="1">
      <alignment horizontal="center" vertical="center" wrapText="1"/>
    </xf>
    <xf numFmtId="0" fontId="22" fillId="0" borderId="110" xfId="0" applyFont="1" applyBorder="1" applyAlignment="1">
      <alignment horizontal="center" vertical="center" wrapText="1"/>
    </xf>
    <xf numFmtId="0" fontId="22" fillId="0" borderId="124" xfId="0" applyFont="1" applyBorder="1" applyAlignment="1">
      <alignment horizontal="center" vertical="center"/>
    </xf>
    <xf numFmtId="0" fontId="22" fillId="0" borderId="125" xfId="0" applyFont="1" applyBorder="1" applyAlignment="1">
      <alignment horizontal="center" vertical="center"/>
    </xf>
    <xf numFmtId="0" fontId="7" fillId="11" borderId="2" xfId="0" applyFont="1" applyFill="1" applyBorder="1" applyAlignment="1">
      <alignment horizontal="center" vertical="center"/>
    </xf>
    <xf numFmtId="0" fontId="7" fillId="11" borderId="9" xfId="0" applyFont="1" applyFill="1" applyBorder="1" applyAlignment="1">
      <alignment horizontal="center" vertical="center"/>
    </xf>
    <xf numFmtId="0" fontId="22" fillId="0" borderId="107" xfId="0" applyFont="1" applyBorder="1" applyAlignment="1">
      <alignment horizontal="center" vertical="center" wrapText="1"/>
    </xf>
    <xf numFmtId="0" fontId="22" fillId="0" borderId="154" xfId="0" applyFont="1" applyBorder="1" applyAlignment="1">
      <alignment horizontal="center" vertical="center" wrapText="1"/>
    </xf>
    <xf numFmtId="0" fontId="22" fillId="0" borderId="46" xfId="0" applyFont="1" applyBorder="1" applyAlignment="1">
      <alignment horizontal="center" vertical="center" wrapText="1"/>
    </xf>
    <xf numFmtId="0" fontId="22" fillId="0" borderId="191" xfId="0" applyFont="1" applyBorder="1" applyAlignment="1">
      <alignment horizontal="center" vertical="center"/>
    </xf>
    <xf numFmtId="0" fontId="7" fillId="11" borderId="3" xfId="0" applyFont="1" applyFill="1" applyBorder="1" applyAlignment="1">
      <alignment horizontal="center" vertical="center"/>
    </xf>
    <xf numFmtId="0" fontId="7" fillId="11" borderId="10" xfId="0" applyFont="1" applyFill="1" applyBorder="1" applyAlignment="1">
      <alignment horizontal="center" vertical="center"/>
    </xf>
    <xf numFmtId="0" fontId="55" fillId="11" borderId="2" xfId="0" applyFont="1" applyFill="1" applyBorder="1" applyAlignment="1">
      <alignment horizontal="center" vertical="center"/>
    </xf>
    <xf numFmtId="0" fontId="7" fillId="11" borderId="8" xfId="0" applyFont="1" applyFill="1" applyBorder="1" applyAlignment="1">
      <alignment horizontal="center" vertical="center"/>
    </xf>
    <xf numFmtId="0" fontId="7" fillId="11" borderId="12" xfId="0" applyFont="1" applyFill="1" applyBorder="1" applyAlignment="1">
      <alignment horizontal="center" vertical="center"/>
    </xf>
    <xf numFmtId="0" fontId="22" fillId="0" borderId="116" xfId="0" applyFont="1" applyBorder="1" applyAlignment="1">
      <alignment horizontal="center" vertical="center" wrapText="1"/>
    </xf>
    <xf numFmtId="0" fontId="22" fillId="0" borderId="113" xfId="0" applyFont="1" applyBorder="1" applyAlignment="1">
      <alignment horizontal="center" vertical="center" wrapText="1"/>
    </xf>
    <xf numFmtId="0" fontId="22" fillId="0" borderId="126" xfId="0" applyFont="1" applyBorder="1" applyAlignment="1">
      <alignment horizontal="center" vertical="center"/>
    </xf>
    <xf numFmtId="0" fontId="22" fillId="0" borderId="95" xfId="0" applyFont="1" applyBorder="1" applyAlignment="1">
      <alignment horizontal="center" vertical="center" wrapText="1"/>
    </xf>
    <xf numFmtId="0" fontId="22" fillId="0" borderId="127" xfId="0" applyFont="1" applyBorder="1" applyAlignment="1">
      <alignment horizontal="center" vertical="center" wrapText="1"/>
    </xf>
    <xf numFmtId="0" fontId="22" fillId="0" borderId="128" xfId="0" applyFont="1" applyBorder="1" applyAlignment="1">
      <alignment horizontal="center" vertical="center" wrapText="1"/>
    </xf>
    <xf numFmtId="0" fontId="22" fillId="0" borderId="87" xfId="0" applyFont="1" applyBorder="1" applyAlignment="1">
      <alignment horizontal="center" vertical="center" wrapText="1"/>
    </xf>
    <xf numFmtId="0" fontId="22" fillId="0" borderId="129" xfId="0" applyFont="1" applyBorder="1" applyAlignment="1">
      <alignment horizontal="center" vertical="center" wrapText="1"/>
    </xf>
    <xf numFmtId="0" fontId="22" fillId="0" borderId="97" xfId="0" applyFont="1" applyBorder="1" applyAlignment="1">
      <alignment horizontal="center" vertical="center" wrapText="1"/>
    </xf>
    <xf numFmtId="0" fontId="22" fillId="0" borderId="99" xfId="0" applyFont="1" applyBorder="1" applyAlignment="1">
      <alignment horizontal="center" vertical="center" wrapText="1"/>
    </xf>
    <xf numFmtId="0" fontId="22" fillId="0" borderId="103" xfId="0" applyFont="1" applyBorder="1" applyAlignment="1">
      <alignment horizontal="center" vertical="center" wrapText="1"/>
    </xf>
    <xf numFmtId="0" fontId="19" fillId="11" borderId="2" xfId="0" applyFont="1" applyFill="1" applyBorder="1" applyAlignment="1">
      <alignment horizontal="center" vertical="center" wrapText="1"/>
    </xf>
    <xf numFmtId="0" fontId="22" fillId="0" borderId="148" xfId="0" applyFont="1" applyBorder="1" applyAlignment="1">
      <alignment horizontal="center" vertical="center" wrapText="1"/>
    </xf>
    <xf numFmtId="0" fontId="22" fillId="0" borderId="153" xfId="0" applyFont="1" applyBorder="1" applyAlignment="1">
      <alignment horizontal="center" vertical="center" wrapText="1"/>
    </xf>
    <xf numFmtId="0" fontId="22" fillId="0" borderId="149" xfId="0" applyFont="1" applyBorder="1" applyAlignment="1">
      <alignment horizontal="center" vertical="center" wrapText="1"/>
    </xf>
    <xf numFmtId="0" fontId="22" fillId="0" borderId="45" xfId="0" applyFont="1" applyBorder="1" applyAlignment="1">
      <alignment horizontal="center" vertical="center" wrapText="1"/>
    </xf>
    <xf numFmtId="0" fontId="22" fillId="0" borderId="85" xfId="0" applyFont="1" applyBorder="1" applyAlignment="1">
      <alignment horizontal="center" vertical="center" wrapText="1"/>
    </xf>
    <xf numFmtId="0" fontId="22" fillId="0" borderId="92" xfId="0" applyFont="1" applyBorder="1" applyAlignment="1">
      <alignment horizontal="center" vertical="center" wrapText="1"/>
    </xf>
    <xf numFmtId="0" fontId="22" fillId="0" borderId="81" xfId="0" applyFont="1" applyBorder="1" applyAlignment="1">
      <alignment horizontal="center" vertical="center" wrapText="1"/>
    </xf>
    <xf numFmtId="0" fontId="22" fillId="0" borderId="82" xfId="0" applyFont="1" applyBorder="1" applyAlignment="1">
      <alignment horizontal="center" vertical="center" wrapText="1"/>
    </xf>
    <xf numFmtId="0" fontId="22" fillId="0" borderId="83" xfId="0" applyFont="1" applyBorder="1" applyAlignment="1">
      <alignment horizontal="center" vertical="center" wrapText="1"/>
    </xf>
    <xf numFmtId="0" fontId="22" fillId="0" borderId="130" xfId="0" applyFont="1" applyBorder="1" applyAlignment="1">
      <alignment horizontal="center" vertical="center" wrapText="1"/>
    </xf>
    <xf numFmtId="0" fontId="22" fillId="0" borderId="100" xfId="0" applyFont="1" applyBorder="1" applyAlignment="1">
      <alignment horizontal="center" vertical="center" wrapText="1"/>
    </xf>
    <xf numFmtId="0" fontId="59" fillId="0" borderId="131" xfId="0" applyFont="1" applyBorder="1" applyAlignment="1">
      <alignment horizontal="center" vertical="center" wrapText="1"/>
    </xf>
    <xf numFmtId="0" fontId="22" fillId="0" borderId="89" xfId="0" applyFont="1" applyBorder="1" applyAlignment="1">
      <alignment horizontal="center" vertical="center" wrapText="1"/>
    </xf>
    <xf numFmtId="0" fontId="22" fillId="0" borderId="79" xfId="0" applyFont="1" applyBorder="1" applyAlignment="1">
      <alignment horizontal="center" vertical="center" wrapText="1"/>
    </xf>
    <xf numFmtId="0" fontId="22" fillId="0" borderId="91" xfId="0" applyFont="1" applyBorder="1" applyAlignment="1">
      <alignment horizontal="center" vertical="center" wrapText="1"/>
    </xf>
    <xf numFmtId="0" fontId="22" fillId="0" borderId="80" xfId="0" applyFont="1" applyBorder="1" applyAlignment="1">
      <alignment horizontal="center" vertical="center"/>
    </xf>
    <xf numFmtId="0" fontId="22" fillId="0" borderId="35" xfId="0" applyFont="1" applyBorder="1" applyAlignment="1">
      <alignment horizontal="center" vertical="center"/>
    </xf>
    <xf numFmtId="0" fontId="22" fillId="0" borderId="45" xfId="0" applyFont="1" applyBorder="1" applyAlignment="1">
      <alignment horizontal="center" vertical="center"/>
    </xf>
    <xf numFmtId="0" fontId="22" fillId="0" borderId="80" xfId="0" applyFont="1" applyBorder="1" applyAlignment="1">
      <alignment horizontal="center" vertical="center" wrapText="1"/>
    </xf>
    <xf numFmtId="0" fontId="22" fillId="0" borderId="48" xfId="0" applyFont="1" applyBorder="1" applyAlignment="1">
      <alignment horizontal="center" vertical="center" wrapText="1"/>
    </xf>
    <xf numFmtId="0" fontId="22" fillId="0" borderId="93" xfId="0" applyFont="1" applyBorder="1" applyAlignment="1">
      <alignment horizontal="center" vertical="center" wrapText="1"/>
    </xf>
    <xf numFmtId="0" fontId="22" fillId="0" borderId="88" xfId="0" applyFont="1" applyBorder="1" applyAlignment="1">
      <alignment horizontal="center" vertical="center" wrapText="1"/>
    </xf>
    <xf numFmtId="0" fontId="22" fillId="0" borderId="84" xfId="0" applyFont="1" applyBorder="1" applyAlignment="1">
      <alignment horizontal="center" vertical="center" wrapText="1"/>
    </xf>
    <xf numFmtId="0" fontId="7" fillId="11" borderId="119" xfId="0" applyFont="1" applyFill="1" applyBorder="1" applyAlignment="1">
      <alignment horizontal="center" vertical="center"/>
    </xf>
    <xf numFmtId="0" fontId="7" fillId="11" borderId="0" xfId="0" applyFont="1" applyFill="1" applyAlignment="1">
      <alignment horizontal="center" vertical="center"/>
    </xf>
    <xf numFmtId="0" fontId="22" fillId="0" borderId="98" xfId="0" applyFont="1" applyBorder="1" applyAlignment="1">
      <alignment horizontal="center" vertical="center" wrapText="1"/>
    </xf>
    <xf numFmtId="0" fontId="22" fillId="0" borderId="101" xfId="0" applyFont="1" applyBorder="1" applyAlignment="1">
      <alignment horizontal="center" vertical="center" wrapText="1"/>
    </xf>
    <xf numFmtId="0" fontId="22" fillId="0" borderId="96" xfId="0" applyFont="1" applyBorder="1" applyAlignment="1">
      <alignment horizontal="center" vertical="center"/>
    </xf>
    <xf numFmtId="0" fontId="22" fillId="0" borderId="102" xfId="0" applyFont="1" applyBorder="1" applyAlignment="1">
      <alignment horizontal="center" vertical="center"/>
    </xf>
    <xf numFmtId="0" fontId="59" fillId="0" borderId="218" xfId="0" applyFont="1" applyBorder="1" applyAlignment="1">
      <alignment horizontal="center" vertical="center" wrapText="1"/>
    </xf>
    <xf numFmtId="0" fontId="59" fillId="0" borderId="219" xfId="0" applyFont="1" applyBorder="1" applyAlignment="1">
      <alignment horizontal="center" vertical="center" wrapText="1"/>
    </xf>
    <xf numFmtId="0" fontId="59" fillId="0" borderId="222" xfId="0" applyFont="1" applyBorder="1" applyAlignment="1">
      <alignment horizontal="center" vertical="center" wrapText="1"/>
    </xf>
    <xf numFmtId="0" fontId="59" fillId="0" borderId="87" xfId="0" applyFont="1" applyBorder="1" applyAlignment="1">
      <alignment horizontal="center" vertical="center"/>
    </xf>
    <xf numFmtId="0" fontId="59" fillId="0" borderId="88" xfId="0" applyFont="1" applyBorder="1" applyAlignment="1">
      <alignment horizontal="center" vertical="center"/>
    </xf>
    <xf numFmtId="0" fontId="59" fillId="0" borderId="244" xfId="0" applyFont="1" applyBorder="1" applyAlignment="1">
      <alignment horizontal="center" vertical="center" wrapText="1"/>
    </xf>
    <xf numFmtId="0" fontId="59" fillId="0" borderId="231" xfId="0" applyFont="1" applyBorder="1" applyAlignment="1">
      <alignment horizontal="center" vertical="center" wrapText="1"/>
    </xf>
    <xf numFmtId="0" fontId="59" fillId="0" borderId="232" xfId="0" applyFont="1" applyBorder="1" applyAlignment="1">
      <alignment horizontal="center" vertical="center" wrapText="1"/>
    </xf>
    <xf numFmtId="0" fontId="59" fillId="0" borderId="106" xfId="0" applyFont="1" applyBorder="1" applyAlignment="1">
      <alignment horizontal="center" vertical="center" wrapText="1"/>
    </xf>
    <xf numFmtId="0" fontId="59" fillId="0" borderId="83" xfId="0" applyFont="1" applyBorder="1" applyAlignment="1">
      <alignment horizontal="center" vertical="center" wrapText="1"/>
    </xf>
    <xf numFmtId="0" fontId="59" fillId="0" borderId="233" xfId="0" applyFont="1" applyBorder="1" applyAlignment="1">
      <alignment horizontal="center" vertical="center" wrapText="1"/>
    </xf>
    <xf numFmtId="0" fontId="59" fillId="0" borderId="124" xfId="0" applyFont="1" applyBorder="1" applyAlignment="1">
      <alignment horizontal="center" vertical="center"/>
    </xf>
    <xf numFmtId="0" fontId="59" fillId="0" borderId="125" xfId="0" applyFont="1" applyBorder="1" applyAlignment="1">
      <alignment horizontal="center" vertical="center"/>
    </xf>
    <xf numFmtId="0" fontId="59" fillId="0" borderId="126" xfId="0" applyFont="1" applyBorder="1" applyAlignment="1">
      <alignment horizontal="center" vertical="center"/>
    </xf>
    <xf numFmtId="0" fontId="59" fillId="0" borderId="111" xfId="0" applyFont="1" applyBorder="1" applyAlignment="1">
      <alignment horizontal="center" vertical="center" wrapText="1"/>
    </xf>
    <xf numFmtId="0" fontId="59" fillId="0" borderId="104" xfId="0" applyFont="1" applyBorder="1" applyAlignment="1">
      <alignment horizontal="center" vertical="center" wrapText="1"/>
    </xf>
    <xf numFmtId="0" fontId="59" fillId="0" borderId="112" xfId="0" applyFont="1" applyBorder="1" applyAlignment="1">
      <alignment horizontal="center" vertical="center" wrapText="1"/>
    </xf>
    <xf numFmtId="0" fontId="59" fillId="0" borderId="114" xfId="0" applyFont="1" applyBorder="1" applyAlignment="1">
      <alignment horizontal="center" vertical="center" wrapText="1"/>
    </xf>
    <xf numFmtId="0" fontId="59" fillId="0" borderId="14" xfId="0" applyFont="1" applyBorder="1" applyAlignment="1">
      <alignment horizontal="center" vertical="center" wrapText="1"/>
    </xf>
    <xf numFmtId="0" fontId="59" fillId="0" borderId="239" xfId="0" applyFont="1" applyBorder="1" applyAlignment="1">
      <alignment horizontal="center" vertical="center" wrapText="1"/>
    </xf>
    <xf numFmtId="0" fontId="59" fillId="0" borderId="95" xfId="0" applyFont="1" applyBorder="1" applyAlignment="1">
      <alignment horizontal="center" vertical="center" wrapText="1"/>
    </xf>
    <xf numFmtId="0" fontId="59" fillId="0" borderId="98" xfId="0" applyFont="1" applyBorder="1" applyAlignment="1">
      <alignment horizontal="center" vertical="center" wrapText="1"/>
    </xf>
    <xf numFmtId="0" fontId="59" fillId="0" borderId="101" xfId="0" applyFont="1" applyBorder="1" applyAlignment="1">
      <alignment horizontal="center" vertical="center" wrapText="1"/>
    </xf>
    <xf numFmtId="0" fontId="59" fillId="0" borderId="228" xfId="0" applyFont="1" applyBorder="1" applyAlignment="1">
      <alignment horizontal="center" vertical="center"/>
    </xf>
    <xf numFmtId="0" fontId="59" fillId="0" borderId="129" xfId="0" applyFont="1" applyBorder="1" applyAlignment="1">
      <alignment horizontal="center" vertical="center"/>
    </xf>
    <xf numFmtId="0" fontId="59" fillId="0" borderId="234" xfId="0" applyFont="1" applyBorder="1" applyAlignment="1">
      <alignment horizontal="center" vertical="center" wrapText="1"/>
    </xf>
    <xf numFmtId="0" fontId="59" fillId="0" borderId="236" xfId="0" applyFont="1" applyBorder="1" applyAlignment="1">
      <alignment horizontal="center" vertical="center" wrapText="1"/>
    </xf>
    <xf numFmtId="0" fontId="59" fillId="0" borderId="240" xfId="0" applyFont="1" applyBorder="1" applyAlignment="1">
      <alignment horizontal="center" vertical="center" wrapText="1"/>
    </xf>
    <xf numFmtId="0" fontId="59" fillId="0" borderId="224" xfId="0" applyFont="1" applyBorder="1" applyAlignment="1">
      <alignment horizontal="center" vertical="center"/>
    </xf>
    <xf numFmtId="0" fontId="59" fillId="0" borderId="80" xfId="0" applyFont="1" applyBorder="1" applyAlignment="1">
      <alignment horizontal="center" vertical="center" wrapText="1"/>
    </xf>
    <xf numFmtId="0" fontId="59" fillId="0" borderId="225" xfId="0" applyFont="1" applyBorder="1" applyAlignment="1">
      <alignment horizontal="center" vertical="center" wrapText="1"/>
    </xf>
    <xf numFmtId="0" fontId="59" fillId="0" borderId="220" xfId="0" applyFont="1" applyBorder="1" applyAlignment="1">
      <alignment horizontal="center" vertical="center" wrapText="1"/>
    </xf>
    <xf numFmtId="0" fontId="59" fillId="0" borderId="221" xfId="0" applyFont="1" applyBorder="1" applyAlignment="1">
      <alignment horizontal="center" vertical="center"/>
    </xf>
    <xf numFmtId="0" fontId="59" fillId="0" borderId="226" xfId="0" applyFont="1" applyBorder="1" applyAlignment="1">
      <alignment horizontal="center" vertical="center" wrapText="1"/>
    </xf>
    <xf numFmtId="0" fontId="59" fillId="0" borderId="130" xfId="0" applyFont="1" applyBorder="1" applyAlignment="1">
      <alignment horizontal="center" vertical="center" wrapText="1"/>
    </xf>
    <xf numFmtId="0" fontId="59" fillId="0" borderId="85" xfId="0" applyFont="1" applyBorder="1" applyAlignment="1">
      <alignment horizontal="center" vertical="center" wrapText="1"/>
    </xf>
    <xf numFmtId="0" fontId="59" fillId="0" borderId="114" xfId="0" applyFont="1" applyBorder="1" applyAlignment="1">
      <alignment horizontal="center" vertical="center"/>
    </xf>
    <xf numFmtId="0" fontId="59" fillId="0" borderId="14" xfId="0" applyFont="1" applyBorder="1" applyAlignment="1">
      <alignment horizontal="center" vertical="center"/>
    </xf>
    <xf numFmtId="0" fontId="59" fillId="0" borderId="116" xfId="0" applyFont="1" applyBorder="1" applyAlignment="1">
      <alignment horizontal="center" vertical="center" wrapText="1"/>
    </xf>
    <xf numFmtId="0" fontId="59" fillId="0" borderId="156" xfId="0" applyFont="1" applyBorder="1" applyAlignment="1">
      <alignment horizontal="center" vertical="center" wrapText="1"/>
    </xf>
    <xf numFmtId="0" fontId="59" fillId="0" borderId="27" xfId="0" applyFont="1" applyBorder="1" applyAlignment="1">
      <alignment horizontal="center" vertical="center" wrapText="1"/>
    </xf>
    <xf numFmtId="0" fontId="59" fillId="0" borderId="143" xfId="0" applyFont="1" applyBorder="1" applyAlignment="1">
      <alignment horizontal="center" vertical="center" wrapText="1"/>
    </xf>
    <xf numFmtId="0" fontId="59" fillId="0" borderId="81" xfId="0" applyFont="1" applyBorder="1" applyAlignment="1">
      <alignment horizontal="center" vertical="center" wrapText="1"/>
    </xf>
    <xf numFmtId="0" fontId="59" fillId="0" borderId="82" xfId="0" applyFont="1" applyBorder="1" applyAlignment="1">
      <alignment horizontal="center" vertical="center" wrapText="1"/>
    </xf>
    <xf numFmtId="0" fontId="6" fillId="0" borderId="135" xfId="0" applyFont="1" applyBorder="1" applyAlignment="1">
      <alignment horizontal="center" vertical="center"/>
    </xf>
    <xf numFmtId="0" fontId="6" fillId="0" borderId="136" xfId="0" applyFont="1" applyBorder="1" applyAlignment="1">
      <alignment horizontal="center" vertical="center"/>
    </xf>
    <xf numFmtId="0" fontId="21" fillId="0" borderId="135" xfId="0" applyFont="1" applyBorder="1" applyAlignment="1">
      <alignment horizontal="center" vertical="center"/>
    </xf>
    <xf numFmtId="0" fontId="21" fillId="0" borderId="136" xfId="0" applyFont="1" applyBorder="1" applyAlignment="1">
      <alignment horizontal="center" vertical="center"/>
    </xf>
    <xf numFmtId="0" fontId="31" fillId="14" borderId="0" xfId="0" applyFont="1" applyFill="1" applyAlignment="1">
      <alignment horizontal="center" vertical="center"/>
    </xf>
    <xf numFmtId="0" fontId="31" fillId="14" borderId="115" xfId="0" applyFont="1" applyFill="1" applyBorder="1" applyAlignment="1">
      <alignment horizontal="center" vertical="center"/>
    </xf>
    <xf numFmtId="9" fontId="6" fillId="0" borderId="31" xfId="2" applyFont="1" applyFill="1" applyBorder="1" applyAlignment="1">
      <alignment horizontal="center" vertical="center"/>
    </xf>
    <xf numFmtId="9" fontId="6" fillId="0" borderId="21" xfId="2" applyFont="1" applyFill="1" applyBorder="1" applyAlignment="1">
      <alignment horizontal="center" vertical="center"/>
    </xf>
    <xf numFmtId="9" fontId="6" fillId="0" borderId="22" xfId="2" applyFont="1" applyFill="1" applyBorder="1" applyAlignment="1">
      <alignment horizontal="center" vertical="center"/>
    </xf>
    <xf numFmtId="0" fontId="6" fillId="0" borderId="11" xfId="0" applyFont="1" applyBorder="1" applyAlignment="1">
      <alignment horizontal="center" vertical="center"/>
    </xf>
    <xf numFmtId="0" fontId="6" fillId="0" borderId="0" xfId="0" applyFont="1" applyAlignment="1">
      <alignment horizontal="center" vertical="center"/>
    </xf>
    <xf numFmtId="0" fontId="6" fillId="0" borderId="34" xfId="0" applyFont="1" applyBorder="1" applyAlignment="1">
      <alignment horizontal="center" vertical="center"/>
    </xf>
    <xf numFmtId="0" fontId="23" fillId="11" borderId="2" xfId="0" applyFont="1" applyFill="1" applyBorder="1" applyAlignment="1">
      <alignment horizontal="center" vertical="center"/>
    </xf>
    <xf numFmtId="0" fontId="0" fillId="0" borderId="0" xfId="0" applyAlignment="1">
      <alignment horizontal="center"/>
    </xf>
  </cellXfs>
  <cellStyles count="57">
    <cellStyle name="20% - Accent1" xfId="29" builtinId="30" customBuiltin="1"/>
    <cellStyle name="20% - Accent2" xfId="32" builtinId="34" customBuiltin="1"/>
    <cellStyle name="20% - Accent3" xfId="35" builtinId="38" customBuiltin="1"/>
    <cellStyle name="20% - Accent4" xfId="38" builtinId="42" customBuiltin="1"/>
    <cellStyle name="20% - Accent5" xfId="41" builtinId="46" customBuiltin="1"/>
    <cellStyle name="20% - Accent6" xfId="44" builtinId="50" customBuiltin="1"/>
    <cellStyle name="40% - Accent1" xfId="30" builtinId="31" customBuiltin="1"/>
    <cellStyle name="40% - Accent2" xfId="33" builtinId="35" customBuiltin="1"/>
    <cellStyle name="40% - Accent3" xfId="36" builtinId="39" customBuiltin="1"/>
    <cellStyle name="40% - Accent4" xfId="39" builtinId="43" customBuiltin="1"/>
    <cellStyle name="40% - Accent5" xfId="42" builtinId="47" customBuiltin="1"/>
    <cellStyle name="40% - Accent6" xfId="45" builtinId="51" customBuiltin="1"/>
    <cellStyle name="60% - Accent1 2" xfId="48" xr:uid="{874909A9-6B6C-4ED3-AEEF-7FB802EDD672}"/>
    <cellStyle name="60% - Accent2 2" xfId="49" xr:uid="{551EE961-B200-442F-8E70-43348D80993C}"/>
    <cellStyle name="60% - Accent3 2" xfId="50" xr:uid="{D43732E8-CB5B-4914-8A74-FB6CF190AA60}"/>
    <cellStyle name="60% - Accent4 2" xfId="51" xr:uid="{7CA9A3AF-F1FA-4BCC-98BF-66D8D8016BFE}"/>
    <cellStyle name="60% - Accent5 2" xfId="52" xr:uid="{A7F421C6-D5E5-4280-ADE4-5B119369A8F6}"/>
    <cellStyle name="60% - Accent6 2" xfId="53" xr:uid="{68C62149-6229-4222-A172-EE59CBC8D235}"/>
    <cellStyle name="Accent1" xfId="28" builtinId="29" customBuiltin="1"/>
    <cellStyle name="Accent2" xfId="31" builtinId="33" customBuiltin="1"/>
    <cellStyle name="Accent3" xfId="34" builtinId="37" customBuiltin="1"/>
    <cellStyle name="Accent4" xfId="37" builtinId="41" customBuiltin="1"/>
    <cellStyle name="Accent5" xfId="40" builtinId="45" customBuiltin="1"/>
    <cellStyle name="Accent6" xfId="43" builtinId="49" customBuiltin="1"/>
    <cellStyle name="Bad" xfId="18" builtinId="27" customBuiltin="1"/>
    <cellStyle name="Calculation" xfId="21" builtinId="22" customBuiltin="1"/>
    <cellStyle name="Check Cell" xfId="23" builtinId="23" customBuiltin="1"/>
    <cellStyle name="Comma" xfId="6" builtinId="3"/>
    <cellStyle name="Explanatory Text" xfId="26" builtinId="53" customBuiltin="1"/>
    <cellStyle name="Good" xfId="17" builtinId="26" customBuiltin="1"/>
    <cellStyle name="Heading 1" xfId="13" builtinId="16" customBuiltin="1"/>
    <cellStyle name="Heading 2" xfId="14" builtinId="17" customBuiltin="1"/>
    <cellStyle name="Heading 3" xfId="15" builtinId="18" customBuiltin="1"/>
    <cellStyle name="Heading 4" xfId="16" builtinId="19" customBuiltin="1"/>
    <cellStyle name="Hyperlink" xfId="5" builtinId="8"/>
    <cellStyle name="Hyperlink 2" xfId="10" xr:uid="{10C1E3C0-F46B-4E25-BD9A-EE5D62F88FF2}"/>
    <cellStyle name="Input" xfId="19" builtinId="20" customBuiltin="1"/>
    <cellStyle name="Linked Cell" xfId="22" builtinId="24" customBuiltin="1"/>
    <cellStyle name="Neutral 2" xfId="47" xr:uid="{DDF4F503-C0CF-4195-9257-4F45B68F3098}"/>
    <cellStyle name="Normal" xfId="0" builtinId="0"/>
    <cellStyle name="Normal 2" xfId="3" xr:uid="{E38C2638-0821-4BB2-9C33-A89D3950ADA6}"/>
    <cellStyle name="Normal 2 2" xfId="4" xr:uid="{7604919E-E68F-4366-A693-6A7B8B8DA661}"/>
    <cellStyle name="Normal 2 3" xfId="9" xr:uid="{8A1E39CD-7ABA-4D79-A464-67010D1209C1}"/>
    <cellStyle name="Normal 2 4" xfId="55" xr:uid="{E96257D3-C98A-4AC9-A7B2-E6BDC6978BF6}"/>
    <cellStyle name="Normal 3" xfId="7" xr:uid="{1C10DAE4-4F9C-4E19-81E4-5574511A6741}"/>
    <cellStyle name="Normal 4" xfId="11" xr:uid="{43272557-B37F-4996-BC18-AA3EDEAFA379}"/>
    <cellStyle name="Normal 5" xfId="12" xr:uid="{642BE191-BE2F-4847-8420-1C59B95E270E}"/>
    <cellStyle name="Normal 6" xfId="54" xr:uid="{7585D5C8-B005-4741-8680-972F49B8AC32}"/>
    <cellStyle name="Normal 7" xfId="56" xr:uid="{BE3B776A-1F96-4D25-A223-86D9BF67428E}"/>
    <cellStyle name="Normal_Prototype_Scorecard-LgOffice-2008-03-13" xfId="1" xr:uid="{F839F8A1-86E5-4008-9801-0F032E8A3317}"/>
    <cellStyle name="Note" xfId="25" builtinId="10" customBuiltin="1"/>
    <cellStyle name="Output" xfId="20" builtinId="21" customBuiltin="1"/>
    <cellStyle name="Percent" xfId="2" builtinId="5"/>
    <cellStyle name="Percent 2" xfId="8" xr:uid="{CB789C3E-741F-4464-8065-385A956411E6}"/>
    <cellStyle name="Title 2" xfId="46" xr:uid="{5A7D0C32-8F4B-497D-90E5-7131264DDEAA}"/>
    <cellStyle name="Total" xfId="27" builtinId="25" customBuiltin="1"/>
    <cellStyle name="Warning Text" xfId="24" builtinId="11" customBuiltin="1"/>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8C8B8B"/>
      <color rgb="FF949191"/>
      <color rgb="FFBFBFBF"/>
      <color rgb="FFA6A6A6"/>
      <color rgb="FFD9E1F2"/>
      <color rgb="FF203764"/>
      <color rgb="FF002F8E"/>
      <color rgb="FF0000CC"/>
      <color rgb="FF2DC8FF"/>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Occupancy</a:t>
            </a:r>
            <a:endParaRPr lang="en-US" sz="1000" b="0" i="0" u="none" strike="noStrike" kern="1200" spc="0" baseline="0">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0.34138296291730452"/>
          <c:y val="7.106572127710821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General</c:formatCode>
                <c:ptCount val="24"/>
                <c:pt idx="0">
                  <c:v>0</c:v>
                </c:pt>
                <c:pt idx="1">
                  <c:v>0</c:v>
                </c:pt>
                <c:pt idx="2">
                  <c:v>0</c:v>
                </c:pt>
                <c:pt idx="3">
                  <c:v>0</c:v>
                </c:pt>
                <c:pt idx="4">
                  <c:v>0</c:v>
                </c:pt>
                <c:pt idx="5">
                  <c:v>0.05</c:v>
                </c:pt>
                <c:pt idx="6">
                  <c:v>0.1</c:v>
                </c:pt>
                <c:pt idx="7">
                  <c:v>0.15</c:v>
                </c:pt>
                <c:pt idx="8">
                  <c:v>0.2</c:v>
                </c:pt>
                <c:pt idx="9">
                  <c:v>0.3</c:v>
                </c:pt>
                <c:pt idx="10">
                  <c:v>0.4</c:v>
                </c:pt>
                <c:pt idx="11">
                  <c:v>0.5</c:v>
                </c:pt>
                <c:pt idx="12">
                  <c:v>0.6</c:v>
                </c:pt>
                <c:pt idx="13">
                  <c:v>0.6</c:v>
                </c:pt>
                <c:pt idx="14">
                  <c:v>0.6</c:v>
                </c:pt>
                <c:pt idx="15">
                  <c:v>0.6</c:v>
                </c:pt>
                <c:pt idx="16">
                  <c:v>0.7</c:v>
                </c:pt>
                <c:pt idx="17">
                  <c:v>0.8</c:v>
                </c:pt>
                <c:pt idx="18">
                  <c:v>0.8</c:v>
                </c:pt>
                <c:pt idx="19">
                  <c:v>0.8</c:v>
                </c:pt>
                <c:pt idx="20">
                  <c:v>0.6</c:v>
                </c:pt>
                <c:pt idx="21">
                  <c:v>0.3</c:v>
                </c:pt>
                <c:pt idx="22">
                  <c:v>0.1</c:v>
                </c:pt>
                <c:pt idx="23">
                  <c:v>0.05</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General</c:formatCode>
                <c:ptCount val="24"/>
                <c:pt idx="0">
                  <c:v>0</c:v>
                </c:pt>
                <c:pt idx="1">
                  <c:v>0</c:v>
                </c:pt>
                <c:pt idx="2">
                  <c:v>0</c:v>
                </c:pt>
                <c:pt idx="3">
                  <c:v>0</c:v>
                </c:pt>
                <c:pt idx="4">
                  <c:v>0</c:v>
                </c:pt>
                <c:pt idx="5">
                  <c:v>0.05</c:v>
                </c:pt>
                <c:pt idx="6">
                  <c:v>0.1</c:v>
                </c:pt>
                <c:pt idx="7">
                  <c:v>0.2</c:v>
                </c:pt>
                <c:pt idx="8">
                  <c:v>0.3</c:v>
                </c:pt>
                <c:pt idx="9">
                  <c:v>0.5</c:v>
                </c:pt>
                <c:pt idx="10">
                  <c:v>0.7</c:v>
                </c:pt>
                <c:pt idx="11">
                  <c:v>0.8</c:v>
                </c:pt>
                <c:pt idx="12">
                  <c:v>0.9</c:v>
                </c:pt>
                <c:pt idx="13">
                  <c:v>0.9</c:v>
                </c:pt>
                <c:pt idx="14">
                  <c:v>0.9</c:v>
                </c:pt>
                <c:pt idx="15">
                  <c:v>0.9</c:v>
                </c:pt>
                <c:pt idx="16">
                  <c:v>0.9</c:v>
                </c:pt>
                <c:pt idx="17">
                  <c:v>0.9</c:v>
                </c:pt>
                <c:pt idx="18">
                  <c:v>0.8</c:v>
                </c:pt>
                <c:pt idx="19">
                  <c:v>0.7</c:v>
                </c:pt>
                <c:pt idx="20">
                  <c:v>0.6</c:v>
                </c:pt>
                <c:pt idx="21">
                  <c:v>0.5</c:v>
                </c:pt>
                <c:pt idx="22">
                  <c:v>0.3</c:v>
                </c:pt>
                <c:pt idx="23">
                  <c:v>0.1</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General</c:formatCode>
                <c:ptCount val="24"/>
                <c:pt idx="0">
                  <c:v>0</c:v>
                </c:pt>
                <c:pt idx="1">
                  <c:v>0</c:v>
                </c:pt>
                <c:pt idx="2">
                  <c:v>0</c:v>
                </c:pt>
                <c:pt idx="3">
                  <c:v>0</c:v>
                </c:pt>
                <c:pt idx="4">
                  <c:v>0</c:v>
                </c:pt>
                <c:pt idx="5">
                  <c:v>0.05</c:v>
                </c:pt>
                <c:pt idx="6">
                  <c:v>0.1</c:v>
                </c:pt>
                <c:pt idx="7">
                  <c:v>0.2</c:v>
                </c:pt>
                <c:pt idx="8">
                  <c:v>0.3</c:v>
                </c:pt>
                <c:pt idx="9">
                  <c:v>0.5</c:v>
                </c:pt>
                <c:pt idx="10">
                  <c:v>0.7</c:v>
                </c:pt>
                <c:pt idx="11">
                  <c:v>0.8</c:v>
                </c:pt>
                <c:pt idx="12">
                  <c:v>0.9</c:v>
                </c:pt>
                <c:pt idx="13">
                  <c:v>0.9</c:v>
                </c:pt>
                <c:pt idx="14">
                  <c:v>0.9</c:v>
                </c:pt>
                <c:pt idx="15">
                  <c:v>0.9</c:v>
                </c:pt>
                <c:pt idx="16">
                  <c:v>0.9</c:v>
                </c:pt>
                <c:pt idx="17">
                  <c:v>0.9</c:v>
                </c:pt>
                <c:pt idx="18">
                  <c:v>0.8</c:v>
                </c:pt>
                <c:pt idx="19">
                  <c:v>0.7</c:v>
                </c:pt>
                <c:pt idx="20">
                  <c:v>0.6</c:v>
                </c:pt>
                <c:pt idx="21">
                  <c:v>0.5</c:v>
                </c:pt>
                <c:pt idx="22">
                  <c:v>0.3</c:v>
                </c:pt>
                <c:pt idx="23">
                  <c:v>0.1</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0.7</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0.7</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0.7</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0.4</c:v>
                </c:pt>
                <c:pt idx="1">
                  <c:v>0.4</c:v>
                </c:pt>
                <c:pt idx="2">
                  <c:v>0.4</c:v>
                </c:pt>
                <c:pt idx="3">
                  <c:v>0.4</c:v>
                </c:pt>
                <c:pt idx="4">
                  <c:v>0.4</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0.4</c:v>
                </c:pt>
                <c:pt idx="1">
                  <c:v>0.4</c:v>
                </c:pt>
                <c:pt idx="2">
                  <c:v>0.4</c:v>
                </c:pt>
                <c:pt idx="3">
                  <c:v>0.4</c:v>
                </c:pt>
                <c:pt idx="4">
                  <c:v>0.4</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0.4</c:v>
                </c:pt>
                <c:pt idx="1">
                  <c:v>0.4</c:v>
                </c:pt>
                <c:pt idx="2">
                  <c:v>0.4</c:v>
                </c:pt>
                <c:pt idx="3">
                  <c:v>0.4</c:v>
                </c:pt>
                <c:pt idx="4">
                  <c:v>0.4</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Retail Grocery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tx>
            <c:v>Series One</c:v>
          </c:tx>
          <c:spPr>
            <a:noFill/>
            <a:ln w="25400">
              <a:noFill/>
            </a:ln>
            <a:effectLst/>
          </c:spPr>
          <c:invertIfNegative val="0"/>
          <c:val>
            <c:numRef>
              <c:f>'Energy Usage'!$U$3:$U$18</c:f>
              <c:numCache>
                <c:formatCode>0.00</c:formatCode>
                <c:ptCount val="16"/>
                <c:pt idx="0">
                  <c:v>36.235439999999997</c:v>
                </c:pt>
                <c:pt idx="1">
                  <c:v>31.091849999999997</c:v>
                </c:pt>
                <c:pt idx="2">
                  <c:v>35.00712</c:v>
                </c:pt>
                <c:pt idx="3">
                  <c:v>35.263020000000004</c:v>
                </c:pt>
                <c:pt idx="4">
                  <c:v>34.751220000000004</c:v>
                </c:pt>
                <c:pt idx="5">
                  <c:v>25.462049999999998</c:v>
                </c:pt>
                <c:pt idx="6">
                  <c:v>28.737570000000002</c:v>
                </c:pt>
                <c:pt idx="7">
                  <c:v>25.103789999999996</c:v>
                </c:pt>
                <c:pt idx="8">
                  <c:v>27.6372</c:v>
                </c:pt>
                <c:pt idx="9">
                  <c:v>27.739560000000001</c:v>
                </c:pt>
                <c:pt idx="10">
                  <c:v>34.085880000000003</c:v>
                </c:pt>
                <c:pt idx="11">
                  <c:v>35.49333</c:v>
                </c:pt>
                <c:pt idx="12">
                  <c:v>38.410589999999999</c:v>
                </c:pt>
                <c:pt idx="13">
                  <c:v>25.282919999999997</c:v>
                </c:pt>
                <c:pt idx="14">
                  <c:v>31.782780000000002</c:v>
                </c:pt>
                <c:pt idx="15">
                  <c:v>28.558439999999997</c:v>
                </c:pt>
              </c:numCache>
            </c:numRef>
          </c:val>
          <c:extLst>
            <c:ext xmlns:c16="http://schemas.microsoft.com/office/drawing/2014/chart" uri="{C3380CC4-5D6E-409C-BE32-E72D297353CC}">
              <c16:uniqueId val="{00000000-D05A-4ED2-900A-3C0BE55F76DE}"/>
            </c:ext>
          </c:extLst>
        </c:ser>
        <c:ser>
          <c:idx val="2"/>
          <c:order val="1"/>
          <c:tx>
            <c:strRef>
              <c:f>'Energy Usage'!$V$2</c:f>
              <c:strCache>
                <c:ptCount val="1"/>
                <c:pt idx="0">
                  <c:v>CEUS 2022 Acceptable Range</c:v>
                </c:pt>
              </c:strCache>
            </c:strRef>
          </c:tx>
          <c:spPr>
            <a:solidFill>
              <a:srgbClr val="FFE699"/>
            </a:solidFill>
            <a:ln>
              <a:solidFill>
                <a:srgbClr val="FFE699"/>
              </a:solidFill>
              <a:prstDash val="solid"/>
            </a:ln>
            <a:effectLst/>
          </c:spPr>
          <c:invertIfNegative val="0"/>
          <c:val>
            <c:numRef>
              <c:f>'Energy Usage'!$V$3:$V$18</c:f>
              <c:numCache>
                <c:formatCode>0.00</c:formatCode>
                <c:ptCount val="16"/>
                <c:pt idx="0">
                  <c:v>24.156959999999998</c:v>
                </c:pt>
                <c:pt idx="1">
                  <c:v>20.727900000000002</c:v>
                </c:pt>
                <c:pt idx="2">
                  <c:v>23.338079999999991</c:v>
                </c:pt>
                <c:pt idx="3">
                  <c:v>23.508679999999998</c:v>
                </c:pt>
                <c:pt idx="4">
                  <c:v>23.167479999999998</c:v>
                </c:pt>
                <c:pt idx="5">
                  <c:v>16.974699999999999</c:v>
                </c:pt>
                <c:pt idx="6">
                  <c:v>19.158379999999998</c:v>
                </c:pt>
                <c:pt idx="7">
                  <c:v>16.735860000000002</c:v>
                </c:pt>
                <c:pt idx="8">
                  <c:v>18.424800000000005</c:v>
                </c:pt>
                <c:pt idx="9">
                  <c:v>18.493040000000004</c:v>
                </c:pt>
                <c:pt idx="10">
                  <c:v>22.723919999999993</c:v>
                </c:pt>
                <c:pt idx="11">
                  <c:v>23.662220000000005</c:v>
                </c:pt>
                <c:pt idx="12">
                  <c:v>25.607060000000004</c:v>
                </c:pt>
                <c:pt idx="13">
                  <c:v>16.855279999999993</c:v>
                </c:pt>
                <c:pt idx="14">
                  <c:v>21.188519999999997</c:v>
                </c:pt>
                <c:pt idx="15">
                  <c:v>19.038960000000003</c:v>
                </c:pt>
              </c:numCache>
            </c:numRef>
          </c:val>
          <c:extLst>
            <c:ext xmlns:c16="http://schemas.microsoft.com/office/drawing/2014/chart" uri="{C3380CC4-5D6E-409C-BE32-E72D297353CC}">
              <c16:uniqueId val="{00000001-D05A-4ED2-900A-3C0BE55F76DE}"/>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numCache>
            </c:numRef>
          </c:yVal>
          <c:smooth val="0"/>
          <c:extLst>
            <c:ext xmlns:c16="http://schemas.microsoft.com/office/drawing/2014/chart" uri="{C3380CC4-5D6E-409C-BE32-E72D297353CC}">
              <c16:uniqueId val="{00000002-D05A-4ED2-900A-3C0BE55F76DE}"/>
            </c:ext>
          </c:extLst>
        </c:ser>
        <c:ser>
          <c:idx val="3"/>
          <c:order val="3"/>
          <c:tx>
            <c:v>New Construction Total EUI</c:v>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D05A-4ED2-900A-3C0BE55F76DE}"/>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20"/>
          <c:min val="1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Retail Grocery CalBEM Prototype vs. National Average (CBECS 2018)</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tx>
            <c:v>Series One</c:v>
          </c:tx>
          <c:spPr>
            <a:noFill/>
            <a:ln w="25400">
              <a:noFill/>
            </a:ln>
            <a:effectLst/>
          </c:spPr>
          <c:invertIfNegative val="0"/>
          <c:val>
            <c:numRef>
              <c:f>'Energy Usage'!$K$3:$K$18</c:f>
              <c:numCache>
                <c:formatCode>General</c:formatCode>
                <c:ptCount val="16"/>
                <c:pt idx="0">
                  <c:v>43.875</c:v>
                </c:pt>
                <c:pt idx="1">
                  <c:v>51.675000000000004</c:v>
                </c:pt>
                <c:pt idx="2">
                  <c:v>47.625</c:v>
                </c:pt>
                <c:pt idx="3">
                  <c:v>53.400000000000006</c:v>
                </c:pt>
                <c:pt idx="4">
                  <c:v>46.349999999999994</c:v>
                </c:pt>
                <c:pt idx="5">
                  <c:v>51.300000000000004</c:v>
                </c:pt>
                <c:pt idx="6">
                  <c:v>51.300000000000004</c:v>
                </c:pt>
                <c:pt idx="7">
                  <c:v>52.050000000000004</c:v>
                </c:pt>
                <c:pt idx="8">
                  <c:v>52.574999999999996</c:v>
                </c:pt>
                <c:pt idx="9">
                  <c:v>52.949999999999996</c:v>
                </c:pt>
                <c:pt idx="10">
                  <c:v>54.375</c:v>
                </c:pt>
                <c:pt idx="11">
                  <c:v>53.699999999999996</c:v>
                </c:pt>
                <c:pt idx="12">
                  <c:v>54.375</c:v>
                </c:pt>
                <c:pt idx="13">
                  <c:v>54.599999999999994</c:v>
                </c:pt>
                <c:pt idx="14">
                  <c:v>52.875</c:v>
                </c:pt>
                <c:pt idx="15">
                  <c:v>53.625</c:v>
                </c:pt>
              </c:numCache>
            </c:numRef>
          </c:val>
          <c:extLst>
            <c:ext xmlns:c16="http://schemas.microsoft.com/office/drawing/2014/chart" uri="{C3380CC4-5D6E-409C-BE32-E72D297353CC}">
              <c16:uniqueId val="{00000000-2692-41FB-9225-B17D3FC7AF8A}"/>
            </c:ext>
          </c:extLst>
        </c:ser>
        <c:ser>
          <c:idx val="2"/>
          <c:order val="1"/>
          <c:tx>
            <c:strRef>
              <c:f>'Energy Usage'!$L$2</c:f>
              <c:strCache>
                <c:ptCount val="1"/>
                <c:pt idx="0">
                  <c:v>National Average Acceptable Range</c:v>
                </c:pt>
              </c:strCache>
            </c:strRef>
          </c:tx>
          <c:spPr>
            <a:solidFill>
              <a:srgbClr val="CCCCFF"/>
            </a:solidFill>
            <a:ln>
              <a:solidFill>
                <a:srgbClr val="CCCCFF"/>
              </a:solidFill>
            </a:ln>
            <a:effectLst/>
          </c:spPr>
          <c:invertIfNegative val="0"/>
          <c:val>
            <c:numRef>
              <c:f>'Energy Usage'!$L$3:$L$18</c:f>
              <c:numCache>
                <c:formatCode>0.0</c:formatCode>
                <c:ptCount val="16"/>
                <c:pt idx="0">
                  <c:v>29.25</c:v>
                </c:pt>
                <c:pt idx="1">
                  <c:v>34.449999999999996</c:v>
                </c:pt>
                <c:pt idx="2">
                  <c:v>31.75</c:v>
                </c:pt>
                <c:pt idx="3">
                  <c:v>35.599999999999994</c:v>
                </c:pt>
                <c:pt idx="4">
                  <c:v>30.900000000000006</c:v>
                </c:pt>
                <c:pt idx="5">
                  <c:v>34.199999999999996</c:v>
                </c:pt>
                <c:pt idx="6">
                  <c:v>34.199999999999996</c:v>
                </c:pt>
                <c:pt idx="7">
                  <c:v>34.699999999999996</c:v>
                </c:pt>
                <c:pt idx="8">
                  <c:v>35.050000000000004</c:v>
                </c:pt>
                <c:pt idx="9">
                  <c:v>35.300000000000004</c:v>
                </c:pt>
                <c:pt idx="10">
                  <c:v>36.25</c:v>
                </c:pt>
                <c:pt idx="11">
                  <c:v>35.800000000000004</c:v>
                </c:pt>
                <c:pt idx="12">
                  <c:v>36.25</c:v>
                </c:pt>
                <c:pt idx="13">
                  <c:v>36.400000000000006</c:v>
                </c:pt>
                <c:pt idx="14">
                  <c:v>35.25</c:v>
                </c:pt>
                <c:pt idx="15">
                  <c:v>35.75</c:v>
                </c:pt>
              </c:numCache>
            </c:numRef>
          </c:val>
          <c:extLst>
            <c:ext xmlns:c16="http://schemas.microsoft.com/office/drawing/2014/chart" uri="{C3380CC4-5D6E-409C-BE32-E72D297353CC}">
              <c16:uniqueId val="{00000001-2692-41FB-9225-B17D3FC7AF8A}"/>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numCache>
            </c:numRef>
          </c:yVal>
          <c:smooth val="0"/>
          <c:extLst>
            <c:ext xmlns:c16="http://schemas.microsoft.com/office/drawing/2014/chart" uri="{C3380CC4-5D6E-409C-BE32-E72D297353CC}">
              <c16:uniqueId val="{00000002-2692-41FB-9225-B17D3FC7AF8A}"/>
            </c:ext>
          </c:extLst>
        </c:ser>
        <c:ser>
          <c:idx val="3"/>
          <c:order val="3"/>
          <c:tx>
            <c:v>New Construction Total EUI</c:v>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2692-41FB-9225-B17D3FC7AF8A}"/>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15"/>
          <c:min val="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2.png"/></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1</xdr:col>
      <xdr:colOff>52445</xdr:colOff>
      <xdr:row>46</xdr:row>
      <xdr:rowOff>392207</xdr:rowOff>
    </xdr:from>
    <xdr:to>
      <xdr:col>1</xdr:col>
      <xdr:colOff>3447399</xdr:colOff>
      <xdr:row>46</xdr:row>
      <xdr:rowOff>1447464</xdr:rowOff>
    </xdr:to>
    <xdr:pic>
      <xdr:nvPicPr>
        <xdr:cNvPr id="13" name="Picture 12">
          <a:extLst>
            <a:ext uri="{FF2B5EF4-FFF2-40B4-BE49-F238E27FC236}">
              <a16:creationId xmlns:a16="http://schemas.microsoft.com/office/drawing/2014/main" id="{45A43EB6-EA74-7A40-D04D-2373C3F149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66945" y="7575178"/>
          <a:ext cx="3408289" cy="10552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134913</xdr:colOff>
      <xdr:row>51</xdr:row>
      <xdr:rowOff>309442</xdr:rowOff>
    </xdr:from>
    <xdr:to>
      <xdr:col>4</xdr:col>
      <xdr:colOff>2716549</xdr:colOff>
      <xdr:row>51</xdr:row>
      <xdr:rowOff>1375092</xdr:rowOff>
    </xdr:to>
    <xdr:pic>
      <xdr:nvPicPr>
        <xdr:cNvPr id="15" name="Picture 14">
          <a:extLst>
            <a:ext uri="{FF2B5EF4-FFF2-40B4-BE49-F238E27FC236}">
              <a16:creationId xmlns:a16="http://schemas.microsoft.com/office/drawing/2014/main" id="{4C80B8BB-C8E3-1224-5A61-B26E99153F86}"/>
            </a:ext>
          </a:extLst>
        </xdr:cNvPr>
        <xdr:cNvPicPr>
          <a:picLocks noChangeAspect="1"/>
        </xdr:cNvPicPr>
      </xdr:nvPicPr>
      <xdr:blipFill>
        <a:blip xmlns:r="http://schemas.openxmlformats.org/officeDocument/2006/relationships" r:embed="rId2"/>
        <a:stretch>
          <a:fillRect/>
        </a:stretch>
      </xdr:blipFill>
      <xdr:spPr>
        <a:xfrm>
          <a:off x="11262354" y="7313118"/>
          <a:ext cx="2581636" cy="1065650"/>
        </a:xfrm>
        <a:prstGeom prst="rect">
          <a:avLst/>
        </a:prstGeom>
      </xdr:spPr>
    </xdr:pic>
    <xdr:clientData/>
  </xdr:twoCellAnchor>
  <xdr:twoCellAnchor>
    <xdr:from>
      <xdr:col>5</xdr:col>
      <xdr:colOff>65332</xdr:colOff>
      <xdr:row>51</xdr:row>
      <xdr:rowOff>394159</xdr:rowOff>
    </xdr:from>
    <xdr:to>
      <xdr:col>5</xdr:col>
      <xdr:colOff>3074912</xdr:colOff>
      <xdr:row>51</xdr:row>
      <xdr:rowOff>1456765</xdr:rowOff>
    </xdr:to>
    <xdr:pic>
      <xdr:nvPicPr>
        <xdr:cNvPr id="16" name="Picture 15">
          <a:extLst>
            <a:ext uri="{FF2B5EF4-FFF2-40B4-BE49-F238E27FC236}">
              <a16:creationId xmlns:a16="http://schemas.microsoft.com/office/drawing/2014/main" id="{9E1D8925-688A-4941-ED2C-716B0ECC504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330420" y="7397835"/>
          <a:ext cx="3009580" cy="10626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201709</xdr:colOff>
      <xdr:row>32</xdr:row>
      <xdr:rowOff>51539</xdr:rowOff>
    </xdr:from>
    <xdr:to>
      <xdr:col>1</xdr:col>
      <xdr:colOff>3162910</xdr:colOff>
      <xdr:row>32</xdr:row>
      <xdr:rowOff>1226036</xdr:rowOff>
    </xdr:to>
    <xdr:pic>
      <xdr:nvPicPr>
        <xdr:cNvPr id="18" name="Picture 17">
          <a:extLst>
            <a:ext uri="{FF2B5EF4-FFF2-40B4-BE49-F238E27FC236}">
              <a16:creationId xmlns:a16="http://schemas.microsoft.com/office/drawing/2014/main" id="{3AFA9C98-B3B3-F63D-E38E-23943B91C609}"/>
            </a:ext>
          </a:extLst>
        </xdr:cNvPr>
        <xdr:cNvPicPr>
          <a:picLocks noChangeAspect="1"/>
        </xdr:cNvPicPr>
      </xdr:nvPicPr>
      <xdr:blipFill>
        <a:blip xmlns:r="http://schemas.openxmlformats.org/officeDocument/2006/relationships" r:embed="rId4"/>
        <a:stretch>
          <a:fillRect/>
        </a:stretch>
      </xdr:blipFill>
      <xdr:spPr>
        <a:xfrm>
          <a:off x="2084297" y="6976774"/>
          <a:ext cx="2961201" cy="1174497"/>
        </a:xfrm>
        <a:prstGeom prst="rect">
          <a:avLst/>
        </a:prstGeom>
      </xdr:spPr>
    </xdr:pic>
    <xdr:clientData/>
  </xdr:twoCellAnchor>
  <xdr:twoCellAnchor>
    <xdr:from>
      <xdr:col>1</xdr:col>
      <xdr:colOff>241792</xdr:colOff>
      <xdr:row>51</xdr:row>
      <xdr:rowOff>254179</xdr:rowOff>
    </xdr:from>
    <xdr:to>
      <xdr:col>1</xdr:col>
      <xdr:colOff>2870167</xdr:colOff>
      <xdr:row>51</xdr:row>
      <xdr:rowOff>1362745</xdr:rowOff>
    </xdr:to>
    <xdr:pic>
      <xdr:nvPicPr>
        <xdr:cNvPr id="19" name="Picture 18">
          <a:extLst>
            <a:ext uri="{FF2B5EF4-FFF2-40B4-BE49-F238E27FC236}">
              <a16:creationId xmlns:a16="http://schemas.microsoft.com/office/drawing/2014/main" id="{47AF1A39-050B-8441-BE75-39849A3D7339}"/>
            </a:ext>
          </a:extLst>
        </xdr:cNvPr>
        <xdr:cNvPicPr>
          <a:picLocks noChangeAspect="1"/>
        </xdr:cNvPicPr>
      </xdr:nvPicPr>
      <xdr:blipFill>
        <a:blip xmlns:r="http://schemas.openxmlformats.org/officeDocument/2006/relationships" r:embed="rId5"/>
        <a:stretch>
          <a:fillRect/>
        </a:stretch>
      </xdr:blipFill>
      <xdr:spPr>
        <a:xfrm>
          <a:off x="8433292" y="7257855"/>
          <a:ext cx="2628375" cy="1108566"/>
        </a:xfrm>
        <a:prstGeom prst="rect">
          <a:avLst/>
        </a:prstGeom>
      </xdr:spPr>
    </xdr:pic>
    <xdr:clientData/>
  </xdr:twoCellAnchor>
  <xdr:twoCellAnchor>
    <xdr:from>
      <xdr:col>1</xdr:col>
      <xdr:colOff>313765</xdr:colOff>
      <xdr:row>56</xdr:row>
      <xdr:rowOff>252299</xdr:rowOff>
    </xdr:from>
    <xdr:to>
      <xdr:col>1</xdr:col>
      <xdr:colOff>2761056</xdr:colOff>
      <xdr:row>56</xdr:row>
      <xdr:rowOff>1540809</xdr:rowOff>
    </xdr:to>
    <xdr:pic>
      <xdr:nvPicPr>
        <xdr:cNvPr id="20" name="Picture 19">
          <a:extLst>
            <a:ext uri="{FF2B5EF4-FFF2-40B4-BE49-F238E27FC236}">
              <a16:creationId xmlns:a16="http://schemas.microsoft.com/office/drawing/2014/main" id="{367EE4C1-741C-1A7C-A298-0D09B6F94333}"/>
            </a:ext>
          </a:extLst>
        </xdr:cNvPr>
        <xdr:cNvPicPr>
          <a:picLocks noChangeAspect="1"/>
        </xdr:cNvPicPr>
      </xdr:nvPicPr>
      <xdr:blipFill>
        <a:blip xmlns:r="http://schemas.openxmlformats.org/officeDocument/2006/relationships" r:embed="rId6"/>
        <a:stretch>
          <a:fillRect/>
        </a:stretch>
      </xdr:blipFill>
      <xdr:spPr>
        <a:xfrm>
          <a:off x="8964706" y="7435270"/>
          <a:ext cx="2451101" cy="1284700"/>
        </a:xfrm>
        <a:prstGeom prst="rect">
          <a:avLst/>
        </a:prstGeom>
      </xdr:spPr>
    </xdr:pic>
    <xdr:clientData/>
  </xdr:twoCellAnchor>
  <xdr:twoCellAnchor>
    <xdr:from>
      <xdr:col>2</xdr:col>
      <xdr:colOff>114734</xdr:colOff>
      <xdr:row>56</xdr:row>
      <xdr:rowOff>54125</xdr:rowOff>
    </xdr:from>
    <xdr:to>
      <xdr:col>2</xdr:col>
      <xdr:colOff>2454088</xdr:colOff>
      <xdr:row>56</xdr:row>
      <xdr:rowOff>1555991</xdr:rowOff>
    </xdr:to>
    <xdr:pic>
      <xdr:nvPicPr>
        <xdr:cNvPr id="21" name="Picture 20">
          <a:extLst>
            <a:ext uri="{FF2B5EF4-FFF2-40B4-BE49-F238E27FC236}">
              <a16:creationId xmlns:a16="http://schemas.microsoft.com/office/drawing/2014/main" id="{CF6F9B66-C6E0-4EEA-AB60-D8D93953091B}"/>
            </a:ext>
          </a:extLst>
        </xdr:cNvPr>
        <xdr:cNvPicPr>
          <a:picLocks noChangeAspect="1"/>
        </xdr:cNvPicPr>
      </xdr:nvPicPr>
      <xdr:blipFill>
        <a:blip xmlns:r="http://schemas.openxmlformats.org/officeDocument/2006/relationships" r:embed="rId7"/>
        <a:stretch>
          <a:fillRect/>
        </a:stretch>
      </xdr:blipFill>
      <xdr:spPr>
        <a:xfrm>
          <a:off x="23714322" y="7057801"/>
          <a:ext cx="2339354" cy="1501866"/>
        </a:xfrm>
        <a:prstGeom prst="rect">
          <a:avLst/>
        </a:prstGeom>
      </xdr:spPr>
    </xdr:pic>
    <xdr:clientData/>
  </xdr:twoCellAnchor>
  <xdr:twoCellAnchor>
    <xdr:from>
      <xdr:col>2</xdr:col>
      <xdr:colOff>218179</xdr:colOff>
      <xdr:row>46</xdr:row>
      <xdr:rowOff>113554</xdr:rowOff>
    </xdr:from>
    <xdr:to>
      <xdr:col>2</xdr:col>
      <xdr:colOff>2850103</xdr:colOff>
      <xdr:row>46</xdr:row>
      <xdr:rowOff>1668810</xdr:rowOff>
    </xdr:to>
    <xdr:pic>
      <xdr:nvPicPr>
        <xdr:cNvPr id="22" name="Picture 21">
          <a:extLst>
            <a:ext uri="{FF2B5EF4-FFF2-40B4-BE49-F238E27FC236}">
              <a16:creationId xmlns:a16="http://schemas.microsoft.com/office/drawing/2014/main" id="{266977DA-7DCF-FFA2-D686-40D70B90B1E2}"/>
            </a:ext>
          </a:extLst>
        </xdr:cNvPr>
        <xdr:cNvPicPr>
          <a:picLocks noChangeAspect="1"/>
        </xdr:cNvPicPr>
      </xdr:nvPicPr>
      <xdr:blipFill>
        <a:blip xmlns:r="http://schemas.openxmlformats.org/officeDocument/2006/relationships" r:embed="rId8"/>
        <a:stretch>
          <a:fillRect/>
        </a:stretch>
      </xdr:blipFill>
      <xdr:spPr>
        <a:xfrm>
          <a:off x="17396797" y="7117230"/>
          <a:ext cx="2631924" cy="1555256"/>
        </a:xfrm>
        <a:prstGeom prst="rect">
          <a:avLst/>
        </a:prstGeom>
      </xdr:spPr>
    </xdr:pic>
    <xdr:clientData/>
  </xdr:twoCellAnchor>
  <xdr:twoCellAnchor>
    <xdr:from>
      <xdr:col>3</xdr:col>
      <xdr:colOff>97265</xdr:colOff>
      <xdr:row>46</xdr:row>
      <xdr:rowOff>193201</xdr:rowOff>
    </xdr:from>
    <xdr:to>
      <xdr:col>3</xdr:col>
      <xdr:colOff>2859405</xdr:colOff>
      <xdr:row>46</xdr:row>
      <xdr:rowOff>1556600</xdr:rowOff>
    </xdr:to>
    <xdr:pic>
      <xdr:nvPicPr>
        <xdr:cNvPr id="23" name="Picture 22">
          <a:extLst>
            <a:ext uri="{FF2B5EF4-FFF2-40B4-BE49-F238E27FC236}">
              <a16:creationId xmlns:a16="http://schemas.microsoft.com/office/drawing/2014/main" id="{9F973CE7-AED9-6585-B3B6-A3BE1194169B}"/>
            </a:ext>
          </a:extLst>
        </xdr:cNvPr>
        <xdr:cNvPicPr>
          <a:picLocks noChangeAspect="1"/>
        </xdr:cNvPicPr>
      </xdr:nvPicPr>
      <xdr:blipFill>
        <a:blip xmlns:r="http://schemas.openxmlformats.org/officeDocument/2006/relationships" r:embed="rId9"/>
        <a:stretch>
          <a:fillRect/>
        </a:stretch>
      </xdr:blipFill>
      <xdr:spPr>
        <a:xfrm>
          <a:off x="20563591" y="7233418"/>
          <a:ext cx="2762140" cy="1363399"/>
        </a:xfrm>
        <a:prstGeom prst="rect">
          <a:avLst/>
        </a:prstGeom>
      </xdr:spPr>
    </xdr:pic>
    <xdr:clientData/>
  </xdr:twoCellAnchor>
  <xdr:twoCellAnchor>
    <xdr:from>
      <xdr:col>2</xdr:col>
      <xdr:colOff>89949</xdr:colOff>
      <xdr:row>30</xdr:row>
      <xdr:rowOff>127959</xdr:rowOff>
    </xdr:from>
    <xdr:to>
      <xdr:col>2</xdr:col>
      <xdr:colOff>2820375</xdr:colOff>
      <xdr:row>38</xdr:row>
      <xdr:rowOff>13262</xdr:rowOff>
    </xdr:to>
    <xdr:pic>
      <xdr:nvPicPr>
        <xdr:cNvPr id="5" name="Picture 2">
          <a:extLst>
            <a:ext uri="{FF2B5EF4-FFF2-40B4-BE49-F238E27FC236}">
              <a16:creationId xmlns:a16="http://schemas.microsoft.com/office/drawing/2014/main" id="{568593F8-B5A5-0B73-F160-F53B67216052}"/>
            </a:ext>
          </a:extLst>
        </xdr:cNvPr>
        <xdr:cNvPicPr>
          <a:picLocks noChangeAspect="1"/>
        </xdr:cNvPicPr>
      </xdr:nvPicPr>
      <xdr:blipFill>
        <a:blip xmlns:r="http://schemas.openxmlformats.org/officeDocument/2006/relationships" r:embed="rId10"/>
        <a:stretch>
          <a:fillRect/>
        </a:stretch>
      </xdr:blipFill>
      <xdr:spPr>
        <a:xfrm>
          <a:off x="6294806" y="15830602"/>
          <a:ext cx="2730426" cy="2620339"/>
        </a:xfrm>
        <a:prstGeom prst="rect">
          <a:avLst/>
        </a:prstGeom>
      </xdr:spPr>
    </xdr:pic>
    <xdr:clientData/>
  </xdr:twoCellAnchor>
  <xdr:twoCellAnchor editAs="oneCell">
    <xdr:from>
      <xdr:col>1</xdr:col>
      <xdr:colOff>228600</xdr:colOff>
      <xdr:row>7</xdr:row>
      <xdr:rowOff>76200</xdr:rowOff>
    </xdr:from>
    <xdr:to>
      <xdr:col>1</xdr:col>
      <xdr:colOff>3215640</xdr:colOff>
      <xdr:row>7</xdr:row>
      <xdr:rowOff>1082040</xdr:rowOff>
    </xdr:to>
    <xdr:pic>
      <xdr:nvPicPr>
        <xdr:cNvPr id="2" name="Picture 1">
          <a:extLst>
            <a:ext uri="{FF2B5EF4-FFF2-40B4-BE49-F238E27FC236}">
              <a16:creationId xmlns:a16="http://schemas.microsoft.com/office/drawing/2014/main" id="{40A3D24E-0592-06CA-9BD7-3A53B1896EEF}"/>
            </a:ext>
            <a:ext uri="{147F2762-F138-4A5C-976F-8EAC2B608ADB}">
              <a16:predDERef xmlns:a16="http://schemas.microsoft.com/office/drawing/2014/main" pred="{568593F8-B5A5-0B73-F160-F53B67216052}"/>
            </a:ext>
          </a:extLst>
        </xdr:cNvPr>
        <xdr:cNvPicPr>
          <a:picLocks noChangeAspect="1"/>
        </xdr:cNvPicPr>
      </xdr:nvPicPr>
      <xdr:blipFill>
        <a:blip xmlns:r="http://schemas.openxmlformats.org/officeDocument/2006/relationships" r:embed="rId11"/>
        <a:stretch>
          <a:fillRect/>
        </a:stretch>
      </xdr:blipFill>
      <xdr:spPr>
        <a:xfrm>
          <a:off x="2066925" y="1638300"/>
          <a:ext cx="2981325" cy="10001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1325218</xdr:colOff>
      <xdr:row>0</xdr:row>
      <xdr:rowOff>67505</xdr:rowOff>
    </xdr:from>
    <xdr:to>
      <xdr:col>16</xdr:col>
      <xdr:colOff>1565412</xdr:colOff>
      <xdr:row>0</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125894</xdr:colOff>
      <xdr:row>38</xdr:row>
      <xdr:rowOff>105471</xdr:rowOff>
    </xdr:from>
    <xdr:ext cx="2486193" cy="365678"/>
    <mc:AlternateContent xmlns:mc="http://schemas.openxmlformats.org/markup-compatibility/2006" xmlns:a14="http://schemas.microsoft.com/office/drawing/2010/main">
      <mc:Choice Requires="a14">
        <xdr:sp macro="" textlink="">
          <xdr:nvSpPr>
            <xdr:cNvPr id="3" name="TextBox 1">
              <a:extLst>
                <a:ext uri="{FF2B5EF4-FFF2-40B4-BE49-F238E27FC236}">
                  <a16:creationId xmlns:a16="http://schemas.microsoft.com/office/drawing/2014/main" id="{F92E3AE4-18B4-4F91-A91C-F14522984982}"/>
                </a:ext>
              </a:extLst>
            </xdr:cNvPr>
            <xdr:cNvSpPr txBox="1">
              <a:spLocks/>
            </xdr:cNvSpPr>
          </xdr:nvSpPr>
          <xdr:spPr>
            <a:xfrm>
              <a:off x="125894" y="11860442"/>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𝑇𝑆𝑃</m:t>
                            </m:r>
                          </m:e>
                          <m:sub>
                            <m:r>
                              <a:rPr lang="en-US" sz="1100" b="0" i="1">
                                <a:solidFill>
                                  <a:srgbClr val="000000"/>
                                </a:solidFill>
                                <a:latin typeface="Cambria Math" panose="02040503050406030204" pitchFamily="18" charset="0"/>
                              </a:rPr>
                              <m:t>𝑖𝑛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m:t>
                            </m:r>
                          </m:sub>
                        </m:sSub>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6356∗</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𝑓𝑎𝑛</m:t>
                            </m:r>
                          </m:sub>
                        </m:sSub>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3" name="TextBox 1">
              <a:extLst>
                <a:ext uri="{FF2B5EF4-FFF2-40B4-BE49-F238E27FC236}">
                  <a16:creationId xmlns:a16="http://schemas.microsoft.com/office/drawing/2014/main" id="{F92E3AE4-18B4-4F91-A91C-F14522984982}"/>
                </a:ext>
              </a:extLst>
            </xdr:cNvPr>
            <xdr:cNvSpPr txBox="1">
              <a:spLocks/>
            </xdr:cNvSpPr>
          </xdr:nvSpPr>
          <xdr:spPr>
            <a:xfrm>
              <a:off x="125894" y="11860442"/>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𝑝𝑜𝑤𝑒𝑟〗_(𝑤/𝑐𝑓𝑚)=(〖𝑇𝑆𝑃〗_(𝑖𝑛 𝑤.𝑐)∗746)/(6356∗</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𝑓𝑎𝑛∗</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33334</xdr:colOff>
      <xdr:row>29</xdr:row>
      <xdr:rowOff>1681</xdr:rowOff>
    </xdr:from>
    <xdr:ext cx="1369028" cy="372025"/>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43D106CE-41B6-477F-B777-936E827D30D9}"/>
                </a:ext>
                <a:ext uri="{147F2762-F138-4A5C-976F-8EAC2B608ADB}">
                  <a16:predDERef xmlns:a16="http://schemas.microsoft.com/office/drawing/2014/main" pred="{338B3BB2-BD6D-4EF6-9260-7D0809D8F590}"/>
                </a:ext>
              </a:extLst>
            </xdr:cNvPr>
            <xdr:cNvSpPr txBox="1">
              <a:spLocks/>
            </xdr:cNvSpPr>
          </xdr:nvSpPr>
          <xdr:spPr>
            <a:xfrm>
              <a:off x="33334" y="10344710"/>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𝑇𝑆𝑃</m:t>
                            </m:r>
                          </m:e>
                          <m:sub>
                            <m:r>
                              <a:rPr lang="en-US" sz="1100" b="0" i="1">
                                <a:solidFill>
                                  <a:srgbClr val="000000"/>
                                </a:solidFill>
                                <a:effectLst/>
                                <a:latin typeface="Cambria Math" panose="02040503050406030204" pitchFamily="18" charset="0"/>
                                <a:ea typeface="+mn-ea"/>
                                <a:cs typeface="+mn-cs"/>
                              </a:rPr>
                              <m:t>𝑖𝑛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m:t>
                            </m:r>
                            <m:r>
                              <a:rPr lang="en-US" sz="1100" b="0" i="1">
                                <a:solidFill>
                                  <a:srgbClr val="000000"/>
                                </a:solidFill>
                                <a:effectLst/>
                                <a:latin typeface="Cambria Math" panose="02040503050406030204" pitchFamily="18" charset="0"/>
                                <a:ea typeface="+mn-ea"/>
                                <a:cs typeface="+mn-cs"/>
                              </a:rPr>
                              <m:t>.</m:t>
                            </m:r>
                          </m:sub>
                        </m:sSub>
                      </m:num>
                      <m:den>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6356∗</m:t>
                            </m:r>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𝑓𝑎𝑛</m:t>
                            </m:r>
                          </m:sub>
                        </m:sSub>
                      </m:den>
                    </m:f>
                  </m:oMath>
                </m:oMathPara>
              </a14:m>
              <a:endParaRPr lang="en-US" sz="1100">
                <a:solidFill>
                  <a:srgbClr val="000000"/>
                </a:solidFill>
              </a:endParaRPr>
            </a:p>
          </xdr:txBody>
        </xdr:sp>
      </mc:Choice>
      <mc:Fallback xmlns="">
        <xdr:sp macro="" textlink="">
          <xdr:nvSpPr>
            <xdr:cNvPr id="4" name="TextBox 2">
              <a:extLst>
                <a:ext uri="{FF2B5EF4-FFF2-40B4-BE49-F238E27FC236}">
                  <a16:creationId xmlns:a16="http://schemas.microsoft.com/office/drawing/2014/main" id="{43D106CE-41B6-477F-B777-936E827D30D9}"/>
                </a:ext>
                <a:ext uri="{147F2762-F138-4A5C-976F-8EAC2B608ADB}">
                  <a16:predDERef xmlns:a16="http://schemas.microsoft.com/office/drawing/2014/main" pred="{338B3BB2-BD6D-4EF6-9260-7D0809D8F590}"/>
                </a:ext>
              </a:extLst>
            </xdr:cNvPr>
            <xdr:cNvSpPr txBox="1">
              <a:spLocks/>
            </xdr:cNvSpPr>
          </xdr:nvSpPr>
          <xdr:spPr>
            <a:xfrm>
              <a:off x="33334" y="10344710"/>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(𝑐𝑓𝑚∗〖𝑇𝑆𝑃〗_(𝑖𝑛 𝑤.𝑐.))/〖6356∗𝜇〗_𝑓𝑎𝑛 </a:t>
              </a:r>
              <a:endParaRPr lang="en-US" sz="1100">
                <a:solidFill>
                  <a:srgbClr val="000000"/>
                </a:solidFill>
              </a:endParaRPr>
            </a:p>
          </xdr:txBody>
        </xdr:sp>
      </mc:Fallback>
    </mc:AlternateContent>
    <xdr:clientData/>
  </xdr:oneCellAnchor>
  <xdr:oneCellAnchor>
    <xdr:from>
      <xdr:col>0</xdr:col>
      <xdr:colOff>0</xdr:colOff>
      <xdr:row>32</xdr:row>
      <xdr:rowOff>56574</xdr:rowOff>
    </xdr:from>
    <xdr:ext cx="2027222" cy="351058"/>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A1610A70-1280-4063-BDE3-4D1649043C1A}"/>
                </a:ext>
              </a:extLst>
            </xdr:cNvPr>
            <xdr:cNvSpPr txBox="1">
              <a:spLocks/>
            </xdr:cNvSpPr>
          </xdr:nvSpPr>
          <xdr:spPr>
            <a:xfrm>
              <a:off x="0" y="10870250"/>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𝑐𝑓𝑚</m:t>
                        </m:r>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5" name="TextBox 4">
              <a:extLst>
                <a:ext uri="{FF2B5EF4-FFF2-40B4-BE49-F238E27FC236}">
                  <a16:creationId xmlns:a16="http://schemas.microsoft.com/office/drawing/2014/main" id="{A1610A70-1280-4063-BDE3-4D1649043C1A}"/>
                </a:ext>
              </a:extLst>
            </xdr:cNvPr>
            <xdr:cNvSpPr txBox="1">
              <a:spLocks/>
            </xdr:cNvSpPr>
          </xdr:nvSpPr>
          <xdr:spPr>
            <a:xfrm>
              <a:off x="0" y="10870250"/>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𝑝𝑜𝑤𝑒𝑟〗_(𝑤/𝑐𝑓𝑚)=(𝑏ℎ𝑝∗746)/(𝑐𝑓𝑚∗</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66111</xdr:colOff>
      <xdr:row>35</xdr:row>
      <xdr:rowOff>138145</xdr:rowOff>
    </xdr:from>
    <xdr:ext cx="2360967" cy="328231"/>
    <mc:AlternateContent xmlns:mc="http://schemas.openxmlformats.org/markup-compatibility/2006" xmlns:a14="http://schemas.microsoft.com/office/drawing/2010/main">
      <mc:Choice Requires="a14">
        <xdr:sp macro="" textlink="">
          <xdr:nvSpPr>
            <xdr:cNvPr id="6" name="TextBox 4">
              <a:extLst>
                <a:ext uri="{FF2B5EF4-FFF2-40B4-BE49-F238E27FC236}">
                  <a16:creationId xmlns:a16="http://schemas.microsoft.com/office/drawing/2014/main" id="{025F25AB-FFC7-4A2B-BA0C-446BCC8CD305}"/>
                </a:ext>
                <a:ext uri="{147F2762-F138-4A5C-976F-8EAC2B608ADB}">
                  <a16:predDERef xmlns:a16="http://schemas.microsoft.com/office/drawing/2014/main" pred="{3BDCB3C6-5E05-4FBE-A417-88BA8E1D69E0}"/>
                </a:ext>
              </a:extLst>
            </xdr:cNvPr>
            <xdr:cNvSpPr txBox="1">
              <a:spLocks/>
            </xdr:cNvSpPr>
          </xdr:nvSpPr>
          <xdr:spPr>
            <a:xfrm>
              <a:off x="66111" y="11422469"/>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𝐹𝑎𝑛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𝑝𝑜𝑤𝑒𝑟</m:t>
                            </m:r>
                          </m:e>
                          <m:sub>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sub>
                        </m:sSub>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𝑚𝑜𝑡𝑜𝑟</m:t>
                            </m:r>
                          </m:sub>
                        </m:sSub>
                      </m:num>
                      <m:den>
                        <m:r>
                          <a:rPr lang="en-US" sz="1100" b="0" i="1">
                            <a:solidFill>
                              <a:srgbClr val="000000"/>
                            </a:solidFill>
                            <a:effectLst/>
                            <a:latin typeface="Cambria Math" panose="02040503050406030204" pitchFamily="18" charset="0"/>
                            <a:ea typeface="+mn-ea"/>
                            <a:cs typeface="+mn-cs"/>
                          </a:rPr>
                          <m:t>746</m:t>
                        </m:r>
                      </m:den>
                    </m:f>
                  </m:oMath>
                </m:oMathPara>
              </a14:m>
              <a:endParaRPr lang="en-US" sz="1100">
                <a:solidFill>
                  <a:srgbClr val="000000"/>
                </a:solidFill>
              </a:endParaRPr>
            </a:p>
          </xdr:txBody>
        </xdr:sp>
      </mc:Choice>
      <mc:Fallback xmlns="">
        <xdr:sp macro="" textlink="">
          <xdr:nvSpPr>
            <xdr:cNvPr id="6" name="TextBox 4">
              <a:extLst>
                <a:ext uri="{FF2B5EF4-FFF2-40B4-BE49-F238E27FC236}">
                  <a16:creationId xmlns:a16="http://schemas.microsoft.com/office/drawing/2014/main" id="{025F25AB-FFC7-4A2B-BA0C-446BCC8CD305}"/>
                </a:ext>
                <a:ext uri="{147F2762-F138-4A5C-976F-8EAC2B608ADB}">
                  <a16:predDERef xmlns:a16="http://schemas.microsoft.com/office/drawing/2014/main" pred="{3BDCB3C6-5E05-4FBE-A417-88BA8E1D69E0}"/>
                </a:ext>
              </a:extLst>
            </xdr:cNvPr>
            <xdr:cNvSpPr txBox="1">
              <a:spLocks/>
            </xdr:cNvSpPr>
          </xdr:nvSpPr>
          <xdr:spPr>
            <a:xfrm>
              <a:off x="66111" y="11422469"/>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(〖𝐹𝑎𝑛 𝑝𝑜𝑤𝑒𝑟〗_(𝑤/𝑐𝑓𝑚)∗𝑐𝑓𝑚∗𝜇_𝑚𝑜𝑡𝑜𝑟)/746</a:t>
              </a:r>
              <a:endParaRPr lang="en-US" sz="1100">
                <a:solidFill>
                  <a:srgbClr val="000000"/>
                </a:solidFill>
              </a:endParaRP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xdr:from>
      <xdr:col>29</xdr:col>
      <xdr:colOff>381000</xdr:colOff>
      <xdr:row>0</xdr:row>
      <xdr:rowOff>161925</xdr:rowOff>
    </xdr:from>
    <xdr:to>
      <xdr:col>36</xdr:col>
      <xdr:colOff>209550</xdr:colOff>
      <xdr:row>5</xdr:row>
      <xdr:rowOff>114300</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390525</xdr:colOff>
      <xdr:row>5</xdr:row>
      <xdr:rowOff>238125</xdr:rowOff>
    </xdr:from>
    <xdr:to>
      <xdr:col>36</xdr:col>
      <xdr:colOff>200025</xdr:colOff>
      <xdr:row>9</xdr:row>
      <xdr:rowOff>57150</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CBDA0656-8164-4FA8-8BE7-79F7FE5F5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390525</xdr:colOff>
      <xdr:row>9</xdr:row>
      <xdr:rowOff>114300</xdr:rowOff>
    </xdr:from>
    <xdr:to>
      <xdr:col>36</xdr:col>
      <xdr:colOff>209550</xdr:colOff>
      <xdr:row>12</xdr:row>
      <xdr:rowOff>104775</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1C87CF7-6396-404E-8ACD-112AC14A4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30</xdr:col>
      <xdr:colOff>180975</xdr:colOff>
      <xdr:row>100</xdr:row>
      <xdr:rowOff>552450</xdr:rowOff>
    </xdr:from>
    <xdr:to>
      <xdr:col>37</xdr:col>
      <xdr:colOff>419100</xdr:colOff>
      <xdr:row>119</xdr:row>
      <xdr:rowOff>0</xdr:rowOff>
    </xdr:to>
    <xdr:pic>
      <xdr:nvPicPr>
        <xdr:cNvPr id="2" name="Picture 1">
          <a:extLst>
            <a:ext uri="{FF2B5EF4-FFF2-40B4-BE49-F238E27FC236}">
              <a16:creationId xmlns:a16="http://schemas.microsoft.com/office/drawing/2014/main" id="{9B20E7E9-A5E7-449C-8BF1-D36370E89997}"/>
            </a:ext>
            <a:ext uri="{147F2762-F138-4A5C-976F-8EAC2B608ADB}">
              <a16:predDERef xmlns:a16="http://schemas.microsoft.com/office/drawing/2014/main" pred="{6467D4B0-6F0E-43CB-958A-F19CE6AFCF64}"/>
            </a:ext>
          </a:extLst>
        </xdr:cNvPr>
        <xdr:cNvPicPr>
          <a:picLocks noChangeAspect="1"/>
        </xdr:cNvPicPr>
      </xdr:nvPicPr>
      <xdr:blipFill>
        <a:blip xmlns:r="http://schemas.openxmlformats.org/officeDocument/2006/relationships" r:embed="rId4"/>
        <a:stretch>
          <a:fillRect/>
        </a:stretch>
      </xdr:blipFill>
      <xdr:spPr>
        <a:xfrm>
          <a:off x="18049875" y="40814625"/>
          <a:ext cx="4572000" cy="2857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23</xdr:col>
      <xdr:colOff>561975</xdr:colOff>
      <xdr:row>0</xdr:row>
      <xdr:rowOff>200025</xdr:rowOff>
    </xdr:from>
    <xdr:to>
      <xdr:col>40</xdr:col>
      <xdr:colOff>289786</xdr:colOff>
      <xdr:row>20</xdr:row>
      <xdr:rowOff>129428</xdr:rowOff>
    </xdr:to>
    <xdr:graphicFrame macro="">
      <xdr:nvGraphicFramePr>
        <xdr:cNvPr id="3" name="Chart 1">
          <a:extLst>
            <a:ext uri="{FF2B5EF4-FFF2-40B4-BE49-F238E27FC236}">
              <a16:creationId xmlns:a16="http://schemas.microsoft.com/office/drawing/2014/main" id="{1ACE68BF-FC81-4B82-A437-E19745D9C281}"/>
            </a:ext>
            <a:ext uri="{147F2762-F138-4A5C-976F-8EAC2B608ADB}">
              <a16:predDERef xmlns:a16="http://schemas.microsoft.com/office/drawing/2014/main" pred="{DFA35EE0-E9E7-4CCD-A912-0D18609CD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133350</xdr:colOff>
      <xdr:row>24</xdr:row>
      <xdr:rowOff>19050</xdr:rowOff>
    </xdr:from>
    <xdr:to>
      <xdr:col>40</xdr:col>
      <xdr:colOff>442186</xdr:colOff>
      <xdr:row>55</xdr:row>
      <xdr:rowOff>110378</xdr:rowOff>
    </xdr:to>
    <xdr:graphicFrame macro="">
      <xdr:nvGraphicFramePr>
        <xdr:cNvPr id="7" name="Chart 3">
          <a:extLst>
            <a:ext uri="{FF2B5EF4-FFF2-40B4-BE49-F238E27FC236}">
              <a16:creationId xmlns:a16="http://schemas.microsoft.com/office/drawing/2014/main" id="{99F95636-831C-42DF-8BCE-29AEDFDA9CA4}"/>
            </a:ext>
            <a:ext uri="{147F2762-F138-4A5C-976F-8EAC2B608ADB}">
              <a16:predDERef xmlns:a16="http://schemas.microsoft.com/office/drawing/2014/main" pred="{1ACE68BF-FC81-4B82-A437-E19745D9C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250627</xdr:colOff>
      <xdr:row>22</xdr:row>
      <xdr:rowOff>168221</xdr:rowOff>
    </xdr:from>
    <xdr:to>
      <xdr:col>9</xdr:col>
      <xdr:colOff>163830</xdr:colOff>
      <xdr:row>32</xdr:row>
      <xdr:rowOff>143847</xdr:rowOff>
    </xdr:to>
    <xdr:pic>
      <xdr:nvPicPr>
        <xdr:cNvPr id="2" name="Picture 1">
          <a:extLst>
            <a:ext uri="{FF2B5EF4-FFF2-40B4-BE49-F238E27FC236}">
              <a16:creationId xmlns:a16="http://schemas.microsoft.com/office/drawing/2014/main" id="{C68FDA43-0D02-4D6B-8A10-1F478024FA93}"/>
            </a:ext>
          </a:extLst>
        </xdr:cNvPr>
        <xdr:cNvPicPr>
          <a:picLocks noChangeAspect="1"/>
        </xdr:cNvPicPr>
      </xdr:nvPicPr>
      <xdr:blipFill>
        <a:blip xmlns:r="http://schemas.openxmlformats.org/officeDocument/2006/relationships" r:embed="rId1"/>
        <a:stretch>
          <a:fillRect/>
        </a:stretch>
      </xdr:blipFill>
      <xdr:spPr>
        <a:xfrm>
          <a:off x="250627" y="4168721"/>
          <a:ext cx="5399603" cy="1785376"/>
        </a:xfrm>
        <a:prstGeom prst="rect">
          <a:avLst/>
        </a:prstGeom>
      </xdr:spPr>
    </xdr:pic>
    <xdr:clientData/>
  </xdr:twoCellAnchor>
  <xdr:twoCellAnchor>
    <xdr:from>
      <xdr:col>0</xdr:col>
      <xdr:colOff>0</xdr:colOff>
      <xdr:row>14</xdr:row>
      <xdr:rowOff>38100</xdr:rowOff>
    </xdr:from>
    <xdr:to>
      <xdr:col>10</xdr:col>
      <xdr:colOff>104775</xdr:colOff>
      <xdr:row>22</xdr:row>
      <xdr:rowOff>105747</xdr:rowOff>
    </xdr:to>
    <xdr:pic>
      <xdr:nvPicPr>
        <xdr:cNvPr id="3" name="Picture 2">
          <a:extLst>
            <a:ext uri="{FF2B5EF4-FFF2-40B4-BE49-F238E27FC236}">
              <a16:creationId xmlns:a16="http://schemas.microsoft.com/office/drawing/2014/main" id="{E484624E-F40F-47F4-AA72-4A9B10BD7C89}"/>
            </a:ext>
          </a:extLst>
        </xdr:cNvPr>
        <xdr:cNvPicPr>
          <a:picLocks noChangeAspect="1"/>
        </xdr:cNvPicPr>
      </xdr:nvPicPr>
      <xdr:blipFill>
        <a:blip xmlns:r="http://schemas.openxmlformats.org/officeDocument/2006/relationships" r:embed="rId2"/>
        <a:stretch>
          <a:fillRect/>
        </a:stretch>
      </xdr:blipFill>
      <xdr:spPr>
        <a:xfrm>
          <a:off x="0" y="2590800"/>
          <a:ext cx="6200775" cy="1515447"/>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energy.ca.gov/publications/2023/2022-california-commercial-end-use-survey-ceus-final-report" TargetMode="External"/><Relationship Id="rId13" Type="http://schemas.openxmlformats.org/officeDocument/2006/relationships/hyperlink" Target="https://govt.westlaw.com/calregs/Document/I270DCA634B4011EFA8F7F119BAF97AD6?viewType=FullText&amp;originationContext=documenttoc&amp;transitionType=CategoryPageItem&amp;contextData=(sc.Default)" TargetMode="External"/><Relationship Id="rId18" Type="http://schemas.openxmlformats.org/officeDocument/2006/relationships/hyperlink" Target="https://www.pnnl.gov/main/publications/external/technical_reports/PNNL-20405.pdf" TargetMode="External"/><Relationship Id="rId3" Type="http://schemas.openxmlformats.org/officeDocument/2006/relationships/hyperlink" Target="https://www.osti.gov/servlets/purl/1037934" TargetMode="External"/><Relationship Id="rId21" Type="http://schemas.openxmlformats.org/officeDocument/2006/relationships/hyperlink" Target="https://codes.iccsafe.org/codes/united-states/california" TargetMode="External"/><Relationship Id="rId7" Type="http://schemas.openxmlformats.org/officeDocument/2006/relationships/hyperlink" Target="https://www.grainger.com/category/plumbing/water-heaters/electric-tank-water-heaters" TargetMode="External"/><Relationship Id="rId12" Type="http://schemas.openxmlformats.org/officeDocument/2006/relationships/hyperlink" Target="https://www.govinfo.gov/content/pkg/CFR-2024-title10-vol3/pdf/CFR-2024-title10-vol3-part431-subpartF.pdf" TargetMode="External"/><Relationship Id="rId17" Type="http://schemas.openxmlformats.org/officeDocument/2006/relationships/hyperlink" Target="https://title24stakeholders.com/wp-content/uploads/2016/10/T24-2019-CASE-Study-Results-Report-Outdoor-Sources_Final_with-Attachments.pdf" TargetMode="External"/><Relationship Id="rId2" Type="http://schemas.openxmlformats.org/officeDocument/2006/relationships/hyperlink" Target="https://efiling.energy.ca.gov/GetDocument.aspx?tn=265693&amp;DocumentContentId=102545" TargetMode="External"/><Relationship Id="rId16" Type="http://schemas.openxmlformats.org/officeDocument/2006/relationships/hyperlink" Target="https://title24stakeholders.com/wp-content/uploads/2020/10/2022-T24-Final-CASE-Report_Reduce-Infiltration.pdf" TargetMode="External"/><Relationship Id="rId20" Type="http://schemas.openxmlformats.org/officeDocument/2006/relationships/hyperlink" Target="https://www.thefreelibrary.com/Determining+Vintage+Bins+for+Prototype+Development%3a+An+Analysis+of...-a0879271125" TargetMode="External"/><Relationship Id="rId1" Type="http://schemas.openxmlformats.org/officeDocument/2006/relationships/hyperlink" Target="https://github.com/sound-data/DEER-Prototypes-EnergyPlus" TargetMode="External"/><Relationship Id="rId6" Type="http://schemas.openxmlformats.org/officeDocument/2006/relationships/hyperlink" Target="https://www.grainger.com/category/plumbing/water-heaters/gas-tank-water-heaters" TargetMode="External"/><Relationship Id="rId11" Type="http://schemas.openxmlformats.org/officeDocument/2006/relationships/hyperlink" Target="https://www.govinfo.gov/content/pkg/FR-2009-03-23/pdf/FR-2009-03-23.pdf" TargetMode="External"/><Relationship Id="rId5" Type="http://schemas.openxmlformats.org/officeDocument/2006/relationships/hyperlink" Target="https://www.energystar.gov/productfinder/product/certified-commercial-water-heaters/results?fuel_filter=Gas&amp;markets_filter=United+States" TargetMode="External"/><Relationship Id="rId15" Type="http://schemas.openxmlformats.org/officeDocument/2006/relationships/hyperlink" Target="https://www.energy.ca.gov/publications/2022/2022-nonresidential-and-multifamily-alternative-calculation-method-reference" TargetMode="External"/><Relationship Id="rId23" Type="http://schemas.openxmlformats.org/officeDocument/2006/relationships/printerSettings" Target="../printerSettings/printerSettings1.bin"/><Relationship Id="rId10" Type="http://schemas.openxmlformats.org/officeDocument/2006/relationships/hyperlink" Target="https://www.ashrae.org/technical-resources/standards-and-guidelines/read-only-versions-of-ashrae-standards" TargetMode="External"/><Relationship Id="rId19"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4" Type="http://schemas.openxmlformats.org/officeDocument/2006/relationships/hyperlink" Target="https://www.osti.gov/servlets/purl/3019970" TargetMode="External"/><Relationship Id="rId9" Type="http://schemas.openxmlformats.org/officeDocument/2006/relationships/hyperlink" Target="https://www.eia.gov/consumption/commercial/data/2018/" TargetMode="External"/><Relationship Id="rId14" Type="http://schemas.openxmlformats.org/officeDocument/2006/relationships/hyperlink" Target="https://www.energy.ca.gov/sites/default/files/2025-11/CEC-400-2025-006-AP-B.pdf" TargetMode="External"/><Relationship Id="rId22" Type="http://schemas.openxmlformats.org/officeDocument/2006/relationships/hyperlink" Target="https://www.energy.ca.gov/publications/2025/2025-building-energy-efficiency-standards-residential-and-nonresidentia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2050partners.sharepoint.com/:w:/r/sites/CalBEMCollaborativeEfforts/_layouts/15/Doc.aspx?sourcedoc=%7B3BEF8F74-7FAC-44F2-A70C-D76617660066%7D&amp;file=Infiltration_rate_report_14May2025-Short-Version.docx&amp;action=default&amp;mobileredirect=true&amp;wdLOR=c37D90580-1DC7-4CAF-9995-F2723497E773"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title24stakeholders.com/wp-content/uploads/2020/10/2022-T24-Final-CASE-Report_Reduce-Infiltration.pdf"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https://www.pnnl.gov/main/publications/external/technical_reports/PNNL-20405.pdf?__hstc=249664665.fbb1d69ca5f15106a530bcaee71fdf4a.1743465130773.1743546227524.1752085571925.3&amp;__hssc=249664665.1.1752085571925&amp;__hsfp=2216781724"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H47"/>
  <sheetViews>
    <sheetView zoomScaleNormal="100" workbookViewId="0">
      <selection sqref="A1:C1"/>
    </sheetView>
  </sheetViews>
  <sheetFormatPr defaultColWidth="9.33203125" defaultRowHeight="13.2" x14ac:dyDescent="0.25"/>
  <cols>
    <col min="1" max="1" width="14.6640625" style="3" customWidth="1"/>
    <col min="2" max="2" width="90.88671875" style="3" customWidth="1"/>
    <col min="3" max="3" width="38.5546875" style="3" customWidth="1"/>
    <col min="4" max="4" width="9.33203125" style="3"/>
    <col min="5" max="5" width="21.6640625" style="3" customWidth="1"/>
    <col min="6" max="6" width="10.6640625" style="3" customWidth="1"/>
    <col min="7" max="7" width="9.6640625" style="3" customWidth="1"/>
    <col min="8" max="8" width="9.6640625" style="3" bestFit="1" customWidth="1"/>
    <col min="9" max="16384" width="9.33203125" style="3"/>
  </cols>
  <sheetData>
    <row r="1" spans="1:6" ht="20.399999999999999" customHeight="1" x14ac:dyDescent="0.25">
      <c r="A1" s="721" t="s">
        <v>0</v>
      </c>
      <c r="B1" s="721"/>
      <c r="C1" s="721"/>
    </row>
    <row r="2" spans="1:6" x14ac:dyDescent="0.25">
      <c r="A2" s="720" t="s">
        <v>1</v>
      </c>
      <c r="B2" s="569" t="s">
        <v>2</v>
      </c>
      <c r="C2" s="570"/>
      <c r="D2" s="569"/>
      <c r="E2" s="569"/>
      <c r="F2" s="569"/>
    </row>
    <row r="3" spans="1:6" ht="14.4" x14ac:dyDescent="0.3">
      <c r="A3" s="720"/>
      <c r="B3" s="569" t="s">
        <v>3</v>
      </c>
      <c r="C3" s="106" t="s">
        <v>4</v>
      </c>
      <c r="D3" s="569" t="s">
        <v>5</v>
      </c>
      <c r="E3" s="569"/>
      <c r="F3" s="569"/>
    </row>
    <row r="4" spans="1:6" ht="14.4" x14ac:dyDescent="0.3">
      <c r="A4" s="720"/>
      <c r="B4" s="569" t="s">
        <v>6</v>
      </c>
      <c r="C4" s="106" t="s">
        <v>7</v>
      </c>
      <c r="D4" s="463" t="s">
        <v>5</v>
      </c>
      <c r="E4" s="463"/>
      <c r="F4" s="463"/>
    </row>
    <row r="5" spans="1:6" x14ac:dyDescent="0.25">
      <c r="A5" s="720"/>
      <c r="B5" s="569" t="s">
        <v>8</v>
      </c>
      <c r="C5" s="718" t="s">
        <v>9</v>
      </c>
      <c r="D5" s="718"/>
      <c r="E5" s="718"/>
      <c r="F5" s="718"/>
    </row>
    <row r="6" spans="1:6" ht="14.4" x14ac:dyDescent="0.3">
      <c r="A6" s="720"/>
      <c r="B6" s="569" t="s">
        <v>10</v>
      </c>
      <c r="C6" s="112" t="s">
        <v>11</v>
      </c>
      <c r="D6" s="3" t="s">
        <v>5</v>
      </c>
    </row>
    <row r="7" spans="1:6" ht="14.4" x14ac:dyDescent="0.3">
      <c r="A7" s="720"/>
      <c r="B7" s="571" t="s">
        <v>12</v>
      </c>
      <c r="C7" s="460" t="s">
        <v>13</v>
      </c>
      <c r="D7" s="3" t="s">
        <v>5</v>
      </c>
    </row>
    <row r="8" spans="1:6" ht="12.75" customHeight="1" x14ac:dyDescent="0.25">
      <c r="A8" s="723" t="s">
        <v>14</v>
      </c>
      <c r="B8" s="719" t="s">
        <v>15</v>
      </c>
      <c r="C8" s="518" t="s">
        <v>16</v>
      </c>
      <c r="D8" s="546">
        <v>2025</v>
      </c>
    </row>
    <row r="9" spans="1:6" ht="12.75" customHeight="1" x14ac:dyDescent="0.25">
      <c r="A9" s="723"/>
      <c r="B9" s="719"/>
      <c r="C9" s="518" t="s">
        <v>17</v>
      </c>
      <c r="D9" s="3" t="s">
        <v>18</v>
      </c>
    </row>
    <row r="10" spans="1:6" ht="14.4" x14ac:dyDescent="0.3">
      <c r="A10" s="723"/>
      <c r="B10" s="569" t="s">
        <v>19</v>
      </c>
      <c r="C10" s="112" t="s">
        <v>20</v>
      </c>
      <c r="D10" s="3" t="s">
        <v>5</v>
      </c>
      <c r="E10" s="3" t="s">
        <v>5</v>
      </c>
    </row>
    <row r="11" spans="1:6" ht="14.4" x14ac:dyDescent="0.3">
      <c r="A11" s="723"/>
      <c r="B11" s="569" t="s">
        <v>21</v>
      </c>
      <c r="C11" s="112" t="s">
        <v>22</v>
      </c>
      <c r="D11" s="569" t="s">
        <v>5</v>
      </c>
      <c r="E11" s="3" t="s">
        <v>5</v>
      </c>
    </row>
    <row r="12" spans="1:6" ht="14.4" x14ac:dyDescent="0.3">
      <c r="A12" s="723"/>
      <c r="B12" s="569" t="s">
        <v>23</v>
      </c>
      <c r="C12" s="112" t="s">
        <v>24</v>
      </c>
      <c r="D12" s="569" t="s">
        <v>5</v>
      </c>
    </row>
    <row r="13" spans="1:6" ht="14.4" x14ac:dyDescent="0.3">
      <c r="A13" s="723"/>
      <c r="B13" s="569" t="s">
        <v>25</v>
      </c>
      <c r="C13" s="106" t="s">
        <v>26</v>
      </c>
      <c r="D13" s="3" t="s">
        <v>5</v>
      </c>
    </row>
    <row r="14" spans="1:6" ht="14.4" customHeight="1" x14ac:dyDescent="0.25">
      <c r="A14" s="720" t="s">
        <v>27</v>
      </c>
      <c r="B14" s="569" t="s">
        <v>28</v>
      </c>
      <c r="C14" s="464" t="s">
        <v>29</v>
      </c>
      <c r="D14" s="3" t="s">
        <v>5</v>
      </c>
    </row>
    <row r="15" spans="1:6" ht="14.4" customHeight="1" x14ac:dyDescent="0.25">
      <c r="A15" s="720"/>
      <c r="B15" s="569" t="s">
        <v>30</v>
      </c>
      <c r="C15" s="463" t="s">
        <v>31</v>
      </c>
      <c r="D15" s="3" t="s">
        <v>5</v>
      </c>
    </row>
    <row r="16" spans="1:6" ht="14.4" customHeight="1" x14ac:dyDescent="0.25">
      <c r="A16" s="720"/>
      <c r="B16" s="571" t="s">
        <v>32</v>
      </c>
      <c r="C16" s="379" t="s">
        <v>33</v>
      </c>
      <c r="D16" s="3" t="s">
        <v>5</v>
      </c>
    </row>
    <row r="17" spans="1:5" ht="14.4" x14ac:dyDescent="0.3">
      <c r="A17" s="720"/>
      <c r="B17" s="572" t="s">
        <v>34</v>
      </c>
      <c r="C17" s="112" t="s">
        <v>29</v>
      </c>
      <c r="D17" s="3" t="s">
        <v>5</v>
      </c>
    </row>
    <row r="18" spans="1:5" ht="14.4" x14ac:dyDescent="0.3">
      <c r="A18" s="720"/>
      <c r="B18" s="571" t="s">
        <v>35</v>
      </c>
      <c r="C18" s="112" t="s">
        <v>36</v>
      </c>
      <c r="D18" s="3" t="s">
        <v>5</v>
      </c>
    </row>
    <row r="19" spans="1:5" ht="14.4" x14ac:dyDescent="0.3">
      <c r="A19" s="720"/>
      <c r="B19" s="117" t="s">
        <v>37</v>
      </c>
      <c r="C19" s="112" t="s">
        <v>38</v>
      </c>
      <c r="D19" s="3" t="s">
        <v>5</v>
      </c>
    </row>
    <row r="20" spans="1:5" ht="14.4" x14ac:dyDescent="0.3">
      <c r="A20" s="720"/>
      <c r="B20" s="569" t="s">
        <v>39</v>
      </c>
      <c r="C20" s="112" t="s">
        <v>40</v>
      </c>
      <c r="D20" s="3" t="s">
        <v>5</v>
      </c>
    </row>
    <row r="21" spans="1:5" ht="14.4" x14ac:dyDescent="0.3">
      <c r="A21" s="720"/>
      <c r="B21" s="569" t="s">
        <v>41</v>
      </c>
      <c r="C21" s="112" t="s">
        <v>42</v>
      </c>
      <c r="D21" s="3" t="s">
        <v>5</v>
      </c>
    </row>
    <row r="22" spans="1:5" ht="14.4" x14ac:dyDescent="0.3">
      <c r="A22" s="720"/>
      <c r="B22" s="571" t="s">
        <v>43</v>
      </c>
      <c r="C22" s="460" t="s">
        <v>44</v>
      </c>
    </row>
    <row r="23" spans="1:5" ht="26.4" x14ac:dyDescent="0.25">
      <c r="A23" s="720"/>
      <c r="B23" s="89" t="s">
        <v>45</v>
      </c>
      <c r="C23" s="49" t="s">
        <v>46</v>
      </c>
      <c r="D23" s="465" t="s">
        <v>5</v>
      </c>
      <c r="E23" s="465"/>
    </row>
    <row r="24" spans="1:5" ht="41.25" customHeight="1" x14ac:dyDescent="0.25">
      <c r="A24" s="720"/>
      <c r="B24" s="7" t="s">
        <v>47</v>
      </c>
      <c r="C24" s="49" t="s">
        <v>48</v>
      </c>
      <c r="D24" s="3" t="s">
        <v>5</v>
      </c>
    </row>
    <row r="25" spans="1:5" ht="12.75" customHeight="1" x14ac:dyDescent="0.3">
      <c r="A25" s="720"/>
      <c r="B25" s="569" t="s">
        <v>49</v>
      </c>
      <c r="C25" s="112" t="s">
        <v>50</v>
      </c>
      <c r="D25" s="3" t="s">
        <v>5</v>
      </c>
    </row>
    <row r="26" spans="1:5" ht="12.75" customHeight="1" x14ac:dyDescent="0.3">
      <c r="A26" s="720"/>
      <c r="B26" s="569" t="s">
        <v>51</v>
      </c>
      <c r="C26" s="112" t="s">
        <v>52</v>
      </c>
      <c r="D26" s="3" t="s">
        <v>5</v>
      </c>
    </row>
    <row r="27" spans="1:5" ht="12.75" customHeight="1" x14ac:dyDescent="0.3">
      <c r="A27" s="720"/>
      <c r="B27" s="569" t="s">
        <v>53</v>
      </c>
      <c r="C27" s="112" t="s">
        <v>54</v>
      </c>
      <c r="D27" s="3" t="s">
        <v>5</v>
      </c>
    </row>
    <row r="28" spans="1:5" ht="12.75" customHeight="1" x14ac:dyDescent="0.3">
      <c r="A28" s="720"/>
      <c r="C28" s="422"/>
    </row>
    <row r="29" spans="1:5" x14ac:dyDescent="0.25">
      <c r="C29" s="548"/>
    </row>
    <row r="30" spans="1:5" ht="18.600000000000001" customHeight="1" x14ac:dyDescent="0.25">
      <c r="A30" s="721" t="s">
        <v>55</v>
      </c>
      <c r="B30" s="721"/>
      <c r="C30" s="721"/>
    </row>
    <row r="31" spans="1:5" ht="13.2" customHeight="1" x14ac:dyDescent="0.25">
      <c r="C31" s="548"/>
    </row>
    <row r="32" spans="1:5" ht="13.2" customHeight="1" x14ac:dyDescent="0.25">
      <c r="C32" s="548"/>
    </row>
    <row r="33" spans="1:8" ht="13.2" customHeight="1" x14ac:dyDescent="0.25">
      <c r="C33" s="548"/>
    </row>
    <row r="34" spans="1:8" ht="13.2" customHeight="1" x14ac:dyDescent="0.25">
      <c r="C34" s="548"/>
    </row>
    <row r="35" spans="1:8" ht="13.2" customHeight="1" x14ac:dyDescent="0.25">
      <c r="C35" s="548"/>
    </row>
    <row r="36" spans="1:8" ht="13.2" customHeight="1" x14ac:dyDescent="0.25">
      <c r="C36" s="548"/>
    </row>
    <row r="37" spans="1:8" ht="13.2" customHeight="1" x14ac:dyDescent="0.25">
      <c r="C37" s="548"/>
    </row>
    <row r="38" spans="1:8" ht="13.2" customHeight="1" x14ac:dyDescent="0.25">
      <c r="C38" s="548"/>
    </row>
    <row r="39" spans="1:8" ht="13.2" customHeight="1" x14ac:dyDescent="0.25">
      <c r="C39" s="548"/>
    </row>
    <row r="40" spans="1:8" ht="13.2" customHeight="1" x14ac:dyDescent="0.25">
      <c r="C40" s="548"/>
    </row>
    <row r="41" spans="1:8" ht="13.2" customHeight="1" x14ac:dyDescent="0.25">
      <c r="C41" s="548"/>
    </row>
    <row r="42" spans="1:8" ht="13.2" customHeight="1" x14ac:dyDescent="0.25">
      <c r="C42" s="548"/>
    </row>
    <row r="43" spans="1:8" ht="19.2" customHeight="1" x14ac:dyDescent="0.25">
      <c r="A43" s="721" t="s">
        <v>56</v>
      </c>
      <c r="B43" s="721"/>
      <c r="C43" s="721"/>
    </row>
    <row r="44" spans="1:8" ht="28.5" customHeight="1" x14ac:dyDescent="0.25">
      <c r="A44" s="722" t="s">
        <v>57</v>
      </c>
      <c r="B44" s="722"/>
      <c r="C44" s="722"/>
      <c r="E44" s="544"/>
      <c r="F44" s="567"/>
      <c r="G44" s="567"/>
      <c r="H44" s="567"/>
    </row>
    <row r="45" spans="1:8" ht="14.7" customHeight="1" x14ac:dyDescent="0.25">
      <c r="A45" s="717"/>
      <c r="B45" s="717"/>
      <c r="C45" s="717"/>
      <c r="E45" s="544"/>
      <c r="F45" s="567"/>
      <c r="G45" s="567"/>
      <c r="H45" s="567"/>
    </row>
    <row r="46" spans="1:8" ht="14.7" customHeight="1" x14ac:dyDescent="0.25">
      <c r="A46" s="717"/>
      <c r="B46" s="717"/>
      <c r="C46" s="717"/>
      <c r="E46" s="544"/>
      <c r="F46" s="567"/>
      <c r="G46" s="567"/>
      <c r="H46" s="567"/>
    </row>
    <row r="47" spans="1:8" ht="14.7" customHeight="1" x14ac:dyDescent="0.25">
      <c r="A47" s="546"/>
      <c r="B47" s="546"/>
      <c r="C47" s="546"/>
      <c r="E47" s="544"/>
      <c r="F47" s="567"/>
      <c r="G47" s="567"/>
      <c r="H47" s="567"/>
    </row>
  </sheetData>
  <mergeCells count="12">
    <mergeCell ref="A1:C1"/>
    <mergeCell ref="A2:A5"/>
    <mergeCell ref="A6:A7"/>
    <mergeCell ref="A8:A13"/>
    <mergeCell ref="A30:C30"/>
    <mergeCell ref="A45:C45"/>
    <mergeCell ref="A46:C46"/>
    <mergeCell ref="C5:F5"/>
    <mergeCell ref="B8:B9"/>
    <mergeCell ref="A14:A28"/>
    <mergeCell ref="A43:C43"/>
    <mergeCell ref="A44:C44"/>
  </mergeCells>
  <hyperlinks>
    <hyperlink ref="C6" r:id="rId1" xr:uid="{0DEB00BB-3A26-4527-9ED4-40D17F93A579}"/>
    <hyperlink ref="C24" r:id="rId2" xr:uid="{F4646DDF-3A90-4E63-93E5-E07619955116}"/>
    <hyperlink ref="C22" r:id="rId3" xr:uid="{67B06FCD-09A7-4009-A3E8-526883BB36BA}"/>
    <hyperlink ref="C7" r:id="rId4" xr:uid="{19AFE7EA-D05E-4E00-BCA0-77C94DE5CE1F}"/>
    <hyperlink ref="C25" r:id="rId5" xr:uid="{1B11097B-135A-4CBA-9F3D-B21EA035B289}"/>
    <hyperlink ref="C26" r:id="rId6" xr:uid="{EAAEDA96-E643-4889-BB75-BC876FB2B325}"/>
    <hyperlink ref="C27" r:id="rId7" xr:uid="{65172014-80B8-42AC-8BF0-DB62676002D1}"/>
    <hyperlink ref="C3" r:id="rId8" xr:uid="{166B3E0C-DD85-425E-A4F2-EFF875041A80}"/>
    <hyperlink ref="C4" r:id="rId9" xr:uid="{568A6C88-6D68-462A-9EB0-9564837DD61F}"/>
    <hyperlink ref="C10" r:id="rId10" xr:uid="{C43D2DA4-0F52-4558-AFAA-7D9F4789C79C}"/>
    <hyperlink ref="C11" r:id="rId11" display="https://www.govinfo.gov/content/pkg/FR-2009-03-23/pdf/FR-2009-03-23.pdf" xr:uid="{F2FA5F0F-6238-4500-BEBE-6322488AF3C6}"/>
    <hyperlink ref="C12" r:id="rId12" xr:uid="{FE58F98C-0074-47D1-A0F4-1C2EEDB7E90B}"/>
    <hyperlink ref="C13" r:id="rId13" xr:uid="{CA9D1925-A631-478E-8331-23A3E182F436}"/>
    <hyperlink ref="C16" r:id="rId14" xr:uid="{7E7B7FA8-B749-4EE4-8624-BAE6A5304CEE}"/>
    <hyperlink ref="C17" r:id="rId15" xr:uid="{2697F9B9-361A-47C8-A1B0-38CB30B50D03}"/>
    <hyperlink ref="C18" r:id="rId16" xr:uid="{2534CC11-77B8-4D97-AAF1-5482C6CF2DED}"/>
    <hyperlink ref="C19" r:id="rId17" xr:uid="{A4882CCA-89F8-4B4F-AA0A-08BEB5587856}"/>
    <hyperlink ref="C20" r:id="rId18" xr:uid="{999A3955-1E03-4B81-9014-C46626653362}"/>
    <hyperlink ref="C21" r:id="rId19" display="https://2050partners.sharepoint.com/:w:/r/sites/CalBEMCollaborativeEfforts/_layouts/15/Doc.aspx?sourcedoc=%7B3BEF8F74-7FAC-44F2-A70C-D76617660066%7D&amp;file=Infiltration_rate_report_14May2025-Short-Version.docx&amp;wdLOR=c494C5A60-5F8A-438B-874B-578DCB850072&amp;action=default&amp;mobileredirect=true" xr:uid="{F230AEA7-4E93-44B1-9F0C-13434CAAD131}"/>
    <hyperlink ref="C23" r:id="rId20" xr:uid="{CFE6B754-F72D-492B-ADCE-037DA5F94C65}"/>
    <hyperlink ref="C9" r:id="rId21" xr:uid="{B5042285-500B-4CD4-BE9C-F4A58C86550C}"/>
    <hyperlink ref="C8" r:id="rId22" xr:uid="{E5E2F006-5CA0-49EB-B889-1E0CEE2FE0C1}"/>
  </hyperlinks>
  <pageMargins left="0.7" right="0.7" top="0.75" bottom="0.75" header="0.3" footer="0.3"/>
  <pageSetup orientation="portrait" r:id="rId2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K70"/>
  <sheetViews>
    <sheetView tabSelected="1" zoomScale="70" zoomScaleNormal="70" workbookViewId="0">
      <selection sqref="A1:C1"/>
    </sheetView>
  </sheetViews>
  <sheetFormatPr defaultColWidth="9.33203125" defaultRowHeight="13.8" x14ac:dyDescent="0.25"/>
  <cols>
    <col min="1" max="1" width="39" style="2" customWidth="1"/>
    <col min="2" max="2" width="51.33203125" style="2" customWidth="1"/>
    <col min="3" max="3" width="42.88671875" style="2" customWidth="1"/>
    <col min="4" max="4" width="42.6640625" style="2" customWidth="1"/>
    <col min="5" max="5" width="43.6640625" style="2" customWidth="1"/>
    <col min="6" max="6" width="46.109375" style="2" customWidth="1"/>
    <col min="7" max="7" width="44.109375" style="2" customWidth="1"/>
    <col min="8" max="8" width="43.6640625" style="2" customWidth="1"/>
    <col min="9" max="9" width="41.6640625" style="2" customWidth="1"/>
    <col min="10" max="10" width="46.33203125" style="2" customWidth="1"/>
    <col min="11" max="16384" width="9.33203125" style="2"/>
  </cols>
  <sheetData>
    <row r="1" spans="1:4" ht="17.399999999999999" x14ac:dyDescent="0.25">
      <c r="A1" s="714" t="s">
        <v>58</v>
      </c>
      <c r="B1" s="714"/>
      <c r="C1" s="714"/>
      <c r="D1" s="8"/>
    </row>
    <row r="2" spans="1:4" ht="25.2" customHeight="1" x14ac:dyDescent="0.25">
      <c r="A2" s="715" t="s">
        <v>59</v>
      </c>
      <c r="B2" s="716"/>
      <c r="C2" s="716"/>
      <c r="D2" s="8"/>
    </row>
    <row r="3" spans="1:4" ht="20.399999999999999" customHeight="1" x14ac:dyDescent="0.25">
      <c r="A3" s="13" t="s">
        <v>60</v>
      </c>
      <c r="B3" s="558" t="s">
        <v>61</v>
      </c>
      <c r="C3" s="14" t="s">
        <v>0</v>
      </c>
    </row>
    <row r="4" spans="1:4" ht="16.2" customHeight="1" x14ac:dyDescent="0.25">
      <c r="A4" s="11" t="s">
        <v>62</v>
      </c>
      <c r="B4" s="520" t="s">
        <v>63</v>
      </c>
      <c r="C4" s="11"/>
    </row>
    <row r="5" spans="1:4" ht="16.2" customHeight="1" x14ac:dyDescent="0.25">
      <c r="A5" s="11" t="s">
        <v>64</v>
      </c>
      <c r="B5" s="520" t="s">
        <v>65</v>
      </c>
      <c r="C5" s="11"/>
    </row>
    <row r="6" spans="1:4" ht="16.2" customHeight="1" x14ac:dyDescent="0.25">
      <c r="A6" s="573" t="s">
        <v>66</v>
      </c>
      <c r="B6" s="574" t="s">
        <v>67</v>
      </c>
      <c r="C6" s="11"/>
    </row>
    <row r="7" spans="1:4" ht="105" customHeight="1" x14ac:dyDescent="0.25">
      <c r="A7" s="11" t="s">
        <v>68</v>
      </c>
      <c r="B7" s="551" t="s">
        <v>69</v>
      </c>
      <c r="C7" s="12" t="s">
        <v>70</v>
      </c>
      <c r="D7" s="49"/>
    </row>
    <row r="8" spans="1:4" ht="97.2" customHeight="1" x14ac:dyDescent="0.25">
      <c r="A8" s="11" t="s">
        <v>71</v>
      </c>
      <c r="B8" s="575"/>
      <c r="C8" s="576" t="s">
        <v>72</v>
      </c>
    </row>
    <row r="9" spans="1:4" ht="16.2" customHeight="1" x14ac:dyDescent="0.25">
      <c r="A9" s="9" t="s">
        <v>73</v>
      </c>
      <c r="B9" s="170" t="s">
        <v>74</v>
      </c>
      <c r="C9" s="576" t="s">
        <v>72</v>
      </c>
    </row>
    <row r="10" spans="1:4" ht="16.2" customHeight="1" x14ac:dyDescent="0.25">
      <c r="A10" s="9" t="s">
        <v>75</v>
      </c>
      <c r="B10" s="179">
        <v>1.25</v>
      </c>
      <c r="C10" s="12" t="s">
        <v>72</v>
      </c>
    </row>
    <row r="11" spans="1:4" x14ac:dyDescent="0.25">
      <c r="A11" s="10" t="s">
        <v>76</v>
      </c>
      <c r="B11" s="520">
        <v>1</v>
      </c>
      <c r="C11" s="12" t="s">
        <v>72</v>
      </c>
    </row>
    <row r="12" spans="1:4" x14ac:dyDescent="0.25">
      <c r="A12" s="10" t="s">
        <v>77</v>
      </c>
      <c r="B12" s="520" t="s">
        <v>78</v>
      </c>
      <c r="C12" s="12" t="s">
        <v>72</v>
      </c>
    </row>
    <row r="13" spans="1:4" x14ac:dyDescent="0.25">
      <c r="A13" s="10" t="s">
        <v>79</v>
      </c>
      <c r="B13" s="196">
        <v>7.7499999999999999E-2</v>
      </c>
      <c r="C13" s="12" t="s">
        <v>72</v>
      </c>
    </row>
    <row r="14" spans="1:4" ht="14.7" customHeight="1" x14ac:dyDescent="0.25">
      <c r="A14" s="9" t="s">
        <v>80</v>
      </c>
      <c r="B14" s="171" t="s">
        <v>81</v>
      </c>
      <c r="C14" s="12" t="s">
        <v>72</v>
      </c>
    </row>
    <row r="15" spans="1:4" ht="14.7" customHeight="1" x14ac:dyDescent="0.25">
      <c r="A15" s="9" t="s">
        <v>82</v>
      </c>
      <c r="B15" s="520" t="s">
        <v>81</v>
      </c>
      <c r="C15" s="12" t="s">
        <v>72</v>
      </c>
    </row>
    <row r="16" spans="1:4" ht="16.2" customHeight="1" x14ac:dyDescent="0.25">
      <c r="A16" s="9" t="s">
        <v>83</v>
      </c>
      <c r="B16" s="520">
        <v>25</v>
      </c>
      <c r="C16" s="12" t="s">
        <v>72</v>
      </c>
    </row>
    <row r="17" spans="1:11" ht="32.25" customHeight="1" x14ac:dyDescent="0.25">
      <c r="A17" s="322" t="s">
        <v>84</v>
      </c>
      <c r="B17" s="323" t="s">
        <v>85</v>
      </c>
      <c r="C17" s="324" t="s">
        <v>86</v>
      </c>
    </row>
    <row r="18" spans="1:11" ht="15" customHeight="1" x14ac:dyDescent="0.25">
      <c r="A18" s="577" t="s">
        <v>87</v>
      </c>
      <c r="B18" s="578">
        <v>2.3E-2</v>
      </c>
      <c r="C18" s="579" t="s">
        <v>88</v>
      </c>
    </row>
    <row r="19" spans="1:11" ht="15" customHeight="1" x14ac:dyDescent="0.25">
      <c r="A19" s="79"/>
      <c r="B19" s="5"/>
      <c r="C19" s="544"/>
    </row>
    <row r="20" spans="1:11" ht="15.75" customHeight="1" x14ac:dyDescent="0.25">
      <c r="A20" s="79"/>
      <c r="B20" s="5"/>
      <c r="C20" s="544"/>
    </row>
    <row r="21" spans="1:11" ht="15.75" customHeight="1" x14ac:dyDescent="0.25">
      <c r="A21" s="79"/>
      <c r="B21" s="5"/>
      <c r="C21" s="544"/>
    </row>
    <row r="22" spans="1:11" ht="15.75" customHeight="1" x14ac:dyDescent="0.25">
      <c r="A22" s="79"/>
      <c r="B22" s="5"/>
      <c r="C22" s="544"/>
    </row>
    <row r="23" spans="1:11" ht="15.75" customHeight="1" x14ac:dyDescent="0.25">
      <c r="A23" s="79"/>
      <c r="B23" s="5"/>
      <c r="C23" s="544"/>
    </row>
    <row r="24" spans="1:11" ht="15.75" customHeight="1" x14ac:dyDescent="0.25">
      <c r="A24" s="79"/>
      <c r="B24" s="5"/>
      <c r="C24" s="544"/>
    </row>
    <row r="25" spans="1:11" ht="15.75" customHeight="1" x14ac:dyDescent="0.25">
      <c r="A25" s="79"/>
      <c r="B25" s="5"/>
      <c r="C25" s="544"/>
    </row>
    <row r="26" spans="1:11" ht="15.75" customHeight="1" x14ac:dyDescent="0.25">
      <c r="A26" s="319"/>
      <c r="B26" s="319"/>
      <c r="C26" s="319"/>
      <c r="D26" s="319"/>
      <c r="E26" s="319"/>
      <c r="F26" s="319"/>
      <c r="G26" s="319"/>
      <c r="H26" s="319"/>
      <c r="I26" s="319"/>
    </row>
    <row r="27" spans="1:11" ht="15.75" customHeight="1" x14ac:dyDescent="0.25">
      <c r="A27" s="320"/>
      <c r="B27" s="320"/>
      <c r="C27" s="320"/>
      <c r="D27" s="320"/>
      <c r="E27" s="320"/>
      <c r="F27" s="320"/>
      <c r="G27" s="320"/>
      <c r="H27" s="320"/>
      <c r="I27" s="320"/>
    </row>
    <row r="28" spans="1:11" ht="15.75" customHeight="1" x14ac:dyDescent="0.25">
      <c r="A28" s="79"/>
      <c r="B28" s="5"/>
      <c r="C28" s="544"/>
    </row>
    <row r="29" spans="1:11" s="18" customFormat="1" ht="13.2" x14ac:dyDescent="0.25">
      <c r="A29" s="18" t="s">
        <v>89</v>
      </c>
    </row>
    <row r="30" spans="1:11" s="3" customFormat="1" ht="13.2" x14ac:dyDescent="0.25">
      <c r="G30" s="40"/>
      <c r="H30" s="40"/>
      <c r="I30" s="40"/>
      <c r="J30" s="40"/>
      <c r="K30" s="40"/>
    </row>
    <row r="31" spans="1:11" s="3" customFormat="1" ht="21" customHeight="1" x14ac:dyDescent="0.25">
      <c r="A31" s="77"/>
      <c r="B31" s="76"/>
      <c r="C31" s="76"/>
      <c r="F31" s="40"/>
      <c r="G31" s="40"/>
      <c r="H31" s="40"/>
      <c r="I31" s="40"/>
      <c r="J31" s="40"/>
    </row>
    <row r="32" spans="1:11" ht="20.399999999999999" customHeight="1" x14ac:dyDescent="0.25">
      <c r="A32" s="158"/>
      <c r="B32" s="160" t="s">
        <v>90</v>
      </c>
      <c r="C32" s="3"/>
      <c r="D32" s="3"/>
      <c r="E32" s="3"/>
      <c r="F32" s="40"/>
      <c r="G32" s="3"/>
    </row>
    <row r="33" spans="1:8" ht="103.95" customHeight="1" x14ac:dyDescent="0.25">
      <c r="A33" s="11" t="s">
        <v>91</v>
      </c>
      <c r="B33" s="53"/>
      <c r="D33" s="173" t="s">
        <v>92</v>
      </c>
      <c r="E33" s="173" t="s">
        <v>93</v>
      </c>
      <c r="F33" s="174" t="s">
        <v>94</v>
      </c>
      <c r="G33" s="3"/>
    </row>
    <row r="34" spans="1:8" ht="14.7" customHeight="1" x14ac:dyDescent="0.25">
      <c r="A34" s="11" t="s">
        <v>95</v>
      </c>
      <c r="B34" s="72">
        <v>49997</v>
      </c>
      <c r="D34" s="175" t="s">
        <v>96</v>
      </c>
      <c r="E34" s="176">
        <v>2850.9</v>
      </c>
      <c r="F34" s="177">
        <f t="shared" ref="F34:F39" si="0">E34/$E$40</f>
        <v>5.7021466905187841E-2</v>
      </c>
      <c r="G34" s="3"/>
    </row>
    <row r="35" spans="1:8" ht="14.7" customHeight="1" x14ac:dyDescent="0.25">
      <c r="A35" s="3"/>
      <c r="B35" s="3"/>
      <c r="D35" s="175" t="s">
        <v>97</v>
      </c>
      <c r="E35" s="176">
        <v>1559.65</v>
      </c>
      <c r="F35" s="177">
        <f t="shared" si="0"/>
        <v>3.1194896649716305E-2</v>
      </c>
      <c r="G35" s="3"/>
    </row>
    <row r="36" spans="1:8" ht="14.7" customHeight="1" x14ac:dyDescent="0.25">
      <c r="A36" s="3"/>
      <c r="B36" s="3"/>
      <c r="D36" s="175" t="s">
        <v>98</v>
      </c>
      <c r="E36" s="176">
        <v>812.23</v>
      </c>
      <c r="F36" s="177">
        <f t="shared" si="0"/>
        <v>1.6245587731734089E-2</v>
      </c>
      <c r="G36" s="3"/>
    </row>
    <row r="37" spans="1:8" ht="14.7" customHeight="1" x14ac:dyDescent="0.25">
      <c r="A37" s="3"/>
      <c r="B37" s="3"/>
      <c r="D37" s="175" t="s">
        <v>99</v>
      </c>
      <c r="E37" s="176">
        <v>1267.01</v>
      </c>
      <c r="F37" s="177">
        <f t="shared" si="0"/>
        <v>2.5341740777839294E-2</v>
      </c>
      <c r="G37" s="3"/>
    </row>
    <row r="38" spans="1:8" ht="14.7" customHeight="1" x14ac:dyDescent="0.25">
      <c r="A38" s="3"/>
      <c r="B38" s="3"/>
      <c r="D38" s="175" t="s">
        <v>100</v>
      </c>
      <c r="E38" s="176">
        <v>40007.279999999999</v>
      </c>
      <c r="F38" s="177">
        <f t="shared" si="0"/>
        <v>0.80019425181051007</v>
      </c>
      <c r="G38" s="3"/>
    </row>
    <row r="39" spans="1:8" ht="14.7" customHeight="1" x14ac:dyDescent="0.25">
      <c r="B39" s="3"/>
      <c r="C39" s="3"/>
      <c r="D39" s="178" t="s">
        <v>101</v>
      </c>
      <c r="E39" s="176">
        <v>3499.89</v>
      </c>
      <c r="F39" s="177">
        <f t="shared" si="0"/>
        <v>7.0002056125012396E-2</v>
      </c>
      <c r="G39" s="3"/>
    </row>
    <row r="40" spans="1:8" ht="14.7" customHeight="1" x14ac:dyDescent="0.25">
      <c r="A40" s="77"/>
      <c r="B40" s="3"/>
      <c r="C40" s="3"/>
      <c r="D40" s="3"/>
      <c r="E40" s="546">
        <f>SUM(E34:E39)</f>
        <v>49996.959999999999</v>
      </c>
      <c r="F40" s="172"/>
      <c r="G40" s="3"/>
    </row>
    <row r="41" spans="1:8" ht="14.7" customHeight="1" x14ac:dyDescent="0.25">
      <c r="A41" s="77"/>
      <c r="B41" s="3"/>
      <c r="C41" s="3"/>
      <c r="D41" s="3"/>
      <c r="E41" s="546"/>
      <c r="F41" s="172"/>
      <c r="G41" s="3"/>
    </row>
    <row r="42" spans="1:8" ht="14.7" customHeight="1" x14ac:dyDescent="0.25">
      <c r="A42" s="77"/>
      <c r="B42" s="3"/>
      <c r="C42" s="3"/>
      <c r="D42" s="3"/>
      <c r="E42" s="546"/>
      <c r="F42" s="172"/>
      <c r="G42" s="3"/>
    </row>
    <row r="43" spans="1:8" ht="14.7" customHeight="1" x14ac:dyDescent="0.25">
      <c r="A43" s="77" t="s">
        <v>102</v>
      </c>
      <c r="B43" s="3"/>
      <c r="C43" s="3"/>
      <c r="D43" s="3"/>
      <c r="E43" s="546"/>
      <c r="F43" s="172"/>
      <c r="G43" s="3"/>
    </row>
    <row r="44" spans="1:8" ht="14.7" customHeight="1" x14ac:dyDescent="0.25">
      <c r="B44" s="3"/>
      <c r="C44" s="3"/>
      <c r="D44" s="3"/>
      <c r="E44" s="546"/>
      <c r="F44" s="172"/>
      <c r="G44" s="3"/>
    </row>
    <row r="45" spans="1:8" ht="14.7" customHeight="1" x14ac:dyDescent="0.25">
      <c r="A45" s="713" t="s">
        <v>103</v>
      </c>
      <c r="B45" s="713"/>
      <c r="C45" s="713"/>
      <c r="D45" s="713"/>
      <c r="E45" s="713"/>
      <c r="F45" s="713"/>
      <c r="G45" s="40"/>
      <c r="H45" s="3"/>
    </row>
    <row r="46" spans="1:8" s="71" customFormat="1" ht="19.95" customHeight="1" x14ac:dyDescent="0.25">
      <c r="B46" s="160" t="s">
        <v>104</v>
      </c>
      <c r="C46" s="160" t="s">
        <v>105</v>
      </c>
      <c r="D46" s="160" t="s">
        <v>106</v>
      </c>
      <c r="F46" s="40"/>
    </row>
    <row r="47" spans="1:8" ht="143.4" customHeight="1" x14ac:dyDescent="0.25">
      <c r="A47" s="161" t="s">
        <v>107</v>
      </c>
      <c r="B47" s="53"/>
      <c r="C47" s="53"/>
      <c r="D47" s="53"/>
    </row>
    <row r="48" spans="1:8" x14ac:dyDescent="0.25">
      <c r="A48" s="53" t="s">
        <v>95</v>
      </c>
      <c r="B48" s="162">
        <v>240000</v>
      </c>
      <c r="C48" s="162">
        <f>3*40000</f>
        <v>120000</v>
      </c>
      <c r="D48" s="162">
        <v>130502</v>
      </c>
    </row>
    <row r="49" spans="1:6" ht="19.95" customHeight="1" x14ac:dyDescent="0.25">
      <c r="A49" s="74"/>
      <c r="B49" s="74"/>
      <c r="C49" s="61"/>
      <c r="D49" s="74"/>
      <c r="F49" s="3"/>
    </row>
    <row r="50" spans="1:6" ht="17.399999999999999" customHeight="1" x14ac:dyDescent="0.25">
      <c r="A50" s="713" t="s">
        <v>108</v>
      </c>
      <c r="B50" s="713"/>
      <c r="C50" s="713"/>
      <c r="D50" s="713"/>
      <c r="E50" s="713"/>
      <c r="F50" s="713"/>
    </row>
    <row r="51" spans="1:6" x14ac:dyDescent="0.25">
      <c r="A51" s="75"/>
      <c r="B51" s="159" t="s">
        <v>109</v>
      </c>
      <c r="E51" s="159" t="s">
        <v>110</v>
      </c>
      <c r="F51" s="159" t="s">
        <v>111</v>
      </c>
    </row>
    <row r="52" spans="1:6" ht="127.2" customHeight="1" x14ac:dyDescent="0.25">
      <c r="A52" s="161" t="s">
        <v>107</v>
      </c>
      <c r="B52" s="53" t="s">
        <v>112</v>
      </c>
      <c r="E52" s="53"/>
      <c r="F52" s="53"/>
    </row>
    <row r="53" spans="1:6" x14ac:dyDescent="0.25">
      <c r="A53" s="53" t="s">
        <v>95</v>
      </c>
      <c r="B53" s="73">
        <v>24692</v>
      </c>
      <c r="E53" s="73">
        <v>24692</v>
      </c>
      <c r="F53" s="162">
        <v>22500</v>
      </c>
    </row>
    <row r="54" spans="1:6" ht="37.950000000000003" customHeight="1" x14ac:dyDescent="0.25">
      <c r="A54" s="74"/>
    </row>
    <row r="55" spans="1:6" ht="17.399999999999999" customHeight="1" x14ac:dyDescent="0.25">
      <c r="A55" s="713" t="s">
        <v>113</v>
      </c>
      <c r="B55" s="713"/>
      <c r="C55" s="713"/>
      <c r="D55" s="713"/>
      <c r="E55" s="713"/>
      <c r="F55" s="713"/>
    </row>
    <row r="56" spans="1:6" x14ac:dyDescent="0.25">
      <c r="A56" s="71"/>
      <c r="B56" s="159" t="s">
        <v>114</v>
      </c>
      <c r="C56" s="159" t="s">
        <v>115</v>
      </c>
    </row>
    <row r="57" spans="1:6" ht="123.6" customHeight="1" x14ac:dyDescent="0.25">
      <c r="A57" s="161" t="s">
        <v>107</v>
      </c>
      <c r="B57" s="53"/>
      <c r="C57" s="53"/>
    </row>
    <row r="58" spans="1:6" x14ac:dyDescent="0.25">
      <c r="A58" s="53" t="s">
        <v>95</v>
      </c>
      <c r="B58" s="163">
        <v>9375</v>
      </c>
      <c r="C58" s="163">
        <v>8001</v>
      </c>
    </row>
    <row r="70" spans="3:3" ht="14.4" x14ac:dyDescent="0.3">
      <c r="C70"/>
    </row>
  </sheetData>
  <mergeCells count="5">
    <mergeCell ref="A50:F50"/>
    <mergeCell ref="A45:F45"/>
    <mergeCell ref="A55:F55"/>
    <mergeCell ref="A1:C1"/>
    <mergeCell ref="A2:C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AB23"/>
  <sheetViews>
    <sheetView zoomScale="85" zoomScaleNormal="85" workbookViewId="0">
      <selection sqref="A1:N1"/>
    </sheetView>
  </sheetViews>
  <sheetFormatPr defaultColWidth="8.6640625" defaultRowHeight="12.75" customHeight="1" x14ac:dyDescent="0.25"/>
  <cols>
    <col min="1" max="1" width="32.109375" style="3" customWidth="1"/>
    <col min="2" max="2" width="40.6640625" style="3" customWidth="1"/>
    <col min="3" max="4" width="34.44140625" style="3" customWidth="1"/>
    <col min="5" max="5" width="19.88671875" style="3" customWidth="1"/>
    <col min="6" max="6" width="21.5546875" style="3" customWidth="1"/>
    <col min="7" max="7" width="20.33203125" style="3" customWidth="1"/>
    <col min="8" max="8" width="12.6640625" style="3" customWidth="1"/>
    <col min="9" max="9" width="12" style="3" customWidth="1"/>
    <col min="10" max="11" width="11.33203125" style="3" customWidth="1"/>
    <col min="12" max="12" width="18.33203125" style="3" customWidth="1"/>
    <col min="13" max="13" width="31.33203125" style="3" customWidth="1"/>
    <col min="14" max="14" width="25.88671875" style="3" customWidth="1"/>
    <col min="15" max="15" width="12.6640625" style="3" customWidth="1"/>
    <col min="16" max="16" width="17.88671875" style="3" customWidth="1"/>
    <col min="17" max="17" width="23.109375" style="3" customWidth="1"/>
    <col min="18" max="18" width="17.33203125" style="3" customWidth="1"/>
    <col min="19" max="19" width="15.88671875" style="3" customWidth="1"/>
    <col min="20" max="20" width="25.6640625" style="3" customWidth="1"/>
    <col min="21" max="21" width="22.6640625" style="3" customWidth="1"/>
    <col min="22" max="22" width="21.5546875" style="3" customWidth="1"/>
    <col min="23" max="23" width="19.44140625" style="3" customWidth="1"/>
    <col min="24" max="24" width="26" style="3" customWidth="1"/>
    <col min="25" max="25" width="17.33203125" style="3" customWidth="1"/>
    <col min="26" max="26" width="15.109375" style="3" customWidth="1"/>
    <col min="27" max="28" width="17.33203125" style="3" customWidth="1"/>
    <col min="29" max="16384" width="8.6640625" style="3"/>
  </cols>
  <sheetData>
    <row r="1" spans="1:28" ht="25.95" customHeight="1" x14ac:dyDescent="0.25">
      <c r="A1" s="721" t="str">
        <f>"Proposed Layout - "&amp;Prototype!A2</f>
        <v>Proposed Layout - RetailGrocery</v>
      </c>
      <c r="B1" s="721"/>
      <c r="C1" s="721"/>
      <c r="D1" s="721"/>
      <c r="E1" s="721"/>
      <c r="F1" s="721"/>
      <c r="G1" s="721"/>
      <c r="H1" s="721"/>
      <c r="I1" s="721"/>
      <c r="J1" s="721"/>
      <c r="K1" s="721"/>
      <c r="L1" s="721"/>
      <c r="M1" s="721"/>
      <c r="N1" s="721"/>
      <c r="R1" s="116" t="s">
        <v>116</v>
      </c>
    </row>
    <row r="2" spans="1:28" ht="39.6" x14ac:dyDescent="0.25">
      <c r="A2" s="580" t="s">
        <v>117</v>
      </c>
      <c r="B2" s="13" t="s">
        <v>118</v>
      </c>
      <c r="C2" s="561" t="s">
        <v>119</v>
      </c>
      <c r="D2" s="561" t="s">
        <v>120</v>
      </c>
      <c r="E2" s="56" t="s">
        <v>121</v>
      </c>
      <c r="F2" s="197" t="s">
        <v>122</v>
      </c>
      <c r="G2" s="22" t="s">
        <v>123</v>
      </c>
      <c r="H2" s="23" t="s">
        <v>124</v>
      </c>
      <c r="I2" s="561" t="s">
        <v>125</v>
      </c>
      <c r="J2" s="133" t="s">
        <v>126</v>
      </c>
      <c r="K2" s="22" t="s">
        <v>127</v>
      </c>
      <c r="L2" s="70" t="s">
        <v>128</v>
      </c>
      <c r="M2" s="22" t="s">
        <v>129</v>
      </c>
      <c r="N2" s="22" t="s">
        <v>56</v>
      </c>
      <c r="O2" s="61"/>
      <c r="P2" s="181" t="s">
        <v>130</v>
      </c>
      <c r="Q2" s="181" t="s">
        <v>131</v>
      </c>
      <c r="R2" s="382" t="s">
        <v>132</v>
      </c>
      <c r="S2" s="188" t="s">
        <v>133</v>
      </c>
      <c r="T2" s="181" t="s">
        <v>134</v>
      </c>
      <c r="U2" s="61"/>
      <c r="W2" s="189"/>
      <c r="X2" s="189"/>
      <c r="Y2" s="4"/>
      <c r="Z2" s="190"/>
      <c r="AA2" s="189"/>
    </row>
    <row r="3" spans="1:28" s="111" customFormat="1" ht="33" customHeight="1" x14ac:dyDescent="0.25">
      <c r="A3" s="581" t="s">
        <v>59</v>
      </c>
      <c r="B3" s="525" t="s">
        <v>135</v>
      </c>
      <c r="C3" s="118" t="s">
        <v>136</v>
      </c>
      <c r="D3" s="582" t="s">
        <v>137</v>
      </c>
      <c r="E3" s="582" t="s">
        <v>138</v>
      </c>
      <c r="F3" s="165" t="s">
        <v>139</v>
      </c>
      <c r="G3" s="15" t="s">
        <v>140</v>
      </c>
      <c r="H3" s="187">
        <f>10000/50000</f>
        <v>0.2</v>
      </c>
      <c r="I3" s="166">
        <f t="shared" ref="I3:I14" si="0">H3*50000</f>
        <v>10000</v>
      </c>
      <c r="J3" s="113">
        <f>I3*Prototype!$B$16</f>
        <v>250000</v>
      </c>
      <c r="K3" s="114">
        <v>1</v>
      </c>
      <c r="L3" s="15">
        <f>M3*I3/1000</f>
        <v>170</v>
      </c>
      <c r="M3" s="331">
        <v>17</v>
      </c>
      <c r="N3" s="331"/>
      <c r="O3" s="183"/>
      <c r="P3" s="134" t="s">
        <v>141</v>
      </c>
      <c r="Q3" s="137" t="s">
        <v>142</v>
      </c>
      <c r="R3" s="180" t="s">
        <v>143</v>
      </c>
      <c r="S3" s="139" t="s">
        <v>144</v>
      </c>
      <c r="T3" s="140"/>
      <c r="U3" s="61" t="s">
        <v>145</v>
      </c>
      <c r="W3" s="191"/>
      <c r="X3" s="192"/>
      <c r="Y3" s="193"/>
      <c r="Z3" s="194"/>
      <c r="AA3" s="157"/>
      <c r="AB3" s="3"/>
    </row>
    <row r="4" spans="1:28" s="111" customFormat="1" ht="33" customHeight="1" x14ac:dyDescent="0.3">
      <c r="A4" s="581" t="s">
        <v>59</v>
      </c>
      <c r="B4" s="525" t="s">
        <v>146</v>
      </c>
      <c r="C4" s="118" t="s">
        <v>136</v>
      </c>
      <c r="D4" s="582" t="s">
        <v>147</v>
      </c>
      <c r="E4" s="582" t="s">
        <v>148</v>
      </c>
      <c r="F4" s="165" t="s">
        <v>139</v>
      </c>
      <c r="G4" s="15" t="s">
        <v>140</v>
      </c>
      <c r="H4" s="115">
        <f>4400/50000</f>
        <v>8.7999999999999995E-2</v>
      </c>
      <c r="I4" s="166">
        <f t="shared" si="0"/>
        <v>4400</v>
      </c>
      <c r="J4" s="113">
        <f>I4*Prototype!$B$16</f>
        <v>110000</v>
      </c>
      <c r="K4" s="114">
        <v>1</v>
      </c>
      <c r="L4" s="15">
        <f t="shared" ref="L4:L14" si="1">M4*I4/1000</f>
        <v>74.8</v>
      </c>
      <c r="M4" s="331">
        <v>17</v>
      </c>
      <c r="N4" s="331"/>
      <c r="O4" s="183"/>
      <c r="P4" s="142" t="s">
        <v>149</v>
      </c>
      <c r="Q4" s="138" t="s">
        <v>150</v>
      </c>
      <c r="R4" s="180" t="s">
        <v>151</v>
      </c>
      <c r="S4" s="136" t="s">
        <v>152</v>
      </c>
      <c r="T4" s="141" t="s">
        <v>153</v>
      </c>
      <c r="U4" s="182"/>
      <c r="W4" s="194"/>
      <c r="X4" s="192"/>
      <c r="Y4" s="193"/>
      <c r="Z4" s="194"/>
      <c r="AA4" s="195"/>
      <c r="AB4" s="192"/>
    </row>
    <row r="5" spans="1:28" s="111" customFormat="1" ht="33" customHeight="1" x14ac:dyDescent="0.3">
      <c r="A5" s="581" t="s">
        <v>59</v>
      </c>
      <c r="B5" s="525" t="s">
        <v>154</v>
      </c>
      <c r="C5" s="118" t="s">
        <v>136</v>
      </c>
      <c r="D5" s="582" t="s">
        <v>155</v>
      </c>
      <c r="E5" s="582" t="s">
        <v>156</v>
      </c>
      <c r="F5" s="165" t="s">
        <v>139</v>
      </c>
      <c r="G5" s="15" t="s">
        <v>140</v>
      </c>
      <c r="H5" s="115">
        <f>7700/50000</f>
        <v>0.154</v>
      </c>
      <c r="I5" s="166">
        <f t="shared" si="0"/>
        <v>7700</v>
      </c>
      <c r="J5" s="113">
        <f>I5*Prototype!$B$16</f>
        <v>192500</v>
      </c>
      <c r="K5" s="114">
        <v>1</v>
      </c>
      <c r="L5" s="15">
        <f t="shared" si="1"/>
        <v>130.9</v>
      </c>
      <c r="M5" s="331">
        <v>17</v>
      </c>
      <c r="N5" s="331"/>
      <c r="O5" s="183"/>
      <c r="P5" s="143"/>
      <c r="Q5" s="123" t="s">
        <v>157</v>
      </c>
      <c r="R5" s="135" t="s">
        <v>158</v>
      </c>
      <c r="S5" s="135"/>
      <c r="T5" s="144" t="s">
        <v>159</v>
      </c>
      <c r="U5" s="183" t="s">
        <v>160</v>
      </c>
      <c r="W5" s="192"/>
      <c r="X5" s="192"/>
      <c r="Y5" s="192"/>
      <c r="Z5" s="192"/>
      <c r="AA5" s="192"/>
    </row>
    <row r="6" spans="1:28" s="111" customFormat="1" ht="33" customHeight="1" x14ac:dyDescent="0.3">
      <c r="A6" s="581" t="s">
        <v>59</v>
      </c>
      <c r="B6" s="525" t="s">
        <v>161</v>
      </c>
      <c r="C6" s="118" t="s">
        <v>136</v>
      </c>
      <c r="D6" s="582" t="s">
        <v>162</v>
      </c>
      <c r="E6" s="582" t="s">
        <v>163</v>
      </c>
      <c r="F6" s="165" t="s">
        <v>139</v>
      </c>
      <c r="G6" s="15" t="s">
        <v>140</v>
      </c>
      <c r="H6" s="115">
        <f>6600/50000</f>
        <v>0.13200000000000001</v>
      </c>
      <c r="I6" s="166">
        <f t="shared" si="0"/>
        <v>6600</v>
      </c>
      <c r="J6" s="113">
        <f>I6*Prototype!$B$16</f>
        <v>165000</v>
      </c>
      <c r="K6" s="114">
        <v>1</v>
      </c>
      <c r="L6" s="15">
        <f t="shared" si="1"/>
        <v>112.2</v>
      </c>
      <c r="M6" s="331">
        <v>17</v>
      </c>
      <c r="N6" s="331"/>
      <c r="O6" s="183"/>
      <c r="P6" s="145"/>
      <c r="Q6" s="124"/>
      <c r="R6" s="130"/>
      <c r="S6" s="127"/>
      <c r="T6" s="146"/>
      <c r="U6" s="183"/>
      <c r="W6" s="192"/>
      <c r="X6" s="192"/>
      <c r="Y6" s="192"/>
      <c r="Z6" s="192"/>
      <c r="AA6" s="192"/>
    </row>
    <row r="7" spans="1:28" s="111" customFormat="1" ht="33" customHeight="1" x14ac:dyDescent="0.3">
      <c r="A7" s="581" t="s">
        <v>59</v>
      </c>
      <c r="B7" s="525" t="s">
        <v>164</v>
      </c>
      <c r="C7" s="118" t="s">
        <v>136</v>
      </c>
      <c r="D7" s="582" t="s">
        <v>165</v>
      </c>
      <c r="E7" s="582" t="s">
        <v>166</v>
      </c>
      <c r="F7" s="165" t="s">
        <v>139</v>
      </c>
      <c r="G7" s="15" t="s">
        <v>140</v>
      </c>
      <c r="H7" s="115">
        <f t="shared" ref="H7:H8" si="2">4400/50000</f>
        <v>8.7999999999999995E-2</v>
      </c>
      <c r="I7" s="166">
        <f t="shared" si="0"/>
        <v>4400</v>
      </c>
      <c r="J7" s="113">
        <f>I7*Prototype!$B$16</f>
        <v>110000</v>
      </c>
      <c r="K7" s="114">
        <v>1</v>
      </c>
      <c r="L7" s="15">
        <f t="shared" si="1"/>
        <v>74.8</v>
      </c>
      <c r="M7" s="331">
        <v>17</v>
      </c>
      <c r="N7" s="331"/>
      <c r="O7" s="183"/>
      <c r="P7" s="147" t="s">
        <v>146</v>
      </c>
      <c r="Q7" s="125" t="s">
        <v>167</v>
      </c>
      <c r="R7" s="131" t="s">
        <v>168</v>
      </c>
      <c r="S7" s="128" t="s">
        <v>164</v>
      </c>
      <c r="T7" s="148" t="s">
        <v>169</v>
      </c>
      <c r="U7" s="183"/>
      <c r="W7" s="192"/>
      <c r="X7" s="192"/>
      <c r="Y7" s="192"/>
      <c r="Z7" s="192"/>
      <c r="AA7" s="192"/>
    </row>
    <row r="8" spans="1:28" s="111" customFormat="1" ht="30" customHeight="1" x14ac:dyDescent="0.3">
      <c r="A8" s="581" t="s">
        <v>59</v>
      </c>
      <c r="B8" s="111" t="s">
        <v>169</v>
      </c>
      <c r="C8" s="118" t="s">
        <v>136</v>
      </c>
      <c r="D8" s="582" t="s">
        <v>170</v>
      </c>
      <c r="E8" s="582" t="s">
        <v>171</v>
      </c>
      <c r="F8" s="165" t="s">
        <v>139</v>
      </c>
      <c r="G8" s="15" t="s">
        <v>140</v>
      </c>
      <c r="H8" s="115">
        <f t="shared" si="2"/>
        <v>8.7999999999999995E-2</v>
      </c>
      <c r="I8" s="166">
        <f t="shared" si="0"/>
        <v>4400</v>
      </c>
      <c r="J8" s="113">
        <f>I8*Prototype!$B$16</f>
        <v>110000</v>
      </c>
      <c r="K8" s="114">
        <v>1</v>
      </c>
      <c r="L8" s="15">
        <f t="shared" si="1"/>
        <v>74.8</v>
      </c>
      <c r="M8" s="331">
        <v>17</v>
      </c>
      <c r="N8" s="331"/>
      <c r="O8" s="183"/>
      <c r="P8" s="147"/>
      <c r="Q8" s="125"/>
      <c r="R8" s="131"/>
      <c r="S8" s="128"/>
      <c r="T8" s="148"/>
      <c r="U8" s="183"/>
      <c r="W8" s="192"/>
      <c r="X8" s="192"/>
      <c r="Y8" s="192"/>
      <c r="Z8" s="192"/>
      <c r="AA8" s="192"/>
    </row>
    <row r="9" spans="1:28" s="111" customFormat="1" ht="33.75" customHeight="1" x14ac:dyDescent="0.3">
      <c r="A9" s="581" t="s">
        <v>59</v>
      </c>
      <c r="B9" s="525" t="s">
        <v>158</v>
      </c>
      <c r="C9" s="118" t="s">
        <v>136</v>
      </c>
      <c r="D9" s="582" t="s">
        <v>172</v>
      </c>
      <c r="E9" s="582" t="s">
        <v>173</v>
      </c>
      <c r="F9" s="165" t="s">
        <v>139</v>
      </c>
      <c r="G9" s="15" t="s">
        <v>140</v>
      </c>
      <c r="H9" s="115">
        <f>5000/50000</f>
        <v>0.1</v>
      </c>
      <c r="I9" s="166">
        <f t="shared" si="0"/>
        <v>5000</v>
      </c>
      <c r="J9" s="113">
        <f>I9*Prototype!$B$16</f>
        <v>125000</v>
      </c>
      <c r="K9" s="114">
        <v>1</v>
      </c>
      <c r="L9" s="15">
        <f t="shared" si="1"/>
        <v>85</v>
      </c>
      <c r="M9" s="331">
        <v>17</v>
      </c>
      <c r="N9" s="331"/>
      <c r="O9" s="183"/>
      <c r="P9" s="147"/>
      <c r="Q9" s="125"/>
      <c r="R9" s="131"/>
      <c r="S9" s="128"/>
      <c r="T9" s="148"/>
      <c r="U9" s="183" t="s">
        <v>174</v>
      </c>
      <c r="W9" s="192"/>
      <c r="X9" s="192"/>
      <c r="Y9" s="192"/>
      <c r="Z9" s="192"/>
      <c r="AA9" s="192"/>
    </row>
    <row r="10" spans="1:28" s="111" customFormat="1" ht="27.75" customHeight="1" x14ac:dyDescent="0.3">
      <c r="A10" s="581" t="s">
        <v>59</v>
      </c>
      <c r="B10" s="525" t="s">
        <v>141</v>
      </c>
      <c r="C10" s="118" t="s">
        <v>175</v>
      </c>
      <c r="D10" s="582" t="s">
        <v>176</v>
      </c>
      <c r="E10" s="582" t="s">
        <v>177</v>
      </c>
      <c r="F10" s="165" t="s">
        <v>139</v>
      </c>
      <c r="G10" s="15" t="s">
        <v>140</v>
      </c>
      <c r="H10" s="115">
        <f>1200/50000</f>
        <v>2.4E-2</v>
      </c>
      <c r="I10" s="166">
        <f t="shared" si="0"/>
        <v>1200</v>
      </c>
      <c r="J10" s="113">
        <f>I10*Prototype!$B$16</f>
        <v>30000</v>
      </c>
      <c r="K10" s="114">
        <v>1</v>
      </c>
      <c r="L10" s="15">
        <f t="shared" si="1"/>
        <v>6</v>
      </c>
      <c r="M10" s="169">
        <v>5</v>
      </c>
      <c r="N10" s="169"/>
      <c r="O10" s="183"/>
      <c r="P10" s="147" t="s">
        <v>178</v>
      </c>
      <c r="Q10" s="125"/>
      <c r="R10" s="131" t="s">
        <v>179</v>
      </c>
      <c r="S10" s="128" t="s">
        <v>180</v>
      </c>
      <c r="T10" s="148" t="s">
        <v>181</v>
      </c>
      <c r="U10" s="183"/>
      <c r="W10" s="192"/>
      <c r="X10" s="192"/>
      <c r="Y10" s="192"/>
      <c r="Z10" s="192"/>
      <c r="AA10" s="192"/>
    </row>
    <row r="11" spans="1:28" s="111" customFormat="1" ht="33.75" customHeight="1" x14ac:dyDescent="0.3">
      <c r="A11" s="581" t="s">
        <v>59</v>
      </c>
      <c r="B11" s="525" t="s">
        <v>182</v>
      </c>
      <c r="C11" s="583" t="s">
        <v>183</v>
      </c>
      <c r="D11" s="582" t="s">
        <v>184</v>
      </c>
      <c r="E11" s="582" t="s">
        <v>185</v>
      </c>
      <c r="F11" s="584" t="s">
        <v>186</v>
      </c>
      <c r="G11" s="15" t="s">
        <v>140</v>
      </c>
      <c r="H11" s="187">
        <f>3200/50000</f>
        <v>6.4000000000000001E-2</v>
      </c>
      <c r="I11" s="166">
        <f t="shared" si="0"/>
        <v>3200</v>
      </c>
      <c r="J11" s="113">
        <f>I11*Prototype!$B$16</f>
        <v>80000</v>
      </c>
      <c r="K11" s="114">
        <v>1</v>
      </c>
      <c r="L11" s="15">
        <f t="shared" si="1"/>
        <v>6.4</v>
      </c>
      <c r="M11" s="331">
        <v>2</v>
      </c>
      <c r="N11" s="331"/>
      <c r="O11" s="183"/>
      <c r="P11" s="147" t="s">
        <v>187</v>
      </c>
      <c r="Q11" s="125" t="s">
        <v>188</v>
      </c>
      <c r="R11" s="131" t="s">
        <v>189</v>
      </c>
      <c r="S11" s="128" t="s">
        <v>187</v>
      </c>
      <c r="T11" s="148" t="s">
        <v>187</v>
      </c>
      <c r="U11" s="183" t="s">
        <v>190</v>
      </c>
      <c r="W11" s="192"/>
      <c r="X11" s="192"/>
      <c r="Y11" s="192"/>
      <c r="Z11" s="192"/>
      <c r="AA11" s="192"/>
    </row>
    <row r="12" spans="1:28" s="111" customFormat="1" ht="34.5" customHeight="1" x14ac:dyDescent="0.3">
      <c r="A12" s="581" t="s">
        <v>59</v>
      </c>
      <c r="B12" s="525" t="s">
        <v>191</v>
      </c>
      <c r="C12" s="118" t="s">
        <v>192</v>
      </c>
      <c r="D12" s="582" t="s">
        <v>193</v>
      </c>
      <c r="E12" s="582" t="s">
        <v>194</v>
      </c>
      <c r="F12" s="582" t="s">
        <v>195</v>
      </c>
      <c r="G12" s="15" t="s">
        <v>140</v>
      </c>
      <c r="H12" s="187">
        <f>2100/50000</f>
        <v>4.2000000000000003E-2</v>
      </c>
      <c r="I12" s="166">
        <v>2100</v>
      </c>
      <c r="J12" s="113">
        <f>I12*Prototype!$B$16</f>
        <v>52500</v>
      </c>
      <c r="K12" s="114">
        <v>1</v>
      </c>
      <c r="L12" s="15">
        <f t="shared" si="1"/>
        <v>0</v>
      </c>
      <c r="M12" s="169">
        <v>0</v>
      </c>
      <c r="N12" s="169"/>
      <c r="O12" s="183"/>
      <c r="P12" s="147" t="s">
        <v>196</v>
      </c>
      <c r="Q12" s="125" t="s">
        <v>197</v>
      </c>
      <c r="R12" s="131" t="s">
        <v>198</v>
      </c>
      <c r="S12" s="128" t="s">
        <v>196</v>
      </c>
      <c r="T12" s="148" t="s">
        <v>196</v>
      </c>
      <c r="U12" s="183"/>
      <c r="W12" s="192"/>
      <c r="X12" s="192"/>
      <c r="Y12" s="192"/>
      <c r="Z12" s="192"/>
      <c r="AA12" s="192"/>
    </row>
    <row r="13" spans="1:28" s="111" customFormat="1" ht="36.75" customHeight="1" x14ac:dyDescent="0.3">
      <c r="A13" s="581" t="s">
        <v>59</v>
      </c>
      <c r="B13" s="525" t="s">
        <v>199</v>
      </c>
      <c r="C13" s="118" t="s">
        <v>192</v>
      </c>
      <c r="D13" s="164" t="s">
        <v>200</v>
      </c>
      <c r="E13" s="313" t="s">
        <v>201</v>
      </c>
      <c r="F13" s="582" t="s">
        <v>195</v>
      </c>
      <c r="G13" s="15" t="s">
        <v>140</v>
      </c>
      <c r="H13" s="187">
        <f>500/50000</f>
        <v>0.01</v>
      </c>
      <c r="I13" s="166">
        <f t="shared" si="0"/>
        <v>500</v>
      </c>
      <c r="J13" s="113">
        <f>I13*Prototype!$B$16</f>
        <v>12500</v>
      </c>
      <c r="K13" s="114">
        <v>1</v>
      </c>
      <c r="L13" s="15">
        <f t="shared" si="1"/>
        <v>0</v>
      </c>
      <c r="M13" s="169">
        <v>0</v>
      </c>
      <c r="N13" s="169"/>
      <c r="O13" s="183"/>
      <c r="P13" s="147"/>
      <c r="Q13" s="125"/>
      <c r="R13" s="131"/>
      <c r="S13" s="128"/>
      <c r="T13" s="148"/>
      <c r="U13" s="183"/>
      <c r="W13" s="192"/>
      <c r="X13" s="192"/>
      <c r="Y13" s="192"/>
      <c r="Z13" s="192"/>
      <c r="AA13" s="192"/>
    </row>
    <row r="14" spans="1:28" s="111" customFormat="1" ht="38.25" customHeight="1" x14ac:dyDescent="0.3">
      <c r="A14" s="581" t="s">
        <v>59</v>
      </c>
      <c r="B14" s="525" t="s">
        <v>202</v>
      </c>
      <c r="C14" s="118" t="s">
        <v>192</v>
      </c>
      <c r="D14" s="164" t="s">
        <v>203</v>
      </c>
      <c r="E14" s="313" t="s">
        <v>201</v>
      </c>
      <c r="F14" s="582" t="s">
        <v>195</v>
      </c>
      <c r="G14" s="15" t="s">
        <v>140</v>
      </c>
      <c r="H14" s="187">
        <f>500/50000</f>
        <v>0.01</v>
      </c>
      <c r="I14" s="166">
        <f t="shared" si="0"/>
        <v>500</v>
      </c>
      <c r="J14" s="113">
        <f>I14*Prototype!$B$16</f>
        <v>12500</v>
      </c>
      <c r="K14" s="114">
        <v>1</v>
      </c>
      <c r="L14" s="15">
        <f t="shared" si="1"/>
        <v>0</v>
      </c>
      <c r="M14" s="169">
        <v>0</v>
      </c>
      <c r="N14" s="169"/>
      <c r="O14" s="183"/>
      <c r="P14" s="147"/>
      <c r="Q14" s="125"/>
      <c r="R14" s="131"/>
      <c r="S14" s="128"/>
      <c r="T14" s="148"/>
      <c r="U14" s="183"/>
      <c r="W14" s="192"/>
      <c r="X14" s="192"/>
      <c r="Y14" s="192"/>
      <c r="Z14" s="192"/>
      <c r="AA14" s="192"/>
    </row>
    <row r="15" spans="1:28" s="111" customFormat="1" ht="35.25" customHeight="1" x14ac:dyDescent="0.3">
      <c r="A15" s="581" t="s">
        <v>204</v>
      </c>
      <c r="B15" s="526" t="s">
        <v>205</v>
      </c>
      <c r="C15" s="209" t="s">
        <v>206</v>
      </c>
      <c r="D15" s="202"/>
      <c r="E15" s="202"/>
      <c r="F15" s="203"/>
      <c r="G15" s="585" t="s">
        <v>207</v>
      </c>
      <c r="H15" s="204">
        <f>SUM(H3:H14)</f>
        <v>1</v>
      </c>
      <c r="I15" s="205">
        <f>SUM(I3:I14)</f>
        <v>50000</v>
      </c>
      <c r="J15" s="206">
        <f>SUM(J3:J14)</f>
        <v>1250000</v>
      </c>
      <c r="K15" s="207"/>
      <c r="L15" s="527">
        <f>SUM(L3:L14)</f>
        <v>734.9</v>
      </c>
      <c r="M15" s="208"/>
      <c r="N15" s="169"/>
      <c r="O15" s="183"/>
      <c r="P15" s="147"/>
      <c r="Q15" s="125"/>
      <c r="R15" s="131"/>
      <c r="S15" s="128"/>
      <c r="T15" s="148"/>
      <c r="U15" s="183"/>
      <c r="W15" s="192"/>
      <c r="X15" s="192"/>
      <c r="Y15" s="192"/>
      <c r="Z15" s="192"/>
      <c r="AA15" s="192"/>
    </row>
    <row r="16" spans="1:28" s="111" customFormat="1" ht="15.75" customHeight="1" x14ac:dyDescent="0.25">
      <c r="A16" s="198"/>
      <c r="B16" s="3"/>
      <c r="C16" s="586"/>
      <c r="D16" s="586"/>
      <c r="E16" s="586"/>
      <c r="F16" s="199"/>
      <c r="G16" s="200"/>
      <c r="H16" s="201"/>
      <c r="I16" s="201"/>
      <c r="J16" s="43"/>
      <c r="K16" s="201"/>
      <c r="L16" s="383"/>
      <c r="M16" s="383"/>
      <c r="N16" s="383"/>
      <c r="O16" s="183"/>
      <c r="P16" s="147"/>
      <c r="Q16" s="125"/>
      <c r="R16" s="131"/>
      <c r="S16" s="128"/>
      <c r="T16" s="148"/>
      <c r="U16" s="183"/>
      <c r="W16" s="192"/>
      <c r="X16" s="192"/>
      <c r="Y16" s="192"/>
      <c r="Z16" s="192"/>
      <c r="AA16" s="192"/>
    </row>
    <row r="17" spans="2:27" s="111" customFormat="1" ht="17.7" customHeight="1" x14ac:dyDescent="0.25">
      <c r="B17" s="3"/>
      <c r="C17" s="3"/>
      <c r="D17" s="3" t="str" cm="1">
        <f t="array" ref="D17:D20">_xlfn.UNIQUE(C3:C14)</f>
        <v>Retail Sales Area (Grocery Sales)</v>
      </c>
      <c r="E17" s="3"/>
      <c r="F17" s="3"/>
      <c r="G17" s="105"/>
      <c r="H17" s="459"/>
      <c r="I17" s="17"/>
      <c r="J17" s="17"/>
      <c r="K17" s="17"/>
      <c r="L17" s="547"/>
      <c r="M17" s="547"/>
      <c r="N17" s="547"/>
      <c r="O17" s="183"/>
      <c r="P17" s="147"/>
      <c r="Q17" s="125"/>
      <c r="R17" s="131"/>
      <c r="S17" s="128"/>
      <c r="T17" s="148"/>
      <c r="U17" s="183"/>
      <c r="W17" s="192"/>
      <c r="X17" s="192"/>
      <c r="Y17" s="192"/>
      <c r="Z17" s="192"/>
      <c r="AA17" s="192"/>
    </row>
    <row r="18" spans="2:27" s="111" customFormat="1" ht="17.7" customHeight="1" x14ac:dyDescent="0.25">
      <c r="B18" s="117"/>
      <c r="C18" s="4"/>
      <c r="D18" s="4" t="str">
        <v>Lounge, Breakroom, or Waiting Area</v>
      </c>
      <c r="E18" s="4"/>
      <c r="F18" s="4"/>
      <c r="G18" s="458"/>
      <c r="H18" s="4"/>
      <c r="I18" s="3"/>
      <c r="J18" s="17"/>
      <c r="K18" s="17"/>
      <c r="L18" s="17"/>
      <c r="M18" s="17"/>
      <c r="N18" s="17"/>
      <c r="O18" s="183"/>
      <c r="P18" s="147"/>
      <c r="Q18" s="125"/>
      <c r="R18" s="131"/>
      <c r="S18" s="128"/>
      <c r="T18" s="148"/>
      <c r="U18" s="183"/>
      <c r="W18" s="192"/>
      <c r="X18" s="192"/>
      <c r="Y18" s="192"/>
      <c r="Z18" s="192"/>
      <c r="AA18" s="192"/>
    </row>
    <row r="19" spans="2:27" s="111" customFormat="1" ht="17.7" customHeight="1" x14ac:dyDescent="0.25">
      <c r="B19" s="3"/>
      <c r="C19" s="6"/>
      <c r="D19" s="6" t="str">
        <v>Storage, Commercial/Industrial (Shipping &amp; Handling)</v>
      </c>
      <c r="E19" s="6"/>
      <c r="F19" s="6"/>
      <c r="G19" s="105"/>
      <c r="H19" s="17"/>
      <c r="I19" s="17"/>
      <c r="J19" s="17"/>
      <c r="K19" s="17"/>
      <c r="L19" s="17"/>
      <c r="M19" s="17"/>
      <c r="N19" s="17"/>
      <c r="O19" s="183"/>
      <c r="P19" s="149"/>
      <c r="Q19" s="126"/>
      <c r="R19" s="132"/>
      <c r="S19" s="129"/>
      <c r="T19" s="150"/>
      <c r="U19" s="183"/>
      <c r="W19" s="192"/>
      <c r="X19" s="192"/>
      <c r="Y19" s="192"/>
      <c r="Z19" s="192"/>
      <c r="AA19" s="192"/>
    </row>
    <row r="20" spans="2:27" s="111" customFormat="1" ht="17.7" customHeight="1" x14ac:dyDescent="0.25">
      <c r="B20" s="3"/>
      <c r="C20" s="3"/>
      <c r="D20" s="3" t="str">
        <v>Storage, Commercial/Industrial (Refrigerated)</v>
      </c>
      <c r="E20" s="3"/>
      <c r="F20" s="3"/>
      <c r="G20" s="3"/>
      <c r="H20" s="17"/>
      <c r="I20" s="17"/>
      <c r="J20" s="17"/>
      <c r="K20" s="17"/>
      <c r="L20" s="17"/>
      <c r="M20" s="17"/>
      <c r="N20" s="17"/>
      <c r="O20" s="183"/>
      <c r="P20" s="151"/>
      <c r="Q20" s="122"/>
      <c r="R20" s="122"/>
      <c r="S20" s="121"/>
      <c r="T20" s="152"/>
      <c r="U20" s="183"/>
      <c r="W20" s="157"/>
      <c r="X20" s="157"/>
      <c r="Y20" s="157"/>
      <c r="Z20" s="157"/>
      <c r="AA20" s="157"/>
    </row>
    <row r="21" spans="2:27" s="111" customFormat="1" ht="17.7" customHeight="1" x14ac:dyDescent="0.25">
      <c r="B21" s="3"/>
      <c r="C21" s="3"/>
      <c r="D21" s="3"/>
      <c r="E21" s="3"/>
      <c r="F21" s="3"/>
      <c r="G21" s="3"/>
      <c r="H21" s="17"/>
      <c r="I21" s="17"/>
      <c r="J21" s="17"/>
      <c r="K21" s="17"/>
      <c r="L21" s="17"/>
      <c r="M21" s="17"/>
      <c r="N21" s="17"/>
      <c r="O21" s="183"/>
      <c r="P21" s="153"/>
      <c r="Q21" s="121"/>
      <c r="R21" s="121" t="s">
        <v>208</v>
      </c>
      <c r="S21" s="121"/>
      <c r="T21" s="152"/>
      <c r="U21" s="183" t="s">
        <v>209</v>
      </c>
      <c r="W21" s="157"/>
      <c r="X21" s="157"/>
      <c r="Y21" s="157"/>
      <c r="Z21" s="157"/>
      <c r="AA21" s="157"/>
    </row>
    <row r="22" spans="2:27" s="111" customFormat="1" ht="17.7" customHeight="1" x14ac:dyDescent="0.25">
      <c r="B22" s="3"/>
      <c r="C22" s="3"/>
      <c r="D22" s="3"/>
      <c r="E22" s="3"/>
      <c r="F22" s="3"/>
      <c r="G22" s="3"/>
      <c r="H22" s="17"/>
      <c r="I22" s="17"/>
      <c r="J22" s="17"/>
      <c r="K22" s="17"/>
      <c r="L22" s="17"/>
      <c r="M22" s="17"/>
      <c r="N22" s="17"/>
      <c r="O22" s="183"/>
      <c r="P22" s="153"/>
      <c r="Q22" s="121"/>
      <c r="R22" s="121" t="s">
        <v>210</v>
      </c>
      <c r="S22" s="121"/>
      <c r="T22" s="152"/>
      <c r="U22" s="183"/>
      <c r="W22" s="157"/>
      <c r="X22" s="157"/>
      <c r="Y22" s="157"/>
      <c r="Z22" s="157"/>
      <c r="AA22" s="157"/>
    </row>
    <row r="23" spans="2:27" s="111" customFormat="1" ht="17.7" customHeight="1" x14ac:dyDescent="0.25">
      <c r="B23" s="3"/>
      <c r="C23" s="3"/>
      <c r="D23" s="3"/>
      <c r="E23" s="3"/>
      <c r="F23" s="3"/>
      <c r="G23" s="3"/>
      <c r="H23" s="17"/>
      <c r="I23" s="17"/>
      <c r="J23" s="17"/>
      <c r="K23" s="17"/>
      <c r="L23" s="17"/>
      <c r="M23" s="17"/>
      <c r="N23" s="17"/>
      <c r="O23" s="183"/>
      <c r="P23" s="154"/>
      <c r="Q23" s="155"/>
      <c r="R23" s="155"/>
      <c r="S23" s="155"/>
      <c r="T23" s="156"/>
      <c r="U23" s="183"/>
      <c r="W23" s="157"/>
      <c r="X23" s="157"/>
      <c r="Y23" s="157"/>
      <c r="Z23" s="157"/>
      <c r="AA23" s="157"/>
    </row>
  </sheetData>
  <mergeCells count="1">
    <mergeCell ref="A1:N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879DBC2-F1AF-4004-B9D3-883859B7F622}">
          <x14:formula1>
            <xm:f>Data!$A$2:$A$200</xm:f>
          </x14:formula1>
          <xm:sqref>C3:C14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J174"/>
  <sheetViews>
    <sheetView topLeftCell="D1" zoomScale="85" zoomScaleNormal="85" workbookViewId="0">
      <selection sqref="A1:X1"/>
    </sheetView>
  </sheetViews>
  <sheetFormatPr defaultColWidth="9.33203125" defaultRowHeight="13.8" x14ac:dyDescent="0.25"/>
  <cols>
    <col min="1" max="1" width="28.88671875" style="45" customWidth="1"/>
    <col min="2" max="2" width="18.33203125" style="47" customWidth="1"/>
    <col min="3" max="3" width="18.5546875" style="45" customWidth="1"/>
    <col min="4" max="4" width="42.5546875" style="45" customWidth="1"/>
    <col min="5" max="5" width="33.5546875" style="45" customWidth="1"/>
    <col min="6" max="6" width="16.109375" style="45" customWidth="1"/>
    <col min="7" max="7" width="20.5546875" style="48" customWidth="1"/>
    <col min="8" max="8" width="46.6640625" style="45" customWidth="1"/>
    <col min="9" max="9" width="16" style="45" customWidth="1"/>
    <col min="10" max="10" width="7" style="45" customWidth="1"/>
    <col min="11" max="11" width="24.6640625" style="45" customWidth="1"/>
    <col min="12" max="12" width="29.6640625" style="45" customWidth="1"/>
    <col min="13" max="13" width="15.88671875" style="45" customWidth="1"/>
    <col min="14" max="14" width="13" style="45" customWidth="1"/>
    <col min="15" max="15" width="31.5546875" style="45" customWidth="1"/>
    <col min="16" max="16" width="36.33203125" style="45" customWidth="1"/>
    <col min="17" max="17" width="7.5546875" style="45" customWidth="1"/>
    <col min="18" max="21" width="7" style="45" customWidth="1"/>
    <col min="22" max="22" width="7.6640625" style="45" customWidth="1"/>
    <col min="23" max="24" width="7" style="45" customWidth="1"/>
    <col min="25" max="25" width="9.33203125" style="45"/>
    <col min="26" max="26" width="23.109375" style="45" customWidth="1"/>
    <col min="27" max="27" width="9.33203125" style="45" customWidth="1"/>
    <col min="28" max="30" width="7.6640625" style="45" customWidth="1"/>
    <col min="31" max="31" width="9.6640625" style="45" customWidth="1"/>
    <col min="32" max="32" width="7.5546875" style="45" customWidth="1"/>
    <col min="33" max="33" width="11.44140625" style="45" customWidth="1"/>
    <col min="34" max="42" width="7.6640625" style="45" customWidth="1"/>
    <col min="43" max="46" width="10.44140625" style="45" customWidth="1"/>
    <col min="47" max="47" width="9.88671875" style="45" customWidth="1"/>
    <col min="48" max="48" width="10.44140625" style="45" customWidth="1"/>
    <col min="49" max="49" width="21.6640625" style="45" customWidth="1"/>
    <col min="50" max="50" width="10.44140625" style="45" customWidth="1"/>
    <col min="51" max="53" width="7.44140625" style="45" customWidth="1"/>
    <col min="54" max="54" width="7.6640625" style="45" customWidth="1"/>
    <col min="55" max="55" width="7.44140625" style="45" customWidth="1"/>
    <col min="56" max="56" width="13.6640625" style="45" customWidth="1"/>
    <col min="57" max="60" width="7.44140625" style="45" customWidth="1"/>
    <col min="61" max="62" width="9.6640625" style="45" bestFit="1" customWidth="1"/>
    <col min="63" max="16384" width="9.33203125" style="45"/>
  </cols>
  <sheetData>
    <row r="1" spans="1:62" ht="31.95" customHeight="1" x14ac:dyDescent="0.25">
      <c r="A1" s="729" t="str">
        <f>"Envelope - "&amp;Prototype!A2</f>
        <v>Envelope - RetailGrocery</v>
      </c>
      <c r="B1" s="729"/>
      <c r="C1" s="729"/>
      <c r="D1" s="729"/>
      <c r="E1" s="729"/>
      <c r="F1" s="729"/>
      <c r="G1" s="729"/>
      <c r="H1" s="729"/>
      <c r="I1" s="729"/>
      <c r="J1" s="729"/>
      <c r="K1" s="729"/>
      <c r="L1" s="729"/>
      <c r="M1" s="729"/>
      <c r="N1" s="729"/>
      <c r="O1" s="729"/>
      <c r="P1" s="729"/>
      <c r="Q1" s="729"/>
      <c r="R1" s="729"/>
      <c r="S1" s="729"/>
      <c r="T1" s="729"/>
      <c r="U1" s="729"/>
      <c r="V1" s="729"/>
      <c r="W1" s="729"/>
      <c r="X1" s="729"/>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row>
    <row r="2" spans="1:62" ht="32.4" customHeight="1" x14ac:dyDescent="0.25">
      <c r="A2" s="57" t="s">
        <v>211</v>
      </c>
      <c r="B2" s="57" t="s">
        <v>212</v>
      </c>
      <c r="C2" s="57" t="s">
        <v>213</v>
      </c>
      <c r="D2" s="57" t="s">
        <v>214</v>
      </c>
      <c r="E2" s="54" t="s">
        <v>215</v>
      </c>
      <c r="F2" s="57" t="s">
        <v>216</v>
      </c>
      <c r="G2" s="54" t="s">
        <v>217</v>
      </c>
      <c r="H2" s="57" t="s">
        <v>56</v>
      </c>
      <c r="I2" s="57" t="s">
        <v>218</v>
      </c>
      <c r="J2" s="57" t="s">
        <v>219</v>
      </c>
      <c r="K2" s="57" t="s">
        <v>220</v>
      </c>
      <c r="L2" s="57" t="s">
        <v>221</v>
      </c>
      <c r="M2" s="57" t="s">
        <v>222</v>
      </c>
      <c r="N2" s="57" t="s">
        <v>223</v>
      </c>
      <c r="O2" s="57" t="s">
        <v>224</v>
      </c>
      <c r="P2" s="57" t="s">
        <v>225</v>
      </c>
      <c r="Q2" s="57" t="s">
        <v>226</v>
      </c>
      <c r="R2" s="57" t="s">
        <v>227</v>
      </c>
      <c r="S2" s="57" t="s">
        <v>228</v>
      </c>
      <c r="T2" s="57" t="s">
        <v>229</v>
      </c>
      <c r="U2" s="57" t="s">
        <v>230</v>
      </c>
      <c r="V2" s="57" t="s">
        <v>231</v>
      </c>
      <c r="W2" s="57" t="s">
        <v>232</v>
      </c>
      <c r="X2" s="57" t="s">
        <v>233</v>
      </c>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row>
    <row r="3" spans="1:62" s="2" customFormat="1" ht="18.75" customHeight="1" x14ac:dyDescent="0.25">
      <c r="A3" s="730" t="s">
        <v>234</v>
      </c>
      <c r="B3" s="730" t="s">
        <v>59</v>
      </c>
      <c r="C3" s="736" t="s">
        <v>235</v>
      </c>
      <c r="D3" s="733" t="s">
        <v>236</v>
      </c>
      <c r="E3" s="730" t="s">
        <v>237</v>
      </c>
      <c r="F3" s="529" t="s">
        <v>238</v>
      </c>
      <c r="G3" s="529" t="s">
        <v>81</v>
      </c>
      <c r="H3" s="528" t="s">
        <v>239</v>
      </c>
      <c r="I3" s="529">
        <v>0.35199999999999998</v>
      </c>
      <c r="J3" s="529">
        <v>0.35199999999999998</v>
      </c>
      <c r="K3" s="529">
        <v>0.35199999999999998</v>
      </c>
      <c r="L3" s="529">
        <v>0.35199999999999998</v>
      </c>
      <c r="M3" s="529">
        <v>0.35199999999999998</v>
      </c>
      <c r="N3" s="529">
        <v>0.35199999999999998</v>
      </c>
      <c r="O3" s="529">
        <v>0.35199999999999998</v>
      </c>
      <c r="P3" s="529">
        <v>0.35199999999999998</v>
      </c>
      <c r="Q3" s="529">
        <v>0.35199999999999998</v>
      </c>
      <c r="R3" s="529">
        <v>0.35199999999999998</v>
      </c>
      <c r="S3" s="529">
        <v>0.35199999999999998</v>
      </c>
      <c r="T3" s="529">
        <v>0.35199999999999998</v>
      </c>
      <c r="U3" s="529">
        <v>0.35199999999999998</v>
      </c>
      <c r="V3" s="529">
        <v>0.35199999999999998</v>
      </c>
      <c r="W3" s="529">
        <v>0.35199999999999998</v>
      </c>
      <c r="X3" s="529">
        <v>0.35199999999999998</v>
      </c>
    </row>
    <row r="4" spans="1:62" s="2" customFormat="1" ht="26.4" x14ac:dyDescent="0.25">
      <c r="A4" s="731"/>
      <c r="B4" s="731"/>
      <c r="C4" s="737"/>
      <c r="D4" s="734"/>
      <c r="E4" s="731"/>
      <c r="F4" s="530" t="s">
        <v>240</v>
      </c>
      <c r="G4" s="530">
        <v>1986</v>
      </c>
      <c r="H4" s="531" t="s">
        <v>241</v>
      </c>
      <c r="I4" s="532">
        <v>0.150829562594268</v>
      </c>
      <c r="J4" s="532">
        <v>0.15748031496062992</v>
      </c>
      <c r="K4" s="532">
        <v>0.15748031496062992</v>
      </c>
      <c r="L4" s="532">
        <v>0.14367816091954022</v>
      </c>
      <c r="M4" s="532">
        <v>0.14367816091954022</v>
      </c>
      <c r="N4" s="532">
        <v>0.21645021645021645</v>
      </c>
      <c r="O4" s="532">
        <v>0.21645021645021645</v>
      </c>
      <c r="P4" s="532">
        <v>0.21645021645021645</v>
      </c>
      <c r="Q4" s="532">
        <v>0.21645021645021645</v>
      </c>
      <c r="R4" s="532">
        <v>0.21645021645021645</v>
      </c>
      <c r="S4" s="532">
        <v>0.18621973929236499</v>
      </c>
      <c r="T4" s="532">
        <v>0.18621973929236499</v>
      </c>
      <c r="U4" s="532">
        <v>0.18621973929236499</v>
      </c>
      <c r="V4" s="532">
        <v>0.15873015873015872</v>
      </c>
      <c r="W4" s="532">
        <v>0.15873015873015872</v>
      </c>
      <c r="X4" s="532">
        <v>0.15082956259426847</v>
      </c>
      <c r="Y4" s="210"/>
    </row>
    <row r="5" spans="1:62" s="2" customFormat="1" ht="18.75" customHeight="1" x14ac:dyDescent="0.25">
      <c r="A5" s="731"/>
      <c r="B5" s="731"/>
      <c r="C5" s="737"/>
      <c r="D5" s="734"/>
      <c r="E5" s="731"/>
      <c r="F5" s="533" t="s">
        <v>242</v>
      </c>
      <c r="G5" s="533">
        <v>2001</v>
      </c>
      <c r="H5" s="533" t="s">
        <v>243</v>
      </c>
      <c r="I5" s="533">
        <v>0.182</v>
      </c>
      <c r="J5" s="533">
        <v>0.182</v>
      </c>
      <c r="K5" s="533">
        <v>0.189</v>
      </c>
      <c r="L5" s="533">
        <v>0.189</v>
      </c>
      <c r="M5" s="533">
        <v>0.189</v>
      </c>
      <c r="N5" s="533">
        <v>0.189</v>
      </c>
      <c r="O5" s="533">
        <v>0.189</v>
      </c>
      <c r="P5" s="533">
        <v>0.189</v>
      </c>
      <c r="Q5" s="533">
        <v>0.189</v>
      </c>
      <c r="R5" s="533">
        <v>0.182</v>
      </c>
      <c r="S5" s="533">
        <v>0.182</v>
      </c>
      <c r="T5" s="533">
        <v>0.182</v>
      </c>
      <c r="U5" s="533">
        <v>0.182</v>
      </c>
      <c r="V5" s="533">
        <v>0.182</v>
      </c>
      <c r="W5" s="533">
        <v>0.182</v>
      </c>
      <c r="X5" s="533">
        <v>0.182</v>
      </c>
      <c r="Y5" s="60"/>
    </row>
    <row r="6" spans="1:62" s="2" customFormat="1" ht="18.75" customHeight="1" x14ac:dyDescent="0.25">
      <c r="A6" s="731"/>
      <c r="B6" s="731"/>
      <c r="C6" s="737"/>
      <c r="D6" s="734"/>
      <c r="E6" s="731"/>
      <c r="F6" s="534" t="s">
        <v>244</v>
      </c>
      <c r="G6" s="534">
        <v>2013</v>
      </c>
      <c r="H6" s="534" t="s">
        <v>245</v>
      </c>
      <c r="I6" s="535">
        <v>9.8000000000000004E-2</v>
      </c>
      <c r="J6" s="536">
        <v>6.2E-2</v>
      </c>
      <c r="K6" s="536">
        <v>8.2000000000000003E-2</v>
      </c>
      <c r="L6" s="536">
        <v>6.2E-2</v>
      </c>
      <c r="M6" s="536">
        <v>6.2E-2</v>
      </c>
      <c r="N6" s="536">
        <v>9.8000000000000004E-2</v>
      </c>
      <c r="O6" s="536">
        <v>9.8000000000000004E-2</v>
      </c>
      <c r="P6" s="536">
        <v>6.2E-2</v>
      </c>
      <c r="Q6" s="536">
        <v>6.2E-2</v>
      </c>
      <c r="R6" s="536">
        <v>6.2E-2</v>
      </c>
      <c r="S6" s="536">
        <v>6.2E-2</v>
      </c>
      <c r="T6" s="536">
        <v>6.2E-2</v>
      </c>
      <c r="U6" s="536">
        <v>6.2E-2</v>
      </c>
      <c r="V6" s="536">
        <v>6.2E-2</v>
      </c>
      <c r="W6" s="536">
        <v>6.2E-2</v>
      </c>
      <c r="X6" s="536">
        <v>6.2E-2</v>
      </c>
      <c r="Y6" s="60"/>
    </row>
    <row r="7" spans="1:62" s="2" customFormat="1" ht="18.75" customHeight="1" x14ac:dyDescent="0.25">
      <c r="A7" s="732"/>
      <c r="B7" s="732"/>
      <c r="C7" s="738"/>
      <c r="D7" s="735"/>
      <c r="E7" s="732"/>
      <c r="F7" s="541" t="s">
        <v>247</v>
      </c>
      <c r="G7" s="542">
        <v>2025</v>
      </c>
      <c r="H7" s="542" t="s">
        <v>245</v>
      </c>
      <c r="I7" s="543">
        <v>0.06</v>
      </c>
      <c r="J7" s="543">
        <v>5.5E-2</v>
      </c>
      <c r="K7" s="543">
        <v>7.0999999999999994E-2</v>
      </c>
      <c r="L7" s="543">
        <v>5.5E-2</v>
      </c>
      <c r="M7" s="543">
        <v>5.5E-2</v>
      </c>
      <c r="N7" s="543">
        <v>0.06</v>
      </c>
      <c r="O7" s="543">
        <v>0.06</v>
      </c>
      <c r="P7" s="543">
        <v>5.5E-2</v>
      </c>
      <c r="Q7" s="543">
        <v>5.5E-2</v>
      </c>
      <c r="R7" s="543">
        <v>5.5E-2</v>
      </c>
      <c r="S7" s="543">
        <v>5.5E-2</v>
      </c>
      <c r="T7" s="543">
        <v>5.5E-2</v>
      </c>
      <c r="U7" s="543">
        <v>5.5E-2</v>
      </c>
      <c r="V7" s="543">
        <v>5.5E-2</v>
      </c>
      <c r="W7" s="543">
        <v>5.5E-2</v>
      </c>
      <c r="X7" s="543">
        <v>5.5E-2</v>
      </c>
      <c r="Y7" s="60"/>
    </row>
    <row r="8" spans="1:62" s="2" customFormat="1" ht="18.75" customHeight="1" x14ac:dyDescent="0.25">
      <c r="A8" s="727" t="s">
        <v>248</v>
      </c>
      <c r="B8" s="727" t="s">
        <v>59</v>
      </c>
      <c r="C8" s="726" t="s">
        <v>249</v>
      </c>
      <c r="D8" s="728" t="s">
        <v>250</v>
      </c>
      <c r="E8" s="727" t="s">
        <v>237</v>
      </c>
      <c r="F8" s="529" t="s">
        <v>238</v>
      </c>
      <c r="G8" s="529" t="s">
        <v>81</v>
      </c>
      <c r="H8" s="726" t="s">
        <v>251</v>
      </c>
      <c r="I8" s="528">
        <v>5.7000000000000002E-2</v>
      </c>
      <c r="J8" s="528">
        <v>5.7000000000000002E-2</v>
      </c>
      <c r="K8" s="528">
        <v>5.7000000000000002E-2</v>
      </c>
      <c r="L8" s="528">
        <v>5.7000000000000002E-2</v>
      </c>
      <c r="M8" s="528">
        <v>5.7000000000000002E-2</v>
      </c>
      <c r="N8" s="528">
        <v>7.8E-2</v>
      </c>
      <c r="O8" s="528">
        <v>7.8E-2</v>
      </c>
      <c r="P8" s="528">
        <v>7.8E-2</v>
      </c>
      <c r="Q8" s="528">
        <v>7.8E-2</v>
      </c>
      <c r="R8" s="528">
        <v>7.8E-2</v>
      </c>
      <c r="S8" s="528">
        <v>5.7000000000000002E-2</v>
      </c>
      <c r="T8" s="528">
        <v>5.7000000000000002E-2</v>
      </c>
      <c r="U8" s="528">
        <v>5.7000000000000002E-2</v>
      </c>
      <c r="V8" s="528">
        <v>5.7000000000000002E-2</v>
      </c>
      <c r="W8" s="528">
        <v>5.7000000000000002E-2</v>
      </c>
      <c r="X8" s="528">
        <v>5.7000000000000002E-2</v>
      </c>
      <c r="Y8" s="60"/>
    </row>
    <row r="9" spans="1:62" s="2" customFormat="1" ht="18.75" customHeight="1" x14ac:dyDescent="0.25">
      <c r="A9" s="727"/>
      <c r="B9" s="727"/>
      <c r="C9" s="726"/>
      <c r="D9" s="728"/>
      <c r="E9" s="727"/>
      <c r="F9" s="530" t="s">
        <v>240</v>
      </c>
      <c r="G9" s="530">
        <v>1992</v>
      </c>
      <c r="H9" s="726"/>
      <c r="I9" s="532">
        <v>5.7000000000000002E-2</v>
      </c>
      <c r="J9" s="532">
        <v>5.7000000000000002E-2</v>
      </c>
      <c r="K9" s="532">
        <v>5.7000000000000002E-2</v>
      </c>
      <c r="L9" s="532">
        <v>5.7000000000000002E-2</v>
      </c>
      <c r="M9" s="532">
        <v>5.7000000000000002E-2</v>
      </c>
      <c r="N9" s="532">
        <v>7.8E-2</v>
      </c>
      <c r="O9" s="532">
        <v>7.8E-2</v>
      </c>
      <c r="P9" s="532">
        <v>7.8E-2</v>
      </c>
      <c r="Q9" s="532">
        <v>7.8E-2</v>
      </c>
      <c r="R9" s="532">
        <v>7.8E-2</v>
      </c>
      <c r="S9" s="532">
        <v>5.7000000000000002E-2</v>
      </c>
      <c r="T9" s="532">
        <v>5.7000000000000002E-2</v>
      </c>
      <c r="U9" s="532">
        <v>5.7000000000000002E-2</v>
      </c>
      <c r="V9" s="532">
        <v>5.7000000000000002E-2</v>
      </c>
      <c r="W9" s="532">
        <v>5.7000000000000002E-2</v>
      </c>
      <c r="X9" s="532">
        <v>5.7000000000000002E-2</v>
      </c>
      <c r="Y9" s="60"/>
    </row>
    <row r="10" spans="1:62" s="2" customFormat="1" ht="18.75" customHeight="1" x14ac:dyDescent="0.25">
      <c r="A10" s="727"/>
      <c r="B10" s="727"/>
      <c r="C10" s="726"/>
      <c r="D10" s="728"/>
      <c r="E10" s="727"/>
      <c r="F10" s="533" t="s">
        <v>242</v>
      </c>
      <c r="G10" s="533">
        <v>2001</v>
      </c>
      <c r="H10" s="533" t="s">
        <v>243</v>
      </c>
      <c r="I10" s="537">
        <v>5.7000000000000002E-2</v>
      </c>
      <c r="J10" s="537">
        <v>5.7000000000000002E-2</v>
      </c>
      <c r="K10" s="537">
        <v>5.7000000000000002E-2</v>
      </c>
      <c r="L10" s="537">
        <v>5.7000000000000002E-2</v>
      </c>
      <c r="M10" s="537">
        <v>5.7000000000000002E-2</v>
      </c>
      <c r="N10" s="537">
        <v>7.8E-2</v>
      </c>
      <c r="O10" s="537">
        <v>7.8E-2</v>
      </c>
      <c r="P10" s="537">
        <v>7.8E-2</v>
      </c>
      <c r="Q10" s="537">
        <v>7.8E-2</v>
      </c>
      <c r="R10" s="537">
        <v>5.7000000000000002E-2</v>
      </c>
      <c r="S10" s="537">
        <v>5.7000000000000002E-2</v>
      </c>
      <c r="T10" s="537">
        <v>5.7000000000000002E-2</v>
      </c>
      <c r="U10" s="537">
        <v>5.7000000000000002E-2</v>
      </c>
      <c r="V10" s="537">
        <v>5.7000000000000002E-2</v>
      </c>
      <c r="W10" s="537">
        <v>5.7000000000000002E-2</v>
      </c>
      <c r="X10" s="537">
        <v>5.7000000000000002E-2</v>
      </c>
      <c r="Y10" s="60"/>
    </row>
    <row r="11" spans="1:62" s="2" customFormat="1" ht="18.75" customHeight="1" x14ac:dyDescent="0.25">
      <c r="A11" s="727"/>
      <c r="B11" s="727"/>
      <c r="C11" s="726"/>
      <c r="D11" s="728"/>
      <c r="E11" s="727"/>
      <c r="F11" s="538" t="s">
        <v>244</v>
      </c>
      <c r="G11" s="538">
        <v>2013</v>
      </c>
      <c r="H11" s="538" t="s">
        <v>245</v>
      </c>
      <c r="I11" s="536">
        <v>4.9000000000000002E-2</v>
      </c>
      <c r="J11" s="536">
        <v>3.9E-2</v>
      </c>
      <c r="K11" s="536">
        <v>3.9E-2</v>
      </c>
      <c r="L11" s="536">
        <v>3.9E-2</v>
      </c>
      <c r="M11" s="536">
        <v>4.9000000000000002E-2</v>
      </c>
      <c r="N11" s="536">
        <v>7.4999999999999997E-2</v>
      </c>
      <c r="O11" s="536">
        <v>6.7000000000000004E-2</v>
      </c>
      <c r="P11" s="536">
        <v>6.7000000000000004E-2</v>
      </c>
      <c r="Q11" s="536">
        <v>3.9E-2</v>
      </c>
      <c r="R11" s="536">
        <v>3.9E-2</v>
      </c>
      <c r="S11" s="536">
        <v>3.9E-2</v>
      </c>
      <c r="T11" s="536">
        <v>3.9E-2</v>
      </c>
      <c r="U11" s="536">
        <v>3.9E-2</v>
      </c>
      <c r="V11" s="536">
        <v>3.9E-2</v>
      </c>
      <c r="W11" s="536">
        <v>3.9E-2</v>
      </c>
      <c r="X11" s="536">
        <v>3.9E-2</v>
      </c>
      <c r="Y11" s="60"/>
    </row>
    <row r="12" spans="1:62" s="2" customFormat="1" ht="18.75" customHeight="1" x14ac:dyDescent="0.25">
      <c r="A12" s="727"/>
      <c r="B12" s="727"/>
      <c r="C12" s="726"/>
      <c r="D12" s="728"/>
      <c r="E12" s="727"/>
      <c r="F12" s="541" t="s">
        <v>247</v>
      </c>
      <c r="G12" s="542">
        <v>2025</v>
      </c>
      <c r="H12" s="542" t="s">
        <v>245</v>
      </c>
      <c r="I12" s="543">
        <v>2.8000000000000001E-2</v>
      </c>
      <c r="J12" s="543">
        <v>2.8000000000000001E-2</v>
      </c>
      <c r="K12" s="543">
        <v>2.8000000000000001E-2</v>
      </c>
      <c r="L12" s="543">
        <v>2.8000000000000001E-2</v>
      </c>
      <c r="M12" s="543">
        <v>2.8000000000000001E-2</v>
      </c>
      <c r="N12" s="543">
        <v>4.7E-2</v>
      </c>
      <c r="O12" s="543">
        <v>4.7E-2</v>
      </c>
      <c r="P12" s="543">
        <v>4.7E-2</v>
      </c>
      <c r="Q12" s="543">
        <v>2.8000000000000001E-2</v>
      </c>
      <c r="R12" s="543">
        <v>2.8000000000000001E-2</v>
      </c>
      <c r="S12" s="543">
        <v>2.8000000000000001E-2</v>
      </c>
      <c r="T12" s="543">
        <v>2.8000000000000001E-2</v>
      </c>
      <c r="U12" s="543">
        <v>2.8000000000000001E-2</v>
      </c>
      <c r="V12" s="543">
        <v>2.8000000000000001E-2</v>
      </c>
      <c r="W12" s="543">
        <v>2.8000000000000001E-2</v>
      </c>
      <c r="X12" s="543">
        <v>2.8000000000000001E-2</v>
      </c>
      <c r="Y12" s="60"/>
    </row>
    <row r="13" spans="1:62" s="2" customFormat="1" ht="18.75" customHeight="1" x14ac:dyDescent="0.25">
      <c r="A13" s="727" t="s">
        <v>252</v>
      </c>
      <c r="B13" s="727" t="s">
        <v>59</v>
      </c>
      <c r="C13" s="726" t="s">
        <v>253</v>
      </c>
      <c r="D13" s="726" t="s">
        <v>254</v>
      </c>
      <c r="E13" s="727" t="s">
        <v>237</v>
      </c>
      <c r="F13" s="529" t="s">
        <v>238</v>
      </c>
      <c r="G13" s="529" t="s">
        <v>81</v>
      </c>
      <c r="H13" s="726" t="s">
        <v>255</v>
      </c>
      <c r="I13" s="529">
        <f t="shared" ref="I13:X13" si="0">0.5*1.12+0.5*I16</f>
        <v>0.74</v>
      </c>
      <c r="J13" s="529">
        <f t="shared" si="0"/>
        <v>0.74</v>
      </c>
      <c r="K13" s="529">
        <f t="shared" si="0"/>
        <v>0.74</v>
      </c>
      <c r="L13" s="529">
        <f t="shared" si="0"/>
        <v>0.74</v>
      </c>
      <c r="M13" s="529">
        <f t="shared" si="0"/>
        <v>0.74</v>
      </c>
      <c r="N13" s="529">
        <f t="shared" si="0"/>
        <v>0.74</v>
      </c>
      <c r="O13" s="529">
        <f t="shared" si="0"/>
        <v>0.74</v>
      </c>
      <c r="P13" s="529">
        <f t="shared" si="0"/>
        <v>0.74</v>
      </c>
      <c r="Q13" s="529">
        <f t="shared" si="0"/>
        <v>0.74</v>
      </c>
      <c r="R13" s="529">
        <f t="shared" si="0"/>
        <v>0.74</v>
      </c>
      <c r="S13" s="529">
        <f t="shared" si="0"/>
        <v>0.74</v>
      </c>
      <c r="T13" s="529">
        <f t="shared" si="0"/>
        <v>0.74</v>
      </c>
      <c r="U13" s="529">
        <f t="shared" si="0"/>
        <v>0.74</v>
      </c>
      <c r="V13" s="529">
        <f t="shared" si="0"/>
        <v>0.74</v>
      </c>
      <c r="W13" s="529">
        <f t="shared" si="0"/>
        <v>0.74</v>
      </c>
      <c r="X13" s="529">
        <f t="shared" si="0"/>
        <v>0.74</v>
      </c>
      <c r="Y13" s="60"/>
    </row>
    <row r="14" spans="1:62" s="2" customFormat="1" ht="18.75" customHeight="1" x14ac:dyDescent="0.25">
      <c r="A14" s="727"/>
      <c r="B14" s="727"/>
      <c r="C14" s="726"/>
      <c r="D14" s="726"/>
      <c r="E14" s="727"/>
      <c r="F14" s="530" t="s">
        <v>240</v>
      </c>
      <c r="G14" s="530" t="s">
        <v>81</v>
      </c>
      <c r="H14" s="726"/>
      <c r="I14" s="539">
        <f>I13</f>
        <v>0.74</v>
      </c>
      <c r="J14" s="539">
        <f t="shared" ref="J14:X14" si="1">J13</f>
        <v>0.74</v>
      </c>
      <c r="K14" s="539">
        <f t="shared" si="1"/>
        <v>0.74</v>
      </c>
      <c r="L14" s="539">
        <f t="shared" si="1"/>
        <v>0.74</v>
      </c>
      <c r="M14" s="539">
        <f t="shared" si="1"/>
        <v>0.74</v>
      </c>
      <c r="N14" s="539">
        <f t="shared" si="1"/>
        <v>0.74</v>
      </c>
      <c r="O14" s="539">
        <f t="shared" si="1"/>
        <v>0.74</v>
      </c>
      <c r="P14" s="539">
        <f t="shared" si="1"/>
        <v>0.74</v>
      </c>
      <c r="Q14" s="539">
        <f t="shared" si="1"/>
        <v>0.74</v>
      </c>
      <c r="R14" s="539">
        <f t="shared" si="1"/>
        <v>0.74</v>
      </c>
      <c r="S14" s="539">
        <f t="shared" si="1"/>
        <v>0.74</v>
      </c>
      <c r="T14" s="539">
        <f t="shared" si="1"/>
        <v>0.74</v>
      </c>
      <c r="U14" s="539">
        <f t="shared" si="1"/>
        <v>0.74</v>
      </c>
      <c r="V14" s="539">
        <f t="shared" si="1"/>
        <v>0.74</v>
      </c>
      <c r="W14" s="539">
        <f t="shared" si="1"/>
        <v>0.74</v>
      </c>
      <c r="X14" s="539">
        <f t="shared" si="1"/>
        <v>0.74</v>
      </c>
      <c r="Y14" s="60"/>
    </row>
    <row r="15" spans="1:62" s="2" customFormat="1" ht="18.75" customHeight="1" x14ac:dyDescent="0.25">
      <c r="A15" s="727"/>
      <c r="B15" s="727"/>
      <c r="C15" s="726"/>
      <c r="D15" s="727" t="s">
        <v>256</v>
      </c>
      <c r="E15" s="727"/>
      <c r="F15" s="529" t="s">
        <v>242</v>
      </c>
      <c r="G15" s="529">
        <v>2001</v>
      </c>
      <c r="H15" s="529" t="s">
        <v>243</v>
      </c>
      <c r="I15" s="533">
        <v>0.49</v>
      </c>
      <c r="J15" s="533">
        <v>0.49</v>
      </c>
      <c r="K15" s="533">
        <v>0.81</v>
      </c>
      <c r="L15" s="533">
        <v>0.81</v>
      </c>
      <c r="M15" s="533">
        <v>0.81</v>
      </c>
      <c r="N15" s="533">
        <v>0.81</v>
      </c>
      <c r="O15" s="533">
        <v>0.81</v>
      </c>
      <c r="P15" s="533">
        <v>0.81</v>
      </c>
      <c r="Q15" s="533">
        <v>0.81</v>
      </c>
      <c r="R15" s="533">
        <v>0.49</v>
      </c>
      <c r="S15" s="533">
        <v>0.49</v>
      </c>
      <c r="T15" s="533">
        <v>0.49</v>
      </c>
      <c r="U15" s="533">
        <v>0.49</v>
      </c>
      <c r="V15" s="533">
        <v>0.49</v>
      </c>
      <c r="W15" s="533">
        <v>0.49</v>
      </c>
      <c r="X15" s="533">
        <v>0.49</v>
      </c>
      <c r="Y15" s="60"/>
    </row>
    <row r="16" spans="1:62" s="2" customFormat="1" ht="18.75" customHeight="1" x14ac:dyDescent="0.25">
      <c r="A16" s="727"/>
      <c r="B16" s="727"/>
      <c r="C16" s="726"/>
      <c r="D16" s="727"/>
      <c r="E16" s="727"/>
      <c r="F16" s="534" t="s">
        <v>244</v>
      </c>
      <c r="G16" s="534">
        <v>2013</v>
      </c>
      <c r="H16" s="534" t="s">
        <v>257</v>
      </c>
      <c r="I16" s="538">
        <v>0.36</v>
      </c>
      <c r="J16" s="538">
        <v>0.36</v>
      </c>
      <c r="K16" s="538">
        <v>0.36</v>
      </c>
      <c r="L16" s="538">
        <v>0.36</v>
      </c>
      <c r="M16" s="538">
        <v>0.36</v>
      </c>
      <c r="N16" s="538">
        <v>0.36</v>
      </c>
      <c r="O16" s="538">
        <v>0.36</v>
      </c>
      <c r="P16" s="538">
        <v>0.36</v>
      </c>
      <c r="Q16" s="538">
        <v>0.36</v>
      </c>
      <c r="R16" s="538">
        <v>0.36</v>
      </c>
      <c r="S16" s="538">
        <v>0.36</v>
      </c>
      <c r="T16" s="538">
        <v>0.36</v>
      </c>
      <c r="U16" s="538">
        <v>0.36</v>
      </c>
      <c r="V16" s="538">
        <v>0.36</v>
      </c>
      <c r="W16" s="538">
        <v>0.36</v>
      </c>
      <c r="X16" s="538">
        <v>0.36</v>
      </c>
      <c r="Y16" s="60"/>
    </row>
    <row r="17" spans="1:25" s="2" customFormat="1" ht="18.75" customHeight="1" x14ac:dyDescent="0.25">
      <c r="A17" s="727"/>
      <c r="B17" s="727"/>
      <c r="C17" s="726"/>
      <c r="D17" s="727"/>
      <c r="E17" s="727"/>
      <c r="F17" s="541" t="s">
        <v>247</v>
      </c>
      <c r="G17" s="542">
        <v>2025</v>
      </c>
      <c r="H17" s="542" t="s">
        <v>257</v>
      </c>
      <c r="I17" s="542">
        <v>0.36</v>
      </c>
      <c r="J17" s="542">
        <v>0.36</v>
      </c>
      <c r="K17" s="542">
        <v>0.36</v>
      </c>
      <c r="L17" s="542">
        <v>0.36</v>
      </c>
      <c r="M17" s="542">
        <v>0.36</v>
      </c>
      <c r="N17" s="542">
        <v>0.36</v>
      </c>
      <c r="O17" s="542">
        <v>0.36</v>
      </c>
      <c r="P17" s="542">
        <v>0.36</v>
      </c>
      <c r="Q17" s="542">
        <v>0.34</v>
      </c>
      <c r="R17" s="542">
        <v>0.36</v>
      </c>
      <c r="S17" s="542">
        <v>0.34</v>
      </c>
      <c r="T17" s="542">
        <v>0.34</v>
      </c>
      <c r="U17" s="542">
        <v>0.34</v>
      </c>
      <c r="V17" s="542">
        <v>0.34</v>
      </c>
      <c r="W17" s="542">
        <v>0.34</v>
      </c>
      <c r="X17" s="542">
        <v>0.36</v>
      </c>
      <c r="Y17" s="60"/>
    </row>
    <row r="18" spans="1:25" s="2" customFormat="1" ht="18.75" customHeight="1" x14ac:dyDescent="0.25">
      <c r="A18" s="727"/>
      <c r="B18" s="727"/>
      <c r="C18" s="726" t="s">
        <v>253</v>
      </c>
      <c r="D18" s="726" t="s">
        <v>254</v>
      </c>
      <c r="E18" s="727" t="s">
        <v>258</v>
      </c>
      <c r="F18" s="540" t="s">
        <v>238</v>
      </c>
      <c r="G18" s="540" t="s">
        <v>81</v>
      </c>
      <c r="H18" s="726" t="s">
        <v>259</v>
      </c>
      <c r="I18" s="587">
        <f>0.79*0.5+I21*0.5</f>
        <v>0.52</v>
      </c>
      <c r="J18" s="587">
        <f t="shared" ref="J18:X18" si="2">0.79*0.5+J21*0.5</f>
        <v>0.52</v>
      </c>
      <c r="K18" s="587">
        <f t="shared" si="2"/>
        <v>0.52</v>
      </c>
      <c r="L18" s="587">
        <f t="shared" si="2"/>
        <v>0.52</v>
      </c>
      <c r="M18" s="587">
        <f t="shared" si="2"/>
        <v>0.52</v>
      </c>
      <c r="N18" s="587">
        <f t="shared" si="2"/>
        <v>0.52</v>
      </c>
      <c r="O18" s="587">
        <f t="shared" si="2"/>
        <v>0.52</v>
      </c>
      <c r="P18" s="587">
        <f t="shared" si="2"/>
        <v>0.52</v>
      </c>
      <c r="Q18" s="587">
        <f t="shared" si="2"/>
        <v>0.52</v>
      </c>
      <c r="R18" s="587">
        <f t="shared" si="2"/>
        <v>0.52</v>
      </c>
      <c r="S18" s="587">
        <f t="shared" si="2"/>
        <v>0.52</v>
      </c>
      <c r="T18" s="587">
        <f t="shared" si="2"/>
        <v>0.52</v>
      </c>
      <c r="U18" s="587">
        <f t="shared" si="2"/>
        <v>0.52</v>
      </c>
      <c r="V18" s="587">
        <f t="shared" si="2"/>
        <v>0.52</v>
      </c>
      <c r="W18" s="587">
        <f t="shared" si="2"/>
        <v>0.52</v>
      </c>
      <c r="X18" s="587">
        <f t="shared" si="2"/>
        <v>0.52</v>
      </c>
      <c r="Y18" s="60"/>
    </row>
    <row r="19" spans="1:25" s="2" customFormat="1" ht="18.75" customHeight="1" x14ac:dyDescent="0.25">
      <c r="A19" s="727"/>
      <c r="B19" s="727"/>
      <c r="C19" s="726"/>
      <c r="D19" s="726"/>
      <c r="E19" s="727"/>
      <c r="F19" s="530" t="s">
        <v>240</v>
      </c>
      <c r="G19" s="530" t="s">
        <v>81</v>
      </c>
      <c r="H19" s="726"/>
      <c r="I19" s="588">
        <f>I18</f>
        <v>0.52</v>
      </c>
      <c r="J19" s="588">
        <f t="shared" ref="J19:V19" si="3">J18</f>
        <v>0.52</v>
      </c>
      <c r="K19" s="588">
        <f t="shared" si="3"/>
        <v>0.52</v>
      </c>
      <c r="L19" s="588">
        <f t="shared" si="3"/>
        <v>0.52</v>
      </c>
      <c r="M19" s="588">
        <f t="shared" si="3"/>
        <v>0.52</v>
      </c>
      <c r="N19" s="588">
        <f t="shared" si="3"/>
        <v>0.52</v>
      </c>
      <c r="O19" s="588">
        <f t="shared" si="3"/>
        <v>0.52</v>
      </c>
      <c r="P19" s="588">
        <f t="shared" si="3"/>
        <v>0.52</v>
      </c>
      <c r="Q19" s="588">
        <f t="shared" si="3"/>
        <v>0.52</v>
      </c>
      <c r="R19" s="588">
        <f t="shared" si="3"/>
        <v>0.52</v>
      </c>
      <c r="S19" s="588">
        <f t="shared" si="3"/>
        <v>0.52</v>
      </c>
      <c r="T19" s="588">
        <f t="shared" si="3"/>
        <v>0.52</v>
      </c>
      <c r="U19" s="588">
        <f t="shared" si="3"/>
        <v>0.52</v>
      </c>
      <c r="V19" s="588">
        <f t="shared" si="3"/>
        <v>0.52</v>
      </c>
      <c r="W19" s="588">
        <f t="shared" ref="W19" si="4">W18</f>
        <v>0.52</v>
      </c>
      <c r="X19" s="588">
        <f t="shared" ref="X19" si="5">X18</f>
        <v>0.52</v>
      </c>
      <c r="Y19" s="60"/>
    </row>
    <row r="20" spans="1:25" s="2" customFormat="1" ht="18.75" customHeight="1" x14ac:dyDescent="0.25">
      <c r="A20" s="727"/>
      <c r="B20" s="727"/>
      <c r="C20" s="726"/>
      <c r="D20" s="727" t="s">
        <v>256</v>
      </c>
      <c r="E20" s="727"/>
      <c r="F20" s="533" t="s">
        <v>242</v>
      </c>
      <c r="G20" s="533">
        <v>2001</v>
      </c>
      <c r="H20" s="533" t="s">
        <v>260</v>
      </c>
      <c r="I20" s="533">
        <v>0.49</v>
      </c>
      <c r="J20" s="533">
        <v>0.47</v>
      </c>
      <c r="K20" s="533">
        <v>0.61</v>
      </c>
      <c r="L20" s="533">
        <v>0.61</v>
      </c>
      <c r="M20" s="533">
        <v>0.61</v>
      </c>
      <c r="N20" s="533">
        <v>0.61</v>
      </c>
      <c r="O20" s="533">
        <v>0.61</v>
      </c>
      <c r="P20" s="533">
        <v>0.61</v>
      </c>
      <c r="Q20" s="533">
        <v>0.61</v>
      </c>
      <c r="R20" s="533">
        <v>0.47</v>
      </c>
      <c r="S20" s="533">
        <v>0.47</v>
      </c>
      <c r="T20" s="533">
        <v>0.47</v>
      </c>
      <c r="U20" s="533">
        <v>0.47</v>
      </c>
      <c r="V20" s="533">
        <v>0.46</v>
      </c>
      <c r="W20" s="533">
        <v>0.46</v>
      </c>
      <c r="X20" s="533">
        <v>0.49</v>
      </c>
      <c r="Y20" s="60"/>
    </row>
    <row r="21" spans="1:25" s="2" customFormat="1" ht="18.75" customHeight="1" x14ac:dyDescent="0.25">
      <c r="A21" s="727"/>
      <c r="B21" s="727"/>
      <c r="C21" s="726"/>
      <c r="D21" s="727"/>
      <c r="E21" s="727"/>
      <c r="F21" s="534" t="s">
        <v>244</v>
      </c>
      <c r="G21" s="534">
        <v>2013</v>
      </c>
      <c r="H21" s="534" t="s">
        <v>257</v>
      </c>
      <c r="I21" s="538">
        <v>0.25</v>
      </c>
      <c r="J21" s="538">
        <v>0.25</v>
      </c>
      <c r="K21" s="538">
        <v>0.25</v>
      </c>
      <c r="L21" s="538">
        <v>0.25</v>
      </c>
      <c r="M21" s="538">
        <v>0.25</v>
      </c>
      <c r="N21" s="538">
        <v>0.25</v>
      </c>
      <c r="O21" s="538">
        <v>0.25</v>
      </c>
      <c r="P21" s="538">
        <v>0.25</v>
      </c>
      <c r="Q21" s="538">
        <v>0.25</v>
      </c>
      <c r="R21" s="538">
        <v>0.25</v>
      </c>
      <c r="S21" s="538">
        <v>0.25</v>
      </c>
      <c r="T21" s="538">
        <v>0.25</v>
      </c>
      <c r="U21" s="538">
        <v>0.25</v>
      </c>
      <c r="V21" s="538">
        <v>0.25</v>
      </c>
      <c r="W21" s="538">
        <v>0.25</v>
      </c>
      <c r="X21" s="538">
        <v>0.25</v>
      </c>
      <c r="Y21" s="60"/>
    </row>
    <row r="22" spans="1:25" s="2" customFormat="1" ht="18.75" customHeight="1" x14ac:dyDescent="0.25">
      <c r="A22" s="727"/>
      <c r="B22" s="727"/>
      <c r="C22" s="726"/>
      <c r="D22" s="727"/>
      <c r="E22" s="727"/>
      <c r="F22" s="541" t="s">
        <v>247</v>
      </c>
      <c r="G22" s="542">
        <v>2025</v>
      </c>
      <c r="H22" s="542" t="s">
        <v>257</v>
      </c>
      <c r="I22" s="542">
        <v>0.25</v>
      </c>
      <c r="J22" s="542">
        <v>0.25</v>
      </c>
      <c r="K22" s="542">
        <v>0.25</v>
      </c>
      <c r="L22" s="542">
        <v>0.25</v>
      </c>
      <c r="M22" s="542">
        <v>0.25</v>
      </c>
      <c r="N22" s="542">
        <v>0.25</v>
      </c>
      <c r="O22" s="542">
        <v>0.25</v>
      </c>
      <c r="P22" s="542">
        <v>0.25</v>
      </c>
      <c r="Q22" s="542">
        <v>0.22</v>
      </c>
      <c r="R22" s="542">
        <v>0.25</v>
      </c>
      <c r="S22" s="542">
        <v>0.22</v>
      </c>
      <c r="T22" s="542">
        <v>0.22</v>
      </c>
      <c r="U22" s="542">
        <v>0.22</v>
      </c>
      <c r="V22" s="542">
        <v>0.22</v>
      </c>
      <c r="W22" s="542">
        <v>0.22</v>
      </c>
      <c r="X22" s="542">
        <v>0.25</v>
      </c>
      <c r="Y22" s="60"/>
    </row>
    <row r="23" spans="1:25" s="2" customFormat="1" ht="18.75" customHeight="1" x14ac:dyDescent="0.25">
      <c r="A23" s="725" t="s">
        <v>261</v>
      </c>
      <c r="B23" s="725" t="s">
        <v>262</v>
      </c>
      <c r="C23" s="724" t="s">
        <v>261</v>
      </c>
      <c r="D23" s="724" t="s">
        <v>263</v>
      </c>
      <c r="E23" s="725" t="s">
        <v>237</v>
      </c>
      <c r="F23" s="589" t="s">
        <v>238</v>
      </c>
      <c r="G23" s="589" t="s">
        <v>81</v>
      </c>
      <c r="H23" s="724" t="s">
        <v>264</v>
      </c>
      <c r="I23" s="589">
        <v>0.85</v>
      </c>
      <c r="J23" s="589">
        <v>1.31</v>
      </c>
      <c r="K23" s="589">
        <v>1.31</v>
      </c>
      <c r="L23" s="589">
        <v>1.31</v>
      </c>
      <c r="M23" s="589">
        <v>1.31</v>
      </c>
      <c r="N23" s="589">
        <v>1.31</v>
      </c>
      <c r="O23" s="589">
        <v>1.31</v>
      </c>
      <c r="P23" s="589">
        <v>1.31</v>
      </c>
      <c r="Q23" s="589">
        <v>1.31</v>
      </c>
      <c r="R23" s="589">
        <v>1.31</v>
      </c>
      <c r="S23" s="589">
        <v>0.85</v>
      </c>
      <c r="T23" s="589">
        <v>0.85</v>
      </c>
      <c r="U23" s="589">
        <v>0.85</v>
      </c>
      <c r="V23" s="589">
        <v>0.85</v>
      </c>
      <c r="W23" s="589">
        <v>0.85</v>
      </c>
      <c r="X23" s="589">
        <v>0.85</v>
      </c>
      <c r="Y23" s="60"/>
    </row>
    <row r="24" spans="1:25" s="2" customFormat="1" ht="18.75" customHeight="1" x14ac:dyDescent="0.25">
      <c r="A24" s="725"/>
      <c r="B24" s="725"/>
      <c r="C24" s="724"/>
      <c r="D24" s="724"/>
      <c r="E24" s="725"/>
      <c r="F24" s="590" t="s">
        <v>240</v>
      </c>
      <c r="G24" s="590" t="s">
        <v>81</v>
      </c>
      <c r="H24" s="724"/>
      <c r="I24" s="588">
        <v>0.85</v>
      </c>
      <c r="J24" s="588">
        <v>1.31</v>
      </c>
      <c r="K24" s="588">
        <v>1.31</v>
      </c>
      <c r="L24" s="588">
        <v>1.31</v>
      </c>
      <c r="M24" s="588">
        <v>1.31</v>
      </c>
      <c r="N24" s="588">
        <v>1.31</v>
      </c>
      <c r="O24" s="588">
        <v>1.31</v>
      </c>
      <c r="P24" s="588">
        <v>1.31</v>
      </c>
      <c r="Q24" s="588">
        <v>1.31</v>
      </c>
      <c r="R24" s="588">
        <v>1.31</v>
      </c>
      <c r="S24" s="588">
        <v>0.85</v>
      </c>
      <c r="T24" s="588">
        <v>0.85</v>
      </c>
      <c r="U24" s="588">
        <v>0.85</v>
      </c>
      <c r="V24" s="588">
        <v>0.85</v>
      </c>
      <c r="W24" s="588">
        <v>0.85</v>
      </c>
      <c r="X24" s="588">
        <v>0.85</v>
      </c>
      <c r="Y24" s="60"/>
    </row>
    <row r="25" spans="1:25" s="2" customFormat="1" ht="18.75" customHeight="1" x14ac:dyDescent="0.25">
      <c r="A25" s="725"/>
      <c r="B25" s="725"/>
      <c r="C25" s="724"/>
      <c r="D25" s="724" t="s">
        <v>265</v>
      </c>
      <c r="E25" s="725"/>
      <c r="F25" s="591" t="s">
        <v>242</v>
      </c>
      <c r="G25" s="591">
        <v>2001</v>
      </c>
      <c r="H25" s="591" t="s">
        <v>243</v>
      </c>
      <c r="I25" s="591">
        <v>0.87</v>
      </c>
      <c r="J25" s="591">
        <v>1.1000000000000001</v>
      </c>
      <c r="K25" s="591">
        <v>1.3</v>
      </c>
      <c r="L25" s="591">
        <v>1.3</v>
      </c>
      <c r="M25" s="591">
        <v>1.3</v>
      </c>
      <c r="N25" s="591">
        <v>1.3</v>
      </c>
      <c r="O25" s="591">
        <v>1.3</v>
      </c>
      <c r="P25" s="591">
        <v>1.3</v>
      </c>
      <c r="Q25" s="591">
        <v>1.3</v>
      </c>
      <c r="R25" s="591">
        <v>1.1000000000000001</v>
      </c>
      <c r="S25" s="591">
        <v>1.1000000000000001</v>
      </c>
      <c r="T25" s="591">
        <v>1.1000000000000001</v>
      </c>
      <c r="U25" s="591">
        <v>1.1000000000000001</v>
      </c>
      <c r="V25" s="591">
        <v>1.1000000000000001</v>
      </c>
      <c r="W25" s="591">
        <v>1.1000000000000001</v>
      </c>
      <c r="X25" s="591">
        <v>0.87</v>
      </c>
      <c r="Y25" s="60"/>
    </row>
    <row r="26" spans="1:25" s="2" customFormat="1" ht="18.75" customHeight="1" x14ac:dyDescent="0.25">
      <c r="A26" s="725"/>
      <c r="B26" s="725"/>
      <c r="C26" s="724"/>
      <c r="D26" s="724"/>
      <c r="E26" s="725"/>
      <c r="F26" s="592" t="s">
        <v>244</v>
      </c>
      <c r="G26" s="592">
        <v>2013</v>
      </c>
      <c r="H26" s="592" t="s">
        <v>245</v>
      </c>
      <c r="I26" s="593">
        <v>0.88</v>
      </c>
      <c r="J26" s="593">
        <v>0.88</v>
      </c>
      <c r="K26" s="593">
        <v>0.88</v>
      </c>
      <c r="L26" s="593">
        <v>0.88</v>
      </c>
      <c r="M26" s="593">
        <v>0.88</v>
      </c>
      <c r="N26" s="593">
        <v>0.88</v>
      </c>
      <c r="O26" s="593">
        <v>0.88</v>
      </c>
      <c r="P26" s="593">
        <v>0.88</v>
      </c>
      <c r="Q26" s="593">
        <v>0.88</v>
      </c>
      <c r="R26" s="593">
        <v>0.88</v>
      </c>
      <c r="S26" s="593">
        <v>0.88</v>
      </c>
      <c r="T26" s="593">
        <v>0.88</v>
      </c>
      <c r="U26" s="593">
        <v>0.88</v>
      </c>
      <c r="V26" s="593">
        <v>0.88</v>
      </c>
      <c r="W26" s="593">
        <v>0.88</v>
      </c>
      <c r="X26" s="593">
        <v>0.88</v>
      </c>
      <c r="Y26" s="60"/>
    </row>
    <row r="27" spans="1:25" s="2" customFormat="1" ht="18.75" customHeight="1" x14ac:dyDescent="0.25">
      <c r="A27" s="725"/>
      <c r="B27" s="725"/>
      <c r="C27" s="724"/>
      <c r="D27" s="724"/>
      <c r="E27" s="725"/>
      <c r="F27" s="594" t="s">
        <v>247</v>
      </c>
      <c r="G27" s="594">
        <v>2025</v>
      </c>
      <c r="H27" s="594" t="s">
        <v>245</v>
      </c>
      <c r="I27" s="594">
        <v>0.88</v>
      </c>
      <c r="J27" s="594">
        <v>0.88</v>
      </c>
      <c r="K27" s="594">
        <v>0.88</v>
      </c>
      <c r="L27" s="594">
        <v>0.88</v>
      </c>
      <c r="M27" s="594">
        <v>0.88</v>
      </c>
      <c r="N27" s="594">
        <v>0.88</v>
      </c>
      <c r="O27" s="594">
        <v>0.88</v>
      </c>
      <c r="P27" s="594">
        <v>0.88</v>
      </c>
      <c r="Q27" s="594">
        <v>0.88</v>
      </c>
      <c r="R27" s="594">
        <v>0.88</v>
      </c>
      <c r="S27" s="594">
        <v>0.88</v>
      </c>
      <c r="T27" s="594">
        <v>0.88</v>
      </c>
      <c r="U27" s="594">
        <v>0.88</v>
      </c>
      <c r="V27" s="594">
        <v>0.88</v>
      </c>
      <c r="W27" s="594">
        <v>0.88</v>
      </c>
      <c r="X27" s="594">
        <v>0.88</v>
      </c>
      <c r="Y27" s="60"/>
    </row>
    <row r="28" spans="1:25" s="2" customFormat="1" ht="18.75" customHeight="1" x14ac:dyDescent="0.25">
      <c r="A28" s="725"/>
      <c r="B28" s="725" t="s">
        <v>262</v>
      </c>
      <c r="C28" s="724" t="s">
        <v>261</v>
      </c>
      <c r="D28" s="724" t="s">
        <v>263</v>
      </c>
      <c r="E28" s="725" t="s">
        <v>258</v>
      </c>
      <c r="F28" s="589" t="s">
        <v>238</v>
      </c>
      <c r="G28" s="589" t="s">
        <v>81</v>
      </c>
      <c r="H28" s="724" t="s">
        <v>266</v>
      </c>
      <c r="I28" s="595">
        <f>0.81*0.87</f>
        <v>0.70469999999999999</v>
      </c>
      <c r="J28" s="595">
        <f>0.86*0.87</f>
        <v>0.74819999999999998</v>
      </c>
      <c r="K28" s="595">
        <f t="shared" ref="K28:R29" si="6">0.86*0.87</f>
        <v>0.74819999999999998</v>
      </c>
      <c r="L28" s="595">
        <f t="shared" si="6"/>
        <v>0.74819999999999998</v>
      </c>
      <c r="M28" s="595">
        <f t="shared" si="6"/>
        <v>0.74819999999999998</v>
      </c>
      <c r="N28" s="595">
        <f t="shared" si="6"/>
        <v>0.74819999999999998</v>
      </c>
      <c r="O28" s="595">
        <f t="shared" si="6"/>
        <v>0.74819999999999998</v>
      </c>
      <c r="P28" s="595">
        <f t="shared" si="6"/>
        <v>0.74819999999999998</v>
      </c>
      <c r="Q28" s="595">
        <f t="shared" si="6"/>
        <v>0.74819999999999998</v>
      </c>
      <c r="R28" s="595">
        <f t="shared" si="6"/>
        <v>0.74819999999999998</v>
      </c>
      <c r="S28" s="595">
        <f>0.81*0.87</f>
        <v>0.70469999999999999</v>
      </c>
      <c r="T28" s="595">
        <f t="shared" ref="T28:X29" si="7">0.81*0.87</f>
        <v>0.70469999999999999</v>
      </c>
      <c r="U28" s="595">
        <f t="shared" si="7"/>
        <v>0.70469999999999999</v>
      </c>
      <c r="V28" s="595">
        <f t="shared" si="7"/>
        <v>0.70469999999999999</v>
      </c>
      <c r="W28" s="595">
        <f t="shared" si="7"/>
        <v>0.70469999999999999</v>
      </c>
      <c r="X28" s="595">
        <f t="shared" si="7"/>
        <v>0.70469999999999999</v>
      </c>
      <c r="Y28" s="60"/>
    </row>
    <row r="29" spans="1:25" s="2" customFormat="1" ht="18.75" customHeight="1" x14ac:dyDescent="0.25">
      <c r="A29" s="725"/>
      <c r="B29" s="725"/>
      <c r="C29" s="724"/>
      <c r="D29" s="724"/>
      <c r="E29" s="725"/>
      <c r="F29" s="590" t="s">
        <v>240</v>
      </c>
      <c r="G29" s="590" t="s">
        <v>81</v>
      </c>
      <c r="H29" s="724"/>
      <c r="I29" s="588">
        <f>0.81*0.87</f>
        <v>0.70469999999999999</v>
      </c>
      <c r="J29" s="588">
        <f>0.86*0.87</f>
        <v>0.74819999999999998</v>
      </c>
      <c r="K29" s="588">
        <f t="shared" si="6"/>
        <v>0.74819999999999998</v>
      </c>
      <c r="L29" s="588">
        <f t="shared" si="6"/>
        <v>0.74819999999999998</v>
      </c>
      <c r="M29" s="588">
        <f t="shared" si="6"/>
        <v>0.74819999999999998</v>
      </c>
      <c r="N29" s="588">
        <f t="shared" si="6"/>
        <v>0.74819999999999998</v>
      </c>
      <c r="O29" s="588">
        <f t="shared" si="6"/>
        <v>0.74819999999999998</v>
      </c>
      <c r="P29" s="588">
        <f t="shared" si="6"/>
        <v>0.74819999999999998</v>
      </c>
      <c r="Q29" s="588">
        <f t="shared" si="6"/>
        <v>0.74819999999999998</v>
      </c>
      <c r="R29" s="588">
        <f t="shared" si="6"/>
        <v>0.74819999999999998</v>
      </c>
      <c r="S29" s="588">
        <f>0.81*0.87</f>
        <v>0.70469999999999999</v>
      </c>
      <c r="T29" s="588">
        <f t="shared" si="7"/>
        <v>0.70469999999999999</v>
      </c>
      <c r="U29" s="588">
        <f t="shared" si="7"/>
        <v>0.70469999999999999</v>
      </c>
      <c r="V29" s="588">
        <f t="shared" si="7"/>
        <v>0.70469999999999999</v>
      </c>
      <c r="W29" s="588">
        <f t="shared" si="7"/>
        <v>0.70469999999999999</v>
      </c>
      <c r="X29" s="588">
        <f t="shared" si="7"/>
        <v>0.70469999999999999</v>
      </c>
      <c r="Y29" s="60"/>
    </row>
    <row r="30" spans="1:25" s="2" customFormat="1" ht="18.75" customHeight="1" x14ac:dyDescent="0.25">
      <c r="A30" s="725"/>
      <c r="B30" s="725"/>
      <c r="C30" s="724"/>
      <c r="D30" s="724" t="s">
        <v>265</v>
      </c>
      <c r="E30" s="725"/>
      <c r="F30" s="591" t="s">
        <v>242</v>
      </c>
      <c r="G30" s="591">
        <v>2001</v>
      </c>
      <c r="H30" s="591" t="s">
        <v>267</v>
      </c>
      <c r="I30" s="591">
        <v>0.57999999999999996</v>
      </c>
      <c r="J30" s="591">
        <v>0.62</v>
      </c>
      <c r="K30" s="591">
        <v>0.65</v>
      </c>
      <c r="L30" s="591">
        <v>0.65</v>
      </c>
      <c r="M30" s="591">
        <v>0.65</v>
      </c>
      <c r="N30" s="591">
        <v>0.62</v>
      </c>
      <c r="O30" s="591">
        <v>0.62</v>
      </c>
      <c r="P30" s="591">
        <v>0.62</v>
      </c>
      <c r="Q30" s="591">
        <v>0.62</v>
      </c>
      <c r="R30" s="591">
        <v>0.62</v>
      </c>
      <c r="S30" s="591">
        <v>0.62</v>
      </c>
      <c r="T30" s="591">
        <v>0.62</v>
      </c>
      <c r="U30" s="591">
        <v>0.62</v>
      </c>
      <c r="V30" s="591">
        <v>0.57999999999999996</v>
      </c>
      <c r="W30" s="591">
        <v>0.57999999999999996</v>
      </c>
      <c r="X30" s="591">
        <v>0.57999999999999996</v>
      </c>
      <c r="Y30" s="60"/>
    </row>
    <row r="31" spans="1:25" s="2" customFormat="1" ht="30.75" customHeight="1" x14ac:dyDescent="0.25">
      <c r="A31" s="725"/>
      <c r="B31" s="725"/>
      <c r="C31" s="724"/>
      <c r="D31" s="724"/>
      <c r="E31" s="725"/>
      <c r="F31" s="592" t="s">
        <v>244</v>
      </c>
      <c r="G31" s="592">
        <v>2013</v>
      </c>
      <c r="H31" s="596" t="s">
        <v>268</v>
      </c>
      <c r="I31" s="593">
        <v>0.57999999999999996</v>
      </c>
      <c r="J31" s="593">
        <v>0.62</v>
      </c>
      <c r="K31" s="593">
        <v>0.65</v>
      </c>
      <c r="L31" s="593">
        <v>0.65</v>
      </c>
      <c r="M31" s="593">
        <v>0.65</v>
      </c>
      <c r="N31" s="593">
        <v>0.62</v>
      </c>
      <c r="O31" s="593">
        <v>0.62</v>
      </c>
      <c r="P31" s="593">
        <v>0.62</v>
      </c>
      <c r="Q31" s="593">
        <v>0.62</v>
      </c>
      <c r="R31" s="593">
        <v>0.62</v>
      </c>
      <c r="S31" s="593">
        <v>0.62</v>
      </c>
      <c r="T31" s="593">
        <v>0.62</v>
      </c>
      <c r="U31" s="593">
        <v>0.62</v>
      </c>
      <c r="V31" s="593">
        <v>0.57999999999999996</v>
      </c>
      <c r="W31" s="593">
        <v>0.57999999999999996</v>
      </c>
      <c r="X31" s="593">
        <v>0.57999999999999996</v>
      </c>
      <c r="Y31" s="60"/>
    </row>
    <row r="32" spans="1:25" s="2" customFormat="1" ht="26.25" customHeight="1" x14ac:dyDescent="0.25">
      <c r="A32" s="725"/>
      <c r="B32" s="725"/>
      <c r="C32" s="724"/>
      <c r="D32" s="724"/>
      <c r="E32" s="725"/>
      <c r="F32" s="594" t="s">
        <v>247</v>
      </c>
      <c r="G32" s="594">
        <v>2025</v>
      </c>
      <c r="H32" s="597" t="s">
        <v>268</v>
      </c>
      <c r="I32" s="594">
        <v>0.57999999999999996</v>
      </c>
      <c r="J32" s="594">
        <v>0.62</v>
      </c>
      <c r="K32" s="594">
        <v>0.65</v>
      </c>
      <c r="L32" s="594">
        <v>0.65</v>
      </c>
      <c r="M32" s="594">
        <v>0.65</v>
      </c>
      <c r="N32" s="594">
        <v>0.62</v>
      </c>
      <c r="O32" s="594">
        <v>0.62</v>
      </c>
      <c r="P32" s="594">
        <v>0.62</v>
      </c>
      <c r="Q32" s="594">
        <v>0.62</v>
      </c>
      <c r="R32" s="594">
        <v>0.62</v>
      </c>
      <c r="S32" s="594">
        <v>0.62</v>
      </c>
      <c r="T32" s="594">
        <v>0.62</v>
      </c>
      <c r="U32" s="594">
        <v>0.62</v>
      </c>
      <c r="V32" s="594">
        <v>0.57999999999999996</v>
      </c>
      <c r="W32" s="594">
        <v>0.57999999999999996</v>
      </c>
      <c r="X32" s="594">
        <v>0.57999999999999996</v>
      </c>
      <c r="Y32" s="60"/>
    </row>
    <row r="33" spans="1:62" s="2" customFormat="1" x14ac:dyDescent="0.25">
      <c r="A33" s="567"/>
      <c r="B33" s="567"/>
      <c r="C33" s="567"/>
      <c r="D33" s="567"/>
      <c r="E33" s="567"/>
      <c r="F33" s="567"/>
      <c r="G33" s="321"/>
      <c r="H33" s="321"/>
      <c r="I33" s="321"/>
      <c r="J33" s="321"/>
      <c r="K33" s="321"/>
      <c r="L33" s="321"/>
      <c r="M33" s="321"/>
      <c r="N33" s="321"/>
      <c r="O33" s="321"/>
      <c r="P33" s="321"/>
      <c r="Q33" s="321"/>
      <c r="R33" s="321"/>
      <c r="S33" s="321"/>
      <c r="T33" s="321"/>
      <c r="U33" s="321"/>
      <c r="V33" s="321"/>
      <c r="W33" s="321"/>
      <c r="X33" s="321"/>
      <c r="Y33" s="60"/>
    </row>
    <row r="34" spans="1:62" ht="15" customHeight="1" x14ac:dyDescent="0.25">
      <c r="A34" s="3"/>
      <c r="B34" s="7"/>
      <c r="C34" s="3"/>
      <c r="D34" s="3"/>
      <c r="E34" s="61"/>
      <c r="F34" s="61"/>
      <c r="G34" s="62"/>
      <c r="H34" s="61"/>
      <c r="I34" s="61"/>
      <c r="J34" s="61"/>
      <c r="K34" s="61"/>
      <c r="L34" s="61"/>
      <c r="M34" s="61"/>
      <c r="N34" s="61"/>
      <c r="O34" s="61"/>
      <c r="P34" s="61"/>
      <c r="Q34" s="61"/>
      <c r="R34" s="61"/>
      <c r="S34" s="61"/>
      <c r="T34" s="61"/>
      <c r="U34" s="61"/>
      <c r="V34" s="61"/>
      <c r="W34" s="61"/>
      <c r="X34" s="61"/>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row>
    <row r="35" spans="1:62" ht="25.95" customHeight="1" x14ac:dyDescent="0.25">
      <c r="A35" s="3"/>
      <c r="B35" s="7"/>
      <c r="C35" s="758" t="s">
        <v>269</v>
      </c>
      <c r="D35" s="758"/>
      <c r="E35" s="758"/>
      <c r="F35" s="758"/>
      <c r="G35" s="758"/>
      <c r="H35" s="758"/>
      <c r="I35" s="758"/>
      <c r="J35" s="758"/>
      <c r="K35" s="758"/>
      <c r="L35" s="758"/>
      <c r="M35" s="63"/>
      <c r="N35" s="63"/>
      <c r="O35" s="63"/>
      <c r="P35" s="63"/>
      <c r="Q35" s="63"/>
      <c r="R35" s="63"/>
      <c r="S35" s="63"/>
      <c r="T35" s="63"/>
      <c r="U35" s="63"/>
      <c r="V35" s="63"/>
      <c r="W35" s="63"/>
      <c r="X35" s="63"/>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row>
    <row r="36" spans="1:62" ht="43.2" customHeight="1" x14ac:dyDescent="0.25">
      <c r="A36" s="3"/>
      <c r="B36" s="7"/>
      <c r="C36" s="598"/>
      <c r="D36" s="598" t="s">
        <v>117</v>
      </c>
      <c r="E36" s="598" t="s">
        <v>270</v>
      </c>
      <c r="F36" s="25" t="s">
        <v>216</v>
      </c>
      <c r="G36" s="54" t="s">
        <v>271</v>
      </c>
      <c r="H36" s="54" t="s">
        <v>272</v>
      </c>
      <c r="I36" s="740" t="s">
        <v>273</v>
      </c>
      <c r="J36" s="741"/>
      <c r="K36" s="741"/>
      <c r="L36" s="741"/>
      <c r="M36" s="741"/>
      <c r="N36" s="741"/>
      <c r="O36" s="741"/>
      <c r="P36" s="741"/>
      <c r="Q36" s="741"/>
      <c r="R36" s="741"/>
      <c r="S36" s="741"/>
      <c r="T36" s="741"/>
      <c r="U36" s="741"/>
      <c r="V36" s="741"/>
      <c r="W36" s="741"/>
      <c r="X36" s="74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row>
    <row r="37" spans="1:62" ht="24.6" customHeight="1" x14ac:dyDescent="0.25">
      <c r="A37" s="3"/>
      <c r="B37" s="544"/>
      <c r="C37" s="747" t="s">
        <v>269</v>
      </c>
      <c r="D37" s="747" t="s">
        <v>59</v>
      </c>
      <c r="E37" s="747"/>
      <c r="F37" s="523" t="s">
        <v>238</v>
      </c>
      <c r="G37" s="523">
        <v>1.1000000000000001</v>
      </c>
      <c r="H37" s="55" t="s">
        <v>274</v>
      </c>
      <c r="I37" s="744">
        <f>(G37*0.112)*$AA$41</f>
        <v>0.67075555555555566</v>
      </c>
      <c r="J37" s="745"/>
      <c r="K37" s="745"/>
      <c r="L37" s="745"/>
      <c r="M37" s="745"/>
      <c r="N37" s="745"/>
      <c r="O37" s="745"/>
      <c r="P37" s="745"/>
      <c r="Q37" s="745"/>
      <c r="R37" s="745"/>
      <c r="S37" s="745"/>
      <c r="T37" s="745"/>
      <c r="U37" s="745"/>
      <c r="V37" s="745"/>
      <c r="W37" s="745"/>
      <c r="X37" s="746"/>
      <c r="Y37" s="2"/>
      <c r="Z37" s="599" t="s">
        <v>275</v>
      </c>
      <c r="AA37" s="600">
        <f>Zones!I15</f>
        <v>50000</v>
      </c>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row>
    <row r="38" spans="1:62" ht="24.6" customHeight="1" x14ac:dyDescent="0.25">
      <c r="A38" s="3"/>
      <c r="B38" s="544"/>
      <c r="C38" s="748"/>
      <c r="D38" s="748"/>
      <c r="E38" s="748"/>
      <c r="F38" s="523" t="s">
        <v>240</v>
      </c>
      <c r="G38" s="523">
        <v>1.1000000000000001</v>
      </c>
      <c r="H38" s="55" t="s">
        <v>274</v>
      </c>
      <c r="I38" s="744">
        <f t="shared" ref="I38:I40" si="8">(G38*0.112)*$AA$41</f>
        <v>0.67075555555555566</v>
      </c>
      <c r="J38" s="745"/>
      <c r="K38" s="745"/>
      <c r="L38" s="745"/>
      <c r="M38" s="745"/>
      <c r="N38" s="745"/>
      <c r="O38" s="745"/>
      <c r="P38" s="745"/>
      <c r="Q38" s="745"/>
      <c r="R38" s="745"/>
      <c r="S38" s="745"/>
      <c r="T38" s="745"/>
      <c r="U38" s="745"/>
      <c r="V38" s="745"/>
      <c r="W38" s="745"/>
      <c r="X38" s="746"/>
      <c r="Y38" s="2"/>
      <c r="Z38" s="599" t="s">
        <v>276</v>
      </c>
      <c r="AA38" s="601">
        <f>(250+200)*2*25</f>
        <v>22500</v>
      </c>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row>
    <row r="39" spans="1:62" ht="24.6" customHeight="1" x14ac:dyDescent="0.25">
      <c r="A39" s="3"/>
      <c r="B39" s="7"/>
      <c r="C39" s="748"/>
      <c r="D39" s="748"/>
      <c r="E39" s="748"/>
      <c r="F39" s="523" t="s">
        <v>242</v>
      </c>
      <c r="G39" s="523">
        <v>1.1000000000000001</v>
      </c>
      <c r="H39" s="55" t="s">
        <v>274</v>
      </c>
      <c r="I39" s="744">
        <f t="shared" si="8"/>
        <v>0.67075555555555566</v>
      </c>
      <c r="J39" s="745"/>
      <c r="K39" s="745"/>
      <c r="L39" s="745"/>
      <c r="M39" s="745"/>
      <c r="N39" s="745"/>
      <c r="O39" s="745"/>
      <c r="P39" s="745"/>
      <c r="Q39" s="745"/>
      <c r="R39" s="745"/>
      <c r="S39" s="745"/>
      <c r="T39" s="745"/>
      <c r="U39" s="745"/>
      <c r="V39" s="745"/>
      <c r="W39" s="745"/>
      <c r="X39" s="746"/>
      <c r="Y39" s="212"/>
      <c r="Z39" s="599" t="s">
        <v>277</v>
      </c>
      <c r="AA39" s="600">
        <f>AA38</f>
        <v>22500</v>
      </c>
      <c r="AB39" s="743"/>
      <c r="AC39" s="743"/>
      <c r="AD39" s="743"/>
      <c r="AE39" s="743"/>
      <c r="AF39" s="743"/>
      <c r="AG39" s="743"/>
      <c r="AH39" s="743"/>
      <c r="AI39" s="743"/>
      <c r="AJ39" s="743"/>
      <c r="AK39" s="743"/>
      <c r="AL39" s="743"/>
      <c r="AM39" s="743"/>
      <c r="AN39" s="743"/>
      <c r="AO39" s="743"/>
      <c r="AP39" s="743"/>
      <c r="AQ39" s="743"/>
      <c r="AR39" s="743"/>
      <c r="AS39" s="743"/>
      <c r="AT39" s="743"/>
      <c r="AU39" s="743"/>
      <c r="AV39" s="743"/>
      <c r="AW39" s="743"/>
      <c r="AX39" s="743"/>
      <c r="AY39" s="2"/>
      <c r="AZ39" s="2"/>
      <c r="BA39" s="2"/>
      <c r="BB39" s="2"/>
      <c r="BC39" s="2"/>
      <c r="BD39" s="2"/>
      <c r="BE39" s="2"/>
      <c r="BF39" s="2"/>
      <c r="BG39" s="2"/>
      <c r="BH39" s="2"/>
      <c r="BI39" s="2"/>
      <c r="BJ39" s="2"/>
    </row>
    <row r="40" spans="1:62" ht="40.200000000000003" customHeight="1" x14ac:dyDescent="0.25">
      <c r="A40" s="3"/>
      <c r="B40" s="7"/>
      <c r="C40" s="748"/>
      <c r="D40" s="748"/>
      <c r="E40" s="748"/>
      <c r="F40" s="523" t="s">
        <v>244</v>
      </c>
      <c r="G40" s="523">
        <v>1</v>
      </c>
      <c r="H40" s="524" t="s">
        <v>278</v>
      </c>
      <c r="I40" s="744">
        <f t="shared" si="8"/>
        <v>0.60977777777777786</v>
      </c>
      <c r="J40" s="745"/>
      <c r="K40" s="745"/>
      <c r="L40" s="745"/>
      <c r="M40" s="745"/>
      <c r="N40" s="745"/>
      <c r="O40" s="745"/>
      <c r="P40" s="745"/>
      <c r="Q40" s="745"/>
      <c r="R40" s="745"/>
      <c r="S40" s="745"/>
      <c r="T40" s="745"/>
      <c r="U40" s="745"/>
      <c r="V40" s="745"/>
      <c r="W40" s="745"/>
      <c r="X40" s="746"/>
      <c r="Y40" s="2"/>
      <c r="Z40" s="599" t="s">
        <v>279</v>
      </c>
      <c r="AA40" s="601">
        <f>AA38+(2*AA37)</f>
        <v>122500</v>
      </c>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row>
    <row r="41" spans="1:62" ht="30.6" customHeight="1" x14ac:dyDescent="0.25">
      <c r="A41" s="3"/>
      <c r="B41" s="7"/>
      <c r="C41" s="749"/>
      <c r="D41" s="749"/>
      <c r="E41" s="749"/>
      <c r="F41" s="523" t="s">
        <v>247</v>
      </c>
      <c r="G41" s="523" t="s">
        <v>280</v>
      </c>
      <c r="H41" s="524" t="s">
        <v>281</v>
      </c>
      <c r="I41" s="744">
        <f>(0.6*0.112)*$AA$41</f>
        <v>0.36586666666666667</v>
      </c>
      <c r="J41" s="745"/>
      <c r="K41" s="745"/>
      <c r="L41" s="745"/>
      <c r="M41" s="745"/>
      <c r="N41" s="745"/>
      <c r="O41" s="745"/>
      <c r="P41" s="745"/>
      <c r="Q41" s="745"/>
      <c r="R41" s="745"/>
      <c r="S41" s="745"/>
      <c r="T41" s="745"/>
      <c r="U41" s="745"/>
      <c r="V41" s="745"/>
      <c r="W41" s="745"/>
      <c r="X41" s="746"/>
      <c r="Y41" s="2"/>
      <c r="Z41" s="599" t="s">
        <v>282</v>
      </c>
      <c r="AA41" s="602">
        <f>AA40/AA39</f>
        <v>5.4444444444444446</v>
      </c>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row>
    <row r="42" spans="1:62" x14ac:dyDescent="0.25">
      <c r="A42" s="3"/>
      <c r="B42" s="7"/>
      <c r="C42" s="3"/>
      <c r="D42" s="3"/>
      <c r="E42" s="572" t="s">
        <v>283</v>
      </c>
      <c r="F42" s="567"/>
      <c r="G42" s="567"/>
      <c r="H42" s="5"/>
      <c r="I42" s="445"/>
      <c r="J42" s="445"/>
      <c r="K42" s="445"/>
      <c r="L42" s="445"/>
      <c r="M42" s="445"/>
      <c r="N42" s="445"/>
      <c r="O42" s="445"/>
      <c r="P42" s="445"/>
      <c r="Q42" s="445"/>
      <c r="R42" s="445"/>
      <c r="S42" s="445"/>
      <c r="T42" s="445"/>
      <c r="U42" s="445"/>
      <c r="V42" s="445"/>
      <c r="W42" s="445"/>
      <c r="X42" s="445"/>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row>
    <row r="43" spans="1:62" ht="14.4" x14ac:dyDescent="0.25">
      <c r="A43" s="3"/>
      <c r="B43" s="7"/>
      <c r="C43" s="3"/>
      <c r="D43" s="3"/>
      <c r="E43" s="49" t="s">
        <v>42</v>
      </c>
      <c r="F43" s="567"/>
      <c r="G43" s="567"/>
      <c r="H43" s="5"/>
      <c r="I43" s="445"/>
      <c r="J43" s="445"/>
      <c r="K43" s="445"/>
      <c r="L43" s="445"/>
      <c r="M43" s="445"/>
      <c r="N43" s="445"/>
      <c r="O43" s="445"/>
      <c r="P43" s="445"/>
      <c r="Q43" s="445"/>
      <c r="R43" s="445"/>
      <c r="S43" s="445"/>
      <c r="T43" s="445"/>
      <c r="U43" s="445"/>
      <c r="V43" s="445"/>
      <c r="W43" s="445"/>
      <c r="X43" s="445"/>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row>
    <row r="44" spans="1:62" x14ac:dyDescent="0.25">
      <c r="A44" s="2"/>
      <c r="B44" s="64"/>
      <c r="C44" s="2"/>
      <c r="D44" s="2"/>
      <c r="E44" s="2"/>
      <c r="F44" s="2"/>
      <c r="G44" s="65"/>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row>
    <row r="45" spans="1:62" x14ac:dyDescent="0.25">
      <c r="A45" s="2"/>
      <c r="B45" s="64"/>
      <c r="C45" s="2"/>
      <c r="D45" s="2"/>
      <c r="E45" s="210"/>
      <c r="F45" s="446"/>
      <c r="G45" s="65"/>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row>
    <row r="46" spans="1:62" x14ac:dyDescent="0.25">
      <c r="A46" s="2"/>
      <c r="B46" s="64"/>
      <c r="C46" s="2"/>
      <c r="D46" s="2"/>
      <c r="E46" s="210"/>
      <c r="F46" s="446"/>
      <c r="G46" s="65"/>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row>
    <row r="47" spans="1:62" x14ac:dyDescent="0.25">
      <c r="A47" s="2"/>
      <c r="B47" s="64"/>
      <c r="C47" s="2"/>
      <c r="D47" s="2"/>
      <c r="E47" s="603"/>
      <c r="F47" s="447"/>
      <c r="G47" s="65"/>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row>
    <row r="48" spans="1:62" x14ac:dyDescent="0.25">
      <c r="A48" s="2"/>
      <c r="B48" s="64"/>
      <c r="C48" s="2"/>
      <c r="D48" s="2"/>
      <c r="E48" s="2"/>
      <c r="F48" s="2"/>
      <c r="G48" s="65"/>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row>
    <row r="49" spans="1:62" ht="15.6" x14ac:dyDescent="0.25">
      <c r="A49" s="750" t="s">
        <v>284</v>
      </c>
      <c r="B49" s="751"/>
      <c r="C49" s="751"/>
      <c r="D49" s="751"/>
      <c r="E49" s="752"/>
      <c r="F49" s="333"/>
      <c r="G49" s="333"/>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row>
    <row r="50" spans="1:62" ht="14.4" x14ac:dyDescent="0.25">
      <c r="A50" s="437" t="s">
        <v>285</v>
      </c>
      <c r="B50" s="438" t="s">
        <v>61</v>
      </c>
      <c r="C50" s="438" t="s">
        <v>286</v>
      </c>
      <c r="D50" s="438" t="s">
        <v>287</v>
      </c>
      <c r="E50" s="439" t="s">
        <v>288</v>
      </c>
      <c r="F50" s="333"/>
      <c r="G50" s="333"/>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row>
    <row r="51" spans="1:62" ht="43.2" x14ac:dyDescent="0.25">
      <c r="A51" s="440" t="s">
        <v>284</v>
      </c>
      <c r="B51" s="441">
        <f>B52*B59*B62</f>
        <v>1105.5365999999999</v>
      </c>
      <c r="C51" s="442" t="s">
        <v>289</v>
      </c>
      <c r="D51" s="442" t="s">
        <v>290</v>
      </c>
      <c r="E51" s="443" t="s">
        <v>291</v>
      </c>
      <c r="F51" s="333"/>
      <c r="G51" s="333"/>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row>
    <row r="52" spans="1:62" ht="43.2" x14ac:dyDescent="0.25">
      <c r="A52" s="604" t="s">
        <v>292</v>
      </c>
      <c r="B52" s="605" cm="1">
        <f t="array" ref="B52">_xlfn.IFS(B58="No vestibule",-0.0024*B53^2+3.813*B53-4.219,B58="Swinging doors",-0.0016*B53^2+2.722*B53-8.591,B58="Sliding doors - across",-0.0013*B53^2+2.479*B53-7.518,B58="Sliding doors - side",-0.0012*B53^2+2.229*B53-6.637)</f>
        <v>175.482</v>
      </c>
      <c r="C52" s="575" t="s">
        <v>293</v>
      </c>
      <c r="D52" s="575" t="s">
        <v>294</v>
      </c>
      <c r="E52" s="606" t="s">
        <v>295</v>
      </c>
      <c r="F52" s="333"/>
      <c r="G52" s="333"/>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row>
    <row r="53" spans="1:62" ht="43.2" x14ac:dyDescent="0.25">
      <c r="A53" s="604" t="s">
        <v>296</v>
      </c>
      <c r="B53" s="605">
        <f>B54*B56/(B55*B57)</f>
        <v>76.92307692307692</v>
      </c>
      <c r="C53" s="575" t="s">
        <v>297</v>
      </c>
      <c r="D53" s="575" t="s">
        <v>298</v>
      </c>
      <c r="E53" s="606" t="s">
        <v>291</v>
      </c>
      <c r="F53" s="333"/>
      <c r="G53" s="333"/>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row>
    <row r="54" spans="1:62" ht="28.8" x14ac:dyDescent="0.25">
      <c r="A54" s="604" t="s">
        <v>299</v>
      </c>
      <c r="B54" s="575">
        <v>3500</v>
      </c>
      <c r="C54" s="575" t="s">
        <v>300</v>
      </c>
      <c r="D54" s="575" t="s">
        <v>301</v>
      </c>
      <c r="E54" s="606" t="s">
        <v>302</v>
      </c>
      <c r="F54" s="333"/>
      <c r="G54" s="333"/>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row>
    <row r="55" spans="1:62" ht="28.8" x14ac:dyDescent="0.25">
      <c r="A55" s="604" t="s">
        <v>303</v>
      </c>
      <c r="B55" s="575">
        <f>13*7</f>
        <v>91</v>
      </c>
      <c r="C55" s="575" t="s">
        <v>304</v>
      </c>
      <c r="D55" s="575" t="s">
        <v>305</v>
      </c>
      <c r="E55" s="606" t="s">
        <v>306</v>
      </c>
      <c r="F55" s="333"/>
      <c r="G55" s="333"/>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row>
    <row r="56" spans="1:62" ht="28.8" x14ac:dyDescent="0.25">
      <c r="A56" s="604" t="s">
        <v>307</v>
      </c>
      <c r="B56" s="575">
        <v>2</v>
      </c>
      <c r="C56" s="575" t="s">
        <v>308</v>
      </c>
      <c r="D56" s="575" t="s">
        <v>309</v>
      </c>
      <c r="E56" s="606" t="s">
        <v>310</v>
      </c>
      <c r="F56" s="333"/>
      <c r="G56" s="333"/>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row>
    <row r="57" spans="1:62" ht="28.8" x14ac:dyDescent="0.25">
      <c r="A57" s="604" t="s">
        <v>311</v>
      </c>
      <c r="B57" s="575">
        <v>1</v>
      </c>
      <c r="C57" s="575" t="s">
        <v>312</v>
      </c>
      <c r="D57" s="575" t="s">
        <v>313</v>
      </c>
      <c r="E57" s="606" t="s">
        <v>314</v>
      </c>
      <c r="F57" s="333"/>
      <c r="G57" s="333"/>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row>
    <row r="58" spans="1:62" ht="28.8" x14ac:dyDescent="0.25">
      <c r="A58" s="604" t="s">
        <v>315</v>
      </c>
      <c r="B58" s="575" t="s">
        <v>316</v>
      </c>
      <c r="C58" s="575" t="s">
        <v>317</v>
      </c>
      <c r="D58" s="575" t="s">
        <v>318</v>
      </c>
      <c r="E58" s="606" t="s">
        <v>314</v>
      </c>
      <c r="F58" s="333"/>
      <c r="G58" s="333"/>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row>
    <row r="59" spans="1:62" ht="28.8" x14ac:dyDescent="0.25">
      <c r="A59" s="604" t="s">
        <v>319</v>
      </c>
      <c r="B59" s="575">
        <v>42</v>
      </c>
      <c r="C59" s="575" t="s">
        <v>320</v>
      </c>
      <c r="D59" s="575" t="s">
        <v>321</v>
      </c>
      <c r="E59" s="606" t="s">
        <v>314</v>
      </c>
      <c r="F59" s="333"/>
      <c r="G59" s="333"/>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row>
    <row r="60" spans="1:62" ht="28.8" x14ac:dyDescent="0.25">
      <c r="A60" s="604" t="s">
        <v>322</v>
      </c>
      <c r="B60" s="575">
        <v>10</v>
      </c>
      <c r="C60" s="575" t="s">
        <v>323</v>
      </c>
      <c r="D60" s="575" t="s">
        <v>324</v>
      </c>
      <c r="E60" s="606" t="s">
        <v>325</v>
      </c>
      <c r="F60" s="333"/>
      <c r="G60" s="333"/>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row>
    <row r="61" spans="1:62" ht="57.6" x14ac:dyDescent="0.25">
      <c r="A61" s="604" t="s">
        <v>326</v>
      </c>
      <c r="B61" s="575" t="s">
        <v>327</v>
      </c>
      <c r="C61" s="575" t="s">
        <v>317</v>
      </c>
      <c r="D61" s="575" t="s">
        <v>328</v>
      </c>
      <c r="E61" s="606" t="s">
        <v>329</v>
      </c>
      <c r="F61" s="333"/>
      <c r="G61" s="333"/>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row>
    <row r="62" spans="1:62" ht="43.2" x14ac:dyDescent="0.25">
      <c r="A62" s="607" t="s">
        <v>330</v>
      </c>
      <c r="B62" s="608" cm="1">
        <f t="array" ref="B62">_xlfn.IFS(
B61="Moderate",_xlfn.XLOOKUP(B60&amp;" mph",$A$82:$A$85,$B$82:$B$85),
B61="Maximum",_xlfn.XLOOKUP(B60&amp;" mph",$A$82:$A$85,$C$82:$C$85)
)</f>
        <v>0.15</v>
      </c>
      <c r="C62" s="608" t="s">
        <v>331</v>
      </c>
      <c r="D62" s="608" t="s">
        <v>332</v>
      </c>
      <c r="E62" s="609" t="s">
        <v>333</v>
      </c>
      <c r="F62" s="333"/>
      <c r="G62" s="333"/>
      <c r="H62" s="333"/>
      <c r="I62" s="333"/>
      <c r="J62" s="333"/>
      <c r="K62" s="333"/>
      <c r="L62" s="333"/>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row>
    <row r="63" spans="1:62" x14ac:dyDescent="0.25">
      <c r="A63" s="333"/>
      <c r="B63" s="333"/>
      <c r="C63" s="333"/>
      <c r="D63" s="333"/>
      <c r="E63" s="333"/>
      <c r="F63" s="333"/>
      <c r="G63" s="333"/>
      <c r="H63" s="333"/>
      <c r="I63" s="333"/>
      <c r="J63" s="333"/>
      <c r="K63" s="333"/>
      <c r="L63" s="333"/>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row>
    <row r="64" spans="1:62" x14ac:dyDescent="0.25">
      <c r="A64" s="333"/>
      <c r="B64" s="333"/>
      <c r="C64" s="333"/>
      <c r="D64" s="333"/>
      <c r="E64" s="333"/>
      <c r="F64" s="333"/>
      <c r="G64" s="333"/>
      <c r="H64" s="333"/>
      <c r="I64" s="333"/>
      <c r="J64" s="333"/>
      <c r="K64" s="333"/>
      <c r="L64" s="333"/>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row>
    <row r="65" spans="1:62" x14ac:dyDescent="0.25">
      <c r="A65" s="753" t="s">
        <v>334</v>
      </c>
      <c r="B65" s="754"/>
      <c r="C65" s="754"/>
      <c r="D65" s="754"/>
      <c r="E65" s="754"/>
      <c r="F65" s="333"/>
      <c r="G65" s="333"/>
      <c r="H65" s="333"/>
      <c r="I65" s="333"/>
      <c r="J65" s="333"/>
      <c r="K65" s="333"/>
      <c r="L65" s="333"/>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row>
    <row r="66" spans="1:62" ht="14.4" x14ac:dyDescent="0.25">
      <c r="A66" s="430" t="s">
        <v>285</v>
      </c>
      <c r="B66" s="431" t="s">
        <v>335</v>
      </c>
      <c r="C66" s="431" t="s">
        <v>286</v>
      </c>
      <c r="D66" s="431" t="s">
        <v>287</v>
      </c>
      <c r="E66" s="432" t="s">
        <v>336</v>
      </c>
      <c r="F66" s="333"/>
      <c r="G66" s="333"/>
      <c r="H66" s="333"/>
      <c r="I66" s="333"/>
      <c r="J66" s="333"/>
      <c r="K66" s="333"/>
      <c r="L66" s="333"/>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row>
    <row r="67" spans="1:62" ht="43.2" x14ac:dyDescent="0.25">
      <c r="A67" s="433" t="s">
        <v>337</v>
      </c>
      <c r="B67" s="434">
        <f>B68*B69/230*B71</f>
        <v>31108.695652173916</v>
      </c>
      <c r="C67" s="435" t="s">
        <v>289</v>
      </c>
      <c r="D67" s="435" t="s">
        <v>338</v>
      </c>
      <c r="E67" s="436" t="s">
        <v>339</v>
      </c>
      <c r="F67" s="333"/>
      <c r="G67" s="333"/>
      <c r="H67" s="333"/>
      <c r="I67" s="333"/>
      <c r="J67" s="333"/>
      <c r="K67" s="333"/>
      <c r="L67" s="333"/>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row>
    <row r="68" spans="1:62" ht="14.4" x14ac:dyDescent="0.25">
      <c r="A68" s="604" t="s">
        <v>340</v>
      </c>
      <c r="B68" s="575">
        <v>90</v>
      </c>
      <c r="C68" s="575" t="s">
        <v>320</v>
      </c>
      <c r="D68" s="575" t="s">
        <v>341</v>
      </c>
      <c r="E68" s="606" t="s">
        <v>310</v>
      </c>
      <c r="F68" s="333"/>
      <c r="G68" s="333"/>
      <c r="H68" s="333"/>
      <c r="I68" s="333"/>
      <c r="J68" s="333"/>
      <c r="K68" s="333"/>
      <c r="L68" s="333"/>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row>
    <row r="69" spans="1:62" ht="14.4" x14ac:dyDescent="0.25">
      <c r="A69" s="604" t="s">
        <v>342</v>
      </c>
      <c r="B69" s="575">
        <v>3</v>
      </c>
      <c r="C69" s="575" t="s">
        <v>343</v>
      </c>
      <c r="D69" s="575"/>
      <c r="E69" s="606" t="s">
        <v>310</v>
      </c>
      <c r="F69" s="333"/>
      <c r="G69" s="333"/>
      <c r="H69" s="333"/>
      <c r="I69" s="333"/>
      <c r="J69" s="333"/>
      <c r="K69" s="333"/>
      <c r="L69" s="333"/>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row>
    <row r="70" spans="1:62" ht="28.8" x14ac:dyDescent="0.25">
      <c r="A70" s="604" t="s">
        <v>344</v>
      </c>
      <c r="B70" s="575">
        <v>230</v>
      </c>
      <c r="C70" s="575" t="s">
        <v>320</v>
      </c>
      <c r="D70" s="575" t="s">
        <v>345</v>
      </c>
      <c r="E70" s="606" t="s">
        <v>346</v>
      </c>
      <c r="F70" s="333"/>
      <c r="G70" s="333"/>
      <c r="H70" s="333"/>
      <c r="I70" s="333"/>
      <c r="J70" s="333"/>
      <c r="K70" s="333"/>
      <c r="L70" s="333"/>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row>
    <row r="71" spans="1:62" ht="28.8" x14ac:dyDescent="0.25">
      <c r="A71" s="607" t="s">
        <v>347</v>
      </c>
      <c r="B71" s="610">
        <v>26500</v>
      </c>
      <c r="C71" s="608" t="s">
        <v>289</v>
      </c>
      <c r="D71" s="608" t="s">
        <v>348</v>
      </c>
      <c r="E71" s="609" t="s">
        <v>349</v>
      </c>
      <c r="F71" s="333"/>
      <c r="G71" s="333"/>
      <c r="H71" s="333"/>
      <c r="I71" s="333"/>
      <c r="J71" s="333"/>
      <c r="K71" s="333"/>
      <c r="L71" s="333"/>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row>
    <row r="72" spans="1:62" x14ac:dyDescent="0.25">
      <c r="A72" s="333"/>
      <c r="B72" s="333"/>
      <c r="C72" s="333"/>
      <c r="D72" s="333"/>
      <c r="E72" s="333"/>
      <c r="F72" s="333"/>
      <c r="G72" s="333"/>
      <c r="H72" s="333"/>
      <c r="I72" s="333"/>
      <c r="J72" s="333"/>
      <c r="K72" s="333"/>
      <c r="L72" s="333"/>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row>
    <row r="73" spans="1:62" x14ac:dyDescent="0.25">
      <c r="A73" s="521" t="s">
        <v>350</v>
      </c>
      <c r="B73" s="444"/>
      <c r="C73" s="333"/>
      <c r="D73" s="333"/>
      <c r="E73" s="333"/>
      <c r="F73" s="333"/>
      <c r="G73" s="333"/>
      <c r="H73" s="333"/>
      <c r="I73" s="333"/>
      <c r="J73" s="333"/>
      <c r="K73" s="333"/>
      <c r="L73" s="333"/>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row>
    <row r="74" spans="1:62" x14ac:dyDescent="0.25">
      <c r="A74" s="521" t="s">
        <v>351</v>
      </c>
      <c r="B74" s="521" t="s">
        <v>352</v>
      </c>
      <c r="C74" s="333"/>
      <c r="D74" s="333"/>
      <c r="E74" s="333"/>
      <c r="F74" s="333"/>
      <c r="G74" s="333"/>
      <c r="H74" s="333"/>
      <c r="I74" s="333"/>
      <c r="J74" s="333"/>
      <c r="K74" s="333"/>
      <c r="L74" s="333"/>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row>
    <row r="75" spans="1:62" x14ac:dyDescent="0.25">
      <c r="A75" s="521" t="s">
        <v>353</v>
      </c>
      <c r="B75" s="521" t="s">
        <v>354</v>
      </c>
      <c r="C75" s="333"/>
      <c r="D75" s="333"/>
      <c r="E75" s="333"/>
      <c r="F75" s="333"/>
      <c r="G75" s="333"/>
      <c r="H75" s="333"/>
      <c r="I75" s="333"/>
      <c r="J75" s="333"/>
      <c r="K75" s="333"/>
      <c r="L75" s="333"/>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row>
    <row r="76" spans="1:62" ht="55.2" x14ac:dyDescent="0.25">
      <c r="A76" s="521" t="s">
        <v>355</v>
      </c>
      <c r="B76" s="521" t="s">
        <v>316</v>
      </c>
      <c r="C76" s="333"/>
      <c r="D76" s="333"/>
      <c r="E76" s="333"/>
      <c r="F76" s="333"/>
      <c r="G76" s="333"/>
      <c r="H76" s="333"/>
      <c r="I76" s="333"/>
      <c r="J76" s="333"/>
      <c r="K76" s="333"/>
      <c r="L76" s="333"/>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row>
    <row r="77" spans="1:62" ht="55.2" x14ac:dyDescent="0.25">
      <c r="A77" s="521" t="s">
        <v>356</v>
      </c>
      <c r="B77" s="521" t="s">
        <v>357</v>
      </c>
      <c r="C77" s="333"/>
      <c r="D77" s="333"/>
      <c r="E77" s="333"/>
      <c r="F77" s="333"/>
      <c r="G77" s="333"/>
      <c r="H77" s="333"/>
      <c r="I77" s="333"/>
      <c r="J77" s="333"/>
      <c r="K77" s="333"/>
      <c r="L77" s="333"/>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row>
    <row r="78" spans="1:62" x14ac:dyDescent="0.25">
      <c r="A78" s="333"/>
      <c r="B78" s="333"/>
      <c r="C78" s="333"/>
      <c r="D78" s="333"/>
      <c r="E78" s="333"/>
      <c r="F78" s="333"/>
      <c r="G78" s="333"/>
      <c r="H78" s="333"/>
      <c r="I78" s="333"/>
      <c r="J78" s="333"/>
      <c r="K78" s="333"/>
      <c r="L78" s="333"/>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row>
    <row r="79" spans="1:62" x14ac:dyDescent="0.25">
      <c r="A79" s="333"/>
      <c r="B79" s="333"/>
      <c r="C79" s="333"/>
      <c r="D79" s="333"/>
      <c r="E79" s="333"/>
      <c r="F79" s="333"/>
      <c r="G79" s="333"/>
      <c r="H79" s="333"/>
      <c r="I79" s="333"/>
      <c r="J79" s="333"/>
      <c r="K79" s="333"/>
      <c r="L79" s="333"/>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row>
    <row r="80" spans="1:62" ht="14.4" x14ac:dyDescent="0.25">
      <c r="A80" s="759"/>
      <c r="B80" s="760"/>
      <c r="C80" s="760"/>
      <c r="D80" s="761"/>
      <c r="E80" s="333"/>
      <c r="F80" s="333"/>
      <c r="G80" s="333"/>
      <c r="H80" s="333"/>
      <c r="I80" s="333"/>
      <c r="J80" s="333"/>
      <c r="K80" s="333"/>
      <c r="L80" s="333"/>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row>
    <row r="81" spans="1:62" ht="14.4" x14ac:dyDescent="0.25">
      <c r="A81" s="451" t="s">
        <v>358</v>
      </c>
      <c r="B81" s="452" t="s">
        <v>359</v>
      </c>
      <c r="C81" s="452" t="s">
        <v>360</v>
      </c>
      <c r="D81" s="453" t="s">
        <v>336</v>
      </c>
      <c r="E81" s="333"/>
      <c r="F81" s="333"/>
      <c r="G81" s="333"/>
      <c r="H81" s="333"/>
      <c r="I81" s="333"/>
      <c r="J81" s="333"/>
      <c r="K81" s="333"/>
      <c r="L81" s="333"/>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row>
    <row r="82" spans="1:62" ht="14.4" x14ac:dyDescent="0.25">
      <c r="A82" s="611" t="s">
        <v>361</v>
      </c>
      <c r="B82" s="575">
        <v>7.0000000000000007E-2</v>
      </c>
      <c r="C82" s="575">
        <v>0.09</v>
      </c>
      <c r="D82" s="755" t="s">
        <v>333</v>
      </c>
      <c r="E82" s="333"/>
      <c r="F82" s="333"/>
      <c r="G82" s="333"/>
      <c r="H82" s="333"/>
      <c r="I82" s="333"/>
      <c r="J82" s="333"/>
      <c r="K82" s="333"/>
      <c r="L82" s="333"/>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row>
    <row r="83" spans="1:62" ht="14.4" x14ac:dyDescent="0.25">
      <c r="A83" s="611" t="s">
        <v>362</v>
      </c>
      <c r="B83" s="575">
        <v>0.15</v>
      </c>
      <c r="C83" s="575">
        <v>0.18</v>
      </c>
      <c r="D83" s="756"/>
      <c r="E83" s="333"/>
      <c r="F83" s="333"/>
      <c r="G83" s="333"/>
      <c r="H83" s="333"/>
      <c r="I83" s="333"/>
      <c r="J83" s="333"/>
      <c r="K83" s="333"/>
      <c r="L83" s="333"/>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row>
    <row r="84" spans="1:62" ht="14.4" x14ac:dyDescent="0.25">
      <c r="A84" s="611" t="s">
        <v>363</v>
      </c>
      <c r="B84" s="575">
        <v>0.22</v>
      </c>
      <c r="C84" s="575">
        <v>0.28000000000000003</v>
      </c>
      <c r="D84" s="756"/>
      <c r="E84" s="333"/>
      <c r="F84" s="333"/>
      <c r="G84" s="333"/>
      <c r="H84" s="333"/>
      <c r="I84" s="333"/>
      <c r="J84" s="333"/>
      <c r="K84" s="333"/>
      <c r="L84" s="333"/>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row>
    <row r="85" spans="1:62" ht="14.4" x14ac:dyDescent="0.25">
      <c r="A85" s="612" t="s">
        <v>364</v>
      </c>
      <c r="B85" s="613">
        <v>0.28999999999999998</v>
      </c>
      <c r="C85" s="613">
        <v>0.37</v>
      </c>
      <c r="D85" s="757"/>
      <c r="E85" s="333"/>
      <c r="F85" s="333"/>
      <c r="G85" s="333"/>
      <c r="H85" s="333"/>
      <c r="I85" s="333"/>
      <c r="J85" s="333"/>
      <c r="K85" s="333"/>
      <c r="L85" s="333"/>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row>
    <row r="86" spans="1:62" ht="14.4" x14ac:dyDescent="0.25">
      <c r="A86" s="334"/>
      <c r="B86" s="333"/>
      <c r="C86" s="333"/>
      <c r="D86" s="333"/>
      <c r="E86" s="333"/>
      <c r="F86" s="333"/>
      <c r="G86" s="333"/>
      <c r="H86" s="333"/>
      <c r="I86" s="333"/>
      <c r="J86" s="333"/>
      <c r="K86" s="333"/>
      <c r="L86" s="333"/>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row>
    <row r="87" spans="1:62" x14ac:dyDescent="0.25">
      <c r="A87" s="333"/>
      <c r="B87" s="333"/>
      <c r="C87" s="333"/>
      <c r="D87" s="333"/>
      <c r="E87" s="333"/>
      <c r="F87" s="333"/>
      <c r="G87" s="333"/>
      <c r="H87" s="333"/>
      <c r="I87" s="333"/>
      <c r="J87" s="333"/>
      <c r="K87" s="333"/>
      <c r="L87" s="333"/>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row>
    <row r="88" spans="1:62" x14ac:dyDescent="0.25">
      <c r="A88" s="333"/>
      <c r="B88" s="333"/>
      <c r="C88" s="333"/>
      <c r="D88" s="333"/>
      <c r="E88" s="333"/>
      <c r="F88" s="333"/>
      <c r="G88" s="333"/>
      <c r="H88" s="333"/>
      <c r="I88" s="333"/>
      <c r="J88" s="333"/>
      <c r="K88" s="333"/>
      <c r="L88" s="333"/>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row>
    <row r="89" spans="1:62" ht="14.4" x14ac:dyDescent="0.3">
      <c r="A89" s="106"/>
      <c r="B89" s="2"/>
      <c r="C89" s="65"/>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row>
    <row r="90" spans="1:62" ht="14.4" x14ac:dyDescent="0.3">
      <c r="A90" s="106"/>
      <c r="B90" s="2"/>
      <c r="C90" s="65"/>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row>
    <row r="91" spans="1:62" ht="14.4" x14ac:dyDescent="0.3">
      <c r="A91" s="106"/>
      <c r="B91" s="2"/>
      <c r="C91" s="65"/>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row>
    <row r="92" spans="1:62" ht="14.4" x14ac:dyDescent="0.3">
      <c r="A92" s="106"/>
      <c r="B92" s="2"/>
      <c r="C92" s="65"/>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row>
    <row r="93" spans="1:62" ht="14.4" x14ac:dyDescent="0.3">
      <c r="A93" s="106"/>
      <c r="B93" s="2"/>
      <c r="C93" s="65"/>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row>
    <row r="94" spans="1:62" ht="14.4" x14ac:dyDescent="0.3">
      <c r="A94" s="106"/>
      <c r="B94" s="2"/>
      <c r="C94" s="65"/>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row>
    <row r="95" spans="1:62" ht="14.4" x14ac:dyDescent="0.3">
      <c r="A95" s="106"/>
      <c r="B95" s="2"/>
      <c r="C95" s="65"/>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row>
    <row r="96" spans="1:62" ht="14.4" x14ac:dyDescent="0.3">
      <c r="A96" s="106"/>
      <c r="B96" s="2"/>
      <c r="C96" s="65"/>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row>
    <row r="97" spans="1:62" ht="14.4" x14ac:dyDescent="0.3">
      <c r="A97" s="106"/>
      <c r="B97" s="2"/>
      <c r="C97" s="65"/>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row>
    <row r="98" spans="1:62" ht="14.4" x14ac:dyDescent="0.3">
      <c r="A98" s="106"/>
      <c r="B98" s="2"/>
      <c r="C98" s="65"/>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row>
    <row r="99" spans="1:62" ht="14.4" x14ac:dyDescent="0.3">
      <c r="A99" s="106"/>
      <c r="B99" s="2"/>
      <c r="C99" s="65"/>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row>
    <row r="100" spans="1:62" ht="14.4" x14ac:dyDescent="0.3">
      <c r="A100" s="106"/>
      <c r="B100" s="2"/>
      <c r="C100" s="65"/>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row>
    <row r="101" spans="1:62" ht="14.4" x14ac:dyDescent="0.3">
      <c r="A101" s="106"/>
      <c r="B101" s="2"/>
      <c r="C101" s="65"/>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row>
    <row r="102" spans="1:62" ht="14.4" x14ac:dyDescent="0.3">
      <c r="A102" s="106"/>
      <c r="B102" s="2"/>
      <c r="C102" s="65"/>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row>
    <row r="103" spans="1:62" ht="14.4" x14ac:dyDescent="0.3">
      <c r="A103" s="106"/>
      <c r="B103" s="2"/>
      <c r="C103" s="65"/>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row>
    <row r="104" spans="1:62" ht="14.4" x14ac:dyDescent="0.3">
      <c r="A104" s="106"/>
      <c r="B104" s="2"/>
      <c r="C104" s="65"/>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row>
    <row r="105" spans="1:62" ht="14.4" x14ac:dyDescent="0.3">
      <c r="A105" s="106"/>
      <c r="B105" s="2"/>
      <c r="C105" s="65"/>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row>
    <row r="106" spans="1:62" ht="14.4" x14ac:dyDescent="0.3">
      <c r="A106" s="106"/>
      <c r="B106" s="2"/>
      <c r="C106" s="65"/>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row>
    <row r="107" spans="1:62" ht="14.4" x14ac:dyDescent="0.3">
      <c r="A107" s="106"/>
      <c r="B107" s="2"/>
      <c r="C107" s="65"/>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row>
    <row r="108" spans="1:62" ht="14.4" x14ac:dyDescent="0.3">
      <c r="A108" s="106"/>
      <c r="B108" s="2"/>
      <c r="C108" s="65"/>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row>
    <row r="109" spans="1:62" ht="14.4" x14ac:dyDescent="0.3">
      <c r="A109" s="106"/>
      <c r="B109" s="2"/>
      <c r="C109" s="65"/>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row>
    <row r="110" spans="1:62" ht="14.4" x14ac:dyDescent="0.3">
      <c r="A110" s="106"/>
      <c r="B110" s="2"/>
      <c r="C110" s="65"/>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row>
    <row r="111" spans="1:62" ht="14.4" x14ac:dyDescent="0.3">
      <c r="A111" s="106"/>
      <c r="B111" s="2"/>
      <c r="C111" s="65"/>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row>
    <row r="112" spans="1:62" ht="14.4" x14ac:dyDescent="0.3">
      <c r="A112" s="106"/>
      <c r="B112" s="2"/>
      <c r="C112" s="65"/>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row>
    <row r="113" spans="1:62" ht="14.4" x14ac:dyDescent="0.3">
      <c r="A113" s="106"/>
      <c r="B113" s="2"/>
      <c r="C113" s="65"/>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row>
    <row r="114" spans="1:62" ht="14.4" x14ac:dyDescent="0.3">
      <c r="A114" s="106"/>
      <c r="B114" s="2"/>
      <c r="C114" s="65"/>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row>
    <row r="115" spans="1:62" ht="14.4" x14ac:dyDescent="0.3">
      <c r="A115" s="106"/>
      <c r="B115" s="2"/>
      <c r="C115" s="65"/>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row>
    <row r="116" spans="1:62" ht="14.4" x14ac:dyDescent="0.3">
      <c r="A116" s="106"/>
      <c r="B116" s="2"/>
      <c r="C116" s="65"/>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row>
    <row r="117" spans="1:62" ht="14.4" x14ac:dyDescent="0.3">
      <c r="A117" s="106"/>
      <c r="B117" s="2"/>
      <c r="C117" s="65"/>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row>
    <row r="118" spans="1:62" ht="14.4" x14ac:dyDescent="0.3">
      <c r="A118" s="106"/>
      <c r="B118" s="2"/>
      <c r="C118" s="65"/>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row>
    <row r="119" spans="1:62" ht="14.4" x14ac:dyDescent="0.3">
      <c r="A119" s="106"/>
      <c r="B119" s="2"/>
      <c r="C119" s="65"/>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row>
    <row r="120" spans="1:62" ht="14.4" x14ac:dyDescent="0.3">
      <c r="A120" s="106"/>
      <c r="B120" s="2"/>
      <c r="C120" s="65"/>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row>
    <row r="121" spans="1:62" ht="14.4" x14ac:dyDescent="0.3">
      <c r="A121" s="106"/>
      <c r="B121" s="2"/>
      <c r="C121" s="65"/>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row>
    <row r="122" spans="1:62" ht="14.4" x14ac:dyDescent="0.3">
      <c r="A122" s="106"/>
      <c r="B122" s="2"/>
      <c r="C122" s="65"/>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row>
    <row r="123" spans="1:62" ht="14.4" x14ac:dyDescent="0.3">
      <c r="A123" s="106"/>
      <c r="B123" s="2"/>
      <c r="C123" s="65"/>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row>
    <row r="124" spans="1:62" ht="14.4" x14ac:dyDescent="0.3">
      <c r="A124" s="106"/>
      <c r="B124" s="2"/>
      <c r="C124" s="65"/>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row>
    <row r="125" spans="1:62" ht="14.4" x14ac:dyDescent="0.3">
      <c r="A125" s="106"/>
      <c r="B125" s="2"/>
      <c r="C125" s="65"/>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row>
    <row r="126" spans="1:62" ht="14.4" x14ac:dyDescent="0.3">
      <c r="A126" s="106"/>
      <c r="B126" s="2"/>
      <c r="C126" s="65"/>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row>
    <row r="127" spans="1:62" ht="14.4" x14ac:dyDescent="0.3">
      <c r="A127" s="106"/>
      <c r="B127" s="2"/>
      <c r="C127" s="65"/>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row>
    <row r="128" spans="1:62" ht="14.4" x14ac:dyDescent="0.3">
      <c r="A128" s="106"/>
      <c r="B128" s="2"/>
      <c r="C128" s="65"/>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row>
    <row r="129" spans="1:62" ht="14.4" x14ac:dyDescent="0.3">
      <c r="A129" s="106"/>
      <c r="B129" s="2"/>
      <c r="C129" s="65"/>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row>
    <row r="130" spans="1:62" ht="14.4" x14ac:dyDescent="0.3">
      <c r="A130" s="106"/>
      <c r="B130" s="2"/>
      <c r="C130" s="65"/>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row>
    <row r="131" spans="1:62" ht="14.4" x14ac:dyDescent="0.3">
      <c r="A131" s="106"/>
      <c r="B131" s="2"/>
      <c r="C131" s="65"/>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row>
    <row r="132" spans="1:62" ht="14.4" x14ac:dyDescent="0.3">
      <c r="A132" s="106"/>
      <c r="B132" s="2"/>
      <c r="C132" s="65"/>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row>
    <row r="133" spans="1:62" ht="14.4" x14ac:dyDescent="0.3">
      <c r="A133" s="106"/>
      <c r="B133" s="2"/>
      <c r="C133" s="65"/>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row>
    <row r="134" spans="1:62" ht="14.4" x14ac:dyDescent="0.3">
      <c r="A134" s="106"/>
      <c r="B134" s="2"/>
      <c r="C134" s="65"/>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row>
    <row r="135" spans="1:62" ht="14.4" x14ac:dyDescent="0.3">
      <c r="A135" s="106"/>
      <c r="B135" s="2"/>
      <c r="C135" s="65"/>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row>
    <row r="136" spans="1:62" ht="14.4" x14ac:dyDescent="0.3">
      <c r="A136" s="106"/>
      <c r="B136" s="2"/>
      <c r="C136" s="65"/>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row>
    <row r="137" spans="1:62" ht="14.4" x14ac:dyDescent="0.3">
      <c r="A137" s="2"/>
      <c r="B137" s="64"/>
      <c r="C137" s="2"/>
      <c r="D137" s="2"/>
      <c r="E137" s="106"/>
      <c r="F137" s="2"/>
      <c r="G137" s="65"/>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row>
    <row r="138" spans="1:62" ht="14.4" x14ac:dyDescent="0.3">
      <c r="A138" s="2"/>
      <c r="B138" s="64"/>
      <c r="C138" s="2"/>
      <c r="D138" s="2"/>
      <c r="E138" s="106"/>
      <c r="F138" s="2"/>
      <c r="G138" s="65"/>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row>
    <row r="139" spans="1:62" ht="14.4" x14ac:dyDescent="0.3">
      <c r="A139" s="2"/>
      <c r="B139" s="64"/>
      <c r="C139" s="2"/>
      <c r="D139" s="2"/>
      <c r="E139" s="106"/>
      <c r="F139" s="2"/>
      <c r="G139" s="65"/>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row>
    <row r="140" spans="1:62" x14ac:dyDescent="0.25">
      <c r="A140" s="2"/>
      <c r="B140" s="64"/>
      <c r="C140" s="2"/>
      <c r="D140" s="2"/>
      <c r="E140" s="2"/>
      <c r="F140" s="2"/>
      <c r="G140" s="65"/>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row>
    <row r="141" spans="1:62" x14ac:dyDescent="0.25">
      <c r="A141" s="2"/>
      <c r="B141" s="64"/>
      <c r="C141" s="2"/>
      <c r="D141" s="2"/>
      <c r="E141" s="2"/>
      <c r="F141" s="2"/>
      <c r="G141" s="65"/>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row>
    <row r="142" spans="1:62" s="46" customFormat="1" ht="17.399999999999999" x14ac:dyDescent="0.3">
      <c r="A142" s="18" t="s">
        <v>365</v>
      </c>
      <c r="B142" s="66"/>
      <c r="C142" s="66"/>
      <c r="D142" s="66"/>
      <c r="E142" s="67"/>
      <c r="F142" s="68"/>
      <c r="G142" s="69"/>
      <c r="H142" s="66"/>
      <c r="I142" s="66"/>
      <c r="J142" s="66"/>
      <c r="K142" s="66"/>
      <c r="L142" s="66"/>
      <c r="M142" s="66"/>
      <c r="N142" s="66"/>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c r="AW142" s="66"/>
      <c r="AX142" s="66"/>
      <c r="AY142" s="66"/>
      <c r="AZ142" s="66"/>
      <c r="BA142" s="66"/>
      <c r="BB142" s="66"/>
      <c r="BC142" s="66"/>
      <c r="BD142" s="66"/>
      <c r="BE142" s="66"/>
      <c r="BF142" s="66"/>
      <c r="BG142" s="66"/>
      <c r="BH142" s="66"/>
      <c r="BI142" s="66"/>
      <c r="BJ142" s="66"/>
    </row>
    <row r="143" spans="1:62" x14ac:dyDescent="0.25">
      <c r="A143" s="2"/>
      <c r="B143" s="64"/>
      <c r="C143" s="2"/>
      <c r="D143" s="2"/>
      <c r="E143" s="2"/>
      <c r="F143" s="2"/>
      <c r="G143" s="65"/>
      <c r="H143" s="65"/>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row>
    <row r="144" spans="1:62" x14ac:dyDescent="0.25">
      <c r="A144" s="2"/>
      <c r="B144" s="64"/>
      <c r="C144" s="2"/>
      <c r="D144" s="2"/>
      <c r="E144" s="2"/>
      <c r="F144" s="2"/>
      <c r="G144" s="65"/>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row>
    <row r="145" spans="1:62" ht="27.6" customHeight="1" x14ac:dyDescent="0.25">
      <c r="A145" s="739" t="s">
        <v>366</v>
      </c>
      <c r="B145" s="739"/>
      <c r="C145" s="739"/>
      <c r="D145" s="2"/>
      <c r="E145" s="2"/>
      <c r="F145" s="65"/>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row>
    <row r="146" spans="1:62" ht="33" customHeight="1" x14ac:dyDescent="0.25">
      <c r="A146" s="85" t="s">
        <v>367</v>
      </c>
      <c r="B146" s="83" t="s">
        <v>368</v>
      </c>
      <c r="C146" s="84" t="s">
        <v>369</v>
      </c>
      <c r="D146" s="2"/>
      <c r="E146" s="2"/>
      <c r="F146" s="65"/>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row>
    <row r="147" spans="1:62" x14ac:dyDescent="0.25">
      <c r="A147" s="80" t="s">
        <v>370</v>
      </c>
      <c r="B147" s="81">
        <v>150093118.84930971</v>
      </c>
      <c r="C147" s="82">
        <v>0.30478551720547664</v>
      </c>
      <c r="D147" s="2"/>
      <c r="E147" s="2"/>
      <c r="F147" s="65"/>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row>
    <row r="148" spans="1:62" x14ac:dyDescent="0.25">
      <c r="A148" s="80" t="s">
        <v>371</v>
      </c>
      <c r="B148" s="81">
        <v>200520458.73471507</v>
      </c>
      <c r="C148" s="82">
        <v>0.40718543391118722</v>
      </c>
      <c r="D148" s="2"/>
      <c r="E148" s="2"/>
      <c r="F148" s="65"/>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row>
    <row r="149" spans="1:62" x14ac:dyDescent="0.25">
      <c r="A149" s="80" t="s">
        <v>372</v>
      </c>
      <c r="B149" s="81">
        <v>141841314.05743647</v>
      </c>
      <c r="C149" s="82">
        <v>0.28802904888333619</v>
      </c>
      <c r="D149" s="2"/>
      <c r="E149" s="2"/>
      <c r="F149" s="65"/>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row>
    <row r="150" spans="1:62" x14ac:dyDescent="0.25">
      <c r="A150" s="80" t="s">
        <v>373</v>
      </c>
      <c r="B150" s="81">
        <v>492454891.64146125</v>
      </c>
      <c r="C150" s="82">
        <v>1</v>
      </c>
      <c r="D150" s="2"/>
      <c r="E150" s="2"/>
      <c r="F150" s="65"/>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row>
    <row r="151" spans="1:62" x14ac:dyDescent="0.25">
      <c r="A151" s="64"/>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row>
    <row r="152" spans="1:62" x14ac:dyDescent="0.25">
      <c r="A152" s="2"/>
      <c r="B152" s="64"/>
      <c r="C152" s="2"/>
      <c r="D152" s="2"/>
      <c r="E152" s="2"/>
      <c r="F152" s="2"/>
      <c r="G152" s="65"/>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row>
    <row r="153" spans="1:62" x14ac:dyDescent="0.25">
      <c r="A153" s="2"/>
      <c r="B153" s="64"/>
      <c r="C153" s="2"/>
      <c r="D153" s="2"/>
      <c r="E153" s="2"/>
      <c r="F153" s="2"/>
      <c r="G153" s="65"/>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row>
    <row r="154" spans="1:62" x14ac:dyDescent="0.25">
      <c r="A154" s="2"/>
      <c r="B154" s="64"/>
      <c r="C154" s="2"/>
      <c r="D154" s="2"/>
      <c r="E154" s="2"/>
      <c r="F154" s="2"/>
      <c r="G154" s="65"/>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row>
    <row r="155" spans="1:62" x14ac:dyDescent="0.25">
      <c r="A155" s="2"/>
      <c r="B155" s="64"/>
      <c r="C155" s="2"/>
      <c r="D155" s="2"/>
      <c r="E155" s="2"/>
      <c r="F155" s="2"/>
      <c r="G155" s="65"/>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row>
    <row r="156" spans="1:62" x14ac:dyDescent="0.25">
      <c r="A156" s="2"/>
      <c r="B156" s="64"/>
      <c r="C156" s="2"/>
      <c r="D156" s="2"/>
      <c r="E156" s="2"/>
      <c r="F156" s="2"/>
      <c r="G156" s="65"/>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row>
    <row r="157" spans="1:62" x14ac:dyDescent="0.25">
      <c r="A157" s="2"/>
      <c r="B157" s="64"/>
      <c r="C157" s="2"/>
      <c r="D157" s="2"/>
      <c r="E157" s="2"/>
      <c r="F157" s="2"/>
      <c r="G157" s="65"/>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row>
    <row r="158" spans="1:62" x14ac:dyDescent="0.25">
      <c r="A158" s="2"/>
      <c r="B158" s="64"/>
      <c r="C158" s="2"/>
      <c r="D158" s="2"/>
      <c r="E158" s="2"/>
      <c r="F158" s="2"/>
      <c r="G158" s="65"/>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row>
    <row r="159" spans="1:62" x14ac:dyDescent="0.25">
      <c r="A159" s="2"/>
      <c r="B159" s="64"/>
      <c r="C159" s="2"/>
      <c r="D159" s="2"/>
      <c r="E159" s="2"/>
      <c r="F159" s="2"/>
      <c r="G159" s="65"/>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row>
    <row r="160" spans="1:62" x14ac:dyDescent="0.25">
      <c r="A160" s="2"/>
      <c r="B160" s="64"/>
      <c r="C160" s="2"/>
      <c r="D160" s="2"/>
      <c r="E160" s="2"/>
      <c r="F160" s="2"/>
      <c r="G160" s="65"/>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row>
    <row r="161" spans="1:62" x14ac:dyDescent="0.25">
      <c r="A161" s="2"/>
      <c r="B161" s="64"/>
      <c r="C161" s="2"/>
      <c r="D161" s="2"/>
      <c r="E161" s="2"/>
      <c r="F161" s="2"/>
      <c r="G161" s="65"/>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row>
    <row r="162" spans="1:62" x14ac:dyDescent="0.25">
      <c r="A162" s="2"/>
      <c r="B162" s="64"/>
      <c r="C162" s="2"/>
      <c r="D162" s="2"/>
      <c r="E162" s="2"/>
      <c r="F162" s="2"/>
      <c r="G162" s="65"/>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row>
    <row r="163" spans="1:62" x14ac:dyDescent="0.25">
      <c r="A163" s="2"/>
      <c r="B163" s="64"/>
      <c r="C163" s="2"/>
      <c r="D163" s="2"/>
      <c r="E163" s="2"/>
      <c r="F163" s="2"/>
      <c r="G163" s="65"/>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row>
    <row r="164" spans="1:62" x14ac:dyDescent="0.25">
      <c r="A164" s="2"/>
      <c r="B164" s="64"/>
      <c r="C164" s="2"/>
      <c r="D164" s="2"/>
      <c r="E164" s="2"/>
      <c r="F164" s="2"/>
      <c r="G164" s="65"/>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row>
    <row r="165" spans="1:62" x14ac:dyDescent="0.25">
      <c r="A165" s="2"/>
      <c r="B165" s="64"/>
      <c r="C165" s="2"/>
      <c r="D165" s="2"/>
      <c r="E165" s="2"/>
      <c r="F165" s="2"/>
      <c r="G165" s="65"/>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row>
    <row r="166" spans="1:62" x14ac:dyDescent="0.25">
      <c r="A166" s="2"/>
      <c r="B166" s="64"/>
      <c r="C166" s="2"/>
      <c r="D166" s="2"/>
      <c r="E166" s="2"/>
      <c r="F166" s="2"/>
      <c r="G166" s="65"/>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row>
    <row r="167" spans="1:62" x14ac:dyDescent="0.25">
      <c r="A167" s="2"/>
      <c r="B167" s="64"/>
      <c r="C167" s="2"/>
      <c r="D167" s="2"/>
      <c r="E167" s="2"/>
      <c r="F167" s="2"/>
      <c r="G167" s="65"/>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row>
    <row r="168" spans="1:62" x14ac:dyDescent="0.25">
      <c r="A168" s="2"/>
      <c r="B168" s="64"/>
      <c r="C168" s="2"/>
      <c r="D168" s="2"/>
      <c r="E168" s="2"/>
      <c r="F168" s="2"/>
      <c r="G168" s="65"/>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row>
    <row r="169" spans="1:62" x14ac:dyDescent="0.25">
      <c r="A169" s="2"/>
      <c r="B169" s="64"/>
      <c r="C169" s="2"/>
      <c r="D169" s="2"/>
      <c r="E169" s="2"/>
      <c r="F169" s="2"/>
      <c r="G169" s="65"/>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row>
    <row r="170" spans="1:62" x14ac:dyDescent="0.25">
      <c r="A170" s="2"/>
      <c r="B170" s="64"/>
      <c r="C170" s="2"/>
      <c r="D170" s="2"/>
      <c r="E170" s="2"/>
      <c r="F170" s="2"/>
      <c r="G170" s="65"/>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row>
    <row r="171" spans="1:62" x14ac:dyDescent="0.25">
      <c r="A171" s="2"/>
      <c r="B171" s="64"/>
      <c r="C171" s="2"/>
      <c r="D171" s="2"/>
      <c r="E171" s="2"/>
      <c r="F171" s="2"/>
      <c r="G171" s="65"/>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row>
    <row r="172" spans="1:62" x14ac:dyDescent="0.25">
      <c r="A172" s="2"/>
      <c r="B172" s="64"/>
      <c r="C172" s="2"/>
      <c r="D172" s="2"/>
      <c r="E172" s="2"/>
      <c r="F172" s="2"/>
      <c r="G172" s="65"/>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row>
    <row r="173" spans="1:62" x14ac:dyDescent="0.25">
      <c r="A173" s="2"/>
      <c r="B173" s="64"/>
      <c r="C173" s="2"/>
      <c r="D173" s="2"/>
      <c r="E173" s="2"/>
      <c r="F173" s="2"/>
      <c r="G173" s="65"/>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row>
    <row r="174" spans="1:62" x14ac:dyDescent="0.25">
      <c r="A174" s="2"/>
      <c r="B174" s="64"/>
      <c r="C174" s="2"/>
      <c r="D174" s="2"/>
      <c r="E174" s="2"/>
      <c r="F174" s="2"/>
      <c r="G174" s="65"/>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row>
  </sheetData>
  <mergeCells count="57">
    <mergeCell ref="C37:C41"/>
    <mergeCell ref="D37:D41"/>
    <mergeCell ref="C35:L35"/>
    <mergeCell ref="A80:D80"/>
    <mergeCell ref="A145:C145"/>
    <mergeCell ref="I36:X36"/>
    <mergeCell ref="AQ39:AT39"/>
    <mergeCell ref="AU39:AX39"/>
    <mergeCell ref="AG39:AK39"/>
    <mergeCell ref="AB39:AF39"/>
    <mergeCell ref="AL39:AP39"/>
    <mergeCell ref="I41:X41"/>
    <mergeCell ref="E37:E41"/>
    <mergeCell ref="I38:X38"/>
    <mergeCell ref="I39:X39"/>
    <mergeCell ref="I40:X40"/>
    <mergeCell ref="I37:X37"/>
    <mergeCell ref="A49:E49"/>
    <mergeCell ref="A65:E65"/>
    <mergeCell ref="D82:D85"/>
    <mergeCell ref="A1:X1"/>
    <mergeCell ref="C18:C22"/>
    <mergeCell ref="E18:E22"/>
    <mergeCell ref="A13:A22"/>
    <mergeCell ref="E3:E7"/>
    <mergeCell ref="B3:B7"/>
    <mergeCell ref="A3:A7"/>
    <mergeCell ref="C8:C12"/>
    <mergeCell ref="H8:H9"/>
    <mergeCell ref="D18:D19"/>
    <mergeCell ref="D3:D7"/>
    <mergeCell ref="C3:C7"/>
    <mergeCell ref="H13:H14"/>
    <mergeCell ref="H18:H19"/>
    <mergeCell ref="D20:D22"/>
    <mergeCell ref="A8:A12"/>
    <mergeCell ref="C13:C17"/>
    <mergeCell ref="B8:B12"/>
    <mergeCell ref="E8:E12"/>
    <mergeCell ref="E13:E17"/>
    <mergeCell ref="D8:D12"/>
    <mergeCell ref="D15:D17"/>
    <mergeCell ref="D13:D14"/>
    <mergeCell ref="B13:B22"/>
    <mergeCell ref="H28:H29"/>
    <mergeCell ref="D30:D32"/>
    <mergeCell ref="B28:B32"/>
    <mergeCell ref="A23:A32"/>
    <mergeCell ref="C28:C32"/>
    <mergeCell ref="D28:D29"/>
    <mergeCell ref="E28:E32"/>
    <mergeCell ref="B23:B27"/>
    <mergeCell ref="C23:C27"/>
    <mergeCell ref="D23:D24"/>
    <mergeCell ref="E23:E27"/>
    <mergeCell ref="H23:H24"/>
    <mergeCell ref="D25:D27"/>
  </mergeCells>
  <phoneticPr fontId="5" type="noConversion"/>
  <dataValidations disablePrompts="1" count="1">
    <dataValidation type="list" allowBlank="1" showInputMessage="1" showErrorMessage="1" sqref="B58" xr:uid="{9E80ADE9-669E-4825-8EFB-7D538B61F8C4}">
      <formula1>$B$74:$B$77</formula1>
    </dataValidation>
  </dataValidations>
  <hyperlinks>
    <hyperlink ref="H37" r:id="rId1" xr:uid="{9153F47E-FCBB-42B5-A7E2-9AE58445F5C5}"/>
    <hyperlink ref="H38:H39" r:id="rId2" display="2022 CASE report (Table 38)" xr:uid="{AB6FEC5D-A312-48E5-9443-3858096808B6}"/>
    <hyperlink ref="E43" r:id="rId3" display="https://2050partners.sharepoint.com/:w:/r/sites/CalBEMCollaborativeEfforts/_layouts/15/Doc.aspx?sourcedoc=%7B3BEF8F74-7FAC-44F2-A70C-D76617660066%7D&amp;file=Infiltration_rate_report_14May2025-Short-Version.docx&amp;action=default&amp;mobileredirect=true&amp;wdLOR=c37D90580-1DC7-4CAF-9995-F2723497E773" xr:uid="{5E37F7AB-A615-400D-870E-870102B311F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P48"/>
  <sheetViews>
    <sheetView zoomScale="85" zoomScaleNormal="85" workbookViewId="0">
      <selection sqref="A1:F1"/>
    </sheetView>
  </sheetViews>
  <sheetFormatPr defaultColWidth="8.6640625" defaultRowHeight="13.2" x14ac:dyDescent="0.25"/>
  <cols>
    <col min="1" max="1" width="26" style="3" customWidth="1"/>
    <col min="2" max="2" width="30.44140625" style="3" customWidth="1"/>
    <col min="3" max="3" width="36" style="3" customWidth="1"/>
    <col min="4" max="4" width="35.33203125" style="3" customWidth="1"/>
    <col min="5" max="5" width="37" style="3" customWidth="1"/>
    <col min="6" max="6" width="42" style="3" customWidth="1"/>
    <col min="7" max="7" width="25.88671875" style="3" customWidth="1"/>
    <col min="8" max="8" width="31.5546875" style="3" customWidth="1"/>
    <col min="9" max="11" width="12.6640625" style="3" customWidth="1"/>
    <col min="12" max="19" width="15.33203125" style="3" customWidth="1"/>
    <col min="20" max="20" width="14.6640625" style="3" customWidth="1"/>
    <col min="21" max="21" width="13.5546875" style="3" customWidth="1"/>
    <col min="22" max="22" width="15.6640625" style="3" customWidth="1"/>
    <col min="23" max="29" width="11" style="3" customWidth="1"/>
    <col min="30" max="38" width="6.5546875" style="3" customWidth="1"/>
    <col min="39" max="39" width="8.6640625" style="3" customWidth="1"/>
    <col min="40" max="16384" width="8.6640625" style="3"/>
  </cols>
  <sheetData>
    <row r="1" spans="1:9" ht="27" customHeight="1" x14ac:dyDescent="0.25">
      <c r="A1" s="773" t="str">
        <f>"HVAC system - "&amp;Prototype!A2</f>
        <v>HVAC system - RetailGrocery</v>
      </c>
      <c r="B1" s="773"/>
      <c r="C1" s="773"/>
      <c r="D1" s="773"/>
      <c r="E1" s="773"/>
      <c r="F1" s="773"/>
    </row>
    <row r="2" spans="1:9" ht="19.2" customHeight="1" x14ac:dyDescent="0.25">
      <c r="A2" s="561" t="s">
        <v>216</v>
      </c>
      <c r="B2" s="561" t="s">
        <v>374</v>
      </c>
      <c r="C2" s="561" t="s">
        <v>375</v>
      </c>
      <c r="D2" s="561" t="s">
        <v>376</v>
      </c>
      <c r="E2" s="614" t="s">
        <v>377</v>
      </c>
      <c r="F2" s="561" t="s">
        <v>336</v>
      </c>
    </row>
    <row r="3" spans="1:9" ht="27.6" customHeight="1" x14ac:dyDescent="0.25">
      <c r="A3" s="551" t="s">
        <v>378</v>
      </c>
      <c r="B3" s="551" t="s">
        <v>379</v>
      </c>
      <c r="C3" s="551" t="s">
        <v>380</v>
      </c>
      <c r="D3" s="551" t="s">
        <v>381</v>
      </c>
      <c r="E3" s="615" t="s">
        <v>382</v>
      </c>
      <c r="F3" s="520" t="s">
        <v>383</v>
      </c>
      <c r="H3" s="111"/>
      <c r="I3" s="111"/>
    </row>
    <row r="4" spans="1:9" ht="26.25" customHeight="1" x14ac:dyDescent="0.25">
      <c r="A4" s="551" t="s">
        <v>384</v>
      </c>
      <c r="B4" s="551" t="s">
        <v>385</v>
      </c>
      <c r="C4" s="551" t="s">
        <v>385</v>
      </c>
      <c r="D4" s="520" t="s">
        <v>386</v>
      </c>
      <c r="E4" s="615" t="s">
        <v>387</v>
      </c>
      <c r="F4" s="551" t="s">
        <v>388</v>
      </c>
      <c r="H4" s="89"/>
      <c r="I4" s="89"/>
    </row>
    <row r="5" spans="1:9" ht="15.6" customHeight="1" x14ac:dyDescent="0.25">
      <c r="A5" s="567"/>
      <c r="B5" s="567"/>
      <c r="C5" s="567"/>
      <c r="D5" s="111"/>
      <c r="E5" s="567"/>
    </row>
    <row r="6" spans="1:9" x14ac:dyDescent="0.25">
      <c r="A6" s="111"/>
      <c r="B6" s="567"/>
      <c r="C6" s="567"/>
      <c r="D6" s="111"/>
      <c r="E6" s="567"/>
    </row>
    <row r="7" spans="1:9" x14ac:dyDescent="0.25">
      <c r="A7" s="567"/>
      <c r="B7" s="567"/>
      <c r="C7" s="567"/>
      <c r="D7" s="567"/>
      <c r="E7" s="567"/>
    </row>
    <row r="8" spans="1:9" ht="41.4" customHeight="1" x14ac:dyDescent="0.25">
      <c r="A8" s="777" t="s">
        <v>389</v>
      </c>
      <c r="B8" s="778"/>
      <c r="C8" s="778"/>
      <c r="D8" s="778"/>
      <c r="E8" s="778"/>
    </row>
    <row r="9" spans="1:9" ht="16.2" customHeight="1" x14ac:dyDescent="0.25">
      <c r="A9" s="57" t="s">
        <v>216</v>
      </c>
      <c r="B9" s="54" t="s">
        <v>390</v>
      </c>
      <c r="C9" s="381" t="s">
        <v>374</v>
      </c>
      <c r="D9" s="381" t="s">
        <v>375</v>
      </c>
      <c r="E9" s="56" t="s">
        <v>336</v>
      </c>
    </row>
    <row r="10" spans="1:9" ht="25.2" customHeight="1" x14ac:dyDescent="0.25">
      <c r="A10" s="550" t="s">
        <v>238</v>
      </c>
      <c r="B10" s="779">
        <v>2008</v>
      </c>
      <c r="C10" s="780" t="s">
        <v>391</v>
      </c>
      <c r="D10" s="763" t="s">
        <v>392</v>
      </c>
      <c r="E10" s="763" t="s">
        <v>393</v>
      </c>
    </row>
    <row r="11" spans="1:9" ht="25.2" customHeight="1" x14ac:dyDescent="0.25">
      <c r="A11" s="550" t="s">
        <v>240</v>
      </c>
      <c r="B11" s="779"/>
      <c r="C11" s="780"/>
      <c r="D11" s="779"/>
      <c r="E11" s="779"/>
    </row>
    <row r="12" spans="1:9" ht="25.2" customHeight="1" x14ac:dyDescent="0.25">
      <c r="A12" s="550" t="s">
        <v>242</v>
      </c>
      <c r="B12" s="779"/>
      <c r="C12" s="780"/>
      <c r="D12" s="779"/>
      <c r="E12" s="779"/>
    </row>
    <row r="13" spans="1:9" ht="60.6" customHeight="1" x14ac:dyDescent="0.25">
      <c r="A13" s="550" t="s">
        <v>244</v>
      </c>
      <c r="B13" s="550">
        <v>2013</v>
      </c>
      <c r="C13" s="550" t="s">
        <v>394</v>
      </c>
      <c r="D13" s="616" t="s">
        <v>395</v>
      </c>
      <c r="E13" s="616" t="s">
        <v>396</v>
      </c>
    </row>
    <row r="14" spans="1:9" ht="76.5" customHeight="1" x14ac:dyDescent="0.25">
      <c r="A14" s="550" t="s">
        <v>384</v>
      </c>
      <c r="B14" s="550">
        <v>2025</v>
      </c>
      <c r="C14" s="616" t="s">
        <v>397</v>
      </c>
      <c r="D14" s="616" t="s">
        <v>398</v>
      </c>
      <c r="E14" s="616" t="s">
        <v>399</v>
      </c>
    </row>
    <row r="15" spans="1:9" x14ac:dyDescent="0.25">
      <c r="B15" s="545"/>
      <c r="C15" s="545"/>
      <c r="D15" s="26"/>
      <c r="E15" s="545"/>
    </row>
    <row r="16" spans="1:9" x14ac:dyDescent="0.25">
      <c r="B16" s="545"/>
      <c r="C16" s="545"/>
      <c r="D16" s="26"/>
      <c r="E16" s="545"/>
    </row>
    <row r="17" spans="1:16" x14ac:dyDescent="0.25">
      <c r="A17" s="27"/>
      <c r="B17" s="545"/>
      <c r="C17" s="545"/>
      <c r="D17" s="26"/>
      <c r="E17" s="545"/>
    </row>
    <row r="18" spans="1:16" ht="15.6" customHeight="1" x14ac:dyDescent="0.25">
      <c r="A18" s="774" t="s">
        <v>400</v>
      </c>
      <c r="B18" s="775"/>
      <c r="C18" s="775"/>
      <c r="D18" s="775"/>
      <c r="E18" s="775"/>
      <c r="F18" s="775"/>
      <c r="G18" s="775"/>
      <c r="H18" s="776"/>
    </row>
    <row r="19" spans="1:16" ht="27.6" customHeight="1" x14ac:dyDescent="0.25">
      <c r="A19" s="564" t="s">
        <v>216</v>
      </c>
      <c r="B19" s="120" t="s">
        <v>401</v>
      </c>
      <c r="C19" s="120" t="s">
        <v>402</v>
      </c>
      <c r="D19" s="519" t="s">
        <v>403</v>
      </c>
      <c r="E19" s="519" t="s">
        <v>404</v>
      </c>
      <c r="F19" s="519" t="s">
        <v>405</v>
      </c>
      <c r="G19" s="519" t="s">
        <v>406</v>
      </c>
      <c r="H19" s="86" t="s">
        <v>407</v>
      </c>
    </row>
    <row r="20" spans="1:16" ht="60.45" customHeight="1" x14ac:dyDescent="0.25">
      <c r="A20" s="765" t="s">
        <v>246</v>
      </c>
      <c r="B20" s="766" t="s">
        <v>408</v>
      </c>
      <c r="C20" s="616" t="s">
        <v>409</v>
      </c>
      <c r="D20" s="616">
        <v>2.5</v>
      </c>
      <c r="E20" s="763">
        <v>0.65</v>
      </c>
      <c r="F20" s="763" t="s">
        <v>410</v>
      </c>
      <c r="G20" s="767"/>
      <c r="H20" s="763" t="s">
        <v>411</v>
      </c>
      <c r="I20" s="567"/>
      <c r="J20" s="567"/>
      <c r="K20" s="567"/>
      <c r="L20" s="567"/>
      <c r="M20" s="567"/>
      <c r="N20" s="567"/>
      <c r="O20" s="567"/>
      <c r="P20" s="567"/>
    </row>
    <row r="21" spans="1:16" ht="60.45" customHeight="1" x14ac:dyDescent="0.25">
      <c r="A21" s="765"/>
      <c r="B21" s="766"/>
      <c r="C21" s="616" t="s">
        <v>412</v>
      </c>
      <c r="D21" s="616">
        <v>4.09</v>
      </c>
      <c r="E21" s="763"/>
      <c r="F21" s="763"/>
      <c r="G21" s="767"/>
      <c r="H21" s="763"/>
      <c r="I21" s="567"/>
      <c r="J21" s="567"/>
      <c r="K21" s="567"/>
      <c r="L21" s="567"/>
      <c r="M21" s="567"/>
      <c r="N21" s="567"/>
      <c r="O21" s="567"/>
      <c r="P21" s="567"/>
    </row>
    <row r="22" spans="1:16" ht="13.2" customHeight="1" x14ac:dyDescent="0.25">
      <c r="A22" s="469" t="s">
        <v>413</v>
      </c>
      <c r="B22" s="183"/>
      <c r="C22" s="466"/>
      <c r="D22" s="466"/>
      <c r="E22" s="617"/>
      <c r="F22" s="87"/>
      <c r="G22" s="87"/>
      <c r="H22" s="88"/>
    </row>
    <row r="23" spans="1:16" ht="13.2" customHeight="1" x14ac:dyDescent="0.25">
      <c r="A23" s="469" t="s">
        <v>414</v>
      </c>
      <c r="B23" s="61"/>
      <c r="C23" s="167"/>
      <c r="D23" s="168"/>
      <c r="E23" s="61"/>
      <c r="F23" s="87"/>
      <c r="G23" s="87"/>
      <c r="H23" s="88"/>
    </row>
    <row r="24" spans="1:16" ht="34.950000000000003" customHeight="1" x14ac:dyDescent="0.25">
      <c r="A24" s="771" t="s">
        <v>384</v>
      </c>
      <c r="B24" s="764" t="s">
        <v>415</v>
      </c>
      <c r="C24" s="618" t="s">
        <v>416</v>
      </c>
      <c r="D24" s="619" t="s">
        <v>417</v>
      </c>
      <c r="E24" s="763">
        <v>0.65</v>
      </c>
      <c r="F24" s="763" t="s">
        <v>418</v>
      </c>
      <c r="G24" s="620">
        <v>0.74399999999999999</v>
      </c>
      <c r="H24" s="769" t="s">
        <v>419</v>
      </c>
      <c r="I24" s="571"/>
    </row>
    <row r="25" spans="1:16" ht="34.950000000000003" customHeight="1" x14ac:dyDescent="0.25">
      <c r="A25" s="772"/>
      <c r="B25" s="764"/>
      <c r="C25" s="622" t="s">
        <v>420</v>
      </c>
      <c r="D25" s="623" t="s">
        <v>417</v>
      </c>
      <c r="E25" s="768"/>
      <c r="F25" s="768"/>
      <c r="G25" s="624">
        <v>0.72</v>
      </c>
      <c r="H25" s="770"/>
      <c r="I25" s="571"/>
    </row>
    <row r="26" spans="1:16" ht="12.75" customHeight="1" x14ac:dyDescent="0.25">
      <c r="A26" s="625"/>
      <c r="B26" s="522"/>
      <c r="C26" s="626"/>
      <c r="D26" s="627"/>
      <c r="E26" s="626"/>
      <c r="F26" s="626"/>
      <c r="G26" s="628"/>
      <c r="H26" s="626"/>
      <c r="I26" s="571"/>
    </row>
    <row r="27" spans="1:16" ht="31.5" customHeight="1" x14ac:dyDescent="0.25">
      <c r="A27" s="762" t="s">
        <v>421</v>
      </c>
      <c r="B27" s="762"/>
      <c r="C27" s="762"/>
      <c r="D27" s="762"/>
      <c r="E27" s="762"/>
      <c r="F27" s="762"/>
      <c r="G27" s="762"/>
      <c r="H27" s="762"/>
      <c r="I27" s="571"/>
    </row>
    <row r="28" spans="1:16" ht="57" customHeight="1" x14ac:dyDescent="0.25">
      <c r="A28" s="762" t="s">
        <v>422</v>
      </c>
      <c r="B28" s="762"/>
      <c r="C28" s="762"/>
      <c r="D28" s="762"/>
      <c r="E28" s="762"/>
      <c r="F28" s="762"/>
      <c r="G28" s="762"/>
      <c r="H28" s="762"/>
      <c r="I28" s="571"/>
    </row>
    <row r="29" spans="1:16" ht="13.35" customHeight="1" x14ac:dyDescent="0.25">
      <c r="A29" s="629"/>
      <c r="B29" s="629"/>
      <c r="C29" s="629"/>
      <c r="D29" s="629"/>
      <c r="E29" s="629"/>
      <c r="F29" s="629"/>
      <c r="G29" s="629"/>
      <c r="H29" s="629"/>
      <c r="I29" s="569"/>
    </row>
    <row r="30" spans="1:16" ht="13.35" customHeight="1" x14ac:dyDescent="0.25">
      <c r="A30" s="629"/>
      <c r="B30" s="629"/>
      <c r="C30" s="629"/>
      <c r="D30" s="629"/>
      <c r="E30" s="629"/>
      <c r="F30" s="629"/>
      <c r="G30" s="629"/>
      <c r="H30" s="629"/>
      <c r="I30" s="569"/>
    </row>
    <row r="31" spans="1:16" ht="13.35" customHeight="1" x14ac:dyDescent="0.25">
      <c r="A31" s="629"/>
      <c r="B31" s="629"/>
      <c r="C31" s="629"/>
      <c r="D31" s="629"/>
      <c r="E31" s="629"/>
      <c r="F31" s="629"/>
      <c r="G31" s="629"/>
      <c r="H31" s="629"/>
      <c r="I31" s="569"/>
    </row>
    <row r="32" spans="1:16" ht="13.2" customHeight="1" x14ac:dyDescent="0.25">
      <c r="A32" s="545"/>
    </row>
    <row r="33" spans="1:5" ht="12.75" customHeight="1" x14ac:dyDescent="0.25">
      <c r="A33" s="545"/>
    </row>
    <row r="34" spans="1:5" ht="12.75" customHeight="1" x14ac:dyDescent="0.25">
      <c r="A34" s="545"/>
    </row>
    <row r="35" spans="1:5" ht="12.75" customHeight="1" x14ac:dyDescent="0.25">
      <c r="A35" s="545"/>
    </row>
    <row r="36" spans="1:5" ht="12.75" customHeight="1" x14ac:dyDescent="0.25">
      <c r="A36" s="545"/>
    </row>
    <row r="37" spans="1:5" ht="12.75" customHeight="1" x14ac:dyDescent="0.25">
      <c r="A37" s="545"/>
    </row>
    <row r="38" spans="1:5" ht="13.2" customHeight="1" x14ac:dyDescent="0.25">
      <c r="E38" s="7"/>
    </row>
    <row r="39" spans="1:5" ht="13.2" customHeight="1" x14ac:dyDescent="0.25"/>
    <row r="40" spans="1:5" ht="12.75" customHeight="1" x14ac:dyDescent="0.25"/>
    <row r="41" spans="1:5" ht="12.75" customHeight="1" x14ac:dyDescent="0.25"/>
    <row r="42" spans="1:5" ht="13.2" customHeight="1" x14ac:dyDescent="0.25"/>
    <row r="43" spans="1:5" ht="12.75" customHeight="1" x14ac:dyDescent="0.25"/>
    <row r="44" spans="1:5" ht="13.2" customHeight="1" x14ac:dyDescent="0.25"/>
    <row r="45" spans="1:5" ht="13.2" customHeight="1" x14ac:dyDescent="0.25"/>
    <row r="46" spans="1:5" ht="13.2" customHeight="1" x14ac:dyDescent="0.25"/>
    <row r="47" spans="1:5" ht="13.2" customHeight="1" x14ac:dyDescent="0.25"/>
    <row r="48" spans="1:5" ht="13.2" customHeight="1" x14ac:dyDescent="0.25">
      <c r="A48" s="571"/>
    </row>
  </sheetData>
  <mergeCells count="20">
    <mergeCell ref="A1:F1"/>
    <mergeCell ref="A18:H18"/>
    <mergeCell ref="A8:E8"/>
    <mergeCell ref="E10:E12"/>
    <mergeCell ref="C10:C12"/>
    <mergeCell ref="D10:D12"/>
    <mergeCell ref="B10:B12"/>
    <mergeCell ref="A28:H28"/>
    <mergeCell ref="H20:H21"/>
    <mergeCell ref="B24:B25"/>
    <mergeCell ref="A20:A21"/>
    <mergeCell ref="B20:B21"/>
    <mergeCell ref="E20:E21"/>
    <mergeCell ref="F20:F21"/>
    <mergeCell ref="G20:G21"/>
    <mergeCell ref="E24:E25"/>
    <mergeCell ref="F24:F25"/>
    <mergeCell ref="H24:H25"/>
    <mergeCell ref="A24:A25"/>
    <mergeCell ref="A27:H27"/>
  </mergeCells>
  <phoneticPr fontId="5" type="noConversion"/>
  <hyperlinks>
    <hyperlink ref="B20" r:id="rId1" xr:uid="{6A38C4AA-6C21-4C80-9F13-FBB3D492D663}"/>
  </hyperlink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AC23"/>
  <sheetViews>
    <sheetView topLeftCell="C1" zoomScaleNormal="100" workbookViewId="0">
      <selection activeCell="A19" sqref="A19:XFD24"/>
    </sheetView>
  </sheetViews>
  <sheetFormatPr defaultColWidth="9.33203125" defaultRowHeight="13.8" x14ac:dyDescent="0.25"/>
  <cols>
    <col min="1" max="1" width="21.6640625" style="45" customWidth="1"/>
    <col min="2" max="2" width="25.109375" style="45" bestFit="1" customWidth="1"/>
    <col min="3" max="4" width="23.44140625" style="45" customWidth="1"/>
    <col min="5" max="6" width="24" style="45" customWidth="1"/>
    <col min="7" max="9" width="21.88671875" style="45" customWidth="1"/>
    <col min="10" max="10" width="15.5546875" style="45" customWidth="1"/>
    <col min="11" max="11" width="30.44140625" style="45" customWidth="1"/>
    <col min="12" max="12" width="13.6640625" style="45" customWidth="1"/>
    <col min="13" max="13" width="12.33203125" style="45" customWidth="1"/>
    <col min="14" max="14" width="13.6640625" style="45" customWidth="1"/>
    <col min="15" max="15" width="11.6640625" style="45" customWidth="1"/>
    <col min="16" max="16" width="13.6640625" style="45" customWidth="1"/>
    <col min="17" max="17" width="12.33203125" style="45" customWidth="1"/>
    <col min="18" max="18" width="13.6640625" style="45" customWidth="1"/>
    <col min="19" max="19" width="12.33203125" style="45" customWidth="1"/>
    <col min="20" max="20" width="13.6640625" style="45" customWidth="1"/>
    <col min="21" max="21" width="11.6640625" style="45" customWidth="1"/>
    <col min="22" max="23" width="10.6640625" style="45" customWidth="1"/>
    <col min="24" max="24" width="9.33203125" style="45"/>
    <col min="25" max="29" width="11.33203125" style="45" customWidth="1"/>
    <col min="30" max="16384" width="9.33203125" style="45"/>
  </cols>
  <sheetData>
    <row r="1" spans="1:12" ht="24.6" customHeight="1" x14ac:dyDescent="0.25">
      <c r="A1" s="729" t="str">
        <f>"Outdoor Airflow Rate - "&amp;Prototype!A2</f>
        <v>Outdoor Airflow Rate - RetailGrocery</v>
      </c>
      <c r="B1" s="729"/>
      <c r="C1" s="729"/>
      <c r="D1" s="729"/>
      <c r="E1" s="729"/>
      <c r="F1" s="729"/>
      <c r="G1" s="729"/>
      <c r="H1" s="729"/>
      <c r="I1" s="729"/>
      <c r="J1" s="729"/>
      <c r="K1" s="729"/>
      <c r="L1" s="60"/>
    </row>
    <row r="2" spans="1:12" ht="52.8" x14ac:dyDescent="0.25">
      <c r="A2" s="562" t="s">
        <v>118</v>
      </c>
      <c r="B2" s="108" t="s">
        <v>128</v>
      </c>
      <c r="C2" s="108" t="s">
        <v>423</v>
      </c>
      <c r="D2" s="554" t="s">
        <v>424</v>
      </c>
      <c r="E2" s="554" t="s">
        <v>425</v>
      </c>
      <c r="F2" s="554" t="s">
        <v>426</v>
      </c>
      <c r="G2" s="554" t="s">
        <v>427</v>
      </c>
      <c r="H2" s="554" t="s">
        <v>428</v>
      </c>
      <c r="I2" s="554" t="s">
        <v>429</v>
      </c>
      <c r="J2" s="562" t="s">
        <v>430</v>
      </c>
      <c r="K2" s="562" t="s">
        <v>56</v>
      </c>
      <c r="L2" s="107"/>
    </row>
    <row r="3" spans="1:12" s="3" customFormat="1" ht="20.7" customHeight="1" x14ac:dyDescent="0.25">
      <c r="A3" s="109" t="str">
        <f>Zones!B3</f>
        <v>Checkout Area</v>
      </c>
      <c r="B3" s="31">
        <f>Zones!L3</f>
        <v>170</v>
      </c>
      <c r="C3" s="31">
        <f>Zones!I3</f>
        <v>10000</v>
      </c>
      <c r="D3" s="520">
        <v>15</v>
      </c>
      <c r="E3" s="520">
        <v>0.2</v>
      </c>
      <c r="F3" s="520" t="s">
        <v>431</v>
      </c>
      <c r="G3" s="110">
        <f>D3*B3</f>
        <v>2550</v>
      </c>
      <c r="H3" s="110">
        <f>E3*C3</f>
        <v>2000</v>
      </c>
      <c r="I3" s="520" t="s">
        <v>432</v>
      </c>
      <c r="J3" s="110">
        <f t="shared" ref="J3" si="0">MAX(G3:I3)</f>
        <v>2550</v>
      </c>
      <c r="K3" s="12"/>
    </row>
    <row r="4" spans="1:12" s="3" customFormat="1" ht="20.7" customHeight="1" x14ac:dyDescent="0.25">
      <c r="A4" s="109" t="str">
        <f>Zones!B4</f>
        <v>Produce</v>
      </c>
      <c r="B4" s="31">
        <f>Zones!L4</f>
        <v>74.8</v>
      </c>
      <c r="C4" s="31">
        <f>Zones!I4</f>
        <v>4400</v>
      </c>
      <c r="D4" s="520">
        <v>15</v>
      </c>
      <c r="E4" s="520">
        <v>0.2</v>
      </c>
      <c r="F4" s="520" t="s">
        <v>431</v>
      </c>
      <c r="G4" s="110">
        <f t="shared" ref="G4:G14" si="1">D4*B4</f>
        <v>1122</v>
      </c>
      <c r="H4" s="110">
        <f t="shared" ref="H4:H14" si="2">E4*C4</f>
        <v>880</v>
      </c>
      <c r="I4" s="520" t="s">
        <v>431</v>
      </c>
      <c r="J4" s="110">
        <f t="shared" ref="J4:J14" si="3">MAX(G4:I4)</f>
        <v>1122</v>
      </c>
      <c r="K4" s="12"/>
    </row>
    <row r="5" spans="1:12" s="3" customFormat="1" ht="20.7" customHeight="1" x14ac:dyDescent="0.25">
      <c r="A5" s="109" t="str">
        <f>Zones!B5</f>
        <v>General Merch</v>
      </c>
      <c r="B5" s="31">
        <f>Zones!L5</f>
        <v>130.9</v>
      </c>
      <c r="C5" s="31">
        <f>Zones!I5</f>
        <v>7700</v>
      </c>
      <c r="D5" s="520">
        <v>15</v>
      </c>
      <c r="E5" s="520">
        <v>0.2</v>
      </c>
      <c r="F5" s="520" t="s">
        <v>431</v>
      </c>
      <c r="G5" s="110">
        <f t="shared" si="1"/>
        <v>1963.5</v>
      </c>
      <c r="H5" s="110">
        <f t="shared" si="2"/>
        <v>1540</v>
      </c>
      <c r="I5" s="520" t="s">
        <v>431</v>
      </c>
      <c r="J5" s="110">
        <f t="shared" si="3"/>
        <v>1963.5</v>
      </c>
      <c r="K5" s="12"/>
    </row>
    <row r="6" spans="1:12" s="3" customFormat="1" ht="20.7" customHeight="1" x14ac:dyDescent="0.25">
      <c r="A6" s="109" t="str">
        <f>Zones!B6</f>
        <v>Frozen</v>
      </c>
      <c r="B6" s="31">
        <f>Zones!L6</f>
        <v>112.2</v>
      </c>
      <c r="C6" s="31">
        <f>Zones!I6</f>
        <v>6600</v>
      </c>
      <c r="D6" s="520">
        <v>15</v>
      </c>
      <c r="E6" s="520">
        <v>0.2</v>
      </c>
      <c r="F6" s="520" t="s">
        <v>431</v>
      </c>
      <c r="G6" s="110">
        <f t="shared" si="1"/>
        <v>1683</v>
      </c>
      <c r="H6" s="110">
        <f t="shared" si="2"/>
        <v>1320</v>
      </c>
      <c r="I6" s="520" t="s">
        <v>431</v>
      </c>
      <c r="J6" s="110">
        <f t="shared" si="3"/>
        <v>1683</v>
      </c>
      <c r="K6" s="12"/>
    </row>
    <row r="7" spans="1:12" s="3" customFormat="1" ht="20.7" customHeight="1" x14ac:dyDescent="0.25">
      <c r="A7" s="109" t="str">
        <f>Zones!B7</f>
        <v>Beverage</v>
      </c>
      <c r="B7" s="31">
        <f>Zones!L7</f>
        <v>74.8</v>
      </c>
      <c r="C7" s="31">
        <f>Zones!I7</f>
        <v>4400</v>
      </c>
      <c r="D7" s="520">
        <v>15</v>
      </c>
      <c r="E7" s="520">
        <v>0.2</v>
      </c>
      <c r="F7" s="520" t="s">
        <v>431</v>
      </c>
      <c r="G7" s="110">
        <f t="shared" si="1"/>
        <v>1122</v>
      </c>
      <c r="H7" s="110">
        <f t="shared" si="2"/>
        <v>880</v>
      </c>
      <c r="I7" s="520" t="s">
        <v>431</v>
      </c>
      <c r="J7" s="110">
        <f t="shared" si="3"/>
        <v>1122</v>
      </c>
      <c r="K7" s="12"/>
    </row>
    <row r="8" spans="1:12" s="3" customFormat="1" ht="20.7" customHeight="1" x14ac:dyDescent="0.25">
      <c r="A8" s="109" t="str">
        <f>Zones!B8</f>
        <v>Bakery and Deli</v>
      </c>
      <c r="B8" s="31">
        <f>Zones!L8</f>
        <v>74.8</v>
      </c>
      <c r="C8" s="31">
        <f>Zones!I8</f>
        <v>4400</v>
      </c>
      <c r="D8" s="520">
        <v>15</v>
      </c>
      <c r="E8" s="520">
        <v>0.2</v>
      </c>
      <c r="F8" s="520" t="s">
        <v>431</v>
      </c>
      <c r="G8" s="110">
        <f t="shared" si="1"/>
        <v>1122</v>
      </c>
      <c r="H8" s="110">
        <f t="shared" si="2"/>
        <v>880</v>
      </c>
      <c r="I8" s="520" t="s">
        <v>431</v>
      </c>
      <c r="J8" s="110">
        <f t="shared" si="3"/>
        <v>1122</v>
      </c>
      <c r="K8" s="12"/>
    </row>
    <row r="9" spans="1:12" s="3" customFormat="1" ht="20.7" customHeight="1" x14ac:dyDescent="0.25">
      <c r="A9" s="109" t="str">
        <f>Zones!B9</f>
        <v>Meat and Dairy</v>
      </c>
      <c r="B9" s="31">
        <f>Zones!L9</f>
        <v>85</v>
      </c>
      <c r="C9" s="31">
        <f>Zones!I9</f>
        <v>5000</v>
      </c>
      <c r="D9" s="520">
        <v>15</v>
      </c>
      <c r="E9" s="520">
        <v>0.2</v>
      </c>
      <c r="F9" s="520" t="s">
        <v>431</v>
      </c>
      <c r="G9" s="110">
        <f t="shared" si="1"/>
        <v>1275</v>
      </c>
      <c r="H9" s="110">
        <f t="shared" si="2"/>
        <v>1000</v>
      </c>
      <c r="I9" s="520" t="s">
        <v>431</v>
      </c>
      <c r="J9" s="110">
        <f t="shared" si="3"/>
        <v>1275</v>
      </c>
      <c r="K9" s="12"/>
    </row>
    <row r="10" spans="1:12" s="3" customFormat="1" ht="20.7" customHeight="1" x14ac:dyDescent="0.25">
      <c r="A10" s="109" t="str">
        <f>Zones!B10</f>
        <v>Back Office</v>
      </c>
      <c r="B10" s="31">
        <f>Zones!L10</f>
        <v>6</v>
      </c>
      <c r="C10" s="31">
        <f>Zones!I10</f>
        <v>1200</v>
      </c>
      <c r="D10" s="520">
        <v>15</v>
      </c>
      <c r="E10" s="520">
        <v>0.15</v>
      </c>
      <c r="F10" s="520" t="s">
        <v>433</v>
      </c>
      <c r="G10" s="110">
        <f t="shared" si="1"/>
        <v>90</v>
      </c>
      <c r="H10" s="110">
        <f t="shared" si="2"/>
        <v>180</v>
      </c>
      <c r="I10" s="574">
        <f>8*50</f>
        <v>400</v>
      </c>
      <c r="J10" s="110">
        <f t="shared" si="3"/>
        <v>400</v>
      </c>
      <c r="K10" s="12"/>
    </row>
    <row r="11" spans="1:12" s="3" customFormat="1" ht="20.7" customHeight="1" x14ac:dyDescent="0.25">
      <c r="A11" s="332" t="str">
        <f>Zones!B11</f>
        <v>Loading Dock EL1</v>
      </c>
      <c r="B11" s="31">
        <f>Zones!L11</f>
        <v>6.4</v>
      </c>
      <c r="C11" s="31">
        <f>Zones!I11</f>
        <v>3200</v>
      </c>
      <c r="D11" s="520">
        <v>15</v>
      </c>
      <c r="E11" s="520">
        <v>0.15</v>
      </c>
      <c r="F11" s="520"/>
      <c r="G11" s="110">
        <f t="shared" si="1"/>
        <v>96</v>
      </c>
      <c r="H11" s="110">
        <f t="shared" si="2"/>
        <v>480</v>
      </c>
      <c r="I11" s="520" t="s">
        <v>431</v>
      </c>
      <c r="J11" s="110">
        <f t="shared" si="3"/>
        <v>480</v>
      </c>
      <c r="K11" s="12"/>
    </row>
    <row r="12" spans="1:12" s="3" customFormat="1" ht="20.7" customHeight="1" x14ac:dyDescent="0.25">
      <c r="A12" s="109" t="str">
        <f>Zones!B12</f>
        <v>Food Prep</v>
      </c>
      <c r="B12" s="216">
        <f>Zones!L12</f>
        <v>0</v>
      </c>
      <c r="C12" s="216">
        <f>Zones!I12</f>
        <v>2100</v>
      </c>
      <c r="D12" s="520"/>
      <c r="E12" s="520"/>
      <c r="F12" s="520">
        <v>0.7</v>
      </c>
      <c r="G12" s="218">
        <f t="shared" ref="G12:G13" si="4">D12*B12</f>
        <v>0</v>
      </c>
      <c r="H12" s="218">
        <f t="shared" ref="H12:H13" si="5">E12*C12</f>
        <v>0</v>
      </c>
      <c r="I12" s="520">
        <f>F12*C12</f>
        <v>1470</v>
      </c>
      <c r="J12" s="218">
        <f t="shared" si="3"/>
        <v>1470</v>
      </c>
      <c r="K12" s="12"/>
    </row>
    <row r="13" spans="1:12" s="3" customFormat="1" ht="20.7" customHeight="1" x14ac:dyDescent="0.25">
      <c r="A13" s="109" t="str">
        <f>Zones!B13</f>
        <v>RefWalkInCool Core</v>
      </c>
      <c r="B13" s="216">
        <f>Zones!L13</f>
        <v>0</v>
      </c>
      <c r="C13" s="216">
        <f>Zones!I13</f>
        <v>500</v>
      </c>
      <c r="D13" s="520"/>
      <c r="E13" s="520"/>
      <c r="F13" s="520"/>
      <c r="G13" s="218">
        <f t="shared" si="4"/>
        <v>0</v>
      </c>
      <c r="H13" s="218">
        <f t="shared" si="5"/>
        <v>0</v>
      </c>
      <c r="I13" s="520"/>
      <c r="J13" s="218">
        <f t="shared" si="3"/>
        <v>0</v>
      </c>
      <c r="K13" s="12"/>
    </row>
    <row r="14" spans="1:12" s="3" customFormat="1" ht="20.7" customHeight="1" x14ac:dyDescent="0.25">
      <c r="A14" s="215" t="str">
        <f>Zones!B14</f>
        <v>Ref WalkInFreezer Core</v>
      </c>
      <c r="B14" s="216">
        <f>Zones!L14</f>
        <v>0</v>
      </c>
      <c r="C14" s="216">
        <f>Zones!I14</f>
        <v>500</v>
      </c>
      <c r="D14" s="217"/>
      <c r="E14" s="217">
        <v>0</v>
      </c>
      <c r="F14" s="217" t="s">
        <v>431</v>
      </c>
      <c r="G14" s="218">
        <f t="shared" si="1"/>
        <v>0</v>
      </c>
      <c r="H14" s="218">
        <f t="shared" si="2"/>
        <v>0</v>
      </c>
      <c r="I14" s="217" t="s">
        <v>431</v>
      </c>
      <c r="J14" s="218">
        <f t="shared" si="3"/>
        <v>0</v>
      </c>
      <c r="K14" s="219"/>
    </row>
    <row r="15" spans="1:12" s="3" customFormat="1" ht="29.25" customHeight="1" x14ac:dyDescent="0.25">
      <c r="A15" s="213"/>
      <c r="B15" s="41"/>
      <c r="C15" s="41"/>
      <c r="D15" s="567"/>
      <c r="E15" s="567"/>
      <c r="F15" s="567"/>
      <c r="G15" s="214"/>
      <c r="H15" s="214"/>
      <c r="I15" s="567"/>
      <c r="J15" s="214"/>
      <c r="K15" s="544"/>
    </row>
    <row r="16" spans="1:12" s="3" customFormat="1" ht="13.2" x14ac:dyDescent="0.25"/>
    <row r="19" spans="1:29" x14ac:dyDescent="0.2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row>
    <row r="20" spans="1:29" x14ac:dyDescent="0.2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row>
    <row r="21" spans="1:29" x14ac:dyDescent="0.2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row>
    <row r="22" spans="1:29" x14ac:dyDescent="0.2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spans="1:29" x14ac:dyDescent="0.2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sheetData>
  <mergeCells count="1">
    <mergeCell ref="A1:K1"/>
  </mergeCells>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CF2B8-D81A-4739-B3FD-7DE124AB8529}">
  <dimension ref="A1:R14"/>
  <sheetViews>
    <sheetView workbookViewId="0">
      <selection sqref="A1:R1"/>
    </sheetView>
  </sheetViews>
  <sheetFormatPr defaultRowHeight="14.4" x14ac:dyDescent="0.3"/>
  <cols>
    <col min="1" max="1" width="38.88671875" customWidth="1"/>
    <col min="2" max="2" width="9.6640625" customWidth="1"/>
    <col min="18" max="18" width="22.5546875" customWidth="1"/>
  </cols>
  <sheetData>
    <row r="1" spans="1:18" ht="24" customHeight="1" x14ac:dyDescent="0.3">
      <c r="A1" s="729" t="str">
        <f>"Thermostat Setpoints - "&amp;Prototype!A2</f>
        <v>Thermostat Setpoints - RetailGrocery</v>
      </c>
      <c r="B1" s="729"/>
      <c r="C1" s="729"/>
      <c r="D1" s="729"/>
      <c r="E1" s="729"/>
      <c r="F1" s="729"/>
      <c r="G1" s="729"/>
      <c r="H1" s="729"/>
      <c r="I1" s="729"/>
      <c r="J1" s="729"/>
      <c r="K1" s="729"/>
      <c r="L1" s="729"/>
      <c r="M1" s="729"/>
      <c r="N1" s="729"/>
      <c r="O1" s="729"/>
      <c r="P1" s="729"/>
      <c r="Q1" s="729"/>
      <c r="R1" s="729"/>
    </row>
    <row r="2" spans="1:18" ht="22.2" customHeight="1" thickBot="1" x14ac:dyDescent="0.35">
      <c r="A2" s="56" t="s">
        <v>434</v>
      </c>
      <c r="B2" s="57" t="s">
        <v>218</v>
      </c>
      <c r="C2" s="57" t="s">
        <v>219</v>
      </c>
      <c r="D2" s="57" t="s">
        <v>220</v>
      </c>
      <c r="E2" s="57" t="s">
        <v>221</v>
      </c>
      <c r="F2" s="57" t="s">
        <v>222</v>
      </c>
      <c r="G2" s="57" t="s">
        <v>223</v>
      </c>
      <c r="H2" s="57" t="s">
        <v>224</v>
      </c>
      <c r="I2" s="57" t="s">
        <v>225</v>
      </c>
      <c r="J2" s="57" t="s">
        <v>226</v>
      </c>
      <c r="K2" s="57" t="s">
        <v>227</v>
      </c>
      <c r="L2" s="57" t="s">
        <v>228</v>
      </c>
      <c r="M2" s="57" t="s">
        <v>229</v>
      </c>
      <c r="N2" s="57" t="s">
        <v>230</v>
      </c>
      <c r="O2" s="57" t="s">
        <v>231</v>
      </c>
      <c r="P2" s="57" t="s">
        <v>232</v>
      </c>
      <c r="Q2" s="57" t="s">
        <v>233</v>
      </c>
      <c r="R2" s="57" t="s">
        <v>336</v>
      </c>
    </row>
    <row r="3" spans="1:18" x14ac:dyDescent="0.3">
      <c r="A3" s="630" t="s">
        <v>435</v>
      </c>
      <c r="B3" s="355">
        <v>70</v>
      </c>
      <c r="C3" s="355">
        <v>70</v>
      </c>
      <c r="D3" s="355">
        <v>70</v>
      </c>
      <c r="E3" s="355">
        <v>70</v>
      </c>
      <c r="F3" s="355">
        <v>70</v>
      </c>
      <c r="G3" s="355">
        <v>70</v>
      </c>
      <c r="H3" s="355">
        <v>70</v>
      </c>
      <c r="I3" s="355">
        <v>70</v>
      </c>
      <c r="J3" s="355">
        <v>70</v>
      </c>
      <c r="K3" s="355">
        <v>70</v>
      </c>
      <c r="L3" s="355">
        <v>70</v>
      </c>
      <c r="M3" s="355">
        <v>70</v>
      </c>
      <c r="N3" s="355">
        <v>70</v>
      </c>
      <c r="O3" s="355">
        <v>70</v>
      </c>
      <c r="P3" s="355">
        <v>70</v>
      </c>
      <c r="Q3" s="355">
        <v>70</v>
      </c>
      <c r="R3" s="781" t="s">
        <v>436</v>
      </c>
    </row>
    <row r="4" spans="1:18" ht="21" customHeight="1" x14ac:dyDescent="0.3">
      <c r="A4" s="631" t="s">
        <v>437</v>
      </c>
      <c r="B4" s="356">
        <v>60</v>
      </c>
      <c r="C4" s="356">
        <v>60</v>
      </c>
      <c r="D4" s="356">
        <v>60</v>
      </c>
      <c r="E4" s="356">
        <v>60</v>
      </c>
      <c r="F4" s="356">
        <v>60</v>
      </c>
      <c r="G4" s="356">
        <v>60</v>
      </c>
      <c r="H4" s="356">
        <v>60</v>
      </c>
      <c r="I4" s="356">
        <v>60</v>
      </c>
      <c r="J4" s="356">
        <v>60</v>
      </c>
      <c r="K4" s="356">
        <v>60</v>
      </c>
      <c r="L4" s="356">
        <v>60</v>
      </c>
      <c r="M4" s="356">
        <v>60</v>
      </c>
      <c r="N4" s="356">
        <v>60</v>
      </c>
      <c r="O4" s="356">
        <v>60</v>
      </c>
      <c r="P4" s="356">
        <v>60</v>
      </c>
      <c r="Q4" s="356">
        <v>60</v>
      </c>
      <c r="R4" s="782"/>
    </row>
    <row r="5" spans="1:18" ht="21" customHeight="1" x14ac:dyDescent="0.3">
      <c r="A5" s="631" t="s">
        <v>438</v>
      </c>
      <c r="B5" s="356">
        <v>75</v>
      </c>
      <c r="C5" s="356">
        <v>75</v>
      </c>
      <c r="D5" s="356">
        <v>75</v>
      </c>
      <c r="E5" s="356">
        <v>75</v>
      </c>
      <c r="F5" s="356">
        <v>75</v>
      </c>
      <c r="G5" s="356">
        <v>75</v>
      </c>
      <c r="H5" s="356">
        <v>75</v>
      </c>
      <c r="I5" s="356">
        <v>75</v>
      </c>
      <c r="J5" s="356">
        <v>75</v>
      </c>
      <c r="K5" s="356">
        <v>75</v>
      </c>
      <c r="L5" s="356">
        <v>75</v>
      </c>
      <c r="M5" s="356">
        <v>75</v>
      </c>
      <c r="N5" s="356">
        <v>75</v>
      </c>
      <c r="O5" s="356">
        <v>75</v>
      </c>
      <c r="P5" s="356">
        <v>75</v>
      </c>
      <c r="Q5" s="356">
        <v>75</v>
      </c>
      <c r="R5" s="782"/>
    </row>
    <row r="6" spans="1:18" ht="21" customHeight="1" x14ac:dyDescent="0.3">
      <c r="A6" s="632" t="s">
        <v>439</v>
      </c>
      <c r="B6" s="357">
        <v>85</v>
      </c>
      <c r="C6" s="357">
        <v>85</v>
      </c>
      <c r="D6" s="357">
        <v>85</v>
      </c>
      <c r="E6" s="357">
        <v>85</v>
      </c>
      <c r="F6" s="357">
        <v>85</v>
      </c>
      <c r="G6" s="357">
        <v>85</v>
      </c>
      <c r="H6" s="357">
        <v>85</v>
      </c>
      <c r="I6" s="357">
        <v>85</v>
      </c>
      <c r="J6" s="357">
        <v>85</v>
      </c>
      <c r="K6" s="357">
        <v>85</v>
      </c>
      <c r="L6" s="357">
        <v>85</v>
      </c>
      <c r="M6" s="357">
        <v>85</v>
      </c>
      <c r="N6" s="357">
        <v>85</v>
      </c>
      <c r="O6" s="357">
        <v>85</v>
      </c>
      <c r="P6" s="357">
        <v>85</v>
      </c>
      <c r="Q6" s="357">
        <v>85</v>
      </c>
      <c r="R6" s="783"/>
    </row>
    <row r="7" spans="1:18" ht="19.95" customHeight="1" x14ac:dyDescent="0.3">
      <c r="A7" s="630" t="s">
        <v>440</v>
      </c>
      <c r="B7" s="633">
        <v>60</v>
      </c>
      <c r="C7" s="633">
        <v>60</v>
      </c>
      <c r="D7" s="633">
        <v>60</v>
      </c>
      <c r="E7" s="633">
        <v>60</v>
      </c>
      <c r="F7" s="633">
        <v>60</v>
      </c>
      <c r="G7" s="633">
        <v>60</v>
      </c>
      <c r="H7" s="633">
        <v>60</v>
      </c>
      <c r="I7" s="633">
        <v>60</v>
      </c>
      <c r="J7" s="633">
        <v>60</v>
      </c>
      <c r="K7" s="633">
        <v>60</v>
      </c>
      <c r="L7" s="633">
        <v>60</v>
      </c>
      <c r="M7" s="633">
        <v>60</v>
      </c>
      <c r="N7" s="633">
        <v>60</v>
      </c>
      <c r="O7" s="633">
        <v>60</v>
      </c>
      <c r="P7" s="633">
        <v>60</v>
      </c>
      <c r="Q7" s="633">
        <v>60</v>
      </c>
      <c r="R7" s="784" t="s">
        <v>441</v>
      </c>
    </row>
    <row r="8" spans="1:18" ht="19.95" customHeight="1" x14ac:dyDescent="0.3">
      <c r="A8" s="631" t="s">
        <v>442</v>
      </c>
      <c r="B8" s="574">
        <v>60</v>
      </c>
      <c r="C8" s="574">
        <v>60</v>
      </c>
      <c r="D8" s="574">
        <v>60</v>
      </c>
      <c r="E8" s="574">
        <v>60</v>
      </c>
      <c r="F8" s="574">
        <v>60</v>
      </c>
      <c r="G8" s="574">
        <v>60</v>
      </c>
      <c r="H8" s="574">
        <v>60</v>
      </c>
      <c r="I8" s="574">
        <v>60</v>
      </c>
      <c r="J8" s="574">
        <v>60</v>
      </c>
      <c r="K8" s="574">
        <v>60</v>
      </c>
      <c r="L8" s="574">
        <v>60</v>
      </c>
      <c r="M8" s="574">
        <v>60</v>
      </c>
      <c r="N8" s="574">
        <v>60</v>
      </c>
      <c r="O8" s="574">
        <v>60</v>
      </c>
      <c r="P8" s="574">
        <v>60</v>
      </c>
      <c r="Q8" s="574">
        <v>60</v>
      </c>
      <c r="R8" s="785"/>
    </row>
    <row r="9" spans="1:18" ht="19.95" customHeight="1" x14ac:dyDescent="0.3">
      <c r="A9" s="631" t="s">
        <v>443</v>
      </c>
      <c r="B9" s="574">
        <v>85</v>
      </c>
      <c r="C9" s="574">
        <v>85</v>
      </c>
      <c r="D9" s="574">
        <v>85</v>
      </c>
      <c r="E9" s="574">
        <v>85</v>
      </c>
      <c r="F9" s="574">
        <v>85</v>
      </c>
      <c r="G9" s="574">
        <v>85</v>
      </c>
      <c r="H9" s="574">
        <v>85</v>
      </c>
      <c r="I9" s="574">
        <v>85</v>
      </c>
      <c r="J9" s="574">
        <v>85</v>
      </c>
      <c r="K9" s="574">
        <v>85</v>
      </c>
      <c r="L9" s="574">
        <v>85</v>
      </c>
      <c r="M9" s="574">
        <v>85</v>
      </c>
      <c r="N9" s="574">
        <v>85</v>
      </c>
      <c r="O9" s="574">
        <v>85</v>
      </c>
      <c r="P9" s="574">
        <v>85</v>
      </c>
      <c r="Q9" s="574">
        <v>85</v>
      </c>
      <c r="R9" s="785"/>
    </row>
    <row r="10" spans="1:18" ht="19.95" customHeight="1" x14ac:dyDescent="0.3">
      <c r="A10" s="632" t="s">
        <v>444</v>
      </c>
      <c r="B10" s="634">
        <v>85</v>
      </c>
      <c r="C10" s="634">
        <v>85</v>
      </c>
      <c r="D10" s="634">
        <v>85</v>
      </c>
      <c r="E10" s="634">
        <v>85</v>
      </c>
      <c r="F10" s="634">
        <v>85</v>
      </c>
      <c r="G10" s="634">
        <v>85</v>
      </c>
      <c r="H10" s="634">
        <v>85</v>
      </c>
      <c r="I10" s="634">
        <v>85</v>
      </c>
      <c r="J10" s="634">
        <v>85</v>
      </c>
      <c r="K10" s="634">
        <v>85</v>
      </c>
      <c r="L10" s="634">
        <v>85</v>
      </c>
      <c r="M10" s="634">
        <v>85</v>
      </c>
      <c r="N10" s="634">
        <v>85</v>
      </c>
      <c r="O10" s="634">
        <v>85</v>
      </c>
      <c r="P10" s="634">
        <v>85</v>
      </c>
      <c r="Q10" s="634">
        <v>85</v>
      </c>
      <c r="R10" s="786"/>
    </row>
    <row r="13" spans="1:18" x14ac:dyDescent="0.3">
      <c r="A13" s="635"/>
    </row>
    <row r="14" spans="1:18" x14ac:dyDescent="0.3">
      <c r="B14" s="184"/>
    </row>
  </sheetData>
  <mergeCells count="3">
    <mergeCell ref="R3:R6"/>
    <mergeCell ref="A1:R1"/>
    <mergeCell ref="R7:R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5ED01-9AA5-4EAD-8E86-4A5455005238}">
  <dimension ref="A1:AL96"/>
  <sheetViews>
    <sheetView zoomScaleNormal="100" workbookViewId="0">
      <selection sqref="A1:G1"/>
    </sheetView>
  </sheetViews>
  <sheetFormatPr defaultColWidth="8.6640625" defaultRowHeight="13.2" x14ac:dyDescent="0.25"/>
  <cols>
    <col min="1" max="1" width="35.88671875" style="3" customWidth="1"/>
    <col min="2" max="2" width="29.6640625" style="3" customWidth="1"/>
    <col min="3" max="3" width="23.109375" style="3" customWidth="1"/>
    <col min="4" max="4" width="33" style="3" customWidth="1"/>
    <col min="5" max="5" width="32.44140625" style="3" customWidth="1"/>
    <col min="6" max="6" width="25.5546875" style="3" customWidth="1"/>
    <col min="7" max="7" width="23" style="3" customWidth="1"/>
    <col min="8" max="8" width="27.44140625" style="3" customWidth="1"/>
    <col min="9" max="10" width="23" style="3" customWidth="1"/>
    <col min="11" max="11" width="19" style="3" customWidth="1"/>
    <col min="12" max="12" width="8.6640625" style="3" customWidth="1"/>
    <col min="13" max="13" width="12.33203125" style="3" customWidth="1"/>
    <col min="14" max="14" width="13.33203125" style="3" customWidth="1"/>
    <col min="15" max="15" width="15.33203125" style="3" customWidth="1"/>
    <col min="16" max="16" width="11" style="3" customWidth="1"/>
    <col min="17" max="20" width="15.33203125" style="3" customWidth="1"/>
    <col min="21" max="21" width="7.6640625" style="3" hidden="1" customWidth="1"/>
    <col min="22" max="22" width="12.44140625" style="3" hidden="1" customWidth="1"/>
    <col min="23" max="38" width="6.5546875" style="3" hidden="1" customWidth="1"/>
    <col min="39" max="39" width="15.33203125" style="3" customWidth="1"/>
    <col min="40" max="40" width="11.33203125" style="3" customWidth="1"/>
    <col min="41" max="41" width="6.33203125" style="3" customWidth="1"/>
    <col min="42" max="45" width="4.6640625" style="3" customWidth="1"/>
    <col min="46" max="46" width="6.33203125" style="3" customWidth="1"/>
    <col min="47" max="61" width="4.6640625" style="3" customWidth="1"/>
    <col min="62" max="16384" width="8.6640625" style="3"/>
  </cols>
  <sheetData>
    <row r="1" spans="1:21" ht="24" customHeight="1" x14ac:dyDescent="0.25">
      <c r="A1" s="788" t="str">
        <f>"Water Heater Summary - "&amp;Prototype!A2</f>
        <v>Water Heater Summary - RetailGrocery</v>
      </c>
      <c r="B1" s="773"/>
      <c r="C1" s="773"/>
      <c r="D1" s="773"/>
      <c r="E1" s="773"/>
      <c r="F1" s="773"/>
      <c r="G1" s="773"/>
    </row>
    <row r="2" spans="1:21" ht="22.35" customHeight="1" x14ac:dyDescent="0.25">
      <c r="A2" s="369" t="s">
        <v>216</v>
      </c>
      <c r="B2" s="369" t="s">
        <v>445</v>
      </c>
      <c r="C2" s="369" t="s">
        <v>446</v>
      </c>
      <c r="D2" s="108" t="s">
        <v>447</v>
      </c>
      <c r="E2" s="370" t="s">
        <v>448</v>
      </c>
      <c r="F2" s="370" t="s">
        <v>449</v>
      </c>
      <c r="G2" s="370" t="s">
        <v>336</v>
      </c>
      <c r="H2" s="311"/>
    </row>
    <row r="3" spans="1:21" ht="61.5" customHeight="1" x14ac:dyDescent="0.25">
      <c r="A3" s="551" t="s">
        <v>378</v>
      </c>
      <c r="B3" s="551" t="s">
        <v>450</v>
      </c>
      <c r="C3" s="371">
        <v>1</v>
      </c>
      <c r="D3" s="636">
        <v>1</v>
      </c>
      <c r="E3" s="615" t="s">
        <v>451</v>
      </c>
      <c r="F3" s="615" t="s">
        <v>452</v>
      </c>
      <c r="G3" s="615" t="s">
        <v>453</v>
      </c>
      <c r="H3" s="372"/>
    </row>
    <row r="4" spans="1:21" ht="63.75" customHeight="1" x14ac:dyDescent="0.25">
      <c r="A4" s="551" t="s">
        <v>384</v>
      </c>
      <c r="B4" s="551" t="s">
        <v>454</v>
      </c>
      <c r="C4" s="371">
        <v>1</v>
      </c>
      <c r="D4" s="636">
        <v>1</v>
      </c>
      <c r="E4" s="615" t="s">
        <v>451</v>
      </c>
      <c r="F4" s="615" t="s">
        <v>452</v>
      </c>
      <c r="G4" s="615" t="s">
        <v>453</v>
      </c>
      <c r="H4" s="372"/>
    </row>
    <row r="5" spans="1:21" ht="35.25" customHeight="1" x14ac:dyDescent="0.25">
      <c r="A5" s="5"/>
      <c r="B5" s="5"/>
      <c r="C5" s="5"/>
      <c r="D5" s="626"/>
    </row>
    <row r="6" spans="1:21" ht="14.7" customHeight="1" x14ac:dyDescent="0.25">
      <c r="A6" s="5"/>
      <c r="B6" s="5"/>
      <c r="C6" s="5"/>
      <c r="D6" s="5"/>
    </row>
    <row r="7" spans="1:21" ht="24.75" customHeight="1" x14ac:dyDescent="0.3">
      <c r="A7" s="797" t="s">
        <v>455</v>
      </c>
      <c r="B7" s="798"/>
      <c r="C7" s="798"/>
      <c r="D7" s="798"/>
      <c r="E7" s="798"/>
      <c r="F7" s="798"/>
      <c r="G7" s="798"/>
      <c r="H7" s="798"/>
      <c r="I7" s="119"/>
      <c r="J7" s="569"/>
      <c r="K7" s="569"/>
      <c r="L7" s="569"/>
      <c r="M7" s="569"/>
      <c r="N7" s="569"/>
      <c r="O7" s="569"/>
      <c r="P7" s="569"/>
      <c r="Q7" s="569"/>
      <c r="R7" s="569"/>
      <c r="S7" s="569"/>
      <c r="T7" s="569"/>
      <c r="U7" s="569"/>
    </row>
    <row r="8" spans="1:21" ht="63.75" customHeight="1" x14ac:dyDescent="0.25">
      <c r="A8" s="561" t="s">
        <v>456</v>
      </c>
      <c r="B8" s="561" t="s">
        <v>457</v>
      </c>
      <c r="C8" s="561" t="s">
        <v>458</v>
      </c>
      <c r="D8" s="561" t="s">
        <v>128</v>
      </c>
      <c r="E8" s="561" t="s">
        <v>459</v>
      </c>
      <c r="F8" s="561" t="s">
        <v>460</v>
      </c>
      <c r="G8" s="561" t="s">
        <v>461</v>
      </c>
      <c r="H8" s="56" t="s">
        <v>272</v>
      </c>
      <c r="I8" s="569"/>
      <c r="J8" s="569"/>
      <c r="K8" s="569"/>
      <c r="L8" s="569"/>
      <c r="M8" s="569"/>
      <c r="N8" s="569"/>
      <c r="O8" s="569"/>
      <c r="P8" s="569"/>
      <c r="Q8" s="569"/>
      <c r="R8" s="569"/>
      <c r="S8" s="569"/>
      <c r="T8" s="569"/>
      <c r="U8" s="569"/>
    </row>
    <row r="9" spans="1:21" ht="14.7" customHeight="1" x14ac:dyDescent="0.25">
      <c r="A9" s="637" t="str">
        <f>Zones!B3</f>
        <v>Checkout Area</v>
      </c>
      <c r="B9" s="638" t="s">
        <v>462</v>
      </c>
      <c r="C9" s="639">
        <f>Zones!I3</f>
        <v>10000</v>
      </c>
      <c r="D9" s="639">
        <f>Zones!L3</f>
        <v>170</v>
      </c>
      <c r="E9" s="638">
        <v>0.18</v>
      </c>
      <c r="F9" s="638">
        <f>E9*D9</f>
        <v>30.599999999999998</v>
      </c>
      <c r="G9" s="640">
        <f>F9/60</f>
        <v>0.51</v>
      </c>
      <c r="H9" s="799" t="s">
        <v>463</v>
      </c>
      <c r="I9" s="569"/>
      <c r="J9" s="569"/>
      <c r="K9" s="569"/>
      <c r="L9" s="569"/>
      <c r="M9" s="569"/>
      <c r="N9" s="569"/>
      <c r="O9" s="569"/>
      <c r="P9" s="569"/>
      <c r="Q9" s="569"/>
      <c r="R9" s="569"/>
      <c r="S9" s="569"/>
      <c r="T9" s="569"/>
      <c r="U9" s="569"/>
    </row>
    <row r="10" spans="1:21" ht="14.7" customHeight="1" x14ac:dyDescent="0.25">
      <c r="A10" s="637" t="str">
        <f>Zones!B4</f>
        <v>Produce</v>
      </c>
      <c r="B10" s="638" t="s">
        <v>462</v>
      </c>
      <c r="C10" s="639">
        <f>Zones!I4</f>
        <v>4400</v>
      </c>
      <c r="D10" s="639">
        <f>Zones!L4</f>
        <v>74.8</v>
      </c>
      <c r="E10" s="638">
        <v>0.18</v>
      </c>
      <c r="F10" s="638">
        <f t="shared" ref="F10:F20" si="0">E10*D10</f>
        <v>13.463999999999999</v>
      </c>
      <c r="G10" s="640">
        <f t="shared" ref="G10:G20" si="1">F10/60</f>
        <v>0.22439999999999999</v>
      </c>
      <c r="H10" s="799"/>
      <c r="I10" s="569"/>
      <c r="J10" s="569"/>
      <c r="K10" s="569"/>
      <c r="L10" s="569"/>
      <c r="M10" s="569"/>
      <c r="N10" s="569"/>
      <c r="O10" s="569"/>
      <c r="P10" s="569"/>
      <c r="Q10" s="569"/>
      <c r="R10" s="569"/>
      <c r="S10" s="569"/>
      <c r="T10" s="569"/>
      <c r="U10" s="569"/>
    </row>
    <row r="11" spans="1:21" ht="14.7" customHeight="1" x14ac:dyDescent="0.25">
      <c r="A11" s="637" t="str">
        <f>Zones!B5</f>
        <v>General Merch</v>
      </c>
      <c r="B11" s="638" t="s">
        <v>462</v>
      </c>
      <c r="C11" s="639">
        <f>Zones!I5</f>
        <v>7700</v>
      </c>
      <c r="D11" s="639">
        <f>Zones!L5</f>
        <v>130.9</v>
      </c>
      <c r="E11" s="638">
        <v>0.18</v>
      </c>
      <c r="F11" s="638">
        <f t="shared" si="0"/>
        <v>23.562000000000001</v>
      </c>
      <c r="G11" s="640">
        <f t="shared" si="1"/>
        <v>0.39269999999999999</v>
      </c>
      <c r="H11" s="799"/>
      <c r="I11" s="569"/>
      <c r="J11" s="569"/>
      <c r="K11" s="569"/>
      <c r="L11" s="569"/>
      <c r="M11" s="569"/>
      <c r="N11" s="569"/>
      <c r="O11" s="569"/>
      <c r="P11" s="569"/>
      <c r="Q11" s="569"/>
      <c r="R11" s="569"/>
      <c r="S11" s="569"/>
      <c r="T11" s="569"/>
      <c r="U11" s="569"/>
    </row>
    <row r="12" spans="1:21" ht="14.7" customHeight="1" x14ac:dyDescent="0.25">
      <c r="A12" s="637" t="str">
        <f>Zones!B6</f>
        <v>Frozen</v>
      </c>
      <c r="B12" s="638" t="s">
        <v>462</v>
      </c>
      <c r="C12" s="639">
        <f>Zones!I6</f>
        <v>6600</v>
      </c>
      <c r="D12" s="639">
        <f>Zones!L6</f>
        <v>112.2</v>
      </c>
      <c r="E12" s="638">
        <v>0.18</v>
      </c>
      <c r="F12" s="638">
        <f t="shared" si="0"/>
        <v>20.196000000000002</v>
      </c>
      <c r="G12" s="640">
        <f t="shared" si="1"/>
        <v>0.33660000000000001</v>
      </c>
      <c r="H12" s="799"/>
      <c r="I12" s="569"/>
      <c r="J12" s="569"/>
      <c r="K12" s="569"/>
      <c r="L12" s="569"/>
      <c r="M12" s="569"/>
      <c r="N12" s="569"/>
      <c r="O12" s="569"/>
      <c r="P12" s="569"/>
      <c r="Q12" s="569"/>
      <c r="R12" s="569"/>
      <c r="S12" s="569"/>
      <c r="T12" s="569"/>
      <c r="U12" s="569"/>
    </row>
    <row r="13" spans="1:21" ht="14.7" customHeight="1" x14ac:dyDescent="0.25">
      <c r="A13" s="637" t="str">
        <f>Zones!B7</f>
        <v>Beverage</v>
      </c>
      <c r="B13" s="638" t="s">
        <v>462</v>
      </c>
      <c r="C13" s="639">
        <f>Zones!I7</f>
        <v>4400</v>
      </c>
      <c r="D13" s="639">
        <f>Zones!L7</f>
        <v>74.8</v>
      </c>
      <c r="E13" s="638">
        <v>0.18</v>
      </c>
      <c r="F13" s="638">
        <f t="shared" si="0"/>
        <v>13.463999999999999</v>
      </c>
      <c r="G13" s="640">
        <f t="shared" si="1"/>
        <v>0.22439999999999999</v>
      </c>
      <c r="H13" s="799"/>
      <c r="I13" s="569"/>
      <c r="J13" s="569"/>
      <c r="K13" s="569"/>
      <c r="L13" s="569"/>
      <c r="M13" s="569"/>
      <c r="N13" s="569"/>
      <c r="O13" s="569"/>
      <c r="P13" s="569"/>
      <c r="Q13" s="569"/>
      <c r="R13" s="569"/>
      <c r="S13" s="569"/>
      <c r="T13" s="569"/>
      <c r="U13" s="569"/>
    </row>
    <row r="14" spans="1:21" ht="14.7" customHeight="1" x14ac:dyDescent="0.25">
      <c r="A14" s="637" t="str">
        <f>Zones!B8</f>
        <v>Bakery and Deli</v>
      </c>
      <c r="B14" s="638" t="s">
        <v>462</v>
      </c>
      <c r="C14" s="639">
        <f>Zones!I8</f>
        <v>4400</v>
      </c>
      <c r="D14" s="639">
        <f>Zones!L8</f>
        <v>74.8</v>
      </c>
      <c r="E14" s="638">
        <v>0.18</v>
      </c>
      <c r="F14" s="638">
        <f t="shared" si="0"/>
        <v>13.463999999999999</v>
      </c>
      <c r="G14" s="640">
        <f t="shared" si="1"/>
        <v>0.22439999999999999</v>
      </c>
      <c r="H14" s="799"/>
      <c r="I14" s="569"/>
      <c r="J14" s="569"/>
      <c r="K14" s="569"/>
      <c r="L14" s="569"/>
      <c r="M14" s="569"/>
      <c r="N14" s="569"/>
      <c r="O14" s="569"/>
      <c r="P14" s="569"/>
      <c r="Q14" s="569"/>
      <c r="R14" s="569"/>
      <c r="S14" s="569"/>
      <c r="T14" s="569"/>
      <c r="U14" s="569"/>
    </row>
    <row r="15" spans="1:21" ht="14.7" customHeight="1" x14ac:dyDescent="0.25">
      <c r="A15" s="637" t="str">
        <f>Zones!B9</f>
        <v>Meat and Dairy</v>
      </c>
      <c r="B15" s="638" t="s">
        <v>462</v>
      </c>
      <c r="C15" s="639">
        <f>Zones!I9</f>
        <v>5000</v>
      </c>
      <c r="D15" s="639">
        <f>Zones!L9</f>
        <v>85</v>
      </c>
      <c r="E15" s="638">
        <v>0.18</v>
      </c>
      <c r="F15" s="638">
        <f t="shared" si="0"/>
        <v>15.299999999999999</v>
      </c>
      <c r="G15" s="640">
        <f t="shared" si="1"/>
        <v>0.255</v>
      </c>
      <c r="H15" s="799"/>
      <c r="I15" s="569"/>
      <c r="J15" s="569"/>
      <c r="K15" s="569"/>
      <c r="L15" s="569"/>
      <c r="M15" s="569"/>
      <c r="N15" s="569"/>
      <c r="O15" s="569"/>
      <c r="P15" s="569"/>
      <c r="Q15" s="569"/>
      <c r="R15" s="569"/>
      <c r="S15" s="569"/>
      <c r="T15" s="569"/>
      <c r="U15" s="569"/>
    </row>
    <row r="16" spans="1:21" ht="14.7" customHeight="1" x14ac:dyDescent="0.25">
      <c r="A16" s="637" t="str">
        <f>Zones!B10</f>
        <v>Back Office</v>
      </c>
      <c r="B16" s="638" t="s">
        <v>462</v>
      </c>
      <c r="C16" s="639">
        <f>Zones!I10</f>
        <v>1200</v>
      </c>
      <c r="D16" s="639">
        <f>Zones!L10</f>
        <v>6</v>
      </c>
      <c r="E16" s="638">
        <v>0.09</v>
      </c>
      <c r="F16" s="638">
        <f t="shared" si="0"/>
        <v>0.54</v>
      </c>
      <c r="G16" s="640">
        <f t="shared" si="1"/>
        <v>9.0000000000000011E-3</v>
      </c>
      <c r="H16" s="799"/>
      <c r="I16" s="569"/>
      <c r="J16" s="569"/>
      <c r="K16" s="569"/>
      <c r="L16" s="569"/>
      <c r="M16" s="569"/>
      <c r="N16" s="569"/>
      <c r="O16" s="569"/>
      <c r="P16" s="569"/>
      <c r="Q16" s="569"/>
      <c r="R16" s="569"/>
      <c r="S16" s="569"/>
      <c r="T16" s="569"/>
      <c r="U16" s="569"/>
    </row>
    <row r="17" spans="1:21" ht="14.7" customHeight="1" x14ac:dyDescent="0.25">
      <c r="A17" s="637" t="str">
        <f>Zones!B11</f>
        <v>Loading Dock EL1</v>
      </c>
      <c r="B17" s="638" t="s">
        <v>462</v>
      </c>
      <c r="C17" s="639">
        <f>Zones!I11</f>
        <v>3200</v>
      </c>
      <c r="D17" s="639">
        <f>Zones!L11</f>
        <v>6.4</v>
      </c>
      <c r="E17" s="638">
        <v>0.18</v>
      </c>
      <c r="F17" s="638">
        <f t="shared" si="0"/>
        <v>1.1519999999999999</v>
      </c>
      <c r="G17" s="640">
        <f t="shared" si="1"/>
        <v>1.9199999999999998E-2</v>
      </c>
      <c r="H17" s="799"/>
      <c r="I17" s="569"/>
      <c r="J17" s="569"/>
      <c r="K17" s="569"/>
      <c r="L17" s="569"/>
      <c r="M17" s="569"/>
      <c r="N17" s="569"/>
      <c r="O17" s="569"/>
      <c r="P17" s="569"/>
      <c r="Q17" s="569"/>
      <c r="R17" s="569"/>
      <c r="S17" s="569"/>
      <c r="T17" s="569"/>
      <c r="U17" s="569"/>
    </row>
    <row r="18" spans="1:21" ht="14.7" customHeight="1" x14ac:dyDescent="0.25">
      <c r="A18" s="637" t="str">
        <f>Zones!B12</f>
        <v>Food Prep</v>
      </c>
      <c r="B18" s="638" t="s">
        <v>462</v>
      </c>
      <c r="C18" s="639">
        <f>Zones!I12</f>
        <v>2100</v>
      </c>
      <c r="D18" s="639">
        <f>Zones!L12</f>
        <v>0</v>
      </c>
      <c r="E18" s="638">
        <v>0.18</v>
      </c>
      <c r="F18" s="638">
        <f t="shared" si="0"/>
        <v>0</v>
      </c>
      <c r="G18" s="640">
        <f t="shared" si="1"/>
        <v>0</v>
      </c>
      <c r="H18" s="799"/>
      <c r="I18" s="569"/>
      <c r="J18" s="569"/>
      <c r="K18" s="569"/>
      <c r="L18" s="569"/>
      <c r="M18" s="569"/>
      <c r="N18" s="569"/>
      <c r="O18" s="569"/>
      <c r="P18" s="569"/>
      <c r="Q18" s="569"/>
      <c r="R18" s="569"/>
      <c r="S18" s="569"/>
      <c r="T18" s="569"/>
      <c r="U18" s="569"/>
    </row>
    <row r="19" spans="1:21" ht="14.7" customHeight="1" x14ac:dyDescent="0.25">
      <c r="A19" s="637" t="str">
        <f>Zones!B13</f>
        <v>RefWalkInCool Core</v>
      </c>
      <c r="B19" s="638" t="s">
        <v>462</v>
      </c>
      <c r="C19" s="639">
        <f>Zones!I13</f>
        <v>500</v>
      </c>
      <c r="D19" s="639">
        <f>Zones!L13</f>
        <v>0</v>
      </c>
      <c r="E19" s="638">
        <v>0.18</v>
      </c>
      <c r="F19" s="638">
        <f t="shared" si="0"/>
        <v>0</v>
      </c>
      <c r="G19" s="640">
        <f t="shared" si="1"/>
        <v>0</v>
      </c>
      <c r="H19" s="799"/>
      <c r="I19" s="569"/>
      <c r="J19" s="569"/>
      <c r="K19" s="569"/>
      <c r="L19" s="569"/>
      <c r="M19" s="569"/>
      <c r="N19" s="569"/>
      <c r="O19" s="569"/>
      <c r="P19" s="569"/>
      <c r="Q19" s="569"/>
      <c r="R19" s="569"/>
      <c r="S19" s="569"/>
      <c r="T19" s="569"/>
      <c r="U19" s="569"/>
    </row>
    <row r="20" spans="1:21" ht="14.7" customHeight="1" x14ac:dyDescent="0.25">
      <c r="A20" s="637" t="str">
        <f>Zones!B14</f>
        <v>Ref WalkInFreezer Core</v>
      </c>
      <c r="B20" s="638" t="s">
        <v>462</v>
      </c>
      <c r="C20" s="639">
        <f>Zones!I14</f>
        <v>500</v>
      </c>
      <c r="D20" s="639">
        <f>Zones!L14</f>
        <v>0</v>
      </c>
      <c r="E20" s="638">
        <v>0.18</v>
      </c>
      <c r="F20" s="638">
        <f t="shared" si="0"/>
        <v>0</v>
      </c>
      <c r="G20" s="640">
        <f t="shared" si="1"/>
        <v>0</v>
      </c>
      <c r="H20" s="799"/>
      <c r="I20" s="569"/>
      <c r="J20" s="569"/>
      <c r="K20" s="569"/>
      <c r="L20" s="569"/>
      <c r="M20" s="569"/>
      <c r="N20" s="569"/>
      <c r="O20" s="569"/>
      <c r="P20" s="569"/>
      <c r="Q20" s="569"/>
      <c r="R20" s="569"/>
      <c r="S20" s="569"/>
      <c r="T20" s="569"/>
      <c r="U20" s="569"/>
    </row>
    <row r="21" spans="1:21" ht="20.25" customHeight="1" x14ac:dyDescent="0.25">
      <c r="A21" s="641" t="s">
        <v>464</v>
      </c>
      <c r="B21" s="800" t="s">
        <v>465</v>
      </c>
      <c r="C21" s="801"/>
      <c r="D21" s="801"/>
      <c r="E21" s="802"/>
      <c r="F21" s="642">
        <f>_xlfn.LET(
  _xlpm.g,SUMIF($B$9:$B$20,"Gas*",$F$9:$F$20),
  _xlpm.e,SUMIF($B$9:$B$20,"Electric*",$F$9:$F$20),
  IF(AND(_xlpm.g&gt;0,_xlpm.e&gt;0),_xlpm.g,IF(_xlpm.g&gt;0,MAX(75,_xlpm.g),0)))</f>
        <v>0</v>
      </c>
      <c r="G21" s="373"/>
      <c r="H21" s="803" t="s">
        <v>466</v>
      </c>
    </row>
    <row r="22" spans="1:21" ht="19.5" customHeight="1" x14ac:dyDescent="0.25">
      <c r="A22" s="641" t="s">
        <v>467</v>
      </c>
      <c r="B22" s="800" t="s">
        <v>468</v>
      </c>
      <c r="C22" s="801"/>
      <c r="D22" s="801"/>
      <c r="E22" s="802"/>
      <c r="F22" s="642">
        <f>_xlfn.LET(
  _xlpm.g,SUMIF($B$9:$B$20,"Gas*",$F$9:$F$20),
  _xlpm.e,SUMIF($B$9:$B$20,"Electric*",$F$9:$F$20),
  IF(AND(_xlpm.g&gt;0,_xlpm.e&gt;0),_xlpm.e,IF(_xlpm.e&gt;0,MAX(75,_xlpm.e),0)))</f>
        <v>131.74199999999996</v>
      </c>
      <c r="G22" s="373"/>
      <c r="H22" s="804"/>
    </row>
    <row r="23" spans="1:21" s="374" customFormat="1" ht="14.4" x14ac:dyDescent="0.3">
      <c r="A23"/>
      <c r="B23"/>
      <c r="C23"/>
      <c r="D23"/>
      <c r="E23"/>
      <c r="F23"/>
      <c r="G23"/>
      <c r="H23"/>
      <c r="I23"/>
      <c r="J23"/>
    </row>
    <row r="24" spans="1:21" s="374" customFormat="1" ht="14.4" x14ac:dyDescent="0.3">
      <c r="A24"/>
      <c r="B24"/>
      <c r="C24"/>
      <c r="D24"/>
      <c r="E24"/>
      <c r="F24"/>
      <c r="G24"/>
      <c r="H24"/>
      <c r="I24"/>
      <c r="J24"/>
    </row>
    <row r="25" spans="1:21" s="374" customFormat="1" ht="14.4" x14ac:dyDescent="0.3">
      <c r="A25"/>
      <c r="B25"/>
      <c r="C25"/>
      <c r="D25"/>
      <c r="E25"/>
      <c r="F25"/>
      <c r="G25"/>
      <c r="H25"/>
      <c r="I25"/>
      <c r="J25"/>
    </row>
    <row r="26" spans="1:21" s="374" customFormat="1" ht="15" customHeight="1" x14ac:dyDescent="0.3">
      <c r="A26" s="643" t="s">
        <v>469</v>
      </c>
      <c r="B26" s="644">
        <v>135</v>
      </c>
      <c r="C26" s="645" t="s">
        <v>470</v>
      </c>
      <c r="D26" s="375"/>
      <c r="E26" s="375"/>
      <c r="F26"/>
      <c r="G26"/>
      <c r="H26"/>
      <c r="I26"/>
      <c r="J26"/>
    </row>
    <row r="27" spans="1:21" s="374" customFormat="1" ht="15" customHeight="1" x14ac:dyDescent="0.3">
      <c r="A27" s="375" t="s">
        <v>471</v>
      </c>
      <c r="B27" s="646">
        <v>0.6</v>
      </c>
      <c r="C27" s="645" t="s">
        <v>472</v>
      </c>
      <c r="D27" s="376"/>
      <c r="E27" s="376"/>
      <c r="F27"/>
      <c r="G27"/>
      <c r="H27"/>
      <c r="I27"/>
      <c r="J27"/>
    </row>
    <row r="28" spans="1:21" s="374" customFormat="1" ht="14.4" x14ac:dyDescent="0.3">
      <c r="A28" s="647" t="s">
        <v>473</v>
      </c>
      <c r="B28" s="648">
        <v>8.2876999999999992</v>
      </c>
      <c r="C28" s="645" t="s">
        <v>472</v>
      </c>
      <c r="D28" s="645"/>
      <c r="E28" s="645"/>
      <c r="F28"/>
      <c r="G28"/>
      <c r="H28"/>
      <c r="I28"/>
      <c r="J28"/>
    </row>
    <row r="29" spans="1:21" s="374" customFormat="1" ht="14.4" x14ac:dyDescent="0.3">
      <c r="A29" s="374" t="s">
        <v>474</v>
      </c>
      <c r="B29" s="377">
        <v>0.4</v>
      </c>
      <c r="C29" s="378" t="s">
        <v>475</v>
      </c>
      <c r="D29" s="378"/>
      <c r="F29" s="378"/>
      <c r="G29" s="378"/>
    </row>
    <row r="30" spans="1:21" s="374" customFormat="1" ht="26.1" customHeight="1" x14ac:dyDescent="0.25">
      <c r="A30" s="789" t="s">
        <v>476</v>
      </c>
      <c r="B30" s="790"/>
      <c r="C30" s="790"/>
      <c r="D30" s="790"/>
      <c r="E30" s="790"/>
      <c r="F30" s="790"/>
      <c r="G30" s="790"/>
      <c r="H30" s="790"/>
      <c r="I30" s="790"/>
      <c r="J30" s="790"/>
      <c r="K30" s="790"/>
    </row>
    <row r="31" spans="1:21" s="374" customFormat="1" ht="48.75" customHeight="1" x14ac:dyDescent="0.3">
      <c r="A31" s="649" t="s">
        <v>477</v>
      </c>
      <c r="B31" s="649" t="s">
        <v>478</v>
      </c>
      <c r="C31" s="649" t="s">
        <v>479</v>
      </c>
      <c r="D31" s="649" t="s">
        <v>480</v>
      </c>
      <c r="E31" s="649" t="s">
        <v>481</v>
      </c>
      <c r="F31" s="649" t="s">
        <v>482</v>
      </c>
      <c r="G31" s="791" t="s">
        <v>483</v>
      </c>
      <c r="H31" s="792"/>
      <c r="I31" s="793" t="s">
        <v>484</v>
      </c>
      <c r="J31" s="793"/>
      <c r="K31" s="650" t="s">
        <v>485</v>
      </c>
      <c r="L31"/>
    </row>
    <row r="32" spans="1:21" s="374" customFormat="1" ht="18.75" customHeight="1" x14ac:dyDescent="0.25">
      <c r="A32" s="651" t="s">
        <v>486</v>
      </c>
      <c r="B32" s="652">
        <v>47.9</v>
      </c>
      <c r="C32" s="653">
        <f t="shared" ref="C32:C47" si="2">$F$22*($B$26-B32)*$B$28</f>
        <v>95099.10490313996</v>
      </c>
      <c r="D32" s="653">
        <f t="shared" ref="D32:D47" si="3">C32*$B$27</f>
        <v>57059.462941883976</v>
      </c>
      <c r="E32" s="653">
        <f t="shared" ref="E32:E47" si="4">_xlfn.LET(_xlpm.x,_xlfn.XLOOKUP(D32,$D$53:$D$67,$D$53:$D$67,"",1),IF(_xlpm.x="",ROUNDUP(D32,0),_xlpm.x))</f>
        <v>61419</v>
      </c>
      <c r="F32" s="653">
        <f t="shared" ref="F32:F47" si="5">_xlfn.LET(_xlpm.v,MAX(30,$F$22*$B$29),_xlpm.x,_xlfn.XLOOKUP(_xlpm.v,$G$53:$G$67,$G$53:$G$67,"",1),IF(_xlpm.x="",ROUNDUP(_xlpm.v,0),_xlpm.x))</f>
        <v>65</v>
      </c>
      <c r="G32" s="654">
        <f t="shared" ref="G32:G47" si="6">0.3+27/F32</f>
        <v>0.7153846153846154</v>
      </c>
      <c r="H32" s="653" t="str">
        <f t="shared" ref="H32:H47" si="7">IF($F$22&gt;0,"%/hr","Btu/hr")</f>
        <v>%/hr</v>
      </c>
      <c r="I32" s="655">
        <f t="shared" ref="I32:I47" si="8">0.0834*G32*F32</f>
        <v>3.8780999999999999</v>
      </c>
      <c r="J32" s="656" t="s">
        <v>487</v>
      </c>
      <c r="K32" s="794" t="s">
        <v>488</v>
      </c>
    </row>
    <row r="33" spans="1:11" s="374" customFormat="1" ht="18.75" customHeight="1" x14ac:dyDescent="0.25">
      <c r="A33" s="651" t="s">
        <v>489</v>
      </c>
      <c r="B33" s="652">
        <v>50.8</v>
      </c>
      <c r="C33" s="653">
        <f t="shared" si="2"/>
        <v>91932.774200279964</v>
      </c>
      <c r="D33" s="653">
        <f t="shared" si="3"/>
        <v>55159.664520167978</v>
      </c>
      <c r="E33" s="653">
        <f t="shared" si="4"/>
        <v>61419</v>
      </c>
      <c r="F33" s="653">
        <f t="shared" si="5"/>
        <v>65</v>
      </c>
      <c r="G33" s="654">
        <f t="shared" si="6"/>
        <v>0.7153846153846154</v>
      </c>
      <c r="H33" s="653" t="str">
        <f t="shared" si="7"/>
        <v>%/hr</v>
      </c>
      <c r="I33" s="655">
        <f t="shared" si="8"/>
        <v>3.8780999999999999</v>
      </c>
      <c r="J33" s="656" t="s">
        <v>487</v>
      </c>
      <c r="K33" s="795"/>
    </row>
    <row r="34" spans="1:11" s="374" customFormat="1" ht="18.75" customHeight="1" x14ac:dyDescent="0.25">
      <c r="A34" s="651" t="s">
        <v>490</v>
      </c>
      <c r="B34" s="652">
        <v>52.2</v>
      </c>
      <c r="C34" s="653">
        <f t="shared" si="2"/>
        <v>90404.200757519968</v>
      </c>
      <c r="D34" s="653">
        <f t="shared" si="3"/>
        <v>54242.520454511978</v>
      </c>
      <c r="E34" s="653">
        <f t="shared" si="4"/>
        <v>61419</v>
      </c>
      <c r="F34" s="653">
        <f t="shared" si="5"/>
        <v>65</v>
      </c>
      <c r="G34" s="654">
        <f t="shared" si="6"/>
        <v>0.7153846153846154</v>
      </c>
      <c r="H34" s="653" t="str">
        <f t="shared" si="7"/>
        <v>%/hr</v>
      </c>
      <c r="I34" s="655">
        <f t="shared" si="8"/>
        <v>3.8780999999999999</v>
      </c>
      <c r="J34" s="656" t="s">
        <v>487</v>
      </c>
      <c r="K34" s="795"/>
    </row>
    <row r="35" spans="1:11" s="374" customFormat="1" ht="18.75" customHeight="1" x14ac:dyDescent="0.25">
      <c r="A35" s="651" t="s">
        <v>491</v>
      </c>
      <c r="B35" s="652">
        <v>52.7</v>
      </c>
      <c r="C35" s="653">
        <f t="shared" si="2"/>
        <v>89858.281670819953</v>
      </c>
      <c r="D35" s="653">
        <f t="shared" si="3"/>
        <v>53914.969002491969</v>
      </c>
      <c r="E35" s="653">
        <f t="shared" si="4"/>
        <v>61419</v>
      </c>
      <c r="F35" s="653">
        <f t="shared" si="5"/>
        <v>65</v>
      </c>
      <c r="G35" s="654">
        <f t="shared" si="6"/>
        <v>0.7153846153846154</v>
      </c>
      <c r="H35" s="653" t="str">
        <f t="shared" si="7"/>
        <v>%/hr</v>
      </c>
      <c r="I35" s="655">
        <f t="shared" si="8"/>
        <v>3.8780999999999999</v>
      </c>
      <c r="J35" s="656" t="s">
        <v>487</v>
      </c>
      <c r="K35" s="795"/>
    </row>
    <row r="36" spans="1:11" s="374" customFormat="1" ht="18.75" customHeight="1" x14ac:dyDescent="0.25">
      <c r="A36" s="651" t="s">
        <v>492</v>
      </c>
      <c r="B36" s="652">
        <v>51.6</v>
      </c>
      <c r="C36" s="653">
        <f t="shared" si="2"/>
        <v>91059.30366155997</v>
      </c>
      <c r="D36" s="653">
        <f t="shared" si="3"/>
        <v>54635.582196935982</v>
      </c>
      <c r="E36" s="653">
        <f t="shared" si="4"/>
        <v>61419</v>
      </c>
      <c r="F36" s="653">
        <f t="shared" si="5"/>
        <v>65</v>
      </c>
      <c r="G36" s="654">
        <f t="shared" si="6"/>
        <v>0.7153846153846154</v>
      </c>
      <c r="H36" s="653" t="str">
        <f t="shared" si="7"/>
        <v>%/hr</v>
      </c>
      <c r="I36" s="655">
        <f t="shared" si="8"/>
        <v>3.8780999999999999</v>
      </c>
      <c r="J36" s="656" t="s">
        <v>487</v>
      </c>
      <c r="K36" s="795"/>
    </row>
    <row r="37" spans="1:11" s="374" customFormat="1" ht="18.75" customHeight="1" x14ac:dyDescent="0.25">
      <c r="A37" s="651" t="s">
        <v>493</v>
      </c>
      <c r="B37" s="652">
        <v>56.8</v>
      </c>
      <c r="C37" s="653">
        <f t="shared" si="2"/>
        <v>85381.745159879967</v>
      </c>
      <c r="D37" s="653">
        <f t="shared" si="3"/>
        <v>51229.047095927977</v>
      </c>
      <c r="E37" s="653">
        <f t="shared" si="4"/>
        <v>61419</v>
      </c>
      <c r="F37" s="653">
        <f t="shared" si="5"/>
        <v>65</v>
      </c>
      <c r="G37" s="654">
        <f t="shared" si="6"/>
        <v>0.7153846153846154</v>
      </c>
      <c r="H37" s="653" t="str">
        <f t="shared" si="7"/>
        <v>%/hr</v>
      </c>
      <c r="I37" s="655">
        <f t="shared" si="8"/>
        <v>3.8780999999999999</v>
      </c>
      <c r="J37" s="656" t="s">
        <v>487</v>
      </c>
      <c r="K37" s="795"/>
    </row>
    <row r="38" spans="1:11" s="374" customFormat="1" ht="18.75" customHeight="1" x14ac:dyDescent="0.25">
      <c r="A38" s="651" t="s">
        <v>494</v>
      </c>
      <c r="B38" s="652">
        <v>58.4</v>
      </c>
      <c r="C38" s="653">
        <f t="shared" si="2"/>
        <v>83634.804082439965</v>
      </c>
      <c r="D38" s="653">
        <f t="shared" si="3"/>
        <v>50180.882449463978</v>
      </c>
      <c r="E38" s="653">
        <f t="shared" si="4"/>
        <v>61419</v>
      </c>
      <c r="F38" s="653">
        <f t="shared" si="5"/>
        <v>65</v>
      </c>
      <c r="G38" s="654">
        <f t="shared" si="6"/>
        <v>0.7153846153846154</v>
      </c>
      <c r="H38" s="653" t="str">
        <f t="shared" si="7"/>
        <v>%/hr</v>
      </c>
      <c r="I38" s="655">
        <f t="shared" si="8"/>
        <v>3.8780999999999999</v>
      </c>
      <c r="J38" s="656" t="s">
        <v>487</v>
      </c>
      <c r="K38" s="795"/>
    </row>
    <row r="39" spans="1:11" s="374" customFormat="1" ht="18.75" customHeight="1" x14ac:dyDescent="0.25">
      <c r="A39" s="651" t="s">
        <v>495</v>
      </c>
      <c r="B39" s="652">
        <v>58.4</v>
      </c>
      <c r="C39" s="653">
        <f t="shared" si="2"/>
        <v>83634.804082439965</v>
      </c>
      <c r="D39" s="653">
        <f t="shared" si="3"/>
        <v>50180.882449463978</v>
      </c>
      <c r="E39" s="653">
        <f t="shared" si="4"/>
        <v>61419</v>
      </c>
      <c r="F39" s="653">
        <f t="shared" si="5"/>
        <v>65</v>
      </c>
      <c r="G39" s="654">
        <f t="shared" si="6"/>
        <v>0.7153846153846154</v>
      </c>
      <c r="H39" s="653" t="str">
        <f t="shared" si="7"/>
        <v>%/hr</v>
      </c>
      <c r="I39" s="655">
        <f t="shared" si="8"/>
        <v>3.8780999999999999</v>
      </c>
      <c r="J39" s="656" t="s">
        <v>487</v>
      </c>
      <c r="K39" s="795"/>
    </row>
    <row r="40" spans="1:11" s="374" customFormat="1" ht="18.75" customHeight="1" x14ac:dyDescent="0.25">
      <c r="A40" s="651" t="s">
        <v>496</v>
      </c>
      <c r="B40" s="652">
        <v>57.6</v>
      </c>
      <c r="C40" s="653">
        <f t="shared" si="2"/>
        <v>84508.274621159973</v>
      </c>
      <c r="D40" s="653">
        <f t="shared" si="3"/>
        <v>50704.964772695981</v>
      </c>
      <c r="E40" s="653">
        <f t="shared" si="4"/>
        <v>61419</v>
      </c>
      <c r="F40" s="653">
        <f t="shared" si="5"/>
        <v>65</v>
      </c>
      <c r="G40" s="654">
        <f t="shared" si="6"/>
        <v>0.7153846153846154</v>
      </c>
      <c r="H40" s="653" t="str">
        <f t="shared" si="7"/>
        <v>%/hr</v>
      </c>
      <c r="I40" s="655">
        <f t="shared" si="8"/>
        <v>3.8780999999999999</v>
      </c>
      <c r="J40" s="656" t="s">
        <v>487</v>
      </c>
      <c r="K40" s="795"/>
    </row>
    <row r="41" spans="1:11" s="374" customFormat="1" ht="18.75" customHeight="1" x14ac:dyDescent="0.25">
      <c r="A41" s="651" t="s">
        <v>227</v>
      </c>
      <c r="B41" s="652">
        <v>57.1</v>
      </c>
      <c r="C41" s="653">
        <f t="shared" si="2"/>
        <v>85054.193707859973</v>
      </c>
      <c r="D41" s="653">
        <f t="shared" si="3"/>
        <v>51032.516224715982</v>
      </c>
      <c r="E41" s="653">
        <f t="shared" si="4"/>
        <v>61419</v>
      </c>
      <c r="F41" s="653">
        <f t="shared" si="5"/>
        <v>65</v>
      </c>
      <c r="G41" s="654">
        <f t="shared" si="6"/>
        <v>0.7153846153846154</v>
      </c>
      <c r="H41" s="653" t="str">
        <f t="shared" si="7"/>
        <v>%/hr</v>
      </c>
      <c r="I41" s="655">
        <f t="shared" si="8"/>
        <v>3.8780999999999999</v>
      </c>
      <c r="J41" s="656" t="s">
        <v>487</v>
      </c>
      <c r="K41" s="795"/>
    </row>
    <row r="42" spans="1:11" s="374" customFormat="1" ht="18.75" customHeight="1" x14ac:dyDescent="0.25">
      <c r="A42" s="651" t="s">
        <v>228</v>
      </c>
      <c r="B42" s="652">
        <v>50.5</v>
      </c>
      <c r="C42" s="653">
        <f t="shared" si="2"/>
        <v>92260.325652299958</v>
      </c>
      <c r="D42" s="653">
        <f t="shared" si="3"/>
        <v>55356.195391379973</v>
      </c>
      <c r="E42" s="653">
        <f t="shared" si="4"/>
        <v>61419</v>
      </c>
      <c r="F42" s="653">
        <f t="shared" si="5"/>
        <v>65</v>
      </c>
      <c r="G42" s="654">
        <f t="shared" si="6"/>
        <v>0.7153846153846154</v>
      </c>
      <c r="H42" s="653" t="str">
        <f t="shared" si="7"/>
        <v>%/hr</v>
      </c>
      <c r="I42" s="655">
        <f t="shared" si="8"/>
        <v>3.8780999999999999</v>
      </c>
      <c r="J42" s="656" t="s">
        <v>487</v>
      </c>
      <c r="K42" s="795"/>
    </row>
    <row r="43" spans="1:11" s="374" customFormat="1" ht="18.75" customHeight="1" x14ac:dyDescent="0.25">
      <c r="A43" s="651" t="s">
        <v>229</v>
      </c>
      <c r="B43" s="652">
        <v>51.4</v>
      </c>
      <c r="C43" s="653">
        <f t="shared" si="2"/>
        <v>91277.671296239962</v>
      </c>
      <c r="D43" s="653">
        <f t="shared" si="3"/>
        <v>54766.602777743974</v>
      </c>
      <c r="E43" s="653">
        <f t="shared" si="4"/>
        <v>61419</v>
      </c>
      <c r="F43" s="653">
        <f t="shared" si="5"/>
        <v>65</v>
      </c>
      <c r="G43" s="654">
        <f t="shared" si="6"/>
        <v>0.7153846153846154</v>
      </c>
      <c r="H43" s="653" t="str">
        <f t="shared" si="7"/>
        <v>%/hr</v>
      </c>
      <c r="I43" s="655">
        <f t="shared" si="8"/>
        <v>3.8780999999999999</v>
      </c>
      <c r="J43" s="656" t="s">
        <v>487</v>
      </c>
      <c r="K43" s="795"/>
    </row>
    <row r="44" spans="1:11" s="374" customFormat="1" ht="18.75" customHeight="1" x14ac:dyDescent="0.25">
      <c r="A44" s="651" t="s">
        <v>230</v>
      </c>
      <c r="B44" s="652">
        <v>51.7</v>
      </c>
      <c r="C44" s="653">
        <f t="shared" si="2"/>
        <v>90950.119844219953</v>
      </c>
      <c r="D44" s="653">
        <f t="shared" si="3"/>
        <v>54570.071906531972</v>
      </c>
      <c r="E44" s="653">
        <f t="shared" si="4"/>
        <v>61419</v>
      </c>
      <c r="F44" s="653">
        <f t="shared" si="5"/>
        <v>65</v>
      </c>
      <c r="G44" s="654">
        <f t="shared" si="6"/>
        <v>0.7153846153846154</v>
      </c>
      <c r="H44" s="653" t="str">
        <f t="shared" si="7"/>
        <v>%/hr</v>
      </c>
      <c r="I44" s="655">
        <f t="shared" si="8"/>
        <v>3.8780999999999999</v>
      </c>
      <c r="J44" s="656" t="s">
        <v>487</v>
      </c>
      <c r="K44" s="795"/>
    </row>
    <row r="45" spans="1:11" s="374" customFormat="1" ht="18.75" customHeight="1" x14ac:dyDescent="0.25">
      <c r="A45" s="651" t="s">
        <v>231</v>
      </c>
      <c r="B45" s="652">
        <v>50.1</v>
      </c>
      <c r="C45" s="653">
        <f t="shared" si="2"/>
        <v>92697.06092165997</v>
      </c>
      <c r="D45" s="653">
        <f t="shared" si="3"/>
        <v>55618.236552995979</v>
      </c>
      <c r="E45" s="653">
        <f t="shared" si="4"/>
        <v>61419</v>
      </c>
      <c r="F45" s="653">
        <f t="shared" si="5"/>
        <v>65</v>
      </c>
      <c r="G45" s="654">
        <f t="shared" si="6"/>
        <v>0.7153846153846154</v>
      </c>
      <c r="H45" s="653" t="str">
        <f t="shared" si="7"/>
        <v>%/hr</v>
      </c>
      <c r="I45" s="655">
        <f t="shared" si="8"/>
        <v>3.8780999999999999</v>
      </c>
      <c r="J45" s="656" t="s">
        <v>487</v>
      </c>
      <c r="K45" s="795"/>
    </row>
    <row r="46" spans="1:11" s="374" customFormat="1" ht="18.75" customHeight="1" x14ac:dyDescent="0.25">
      <c r="A46" s="651" t="s">
        <v>232</v>
      </c>
      <c r="B46" s="652">
        <v>63.2</v>
      </c>
      <c r="C46" s="653">
        <f t="shared" si="2"/>
        <v>78393.980850119959</v>
      </c>
      <c r="D46" s="653">
        <f t="shared" si="3"/>
        <v>47036.388510071971</v>
      </c>
      <c r="E46" s="653">
        <f t="shared" si="4"/>
        <v>61419</v>
      </c>
      <c r="F46" s="653">
        <f t="shared" si="5"/>
        <v>65</v>
      </c>
      <c r="G46" s="654">
        <f t="shared" si="6"/>
        <v>0.7153846153846154</v>
      </c>
      <c r="H46" s="653" t="str">
        <f t="shared" si="7"/>
        <v>%/hr</v>
      </c>
      <c r="I46" s="655">
        <f t="shared" si="8"/>
        <v>3.8780999999999999</v>
      </c>
      <c r="J46" s="656" t="s">
        <v>487</v>
      </c>
      <c r="K46" s="795"/>
    </row>
    <row r="47" spans="1:11" s="374" customFormat="1" ht="18.75" customHeight="1" x14ac:dyDescent="0.25">
      <c r="A47" s="651" t="s">
        <v>233</v>
      </c>
      <c r="B47" s="652">
        <v>41.4</v>
      </c>
      <c r="C47" s="653">
        <f t="shared" si="2"/>
        <v>102196.05303023996</v>
      </c>
      <c r="D47" s="653">
        <f t="shared" si="3"/>
        <v>61317.631818143971</v>
      </c>
      <c r="E47" s="653">
        <f t="shared" si="4"/>
        <v>61419</v>
      </c>
      <c r="F47" s="653">
        <f t="shared" si="5"/>
        <v>65</v>
      </c>
      <c r="G47" s="654">
        <f t="shared" si="6"/>
        <v>0.7153846153846154</v>
      </c>
      <c r="H47" s="653" t="str">
        <f t="shared" si="7"/>
        <v>%/hr</v>
      </c>
      <c r="I47" s="655">
        <f t="shared" si="8"/>
        <v>3.8780999999999999</v>
      </c>
      <c r="J47" s="656" t="s">
        <v>487</v>
      </c>
      <c r="K47" s="796"/>
    </row>
    <row r="48" spans="1:11" s="374" customFormat="1" ht="14.4" x14ac:dyDescent="0.3">
      <c r="C48" s="378"/>
      <c r="D48" s="378"/>
      <c r="F48" s="378"/>
      <c r="G48" s="378"/>
    </row>
    <row r="49" spans="1:9" s="374" customFormat="1" ht="14.4" x14ac:dyDescent="0.3">
      <c r="C49" s="378"/>
      <c r="D49" s="378"/>
      <c r="F49" s="378"/>
      <c r="G49" s="378"/>
    </row>
    <row r="50" spans="1:9" s="374" customFormat="1" ht="14.4" x14ac:dyDescent="0.3">
      <c r="C50" s="378"/>
      <c r="D50" s="378"/>
      <c r="F50" s="378"/>
      <c r="G50" s="378"/>
    </row>
    <row r="51" spans="1:9" s="374" customFormat="1" ht="24.75" customHeight="1" x14ac:dyDescent="0.25">
      <c r="A51" s="787" t="s">
        <v>497</v>
      </c>
      <c r="B51" s="729"/>
      <c r="C51" s="729"/>
      <c r="D51" s="729"/>
      <c r="E51" s="729"/>
      <c r="F51" s="729"/>
      <c r="G51" s="729"/>
      <c r="H51" s="729"/>
    </row>
    <row r="52" spans="1:9" s="380" customFormat="1" ht="25.95" customHeight="1" x14ac:dyDescent="0.25">
      <c r="A52" s="659" t="s">
        <v>498</v>
      </c>
      <c r="B52" s="660" t="s">
        <v>499</v>
      </c>
      <c r="C52" s="661" t="s">
        <v>500</v>
      </c>
      <c r="D52" s="662" t="s">
        <v>501</v>
      </c>
      <c r="E52" s="662" t="s">
        <v>502</v>
      </c>
      <c r="F52" s="662" t="s">
        <v>503</v>
      </c>
      <c r="G52" s="663" t="s">
        <v>504</v>
      </c>
      <c r="H52" s="664" t="s">
        <v>505</v>
      </c>
      <c r="I52" s="379" t="str">
        <f>HYPERLINK("#'Note'!A1","Sources and links → Note tab")</f>
        <v>Sources and links → Note tab</v>
      </c>
    </row>
    <row r="53" spans="1:9" s="374" customFormat="1" ht="13.8" x14ac:dyDescent="0.25">
      <c r="A53" s="665">
        <v>60000</v>
      </c>
      <c r="B53" s="461" t="s">
        <v>506</v>
      </c>
      <c r="C53" s="666">
        <v>1.5</v>
      </c>
      <c r="D53" s="667">
        <v>5118</v>
      </c>
      <c r="E53" s="666">
        <v>34</v>
      </c>
      <c r="F53" s="666" t="s">
        <v>507</v>
      </c>
      <c r="G53" s="666">
        <v>6</v>
      </c>
      <c r="H53" s="668" t="s">
        <v>506</v>
      </c>
    </row>
    <row r="54" spans="1:9" s="374" customFormat="1" ht="13.8" x14ac:dyDescent="0.25">
      <c r="A54" s="669">
        <v>75100</v>
      </c>
      <c r="B54" s="462" t="s">
        <v>506</v>
      </c>
      <c r="C54" s="670">
        <v>2</v>
      </c>
      <c r="D54" s="671">
        <v>6824</v>
      </c>
      <c r="E54" s="670">
        <v>35</v>
      </c>
      <c r="F54" s="670" t="s">
        <v>506</v>
      </c>
      <c r="G54" s="670">
        <v>10</v>
      </c>
      <c r="H54" s="672" t="s">
        <v>506</v>
      </c>
    </row>
    <row r="55" spans="1:9" s="374" customFormat="1" ht="13.8" x14ac:dyDescent="0.25">
      <c r="A55" s="669">
        <v>76000</v>
      </c>
      <c r="B55" s="462" t="s">
        <v>508</v>
      </c>
      <c r="C55" s="670">
        <v>3</v>
      </c>
      <c r="D55" s="671">
        <v>10236</v>
      </c>
      <c r="E55" s="670">
        <v>48</v>
      </c>
      <c r="F55" s="670" t="s">
        <v>506</v>
      </c>
      <c r="G55" s="670">
        <v>15</v>
      </c>
      <c r="H55" s="672" t="s">
        <v>506</v>
      </c>
    </row>
    <row r="56" spans="1:9" s="374" customFormat="1" ht="13.8" x14ac:dyDescent="0.25">
      <c r="A56" s="669">
        <v>80000</v>
      </c>
      <c r="B56" s="462" t="s">
        <v>506</v>
      </c>
      <c r="C56" s="670">
        <v>4.5</v>
      </c>
      <c r="D56" s="671">
        <v>15355</v>
      </c>
      <c r="E56" s="670">
        <v>50</v>
      </c>
      <c r="F56" s="670" t="s">
        <v>508</v>
      </c>
      <c r="G56" s="670">
        <v>20</v>
      </c>
      <c r="H56" s="672" t="s">
        <v>506</v>
      </c>
    </row>
    <row r="57" spans="1:9" s="374" customFormat="1" ht="13.8" x14ac:dyDescent="0.25">
      <c r="A57" s="669">
        <v>99900</v>
      </c>
      <c r="B57" s="462" t="s">
        <v>507</v>
      </c>
      <c r="C57" s="670">
        <v>6</v>
      </c>
      <c r="D57" s="671">
        <v>20473</v>
      </c>
      <c r="E57" s="670">
        <v>55</v>
      </c>
      <c r="F57" s="670" t="s">
        <v>507</v>
      </c>
      <c r="G57" s="670">
        <v>28</v>
      </c>
      <c r="H57" s="672" t="s">
        <v>506</v>
      </c>
    </row>
    <row r="58" spans="1:9" s="374" customFormat="1" ht="13.8" x14ac:dyDescent="0.25">
      <c r="A58" s="669">
        <v>100000</v>
      </c>
      <c r="B58" s="462" t="s">
        <v>508</v>
      </c>
      <c r="C58" s="670">
        <v>8</v>
      </c>
      <c r="D58" s="670">
        <v>27297</v>
      </c>
      <c r="E58" s="670">
        <v>60</v>
      </c>
      <c r="F58" s="670" t="s">
        <v>507</v>
      </c>
      <c r="G58" s="670">
        <v>30</v>
      </c>
      <c r="H58" s="672" t="s">
        <v>506</v>
      </c>
    </row>
    <row r="59" spans="1:9" s="374" customFormat="1" ht="13.8" x14ac:dyDescent="0.25">
      <c r="A59" s="669">
        <v>120000</v>
      </c>
      <c r="B59" s="462" t="s">
        <v>507</v>
      </c>
      <c r="C59" s="670">
        <v>9</v>
      </c>
      <c r="D59" s="670">
        <v>30709</v>
      </c>
      <c r="E59" s="670">
        <v>65</v>
      </c>
      <c r="F59" s="670" t="s">
        <v>508</v>
      </c>
      <c r="G59" s="670">
        <v>36</v>
      </c>
      <c r="H59" s="672" t="s">
        <v>506</v>
      </c>
    </row>
    <row r="60" spans="1:9" s="374" customFormat="1" ht="13.8" x14ac:dyDescent="0.25">
      <c r="A60" s="669">
        <v>125000</v>
      </c>
      <c r="B60" s="462" t="s">
        <v>508</v>
      </c>
      <c r="C60" s="670">
        <v>10</v>
      </c>
      <c r="D60" s="670">
        <v>34121</v>
      </c>
      <c r="E60" s="670">
        <v>72</v>
      </c>
      <c r="F60" s="670" t="s">
        <v>506</v>
      </c>
      <c r="G60" s="670">
        <v>40</v>
      </c>
      <c r="H60" s="672" t="s">
        <v>506</v>
      </c>
    </row>
    <row r="61" spans="1:9" s="374" customFormat="1" ht="13.8" x14ac:dyDescent="0.25">
      <c r="A61" s="669">
        <v>130000</v>
      </c>
      <c r="B61" s="462" t="s">
        <v>508</v>
      </c>
      <c r="C61" s="670">
        <v>12</v>
      </c>
      <c r="D61" s="670">
        <v>40946</v>
      </c>
      <c r="E61" s="670">
        <v>75</v>
      </c>
      <c r="F61" s="670" t="s">
        <v>508</v>
      </c>
      <c r="G61" s="670">
        <v>47</v>
      </c>
      <c r="H61" s="672"/>
    </row>
    <row r="62" spans="1:9" s="374" customFormat="1" ht="13.8" x14ac:dyDescent="0.25">
      <c r="A62" s="669">
        <v>145000</v>
      </c>
      <c r="B62" s="462" t="s">
        <v>507</v>
      </c>
      <c r="C62" s="670">
        <v>12.1</v>
      </c>
      <c r="D62" s="670">
        <v>41287</v>
      </c>
      <c r="E62" s="670">
        <v>76</v>
      </c>
      <c r="F62" s="670" t="s">
        <v>506</v>
      </c>
      <c r="G62" s="670">
        <v>50</v>
      </c>
      <c r="H62" s="672"/>
    </row>
    <row r="63" spans="1:9" s="374" customFormat="1" ht="13.8" x14ac:dyDescent="0.25">
      <c r="A63" s="669">
        <v>150000</v>
      </c>
      <c r="B63" s="462" t="s">
        <v>507</v>
      </c>
      <c r="C63" s="670">
        <v>18</v>
      </c>
      <c r="D63" s="670">
        <v>61419</v>
      </c>
      <c r="E63" s="670">
        <v>80</v>
      </c>
      <c r="F63" s="670" t="s">
        <v>508</v>
      </c>
      <c r="G63" s="670">
        <v>65</v>
      </c>
      <c r="H63" s="672"/>
    </row>
    <row r="64" spans="1:9" s="374" customFormat="1" x14ac:dyDescent="0.25">
      <c r="A64" s="669">
        <v>156000</v>
      </c>
      <c r="B64" s="673" t="s">
        <v>506</v>
      </c>
      <c r="C64" s="670">
        <v>24</v>
      </c>
      <c r="D64" s="670">
        <v>81891</v>
      </c>
      <c r="E64" s="670">
        <v>82</v>
      </c>
      <c r="F64" s="670" t="s">
        <v>506</v>
      </c>
      <c r="G64" s="670">
        <v>80</v>
      </c>
      <c r="H64" s="672"/>
    </row>
    <row r="65" spans="1:8" s="374" customFormat="1" x14ac:dyDescent="0.25">
      <c r="A65" s="669">
        <v>160000</v>
      </c>
      <c r="B65" s="673" t="s">
        <v>508</v>
      </c>
      <c r="C65" s="670">
        <v>27</v>
      </c>
      <c r="D65" s="670">
        <v>92128</v>
      </c>
      <c r="E65" s="670">
        <v>85</v>
      </c>
      <c r="F65" s="670" t="s">
        <v>506</v>
      </c>
      <c r="G65" s="670">
        <v>85</v>
      </c>
      <c r="H65" s="672"/>
    </row>
    <row r="66" spans="1:8" s="374" customFormat="1" x14ac:dyDescent="0.25">
      <c r="A66" s="669">
        <v>175000</v>
      </c>
      <c r="B66" s="673" t="s">
        <v>507</v>
      </c>
      <c r="C66" s="670">
        <v>36</v>
      </c>
      <c r="D66" s="670">
        <v>122837</v>
      </c>
      <c r="E66" s="670">
        <v>90</v>
      </c>
      <c r="F66" s="670" t="s">
        <v>508</v>
      </c>
      <c r="G66" s="670">
        <v>105</v>
      </c>
      <c r="H66" s="672"/>
    </row>
    <row r="67" spans="1:8" s="374" customFormat="1" x14ac:dyDescent="0.25">
      <c r="A67" s="669">
        <v>180000</v>
      </c>
      <c r="B67" s="673" t="s">
        <v>506</v>
      </c>
      <c r="C67" s="670">
        <v>54</v>
      </c>
      <c r="D67" s="670">
        <v>184256</v>
      </c>
      <c r="E67" s="670">
        <v>91</v>
      </c>
      <c r="F67" s="670" t="s">
        <v>506</v>
      </c>
      <c r="G67" s="670">
        <v>120</v>
      </c>
      <c r="H67" s="672"/>
    </row>
    <row r="68" spans="1:8" s="374" customFormat="1" x14ac:dyDescent="0.25">
      <c r="A68" s="669">
        <v>199000</v>
      </c>
      <c r="B68" s="673" t="s">
        <v>507</v>
      </c>
      <c r="C68" s="670"/>
      <c r="D68" s="670"/>
      <c r="E68" s="670">
        <v>100</v>
      </c>
      <c r="F68" s="670" t="s">
        <v>508</v>
      </c>
      <c r="G68" s="670"/>
      <c r="H68" s="672"/>
    </row>
    <row r="69" spans="1:8" s="374" customFormat="1" x14ac:dyDescent="0.25">
      <c r="A69" s="669">
        <v>199900</v>
      </c>
      <c r="B69" s="673" t="s">
        <v>508</v>
      </c>
      <c r="C69" s="670"/>
      <c r="D69" s="670"/>
      <c r="E69" s="670">
        <v>110</v>
      </c>
      <c r="F69" s="670" t="s">
        <v>507</v>
      </c>
      <c r="G69" s="670"/>
      <c r="H69" s="672"/>
    </row>
    <row r="70" spans="1:8" s="374" customFormat="1" x14ac:dyDescent="0.25">
      <c r="A70" s="669">
        <v>200000</v>
      </c>
      <c r="B70" s="673" t="s">
        <v>507</v>
      </c>
      <c r="C70" s="670"/>
      <c r="D70" s="670"/>
      <c r="E70" s="670">
        <v>119</v>
      </c>
      <c r="F70" s="670" t="s">
        <v>508</v>
      </c>
      <c r="G70" s="670"/>
      <c r="H70" s="672"/>
    </row>
    <row r="71" spans="1:8" s="374" customFormat="1" x14ac:dyDescent="0.25">
      <c r="A71" s="669">
        <v>250000</v>
      </c>
      <c r="B71" s="673" t="s">
        <v>508</v>
      </c>
      <c r="C71" s="674"/>
      <c r="D71" s="674"/>
      <c r="E71" s="674">
        <v>125</v>
      </c>
      <c r="F71" s="674" t="s">
        <v>507</v>
      </c>
      <c r="G71" s="674"/>
      <c r="H71" s="675"/>
    </row>
    <row r="72" spans="1:8" s="374" customFormat="1" ht="14.4" x14ac:dyDescent="0.3">
      <c r="A72" s="669">
        <v>251000</v>
      </c>
      <c r="B72" s="673" t="s">
        <v>507</v>
      </c>
      <c r="C72"/>
      <c r="D72"/>
      <c r="E72" s="467"/>
      <c r="F72" s="468"/>
      <c r="G72" s="468"/>
    </row>
    <row r="73" spans="1:8" s="374" customFormat="1" ht="14.4" x14ac:dyDescent="0.3">
      <c r="A73" s="669">
        <v>270000</v>
      </c>
      <c r="B73" s="673" t="s">
        <v>506</v>
      </c>
      <c r="C73"/>
      <c r="D73"/>
      <c r="E73" s="467"/>
      <c r="F73" s="468"/>
      <c r="G73" s="468"/>
    </row>
    <row r="74" spans="1:8" s="374" customFormat="1" ht="14.4" x14ac:dyDescent="0.3">
      <c r="A74" s="669">
        <v>285000</v>
      </c>
      <c r="B74" s="673" t="s">
        <v>507</v>
      </c>
      <c r="C74"/>
      <c r="D74"/>
      <c r="E74" s="467"/>
      <c r="F74" s="468"/>
      <c r="G74" s="468"/>
    </row>
    <row r="75" spans="1:8" s="374" customFormat="1" ht="14.4" x14ac:dyDescent="0.3">
      <c r="A75" s="669">
        <v>300000</v>
      </c>
      <c r="B75" s="673" t="s">
        <v>508</v>
      </c>
      <c r="C75"/>
      <c r="D75"/>
      <c r="E75" s="467"/>
      <c r="F75" s="468"/>
      <c r="G75" s="468"/>
    </row>
    <row r="76" spans="1:8" s="374" customFormat="1" ht="14.4" x14ac:dyDescent="0.3">
      <c r="A76" s="669">
        <v>320000</v>
      </c>
      <c r="B76" s="673" t="s">
        <v>507</v>
      </c>
      <c r="C76"/>
      <c r="D76"/>
      <c r="E76" s="467"/>
      <c r="F76" s="468"/>
      <c r="G76" s="468"/>
    </row>
    <row r="77" spans="1:8" s="374" customFormat="1" ht="14.4" x14ac:dyDescent="0.3">
      <c r="A77" s="669">
        <v>360000</v>
      </c>
      <c r="B77" s="673" t="s">
        <v>506</v>
      </c>
      <c r="C77"/>
      <c r="D77"/>
      <c r="E77" s="467"/>
      <c r="F77" s="468"/>
      <c r="G77" s="468"/>
    </row>
    <row r="78" spans="1:8" s="374" customFormat="1" ht="14.4" x14ac:dyDescent="0.3">
      <c r="A78" s="669">
        <v>398000</v>
      </c>
      <c r="B78" s="673" t="s">
        <v>507</v>
      </c>
      <c r="C78"/>
      <c r="D78"/>
      <c r="E78" s="467"/>
      <c r="F78" s="468"/>
      <c r="G78" s="468"/>
    </row>
    <row r="79" spans="1:8" s="374" customFormat="1" ht="14.4" x14ac:dyDescent="0.3">
      <c r="A79" s="669">
        <v>399000</v>
      </c>
      <c r="B79" s="673" t="s">
        <v>507</v>
      </c>
      <c r="C79"/>
      <c r="D79"/>
      <c r="E79" s="467"/>
      <c r="F79" s="468"/>
      <c r="G79" s="468"/>
    </row>
    <row r="80" spans="1:8" s="374" customFormat="1" ht="14.4" x14ac:dyDescent="0.3">
      <c r="A80" s="669">
        <v>399900</v>
      </c>
      <c r="B80" s="673" t="s">
        <v>508</v>
      </c>
      <c r="C80"/>
      <c r="D80"/>
      <c r="E80" s="467"/>
      <c r="F80" s="468"/>
      <c r="G80" s="468"/>
    </row>
    <row r="81" spans="1:7" s="374" customFormat="1" ht="14.4" x14ac:dyDescent="0.3">
      <c r="A81" s="669">
        <v>499900</v>
      </c>
      <c r="B81" s="673" t="s">
        <v>506</v>
      </c>
      <c r="C81"/>
      <c r="D81"/>
      <c r="E81" s="467"/>
      <c r="F81" s="468"/>
      <c r="G81" s="468"/>
    </row>
    <row r="82" spans="1:7" s="374" customFormat="1" ht="14.4" x14ac:dyDescent="0.3">
      <c r="A82" s="669">
        <v>550000</v>
      </c>
      <c r="B82" s="673" t="s">
        <v>506</v>
      </c>
      <c r="C82"/>
      <c r="D82"/>
      <c r="E82" s="467"/>
      <c r="F82" s="468"/>
      <c r="G82" s="468"/>
    </row>
    <row r="83" spans="1:7" s="374" customFormat="1" ht="14.4" x14ac:dyDescent="0.25">
      <c r="A83" s="676">
        <v>715000</v>
      </c>
      <c r="B83" s="677" t="s">
        <v>506</v>
      </c>
      <c r="C83" s="468"/>
      <c r="D83" s="468"/>
      <c r="E83" s="467"/>
      <c r="F83" s="468"/>
      <c r="G83" s="468"/>
    </row>
    <row r="84" spans="1:7" customFormat="1" ht="19.5" customHeight="1" x14ac:dyDescent="0.3"/>
    <row r="85" spans="1:7" customFormat="1" ht="14.4" x14ac:dyDescent="0.3"/>
    <row r="86" spans="1:7" customFormat="1" ht="14.4" x14ac:dyDescent="0.3"/>
    <row r="87" spans="1:7" customFormat="1" ht="14.4" x14ac:dyDescent="0.3"/>
    <row r="88" spans="1:7" customFormat="1" ht="14.4" x14ac:dyDescent="0.3"/>
    <row r="89" spans="1:7" customFormat="1" ht="14.4" x14ac:dyDescent="0.3"/>
    <row r="90" spans="1:7" customFormat="1" ht="14.4" x14ac:dyDescent="0.3"/>
    <row r="91" spans="1:7" customFormat="1" ht="14.4" x14ac:dyDescent="0.3"/>
    <row r="92" spans="1:7" customFormat="1" ht="14.4" x14ac:dyDescent="0.3"/>
    <row r="93" spans="1:7" customFormat="1" ht="14.4" x14ac:dyDescent="0.3"/>
    <row r="94" spans="1:7" customFormat="1" ht="14.4" x14ac:dyDescent="0.3"/>
    <row r="95" spans="1:7" customFormat="1" ht="14.4" x14ac:dyDescent="0.3"/>
    <row r="96" spans="1:7" customFormat="1" ht="14.4" x14ac:dyDescent="0.3"/>
  </sheetData>
  <mergeCells count="11">
    <mergeCell ref="A51:H51"/>
    <mergeCell ref="A1:G1"/>
    <mergeCell ref="A30:K30"/>
    <mergeCell ref="G31:H31"/>
    <mergeCell ref="I31:J31"/>
    <mergeCell ref="K32:K47"/>
    <mergeCell ref="A7:H7"/>
    <mergeCell ref="H9:H20"/>
    <mergeCell ref="B21:E21"/>
    <mergeCell ref="H21:H22"/>
    <mergeCell ref="B22:E2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N10"/>
  <sheetViews>
    <sheetView zoomScaleNormal="100" workbookViewId="0">
      <selection sqref="A1:H1"/>
    </sheetView>
  </sheetViews>
  <sheetFormatPr defaultColWidth="8.6640625" defaultRowHeight="13.2" x14ac:dyDescent="0.25"/>
  <cols>
    <col min="1" max="1" width="41.109375" style="3" customWidth="1"/>
    <col min="2" max="2" width="19.6640625" style="3" customWidth="1"/>
    <col min="3" max="3" width="17.6640625" style="3" customWidth="1"/>
    <col min="4" max="4" width="26.88671875" style="3" customWidth="1"/>
    <col min="5" max="5" width="20" style="3" customWidth="1"/>
    <col min="6" max="6" width="30.44140625" style="3" customWidth="1"/>
    <col min="7" max="7" width="27.6640625" style="3" customWidth="1"/>
    <col min="8" max="8" width="37.109375" style="3" customWidth="1"/>
    <col min="9" max="9" width="10.5546875" style="3" customWidth="1"/>
    <col min="10" max="10" width="11.44140625" style="3" customWidth="1"/>
    <col min="11" max="11" width="10.5546875" style="3" customWidth="1"/>
    <col min="12" max="12" width="13.33203125" style="3" customWidth="1"/>
    <col min="13" max="13" width="9.6640625" style="3" customWidth="1"/>
    <col min="14" max="14" width="9.44140625" style="3" customWidth="1"/>
    <col min="15" max="15" width="12.6640625" style="3" customWidth="1"/>
    <col min="16" max="16" width="14.6640625" style="3" customWidth="1"/>
    <col min="17" max="17" width="20.6640625" style="3" customWidth="1"/>
    <col min="18" max="18" width="19.6640625" style="3" customWidth="1"/>
    <col min="19" max="24" width="8.6640625" style="3"/>
    <col min="25" max="25" width="13.6640625" style="3" bestFit="1" customWidth="1"/>
    <col min="26" max="16384" width="8.6640625" style="3"/>
  </cols>
  <sheetData>
    <row r="1" spans="1:14" ht="25.95" customHeight="1" x14ac:dyDescent="0.25">
      <c r="A1" s="808" t="str">
        <f>"Interior Lighting - "&amp;Prototype!A2</f>
        <v>Interior Lighting - RetailGrocery</v>
      </c>
      <c r="B1" s="809"/>
      <c r="C1" s="809"/>
      <c r="D1" s="809"/>
      <c r="E1" s="809"/>
      <c r="F1" s="809"/>
      <c r="G1" s="809"/>
      <c r="H1" s="810"/>
      <c r="I1" s="90"/>
      <c r="J1" s="90"/>
      <c r="K1" s="90"/>
      <c r="L1" s="90"/>
      <c r="M1" s="90"/>
      <c r="N1" s="90"/>
    </row>
    <row r="2" spans="1:14" ht="18" customHeight="1" x14ac:dyDescent="0.25">
      <c r="A2" s="813" t="s">
        <v>509</v>
      </c>
      <c r="B2" s="814" t="s">
        <v>510</v>
      </c>
      <c r="C2" s="814"/>
      <c r="D2" s="815"/>
      <c r="E2" s="816" t="s">
        <v>246</v>
      </c>
      <c r="F2" s="817"/>
      <c r="G2" s="818"/>
      <c r="H2" s="811" t="s">
        <v>272</v>
      </c>
    </row>
    <row r="3" spans="1:14" ht="30.6" customHeight="1" x14ac:dyDescent="0.25">
      <c r="A3" s="813"/>
      <c r="B3" s="554" t="s">
        <v>511</v>
      </c>
      <c r="C3" s="554" t="s">
        <v>512</v>
      </c>
      <c r="D3" s="554" t="s">
        <v>336</v>
      </c>
      <c r="E3" s="456" t="s">
        <v>513</v>
      </c>
      <c r="F3" s="456" t="s">
        <v>512</v>
      </c>
      <c r="G3" s="457" t="s">
        <v>336</v>
      </c>
      <c r="H3" s="812"/>
    </row>
    <row r="4" spans="1:14" ht="79.95" customHeight="1" x14ac:dyDescent="0.25">
      <c r="A4" s="448" t="s">
        <v>136</v>
      </c>
      <c r="B4" s="551">
        <v>1</v>
      </c>
      <c r="C4" s="678">
        <f>0.7*0.27</f>
        <v>0.189</v>
      </c>
      <c r="D4" s="799" t="s">
        <v>514</v>
      </c>
      <c r="E4" s="551">
        <v>1.2</v>
      </c>
      <c r="F4" s="679">
        <f>0.3*0.27</f>
        <v>8.1000000000000003E-2</v>
      </c>
      <c r="G4" s="806" t="s">
        <v>515</v>
      </c>
      <c r="H4" s="680" t="s">
        <v>516</v>
      </c>
    </row>
    <row r="5" spans="1:14" ht="16.2" customHeight="1" x14ac:dyDescent="0.25">
      <c r="A5" s="448" t="s">
        <v>175</v>
      </c>
      <c r="B5" s="551">
        <v>0.55000000000000004</v>
      </c>
      <c r="C5" s="615"/>
      <c r="D5" s="799"/>
      <c r="E5" s="551">
        <v>0.9</v>
      </c>
      <c r="F5" s="53"/>
      <c r="G5" s="806"/>
      <c r="H5" s="454"/>
    </row>
    <row r="6" spans="1:14" ht="27" customHeight="1" x14ac:dyDescent="0.25">
      <c r="A6" s="681" t="s">
        <v>183</v>
      </c>
      <c r="B6" s="615">
        <v>0.6</v>
      </c>
      <c r="C6" s="551"/>
      <c r="D6" s="799"/>
      <c r="E6" s="551">
        <v>0.6</v>
      </c>
      <c r="F6" s="53"/>
      <c r="G6" s="806"/>
      <c r="H6" s="454"/>
    </row>
    <row r="7" spans="1:14" ht="16.2" customHeight="1" x14ac:dyDescent="0.25">
      <c r="A7" s="449" t="s">
        <v>192</v>
      </c>
      <c r="B7" s="552">
        <v>0.4</v>
      </c>
      <c r="C7" s="552"/>
      <c r="D7" s="805"/>
      <c r="E7" s="552">
        <v>0.7</v>
      </c>
      <c r="F7" s="450"/>
      <c r="G7" s="807"/>
      <c r="H7" s="455"/>
    </row>
    <row r="8" spans="1:14" ht="13.2" customHeight="1" x14ac:dyDescent="0.25">
      <c r="B8" s="17"/>
      <c r="C8" s="17"/>
      <c r="D8" s="17"/>
    </row>
    <row r="9" spans="1:14" ht="13.2" customHeight="1" x14ac:dyDescent="0.25">
      <c r="B9" s="17"/>
      <c r="C9" s="17"/>
      <c r="D9" s="17"/>
    </row>
    <row r="10" spans="1:14" ht="13.2" customHeight="1" x14ac:dyDescent="0.25">
      <c r="B10" s="17"/>
      <c r="C10" s="17"/>
      <c r="D10" s="17"/>
    </row>
  </sheetData>
  <mergeCells count="7">
    <mergeCell ref="D4:D7"/>
    <mergeCell ref="G4:G7"/>
    <mergeCell ref="A1:H1"/>
    <mergeCell ref="H2:H3"/>
    <mergeCell ref="A2:A3"/>
    <mergeCell ref="B2:D2"/>
    <mergeCell ref="E2:G2"/>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H27"/>
  <sheetViews>
    <sheetView zoomScaleNormal="100" workbookViewId="0">
      <selection sqref="A1:D1"/>
    </sheetView>
  </sheetViews>
  <sheetFormatPr defaultColWidth="8.6640625" defaultRowHeight="13.2" x14ac:dyDescent="0.25"/>
  <cols>
    <col min="1" max="1" width="31.33203125" style="3" customWidth="1"/>
    <col min="2" max="2" width="38.6640625" style="3" customWidth="1"/>
    <col min="3" max="3" width="19.44140625" style="3" customWidth="1"/>
    <col min="4" max="4" width="19.33203125" style="3" customWidth="1"/>
    <col min="5" max="5" width="24.44140625" style="3" customWidth="1"/>
    <col min="6" max="6" width="17.109375" style="3" customWidth="1"/>
    <col min="7" max="7" width="17.5546875" style="3" customWidth="1"/>
    <col min="8" max="8" width="15.5546875" style="3" customWidth="1"/>
    <col min="9" max="9" width="13.33203125" style="3" customWidth="1"/>
    <col min="10" max="16384" width="8.6640625" style="3"/>
  </cols>
  <sheetData>
    <row r="1" spans="1:8" ht="25.2" customHeight="1" x14ac:dyDescent="0.25">
      <c r="A1" s="819" t="str">
        <f>"Exterior Lighting - "&amp;Prototype!A2</f>
        <v>Exterior Lighting - RetailGrocery</v>
      </c>
      <c r="B1" s="819"/>
      <c r="C1" s="819"/>
      <c r="D1" s="819"/>
    </row>
    <row r="2" spans="1:8" ht="37.200000000000003" customHeight="1" x14ac:dyDescent="0.25">
      <c r="A2" s="29" t="s">
        <v>517</v>
      </c>
      <c r="B2" s="29" t="s">
        <v>518</v>
      </c>
      <c r="C2" s="29" t="s">
        <v>519</v>
      </c>
      <c r="D2" s="29" t="s">
        <v>336</v>
      </c>
    </row>
    <row r="3" spans="1:8" ht="22.2" customHeight="1" x14ac:dyDescent="0.25">
      <c r="A3" s="31">
        <f>G14</f>
        <v>1405.5555555555557</v>
      </c>
      <c r="B3" s="31">
        <f>G15</f>
        <v>1160</v>
      </c>
      <c r="C3" s="31">
        <f>SUM(A3:B3)</f>
        <v>2565.5555555555557</v>
      </c>
      <c r="D3" s="520" t="s">
        <v>520</v>
      </c>
    </row>
    <row r="4" spans="1:8" ht="22.2" customHeight="1" x14ac:dyDescent="0.25">
      <c r="A4" s="41"/>
      <c r="B4" s="41"/>
      <c r="C4" s="41"/>
    </row>
    <row r="5" spans="1:8" ht="12.75" customHeight="1" x14ac:dyDescent="0.25">
      <c r="A5" s="569"/>
      <c r="B5" s="569"/>
      <c r="C5" s="569"/>
    </row>
    <row r="6" spans="1:8" ht="27" customHeight="1" x14ac:dyDescent="0.25">
      <c r="A6" s="819" t="s">
        <v>521</v>
      </c>
      <c r="B6" s="819"/>
      <c r="C6" s="819"/>
      <c r="D6" s="819"/>
      <c r="E6" s="819"/>
      <c r="F6" s="819"/>
      <c r="G6" s="819"/>
    </row>
    <row r="7" spans="1:8" ht="39.6" x14ac:dyDescent="0.25">
      <c r="A7" s="58" t="s">
        <v>522</v>
      </c>
      <c r="B7" s="821" t="s">
        <v>523</v>
      </c>
      <c r="C7" s="822"/>
      <c r="D7" s="98" t="s">
        <v>524</v>
      </c>
      <c r="E7" s="98" t="s">
        <v>525</v>
      </c>
      <c r="F7" s="98" t="s">
        <v>524</v>
      </c>
      <c r="G7" s="29" t="s">
        <v>526</v>
      </c>
    </row>
    <row r="8" spans="1:8" x14ac:dyDescent="0.25">
      <c r="A8" s="11" t="s">
        <v>527</v>
      </c>
      <c r="B8" s="11"/>
      <c r="C8" s="221"/>
      <c r="D8" s="520"/>
      <c r="E8" s="520">
        <v>200</v>
      </c>
      <c r="F8" s="520" t="s">
        <v>528</v>
      </c>
      <c r="G8" s="222">
        <f>$E8</f>
        <v>200</v>
      </c>
      <c r="H8" s="544"/>
    </row>
    <row r="9" spans="1:8" ht="43.95" customHeight="1" x14ac:dyDescent="0.25">
      <c r="A9" s="12" t="s">
        <v>529</v>
      </c>
      <c r="B9" s="12" t="s">
        <v>530</v>
      </c>
      <c r="C9" s="223">
        <f>B21/360*400</f>
        <v>55555.555555555555</v>
      </c>
      <c r="D9" s="520" t="s">
        <v>531</v>
      </c>
      <c r="E9" s="520">
        <v>1.9E-2</v>
      </c>
      <c r="F9" s="520" t="s">
        <v>532</v>
      </c>
      <c r="G9" s="222">
        <f>$E9*C9</f>
        <v>1055.5555555555554</v>
      </c>
      <c r="H9" s="59"/>
    </row>
    <row r="10" spans="1:8" x14ac:dyDescent="0.25">
      <c r="A10" s="11" t="s">
        <v>533</v>
      </c>
      <c r="B10" s="103" t="s">
        <v>534</v>
      </c>
      <c r="C10" s="682">
        <f>ROUNDUP(B21/5000,0)</f>
        <v>10</v>
      </c>
      <c r="D10" s="520" t="s">
        <v>535</v>
      </c>
      <c r="E10" s="520">
        <v>15</v>
      </c>
      <c r="F10" s="520" t="s">
        <v>536</v>
      </c>
      <c r="G10" s="222">
        <f>E10*C10</f>
        <v>150</v>
      </c>
    </row>
    <row r="11" spans="1:8" ht="75" customHeight="1" x14ac:dyDescent="0.25">
      <c r="A11" s="11" t="s">
        <v>537</v>
      </c>
      <c r="B11" s="103" t="s">
        <v>538</v>
      </c>
      <c r="C11" s="224">
        <f>B21*0.1</f>
        <v>5000</v>
      </c>
      <c r="D11" s="520" t="s">
        <v>531</v>
      </c>
      <c r="E11" s="520">
        <v>7.0000000000000001E-3</v>
      </c>
      <c r="F11" s="520" t="s">
        <v>532</v>
      </c>
      <c r="G11" s="683">
        <f>E11*C11</f>
        <v>35</v>
      </c>
    </row>
    <row r="12" spans="1:8" ht="79.2" x14ac:dyDescent="0.25">
      <c r="A12" s="11" t="s">
        <v>539</v>
      </c>
      <c r="B12" s="103" t="s">
        <v>540</v>
      </c>
      <c r="C12" s="224">
        <f>B20*0.5*Prototype!B16</f>
        <v>11250</v>
      </c>
      <c r="D12" s="520" t="s">
        <v>531</v>
      </c>
      <c r="E12" s="520">
        <v>0.1</v>
      </c>
      <c r="F12" s="520" t="s">
        <v>532</v>
      </c>
      <c r="G12" s="222">
        <f>E12*C12</f>
        <v>1125</v>
      </c>
    </row>
    <row r="13" spans="1:8" x14ac:dyDescent="0.25">
      <c r="A13" s="104" t="s">
        <v>541</v>
      </c>
      <c r="B13" s="3" t="s">
        <v>542</v>
      </c>
      <c r="C13" s="684">
        <f>(B21/B22)*0.1*0</f>
        <v>0</v>
      </c>
      <c r="D13" s="225" t="s">
        <v>531</v>
      </c>
      <c r="E13" s="226">
        <v>0.47</v>
      </c>
      <c r="F13" s="226" t="s">
        <v>532</v>
      </c>
      <c r="G13" s="222">
        <f>E13*C13</f>
        <v>0</v>
      </c>
    </row>
    <row r="14" spans="1:8" ht="13.8" x14ac:dyDescent="0.25">
      <c r="A14" s="820" t="s">
        <v>543</v>
      </c>
      <c r="B14" s="820"/>
      <c r="C14" s="820"/>
      <c r="D14" s="820"/>
      <c r="E14" s="820"/>
      <c r="F14" s="820"/>
      <c r="G14" s="99">
        <f>SUM(G8:G13)-G15</f>
        <v>1405.5555555555557</v>
      </c>
    </row>
    <row r="15" spans="1:8" ht="13.8" x14ac:dyDescent="0.25">
      <c r="A15" s="820" t="s">
        <v>544</v>
      </c>
      <c r="B15" s="820"/>
      <c r="C15" s="820"/>
      <c r="D15" s="820"/>
      <c r="E15" s="820"/>
      <c r="F15" s="820"/>
      <c r="G15" s="99">
        <f>G11+G12</f>
        <v>1160</v>
      </c>
    </row>
    <row r="16" spans="1:8" ht="13.8" x14ac:dyDescent="0.25">
      <c r="A16" s="820" t="s">
        <v>464</v>
      </c>
      <c r="B16" s="820"/>
      <c r="C16" s="820"/>
      <c r="D16" s="820"/>
      <c r="E16" s="820"/>
      <c r="F16" s="820"/>
      <c r="G16" s="99">
        <f t="shared" ref="G16" si="0">G14+G15</f>
        <v>2565.5555555555557</v>
      </c>
    </row>
    <row r="17" spans="1:7" ht="13.8" x14ac:dyDescent="0.25">
      <c r="A17" s="100"/>
      <c r="B17" s="100"/>
      <c r="C17" s="100"/>
      <c r="D17" s="100"/>
      <c r="E17" s="100"/>
      <c r="F17" s="100"/>
      <c r="G17" s="101"/>
    </row>
    <row r="18" spans="1:7" ht="13.8" x14ac:dyDescent="0.25">
      <c r="A18" s="3" t="s">
        <v>545</v>
      </c>
      <c r="C18" s="548"/>
      <c r="F18" s="102"/>
    </row>
    <row r="19" spans="1:7" ht="13.8" x14ac:dyDescent="0.25">
      <c r="C19" s="548"/>
      <c r="F19" s="102"/>
    </row>
    <row r="20" spans="1:7" ht="12.75" customHeight="1" x14ac:dyDescent="0.25">
      <c r="A20" s="569" t="s">
        <v>546</v>
      </c>
      <c r="B20" s="546">
        <f>200*2+250*2</f>
        <v>900</v>
      </c>
      <c r="C20" s="569"/>
    </row>
    <row r="21" spans="1:7" ht="13.8" x14ac:dyDescent="0.25">
      <c r="A21" s="3" t="s">
        <v>547</v>
      </c>
      <c r="B21" s="211">
        <v>50000</v>
      </c>
      <c r="F21" s="102"/>
    </row>
    <row r="22" spans="1:7" ht="13.8" x14ac:dyDescent="0.25">
      <c r="A22" s="3" t="s">
        <v>548</v>
      </c>
      <c r="B22" s="546">
        <v>1</v>
      </c>
      <c r="F22" s="102"/>
    </row>
    <row r="24" spans="1:7" ht="12.75" customHeight="1" x14ac:dyDescent="0.25">
      <c r="A24" s="569"/>
      <c r="B24" s="569"/>
      <c r="C24" s="569"/>
    </row>
    <row r="26" spans="1:7" s="18" customFormat="1" ht="13.2" hidden="1" customHeight="1" x14ac:dyDescent="0.25">
      <c r="A26" s="18" t="s">
        <v>365</v>
      </c>
      <c r="E26" s="19"/>
      <c r="F26" s="20"/>
      <c r="G26" s="21"/>
    </row>
    <row r="27" spans="1:7" ht="10.95" customHeight="1" x14ac:dyDescent="0.25"/>
  </sheetData>
  <mergeCells count="6">
    <mergeCell ref="A1:D1"/>
    <mergeCell ref="A14:F14"/>
    <mergeCell ref="A15:F15"/>
    <mergeCell ref="A16:F16"/>
    <mergeCell ref="A6:G6"/>
    <mergeCell ref="B7:C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dimension ref="A1:Z68"/>
  <sheetViews>
    <sheetView workbookViewId="0">
      <selection sqref="A1:D1"/>
    </sheetView>
  </sheetViews>
  <sheetFormatPr defaultColWidth="8.6640625" defaultRowHeight="12.75" customHeight="1" x14ac:dyDescent="0.25"/>
  <cols>
    <col min="1" max="1" width="40.88671875" style="3" customWidth="1"/>
    <col min="2" max="2" width="31.33203125" style="3" customWidth="1"/>
    <col min="3" max="3" width="29.44140625" style="3" customWidth="1"/>
    <col min="4" max="4" width="16.88671875" style="3" customWidth="1"/>
    <col min="5" max="5" width="15" style="3" customWidth="1"/>
    <col min="6" max="6" width="15.109375" style="3" customWidth="1"/>
    <col min="7" max="7" width="16" style="3" customWidth="1"/>
    <col min="8" max="8" width="17.88671875" style="3" customWidth="1"/>
    <col min="9" max="10" width="16.109375" style="3" customWidth="1"/>
    <col min="11" max="11" width="14.5546875" style="3" customWidth="1"/>
    <col min="12" max="12" width="20.33203125" style="3" customWidth="1"/>
    <col min="13" max="15" width="16.109375" style="3" customWidth="1"/>
    <col min="16" max="16" width="22.33203125" style="3" customWidth="1"/>
    <col min="17" max="17" width="20.88671875" style="3" customWidth="1"/>
    <col min="18" max="18" width="16.44140625" style="3" customWidth="1"/>
    <col min="19" max="19" width="28" style="317" customWidth="1"/>
    <col min="20" max="20" width="23.5546875" style="3" customWidth="1"/>
    <col min="21" max="21" width="15" style="3" customWidth="1"/>
    <col min="22" max="22" width="14.109375" style="3" customWidth="1"/>
    <col min="23" max="25" width="8.6640625" style="3"/>
    <col min="26" max="26" width="33.44140625" style="3" customWidth="1"/>
    <col min="27" max="16384" width="8.6640625" style="3"/>
  </cols>
  <sheetData>
    <row r="1" spans="1:26" ht="23.4" customHeight="1" x14ac:dyDescent="0.25">
      <c r="A1" s="823" t="str">
        <f>"Equipment - "&amp;Prototype!A2</f>
        <v>Equipment - RetailGrocery</v>
      </c>
      <c r="B1" s="824"/>
      <c r="C1" s="824"/>
      <c r="D1" s="824"/>
      <c r="E1" s="425"/>
      <c r="F1" s="425"/>
    </row>
    <row r="2" spans="1:26" ht="21" customHeight="1" x14ac:dyDescent="0.25">
      <c r="A2" s="220" t="s">
        <v>509</v>
      </c>
      <c r="B2" s="120" t="s">
        <v>549</v>
      </c>
      <c r="C2" s="120" t="s">
        <v>336</v>
      </c>
      <c r="D2" s="563" t="s">
        <v>272</v>
      </c>
      <c r="E2" s="424"/>
      <c r="F2" s="27"/>
    </row>
    <row r="3" spans="1:26" ht="95.25" customHeight="1" x14ac:dyDescent="0.25">
      <c r="A3" s="549" t="s">
        <v>136</v>
      </c>
      <c r="B3" s="616">
        <v>0.4</v>
      </c>
      <c r="C3" s="616" t="s">
        <v>550</v>
      </c>
      <c r="D3" s="186" t="s">
        <v>551</v>
      </c>
      <c r="E3" s="353"/>
      <c r="F3" s="353"/>
    </row>
    <row r="4" spans="1:26" ht="18" customHeight="1" x14ac:dyDescent="0.25">
      <c r="A4" s="549" t="s">
        <v>175</v>
      </c>
      <c r="B4" s="185">
        <v>1</v>
      </c>
      <c r="C4" s="828" t="s">
        <v>552</v>
      </c>
      <c r="D4" s="175"/>
      <c r="G4" s="43"/>
    </row>
    <row r="5" spans="1:26" ht="37.5" customHeight="1" x14ac:dyDescent="0.25">
      <c r="A5" s="616" t="s">
        <v>183</v>
      </c>
      <c r="B5" s="685">
        <v>0.5</v>
      </c>
      <c r="C5" s="829"/>
      <c r="D5" s="175"/>
      <c r="G5" s="43"/>
    </row>
    <row r="6" spans="1:26" ht="18" customHeight="1" x14ac:dyDescent="0.25">
      <c r="A6" s="549" t="s">
        <v>192</v>
      </c>
      <c r="B6" s="185">
        <v>0.2</v>
      </c>
      <c r="C6" s="830"/>
      <c r="D6" s="175"/>
      <c r="G6" s="43"/>
    </row>
    <row r="7" spans="1:26" ht="18" customHeight="1" x14ac:dyDescent="0.25">
      <c r="A7" s="567"/>
      <c r="B7" s="567"/>
      <c r="C7" s="5"/>
      <c r="D7" s="545"/>
      <c r="E7" s="545"/>
      <c r="F7" s="545"/>
      <c r="G7" s="16"/>
    </row>
    <row r="8" spans="1:26" ht="18" customHeight="1" x14ac:dyDescent="0.25">
      <c r="A8" s="825" t="s">
        <v>553</v>
      </c>
      <c r="B8" s="826"/>
      <c r="C8" s="826"/>
      <c r="D8" s="826"/>
      <c r="E8" s="826"/>
      <c r="F8" s="826"/>
      <c r="G8" s="826"/>
      <c r="H8" s="826"/>
      <c r="I8" s="826"/>
      <c r="J8" s="826"/>
      <c r="K8" s="826"/>
      <c r="L8" s="826"/>
      <c r="M8" s="826"/>
      <c r="N8" s="826"/>
      <c r="O8" s="826"/>
      <c r="P8" s="826"/>
      <c r="Q8" s="826"/>
      <c r="R8" s="826"/>
      <c r="S8" s="826"/>
      <c r="T8" s="827"/>
    </row>
    <row r="9" spans="1:26" ht="1.2" customHeight="1" x14ac:dyDescent="0.3">
      <c r="A9" s="427"/>
      <c r="S9" s="318"/>
      <c r="T9" s="428"/>
      <c r="U9" s="2"/>
      <c r="V9" s="2"/>
      <c r="W9" s="2"/>
      <c r="X9" s="2"/>
      <c r="Y9" s="2"/>
      <c r="Z9" s="2"/>
    </row>
    <row r="10" spans="1:26" ht="42" customHeight="1" x14ac:dyDescent="0.25">
      <c r="A10" s="314" t="s">
        <v>554</v>
      </c>
      <c r="B10" s="315" t="s">
        <v>555</v>
      </c>
      <c r="C10" s="315" t="s">
        <v>556</v>
      </c>
      <c r="D10" s="315" t="s">
        <v>557</v>
      </c>
      <c r="E10" s="686" t="s">
        <v>558</v>
      </c>
      <c r="F10" s="686" t="s">
        <v>559</v>
      </c>
      <c r="G10" s="315" t="s">
        <v>560</v>
      </c>
      <c r="H10" s="315" t="s">
        <v>561</v>
      </c>
      <c r="I10" s="315" t="s">
        <v>562</v>
      </c>
      <c r="J10" s="686" t="s">
        <v>216</v>
      </c>
      <c r="K10" s="315" t="s">
        <v>563</v>
      </c>
      <c r="L10" s="426" t="s">
        <v>564</v>
      </c>
      <c r="M10" s="687" t="s">
        <v>565</v>
      </c>
      <c r="N10" s="687" t="s">
        <v>566</v>
      </c>
      <c r="O10" s="687" t="s">
        <v>567</v>
      </c>
      <c r="P10" s="315" t="s">
        <v>568</v>
      </c>
      <c r="Q10" s="315" t="s">
        <v>569</v>
      </c>
      <c r="R10" s="315" t="s">
        <v>570</v>
      </c>
      <c r="S10" s="423" t="s">
        <v>56</v>
      </c>
      <c r="T10" s="316" t="s">
        <v>336</v>
      </c>
      <c r="U10" s="311"/>
      <c r="V10" s="311"/>
      <c r="W10" s="311"/>
      <c r="X10" s="311"/>
      <c r="Y10" s="311"/>
      <c r="Z10" s="311"/>
    </row>
    <row r="11" spans="1:26" ht="18" customHeight="1" x14ac:dyDescent="0.25">
      <c r="A11" s="834" t="s">
        <v>571</v>
      </c>
      <c r="B11" s="828" t="s">
        <v>572</v>
      </c>
      <c r="C11" s="828" t="s">
        <v>573</v>
      </c>
      <c r="D11" s="828" t="s">
        <v>574</v>
      </c>
      <c r="E11" s="794">
        <v>12</v>
      </c>
      <c r="F11" s="794">
        <v>12</v>
      </c>
      <c r="G11" s="828" t="s">
        <v>575</v>
      </c>
      <c r="H11" s="828" t="s">
        <v>576</v>
      </c>
      <c r="I11" s="549" t="s">
        <v>577</v>
      </c>
      <c r="J11" s="688" t="s">
        <v>384</v>
      </c>
      <c r="K11" s="688">
        <v>1143</v>
      </c>
      <c r="L11" s="689">
        <v>0</v>
      </c>
      <c r="M11" s="689">
        <v>16</v>
      </c>
      <c r="N11" s="689">
        <v>16</v>
      </c>
      <c r="O11" s="689">
        <v>0</v>
      </c>
      <c r="P11" s="828" t="s">
        <v>578</v>
      </c>
      <c r="Q11" s="828" t="s">
        <v>579</v>
      </c>
      <c r="R11" s="828" t="s">
        <v>580</v>
      </c>
      <c r="S11" s="828" t="s">
        <v>581</v>
      </c>
      <c r="T11" s="848" t="s">
        <v>582</v>
      </c>
      <c r="U11" s="544"/>
      <c r="V11" s="2"/>
      <c r="W11" s="2"/>
      <c r="X11" s="2"/>
      <c r="Y11" s="2"/>
      <c r="Z11" s="2"/>
    </row>
    <row r="12" spans="1:26" ht="18" customHeight="1" x14ac:dyDescent="0.25">
      <c r="A12" s="835"/>
      <c r="B12" s="830"/>
      <c r="C12" s="830"/>
      <c r="D12" s="830"/>
      <c r="E12" s="833"/>
      <c r="F12" s="833"/>
      <c r="G12" s="830"/>
      <c r="H12" s="830"/>
      <c r="I12" s="616" t="s">
        <v>583</v>
      </c>
      <c r="J12" s="688" t="s">
        <v>216</v>
      </c>
      <c r="K12" s="688">
        <v>1438</v>
      </c>
      <c r="L12" s="690">
        <v>0</v>
      </c>
      <c r="M12" s="689">
        <v>43</v>
      </c>
      <c r="N12" s="689">
        <v>73</v>
      </c>
      <c r="O12" s="689">
        <v>0</v>
      </c>
      <c r="P12" s="830"/>
      <c r="Q12" s="830"/>
      <c r="R12" s="830"/>
      <c r="S12" s="830"/>
      <c r="T12" s="849"/>
      <c r="U12" s="544"/>
      <c r="V12" s="2"/>
      <c r="W12" s="2"/>
      <c r="X12" s="2"/>
      <c r="Y12" s="2"/>
      <c r="Z12" s="2"/>
    </row>
    <row r="13" spans="1:26" ht="22.5" customHeight="1" x14ac:dyDescent="0.25">
      <c r="A13" s="834" t="s">
        <v>584</v>
      </c>
      <c r="B13" s="828" t="s">
        <v>585</v>
      </c>
      <c r="C13" s="828" t="s">
        <v>586</v>
      </c>
      <c r="D13" s="828" t="s">
        <v>574</v>
      </c>
      <c r="E13" s="794">
        <v>2</v>
      </c>
      <c r="F13" s="794">
        <v>8</v>
      </c>
      <c r="G13" s="828" t="s">
        <v>587</v>
      </c>
      <c r="H13" s="828" t="s">
        <v>588</v>
      </c>
      <c r="I13" s="549" t="s">
        <v>577</v>
      </c>
      <c r="J13" s="688" t="s">
        <v>384</v>
      </c>
      <c r="K13" s="688">
        <v>599</v>
      </c>
      <c r="L13" s="621">
        <v>0</v>
      </c>
      <c r="M13" s="621">
        <v>20</v>
      </c>
      <c r="N13" s="621">
        <v>18</v>
      </c>
      <c r="O13" s="621">
        <v>64</v>
      </c>
      <c r="P13" s="828" t="s">
        <v>578</v>
      </c>
      <c r="Q13" s="828" t="s">
        <v>589</v>
      </c>
      <c r="R13" s="828" t="s">
        <v>580</v>
      </c>
      <c r="S13" s="828" t="s">
        <v>590</v>
      </c>
      <c r="T13" s="849"/>
      <c r="U13" s="544"/>
      <c r="V13" s="2"/>
      <c r="W13" s="2"/>
      <c r="X13" s="2"/>
      <c r="Y13" s="2"/>
      <c r="Z13" s="2"/>
    </row>
    <row r="14" spans="1:26" ht="22.5" customHeight="1" x14ac:dyDescent="0.25">
      <c r="A14" s="835"/>
      <c r="B14" s="830"/>
      <c r="C14" s="830"/>
      <c r="D14" s="830"/>
      <c r="E14" s="833"/>
      <c r="F14" s="833"/>
      <c r="G14" s="830"/>
      <c r="H14" s="830"/>
      <c r="I14" s="616" t="s">
        <v>583</v>
      </c>
      <c r="J14" s="688" t="s">
        <v>216</v>
      </c>
      <c r="K14" s="688">
        <v>808</v>
      </c>
      <c r="L14" s="691">
        <v>0</v>
      </c>
      <c r="M14" s="621">
        <v>32</v>
      </c>
      <c r="N14" s="621">
        <v>72</v>
      </c>
      <c r="O14" s="621">
        <v>0</v>
      </c>
      <c r="P14" s="830"/>
      <c r="Q14" s="830"/>
      <c r="R14" s="830"/>
      <c r="S14" s="830"/>
      <c r="T14" s="849"/>
      <c r="U14" s="544"/>
      <c r="V14" s="2"/>
      <c r="W14" s="2"/>
      <c r="X14" s="2"/>
      <c r="Y14" s="2"/>
      <c r="Z14" s="2"/>
    </row>
    <row r="15" spans="1:26" ht="18" customHeight="1" x14ac:dyDescent="0.25">
      <c r="A15" s="834" t="s">
        <v>591</v>
      </c>
      <c r="B15" s="828" t="s">
        <v>592</v>
      </c>
      <c r="C15" s="828" t="s">
        <v>593</v>
      </c>
      <c r="D15" s="828" t="s">
        <v>574</v>
      </c>
      <c r="E15" s="794">
        <v>14</v>
      </c>
      <c r="F15" s="794">
        <v>12</v>
      </c>
      <c r="G15" s="828" t="s">
        <v>575</v>
      </c>
      <c r="H15" s="828" t="s">
        <v>594</v>
      </c>
      <c r="I15" s="549" t="s">
        <v>577</v>
      </c>
      <c r="J15" s="688" t="s">
        <v>384</v>
      </c>
      <c r="K15" s="616">
        <v>1143</v>
      </c>
      <c r="L15" s="621">
        <v>0</v>
      </c>
      <c r="M15" s="621">
        <v>16</v>
      </c>
      <c r="N15" s="621">
        <v>16</v>
      </c>
      <c r="O15" s="621">
        <v>0</v>
      </c>
      <c r="P15" s="828" t="s">
        <v>578</v>
      </c>
      <c r="Q15" s="828" t="s">
        <v>595</v>
      </c>
      <c r="R15" s="828" t="s">
        <v>580</v>
      </c>
      <c r="S15" s="828" t="s">
        <v>596</v>
      </c>
      <c r="T15" s="849"/>
      <c r="U15" s="2"/>
      <c r="V15" s="2"/>
      <c r="W15" s="2"/>
      <c r="X15" s="2"/>
      <c r="Y15" s="2"/>
      <c r="Z15" s="2"/>
    </row>
    <row r="16" spans="1:26" ht="18" customHeight="1" x14ac:dyDescent="0.25">
      <c r="A16" s="835"/>
      <c r="B16" s="830"/>
      <c r="C16" s="830"/>
      <c r="D16" s="830"/>
      <c r="E16" s="833"/>
      <c r="F16" s="833"/>
      <c r="G16" s="830"/>
      <c r="H16" s="830"/>
      <c r="I16" s="616" t="s">
        <v>583</v>
      </c>
      <c r="J16" s="688" t="s">
        <v>216</v>
      </c>
      <c r="K16" s="616">
        <v>1438</v>
      </c>
      <c r="L16" s="691">
        <v>0</v>
      </c>
      <c r="M16" s="621">
        <v>43</v>
      </c>
      <c r="N16" s="621">
        <v>73</v>
      </c>
      <c r="O16" s="621">
        <v>0</v>
      </c>
      <c r="P16" s="830"/>
      <c r="Q16" s="830"/>
      <c r="R16" s="830"/>
      <c r="S16" s="830"/>
      <c r="T16" s="849"/>
      <c r="U16" s="2"/>
      <c r="V16" s="2"/>
      <c r="W16" s="2"/>
      <c r="X16" s="2"/>
      <c r="Y16" s="2"/>
      <c r="Z16" s="2"/>
    </row>
    <row r="17" spans="1:26" ht="18" customHeight="1" x14ac:dyDescent="0.25">
      <c r="A17" s="834" t="s">
        <v>597</v>
      </c>
      <c r="B17" s="828" t="s">
        <v>598</v>
      </c>
      <c r="C17" s="828" t="s">
        <v>599</v>
      </c>
      <c r="D17" s="828" t="s">
        <v>574</v>
      </c>
      <c r="E17" s="794">
        <v>10</v>
      </c>
      <c r="F17" s="794">
        <v>8</v>
      </c>
      <c r="G17" s="828" t="s">
        <v>600</v>
      </c>
      <c r="H17" s="828" t="s">
        <v>588</v>
      </c>
      <c r="I17" s="549" t="s">
        <v>577</v>
      </c>
      <c r="J17" s="688" t="s">
        <v>384</v>
      </c>
      <c r="K17" s="616">
        <v>1143</v>
      </c>
      <c r="L17" s="621">
        <v>0</v>
      </c>
      <c r="M17" s="621">
        <v>16</v>
      </c>
      <c r="N17" s="621">
        <v>16</v>
      </c>
      <c r="O17" s="621">
        <v>0</v>
      </c>
      <c r="P17" s="828" t="s">
        <v>578</v>
      </c>
      <c r="Q17" s="828" t="s">
        <v>601</v>
      </c>
      <c r="R17" s="828" t="s">
        <v>580</v>
      </c>
      <c r="S17" s="828" t="s">
        <v>602</v>
      </c>
      <c r="T17" s="849"/>
      <c r="U17" s="2"/>
      <c r="V17" s="2"/>
      <c r="W17" s="2"/>
      <c r="X17" s="2"/>
      <c r="Y17" s="2"/>
      <c r="Z17" s="2"/>
    </row>
    <row r="18" spans="1:26" ht="18" customHeight="1" x14ac:dyDescent="0.25">
      <c r="A18" s="835"/>
      <c r="B18" s="830"/>
      <c r="C18" s="830"/>
      <c r="D18" s="830"/>
      <c r="E18" s="833"/>
      <c r="F18" s="833"/>
      <c r="G18" s="830"/>
      <c r="H18" s="830"/>
      <c r="I18" s="616" t="s">
        <v>583</v>
      </c>
      <c r="J18" s="688" t="s">
        <v>216</v>
      </c>
      <c r="K18" s="616">
        <v>1438</v>
      </c>
      <c r="L18" s="691">
        <v>0</v>
      </c>
      <c r="M18" s="621">
        <v>43</v>
      </c>
      <c r="N18" s="621">
        <v>73</v>
      </c>
      <c r="O18" s="621">
        <v>0</v>
      </c>
      <c r="P18" s="830"/>
      <c r="Q18" s="830"/>
      <c r="R18" s="830"/>
      <c r="S18" s="830"/>
      <c r="T18" s="849"/>
      <c r="U18" s="2"/>
      <c r="V18" s="2"/>
      <c r="W18" s="2"/>
      <c r="X18" s="2"/>
      <c r="Y18" s="2"/>
      <c r="Z18" s="2"/>
    </row>
    <row r="19" spans="1:26" ht="18" customHeight="1" x14ac:dyDescent="0.25">
      <c r="A19" s="834" t="s">
        <v>179</v>
      </c>
      <c r="B19" s="828" t="s">
        <v>603</v>
      </c>
      <c r="C19" s="828" t="s">
        <v>604</v>
      </c>
      <c r="D19" s="828" t="s">
        <v>605</v>
      </c>
      <c r="E19" s="794">
        <v>20</v>
      </c>
      <c r="F19" s="794">
        <v>12</v>
      </c>
      <c r="G19" s="828" t="s">
        <v>606</v>
      </c>
      <c r="H19" s="828" t="s">
        <v>607</v>
      </c>
      <c r="I19" s="549" t="s">
        <v>577</v>
      </c>
      <c r="J19" s="688" t="s">
        <v>384</v>
      </c>
      <c r="K19" s="616">
        <v>426</v>
      </c>
      <c r="L19" s="621">
        <v>971</v>
      </c>
      <c r="M19" s="621">
        <v>30</v>
      </c>
      <c r="N19" s="621">
        <v>26</v>
      </c>
      <c r="O19" s="621">
        <v>139</v>
      </c>
      <c r="P19" s="828" t="s">
        <v>578</v>
      </c>
      <c r="Q19" s="828" t="s">
        <v>608</v>
      </c>
      <c r="R19" s="828" t="s">
        <v>454</v>
      </c>
      <c r="S19" s="828" t="s">
        <v>609</v>
      </c>
      <c r="T19" s="849"/>
      <c r="U19" s="2"/>
      <c r="V19" s="2"/>
      <c r="W19" s="2"/>
      <c r="X19" s="2"/>
      <c r="Y19" s="2"/>
      <c r="Z19" s="2"/>
    </row>
    <row r="20" spans="1:26" ht="18" customHeight="1" x14ac:dyDescent="0.25">
      <c r="A20" s="835"/>
      <c r="B20" s="830"/>
      <c r="C20" s="830"/>
      <c r="D20" s="830"/>
      <c r="E20" s="833"/>
      <c r="F20" s="833"/>
      <c r="G20" s="830"/>
      <c r="H20" s="830"/>
      <c r="I20" s="616" t="s">
        <v>583</v>
      </c>
      <c r="J20" s="688" t="s">
        <v>216</v>
      </c>
      <c r="K20" s="616">
        <v>584</v>
      </c>
      <c r="L20" s="691">
        <v>1222</v>
      </c>
      <c r="M20" s="621">
        <v>70</v>
      </c>
      <c r="N20" s="621">
        <v>99</v>
      </c>
      <c r="O20" s="621">
        <v>78</v>
      </c>
      <c r="P20" s="830"/>
      <c r="Q20" s="830"/>
      <c r="R20" s="830"/>
      <c r="S20" s="830"/>
      <c r="T20" s="849"/>
      <c r="U20" s="2"/>
      <c r="V20" s="2"/>
      <c r="W20" s="2"/>
      <c r="X20" s="2"/>
      <c r="Y20" s="2"/>
      <c r="Z20" s="2"/>
    </row>
    <row r="21" spans="1:26" ht="21" customHeight="1" x14ac:dyDescent="0.25">
      <c r="A21" s="834" t="s">
        <v>610</v>
      </c>
      <c r="B21" s="828" t="s">
        <v>611</v>
      </c>
      <c r="C21" s="828" t="s">
        <v>604</v>
      </c>
      <c r="D21" s="828" t="s">
        <v>605</v>
      </c>
      <c r="E21" s="794">
        <v>6</v>
      </c>
      <c r="F21" s="794">
        <v>6</v>
      </c>
      <c r="G21" s="828" t="s">
        <v>612</v>
      </c>
      <c r="H21" s="828" t="s">
        <v>613</v>
      </c>
      <c r="I21" s="549" t="s">
        <v>614</v>
      </c>
      <c r="J21" s="688" t="s">
        <v>384</v>
      </c>
      <c r="K21" s="616">
        <v>521</v>
      </c>
      <c r="L21" s="621">
        <v>971</v>
      </c>
      <c r="M21" s="621">
        <v>30</v>
      </c>
      <c r="N21" s="621">
        <v>26</v>
      </c>
      <c r="O21" s="621">
        <v>139</v>
      </c>
      <c r="P21" s="828" t="s">
        <v>578</v>
      </c>
      <c r="Q21" s="828" t="s">
        <v>595</v>
      </c>
      <c r="R21" s="828" t="s">
        <v>454</v>
      </c>
      <c r="S21" s="828" t="s">
        <v>615</v>
      </c>
      <c r="T21" s="849"/>
      <c r="U21" s="2"/>
      <c r="V21" s="2"/>
      <c r="W21" s="2"/>
      <c r="X21" s="2"/>
      <c r="Y21" s="2"/>
      <c r="Z21" s="2"/>
    </row>
    <row r="22" spans="1:26" ht="21" customHeight="1" x14ac:dyDescent="0.25">
      <c r="A22" s="835"/>
      <c r="B22" s="830"/>
      <c r="C22" s="830"/>
      <c r="D22" s="830"/>
      <c r="E22" s="833"/>
      <c r="F22" s="833"/>
      <c r="G22" s="830"/>
      <c r="H22" s="830"/>
      <c r="I22" s="616" t="s">
        <v>583</v>
      </c>
      <c r="J22" s="688" t="s">
        <v>216</v>
      </c>
      <c r="K22" s="616">
        <v>618</v>
      </c>
      <c r="L22" s="691">
        <v>1222</v>
      </c>
      <c r="M22" s="621">
        <v>70</v>
      </c>
      <c r="N22" s="621">
        <v>99</v>
      </c>
      <c r="O22" s="621">
        <v>78</v>
      </c>
      <c r="P22" s="830"/>
      <c r="Q22" s="830"/>
      <c r="R22" s="830"/>
      <c r="S22" s="830"/>
      <c r="T22" s="849"/>
      <c r="U22" s="2"/>
      <c r="V22" s="2"/>
      <c r="W22" s="2"/>
      <c r="X22" s="2"/>
      <c r="Y22" s="2"/>
      <c r="Z22" s="2"/>
    </row>
    <row r="23" spans="1:26" ht="18" customHeight="1" x14ac:dyDescent="0.25">
      <c r="A23" s="834" t="s">
        <v>616</v>
      </c>
      <c r="B23" s="828" t="s">
        <v>617</v>
      </c>
      <c r="C23" s="828" t="s">
        <v>618</v>
      </c>
      <c r="D23" s="828" t="s">
        <v>574</v>
      </c>
      <c r="E23" s="794">
        <v>1</v>
      </c>
      <c r="F23" s="794" t="s">
        <v>81</v>
      </c>
      <c r="G23" s="828" t="s">
        <v>619</v>
      </c>
      <c r="H23" s="828" t="s">
        <v>576</v>
      </c>
      <c r="I23" s="549" t="s">
        <v>577</v>
      </c>
      <c r="J23" s="688" t="s">
        <v>384</v>
      </c>
      <c r="K23" s="616" t="s">
        <v>620</v>
      </c>
      <c r="L23" s="621">
        <v>0</v>
      </c>
      <c r="M23" s="621" t="s">
        <v>621</v>
      </c>
      <c r="N23" s="621" t="s">
        <v>622</v>
      </c>
      <c r="O23" s="621">
        <v>0</v>
      </c>
      <c r="P23" s="828" t="s">
        <v>623</v>
      </c>
      <c r="Q23" s="828" t="s">
        <v>624</v>
      </c>
      <c r="R23" s="828" t="s">
        <v>580</v>
      </c>
      <c r="S23" s="828" t="s">
        <v>625</v>
      </c>
      <c r="T23" s="849"/>
      <c r="U23" s="2"/>
      <c r="V23" s="2"/>
      <c r="W23" s="2"/>
      <c r="X23" s="2"/>
      <c r="Y23" s="2"/>
      <c r="Z23" s="2"/>
    </row>
    <row r="24" spans="1:26" ht="18" customHeight="1" x14ac:dyDescent="0.25">
      <c r="A24" s="835"/>
      <c r="B24" s="830"/>
      <c r="C24" s="830"/>
      <c r="D24" s="830"/>
      <c r="E24" s="833"/>
      <c r="F24" s="833"/>
      <c r="G24" s="830"/>
      <c r="H24" s="830"/>
      <c r="I24" s="616" t="s">
        <v>583</v>
      </c>
      <c r="J24" s="688" t="s">
        <v>216</v>
      </c>
      <c r="K24" s="616" t="s">
        <v>620</v>
      </c>
      <c r="L24" s="691">
        <v>0</v>
      </c>
      <c r="M24" s="621" t="s">
        <v>626</v>
      </c>
      <c r="N24" s="621" t="s">
        <v>627</v>
      </c>
      <c r="O24" s="621">
        <v>0</v>
      </c>
      <c r="P24" s="830"/>
      <c r="Q24" s="830"/>
      <c r="R24" s="830"/>
      <c r="S24" s="830"/>
      <c r="T24" s="849"/>
      <c r="U24" s="2"/>
      <c r="V24" s="2"/>
      <c r="W24" s="2"/>
      <c r="X24" s="2"/>
      <c r="Y24" s="2"/>
      <c r="Z24" s="2"/>
    </row>
    <row r="25" spans="1:26" ht="20.25" customHeight="1" x14ac:dyDescent="0.25">
      <c r="A25" s="834" t="s">
        <v>628</v>
      </c>
      <c r="B25" s="828" t="s">
        <v>629</v>
      </c>
      <c r="C25" s="828" t="s">
        <v>618</v>
      </c>
      <c r="D25" s="828" t="s">
        <v>605</v>
      </c>
      <c r="E25" s="794">
        <v>1</v>
      </c>
      <c r="F25" s="794" t="s">
        <v>81</v>
      </c>
      <c r="G25" s="828" t="s">
        <v>630</v>
      </c>
      <c r="H25" s="828" t="s">
        <v>613</v>
      </c>
      <c r="I25" s="549" t="s">
        <v>577</v>
      </c>
      <c r="J25" s="688" t="s">
        <v>384</v>
      </c>
      <c r="K25" s="616" t="s">
        <v>631</v>
      </c>
      <c r="L25" s="621" t="s">
        <v>632</v>
      </c>
      <c r="M25" s="621" t="s">
        <v>633</v>
      </c>
      <c r="N25" s="621" t="s">
        <v>634</v>
      </c>
      <c r="O25" s="621">
        <v>0</v>
      </c>
      <c r="P25" s="828" t="s">
        <v>623</v>
      </c>
      <c r="Q25" s="828" t="s">
        <v>624</v>
      </c>
      <c r="R25" s="828" t="s">
        <v>454</v>
      </c>
      <c r="S25" s="828" t="s">
        <v>635</v>
      </c>
      <c r="T25" s="849"/>
      <c r="U25" s="2"/>
      <c r="V25" s="2"/>
      <c r="W25" s="2"/>
      <c r="X25" s="2"/>
      <c r="Y25" s="2"/>
      <c r="Z25" s="2"/>
    </row>
    <row r="26" spans="1:26" ht="20.25" customHeight="1" x14ac:dyDescent="0.25">
      <c r="A26" s="835"/>
      <c r="B26" s="830"/>
      <c r="C26" s="830"/>
      <c r="D26" s="830"/>
      <c r="E26" s="833"/>
      <c r="F26" s="833"/>
      <c r="G26" s="830"/>
      <c r="H26" s="830"/>
      <c r="I26" s="616" t="s">
        <v>583</v>
      </c>
      <c r="J26" s="688" t="s">
        <v>216</v>
      </c>
      <c r="K26" s="616" t="s">
        <v>631</v>
      </c>
      <c r="L26" s="691" t="s">
        <v>632</v>
      </c>
      <c r="M26" s="621" t="s">
        <v>636</v>
      </c>
      <c r="N26" s="621" t="s">
        <v>637</v>
      </c>
      <c r="O26" s="621">
        <v>0</v>
      </c>
      <c r="P26" s="830"/>
      <c r="Q26" s="830"/>
      <c r="R26" s="830"/>
      <c r="S26" s="830"/>
      <c r="T26" s="849"/>
      <c r="U26" s="2"/>
      <c r="V26" s="2"/>
      <c r="W26" s="2"/>
      <c r="X26" s="2"/>
      <c r="Y26" s="2"/>
      <c r="Z26" s="2"/>
    </row>
    <row r="27" spans="1:26" ht="18" customHeight="1" x14ac:dyDescent="0.25">
      <c r="A27" s="834" t="s">
        <v>638</v>
      </c>
      <c r="B27" s="828" t="s">
        <v>639</v>
      </c>
      <c r="C27" s="828" t="s">
        <v>640</v>
      </c>
      <c r="D27" s="828" t="s">
        <v>574</v>
      </c>
      <c r="E27" s="794">
        <v>4</v>
      </c>
      <c r="F27" s="794">
        <v>8</v>
      </c>
      <c r="G27" s="828" t="s">
        <v>641</v>
      </c>
      <c r="H27" s="828" t="s">
        <v>576</v>
      </c>
      <c r="I27" s="549" t="s">
        <v>577</v>
      </c>
      <c r="J27" s="688" t="s">
        <v>384</v>
      </c>
      <c r="K27" s="616">
        <v>1143</v>
      </c>
      <c r="L27" s="621">
        <v>0</v>
      </c>
      <c r="M27" s="621">
        <v>16</v>
      </c>
      <c r="N27" s="621">
        <v>16</v>
      </c>
      <c r="O27" s="621">
        <v>64</v>
      </c>
      <c r="P27" s="828" t="s">
        <v>578</v>
      </c>
      <c r="Q27" s="828" t="s">
        <v>642</v>
      </c>
      <c r="R27" s="828" t="s">
        <v>580</v>
      </c>
      <c r="S27" s="828" t="s">
        <v>643</v>
      </c>
      <c r="T27" s="849"/>
      <c r="U27" s="2"/>
      <c r="V27" s="2"/>
      <c r="W27" s="2"/>
      <c r="X27" s="2"/>
      <c r="Y27" s="2"/>
      <c r="Z27" s="2"/>
    </row>
    <row r="28" spans="1:26" ht="18" customHeight="1" x14ac:dyDescent="0.25">
      <c r="A28" s="845"/>
      <c r="B28" s="829"/>
      <c r="C28" s="829"/>
      <c r="D28" s="829"/>
      <c r="E28" s="836"/>
      <c r="F28" s="836"/>
      <c r="G28" s="829"/>
      <c r="H28" s="829"/>
      <c r="I28" s="657" t="s">
        <v>583</v>
      </c>
      <c r="J28" s="692" t="s">
        <v>216</v>
      </c>
      <c r="K28" s="616">
        <v>1438</v>
      </c>
      <c r="L28" s="691">
        <v>0</v>
      </c>
      <c r="M28" s="621">
        <v>43</v>
      </c>
      <c r="N28" s="621">
        <v>73</v>
      </c>
      <c r="O28" s="621">
        <v>0</v>
      </c>
      <c r="P28" s="830"/>
      <c r="Q28" s="830"/>
      <c r="R28" s="830"/>
      <c r="S28" s="830"/>
      <c r="T28" s="849"/>
      <c r="U28" s="2"/>
      <c r="V28" s="2"/>
      <c r="W28" s="2"/>
      <c r="X28" s="2"/>
      <c r="Y28" s="2"/>
      <c r="Z28" s="2"/>
    </row>
    <row r="29" spans="1:26" ht="18" customHeight="1" x14ac:dyDescent="0.25">
      <c r="A29" s="846" t="s">
        <v>644</v>
      </c>
      <c r="B29" s="779" t="s">
        <v>645</v>
      </c>
      <c r="C29" s="779" t="s">
        <v>646</v>
      </c>
      <c r="D29" s="779" t="s">
        <v>574</v>
      </c>
      <c r="E29" s="763">
        <v>2</v>
      </c>
      <c r="F29" s="763">
        <v>6</v>
      </c>
      <c r="G29" s="779" t="s">
        <v>647</v>
      </c>
      <c r="H29" s="779" t="s">
        <v>588</v>
      </c>
      <c r="I29" s="429" t="s">
        <v>577</v>
      </c>
      <c r="J29" s="658" t="s">
        <v>384</v>
      </c>
      <c r="K29" s="618">
        <v>599</v>
      </c>
      <c r="L29" s="616">
        <v>0</v>
      </c>
      <c r="M29" s="616">
        <v>20</v>
      </c>
      <c r="N29" s="616">
        <v>18</v>
      </c>
      <c r="O29" s="616">
        <v>64</v>
      </c>
      <c r="P29" s="828" t="s">
        <v>648</v>
      </c>
      <c r="Q29" s="828" t="s">
        <v>649</v>
      </c>
      <c r="R29" s="828" t="s">
        <v>580</v>
      </c>
      <c r="S29" s="828" t="s">
        <v>650</v>
      </c>
      <c r="T29" s="849"/>
      <c r="U29" s="2"/>
      <c r="V29" s="2"/>
      <c r="W29" s="2"/>
      <c r="X29" s="2"/>
      <c r="Y29" s="2"/>
      <c r="Z29" s="2"/>
    </row>
    <row r="30" spans="1:26" ht="18" customHeight="1" x14ac:dyDescent="0.25">
      <c r="A30" s="847"/>
      <c r="B30" s="838"/>
      <c r="C30" s="838"/>
      <c r="D30" s="838"/>
      <c r="E30" s="837"/>
      <c r="F30" s="837"/>
      <c r="G30" s="838"/>
      <c r="H30" s="838"/>
      <c r="I30" s="693" t="s">
        <v>583</v>
      </c>
      <c r="J30" s="694" t="s">
        <v>216</v>
      </c>
      <c r="K30" s="693">
        <v>808</v>
      </c>
      <c r="L30" s="695">
        <v>0</v>
      </c>
      <c r="M30" s="695">
        <v>32</v>
      </c>
      <c r="N30" s="695">
        <v>72</v>
      </c>
      <c r="O30" s="695">
        <v>0</v>
      </c>
      <c r="P30" s="851"/>
      <c r="Q30" s="851"/>
      <c r="R30" s="851"/>
      <c r="S30" s="851"/>
      <c r="T30" s="850"/>
      <c r="U30" s="2"/>
      <c r="V30" s="2"/>
      <c r="W30" s="2"/>
      <c r="X30" s="2"/>
      <c r="Y30" s="2"/>
      <c r="Z30" s="2"/>
    </row>
    <row r="31" spans="1:26" ht="18" customHeight="1" x14ac:dyDescent="0.25">
      <c r="A31" s="831" t="s">
        <v>464</v>
      </c>
      <c r="B31" s="832"/>
      <c r="C31" s="832"/>
      <c r="D31" s="832"/>
      <c r="E31" s="696">
        <f>SUM(E11:E29)</f>
        <v>72</v>
      </c>
      <c r="F31" s="697">
        <f>SUMPRODUCT(E11:E29,F11:F29)</f>
        <v>728</v>
      </c>
      <c r="G31" s="5"/>
      <c r="H31" s="5"/>
      <c r="I31" s="5"/>
      <c r="J31" s="5"/>
      <c r="K31" s="5"/>
      <c r="L31" s="5"/>
      <c r="M31" s="5"/>
      <c r="N31" s="5"/>
      <c r="O31" s="5"/>
      <c r="P31" s="5"/>
      <c r="Q31" s="5"/>
      <c r="R31" s="5"/>
      <c r="S31" s="5"/>
      <c r="T31" s="5"/>
      <c r="U31" s="2"/>
      <c r="V31" s="2"/>
      <c r="W31" s="2"/>
      <c r="X31" s="2"/>
      <c r="Y31" s="2"/>
      <c r="Z31" s="2"/>
    </row>
    <row r="32" spans="1:26" ht="18" customHeight="1" x14ac:dyDescent="0.25">
      <c r="A32" s="567"/>
      <c r="B32" s="567"/>
      <c r="C32" s="5"/>
      <c r="D32" s="545"/>
      <c r="E32" s="545"/>
      <c r="F32" s="545"/>
      <c r="G32" s="16"/>
    </row>
    <row r="33" spans="1:15" ht="18" customHeight="1" x14ac:dyDescent="0.25">
      <c r="A33" s="852" t="s">
        <v>651</v>
      </c>
      <c r="B33" s="853"/>
      <c r="C33" s="853"/>
      <c r="D33" s="853"/>
      <c r="E33" s="853"/>
      <c r="F33" s="853"/>
      <c r="G33" s="853"/>
      <c r="H33" s="853"/>
      <c r="I33" s="853"/>
      <c r="J33" s="853"/>
      <c r="K33" s="853"/>
      <c r="L33" s="853"/>
      <c r="M33" s="354"/>
      <c r="N33" s="354"/>
      <c r="O33" s="354"/>
    </row>
    <row r="34" spans="1:15" ht="44.25" customHeight="1" x14ac:dyDescent="0.25">
      <c r="A34" s="698" t="s">
        <v>216</v>
      </c>
      <c r="B34" s="699" t="s">
        <v>652</v>
      </c>
      <c r="C34" s="700" t="s">
        <v>653</v>
      </c>
      <c r="D34" s="686" t="s">
        <v>654</v>
      </c>
      <c r="E34" s="686" t="s">
        <v>655</v>
      </c>
      <c r="F34" s="686" t="s">
        <v>656</v>
      </c>
      <c r="G34" s="686" t="s">
        <v>657</v>
      </c>
      <c r="H34" s="686" t="s">
        <v>658</v>
      </c>
      <c r="I34" s="686" t="s">
        <v>659</v>
      </c>
      <c r="J34" s="686" t="s">
        <v>660</v>
      </c>
      <c r="K34" s="686" t="s">
        <v>661</v>
      </c>
      <c r="L34" s="701" t="s">
        <v>336</v>
      </c>
      <c r="M34" s="37"/>
    </row>
    <row r="35" spans="1:15" ht="34.5" customHeight="1" x14ac:dyDescent="0.25">
      <c r="A35" s="839" t="s">
        <v>384</v>
      </c>
      <c r="B35" s="616" t="s">
        <v>662</v>
      </c>
      <c r="C35" s="618" t="s">
        <v>663</v>
      </c>
      <c r="D35" s="616">
        <v>4</v>
      </c>
      <c r="E35" s="616">
        <v>1</v>
      </c>
      <c r="F35" s="616">
        <v>39.299999999999997</v>
      </c>
      <c r="G35" s="616" t="s">
        <v>664</v>
      </c>
      <c r="H35" s="616">
        <v>70</v>
      </c>
      <c r="I35" s="616">
        <v>83.5</v>
      </c>
      <c r="J35" s="616">
        <v>4378</v>
      </c>
      <c r="K35" s="616" t="s">
        <v>665</v>
      </c>
      <c r="L35" s="842" t="s">
        <v>666</v>
      </c>
      <c r="M35" s="635"/>
    </row>
    <row r="36" spans="1:15" ht="34.5" customHeight="1" x14ac:dyDescent="0.25">
      <c r="A36" s="840"/>
      <c r="B36" s="616" t="s">
        <v>667</v>
      </c>
      <c r="C36" s="618" t="s">
        <v>668</v>
      </c>
      <c r="D36" s="616">
        <v>5</v>
      </c>
      <c r="E36" s="616">
        <v>1</v>
      </c>
      <c r="F36" s="616">
        <v>153.6</v>
      </c>
      <c r="G36" s="616" t="s">
        <v>664</v>
      </c>
      <c r="H36" s="616">
        <v>70</v>
      </c>
      <c r="I36" s="616">
        <v>276.39999999999998</v>
      </c>
      <c r="J36" s="616">
        <v>12884</v>
      </c>
      <c r="K36" s="616" t="s">
        <v>665</v>
      </c>
      <c r="L36" s="843"/>
      <c r="M36" s="635"/>
    </row>
    <row r="37" spans="1:15" ht="18" customHeight="1" x14ac:dyDescent="0.25">
      <c r="A37" s="841"/>
      <c r="B37" s="702" t="s">
        <v>669</v>
      </c>
      <c r="C37" s="703" t="s">
        <v>670</v>
      </c>
      <c r="D37" s="703">
        <v>1</v>
      </c>
      <c r="E37" s="703">
        <v>1</v>
      </c>
      <c r="F37" s="703">
        <v>2.19</v>
      </c>
      <c r="G37" s="703" t="s">
        <v>671</v>
      </c>
      <c r="H37" s="703">
        <v>70</v>
      </c>
      <c r="I37" s="703">
        <v>3.94</v>
      </c>
      <c r="J37" s="703">
        <v>869</v>
      </c>
      <c r="K37" s="703" t="s">
        <v>672</v>
      </c>
      <c r="L37" s="844"/>
      <c r="M37" s="704"/>
    </row>
    <row r="38" spans="1:15" ht="24.75" customHeight="1" x14ac:dyDescent="0.25">
      <c r="A38" s="839" t="s">
        <v>216</v>
      </c>
      <c r="B38" s="616" t="s">
        <v>662</v>
      </c>
      <c r="C38" s="618" t="s">
        <v>663</v>
      </c>
      <c r="D38" s="616">
        <v>4</v>
      </c>
      <c r="E38" s="616">
        <v>1</v>
      </c>
      <c r="F38" s="616">
        <v>52</v>
      </c>
      <c r="G38" s="616" t="s">
        <v>664</v>
      </c>
      <c r="H38" s="616">
        <v>70</v>
      </c>
      <c r="I38" s="616">
        <v>110.3</v>
      </c>
      <c r="J38" s="616">
        <v>5560</v>
      </c>
      <c r="K38" s="616" t="s">
        <v>665</v>
      </c>
      <c r="L38" s="842" t="s">
        <v>666</v>
      </c>
    </row>
    <row r="39" spans="1:15" ht="24.75" customHeight="1" x14ac:dyDescent="0.25">
      <c r="A39" s="840"/>
      <c r="B39" s="616" t="s">
        <v>667</v>
      </c>
      <c r="C39" s="618" t="s">
        <v>668</v>
      </c>
      <c r="D39" s="616">
        <v>5</v>
      </c>
      <c r="E39" s="616">
        <v>1</v>
      </c>
      <c r="F39" s="616">
        <v>192.7</v>
      </c>
      <c r="G39" s="616" t="s">
        <v>664</v>
      </c>
      <c r="H39" s="616">
        <v>70</v>
      </c>
      <c r="I39" s="616">
        <v>346.9</v>
      </c>
      <c r="J39" s="616">
        <v>15991</v>
      </c>
      <c r="K39" s="616" t="s">
        <v>665</v>
      </c>
      <c r="L39" s="843"/>
    </row>
    <row r="40" spans="1:15" ht="24.75" customHeight="1" x14ac:dyDescent="0.25">
      <c r="A40" s="841"/>
      <c r="B40" s="702" t="s">
        <v>669</v>
      </c>
      <c r="C40" s="703" t="s">
        <v>670</v>
      </c>
      <c r="D40" s="703">
        <v>1</v>
      </c>
      <c r="E40" s="703">
        <v>1</v>
      </c>
      <c r="F40" s="703">
        <v>2.96</v>
      </c>
      <c r="G40" s="703" t="s">
        <v>671</v>
      </c>
      <c r="H40" s="703">
        <v>70</v>
      </c>
      <c r="I40" s="703">
        <v>5.32</v>
      </c>
      <c r="J40" s="703">
        <v>930</v>
      </c>
      <c r="K40" s="703" t="s">
        <v>672</v>
      </c>
      <c r="L40" s="844"/>
    </row>
    <row r="41" spans="1:15" ht="12.6" customHeight="1" x14ac:dyDescent="0.25">
      <c r="A41" s="312"/>
    </row>
    <row r="42" spans="1:15" ht="13.2" x14ac:dyDescent="0.25"/>
    <row r="46" spans="1:15" ht="13.2" x14ac:dyDescent="0.25">
      <c r="A46" s="4"/>
    </row>
    <row r="51" ht="24" customHeight="1" x14ac:dyDescent="0.25"/>
    <row r="52" ht="24" customHeight="1" x14ac:dyDescent="0.25"/>
    <row r="53" ht="24" customHeight="1" x14ac:dyDescent="0.25"/>
    <row r="54" ht="24" customHeight="1" x14ac:dyDescent="0.25"/>
    <row r="55" ht="24" customHeight="1" x14ac:dyDescent="0.25"/>
    <row r="56" ht="24" customHeight="1" x14ac:dyDescent="0.25"/>
    <row r="57" ht="24" customHeight="1" x14ac:dyDescent="0.25"/>
    <row r="58" ht="24" customHeight="1" x14ac:dyDescent="0.25"/>
    <row r="59" ht="24" customHeight="1" x14ac:dyDescent="0.25"/>
    <row r="60" ht="24" customHeight="1" x14ac:dyDescent="0.25"/>
    <row r="61" ht="13.2" x14ac:dyDescent="0.25"/>
    <row r="62" ht="13.2" x14ac:dyDescent="0.25"/>
    <row r="63" ht="13.2" x14ac:dyDescent="0.25"/>
    <row r="64" ht="13.2" x14ac:dyDescent="0.25"/>
    <row r="65" ht="13.2" x14ac:dyDescent="0.25"/>
    <row r="66" ht="13.2" x14ac:dyDescent="0.25"/>
    <row r="67" ht="13.2" x14ac:dyDescent="0.25"/>
    <row r="68" ht="13.2" x14ac:dyDescent="0.25"/>
  </sheetData>
  <mergeCells count="130">
    <mergeCell ref="A33:L33"/>
    <mergeCell ref="R25:R26"/>
    <mergeCell ref="R27:R28"/>
    <mergeCell ref="R29:R30"/>
    <mergeCell ref="S13:S14"/>
    <mergeCell ref="S15:S16"/>
    <mergeCell ref="S17:S18"/>
    <mergeCell ref="S19:S20"/>
    <mergeCell ref="S21:S22"/>
    <mergeCell ref="S23:S24"/>
    <mergeCell ref="S25:S26"/>
    <mergeCell ref="S27:S28"/>
    <mergeCell ref="S29:S30"/>
    <mergeCell ref="R15:R16"/>
    <mergeCell ref="R17:R18"/>
    <mergeCell ref="R19:R20"/>
    <mergeCell ref="R21:R22"/>
    <mergeCell ref="R23:R24"/>
    <mergeCell ref="P25:P26"/>
    <mergeCell ref="P27:P28"/>
    <mergeCell ref="P29:P30"/>
    <mergeCell ref="Q13:Q14"/>
    <mergeCell ref="Q15:Q16"/>
    <mergeCell ref="Q17:Q18"/>
    <mergeCell ref="Q21:Q22"/>
    <mergeCell ref="Q23:Q24"/>
    <mergeCell ref="Q25:Q26"/>
    <mergeCell ref="Q27:Q28"/>
    <mergeCell ref="Q29:Q30"/>
    <mergeCell ref="P15:P16"/>
    <mergeCell ref="P17:P18"/>
    <mergeCell ref="P19:P20"/>
    <mergeCell ref="P21:P22"/>
    <mergeCell ref="P23:P24"/>
    <mergeCell ref="P11:P12"/>
    <mergeCell ref="S11:S12"/>
    <mergeCell ref="R11:R12"/>
    <mergeCell ref="Q11:Q12"/>
    <mergeCell ref="P13:P14"/>
    <mergeCell ref="R13:R14"/>
    <mergeCell ref="T11:T30"/>
    <mergeCell ref="G25:G26"/>
    <mergeCell ref="G27:G28"/>
    <mergeCell ref="G29:G30"/>
    <mergeCell ref="H15:H16"/>
    <mergeCell ref="H17:H18"/>
    <mergeCell ref="H19:H20"/>
    <mergeCell ref="H21:H22"/>
    <mergeCell ref="H23:H24"/>
    <mergeCell ref="H25:H26"/>
    <mergeCell ref="H27:H28"/>
    <mergeCell ref="H29:H30"/>
    <mergeCell ref="G15:G16"/>
    <mergeCell ref="G17:G18"/>
    <mergeCell ref="G19:G20"/>
    <mergeCell ref="G21:G22"/>
    <mergeCell ref="G23:G24"/>
    <mergeCell ref="Q19:Q20"/>
    <mergeCell ref="C27:C28"/>
    <mergeCell ref="C29:C30"/>
    <mergeCell ref="F15:F16"/>
    <mergeCell ref="F17:F18"/>
    <mergeCell ref="F19:F20"/>
    <mergeCell ref="F21:F22"/>
    <mergeCell ref="F23:F24"/>
    <mergeCell ref="F25:F26"/>
    <mergeCell ref="F27:F28"/>
    <mergeCell ref="F29:F30"/>
    <mergeCell ref="D25:D26"/>
    <mergeCell ref="C15:C16"/>
    <mergeCell ref="C17:C18"/>
    <mergeCell ref="C19:C20"/>
    <mergeCell ref="C21:C22"/>
    <mergeCell ref="D15:D16"/>
    <mergeCell ref="D17:D18"/>
    <mergeCell ref="D19:D20"/>
    <mergeCell ref="D21:D22"/>
    <mergeCell ref="D23:D24"/>
    <mergeCell ref="E15:E16"/>
    <mergeCell ref="E17:E18"/>
    <mergeCell ref="E19:E20"/>
    <mergeCell ref="E21:E22"/>
    <mergeCell ref="C25:C26"/>
    <mergeCell ref="E23:E24"/>
    <mergeCell ref="A38:A40"/>
    <mergeCell ref="L38:L40"/>
    <mergeCell ref="A11:A12"/>
    <mergeCell ref="B11:B12"/>
    <mergeCell ref="C11:C12"/>
    <mergeCell ref="D11:D12"/>
    <mergeCell ref="E11:E12"/>
    <mergeCell ref="F11:F12"/>
    <mergeCell ref="G11:G12"/>
    <mergeCell ref="H11:H12"/>
    <mergeCell ref="A13:A14"/>
    <mergeCell ref="B13:B14"/>
    <mergeCell ref="C13:C14"/>
    <mergeCell ref="D13:D14"/>
    <mergeCell ref="A35:A37"/>
    <mergeCell ref="L35:L37"/>
    <mergeCell ref="A23:A24"/>
    <mergeCell ref="A25:A26"/>
    <mergeCell ref="A27:A28"/>
    <mergeCell ref="A29:A30"/>
    <mergeCell ref="B29:B30"/>
    <mergeCell ref="E25:E26"/>
    <mergeCell ref="A1:D1"/>
    <mergeCell ref="A8:T8"/>
    <mergeCell ref="C4:C6"/>
    <mergeCell ref="A31:D31"/>
    <mergeCell ref="E13:E14"/>
    <mergeCell ref="F13:F14"/>
    <mergeCell ref="G13:G14"/>
    <mergeCell ref="H13:H14"/>
    <mergeCell ref="A15:A16"/>
    <mergeCell ref="A17:A18"/>
    <mergeCell ref="A19:A20"/>
    <mergeCell ref="A21:A22"/>
    <mergeCell ref="B15:B16"/>
    <mergeCell ref="B17:B18"/>
    <mergeCell ref="B19:B20"/>
    <mergeCell ref="B21:B22"/>
    <mergeCell ref="E27:E28"/>
    <mergeCell ref="E29:E30"/>
    <mergeCell ref="D27:D28"/>
    <mergeCell ref="D29:D30"/>
    <mergeCell ref="B23:B24"/>
    <mergeCell ref="B25:B26"/>
    <mergeCell ref="B27:B28"/>
    <mergeCell ref="C23:C2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dimension ref="A1:BK121"/>
  <sheetViews>
    <sheetView zoomScale="85" zoomScaleNormal="85" workbookViewId="0">
      <selection sqref="A1:AC1"/>
    </sheetView>
  </sheetViews>
  <sheetFormatPr defaultColWidth="9.33203125" defaultRowHeight="11.4" x14ac:dyDescent="0.3"/>
  <cols>
    <col min="1" max="1" width="22" style="32" customWidth="1"/>
    <col min="2" max="2" width="15.33203125" style="32" customWidth="1"/>
    <col min="3" max="3" width="27.6640625" style="32" customWidth="1"/>
    <col min="4" max="4" width="25.5546875" style="32" customWidth="1"/>
    <col min="5" max="5" width="10.6640625" style="32" customWidth="1"/>
    <col min="6" max="8" width="11.33203125" style="32" customWidth="1"/>
    <col min="9" max="28" width="5.6640625" style="32" customWidth="1"/>
    <col min="29" max="16384" width="9.33203125" style="32"/>
  </cols>
  <sheetData>
    <row r="1" spans="1:63" ht="24" customHeight="1" x14ac:dyDescent="0.3">
      <c r="A1" s="788" t="str">
        <f>"Schedules - "&amp;Prototype!A2</f>
        <v>Schedules - RetailGrocery</v>
      </c>
      <c r="B1" s="773"/>
      <c r="C1" s="773"/>
      <c r="D1" s="729"/>
      <c r="E1" s="773"/>
      <c r="F1" s="773"/>
      <c r="G1" s="773"/>
      <c r="H1" s="773"/>
      <c r="I1" s="773"/>
      <c r="J1" s="773"/>
      <c r="K1" s="773"/>
      <c r="L1" s="773"/>
      <c r="M1" s="773"/>
      <c r="N1" s="773"/>
      <c r="O1" s="773"/>
      <c r="P1" s="773"/>
      <c r="Q1" s="773"/>
      <c r="R1" s="773"/>
      <c r="S1" s="773"/>
      <c r="T1" s="773"/>
      <c r="U1" s="773"/>
      <c r="V1" s="773"/>
      <c r="W1" s="773"/>
      <c r="X1" s="773"/>
      <c r="Y1" s="773"/>
      <c r="Z1" s="773"/>
      <c r="AA1" s="773"/>
      <c r="AB1" s="773"/>
      <c r="AC1" s="773"/>
      <c r="AD1" s="33"/>
      <c r="AE1" s="33"/>
      <c r="AF1" s="33"/>
      <c r="AG1" s="33"/>
      <c r="AH1" s="34"/>
      <c r="AI1" s="34"/>
      <c r="AJ1" s="34"/>
      <c r="AL1" s="259"/>
      <c r="AM1" s="27"/>
      <c r="AN1" s="260"/>
      <c r="AO1" s="260"/>
      <c r="AP1" s="260"/>
      <c r="AQ1" s="260"/>
      <c r="AR1" s="260"/>
      <c r="AS1" s="260"/>
      <c r="AT1" s="260"/>
      <c r="AU1" s="260"/>
      <c r="AV1" s="260"/>
      <c r="AW1" s="260"/>
      <c r="AX1" s="260"/>
      <c r="AY1" s="260"/>
      <c r="AZ1" s="260"/>
      <c r="BA1" s="260"/>
      <c r="BB1" s="260"/>
      <c r="BC1" s="260"/>
      <c r="BD1" s="260"/>
      <c r="BE1" s="260"/>
      <c r="BF1" s="260"/>
      <c r="BG1" s="260"/>
      <c r="BH1" s="260"/>
      <c r="BI1" s="260"/>
      <c r="BJ1" s="260"/>
      <c r="BK1" s="260"/>
    </row>
    <row r="2" spans="1:63" ht="24" customHeight="1" x14ac:dyDescent="0.3">
      <c r="A2" s="901" t="s">
        <v>673</v>
      </c>
      <c r="B2" s="909" t="s">
        <v>122</v>
      </c>
      <c r="C2" s="907" t="s">
        <v>674</v>
      </c>
      <c r="D2" s="891" t="s">
        <v>336</v>
      </c>
      <c r="E2" s="910" t="s">
        <v>675</v>
      </c>
      <c r="F2" s="923" t="s">
        <v>676</v>
      </c>
      <c r="G2" s="923"/>
      <c r="H2" s="923"/>
      <c r="I2" s="923"/>
      <c r="J2" s="923"/>
      <c r="K2" s="923"/>
      <c r="L2" s="923"/>
      <c r="M2" s="923"/>
      <c r="N2" s="923"/>
      <c r="O2" s="923"/>
      <c r="P2" s="923"/>
      <c r="Q2" s="923"/>
      <c r="R2" s="923"/>
      <c r="S2" s="923"/>
      <c r="T2" s="923"/>
      <c r="U2" s="923"/>
      <c r="V2" s="923"/>
      <c r="W2" s="923"/>
      <c r="X2" s="923"/>
      <c r="Y2" s="923"/>
      <c r="Z2" s="923"/>
      <c r="AA2" s="923"/>
      <c r="AB2" s="923"/>
      <c r="AC2" s="923"/>
      <c r="AD2" s="33"/>
      <c r="AE2" s="33"/>
      <c r="AF2" s="33"/>
      <c r="AG2" s="33"/>
      <c r="AH2" s="34"/>
      <c r="AI2" s="34"/>
      <c r="AJ2" s="34"/>
      <c r="AL2" s="259"/>
      <c r="AM2" s="27"/>
      <c r="AN2" s="27"/>
      <c r="AO2" s="27"/>
      <c r="AP2" s="27"/>
      <c r="AQ2" s="27"/>
      <c r="AR2" s="27"/>
      <c r="AS2" s="27"/>
      <c r="AT2" s="27"/>
      <c r="AU2" s="27"/>
      <c r="AV2" s="27"/>
      <c r="AW2" s="27"/>
      <c r="AX2" s="27"/>
      <c r="AY2" s="27"/>
      <c r="AZ2" s="27"/>
      <c r="BA2" s="27"/>
      <c r="BB2" s="27"/>
      <c r="BC2" s="27"/>
      <c r="BD2" s="27"/>
      <c r="BE2" s="27"/>
      <c r="BF2" s="27"/>
      <c r="BG2" s="27"/>
      <c r="BH2" s="27"/>
      <c r="BI2" s="27"/>
      <c r="BJ2" s="27"/>
      <c r="BK2" s="27"/>
    </row>
    <row r="3" spans="1:63" ht="18.75" customHeight="1" x14ac:dyDescent="0.3">
      <c r="A3" s="902"/>
      <c r="B3" s="902"/>
      <c r="C3" s="908"/>
      <c r="D3" s="892"/>
      <c r="E3" s="911"/>
      <c r="F3" s="563">
        <v>1</v>
      </c>
      <c r="G3" s="563">
        <v>2</v>
      </c>
      <c r="H3" s="563">
        <v>3</v>
      </c>
      <c r="I3" s="563">
        <v>4</v>
      </c>
      <c r="J3" s="563">
        <v>5</v>
      </c>
      <c r="K3" s="563">
        <v>6</v>
      </c>
      <c r="L3" s="563">
        <v>7</v>
      </c>
      <c r="M3" s="563">
        <v>8</v>
      </c>
      <c r="N3" s="563">
        <v>9</v>
      </c>
      <c r="O3" s="563">
        <v>10</v>
      </c>
      <c r="P3" s="563">
        <v>11</v>
      </c>
      <c r="Q3" s="563">
        <v>12</v>
      </c>
      <c r="R3" s="563">
        <v>13</v>
      </c>
      <c r="S3" s="563">
        <v>14</v>
      </c>
      <c r="T3" s="563">
        <v>15</v>
      </c>
      <c r="U3" s="563">
        <v>16</v>
      </c>
      <c r="V3" s="563">
        <v>17</v>
      </c>
      <c r="W3" s="563">
        <v>18</v>
      </c>
      <c r="X3" s="563">
        <v>19</v>
      </c>
      <c r="Y3" s="563">
        <v>20</v>
      </c>
      <c r="Z3" s="563">
        <v>21</v>
      </c>
      <c r="AA3" s="563">
        <v>22</v>
      </c>
      <c r="AB3" s="563">
        <v>23</v>
      </c>
      <c r="AC3" s="563">
        <v>24</v>
      </c>
      <c r="AD3" s="34"/>
      <c r="AE3" s="34"/>
      <c r="AF3" s="34"/>
      <c r="AG3" s="34"/>
      <c r="AH3" s="34"/>
      <c r="AI3" s="34"/>
      <c r="AJ3" s="34"/>
    </row>
    <row r="4" spans="1:63" ht="21.75" customHeight="1" x14ac:dyDescent="0.3">
      <c r="A4" s="883" t="s">
        <v>677</v>
      </c>
      <c r="B4" s="873" t="s">
        <v>139</v>
      </c>
      <c r="C4" s="886" t="s">
        <v>678</v>
      </c>
      <c r="D4" s="893" t="s">
        <v>679</v>
      </c>
      <c r="E4" s="93" t="s">
        <v>680</v>
      </c>
      <c r="F4" s="325">
        <v>0</v>
      </c>
      <c r="G4" s="325">
        <v>0</v>
      </c>
      <c r="H4" s="325">
        <v>0</v>
      </c>
      <c r="I4" s="325">
        <v>0</v>
      </c>
      <c r="J4" s="325">
        <v>0</v>
      </c>
      <c r="K4" s="325">
        <v>0.05</v>
      </c>
      <c r="L4" s="325">
        <v>0.1</v>
      </c>
      <c r="M4" s="325">
        <v>0.15</v>
      </c>
      <c r="N4" s="325">
        <v>0.2</v>
      </c>
      <c r="O4" s="325">
        <v>0.3</v>
      </c>
      <c r="P4" s="325">
        <v>0.4</v>
      </c>
      <c r="Q4" s="325">
        <v>0.5</v>
      </c>
      <c r="R4" s="325">
        <v>0.6</v>
      </c>
      <c r="S4" s="325">
        <v>0.6</v>
      </c>
      <c r="T4" s="325">
        <v>0.6</v>
      </c>
      <c r="U4" s="325">
        <v>0.6</v>
      </c>
      <c r="V4" s="325">
        <v>0.7</v>
      </c>
      <c r="W4" s="325">
        <v>0.8</v>
      </c>
      <c r="X4" s="325">
        <v>0.8</v>
      </c>
      <c r="Y4" s="325">
        <v>0.8</v>
      </c>
      <c r="Z4" s="325">
        <v>0.6</v>
      </c>
      <c r="AA4" s="325">
        <v>0.3</v>
      </c>
      <c r="AB4" s="325">
        <v>0.1</v>
      </c>
      <c r="AC4" s="326">
        <v>0.05</v>
      </c>
      <c r="AD4" s="34"/>
      <c r="AE4" s="34"/>
      <c r="AF4" s="34"/>
      <c r="AG4" s="34"/>
      <c r="AH4" s="34"/>
      <c r="AI4" s="34"/>
      <c r="AJ4" s="34"/>
    </row>
    <row r="5" spans="1:63" ht="21.75" customHeight="1" x14ac:dyDescent="0.3">
      <c r="A5" s="884"/>
      <c r="B5" s="874"/>
      <c r="C5" s="887"/>
      <c r="D5" s="894"/>
      <c r="E5" s="94" t="s">
        <v>681</v>
      </c>
      <c r="F5" s="327">
        <v>0</v>
      </c>
      <c r="G5" s="327">
        <v>0</v>
      </c>
      <c r="H5" s="327">
        <v>0</v>
      </c>
      <c r="I5" s="327">
        <v>0</v>
      </c>
      <c r="J5" s="327">
        <v>0</v>
      </c>
      <c r="K5" s="327">
        <v>0.05</v>
      </c>
      <c r="L5" s="327">
        <v>0.1</v>
      </c>
      <c r="M5" s="327">
        <v>0.2</v>
      </c>
      <c r="N5" s="327">
        <v>0.3</v>
      </c>
      <c r="O5" s="327">
        <v>0.5</v>
      </c>
      <c r="P5" s="327">
        <v>0.7</v>
      </c>
      <c r="Q5" s="327">
        <v>0.8</v>
      </c>
      <c r="R5" s="327">
        <v>0.9</v>
      </c>
      <c r="S5" s="327">
        <v>0.9</v>
      </c>
      <c r="T5" s="327">
        <v>0.9</v>
      </c>
      <c r="U5" s="327">
        <v>0.9</v>
      </c>
      <c r="V5" s="327">
        <v>0.9</v>
      </c>
      <c r="W5" s="327">
        <v>0.9</v>
      </c>
      <c r="X5" s="327">
        <v>0.8</v>
      </c>
      <c r="Y5" s="327">
        <v>0.7</v>
      </c>
      <c r="Z5" s="327">
        <v>0.6</v>
      </c>
      <c r="AA5" s="327">
        <v>0.5</v>
      </c>
      <c r="AB5" s="327">
        <v>0.3</v>
      </c>
      <c r="AC5" s="328">
        <v>0.1</v>
      </c>
      <c r="AD5" s="34"/>
      <c r="AE5" s="34"/>
      <c r="AF5" s="34"/>
      <c r="AG5" s="34"/>
      <c r="AH5" s="34"/>
      <c r="AI5" s="34"/>
      <c r="AJ5" s="34"/>
    </row>
    <row r="6" spans="1:63" ht="36.75" customHeight="1" x14ac:dyDescent="0.3">
      <c r="A6" s="884"/>
      <c r="B6" s="885"/>
      <c r="C6" s="887"/>
      <c r="D6" s="895"/>
      <c r="E6" s="470" t="s">
        <v>682</v>
      </c>
      <c r="F6" s="501">
        <v>0</v>
      </c>
      <c r="G6" s="501">
        <v>0</v>
      </c>
      <c r="H6" s="501">
        <v>0</v>
      </c>
      <c r="I6" s="501">
        <v>0</v>
      </c>
      <c r="J6" s="501">
        <v>0</v>
      </c>
      <c r="K6" s="501">
        <v>0.05</v>
      </c>
      <c r="L6" s="501">
        <v>0.1</v>
      </c>
      <c r="M6" s="501">
        <v>0.2</v>
      </c>
      <c r="N6" s="501">
        <v>0.3</v>
      </c>
      <c r="O6" s="501">
        <v>0.5</v>
      </c>
      <c r="P6" s="501">
        <v>0.7</v>
      </c>
      <c r="Q6" s="501">
        <v>0.8</v>
      </c>
      <c r="R6" s="501">
        <v>0.9</v>
      </c>
      <c r="S6" s="501">
        <v>0.9</v>
      </c>
      <c r="T6" s="501">
        <v>0.9</v>
      </c>
      <c r="U6" s="501">
        <v>0.9</v>
      </c>
      <c r="V6" s="501">
        <v>0.9</v>
      </c>
      <c r="W6" s="501">
        <v>0.9</v>
      </c>
      <c r="X6" s="501">
        <v>0.8</v>
      </c>
      <c r="Y6" s="501">
        <v>0.7</v>
      </c>
      <c r="Z6" s="501">
        <v>0.6</v>
      </c>
      <c r="AA6" s="501">
        <v>0.5</v>
      </c>
      <c r="AB6" s="501">
        <v>0.3</v>
      </c>
      <c r="AC6" s="502">
        <v>0.1</v>
      </c>
      <c r="AD6" s="34"/>
      <c r="AE6" s="34"/>
      <c r="AF6" s="34"/>
      <c r="AG6" s="34"/>
      <c r="AH6" s="34"/>
      <c r="AI6" s="34"/>
      <c r="AJ6" s="34"/>
    </row>
    <row r="7" spans="1:63" ht="21.75" customHeight="1" x14ac:dyDescent="0.3">
      <c r="A7" s="899" t="s">
        <v>677</v>
      </c>
      <c r="B7" s="873" t="s">
        <v>139</v>
      </c>
      <c r="C7" s="886" t="s">
        <v>683</v>
      </c>
      <c r="D7" s="896" t="s">
        <v>684</v>
      </c>
      <c r="E7" s="494" t="s">
        <v>680</v>
      </c>
      <c r="F7" s="495">
        <v>0.05</v>
      </c>
      <c r="G7" s="495">
        <v>0.05</v>
      </c>
      <c r="H7" s="495">
        <v>0.05</v>
      </c>
      <c r="I7" s="495">
        <v>0.05</v>
      </c>
      <c r="J7" s="496">
        <v>0.7</v>
      </c>
      <c r="K7" s="496">
        <v>1</v>
      </c>
      <c r="L7" s="496">
        <v>1</v>
      </c>
      <c r="M7" s="496">
        <v>1</v>
      </c>
      <c r="N7" s="496">
        <v>1</v>
      </c>
      <c r="O7" s="496">
        <v>1</v>
      </c>
      <c r="P7" s="496">
        <v>1</v>
      </c>
      <c r="Q7" s="496">
        <v>1</v>
      </c>
      <c r="R7" s="496">
        <v>1</v>
      </c>
      <c r="S7" s="496">
        <v>1</v>
      </c>
      <c r="T7" s="496">
        <v>1</v>
      </c>
      <c r="U7" s="496">
        <v>1</v>
      </c>
      <c r="V7" s="496">
        <v>1</v>
      </c>
      <c r="W7" s="496">
        <v>1</v>
      </c>
      <c r="X7" s="496">
        <v>1</v>
      </c>
      <c r="Y7" s="496">
        <v>1</v>
      </c>
      <c r="Z7" s="496">
        <v>1</v>
      </c>
      <c r="AA7" s="496">
        <v>1</v>
      </c>
      <c r="AB7" s="496">
        <v>1</v>
      </c>
      <c r="AC7" s="497">
        <v>1</v>
      </c>
      <c r="AD7" s="34"/>
      <c r="AE7" s="34"/>
      <c r="AF7" s="34"/>
      <c r="AG7" s="34"/>
      <c r="AH7" s="34"/>
      <c r="AI7" s="34"/>
      <c r="AJ7" s="34"/>
      <c r="AL7" s="42"/>
    </row>
    <row r="8" spans="1:63" ht="21.75" customHeight="1" x14ac:dyDescent="0.3">
      <c r="A8" s="900"/>
      <c r="B8" s="874"/>
      <c r="C8" s="887"/>
      <c r="D8" s="897"/>
      <c r="E8" s="95" t="s">
        <v>681</v>
      </c>
      <c r="F8" s="266">
        <v>0.05</v>
      </c>
      <c r="G8" s="266">
        <v>0.05</v>
      </c>
      <c r="H8" s="266">
        <v>0.05</v>
      </c>
      <c r="I8" s="266">
        <v>0.05</v>
      </c>
      <c r="J8" s="336">
        <v>0.7</v>
      </c>
      <c r="K8" s="335">
        <v>1</v>
      </c>
      <c r="L8" s="335">
        <v>1</v>
      </c>
      <c r="M8" s="335">
        <v>1</v>
      </c>
      <c r="N8" s="335">
        <v>1</v>
      </c>
      <c r="O8" s="335">
        <v>1</v>
      </c>
      <c r="P8" s="335">
        <v>1</v>
      </c>
      <c r="Q8" s="335">
        <v>1</v>
      </c>
      <c r="R8" s="335">
        <v>1</v>
      </c>
      <c r="S8" s="335">
        <v>1</v>
      </c>
      <c r="T8" s="335">
        <v>1</v>
      </c>
      <c r="U8" s="335">
        <v>1</v>
      </c>
      <c r="V8" s="335">
        <v>1</v>
      </c>
      <c r="W8" s="335">
        <v>1</v>
      </c>
      <c r="X8" s="335">
        <v>1</v>
      </c>
      <c r="Y8" s="335">
        <v>1</v>
      </c>
      <c r="Z8" s="335">
        <v>1</v>
      </c>
      <c r="AA8" s="335">
        <v>1</v>
      </c>
      <c r="AB8" s="335">
        <v>1</v>
      </c>
      <c r="AC8" s="498">
        <v>1</v>
      </c>
      <c r="AD8" s="34"/>
      <c r="AE8" s="34"/>
      <c r="AF8" s="34"/>
      <c r="AG8" s="34"/>
      <c r="AH8" s="34"/>
      <c r="AI8" s="34"/>
      <c r="AJ8" s="34"/>
      <c r="AL8" s="42"/>
    </row>
    <row r="9" spans="1:63" ht="21.75" customHeight="1" x14ac:dyDescent="0.3">
      <c r="A9" s="900"/>
      <c r="B9" s="885"/>
      <c r="C9" s="887"/>
      <c r="D9" s="898"/>
      <c r="E9" s="96" t="s">
        <v>682</v>
      </c>
      <c r="F9" s="337">
        <v>0.05</v>
      </c>
      <c r="G9" s="337">
        <v>0.05</v>
      </c>
      <c r="H9" s="337">
        <v>0.05</v>
      </c>
      <c r="I9" s="337">
        <v>0.05</v>
      </c>
      <c r="J9" s="338">
        <v>0.7</v>
      </c>
      <c r="K9" s="338">
        <v>1</v>
      </c>
      <c r="L9" s="338">
        <v>1</v>
      </c>
      <c r="M9" s="338">
        <v>1</v>
      </c>
      <c r="N9" s="338">
        <v>1</v>
      </c>
      <c r="O9" s="338">
        <v>1</v>
      </c>
      <c r="P9" s="338">
        <v>1</v>
      </c>
      <c r="Q9" s="338">
        <v>1</v>
      </c>
      <c r="R9" s="338">
        <v>1</v>
      </c>
      <c r="S9" s="338">
        <v>1</v>
      </c>
      <c r="T9" s="338">
        <v>1</v>
      </c>
      <c r="U9" s="338">
        <v>1</v>
      </c>
      <c r="V9" s="338">
        <v>1</v>
      </c>
      <c r="W9" s="338">
        <v>1</v>
      </c>
      <c r="X9" s="338">
        <v>1</v>
      </c>
      <c r="Y9" s="338">
        <v>1</v>
      </c>
      <c r="Z9" s="338">
        <v>1</v>
      </c>
      <c r="AA9" s="338">
        <v>1</v>
      </c>
      <c r="AB9" s="338">
        <v>1</v>
      </c>
      <c r="AC9" s="499">
        <v>1</v>
      </c>
      <c r="AD9" s="34"/>
      <c r="AE9" s="34"/>
      <c r="AF9" s="34"/>
      <c r="AG9" s="34"/>
      <c r="AH9" s="34"/>
      <c r="AI9" s="34"/>
      <c r="AJ9" s="34"/>
      <c r="AL9" s="42"/>
    </row>
    <row r="10" spans="1:63" ht="24" customHeight="1" x14ac:dyDescent="0.3">
      <c r="A10" s="906" t="s">
        <v>677</v>
      </c>
      <c r="B10" s="873" t="s">
        <v>139</v>
      </c>
      <c r="C10" s="886" t="s">
        <v>685</v>
      </c>
      <c r="D10" s="912" t="s">
        <v>686</v>
      </c>
      <c r="E10" s="97" t="s">
        <v>680</v>
      </c>
      <c r="F10" s="339">
        <v>0.4</v>
      </c>
      <c r="G10" s="339">
        <v>0.4</v>
      </c>
      <c r="H10" s="339">
        <v>0.4</v>
      </c>
      <c r="I10" s="339">
        <v>0.4</v>
      </c>
      <c r="J10" s="339">
        <v>0.4</v>
      </c>
      <c r="K10" s="340">
        <v>0.9</v>
      </c>
      <c r="L10" s="340">
        <v>0.9</v>
      </c>
      <c r="M10" s="340">
        <v>0.9</v>
      </c>
      <c r="N10" s="340">
        <v>0.9</v>
      </c>
      <c r="O10" s="339">
        <v>0.9</v>
      </c>
      <c r="P10" s="339">
        <v>0.9</v>
      </c>
      <c r="Q10" s="339">
        <v>0.9</v>
      </c>
      <c r="R10" s="339">
        <v>0.9</v>
      </c>
      <c r="S10" s="339">
        <v>0.9</v>
      </c>
      <c r="T10" s="339">
        <v>0.9</v>
      </c>
      <c r="U10" s="339">
        <v>0.9</v>
      </c>
      <c r="V10" s="339">
        <v>0.9</v>
      </c>
      <c r="W10" s="339">
        <v>0.9</v>
      </c>
      <c r="X10" s="339">
        <v>0.9</v>
      </c>
      <c r="Y10" s="340">
        <v>0.9</v>
      </c>
      <c r="Z10" s="340">
        <v>0.9</v>
      </c>
      <c r="AA10" s="340">
        <v>0.9</v>
      </c>
      <c r="AB10" s="340">
        <v>0.9</v>
      </c>
      <c r="AC10" s="500">
        <v>0.9</v>
      </c>
      <c r="AD10" s="34"/>
      <c r="AE10" s="34"/>
      <c r="AF10" s="34"/>
      <c r="AG10" s="34"/>
      <c r="AH10" s="34"/>
      <c r="AI10" s="34"/>
      <c r="AJ10" s="34"/>
      <c r="AL10" s="42"/>
    </row>
    <row r="11" spans="1:63" ht="24" customHeight="1" x14ac:dyDescent="0.3">
      <c r="A11" s="900"/>
      <c r="B11" s="874"/>
      <c r="C11" s="887"/>
      <c r="D11" s="897"/>
      <c r="E11" s="95" t="s">
        <v>681</v>
      </c>
      <c r="F11" s="341">
        <v>0.4</v>
      </c>
      <c r="G11" s="341">
        <v>0.4</v>
      </c>
      <c r="H11" s="341">
        <v>0.4</v>
      </c>
      <c r="I11" s="341">
        <v>0.4</v>
      </c>
      <c r="J11" s="341">
        <v>0.4</v>
      </c>
      <c r="K11" s="342">
        <v>0.9</v>
      </c>
      <c r="L11" s="342">
        <v>0.9</v>
      </c>
      <c r="M11" s="342">
        <v>0.9</v>
      </c>
      <c r="N11" s="342">
        <v>0.9</v>
      </c>
      <c r="O11" s="341">
        <v>0.9</v>
      </c>
      <c r="P11" s="341">
        <v>0.9</v>
      </c>
      <c r="Q11" s="341">
        <v>0.9</v>
      </c>
      <c r="R11" s="341">
        <v>0.9</v>
      </c>
      <c r="S11" s="341">
        <v>0.9</v>
      </c>
      <c r="T11" s="341">
        <v>0.9</v>
      </c>
      <c r="U11" s="341">
        <v>0.9</v>
      </c>
      <c r="V11" s="341">
        <v>0.9</v>
      </c>
      <c r="W11" s="341">
        <v>0.9</v>
      </c>
      <c r="X11" s="341">
        <v>0.9</v>
      </c>
      <c r="Y11" s="341">
        <v>0.9</v>
      </c>
      <c r="Z11" s="342">
        <v>0.9</v>
      </c>
      <c r="AA11" s="342">
        <v>0.9</v>
      </c>
      <c r="AB11" s="342">
        <v>0.9</v>
      </c>
      <c r="AC11" s="483">
        <v>0.9</v>
      </c>
      <c r="AD11" s="34"/>
      <c r="AE11" s="34"/>
      <c r="AF11" s="34"/>
      <c r="AG11" s="34"/>
      <c r="AH11" s="34"/>
      <c r="AI11" s="34"/>
      <c r="AJ11" s="34"/>
      <c r="AL11" s="42"/>
    </row>
    <row r="12" spans="1:63" ht="24" customHeight="1" x14ac:dyDescent="0.3">
      <c r="A12" s="900"/>
      <c r="B12" s="885"/>
      <c r="C12" s="887"/>
      <c r="D12" s="913"/>
      <c r="E12" s="504" t="s">
        <v>682</v>
      </c>
      <c r="F12" s="343">
        <v>0.4</v>
      </c>
      <c r="G12" s="343">
        <v>0.4</v>
      </c>
      <c r="H12" s="343">
        <v>0.4</v>
      </c>
      <c r="I12" s="343">
        <v>0.4</v>
      </c>
      <c r="J12" s="343">
        <v>0.4</v>
      </c>
      <c r="K12" s="344">
        <v>0.9</v>
      </c>
      <c r="L12" s="344">
        <v>0.9</v>
      </c>
      <c r="M12" s="344">
        <v>0.9</v>
      </c>
      <c r="N12" s="344">
        <v>0.9</v>
      </c>
      <c r="O12" s="344">
        <v>0.9</v>
      </c>
      <c r="P12" s="344">
        <v>0.9</v>
      </c>
      <c r="Q12" s="343">
        <v>0.9</v>
      </c>
      <c r="R12" s="343">
        <v>0.9</v>
      </c>
      <c r="S12" s="343">
        <v>0.9</v>
      </c>
      <c r="T12" s="343">
        <v>0.9</v>
      </c>
      <c r="U12" s="343">
        <v>0.9</v>
      </c>
      <c r="V12" s="343">
        <v>0.9</v>
      </c>
      <c r="W12" s="344">
        <v>0.9</v>
      </c>
      <c r="X12" s="344">
        <v>0.9</v>
      </c>
      <c r="Y12" s="344">
        <v>0.9</v>
      </c>
      <c r="Z12" s="344">
        <v>0.9</v>
      </c>
      <c r="AA12" s="344">
        <v>0.9</v>
      </c>
      <c r="AB12" s="344">
        <v>0.9</v>
      </c>
      <c r="AC12" s="505">
        <v>0.9</v>
      </c>
      <c r="AD12" s="34"/>
      <c r="AE12" s="34"/>
      <c r="AF12" s="34"/>
      <c r="AG12" s="34"/>
      <c r="AH12" s="34"/>
      <c r="AI12" s="34"/>
      <c r="AJ12" s="34"/>
      <c r="AL12" s="42"/>
    </row>
    <row r="13" spans="1:63" ht="21.75" customHeight="1" x14ac:dyDescent="0.3">
      <c r="A13" s="899" t="s">
        <v>677</v>
      </c>
      <c r="B13" s="873" t="s">
        <v>139</v>
      </c>
      <c r="C13" s="876" t="s">
        <v>687</v>
      </c>
      <c r="D13" s="888" t="s">
        <v>436</v>
      </c>
      <c r="E13" s="250" t="s">
        <v>680</v>
      </c>
      <c r="F13" s="251">
        <v>0</v>
      </c>
      <c r="G13" s="251">
        <v>0</v>
      </c>
      <c r="H13" s="251">
        <v>0</v>
      </c>
      <c r="I13" s="251">
        <v>0</v>
      </c>
      <c r="J13" s="345">
        <v>1</v>
      </c>
      <c r="K13" s="345">
        <v>1</v>
      </c>
      <c r="L13" s="251">
        <v>1</v>
      </c>
      <c r="M13" s="251">
        <v>1</v>
      </c>
      <c r="N13" s="251">
        <v>1</v>
      </c>
      <c r="O13" s="251">
        <v>1</v>
      </c>
      <c r="P13" s="251">
        <v>1</v>
      </c>
      <c r="Q13" s="251">
        <v>1</v>
      </c>
      <c r="R13" s="251">
        <v>1</v>
      </c>
      <c r="S13" s="251">
        <v>1</v>
      </c>
      <c r="T13" s="251">
        <v>1</v>
      </c>
      <c r="U13" s="251">
        <v>1</v>
      </c>
      <c r="V13" s="251">
        <v>1</v>
      </c>
      <c r="W13" s="251">
        <v>1</v>
      </c>
      <c r="X13" s="251">
        <v>1</v>
      </c>
      <c r="Y13" s="251">
        <v>1</v>
      </c>
      <c r="Z13" s="251">
        <v>1</v>
      </c>
      <c r="AA13" s="345">
        <v>1</v>
      </c>
      <c r="AB13" s="345">
        <v>1</v>
      </c>
      <c r="AC13" s="350">
        <v>1</v>
      </c>
    </row>
    <row r="14" spans="1:63" ht="21.75" customHeight="1" x14ac:dyDescent="0.3">
      <c r="A14" s="900"/>
      <c r="B14" s="874"/>
      <c r="C14" s="877"/>
      <c r="D14" s="889"/>
      <c r="E14" s="252" t="s">
        <v>681</v>
      </c>
      <c r="F14" s="227">
        <v>0</v>
      </c>
      <c r="G14" s="227">
        <v>0</v>
      </c>
      <c r="H14" s="227">
        <v>0</v>
      </c>
      <c r="I14" s="227">
        <v>0</v>
      </c>
      <c r="J14" s="346">
        <v>1</v>
      </c>
      <c r="K14" s="346">
        <v>1</v>
      </c>
      <c r="L14" s="227">
        <v>1</v>
      </c>
      <c r="M14" s="227">
        <v>1</v>
      </c>
      <c r="N14" s="227">
        <v>1</v>
      </c>
      <c r="O14" s="227">
        <v>1</v>
      </c>
      <c r="P14" s="227">
        <v>1</v>
      </c>
      <c r="Q14" s="227">
        <v>1</v>
      </c>
      <c r="R14" s="227">
        <v>1</v>
      </c>
      <c r="S14" s="227">
        <v>1</v>
      </c>
      <c r="T14" s="227">
        <v>1</v>
      </c>
      <c r="U14" s="227">
        <v>1</v>
      </c>
      <c r="V14" s="227">
        <v>1</v>
      </c>
      <c r="W14" s="227">
        <v>1</v>
      </c>
      <c r="X14" s="227">
        <v>1</v>
      </c>
      <c r="Y14" s="227">
        <v>1</v>
      </c>
      <c r="Z14" s="227">
        <v>1</v>
      </c>
      <c r="AA14" s="227">
        <v>1</v>
      </c>
      <c r="AB14" s="346">
        <v>1</v>
      </c>
      <c r="AC14" s="348">
        <v>1</v>
      </c>
    </row>
    <row r="15" spans="1:63" ht="21.75" customHeight="1" x14ac:dyDescent="0.3">
      <c r="A15" s="914"/>
      <c r="B15" s="875"/>
      <c r="C15" s="878"/>
      <c r="D15" s="890"/>
      <c r="E15" s="265" t="s">
        <v>682</v>
      </c>
      <c r="F15" s="264">
        <v>0</v>
      </c>
      <c r="G15" s="264">
        <v>0</v>
      </c>
      <c r="H15" s="264">
        <v>0</v>
      </c>
      <c r="I15" s="264">
        <v>0</v>
      </c>
      <c r="J15" s="351">
        <v>1</v>
      </c>
      <c r="K15" s="351">
        <v>1</v>
      </c>
      <c r="L15" s="351">
        <v>1</v>
      </c>
      <c r="M15" s="351">
        <v>1</v>
      </c>
      <c r="N15" s="264">
        <v>1</v>
      </c>
      <c r="O15" s="264">
        <v>1</v>
      </c>
      <c r="P15" s="264">
        <v>1</v>
      </c>
      <c r="Q15" s="264">
        <v>1</v>
      </c>
      <c r="R15" s="264">
        <v>1</v>
      </c>
      <c r="S15" s="264">
        <v>1</v>
      </c>
      <c r="T15" s="264">
        <v>1</v>
      </c>
      <c r="U15" s="264">
        <v>1</v>
      </c>
      <c r="V15" s="264">
        <v>1</v>
      </c>
      <c r="W15" s="264">
        <v>1</v>
      </c>
      <c r="X15" s="264">
        <v>1</v>
      </c>
      <c r="Y15" s="351">
        <v>1</v>
      </c>
      <c r="Z15" s="351">
        <v>1</v>
      </c>
      <c r="AA15" s="351">
        <v>1</v>
      </c>
      <c r="AB15" s="351">
        <v>1</v>
      </c>
      <c r="AC15" s="352">
        <v>1</v>
      </c>
    </row>
    <row r="16" spans="1:63" ht="21.75" customHeight="1" x14ac:dyDescent="0.3">
      <c r="A16" s="884" t="s">
        <v>677</v>
      </c>
      <c r="B16" s="903" t="s">
        <v>139</v>
      </c>
      <c r="C16" s="887" t="s">
        <v>688</v>
      </c>
      <c r="D16" s="904" t="s">
        <v>436</v>
      </c>
      <c r="E16" s="389" t="s">
        <v>680</v>
      </c>
      <c r="F16" s="503">
        <v>0.04</v>
      </c>
      <c r="G16" s="503">
        <v>0.05</v>
      </c>
      <c r="H16" s="503">
        <v>0.05</v>
      </c>
      <c r="I16" s="503">
        <v>0.04</v>
      </c>
      <c r="J16" s="503">
        <v>0.04</v>
      </c>
      <c r="K16" s="503">
        <v>0.04</v>
      </c>
      <c r="L16" s="503">
        <v>0.04</v>
      </c>
      <c r="M16" s="503">
        <v>0.15</v>
      </c>
      <c r="N16" s="503">
        <v>0.23</v>
      </c>
      <c r="O16" s="503">
        <v>0.32</v>
      </c>
      <c r="P16" s="503">
        <v>0.41</v>
      </c>
      <c r="Q16" s="503">
        <v>0.56999999999999995</v>
      </c>
      <c r="R16" s="503">
        <v>0.62</v>
      </c>
      <c r="S16" s="503">
        <v>0.61</v>
      </c>
      <c r="T16" s="503">
        <v>0.5</v>
      </c>
      <c r="U16" s="503">
        <v>0.45</v>
      </c>
      <c r="V16" s="503">
        <v>0.46</v>
      </c>
      <c r="W16" s="503">
        <v>0.47</v>
      </c>
      <c r="X16" s="503">
        <v>0.42</v>
      </c>
      <c r="Y16" s="503">
        <v>0.34</v>
      </c>
      <c r="Z16" s="503">
        <v>0.33</v>
      </c>
      <c r="AA16" s="503">
        <v>0.23</v>
      </c>
      <c r="AB16" s="503">
        <v>0.13</v>
      </c>
      <c r="AC16" s="506">
        <v>0.08</v>
      </c>
    </row>
    <row r="17" spans="1:40" s="157" customFormat="1" ht="21.75" customHeight="1" x14ac:dyDescent="0.3">
      <c r="A17" s="884"/>
      <c r="B17" s="874"/>
      <c r="C17" s="887"/>
      <c r="D17" s="889"/>
      <c r="E17" s="252" t="s">
        <v>681</v>
      </c>
      <c r="F17" s="227">
        <v>0.11</v>
      </c>
      <c r="G17" s="227">
        <v>0.1</v>
      </c>
      <c r="H17" s="227">
        <v>0.08</v>
      </c>
      <c r="I17" s="227">
        <v>0.06</v>
      </c>
      <c r="J17" s="227">
        <v>0.06</v>
      </c>
      <c r="K17" s="227">
        <v>0.06</v>
      </c>
      <c r="L17" s="227">
        <v>7.0000000000000007E-2</v>
      </c>
      <c r="M17" s="227">
        <v>0.2</v>
      </c>
      <c r="N17" s="227">
        <v>0.24</v>
      </c>
      <c r="O17" s="227">
        <v>0.27</v>
      </c>
      <c r="P17" s="227">
        <v>0.42</v>
      </c>
      <c r="Q17" s="227">
        <v>0.54</v>
      </c>
      <c r="R17" s="227">
        <v>0.59</v>
      </c>
      <c r="S17" s="227">
        <v>0.6</v>
      </c>
      <c r="T17" s="227">
        <v>0.49</v>
      </c>
      <c r="U17" s="227">
        <v>0.48</v>
      </c>
      <c r="V17" s="227">
        <v>0.47</v>
      </c>
      <c r="W17" s="227">
        <v>0.46</v>
      </c>
      <c r="X17" s="227">
        <v>0.44</v>
      </c>
      <c r="Y17" s="227">
        <v>0.36</v>
      </c>
      <c r="Z17" s="227">
        <v>0.28999999999999998</v>
      </c>
      <c r="AA17" s="227">
        <v>0.22</v>
      </c>
      <c r="AB17" s="227">
        <v>0.16</v>
      </c>
      <c r="AC17" s="253">
        <v>0.13</v>
      </c>
    </row>
    <row r="18" spans="1:40" ht="21.75" customHeight="1" x14ac:dyDescent="0.3">
      <c r="A18" s="884"/>
      <c r="B18" s="885"/>
      <c r="C18" s="887"/>
      <c r="D18" s="905"/>
      <c r="E18" s="254" t="s">
        <v>682</v>
      </c>
      <c r="F18" s="255">
        <v>7.0000000000000007E-2</v>
      </c>
      <c r="G18" s="255">
        <v>7.0000000000000007E-2</v>
      </c>
      <c r="H18" s="255">
        <v>7.0000000000000007E-2</v>
      </c>
      <c r="I18" s="255">
        <v>0.06</v>
      </c>
      <c r="J18" s="255">
        <v>0.06</v>
      </c>
      <c r="K18" s="255">
        <v>0.06</v>
      </c>
      <c r="L18" s="255">
        <v>7.0000000000000007E-2</v>
      </c>
      <c r="M18" s="255">
        <v>0.1</v>
      </c>
      <c r="N18" s="255">
        <v>0.12</v>
      </c>
      <c r="O18" s="255">
        <v>0.14000000000000001</v>
      </c>
      <c r="P18" s="255">
        <v>0.28999999999999998</v>
      </c>
      <c r="Q18" s="255">
        <v>0.31</v>
      </c>
      <c r="R18" s="255">
        <v>0.36</v>
      </c>
      <c r="S18" s="255">
        <v>0.36</v>
      </c>
      <c r="T18" s="255">
        <v>0.34</v>
      </c>
      <c r="U18" s="255">
        <v>0.35</v>
      </c>
      <c r="V18" s="255">
        <v>0.37</v>
      </c>
      <c r="W18" s="255">
        <v>0.34</v>
      </c>
      <c r="X18" s="255">
        <v>0.25</v>
      </c>
      <c r="Y18" s="255">
        <v>0.27</v>
      </c>
      <c r="Z18" s="255">
        <v>0.21</v>
      </c>
      <c r="AA18" s="255">
        <v>0.16</v>
      </c>
      <c r="AB18" s="255">
        <v>0.1</v>
      </c>
      <c r="AC18" s="256">
        <v>0.06</v>
      </c>
    </row>
    <row r="19" spans="1:40" ht="21.75" customHeight="1" x14ac:dyDescent="0.3">
      <c r="A19" s="883" t="s">
        <v>677</v>
      </c>
      <c r="B19" s="873" t="s">
        <v>139</v>
      </c>
      <c r="C19" s="886" t="s">
        <v>269</v>
      </c>
      <c r="D19" s="888" t="s">
        <v>436</v>
      </c>
      <c r="E19" s="250" t="s">
        <v>680</v>
      </c>
      <c r="F19" s="251">
        <v>1</v>
      </c>
      <c r="G19" s="251">
        <v>1</v>
      </c>
      <c r="H19" s="251">
        <v>1</v>
      </c>
      <c r="I19" s="251">
        <v>1</v>
      </c>
      <c r="J19" s="345">
        <v>0.25</v>
      </c>
      <c r="K19" s="345">
        <v>0.25</v>
      </c>
      <c r="L19" s="251">
        <v>0.25</v>
      </c>
      <c r="M19" s="251">
        <v>0.25</v>
      </c>
      <c r="N19" s="251">
        <v>0.25</v>
      </c>
      <c r="O19" s="251">
        <v>0.25</v>
      </c>
      <c r="P19" s="251">
        <v>0.25</v>
      </c>
      <c r="Q19" s="251">
        <v>0.25</v>
      </c>
      <c r="R19" s="251">
        <v>0.25</v>
      </c>
      <c r="S19" s="251">
        <v>0.25</v>
      </c>
      <c r="T19" s="251">
        <v>0.25</v>
      </c>
      <c r="U19" s="251">
        <v>0.25</v>
      </c>
      <c r="V19" s="251">
        <v>0.25</v>
      </c>
      <c r="W19" s="251">
        <v>0.25</v>
      </c>
      <c r="X19" s="251">
        <v>0.25</v>
      </c>
      <c r="Y19" s="251">
        <v>0.25</v>
      </c>
      <c r="Z19" s="251">
        <v>0.25</v>
      </c>
      <c r="AA19" s="345">
        <v>0.25</v>
      </c>
      <c r="AB19" s="345">
        <v>0.25</v>
      </c>
      <c r="AC19" s="350">
        <v>0.25</v>
      </c>
    </row>
    <row r="20" spans="1:40" ht="21.75" customHeight="1" x14ac:dyDescent="0.3">
      <c r="A20" s="884"/>
      <c r="B20" s="874"/>
      <c r="C20" s="887"/>
      <c r="D20" s="889"/>
      <c r="E20" s="252" t="s">
        <v>681</v>
      </c>
      <c r="F20" s="227">
        <v>1</v>
      </c>
      <c r="G20" s="227">
        <v>1</v>
      </c>
      <c r="H20" s="227">
        <v>1</v>
      </c>
      <c r="I20" s="227">
        <v>1</v>
      </c>
      <c r="J20" s="346">
        <v>0.25</v>
      </c>
      <c r="K20" s="346">
        <v>0.25</v>
      </c>
      <c r="L20" s="227">
        <v>0.25</v>
      </c>
      <c r="M20" s="227">
        <v>0.25</v>
      </c>
      <c r="N20" s="227">
        <v>0.25</v>
      </c>
      <c r="O20" s="227">
        <v>0.25</v>
      </c>
      <c r="P20" s="227">
        <v>0.25</v>
      </c>
      <c r="Q20" s="227">
        <v>0.25</v>
      </c>
      <c r="R20" s="227">
        <v>0.25</v>
      </c>
      <c r="S20" s="227">
        <v>0.25</v>
      </c>
      <c r="T20" s="227">
        <v>0.25</v>
      </c>
      <c r="U20" s="227">
        <v>0.25</v>
      </c>
      <c r="V20" s="227">
        <v>0.25</v>
      </c>
      <c r="W20" s="227">
        <v>0.25</v>
      </c>
      <c r="X20" s="227">
        <v>0.25</v>
      </c>
      <c r="Y20" s="227">
        <v>0.25</v>
      </c>
      <c r="Z20" s="227">
        <v>0.25</v>
      </c>
      <c r="AA20" s="227">
        <v>0.25</v>
      </c>
      <c r="AB20" s="346">
        <v>0.25</v>
      </c>
      <c r="AC20" s="348">
        <v>0.25</v>
      </c>
    </row>
    <row r="21" spans="1:40" ht="21.75" customHeight="1" x14ac:dyDescent="0.3">
      <c r="A21" s="884"/>
      <c r="B21" s="885"/>
      <c r="C21" s="887"/>
      <c r="D21" s="890"/>
      <c r="E21" s="265" t="s">
        <v>682</v>
      </c>
      <c r="F21" s="264">
        <v>1</v>
      </c>
      <c r="G21" s="264">
        <v>1</v>
      </c>
      <c r="H21" s="264">
        <v>1</v>
      </c>
      <c r="I21" s="264">
        <v>1</v>
      </c>
      <c r="J21" s="351">
        <v>0.25</v>
      </c>
      <c r="K21" s="351">
        <v>0.25</v>
      </c>
      <c r="L21" s="351">
        <v>0.25</v>
      </c>
      <c r="M21" s="351">
        <v>0.25</v>
      </c>
      <c r="N21" s="264">
        <v>0.25</v>
      </c>
      <c r="O21" s="264">
        <v>0.25</v>
      </c>
      <c r="P21" s="264">
        <v>0.25</v>
      </c>
      <c r="Q21" s="264">
        <v>0.25</v>
      </c>
      <c r="R21" s="264">
        <v>0.25</v>
      </c>
      <c r="S21" s="264">
        <v>0.25</v>
      </c>
      <c r="T21" s="264">
        <v>0.25</v>
      </c>
      <c r="U21" s="264">
        <v>0.25</v>
      </c>
      <c r="V21" s="264">
        <v>0.25</v>
      </c>
      <c r="W21" s="264">
        <v>0.25</v>
      </c>
      <c r="X21" s="264">
        <v>0.25</v>
      </c>
      <c r="Y21" s="351">
        <v>0.25</v>
      </c>
      <c r="Z21" s="351">
        <v>0.25</v>
      </c>
      <c r="AA21" s="351">
        <v>0.25</v>
      </c>
      <c r="AB21" s="351">
        <v>0.25</v>
      </c>
      <c r="AC21" s="352">
        <v>0.25</v>
      </c>
    </row>
    <row r="22" spans="1:40" ht="21.75" customHeight="1" x14ac:dyDescent="0.3">
      <c r="A22" s="899" t="s">
        <v>677</v>
      </c>
      <c r="B22" s="873" t="s">
        <v>139</v>
      </c>
      <c r="C22" s="876" t="s">
        <v>689</v>
      </c>
      <c r="D22" s="888" t="s">
        <v>436</v>
      </c>
      <c r="E22" s="250" t="s">
        <v>680</v>
      </c>
      <c r="F22" s="362">
        <v>60</v>
      </c>
      <c r="G22" s="362">
        <v>60</v>
      </c>
      <c r="H22" s="362">
        <v>60</v>
      </c>
      <c r="I22" s="362">
        <v>60</v>
      </c>
      <c r="J22" s="362">
        <v>60</v>
      </c>
      <c r="K22" s="362">
        <v>70</v>
      </c>
      <c r="L22" s="362">
        <v>70</v>
      </c>
      <c r="M22" s="362">
        <v>70</v>
      </c>
      <c r="N22" s="362">
        <v>70</v>
      </c>
      <c r="O22" s="362">
        <v>70</v>
      </c>
      <c r="P22" s="362">
        <v>70</v>
      </c>
      <c r="Q22" s="362">
        <v>70</v>
      </c>
      <c r="R22" s="362">
        <v>70</v>
      </c>
      <c r="S22" s="362">
        <v>70</v>
      </c>
      <c r="T22" s="362">
        <v>70</v>
      </c>
      <c r="U22" s="362">
        <v>70</v>
      </c>
      <c r="V22" s="362">
        <v>70</v>
      </c>
      <c r="W22" s="362">
        <v>70</v>
      </c>
      <c r="X22" s="362">
        <v>70</v>
      </c>
      <c r="Y22" s="362">
        <v>70</v>
      </c>
      <c r="Z22" s="362">
        <v>70</v>
      </c>
      <c r="AA22" s="362">
        <v>70</v>
      </c>
      <c r="AB22" s="362">
        <v>70</v>
      </c>
      <c r="AC22" s="363">
        <v>70</v>
      </c>
    </row>
    <row r="23" spans="1:40" ht="21.75" customHeight="1" x14ac:dyDescent="0.3">
      <c r="A23" s="900"/>
      <c r="B23" s="874"/>
      <c r="C23" s="877"/>
      <c r="D23" s="889"/>
      <c r="E23" s="252" t="s">
        <v>681</v>
      </c>
      <c r="F23" s="364">
        <v>60</v>
      </c>
      <c r="G23" s="364">
        <v>60</v>
      </c>
      <c r="H23" s="364">
        <v>60</v>
      </c>
      <c r="I23" s="364">
        <v>60</v>
      </c>
      <c r="J23" s="364">
        <v>60</v>
      </c>
      <c r="K23" s="364">
        <v>70</v>
      </c>
      <c r="L23" s="364">
        <v>70</v>
      </c>
      <c r="M23" s="364">
        <v>70</v>
      </c>
      <c r="N23" s="364">
        <v>70</v>
      </c>
      <c r="O23" s="364">
        <v>70</v>
      </c>
      <c r="P23" s="364">
        <v>70</v>
      </c>
      <c r="Q23" s="364">
        <v>70</v>
      </c>
      <c r="R23" s="364">
        <v>70</v>
      </c>
      <c r="S23" s="364">
        <v>70</v>
      </c>
      <c r="T23" s="364">
        <v>70</v>
      </c>
      <c r="U23" s="364">
        <v>70</v>
      </c>
      <c r="V23" s="364">
        <v>70</v>
      </c>
      <c r="W23" s="364">
        <v>70</v>
      </c>
      <c r="X23" s="364">
        <v>70</v>
      </c>
      <c r="Y23" s="364">
        <v>70</v>
      </c>
      <c r="Z23" s="364">
        <v>70</v>
      </c>
      <c r="AA23" s="364">
        <v>70</v>
      </c>
      <c r="AB23" s="364">
        <v>70</v>
      </c>
      <c r="AC23" s="365">
        <v>70</v>
      </c>
    </row>
    <row r="24" spans="1:40" ht="21.75" customHeight="1" x14ac:dyDescent="0.3">
      <c r="A24" s="900"/>
      <c r="B24" s="885"/>
      <c r="C24" s="927"/>
      <c r="D24" s="905"/>
      <c r="E24" s="254" t="s">
        <v>682</v>
      </c>
      <c r="F24" s="364">
        <v>60</v>
      </c>
      <c r="G24" s="364">
        <v>60</v>
      </c>
      <c r="H24" s="364">
        <v>60</v>
      </c>
      <c r="I24" s="364">
        <v>60</v>
      </c>
      <c r="J24" s="364">
        <v>60</v>
      </c>
      <c r="K24" s="364">
        <v>70</v>
      </c>
      <c r="L24" s="364">
        <v>70</v>
      </c>
      <c r="M24" s="364">
        <v>70</v>
      </c>
      <c r="N24" s="364">
        <v>70</v>
      </c>
      <c r="O24" s="364">
        <v>70</v>
      </c>
      <c r="P24" s="364">
        <v>70</v>
      </c>
      <c r="Q24" s="364">
        <v>70</v>
      </c>
      <c r="R24" s="364">
        <v>70</v>
      </c>
      <c r="S24" s="364">
        <v>70</v>
      </c>
      <c r="T24" s="364">
        <v>70</v>
      </c>
      <c r="U24" s="364">
        <v>70</v>
      </c>
      <c r="V24" s="364">
        <v>70</v>
      </c>
      <c r="W24" s="364">
        <v>70</v>
      </c>
      <c r="X24" s="364">
        <v>70</v>
      </c>
      <c r="Y24" s="364">
        <v>70</v>
      </c>
      <c r="Z24" s="364">
        <v>70</v>
      </c>
      <c r="AA24" s="364">
        <v>70</v>
      </c>
      <c r="AB24" s="364">
        <v>70</v>
      </c>
      <c r="AC24" s="365">
        <v>70</v>
      </c>
    </row>
    <row r="25" spans="1:40" ht="21.75" customHeight="1" x14ac:dyDescent="0.3">
      <c r="A25" s="906" t="s">
        <v>677</v>
      </c>
      <c r="B25" s="873" t="s">
        <v>139</v>
      </c>
      <c r="C25" s="876" t="s">
        <v>690</v>
      </c>
      <c r="D25" s="888" t="s">
        <v>436</v>
      </c>
      <c r="E25" s="257" t="s">
        <v>680</v>
      </c>
      <c r="F25" s="358">
        <v>85</v>
      </c>
      <c r="G25" s="358">
        <v>85</v>
      </c>
      <c r="H25" s="358">
        <v>85</v>
      </c>
      <c r="I25" s="358">
        <v>85</v>
      </c>
      <c r="J25" s="358">
        <v>85</v>
      </c>
      <c r="K25" s="358">
        <v>75</v>
      </c>
      <c r="L25" s="358">
        <v>75</v>
      </c>
      <c r="M25" s="358">
        <v>75</v>
      </c>
      <c r="N25" s="358">
        <v>75</v>
      </c>
      <c r="O25" s="358">
        <v>75</v>
      </c>
      <c r="P25" s="358">
        <v>75</v>
      </c>
      <c r="Q25" s="358">
        <v>75</v>
      </c>
      <c r="R25" s="358">
        <v>75</v>
      </c>
      <c r="S25" s="358">
        <v>75</v>
      </c>
      <c r="T25" s="358">
        <v>75</v>
      </c>
      <c r="U25" s="358">
        <v>75</v>
      </c>
      <c r="V25" s="358">
        <v>75</v>
      </c>
      <c r="W25" s="358">
        <v>75</v>
      </c>
      <c r="X25" s="358">
        <v>75</v>
      </c>
      <c r="Y25" s="358">
        <v>75</v>
      </c>
      <c r="Z25" s="358">
        <v>75</v>
      </c>
      <c r="AA25" s="358">
        <v>75</v>
      </c>
      <c r="AB25" s="358">
        <v>75</v>
      </c>
      <c r="AC25" s="359">
        <v>75</v>
      </c>
    </row>
    <row r="26" spans="1:40" ht="21.75" customHeight="1" x14ac:dyDescent="0.3">
      <c r="A26" s="900"/>
      <c r="B26" s="874"/>
      <c r="C26" s="877"/>
      <c r="D26" s="889"/>
      <c r="E26" s="258" t="s">
        <v>681</v>
      </c>
      <c r="F26" s="360">
        <v>85</v>
      </c>
      <c r="G26" s="360">
        <v>85</v>
      </c>
      <c r="H26" s="360">
        <v>85</v>
      </c>
      <c r="I26" s="360">
        <v>85</v>
      </c>
      <c r="J26" s="360">
        <v>85</v>
      </c>
      <c r="K26" s="360">
        <v>75</v>
      </c>
      <c r="L26" s="360">
        <v>75</v>
      </c>
      <c r="M26" s="360">
        <v>75</v>
      </c>
      <c r="N26" s="360">
        <v>75</v>
      </c>
      <c r="O26" s="360">
        <v>75</v>
      </c>
      <c r="P26" s="360">
        <v>75</v>
      </c>
      <c r="Q26" s="360">
        <v>75</v>
      </c>
      <c r="R26" s="360">
        <v>75</v>
      </c>
      <c r="S26" s="360">
        <v>75</v>
      </c>
      <c r="T26" s="360">
        <v>75</v>
      </c>
      <c r="U26" s="360">
        <v>75</v>
      </c>
      <c r="V26" s="360">
        <v>75</v>
      </c>
      <c r="W26" s="360">
        <v>75</v>
      </c>
      <c r="X26" s="360">
        <v>75</v>
      </c>
      <c r="Y26" s="360">
        <v>75</v>
      </c>
      <c r="Z26" s="360">
        <v>75</v>
      </c>
      <c r="AA26" s="360">
        <v>75</v>
      </c>
      <c r="AB26" s="360">
        <v>75</v>
      </c>
      <c r="AC26" s="361">
        <v>75</v>
      </c>
    </row>
    <row r="27" spans="1:40" ht="21.75" customHeight="1" x14ac:dyDescent="0.3">
      <c r="A27" s="914"/>
      <c r="B27" s="875"/>
      <c r="C27" s="878"/>
      <c r="D27" s="890"/>
      <c r="E27" s="366" t="s">
        <v>682</v>
      </c>
      <c r="F27" s="367">
        <v>85</v>
      </c>
      <c r="G27" s="367">
        <v>85</v>
      </c>
      <c r="H27" s="367">
        <v>85</v>
      </c>
      <c r="I27" s="367">
        <v>85</v>
      </c>
      <c r="J27" s="367">
        <v>85</v>
      </c>
      <c r="K27" s="367">
        <v>75</v>
      </c>
      <c r="L27" s="367">
        <v>75</v>
      </c>
      <c r="M27" s="367">
        <v>75</v>
      </c>
      <c r="N27" s="367">
        <v>75</v>
      </c>
      <c r="O27" s="367">
        <v>75</v>
      </c>
      <c r="P27" s="367">
        <v>75</v>
      </c>
      <c r="Q27" s="367">
        <v>75</v>
      </c>
      <c r="R27" s="367">
        <v>75</v>
      </c>
      <c r="S27" s="367">
        <v>75</v>
      </c>
      <c r="T27" s="367">
        <v>75</v>
      </c>
      <c r="U27" s="367">
        <v>75</v>
      </c>
      <c r="V27" s="367">
        <v>75</v>
      </c>
      <c r="W27" s="367">
        <v>75</v>
      </c>
      <c r="X27" s="367">
        <v>75</v>
      </c>
      <c r="Y27" s="367">
        <v>75</v>
      </c>
      <c r="Z27" s="367">
        <v>75</v>
      </c>
      <c r="AA27" s="367">
        <v>75</v>
      </c>
      <c r="AB27" s="367">
        <v>75</v>
      </c>
      <c r="AC27" s="368">
        <v>75</v>
      </c>
    </row>
    <row r="28" spans="1:40" ht="21.75" customHeight="1" x14ac:dyDescent="0.3">
      <c r="A28" s="880" t="s">
        <v>691</v>
      </c>
      <c r="B28" s="881"/>
      <c r="C28" s="881"/>
      <c r="D28" s="881"/>
      <c r="E28" s="881"/>
      <c r="F28" s="881"/>
      <c r="G28" s="881"/>
      <c r="H28" s="881"/>
      <c r="I28" s="881"/>
      <c r="J28" s="881"/>
      <c r="K28" s="881"/>
      <c r="L28" s="881"/>
      <c r="M28" s="881"/>
      <c r="N28" s="881"/>
      <c r="O28" s="881"/>
      <c r="P28" s="881"/>
      <c r="Q28" s="881"/>
      <c r="R28" s="881"/>
      <c r="S28" s="881"/>
      <c r="T28" s="881"/>
      <c r="U28" s="881"/>
      <c r="V28" s="881"/>
      <c r="W28" s="881"/>
      <c r="X28" s="881"/>
      <c r="Y28" s="881"/>
      <c r="Z28" s="881"/>
      <c r="AA28" s="881"/>
      <c r="AB28" s="881"/>
      <c r="AC28" s="882"/>
    </row>
    <row r="29" spans="1:40" ht="21.75" customHeight="1" x14ac:dyDescent="0.3">
      <c r="A29" s="863" t="s">
        <v>136</v>
      </c>
      <c r="B29" s="855" t="s">
        <v>195</v>
      </c>
      <c r="C29" s="858" t="s">
        <v>692</v>
      </c>
      <c r="D29" s="860" t="s">
        <v>693</v>
      </c>
      <c r="E29" s="384" t="s">
        <v>680</v>
      </c>
      <c r="F29" s="394">
        <v>1</v>
      </c>
      <c r="G29" s="395">
        <v>1</v>
      </c>
      <c r="H29" s="395">
        <v>1</v>
      </c>
      <c r="I29" s="395">
        <v>1</v>
      </c>
      <c r="J29" s="395">
        <v>1</v>
      </c>
      <c r="K29" s="395">
        <v>1</v>
      </c>
      <c r="L29" s="395">
        <v>1</v>
      </c>
      <c r="M29" s="395">
        <v>1</v>
      </c>
      <c r="N29" s="395">
        <v>1</v>
      </c>
      <c r="O29" s="395">
        <v>1</v>
      </c>
      <c r="P29" s="395">
        <v>1</v>
      </c>
      <c r="Q29" s="395">
        <v>1</v>
      </c>
      <c r="R29" s="395">
        <v>1</v>
      </c>
      <c r="S29" s="395">
        <v>1</v>
      </c>
      <c r="T29" s="395">
        <v>1</v>
      </c>
      <c r="U29" s="395">
        <v>1</v>
      </c>
      <c r="V29" s="395">
        <v>1</v>
      </c>
      <c r="W29" s="395">
        <v>1</v>
      </c>
      <c r="X29" s="395">
        <v>1</v>
      </c>
      <c r="Y29" s="395">
        <v>1</v>
      </c>
      <c r="Z29" s="395">
        <v>1</v>
      </c>
      <c r="AA29" s="395">
        <v>1</v>
      </c>
      <c r="AB29" s="395">
        <v>1</v>
      </c>
      <c r="AC29" s="398">
        <v>1</v>
      </c>
      <c r="AD29" s="259"/>
      <c r="AE29" s="240"/>
      <c r="AF29" s="240"/>
      <c r="AG29" s="240"/>
      <c r="AH29" s="240"/>
      <c r="AI29" s="240"/>
      <c r="AJ29" s="259"/>
      <c r="AK29" s="259"/>
      <c r="AL29" s="259"/>
      <c r="AM29" s="259"/>
      <c r="AN29" s="259"/>
    </row>
    <row r="30" spans="1:40" ht="21.75" customHeight="1" x14ac:dyDescent="0.3">
      <c r="A30" s="863"/>
      <c r="B30" s="855"/>
      <c r="C30" s="858"/>
      <c r="D30" s="860"/>
      <c r="E30" s="385" t="s">
        <v>681</v>
      </c>
      <c r="F30" s="394">
        <v>1</v>
      </c>
      <c r="G30" s="395">
        <v>1</v>
      </c>
      <c r="H30" s="395">
        <v>1</v>
      </c>
      <c r="I30" s="395">
        <v>1</v>
      </c>
      <c r="J30" s="395">
        <v>1</v>
      </c>
      <c r="K30" s="395">
        <v>1</v>
      </c>
      <c r="L30" s="395">
        <v>1</v>
      </c>
      <c r="M30" s="395">
        <v>1</v>
      </c>
      <c r="N30" s="395">
        <v>1</v>
      </c>
      <c r="O30" s="395">
        <v>1</v>
      </c>
      <c r="P30" s="395">
        <v>1</v>
      </c>
      <c r="Q30" s="395">
        <v>1</v>
      </c>
      <c r="R30" s="395">
        <v>1</v>
      </c>
      <c r="S30" s="395">
        <v>1</v>
      </c>
      <c r="T30" s="395">
        <v>1</v>
      </c>
      <c r="U30" s="395">
        <v>1</v>
      </c>
      <c r="V30" s="395">
        <v>1</v>
      </c>
      <c r="W30" s="395">
        <v>1</v>
      </c>
      <c r="X30" s="395">
        <v>1</v>
      </c>
      <c r="Y30" s="395">
        <v>1</v>
      </c>
      <c r="Z30" s="395">
        <v>1</v>
      </c>
      <c r="AA30" s="395">
        <v>1</v>
      </c>
      <c r="AB30" s="395">
        <v>1</v>
      </c>
      <c r="AC30" s="398">
        <v>1</v>
      </c>
      <c r="AE30" s="240"/>
      <c r="AF30" s="240"/>
      <c r="AG30" s="240"/>
      <c r="AH30" s="240"/>
      <c r="AI30" s="240"/>
    </row>
    <row r="31" spans="1:40" ht="21.75" customHeight="1" x14ac:dyDescent="0.3">
      <c r="A31" s="871"/>
      <c r="B31" s="856"/>
      <c r="C31" s="872"/>
      <c r="D31" s="861"/>
      <c r="E31" s="388" t="s">
        <v>682</v>
      </c>
      <c r="F31" s="560">
        <v>1</v>
      </c>
      <c r="G31" s="399">
        <v>1</v>
      </c>
      <c r="H31" s="399">
        <v>1</v>
      </c>
      <c r="I31" s="399">
        <v>1</v>
      </c>
      <c r="J31" s="399">
        <v>1</v>
      </c>
      <c r="K31" s="399">
        <v>1</v>
      </c>
      <c r="L31" s="399">
        <v>1</v>
      </c>
      <c r="M31" s="399">
        <v>1</v>
      </c>
      <c r="N31" s="399">
        <v>1</v>
      </c>
      <c r="O31" s="399">
        <v>1</v>
      </c>
      <c r="P31" s="399">
        <v>1</v>
      </c>
      <c r="Q31" s="399">
        <v>1</v>
      </c>
      <c r="R31" s="399">
        <v>1</v>
      </c>
      <c r="S31" s="399">
        <v>1</v>
      </c>
      <c r="T31" s="399">
        <v>1</v>
      </c>
      <c r="U31" s="399">
        <v>1</v>
      </c>
      <c r="V31" s="399">
        <v>1</v>
      </c>
      <c r="W31" s="399">
        <v>1</v>
      </c>
      <c r="X31" s="399">
        <v>1</v>
      </c>
      <c r="Y31" s="399">
        <v>1</v>
      </c>
      <c r="Z31" s="399">
        <v>1</v>
      </c>
      <c r="AA31" s="399">
        <v>1</v>
      </c>
      <c r="AB31" s="399">
        <v>1</v>
      </c>
      <c r="AC31" s="400">
        <v>1</v>
      </c>
      <c r="AE31" s="240"/>
      <c r="AF31" s="240"/>
      <c r="AG31" s="240"/>
      <c r="AH31" s="240"/>
      <c r="AI31" s="240"/>
    </row>
    <row r="32" spans="1:40" ht="21.75" customHeight="1" x14ac:dyDescent="0.3">
      <c r="A32" s="862" t="s">
        <v>136</v>
      </c>
      <c r="B32" s="854" t="s">
        <v>195</v>
      </c>
      <c r="C32" s="857" t="s">
        <v>694</v>
      </c>
      <c r="D32" s="859" t="s">
        <v>693</v>
      </c>
      <c r="E32" s="387" t="s">
        <v>680</v>
      </c>
      <c r="F32" s="556">
        <v>1</v>
      </c>
      <c r="G32" s="396">
        <v>1</v>
      </c>
      <c r="H32" s="396">
        <v>1</v>
      </c>
      <c r="I32" s="396">
        <v>1</v>
      </c>
      <c r="J32" s="396">
        <v>0</v>
      </c>
      <c r="K32" s="396">
        <v>0</v>
      </c>
      <c r="L32" s="396">
        <v>1</v>
      </c>
      <c r="M32" s="396">
        <v>1</v>
      </c>
      <c r="N32" s="396">
        <v>1</v>
      </c>
      <c r="O32" s="396">
        <v>1</v>
      </c>
      <c r="P32" s="396">
        <v>1</v>
      </c>
      <c r="Q32" s="396">
        <v>1</v>
      </c>
      <c r="R32" s="396">
        <v>1</v>
      </c>
      <c r="S32" s="396">
        <v>1</v>
      </c>
      <c r="T32" s="396">
        <v>1</v>
      </c>
      <c r="U32" s="396">
        <v>1</v>
      </c>
      <c r="V32" s="396">
        <v>1</v>
      </c>
      <c r="W32" s="396">
        <v>1</v>
      </c>
      <c r="X32" s="396">
        <v>1</v>
      </c>
      <c r="Y32" s="396">
        <v>1</v>
      </c>
      <c r="Z32" s="396">
        <v>1</v>
      </c>
      <c r="AA32" s="396">
        <v>1</v>
      </c>
      <c r="AB32" s="396">
        <v>1</v>
      </c>
      <c r="AC32" s="397">
        <v>1</v>
      </c>
      <c r="AE32" s="870" t="s">
        <v>695</v>
      </c>
      <c r="AF32" s="870"/>
      <c r="AG32" s="240"/>
      <c r="AH32" s="240"/>
      <c r="AI32" s="240"/>
    </row>
    <row r="33" spans="1:35" ht="21.75" customHeight="1" x14ac:dyDescent="0.3">
      <c r="A33" s="863"/>
      <c r="B33" s="855"/>
      <c r="C33" s="858"/>
      <c r="D33" s="860"/>
      <c r="E33" s="385" t="s">
        <v>681</v>
      </c>
      <c r="F33" s="394">
        <v>1</v>
      </c>
      <c r="G33" s="395">
        <v>1</v>
      </c>
      <c r="H33" s="395">
        <v>1</v>
      </c>
      <c r="I33" s="395">
        <v>1</v>
      </c>
      <c r="J33" s="395">
        <v>1</v>
      </c>
      <c r="K33" s="395">
        <v>1</v>
      </c>
      <c r="L33" s="395">
        <v>1</v>
      </c>
      <c r="M33" s="395">
        <v>1</v>
      </c>
      <c r="N33" s="395">
        <v>1</v>
      </c>
      <c r="O33" s="395">
        <v>1</v>
      </c>
      <c r="P33" s="395">
        <v>1</v>
      </c>
      <c r="Q33" s="395">
        <v>1</v>
      </c>
      <c r="R33" s="395">
        <v>1</v>
      </c>
      <c r="S33" s="395">
        <v>1</v>
      </c>
      <c r="T33" s="395">
        <v>1</v>
      </c>
      <c r="U33" s="395">
        <v>1</v>
      </c>
      <c r="V33" s="395">
        <v>1</v>
      </c>
      <c r="W33" s="395">
        <v>1</v>
      </c>
      <c r="X33" s="395">
        <v>1</v>
      </c>
      <c r="Y33" s="395">
        <v>1</v>
      </c>
      <c r="Z33" s="395">
        <v>1</v>
      </c>
      <c r="AA33" s="395">
        <v>1</v>
      </c>
      <c r="AB33" s="395">
        <v>1</v>
      </c>
      <c r="AC33" s="398">
        <v>1</v>
      </c>
      <c r="AE33" s="870"/>
      <c r="AF33" s="870"/>
      <c r="AG33" s="240"/>
      <c r="AH33" s="240"/>
      <c r="AI33" s="240"/>
    </row>
    <row r="34" spans="1:35" ht="21.75" customHeight="1" x14ac:dyDescent="0.3">
      <c r="A34" s="871"/>
      <c r="B34" s="856"/>
      <c r="C34" s="872"/>
      <c r="D34" s="861"/>
      <c r="E34" s="388" t="s">
        <v>682</v>
      </c>
      <c r="F34" s="560">
        <v>1</v>
      </c>
      <c r="G34" s="399">
        <v>1</v>
      </c>
      <c r="H34" s="399">
        <v>1</v>
      </c>
      <c r="I34" s="399">
        <v>1</v>
      </c>
      <c r="J34" s="399">
        <v>1</v>
      </c>
      <c r="K34" s="399">
        <v>1</v>
      </c>
      <c r="L34" s="399">
        <v>1</v>
      </c>
      <c r="M34" s="399">
        <v>1</v>
      </c>
      <c r="N34" s="399">
        <v>1</v>
      </c>
      <c r="O34" s="399">
        <v>1</v>
      </c>
      <c r="P34" s="399">
        <v>1</v>
      </c>
      <c r="Q34" s="399">
        <v>1</v>
      </c>
      <c r="R34" s="399">
        <v>1</v>
      </c>
      <c r="S34" s="399">
        <v>1</v>
      </c>
      <c r="T34" s="399">
        <v>1</v>
      </c>
      <c r="U34" s="399">
        <v>1</v>
      </c>
      <c r="V34" s="399">
        <v>1</v>
      </c>
      <c r="W34" s="399">
        <v>1</v>
      </c>
      <c r="X34" s="399">
        <v>1</v>
      </c>
      <c r="Y34" s="399">
        <v>1</v>
      </c>
      <c r="Z34" s="399">
        <v>1</v>
      </c>
      <c r="AA34" s="399">
        <v>1</v>
      </c>
      <c r="AB34" s="399">
        <v>1</v>
      </c>
      <c r="AC34" s="400">
        <v>1</v>
      </c>
      <c r="AE34" s="870"/>
      <c r="AF34" s="870"/>
    </row>
    <row r="35" spans="1:35" ht="21.75" customHeight="1" x14ac:dyDescent="0.3">
      <c r="A35" s="862" t="s">
        <v>136</v>
      </c>
      <c r="B35" s="854" t="s">
        <v>195</v>
      </c>
      <c r="C35" s="857" t="s">
        <v>696</v>
      </c>
      <c r="D35" s="859" t="s">
        <v>693</v>
      </c>
      <c r="E35" s="387" t="s">
        <v>680</v>
      </c>
      <c r="F35" s="556">
        <v>0</v>
      </c>
      <c r="G35" s="556">
        <v>0</v>
      </c>
      <c r="H35" s="556">
        <v>0</v>
      </c>
      <c r="I35" s="556">
        <v>0</v>
      </c>
      <c r="J35" s="556">
        <v>0</v>
      </c>
      <c r="K35" s="396">
        <v>1</v>
      </c>
      <c r="L35" s="396">
        <v>1</v>
      </c>
      <c r="M35" s="396">
        <v>1</v>
      </c>
      <c r="N35" s="396">
        <v>1</v>
      </c>
      <c r="O35" s="396">
        <v>1</v>
      </c>
      <c r="P35" s="396">
        <v>1</v>
      </c>
      <c r="Q35" s="396">
        <v>1</v>
      </c>
      <c r="R35" s="396">
        <v>1</v>
      </c>
      <c r="S35" s="396">
        <v>1</v>
      </c>
      <c r="T35" s="396">
        <v>1</v>
      </c>
      <c r="U35" s="396">
        <v>1</v>
      </c>
      <c r="V35" s="396">
        <v>1</v>
      </c>
      <c r="W35" s="396">
        <v>1</v>
      </c>
      <c r="X35" s="396">
        <v>1</v>
      </c>
      <c r="Y35" s="396">
        <v>1</v>
      </c>
      <c r="Z35" s="396">
        <v>1</v>
      </c>
      <c r="AA35" s="396">
        <v>1</v>
      </c>
      <c r="AB35" s="396">
        <v>1</v>
      </c>
      <c r="AC35" s="397">
        <v>1</v>
      </c>
      <c r="AE35" s="565"/>
      <c r="AF35" s="565"/>
    </row>
    <row r="36" spans="1:35" ht="21.75" customHeight="1" x14ac:dyDescent="0.3">
      <c r="A36" s="863"/>
      <c r="B36" s="855"/>
      <c r="C36" s="858"/>
      <c r="D36" s="860"/>
      <c r="E36" s="385" t="s">
        <v>681</v>
      </c>
      <c r="F36" s="394">
        <v>0</v>
      </c>
      <c r="G36" s="394">
        <v>0</v>
      </c>
      <c r="H36" s="394">
        <v>0</v>
      </c>
      <c r="I36" s="394">
        <v>0</v>
      </c>
      <c r="J36" s="394">
        <v>0</v>
      </c>
      <c r="K36" s="395">
        <v>1</v>
      </c>
      <c r="L36" s="395">
        <v>1</v>
      </c>
      <c r="M36" s="395">
        <v>1</v>
      </c>
      <c r="N36" s="395">
        <v>1</v>
      </c>
      <c r="O36" s="395">
        <v>1</v>
      </c>
      <c r="P36" s="395">
        <v>1</v>
      </c>
      <c r="Q36" s="395">
        <v>1</v>
      </c>
      <c r="R36" s="395">
        <v>1</v>
      </c>
      <c r="S36" s="395">
        <v>1</v>
      </c>
      <c r="T36" s="395">
        <v>1</v>
      </c>
      <c r="U36" s="395">
        <v>1</v>
      </c>
      <c r="V36" s="395">
        <v>1</v>
      </c>
      <c r="W36" s="395">
        <v>1</v>
      </c>
      <c r="X36" s="395">
        <v>1</v>
      </c>
      <c r="Y36" s="395">
        <v>1</v>
      </c>
      <c r="Z36" s="395">
        <v>1</v>
      </c>
      <c r="AA36" s="395">
        <v>1</v>
      </c>
      <c r="AB36" s="395">
        <v>1</v>
      </c>
      <c r="AC36" s="398">
        <v>1</v>
      </c>
      <c r="AE36" s="565"/>
      <c r="AF36" s="565"/>
    </row>
    <row r="37" spans="1:35" ht="21.75" customHeight="1" x14ac:dyDescent="0.3">
      <c r="A37" s="863"/>
      <c r="B37" s="856"/>
      <c r="C37" s="858"/>
      <c r="D37" s="860"/>
      <c r="E37" s="386" t="s">
        <v>682</v>
      </c>
      <c r="F37" s="559">
        <v>0</v>
      </c>
      <c r="G37" s="559">
        <v>0</v>
      </c>
      <c r="H37" s="559">
        <v>0</v>
      </c>
      <c r="I37" s="559">
        <v>0</v>
      </c>
      <c r="J37" s="559">
        <v>0</v>
      </c>
      <c r="K37" s="401">
        <v>1</v>
      </c>
      <c r="L37" s="401">
        <v>1</v>
      </c>
      <c r="M37" s="401">
        <v>1</v>
      </c>
      <c r="N37" s="401">
        <v>1</v>
      </c>
      <c r="O37" s="401">
        <v>1</v>
      </c>
      <c r="P37" s="401">
        <v>1</v>
      </c>
      <c r="Q37" s="401">
        <v>1</v>
      </c>
      <c r="R37" s="401">
        <v>1</v>
      </c>
      <c r="S37" s="401">
        <v>1</v>
      </c>
      <c r="T37" s="401">
        <v>1</v>
      </c>
      <c r="U37" s="401">
        <v>1</v>
      </c>
      <c r="V37" s="401">
        <v>1</v>
      </c>
      <c r="W37" s="401">
        <v>1</v>
      </c>
      <c r="X37" s="401">
        <v>1</v>
      </c>
      <c r="Y37" s="401">
        <v>1</v>
      </c>
      <c r="Z37" s="401">
        <v>1</v>
      </c>
      <c r="AA37" s="401">
        <v>1</v>
      </c>
      <c r="AB37" s="401">
        <v>1</v>
      </c>
      <c r="AC37" s="402">
        <v>1</v>
      </c>
      <c r="AE37" s="565"/>
      <c r="AF37" s="565"/>
    </row>
    <row r="38" spans="1:35" ht="21.75" customHeight="1" x14ac:dyDescent="0.3">
      <c r="A38" s="862" t="s">
        <v>136</v>
      </c>
      <c r="B38" s="854" t="s">
        <v>195</v>
      </c>
      <c r="C38" s="857" t="s">
        <v>697</v>
      </c>
      <c r="D38" s="859" t="s">
        <v>693</v>
      </c>
      <c r="E38" s="387" t="s">
        <v>680</v>
      </c>
      <c r="F38" s="556">
        <v>0</v>
      </c>
      <c r="G38" s="396">
        <v>0</v>
      </c>
      <c r="H38" s="396">
        <v>0</v>
      </c>
      <c r="I38" s="396">
        <v>0</v>
      </c>
      <c r="J38" s="396">
        <v>0</v>
      </c>
      <c r="K38" s="396">
        <v>0</v>
      </c>
      <c r="L38" s="396">
        <v>1</v>
      </c>
      <c r="M38" s="396">
        <v>0</v>
      </c>
      <c r="N38" s="396">
        <v>0</v>
      </c>
      <c r="O38" s="396">
        <v>0</v>
      </c>
      <c r="P38" s="396">
        <v>0</v>
      </c>
      <c r="Q38" s="396">
        <v>0.5</v>
      </c>
      <c r="R38" s="396">
        <v>0.5</v>
      </c>
      <c r="S38" s="396">
        <v>0</v>
      </c>
      <c r="T38" s="396">
        <v>0</v>
      </c>
      <c r="U38" s="396">
        <v>0</v>
      </c>
      <c r="V38" s="396">
        <v>0</v>
      </c>
      <c r="W38" s="396">
        <v>0</v>
      </c>
      <c r="X38" s="396">
        <v>0</v>
      </c>
      <c r="Y38" s="396">
        <v>1</v>
      </c>
      <c r="Z38" s="396">
        <v>0</v>
      </c>
      <c r="AA38" s="396">
        <v>0</v>
      </c>
      <c r="AB38" s="396">
        <v>0</v>
      </c>
      <c r="AC38" s="397">
        <v>0</v>
      </c>
    </row>
    <row r="39" spans="1:35" ht="21.75" customHeight="1" x14ac:dyDescent="0.3">
      <c r="A39" s="863"/>
      <c r="B39" s="855"/>
      <c r="C39" s="858"/>
      <c r="D39" s="860"/>
      <c r="E39" s="385" t="s">
        <v>681</v>
      </c>
      <c r="F39" s="394">
        <v>0</v>
      </c>
      <c r="G39" s="395">
        <v>0</v>
      </c>
      <c r="H39" s="395">
        <v>0</v>
      </c>
      <c r="I39" s="395">
        <v>0</v>
      </c>
      <c r="J39" s="395">
        <v>0</v>
      </c>
      <c r="K39" s="395">
        <v>0</v>
      </c>
      <c r="L39" s="395">
        <v>1</v>
      </c>
      <c r="M39" s="395">
        <v>0</v>
      </c>
      <c r="N39" s="395">
        <v>0</v>
      </c>
      <c r="O39" s="395">
        <v>0</v>
      </c>
      <c r="P39" s="395">
        <v>0</v>
      </c>
      <c r="Q39" s="395">
        <v>0.5</v>
      </c>
      <c r="R39" s="395">
        <v>0.5</v>
      </c>
      <c r="S39" s="395">
        <v>0</v>
      </c>
      <c r="T39" s="395">
        <v>0</v>
      </c>
      <c r="U39" s="395">
        <v>0</v>
      </c>
      <c r="V39" s="395">
        <v>0</v>
      </c>
      <c r="W39" s="395">
        <v>0</v>
      </c>
      <c r="X39" s="395">
        <v>0</v>
      </c>
      <c r="Y39" s="395">
        <v>1</v>
      </c>
      <c r="Z39" s="395">
        <v>0</v>
      </c>
      <c r="AA39" s="395">
        <v>0</v>
      </c>
      <c r="AB39" s="395">
        <v>0</v>
      </c>
      <c r="AC39" s="398">
        <v>0</v>
      </c>
    </row>
    <row r="40" spans="1:35" ht="21.75" customHeight="1" x14ac:dyDescent="0.3">
      <c r="A40" s="871"/>
      <c r="B40" s="856"/>
      <c r="C40" s="872"/>
      <c r="D40" s="861"/>
      <c r="E40" s="388" t="s">
        <v>682</v>
      </c>
      <c r="F40" s="560">
        <v>0</v>
      </c>
      <c r="G40" s="399">
        <v>0</v>
      </c>
      <c r="H40" s="399">
        <v>0</v>
      </c>
      <c r="I40" s="399">
        <v>0</v>
      </c>
      <c r="J40" s="399">
        <v>0</v>
      </c>
      <c r="K40" s="399">
        <v>0</v>
      </c>
      <c r="L40" s="399">
        <v>1</v>
      </c>
      <c r="M40" s="399">
        <v>0</v>
      </c>
      <c r="N40" s="399">
        <v>0</v>
      </c>
      <c r="O40" s="399">
        <v>0</v>
      </c>
      <c r="P40" s="399">
        <v>0</v>
      </c>
      <c r="Q40" s="399">
        <v>0.5</v>
      </c>
      <c r="R40" s="399">
        <v>0.5</v>
      </c>
      <c r="S40" s="399">
        <v>0</v>
      </c>
      <c r="T40" s="399">
        <v>0</v>
      </c>
      <c r="U40" s="399">
        <v>0</v>
      </c>
      <c r="V40" s="399">
        <v>0</v>
      </c>
      <c r="W40" s="399">
        <v>0</v>
      </c>
      <c r="X40" s="399">
        <v>0</v>
      </c>
      <c r="Y40" s="399">
        <v>1</v>
      </c>
      <c r="Z40" s="399">
        <v>0</v>
      </c>
      <c r="AA40" s="399">
        <v>0</v>
      </c>
      <c r="AB40" s="399">
        <v>0</v>
      </c>
      <c r="AC40" s="400">
        <v>0</v>
      </c>
      <c r="AE40" s="240"/>
      <c r="AF40" s="240"/>
      <c r="AG40" s="240"/>
      <c r="AH40" s="240"/>
    </row>
    <row r="41" spans="1:35" ht="21.75" customHeight="1" x14ac:dyDescent="0.3">
      <c r="A41" s="862" t="s">
        <v>136</v>
      </c>
      <c r="B41" s="854" t="s">
        <v>195</v>
      </c>
      <c r="C41" s="857" t="s">
        <v>698</v>
      </c>
      <c r="D41" s="859" t="s">
        <v>693</v>
      </c>
      <c r="E41" s="387" t="s">
        <v>680</v>
      </c>
      <c r="F41" s="237">
        <v>0</v>
      </c>
      <c r="G41" s="237">
        <v>0</v>
      </c>
      <c r="H41" s="237">
        <v>0</v>
      </c>
      <c r="I41" s="237">
        <v>0</v>
      </c>
      <c r="J41" s="237">
        <v>0</v>
      </c>
      <c r="K41" s="237">
        <v>0</v>
      </c>
      <c r="L41" s="237">
        <v>0</v>
      </c>
      <c r="M41" s="237">
        <v>0</v>
      </c>
      <c r="N41" s="237">
        <v>0</v>
      </c>
      <c r="O41" s="237">
        <v>0</v>
      </c>
      <c r="P41" s="237">
        <v>0</v>
      </c>
      <c r="Q41" s="237">
        <v>0</v>
      </c>
      <c r="R41" s="237">
        <v>0</v>
      </c>
      <c r="S41" s="407">
        <v>50</v>
      </c>
      <c r="T41" s="407">
        <v>35</v>
      </c>
      <c r="U41" s="237">
        <v>0</v>
      </c>
      <c r="V41" s="237">
        <v>0</v>
      </c>
      <c r="W41" s="237">
        <v>0</v>
      </c>
      <c r="X41" s="237">
        <v>0</v>
      </c>
      <c r="Y41" s="237">
        <v>0</v>
      </c>
      <c r="Z41" s="237">
        <v>0</v>
      </c>
      <c r="AA41" s="403">
        <v>0</v>
      </c>
      <c r="AB41" s="237">
        <v>0</v>
      </c>
      <c r="AC41" s="404">
        <v>0</v>
      </c>
      <c r="AE41" s="240"/>
      <c r="AF41" s="240"/>
      <c r="AG41" s="240"/>
      <c r="AH41" s="240"/>
    </row>
    <row r="42" spans="1:35" ht="21.75" customHeight="1" x14ac:dyDescent="0.3">
      <c r="A42" s="863"/>
      <c r="B42" s="855"/>
      <c r="C42" s="858"/>
      <c r="D42" s="860"/>
      <c r="E42" s="385" t="s">
        <v>681</v>
      </c>
      <c r="F42" s="228">
        <v>0</v>
      </c>
      <c r="G42" s="228">
        <v>0</v>
      </c>
      <c r="H42" s="228">
        <v>0</v>
      </c>
      <c r="I42" s="228">
        <v>0</v>
      </c>
      <c r="J42" s="228">
        <v>0</v>
      </c>
      <c r="K42" s="228">
        <v>0</v>
      </c>
      <c r="L42" s="228">
        <v>0</v>
      </c>
      <c r="M42" s="228">
        <v>0</v>
      </c>
      <c r="N42" s="228">
        <v>0</v>
      </c>
      <c r="O42" s="228">
        <v>0</v>
      </c>
      <c r="P42" s="228">
        <v>0</v>
      </c>
      <c r="Q42" s="228">
        <v>0</v>
      </c>
      <c r="R42" s="228">
        <v>0</v>
      </c>
      <c r="S42" s="360">
        <v>50</v>
      </c>
      <c r="T42" s="360">
        <v>35</v>
      </c>
      <c r="U42" s="228">
        <v>0</v>
      </c>
      <c r="V42" s="228">
        <v>0</v>
      </c>
      <c r="W42" s="228">
        <v>0</v>
      </c>
      <c r="X42" s="228">
        <v>0</v>
      </c>
      <c r="Y42" s="228">
        <v>0</v>
      </c>
      <c r="Z42" s="228">
        <v>0</v>
      </c>
      <c r="AA42" s="405">
        <v>0</v>
      </c>
      <c r="AB42" s="228">
        <v>0</v>
      </c>
      <c r="AC42" s="406">
        <v>0</v>
      </c>
      <c r="AE42" s="240"/>
      <c r="AF42" s="240"/>
      <c r="AG42" s="240"/>
      <c r="AH42" s="240"/>
    </row>
    <row r="43" spans="1:35" ht="21.75" customHeight="1" x14ac:dyDescent="0.3">
      <c r="A43" s="863"/>
      <c r="B43" s="856"/>
      <c r="C43" s="858"/>
      <c r="D43" s="860"/>
      <c r="E43" s="386" t="s">
        <v>682</v>
      </c>
      <c r="F43" s="236">
        <v>0</v>
      </c>
      <c r="G43" s="236">
        <v>0</v>
      </c>
      <c r="H43" s="236">
        <v>0</v>
      </c>
      <c r="I43" s="236">
        <v>0</v>
      </c>
      <c r="J43" s="236">
        <v>0</v>
      </c>
      <c r="K43" s="236">
        <v>0</v>
      </c>
      <c r="L43" s="236">
        <v>0</v>
      </c>
      <c r="M43" s="236">
        <v>0</v>
      </c>
      <c r="N43" s="236">
        <v>0</v>
      </c>
      <c r="O43" s="236">
        <v>0</v>
      </c>
      <c r="P43" s="236">
        <v>0</v>
      </c>
      <c r="Q43" s="236">
        <v>0</v>
      </c>
      <c r="R43" s="236">
        <v>0</v>
      </c>
      <c r="S43" s="408">
        <v>50</v>
      </c>
      <c r="T43" s="408">
        <v>35</v>
      </c>
      <c r="U43" s="236">
        <v>0</v>
      </c>
      <c r="V43" s="236">
        <v>0</v>
      </c>
      <c r="W43" s="236">
        <v>0</v>
      </c>
      <c r="X43" s="236">
        <v>0</v>
      </c>
      <c r="Y43" s="236">
        <v>0</v>
      </c>
      <c r="Z43" s="236">
        <v>0</v>
      </c>
      <c r="AA43" s="409">
        <v>0</v>
      </c>
      <c r="AB43" s="236">
        <v>0</v>
      </c>
      <c r="AC43" s="410">
        <v>0</v>
      </c>
      <c r="AE43" s="240"/>
      <c r="AF43" s="240"/>
      <c r="AG43" s="240"/>
      <c r="AH43" s="240"/>
    </row>
    <row r="44" spans="1:35" ht="21.75" customHeight="1" x14ac:dyDescent="0.3">
      <c r="A44" s="862" t="s">
        <v>136</v>
      </c>
      <c r="B44" s="854" t="s">
        <v>195</v>
      </c>
      <c r="C44" s="857" t="s">
        <v>699</v>
      </c>
      <c r="D44" s="859" t="s">
        <v>693</v>
      </c>
      <c r="E44" s="387" t="s">
        <v>680</v>
      </c>
      <c r="F44" s="556">
        <v>0</v>
      </c>
      <c r="G44" s="396">
        <v>0</v>
      </c>
      <c r="H44" s="396">
        <v>0</v>
      </c>
      <c r="I44" s="396">
        <v>0</v>
      </c>
      <c r="J44" s="396">
        <v>125</v>
      </c>
      <c r="K44" s="396">
        <v>117</v>
      </c>
      <c r="L44" s="396">
        <v>90</v>
      </c>
      <c r="M44" s="396">
        <v>0</v>
      </c>
      <c r="N44" s="396">
        <v>0</v>
      </c>
      <c r="O44" s="396">
        <v>0</v>
      </c>
      <c r="P44" s="396">
        <v>0</v>
      </c>
      <c r="Q44" s="396">
        <v>0</v>
      </c>
      <c r="R44" s="396">
        <v>0</v>
      </c>
      <c r="S44" s="396">
        <v>0</v>
      </c>
      <c r="T44" s="396">
        <v>0</v>
      </c>
      <c r="U44" s="396">
        <v>0</v>
      </c>
      <c r="V44" s="396">
        <v>0</v>
      </c>
      <c r="W44" s="396">
        <v>0</v>
      </c>
      <c r="X44" s="396">
        <v>0</v>
      </c>
      <c r="Y44" s="396">
        <v>125</v>
      </c>
      <c r="Z44" s="396">
        <v>117</v>
      </c>
      <c r="AA44" s="396">
        <v>90</v>
      </c>
      <c r="AB44" s="396">
        <v>0</v>
      </c>
      <c r="AC44" s="397">
        <v>0</v>
      </c>
      <c r="AE44" s="240"/>
      <c r="AF44" s="240"/>
      <c r="AG44" s="240"/>
      <c r="AH44" s="240"/>
    </row>
    <row r="45" spans="1:35" ht="21.75" customHeight="1" x14ac:dyDescent="0.3">
      <c r="A45" s="863"/>
      <c r="B45" s="855"/>
      <c r="C45" s="858"/>
      <c r="D45" s="860"/>
      <c r="E45" s="385" t="s">
        <v>681</v>
      </c>
      <c r="F45" s="559">
        <v>0</v>
      </c>
      <c r="G45" s="401">
        <v>0</v>
      </c>
      <c r="H45" s="401">
        <v>0</v>
      </c>
      <c r="I45" s="401">
        <v>0</v>
      </c>
      <c r="J45" s="401">
        <v>125</v>
      </c>
      <c r="K45" s="401">
        <v>117</v>
      </c>
      <c r="L45" s="401">
        <v>90</v>
      </c>
      <c r="M45" s="401">
        <v>0</v>
      </c>
      <c r="N45" s="401">
        <v>0</v>
      </c>
      <c r="O45" s="401">
        <v>0</v>
      </c>
      <c r="P45" s="401">
        <v>0</v>
      </c>
      <c r="Q45" s="401">
        <v>0</v>
      </c>
      <c r="R45" s="401">
        <v>0</v>
      </c>
      <c r="S45" s="401">
        <v>0</v>
      </c>
      <c r="T45" s="401">
        <v>0</v>
      </c>
      <c r="U45" s="401">
        <v>0</v>
      </c>
      <c r="V45" s="401">
        <v>0</v>
      </c>
      <c r="W45" s="401">
        <v>0</v>
      </c>
      <c r="X45" s="401">
        <v>0</v>
      </c>
      <c r="Y45" s="401">
        <v>125</v>
      </c>
      <c r="Z45" s="401">
        <v>117</v>
      </c>
      <c r="AA45" s="401">
        <v>90</v>
      </c>
      <c r="AB45" s="401">
        <v>0</v>
      </c>
      <c r="AC45" s="402">
        <v>0</v>
      </c>
      <c r="AE45" s="240"/>
      <c r="AF45" s="240"/>
      <c r="AG45" s="240"/>
      <c r="AH45" s="240"/>
    </row>
    <row r="46" spans="1:35" ht="21.75" customHeight="1" x14ac:dyDescent="0.3">
      <c r="A46" s="863"/>
      <c r="B46" s="855"/>
      <c r="C46" s="858"/>
      <c r="D46" s="860"/>
      <c r="E46" s="386" t="s">
        <v>682</v>
      </c>
      <c r="F46" s="557">
        <v>0</v>
      </c>
      <c r="G46" s="557">
        <v>0</v>
      </c>
      <c r="H46" s="557">
        <v>0</v>
      </c>
      <c r="I46" s="557">
        <v>0</v>
      </c>
      <c r="J46" s="557">
        <v>125</v>
      </c>
      <c r="K46" s="557">
        <v>117</v>
      </c>
      <c r="L46" s="557">
        <v>90</v>
      </c>
      <c r="M46" s="557">
        <v>0</v>
      </c>
      <c r="N46" s="557">
        <v>0</v>
      </c>
      <c r="O46" s="557">
        <v>0</v>
      </c>
      <c r="P46" s="557">
        <v>0</v>
      </c>
      <c r="Q46" s="557">
        <v>0</v>
      </c>
      <c r="R46" s="557">
        <v>0</v>
      </c>
      <c r="S46" s="557">
        <v>0</v>
      </c>
      <c r="T46" s="557">
        <v>0</v>
      </c>
      <c r="U46" s="557">
        <v>0</v>
      </c>
      <c r="V46" s="557">
        <v>0</v>
      </c>
      <c r="W46" s="557">
        <v>0</v>
      </c>
      <c r="X46" s="557">
        <v>0</v>
      </c>
      <c r="Y46" s="557">
        <v>125</v>
      </c>
      <c r="Z46" s="557">
        <v>117</v>
      </c>
      <c r="AA46" s="557">
        <v>90</v>
      </c>
      <c r="AB46" s="557">
        <v>0</v>
      </c>
      <c r="AC46" s="555">
        <v>0</v>
      </c>
      <c r="AE46" s="240"/>
      <c r="AF46" s="240"/>
      <c r="AG46" s="240"/>
      <c r="AH46" s="240"/>
    </row>
    <row r="47" spans="1:35" ht="21.75" customHeight="1" x14ac:dyDescent="0.3">
      <c r="A47" s="863"/>
      <c r="B47" s="856"/>
      <c r="C47" s="858"/>
      <c r="D47" s="860"/>
      <c r="E47" s="386" t="s">
        <v>700</v>
      </c>
      <c r="F47" s="559">
        <v>0</v>
      </c>
      <c r="G47" s="401">
        <v>0</v>
      </c>
      <c r="H47" s="401">
        <v>0</v>
      </c>
      <c r="I47" s="401">
        <v>0</v>
      </c>
      <c r="J47" s="401">
        <v>725</v>
      </c>
      <c r="K47" s="401">
        <v>417</v>
      </c>
      <c r="L47" s="401">
        <v>290</v>
      </c>
      <c r="M47" s="401">
        <v>0</v>
      </c>
      <c r="N47" s="401">
        <v>0</v>
      </c>
      <c r="O47" s="401">
        <v>0</v>
      </c>
      <c r="P47" s="401">
        <v>0</v>
      </c>
      <c r="Q47" s="401">
        <v>0</v>
      </c>
      <c r="R47" s="401">
        <v>0</v>
      </c>
      <c r="S47" s="401">
        <v>0</v>
      </c>
      <c r="T47" s="401">
        <v>0</v>
      </c>
      <c r="U47" s="401">
        <v>0</v>
      </c>
      <c r="V47" s="401">
        <v>0</v>
      </c>
      <c r="W47" s="401">
        <v>0</v>
      </c>
      <c r="X47" s="401">
        <v>0</v>
      </c>
      <c r="Y47" s="401">
        <v>0</v>
      </c>
      <c r="Z47" s="401">
        <v>0</v>
      </c>
      <c r="AA47" s="401">
        <v>0</v>
      </c>
      <c r="AB47" s="401">
        <v>0</v>
      </c>
      <c r="AC47" s="402">
        <v>0</v>
      </c>
      <c r="AE47" s="240"/>
      <c r="AF47" s="240"/>
      <c r="AG47" s="240"/>
      <c r="AH47" s="240"/>
    </row>
    <row r="48" spans="1:35" ht="21.75" customHeight="1" x14ac:dyDescent="0.3">
      <c r="A48" s="862" t="s">
        <v>136</v>
      </c>
      <c r="B48" s="854" t="s">
        <v>195</v>
      </c>
      <c r="C48" s="864" t="s">
        <v>701</v>
      </c>
      <c r="D48" s="867" t="s">
        <v>693</v>
      </c>
      <c r="E48" s="250" t="s">
        <v>680</v>
      </c>
      <c r="F48" s="556">
        <v>0</v>
      </c>
      <c r="G48" s="396">
        <v>0</v>
      </c>
      <c r="H48" s="396">
        <v>0</v>
      </c>
      <c r="I48" s="396">
        <v>0</v>
      </c>
      <c r="J48" s="396">
        <v>0.33300000000000002</v>
      </c>
      <c r="K48" s="396">
        <v>0</v>
      </c>
      <c r="L48" s="396">
        <v>0</v>
      </c>
      <c r="M48" s="396">
        <v>0</v>
      </c>
      <c r="N48" s="396">
        <v>0</v>
      </c>
      <c r="O48" s="396">
        <v>0</v>
      </c>
      <c r="P48" s="396">
        <v>0</v>
      </c>
      <c r="Q48" s="396">
        <v>0</v>
      </c>
      <c r="R48" s="396">
        <v>0</v>
      </c>
      <c r="S48" s="396">
        <v>0</v>
      </c>
      <c r="T48" s="396">
        <v>0</v>
      </c>
      <c r="U48" s="396">
        <v>0</v>
      </c>
      <c r="V48" s="396">
        <v>0.33300000000000002</v>
      </c>
      <c r="W48" s="396">
        <v>0</v>
      </c>
      <c r="X48" s="396">
        <v>0</v>
      </c>
      <c r="Y48" s="396">
        <v>0</v>
      </c>
      <c r="Z48" s="396">
        <v>0</v>
      </c>
      <c r="AA48" s="396">
        <v>0</v>
      </c>
      <c r="AB48" s="396">
        <v>0</v>
      </c>
      <c r="AC48" s="397">
        <v>0</v>
      </c>
      <c r="AE48" s="870" t="s">
        <v>702</v>
      </c>
      <c r="AF48" s="870"/>
      <c r="AG48" s="240"/>
      <c r="AH48" s="240"/>
    </row>
    <row r="49" spans="1:34" ht="21.75" customHeight="1" x14ac:dyDescent="0.3">
      <c r="A49" s="863"/>
      <c r="B49" s="855"/>
      <c r="C49" s="865"/>
      <c r="D49" s="868"/>
      <c r="E49" s="252" t="s">
        <v>681</v>
      </c>
      <c r="F49" s="394">
        <v>0</v>
      </c>
      <c r="G49" s="395">
        <v>0</v>
      </c>
      <c r="H49" s="395">
        <v>0</v>
      </c>
      <c r="I49" s="395">
        <v>0</v>
      </c>
      <c r="J49" s="395">
        <v>0.33300000000000002</v>
      </c>
      <c r="K49" s="395">
        <v>0</v>
      </c>
      <c r="L49" s="395">
        <v>0</v>
      </c>
      <c r="M49" s="395">
        <v>0</v>
      </c>
      <c r="N49" s="395">
        <v>0</v>
      </c>
      <c r="O49" s="395">
        <v>0</v>
      </c>
      <c r="P49" s="395">
        <v>0</v>
      </c>
      <c r="Q49" s="395">
        <v>0</v>
      </c>
      <c r="R49" s="395">
        <v>0</v>
      </c>
      <c r="S49" s="395">
        <v>0</v>
      </c>
      <c r="T49" s="395">
        <v>0</v>
      </c>
      <c r="U49" s="395">
        <v>0</v>
      </c>
      <c r="V49" s="395">
        <v>0.33300000000000002</v>
      </c>
      <c r="W49" s="395">
        <v>0</v>
      </c>
      <c r="X49" s="395">
        <v>0</v>
      </c>
      <c r="Y49" s="395">
        <v>0</v>
      </c>
      <c r="Z49" s="395">
        <v>0</v>
      </c>
      <c r="AA49" s="395">
        <v>0</v>
      </c>
      <c r="AB49" s="395">
        <v>0</v>
      </c>
      <c r="AC49" s="398">
        <v>0</v>
      </c>
      <c r="AE49" s="870"/>
      <c r="AF49" s="870"/>
      <c r="AG49" s="240"/>
      <c r="AH49" s="240"/>
    </row>
    <row r="50" spans="1:34" ht="21.75" customHeight="1" x14ac:dyDescent="0.3">
      <c r="A50" s="863"/>
      <c r="B50" s="856"/>
      <c r="C50" s="866"/>
      <c r="D50" s="869"/>
      <c r="E50" s="254" t="s">
        <v>682</v>
      </c>
      <c r="F50" s="559">
        <v>0</v>
      </c>
      <c r="G50" s="401">
        <v>0</v>
      </c>
      <c r="H50" s="401">
        <v>0</v>
      </c>
      <c r="I50" s="401">
        <v>0</v>
      </c>
      <c r="J50" s="401">
        <v>0.33300000000000002</v>
      </c>
      <c r="K50" s="401">
        <v>0</v>
      </c>
      <c r="L50" s="401">
        <v>0</v>
      </c>
      <c r="M50" s="401">
        <v>0</v>
      </c>
      <c r="N50" s="401">
        <v>0</v>
      </c>
      <c r="O50" s="401">
        <v>0</v>
      </c>
      <c r="P50" s="401">
        <v>0</v>
      </c>
      <c r="Q50" s="401">
        <v>0</v>
      </c>
      <c r="R50" s="401">
        <v>0</v>
      </c>
      <c r="S50" s="401">
        <v>0</v>
      </c>
      <c r="T50" s="401">
        <v>0</v>
      </c>
      <c r="U50" s="401">
        <v>0</v>
      </c>
      <c r="V50" s="401">
        <v>0.33300000000000002</v>
      </c>
      <c r="W50" s="401">
        <v>0</v>
      </c>
      <c r="X50" s="401">
        <v>0</v>
      </c>
      <c r="Y50" s="401">
        <v>0</v>
      </c>
      <c r="Z50" s="401">
        <v>0</v>
      </c>
      <c r="AA50" s="401">
        <v>0</v>
      </c>
      <c r="AB50" s="401">
        <v>0</v>
      </c>
      <c r="AC50" s="402">
        <v>0</v>
      </c>
      <c r="AE50" s="870"/>
      <c r="AF50" s="870"/>
    </row>
    <row r="51" spans="1:34" ht="21.75" customHeight="1" x14ac:dyDescent="0.3">
      <c r="A51" s="862" t="s">
        <v>136</v>
      </c>
      <c r="B51" s="854" t="s">
        <v>195</v>
      </c>
      <c r="C51" s="864" t="s">
        <v>703</v>
      </c>
      <c r="D51" s="867" t="s">
        <v>704</v>
      </c>
      <c r="E51" s="250" t="s">
        <v>680</v>
      </c>
      <c r="F51" s="556">
        <v>0</v>
      </c>
      <c r="G51" s="396">
        <v>0</v>
      </c>
      <c r="H51" s="396">
        <v>0</v>
      </c>
      <c r="I51" s="396">
        <v>0</v>
      </c>
      <c r="J51" s="396">
        <v>0.5</v>
      </c>
      <c r="K51" s="396">
        <v>0</v>
      </c>
      <c r="L51" s="396">
        <v>0</v>
      </c>
      <c r="M51" s="396">
        <v>0</v>
      </c>
      <c r="N51" s="396">
        <v>0</v>
      </c>
      <c r="O51" s="396">
        <v>0</v>
      </c>
      <c r="P51" s="396">
        <v>0</v>
      </c>
      <c r="Q51" s="396">
        <v>0</v>
      </c>
      <c r="R51" s="396">
        <v>0</v>
      </c>
      <c r="S51" s="396">
        <v>0</v>
      </c>
      <c r="T51" s="396">
        <v>0</v>
      </c>
      <c r="U51" s="396">
        <v>0</v>
      </c>
      <c r="V51" s="396">
        <v>0.5</v>
      </c>
      <c r="W51" s="396">
        <v>0</v>
      </c>
      <c r="X51" s="396">
        <v>0</v>
      </c>
      <c r="Y51" s="396">
        <v>0</v>
      </c>
      <c r="Z51" s="396">
        <v>0</v>
      </c>
      <c r="AA51" s="396">
        <v>0</v>
      </c>
      <c r="AB51" s="396">
        <v>0</v>
      </c>
      <c r="AC51" s="397">
        <v>0</v>
      </c>
      <c r="AE51" s="870"/>
      <c r="AF51" s="870"/>
    </row>
    <row r="52" spans="1:34" ht="21.75" customHeight="1" x14ac:dyDescent="0.3">
      <c r="A52" s="863"/>
      <c r="B52" s="855"/>
      <c r="C52" s="865"/>
      <c r="D52" s="868"/>
      <c r="E52" s="252" t="s">
        <v>681</v>
      </c>
      <c r="F52" s="394">
        <v>0</v>
      </c>
      <c r="G52" s="395">
        <v>0</v>
      </c>
      <c r="H52" s="395">
        <v>0</v>
      </c>
      <c r="I52" s="395">
        <v>0</v>
      </c>
      <c r="J52" s="395">
        <v>0.5</v>
      </c>
      <c r="K52" s="395">
        <v>0</v>
      </c>
      <c r="L52" s="395">
        <v>0</v>
      </c>
      <c r="M52" s="395">
        <v>0</v>
      </c>
      <c r="N52" s="395">
        <v>0</v>
      </c>
      <c r="O52" s="395">
        <v>0</v>
      </c>
      <c r="P52" s="395">
        <v>0</v>
      </c>
      <c r="Q52" s="395">
        <v>0</v>
      </c>
      <c r="R52" s="395">
        <v>0</v>
      </c>
      <c r="S52" s="395">
        <v>0</v>
      </c>
      <c r="T52" s="395">
        <v>0</v>
      </c>
      <c r="U52" s="395">
        <v>0</v>
      </c>
      <c r="V52" s="395">
        <v>0.5</v>
      </c>
      <c r="W52" s="395">
        <v>0</v>
      </c>
      <c r="X52" s="395">
        <v>0</v>
      </c>
      <c r="Y52" s="395">
        <v>0</v>
      </c>
      <c r="Z52" s="395">
        <v>0</v>
      </c>
      <c r="AA52" s="395">
        <v>0</v>
      </c>
      <c r="AB52" s="395">
        <v>0</v>
      </c>
      <c r="AC52" s="398">
        <v>0</v>
      </c>
      <c r="AE52" s="870"/>
      <c r="AF52" s="870"/>
    </row>
    <row r="53" spans="1:34" ht="21.75" customHeight="1" x14ac:dyDescent="0.3">
      <c r="A53" s="863"/>
      <c r="B53" s="856"/>
      <c r="C53" s="866"/>
      <c r="D53" s="869"/>
      <c r="E53" s="254" t="s">
        <v>682</v>
      </c>
      <c r="F53" s="559">
        <v>0</v>
      </c>
      <c r="G53" s="401">
        <v>0</v>
      </c>
      <c r="H53" s="401">
        <v>0</v>
      </c>
      <c r="I53" s="401">
        <v>0</v>
      </c>
      <c r="J53" s="401">
        <v>0.5</v>
      </c>
      <c r="K53" s="401">
        <v>0</v>
      </c>
      <c r="L53" s="401">
        <v>0</v>
      </c>
      <c r="M53" s="401">
        <v>0</v>
      </c>
      <c r="N53" s="401">
        <v>0</v>
      </c>
      <c r="O53" s="401">
        <v>0</v>
      </c>
      <c r="P53" s="401">
        <v>0</v>
      </c>
      <c r="Q53" s="401">
        <v>0</v>
      </c>
      <c r="R53" s="401">
        <v>0</v>
      </c>
      <c r="S53" s="401">
        <v>0</v>
      </c>
      <c r="T53" s="401">
        <v>0</v>
      </c>
      <c r="U53" s="401">
        <v>0</v>
      </c>
      <c r="V53" s="401">
        <v>0.5</v>
      </c>
      <c r="W53" s="401">
        <v>0</v>
      </c>
      <c r="X53" s="401">
        <v>0</v>
      </c>
      <c r="Y53" s="401">
        <v>0</v>
      </c>
      <c r="Z53" s="401">
        <v>0</v>
      </c>
      <c r="AA53" s="401">
        <v>0</v>
      </c>
      <c r="AB53" s="401">
        <v>0</v>
      </c>
      <c r="AC53" s="402">
        <v>0</v>
      </c>
      <c r="AE53" s="870"/>
      <c r="AF53" s="870"/>
    </row>
    <row r="54" spans="1:34" ht="21.75" customHeight="1" x14ac:dyDescent="0.3">
      <c r="A54" s="862" t="s">
        <v>136</v>
      </c>
      <c r="B54" s="854" t="s">
        <v>195</v>
      </c>
      <c r="C54" s="864" t="s">
        <v>705</v>
      </c>
      <c r="D54" s="867" t="s">
        <v>693</v>
      </c>
      <c r="E54" s="250" t="s">
        <v>680</v>
      </c>
      <c r="F54" s="556">
        <v>0</v>
      </c>
      <c r="G54" s="396">
        <v>0</v>
      </c>
      <c r="H54" s="396">
        <v>0</v>
      </c>
      <c r="I54" s="396">
        <v>0.33300000000000002</v>
      </c>
      <c r="J54" s="396">
        <v>0</v>
      </c>
      <c r="K54" s="396">
        <v>0</v>
      </c>
      <c r="L54" s="396">
        <v>0</v>
      </c>
      <c r="M54" s="396">
        <v>0</v>
      </c>
      <c r="N54" s="396">
        <v>0</v>
      </c>
      <c r="O54" s="396">
        <v>0</v>
      </c>
      <c r="P54" s="396">
        <v>0</v>
      </c>
      <c r="Q54" s="396">
        <v>0</v>
      </c>
      <c r="R54" s="396">
        <v>0</v>
      </c>
      <c r="S54" s="396">
        <v>0</v>
      </c>
      <c r="T54" s="396">
        <v>0</v>
      </c>
      <c r="U54" s="396">
        <v>0.33300000000000002</v>
      </c>
      <c r="V54" s="396">
        <v>0</v>
      </c>
      <c r="W54" s="396">
        <v>0</v>
      </c>
      <c r="X54" s="396">
        <v>0</v>
      </c>
      <c r="Y54" s="396">
        <v>0</v>
      </c>
      <c r="Z54" s="396">
        <v>0</v>
      </c>
      <c r="AA54" s="396">
        <v>0</v>
      </c>
      <c r="AB54" s="396">
        <v>0</v>
      </c>
      <c r="AC54" s="397">
        <v>0</v>
      </c>
      <c r="AE54" s="870"/>
      <c r="AF54" s="870"/>
    </row>
    <row r="55" spans="1:34" ht="21.75" customHeight="1" x14ac:dyDescent="0.3">
      <c r="A55" s="863"/>
      <c r="B55" s="855"/>
      <c r="C55" s="865"/>
      <c r="D55" s="868"/>
      <c r="E55" s="252" t="s">
        <v>681</v>
      </c>
      <c r="F55" s="394">
        <v>0</v>
      </c>
      <c r="G55" s="395">
        <v>0</v>
      </c>
      <c r="H55" s="395">
        <v>0</v>
      </c>
      <c r="I55" s="395">
        <v>0.33300000000000002</v>
      </c>
      <c r="J55" s="395">
        <v>0</v>
      </c>
      <c r="K55" s="395">
        <v>0</v>
      </c>
      <c r="L55" s="395">
        <v>0</v>
      </c>
      <c r="M55" s="395">
        <v>0</v>
      </c>
      <c r="N55" s="395">
        <v>0</v>
      </c>
      <c r="O55" s="395">
        <v>0</v>
      </c>
      <c r="P55" s="395">
        <v>0</v>
      </c>
      <c r="Q55" s="395">
        <v>0</v>
      </c>
      <c r="R55" s="395">
        <v>0</v>
      </c>
      <c r="S55" s="395">
        <v>0</v>
      </c>
      <c r="T55" s="395">
        <v>0</v>
      </c>
      <c r="U55" s="395">
        <v>0.33300000000000002</v>
      </c>
      <c r="V55" s="395">
        <v>0</v>
      </c>
      <c r="W55" s="395">
        <v>0</v>
      </c>
      <c r="X55" s="395">
        <v>0</v>
      </c>
      <c r="Y55" s="395">
        <v>0</v>
      </c>
      <c r="Z55" s="395">
        <v>0</v>
      </c>
      <c r="AA55" s="395">
        <v>0</v>
      </c>
      <c r="AB55" s="395">
        <v>0</v>
      </c>
      <c r="AC55" s="398">
        <v>0</v>
      </c>
      <c r="AE55" s="870"/>
      <c r="AF55" s="870"/>
    </row>
    <row r="56" spans="1:34" ht="21.75" customHeight="1" x14ac:dyDescent="0.3">
      <c r="A56" s="863"/>
      <c r="B56" s="856"/>
      <c r="C56" s="866"/>
      <c r="D56" s="869"/>
      <c r="E56" s="254" t="s">
        <v>682</v>
      </c>
      <c r="F56" s="559">
        <v>0</v>
      </c>
      <c r="G56" s="401">
        <v>0</v>
      </c>
      <c r="H56" s="401">
        <v>0</v>
      </c>
      <c r="I56" s="401">
        <v>0.33300000000000002</v>
      </c>
      <c r="J56" s="401">
        <v>0</v>
      </c>
      <c r="K56" s="401">
        <v>0</v>
      </c>
      <c r="L56" s="401">
        <v>0</v>
      </c>
      <c r="M56" s="401">
        <v>0</v>
      </c>
      <c r="N56" s="401">
        <v>0</v>
      </c>
      <c r="O56" s="401">
        <v>0</v>
      </c>
      <c r="P56" s="401">
        <v>0</v>
      </c>
      <c r="Q56" s="401">
        <v>0</v>
      </c>
      <c r="R56" s="401">
        <v>0</v>
      </c>
      <c r="S56" s="401">
        <v>0</v>
      </c>
      <c r="T56" s="401">
        <v>0</v>
      </c>
      <c r="U56" s="401">
        <v>0.33300000000000002</v>
      </c>
      <c r="V56" s="401">
        <v>0</v>
      </c>
      <c r="W56" s="401">
        <v>0</v>
      </c>
      <c r="X56" s="401">
        <v>0</v>
      </c>
      <c r="Y56" s="401">
        <v>0</v>
      </c>
      <c r="Z56" s="401">
        <v>0</v>
      </c>
      <c r="AA56" s="401">
        <v>0</v>
      </c>
      <c r="AB56" s="401">
        <v>0</v>
      </c>
      <c r="AC56" s="402">
        <v>0</v>
      </c>
      <c r="AE56" s="870"/>
      <c r="AF56" s="870"/>
    </row>
    <row r="57" spans="1:34" ht="21.75" customHeight="1" x14ac:dyDescent="0.3">
      <c r="A57" s="862" t="s">
        <v>136</v>
      </c>
      <c r="B57" s="854" t="s">
        <v>195</v>
      </c>
      <c r="C57" s="864" t="s">
        <v>706</v>
      </c>
      <c r="D57" s="867" t="s">
        <v>704</v>
      </c>
      <c r="E57" s="250" t="s">
        <v>680</v>
      </c>
      <c r="F57" s="556">
        <v>0</v>
      </c>
      <c r="G57" s="396">
        <v>0</v>
      </c>
      <c r="H57" s="396">
        <v>0</v>
      </c>
      <c r="I57" s="396">
        <v>0.5</v>
      </c>
      <c r="J57" s="396">
        <v>0</v>
      </c>
      <c r="K57" s="396">
        <v>0</v>
      </c>
      <c r="L57" s="396">
        <v>0</v>
      </c>
      <c r="M57" s="396">
        <v>0</v>
      </c>
      <c r="N57" s="396">
        <v>0</v>
      </c>
      <c r="O57" s="396">
        <v>0</v>
      </c>
      <c r="P57" s="396">
        <v>0</v>
      </c>
      <c r="Q57" s="396">
        <v>0</v>
      </c>
      <c r="R57" s="396">
        <v>0</v>
      </c>
      <c r="S57" s="396">
        <v>0</v>
      </c>
      <c r="T57" s="396">
        <v>0</v>
      </c>
      <c r="U57" s="396">
        <v>0.5</v>
      </c>
      <c r="V57" s="396">
        <v>0</v>
      </c>
      <c r="W57" s="396">
        <v>0</v>
      </c>
      <c r="X57" s="396">
        <v>0</v>
      </c>
      <c r="Y57" s="396">
        <v>0</v>
      </c>
      <c r="Z57" s="396">
        <v>0</v>
      </c>
      <c r="AA57" s="396">
        <v>0</v>
      </c>
      <c r="AB57" s="396">
        <v>0</v>
      </c>
      <c r="AC57" s="397">
        <v>0</v>
      </c>
      <c r="AE57" s="870"/>
      <c r="AF57" s="870"/>
    </row>
    <row r="58" spans="1:34" ht="24.75" customHeight="1" x14ac:dyDescent="0.3">
      <c r="A58" s="863"/>
      <c r="B58" s="855"/>
      <c r="C58" s="865"/>
      <c r="D58" s="868"/>
      <c r="E58" s="252" t="s">
        <v>681</v>
      </c>
      <c r="F58" s="394">
        <v>0</v>
      </c>
      <c r="G58" s="395">
        <v>0</v>
      </c>
      <c r="H58" s="395">
        <v>0</v>
      </c>
      <c r="I58" s="395">
        <v>0.5</v>
      </c>
      <c r="J58" s="395">
        <v>0</v>
      </c>
      <c r="K58" s="395">
        <v>0</v>
      </c>
      <c r="L58" s="395">
        <v>0</v>
      </c>
      <c r="M58" s="395">
        <v>0</v>
      </c>
      <c r="N58" s="395">
        <v>0</v>
      </c>
      <c r="O58" s="395">
        <v>0</v>
      </c>
      <c r="P58" s="395">
        <v>0</v>
      </c>
      <c r="Q58" s="395">
        <v>0</v>
      </c>
      <c r="R58" s="395">
        <v>0</v>
      </c>
      <c r="S58" s="395">
        <v>0</v>
      </c>
      <c r="T58" s="395">
        <v>0</v>
      </c>
      <c r="U58" s="395">
        <v>0.5</v>
      </c>
      <c r="V58" s="395">
        <v>0</v>
      </c>
      <c r="W58" s="395">
        <v>0</v>
      </c>
      <c r="X58" s="395">
        <v>0</v>
      </c>
      <c r="Y58" s="395">
        <v>0</v>
      </c>
      <c r="Z58" s="395">
        <v>0</v>
      </c>
      <c r="AA58" s="395">
        <v>0</v>
      </c>
      <c r="AB58" s="395">
        <v>0</v>
      </c>
      <c r="AC58" s="398">
        <v>0</v>
      </c>
      <c r="AE58" s="870"/>
      <c r="AF58" s="870"/>
    </row>
    <row r="59" spans="1:34" ht="24.75" customHeight="1" x14ac:dyDescent="0.3">
      <c r="A59" s="871"/>
      <c r="B59" s="856"/>
      <c r="C59" s="879"/>
      <c r="D59" s="935"/>
      <c r="E59" s="265" t="s">
        <v>682</v>
      </c>
      <c r="F59" s="560">
        <v>0</v>
      </c>
      <c r="G59" s="399">
        <v>0</v>
      </c>
      <c r="H59" s="399">
        <v>0</v>
      </c>
      <c r="I59" s="399">
        <v>0.5</v>
      </c>
      <c r="J59" s="399">
        <v>0</v>
      </c>
      <c r="K59" s="399">
        <v>0</v>
      </c>
      <c r="L59" s="399">
        <v>0</v>
      </c>
      <c r="M59" s="399">
        <v>0</v>
      </c>
      <c r="N59" s="399">
        <v>0</v>
      </c>
      <c r="O59" s="399">
        <v>0</v>
      </c>
      <c r="P59" s="399">
        <v>0</v>
      </c>
      <c r="Q59" s="399">
        <v>0</v>
      </c>
      <c r="R59" s="399">
        <v>0</v>
      </c>
      <c r="S59" s="399">
        <v>0</v>
      </c>
      <c r="T59" s="399">
        <v>0</v>
      </c>
      <c r="U59" s="399">
        <v>0.5</v>
      </c>
      <c r="V59" s="399">
        <v>0</v>
      </c>
      <c r="W59" s="399">
        <v>0</v>
      </c>
      <c r="X59" s="399">
        <v>0</v>
      </c>
      <c r="Y59" s="399">
        <v>0</v>
      </c>
      <c r="Z59" s="399">
        <v>0</v>
      </c>
      <c r="AA59" s="399">
        <v>0</v>
      </c>
      <c r="AB59" s="399">
        <v>0</v>
      </c>
      <c r="AC59" s="400">
        <v>0</v>
      </c>
      <c r="AE59" s="870"/>
      <c r="AF59" s="870"/>
    </row>
    <row r="60" spans="1:34" ht="24.75" customHeight="1" x14ac:dyDescent="0.3">
      <c r="A60" s="863" t="s">
        <v>136</v>
      </c>
      <c r="B60" s="854" t="s">
        <v>195</v>
      </c>
      <c r="C60" s="858" t="s">
        <v>707</v>
      </c>
      <c r="D60" s="860" t="s">
        <v>693</v>
      </c>
      <c r="E60" s="414" t="s">
        <v>680</v>
      </c>
      <c r="F60" s="415">
        <v>0.2</v>
      </c>
      <c r="G60" s="415">
        <v>0.2</v>
      </c>
      <c r="H60" s="415">
        <v>0.2</v>
      </c>
      <c r="I60" s="415">
        <v>0.2</v>
      </c>
      <c r="J60" s="415">
        <v>0.2</v>
      </c>
      <c r="K60" s="415">
        <v>1</v>
      </c>
      <c r="L60" s="415">
        <v>1</v>
      </c>
      <c r="M60" s="415">
        <v>1</v>
      </c>
      <c r="N60" s="415">
        <v>1</v>
      </c>
      <c r="O60" s="415">
        <v>1</v>
      </c>
      <c r="P60" s="415">
        <v>1</v>
      </c>
      <c r="Q60" s="415">
        <v>1</v>
      </c>
      <c r="R60" s="415">
        <v>1</v>
      </c>
      <c r="S60" s="415">
        <v>1</v>
      </c>
      <c r="T60" s="415">
        <v>1</v>
      </c>
      <c r="U60" s="415">
        <v>1</v>
      </c>
      <c r="V60" s="415">
        <v>1</v>
      </c>
      <c r="W60" s="415">
        <v>1</v>
      </c>
      <c r="X60" s="415">
        <v>1</v>
      </c>
      <c r="Y60" s="415">
        <v>1</v>
      </c>
      <c r="Z60" s="415">
        <v>1</v>
      </c>
      <c r="AA60" s="415">
        <v>0.2</v>
      </c>
      <c r="AB60" s="415">
        <v>0.2</v>
      </c>
      <c r="AC60" s="416">
        <v>0.2</v>
      </c>
      <c r="AE60" s="870" t="s">
        <v>708</v>
      </c>
      <c r="AF60" s="870"/>
    </row>
    <row r="61" spans="1:34" ht="24.75" customHeight="1" x14ac:dyDescent="0.3">
      <c r="A61" s="863"/>
      <c r="B61" s="855"/>
      <c r="C61" s="858"/>
      <c r="D61" s="860"/>
      <c r="E61" s="412" t="s">
        <v>681</v>
      </c>
      <c r="F61" s="415">
        <v>0.2</v>
      </c>
      <c r="G61" s="415">
        <v>0.2</v>
      </c>
      <c r="H61" s="415">
        <v>0.2</v>
      </c>
      <c r="I61" s="415">
        <v>0.2</v>
      </c>
      <c r="J61" s="415">
        <v>0.2</v>
      </c>
      <c r="K61" s="415">
        <v>1</v>
      </c>
      <c r="L61" s="415">
        <v>1</v>
      </c>
      <c r="M61" s="415">
        <v>1</v>
      </c>
      <c r="N61" s="415">
        <v>1</v>
      </c>
      <c r="O61" s="415">
        <v>1</v>
      </c>
      <c r="P61" s="415">
        <v>1</v>
      </c>
      <c r="Q61" s="415">
        <v>1</v>
      </c>
      <c r="R61" s="415">
        <v>1</v>
      </c>
      <c r="S61" s="415">
        <v>1</v>
      </c>
      <c r="T61" s="415">
        <v>1</v>
      </c>
      <c r="U61" s="415">
        <v>1</v>
      </c>
      <c r="V61" s="415">
        <v>1</v>
      </c>
      <c r="W61" s="415">
        <v>1</v>
      </c>
      <c r="X61" s="415">
        <v>1</v>
      </c>
      <c r="Y61" s="415">
        <v>1</v>
      </c>
      <c r="Z61" s="415">
        <v>1</v>
      </c>
      <c r="AA61" s="415">
        <v>0.2</v>
      </c>
      <c r="AB61" s="415">
        <v>0.2</v>
      </c>
      <c r="AC61" s="416">
        <v>0.2</v>
      </c>
      <c r="AE61" s="870"/>
      <c r="AF61" s="870"/>
    </row>
    <row r="62" spans="1:34" ht="24.75" customHeight="1" x14ac:dyDescent="0.3">
      <c r="A62" s="871"/>
      <c r="B62" s="856"/>
      <c r="C62" s="872"/>
      <c r="D62" s="861"/>
      <c r="E62" s="413" t="s">
        <v>682</v>
      </c>
      <c r="F62" s="417">
        <v>0.2</v>
      </c>
      <c r="G62" s="417">
        <v>0.2</v>
      </c>
      <c r="H62" s="417">
        <v>0.2</v>
      </c>
      <c r="I62" s="417">
        <v>0.2</v>
      </c>
      <c r="J62" s="417">
        <v>0.2</v>
      </c>
      <c r="K62" s="417">
        <v>1</v>
      </c>
      <c r="L62" s="417">
        <v>1</v>
      </c>
      <c r="M62" s="417">
        <v>1</v>
      </c>
      <c r="N62" s="417">
        <v>1</v>
      </c>
      <c r="O62" s="417">
        <v>1</v>
      </c>
      <c r="P62" s="417">
        <v>1</v>
      </c>
      <c r="Q62" s="417">
        <v>1</v>
      </c>
      <c r="R62" s="417">
        <v>1</v>
      </c>
      <c r="S62" s="417">
        <v>1</v>
      </c>
      <c r="T62" s="417">
        <v>1</v>
      </c>
      <c r="U62" s="417">
        <v>1</v>
      </c>
      <c r="V62" s="417">
        <v>1</v>
      </c>
      <c r="W62" s="417">
        <v>1</v>
      </c>
      <c r="X62" s="417">
        <v>1</v>
      </c>
      <c r="Y62" s="417">
        <v>1</v>
      </c>
      <c r="Z62" s="417">
        <v>1</v>
      </c>
      <c r="AA62" s="417">
        <v>0.2</v>
      </c>
      <c r="AB62" s="417">
        <v>0.2</v>
      </c>
      <c r="AC62" s="418">
        <v>0.2</v>
      </c>
      <c r="AE62" s="870"/>
      <c r="AF62" s="870"/>
    </row>
    <row r="63" spans="1:34" ht="24.75" customHeight="1" x14ac:dyDescent="0.3">
      <c r="A63" s="862" t="s">
        <v>136</v>
      </c>
      <c r="B63" s="854" t="s">
        <v>195</v>
      </c>
      <c r="C63" s="857" t="s">
        <v>709</v>
      </c>
      <c r="D63" s="859" t="s">
        <v>693</v>
      </c>
      <c r="E63" s="411" t="s">
        <v>680</v>
      </c>
      <c r="F63" s="419">
        <v>0.2</v>
      </c>
      <c r="G63" s="419">
        <v>0.2</v>
      </c>
      <c r="H63" s="419">
        <v>0.2</v>
      </c>
      <c r="I63" s="419">
        <v>0.2</v>
      </c>
      <c r="J63" s="419">
        <v>0.2</v>
      </c>
      <c r="K63" s="419">
        <v>0.6</v>
      </c>
      <c r="L63" s="419">
        <v>0.6</v>
      </c>
      <c r="M63" s="419">
        <v>0.6</v>
      </c>
      <c r="N63" s="419">
        <v>0.6</v>
      </c>
      <c r="O63" s="419">
        <v>0.6</v>
      </c>
      <c r="P63" s="419">
        <v>0.6</v>
      </c>
      <c r="Q63" s="419">
        <v>0.6</v>
      </c>
      <c r="R63" s="419">
        <v>0.6</v>
      </c>
      <c r="S63" s="419">
        <v>0.6</v>
      </c>
      <c r="T63" s="419">
        <v>0.6</v>
      </c>
      <c r="U63" s="419">
        <v>0.6</v>
      </c>
      <c r="V63" s="419">
        <v>0.6</v>
      </c>
      <c r="W63" s="419">
        <v>0.6</v>
      </c>
      <c r="X63" s="419">
        <v>0.6</v>
      </c>
      <c r="Y63" s="419">
        <v>0.6</v>
      </c>
      <c r="Z63" s="419">
        <v>0.6</v>
      </c>
      <c r="AA63" s="419">
        <v>0.2</v>
      </c>
      <c r="AB63" s="419">
        <v>0.2</v>
      </c>
      <c r="AC63" s="420">
        <v>0.2</v>
      </c>
    </row>
    <row r="64" spans="1:34" ht="24.75" customHeight="1" x14ac:dyDescent="0.3">
      <c r="A64" s="863"/>
      <c r="B64" s="855"/>
      <c r="C64" s="858"/>
      <c r="D64" s="860"/>
      <c r="E64" s="412" t="s">
        <v>681</v>
      </c>
      <c r="F64" s="415">
        <v>0.2</v>
      </c>
      <c r="G64" s="415">
        <v>0.2</v>
      </c>
      <c r="H64" s="415">
        <v>0.2</v>
      </c>
      <c r="I64" s="415">
        <v>0.2</v>
      </c>
      <c r="J64" s="415">
        <v>0.2</v>
      </c>
      <c r="K64" s="415">
        <v>0.6</v>
      </c>
      <c r="L64" s="415">
        <v>0.6</v>
      </c>
      <c r="M64" s="415">
        <v>0.6</v>
      </c>
      <c r="N64" s="415">
        <v>0.6</v>
      </c>
      <c r="O64" s="415">
        <v>0.6</v>
      </c>
      <c r="P64" s="415">
        <v>0.6</v>
      </c>
      <c r="Q64" s="415">
        <v>0.6</v>
      </c>
      <c r="R64" s="415">
        <v>0.6</v>
      </c>
      <c r="S64" s="415">
        <v>0.6</v>
      </c>
      <c r="T64" s="415">
        <v>0.6</v>
      </c>
      <c r="U64" s="415">
        <v>0.6</v>
      </c>
      <c r="V64" s="415">
        <v>0.6</v>
      </c>
      <c r="W64" s="415">
        <v>0.6</v>
      </c>
      <c r="X64" s="415">
        <v>0.6</v>
      </c>
      <c r="Y64" s="415">
        <v>0.6</v>
      </c>
      <c r="Z64" s="415">
        <v>0.6</v>
      </c>
      <c r="AA64" s="415">
        <v>0.2</v>
      </c>
      <c r="AB64" s="415">
        <v>0.2</v>
      </c>
      <c r="AC64" s="416">
        <v>0.2</v>
      </c>
    </row>
    <row r="65" spans="1:29" ht="24.75" customHeight="1" x14ac:dyDescent="0.3">
      <c r="A65" s="863"/>
      <c r="B65" s="856"/>
      <c r="C65" s="858"/>
      <c r="D65" s="860"/>
      <c r="E65" s="421" t="s">
        <v>682</v>
      </c>
      <c r="F65" s="390">
        <v>0.2</v>
      </c>
      <c r="G65" s="390">
        <v>0.2</v>
      </c>
      <c r="H65" s="390">
        <v>0.2</v>
      </c>
      <c r="I65" s="390">
        <v>0.2</v>
      </c>
      <c r="J65" s="390">
        <v>0.2</v>
      </c>
      <c r="K65" s="390">
        <v>0.6</v>
      </c>
      <c r="L65" s="390">
        <v>0.6</v>
      </c>
      <c r="M65" s="390">
        <v>0.6</v>
      </c>
      <c r="N65" s="390">
        <v>0.6</v>
      </c>
      <c r="O65" s="390">
        <v>0.6</v>
      </c>
      <c r="P65" s="390">
        <v>0.6</v>
      </c>
      <c r="Q65" s="390">
        <v>0.6</v>
      </c>
      <c r="R65" s="390">
        <v>0.6</v>
      </c>
      <c r="S65" s="390">
        <v>0.6</v>
      </c>
      <c r="T65" s="390">
        <v>0.6</v>
      </c>
      <c r="U65" s="390">
        <v>0.6</v>
      </c>
      <c r="V65" s="390">
        <v>0.6</v>
      </c>
      <c r="W65" s="390">
        <v>0.6</v>
      </c>
      <c r="X65" s="390">
        <v>0.6</v>
      </c>
      <c r="Y65" s="390">
        <v>0.6</v>
      </c>
      <c r="Z65" s="390">
        <v>0.6</v>
      </c>
      <c r="AA65" s="390">
        <v>0.2</v>
      </c>
      <c r="AB65" s="390">
        <v>0.2</v>
      </c>
      <c r="AC65" s="393">
        <v>0.2</v>
      </c>
    </row>
    <row r="66" spans="1:29" ht="24.75" customHeight="1" x14ac:dyDescent="0.3">
      <c r="A66" s="862" t="s">
        <v>136</v>
      </c>
      <c r="B66" s="854" t="s">
        <v>195</v>
      </c>
      <c r="C66" s="857" t="s">
        <v>710</v>
      </c>
      <c r="D66" s="859" t="s">
        <v>693</v>
      </c>
      <c r="E66" s="411" t="s">
        <v>680</v>
      </c>
      <c r="F66" s="556">
        <v>0.02</v>
      </c>
      <c r="G66" s="396">
        <v>0.02</v>
      </c>
      <c r="H66" s="396">
        <v>0.02</v>
      </c>
      <c r="I66" s="396">
        <v>0.02</v>
      </c>
      <c r="J66" s="396">
        <v>0.02</v>
      </c>
      <c r="K66" s="396">
        <v>0.02</v>
      </c>
      <c r="L66" s="396">
        <v>0.02</v>
      </c>
      <c r="M66" s="396">
        <v>0.2</v>
      </c>
      <c r="N66" s="396">
        <v>0.2</v>
      </c>
      <c r="O66" s="396">
        <v>0.2</v>
      </c>
      <c r="P66" s="396">
        <v>0.2</v>
      </c>
      <c r="Q66" s="396">
        <v>0.2</v>
      </c>
      <c r="R66" s="396">
        <v>0.2</v>
      </c>
      <c r="S66" s="396">
        <v>0.2</v>
      </c>
      <c r="T66" s="396">
        <v>0.2</v>
      </c>
      <c r="U66" s="396">
        <v>0.2</v>
      </c>
      <c r="V66" s="396">
        <v>0.2</v>
      </c>
      <c r="W66" s="396">
        <v>0.2</v>
      </c>
      <c r="X66" s="396">
        <v>0.2</v>
      </c>
      <c r="Y66" s="396">
        <v>0.2</v>
      </c>
      <c r="Z66" s="396">
        <v>0.2</v>
      </c>
      <c r="AA66" s="396">
        <v>0.02</v>
      </c>
      <c r="AB66" s="396">
        <v>0.02</v>
      </c>
      <c r="AC66" s="397">
        <v>0.02</v>
      </c>
    </row>
    <row r="67" spans="1:29" ht="21.75" customHeight="1" x14ac:dyDescent="0.3">
      <c r="A67" s="863"/>
      <c r="B67" s="855"/>
      <c r="C67" s="858"/>
      <c r="D67" s="860"/>
      <c r="E67" s="412" t="s">
        <v>681</v>
      </c>
      <c r="F67" s="394">
        <v>0.02</v>
      </c>
      <c r="G67" s="395">
        <v>0.02</v>
      </c>
      <c r="H67" s="395">
        <v>0.02</v>
      </c>
      <c r="I67" s="395">
        <v>0.02</v>
      </c>
      <c r="J67" s="395">
        <v>0.02</v>
      </c>
      <c r="K67" s="395">
        <v>0.02</v>
      </c>
      <c r="L67" s="395">
        <v>0.02</v>
      </c>
      <c r="M67" s="395">
        <v>0.2</v>
      </c>
      <c r="N67" s="395">
        <v>0.2</v>
      </c>
      <c r="O67" s="395">
        <v>0.2</v>
      </c>
      <c r="P67" s="395">
        <v>0.2</v>
      </c>
      <c r="Q67" s="395">
        <v>0.2</v>
      </c>
      <c r="R67" s="395">
        <v>0.2</v>
      </c>
      <c r="S67" s="395">
        <v>0.2</v>
      </c>
      <c r="T67" s="395">
        <v>0.2</v>
      </c>
      <c r="U67" s="395">
        <v>0.2</v>
      </c>
      <c r="V67" s="395">
        <v>0.2</v>
      </c>
      <c r="W67" s="395">
        <v>0.2</v>
      </c>
      <c r="X67" s="395">
        <v>0.2</v>
      </c>
      <c r="Y67" s="395">
        <v>0.2</v>
      </c>
      <c r="Z67" s="395">
        <v>0.2</v>
      </c>
      <c r="AA67" s="395">
        <v>0.02</v>
      </c>
      <c r="AB67" s="395">
        <v>0.02</v>
      </c>
      <c r="AC67" s="398">
        <v>0.02</v>
      </c>
    </row>
    <row r="68" spans="1:29" ht="21.75" customHeight="1" x14ac:dyDescent="0.3">
      <c r="A68" s="863"/>
      <c r="B68" s="855"/>
      <c r="C68" s="858"/>
      <c r="D68" s="860"/>
      <c r="E68" s="421" t="s">
        <v>682</v>
      </c>
      <c r="F68" s="559">
        <v>0.02</v>
      </c>
      <c r="G68" s="401">
        <v>0.02</v>
      </c>
      <c r="H68" s="401">
        <v>0.02</v>
      </c>
      <c r="I68" s="401">
        <v>0.02</v>
      </c>
      <c r="J68" s="401">
        <v>0.02</v>
      </c>
      <c r="K68" s="401">
        <v>0.02</v>
      </c>
      <c r="L68" s="401">
        <v>0.02</v>
      </c>
      <c r="M68" s="401">
        <v>0.2</v>
      </c>
      <c r="N68" s="401">
        <v>0.2</v>
      </c>
      <c r="O68" s="401">
        <v>0.2</v>
      </c>
      <c r="P68" s="401">
        <v>0.2</v>
      </c>
      <c r="Q68" s="401">
        <v>0.2</v>
      </c>
      <c r="R68" s="401">
        <v>0.2</v>
      </c>
      <c r="S68" s="401">
        <v>0.2</v>
      </c>
      <c r="T68" s="401">
        <v>0.2</v>
      </c>
      <c r="U68" s="401">
        <v>0.2</v>
      </c>
      <c r="V68" s="401">
        <v>0.2</v>
      </c>
      <c r="W68" s="401">
        <v>0.2</v>
      </c>
      <c r="X68" s="401">
        <v>0.2</v>
      </c>
      <c r="Y68" s="401">
        <v>0.2</v>
      </c>
      <c r="Z68" s="401">
        <v>0.2</v>
      </c>
      <c r="AA68" s="401">
        <v>0.02</v>
      </c>
      <c r="AB68" s="401">
        <v>0.02</v>
      </c>
      <c r="AC68" s="402">
        <v>0.02</v>
      </c>
    </row>
    <row r="69" spans="1:29" ht="21.75" customHeight="1" x14ac:dyDescent="0.3">
      <c r="A69" s="973" t="s">
        <v>191</v>
      </c>
      <c r="B69" s="967" t="s">
        <v>195</v>
      </c>
      <c r="C69" s="864" t="s">
        <v>690</v>
      </c>
      <c r="D69" s="867" t="s">
        <v>441</v>
      </c>
      <c r="E69" s="387" t="s">
        <v>680</v>
      </c>
      <c r="F69" s="358">
        <v>38</v>
      </c>
      <c r="G69" s="358">
        <v>38</v>
      </c>
      <c r="H69" s="358">
        <v>38</v>
      </c>
      <c r="I69" s="358">
        <v>38</v>
      </c>
      <c r="J69" s="358">
        <v>38</v>
      </c>
      <c r="K69" s="358">
        <v>38</v>
      </c>
      <c r="L69" s="358">
        <v>38</v>
      </c>
      <c r="M69" s="358">
        <v>38</v>
      </c>
      <c r="N69" s="358">
        <v>38</v>
      </c>
      <c r="O69" s="358">
        <v>38</v>
      </c>
      <c r="P69" s="358">
        <v>38</v>
      </c>
      <c r="Q69" s="358">
        <v>38</v>
      </c>
      <c r="R69" s="358">
        <v>38</v>
      </c>
      <c r="S69" s="358">
        <v>38</v>
      </c>
      <c r="T69" s="358">
        <v>38</v>
      </c>
      <c r="U69" s="358">
        <v>38</v>
      </c>
      <c r="V69" s="358">
        <v>38</v>
      </c>
      <c r="W69" s="358">
        <v>38</v>
      </c>
      <c r="X69" s="358">
        <v>38</v>
      </c>
      <c r="Y69" s="358">
        <v>38</v>
      </c>
      <c r="Z69" s="358">
        <v>38</v>
      </c>
      <c r="AA69" s="358">
        <v>38</v>
      </c>
      <c r="AB69" s="358">
        <v>38</v>
      </c>
      <c r="AC69" s="359">
        <v>38</v>
      </c>
    </row>
    <row r="70" spans="1:29" ht="21.75" customHeight="1" x14ac:dyDescent="0.3">
      <c r="A70" s="974"/>
      <c r="B70" s="968"/>
      <c r="C70" s="865"/>
      <c r="D70" s="868"/>
      <c r="E70" s="385" t="s">
        <v>681</v>
      </c>
      <c r="F70" s="360">
        <v>38</v>
      </c>
      <c r="G70" s="360">
        <v>38</v>
      </c>
      <c r="H70" s="360">
        <v>38</v>
      </c>
      <c r="I70" s="360">
        <v>38</v>
      </c>
      <c r="J70" s="360">
        <v>38</v>
      </c>
      <c r="K70" s="360">
        <v>38</v>
      </c>
      <c r="L70" s="360">
        <v>38</v>
      </c>
      <c r="M70" s="360">
        <v>38</v>
      </c>
      <c r="N70" s="360">
        <v>38</v>
      </c>
      <c r="O70" s="360">
        <v>38</v>
      </c>
      <c r="P70" s="360">
        <v>38</v>
      </c>
      <c r="Q70" s="360">
        <v>38</v>
      </c>
      <c r="R70" s="360">
        <v>38</v>
      </c>
      <c r="S70" s="360">
        <v>38</v>
      </c>
      <c r="T70" s="360">
        <v>38</v>
      </c>
      <c r="U70" s="360">
        <v>38</v>
      </c>
      <c r="V70" s="360">
        <v>38</v>
      </c>
      <c r="W70" s="360">
        <v>38</v>
      </c>
      <c r="X70" s="360">
        <v>38</v>
      </c>
      <c r="Y70" s="360">
        <v>38</v>
      </c>
      <c r="Z70" s="360">
        <v>38</v>
      </c>
      <c r="AA70" s="360">
        <v>38</v>
      </c>
      <c r="AB70" s="360">
        <v>38</v>
      </c>
      <c r="AC70" s="361">
        <v>38</v>
      </c>
    </row>
    <row r="71" spans="1:29" ht="21.75" customHeight="1" x14ac:dyDescent="0.3">
      <c r="A71" s="975"/>
      <c r="B71" s="969"/>
      <c r="C71" s="879"/>
      <c r="D71" s="935"/>
      <c r="E71" s="388" t="s">
        <v>682</v>
      </c>
      <c r="F71" s="367">
        <v>38</v>
      </c>
      <c r="G71" s="367">
        <v>38</v>
      </c>
      <c r="H71" s="367">
        <v>38</v>
      </c>
      <c r="I71" s="367">
        <v>38</v>
      </c>
      <c r="J71" s="367">
        <v>38</v>
      </c>
      <c r="K71" s="367">
        <v>38</v>
      </c>
      <c r="L71" s="367">
        <v>38</v>
      </c>
      <c r="M71" s="367">
        <v>38</v>
      </c>
      <c r="N71" s="367">
        <v>38</v>
      </c>
      <c r="O71" s="367">
        <v>38</v>
      </c>
      <c r="P71" s="367">
        <v>38</v>
      </c>
      <c r="Q71" s="367">
        <v>38</v>
      </c>
      <c r="R71" s="367">
        <v>38</v>
      </c>
      <c r="S71" s="367">
        <v>38</v>
      </c>
      <c r="T71" s="367">
        <v>38</v>
      </c>
      <c r="U71" s="367">
        <v>38</v>
      </c>
      <c r="V71" s="367">
        <v>38</v>
      </c>
      <c r="W71" s="367">
        <v>38</v>
      </c>
      <c r="X71" s="367">
        <v>38</v>
      </c>
      <c r="Y71" s="367">
        <v>38</v>
      </c>
      <c r="Z71" s="367">
        <v>38</v>
      </c>
      <c r="AA71" s="367">
        <v>38</v>
      </c>
      <c r="AB71" s="367">
        <v>38</v>
      </c>
      <c r="AC71" s="368">
        <v>38</v>
      </c>
    </row>
    <row r="72" spans="1:29" ht="21.75" customHeight="1" x14ac:dyDescent="0.3">
      <c r="A72" s="880" t="s">
        <v>711</v>
      </c>
      <c r="B72" s="881"/>
      <c r="C72" s="881"/>
      <c r="D72" s="881"/>
      <c r="E72" s="881"/>
      <c r="F72" s="881"/>
      <c r="G72" s="881"/>
      <c r="H72" s="881"/>
      <c r="I72" s="881"/>
      <c r="J72" s="881"/>
      <c r="K72" s="881"/>
      <c r="L72" s="881"/>
      <c r="M72" s="881"/>
      <c r="N72" s="881"/>
      <c r="O72" s="881"/>
      <c r="P72" s="881"/>
      <c r="Q72" s="881"/>
      <c r="R72" s="881"/>
      <c r="S72" s="881"/>
      <c r="T72" s="881"/>
      <c r="U72" s="881"/>
      <c r="V72" s="881"/>
      <c r="W72" s="881"/>
      <c r="X72" s="881"/>
      <c r="Y72" s="881"/>
      <c r="Z72" s="881"/>
      <c r="AA72" s="881"/>
      <c r="AB72" s="881"/>
      <c r="AC72" s="882"/>
    </row>
    <row r="73" spans="1:29" ht="21.75" customHeight="1" x14ac:dyDescent="0.3">
      <c r="A73" s="953" t="s">
        <v>711</v>
      </c>
      <c r="B73" s="956" t="s">
        <v>186</v>
      </c>
      <c r="C73" s="982" t="s">
        <v>678</v>
      </c>
      <c r="D73" s="961" t="s">
        <v>684</v>
      </c>
      <c r="E73" s="476" t="s">
        <v>680</v>
      </c>
      <c r="F73" s="325">
        <v>0</v>
      </c>
      <c r="G73" s="325">
        <v>0</v>
      </c>
      <c r="H73" s="325">
        <v>0</v>
      </c>
      <c r="I73" s="325">
        <v>0</v>
      </c>
      <c r="J73" s="325">
        <v>0</v>
      </c>
      <c r="K73" s="325">
        <v>0.05</v>
      </c>
      <c r="L73" s="325">
        <v>0.1</v>
      </c>
      <c r="M73" s="325">
        <v>0.15</v>
      </c>
      <c r="N73" s="325">
        <v>0.2</v>
      </c>
      <c r="O73" s="325">
        <v>0.3</v>
      </c>
      <c r="P73" s="325">
        <v>0.4</v>
      </c>
      <c r="Q73" s="325">
        <v>0.5</v>
      </c>
      <c r="R73" s="325">
        <v>0.6</v>
      </c>
      <c r="S73" s="325">
        <v>0.6</v>
      </c>
      <c r="T73" s="325">
        <v>0.6</v>
      </c>
      <c r="U73" s="325">
        <v>0.6</v>
      </c>
      <c r="V73" s="325">
        <v>0.7</v>
      </c>
      <c r="W73" s="325">
        <v>0.8</v>
      </c>
      <c r="X73" s="325">
        <v>0.8</v>
      </c>
      <c r="Y73" s="325">
        <v>0.8</v>
      </c>
      <c r="Z73" s="325">
        <v>0.6</v>
      </c>
      <c r="AA73" s="325">
        <v>0.3</v>
      </c>
      <c r="AB73" s="325">
        <v>0.1</v>
      </c>
      <c r="AC73" s="326">
        <v>0.05</v>
      </c>
    </row>
    <row r="74" spans="1:29" ht="21.75" customHeight="1" x14ac:dyDescent="0.3">
      <c r="A74" s="954"/>
      <c r="B74" s="956"/>
      <c r="C74" s="865"/>
      <c r="D74" s="962"/>
      <c r="E74" s="477" t="s">
        <v>681</v>
      </c>
      <c r="F74" s="327">
        <v>0</v>
      </c>
      <c r="G74" s="327">
        <v>0</v>
      </c>
      <c r="H74" s="327">
        <v>0</v>
      </c>
      <c r="I74" s="327">
        <v>0</v>
      </c>
      <c r="J74" s="327">
        <v>0</v>
      </c>
      <c r="K74" s="327">
        <v>0.05</v>
      </c>
      <c r="L74" s="327">
        <v>0.1</v>
      </c>
      <c r="M74" s="327">
        <v>0.2</v>
      </c>
      <c r="N74" s="327">
        <v>0.3</v>
      </c>
      <c r="O74" s="327">
        <v>0.5</v>
      </c>
      <c r="P74" s="327">
        <v>0.7</v>
      </c>
      <c r="Q74" s="327">
        <v>0.8</v>
      </c>
      <c r="R74" s="327">
        <v>0.9</v>
      </c>
      <c r="S74" s="327">
        <v>0.9</v>
      </c>
      <c r="T74" s="327">
        <v>0.9</v>
      </c>
      <c r="U74" s="327">
        <v>0.9</v>
      </c>
      <c r="V74" s="327">
        <v>0.9</v>
      </c>
      <c r="W74" s="327">
        <v>0.9</v>
      </c>
      <c r="X74" s="327">
        <v>0.8</v>
      </c>
      <c r="Y74" s="327">
        <v>0.7</v>
      </c>
      <c r="Z74" s="327">
        <v>0.6</v>
      </c>
      <c r="AA74" s="327">
        <v>0.5</v>
      </c>
      <c r="AB74" s="327">
        <v>0.3</v>
      </c>
      <c r="AC74" s="328">
        <v>0.1</v>
      </c>
    </row>
    <row r="75" spans="1:29" ht="21.75" customHeight="1" x14ac:dyDescent="0.3">
      <c r="A75" s="984"/>
      <c r="B75" s="956"/>
      <c r="C75" s="866"/>
      <c r="D75" s="987"/>
      <c r="E75" s="478" t="s">
        <v>682</v>
      </c>
      <c r="F75" s="329">
        <v>0</v>
      </c>
      <c r="G75" s="329">
        <v>0</v>
      </c>
      <c r="H75" s="329">
        <v>0</v>
      </c>
      <c r="I75" s="329">
        <v>0</v>
      </c>
      <c r="J75" s="329">
        <v>0</v>
      </c>
      <c r="K75" s="329">
        <v>0.05</v>
      </c>
      <c r="L75" s="329">
        <v>0.1</v>
      </c>
      <c r="M75" s="329">
        <v>0.2</v>
      </c>
      <c r="N75" s="329">
        <v>0.3</v>
      </c>
      <c r="O75" s="329">
        <v>0.5</v>
      </c>
      <c r="P75" s="329">
        <v>0.7</v>
      </c>
      <c r="Q75" s="329">
        <v>0.8</v>
      </c>
      <c r="R75" s="329">
        <v>0.9</v>
      </c>
      <c r="S75" s="329">
        <v>0.9</v>
      </c>
      <c r="T75" s="329">
        <v>0.9</v>
      </c>
      <c r="U75" s="329">
        <v>0.9</v>
      </c>
      <c r="V75" s="329">
        <v>0.9</v>
      </c>
      <c r="W75" s="329">
        <v>0.9</v>
      </c>
      <c r="X75" s="329">
        <v>0.8</v>
      </c>
      <c r="Y75" s="329">
        <v>0.7</v>
      </c>
      <c r="Z75" s="329">
        <v>0.6</v>
      </c>
      <c r="AA75" s="329">
        <v>0.5</v>
      </c>
      <c r="AB75" s="329">
        <v>0.3</v>
      </c>
      <c r="AC75" s="330">
        <v>0.1</v>
      </c>
    </row>
    <row r="76" spans="1:29" ht="21.75" customHeight="1" x14ac:dyDescent="0.3">
      <c r="A76" s="988" t="str">
        <f>A73</f>
        <v>Storage &amp; Loading Dock</v>
      </c>
      <c r="B76" s="985" t="str">
        <f>B73</f>
        <v>Ancillary</v>
      </c>
      <c r="C76" s="995" t="s">
        <v>683</v>
      </c>
      <c r="D76" s="996" t="s">
        <v>684</v>
      </c>
      <c r="E76" s="479" t="s">
        <v>680</v>
      </c>
      <c r="F76" s="496">
        <v>0.05</v>
      </c>
      <c r="G76" s="496">
        <v>0.05</v>
      </c>
      <c r="H76" s="496">
        <v>0.05</v>
      </c>
      <c r="I76" s="496">
        <v>0.05</v>
      </c>
      <c r="J76" s="496">
        <v>0.7</v>
      </c>
      <c r="K76" s="496">
        <v>1</v>
      </c>
      <c r="L76" s="496">
        <v>1</v>
      </c>
      <c r="M76" s="496">
        <v>1</v>
      </c>
      <c r="N76" s="496">
        <v>1</v>
      </c>
      <c r="O76" s="496">
        <v>1</v>
      </c>
      <c r="P76" s="496">
        <v>1</v>
      </c>
      <c r="Q76" s="496">
        <v>1</v>
      </c>
      <c r="R76" s="496">
        <v>1</v>
      </c>
      <c r="S76" s="496">
        <v>1</v>
      </c>
      <c r="T76" s="496">
        <v>1</v>
      </c>
      <c r="U76" s="496">
        <v>1</v>
      </c>
      <c r="V76" s="496">
        <v>1</v>
      </c>
      <c r="W76" s="496">
        <v>1</v>
      </c>
      <c r="X76" s="496">
        <v>1</v>
      </c>
      <c r="Y76" s="496">
        <v>1</v>
      </c>
      <c r="Z76" s="496">
        <v>1</v>
      </c>
      <c r="AA76" s="496">
        <v>1</v>
      </c>
      <c r="AB76" s="496">
        <v>1</v>
      </c>
      <c r="AC76" s="497">
        <v>1</v>
      </c>
    </row>
    <row r="77" spans="1:29" ht="21.75" customHeight="1" x14ac:dyDescent="0.3">
      <c r="A77" s="954"/>
      <c r="B77" s="956"/>
      <c r="C77" s="865"/>
      <c r="D77" s="962"/>
      <c r="E77" s="480" t="s">
        <v>681</v>
      </c>
      <c r="F77" s="336">
        <v>0.05</v>
      </c>
      <c r="G77" s="336">
        <v>0.05</v>
      </c>
      <c r="H77" s="336">
        <v>0.05</v>
      </c>
      <c r="I77" s="336">
        <v>0.05</v>
      </c>
      <c r="J77" s="336">
        <v>0.7</v>
      </c>
      <c r="K77" s="335">
        <v>1</v>
      </c>
      <c r="L77" s="335">
        <v>1</v>
      </c>
      <c r="M77" s="335">
        <v>1</v>
      </c>
      <c r="N77" s="335">
        <v>1</v>
      </c>
      <c r="O77" s="335">
        <v>1</v>
      </c>
      <c r="P77" s="335">
        <v>1</v>
      </c>
      <c r="Q77" s="335">
        <v>1</v>
      </c>
      <c r="R77" s="335">
        <v>1</v>
      </c>
      <c r="S77" s="335">
        <v>1</v>
      </c>
      <c r="T77" s="335">
        <v>1</v>
      </c>
      <c r="U77" s="335">
        <v>1</v>
      </c>
      <c r="V77" s="335">
        <v>1</v>
      </c>
      <c r="W77" s="335">
        <v>1</v>
      </c>
      <c r="X77" s="335">
        <v>1</v>
      </c>
      <c r="Y77" s="335">
        <v>1</v>
      </c>
      <c r="Z77" s="335">
        <v>1</v>
      </c>
      <c r="AA77" s="335">
        <v>1</v>
      </c>
      <c r="AB77" s="335">
        <v>1</v>
      </c>
      <c r="AC77" s="498">
        <v>1</v>
      </c>
    </row>
    <row r="78" spans="1:29" ht="21.75" customHeight="1" x14ac:dyDescent="0.3">
      <c r="A78" s="984"/>
      <c r="B78" s="956"/>
      <c r="C78" s="866"/>
      <c r="D78" s="979"/>
      <c r="E78" s="481" t="s">
        <v>682</v>
      </c>
      <c r="F78" s="338">
        <v>0.05</v>
      </c>
      <c r="G78" s="338">
        <v>0.05</v>
      </c>
      <c r="H78" s="338">
        <v>0.05</v>
      </c>
      <c r="I78" s="338">
        <v>0.05</v>
      </c>
      <c r="J78" s="338">
        <v>0.7</v>
      </c>
      <c r="K78" s="338">
        <v>1</v>
      </c>
      <c r="L78" s="338">
        <v>1</v>
      </c>
      <c r="M78" s="338">
        <v>1</v>
      </c>
      <c r="N78" s="338">
        <v>1</v>
      </c>
      <c r="O78" s="338">
        <v>1</v>
      </c>
      <c r="P78" s="338">
        <v>1</v>
      </c>
      <c r="Q78" s="338">
        <v>1</v>
      </c>
      <c r="R78" s="338">
        <v>1</v>
      </c>
      <c r="S78" s="338">
        <v>1</v>
      </c>
      <c r="T78" s="338">
        <v>1</v>
      </c>
      <c r="U78" s="338">
        <v>1</v>
      </c>
      <c r="V78" s="338">
        <v>1</v>
      </c>
      <c r="W78" s="338">
        <v>1</v>
      </c>
      <c r="X78" s="338">
        <v>1</v>
      </c>
      <c r="Y78" s="338">
        <v>1</v>
      </c>
      <c r="Z78" s="338">
        <v>1</v>
      </c>
      <c r="AA78" s="338">
        <v>1</v>
      </c>
      <c r="AB78" s="338">
        <v>1</v>
      </c>
      <c r="AC78" s="499">
        <v>1</v>
      </c>
    </row>
    <row r="79" spans="1:29" ht="21.75" customHeight="1" x14ac:dyDescent="0.3">
      <c r="A79" s="988" t="str">
        <f>A76</f>
        <v>Storage &amp; Loading Dock</v>
      </c>
      <c r="B79" s="985" t="str">
        <f>B76</f>
        <v>Ancillary</v>
      </c>
      <c r="C79" s="989" t="s">
        <v>685</v>
      </c>
      <c r="D79" s="991" t="s">
        <v>686</v>
      </c>
      <c r="E79" s="512" t="s">
        <v>680</v>
      </c>
      <c r="F79" s="340">
        <v>0.4</v>
      </c>
      <c r="G79" s="340">
        <v>0.4</v>
      </c>
      <c r="H79" s="340">
        <v>0.4</v>
      </c>
      <c r="I79" s="340">
        <v>0.4</v>
      </c>
      <c r="J79" s="340">
        <v>0.4</v>
      </c>
      <c r="K79" s="340">
        <v>0.9</v>
      </c>
      <c r="L79" s="340">
        <v>0.9</v>
      </c>
      <c r="M79" s="340">
        <v>0.9</v>
      </c>
      <c r="N79" s="340">
        <v>0.9</v>
      </c>
      <c r="O79" s="340">
        <v>0.9</v>
      </c>
      <c r="P79" s="340">
        <v>0.9</v>
      </c>
      <c r="Q79" s="340">
        <v>0.9</v>
      </c>
      <c r="R79" s="340">
        <v>0.9</v>
      </c>
      <c r="S79" s="340">
        <v>0.9</v>
      </c>
      <c r="T79" s="340">
        <v>0.9</v>
      </c>
      <c r="U79" s="340">
        <v>0.9</v>
      </c>
      <c r="V79" s="340">
        <v>0.9</v>
      </c>
      <c r="W79" s="340">
        <v>0.9</v>
      </c>
      <c r="X79" s="340">
        <v>0.9</v>
      </c>
      <c r="Y79" s="340">
        <v>0.9</v>
      </c>
      <c r="Z79" s="340">
        <v>0.9</v>
      </c>
      <c r="AA79" s="340">
        <v>0.9</v>
      </c>
      <c r="AB79" s="340">
        <v>0.9</v>
      </c>
      <c r="AC79" s="500">
        <v>0.9</v>
      </c>
    </row>
    <row r="80" spans="1:29" ht="21.75" customHeight="1" x14ac:dyDescent="0.3">
      <c r="A80" s="954"/>
      <c r="B80" s="956"/>
      <c r="C80" s="990"/>
      <c r="D80" s="894"/>
      <c r="E80" s="513" t="s">
        <v>681</v>
      </c>
      <c r="F80" s="342">
        <v>0.4</v>
      </c>
      <c r="G80" s="342">
        <v>0.4</v>
      </c>
      <c r="H80" s="342">
        <v>0.4</v>
      </c>
      <c r="I80" s="342">
        <v>0.4</v>
      </c>
      <c r="J80" s="342">
        <v>0.4</v>
      </c>
      <c r="K80" s="342">
        <v>0.9</v>
      </c>
      <c r="L80" s="342">
        <v>0.9</v>
      </c>
      <c r="M80" s="342">
        <v>0.9</v>
      </c>
      <c r="N80" s="342">
        <v>0.9</v>
      </c>
      <c r="O80" s="342">
        <v>0.9</v>
      </c>
      <c r="P80" s="342">
        <v>0.9</v>
      </c>
      <c r="Q80" s="342">
        <v>0.9</v>
      </c>
      <c r="R80" s="342">
        <v>0.9</v>
      </c>
      <c r="S80" s="342">
        <v>0.9</v>
      </c>
      <c r="T80" s="342">
        <v>0.9</v>
      </c>
      <c r="U80" s="342">
        <v>0.9</v>
      </c>
      <c r="V80" s="342">
        <v>0.9</v>
      </c>
      <c r="W80" s="342">
        <v>0.9</v>
      </c>
      <c r="X80" s="342">
        <v>0.9</v>
      </c>
      <c r="Y80" s="342">
        <v>0.9</v>
      </c>
      <c r="Z80" s="342">
        <v>0.9</v>
      </c>
      <c r="AA80" s="342">
        <v>0.9</v>
      </c>
      <c r="AB80" s="342">
        <v>0.9</v>
      </c>
      <c r="AC80" s="483">
        <v>0.9</v>
      </c>
    </row>
    <row r="81" spans="1:29" ht="21.75" customHeight="1" x14ac:dyDescent="0.3">
      <c r="A81" s="984"/>
      <c r="B81" s="956"/>
      <c r="C81" s="990"/>
      <c r="D81" s="895"/>
      <c r="E81" s="514" t="s">
        <v>682</v>
      </c>
      <c r="F81" s="344">
        <v>0.4</v>
      </c>
      <c r="G81" s="344">
        <v>0.4</v>
      </c>
      <c r="H81" s="344">
        <v>0.4</v>
      </c>
      <c r="I81" s="344">
        <v>0.4</v>
      </c>
      <c r="J81" s="344">
        <v>0.4</v>
      </c>
      <c r="K81" s="344">
        <v>0.9</v>
      </c>
      <c r="L81" s="344">
        <v>0.9</v>
      </c>
      <c r="M81" s="344">
        <v>0.9</v>
      </c>
      <c r="N81" s="344">
        <v>0.9</v>
      </c>
      <c r="O81" s="344">
        <v>0.9</v>
      </c>
      <c r="P81" s="344">
        <v>0.9</v>
      </c>
      <c r="Q81" s="344">
        <v>0.9</v>
      </c>
      <c r="R81" s="344">
        <v>0.9</v>
      </c>
      <c r="S81" s="344">
        <v>0.9</v>
      </c>
      <c r="T81" s="344">
        <v>0.9</v>
      </c>
      <c r="U81" s="344">
        <v>0.9</v>
      </c>
      <c r="V81" s="344">
        <v>0.9</v>
      </c>
      <c r="W81" s="344">
        <v>0.9</v>
      </c>
      <c r="X81" s="344">
        <v>0.9</v>
      </c>
      <c r="Y81" s="344">
        <v>0.9</v>
      </c>
      <c r="Z81" s="344">
        <v>0.9</v>
      </c>
      <c r="AA81" s="344">
        <v>0.9</v>
      </c>
      <c r="AB81" s="344">
        <v>0.9</v>
      </c>
      <c r="AC81" s="505">
        <v>0.9</v>
      </c>
    </row>
    <row r="82" spans="1:29" ht="21.75" customHeight="1" x14ac:dyDescent="0.3">
      <c r="A82" s="973" t="str">
        <f>A73</f>
        <v>Storage &amp; Loading Dock</v>
      </c>
      <c r="B82" s="976" t="str">
        <f>B73</f>
        <v>Ancillary</v>
      </c>
      <c r="C82" s="864" t="s">
        <v>687</v>
      </c>
      <c r="D82" s="978" t="s">
        <v>684</v>
      </c>
      <c r="E82" s="482" t="s">
        <v>680</v>
      </c>
      <c r="F82" s="345">
        <v>0</v>
      </c>
      <c r="G82" s="345">
        <v>0</v>
      </c>
      <c r="H82" s="345">
        <v>0</v>
      </c>
      <c r="I82" s="345">
        <v>0</v>
      </c>
      <c r="J82" s="345">
        <v>1</v>
      </c>
      <c r="K82" s="345">
        <v>1</v>
      </c>
      <c r="L82" s="345">
        <v>1</v>
      </c>
      <c r="M82" s="345">
        <v>1</v>
      </c>
      <c r="N82" s="345">
        <v>1</v>
      </c>
      <c r="O82" s="345">
        <v>1</v>
      </c>
      <c r="P82" s="345">
        <v>1</v>
      </c>
      <c r="Q82" s="345">
        <v>1</v>
      </c>
      <c r="R82" s="345">
        <v>1</v>
      </c>
      <c r="S82" s="345">
        <v>1</v>
      </c>
      <c r="T82" s="345">
        <v>1</v>
      </c>
      <c r="U82" s="345">
        <v>1</v>
      </c>
      <c r="V82" s="345">
        <v>1</v>
      </c>
      <c r="W82" s="345">
        <v>1</v>
      </c>
      <c r="X82" s="345">
        <v>1</v>
      </c>
      <c r="Y82" s="345">
        <v>1</v>
      </c>
      <c r="Z82" s="345">
        <v>1</v>
      </c>
      <c r="AA82" s="345">
        <v>1</v>
      </c>
      <c r="AB82" s="345">
        <v>1</v>
      </c>
      <c r="AC82" s="350">
        <v>1</v>
      </c>
    </row>
    <row r="83" spans="1:29" ht="21.75" customHeight="1" x14ac:dyDescent="0.3">
      <c r="A83" s="974"/>
      <c r="B83" s="956"/>
      <c r="C83" s="865"/>
      <c r="D83" s="962"/>
      <c r="E83" s="480" t="s">
        <v>681</v>
      </c>
      <c r="F83" s="346">
        <v>0</v>
      </c>
      <c r="G83" s="346">
        <v>0</v>
      </c>
      <c r="H83" s="346">
        <v>0</v>
      </c>
      <c r="I83" s="346">
        <v>0</v>
      </c>
      <c r="J83" s="346">
        <v>1</v>
      </c>
      <c r="K83" s="346">
        <v>1</v>
      </c>
      <c r="L83" s="346">
        <v>1</v>
      </c>
      <c r="M83" s="346">
        <v>1</v>
      </c>
      <c r="N83" s="346">
        <v>1</v>
      </c>
      <c r="O83" s="346">
        <v>1</v>
      </c>
      <c r="P83" s="346">
        <v>1</v>
      </c>
      <c r="Q83" s="346">
        <v>1</v>
      </c>
      <c r="R83" s="346">
        <v>1</v>
      </c>
      <c r="S83" s="346">
        <v>1</v>
      </c>
      <c r="T83" s="346">
        <v>1</v>
      </c>
      <c r="U83" s="346">
        <v>1</v>
      </c>
      <c r="V83" s="346">
        <v>1</v>
      </c>
      <c r="W83" s="346">
        <v>1</v>
      </c>
      <c r="X83" s="346">
        <v>1</v>
      </c>
      <c r="Y83" s="346">
        <v>1</v>
      </c>
      <c r="Z83" s="346">
        <v>1</v>
      </c>
      <c r="AA83" s="346">
        <v>1</v>
      </c>
      <c r="AB83" s="346">
        <v>1</v>
      </c>
      <c r="AC83" s="348">
        <v>1</v>
      </c>
    </row>
    <row r="84" spans="1:29" ht="21.75" customHeight="1" x14ac:dyDescent="0.3">
      <c r="A84" s="975"/>
      <c r="B84" s="977"/>
      <c r="C84" s="879"/>
      <c r="D84" s="979"/>
      <c r="E84" s="484" t="s">
        <v>682</v>
      </c>
      <c r="F84" s="351">
        <v>0</v>
      </c>
      <c r="G84" s="351">
        <v>0</v>
      </c>
      <c r="H84" s="351">
        <v>0</v>
      </c>
      <c r="I84" s="351">
        <v>0</v>
      </c>
      <c r="J84" s="351">
        <v>1</v>
      </c>
      <c r="K84" s="351">
        <v>1</v>
      </c>
      <c r="L84" s="351">
        <v>1</v>
      </c>
      <c r="M84" s="351">
        <v>1</v>
      </c>
      <c r="N84" s="351">
        <v>1</v>
      </c>
      <c r="O84" s="351">
        <v>1</v>
      </c>
      <c r="P84" s="351">
        <v>1</v>
      </c>
      <c r="Q84" s="351">
        <v>1</v>
      </c>
      <c r="R84" s="351">
        <v>1</v>
      </c>
      <c r="S84" s="351">
        <v>1</v>
      </c>
      <c r="T84" s="351">
        <v>1</v>
      </c>
      <c r="U84" s="351">
        <v>1</v>
      </c>
      <c r="V84" s="351">
        <v>1</v>
      </c>
      <c r="W84" s="351">
        <v>1</v>
      </c>
      <c r="X84" s="351">
        <v>1</v>
      </c>
      <c r="Y84" s="351">
        <v>1</v>
      </c>
      <c r="Z84" s="351">
        <v>1</v>
      </c>
      <c r="AA84" s="351">
        <v>1</v>
      </c>
      <c r="AB84" s="351">
        <v>1</v>
      </c>
      <c r="AC84" s="352">
        <v>1</v>
      </c>
    </row>
    <row r="85" spans="1:29" ht="21.75" customHeight="1" x14ac:dyDescent="0.3">
      <c r="A85" s="953" t="str">
        <f>A73</f>
        <v>Storage &amp; Loading Dock</v>
      </c>
      <c r="B85" s="956" t="str">
        <f>B73</f>
        <v>Ancillary</v>
      </c>
      <c r="C85" s="982" t="s">
        <v>688</v>
      </c>
      <c r="D85" s="961" t="s">
        <v>712</v>
      </c>
      <c r="E85" s="485" t="s">
        <v>680</v>
      </c>
      <c r="F85" s="471">
        <v>0</v>
      </c>
      <c r="G85" s="471">
        <v>0</v>
      </c>
      <c r="H85" s="471">
        <v>0</v>
      </c>
      <c r="I85" s="471">
        <v>0</v>
      </c>
      <c r="J85" s="471">
        <v>0</v>
      </c>
      <c r="K85" s="471">
        <v>0</v>
      </c>
      <c r="L85" s="471">
        <v>0</v>
      </c>
      <c r="M85" s="471">
        <v>0</v>
      </c>
      <c r="N85" s="471">
        <v>0</v>
      </c>
      <c r="O85" s="471">
        <v>0</v>
      </c>
      <c r="P85" s="471">
        <v>0</v>
      </c>
      <c r="Q85" s="471">
        <v>0</v>
      </c>
      <c r="R85" s="471">
        <v>0</v>
      </c>
      <c r="S85" s="471">
        <v>0</v>
      </c>
      <c r="T85" s="471">
        <v>0</v>
      </c>
      <c r="U85" s="471">
        <v>0</v>
      </c>
      <c r="V85" s="471">
        <v>0</v>
      </c>
      <c r="W85" s="471">
        <v>0</v>
      </c>
      <c r="X85" s="471">
        <v>0</v>
      </c>
      <c r="Y85" s="471">
        <v>0</v>
      </c>
      <c r="Z85" s="471">
        <v>0</v>
      </c>
      <c r="AA85" s="471">
        <v>0</v>
      </c>
      <c r="AB85" s="471">
        <v>0</v>
      </c>
      <c r="AC85" s="472">
        <v>0</v>
      </c>
    </row>
    <row r="86" spans="1:29" ht="21.75" customHeight="1" x14ac:dyDescent="0.3">
      <c r="A86" s="954"/>
      <c r="B86" s="956"/>
      <c r="C86" s="865"/>
      <c r="D86" s="962"/>
      <c r="E86" s="480" t="s">
        <v>681</v>
      </c>
      <c r="F86" s="336">
        <v>0</v>
      </c>
      <c r="G86" s="336">
        <v>0</v>
      </c>
      <c r="H86" s="336">
        <v>0</v>
      </c>
      <c r="I86" s="336">
        <v>0</v>
      </c>
      <c r="J86" s="336">
        <v>0</v>
      </c>
      <c r="K86" s="336">
        <v>0</v>
      </c>
      <c r="L86" s="336">
        <v>0</v>
      </c>
      <c r="M86" s="336">
        <v>0</v>
      </c>
      <c r="N86" s="336">
        <v>0</v>
      </c>
      <c r="O86" s="336">
        <v>0</v>
      </c>
      <c r="P86" s="336">
        <v>0</v>
      </c>
      <c r="Q86" s="336">
        <v>0</v>
      </c>
      <c r="R86" s="336">
        <v>0</v>
      </c>
      <c r="S86" s="336">
        <v>0</v>
      </c>
      <c r="T86" s="336">
        <v>0</v>
      </c>
      <c r="U86" s="336">
        <v>0</v>
      </c>
      <c r="V86" s="336">
        <v>0</v>
      </c>
      <c r="W86" s="336">
        <v>0</v>
      </c>
      <c r="X86" s="336">
        <v>0</v>
      </c>
      <c r="Y86" s="336">
        <v>0</v>
      </c>
      <c r="Z86" s="336">
        <v>0</v>
      </c>
      <c r="AA86" s="336">
        <v>0</v>
      </c>
      <c r="AB86" s="336">
        <v>0</v>
      </c>
      <c r="AC86" s="473">
        <v>0</v>
      </c>
    </row>
    <row r="87" spans="1:29" ht="21.75" customHeight="1" x14ac:dyDescent="0.3">
      <c r="A87" s="980"/>
      <c r="B87" s="981"/>
      <c r="C87" s="983"/>
      <c r="D87" s="979"/>
      <c r="E87" s="486" t="s">
        <v>682</v>
      </c>
      <c r="F87" s="474">
        <v>0</v>
      </c>
      <c r="G87" s="474">
        <v>0</v>
      </c>
      <c r="H87" s="474">
        <v>0</v>
      </c>
      <c r="I87" s="474">
        <v>0</v>
      </c>
      <c r="J87" s="474">
        <v>0</v>
      </c>
      <c r="K87" s="474">
        <v>0</v>
      </c>
      <c r="L87" s="474">
        <v>0</v>
      </c>
      <c r="M87" s="474">
        <v>0</v>
      </c>
      <c r="N87" s="474">
        <v>0</v>
      </c>
      <c r="O87" s="474">
        <v>0</v>
      </c>
      <c r="P87" s="474">
        <v>0</v>
      </c>
      <c r="Q87" s="474">
        <v>0</v>
      </c>
      <c r="R87" s="474">
        <v>0</v>
      </c>
      <c r="S87" s="474">
        <v>0</v>
      </c>
      <c r="T87" s="474">
        <v>0</v>
      </c>
      <c r="U87" s="474">
        <v>0</v>
      </c>
      <c r="V87" s="474">
        <v>0</v>
      </c>
      <c r="W87" s="474">
        <v>0</v>
      </c>
      <c r="X87" s="474">
        <v>0</v>
      </c>
      <c r="Y87" s="474">
        <v>0</v>
      </c>
      <c r="Z87" s="474">
        <v>0</v>
      </c>
      <c r="AA87" s="474">
        <v>0</v>
      </c>
      <c r="AB87" s="474">
        <v>0</v>
      </c>
      <c r="AC87" s="475">
        <v>0</v>
      </c>
    </row>
    <row r="88" spans="1:29" ht="21.75" customHeight="1" x14ac:dyDescent="0.3">
      <c r="A88" s="953" t="str">
        <f>A76</f>
        <v>Storage &amp; Loading Dock</v>
      </c>
      <c r="B88" s="985" t="str">
        <f>B73</f>
        <v>Ancillary</v>
      </c>
      <c r="C88" s="986" t="s">
        <v>269</v>
      </c>
      <c r="D88" s="961" t="s">
        <v>684</v>
      </c>
      <c r="E88" s="487" t="s">
        <v>680</v>
      </c>
      <c r="F88" s="345">
        <v>1</v>
      </c>
      <c r="G88" s="345">
        <v>1</v>
      </c>
      <c r="H88" s="345">
        <v>1</v>
      </c>
      <c r="I88" s="345">
        <v>1</v>
      </c>
      <c r="J88" s="345">
        <v>0.25</v>
      </c>
      <c r="K88" s="345">
        <v>0.25</v>
      </c>
      <c r="L88" s="345">
        <v>0.25</v>
      </c>
      <c r="M88" s="345">
        <v>0.25</v>
      </c>
      <c r="N88" s="345">
        <v>0.25</v>
      </c>
      <c r="O88" s="345">
        <v>0.25</v>
      </c>
      <c r="P88" s="345">
        <v>0.25</v>
      </c>
      <c r="Q88" s="345">
        <v>0.25</v>
      </c>
      <c r="R88" s="345">
        <v>0.25</v>
      </c>
      <c r="S88" s="345">
        <v>0.25</v>
      </c>
      <c r="T88" s="345">
        <v>0.25</v>
      </c>
      <c r="U88" s="345">
        <v>0.25</v>
      </c>
      <c r="V88" s="345">
        <v>0.25</v>
      </c>
      <c r="W88" s="345">
        <v>0.25</v>
      </c>
      <c r="X88" s="345">
        <v>0.25</v>
      </c>
      <c r="Y88" s="345">
        <v>0.25</v>
      </c>
      <c r="Z88" s="345">
        <v>0.25</v>
      </c>
      <c r="AA88" s="345">
        <v>0.25</v>
      </c>
      <c r="AB88" s="345">
        <v>0.25</v>
      </c>
      <c r="AC88" s="350">
        <v>0.25</v>
      </c>
    </row>
    <row r="89" spans="1:29" ht="21.75" customHeight="1" x14ac:dyDescent="0.3">
      <c r="A89" s="954"/>
      <c r="B89" s="956"/>
      <c r="C89" s="865"/>
      <c r="D89" s="962"/>
      <c r="E89" s="480" t="s">
        <v>681</v>
      </c>
      <c r="F89" s="346">
        <v>1</v>
      </c>
      <c r="G89" s="346">
        <v>1</v>
      </c>
      <c r="H89" s="346">
        <v>1</v>
      </c>
      <c r="I89" s="346">
        <v>1</v>
      </c>
      <c r="J89" s="346">
        <v>0.25</v>
      </c>
      <c r="K89" s="346">
        <v>0.25</v>
      </c>
      <c r="L89" s="346">
        <v>0.25</v>
      </c>
      <c r="M89" s="346">
        <v>0.25</v>
      </c>
      <c r="N89" s="346">
        <v>0.25</v>
      </c>
      <c r="O89" s="346">
        <v>0.25</v>
      </c>
      <c r="P89" s="346">
        <v>0.25</v>
      </c>
      <c r="Q89" s="346">
        <v>0.25</v>
      </c>
      <c r="R89" s="346">
        <v>0.25</v>
      </c>
      <c r="S89" s="346">
        <v>0.25</v>
      </c>
      <c r="T89" s="346">
        <v>0.25</v>
      </c>
      <c r="U89" s="346">
        <v>0.25</v>
      </c>
      <c r="V89" s="346">
        <v>0.25</v>
      </c>
      <c r="W89" s="346">
        <v>0.25</v>
      </c>
      <c r="X89" s="346">
        <v>0.25</v>
      </c>
      <c r="Y89" s="346">
        <v>0.25</v>
      </c>
      <c r="Z89" s="346">
        <v>0.25</v>
      </c>
      <c r="AA89" s="346">
        <v>0.25</v>
      </c>
      <c r="AB89" s="346">
        <v>0.25</v>
      </c>
      <c r="AC89" s="348">
        <v>0.25</v>
      </c>
    </row>
    <row r="90" spans="1:29" ht="21.75" customHeight="1" x14ac:dyDescent="0.3">
      <c r="A90" s="984"/>
      <c r="B90" s="956"/>
      <c r="C90" s="866"/>
      <c r="D90" s="987"/>
      <c r="E90" s="481" t="s">
        <v>682</v>
      </c>
      <c r="F90" s="347">
        <v>1</v>
      </c>
      <c r="G90" s="347">
        <v>1</v>
      </c>
      <c r="H90" s="347">
        <v>1</v>
      </c>
      <c r="I90" s="347">
        <v>1</v>
      </c>
      <c r="J90" s="347">
        <v>0.25</v>
      </c>
      <c r="K90" s="347">
        <v>0.25</v>
      </c>
      <c r="L90" s="347">
        <v>0.25</v>
      </c>
      <c r="M90" s="347">
        <v>0.25</v>
      </c>
      <c r="N90" s="347">
        <v>0.25</v>
      </c>
      <c r="O90" s="347">
        <v>0.25</v>
      </c>
      <c r="P90" s="347">
        <v>0.25</v>
      </c>
      <c r="Q90" s="347">
        <v>0.25</v>
      </c>
      <c r="R90" s="347">
        <v>0.25</v>
      </c>
      <c r="S90" s="347">
        <v>0.25</v>
      </c>
      <c r="T90" s="347">
        <v>0.25</v>
      </c>
      <c r="U90" s="347">
        <v>0.25</v>
      </c>
      <c r="V90" s="347">
        <v>0.25</v>
      </c>
      <c r="W90" s="347">
        <v>0.25</v>
      </c>
      <c r="X90" s="347">
        <v>0.25</v>
      </c>
      <c r="Y90" s="347">
        <v>0.25</v>
      </c>
      <c r="Z90" s="347">
        <v>0.25</v>
      </c>
      <c r="AA90" s="347">
        <v>0.25</v>
      </c>
      <c r="AB90" s="347">
        <v>0.25</v>
      </c>
      <c r="AC90" s="349">
        <v>0.25</v>
      </c>
    </row>
    <row r="91" spans="1:29" ht="21.75" customHeight="1" x14ac:dyDescent="0.3">
      <c r="A91" s="973" t="str">
        <f>A76</f>
        <v>Storage &amp; Loading Dock</v>
      </c>
      <c r="B91" s="976" t="str">
        <f>B76</f>
        <v>Ancillary</v>
      </c>
      <c r="C91" s="992" t="s">
        <v>689</v>
      </c>
      <c r="D91" s="992" t="s">
        <v>713</v>
      </c>
      <c r="E91" s="488" t="s">
        <v>680</v>
      </c>
      <c r="F91" s="362">
        <v>60</v>
      </c>
      <c r="G91" s="362">
        <v>60</v>
      </c>
      <c r="H91" s="362">
        <v>60</v>
      </c>
      <c r="I91" s="362">
        <v>60</v>
      </c>
      <c r="J91" s="362">
        <v>60</v>
      </c>
      <c r="K91" s="362">
        <v>60</v>
      </c>
      <c r="L91" s="362">
        <v>60</v>
      </c>
      <c r="M91" s="362">
        <v>60</v>
      </c>
      <c r="N91" s="362">
        <v>60</v>
      </c>
      <c r="O91" s="362">
        <v>60</v>
      </c>
      <c r="P91" s="362">
        <v>60</v>
      </c>
      <c r="Q91" s="362">
        <v>60</v>
      </c>
      <c r="R91" s="362">
        <v>60</v>
      </c>
      <c r="S91" s="362">
        <v>60</v>
      </c>
      <c r="T91" s="362">
        <v>60</v>
      </c>
      <c r="U91" s="362">
        <v>60</v>
      </c>
      <c r="V91" s="362">
        <v>60</v>
      </c>
      <c r="W91" s="362">
        <v>60</v>
      </c>
      <c r="X91" s="362">
        <v>60</v>
      </c>
      <c r="Y91" s="362">
        <v>60</v>
      </c>
      <c r="Z91" s="362">
        <v>60</v>
      </c>
      <c r="AA91" s="362">
        <v>60</v>
      </c>
      <c r="AB91" s="362">
        <v>60</v>
      </c>
      <c r="AC91" s="363">
        <v>60</v>
      </c>
    </row>
    <row r="92" spans="1:29" ht="21.75" customHeight="1" x14ac:dyDescent="0.3">
      <c r="A92" s="974"/>
      <c r="B92" s="956"/>
      <c r="C92" s="993"/>
      <c r="D92" s="993"/>
      <c r="E92" s="489" t="s">
        <v>681</v>
      </c>
      <c r="F92" s="364">
        <v>60</v>
      </c>
      <c r="G92" s="364">
        <v>60</v>
      </c>
      <c r="H92" s="364">
        <v>60</v>
      </c>
      <c r="I92" s="364">
        <v>60</v>
      </c>
      <c r="J92" s="364">
        <v>60</v>
      </c>
      <c r="K92" s="364">
        <v>60</v>
      </c>
      <c r="L92" s="364">
        <v>60</v>
      </c>
      <c r="M92" s="364">
        <v>60</v>
      </c>
      <c r="N92" s="364">
        <v>60</v>
      </c>
      <c r="O92" s="364">
        <v>60</v>
      </c>
      <c r="P92" s="364">
        <v>60</v>
      </c>
      <c r="Q92" s="364">
        <v>60</v>
      </c>
      <c r="R92" s="364">
        <v>60</v>
      </c>
      <c r="S92" s="364">
        <v>60</v>
      </c>
      <c r="T92" s="364">
        <v>60</v>
      </c>
      <c r="U92" s="364">
        <v>60</v>
      </c>
      <c r="V92" s="364">
        <v>60</v>
      </c>
      <c r="W92" s="364">
        <v>60</v>
      </c>
      <c r="X92" s="364">
        <v>60</v>
      </c>
      <c r="Y92" s="364">
        <v>60</v>
      </c>
      <c r="Z92" s="364">
        <v>60</v>
      </c>
      <c r="AA92" s="364">
        <v>60</v>
      </c>
      <c r="AB92" s="364">
        <v>60</v>
      </c>
      <c r="AC92" s="365">
        <v>60</v>
      </c>
    </row>
    <row r="93" spans="1:29" ht="21.75" customHeight="1" x14ac:dyDescent="0.3">
      <c r="A93" s="975"/>
      <c r="B93" s="977"/>
      <c r="C93" s="994"/>
      <c r="D93" s="994"/>
      <c r="E93" s="507" t="s">
        <v>682</v>
      </c>
      <c r="F93" s="508">
        <v>60</v>
      </c>
      <c r="G93" s="508">
        <v>60</v>
      </c>
      <c r="H93" s="508">
        <v>60</v>
      </c>
      <c r="I93" s="508">
        <v>60</v>
      </c>
      <c r="J93" s="508">
        <v>60</v>
      </c>
      <c r="K93" s="508">
        <v>60</v>
      </c>
      <c r="L93" s="508">
        <v>60</v>
      </c>
      <c r="M93" s="508">
        <v>60</v>
      </c>
      <c r="N93" s="508">
        <v>60</v>
      </c>
      <c r="O93" s="508">
        <v>60</v>
      </c>
      <c r="P93" s="508">
        <v>60</v>
      </c>
      <c r="Q93" s="508">
        <v>60</v>
      </c>
      <c r="R93" s="508">
        <v>60</v>
      </c>
      <c r="S93" s="508">
        <v>60</v>
      </c>
      <c r="T93" s="508">
        <v>60</v>
      </c>
      <c r="U93" s="508">
        <v>60</v>
      </c>
      <c r="V93" s="508">
        <v>60</v>
      </c>
      <c r="W93" s="508">
        <v>60</v>
      </c>
      <c r="X93" s="508">
        <v>60</v>
      </c>
      <c r="Y93" s="508">
        <v>60</v>
      </c>
      <c r="Z93" s="508">
        <v>60</v>
      </c>
      <c r="AA93" s="508">
        <v>60</v>
      </c>
      <c r="AB93" s="508">
        <v>60</v>
      </c>
      <c r="AC93" s="509">
        <v>60</v>
      </c>
    </row>
    <row r="94" spans="1:29" ht="21.75" customHeight="1" x14ac:dyDescent="0.3">
      <c r="A94" s="953" t="str">
        <f>A73</f>
        <v>Storage &amp; Loading Dock</v>
      </c>
      <c r="B94" s="956" t="str">
        <f>B73</f>
        <v>Ancillary</v>
      </c>
      <c r="C94" s="958" t="s">
        <v>690</v>
      </c>
      <c r="D94" s="961" t="s">
        <v>713</v>
      </c>
      <c r="E94" s="510" t="s">
        <v>680</v>
      </c>
      <c r="F94" s="407">
        <v>85</v>
      </c>
      <c r="G94" s="407">
        <v>85</v>
      </c>
      <c r="H94" s="407">
        <v>85</v>
      </c>
      <c r="I94" s="407">
        <v>85</v>
      </c>
      <c r="J94" s="407">
        <v>85</v>
      </c>
      <c r="K94" s="407">
        <v>85</v>
      </c>
      <c r="L94" s="407">
        <v>85</v>
      </c>
      <c r="M94" s="407">
        <v>85</v>
      </c>
      <c r="N94" s="407">
        <v>85</v>
      </c>
      <c r="O94" s="407">
        <v>85</v>
      </c>
      <c r="P94" s="407">
        <v>85</v>
      </c>
      <c r="Q94" s="407">
        <v>85</v>
      </c>
      <c r="R94" s="407">
        <v>85</v>
      </c>
      <c r="S94" s="407">
        <v>85</v>
      </c>
      <c r="T94" s="407">
        <v>85</v>
      </c>
      <c r="U94" s="407">
        <v>85</v>
      </c>
      <c r="V94" s="407">
        <v>85</v>
      </c>
      <c r="W94" s="407">
        <v>85</v>
      </c>
      <c r="X94" s="407">
        <v>85</v>
      </c>
      <c r="Y94" s="407">
        <v>85</v>
      </c>
      <c r="Z94" s="407">
        <v>85</v>
      </c>
      <c r="AA94" s="407">
        <v>85</v>
      </c>
      <c r="AB94" s="407">
        <v>85</v>
      </c>
      <c r="AC94" s="511">
        <v>85</v>
      </c>
    </row>
    <row r="95" spans="1:29" ht="21.75" customHeight="1" x14ac:dyDescent="0.3">
      <c r="A95" s="954"/>
      <c r="B95" s="956"/>
      <c r="C95" s="959"/>
      <c r="D95" s="962"/>
      <c r="E95" s="490" t="s">
        <v>681</v>
      </c>
      <c r="F95" s="360">
        <v>85</v>
      </c>
      <c r="G95" s="360">
        <v>85</v>
      </c>
      <c r="H95" s="360">
        <v>85</v>
      </c>
      <c r="I95" s="360">
        <v>85</v>
      </c>
      <c r="J95" s="360">
        <v>85</v>
      </c>
      <c r="K95" s="360">
        <v>85</v>
      </c>
      <c r="L95" s="360">
        <v>85</v>
      </c>
      <c r="M95" s="360">
        <v>85</v>
      </c>
      <c r="N95" s="360">
        <v>85</v>
      </c>
      <c r="O95" s="360">
        <v>85</v>
      </c>
      <c r="P95" s="360">
        <v>85</v>
      </c>
      <c r="Q95" s="360">
        <v>85</v>
      </c>
      <c r="R95" s="360">
        <v>85</v>
      </c>
      <c r="S95" s="360">
        <v>85</v>
      </c>
      <c r="T95" s="360">
        <v>85</v>
      </c>
      <c r="U95" s="360">
        <v>85</v>
      </c>
      <c r="V95" s="360">
        <v>85</v>
      </c>
      <c r="W95" s="360">
        <v>85</v>
      </c>
      <c r="X95" s="360">
        <v>85</v>
      </c>
      <c r="Y95" s="360">
        <v>85</v>
      </c>
      <c r="Z95" s="360">
        <v>85</v>
      </c>
      <c r="AA95" s="360">
        <v>85</v>
      </c>
      <c r="AB95" s="360">
        <v>85</v>
      </c>
      <c r="AC95" s="361">
        <v>85</v>
      </c>
    </row>
    <row r="96" spans="1:29" ht="21.75" customHeight="1" x14ac:dyDescent="0.3">
      <c r="A96" s="955"/>
      <c r="B96" s="957"/>
      <c r="C96" s="960"/>
      <c r="D96" s="963"/>
      <c r="E96" s="491" t="s">
        <v>682</v>
      </c>
      <c r="F96" s="367">
        <v>85</v>
      </c>
      <c r="G96" s="367">
        <v>85</v>
      </c>
      <c r="H96" s="367">
        <v>85</v>
      </c>
      <c r="I96" s="367">
        <v>85</v>
      </c>
      <c r="J96" s="367">
        <v>85</v>
      </c>
      <c r="K96" s="367">
        <v>85</v>
      </c>
      <c r="L96" s="367">
        <v>85</v>
      </c>
      <c r="M96" s="367">
        <v>85</v>
      </c>
      <c r="N96" s="367">
        <v>85</v>
      </c>
      <c r="O96" s="367">
        <v>85</v>
      </c>
      <c r="P96" s="367">
        <v>85</v>
      </c>
      <c r="Q96" s="367">
        <v>85</v>
      </c>
      <c r="R96" s="367">
        <v>85</v>
      </c>
      <c r="S96" s="367">
        <v>85</v>
      </c>
      <c r="T96" s="367">
        <v>85</v>
      </c>
      <c r="U96" s="367">
        <v>85</v>
      </c>
      <c r="V96" s="367">
        <v>85</v>
      </c>
      <c r="W96" s="367">
        <v>85</v>
      </c>
      <c r="X96" s="367">
        <v>85</v>
      </c>
      <c r="Y96" s="367">
        <v>85</v>
      </c>
      <c r="Z96" s="367">
        <v>85</v>
      </c>
      <c r="AA96" s="367">
        <v>85</v>
      </c>
      <c r="AB96" s="367">
        <v>85</v>
      </c>
      <c r="AC96" s="368">
        <v>85</v>
      </c>
    </row>
    <row r="97" spans="1:29" ht="21.75" customHeight="1" x14ac:dyDescent="0.3">
      <c r="A97" s="964" t="s">
        <v>182</v>
      </c>
      <c r="B97" s="967" t="s">
        <v>186</v>
      </c>
      <c r="C97" s="970" t="s">
        <v>714</v>
      </c>
      <c r="D97" s="859" t="s">
        <v>715</v>
      </c>
      <c r="E97" s="515" t="s">
        <v>680</v>
      </c>
      <c r="F97" s="492">
        <v>0</v>
      </c>
      <c r="G97" s="492">
        <v>0</v>
      </c>
      <c r="H97" s="492">
        <v>0</v>
      </c>
      <c r="I97" s="492">
        <v>0</v>
      </c>
      <c r="J97" s="492">
        <v>0.5</v>
      </c>
      <c r="K97" s="492">
        <v>0.5</v>
      </c>
      <c r="L97" s="492">
        <v>0.5</v>
      </c>
      <c r="M97" s="492">
        <v>0.5</v>
      </c>
      <c r="N97" s="492">
        <v>0.5</v>
      </c>
      <c r="O97" s="492">
        <v>0.5</v>
      </c>
      <c r="P97" s="492">
        <v>0</v>
      </c>
      <c r="Q97" s="492">
        <v>0</v>
      </c>
      <c r="R97" s="492">
        <v>0</v>
      </c>
      <c r="S97" s="492">
        <v>0</v>
      </c>
      <c r="T97" s="492">
        <v>0</v>
      </c>
      <c r="U97" s="492">
        <v>0</v>
      </c>
      <c r="V97" s="492">
        <v>0</v>
      </c>
      <c r="W97" s="492">
        <v>0</v>
      </c>
      <c r="X97" s="492">
        <v>0</v>
      </c>
      <c r="Y97" s="492">
        <v>0</v>
      </c>
      <c r="Z97" s="492">
        <v>0</v>
      </c>
      <c r="AA97" s="492">
        <v>0</v>
      </c>
      <c r="AB97" s="492">
        <v>0</v>
      </c>
      <c r="AC97" s="493">
        <v>0</v>
      </c>
    </row>
    <row r="98" spans="1:29" ht="21.75" customHeight="1" x14ac:dyDescent="0.3">
      <c r="A98" s="965"/>
      <c r="B98" s="968"/>
      <c r="C98" s="971"/>
      <c r="D98" s="860"/>
      <c r="E98" s="516" t="s">
        <v>681</v>
      </c>
      <c r="F98" s="391">
        <v>0</v>
      </c>
      <c r="G98" s="391">
        <v>0</v>
      </c>
      <c r="H98" s="391">
        <v>0</v>
      </c>
      <c r="I98" s="391">
        <v>0</v>
      </c>
      <c r="J98" s="391">
        <v>0.5</v>
      </c>
      <c r="K98" s="391">
        <v>0.5</v>
      </c>
      <c r="L98" s="391">
        <v>0.5</v>
      </c>
      <c r="M98" s="391">
        <v>0.5</v>
      </c>
      <c r="N98" s="391">
        <v>0.5</v>
      </c>
      <c r="O98" s="391">
        <v>0.5</v>
      </c>
      <c r="P98" s="391">
        <v>0</v>
      </c>
      <c r="Q98" s="391">
        <v>0</v>
      </c>
      <c r="R98" s="391">
        <v>0</v>
      </c>
      <c r="S98" s="391">
        <v>0</v>
      </c>
      <c r="T98" s="391">
        <v>0</v>
      </c>
      <c r="U98" s="391">
        <v>0</v>
      </c>
      <c r="V98" s="391">
        <v>0</v>
      </c>
      <c r="W98" s="391">
        <v>0</v>
      </c>
      <c r="X98" s="391">
        <v>0</v>
      </c>
      <c r="Y98" s="391">
        <v>0</v>
      </c>
      <c r="Z98" s="391">
        <v>0</v>
      </c>
      <c r="AA98" s="391">
        <v>0</v>
      </c>
      <c r="AB98" s="391">
        <v>0</v>
      </c>
      <c r="AC98" s="392">
        <v>0</v>
      </c>
    </row>
    <row r="99" spans="1:29" ht="21.75" customHeight="1" x14ac:dyDescent="0.3">
      <c r="A99" s="966"/>
      <c r="B99" s="969"/>
      <c r="C99" s="972"/>
      <c r="D99" s="861"/>
      <c r="E99" s="517" t="s">
        <v>682</v>
      </c>
      <c r="F99" s="417">
        <v>0</v>
      </c>
      <c r="G99" s="417">
        <v>0</v>
      </c>
      <c r="H99" s="417">
        <v>0</v>
      </c>
      <c r="I99" s="417">
        <v>0</v>
      </c>
      <c r="J99" s="417">
        <v>0.5</v>
      </c>
      <c r="K99" s="417">
        <v>0.5</v>
      </c>
      <c r="L99" s="417">
        <v>0.5</v>
      </c>
      <c r="M99" s="417">
        <v>0.5</v>
      </c>
      <c r="N99" s="417">
        <v>0.5</v>
      </c>
      <c r="O99" s="417">
        <v>0.5</v>
      </c>
      <c r="P99" s="417">
        <v>0</v>
      </c>
      <c r="Q99" s="417">
        <v>0</v>
      </c>
      <c r="R99" s="417">
        <v>0</v>
      </c>
      <c r="S99" s="417">
        <v>0</v>
      </c>
      <c r="T99" s="417">
        <v>0</v>
      </c>
      <c r="U99" s="417">
        <v>0</v>
      </c>
      <c r="V99" s="417">
        <v>0</v>
      </c>
      <c r="W99" s="417">
        <v>0</v>
      </c>
      <c r="X99" s="417">
        <v>0</v>
      </c>
      <c r="Y99" s="417">
        <v>0</v>
      </c>
      <c r="Z99" s="417">
        <v>0</v>
      </c>
      <c r="AA99" s="417">
        <v>0</v>
      </c>
      <c r="AB99" s="417">
        <v>0</v>
      </c>
      <c r="AC99" s="418">
        <v>0</v>
      </c>
    </row>
    <row r="100" spans="1:29" ht="15.75" customHeight="1" x14ac:dyDescent="0.3">
      <c r="A100" s="947" t="s">
        <v>716</v>
      </c>
      <c r="B100" s="948"/>
      <c r="C100" s="948"/>
      <c r="D100" s="948"/>
      <c r="E100" s="881"/>
      <c r="F100" s="881"/>
      <c r="G100" s="881"/>
      <c r="H100" s="881"/>
      <c r="I100" s="881"/>
      <c r="J100" s="881"/>
      <c r="K100" s="881"/>
      <c r="L100" s="881"/>
      <c r="M100" s="881"/>
      <c r="N100" s="881"/>
      <c r="O100" s="881"/>
      <c r="P100" s="881"/>
      <c r="Q100" s="881"/>
      <c r="R100" s="881"/>
      <c r="S100" s="881"/>
      <c r="T100" s="881"/>
      <c r="U100" s="881"/>
      <c r="V100" s="881"/>
      <c r="W100" s="881"/>
      <c r="X100" s="881"/>
      <c r="Y100" s="881"/>
      <c r="Z100" s="881"/>
      <c r="AA100" s="881"/>
      <c r="AB100" s="881"/>
      <c r="AC100" s="882"/>
    </row>
    <row r="101" spans="1:29" ht="16.5" customHeight="1" x14ac:dyDescent="0.3">
      <c r="A101" s="915"/>
      <c r="B101" s="951" t="s">
        <v>117</v>
      </c>
      <c r="C101" s="876" t="s">
        <v>717</v>
      </c>
      <c r="D101" s="924"/>
      <c r="E101" s="231" t="s">
        <v>680</v>
      </c>
      <c r="F101" s="237">
        <v>1</v>
      </c>
      <c r="G101" s="237">
        <v>1</v>
      </c>
      <c r="H101" s="237">
        <v>1</v>
      </c>
      <c r="I101" s="237">
        <v>1</v>
      </c>
      <c r="J101" s="237">
        <v>1</v>
      </c>
      <c r="K101" s="237">
        <v>1</v>
      </c>
      <c r="L101" s="237">
        <v>1</v>
      </c>
      <c r="M101" s="237">
        <v>1</v>
      </c>
      <c r="N101" s="237">
        <v>1</v>
      </c>
      <c r="O101" s="237">
        <v>1</v>
      </c>
      <c r="P101" s="237">
        <v>1</v>
      </c>
      <c r="Q101" s="237">
        <v>1</v>
      </c>
      <c r="R101" s="237">
        <v>1</v>
      </c>
      <c r="S101" s="237">
        <v>1</v>
      </c>
      <c r="T101" s="237">
        <v>1</v>
      </c>
      <c r="U101" s="237">
        <v>1</v>
      </c>
      <c r="V101" s="237">
        <v>1</v>
      </c>
      <c r="W101" s="237">
        <v>1</v>
      </c>
      <c r="X101" s="237">
        <v>1</v>
      </c>
      <c r="Y101" s="237">
        <v>1</v>
      </c>
      <c r="Z101" s="237">
        <v>1</v>
      </c>
      <c r="AA101" s="237">
        <v>1</v>
      </c>
      <c r="AB101" s="237">
        <v>1</v>
      </c>
      <c r="AC101" s="238">
        <v>1</v>
      </c>
    </row>
    <row r="102" spans="1:29" ht="16.5" customHeight="1" x14ac:dyDescent="0.3">
      <c r="A102" s="949"/>
      <c r="B102" s="940"/>
      <c r="C102" s="918"/>
      <c r="D102" s="925"/>
      <c r="E102" s="230" t="s">
        <v>681</v>
      </c>
      <c r="F102" s="228">
        <v>1</v>
      </c>
      <c r="G102" s="228">
        <v>1</v>
      </c>
      <c r="H102" s="228">
        <v>1</v>
      </c>
      <c r="I102" s="228">
        <v>1</v>
      </c>
      <c r="J102" s="228">
        <v>1</v>
      </c>
      <c r="K102" s="228">
        <v>1</v>
      </c>
      <c r="L102" s="228">
        <v>1</v>
      </c>
      <c r="M102" s="228">
        <v>1</v>
      </c>
      <c r="N102" s="228">
        <v>1</v>
      </c>
      <c r="O102" s="228">
        <v>1</v>
      </c>
      <c r="P102" s="228">
        <v>1</v>
      </c>
      <c r="Q102" s="228">
        <v>1</v>
      </c>
      <c r="R102" s="228">
        <v>1</v>
      </c>
      <c r="S102" s="228">
        <v>1</v>
      </c>
      <c r="T102" s="228">
        <v>1</v>
      </c>
      <c r="U102" s="228">
        <v>1</v>
      </c>
      <c r="V102" s="228">
        <v>1</v>
      </c>
      <c r="W102" s="228">
        <v>1</v>
      </c>
      <c r="X102" s="228">
        <v>1</v>
      </c>
      <c r="Y102" s="228">
        <v>1</v>
      </c>
      <c r="Z102" s="228">
        <v>1</v>
      </c>
      <c r="AA102" s="228">
        <v>1</v>
      </c>
      <c r="AB102" s="228">
        <v>1</v>
      </c>
      <c r="AC102" s="235">
        <v>1</v>
      </c>
    </row>
    <row r="103" spans="1:29" ht="16.5" customHeight="1" x14ac:dyDescent="0.3">
      <c r="A103" s="950"/>
      <c r="B103" s="952"/>
      <c r="C103" s="919"/>
      <c r="D103" s="926"/>
      <c r="E103" s="232" t="s">
        <v>682</v>
      </c>
      <c r="F103" s="236">
        <v>1</v>
      </c>
      <c r="G103" s="236">
        <v>1</v>
      </c>
      <c r="H103" s="236">
        <v>1</v>
      </c>
      <c r="I103" s="236">
        <v>1</v>
      </c>
      <c r="J103" s="236">
        <v>1</v>
      </c>
      <c r="K103" s="236">
        <v>1</v>
      </c>
      <c r="L103" s="236">
        <v>1</v>
      </c>
      <c r="M103" s="236">
        <v>1</v>
      </c>
      <c r="N103" s="236">
        <v>1</v>
      </c>
      <c r="O103" s="236">
        <v>1</v>
      </c>
      <c r="P103" s="236">
        <v>1</v>
      </c>
      <c r="Q103" s="236">
        <v>1</v>
      </c>
      <c r="R103" s="236">
        <v>1</v>
      </c>
      <c r="S103" s="236">
        <v>1</v>
      </c>
      <c r="T103" s="236">
        <v>1</v>
      </c>
      <c r="U103" s="236">
        <v>1</v>
      </c>
      <c r="V103" s="236">
        <v>1</v>
      </c>
      <c r="W103" s="236">
        <v>1</v>
      </c>
      <c r="X103" s="236">
        <v>1</v>
      </c>
      <c r="Y103" s="236">
        <v>1</v>
      </c>
      <c r="Z103" s="236">
        <v>1</v>
      </c>
      <c r="AA103" s="236">
        <v>1</v>
      </c>
      <c r="AB103" s="236">
        <v>1</v>
      </c>
      <c r="AC103" s="246">
        <v>1</v>
      </c>
    </row>
    <row r="104" spans="1:29" x14ac:dyDescent="0.3">
      <c r="A104" s="936"/>
      <c r="B104" s="939" t="s">
        <v>117</v>
      </c>
      <c r="C104" s="942" t="s">
        <v>718</v>
      </c>
      <c r="D104" s="943"/>
      <c r="E104" s="241" t="s">
        <v>680</v>
      </c>
      <c r="F104" s="242">
        <v>0</v>
      </c>
      <c r="G104" s="242">
        <v>0</v>
      </c>
      <c r="H104" s="242">
        <v>0</v>
      </c>
      <c r="I104" s="242">
        <v>0</v>
      </c>
      <c r="J104" s="242">
        <v>0</v>
      </c>
      <c r="K104" s="242">
        <v>1</v>
      </c>
      <c r="L104" s="242">
        <v>1</v>
      </c>
      <c r="M104" s="242">
        <v>1</v>
      </c>
      <c r="N104" s="242">
        <v>1</v>
      </c>
      <c r="O104" s="242">
        <v>1</v>
      </c>
      <c r="P104" s="242">
        <v>1</v>
      </c>
      <c r="Q104" s="242">
        <v>1</v>
      </c>
      <c r="R104" s="242">
        <v>1</v>
      </c>
      <c r="S104" s="242">
        <v>1</v>
      </c>
      <c r="T104" s="242">
        <v>1</v>
      </c>
      <c r="U104" s="242">
        <v>1</v>
      </c>
      <c r="V104" s="242">
        <v>1</v>
      </c>
      <c r="W104" s="242">
        <v>1</v>
      </c>
      <c r="X104" s="242">
        <v>1</v>
      </c>
      <c r="Y104" s="242">
        <v>1</v>
      </c>
      <c r="Z104" s="242">
        <v>1</v>
      </c>
      <c r="AA104" s="242">
        <v>1</v>
      </c>
      <c r="AB104" s="242">
        <v>0</v>
      </c>
      <c r="AC104" s="243">
        <v>0</v>
      </c>
    </row>
    <row r="105" spans="1:29" x14ac:dyDescent="0.3">
      <c r="A105" s="937"/>
      <c r="B105" s="940"/>
      <c r="C105" s="918"/>
      <c r="D105" s="943"/>
      <c r="E105" s="244" t="s">
        <v>681</v>
      </c>
      <c r="F105" s="228">
        <v>0</v>
      </c>
      <c r="G105" s="228">
        <v>0</v>
      </c>
      <c r="H105" s="228">
        <v>0</v>
      </c>
      <c r="I105" s="228">
        <v>0</v>
      </c>
      <c r="J105" s="228">
        <v>0</v>
      </c>
      <c r="K105" s="228">
        <v>1</v>
      </c>
      <c r="L105" s="228">
        <v>1</v>
      </c>
      <c r="M105" s="228">
        <v>1</v>
      </c>
      <c r="N105" s="228">
        <v>1</v>
      </c>
      <c r="O105" s="228">
        <v>1</v>
      </c>
      <c r="P105" s="228">
        <v>1</v>
      </c>
      <c r="Q105" s="228">
        <v>1</v>
      </c>
      <c r="R105" s="228">
        <v>1</v>
      </c>
      <c r="S105" s="228">
        <v>1</v>
      </c>
      <c r="T105" s="228">
        <v>1</v>
      </c>
      <c r="U105" s="228">
        <v>1</v>
      </c>
      <c r="V105" s="228">
        <v>1</v>
      </c>
      <c r="W105" s="228">
        <v>1</v>
      </c>
      <c r="X105" s="228">
        <v>1</v>
      </c>
      <c r="Y105" s="228">
        <v>1</v>
      </c>
      <c r="Z105" s="228">
        <v>1</v>
      </c>
      <c r="AA105" s="228">
        <v>1</v>
      </c>
      <c r="AB105" s="228">
        <v>1</v>
      </c>
      <c r="AC105" s="247">
        <v>1</v>
      </c>
    </row>
    <row r="106" spans="1:29" x14ac:dyDescent="0.3">
      <c r="A106" s="938"/>
      <c r="B106" s="941"/>
      <c r="C106" s="918"/>
      <c r="D106" s="943"/>
      <c r="E106" s="245" t="s">
        <v>682</v>
      </c>
      <c r="F106" s="248">
        <v>0</v>
      </c>
      <c r="G106" s="248">
        <v>0</v>
      </c>
      <c r="H106" s="248">
        <v>0</v>
      </c>
      <c r="I106" s="248">
        <v>0</v>
      </c>
      <c r="J106" s="248">
        <v>0</v>
      </c>
      <c r="K106" s="248">
        <v>1</v>
      </c>
      <c r="L106" s="248">
        <v>1</v>
      </c>
      <c r="M106" s="248">
        <v>1</v>
      </c>
      <c r="N106" s="248">
        <v>1</v>
      </c>
      <c r="O106" s="248">
        <v>1</v>
      </c>
      <c r="P106" s="248">
        <v>1</v>
      </c>
      <c r="Q106" s="248">
        <v>1</v>
      </c>
      <c r="R106" s="248">
        <v>1</v>
      </c>
      <c r="S106" s="248">
        <v>1</v>
      </c>
      <c r="T106" s="248">
        <v>1</v>
      </c>
      <c r="U106" s="248">
        <v>1</v>
      </c>
      <c r="V106" s="248">
        <v>1</v>
      </c>
      <c r="W106" s="248">
        <v>1</v>
      </c>
      <c r="X106" s="248">
        <v>1</v>
      </c>
      <c r="Y106" s="248">
        <v>1</v>
      </c>
      <c r="Z106" s="248">
        <v>1</v>
      </c>
      <c r="AA106" s="248">
        <v>1</v>
      </c>
      <c r="AB106" s="248">
        <v>1</v>
      </c>
      <c r="AC106" s="249">
        <v>1</v>
      </c>
    </row>
    <row r="107" spans="1:29" x14ac:dyDescent="0.3">
      <c r="A107" s="928" t="s">
        <v>719</v>
      </c>
      <c r="B107" s="930" t="s">
        <v>117</v>
      </c>
      <c r="C107" s="930" t="s">
        <v>720</v>
      </c>
      <c r="D107" s="931" t="s">
        <v>721</v>
      </c>
      <c r="E107" s="231" t="s">
        <v>680</v>
      </c>
      <c r="F107" s="237">
        <v>131.9</v>
      </c>
      <c r="G107" s="237">
        <v>131.9</v>
      </c>
      <c r="H107" s="237">
        <v>131.9</v>
      </c>
      <c r="I107" s="237">
        <v>131.9</v>
      </c>
      <c r="J107" s="237">
        <v>131.9</v>
      </c>
      <c r="K107" s="237">
        <v>131.9</v>
      </c>
      <c r="L107" s="237">
        <v>131.9</v>
      </c>
      <c r="M107" s="237">
        <v>131.9</v>
      </c>
      <c r="N107" s="237">
        <v>131.9</v>
      </c>
      <c r="O107" s="237">
        <v>131.9</v>
      </c>
      <c r="P107" s="237">
        <v>131.9</v>
      </c>
      <c r="Q107" s="237">
        <v>131.9</v>
      </c>
      <c r="R107" s="237">
        <v>131.9</v>
      </c>
      <c r="S107" s="237">
        <v>131.9</v>
      </c>
      <c r="T107" s="237">
        <v>131.9</v>
      </c>
      <c r="U107" s="237">
        <v>131.9</v>
      </c>
      <c r="V107" s="237">
        <v>131.9</v>
      </c>
      <c r="W107" s="237">
        <v>131.9</v>
      </c>
      <c r="X107" s="237">
        <v>131.9</v>
      </c>
      <c r="Y107" s="237">
        <v>131.9</v>
      </c>
      <c r="Z107" s="237">
        <v>131.9</v>
      </c>
      <c r="AA107" s="237">
        <v>131.9</v>
      </c>
      <c r="AB107" s="237">
        <v>131.9</v>
      </c>
      <c r="AC107" s="238">
        <v>131.9</v>
      </c>
    </row>
    <row r="108" spans="1:29" x14ac:dyDescent="0.3">
      <c r="A108" s="929"/>
      <c r="B108" s="918"/>
      <c r="C108" s="918"/>
      <c r="D108" s="932"/>
      <c r="E108" s="230" t="s">
        <v>681</v>
      </c>
      <c r="F108" s="228">
        <v>131.9</v>
      </c>
      <c r="G108" s="228">
        <v>131.9</v>
      </c>
      <c r="H108" s="228">
        <v>131.9</v>
      </c>
      <c r="I108" s="228">
        <v>131.9</v>
      </c>
      <c r="J108" s="228">
        <v>131.9</v>
      </c>
      <c r="K108" s="228">
        <v>131.9</v>
      </c>
      <c r="L108" s="228">
        <v>131.9</v>
      </c>
      <c r="M108" s="228">
        <v>131.9</v>
      </c>
      <c r="N108" s="228">
        <v>131.9</v>
      </c>
      <c r="O108" s="228">
        <v>131.9</v>
      </c>
      <c r="P108" s="228">
        <v>131.9</v>
      </c>
      <c r="Q108" s="228">
        <v>131.9</v>
      </c>
      <c r="R108" s="228">
        <v>131.9</v>
      </c>
      <c r="S108" s="228">
        <v>131.9</v>
      </c>
      <c r="T108" s="228">
        <v>131.9</v>
      </c>
      <c r="U108" s="228">
        <v>131.9</v>
      </c>
      <c r="V108" s="228">
        <v>131.9</v>
      </c>
      <c r="W108" s="228">
        <v>131.9</v>
      </c>
      <c r="X108" s="228">
        <v>131.9</v>
      </c>
      <c r="Y108" s="228">
        <v>131.9</v>
      </c>
      <c r="Z108" s="228">
        <v>131.9</v>
      </c>
      <c r="AA108" s="228">
        <v>131.9</v>
      </c>
      <c r="AB108" s="228">
        <v>131.9</v>
      </c>
      <c r="AC108" s="235">
        <v>131.9</v>
      </c>
    </row>
    <row r="109" spans="1:29" x14ac:dyDescent="0.3">
      <c r="A109" s="944"/>
      <c r="B109" s="945"/>
      <c r="C109" s="945"/>
      <c r="D109" s="946"/>
      <c r="E109" s="232" t="s">
        <v>682</v>
      </c>
      <c r="F109" s="236">
        <v>131.9</v>
      </c>
      <c r="G109" s="236">
        <v>131.9</v>
      </c>
      <c r="H109" s="236">
        <v>131.9</v>
      </c>
      <c r="I109" s="236">
        <v>131.9</v>
      </c>
      <c r="J109" s="236">
        <v>131.9</v>
      </c>
      <c r="K109" s="236">
        <v>131.9</v>
      </c>
      <c r="L109" s="236">
        <v>131.9</v>
      </c>
      <c r="M109" s="236">
        <v>131.9</v>
      </c>
      <c r="N109" s="236">
        <v>131.9</v>
      </c>
      <c r="O109" s="236">
        <v>131.9</v>
      </c>
      <c r="P109" s="236">
        <v>131.9</v>
      </c>
      <c r="Q109" s="236">
        <v>131.9</v>
      </c>
      <c r="R109" s="236">
        <v>131.9</v>
      </c>
      <c r="S109" s="236">
        <v>131.9</v>
      </c>
      <c r="T109" s="236">
        <v>131.9</v>
      </c>
      <c r="U109" s="236">
        <v>131.9</v>
      </c>
      <c r="V109" s="236">
        <v>131.9</v>
      </c>
      <c r="W109" s="236">
        <v>131.9</v>
      </c>
      <c r="X109" s="236">
        <v>131.9</v>
      </c>
      <c r="Y109" s="236">
        <v>131.9</v>
      </c>
      <c r="Z109" s="236">
        <v>131.9</v>
      </c>
      <c r="AA109" s="236">
        <v>131.9</v>
      </c>
      <c r="AB109" s="236">
        <v>131.9</v>
      </c>
      <c r="AC109" s="246">
        <v>131.9</v>
      </c>
    </row>
    <row r="110" spans="1:29" x14ac:dyDescent="0.3">
      <c r="A110" s="928" t="s">
        <v>141</v>
      </c>
      <c r="B110" s="930" t="s">
        <v>117</v>
      </c>
      <c r="C110" s="930" t="s">
        <v>722</v>
      </c>
      <c r="D110" s="931" t="s">
        <v>721</v>
      </c>
      <c r="E110" s="229" t="s">
        <v>680</v>
      </c>
      <c r="F110" s="233">
        <v>146.5</v>
      </c>
      <c r="G110" s="233">
        <v>146.5</v>
      </c>
      <c r="H110" s="233">
        <v>146.5</v>
      </c>
      <c r="I110" s="233">
        <v>146.5</v>
      </c>
      <c r="J110" s="233">
        <v>146.5</v>
      </c>
      <c r="K110" s="233">
        <v>146.5</v>
      </c>
      <c r="L110" s="233">
        <v>146.5</v>
      </c>
      <c r="M110" s="233">
        <v>146.5</v>
      </c>
      <c r="N110" s="233">
        <v>146.5</v>
      </c>
      <c r="O110" s="233">
        <v>146.5</v>
      </c>
      <c r="P110" s="233">
        <v>146.5</v>
      </c>
      <c r="Q110" s="233">
        <v>146.5</v>
      </c>
      <c r="R110" s="233">
        <v>146.5</v>
      </c>
      <c r="S110" s="233">
        <v>146.5</v>
      </c>
      <c r="T110" s="233">
        <v>146.5</v>
      </c>
      <c r="U110" s="233">
        <v>146.5</v>
      </c>
      <c r="V110" s="233">
        <v>146.5</v>
      </c>
      <c r="W110" s="233">
        <v>146.5</v>
      </c>
      <c r="X110" s="233">
        <v>146.5</v>
      </c>
      <c r="Y110" s="233">
        <v>146.5</v>
      </c>
      <c r="Z110" s="233">
        <v>146.5</v>
      </c>
      <c r="AA110" s="233">
        <v>146.5</v>
      </c>
      <c r="AB110" s="233">
        <v>146.5</v>
      </c>
      <c r="AC110" s="234">
        <v>146.5</v>
      </c>
    </row>
    <row r="111" spans="1:29" x14ac:dyDescent="0.3">
      <c r="A111" s="929"/>
      <c r="B111" s="918"/>
      <c r="C111" s="918"/>
      <c r="D111" s="932"/>
      <c r="E111" s="230" t="s">
        <v>681</v>
      </c>
      <c r="F111" s="228">
        <v>146.5</v>
      </c>
      <c r="G111" s="228">
        <v>146.5</v>
      </c>
      <c r="H111" s="228">
        <v>146.5</v>
      </c>
      <c r="I111" s="228">
        <v>146.5</v>
      </c>
      <c r="J111" s="228">
        <v>146.5</v>
      </c>
      <c r="K111" s="228">
        <v>146.5</v>
      </c>
      <c r="L111" s="228">
        <v>146.5</v>
      </c>
      <c r="M111" s="228">
        <v>146.5</v>
      </c>
      <c r="N111" s="228">
        <v>146.5</v>
      </c>
      <c r="O111" s="228">
        <v>146.5</v>
      </c>
      <c r="P111" s="228">
        <v>146.5</v>
      </c>
      <c r="Q111" s="228">
        <v>146.5</v>
      </c>
      <c r="R111" s="228">
        <v>146.5</v>
      </c>
      <c r="S111" s="228">
        <v>146.5</v>
      </c>
      <c r="T111" s="228">
        <v>146.5</v>
      </c>
      <c r="U111" s="228">
        <v>146.5</v>
      </c>
      <c r="V111" s="228">
        <v>146.5</v>
      </c>
      <c r="W111" s="228">
        <v>146.5</v>
      </c>
      <c r="X111" s="228">
        <v>146.5</v>
      </c>
      <c r="Y111" s="228">
        <v>146.5</v>
      </c>
      <c r="Z111" s="228">
        <v>146.5</v>
      </c>
      <c r="AA111" s="228">
        <v>146.5</v>
      </c>
      <c r="AB111" s="228">
        <v>146.5</v>
      </c>
      <c r="AC111" s="235">
        <v>146.5</v>
      </c>
    </row>
    <row r="112" spans="1:29" x14ac:dyDescent="0.3">
      <c r="A112" s="929"/>
      <c r="B112" s="918"/>
      <c r="C112" s="918"/>
      <c r="D112" s="933"/>
      <c r="E112" s="232" t="s">
        <v>682</v>
      </c>
      <c r="F112" s="236">
        <v>146.5</v>
      </c>
      <c r="G112" s="236">
        <v>146.5</v>
      </c>
      <c r="H112" s="236">
        <v>146.5</v>
      </c>
      <c r="I112" s="236">
        <v>146.5</v>
      </c>
      <c r="J112" s="236">
        <v>146.5</v>
      </c>
      <c r="K112" s="236">
        <v>146.5</v>
      </c>
      <c r="L112" s="236">
        <v>146.5</v>
      </c>
      <c r="M112" s="236">
        <v>146.5</v>
      </c>
      <c r="N112" s="236">
        <v>146.5</v>
      </c>
      <c r="O112" s="236">
        <v>146.5</v>
      </c>
      <c r="P112" s="236">
        <v>146.5</v>
      </c>
      <c r="Q112" s="236">
        <v>146.5</v>
      </c>
      <c r="R112" s="236">
        <v>146.5</v>
      </c>
      <c r="S112" s="236">
        <v>146.5</v>
      </c>
      <c r="T112" s="236">
        <v>146.5</v>
      </c>
      <c r="U112" s="236">
        <v>146.5</v>
      </c>
      <c r="V112" s="236">
        <v>146.5</v>
      </c>
      <c r="W112" s="236">
        <v>146.5</v>
      </c>
      <c r="X112" s="236">
        <v>146.5</v>
      </c>
      <c r="Y112" s="236">
        <v>146.5</v>
      </c>
      <c r="Z112" s="236">
        <v>146.5</v>
      </c>
      <c r="AA112" s="236">
        <v>146.5</v>
      </c>
      <c r="AB112" s="236">
        <v>146.5</v>
      </c>
      <c r="AC112" s="246">
        <v>146.5</v>
      </c>
    </row>
    <row r="113" spans="1:29" x14ac:dyDescent="0.3">
      <c r="A113" s="915" t="s">
        <v>723</v>
      </c>
      <c r="B113" s="876" t="s">
        <v>117</v>
      </c>
      <c r="C113" s="876" t="s">
        <v>724</v>
      </c>
      <c r="D113" s="920" t="s">
        <v>721</v>
      </c>
      <c r="E113" s="262" t="s">
        <v>680</v>
      </c>
      <c r="F113" s="242">
        <v>219.8</v>
      </c>
      <c r="G113" s="242">
        <v>219.8</v>
      </c>
      <c r="H113" s="242">
        <v>219.8</v>
      </c>
      <c r="I113" s="242">
        <v>219.8</v>
      </c>
      <c r="J113" s="242">
        <v>219.8</v>
      </c>
      <c r="K113" s="242">
        <v>219.8</v>
      </c>
      <c r="L113" s="242">
        <v>219.8</v>
      </c>
      <c r="M113" s="242">
        <v>219.8</v>
      </c>
      <c r="N113" s="242">
        <v>219.8</v>
      </c>
      <c r="O113" s="242">
        <v>219.8</v>
      </c>
      <c r="P113" s="242">
        <v>219.8</v>
      </c>
      <c r="Q113" s="242">
        <v>219.8</v>
      </c>
      <c r="R113" s="242">
        <v>219.8</v>
      </c>
      <c r="S113" s="242">
        <v>219.8</v>
      </c>
      <c r="T113" s="242">
        <v>219.8</v>
      </c>
      <c r="U113" s="242">
        <v>219.8</v>
      </c>
      <c r="V113" s="242">
        <v>219.8</v>
      </c>
      <c r="W113" s="242">
        <v>219.8</v>
      </c>
      <c r="X113" s="242">
        <v>219.8</v>
      </c>
      <c r="Y113" s="242">
        <v>219.8</v>
      </c>
      <c r="Z113" s="242">
        <v>219.8</v>
      </c>
      <c r="AA113" s="242">
        <v>219.8</v>
      </c>
      <c r="AB113" s="242">
        <v>219.8</v>
      </c>
      <c r="AC113" s="243">
        <v>219.8</v>
      </c>
    </row>
    <row r="114" spans="1:29" x14ac:dyDescent="0.3">
      <c r="A114" s="916"/>
      <c r="B114" s="918"/>
      <c r="C114" s="918"/>
      <c r="D114" s="921"/>
      <c r="E114" s="230" t="s">
        <v>681</v>
      </c>
      <c r="F114" s="228">
        <v>219.8</v>
      </c>
      <c r="G114" s="228">
        <v>219.8</v>
      </c>
      <c r="H114" s="228">
        <v>219.8</v>
      </c>
      <c r="I114" s="228">
        <v>219.8</v>
      </c>
      <c r="J114" s="228">
        <v>219.8</v>
      </c>
      <c r="K114" s="228">
        <v>219.8</v>
      </c>
      <c r="L114" s="228">
        <v>219.8</v>
      </c>
      <c r="M114" s="228">
        <v>219.8</v>
      </c>
      <c r="N114" s="228">
        <v>219.8</v>
      </c>
      <c r="O114" s="228">
        <v>219.8</v>
      </c>
      <c r="P114" s="228">
        <v>219.8</v>
      </c>
      <c r="Q114" s="228">
        <v>219.8</v>
      </c>
      <c r="R114" s="228">
        <v>219.8</v>
      </c>
      <c r="S114" s="228">
        <v>219.8</v>
      </c>
      <c r="T114" s="228">
        <v>219.8</v>
      </c>
      <c r="U114" s="228">
        <v>219.8</v>
      </c>
      <c r="V114" s="228">
        <v>219.8</v>
      </c>
      <c r="W114" s="228">
        <v>219.8</v>
      </c>
      <c r="X114" s="228">
        <v>219.8</v>
      </c>
      <c r="Y114" s="228">
        <v>219.8</v>
      </c>
      <c r="Z114" s="228">
        <v>219.8</v>
      </c>
      <c r="AA114" s="228">
        <v>219.8</v>
      </c>
      <c r="AB114" s="228">
        <v>219.8</v>
      </c>
      <c r="AC114" s="247">
        <v>219.8</v>
      </c>
    </row>
    <row r="115" spans="1:29" x14ac:dyDescent="0.3">
      <c r="A115" s="916"/>
      <c r="B115" s="918"/>
      <c r="C115" s="918"/>
      <c r="D115" s="934"/>
      <c r="E115" s="232" t="s">
        <v>682</v>
      </c>
      <c r="F115" s="236">
        <v>219.8</v>
      </c>
      <c r="G115" s="236">
        <v>219.8</v>
      </c>
      <c r="H115" s="236">
        <v>219.8</v>
      </c>
      <c r="I115" s="236">
        <v>219.8</v>
      </c>
      <c r="J115" s="236">
        <v>219.8</v>
      </c>
      <c r="K115" s="236">
        <v>219.8</v>
      </c>
      <c r="L115" s="236">
        <v>219.8</v>
      </c>
      <c r="M115" s="236">
        <v>219.8</v>
      </c>
      <c r="N115" s="236">
        <v>219.8</v>
      </c>
      <c r="O115" s="236">
        <v>219.8</v>
      </c>
      <c r="P115" s="236">
        <v>219.8</v>
      </c>
      <c r="Q115" s="236">
        <v>219.8</v>
      </c>
      <c r="R115" s="236">
        <v>219.8</v>
      </c>
      <c r="S115" s="236">
        <v>219.8</v>
      </c>
      <c r="T115" s="236">
        <v>219.8</v>
      </c>
      <c r="U115" s="236">
        <v>219.8</v>
      </c>
      <c r="V115" s="236">
        <v>219.8</v>
      </c>
      <c r="W115" s="236">
        <v>219.8</v>
      </c>
      <c r="X115" s="236">
        <v>219.8</v>
      </c>
      <c r="Y115" s="236">
        <v>219.8</v>
      </c>
      <c r="Z115" s="236">
        <v>219.8</v>
      </c>
      <c r="AA115" s="236">
        <v>219.8</v>
      </c>
      <c r="AB115" s="236">
        <v>219.8</v>
      </c>
      <c r="AC115" s="261">
        <v>219.8</v>
      </c>
    </row>
    <row r="116" spans="1:29" x14ac:dyDescent="0.3">
      <c r="A116" s="915" t="s">
        <v>182</v>
      </c>
      <c r="B116" s="876" t="s">
        <v>117</v>
      </c>
      <c r="C116" s="876" t="s">
        <v>725</v>
      </c>
      <c r="D116" s="920" t="s">
        <v>721</v>
      </c>
      <c r="E116" s="262" t="s">
        <v>680</v>
      </c>
      <c r="F116" s="242">
        <v>219.8</v>
      </c>
      <c r="G116" s="242">
        <v>219.8</v>
      </c>
      <c r="H116" s="242">
        <v>219.8</v>
      </c>
      <c r="I116" s="242">
        <v>219.8</v>
      </c>
      <c r="J116" s="242">
        <v>219.8</v>
      </c>
      <c r="K116" s="242">
        <v>219.8</v>
      </c>
      <c r="L116" s="242">
        <v>219.8</v>
      </c>
      <c r="M116" s="242">
        <v>219.8</v>
      </c>
      <c r="N116" s="242">
        <v>219.8</v>
      </c>
      <c r="O116" s="242">
        <v>219.8</v>
      </c>
      <c r="P116" s="242">
        <v>219.8</v>
      </c>
      <c r="Q116" s="242">
        <v>219.8</v>
      </c>
      <c r="R116" s="242">
        <v>219.8</v>
      </c>
      <c r="S116" s="242">
        <v>219.8</v>
      </c>
      <c r="T116" s="242">
        <v>219.8</v>
      </c>
      <c r="U116" s="242">
        <v>219.8</v>
      </c>
      <c r="V116" s="242">
        <v>219.8</v>
      </c>
      <c r="W116" s="242">
        <v>219.8</v>
      </c>
      <c r="X116" s="242">
        <v>219.8</v>
      </c>
      <c r="Y116" s="242">
        <v>219.8</v>
      </c>
      <c r="Z116" s="242">
        <v>219.8</v>
      </c>
      <c r="AA116" s="242">
        <v>219.8</v>
      </c>
      <c r="AB116" s="242">
        <v>219.8</v>
      </c>
      <c r="AC116" s="243">
        <v>219.8</v>
      </c>
    </row>
    <row r="117" spans="1:29" x14ac:dyDescent="0.3">
      <c r="A117" s="916"/>
      <c r="B117" s="918"/>
      <c r="C117" s="918"/>
      <c r="D117" s="921"/>
      <c r="E117" s="230" t="s">
        <v>681</v>
      </c>
      <c r="F117" s="228">
        <v>219.8</v>
      </c>
      <c r="G117" s="228">
        <v>219.8</v>
      </c>
      <c r="H117" s="228">
        <v>219.8</v>
      </c>
      <c r="I117" s="228">
        <v>219.8</v>
      </c>
      <c r="J117" s="228">
        <v>219.8</v>
      </c>
      <c r="K117" s="228">
        <v>219.8</v>
      </c>
      <c r="L117" s="228">
        <v>219.8</v>
      </c>
      <c r="M117" s="228">
        <v>219.8</v>
      </c>
      <c r="N117" s="228">
        <v>219.8</v>
      </c>
      <c r="O117" s="228">
        <v>219.8</v>
      </c>
      <c r="P117" s="228">
        <v>219.8</v>
      </c>
      <c r="Q117" s="228">
        <v>219.8</v>
      </c>
      <c r="R117" s="228">
        <v>219.8</v>
      </c>
      <c r="S117" s="228">
        <v>219.8</v>
      </c>
      <c r="T117" s="228">
        <v>219.8</v>
      </c>
      <c r="U117" s="228">
        <v>219.8</v>
      </c>
      <c r="V117" s="228">
        <v>219.8</v>
      </c>
      <c r="W117" s="228">
        <v>219.8</v>
      </c>
      <c r="X117" s="228">
        <v>219.8</v>
      </c>
      <c r="Y117" s="228">
        <v>219.8</v>
      </c>
      <c r="Z117" s="228">
        <v>219.8</v>
      </c>
      <c r="AA117" s="228">
        <v>219.8</v>
      </c>
      <c r="AB117" s="228">
        <v>219.8</v>
      </c>
      <c r="AC117" s="247">
        <v>219.8</v>
      </c>
    </row>
    <row r="118" spans="1:29" x14ac:dyDescent="0.3">
      <c r="A118" s="917"/>
      <c r="B118" s="919"/>
      <c r="C118" s="919"/>
      <c r="D118" s="922"/>
      <c r="E118" s="263" t="s">
        <v>682</v>
      </c>
      <c r="F118" s="248">
        <v>219.8</v>
      </c>
      <c r="G118" s="248">
        <v>219.8</v>
      </c>
      <c r="H118" s="248">
        <v>219.8</v>
      </c>
      <c r="I118" s="248">
        <v>219.8</v>
      </c>
      <c r="J118" s="248">
        <v>219.8</v>
      </c>
      <c r="K118" s="248">
        <v>219.8</v>
      </c>
      <c r="L118" s="248">
        <v>219.8</v>
      </c>
      <c r="M118" s="248">
        <v>219.8</v>
      </c>
      <c r="N118" s="248">
        <v>219.8</v>
      </c>
      <c r="O118" s="248">
        <v>219.8</v>
      </c>
      <c r="P118" s="248">
        <v>219.8</v>
      </c>
      <c r="Q118" s="248">
        <v>219.8</v>
      </c>
      <c r="R118" s="248">
        <v>219.8</v>
      </c>
      <c r="S118" s="248">
        <v>219.8</v>
      </c>
      <c r="T118" s="248">
        <v>219.8</v>
      </c>
      <c r="U118" s="248">
        <v>219.8</v>
      </c>
      <c r="V118" s="248">
        <v>219.8</v>
      </c>
      <c r="W118" s="248">
        <v>219.8</v>
      </c>
      <c r="X118" s="248">
        <v>219.8</v>
      </c>
      <c r="Y118" s="248">
        <v>219.8</v>
      </c>
      <c r="Z118" s="248">
        <v>219.8</v>
      </c>
      <c r="AA118" s="248">
        <v>219.8</v>
      </c>
      <c r="AB118" s="248">
        <v>219.8</v>
      </c>
      <c r="AC118" s="249">
        <v>219.8</v>
      </c>
    </row>
    <row r="119" spans="1:29" x14ac:dyDescent="0.3">
      <c r="A119" s="240"/>
      <c r="B119" s="240"/>
      <c r="C119" s="240"/>
      <c r="D119" s="240"/>
      <c r="F119" s="239"/>
      <c r="G119" s="239"/>
      <c r="H119" s="239"/>
      <c r="I119" s="239"/>
      <c r="J119" s="239"/>
      <c r="K119" s="239"/>
      <c r="L119" s="239"/>
      <c r="M119" s="239"/>
      <c r="N119" s="239"/>
      <c r="O119" s="239"/>
      <c r="P119" s="239"/>
      <c r="Q119" s="239"/>
      <c r="R119" s="239"/>
      <c r="S119" s="239"/>
      <c r="T119" s="239"/>
      <c r="U119" s="239"/>
      <c r="V119" s="239"/>
      <c r="W119" s="239"/>
      <c r="X119" s="239"/>
      <c r="Y119" s="239"/>
      <c r="Z119" s="239"/>
      <c r="AA119" s="239"/>
      <c r="AB119" s="239"/>
      <c r="AC119" s="239"/>
    </row>
    <row r="120" spans="1:29" x14ac:dyDescent="0.3">
      <c r="A120" s="240"/>
      <c r="B120" s="240"/>
      <c r="C120" s="240"/>
      <c r="D120" s="240"/>
      <c r="F120" s="239"/>
      <c r="G120" s="239"/>
      <c r="H120" s="239"/>
      <c r="I120" s="239"/>
      <c r="J120" s="239"/>
      <c r="K120" s="239"/>
      <c r="L120" s="239"/>
      <c r="M120" s="239"/>
      <c r="N120" s="239"/>
      <c r="O120" s="239"/>
      <c r="P120" s="239"/>
      <c r="Q120" s="239"/>
      <c r="R120" s="239"/>
      <c r="S120" s="239"/>
      <c r="T120" s="239"/>
      <c r="U120" s="239"/>
      <c r="V120" s="239"/>
      <c r="W120" s="239"/>
      <c r="X120" s="239"/>
      <c r="Y120" s="239"/>
      <c r="Z120" s="239"/>
      <c r="AA120" s="239"/>
      <c r="AB120" s="239"/>
      <c r="AC120" s="239"/>
    </row>
    <row r="121" spans="1:29" x14ac:dyDescent="0.3">
      <c r="A121" s="240"/>
      <c r="B121" s="240"/>
      <c r="C121" s="240"/>
      <c r="D121" s="240"/>
      <c r="F121" s="239"/>
      <c r="G121" s="239"/>
      <c r="H121" s="239"/>
      <c r="I121" s="239"/>
      <c r="J121" s="239"/>
      <c r="K121" s="239"/>
      <c r="L121" s="239"/>
      <c r="M121" s="239"/>
      <c r="N121" s="239"/>
      <c r="O121" s="239"/>
      <c r="P121" s="239"/>
      <c r="Q121" s="239"/>
      <c r="R121" s="239"/>
      <c r="S121" s="239"/>
      <c r="T121" s="239"/>
      <c r="U121" s="239"/>
      <c r="V121" s="239"/>
      <c r="W121" s="239"/>
      <c r="X121" s="239"/>
      <c r="Y121" s="239"/>
      <c r="Z121" s="239"/>
      <c r="AA121" s="239"/>
      <c r="AB121" s="239"/>
      <c r="AC121" s="239"/>
    </row>
  </sheetData>
  <mergeCells count="161">
    <mergeCell ref="A69:A71"/>
    <mergeCell ref="B69:B71"/>
    <mergeCell ref="C69:C71"/>
    <mergeCell ref="D69:D71"/>
    <mergeCell ref="A79:A81"/>
    <mergeCell ref="B79:B81"/>
    <mergeCell ref="C79:C81"/>
    <mergeCell ref="D79:D81"/>
    <mergeCell ref="A91:A93"/>
    <mergeCell ref="B91:B93"/>
    <mergeCell ref="C91:C93"/>
    <mergeCell ref="D91:D93"/>
    <mergeCell ref="A72:AC72"/>
    <mergeCell ref="A73:A75"/>
    <mergeCell ref="B73:B75"/>
    <mergeCell ref="C73:C75"/>
    <mergeCell ref="D73:D75"/>
    <mergeCell ref="A76:A78"/>
    <mergeCell ref="B76:B78"/>
    <mergeCell ref="C76:C78"/>
    <mergeCell ref="D76:D78"/>
    <mergeCell ref="A94:A96"/>
    <mergeCell ref="B94:B96"/>
    <mergeCell ref="C94:C96"/>
    <mergeCell ref="D94:D96"/>
    <mergeCell ref="A97:A99"/>
    <mergeCell ref="B97:B99"/>
    <mergeCell ref="C97:C99"/>
    <mergeCell ref="D97:D99"/>
    <mergeCell ref="A82:A84"/>
    <mergeCell ref="B82:B84"/>
    <mergeCell ref="C82:C84"/>
    <mergeCell ref="D82:D84"/>
    <mergeCell ref="A85:A87"/>
    <mergeCell ref="B85:B87"/>
    <mergeCell ref="C85:C87"/>
    <mergeCell ref="D85:D87"/>
    <mergeCell ref="A88:A90"/>
    <mergeCell ref="B88:B90"/>
    <mergeCell ref="C88:C90"/>
    <mergeCell ref="D88:D90"/>
    <mergeCell ref="A113:A115"/>
    <mergeCell ref="B113:B115"/>
    <mergeCell ref="C113:C115"/>
    <mergeCell ref="D113:D115"/>
    <mergeCell ref="D66:D68"/>
    <mergeCell ref="D57:D59"/>
    <mergeCell ref="A104:A106"/>
    <mergeCell ref="B104:B106"/>
    <mergeCell ref="C104:C106"/>
    <mergeCell ref="D104:D106"/>
    <mergeCell ref="A107:A109"/>
    <mergeCell ref="B107:B109"/>
    <mergeCell ref="C107:C109"/>
    <mergeCell ref="D107:D109"/>
    <mergeCell ref="A100:AC100"/>
    <mergeCell ref="A101:A103"/>
    <mergeCell ref="B101:B103"/>
    <mergeCell ref="A60:A62"/>
    <mergeCell ref="B60:B62"/>
    <mergeCell ref="C60:C62"/>
    <mergeCell ref="A66:A68"/>
    <mergeCell ref="B66:B68"/>
    <mergeCell ref="C66:C68"/>
    <mergeCell ref="A63:A65"/>
    <mergeCell ref="A116:A118"/>
    <mergeCell ref="B116:B118"/>
    <mergeCell ref="C116:C118"/>
    <mergeCell ref="D116:D118"/>
    <mergeCell ref="F2:AC2"/>
    <mergeCell ref="C101:C103"/>
    <mergeCell ref="D101:D103"/>
    <mergeCell ref="A22:A24"/>
    <mergeCell ref="B22:B24"/>
    <mergeCell ref="C22:C24"/>
    <mergeCell ref="D22:D24"/>
    <mergeCell ref="A25:A27"/>
    <mergeCell ref="B25:B27"/>
    <mergeCell ref="C25:C27"/>
    <mergeCell ref="D25:D27"/>
    <mergeCell ref="C54:C56"/>
    <mergeCell ref="B54:B56"/>
    <mergeCell ref="A54:A56"/>
    <mergeCell ref="D54:D56"/>
    <mergeCell ref="A51:A53"/>
    <mergeCell ref="A110:A112"/>
    <mergeCell ref="B110:B112"/>
    <mergeCell ref="C110:C112"/>
    <mergeCell ref="D110:D112"/>
    <mergeCell ref="A1:AC1"/>
    <mergeCell ref="D2:D3"/>
    <mergeCell ref="D4:D6"/>
    <mergeCell ref="D7:D9"/>
    <mergeCell ref="A4:A6"/>
    <mergeCell ref="A7:A9"/>
    <mergeCell ref="A2:A3"/>
    <mergeCell ref="D13:D15"/>
    <mergeCell ref="A16:A18"/>
    <mergeCell ref="B16:B18"/>
    <mergeCell ref="C16:C18"/>
    <mergeCell ref="D16:D18"/>
    <mergeCell ref="A10:A12"/>
    <mergeCell ref="C10:C12"/>
    <mergeCell ref="B10:B12"/>
    <mergeCell ref="B7:B9"/>
    <mergeCell ref="C2:C3"/>
    <mergeCell ref="B2:B3"/>
    <mergeCell ref="C4:C6"/>
    <mergeCell ref="E2:E3"/>
    <mergeCell ref="D10:D12"/>
    <mergeCell ref="B4:B6"/>
    <mergeCell ref="C7:C9"/>
    <mergeCell ref="A13:A15"/>
    <mergeCell ref="B13:B15"/>
    <mergeCell ref="C13:C15"/>
    <mergeCell ref="B51:B53"/>
    <mergeCell ref="C57:C59"/>
    <mergeCell ref="A29:A31"/>
    <mergeCell ref="B29:B31"/>
    <mergeCell ref="C29:C31"/>
    <mergeCell ref="D29:D31"/>
    <mergeCell ref="A28:AC28"/>
    <mergeCell ref="A57:A59"/>
    <mergeCell ref="B57:B59"/>
    <mergeCell ref="C51:C53"/>
    <mergeCell ref="D51:D53"/>
    <mergeCell ref="A19:A21"/>
    <mergeCell ref="B19:B21"/>
    <mergeCell ref="C19:C21"/>
    <mergeCell ref="D19:D21"/>
    <mergeCell ref="A41:A43"/>
    <mergeCell ref="B41:B43"/>
    <mergeCell ref="C41:C43"/>
    <mergeCell ref="D41:D43"/>
    <mergeCell ref="A44:A47"/>
    <mergeCell ref="B44:B47"/>
    <mergeCell ref="C44:C47"/>
    <mergeCell ref="D44:D47"/>
    <mergeCell ref="A32:A34"/>
    <mergeCell ref="B32:B34"/>
    <mergeCell ref="C32:C34"/>
    <mergeCell ref="D32:D34"/>
    <mergeCell ref="AE32:AF34"/>
    <mergeCell ref="A38:A40"/>
    <mergeCell ref="B38:B40"/>
    <mergeCell ref="C38:C40"/>
    <mergeCell ref="D38:D40"/>
    <mergeCell ref="A35:A37"/>
    <mergeCell ref="B35:B37"/>
    <mergeCell ref="C35:C37"/>
    <mergeCell ref="D35:D37"/>
    <mergeCell ref="B63:B65"/>
    <mergeCell ref="C63:C65"/>
    <mergeCell ref="D63:D65"/>
    <mergeCell ref="D60:D62"/>
    <mergeCell ref="A48:A50"/>
    <mergeCell ref="B48:B50"/>
    <mergeCell ref="C48:C50"/>
    <mergeCell ref="D48:D50"/>
    <mergeCell ref="AE60:AF62"/>
    <mergeCell ref="AE48:AF5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V104"/>
  <sheetViews>
    <sheetView zoomScale="85" zoomScaleNormal="85" workbookViewId="0">
      <selection sqref="A1:H1"/>
    </sheetView>
  </sheetViews>
  <sheetFormatPr defaultColWidth="8.6640625" defaultRowHeight="12.75" customHeight="1" x14ac:dyDescent="0.25"/>
  <cols>
    <col min="1" max="11" width="14.109375" style="3" customWidth="1"/>
    <col min="12" max="12" width="18.44140625" style="3" customWidth="1"/>
    <col min="13" max="13" width="12.109375" style="3" customWidth="1"/>
    <col min="14" max="14" width="14.44140625" style="3" customWidth="1"/>
    <col min="15" max="15" width="15.44140625" style="3" customWidth="1"/>
    <col min="16" max="16" width="19.33203125" style="3" customWidth="1"/>
    <col min="17" max="18" width="18.33203125" style="3" customWidth="1"/>
    <col min="19" max="21" width="13.6640625" style="3" customWidth="1"/>
    <col min="22" max="22" width="12.109375" style="3" customWidth="1"/>
    <col min="23" max="24" width="8.6640625" style="3"/>
    <col min="25" max="25" width="13.6640625" style="3" customWidth="1"/>
    <col min="26" max="28" width="8.6640625" style="3"/>
    <col min="29" max="29" width="12.44140625" style="3" customWidth="1"/>
    <col min="30" max="16384" width="8.6640625" style="3"/>
  </cols>
  <sheetData>
    <row r="1" spans="1:22" ht="27" customHeight="1" thickBot="1" x14ac:dyDescent="0.3">
      <c r="A1" s="1002" t="s">
        <v>726</v>
      </c>
      <c r="B1" s="1002"/>
      <c r="C1" s="1002"/>
      <c r="D1" s="1002"/>
      <c r="E1" s="1002"/>
      <c r="F1" s="1002"/>
      <c r="G1" s="1002"/>
      <c r="H1" s="1002"/>
      <c r="I1" s="1001" t="s">
        <v>727</v>
      </c>
      <c r="J1" s="1001"/>
      <c r="K1" s="1001"/>
      <c r="L1" s="1001"/>
      <c r="N1" s="721" t="str">
        <f>"CEUS Energy Consumption - "&amp;"Retail"</f>
        <v>CEUS Energy Consumption - Retail</v>
      </c>
      <c r="O1" s="721"/>
      <c r="P1" s="721"/>
      <c r="Q1" s="721"/>
      <c r="R1" s="721"/>
      <c r="S1" s="721"/>
      <c r="T1" s="721"/>
      <c r="U1" s="721"/>
      <c r="V1" s="721"/>
    </row>
    <row r="2" spans="1:22" ht="55.5" customHeight="1" x14ac:dyDescent="0.25">
      <c r="A2" s="270" t="s">
        <v>212</v>
      </c>
      <c r="B2" s="271" t="s">
        <v>728</v>
      </c>
      <c r="C2" s="272" t="s">
        <v>729</v>
      </c>
      <c r="D2" s="272" t="s">
        <v>730</v>
      </c>
      <c r="E2" s="272" t="s">
        <v>731</v>
      </c>
      <c r="F2" s="272" t="s">
        <v>732</v>
      </c>
      <c r="G2" s="272" t="s">
        <v>733</v>
      </c>
      <c r="H2" s="298" t="s">
        <v>734</v>
      </c>
      <c r="I2" s="302" t="s">
        <v>735</v>
      </c>
      <c r="J2" s="303" t="s">
        <v>736</v>
      </c>
      <c r="K2" s="303" t="s">
        <v>737</v>
      </c>
      <c r="L2" s="304" t="s">
        <v>738</v>
      </c>
      <c r="M2" s="548" t="s">
        <v>739</v>
      </c>
      <c r="N2" s="275" t="s">
        <v>212</v>
      </c>
      <c r="O2" s="276" t="s">
        <v>728</v>
      </c>
      <c r="P2" s="276" t="s">
        <v>740</v>
      </c>
      <c r="Q2" s="276" t="s">
        <v>741</v>
      </c>
      <c r="R2" s="277" t="s">
        <v>742</v>
      </c>
      <c r="S2" s="278" t="s">
        <v>743</v>
      </c>
      <c r="T2" s="278" t="s">
        <v>744</v>
      </c>
      <c r="U2" s="278" t="s">
        <v>737</v>
      </c>
      <c r="V2" s="553" t="s">
        <v>745</v>
      </c>
    </row>
    <row r="3" spans="1:22" ht="19.2" customHeight="1" x14ac:dyDescent="0.3">
      <c r="A3" s="999" t="s">
        <v>746</v>
      </c>
      <c r="B3" s="581">
        <v>1</v>
      </c>
      <c r="C3" s="705"/>
      <c r="D3" s="705"/>
      <c r="E3" s="705"/>
      <c r="F3" s="269"/>
      <c r="G3" s="269"/>
      <c r="H3" s="299"/>
      <c r="I3" s="305">
        <v>58.5</v>
      </c>
      <c r="J3" s="301">
        <f t="shared" ref="J3:J18" si="0">I3*1.25</f>
        <v>73.125</v>
      </c>
      <c r="K3" s="53">
        <f t="shared" ref="K3:K18" si="1">I3*0.75</f>
        <v>43.875</v>
      </c>
      <c r="L3" s="306">
        <f>J3-K3</f>
        <v>29.25</v>
      </c>
      <c r="M3" s="3">
        <v>95519</v>
      </c>
      <c r="N3" s="997" t="s">
        <v>747</v>
      </c>
      <c r="O3" s="267">
        <v>1</v>
      </c>
      <c r="P3" s="706">
        <v>13814</v>
      </c>
      <c r="Q3" s="707">
        <v>11.1</v>
      </c>
      <c r="R3" s="707">
        <v>3.06</v>
      </c>
      <c r="S3" s="268">
        <f>(Q3+R3)*3.412</f>
        <v>48.313919999999996</v>
      </c>
      <c r="T3" s="268">
        <f>S3*1.25</f>
        <v>60.392399999999995</v>
      </c>
      <c r="U3" s="274">
        <f>S3*0.75</f>
        <v>36.235439999999997</v>
      </c>
      <c r="V3" s="279">
        <f>T3-U3</f>
        <v>24.156959999999998</v>
      </c>
    </row>
    <row r="4" spans="1:22" ht="19.2" customHeight="1" x14ac:dyDescent="0.3">
      <c r="A4" s="999"/>
      <c r="B4" s="581">
        <v>2</v>
      </c>
      <c r="C4" s="705"/>
      <c r="D4" s="705"/>
      <c r="E4" s="705"/>
      <c r="F4" s="269"/>
      <c r="G4" s="269"/>
      <c r="H4" s="299"/>
      <c r="I4" s="305">
        <v>68.900000000000006</v>
      </c>
      <c r="J4" s="301">
        <f t="shared" si="0"/>
        <v>86.125</v>
      </c>
      <c r="K4" s="53">
        <f t="shared" si="1"/>
        <v>51.675000000000004</v>
      </c>
      <c r="L4" s="306">
        <f t="shared" ref="L4:L18" si="2">J4-K4</f>
        <v>34.449999999999996</v>
      </c>
      <c r="M4" s="3">
        <v>95403</v>
      </c>
      <c r="N4" s="997"/>
      <c r="O4" s="267">
        <v>2</v>
      </c>
      <c r="P4" s="706">
        <v>25239</v>
      </c>
      <c r="Q4" s="707">
        <v>7.8</v>
      </c>
      <c r="R4" s="707">
        <v>4.3499999999999996</v>
      </c>
      <c r="S4" s="268">
        <f t="shared" ref="S4:S18" si="3">(Q4+R4)*3.412</f>
        <v>41.455799999999996</v>
      </c>
      <c r="T4" s="268">
        <f>S4*1.25</f>
        <v>51.819749999999999</v>
      </c>
      <c r="U4" s="274">
        <f t="shared" ref="U4:U18" si="4">S4*0.75</f>
        <v>31.091849999999997</v>
      </c>
      <c r="V4" s="279">
        <f t="shared" ref="V4:V18" si="5">T4-U4</f>
        <v>20.727900000000002</v>
      </c>
    </row>
    <row r="5" spans="1:22" ht="19.2" customHeight="1" x14ac:dyDescent="0.3">
      <c r="A5" s="999"/>
      <c r="B5" s="581">
        <v>3</v>
      </c>
      <c r="C5" s="705"/>
      <c r="D5" s="705"/>
      <c r="E5" s="705"/>
      <c r="F5" s="269"/>
      <c r="G5" s="269"/>
      <c r="H5" s="299"/>
      <c r="I5" s="305">
        <v>63.5</v>
      </c>
      <c r="J5" s="301">
        <f t="shared" si="0"/>
        <v>79.375</v>
      </c>
      <c r="K5" s="53">
        <f t="shared" si="1"/>
        <v>47.625</v>
      </c>
      <c r="L5" s="306">
        <f t="shared" si="2"/>
        <v>31.75</v>
      </c>
      <c r="M5" s="3">
        <v>94621</v>
      </c>
      <c r="N5" s="997"/>
      <c r="O5" s="267">
        <v>3</v>
      </c>
      <c r="P5" s="706">
        <v>88648</v>
      </c>
      <c r="Q5" s="707">
        <v>10.199999999999999</v>
      </c>
      <c r="R5" s="707">
        <v>3.48</v>
      </c>
      <c r="S5" s="268">
        <f t="shared" si="3"/>
        <v>46.676159999999996</v>
      </c>
      <c r="T5" s="268">
        <f t="shared" ref="T5:T18" si="6">S5*1.25</f>
        <v>58.345199999999991</v>
      </c>
      <c r="U5" s="274">
        <f t="shared" si="4"/>
        <v>35.00712</v>
      </c>
      <c r="V5" s="279">
        <f t="shared" si="5"/>
        <v>23.338079999999991</v>
      </c>
    </row>
    <row r="6" spans="1:22" ht="19.2" customHeight="1" x14ac:dyDescent="0.3">
      <c r="A6" s="999"/>
      <c r="B6" s="581">
        <v>4</v>
      </c>
      <c r="C6" s="705"/>
      <c r="D6" s="705"/>
      <c r="E6" s="705"/>
      <c r="F6" s="269"/>
      <c r="G6" s="269"/>
      <c r="H6" s="299"/>
      <c r="I6" s="305">
        <v>71.2</v>
      </c>
      <c r="J6" s="301">
        <f t="shared" si="0"/>
        <v>89</v>
      </c>
      <c r="K6" s="53">
        <f t="shared" si="1"/>
        <v>53.400000000000006</v>
      </c>
      <c r="L6" s="306">
        <f t="shared" si="2"/>
        <v>35.599999999999994</v>
      </c>
      <c r="M6" s="3">
        <v>93446</v>
      </c>
      <c r="N6" s="997"/>
      <c r="O6" s="267">
        <v>4</v>
      </c>
      <c r="P6" s="706">
        <v>44551</v>
      </c>
      <c r="Q6" s="707">
        <v>10.4</v>
      </c>
      <c r="R6" s="707">
        <v>3.38</v>
      </c>
      <c r="S6" s="268">
        <f t="shared" si="3"/>
        <v>47.017360000000004</v>
      </c>
      <c r="T6" s="268">
        <f t="shared" si="6"/>
        <v>58.771700000000003</v>
      </c>
      <c r="U6" s="274">
        <f t="shared" si="4"/>
        <v>35.263020000000004</v>
      </c>
      <c r="V6" s="279">
        <f t="shared" si="5"/>
        <v>23.508679999999998</v>
      </c>
    </row>
    <row r="7" spans="1:22" ht="19.2" customHeight="1" x14ac:dyDescent="0.3">
      <c r="A7" s="999"/>
      <c r="B7" s="581">
        <v>5</v>
      </c>
      <c r="C7" s="705"/>
      <c r="D7" s="705"/>
      <c r="E7" s="705"/>
      <c r="F7" s="269"/>
      <c r="G7" s="269"/>
      <c r="H7" s="299"/>
      <c r="I7" s="305">
        <v>61.8</v>
      </c>
      <c r="J7" s="301">
        <f t="shared" si="0"/>
        <v>77.25</v>
      </c>
      <c r="K7" s="53">
        <f t="shared" si="1"/>
        <v>46.349999999999994</v>
      </c>
      <c r="L7" s="306">
        <f t="shared" si="2"/>
        <v>30.900000000000006</v>
      </c>
      <c r="M7" s="3">
        <v>93455</v>
      </c>
      <c r="N7" s="997"/>
      <c r="O7" s="267">
        <v>5</v>
      </c>
      <c r="P7" s="706">
        <v>9847</v>
      </c>
      <c r="Q7" s="707">
        <v>9.3000000000000007</v>
      </c>
      <c r="R7" s="707">
        <v>4.28</v>
      </c>
      <c r="S7" s="268">
        <f t="shared" si="3"/>
        <v>46.334960000000002</v>
      </c>
      <c r="T7" s="268">
        <f t="shared" si="6"/>
        <v>57.918700000000001</v>
      </c>
      <c r="U7" s="274">
        <f t="shared" si="4"/>
        <v>34.751220000000004</v>
      </c>
      <c r="V7" s="279">
        <f t="shared" si="5"/>
        <v>23.167479999999998</v>
      </c>
    </row>
    <row r="8" spans="1:22" ht="19.2" customHeight="1" x14ac:dyDescent="0.3">
      <c r="A8" s="999"/>
      <c r="B8" s="581">
        <v>6</v>
      </c>
      <c r="C8" s="705"/>
      <c r="D8" s="705"/>
      <c r="E8" s="705"/>
      <c r="F8" s="269"/>
      <c r="G8" s="269"/>
      <c r="H8" s="299"/>
      <c r="I8" s="305">
        <v>68.400000000000006</v>
      </c>
      <c r="J8" s="301">
        <f t="shared" si="0"/>
        <v>85.5</v>
      </c>
      <c r="K8" s="53">
        <f t="shared" si="1"/>
        <v>51.300000000000004</v>
      </c>
      <c r="L8" s="306">
        <f t="shared" si="2"/>
        <v>34.199999999999996</v>
      </c>
      <c r="M8" s="3">
        <v>90045</v>
      </c>
      <c r="N8" s="997"/>
      <c r="O8" s="267">
        <v>6</v>
      </c>
      <c r="P8" s="706">
        <v>92562</v>
      </c>
      <c r="Q8" s="707">
        <v>8.6</v>
      </c>
      <c r="R8" s="707">
        <v>1.35</v>
      </c>
      <c r="S8" s="268">
        <f t="shared" si="3"/>
        <v>33.949399999999997</v>
      </c>
      <c r="T8" s="268">
        <f t="shared" si="6"/>
        <v>42.436749999999996</v>
      </c>
      <c r="U8" s="274">
        <f t="shared" si="4"/>
        <v>25.462049999999998</v>
      </c>
      <c r="V8" s="279">
        <f t="shared" si="5"/>
        <v>16.974699999999999</v>
      </c>
    </row>
    <row r="9" spans="1:22" ht="19.2" customHeight="1" x14ac:dyDescent="0.3">
      <c r="A9" s="999"/>
      <c r="B9" s="581">
        <v>7</v>
      </c>
      <c r="C9" s="705"/>
      <c r="D9" s="705"/>
      <c r="E9" s="705"/>
      <c r="F9" s="269"/>
      <c r="G9" s="269"/>
      <c r="H9" s="299"/>
      <c r="I9" s="305">
        <v>68.400000000000006</v>
      </c>
      <c r="J9" s="301">
        <f t="shared" si="0"/>
        <v>85.5</v>
      </c>
      <c r="K9" s="53">
        <f t="shared" si="1"/>
        <v>51.300000000000004</v>
      </c>
      <c r="L9" s="306">
        <f t="shared" si="2"/>
        <v>34.199999999999996</v>
      </c>
      <c r="M9" s="3">
        <v>92101</v>
      </c>
      <c r="N9" s="997"/>
      <c r="O9" s="267">
        <v>7</v>
      </c>
      <c r="P9" s="706">
        <v>63471</v>
      </c>
      <c r="Q9" s="707">
        <v>10.3</v>
      </c>
      <c r="R9" s="707">
        <v>0.93</v>
      </c>
      <c r="S9" s="268">
        <f t="shared" si="3"/>
        <v>38.316760000000002</v>
      </c>
      <c r="T9" s="268">
        <f t="shared" si="6"/>
        <v>47.895949999999999</v>
      </c>
      <c r="U9" s="274">
        <f t="shared" si="4"/>
        <v>28.737570000000002</v>
      </c>
      <c r="V9" s="279">
        <f t="shared" si="5"/>
        <v>19.158379999999998</v>
      </c>
    </row>
    <row r="10" spans="1:22" ht="19.2" customHeight="1" x14ac:dyDescent="0.3">
      <c r="A10" s="999"/>
      <c r="B10" s="581">
        <v>8</v>
      </c>
      <c r="C10" s="705"/>
      <c r="D10" s="705"/>
      <c r="E10" s="705"/>
      <c r="F10" s="269"/>
      <c r="G10" s="269"/>
      <c r="H10" s="299"/>
      <c r="I10" s="305">
        <v>69.400000000000006</v>
      </c>
      <c r="J10" s="301">
        <f t="shared" si="0"/>
        <v>86.75</v>
      </c>
      <c r="K10" s="53">
        <f t="shared" si="1"/>
        <v>52.050000000000004</v>
      </c>
      <c r="L10" s="306">
        <f t="shared" si="2"/>
        <v>34.699999999999996</v>
      </c>
      <c r="M10" s="3">
        <v>92832</v>
      </c>
      <c r="N10" s="997"/>
      <c r="O10" s="267">
        <v>8</v>
      </c>
      <c r="P10" s="706">
        <v>147354</v>
      </c>
      <c r="Q10" s="707">
        <v>8.5</v>
      </c>
      <c r="R10" s="707">
        <v>1.31</v>
      </c>
      <c r="S10" s="268">
        <f t="shared" si="3"/>
        <v>33.471719999999998</v>
      </c>
      <c r="T10" s="268">
        <f t="shared" si="6"/>
        <v>41.839649999999999</v>
      </c>
      <c r="U10" s="274">
        <f t="shared" si="4"/>
        <v>25.103789999999996</v>
      </c>
      <c r="V10" s="279">
        <f t="shared" si="5"/>
        <v>16.735860000000002</v>
      </c>
    </row>
    <row r="11" spans="1:22" ht="19.2" customHeight="1" x14ac:dyDescent="0.3">
      <c r="A11" s="999"/>
      <c r="B11" s="581">
        <v>9</v>
      </c>
      <c r="C11" s="705"/>
      <c r="D11" s="705"/>
      <c r="E11" s="705"/>
      <c r="F11" s="269"/>
      <c r="G11" s="269"/>
      <c r="H11" s="299"/>
      <c r="I11" s="305">
        <v>70.099999999999994</v>
      </c>
      <c r="J11" s="301">
        <f t="shared" si="0"/>
        <v>87.625</v>
      </c>
      <c r="K11" s="53">
        <f t="shared" si="1"/>
        <v>52.574999999999996</v>
      </c>
      <c r="L11" s="306">
        <f t="shared" si="2"/>
        <v>35.050000000000004</v>
      </c>
      <c r="M11" s="3">
        <v>91505</v>
      </c>
      <c r="N11" s="997"/>
      <c r="O11" s="267">
        <v>9</v>
      </c>
      <c r="P11" s="706">
        <v>212697</v>
      </c>
      <c r="Q11" s="707">
        <v>9.4</v>
      </c>
      <c r="R11" s="707">
        <v>1.4</v>
      </c>
      <c r="S11" s="268">
        <f t="shared" si="3"/>
        <v>36.849600000000002</v>
      </c>
      <c r="T11" s="268">
        <f t="shared" si="6"/>
        <v>46.062000000000005</v>
      </c>
      <c r="U11" s="274">
        <f t="shared" si="4"/>
        <v>27.6372</v>
      </c>
      <c r="V11" s="279">
        <f t="shared" si="5"/>
        <v>18.424800000000005</v>
      </c>
    </row>
    <row r="12" spans="1:22" ht="19.2" customHeight="1" x14ac:dyDescent="0.3">
      <c r="A12" s="999"/>
      <c r="B12" s="581">
        <v>10</v>
      </c>
      <c r="C12" s="705"/>
      <c r="D12" s="705"/>
      <c r="E12" s="705"/>
      <c r="F12" s="269"/>
      <c r="G12" s="269"/>
      <c r="H12" s="299"/>
      <c r="I12" s="305">
        <v>70.599999999999994</v>
      </c>
      <c r="J12" s="301">
        <f t="shared" si="0"/>
        <v>88.25</v>
      </c>
      <c r="K12" s="53">
        <f t="shared" si="1"/>
        <v>52.949999999999996</v>
      </c>
      <c r="L12" s="306">
        <f t="shared" si="2"/>
        <v>35.300000000000004</v>
      </c>
      <c r="M12" s="3">
        <v>92501</v>
      </c>
      <c r="N12" s="997"/>
      <c r="O12" s="267">
        <v>10</v>
      </c>
      <c r="P12" s="706">
        <v>149832</v>
      </c>
      <c r="Q12" s="707">
        <v>9.3000000000000007</v>
      </c>
      <c r="R12" s="707">
        <v>1.54</v>
      </c>
      <c r="S12" s="268">
        <f t="shared" si="3"/>
        <v>36.986080000000001</v>
      </c>
      <c r="T12" s="268">
        <f t="shared" si="6"/>
        <v>46.232600000000005</v>
      </c>
      <c r="U12" s="274">
        <f t="shared" si="4"/>
        <v>27.739560000000001</v>
      </c>
      <c r="V12" s="279">
        <f t="shared" si="5"/>
        <v>18.493040000000004</v>
      </c>
    </row>
    <row r="13" spans="1:22" ht="19.2" customHeight="1" x14ac:dyDescent="0.3">
      <c r="A13" s="999"/>
      <c r="B13" s="581">
        <v>11</v>
      </c>
      <c r="C13" s="705"/>
      <c r="D13" s="705"/>
      <c r="E13" s="705"/>
      <c r="F13" s="269"/>
      <c r="G13" s="269"/>
      <c r="H13" s="299"/>
      <c r="I13" s="305">
        <v>72.5</v>
      </c>
      <c r="J13" s="301">
        <f t="shared" si="0"/>
        <v>90.625</v>
      </c>
      <c r="K13" s="53">
        <f t="shared" si="1"/>
        <v>54.375</v>
      </c>
      <c r="L13" s="306">
        <f t="shared" si="2"/>
        <v>36.25</v>
      </c>
      <c r="M13" s="3">
        <v>96080</v>
      </c>
      <c r="N13" s="997"/>
      <c r="O13" s="267">
        <v>11</v>
      </c>
      <c r="P13" s="706">
        <v>45934</v>
      </c>
      <c r="Q13" s="707">
        <v>10.6</v>
      </c>
      <c r="R13" s="707">
        <v>2.72</v>
      </c>
      <c r="S13" s="268">
        <f t="shared" si="3"/>
        <v>45.447839999999999</v>
      </c>
      <c r="T13" s="268">
        <f t="shared" si="6"/>
        <v>56.809799999999996</v>
      </c>
      <c r="U13" s="274">
        <f t="shared" si="4"/>
        <v>34.085880000000003</v>
      </c>
      <c r="V13" s="279">
        <f t="shared" si="5"/>
        <v>22.723919999999993</v>
      </c>
    </row>
    <row r="14" spans="1:22" ht="19.2" customHeight="1" x14ac:dyDescent="0.3">
      <c r="A14" s="999"/>
      <c r="B14" s="581">
        <v>12</v>
      </c>
      <c r="C14" s="705"/>
      <c r="D14" s="705"/>
      <c r="E14" s="705"/>
      <c r="F14" s="269"/>
      <c r="G14" s="269"/>
      <c r="H14" s="299"/>
      <c r="I14" s="305">
        <v>71.599999999999994</v>
      </c>
      <c r="J14" s="301">
        <f t="shared" si="0"/>
        <v>89.5</v>
      </c>
      <c r="K14" s="53">
        <f t="shared" si="1"/>
        <v>53.699999999999996</v>
      </c>
      <c r="L14" s="306">
        <f t="shared" si="2"/>
        <v>35.800000000000004</v>
      </c>
      <c r="M14" s="3">
        <v>95822</v>
      </c>
      <c r="N14" s="997"/>
      <c r="O14" s="267">
        <v>12</v>
      </c>
      <c r="P14" s="706">
        <v>195816</v>
      </c>
      <c r="Q14" s="707">
        <v>11</v>
      </c>
      <c r="R14" s="707">
        <v>2.87</v>
      </c>
      <c r="S14" s="268">
        <f t="shared" si="3"/>
        <v>47.324440000000003</v>
      </c>
      <c r="T14" s="268">
        <f t="shared" si="6"/>
        <v>59.155550000000005</v>
      </c>
      <c r="U14" s="274">
        <f t="shared" si="4"/>
        <v>35.49333</v>
      </c>
      <c r="V14" s="279">
        <f t="shared" si="5"/>
        <v>23.662220000000005</v>
      </c>
    </row>
    <row r="15" spans="1:22" ht="19.2" customHeight="1" x14ac:dyDescent="0.3">
      <c r="A15" s="999"/>
      <c r="B15" s="581">
        <v>13</v>
      </c>
      <c r="C15" s="705"/>
      <c r="D15" s="705"/>
      <c r="E15" s="705"/>
      <c r="F15" s="269"/>
      <c r="G15" s="269"/>
      <c r="H15" s="299"/>
      <c r="I15" s="305">
        <v>72.5</v>
      </c>
      <c r="J15" s="301">
        <f t="shared" si="0"/>
        <v>90.625</v>
      </c>
      <c r="K15" s="53">
        <f t="shared" si="1"/>
        <v>54.375</v>
      </c>
      <c r="L15" s="306">
        <f t="shared" si="2"/>
        <v>36.25</v>
      </c>
      <c r="M15" s="3">
        <v>93727</v>
      </c>
      <c r="N15" s="997"/>
      <c r="O15" s="267">
        <v>13</v>
      </c>
      <c r="P15" s="706">
        <v>67122</v>
      </c>
      <c r="Q15" s="707">
        <v>12.4</v>
      </c>
      <c r="R15" s="707">
        <v>2.61</v>
      </c>
      <c r="S15" s="268">
        <f t="shared" si="3"/>
        <v>51.214120000000001</v>
      </c>
      <c r="T15" s="268">
        <f t="shared" si="6"/>
        <v>64.017650000000003</v>
      </c>
      <c r="U15" s="274">
        <f t="shared" si="4"/>
        <v>38.410589999999999</v>
      </c>
      <c r="V15" s="279">
        <f t="shared" si="5"/>
        <v>25.607060000000004</v>
      </c>
    </row>
    <row r="16" spans="1:22" ht="19.2" customHeight="1" x14ac:dyDescent="0.3">
      <c r="A16" s="999"/>
      <c r="B16" s="581">
        <v>14</v>
      </c>
      <c r="C16" s="705"/>
      <c r="D16" s="705"/>
      <c r="E16" s="705"/>
      <c r="F16" s="269"/>
      <c r="G16" s="269"/>
      <c r="H16" s="299"/>
      <c r="I16" s="305">
        <v>72.8</v>
      </c>
      <c r="J16" s="301">
        <f t="shared" si="0"/>
        <v>91</v>
      </c>
      <c r="K16" s="53">
        <f t="shared" si="1"/>
        <v>54.599999999999994</v>
      </c>
      <c r="L16" s="306">
        <f t="shared" si="2"/>
        <v>36.400000000000006</v>
      </c>
      <c r="M16" s="3">
        <v>93550</v>
      </c>
      <c r="N16" s="997"/>
      <c r="O16" s="267">
        <v>14</v>
      </c>
      <c r="P16" s="706">
        <v>39049</v>
      </c>
      <c r="Q16" s="707">
        <v>8.6</v>
      </c>
      <c r="R16" s="707">
        <v>1.28</v>
      </c>
      <c r="S16" s="268">
        <f t="shared" si="3"/>
        <v>33.710559999999994</v>
      </c>
      <c r="T16" s="268">
        <f t="shared" si="6"/>
        <v>42.138199999999991</v>
      </c>
      <c r="U16" s="274">
        <f t="shared" si="4"/>
        <v>25.282919999999997</v>
      </c>
      <c r="V16" s="279">
        <f t="shared" si="5"/>
        <v>16.855279999999993</v>
      </c>
    </row>
    <row r="17" spans="1:22" ht="19.2" customHeight="1" x14ac:dyDescent="0.3">
      <c r="A17" s="999"/>
      <c r="B17" s="581">
        <v>15</v>
      </c>
      <c r="C17" s="705"/>
      <c r="D17" s="705"/>
      <c r="E17" s="705"/>
      <c r="F17" s="269"/>
      <c r="G17" s="269"/>
      <c r="H17" s="299"/>
      <c r="I17" s="305">
        <v>70.5</v>
      </c>
      <c r="J17" s="301">
        <f t="shared" si="0"/>
        <v>88.125</v>
      </c>
      <c r="K17" s="53">
        <f t="shared" si="1"/>
        <v>52.875</v>
      </c>
      <c r="L17" s="306">
        <f t="shared" si="2"/>
        <v>35.25</v>
      </c>
      <c r="M17" s="3">
        <v>92262</v>
      </c>
      <c r="N17" s="997"/>
      <c r="O17" s="267">
        <v>15</v>
      </c>
      <c r="P17" s="706">
        <v>73160</v>
      </c>
      <c r="Q17" s="707">
        <v>10</v>
      </c>
      <c r="R17" s="707">
        <v>2.42</v>
      </c>
      <c r="S17" s="268">
        <f t="shared" si="3"/>
        <v>42.377040000000001</v>
      </c>
      <c r="T17" s="268">
        <f t="shared" si="6"/>
        <v>52.971299999999999</v>
      </c>
      <c r="U17" s="274">
        <f t="shared" si="4"/>
        <v>31.782780000000002</v>
      </c>
      <c r="V17" s="279">
        <f t="shared" si="5"/>
        <v>21.188519999999997</v>
      </c>
    </row>
    <row r="18" spans="1:22" ht="19.2" customHeight="1" thickBot="1" x14ac:dyDescent="0.35">
      <c r="A18" s="1000"/>
      <c r="B18" s="702">
        <v>16</v>
      </c>
      <c r="C18" s="708"/>
      <c r="D18" s="708"/>
      <c r="E18" s="708"/>
      <c r="F18" s="273"/>
      <c r="G18" s="273"/>
      <c r="H18" s="300"/>
      <c r="I18" s="307">
        <v>71.5</v>
      </c>
      <c r="J18" s="308">
        <f t="shared" si="0"/>
        <v>89.375</v>
      </c>
      <c r="K18" s="309">
        <f t="shared" si="1"/>
        <v>53.625</v>
      </c>
      <c r="L18" s="310">
        <f t="shared" si="2"/>
        <v>35.75</v>
      </c>
      <c r="M18" s="3">
        <v>95726</v>
      </c>
      <c r="N18" s="998"/>
      <c r="O18" s="280">
        <v>16</v>
      </c>
      <c r="P18" s="709">
        <v>149464</v>
      </c>
      <c r="Q18" s="710">
        <v>9.6</v>
      </c>
      <c r="R18" s="710">
        <v>1.56</v>
      </c>
      <c r="S18" s="281">
        <f t="shared" si="3"/>
        <v>38.077919999999999</v>
      </c>
      <c r="T18" s="281">
        <f t="shared" si="6"/>
        <v>47.5974</v>
      </c>
      <c r="U18" s="282">
        <f t="shared" si="4"/>
        <v>28.558439999999997</v>
      </c>
      <c r="V18" s="283">
        <f t="shared" si="5"/>
        <v>19.038960000000003</v>
      </c>
    </row>
    <row r="20" spans="1:22" ht="13.2" x14ac:dyDescent="0.25">
      <c r="N20" s="569" t="s">
        <v>748</v>
      </c>
    </row>
    <row r="21" spans="1:22" ht="13.2" x14ac:dyDescent="0.25">
      <c r="N21" s="3" t="s">
        <v>749</v>
      </c>
    </row>
    <row r="22" spans="1:22" ht="13.2" x14ac:dyDescent="0.25">
      <c r="N22" s="3" t="s">
        <v>750</v>
      </c>
    </row>
    <row r="63" spans="1:7" ht="13.2" x14ac:dyDescent="0.25"/>
    <row r="64" spans="1:7" s="18" customFormat="1" ht="13.2" hidden="1" customHeight="1" x14ac:dyDescent="0.25">
      <c r="A64" s="18" t="s">
        <v>365</v>
      </c>
      <c r="E64" s="19"/>
      <c r="F64" s="20"/>
      <c r="G64" s="21"/>
    </row>
    <row r="65" spans="8:19" ht="10.95" hidden="1" customHeight="1" x14ac:dyDescent="0.25"/>
    <row r="66" spans="8:19" ht="12.75" hidden="1" customHeight="1" x14ac:dyDescent="0.25">
      <c r="I66" s="3" t="s">
        <v>751</v>
      </c>
    </row>
    <row r="67" spans="8:19" ht="12.75" hidden="1" customHeight="1" x14ac:dyDescent="0.3">
      <c r="H67" t="s">
        <v>752</v>
      </c>
      <c r="I67" s="284">
        <v>130</v>
      </c>
      <c r="J67" s="286" t="s">
        <v>753</v>
      </c>
      <c r="K67" s="287">
        <v>68.7</v>
      </c>
    </row>
    <row r="68" spans="8:19" ht="12.75" hidden="1" customHeight="1" x14ac:dyDescent="0.3">
      <c r="H68"/>
      <c r="I68" s="284">
        <v>139</v>
      </c>
      <c r="J68" s="286"/>
      <c r="K68" s="287">
        <v>80.3</v>
      </c>
    </row>
    <row r="69" spans="8:19" ht="12.75" hidden="1" customHeight="1" x14ac:dyDescent="0.3">
      <c r="H69"/>
      <c r="I69" s="284">
        <v>135</v>
      </c>
      <c r="J69" s="286"/>
      <c r="K69" s="287">
        <v>74.2</v>
      </c>
    </row>
    <row r="70" spans="8:19" ht="12.75" hidden="1" customHeight="1" x14ac:dyDescent="0.3">
      <c r="H70"/>
      <c r="I70" s="284">
        <v>141.5</v>
      </c>
      <c r="J70" s="191"/>
      <c r="K70" s="287">
        <v>82.8</v>
      </c>
      <c r="L70" s="4"/>
      <c r="M70" s="4"/>
    </row>
    <row r="71" spans="8:19" ht="12.75" hidden="1" customHeight="1" x14ac:dyDescent="0.3">
      <c r="H71"/>
      <c r="I71" s="284">
        <v>133.6</v>
      </c>
      <c r="J71" s="286"/>
      <c r="K71" s="287">
        <v>72.3</v>
      </c>
      <c r="P71" s="4"/>
      <c r="Q71" s="295"/>
      <c r="R71" s="296"/>
      <c r="S71" s="297"/>
    </row>
    <row r="72" spans="8:19" ht="12.75" hidden="1" customHeight="1" x14ac:dyDescent="0.3">
      <c r="H72"/>
      <c r="I72" s="284">
        <v>139.1</v>
      </c>
      <c r="J72" s="286"/>
      <c r="K72" s="287">
        <v>79.7</v>
      </c>
      <c r="P72" s="7" t="s">
        <v>741</v>
      </c>
      <c r="Q72" s="7" t="s">
        <v>742</v>
      </c>
    </row>
    <row r="73" spans="8:19" ht="12.75" hidden="1" customHeight="1" x14ac:dyDescent="0.3">
      <c r="H73"/>
      <c r="I73" s="284">
        <v>139.1</v>
      </c>
      <c r="J73" s="286"/>
      <c r="K73" s="287">
        <v>79.7</v>
      </c>
      <c r="P73" s="294" t="s">
        <v>754</v>
      </c>
    </row>
    <row r="74" spans="8:19" ht="12.75" hidden="1" customHeight="1" x14ac:dyDescent="0.3">
      <c r="H74"/>
      <c r="I74" s="284">
        <v>139.9</v>
      </c>
      <c r="J74" s="286"/>
      <c r="K74" s="287">
        <v>80.8</v>
      </c>
      <c r="P74" s="288" t="s">
        <v>755</v>
      </c>
      <c r="Q74" s="289" t="s">
        <v>756</v>
      </c>
    </row>
    <row r="75" spans="8:19" ht="12.75" hidden="1" customHeight="1" x14ac:dyDescent="0.3">
      <c r="H75"/>
      <c r="I75" s="284">
        <v>140.4</v>
      </c>
      <c r="J75" s="286"/>
      <c r="K75" s="287">
        <v>81.5</v>
      </c>
      <c r="P75" s="290">
        <v>40.9</v>
      </c>
      <c r="Q75" s="291">
        <v>16.309999999999999</v>
      </c>
      <c r="S75" s="3">
        <f>(P75+Q75)*3.412</f>
        <v>195.20051999999998</v>
      </c>
    </row>
    <row r="76" spans="8:19" ht="12.75" hidden="1" customHeight="1" x14ac:dyDescent="0.3">
      <c r="H76"/>
      <c r="I76" s="284">
        <v>140.9</v>
      </c>
      <c r="J76" s="286"/>
      <c r="K76" s="287">
        <v>82.1</v>
      </c>
      <c r="P76" s="290">
        <v>39.799999999999997</v>
      </c>
      <c r="Q76" s="291">
        <v>13.63</v>
      </c>
    </row>
    <row r="77" spans="8:19" ht="12.75" hidden="1" customHeight="1" x14ac:dyDescent="0.3">
      <c r="H77"/>
      <c r="I77" s="284">
        <v>142.5</v>
      </c>
      <c r="J77" s="286"/>
      <c r="K77" s="287">
        <v>84.2</v>
      </c>
      <c r="P77" s="290">
        <v>38</v>
      </c>
      <c r="Q77" s="291">
        <v>13.46</v>
      </c>
    </row>
    <row r="78" spans="8:19" ht="12.75" hidden="1" customHeight="1" x14ac:dyDescent="0.3">
      <c r="H78"/>
      <c r="I78" s="284">
        <v>141.69999999999999</v>
      </c>
      <c r="J78" s="286"/>
      <c r="K78" s="287">
        <v>83.2</v>
      </c>
      <c r="P78" s="290">
        <v>37.6</v>
      </c>
      <c r="Q78" s="291">
        <v>13.59</v>
      </c>
    </row>
    <row r="79" spans="8:19" ht="12.75" hidden="1" customHeight="1" x14ac:dyDescent="0.3">
      <c r="H79"/>
      <c r="I79" s="284">
        <v>142.4</v>
      </c>
      <c r="J79" s="286"/>
      <c r="K79" s="287">
        <v>84.2</v>
      </c>
      <c r="P79" s="290">
        <v>41.2</v>
      </c>
      <c r="Q79" s="291">
        <v>12.4</v>
      </c>
    </row>
    <row r="80" spans="8:19" ht="12.75" hidden="1" customHeight="1" x14ac:dyDescent="0.3">
      <c r="H80"/>
      <c r="I80" s="284">
        <v>142.69999999999999</v>
      </c>
      <c r="J80" s="286"/>
      <c r="K80" s="287">
        <v>84.5</v>
      </c>
      <c r="P80" s="290">
        <v>33.4</v>
      </c>
      <c r="Q80" s="291">
        <v>15.7</v>
      </c>
    </row>
    <row r="81" spans="8:17" ht="12.75" hidden="1" customHeight="1" x14ac:dyDescent="0.3">
      <c r="H81"/>
      <c r="I81" s="284">
        <v>140.80000000000001</v>
      </c>
      <c r="J81" s="286"/>
      <c r="K81" s="287">
        <v>82</v>
      </c>
      <c r="P81" s="290">
        <v>39.4</v>
      </c>
      <c r="Q81" s="291">
        <v>17.66</v>
      </c>
    </row>
    <row r="82" spans="8:17" ht="12.75" hidden="1" customHeight="1" thickBot="1" x14ac:dyDescent="0.35">
      <c r="I82" s="285">
        <v>141.6</v>
      </c>
      <c r="J82" s="286"/>
      <c r="K82" s="287">
        <v>83.1</v>
      </c>
      <c r="P82" s="290">
        <v>34.700000000000003</v>
      </c>
      <c r="Q82" s="291">
        <v>16.149999999999999</v>
      </c>
    </row>
    <row r="83" spans="8:17" ht="12.75" hidden="1" customHeight="1" x14ac:dyDescent="0.3">
      <c r="J83" s="286"/>
      <c r="K83" s="286"/>
      <c r="P83" s="290">
        <v>33.200000000000003</v>
      </c>
      <c r="Q83" s="291">
        <v>12.45</v>
      </c>
    </row>
    <row r="84" spans="8:17" ht="12.75" hidden="1" customHeight="1" x14ac:dyDescent="0.3">
      <c r="P84" s="290">
        <v>38.799999999999997</v>
      </c>
      <c r="Q84" s="291">
        <v>27.69</v>
      </c>
    </row>
    <row r="85" spans="8:17" ht="12.75" hidden="1" customHeight="1" x14ac:dyDescent="0.3">
      <c r="I85" s="1" t="s">
        <v>757</v>
      </c>
      <c r="J85" s="1" t="s">
        <v>758</v>
      </c>
      <c r="K85" s="1" t="s">
        <v>759</v>
      </c>
      <c r="L85" s="1" t="s">
        <v>760</v>
      </c>
      <c r="P85" s="290">
        <v>39.1</v>
      </c>
      <c r="Q85" s="291">
        <v>15.49</v>
      </c>
    </row>
    <row r="86" spans="8:17" ht="12.75" hidden="1" customHeight="1" x14ac:dyDescent="0.3">
      <c r="I86" s="1" t="s">
        <v>761</v>
      </c>
      <c r="J86" t="s">
        <v>762</v>
      </c>
      <c r="K86" t="s">
        <v>763</v>
      </c>
      <c r="L86" s="1" t="s">
        <v>764</v>
      </c>
      <c r="P86" s="290">
        <v>38.9</v>
      </c>
      <c r="Q86" s="291">
        <v>15.11</v>
      </c>
    </row>
    <row r="87" spans="8:17" ht="12.75" hidden="1" customHeight="1" x14ac:dyDescent="0.3">
      <c r="I87" s="1" t="s">
        <v>765</v>
      </c>
      <c r="J87" t="s">
        <v>766</v>
      </c>
      <c r="K87" t="s">
        <v>767</v>
      </c>
      <c r="L87" s="1" t="s">
        <v>768</v>
      </c>
      <c r="P87" s="290">
        <v>40</v>
      </c>
      <c r="Q87" s="291">
        <v>18.25</v>
      </c>
    </row>
    <row r="88" spans="8:17" ht="12.75" hidden="1" customHeight="1" x14ac:dyDescent="0.3">
      <c r="I88" s="1" t="s">
        <v>769</v>
      </c>
      <c r="J88" t="s">
        <v>770</v>
      </c>
      <c r="K88" t="s">
        <v>767</v>
      </c>
      <c r="L88" s="1" t="s">
        <v>768</v>
      </c>
      <c r="P88" s="290">
        <v>36.4</v>
      </c>
      <c r="Q88" s="291">
        <v>29.45</v>
      </c>
    </row>
    <row r="89" spans="8:17" ht="12.75" hidden="1" customHeight="1" x14ac:dyDescent="0.3">
      <c r="I89" s="1" t="s">
        <v>771</v>
      </c>
      <c r="J89" t="s">
        <v>772</v>
      </c>
      <c r="K89" t="s">
        <v>773</v>
      </c>
      <c r="L89" s="1" t="s">
        <v>774</v>
      </c>
      <c r="P89" s="290">
        <v>39</v>
      </c>
      <c r="Q89" s="291">
        <v>21.06</v>
      </c>
    </row>
    <row r="90" spans="8:17" ht="12.75" hidden="1" customHeight="1" x14ac:dyDescent="0.3">
      <c r="I90" s="1" t="s">
        <v>775</v>
      </c>
      <c r="J90" t="s">
        <v>776</v>
      </c>
      <c r="K90" t="s">
        <v>777</v>
      </c>
      <c r="L90" s="1" t="s">
        <v>778</v>
      </c>
      <c r="P90" s="292">
        <v>39.4</v>
      </c>
      <c r="Q90" s="293">
        <v>30.04</v>
      </c>
    </row>
    <row r="91" spans="8:17" ht="12.75" hidden="1" customHeight="1" x14ac:dyDescent="0.3">
      <c r="I91" s="1" t="s">
        <v>779</v>
      </c>
      <c r="J91" t="s">
        <v>780</v>
      </c>
      <c r="K91" t="s">
        <v>781</v>
      </c>
      <c r="L91" s="1" t="s">
        <v>782</v>
      </c>
    </row>
    <row r="92" spans="8:17" ht="12.75" hidden="1" customHeight="1" x14ac:dyDescent="0.3">
      <c r="I92" s="1" t="s">
        <v>783</v>
      </c>
      <c r="J92" t="s">
        <v>784</v>
      </c>
      <c r="K92" t="s">
        <v>781</v>
      </c>
      <c r="L92" s="1" t="s">
        <v>785</v>
      </c>
    </row>
    <row r="93" spans="8:17" ht="12.75" hidden="1" customHeight="1" x14ac:dyDescent="0.3">
      <c r="I93" s="1" t="s">
        <v>786</v>
      </c>
      <c r="J93" t="s">
        <v>787</v>
      </c>
      <c r="K93" t="s">
        <v>788</v>
      </c>
      <c r="L93" s="1" t="s">
        <v>785</v>
      </c>
    </row>
    <row r="94" spans="8:17" ht="12.75" hidden="1" customHeight="1" x14ac:dyDescent="0.3">
      <c r="I94" s="1" t="s">
        <v>789</v>
      </c>
      <c r="J94" t="s">
        <v>790</v>
      </c>
      <c r="K94" t="s">
        <v>788</v>
      </c>
      <c r="L94" s="1" t="s">
        <v>785</v>
      </c>
    </row>
    <row r="95" spans="8:17" ht="12.75" hidden="1" customHeight="1" x14ac:dyDescent="0.3">
      <c r="I95" s="1" t="s">
        <v>791</v>
      </c>
      <c r="J95" t="s">
        <v>792</v>
      </c>
      <c r="K95" t="s">
        <v>788</v>
      </c>
      <c r="L95" s="1" t="s">
        <v>785</v>
      </c>
    </row>
    <row r="96" spans="8:17" ht="12.75" hidden="1" customHeight="1" x14ac:dyDescent="0.3">
      <c r="I96" s="1" t="s">
        <v>793</v>
      </c>
      <c r="J96" t="s">
        <v>794</v>
      </c>
      <c r="K96" t="s">
        <v>767</v>
      </c>
      <c r="L96" s="1" t="s">
        <v>764</v>
      </c>
    </row>
    <row r="97" spans="9:12" ht="12.75" hidden="1" customHeight="1" x14ac:dyDescent="0.3">
      <c r="I97" s="1" t="s">
        <v>795</v>
      </c>
      <c r="J97" t="s">
        <v>796</v>
      </c>
      <c r="K97" t="s">
        <v>767</v>
      </c>
      <c r="L97" s="1" t="s">
        <v>768</v>
      </c>
    </row>
    <row r="98" spans="9:12" ht="12.75" hidden="1" customHeight="1" x14ac:dyDescent="0.3">
      <c r="I98" s="1" t="s">
        <v>797</v>
      </c>
      <c r="J98" t="s">
        <v>798</v>
      </c>
      <c r="K98" t="s">
        <v>799</v>
      </c>
      <c r="L98" s="1" t="s">
        <v>800</v>
      </c>
    </row>
    <row r="99" spans="9:12" ht="12.75" hidden="1" customHeight="1" x14ac:dyDescent="0.3">
      <c r="I99" s="1" t="s">
        <v>801</v>
      </c>
      <c r="J99" t="s">
        <v>802</v>
      </c>
      <c r="K99" t="s">
        <v>803</v>
      </c>
      <c r="L99" s="1" t="s">
        <v>804</v>
      </c>
    </row>
    <row r="100" spans="9:12" ht="12.75" hidden="1" customHeight="1" x14ac:dyDescent="0.3">
      <c r="I100" s="1" t="s">
        <v>805</v>
      </c>
      <c r="J100" t="s">
        <v>806</v>
      </c>
      <c r="K100" t="s">
        <v>803</v>
      </c>
      <c r="L100" s="1" t="s">
        <v>807</v>
      </c>
    </row>
    <row r="101" spans="9:12" ht="12.75" hidden="1" customHeight="1" x14ac:dyDescent="0.3">
      <c r="I101" s="1" t="s">
        <v>808</v>
      </c>
      <c r="J101" t="s">
        <v>809</v>
      </c>
      <c r="K101" t="s">
        <v>810</v>
      </c>
      <c r="L101" s="1" t="s">
        <v>811</v>
      </c>
    </row>
    <row r="102" spans="9:12" ht="12.75" hidden="1" customHeight="1" x14ac:dyDescent="0.25"/>
    <row r="103" spans="9:12" ht="12.75" hidden="1" customHeight="1" x14ac:dyDescent="0.25"/>
    <row r="104" spans="9:12" ht="12.75" hidden="1" customHeight="1" x14ac:dyDescent="0.25"/>
  </sheetData>
  <mergeCells count="5">
    <mergeCell ref="N3:N18"/>
    <mergeCell ref="A3:A18"/>
    <mergeCell ref="N1:V1"/>
    <mergeCell ref="I1:L1"/>
    <mergeCell ref="A1:H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29"/>
  <sheetViews>
    <sheetView zoomScaleNormal="100" workbookViewId="0">
      <selection sqref="A1:G1"/>
    </sheetView>
  </sheetViews>
  <sheetFormatPr defaultColWidth="8.6640625" defaultRowHeight="13.2" x14ac:dyDescent="0.25"/>
  <cols>
    <col min="1" max="2" width="12" style="3" customWidth="1"/>
    <col min="3" max="6" width="13.6640625" style="3" customWidth="1"/>
    <col min="7" max="7" width="13.33203125" style="3" customWidth="1"/>
    <col min="8" max="8" width="12.6640625" style="3" bestFit="1" customWidth="1"/>
    <col min="9" max="9" width="8.6640625" style="3"/>
    <col min="10" max="10" width="12" style="3" customWidth="1"/>
    <col min="11" max="11" width="14.109375" style="3" customWidth="1"/>
    <col min="12" max="12" width="10.33203125" style="3" customWidth="1"/>
    <col min="13" max="27" width="5.6640625" style="3" customWidth="1"/>
    <col min="28" max="16384" width="8.6640625" style="3"/>
  </cols>
  <sheetData>
    <row r="1" spans="1:28" ht="28.95" customHeight="1" x14ac:dyDescent="0.25">
      <c r="A1" s="729" t="str">
        <f>"% of Floor Area per CZ and Vintage Bin - "&amp;"Retail"</f>
        <v>% of Floor Area per CZ and Vintage Bin - Retail</v>
      </c>
      <c r="B1" s="729"/>
      <c r="C1" s="729"/>
      <c r="D1" s="729"/>
      <c r="E1" s="729"/>
      <c r="F1" s="729"/>
      <c r="G1" s="729"/>
      <c r="J1" s="729" t="str">
        <f>"% of Floor Area per CZ and Vintage Bin - "&amp;"Retail"</f>
        <v>% of Floor Area per CZ and Vintage Bin - Retail</v>
      </c>
      <c r="K1" s="729"/>
      <c r="L1" s="729"/>
      <c r="M1" s="729"/>
      <c r="N1" s="729"/>
      <c r="O1" s="729"/>
      <c r="P1" s="729"/>
      <c r="Q1" s="729"/>
      <c r="R1" s="729"/>
      <c r="S1" s="729"/>
      <c r="T1" s="729"/>
      <c r="U1" s="729"/>
      <c r="V1" s="729"/>
      <c r="W1" s="729"/>
      <c r="X1" s="729"/>
      <c r="Y1" s="729"/>
      <c r="Z1" s="729"/>
      <c r="AA1" s="729"/>
    </row>
    <row r="2" spans="1:28" ht="21" customHeight="1" x14ac:dyDescent="0.25">
      <c r="A2" s="1009" t="s">
        <v>212</v>
      </c>
      <c r="B2" s="1009" t="s">
        <v>728</v>
      </c>
      <c r="C2" s="1009" t="s">
        <v>812</v>
      </c>
      <c r="D2" s="1009"/>
      <c r="E2" s="1009"/>
      <c r="F2" s="1009"/>
      <c r="G2" s="1009"/>
      <c r="J2" s="1009" t="s">
        <v>212</v>
      </c>
      <c r="K2" s="1009" t="s">
        <v>812</v>
      </c>
      <c r="L2" s="1009" t="s">
        <v>728</v>
      </c>
      <c r="M2" s="1009"/>
      <c r="N2" s="1009"/>
      <c r="O2" s="1009"/>
      <c r="P2" s="1009"/>
      <c r="Q2" s="1009"/>
      <c r="R2" s="1009"/>
      <c r="S2" s="1009"/>
      <c r="T2" s="1009"/>
      <c r="U2" s="1009"/>
      <c r="V2" s="1009"/>
      <c r="W2" s="1009"/>
      <c r="X2" s="1009"/>
      <c r="Y2" s="1009"/>
      <c r="Z2" s="1009"/>
      <c r="AA2" s="1009"/>
    </row>
    <row r="3" spans="1:28" ht="21" customHeight="1" x14ac:dyDescent="0.25">
      <c r="A3" s="1009"/>
      <c r="B3" s="1009"/>
      <c r="C3" s="568" t="s">
        <v>813</v>
      </c>
      <c r="D3" s="568" t="s">
        <v>240</v>
      </c>
      <c r="E3" s="568" t="s">
        <v>242</v>
      </c>
      <c r="F3" s="568" t="s">
        <v>244</v>
      </c>
      <c r="G3" s="568" t="s">
        <v>814</v>
      </c>
      <c r="J3" s="1009"/>
      <c r="K3" s="1009"/>
      <c r="L3" s="568">
        <v>1</v>
      </c>
      <c r="M3" s="568">
        <v>2</v>
      </c>
      <c r="N3" s="568">
        <v>3</v>
      </c>
      <c r="O3" s="568">
        <v>4</v>
      </c>
      <c r="P3" s="568">
        <v>5</v>
      </c>
      <c r="Q3" s="568">
        <v>6</v>
      </c>
      <c r="R3" s="568">
        <v>7</v>
      </c>
      <c r="S3" s="568">
        <v>8</v>
      </c>
      <c r="T3" s="568">
        <v>9</v>
      </c>
      <c r="U3" s="568">
        <v>10</v>
      </c>
      <c r="V3" s="568">
        <v>11</v>
      </c>
      <c r="W3" s="568">
        <v>12</v>
      </c>
      <c r="X3" s="568">
        <v>13</v>
      </c>
      <c r="Y3" s="568">
        <v>14</v>
      </c>
      <c r="Z3" s="568">
        <v>15</v>
      </c>
      <c r="AA3" s="568">
        <v>16</v>
      </c>
    </row>
    <row r="4" spans="1:28" ht="16.95" customHeight="1" x14ac:dyDescent="0.25">
      <c r="A4" s="1006" t="s">
        <v>747</v>
      </c>
      <c r="B4" s="78">
        <v>1</v>
      </c>
      <c r="C4" s="566"/>
      <c r="D4" s="566"/>
      <c r="E4" s="566"/>
      <c r="F4" s="566"/>
      <c r="G4" s="44"/>
      <c r="H4" s="52">
        <f>SUM(C4:G4)</f>
        <v>0</v>
      </c>
      <c r="J4" s="1003" t="s">
        <v>747</v>
      </c>
      <c r="K4" s="30" t="s">
        <v>813</v>
      </c>
      <c r="L4" s="30"/>
      <c r="M4" s="30"/>
      <c r="N4" s="30"/>
      <c r="O4" s="30"/>
      <c r="P4" s="30"/>
      <c r="Q4" s="30"/>
      <c r="R4" s="30"/>
      <c r="S4" s="30"/>
      <c r="T4" s="30"/>
      <c r="U4" s="30"/>
      <c r="V4" s="30"/>
      <c r="W4" s="30"/>
      <c r="X4" s="30"/>
      <c r="Y4" s="30"/>
      <c r="Z4" s="30"/>
      <c r="AA4" s="30"/>
      <c r="AB4" s="52">
        <f t="shared" ref="AB4:AB9" si="0">SUM(L4:AA4)</f>
        <v>0</v>
      </c>
    </row>
    <row r="5" spans="1:28" ht="16.95" customHeight="1" x14ac:dyDescent="0.25">
      <c r="A5" s="1007"/>
      <c r="B5" s="28">
        <v>2</v>
      </c>
      <c r="C5" s="30"/>
      <c r="D5" s="30"/>
      <c r="E5" s="30"/>
      <c r="F5" s="30"/>
      <c r="G5" s="39"/>
      <c r="H5" s="52">
        <f t="shared" ref="H5:H19" si="1">SUM(C5:G5)</f>
        <v>0</v>
      </c>
      <c r="J5" s="1004"/>
      <c r="K5" s="30" t="s">
        <v>240</v>
      </c>
      <c r="L5" s="30"/>
      <c r="M5" s="30"/>
      <c r="N5" s="30"/>
      <c r="O5" s="30"/>
      <c r="P5" s="30"/>
      <c r="Q5" s="30"/>
      <c r="R5" s="30"/>
      <c r="S5" s="30"/>
      <c r="T5" s="30"/>
      <c r="U5" s="30"/>
      <c r="V5" s="30"/>
      <c r="W5" s="30"/>
      <c r="X5" s="30"/>
      <c r="Y5" s="30"/>
      <c r="Z5" s="30"/>
      <c r="AA5" s="30"/>
      <c r="AB5" s="52">
        <f t="shared" si="0"/>
        <v>0</v>
      </c>
    </row>
    <row r="6" spans="1:28" ht="16.95" customHeight="1" x14ac:dyDescent="0.25">
      <c r="A6" s="1007"/>
      <c r="B6" s="28">
        <v>3</v>
      </c>
      <c r="C6" s="30"/>
      <c r="D6" s="30"/>
      <c r="E6" s="30"/>
      <c r="F6" s="30"/>
      <c r="G6" s="39"/>
      <c r="H6" s="52">
        <f t="shared" si="1"/>
        <v>0</v>
      </c>
      <c r="J6" s="1004"/>
      <c r="K6" s="30" t="s">
        <v>242</v>
      </c>
      <c r="L6" s="30"/>
      <c r="M6" s="30"/>
      <c r="N6" s="30"/>
      <c r="O6" s="30"/>
      <c r="P6" s="30"/>
      <c r="Q6" s="30"/>
      <c r="R6" s="30"/>
      <c r="S6" s="30"/>
      <c r="T6" s="30"/>
      <c r="U6" s="30"/>
      <c r="V6" s="30"/>
      <c r="W6" s="30"/>
      <c r="X6" s="30"/>
      <c r="Y6" s="30"/>
      <c r="Z6" s="30"/>
      <c r="AA6" s="30"/>
      <c r="AB6" s="52">
        <f t="shared" si="0"/>
        <v>0</v>
      </c>
    </row>
    <row r="7" spans="1:28" ht="16.95" customHeight="1" x14ac:dyDescent="0.25">
      <c r="A7" s="1007"/>
      <c r="B7" s="28">
        <v>4</v>
      </c>
      <c r="C7" s="30"/>
      <c r="D7" s="30"/>
      <c r="E7" s="30"/>
      <c r="F7" s="30"/>
      <c r="G7" s="39"/>
      <c r="H7" s="52">
        <f t="shared" si="1"/>
        <v>0</v>
      </c>
      <c r="J7" s="1004"/>
      <c r="K7" s="30" t="s">
        <v>244</v>
      </c>
      <c r="L7" s="30"/>
      <c r="M7" s="30"/>
      <c r="N7" s="30"/>
      <c r="O7" s="30"/>
      <c r="P7" s="30"/>
      <c r="Q7" s="30"/>
      <c r="R7" s="30"/>
      <c r="S7" s="30"/>
      <c r="T7" s="30"/>
      <c r="U7" s="30"/>
      <c r="V7" s="30"/>
      <c r="W7" s="30"/>
      <c r="X7" s="30"/>
      <c r="Y7" s="30"/>
      <c r="Z7" s="30"/>
      <c r="AA7" s="30"/>
      <c r="AB7" s="52">
        <f t="shared" si="0"/>
        <v>0</v>
      </c>
    </row>
    <row r="8" spans="1:28" ht="16.95" customHeight="1" x14ac:dyDescent="0.25">
      <c r="A8" s="1007"/>
      <c r="B8" s="28">
        <v>5</v>
      </c>
      <c r="C8" s="30"/>
      <c r="D8" s="30"/>
      <c r="E8" s="30"/>
      <c r="F8" s="30"/>
      <c r="G8" s="39"/>
      <c r="H8" s="52">
        <f t="shared" si="1"/>
        <v>0</v>
      </c>
      <c r="J8" s="1004"/>
      <c r="K8" s="30" t="s">
        <v>814</v>
      </c>
      <c r="L8" s="30"/>
      <c r="M8" s="30"/>
      <c r="N8" s="30"/>
      <c r="O8" s="30"/>
      <c r="P8" s="30"/>
      <c r="Q8" s="30"/>
      <c r="R8" s="30"/>
      <c r="S8" s="30"/>
      <c r="T8" s="30"/>
      <c r="U8" s="30"/>
      <c r="V8" s="30"/>
      <c r="W8" s="30"/>
      <c r="X8" s="30"/>
      <c r="Y8" s="30"/>
      <c r="Z8" s="30"/>
      <c r="AA8" s="30"/>
      <c r="AB8" s="52">
        <f t="shared" si="0"/>
        <v>0</v>
      </c>
    </row>
    <row r="9" spans="1:28" ht="16.95" customHeight="1" x14ac:dyDescent="0.25">
      <c r="A9" s="1007"/>
      <c r="B9" s="28">
        <v>6</v>
      </c>
      <c r="C9" s="30"/>
      <c r="D9" s="30"/>
      <c r="E9" s="30"/>
      <c r="F9" s="30"/>
      <c r="G9" s="39"/>
      <c r="H9" s="52">
        <f t="shared" si="1"/>
        <v>0</v>
      </c>
      <c r="J9" s="1005"/>
      <c r="K9" s="30" t="s">
        <v>464</v>
      </c>
      <c r="L9" s="30"/>
      <c r="M9" s="30"/>
      <c r="N9" s="30"/>
      <c r="O9" s="30"/>
      <c r="P9" s="30"/>
      <c r="Q9" s="30"/>
      <c r="R9" s="30"/>
      <c r="S9" s="30"/>
      <c r="T9" s="30"/>
      <c r="U9" s="30"/>
      <c r="V9" s="30"/>
      <c r="W9" s="30"/>
      <c r="X9" s="30"/>
      <c r="Y9" s="30"/>
      <c r="Z9" s="30"/>
      <c r="AA9" s="30"/>
      <c r="AB9" s="52">
        <f t="shared" si="0"/>
        <v>0</v>
      </c>
    </row>
    <row r="10" spans="1:28" ht="16.95" customHeight="1" x14ac:dyDescent="0.25">
      <c r="A10" s="1007"/>
      <c r="B10" s="28">
        <v>7</v>
      </c>
      <c r="C10" s="30"/>
      <c r="D10" s="30"/>
      <c r="E10" s="30"/>
      <c r="F10" s="30"/>
      <c r="G10" s="39"/>
      <c r="H10" s="52">
        <f t="shared" si="1"/>
        <v>0</v>
      </c>
      <c r="J10" s="545"/>
      <c r="K10" s="50"/>
      <c r="L10" s="24"/>
      <c r="M10" s="24"/>
      <c r="N10" s="24"/>
      <c r="O10" s="24"/>
      <c r="P10" s="51"/>
    </row>
    <row r="11" spans="1:28" ht="16.95" customHeight="1" x14ac:dyDescent="0.25">
      <c r="A11" s="1007"/>
      <c r="B11" s="28">
        <v>8</v>
      </c>
      <c r="C11" s="30"/>
      <c r="D11" s="30"/>
      <c r="E11" s="30"/>
      <c r="F11" s="30"/>
      <c r="G11" s="39"/>
      <c r="H11" s="52">
        <f t="shared" si="1"/>
        <v>0</v>
      </c>
      <c r="J11" s="545"/>
      <c r="K11" s="50"/>
      <c r="L11" s="24"/>
      <c r="M11" s="24"/>
      <c r="N11" s="24"/>
      <c r="O11" s="24"/>
      <c r="P11" s="51"/>
    </row>
    <row r="12" spans="1:28" ht="16.95" customHeight="1" x14ac:dyDescent="0.25">
      <c r="A12" s="1007"/>
      <c r="B12" s="28">
        <v>9</v>
      </c>
      <c r="C12" s="30"/>
      <c r="D12" s="30"/>
      <c r="E12" s="30"/>
      <c r="F12" s="30"/>
      <c r="G12" s="39"/>
      <c r="H12" s="52">
        <f t="shared" si="1"/>
        <v>0</v>
      </c>
      <c r="J12" s="545"/>
      <c r="K12" s="50"/>
      <c r="L12" s="24"/>
      <c r="M12" s="24"/>
      <c r="N12" s="24"/>
      <c r="O12" s="24"/>
      <c r="P12" s="51"/>
    </row>
    <row r="13" spans="1:28" ht="16.95" customHeight="1" x14ac:dyDescent="0.25">
      <c r="A13" s="1007"/>
      <c r="B13" s="28">
        <v>10</v>
      </c>
      <c r="C13" s="30"/>
      <c r="D13" s="30"/>
      <c r="E13" s="30"/>
      <c r="F13" s="30"/>
      <c r="G13" s="39"/>
      <c r="H13" s="52">
        <f t="shared" si="1"/>
        <v>0</v>
      </c>
      <c r="J13" s="545"/>
      <c r="K13" s="50"/>
      <c r="L13" s="24"/>
      <c r="M13" s="24"/>
      <c r="N13" s="24"/>
      <c r="O13" s="24"/>
      <c r="P13" s="51"/>
    </row>
    <row r="14" spans="1:28" ht="16.95" customHeight="1" x14ac:dyDescent="0.25">
      <c r="A14" s="1007"/>
      <c r="B14" s="28">
        <v>11</v>
      </c>
      <c r="C14" s="30"/>
      <c r="D14" s="30"/>
      <c r="E14" s="30"/>
      <c r="F14" s="30"/>
      <c r="G14" s="39"/>
      <c r="H14" s="52">
        <f t="shared" si="1"/>
        <v>0</v>
      </c>
      <c r="J14" s="545"/>
      <c r="K14" s="50"/>
      <c r="L14" s="24"/>
      <c r="M14" s="24"/>
      <c r="N14" s="24"/>
      <c r="O14" s="24"/>
      <c r="P14" s="51"/>
    </row>
    <row r="15" spans="1:28" ht="16.95" customHeight="1" x14ac:dyDescent="0.25">
      <c r="A15" s="1007"/>
      <c r="B15" s="28">
        <v>12</v>
      </c>
      <c r="C15" s="30"/>
      <c r="D15" s="30"/>
      <c r="E15" s="30"/>
      <c r="F15" s="30"/>
      <c r="G15" s="39"/>
      <c r="H15" s="52">
        <f t="shared" si="1"/>
        <v>0</v>
      </c>
      <c r="J15" s="545"/>
      <c r="K15" s="50"/>
      <c r="L15" s="24"/>
      <c r="M15" s="24"/>
      <c r="N15" s="24"/>
      <c r="O15" s="24"/>
      <c r="P15" s="51"/>
    </row>
    <row r="16" spans="1:28" ht="16.95" customHeight="1" x14ac:dyDescent="0.25">
      <c r="A16" s="1007"/>
      <c r="B16" s="28">
        <v>13</v>
      </c>
      <c r="C16" s="30"/>
      <c r="D16" s="30"/>
      <c r="E16" s="30"/>
      <c r="F16" s="30"/>
      <c r="G16" s="39"/>
      <c r="H16" s="52">
        <f t="shared" si="1"/>
        <v>0</v>
      </c>
      <c r="J16" s="545"/>
      <c r="K16" s="50"/>
      <c r="L16" s="24"/>
      <c r="M16" s="24"/>
      <c r="N16" s="24"/>
      <c r="O16" s="24"/>
      <c r="P16" s="51"/>
    </row>
    <row r="17" spans="1:16" ht="16.95" customHeight="1" x14ac:dyDescent="0.25">
      <c r="A17" s="1007"/>
      <c r="B17" s="28">
        <v>14</v>
      </c>
      <c r="C17" s="30"/>
      <c r="D17" s="30"/>
      <c r="E17" s="30"/>
      <c r="F17" s="30"/>
      <c r="G17" s="39"/>
      <c r="H17" s="52">
        <f t="shared" si="1"/>
        <v>0</v>
      </c>
      <c r="J17" s="545"/>
      <c r="K17" s="50"/>
      <c r="L17" s="24"/>
      <c r="M17" s="24"/>
      <c r="N17" s="24"/>
      <c r="O17" s="24"/>
      <c r="P17" s="51"/>
    </row>
    <row r="18" spans="1:16" ht="16.95" customHeight="1" x14ac:dyDescent="0.25">
      <c r="A18" s="1007"/>
      <c r="B18" s="28">
        <v>15</v>
      </c>
      <c r="C18" s="30"/>
      <c r="D18" s="30"/>
      <c r="E18" s="30"/>
      <c r="F18" s="30"/>
      <c r="G18" s="39"/>
      <c r="H18" s="52">
        <f t="shared" si="1"/>
        <v>0</v>
      </c>
      <c r="J18" s="545"/>
      <c r="K18" s="50"/>
      <c r="L18" s="24"/>
      <c r="M18" s="24"/>
      <c r="N18" s="24"/>
      <c r="O18" s="24"/>
      <c r="P18" s="51"/>
    </row>
    <row r="19" spans="1:16" ht="16.95" customHeight="1" x14ac:dyDescent="0.25">
      <c r="A19" s="1007"/>
      <c r="B19" s="28">
        <v>16</v>
      </c>
      <c r="C19" s="39"/>
      <c r="D19" s="39"/>
      <c r="E19" s="39"/>
      <c r="F19" s="39"/>
      <c r="G19" s="39"/>
      <c r="H19" s="52">
        <f t="shared" si="1"/>
        <v>0</v>
      </c>
      <c r="J19" s="545"/>
      <c r="K19" s="50"/>
      <c r="L19" s="24"/>
      <c r="M19" s="24"/>
      <c r="N19" s="24"/>
      <c r="O19" s="24"/>
      <c r="P19" s="51"/>
    </row>
    <row r="20" spans="1:16" ht="18" customHeight="1" x14ac:dyDescent="0.25">
      <c r="A20" s="1008"/>
      <c r="B20" s="91" t="s">
        <v>815</v>
      </c>
      <c r="C20" s="91"/>
      <c r="D20" s="91"/>
      <c r="E20" s="91"/>
      <c r="F20" s="91"/>
      <c r="G20" s="91"/>
      <c r="H20" s="92">
        <f>SUM(C20:G20)</f>
        <v>0</v>
      </c>
    </row>
    <row r="21" spans="1:16" x14ac:dyDescent="0.25">
      <c r="H21" s="52"/>
    </row>
    <row r="22" spans="1:16" x14ac:dyDescent="0.25">
      <c r="A22" s="3" t="s">
        <v>816</v>
      </c>
    </row>
    <row r="23" spans="1:16" x14ac:dyDescent="0.25">
      <c r="A23" s="3" t="s">
        <v>749</v>
      </c>
    </row>
    <row r="24" spans="1:16" x14ac:dyDescent="0.25">
      <c r="A24" s="3" t="s">
        <v>750</v>
      </c>
    </row>
    <row r="29" spans="1:16" s="18" customFormat="1" hidden="1" x14ac:dyDescent="0.25">
      <c r="A29" s="18" t="s">
        <v>365</v>
      </c>
      <c r="E29" s="19"/>
      <c r="F29" s="20"/>
      <c r="G29" s="21"/>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tabColor rgb="FF000000"/>
  </sheetPr>
  <dimension ref="A1:J34"/>
  <sheetViews>
    <sheetView workbookViewId="0">
      <selection sqref="A1:J1"/>
    </sheetView>
  </sheetViews>
  <sheetFormatPr defaultRowHeight="14.4" x14ac:dyDescent="0.3"/>
  <sheetData>
    <row r="1" spans="1:10" ht="21.6" customHeight="1" x14ac:dyDescent="0.3">
      <c r="A1" s="729" t="str">
        <f>"PV - "&amp;Prototype!A2</f>
        <v>PV - RetailGrocery</v>
      </c>
      <c r="B1" s="729"/>
      <c r="C1" s="729"/>
      <c r="D1" s="729"/>
      <c r="E1" s="729"/>
      <c r="F1" s="729"/>
      <c r="G1" s="729"/>
      <c r="H1" s="729"/>
      <c r="I1" s="729"/>
      <c r="J1" s="729"/>
    </row>
    <row r="2" spans="1:10" x14ac:dyDescent="0.3">
      <c r="A2" t="s">
        <v>817</v>
      </c>
    </row>
    <row r="14" spans="1:10" hidden="1" x14ac:dyDescent="0.3"/>
    <row r="15" spans="1:10" hidden="1" x14ac:dyDescent="0.3"/>
    <row r="16" spans="1:10" hidden="1" x14ac:dyDescent="0.3"/>
    <row r="17" hidden="1" x14ac:dyDescent="0.3"/>
    <row r="18" hidden="1" x14ac:dyDescent="0.3"/>
    <row r="19" hidden="1" x14ac:dyDescent="0.3"/>
    <row r="20" hidden="1" x14ac:dyDescent="0.3"/>
    <row r="21" hidden="1" x14ac:dyDescent="0.3"/>
    <row r="22" hidden="1" x14ac:dyDescent="0.3"/>
    <row r="23" hidden="1" x14ac:dyDescent="0.3"/>
    <row r="24" hidden="1" x14ac:dyDescent="0.3"/>
    <row r="25" hidden="1" x14ac:dyDescent="0.3"/>
    <row r="26" hidden="1" x14ac:dyDescent="0.3"/>
    <row r="27" hidden="1" x14ac:dyDescent="0.3"/>
    <row r="28" hidden="1" x14ac:dyDescent="0.3"/>
    <row r="29" hidden="1" x14ac:dyDescent="0.3"/>
    <row r="30" hidden="1" x14ac:dyDescent="0.3"/>
    <row r="31" hidden="1" x14ac:dyDescent="0.3"/>
    <row r="32" hidden="1" x14ac:dyDescent="0.3"/>
    <row r="33" hidden="1" x14ac:dyDescent="0.3"/>
    <row r="34" hidden="1" x14ac:dyDescent="0.3"/>
  </sheetData>
  <mergeCells count="1">
    <mergeCell ref="A1:J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tabColor rgb="FF000000"/>
  </sheetPr>
  <dimension ref="A1:H11"/>
  <sheetViews>
    <sheetView zoomScaleNormal="70" workbookViewId="0">
      <selection activeCell="D5" sqref="D5"/>
    </sheetView>
  </sheetViews>
  <sheetFormatPr defaultColWidth="8.6640625" defaultRowHeight="13.2" x14ac:dyDescent="0.25"/>
  <cols>
    <col min="1" max="1" width="21" style="3" customWidth="1"/>
    <col min="2" max="2" width="14.33203125" style="3" customWidth="1"/>
    <col min="3" max="3" width="14.5546875" style="3" customWidth="1"/>
    <col min="4" max="8" width="8.6640625" style="3"/>
    <col min="9" max="9" width="13.6640625" style="3" customWidth="1"/>
    <col min="10" max="10" width="14.44140625" style="3" customWidth="1"/>
    <col min="11" max="16384" width="8.6640625" style="3"/>
  </cols>
  <sheetData>
    <row r="1" spans="1:8" ht="24.6" customHeight="1" x14ac:dyDescent="0.25">
      <c r="A1" s="729" t="str">
        <f>"EV Charger - "&amp;Prototype!A2</f>
        <v>EV Charger - RetailGrocery</v>
      </c>
      <c r="B1" s="729"/>
      <c r="C1" s="729"/>
      <c r="D1" s="729"/>
      <c r="E1" s="729"/>
      <c r="F1" s="729"/>
      <c r="G1" s="729"/>
      <c r="H1" s="729"/>
    </row>
    <row r="2" spans="1:8" x14ac:dyDescent="0.25">
      <c r="A2" s="3" t="s">
        <v>817</v>
      </c>
      <c r="B2" s="35"/>
      <c r="C2" s="36"/>
      <c r="D2" s="37"/>
      <c r="E2" s="37"/>
    </row>
    <row r="3" spans="1:8" x14ac:dyDescent="0.25">
      <c r="A3" s="711"/>
      <c r="B3" s="712"/>
      <c r="C3" s="546"/>
      <c r="D3" s="38"/>
      <c r="E3" s="38"/>
    </row>
    <row r="11" spans="1:8" s="18" customFormat="1" hidden="1" x14ac:dyDescent="0.25">
      <c r="A11" s="18" t="s">
        <v>365</v>
      </c>
      <c r="E11" s="19"/>
      <c r="F11" s="20"/>
      <c r="G11" s="21"/>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6697E-7176-4D2A-B6D3-6E02AC0F4C82}">
  <dimension ref="A1:G83"/>
  <sheetViews>
    <sheetView workbookViewId="0">
      <selection activeCell="B82" sqref="B82"/>
    </sheetView>
  </sheetViews>
  <sheetFormatPr defaultRowHeight="14.4" x14ac:dyDescent="0.3"/>
  <cols>
    <col min="1" max="1" width="58.6640625" customWidth="1"/>
    <col min="2" max="2" width="30.88671875" customWidth="1"/>
    <col min="3" max="3" width="30.33203125" customWidth="1"/>
  </cols>
  <sheetData>
    <row r="1" spans="1:7" x14ac:dyDescent="0.3">
      <c r="A1" t="s">
        <v>818</v>
      </c>
      <c r="B1" t="s">
        <v>819</v>
      </c>
      <c r="C1" t="s">
        <v>819</v>
      </c>
      <c r="D1" s="1010" t="s">
        <v>820</v>
      </c>
      <c r="E1" s="1010"/>
      <c r="F1" s="1010"/>
      <c r="G1" s="1010"/>
    </row>
    <row r="2" spans="1:7" x14ac:dyDescent="0.3">
      <c r="A2" s="111" t="s">
        <v>821</v>
      </c>
      <c r="D2">
        <v>2013</v>
      </c>
      <c r="E2">
        <v>2016</v>
      </c>
      <c r="F2">
        <v>2019</v>
      </c>
      <c r="G2">
        <v>2025</v>
      </c>
    </row>
    <row r="3" spans="1:7" x14ac:dyDescent="0.3">
      <c r="A3" s="111" t="s">
        <v>822</v>
      </c>
    </row>
    <row r="4" spans="1:7" x14ac:dyDescent="0.3">
      <c r="A4" t="s">
        <v>823</v>
      </c>
    </row>
    <row r="5" spans="1:7" x14ac:dyDescent="0.3">
      <c r="A5" t="s">
        <v>824</v>
      </c>
    </row>
    <row r="6" spans="1:7" x14ac:dyDescent="0.3">
      <c r="A6" t="s">
        <v>825</v>
      </c>
    </row>
    <row r="7" spans="1:7" x14ac:dyDescent="0.3">
      <c r="A7" t="s">
        <v>826</v>
      </c>
    </row>
    <row r="8" spans="1:7" x14ac:dyDescent="0.3">
      <c r="A8" t="s">
        <v>827</v>
      </c>
    </row>
    <row r="9" spans="1:7" x14ac:dyDescent="0.3">
      <c r="A9" t="s">
        <v>828</v>
      </c>
    </row>
    <row r="10" spans="1:7" x14ac:dyDescent="0.3">
      <c r="A10" t="s">
        <v>829</v>
      </c>
    </row>
    <row r="11" spans="1:7" x14ac:dyDescent="0.3">
      <c r="A11" t="s">
        <v>830</v>
      </c>
    </row>
    <row r="12" spans="1:7" x14ac:dyDescent="0.3">
      <c r="A12" t="s">
        <v>831</v>
      </c>
    </row>
    <row r="13" spans="1:7" x14ac:dyDescent="0.3">
      <c r="A13" t="s">
        <v>832</v>
      </c>
    </row>
    <row r="14" spans="1:7" x14ac:dyDescent="0.3">
      <c r="A14" t="s">
        <v>833</v>
      </c>
    </row>
    <row r="15" spans="1:7" x14ac:dyDescent="0.3">
      <c r="A15" t="s">
        <v>834</v>
      </c>
    </row>
    <row r="16" spans="1:7" x14ac:dyDescent="0.3">
      <c r="A16" t="s">
        <v>835</v>
      </c>
    </row>
    <row r="17" spans="1:1" x14ac:dyDescent="0.3">
      <c r="A17" t="s">
        <v>836</v>
      </c>
    </row>
    <row r="18" spans="1:1" x14ac:dyDescent="0.3">
      <c r="A18" t="s">
        <v>837</v>
      </c>
    </row>
    <row r="19" spans="1:1" x14ac:dyDescent="0.3">
      <c r="A19" t="s">
        <v>838</v>
      </c>
    </row>
    <row r="20" spans="1:1" x14ac:dyDescent="0.3">
      <c r="A20" t="s">
        <v>839</v>
      </c>
    </row>
    <row r="21" spans="1:1" x14ac:dyDescent="0.3">
      <c r="A21" t="s">
        <v>840</v>
      </c>
    </row>
    <row r="22" spans="1:1" x14ac:dyDescent="0.3">
      <c r="A22" t="s">
        <v>841</v>
      </c>
    </row>
    <row r="23" spans="1:1" x14ac:dyDescent="0.3">
      <c r="A23" t="s">
        <v>842</v>
      </c>
    </row>
    <row r="24" spans="1:1" x14ac:dyDescent="0.3">
      <c r="A24" t="s">
        <v>843</v>
      </c>
    </row>
    <row r="25" spans="1:1" x14ac:dyDescent="0.3">
      <c r="A25" t="s">
        <v>844</v>
      </c>
    </row>
    <row r="26" spans="1:1" x14ac:dyDescent="0.3">
      <c r="A26" t="s">
        <v>845</v>
      </c>
    </row>
    <row r="27" spans="1:1" x14ac:dyDescent="0.3">
      <c r="A27" t="s">
        <v>846</v>
      </c>
    </row>
    <row r="28" spans="1:1" x14ac:dyDescent="0.3">
      <c r="A28" t="s">
        <v>847</v>
      </c>
    </row>
    <row r="29" spans="1:1" x14ac:dyDescent="0.3">
      <c r="A29" t="s">
        <v>848</v>
      </c>
    </row>
    <row r="30" spans="1:1" x14ac:dyDescent="0.3">
      <c r="A30" t="s">
        <v>849</v>
      </c>
    </row>
    <row r="31" spans="1:1" x14ac:dyDescent="0.3">
      <c r="A31" t="s">
        <v>850</v>
      </c>
    </row>
    <row r="32" spans="1:1" x14ac:dyDescent="0.3">
      <c r="A32" t="s">
        <v>851</v>
      </c>
    </row>
    <row r="33" spans="1:1" x14ac:dyDescent="0.3">
      <c r="A33" t="s">
        <v>852</v>
      </c>
    </row>
    <row r="34" spans="1:1" x14ac:dyDescent="0.3">
      <c r="A34" t="s">
        <v>853</v>
      </c>
    </row>
    <row r="35" spans="1:1" x14ac:dyDescent="0.3">
      <c r="A35" t="s">
        <v>854</v>
      </c>
    </row>
    <row r="36" spans="1:1" x14ac:dyDescent="0.3">
      <c r="A36" t="s">
        <v>855</v>
      </c>
    </row>
    <row r="37" spans="1:1" x14ac:dyDescent="0.3">
      <c r="A37" t="s">
        <v>856</v>
      </c>
    </row>
    <row r="38" spans="1:1" x14ac:dyDescent="0.3">
      <c r="A38" t="s">
        <v>857</v>
      </c>
    </row>
    <row r="39" spans="1:1" x14ac:dyDescent="0.3">
      <c r="A39" t="s">
        <v>858</v>
      </c>
    </row>
    <row r="40" spans="1:1" x14ac:dyDescent="0.3">
      <c r="A40" t="s">
        <v>859</v>
      </c>
    </row>
    <row r="41" spans="1:1" x14ac:dyDescent="0.3">
      <c r="A41" t="s">
        <v>860</v>
      </c>
    </row>
    <row r="42" spans="1:1" x14ac:dyDescent="0.3">
      <c r="A42" t="s">
        <v>861</v>
      </c>
    </row>
    <row r="43" spans="1:1" x14ac:dyDescent="0.3">
      <c r="A43" t="s">
        <v>862</v>
      </c>
    </row>
    <row r="44" spans="1:1" x14ac:dyDescent="0.3">
      <c r="A44" t="s">
        <v>175</v>
      </c>
    </row>
    <row r="45" spans="1:1" x14ac:dyDescent="0.3">
      <c r="A45" t="s">
        <v>863</v>
      </c>
    </row>
    <row r="46" spans="1:1" x14ac:dyDescent="0.3">
      <c r="A46" t="s">
        <v>864</v>
      </c>
    </row>
    <row r="47" spans="1:1" x14ac:dyDescent="0.3">
      <c r="A47" t="s">
        <v>865</v>
      </c>
    </row>
    <row r="48" spans="1:1" x14ac:dyDescent="0.3">
      <c r="A48" t="s">
        <v>866</v>
      </c>
    </row>
    <row r="49" spans="1:1" x14ac:dyDescent="0.3">
      <c r="A49" t="s">
        <v>867</v>
      </c>
    </row>
    <row r="50" spans="1:1" x14ac:dyDescent="0.3">
      <c r="A50" t="s">
        <v>868</v>
      </c>
    </row>
    <row r="51" spans="1:1" x14ac:dyDescent="0.3">
      <c r="A51" t="s">
        <v>869</v>
      </c>
    </row>
    <row r="52" spans="1:1" x14ac:dyDescent="0.3">
      <c r="A52" t="s">
        <v>870</v>
      </c>
    </row>
    <row r="53" spans="1:1" x14ac:dyDescent="0.3">
      <c r="A53" t="s">
        <v>871</v>
      </c>
    </row>
    <row r="54" spans="1:1" x14ac:dyDescent="0.3">
      <c r="A54" t="s">
        <v>872</v>
      </c>
    </row>
    <row r="55" spans="1:1" x14ac:dyDescent="0.3">
      <c r="A55" t="s">
        <v>136</v>
      </c>
    </row>
    <row r="56" spans="1:1" x14ac:dyDescent="0.3">
      <c r="A56" t="s">
        <v>873</v>
      </c>
    </row>
    <row r="57" spans="1:1" x14ac:dyDescent="0.3">
      <c r="A57" t="s">
        <v>874</v>
      </c>
    </row>
    <row r="58" spans="1:1" x14ac:dyDescent="0.3">
      <c r="A58" t="s">
        <v>875</v>
      </c>
    </row>
    <row r="59" spans="1:1" x14ac:dyDescent="0.3">
      <c r="A59" t="s">
        <v>876</v>
      </c>
    </row>
    <row r="60" spans="1:1" x14ac:dyDescent="0.3">
      <c r="A60" t="s">
        <v>877</v>
      </c>
    </row>
    <row r="61" spans="1:1" x14ac:dyDescent="0.3">
      <c r="A61" t="s">
        <v>878</v>
      </c>
    </row>
    <row r="62" spans="1:1" x14ac:dyDescent="0.3">
      <c r="A62" t="s">
        <v>192</v>
      </c>
    </row>
    <row r="63" spans="1:1" x14ac:dyDescent="0.3">
      <c r="A63" t="s">
        <v>183</v>
      </c>
    </row>
    <row r="64" spans="1:1" x14ac:dyDescent="0.3">
      <c r="A64" t="s">
        <v>879</v>
      </c>
    </row>
    <row r="65" spans="1:1" x14ac:dyDescent="0.3">
      <c r="A65" t="s">
        <v>880</v>
      </c>
    </row>
    <row r="66" spans="1:1" x14ac:dyDescent="0.3">
      <c r="A66" t="s">
        <v>881</v>
      </c>
    </row>
    <row r="67" spans="1:1" x14ac:dyDescent="0.3">
      <c r="A67" t="s">
        <v>882</v>
      </c>
    </row>
    <row r="68" spans="1:1" x14ac:dyDescent="0.3">
      <c r="A68" t="s">
        <v>883</v>
      </c>
    </row>
    <row r="69" spans="1:1" x14ac:dyDescent="0.3">
      <c r="A69" t="s">
        <v>884</v>
      </c>
    </row>
    <row r="70" spans="1:1" x14ac:dyDescent="0.3">
      <c r="A70" t="s">
        <v>885</v>
      </c>
    </row>
    <row r="71" spans="1:1" x14ac:dyDescent="0.3">
      <c r="A71" t="s">
        <v>886</v>
      </c>
    </row>
    <row r="72" spans="1:1" x14ac:dyDescent="0.3">
      <c r="A72" t="s">
        <v>887</v>
      </c>
    </row>
    <row r="73" spans="1:1" x14ac:dyDescent="0.3">
      <c r="A73" t="s">
        <v>888</v>
      </c>
    </row>
    <row r="74" spans="1:1" x14ac:dyDescent="0.3">
      <c r="A74" t="s">
        <v>889</v>
      </c>
    </row>
    <row r="75" spans="1:1" x14ac:dyDescent="0.3">
      <c r="A75" t="s">
        <v>890</v>
      </c>
    </row>
    <row r="76" spans="1:1" x14ac:dyDescent="0.3">
      <c r="A76" t="s">
        <v>891</v>
      </c>
    </row>
    <row r="77" spans="1:1" x14ac:dyDescent="0.3">
      <c r="A77" t="s">
        <v>892</v>
      </c>
    </row>
    <row r="78" spans="1:1" x14ac:dyDescent="0.3">
      <c r="A78" t="s">
        <v>893</v>
      </c>
    </row>
    <row r="79" spans="1:1" x14ac:dyDescent="0.3">
      <c r="A79" t="s">
        <v>894</v>
      </c>
    </row>
    <row r="80" spans="1:1" x14ac:dyDescent="0.3">
      <c r="A80" t="s">
        <v>895</v>
      </c>
    </row>
    <row r="81" spans="1:1" x14ac:dyDescent="0.3">
      <c r="A81" t="s">
        <v>896</v>
      </c>
    </row>
    <row r="82" spans="1:1" x14ac:dyDescent="0.3">
      <c r="A82" t="s">
        <v>897</v>
      </c>
    </row>
    <row r="83" spans="1:1" x14ac:dyDescent="0.3">
      <c r="A83" t="s">
        <v>898</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3.xml><?xml version="1.0" encoding="utf-8"?>
<ds:datastoreItem xmlns:ds="http://schemas.openxmlformats.org/officeDocument/2006/customXml" ds:itemID="{CF52CB66-5FE7-42BE-8B89-7C5D3A7986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D098E96-F6E2-4690-967F-43ECBB6989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Ventilation</vt:lpstr>
      <vt:lpstr>Thermostat</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2026-10-07T17:09:09Z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MSIP_Label_aa7be39c-9e9f-446a-a199-286f73f56a3f_Tag">
    <vt:lpwstr>10, 3, 0, 2</vt:lpwstr>
  </property>
  <property fmtid="{D5CDD505-2E9C-101B-9397-08002B2CF9AE}" pid="19" name="xd_ProgID">
    <vt:lpwstr/>
  </property>
  <property fmtid="{D5CDD505-2E9C-101B-9397-08002B2CF9AE}" pid="20" name="ComplianceAssetId">
    <vt:lpwstr/>
  </property>
  <property fmtid="{D5CDD505-2E9C-101B-9397-08002B2CF9AE}" pid="21" name="TemplateUrl">
    <vt:lpwstr/>
  </property>
  <property fmtid="{D5CDD505-2E9C-101B-9397-08002B2CF9AE}" pid="22" name="_ExtendedDescription">
    <vt:lpwstr/>
  </property>
  <property fmtid="{D5CDD505-2E9C-101B-9397-08002B2CF9AE}" pid="23" name="TriggerFlowInfo">
    <vt:lpwstr/>
  </property>
  <property fmtid="{D5CDD505-2E9C-101B-9397-08002B2CF9AE}" pid="24" name="xd_Signature">
    <vt:bool>false</vt:bool>
  </property>
</Properties>
</file>