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34D5F955-ADF9-4B76-9F4A-4739B9F4A9E5}"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2" hidden="1">Zones!$C$2:$N$20</definedName>
    <definedName name="nonparticipating_forecastzone_scale_factor" localSheetId="7">#REF!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8" l="1"/>
  <c r="I15" i="13"/>
  <c r="H15" i="13"/>
  <c r="C15" i="18"/>
  <c r="G4" i="33"/>
  <c r="F4" i="33"/>
  <c r="E4" i="33"/>
  <c r="A24" i="33" l="1"/>
  <c r="A23" i="33"/>
  <c r="A22" i="33"/>
  <c r="A21" i="33"/>
  <c r="A20" i="33"/>
  <c r="A19" i="33"/>
  <c r="A18" i="33"/>
  <c r="A17" i="33"/>
  <c r="A16" i="33"/>
  <c r="A15" i="33"/>
  <c r="A14" i="33"/>
  <c r="A13" i="33"/>
  <c r="A12" i="33"/>
  <c r="A11" i="33"/>
  <c r="A10" i="33"/>
  <c r="A9" i="33"/>
  <c r="A8" i="33"/>
  <c r="I56" i="33"/>
  <c r="P17" i="13" l="1"/>
  <c r="N1" i="20"/>
  <c r="K18" i="20"/>
  <c r="J18" i="20"/>
  <c r="L18" i="20" s="1"/>
  <c r="K17" i="20"/>
  <c r="J17" i="20"/>
  <c r="K16" i="20"/>
  <c r="J16" i="20"/>
  <c r="L16" i="20" s="1"/>
  <c r="K15" i="20"/>
  <c r="J15" i="20"/>
  <c r="K14" i="20"/>
  <c r="J14" i="20"/>
  <c r="L14" i="20" s="1"/>
  <c r="K13" i="20"/>
  <c r="J13" i="20"/>
  <c r="L13" i="20" s="1"/>
  <c r="K12" i="20"/>
  <c r="J12" i="20"/>
  <c r="L12" i="20" s="1"/>
  <c r="K11" i="20"/>
  <c r="J11" i="20"/>
  <c r="L11" i="20" s="1"/>
  <c r="K10" i="20"/>
  <c r="J10" i="20"/>
  <c r="L10" i="20" s="1"/>
  <c r="K9" i="20"/>
  <c r="J9" i="20"/>
  <c r="L9" i="20" s="1"/>
  <c r="K8" i="20"/>
  <c r="J8" i="20"/>
  <c r="K7" i="20"/>
  <c r="J7" i="20"/>
  <c r="L7" i="20" s="1"/>
  <c r="K6" i="20"/>
  <c r="J6" i="20"/>
  <c r="K5" i="20"/>
  <c r="J5" i="20"/>
  <c r="L5" i="20" s="1"/>
  <c r="K4" i="20"/>
  <c r="J4" i="20"/>
  <c r="L4" i="20" s="1"/>
  <c r="K3" i="20"/>
  <c r="J3" i="20"/>
  <c r="L3" i="20" s="1"/>
  <c r="L6" i="20" l="1"/>
  <c r="L8" i="20"/>
  <c r="L15" i="20"/>
  <c r="L17" i="20"/>
  <c r="P4" i="13" l="1"/>
  <c r="P5" i="13"/>
  <c r="P6" i="13"/>
  <c r="P7" i="13"/>
  <c r="P8" i="13"/>
  <c r="P9" i="13"/>
  <c r="P10" i="13"/>
  <c r="P11" i="13"/>
  <c r="P12" i="13"/>
  <c r="P13" i="13"/>
  <c r="P14" i="13"/>
  <c r="P15" i="13"/>
  <c r="P16" i="13"/>
  <c r="P18" i="13"/>
  <c r="P19" i="13"/>
  <c r="P3" i="13"/>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F30" i="28"/>
  <c r="P28" i="28"/>
  <c r="Q28" i="28"/>
  <c r="R28" i="28"/>
  <c r="S28" i="28"/>
  <c r="T28" i="28"/>
  <c r="U28" i="28"/>
  <c r="V28" i="28"/>
  <c r="W28" i="28"/>
  <c r="X28" i="28"/>
  <c r="Y28" i="28"/>
  <c r="Z28" i="28"/>
  <c r="AA28" i="28"/>
  <c r="AB28" i="28"/>
  <c r="AC28" i="28"/>
  <c r="P29" i="28"/>
  <c r="Q29" i="28"/>
  <c r="R29" i="28"/>
  <c r="S29" i="28"/>
  <c r="T29" i="28"/>
  <c r="U29" i="28"/>
  <c r="V29" i="28"/>
  <c r="W29" i="28"/>
  <c r="X29" i="28"/>
  <c r="Y29" i="28"/>
  <c r="Z29" i="28"/>
  <c r="AA29" i="28"/>
  <c r="AB29" i="28"/>
  <c r="AC29" i="28"/>
  <c r="P30" i="28"/>
  <c r="Q30" i="28"/>
  <c r="R30" i="28"/>
  <c r="S30" i="28"/>
  <c r="T30" i="28"/>
  <c r="U30" i="28"/>
  <c r="V30" i="28"/>
  <c r="W30" i="28"/>
  <c r="X30" i="28"/>
  <c r="Y30" i="28"/>
  <c r="Z30" i="28"/>
  <c r="AA30" i="28"/>
  <c r="AB30" i="28"/>
  <c r="AC30" i="28"/>
  <c r="G28" i="28"/>
  <c r="H28" i="28"/>
  <c r="I28" i="28"/>
  <c r="J28" i="28"/>
  <c r="K28" i="28"/>
  <c r="L28" i="28"/>
  <c r="M28" i="28"/>
  <c r="N28" i="28"/>
  <c r="O28" i="28"/>
  <c r="G29" i="28"/>
  <c r="H29" i="28"/>
  <c r="I29" i="28"/>
  <c r="J29" i="28"/>
  <c r="K29" i="28"/>
  <c r="L29" i="28"/>
  <c r="M29" i="28"/>
  <c r="N29" i="28"/>
  <c r="O29" i="28"/>
  <c r="G30" i="28"/>
  <c r="H30" i="28"/>
  <c r="I30" i="28"/>
  <c r="J30" i="28"/>
  <c r="K30" i="28"/>
  <c r="L30" i="28"/>
  <c r="M30" i="28"/>
  <c r="N30" i="28"/>
  <c r="O30" i="28"/>
  <c r="F29" i="28"/>
  <c r="F28"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G56" i="28"/>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AC58" i="28"/>
  <c r="F58" i="28"/>
  <c r="F57" i="28"/>
  <c r="F56" i="28"/>
  <c r="F55" i="28"/>
  <c r="F54" i="28"/>
  <c r="F53" i="28"/>
  <c r="C13" i="9" l="1"/>
  <c r="G13" i="9"/>
  <c r="B19" i="9"/>
  <c r="I16" i="18" l="1"/>
  <c r="H19" i="13" l="1"/>
  <c r="H18" i="13"/>
  <c r="H17" i="13"/>
  <c r="H16" i="13"/>
  <c r="H14" i="13"/>
  <c r="H13" i="13"/>
  <c r="H12" i="13"/>
  <c r="H11" i="13"/>
  <c r="H10" i="13"/>
  <c r="H9" i="13"/>
  <c r="H8" i="13"/>
  <c r="H7" i="13"/>
  <c r="H6" i="13"/>
  <c r="H5" i="13"/>
  <c r="H4" i="13"/>
  <c r="H3" i="13"/>
  <c r="L3" i="13" s="1"/>
  <c r="J3" i="13"/>
  <c r="I3" i="13"/>
  <c r="M3" i="13" l="1"/>
  <c r="D8" i="33" s="1"/>
  <c r="F8" i="33" s="1"/>
  <c r="C8" i="33"/>
  <c r="C3" i="18"/>
  <c r="H20" i="13"/>
  <c r="L19" i="13"/>
  <c r="L18" i="13"/>
  <c r="L17" i="13"/>
  <c r="L8" i="13"/>
  <c r="L7" i="13"/>
  <c r="L16" i="13"/>
  <c r="L11" i="13"/>
  <c r="L12" i="13"/>
  <c r="L10" i="13"/>
  <c r="L15" i="13"/>
  <c r="L14" i="13"/>
  <c r="L13" i="13"/>
  <c r="L9" i="13"/>
  <c r="L6" i="13"/>
  <c r="L5" i="13"/>
  <c r="L4" i="13"/>
  <c r="G8" i="33" l="1"/>
  <c r="L20" i="13"/>
  <c r="B3" i="18"/>
  <c r="G14" i="9"/>
  <c r="I18" i="1"/>
  <c r="I13" i="1"/>
  <c r="G11" i="9" l="1"/>
  <c r="G10" i="9"/>
  <c r="I19" i="13" l="1"/>
  <c r="C24" i="33" s="1"/>
  <c r="I18" i="13"/>
  <c r="C23" i="33" s="1"/>
  <c r="I17" i="13"/>
  <c r="C22" i="33" s="1"/>
  <c r="C17" i="18" l="1"/>
  <c r="I17" i="18" s="1"/>
  <c r="C18" i="18"/>
  <c r="H18" i="18" s="1"/>
  <c r="C19" i="18"/>
  <c r="H19" i="18" s="1"/>
  <c r="A16" i="18"/>
  <c r="A17" i="18"/>
  <c r="A18" i="18"/>
  <c r="A19" i="18"/>
  <c r="A12" i="18"/>
  <c r="A13" i="18"/>
  <c r="A14" i="18"/>
  <c r="A15" i="18"/>
  <c r="A4" i="18"/>
  <c r="A5" i="18"/>
  <c r="A6" i="18"/>
  <c r="A7" i="18"/>
  <c r="A8" i="18"/>
  <c r="A9" i="18"/>
  <c r="A10" i="18"/>
  <c r="A11" i="18"/>
  <c r="A3" i="18"/>
  <c r="J19" i="13"/>
  <c r="J18" i="13"/>
  <c r="J17" i="13"/>
  <c r="J16" i="13"/>
  <c r="J15" i="13"/>
  <c r="J14" i="13"/>
  <c r="J13" i="13"/>
  <c r="J12" i="13"/>
  <c r="J11" i="13"/>
  <c r="J6" i="13"/>
  <c r="J5" i="13"/>
  <c r="J4" i="13"/>
  <c r="J10" i="13"/>
  <c r="J9" i="13"/>
  <c r="J8" i="13"/>
  <c r="J7" i="13"/>
  <c r="M17" i="13"/>
  <c r="D22" i="33" s="1"/>
  <c r="F22" i="33" s="1"/>
  <c r="G22" i="33" s="1"/>
  <c r="M18" i="13"/>
  <c r="D23" i="33" s="1"/>
  <c r="F23" i="33" s="1"/>
  <c r="G23" i="33" s="1"/>
  <c r="M19" i="13"/>
  <c r="D24" i="33" s="1"/>
  <c r="F24" i="33" s="1"/>
  <c r="G24" i="33" s="1"/>
  <c r="B19" i="18" l="1"/>
  <c r="G19" i="18" s="1"/>
  <c r="I19" i="18"/>
  <c r="J19" i="18" s="1"/>
  <c r="I18" i="18"/>
  <c r="H17" i="18"/>
  <c r="B18" i="18"/>
  <c r="G18" i="18" s="1"/>
  <c r="B17" i="18"/>
  <c r="G17" i="18" s="1"/>
  <c r="J17" i="18" s="1"/>
  <c r="J18" i="18" l="1"/>
  <c r="I12" i="13"/>
  <c r="C17" i="33" s="1"/>
  <c r="M12" i="13" l="1"/>
  <c r="D17" i="33" s="1"/>
  <c r="F17" i="33" s="1"/>
  <c r="G17" i="33" s="1"/>
  <c r="C12" i="18"/>
  <c r="I6" i="13"/>
  <c r="C11" i="33" s="1"/>
  <c r="I5" i="13"/>
  <c r="C10" i="33" s="1"/>
  <c r="I4" i="13"/>
  <c r="C9" i="33" s="1"/>
  <c r="I10" i="13"/>
  <c r="C15" i="33" s="1"/>
  <c r="I9" i="13"/>
  <c r="C14" i="33" s="1"/>
  <c r="I8" i="13"/>
  <c r="C13" i="33" s="1"/>
  <c r="I7" i="13"/>
  <c r="C12" i="33" s="1"/>
  <c r="I16" i="13"/>
  <c r="C21" i="33" s="1"/>
  <c r="C20" i="33"/>
  <c r="I14" i="13"/>
  <c r="C19" i="33" s="1"/>
  <c r="I13" i="13"/>
  <c r="C18" i="33" s="1"/>
  <c r="I11" i="13"/>
  <c r="C16" i="33" s="1"/>
  <c r="I20" i="13" l="1"/>
  <c r="G4" i="13" s="1"/>
  <c r="M6" i="13"/>
  <c r="D11" i="33" s="1"/>
  <c r="F11" i="33" s="1"/>
  <c r="G11" i="33" s="1"/>
  <c r="C6" i="18"/>
  <c r="C5" i="18"/>
  <c r="M5" i="13"/>
  <c r="D10" i="33" s="1"/>
  <c r="F10" i="33" s="1"/>
  <c r="G10" i="33" s="1"/>
  <c r="C14" i="18"/>
  <c r="M14" i="13"/>
  <c r="D19" i="33" s="1"/>
  <c r="F19" i="33" s="1"/>
  <c r="G19" i="33" s="1"/>
  <c r="H12" i="18"/>
  <c r="I12" i="18"/>
  <c r="C11" i="18"/>
  <c r="M11" i="13"/>
  <c r="D16" i="33" s="1"/>
  <c r="F16" i="33" s="1"/>
  <c r="G16" i="33" s="1"/>
  <c r="M13" i="13"/>
  <c r="D18" i="33" s="1"/>
  <c r="F18" i="33" s="1"/>
  <c r="G18" i="33" s="1"/>
  <c r="C13" i="18"/>
  <c r="M8" i="13"/>
  <c r="D13" i="33" s="1"/>
  <c r="F13" i="33" s="1"/>
  <c r="G13" i="33" s="1"/>
  <c r="C8" i="18"/>
  <c r="B12" i="18"/>
  <c r="G12" i="18" s="1"/>
  <c r="M15" i="13"/>
  <c r="D20" i="33" s="1"/>
  <c r="F20" i="33" s="1"/>
  <c r="G20" i="33" s="1"/>
  <c r="C16" i="18"/>
  <c r="H16" i="18" s="1"/>
  <c r="M16" i="13"/>
  <c r="D21" i="33" s="1"/>
  <c r="F21" i="33" s="1"/>
  <c r="G21" i="33" s="1"/>
  <c r="M7" i="13"/>
  <c r="D12" i="33" s="1"/>
  <c r="F12" i="33" s="1"/>
  <c r="G12" i="33" s="1"/>
  <c r="C7" i="18"/>
  <c r="M9" i="13"/>
  <c r="D14" i="33" s="1"/>
  <c r="F14" i="33" s="1"/>
  <c r="G14" i="33" s="1"/>
  <c r="C9" i="18"/>
  <c r="C10" i="18"/>
  <c r="M10" i="13"/>
  <c r="D15" i="33" s="1"/>
  <c r="F15" i="33" s="1"/>
  <c r="G15" i="33" s="1"/>
  <c r="M4" i="13"/>
  <c r="D9" i="33" s="1"/>
  <c r="F9" i="33" s="1"/>
  <c r="C4" i="18"/>
  <c r="G9" i="33" l="1"/>
  <c r="F26" i="33"/>
  <c r="F25" i="33"/>
  <c r="J12" i="18"/>
  <c r="G13" i="13"/>
  <c r="G18" i="13"/>
  <c r="G5" i="13"/>
  <c r="G11" i="13"/>
  <c r="G12" i="13"/>
  <c r="G14" i="13"/>
  <c r="G19" i="13"/>
  <c r="G16" i="13"/>
  <c r="G10" i="13"/>
  <c r="G8" i="13"/>
  <c r="G7" i="13"/>
  <c r="G17" i="13"/>
  <c r="G6" i="13"/>
  <c r="G15" i="13"/>
  <c r="G9" i="13"/>
  <c r="G3" i="13"/>
  <c r="B15" i="18"/>
  <c r="G15" i="18" s="1"/>
  <c r="H15" i="18"/>
  <c r="B6" i="18"/>
  <c r="G6" i="18" s="1"/>
  <c r="I5" i="18"/>
  <c r="H5" i="18"/>
  <c r="H13" i="18"/>
  <c r="I13" i="18"/>
  <c r="I11" i="18"/>
  <c r="H11" i="18"/>
  <c r="B9" i="18"/>
  <c r="G9" i="18" s="1"/>
  <c r="H6" i="18"/>
  <c r="I6" i="18"/>
  <c r="H4" i="18"/>
  <c r="I4" i="18"/>
  <c r="B8" i="18"/>
  <c r="G8" i="18" s="1"/>
  <c r="B5" i="18"/>
  <c r="G5" i="18" s="1"/>
  <c r="I8" i="18"/>
  <c r="H8" i="18"/>
  <c r="B4" i="18"/>
  <c r="G4" i="18" s="1"/>
  <c r="M20" i="13"/>
  <c r="B13" i="18"/>
  <c r="G13" i="18" s="1"/>
  <c r="B14" i="18"/>
  <c r="G14" i="18" s="1"/>
  <c r="H10" i="18"/>
  <c r="I10" i="18"/>
  <c r="B11" i="18"/>
  <c r="G11" i="18" s="1"/>
  <c r="H7" i="18"/>
  <c r="I7" i="18"/>
  <c r="B10" i="18"/>
  <c r="G10" i="18" s="1"/>
  <c r="H9" i="18"/>
  <c r="I9" i="18"/>
  <c r="B7" i="18"/>
  <c r="G7" i="18" s="1"/>
  <c r="B16" i="18"/>
  <c r="G16" i="18" s="1"/>
  <c r="J16" i="18" s="1"/>
  <c r="I14" i="18"/>
  <c r="H14" i="18"/>
  <c r="B29" i="33" l="1"/>
  <c r="J7" i="18"/>
  <c r="J15" i="18"/>
  <c r="J9" i="18"/>
  <c r="J14" i="18"/>
  <c r="J11" i="18"/>
  <c r="J13" i="18"/>
  <c r="J5" i="18"/>
  <c r="J10" i="18"/>
  <c r="J4" i="18"/>
  <c r="J6" i="18"/>
  <c r="J8" i="18"/>
  <c r="J1" i="21"/>
  <c r="A1" i="21"/>
  <c r="A7" i="9"/>
  <c r="F37" i="33" l="1"/>
  <c r="F38" i="33"/>
  <c r="F39" i="33"/>
  <c r="F40" i="33"/>
  <c r="F41" i="33"/>
  <c r="F42" i="33"/>
  <c r="F43" i="33"/>
  <c r="F44" i="33"/>
  <c r="F45" i="33"/>
  <c r="F46" i="33"/>
  <c r="F47" i="33"/>
  <c r="F48" i="33"/>
  <c r="F49" i="33"/>
  <c r="F50" i="33"/>
  <c r="F51" i="33"/>
  <c r="C37" i="33"/>
  <c r="D37" i="33" s="1"/>
  <c r="E37" i="33" s="1"/>
  <c r="G37" i="33" s="1"/>
  <c r="I37" i="33" s="1"/>
  <c r="C38" i="33"/>
  <c r="D38" i="33" s="1"/>
  <c r="E38" i="33" s="1"/>
  <c r="G38" i="33" s="1"/>
  <c r="I38" i="33" s="1"/>
  <c r="C39" i="33"/>
  <c r="D39" i="33" s="1"/>
  <c r="E39" i="33" s="1"/>
  <c r="G39" i="33" s="1"/>
  <c r="I39" i="33" s="1"/>
  <c r="C40" i="33"/>
  <c r="D40" i="33" s="1"/>
  <c r="E40" i="33" s="1"/>
  <c r="G40" i="33" s="1"/>
  <c r="I40" i="33" s="1"/>
  <c r="C41" i="33"/>
  <c r="D41" i="33" s="1"/>
  <c r="E41" i="33" s="1"/>
  <c r="G41" i="33" s="1"/>
  <c r="I41" i="33" s="1"/>
  <c r="C42" i="33"/>
  <c r="D42" i="33" s="1"/>
  <c r="E42" i="33" s="1"/>
  <c r="G42" i="33" s="1"/>
  <c r="I42" i="33" s="1"/>
  <c r="C43" i="33"/>
  <c r="D43" i="33" s="1"/>
  <c r="E43" i="33" s="1"/>
  <c r="G43" i="33" s="1"/>
  <c r="I43" i="33" s="1"/>
  <c r="C44" i="33"/>
  <c r="D44" i="33" s="1"/>
  <c r="E44" i="33" s="1"/>
  <c r="G44" i="33" s="1"/>
  <c r="I44" i="33" s="1"/>
  <c r="C45" i="33"/>
  <c r="D45" i="33" s="1"/>
  <c r="E45" i="33" s="1"/>
  <c r="G45" i="33" s="1"/>
  <c r="I45" i="33" s="1"/>
  <c r="C46" i="33"/>
  <c r="D46" i="33" s="1"/>
  <c r="E46" i="33" s="1"/>
  <c r="G46" i="33" s="1"/>
  <c r="I46" i="33" s="1"/>
  <c r="C47" i="33"/>
  <c r="D47" i="33" s="1"/>
  <c r="E47" i="33" s="1"/>
  <c r="G47" i="33" s="1"/>
  <c r="I47" i="33" s="1"/>
  <c r="C48" i="33"/>
  <c r="D48" i="33" s="1"/>
  <c r="E48" i="33" s="1"/>
  <c r="G48" i="33" s="1"/>
  <c r="I48" i="33" s="1"/>
  <c r="C49" i="33"/>
  <c r="D49" i="33" s="1"/>
  <c r="E49" i="33" s="1"/>
  <c r="G49" i="33" s="1"/>
  <c r="I49" i="33" s="1"/>
  <c r="C50" i="33"/>
  <c r="D50" i="33" s="1"/>
  <c r="E50" i="33" s="1"/>
  <c r="G50" i="33" s="1"/>
  <c r="I50" i="33" s="1"/>
  <c r="C51" i="33"/>
  <c r="D51" i="33" s="1"/>
  <c r="E51" i="33" s="1"/>
  <c r="G51" i="33" s="1"/>
  <c r="I51" i="33" s="1"/>
  <c r="F36" i="33"/>
  <c r="C36" i="33"/>
  <c r="D36" i="33" s="1"/>
  <c r="E36" i="33" s="1"/>
  <c r="G36" i="33" s="1"/>
  <c r="I36" i="33" s="1"/>
  <c r="J4" i="21"/>
  <c r="A4" i="21"/>
  <c r="G12" i="9"/>
  <c r="G15" i="9" s="1"/>
  <c r="G9" i="9" l="1"/>
  <c r="A3" i="9" s="1"/>
  <c r="A1" i="25"/>
  <c r="A1" i="31"/>
  <c r="J14" i="1" l="1"/>
  <c r="K14" i="1"/>
  <c r="L14" i="1"/>
  <c r="M14" i="1"/>
  <c r="N14" i="1"/>
  <c r="O14" i="1"/>
  <c r="P14" i="1"/>
  <c r="Q14" i="1"/>
  <c r="R14" i="1"/>
  <c r="S14" i="1"/>
  <c r="T14" i="1"/>
  <c r="U14" i="1"/>
  <c r="V14" i="1"/>
  <c r="W14" i="1"/>
  <c r="X14" i="1"/>
  <c r="I14" i="1"/>
  <c r="G16" i="9" l="1"/>
  <c r="B3" i="9"/>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J13" i="1"/>
  <c r="K13" i="1"/>
  <c r="L13" i="1"/>
  <c r="M13" i="1"/>
  <c r="N13" i="1"/>
  <c r="O13" i="1"/>
  <c r="P13" i="1"/>
  <c r="Q13" i="1"/>
  <c r="R13" i="1"/>
  <c r="S13" i="1"/>
  <c r="T13" i="1"/>
  <c r="U13" i="1"/>
  <c r="V13" i="1"/>
  <c r="W13" i="1"/>
  <c r="X13" i="1"/>
  <c r="C3" i="9" l="1"/>
  <c r="I3" i="18"/>
  <c r="H3" i="18" l="1"/>
  <c r="G3" i="18"/>
  <c r="J3" i="18" l="1"/>
  <c r="B3" i="1" l="1"/>
  <c r="B18" i="1" s="1"/>
  <c r="B8" i="1" l="1"/>
  <c r="B13" i="1"/>
  <c r="A1" i="13" l="1"/>
  <c r="A1" i="27" l="1"/>
  <c r="A1" i="22"/>
  <c r="A1" i="28"/>
  <c r="A1" i="29"/>
  <c r="A1" i="9"/>
  <c r="A1" i="1"/>
  <c r="A1" i="14"/>
  <c r="AB4" i="21" l="1"/>
  <c r="AB5" i="21"/>
  <c r="AB6" i="21"/>
  <c r="AB7" i="21"/>
  <c r="AB8" i="21"/>
  <c r="H5" i="21"/>
  <c r="H6" i="21"/>
  <c r="H7" i="21"/>
  <c r="H8" i="21"/>
  <c r="H9" i="21"/>
  <c r="H10" i="21"/>
  <c r="H11" i="21"/>
  <c r="H12" i="21"/>
  <c r="H13" i="21"/>
  <c r="H14" i="21"/>
  <c r="H15" i="21"/>
  <c r="H16" i="21"/>
  <c r="H17" i="21"/>
  <c r="H18" i="21"/>
  <c r="H19" i="21"/>
  <c r="H4" i="2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<sst xmlns="http://schemas.openxmlformats.org/spreadsheetml/2006/main" count="1044" uniqueCount="518">
  <si>
    <t>Data Sources</t>
  </si>
  <si>
    <t>Dataset</t>
  </si>
  <si>
    <t>Dodge 2023</t>
  </si>
  <si>
    <r>
      <t>Commercial End-Use Survey</t>
    </r>
    <r>
      <rPr>
        <sz val="10"/>
        <rFont val="Arial"/>
        <family val="2"/>
      </rPr>
      <t xml:space="preserve"> (CEUS) 2022</t>
    </r>
  </si>
  <si>
    <t>https://www.energy.ca.gov/publications/2023/2022-california-commercial-end-use-survey-ceus-final-report</t>
  </si>
  <si>
    <t>Comstock 2023</t>
  </si>
  <si>
    <t>https://data.openei.org/s3_viewer?bucket=oedi-data-lake&amp;prefix=nrel-pds-building-stock%2Fend-use-load-profiles-for-us-building-stock%2F2023%2Fcomstock_amy2018_release_2%2Fmetadata_and_annual_results%2Fby_state%2Fstate%3DCA%2F</t>
  </si>
  <si>
    <t xml:space="preserve"> </t>
  </si>
  <si>
    <t>Prototype</t>
  </si>
  <si>
    <r>
      <t>CEC Assembly prototype</t>
    </r>
    <r>
      <rPr>
        <sz val="10"/>
        <rFont val="Arial"/>
      </rPr>
      <t xml:space="preserve"> (CBECC 2022.3.1)</t>
    </r>
  </si>
  <si>
    <t>https://bees.noresco.com/software2022.html</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</si>
  <si>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</si>
  <si>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</si>
  <si>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</si>
  <si>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</si>
  <si>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</si>
  <si>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</si>
  <si>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</si>
  <si>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t>CFR Title 10 (2008, 2010, 2025)</t>
  </si>
  <si>
    <t>ACM 2022</t>
  </si>
  <si>
    <t>T24 2022 - Appendix 5.4A and Appendix 5.4B</t>
  </si>
  <si>
    <t>https://www.energy.ca.gov/publications/2022/2022-nonresidential-and-multifamily-alternative-calculation-method-reference</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</si>
  <si>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</si>
  <si>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</si>
  <si>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</si>
  <si>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</si>
  <si>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</si>
  <si>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</si>
  <si>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</si>
  <si>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</si>
  <si>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file:///N:/Prj_SUS/2023/S23668%20SCE%20CA%20Prototypes%20Development/Technical/NR/0_Input%20data/Lighting/PNNL-20405.pdf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</si>
  <si>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</si>
  <si>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</si>
  <si>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</si>
  <si>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</si>
  <si>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</si>
  <si>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</si>
  <si>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</si>
  <si>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</si>
  <si>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</si>
  <si>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</si>
  <si>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</si>
  <si>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Notes</t>
  </si>
  <si>
    <t>2025 T24</t>
  </si>
  <si>
    <t xml:space="preserve">Assembly Building is a building with meeting halls in which people gather for civic, social, or 
recreational activities. These include civic centers, convention centers and auditoriums. </t>
  </si>
  <si>
    <t>NORESCO, Updated September 2026</t>
  </si>
  <si>
    <t>Assembly</t>
  </si>
  <si>
    <t>Characteristic</t>
  </si>
  <si>
    <t>Value</t>
  </si>
  <si>
    <t>Building Type</t>
  </si>
  <si>
    <t>Building Category</t>
  </si>
  <si>
    <t>Nonresidential</t>
  </si>
  <si>
    <t>Version</t>
  </si>
  <si>
    <t>v2-0</t>
  </si>
  <si>
    <t>Vintages</t>
  </si>
  <si>
    <t>4 Vintages: Pre-1978, 1978-1997,1998-2007, 2008-2018
New Construction (2019+)</t>
  </si>
  <si>
    <r>
      <rPr>
        <sz val="10"/>
        <color rgb="FF000000"/>
        <rFont val="Arial"/>
      </rPr>
      <t xml:space="preserve">Based on the vintage bin analysis. 
</t>
    </r>
    <r>
      <rPr>
        <sz val="10"/>
        <color rgb="FF000000"/>
        <rFont val="Arial"/>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</si>
  <si>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</si>
  <si>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t>
  </si>
  <si>
    <t>Total Floor Area (ft²)</t>
  </si>
  <si>
    <t>Same as CEC</t>
  </si>
  <si>
    <t>Aspect Ratio</t>
  </si>
  <si>
    <t>It varies for different buildings.</t>
  </si>
  <si>
    <t>Number of Floors</t>
  </si>
  <si>
    <t>Roof type</t>
  </si>
  <si>
    <t>Flat</t>
  </si>
  <si>
    <t>WWR</t>
  </si>
  <si>
    <t>Shading Geometry</t>
  </si>
  <si>
    <t xml:space="preserve">No Shades </t>
  </si>
  <si>
    <t>Floor to floor height (feet)</t>
  </si>
  <si>
    <t>Library and Exhibit &amp; Events=13 ft, Religious=50 ft, Sports &amp; Rec and Terminal=25 ft</t>
  </si>
  <si>
    <t>Floor to ceiling height (feet)</t>
  </si>
  <si>
    <t>Glazing sill height (feet)</t>
  </si>
  <si>
    <t>Above grade wall area (ft²)</t>
  </si>
  <si>
    <t>Gross wall area  (ft²)</t>
  </si>
  <si>
    <t>Roof area  (ft²)</t>
  </si>
  <si>
    <t>Underground Gross Wall Area  (ft²)</t>
  </si>
  <si>
    <t>Building</t>
  </si>
  <si>
    <t>Space/Thermal Zone</t>
  </si>
  <si>
    <r>
      <rPr>
        <b/>
        <sz val="10"/>
        <color rgb="FF000000"/>
        <rFont val="Arial"/>
      </rPr>
      <t xml:space="preserve">Space Type
</t>
    </r>
    <r>
      <rPr>
        <b/>
        <sz val="10"/>
        <color rgb="FF000000"/>
        <rFont val="Arial"/>
      </rPr>
      <t>[Primarily from: T24, 2022 Appendix 5.4A] - See Notes column</t>
    </r>
  </si>
  <si>
    <t>HVAC System Name/AHU Name</t>
  </si>
  <si>
    <t>Schedule Category</t>
  </si>
  <si>
    <t>Conditioned (Y/N)</t>
  </si>
  <si>
    <t>Area Fraction</t>
  </si>
  <si>
    <t>Area (ft²) W/O Multiplier</t>
  </si>
  <si>
    <t>Area (ft²)</t>
  </si>
  <si>
    <t>Volume (ft³)</t>
  </si>
  <si>
    <t>Multipliers</t>
  </si>
  <si>
    <t>Number of People W/O Multiplier</t>
  </si>
  <si>
    <t>Number of People</t>
  </si>
  <si>
    <t xml:space="preserve">People 
(Persons/1,000 ft²)
[T24, 2025,Table 120.1-A] </t>
  </si>
  <si>
    <t>Exhibits and events</t>
  </si>
  <si>
    <t>Exhibits and events_Conference Room</t>
  </si>
  <si>
    <t>Convention, Conference, Multipurpose and Meeting Area</t>
  </si>
  <si>
    <t>AHU-1</t>
  </si>
  <si>
    <t>Yes</t>
  </si>
  <si>
    <t>Exhibits and events_Theater Area</t>
  </si>
  <si>
    <t>Theater Area (Motion Picture)</t>
  </si>
  <si>
    <t>Exhibits and events_Auditorium Area</t>
  </si>
  <si>
    <t>Auditorium Area</t>
  </si>
  <si>
    <t>Exhibits and events_Museum Area Exhibition Display</t>
  </si>
  <si>
    <t>Museum Area (Exhibition/Display)</t>
  </si>
  <si>
    <t>Library</t>
  </si>
  <si>
    <t>Library_Conference Room</t>
  </si>
  <si>
    <t>AHU-2</t>
  </si>
  <si>
    <t>Library_Reading Area</t>
  </si>
  <si>
    <t>Library (Reading Area)</t>
  </si>
  <si>
    <t>Library_Stacks Area</t>
  </si>
  <si>
    <t>Library (Stacks Area)</t>
  </si>
  <si>
    <t>Library_Lobby Main Entry</t>
  </si>
  <si>
    <t>Lobby, Main Entry</t>
  </si>
  <si>
    <t>religious</t>
  </si>
  <si>
    <t>Religious_Conference Room</t>
  </si>
  <si>
    <t>AHU-3</t>
  </si>
  <si>
    <t>Religious_General Office</t>
  </si>
  <si>
    <t>Office Area (&gt;250 square feet)</t>
  </si>
  <si>
    <t>Office</t>
  </si>
  <si>
    <t>Religious_Worship Area</t>
  </si>
  <si>
    <t>Religious Worship Area</t>
  </si>
  <si>
    <t>Sports</t>
  </si>
  <si>
    <t>Sports and recreation_GYM</t>
  </si>
  <si>
    <t>Exercise/Fitness Center and Gymnasium Areas</t>
  </si>
  <si>
    <t>AHU-4</t>
  </si>
  <si>
    <t>Sports and recreation_Locker Room</t>
  </si>
  <si>
    <t>Locker Room</t>
  </si>
  <si>
    <t>Sports and recreation_Restroom</t>
  </si>
  <si>
    <t>Restrooms</t>
  </si>
  <si>
    <t>Terminal</t>
  </si>
  <si>
    <t>Terminals_Concourse</t>
  </si>
  <si>
    <t>Concourse and Atria Area</t>
  </si>
  <si>
    <t>AHU-5</t>
  </si>
  <si>
    <t>Occupancy load is based on T24, 2025, Appendix 5.4A, [For CSV - 2022 SpcFuncData] tab</t>
  </si>
  <si>
    <t>Terminals_Baggage</t>
  </si>
  <si>
    <t>Transportation Function (Baggage Area)</t>
  </si>
  <si>
    <t>Terminals_Ticket</t>
  </si>
  <si>
    <t>Transportation Function (Ticketing Area)</t>
  </si>
  <si>
    <t>Total (4 Building)</t>
  </si>
  <si>
    <t>Total (17 spaces)</t>
  </si>
  <si>
    <t>Total (15 Space types)</t>
  </si>
  <si>
    <t>Total ( 5 HVAC Zones)</t>
  </si>
  <si>
    <t xml:space="preserve"> Total (17 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</si>
  <si>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</si>
  <si>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</si>
  <si>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</si>
  <si>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</si>
  <si>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</si>
  <si>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</si>
  <si>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</si>
  <si>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</si>
  <si>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</si>
  <si>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</si>
  <si>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</si>
  <si>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</si>
  <si>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</si>
  <si>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</si>
  <si>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</si>
  <si>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</si>
  <si>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</si>
  <si>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</si>
  <si>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</si>
  <si>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</si>
  <si>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</si>
  <si>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</si>
  <si>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</si>
  <si>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</si>
  <si>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Metal Framed Wall</t>
  </si>
  <si>
    <t>Metal frame + insulation + Gypsum board</t>
  </si>
  <si>
    <t>U-value IP</t>
  </si>
  <si>
    <t>Pre 1978</t>
  </si>
  <si>
    <t>N/A</t>
  </si>
  <si>
    <t>ASHRAE 90.1, 2022 Table A3.1-2, 4", R-0, 135 lb/ft3 Density</t>
  </si>
  <si>
    <t>1978-1997</t>
  </si>
  <si>
    <t>Similar to High-rise office: 
Package A/ Heat Capacity was considered ~10 (BTU/F/ft²)</t>
  </si>
  <si>
    <t>1998-2007</t>
  </si>
  <si>
    <t>Table 1-H</t>
  </si>
  <si>
    <t>2008-2018</t>
  </si>
  <si>
    <t>Table 140.3-B</t>
  </si>
  <si>
    <t>Existing</t>
  </si>
  <si>
    <t>2019+</t>
  </si>
  <si>
    <t>Roof</t>
  </si>
  <si>
    <t>Metal Decking Roof</t>
  </si>
  <si>
    <t>Built-up Roof
roof membrane+roof insulation+metal decking</t>
  </si>
  <si>
    <t>Considering 30 years for roof/ insulation replacement.</t>
  </si>
  <si>
    <t>Windows</t>
  </si>
  <si>
    <t>Fixed Window</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</si>
  <si>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</si>
  <si>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</si>
  <si>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</si>
  <si>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</si>
  <si>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</si>
  <si>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</si>
  <si>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</si>
  <si>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Zones</t>
  </si>
  <si>
    <t>I_75
6-sdied Inifltration rate 
@ 75 pa</t>
  </si>
  <si>
    <t>Note</t>
  </si>
  <si>
    <t xml:space="preserve"> I-design (cfm/ft²) 
(4-sided Infiltration rate at normal presure) 
(Design flow rate approach and Flow/Exterior Wall Area calulation method) </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</si>
  <si>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</si>
  <si>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</si>
  <si>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</si>
  <si>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</si>
  <si>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</si>
  <si>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 xml:space="preserve">Heating </t>
  </si>
  <si>
    <t>Cooling</t>
  </si>
  <si>
    <t>Air Distribution</t>
  </si>
  <si>
    <t>Source</t>
  </si>
  <si>
    <t>Exisiting</t>
  </si>
  <si>
    <t>All Space Types</t>
  </si>
  <si>
    <t>Hot water heating (Central Gas Boiler)</t>
  </si>
  <si>
    <t>Cilled water cooling (central Water-Cooled Chiller)</t>
  </si>
  <si>
    <t>MZ VAV+Hydronic Reheat</t>
  </si>
  <si>
    <t>Engineering Judgement</t>
  </si>
  <si>
    <t>System 6 – VAV</t>
  </si>
  <si>
    <t>New Construction</t>
  </si>
  <si>
    <t>Hot water heating (AWHP)</t>
  </si>
  <si>
    <t xml:space="preserve">T24 2025 ACM 2025, Table 2 and 3 
</t>
  </si>
  <si>
    <t>System 15 – VAVAWHP</t>
  </si>
  <si>
    <t>Exhibit/Sport Arena/Religious building/Terminal</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</si>
  <si>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</si>
  <si>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</si>
  <si>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Water Cooled Chiller</t>
  </si>
  <si>
    <t>Gas Boiler</t>
  </si>
  <si>
    <t>Heat Rejection (Cooling Tower)</t>
  </si>
  <si>
    <t xml:space="preserve">Sources </t>
  </si>
  <si>
    <t xml:space="preserve">Water Cooled, 
Electrically Operated, 
Centrifugal--≥ 300 tons  - 6.10 COP
6.40 IPLV </t>
  </si>
  <si>
    <t xml:space="preserve">82% Ec </t>
  </si>
  <si>
    <t xml:space="preserve"> Axial fan 
Open-circuit cooling 
tower--95°F entering water 
85°F leaving water 
75°F entering air wb--≥ 38.2 gpm/hp </t>
  </si>
  <si>
    <t>2008 Title 20 Appliance Efficiency Regulations, 2005 T24 Standards, Tables 112-A, 112-B</t>
  </si>
  <si>
    <t>Water Cooled, 
Electrically Operated, 
Centrifugal--≥ 600 tons --≤ 0.570 kW/ton (6.2 COP) 
≤ 0.539 IPLV (Path A)</t>
  </si>
  <si>
    <t xml:space="preserve"> Axial fan 
Open-circuit cooling 
tower--95°F entering water 
85°F leaving water 
75°F entering air wb--≥ 42.1 gpm/hp </t>
  </si>
  <si>
    <t>2013 Title 20 Appliance Efficiency Regulations, 2013 T24 Tables 112-A, 112-B</t>
  </si>
  <si>
    <t>Water Cooled, 
Electrically Operated, 
Centrifugal--≥ 600 tons  ≤ 0.560  kW/ton (6.28 COP) 
≤ 0.500 IPLV (Path A)</t>
  </si>
  <si>
    <t>Gas-Fired Boiler &gt; 10,000,000 Btu/h-- 82% Ec</t>
  </si>
  <si>
    <t>Title 20 Appliance Efficiency Regulations, T24, 2025, Tables 110.2-A, 110.2-B</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</si>
  <si>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</si>
  <si>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</si>
  <si>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</si>
  <si>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</si>
  <si>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</si>
  <si>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</si>
  <si>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</si>
  <si>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</si>
  <si>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</si>
  <si>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</si>
  <si>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</si>
  <si>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VAV (System 6), &gt; 4,648 cfm</t>
  </si>
  <si>
    <t>ASHRAE 90.1, 2004, Table 10.8 *</t>
  </si>
  <si>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</si>
  <si>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</si>
  <si>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</si>
  <si>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</si>
  <si>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t>PVAVAWHP (System 15), library, &gt;10,000 cfm</t>
  </si>
  <si>
    <t>TSP = fan power × motor efficiency × fan efficiency × 6356 / 746</t>
  </si>
  <si>
    <t>2025 ACM Table 12 **</t>
  </si>
  <si>
    <t>Fan power index: [ACM 2025, Table 13]
Motor efficiency: [ACM 2025, Table 12]</t>
  </si>
  <si>
    <t>VAV (System 6), all other zones,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</si>
  <si>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</si>
  <si>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Library is System 15 PVAVAWHP (ACM Table 13 &gt;10,000 cfm = 0.964; 5,000–10,000 cfm = 1.022). Parallel fan-powered box fans, where used, are a separate 0.3 W/cfm. All other zones are System 6 (0.946, same as Hospital).</t>
  </si>
  <si>
    <t>Setpoint</t>
  </si>
  <si>
    <t>Assembly Heating Setpoint (F)</t>
  </si>
  <si>
    <t>T24 2022 - Appendix 5.4B</t>
  </si>
  <si>
    <t>Assembly Heating Setback (F)</t>
  </si>
  <si>
    <t>Assembly Cooling Setpoint (F)</t>
  </si>
  <si>
    <t>Assembly Cooling Setback (F)</t>
  </si>
  <si>
    <t>Outdoor Airflow Rate</t>
  </si>
  <si>
    <t>Space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</si>
  <si>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</si>
  <si>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</si>
  <si>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</si>
  <si>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</si>
  <si>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</si>
  <si>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</si>
  <si>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</si>
  <si>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</si>
  <si>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50 Per Unit or ~0.5 cfm/ft2</t>
  </si>
  <si>
    <t>Restrooms in California per 2025 T24 require mechanical exhaust ventilation, but they do not require additional dedicated outdoor air (OA) beyond that local exhaust. Bathroom exhaust and exhaust fan energy will be captured in the models. We will assume make-up air is drawn from adjacent spaces.</t>
  </si>
  <si>
    <t>Water Heater - Laboratory</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</si>
  <si>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</si>
  <si>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</si>
  <si>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</si>
  <si>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</si>
  <si>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</si>
  <si>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</si>
  <si>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</si>
  <si>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</si>
  <si>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</si>
  <si>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</si>
  <si>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</si>
  <si>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</si>
  <si>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</si>
  <si>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</si>
  <si>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</si>
  <si>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</si>
  <si>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</si>
  <si>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</si>
  <si>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</si>
  <si>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</si>
  <si>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</si>
  <si>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</si>
  <si>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</si>
  <si>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Number of identical water heaters</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</si>
  <si>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</si>
  <si>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</si>
  <si>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</si>
  <si>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</si>
  <si>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</si>
  <si>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</si>
  <si>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</si>
  <si>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</si>
  <si>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</si>
  <si>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r>
      <t xml:space="preserve">Minimum Monthly Mains Temp (°F)
</t>
    </r>
    <r>
      <rPr>
        <b/>
        <sz val="10"/>
        <rFont val="Arial"/>
        <family val="2"/>
      </rPr>
      <t>[T24 2022 - Appendix 5.4B]</t>
    </r>
  </si>
  <si>
    <t>Heat Output (Btu/hr)
[ACM, 2025, 5.9.2: Rated capacity section]</t>
  </si>
  <si>
    <t>WH Capacity (Btu/hr)
[ACM, 2025, 5.9.2: Rated capacity section]</t>
  </si>
  <si>
    <t>Required Energy Input (Btu/hr)</t>
  </si>
  <si>
    <t>Storage Volume (gal)</t>
  </si>
  <si>
    <r>
      <t xml:space="preserve">Standby Loss
</t>
    </r>
    <r>
      <rPr>
        <b/>
        <sz val="10"/>
        <color rgb="FF000000"/>
        <rFont val="Arial"/>
        <family val="2"/>
      </rPr>
      <t xml:space="preserve"> [Title 20, §1605.1 Table F-4; Appendix B: Water Heating Calculation Method]</t>
    </r>
  </si>
  <si>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</si>
  <si>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</si>
  <si>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</si>
  <si>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</si>
  <si>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</si>
  <si>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</si>
  <si>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</si>
  <si>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</si>
  <si>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</si>
  <si>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</si>
  <si>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</si>
  <si>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</si>
  <si>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</si>
  <si>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</si>
  <si>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</si>
  <si>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</si>
  <si>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</si>
  <si>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</si>
  <si>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</si>
  <si>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</si>
  <si>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</si>
  <si>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</si>
  <si>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</si>
  <si>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</si>
  <si>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</si>
  <si>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</si>
  <si>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</si>
  <si>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</si>
  <si>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</si>
  <si>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</si>
  <si>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</si>
  <si>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</si>
  <si>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</si>
  <si>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</si>
  <si>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</si>
  <si>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</si>
  <si>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</si>
  <si>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</si>
  <si>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</si>
  <si>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</si>
  <si>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</si>
  <si>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</si>
  <si>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</si>
  <si>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</si>
  <si>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</si>
  <si>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</si>
  <si>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</si>
  <si>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</si>
  <si>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</si>
  <si>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</si>
  <si>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</si>
  <si>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</si>
  <si>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</si>
  <si>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</si>
  <si>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</si>
  <si>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</si>
  <si>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ia developed based on the 2019 Outdoor Lighting CASE report</t>
  </si>
  <si>
    <t>Non-motion-controlled Luminaires</t>
  </si>
  <si>
    <t>Total floor area</t>
  </si>
  <si>
    <t>side each buildings (ft)</t>
  </si>
  <si>
    <t>max Height that is lit for each buildings (ft)</t>
  </si>
  <si>
    <t>Floors</t>
  </si>
  <si>
    <t>Plug load Power Density (W/ft²)</t>
  </si>
  <si>
    <t>Gas Power Density (Btu/hr-ft²)</t>
  </si>
  <si>
    <t>Refrigeration Power Density (W/ft²)</t>
  </si>
  <si>
    <t xml:space="preserve">T24 2022 - Appendix 5.4A
</t>
  </si>
  <si>
    <t>Plug load and schedules project with CEC, 2025</t>
  </si>
  <si>
    <t>T24 2022 - Appendix 5.4A</t>
  </si>
  <si>
    <t>Zone</t>
  </si>
  <si>
    <t>Schedule</t>
  </si>
  <si>
    <t>Type</t>
  </si>
  <si>
    <t>Hour</t>
  </si>
  <si>
    <t>All the Zones except Office</t>
  </si>
  <si>
    <t>Occupancy</t>
  </si>
  <si>
    <t>T24 2022 - Appendix 5.4B, [Assembly]</t>
  </si>
  <si>
    <t>Weekday</t>
  </si>
  <si>
    <t>Saturday</t>
  </si>
  <si>
    <t>Sunday</t>
  </si>
  <si>
    <t>All the Zones except Office and Storage</t>
  </si>
  <si>
    <t>Lights</t>
  </si>
  <si>
    <t>ElecEquipment</t>
  </si>
  <si>
    <t>ServiceHotWater</t>
  </si>
  <si>
    <t>GasEquipment</t>
  </si>
  <si>
    <t>Refrigeration</t>
  </si>
  <si>
    <t>HVACAvail</t>
  </si>
  <si>
    <t>HtgSetpt</t>
  </si>
  <si>
    <t>ClgSetpt</t>
  </si>
  <si>
    <r>
      <t xml:space="preserve">T24 2022 - Appendix 5.4B, [Office]
</t>
    </r>
    <r>
      <rPr>
        <sz val="9"/>
        <color rgb="FF0070C0"/>
        <rFont val="Arial"/>
        <family val="2"/>
      </rPr>
      <t xml:space="preserve">
Updated base on Plug load and schedules project with CEC, 2025</t>
    </r>
  </si>
  <si>
    <t>T24 2022 - Appendix 5.4B, [Office]</t>
  </si>
  <si>
    <t xml:space="preserve">ElecEquipment </t>
  </si>
  <si>
    <t xml:space="preserve">Plug load and schedules project with CEC, 2025 </t>
  </si>
  <si>
    <r>
      <t xml:space="preserve">T24 2022 - Appendix 5.4B, [Office]
</t>
    </r>
    <r>
      <rPr>
        <sz val="9"/>
        <color rgb="FF0070C0"/>
        <rFont val="Arial"/>
        <family val="2"/>
      </rPr>
      <t>Updated base on Plug load and schedules project with CEC, 202</t>
    </r>
  </si>
  <si>
    <t>Honeywell-INNCOM e7 Thermostat User Guide 
&amp; Engineering Judgement</t>
  </si>
  <si>
    <t>Elevator</t>
  </si>
  <si>
    <t> </t>
  </si>
  <si>
    <t>ExtLightingNonMotionCtrl</t>
  </si>
  <si>
    <t>ExtLightingMotionCtrl</t>
  </si>
  <si>
    <t>Restroom, Museum, and Terminals</t>
  </si>
  <si>
    <t>CommonAreaPeopleActivityLevel</t>
  </si>
  <si>
    <t>CEC Assembly Prototype</t>
  </si>
  <si>
    <t>LockerRoomPeopleActivityLevel</t>
  </si>
  <si>
    <t>Gym</t>
  </si>
  <si>
    <t>GymPeopleActivityLevel</t>
  </si>
  <si>
    <t>Library, Office</t>
  </si>
  <si>
    <t>FunctionalAreaPeopleActivityLevel</t>
  </si>
  <si>
    <t>Conference</t>
  </si>
  <si>
    <t>MeetingAreaPeopleActivityLevel</t>
  </si>
  <si>
    <t>Theater, Worship, Auditorium</t>
  </si>
  <si>
    <t>PerformanceSpcPeopleActivityLevel</t>
  </si>
  <si>
    <t>CalBEM Energy Consumption - Assembly</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</si>
  <si>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</si>
  <si>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</si>
  <si>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</si>
  <si>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</si>
  <si>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</si>
  <si>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</si>
  <si>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</si>
  <si>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</si>
  <si>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</si>
  <si>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</si>
  <si>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</si>
  <si>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</si>
  <si>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</si>
  <si>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</si>
  <si>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</si>
  <si>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</si>
  <si>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</si>
  <si>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</si>
  <si>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</si>
  <si>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</si>
  <si>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</si>
  <si>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</si>
  <si>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</si>
  <si>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</si>
  <si>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</si>
  <si>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</si>
  <si>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</si>
  <si>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</si>
  <si>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</si>
  <si>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</si>
  <si>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</si>
  <si>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</si>
  <si>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</si>
  <si>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</si>
  <si>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</si>
  <si>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</si>
  <si>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Auto Repair / Maintenance Area</t>
  </si>
  <si>
    <t>Barber, Beauty Salon, Spa Area</t>
  </si>
  <si>
    <t>Civic Meeting Place Area</t>
  </si>
  <si>
    <t>Classroom, Lecture, Training, Vocational Areas</t>
  </si>
  <si>
    <t>Copy Room</t>
  </si>
  <si>
    <t>Corridor Area</t>
  </si>
  <si>
    <t>Dining Area (Bar/Lounge and Fine Dining)</t>
  </si>
  <si>
    <t>Dining Area (Cafeteria/Fast Food)</t>
  </si>
  <si>
    <t>Dining Area (Family and Leisure)</t>
  </si>
  <si>
    <t>Electrical, Mechanical, Telephone Rooms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</si>
  <si>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</si>
  <si>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</si>
  <si>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</si>
  <si>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</si>
  <si>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</si>
  <si>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</si>
  <si>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</si>
  <si>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</si>
  <si>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</si>
  <si>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</si>
  <si>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</si>
  <si>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</si>
  <si>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</si>
  <si>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</si>
  <si>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</si>
  <si>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Lounge, Breakroom, or Waiting Area</t>
  </si>
  <si>
    <t>Manufacturing, Commercial &amp; Industrial Work Area (Low Bay)</t>
  </si>
  <si>
    <t>Manufacturing, Commercial &amp; Industrial Work Area (High Bay)</t>
  </si>
  <si>
    <t>Manufacturing, Commercial &amp; Industrial Work Area (Precision)</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</si>
  <si>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</si>
  <si>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</si>
  <si>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</si>
  <si>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</si>
  <si>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</si>
  <si>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</si>
  <si>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</si>
  <si>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</si>
  <si>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</si>
  <si>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</si>
  <si>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</si>
  <si>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</si>
  <si>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</si>
  <si>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</si>
  <si>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</si>
  <si>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</si>
  <si>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</si>
  <si>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(Performance)</t>
  </si>
  <si>
    <t>Videoconferencing Studio</t>
  </si>
  <si>
    <t>High-Rise Residential Living Spaces</t>
  </si>
  <si>
    <t>Hotel/Motel Guest Room</t>
  </si>
  <si>
    <t>All other</t>
  </si>
  <si>
    <t>Attic</t>
  </si>
  <si>
    <t>Reception Area</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</si>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</sst>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0.0000"/>
  </numFmts>
  <fonts count="7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b/>
      <sz val="12"/>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name val="Arial"/>
      <family val="2"/>
    </font>
    <font>
      <sz val="14"/>
      <color rgb="FF000000"/>
      <name val="Times New Roman"/>
      <family val="1"/>
    </font>
    <font>
      <sz val="11"/>
      <color rgb="FF000000"/>
      <name val="Arial"/>
      <family val="2"/>
    </font>
    <font>
      <sz val="9"/>
      <color rgb="FF000000"/>
      <name val="Arial"/>
      <family val="2"/>
    </font>
    <font>
      <sz val="9"/>
      <color rgb="FF0070C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
      <b/>
      <sz val="11"/>
      <name val="Calibri"/>
    </font>
    <font>
      <sz val="11"/>
      <color rgb="FF000000"/>
      <name val="Calibri"/>
      <family val="2"/>
    </font>
    <font>
      <sz val="11"/>
      <color theme="1"/>
      <name val="Calibri"/>
      <family val="2"/>
    </font>
    <font>
      <b/>
      <sz val="11"/>
      <color theme="1"/>
      <name val="Arial"/>
      <family val="2"/>
    </font>
    <font>
      <b/>
      <sz val="10"/>
      <color rgb="FF000000"/>
      <name val="Arial"/>
    </font>
    <font>
      <b/>
      <sz val="10"/>
      <name val="Arial"/>
    </font>
    <font>
      <b/>
      <sz val="12"/>
      <color rgb="FFFFFFFF"/>
      <name val="Arial"/>
    </font>
    <font>
      <sz val="10"/>
      <color rgb="FFFFFFFF"/>
      <name val="Arial"/>
    </font>
    <font>
      <sz val="10"/>
      <color theme="1"/>
      <name val="Arial"/>
    </font>
    <font>
      <sz val="10"/>
      <color rgb="FF000000"/>
      <name val="Arial"/>
    </font>
    <font>
      <sz val="10"/>
      <name val="Arial"/>
    </font>
    <font>
      <u/>
      <sz val="11"/>
      <color theme="10"/>
      <name val="Arial"/>
    </font>
    <font>
      <u/>
      <sz val="10"/>
      <color theme="10"/>
      <name val="Arial"/>
    </font>
  </fonts>
  <fills count="57">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FFFFFF"/>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FFF2CC"/>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03764"/>
        <bgColor indexed="64"/>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rgb="FF878686"/>
        <bgColor indexed="64"/>
      </patternFill>
    </fill>
    <fill>
      <patternFill patternType="solid">
        <fgColor rgb="FFF2F2F2"/>
        <bgColor indexed="64"/>
      </patternFill>
    </fill>
  </fills>
  <borders count="18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rgb="FF000000"/>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medium">
        <color rgb="FF595959"/>
      </bottom>
      <diagonal/>
    </border>
    <border>
      <left/>
      <right style="thin">
        <color rgb="FF595959"/>
      </right>
      <top style="medium">
        <color rgb="FF595959"/>
      </top>
      <bottom style="thin">
        <color rgb="FF595959"/>
      </bottom>
      <diagonal/>
    </border>
    <border>
      <left/>
      <right style="medium">
        <color rgb="FF595959"/>
      </right>
      <top style="medium">
        <color rgb="FF595959"/>
      </top>
      <bottom style="thin">
        <color rgb="FF595959"/>
      </bottom>
      <diagonal/>
    </border>
    <border>
      <left/>
      <right style="thin">
        <color rgb="FF595959"/>
      </right>
      <top/>
      <bottom style="thin">
        <color rgb="FF595959"/>
      </bottom>
      <diagonal/>
    </border>
    <border>
      <left/>
      <right style="medium">
        <color rgb="FF595959"/>
      </right>
      <top/>
      <bottom style="thin">
        <color rgb="FF595959"/>
      </bottom>
      <diagonal/>
    </border>
    <border>
      <left/>
      <right style="thin">
        <color rgb="FF595959"/>
      </right>
      <top/>
      <bottom style="medium">
        <color rgb="FF595959"/>
      </bottom>
      <diagonal/>
    </border>
    <border>
      <left/>
      <right style="medium">
        <color rgb="FF595959"/>
      </right>
      <top/>
      <bottom style="medium">
        <color rgb="FF595959"/>
      </bottom>
      <diagonal/>
    </border>
    <border>
      <left/>
      <right style="thin">
        <color rgb="FF595959"/>
      </right>
      <top style="medium">
        <color rgb="FF000000"/>
      </top>
      <bottom style="thin">
        <color rgb="FF595959"/>
      </bottom>
      <diagonal/>
    </border>
    <border>
      <left/>
      <right style="medium">
        <color rgb="FF000000"/>
      </right>
      <top style="medium">
        <color rgb="FF000000"/>
      </top>
      <bottom style="thin">
        <color rgb="FF595959"/>
      </bottom>
      <diagonal/>
    </border>
    <border>
      <left/>
      <right style="medium">
        <color rgb="FF000000"/>
      </right>
      <top/>
      <bottom style="thin">
        <color rgb="FF595959"/>
      </bottom>
      <diagonal/>
    </border>
    <border>
      <left/>
      <right style="thin">
        <color rgb="FF595959"/>
      </right>
      <top/>
      <bottom style="medium">
        <color rgb="FF000000"/>
      </bottom>
      <diagonal/>
    </border>
    <border>
      <left/>
      <right style="medium">
        <color rgb="FF000000"/>
      </right>
      <top/>
      <bottom style="medium">
        <color rgb="FF000000"/>
      </bottom>
      <diagonal/>
    </border>
    <border>
      <left/>
      <right style="thin">
        <color rgb="FF595959"/>
      </right>
      <top/>
      <bottom/>
      <diagonal/>
    </border>
    <border>
      <left/>
      <right style="medium">
        <color rgb="FF595959"/>
      </right>
      <top/>
      <bottom/>
      <diagonal/>
    </border>
    <border>
      <left style="thin">
        <color rgb="FF595959"/>
      </left>
      <right style="thin">
        <color rgb="FF595959"/>
      </right>
      <top style="medium">
        <color rgb="FF000000"/>
      </top>
      <bottom/>
      <diagonal/>
    </border>
    <border>
      <left style="thin">
        <color rgb="FF595959"/>
      </left>
      <right style="thin">
        <color rgb="FF595959"/>
      </right>
      <top/>
      <bottom style="medium">
        <color rgb="FF000000"/>
      </bottom>
      <diagonal/>
    </border>
    <border>
      <left/>
      <right style="thin">
        <color theme="1" tint="0.34998626667073579"/>
      </right>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indexed="64"/>
      </bottom>
      <diagonal/>
    </border>
    <border>
      <left style="thin">
        <color theme="1" tint="0.34998626667073579"/>
      </left>
      <right style="medium">
        <color indexed="64"/>
      </right>
      <top/>
      <bottom style="thin">
        <color indexed="64"/>
      </bottom>
      <diagonal/>
    </border>
    <border>
      <left style="thin">
        <color theme="1" tint="0.34998626667073579"/>
      </left>
      <right style="medium">
        <color indexed="64"/>
      </right>
      <top/>
      <bottom style="thin">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style="medium">
        <color indexed="64"/>
      </left>
      <right style="thin">
        <color rgb="FF595959"/>
      </right>
      <top style="medium">
        <color indexed="64"/>
      </top>
      <bottom/>
      <diagonal/>
    </border>
    <border>
      <left style="thin">
        <color rgb="FF595959"/>
      </left>
      <right style="thin">
        <color rgb="FF595959"/>
      </right>
      <top style="medium">
        <color indexed="64"/>
      </top>
      <bottom/>
      <diagonal/>
    </border>
    <border>
      <left style="thin">
        <color rgb="FF595959"/>
      </left>
      <right style="medium">
        <color indexed="64"/>
      </right>
      <top style="medium">
        <color indexed="64"/>
      </top>
      <bottom/>
      <diagonal/>
    </border>
    <border>
      <left style="medium">
        <color indexed="64"/>
      </left>
      <right style="thin">
        <color rgb="FF595959"/>
      </right>
      <top/>
      <bottom/>
      <diagonal/>
    </border>
    <border>
      <left style="thin">
        <color rgb="FF595959"/>
      </left>
      <right style="medium">
        <color indexed="64"/>
      </right>
      <top/>
      <bottom/>
      <diagonal/>
    </border>
    <border>
      <left style="medium">
        <color indexed="64"/>
      </left>
      <right style="thin">
        <color rgb="FF595959"/>
      </right>
      <top/>
      <bottom style="medium">
        <color rgb="FF595959"/>
      </bottom>
      <diagonal/>
    </border>
    <border>
      <left style="thin">
        <color rgb="FF595959"/>
      </left>
      <right style="medium">
        <color indexed="64"/>
      </right>
      <top/>
      <bottom style="medium">
        <color rgb="FF595959"/>
      </bottom>
      <diagonal/>
    </border>
    <border>
      <left style="medium">
        <color indexed="64"/>
      </left>
      <right style="thin">
        <color rgb="FF595959"/>
      </right>
      <top/>
      <bottom style="medium">
        <color indexed="64"/>
      </bottom>
      <diagonal/>
    </border>
    <border>
      <left style="thin">
        <color theme="1" tint="0.34998626667073579"/>
      </left>
      <right style="thin">
        <color theme="1" tint="0.34998626667073579"/>
      </right>
      <top/>
      <bottom style="medium">
        <color indexed="64"/>
      </bottom>
      <diagonal/>
    </border>
    <border>
      <left style="thin">
        <color rgb="FF595959"/>
      </left>
      <right style="thin">
        <color rgb="FF595959"/>
      </right>
      <top/>
      <bottom style="medium">
        <color indexed="64"/>
      </bottom>
      <diagonal/>
    </border>
    <border>
      <left style="thin">
        <color rgb="FF595959"/>
      </left>
      <right style="medium">
        <color indexed="64"/>
      </right>
      <top/>
      <bottom style="medium">
        <color indexed="64"/>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indexed="64"/>
      </left>
      <right style="thin">
        <color indexed="64"/>
      </right>
      <top/>
      <bottom style="medium">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indexed="64"/>
      </right>
      <top/>
      <bottom/>
      <diagonal/>
    </border>
    <border>
      <left style="thin">
        <color theme="0" tint="-0.499984740745262"/>
      </left>
      <right style="thin">
        <color theme="0" tint="-0.499984740745262"/>
      </right>
      <top style="thin">
        <color theme="0" tint="-0.499984740745262"/>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s>
  <cellStyleXfs count="428">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6" fillId="0" borderId="0"/>
    <xf numFmtId="0" fontId="18" fillId="0" borderId="0" applyNumberFormat="0" applyFill="0" applyBorder="0" applyAlignment="0" applyProtection="0"/>
    <xf numFmtId="0" fontId="7" fillId="0" borderId="0"/>
    <xf numFmtId="0" fontId="7" fillId="0" borderId="0"/>
    <xf numFmtId="0" fontId="40" fillId="0" borderId="0" applyNumberFormat="0" applyFill="0" applyBorder="0" applyAlignment="0" applyProtection="0"/>
    <xf numFmtId="0" fontId="41" fillId="0" borderId="158" applyNumberFormat="0" applyFill="0" applyAlignment="0" applyProtection="0"/>
    <xf numFmtId="0" fontId="42" fillId="0" borderId="159" applyNumberFormat="0" applyFill="0" applyAlignment="0" applyProtection="0"/>
    <xf numFmtId="0" fontId="43" fillId="0" borderId="160" applyNumberFormat="0" applyFill="0" applyAlignment="0" applyProtection="0"/>
    <xf numFmtId="0" fontId="43" fillId="0" borderId="0" applyNumberFormat="0" applyFill="0" applyBorder="0" applyAlignment="0" applyProtection="0"/>
    <xf numFmtId="0" fontId="44" fillId="16" borderId="0" applyNumberFormat="0" applyBorder="0" applyAlignment="0" applyProtection="0"/>
    <xf numFmtId="0" fontId="45" fillId="17" borderId="0" applyNumberFormat="0" applyBorder="0" applyAlignment="0" applyProtection="0"/>
    <xf numFmtId="0" fontId="46" fillId="18" borderId="0" applyNumberFormat="0" applyBorder="0" applyAlignment="0" applyProtection="0"/>
    <xf numFmtId="0" fontId="47" fillId="19" borderId="161" applyNumberFormat="0" applyAlignment="0" applyProtection="0"/>
    <xf numFmtId="0" fontId="48" fillId="20" borderId="162" applyNumberFormat="0" applyAlignment="0" applyProtection="0"/>
    <xf numFmtId="0" fontId="49" fillId="20" borderId="161" applyNumberFormat="0" applyAlignment="0" applyProtection="0"/>
    <xf numFmtId="0" fontId="50" fillId="0" borderId="163" applyNumberFormat="0" applyFill="0" applyAlignment="0" applyProtection="0"/>
    <xf numFmtId="0" fontId="10" fillId="21" borderId="164" applyNumberFormat="0" applyAlignment="0" applyProtection="0"/>
    <xf numFmtId="0" fontId="51" fillId="0" borderId="0" applyNumberFormat="0" applyFill="0" applyBorder="0" applyAlignment="0" applyProtection="0"/>
    <xf numFmtId="0" fontId="2" fillId="22" borderId="165" applyNumberFormat="0" applyFont="0" applyAlignment="0" applyProtection="0"/>
    <xf numFmtId="0" fontId="52" fillId="0" borderId="0" applyNumberFormat="0" applyFill="0" applyBorder="0" applyAlignment="0" applyProtection="0"/>
    <xf numFmtId="0" fontId="3" fillId="0" borderId="166" applyNumberFormat="0" applyFill="0" applyAlignment="0" applyProtection="0"/>
    <xf numFmtId="0" fontId="13"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3"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3"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3"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13"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13"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3" fillId="0" borderId="0" applyNumberFormat="0" applyFill="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4" fillId="1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22" borderId="16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xf numFmtId="0" fontId="60" fillId="0" borderId="0"/>
  </cellStyleXfs>
  <cellXfs count="576">
    <xf numFmtId="0" fontId="0" fillId="0" borderId="0" xfId="0"/>
    <xf numFmtId="0" fontId="0" fillId="0" borderId="0" xfId="0" applyAlignment="1">
      <alignment vertical="center"/>
    </xf>
    <xf numFmtId="0" fontId="0" fillId="0" borderId="2" xfId="0" applyBorder="1"/>
    <xf numFmtId="0" fontId="9" fillId="0" borderId="0" xfId="5"/>
    <xf numFmtId="0" fontId="14" fillId="0" borderId="0" xfId="0" applyFont="1"/>
    <xf numFmtId="0" fontId="14"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18" fillId="0" borderId="0" xfId="5" applyFont="1"/>
    <xf numFmtId="0" fontId="7" fillId="0" borderId="0" xfId="0" applyFont="1" applyAlignment="1">
      <alignment wrapText="1"/>
    </xf>
    <xf numFmtId="0" fontId="17"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3" fontId="7" fillId="0" borderId="2" xfId="7" applyNumberFormat="1" applyFont="1" applyBorder="1" applyAlignment="1">
      <alignment horizontal="center" vertical="center"/>
    </xf>
    <xf numFmtId="0" fontId="1"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167" fontId="18"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2" fillId="6" borderId="2" xfId="0" applyFont="1" applyFill="1" applyBorder="1" applyAlignment="1">
      <alignment horizontal="center" vertical="center" wrapText="1"/>
    </xf>
    <xf numFmtId="0" fontId="21" fillId="6"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0" fontId="8" fillId="0" borderId="0" xfId="0" applyFont="1" applyAlignment="1">
      <alignment vertical="center"/>
    </xf>
    <xf numFmtId="0" fontId="7" fillId="0" borderId="21" xfId="4" applyBorder="1" applyAlignment="1">
      <alignment horizontal="center" vertical="center"/>
    </xf>
    <xf numFmtId="9" fontId="7" fillId="0" borderId="21" xfId="2" applyFont="1" applyFill="1" applyBorder="1" applyAlignment="1">
      <alignment horizontal="center" vertical="center"/>
    </xf>
    <xf numFmtId="3" fontId="7" fillId="0" borderId="2" xfId="0" applyNumberFormat="1" applyFont="1" applyBorder="1" applyAlignment="1">
      <alignment horizontal="center" vertical="center"/>
    </xf>
    <xf numFmtId="0" fontId="24" fillId="0" borderId="0" xfId="0" applyFont="1" applyAlignment="1">
      <alignment horizontal="center" vertical="center"/>
    </xf>
    <xf numFmtId="0" fontId="26" fillId="4" borderId="0" xfId="0" applyFont="1" applyFill="1" applyAlignment="1">
      <alignment vertical="center" wrapText="1"/>
    </xf>
    <xf numFmtId="0" fontId="24" fillId="4" borderId="0" xfId="0" applyFont="1" applyFill="1" applyAlignment="1">
      <alignment horizontal="center" vertical="center"/>
    </xf>
    <xf numFmtId="165" fontId="24" fillId="4" borderId="0" xfId="0"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21" xfId="0" applyNumberFormat="1" applyFont="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7" fontId="24" fillId="0" borderId="0" xfId="0" applyNumberFormat="1" applyFont="1" applyAlignment="1">
      <alignment horizontal="center" vertical="center"/>
    </xf>
    <xf numFmtId="3" fontId="7" fillId="0" borderId="0" xfId="7" applyNumberFormat="1" applyFont="1" applyAlignment="1">
      <alignment horizontal="center" vertical="center"/>
    </xf>
    <xf numFmtId="9" fontId="7" fillId="0" borderId="23" xfId="0" applyNumberFormat="1" applyFont="1" applyBorder="1" applyAlignment="1">
      <alignment horizontal="center"/>
    </xf>
    <xf numFmtId="0" fontId="27" fillId="0" borderId="0" xfId="0" applyFont="1"/>
    <xf numFmtId="0" fontId="27" fillId="0" borderId="0" xfId="0" applyFont="1" applyAlignment="1">
      <alignment wrapText="1"/>
    </xf>
    <xf numFmtId="0" fontId="27" fillId="0" borderId="0" xfId="0" applyFont="1" applyAlignment="1">
      <alignment horizontal="center"/>
    </xf>
    <xf numFmtId="166" fontId="1"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168" fontId="12" fillId="0" borderId="2" xfId="6" applyNumberFormat="1" applyFont="1" applyFill="1" applyBorder="1" applyAlignment="1">
      <alignment horizontal="left" vertical="top" wrapText="1"/>
    </xf>
    <xf numFmtId="0" fontId="1" fillId="0" borderId="2" xfId="0" applyFont="1" applyBorder="1" applyAlignment="1">
      <alignment horizontal="center" vertical="center" wrapText="1"/>
    </xf>
    <xf numFmtId="0" fontId="21" fillId="6" borderId="12" xfId="0" applyFont="1" applyFill="1" applyBorder="1" applyAlignment="1">
      <alignment horizontal="center" vertical="center" wrapText="1"/>
    </xf>
    <xf numFmtId="0" fontId="1" fillId="0" borderId="21" xfId="0" applyFont="1" applyBorder="1" applyAlignment="1">
      <alignment horizontal="center" vertical="center"/>
    </xf>
    <xf numFmtId="0" fontId="1" fillId="0" borderId="43" xfId="0" applyFont="1" applyBorder="1" applyAlignment="1">
      <alignment horizontal="center" vertical="center" wrapText="1"/>
    </xf>
    <xf numFmtId="0" fontId="15" fillId="0" borderId="0" xfId="0" applyFont="1" applyAlignment="1">
      <alignment vertical="center"/>
    </xf>
    <xf numFmtId="0" fontId="29" fillId="0" borderId="0" xfId="0" applyFont="1"/>
    <xf numFmtId="0" fontId="14" fillId="0" borderId="0" xfId="0" applyFont="1" applyAlignment="1">
      <alignment horizontal="center"/>
    </xf>
    <xf numFmtId="168" fontId="7" fillId="0" borderId="2" xfId="6" applyNumberFormat="1" applyFont="1" applyBorder="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indent="1"/>
    </xf>
    <xf numFmtId="43" fontId="7" fillId="0" borderId="2" xfId="6" applyFont="1" applyBorder="1" applyAlignment="1">
      <alignment horizontal="left" vertical="center"/>
    </xf>
    <xf numFmtId="164" fontId="7" fillId="0" borderId="2" xfId="2" applyNumberFormat="1" applyFont="1" applyBorder="1" applyAlignment="1">
      <alignment horizontal="center"/>
    </xf>
    <xf numFmtId="0" fontId="23" fillId="0" borderId="0" xfId="0" applyFont="1"/>
    <xf numFmtId="16" fontId="0" fillId="0" borderId="0" xfId="0" applyNumberFormat="1" applyAlignment="1">
      <alignment horizontal="left"/>
    </xf>
    <xf numFmtId="0" fontId="21" fillId="9" borderId="2" xfId="0" applyFont="1" applyFill="1" applyBorder="1" applyAlignment="1">
      <alignment horizontal="center" vertical="center"/>
    </xf>
    <xf numFmtId="0" fontId="31" fillId="0" borderId="0" xfId="0" applyFont="1" applyAlignment="1">
      <alignment vertical="center"/>
    </xf>
    <xf numFmtId="0" fontId="25" fillId="9" borderId="2" xfId="0" applyFont="1" applyFill="1" applyBorder="1" applyAlignment="1">
      <alignment horizontal="center" vertical="center"/>
    </xf>
    <xf numFmtId="0" fontId="7" fillId="0" borderId="2" xfId="0" applyFont="1" applyBorder="1"/>
    <xf numFmtId="2" fontId="7" fillId="0" borderId="2" xfId="0" applyNumberFormat="1" applyFont="1" applyBorder="1" applyAlignment="1">
      <alignment horizontal="center" vertical="center" wrapText="1"/>
    </xf>
    <xf numFmtId="0" fontId="1" fillId="0" borderId="0" xfId="1" applyAlignment="1">
      <alignment vertical="center" wrapText="1"/>
    </xf>
    <xf numFmtId="0" fontId="0" fillId="2" borderId="0" xfId="0" applyFill="1"/>
    <xf numFmtId="0" fontId="15" fillId="0" borderId="0" xfId="0" applyFont="1" applyAlignment="1">
      <alignment vertical="center" wrapText="1"/>
    </xf>
    <xf numFmtId="0" fontId="30" fillId="10" borderId="0" xfId="0" applyFont="1" applyFill="1" applyAlignment="1">
      <alignment horizontal="center" vertical="center"/>
    </xf>
    <xf numFmtId="0" fontId="19" fillId="0" borderId="0" xfId="0" applyFont="1"/>
    <xf numFmtId="169" fontId="32" fillId="0" borderId="0" xfId="0" applyNumberFormat="1" applyFont="1"/>
    <xf numFmtId="0" fontId="7" fillId="0" borderId="2" xfId="0" applyFont="1" applyBorder="1" applyAlignment="1">
      <alignment horizontal="right" vertical="center"/>
    </xf>
    <xf numFmtId="168" fontId="7" fillId="0" borderId="2" xfId="6" applyNumberFormat="1" applyFont="1" applyBorder="1" applyAlignment="1">
      <alignment horizontal="right" vertical="center" wrapText="1"/>
    </xf>
    <xf numFmtId="168" fontId="7" fillId="0" borderId="2" xfId="0" applyNumberFormat="1" applyFont="1" applyBorder="1" applyAlignment="1">
      <alignment horizontal="right" vertical="center"/>
    </xf>
    <xf numFmtId="3" fontId="7" fillId="0" borderId="0" xfId="0" applyNumberFormat="1" applyFont="1"/>
    <xf numFmtId="168" fontId="7" fillId="0" borderId="2" xfId="6" applyNumberFormat="1" applyFont="1" applyBorder="1" applyAlignment="1">
      <alignment horizontal="right" vertical="center"/>
    </xf>
    <xf numFmtId="0" fontId="14" fillId="0" borderId="0" xfId="0" applyFont="1" applyAlignment="1">
      <alignment vertical="center"/>
    </xf>
    <xf numFmtId="0" fontId="7" fillId="4" borderId="0" xfId="0" applyFont="1" applyFill="1"/>
    <xf numFmtId="0" fontId="7" fillId="4" borderId="0" xfId="0" applyFont="1" applyFill="1" applyAlignment="1">
      <alignment horizontal="center"/>
    </xf>
    <xf numFmtId="165" fontId="14" fillId="0" borderId="0" xfId="2" applyNumberFormat="1" applyFont="1"/>
    <xf numFmtId="0" fontId="0" fillId="0" borderId="0" xfId="0" applyAlignment="1">
      <alignment horizontal="left"/>
    </xf>
    <xf numFmtId="0" fontId="7" fillId="0" borderId="23" xfId="4" applyBorder="1" applyAlignment="1">
      <alignment horizontal="center" vertical="center"/>
    </xf>
    <xf numFmtId="0" fontId="25" fillId="9" borderId="44" xfId="0" applyFont="1" applyFill="1" applyBorder="1" applyAlignment="1">
      <alignment horizontal="center" vertical="center" wrapText="1"/>
    </xf>
    <xf numFmtId="0" fontId="12" fillId="0" borderId="2" xfId="3" applyFont="1" applyFill="1" applyBorder="1" applyAlignment="1">
      <alignment horizontal="center" vertical="center" wrapText="1"/>
    </xf>
    <xf numFmtId="3" fontId="12" fillId="0" borderId="2" xfId="3" applyNumberFormat="1" applyFont="1" applyFill="1" applyBorder="1" applyAlignment="1">
      <alignment horizontal="center" vertical="center" wrapText="1"/>
    </xf>
    <xf numFmtId="0" fontId="12" fillId="0" borderId="2" xfId="3" applyFont="1" applyBorder="1" applyAlignment="1">
      <alignment horizontal="center" vertical="top" wrapText="1"/>
    </xf>
    <xf numFmtId="3" fontId="12" fillId="0" borderId="2" xfId="3" applyNumberFormat="1" applyFont="1" applyBorder="1" applyAlignment="1">
      <alignment horizontal="center" vertical="center" wrapText="1"/>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6" borderId="47" xfId="0" applyFont="1" applyFill="1" applyBorder="1" applyAlignment="1">
      <alignment horizontal="center" vertical="center"/>
    </xf>
    <xf numFmtId="0" fontId="7" fillId="0" borderId="48" xfId="0" applyFont="1" applyBorder="1" applyAlignment="1">
      <alignment horizontal="center" vertical="center"/>
    </xf>
    <xf numFmtId="0" fontId="7" fillId="0" borderId="53" xfId="0" applyFont="1" applyBorder="1" applyAlignment="1">
      <alignment horizontal="center" vertical="center"/>
    </xf>
    <xf numFmtId="0" fontId="1" fillId="0" borderId="54" xfId="0" applyFont="1" applyBorder="1" applyAlignment="1">
      <alignment horizontal="center" vertical="center"/>
    </xf>
    <xf numFmtId="0" fontId="1" fillId="0" borderId="55" xfId="0" applyFont="1" applyBorder="1" applyAlignment="1">
      <alignment horizontal="center" vertical="center" wrapText="1"/>
    </xf>
    <xf numFmtId="0" fontId="8" fillId="6" borderId="57" xfId="0" applyFont="1" applyFill="1" applyBorder="1" applyAlignment="1">
      <alignment horizontal="center" vertical="center"/>
    </xf>
    <xf numFmtId="0" fontId="9" fillId="0" borderId="2" xfId="5" applyBorder="1" applyAlignment="1">
      <alignment horizontal="center" vertical="center"/>
    </xf>
    <xf numFmtId="1" fontId="12" fillId="0" borderId="2" xfId="3" applyNumberFormat="1" applyFont="1" applyBorder="1" applyAlignment="1">
      <alignment horizontal="left" vertical="center" wrapText="1"/>
    </xf>
    <xf numFmtId="0" fontId="1" fillId="0" borderId="2" xfId="1" applyBorder="1" applyAlignment="1">
      <alignment vertical="center" wrapText="1"/>
    </xf>
    <xf numFmtId="2" fontId="7" fillId="0" borderId="2" xfId="0" applyNumberFormat="1" applyFont="1" applyBorder="1" applyAlignment="1">
      <alignment horizontal="center" vertical="center"/>
    </xf>
    <xf numFmtId="0" fontId="8" fillId="0" borderId="0" xfId="0" applyFont="1" applyAlignment="1">
      <alignment vertical="center" wrapText="1"/>
    </xf>
    <xf numFmtId="0" fontId="25" fillId="6" borderId="2" xfId="0" applyFont="1" applyFill="1" applyBorder="1" applyAlignment="1">
      <alignment horizontal="left" vertical="center" wrapText="1"/>
    </xf>
    <xf numFmtId="169" fontId="7" fillId="0" borderId="2" xfId="0" applyNumberFormat="1" applyFont="1" applyBorder="1" applyAlignment="1">
      <alignment vertical="center"/>
    </xf>
    <xf numFmtId="169" fontId="1" fillId="0" borderId="2" xfId="0" applyNumberFormat="1" applyFont="1" applyBorder="1" applyAlignment="1">
      <alignment vertical="center"/>
    </xf>
    <xf numFmtId="0" fontId="21" fillId="6" borderId="2" xfId="0" applyFont="1" applyFill="1" applyBorder="1" applyAlignment="1">
      <alignment vertical="center"/>
    </xf>
    <xf numFmtId="0" fontId="1" fillId="0" borderId="2" xfId="1" applyBorder="1" applyAlignment="1">
      <alignment vertical="center"/>
    </xf>
    <xf numFmtId="9" fontId="7" fillId="0" borderId="2" xfId="0" applyNumberFormat="1" applyFont="1" applyBorder="1" applyAlignment="1">
      <alignment horizontal="center"/>
    </xf>
    <xf numFmtId="0" fontId="33" fillId="0" borderId="2" xfId="0" applyFont="1" applyBorder="1" applyAlignment="1">
      <alignment horizontal="left" vertical="top" wrapText="1"/>
    </xf>
    <xf numFmtId="0" fontId="35" fillId="0" borderId="2" xfId="0" applyFont="1" applyBorder="1" applyAlignment="1">
      <alignment horizontal="center" vertical="center" wrapText="1"/>
    </xf>
    <xf numFmtId="168" fontId="7" fillId="0" borderId="2" xfId="6" applyNumberFormat="1" applyFont="1" applyBorder="1" applyAlignment="1">
      <alignment horizontal="center" vertical="center"/>
    </xf>
    <xf numFmtId="43" fontId="7" fillId="0" borderId="0" xfId="0" applyNumberFormat="1" applyFont="1" applyAlignment="1">
      <alignment horizontal="center" vertical="top" wrapText="1"/>
    </xf>
    <xf numFmtId="2" fontId="7" fillId="0" borderId="1" xfId="0" applyNumberFormat="1"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31"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24"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8" xfId="0" applyNumberFormat="1" applyFont="1" applyBorder="1" applyAlignment="1">
      <alignment horizontal="center" vertical="center"/>
    </xf>
    <xf numFmtId="2" fontId="7" fillId="0" borderId="29" xfId="0" applyNumberFormat="1" applyFont="1" applyBorder="1" applyAlignment="1">
      <alignment horizontal="center" vertical="center"/>
    </xf>
    <xf numFmtId="168" fontId="33" fillId="0" borderId="2" xfId="6" applyNumberFormat="1" applyFont="1" applyBorder="1" applyAlignment="1">
      <alignment horizontal="center" vertical="center" wrapText="1"/>
    </xf>
    <xf numFmtId="0" fontId="36" fillId="0" borderId="0" xfId="0" applyFont="1" applyAlignment="1">
      <alignment horizontal="right" vertical="center" wrapText="1"/>
    </xf>
    <xf numFmtId="0" fontId="21" fillId="9" borderId="61" xfId="0" applyFont="1" applyFill="1" applyBorder="1" applyAlignment="1">
      <alignment horizontal="center" vertical="center"/>
    </xf>
    <xf numFmtId="0" fontId="21" fillId="9" borderId="62" xfId="0" applyFont="1" applyFill="1" applyBorder="1" applyAlignment="1">
      <alignment horizontal="center" vertical="center" wrapText="1"/>
    </xf>
    <xf numFmtId="0" fontId="25" fillId="9" borderId="61" xfId="0" applyFont="1" applyFill="1" applyBorder="1" applyAlignment="1">
      <alignment horizontal="center" vertical="center" wrapText="1"/>
    </xf>
    <xf numFmtId="0" fontId="25" fillId="9" borderId="61" xfId="0" applyFont="1" applyFill="1" applyBorder="1" applyAlignment="1">
      <alignment horizontal="center" vertical="center"/>
    </xf>
    <xf numFmtId="0" fontId="25" fillId="9" borderId="36" xfId="0" applyFont="1" applyFill="1" applyBorder="1" applyAlignment="1">
      <alignment horizontal="center" vertical="center"/>
    </xf>
    <xf numFmtId="0" fontId="7" fillId="0" borderId="2" xfId="0" applyFont="1" applyBorder="1" applyAlignment="1">
      <alignment horizontal="left" vertical="center" wrapText="1"/>
    </xf>
    <xf numFmtId="1" fontId="7" fillId="0" borderId="0" xfId="0" applyNumberFormat="1" applyFont="1" applyAlignment="1">
      <alignment horizontal="left" vertical="center" wrapText="1"/>
    </xf>
    <xf numFmtId="1" fontId="7" fillId="0" borderId="0" xfId="0" applyNumberFormat="1" applyFont="1" applyAlignment="1">
      <alignment horizontal="left" vertical="center"/>
    </xf>
    <xf numFmtId="0" fontId="14" fillId="0" borderId="0" xfId="0" applyFont="1" applyAlignment="1">
      <alignment wrapText="1"/>
    </xf>
    <xf numFmtId="3" fontId="0" fillId="0" borderId="0" xfId="0" applyNumberFormat="1"/>
    <xf numFmtId="0" fontId="12" fillId="0" borderId="2" xfId="3" applyFont="1" applyFill="1" applyBorder="1" applyAlignment="1">
      <alignment horizontal="center" vertical="top" wrapText="1"/>
    </xf>
    <xf numFmtId="0" fontId="28" fillId="0" borderId="0" xfId="0" applyFont="1" applyAlignment="1">
      <alignment vertical="center" wrapText="1"/>
    </xf>
    <xf numFmtId="1" fontId="7" fillId="0" borderId="2" xfId="0" applyNumberFormat="1" applyFont="1" applyBorder="1" applyAlignment="1">
      <alignment vertical="center"/>
    </xf>
    <xf numFmtId="0" fontId="7" fillId="0" borderId="3" xfId="0" applyFont="1" applyBorder="1" applyAlignment="1">
      <alignment horizontal="center" vertical="center"/>
    </xf>
    <xf numFmtId="0" fontId="22" fillId="6" borderId="14" xfId="0" applyFont="1" applyFill="1" applyBorder="1" applyAlignment="1">
      <alignment horizontal="center" vertical="center" wrapText="1"/>
    </xf>
    <xf numFmtId="0" fontId="0" fillId="0" borderId="2" xfId="0" applyBorder="1" applyAlignment="1">
      <alignment vertical="top"/>
    </xf>
    <xf numFmtId="0" fontId="8" fillId="6" borderId="24" xfId="0" applyFont="1" applyFill="1" applyBorder="1" applyAlignment="1">
      <alignment horizontal="center" vertical="center" wrapText="1"/>
    </xf>
    <xf numFmtId="9" fontId="7" fillId="0" borderId="0" xfId="0" applyNumberFormat="1" applyFont="1" applyAlignment="1">
      <alignment vertical="center"/>
    </xf>
    <xf numFmtId="0" fontId="8" fillId="6" borderId="72" xfId="0" applyFont="1" applyFill="1" applyBorder="1" applyAlignment="1">
      <alignment horizontal="center" vertical="center"/>
    </xf>
    <xf numFmtId="2" fontId="24" fillId="0" borderId="1" xfId="0" applyNumberFormat="1" applyFont="1" applyBorder="1" applyAlignment="1">
      <alignment horizontal="center" vertical="center"/>
    </xf>
    <xf numFmtId="2" fontId="24" fillId="0" borderId="5" xfId="0" applyNumberFormat="1" applyFont="1" applyBorder="1" applyAlignment="1">
      <alignment horizontal="center" vertical="center"/>
    </xf>
    <xf numFmtId="2" fontId="24" fillId="0" borderId="2" xfId="0" applyNumberFormat="1" applyFont="1" applyBorder="1" applyAlignment="1">
      <alignment horizontal="center" vertical="center"/>
    </xf>
    <xf numFmtId="2" fontId="39" fillId="0" borderId="12" xfId="0" applyNumberFormat="1" applyFont="1" applyBorder="1" applyAlignment="1">
      <alignment horizontal="center" vertical="center"/>
    </xf>
    <xf numFmtId="2" fontId="39" fillId="0" borderId="2" xfId="0" applyNumberFormat="1" applyFont="1" applyBorder="1" applyAlignment="1">
      <alignment horizontal="center" vertical="center"/>
    </xf>
    <xf numFmtId="2" fontId="24" fillId="0" borderId="7" xfId="0" applyNumberFormat="1" applyFont="1" applyBorder="1" applyAlignment="1">
      <alignment horizontal="center" vertical="center"/>
    </xf>
    <xf numFmtId="2" fontId="24" fillId="0" borderId="12" xfId="0" applyNumberFormat="1" applyFont="1" applyBorder="1" applyAlignment="1">
      <alignment horizontal="center" vertical="center"/>
    </xf>
    <xf numFmtId="2" fontId="24" fillId="0" borderId="102" xfId="0" applyNumberFormat="1" applyFont="1" applyBorder="1" applyAlignment="1">
      <alignment horizontal="center" vertical="center"/>
    </xf>
    <xf numFmtId="2" fontId="24" fillId="0" borderId="31" xfId="0" applyNumberFormat="1" applyFont="1" applyBorder="1" applyAlignment="1">
      <alignment horizontal="center" vertical="center"/>
    </xf>
    <xf numFmtId="2" fontId="24" fillId="0" borderId="9" xfId="0" applyNumberFormat="1" applyFont="1" applyBorder="1" applyAlignment="1">
      <alignment horizontal="center" vertical="center"/>
    </xf>
    <xf numFmtId="2" fontId="39" fillId="0" borderId="104" xfId="0" applyNumberFormat="1" applyFont="1" applyBorder="1" applyAlignment="1">
      <alignment horizontal="center" vertical="center"/>
    </xf>
    <xf numFmtId="2" fontId="39" fillId="0" borderId="105" xfId="0" applyNumberFormat="1" applyFont="1" applyBorder="1" applyAlignment="1">
      <alignment horizontal="center" vertical="center"/>
    </xf>
    <xf numFmtId="2" fontId="39" fillId="0" borderId="106" xfId="0" applyNumberFormat="1" applyFont="1" applyBorder="1" applyAlignment="1">
      <alignment horizontal="center" vertical="center"/>
    </xf>
    <xf numFmtId="2" fontId="39" fillId="0" borderId="107" xfId="0" applyNumberFormat="1" applyFont="1" applyBorder="1" applyAlignment="1">
      <alignment horizontal="center" vertical="center"/>
    </xf>
    <xf numFmtId="2" fontId="39" fillId="0" borderId="109" xfId="0" applyNumberFormat="1" applyFont="1" applyBorder="1" applyAlignment="1">
      <alignment horizontal="center" vertical="center"/>
    </xf>
    <xf numFmtId="2" fontId="39" fillId="0" borderId="110" xfId="0" applyNumberFormat="1" applyFont="1" applyBorder="1" applyAlignment="1">
      <alignment horizontal="center" vertical="center"/>
    </xf>
    <xf numFmtId="2" fontId="24" fillId="0" borderId="17" xfId="0" applyNumberFormat="1" applyFont="1" applyBorder="1" applyAlignment="1">
      <alignment horizontal="center" vertical="center"/>
    </xf>
    <xf numFmtId="2" fontId="24" fillId="0" borderId="112" xfId="0" applyNumberFormat="1" applyFont="1" applyBorder="1" applyAlignment="1">
      <alignment horizontal="center" vertical="center"/>
    </xf>
    <xf numFmtId="2" fontId="24" fillId="0" borderId="111" xfId="0" applyNumberFormat="1" applyFont="1" applyBorder="1" applyAlignment="1">
      <alignment horizontal="center" vertical="center"/>
    </xf>
    <xf numFmtId="2" fontId="24" fillId="0" borderId="113" xfId="0" applyNumberFormat="1" applyFont="1" applyBorder="1" applyAlignment="1">
      <alignment horizontal="center" vertical="center"/>
    </xf>
    <xf numFmtId="2" fontId="24" fillId="0" borderId="63" xfId="0" applyNumberFormat="1" applyFont="1" applyBorder="1" applyAlignment="1">
      <alignment horizontal="center" vertical="center"/>
    </xf>
    <xf numFmtId="2" fontId="24" fillId="0" borderId="114" xfId="0" applyNumberFormat="1" applyFont="1" applyBorder="1" applyAlignment="1">
      <alignment horizontal="center" vertical="center"/>
    </xf>
    <xf numFmtId="2" fontId="24" fillId="0" borderId="108" xfId="0" applyNumberFormat="1" applyFont="1" applyBorder="1" applyAlignment="1">
      <alignment horizontal="center" vertical="center"/>
    </xf>
    <xf numFmtId="2" fontId="24" fillId="0" borderId="115" xfId="0" applyNumberFormat="1" applyFont="1" applyBorder="1" applyAlignment="1">
      <alignment horizontal="center" vertical="center"/>
    </xf>
    <xf numFmtId="1" fontId="24" fillId="0" borderId="95" xfId="0" applyNumberFormat="1" applyFont="1" applyBorder="1" applyAlignment="1">
      <alignment horizontal="center" vertical="center"/>
    </xf>
    <xf numFmtId="1" fontId="24" fillId="0" borderId="96" xfId="0" applyNumberFormat="1" applyFont="1" applyBorder="1" applyAlignment="1">
      <alignment horizontal="center" vertical="center"/>
    </xf>
    <xf numFmtId="1" fontId="24" fillId="0" borderId="63" xfId="0" applyNumberFormat="1" applyFont="1" applyBorder="1" applyAlignment="1">
      <alignment horizontal="center" vertical="center"/>
    </xf>
    <xf numFmtId="1" fontId="24" fillId="0" borderId="98" xfId="0" applyNumberFormat="1" applyFont="1" applyBorder="1" applyAlignment="1">
      <alignment horizontal="center" vertical="center"/>
    </xf>
    <xf numFmtId="1" fontId="24" fillId="0" borderId="123" xfId="0" applyNumberFormat="1" applyFont="1" applyBorder="1" applyAlignment="1">
      <alignment horizontal="center" vertical="center"/>
    </xf>
    <xf numFmtId="1" fontId="24" fillId="0" borderId="124" xfId="0" applyNumberFormat="1" applyFont="1" applyBorder="1" applyAlignment="1">
      <alignment horizontal="center" vertical="center"/>
    </xf>
    <xf numFmtId="1" fontId="24" fillId="0" borderId="111" xfId="0" applyNumberFormat="1" applyFont="1" applyBorder="1" applyAlignment="1">
      <alignment horizontal="center" vertical="center"/>
    </xf>
    <xf numFmtId="1" fontId="24" fillId="0" borderId="128" xfId="0" applyNumberFormat="1" applyFont="1" applyBorder="1" applyAlignment="1">
      <alignment horizontal="center" vertical="center"/>
    </xf>
    <xf numFmtId="0" fontId="7" fillId="0" borderId="129" xfId="0" applyFont="1" applyBorder="1" applyAlignment="1">
      <alignment horizontal="center" vertical="center"/>
    </xf>
    <xf numFmtId="0" fontId="7" fillId="0" borderId="130" xfId="0" applyFont="1" applyBorder="1" applyAlignment="1">
      <alignment horizontal="center" vertical="center"/>
    </xf>
    <xf numFmtId="0" fontId="7" fillId="0" borderId="131" xfId="0" applyFont="1" applyBorder="1" applyAlignment="1">
      <alignment horizontal="center" vertical="center"/>
    </xf>
    <xf numFmtId="0" fontId="7" fillId="0" borderId="143" xfId="0" applyFont="1" applyBorder="1" applyAlignment="1">
      <alignment horizontal="center" vertical="center"/>
    </xf>
    <xf numFmtId="2" fontId="7" fillId="0" borderId="26" xfId="0" applyNumberFormat="1" applyFont="1" applyBorder="1" applyAlignment="1">
      <alignment horizontal="center" vertical="center"/>
    </xf>
    <xf numFmtId="2" fontId="7" fillId="0" borderId="144" xfId="0" applyNumberFormat="1" applyFont="1" applyBorder="1" applyAlignment="1">
      <alignment horizontal="center" vertical="center"/>
    </xf>
    <xf numFmtId="0" fontId="7" fillId="0" borderId="58" xfId="0" applyFont="1" applyBorder="1" applyAlignment="1">
      <alignment horizontal="center" vertical="center"/>
    </xf>
    <xf numFmtId="0" fontId="7" fillId="0" borderId="11" xfId="0" applyFont="1" applyBorder="1" applyAlignment="1">
      <alignment horizontal="center" vertical="center"/>
    </xf>
    <xf numFmtId="0" fontId="7" fillId="0" borderId="59" xfId="0" applyFont="1" applyBorder="1" applyAlignment="1">
      <alignment horizontal="center" vertical="center"/>
    </xf>
    <xf numFmtId="0" fontId="24" fillId="0" borderId="58" xfId="0" applyFont="1" applyBorder="1" applyAlignment="1">
      <alignment horizontal="center" vertical="center"/>
    </xf>
    <xf numFmtId="0" fontId="24" fillId="0" borderId="11" xfId="0" applyFont="1" applyBorder="1" applyAlignment="1">
      <alignment horizontal="center" vertical="center"/>
    </xf>
    <xf numFmtId="0" fontId="24" fillId="0" borderId="15" xfId="0" applyFont="1" applyBorder="1" applyAlignment="1">
      <alignment horizontal="center" vertical="center"/>
    </xf>
    <xf numFmtId="0" fontId="24" fillId="0" borderId="151" xfId="0" applyFont="1" applyBorder="1" applyAlignment="1">
      <alignment horizontal="center" vertical="center"/>
    </xf>
    <xf numFmtId="2" fontId="24" fillId="0" borderId="61" xfId="0" applyNumberFormat="1" applyFont="1" applyBorder="1" applyAlignment="1">
      <alignment horizontal="center" vertical="center"/>
    </xf>
    <xf numFmtId="0" fontId="24" fillId="0" borderId="152" xfId="0" applyFont="1" applyBorder="1" applyAlignment="1">
      <alignment horizontal="center" vertical="center"/>
    </xf>
    <xf numFmtId="0" fontId="24" fillId="0" borderId="154" xfId="0" applyFont="1" applyBorder="1" applyAlignment="1">
      <alignment horizontal="center" vertical="center"/>
    </xf>
    <xf numFmtId="0" fontId="24" fillId="0" borderId="156" xfId="0" applyFont="1" applyBorder="1" applyAlignment="1">
      <alignment horizontal="center" vertical="center"/>
    </xf>
    <xf numFmtId="0" fontId="24" fillId="0" borderId="157" xfId="0" applyFont="1" applyBorder="1" applyAlignment="1">
      <alignment horizontal="center" vertical="center"/>
    </xf>
    <xf numFmtId="1" fontId="7" fillId="0" borderId="1" xfId="0" applyNumberFormat="1" applyFont="1" applyBorder="1" applyAlignment="1">
      <alignment horizontal="center" vertical="center"/>
    </xf>
    <xf numFmtId="1" fontId="7" fillId="0" borderId="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7" xfId="0" applyNumberFormat="1" applyFont="1" applyBorder="1" applyAlignment="1">
      <alignment horizontal="center" vertical="center"/>
    </xf>
    <xf numFmtId="1" fontId="7" fillId="0" borderId="31" xfId="0" applyNumberFormat="1" applyFont="1" applyBorder="1" applyAlignment="1">
      <alignment horizontal="center" vertical="center"/>
    </xf>
    <xf numFmtId="1" fontId="7" fillId="0" borderId="9" xfId="0" applyNumberFormat="1" applyFont="1" applyBorder="1" applyAlignment="1">
      <alignment horizontal="center" vertical="center"/>
    </xf>
    <xf numFmtId="0" fontId="21" fillId="15" borderId="2"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7" fillId="0" borderId="2" xfId="4" applyBorder="1" applyAlignment="1">
      <alignment horizontal="center" vertical="center"/>
    </xf>
    <xf numFmtId="170" fontId="7" fillId="0" borderId="2" xfId="6" applyNumberFormat="1" applyFont="1" applyBorder="1" applyAlignment="1">
      <alignment horizontal="center" vertical="center"/>
    </xf>
    <xf numFmtId="170" fontId="7" fillId="0" borderId="2" xfId="0" applyNumberFormat="1" applyFont="1" applyBorder="1"/>
    <xf numFmtId="0" fontId="59" fillId="0" borderId="0" xfId="0" applyFont="1" applyAlignment="1">
      <alignment horizontal="center" vertical="center" wrapText="1"/>
    </xf>
    <xf numFmtId="0" fontId="58" fillId="0" borderId="0" xfId="0" applyFont="1" applyAlignment="1">
      <alignment horizontal="center" vertical="center" wrapText="1"/>
    </xf>
    <xf numFmtId="0" fontId="21" fillId="0" borderId="0" xfId="0" applyFont="1" applyAlignment="1">
      <alignment horizontal="center" vertical="center" wrapText="1"/>
    </xf>
    <xf numFmtId="0" fontId="7" fillId="0" borderId="168" xfId="0" applyFont="1" applyBorder="1" applyAlignment="1">
      <alignment vertical="center"/>
    </xf>
    <xf numFmtId="43" fontId="7" fillId="0" borderId="3" xfId="0" applyNumberFormat="1" applyFont="1" applyBorder="1" applyAlignment="1">
      <alignment vertical="center"/>
    </xf>
    <xf numFmtId="43" fontId="8" fillId="0" borderId="2" xfId="6" applyFont="1" applyBorder="1" applyAlignment="1">
      <alignment horizontal="center" vertical="center"/>
    </xf>
    <xf numFmtId="43" fontId="7" fillId="0" borderId="2" xfId="6" applyFont="1" applyBorder="1" applyAlignment="1">
      <alignment horizontal="center" vertical="center"/>
    </xf>
    <xf numFmtId="0" fontId="7" fillId="0" borderId="0" xfId="427" applyFont="1"/>
    <xf numFmtId="0" fontId="59" fillId="0" borderId="0" xfId="427" applyFont="1" applyAlignment="1">
      <alignment vertical="center" wrapText="1"/>
    </xf>
    <xf numFmtId="0" fontId="59" fillId="0" borderId="0" xfId="427" applyFont="1" applyAlignment="1">
      <alignment vertical="center"/>
    </xf>
    <xf numFmtId="0" fontId="7" fillId="0" borderId="0" xfId="427" applyFont="1" applyAlignment="1">
      <alignment horizontal="left"/>
    </xf>
    <xf numFmtId="0" fontId="60" fillId="0" borderId="0" xfId="427"/>
    <xf numFmtId="0" fontId="25" fillId="49" borderId="43" xfId="427" applyFont="1" applyFill="1" applyBorder="1" applyAlignment="1">
      <alignment horizontal="center" vertical="center" wrapText="1"/>
    </xf>
    <xf numFmtId="0" fontId="25" fillId="49" borderId="12" xfId="427" applyFont="1" applyFill="1" applyBorder="1" applyAlignment="1">
      <alignment vertical="center" wrapText="1"/>
    </xf>
    <xf numFmtId="0" fontId="61" fillId="5" borderId="179" xfId="427" applyFont="1" applyFill="1" applyBorder="1" applyAlignment="1">
      <alignment vertical="center" wrapText="1"/>
    </xf>
    <xf numFmtId="0" fontId="61" fillId="52" borderId="13" xfId="427" applyFont="1" applyFill="1" applyBorder="1" applyAlignment="1">
      <alignment vertical="center" wrapText="1"/>
    </xf>
    <xf numFmtId="0" fontId="61" fillId="52" borderId="14" xfId="427" applyFont="1" applyFill="1" applyBorder="1" applyAlignment="1">
      <alignment vertical="center" wrapText="1"/>
    </xf>
    <xf numFmtId="0" fontId="8" fillId="52" borderId="14" xfId="427" applyFont="1" applyFill="1" applyBorder="1" applyAlignment="1">
      <alignment vertical="center" wrapText="1"/>
    </xf>
    <xf numFmtId="0" fontId="61" fillId="52" borderId="14" xfId="427" applyFont="1" applyFill="1" applyBorder="1" applyAlignment="1">
      <alignment horizontal="left" vertical="center" wrapText="1"/>
    </xf>
    <xf numFmtId="0" fontId="61" fillId="52" borderId="15" xfId="427" applyFont="1" applyFill="1" applyBorder="1" applyAlignment="1">
      <alignment vertical="center" wrapText="1"/>
    </xf>
    <xf numFmtId="0" fontId="9" fillId="0" borderId="0" xfId="5" applyAlignment="1">
      <alignment horizontal="left" vertical="top"/>
    </xf>
    <xf numFmtId="0" fontId="7" fillId="0" borderId="0" xfId="427" applyFont="1" applyAlignment="1">
      <alignment wrapText="1"/>
    </xf>
    <xf numFmtId="0" fontId="7" fillId="7" borderId="180" xfId="427" applyFont="1" applyFill="1" applyBorder="1" applyAlignment="1">
      <alignment horizontal="left" vertical="center"/>
    </xf>
    <xf numFmtId="0" fontId="60" fillId="0" borderId="0" xfId="427" applyAlignment="1">
      <alignment horizontal="left" vertical="center"/>
    </xf>
    <xf numFmtId="0" fontId="7" fillId="0" borderId="0" xfId="427" applyFont="1" applyAlignment="1">
      <alignment horizontal="left" vertical="center"/>
    </xf>
    <xf numFmtId="0" fontId="7" fillId="7" borderId="20" xfId="427" applyFont="1" applyFill="1" applyBorder="1" applyAlignment="1">
      <alignment horizontal="left" vertical="center"/>
    </xf>
    <xf numFmtId="0" fontId="63" fillId="9" borderId="2" xfId="0" applyFont="1" applyFill="1" applyBorder="1" applyAlignment="1">
      <alignment horizontal="center" vertical="center" wrapText="1"/>
    </xf>
    <xf numFmtId="0" fontId="23" fillId="7" borderId="0" xfId="427" applyFont="1" applyFill="1" applyAlignment="1">
      <alignment horizontal="left" vertical="center"/>
    </xf>
    <xf numFmtId="0" fontId="23" fillId="7" borderId="180" xfId="427" applyFont="1" applyFill="1" applyBorder="1" applyAlignment="1">
      <alignment horizontal="left" vertical="center"/>
    </xf>
    <xf numFmtId="3" fontId="23" fillId="53" borderId="0" xfId="6" applyNumberFormat="1" applyFont="1" applyFill="1" applyBorder="1" applyAlignment="1">
      <alignment horizontal="left" vertical="center"/>
    </xf>
    <xf numFmtId="3" fontId="23" fillId="0" borderId="43" xfId="427" applyNumberFormat="1" applyFont="1" applyBorder="1" applyAlignment="1">
      <alignment horizontal="center" vertical="center" wrapText="1"/>
    </xf>
    <xf numFmtId="0" fontId="23" fillId="0" borderId="2" xfId="0" applyFont="1" applyBorder="1" applyAlignment="1">
      <alignment vertical="center"/>
    </xf>
    <xf numFmtId="0" fontId="66" fillId="0" borderId="2" xfId="0" applyFont="1" applyBorder="1" applyAlignment="1">
      <alignment vertical="center" wrapText="1"/>
    </xf>
    <xf numFmtId="2" fontId="23" fillId="51" borderId="42" xfId="427" applyNumberFormat="1" applyFont="1" applyFill="1" applyBorder="1" applyAlignment="1">
      <alignment horizontal="center" vertical="center" wrapText="1"/>
    </xf>
    <xf numFmtId="0" fontId="8" fillId="9" borderId="72" xfId="0" applyFont="1" applyFill="1" applyBorder="1" applyAlignment="1">
      <alignment horizontal="center" vertical="center" wrapText="1"/>
    </xf>
    <xf numFmtId="0" fontId="34" fillId="11" borderId="168" xfId="0" applyFont="1" applyFill="1" applyBorder="1" applyAlignment="1">
      <alignment horizontal="left" vertical="center"/>
    </xf>
    <xf numFmtId="0" fontId="12" fillId="0" borderId="11" xfId="3" applyFont="1" applyFill="1" applyBorder="1" applyAlignment="1">
      <alignment horizontal="center" vertical="center" wrapText="1"/>
    </xf>
    <xf numFmtId="0" fontId="7" fillId="0" borderId="10" xfId="0" applyFont="1" applyBorder="1" applyAlignment="1">
      <alignment horizontal="center"/>
    </xf>
    <xf numFmtId="0" fontId="23" fillId="0" borderId="24" xfId="0" applyFont="1" applyBorder="1" applyAlignment="1">
      <alignment horizontal="center" vertical="center"/>
    </xf>
    <xf numFmtId="0" fontId="15" fillId="8" borderId="24" xfId="0" applyFont="1" applyFill="1" applyBorder="1" applyAlignment="1">
      <alignment horizontal="center" vertical="center"/>
    </xf>
    <xf numFmtId="0" fontId="22" fillId="6" borderId="24" xfId="0" applyFont="1" applyFill="1" applyBorder="1" applyAlignment="1">
      <alignment horizontal="center" vertical="center" wrapText="1"/>
    </xf>
    <xf numFmtId="1" fontId="1" fillId="0" borderId="24" xfId="7" applyNumberFormat="1" applyFont="1" applyBorder="1" applyAlignment="1">
      <alignment horizontal="center" vertical="center"/>
    </xf>
    <xf numFmtId="0" fontId="22" fillId="6" borderId="3" xfId="0" applyFont="1" applyFill="1" applyBorder="1" applyAlignment="1">
      <alignment horizontal="center" vertical="center" wrapText="1"/>
    </xf>
    <xf numFmtId="1" fontId="1" fillId="0" borderId="3" xfId="7" applyNumberFormat="1" applyFont="1" applyBorder="1" applyAlignment="1">
      <alignment horizontal="center" vertical="center"/>
    </xf>
    <xf numFmtId="0" fontId="7" fillId="0" borderId="15" xfId="0" applyFont="1" applyBorder="1"/>
    <xf numFmtId="0" fontId="25" fillId="9" borderId="12" xfId="0" applyFont="1" applyFill="1" applyBorder="1" applyAlignment="1">
      <alignment horizontal="center" vertical="center"/>
    </xf>
    <xf numFmtId="0" fontId="23" fillId="0" borderId="24" xfId="0" applyFont="1" applyBorder="1" applyAlignment="1">
      <alignment horizontal="center" vertical="center" wrapText="1"/>
    </xf>
    <xf numFmtId="0" fontId="7" fillId="54" borderId="24" xfId="0" applyFont="1" applyFill="1" applyBorder="1" applyAlignment="1">
      <alignment horizontal="center" vertical="center" wrapText="1"/>
    </xf>
    <xf numFmtId="0" fontId="23" fillId="0" borderId="24" xfId="0" applyFont="1" applyBorder="1" applyAlignment="1">
      <alignment horizontal="center" vertical="top" wrapText="1"/>
    </xf>
    <xf numFmtId="0" fontId="31" fillId="0" borderId="0" xfId="0" applyFont="1"/>
    <xf numFmtId="0" fontId="23" fillId="11" borderId="2" xfId="0" applyFont="1" applyFill="1" applyBorder="1" applyAlignment="1">
      <alignment horizontal="center" vertical="center" wrapText="1"/>
    </xf>
    <xf numFmtId="2" fontId="23" fillId="0" borderId="2"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7" fillId="0" borderId="2" xfId="0" applyFont="1" applyBorder="1" applyAlignment="1">
      <alignment horizontal="left" vertical="center"/>
    </xf>
    <xf numFmtId="0" fontId="8" fillId="6" borderId="63" xfId="0" applyFont="1" applyFill="1" applyBorder="1" applyAlignment="1">
      <alignment horizontal="center" vertical="center"/>
    </xf>
    <xf numFmtId="0" fontId="8" fillId="6" borderId="63" xfId="0" applyFont="1" applyFill="1" applyBorder="1" applyAlignment="1">
      <alignment horizontal="center" vertical="center" wrapText="1"/>
    </xf>
    <xf numFmtId="167" fontId="7" fillId="0" borderId="63" xfId="0" applyNumberFormat="1" applyFont="1" applyBorder="1" applyAlignment="1">
      <alignment horizontal="center" vertical="center"/>
    </xf>
    <xf numFmtId="0" fontId="7" fillId="7" borderId="63" xfId="0" applyFont="1" applyFill="1" applyBorder="1" applyAlignment="1">
      <alignment horizontal="center" vertical="center"/>
    </xf>
    <xf numFmtId="167" fontId="7" fillId="7" borderId="63" xfId="0" applyNumberFormat="1" applyFont="1" applyFill="1" applyBorder="1" applyAlignment="1">
      <alignment horizontal="center" vertical="center" wrapText="1"/>
    </xf>
    <xf numFmtId="0" fontId="7" fillId="5" borderId="63" xfId="0" applyFont="1" applyFill="1" applyBorder="1" applyAlignment="1">
      <alignment horizontal="center" vertical="center"/>
    </xf>
    <xf numFmtId="0" fontId="7" fillId="3" borderId="63" xfId="0" applyFont="1" applyFill="1" applyBorder="1" applyAlignment="1">
      <alignment horizontal="center" vertical="center"/>
    </xf>
    <xf numFmtId="0" fontId="7" fillId="55" borderId="63" xfId="0" applyFont="1" applyFill="1" applyBorder="1" applyAlignment="1">
      <alignment horizontal="center" vertical="center"/>
    </xf>
    <xf numFmtId="0" fontId="1" fillId="55" borderId="63" xfId="0" applyFont="1" applyFill="1" applyBorder="1" applyAlignment="1">
      <alignment horizontal="center" vertical="center"/>
    </xf>
    <xf numFmtId="2" fontId="7" fillId="0" borderId="63" xfId="0" applyNumberFormat="1" applyFont="1" applyBorder="1" applyAlignment="1">
      <alignment horizontal="center" vertical="center"/>
    </xf>
    <xf numFmtId="2" fontId="7" fillId="7" borderId="63" xfId="0" applyNumberFormat="1" applyFont="1" applyFill="1" applyBorder="1" applyAlignment="1">
      <alignment horizontal="center" vertical="center"/>
    </xf>
    <xf numFmtId="0" fontId="7" fillId="5" borderId="63" xfId="0" applyFont="1" applyFill="1" applyBorder="1" applyAlignment="1">
      <alignment horizontal="center" vertical="center" wrapText="1"/>
    </xf>
    <xf numFmtId="3" fontId="23" fillId="0" borderId="2" xfId="0" applyNumberFormat="1" applyFont="1" applyBorder="1" applyAlignment="1">
      <alignment horizontal="center" vertical="center" wrapText="1"/>
    </xf>
    <xf numFmtId="168" fontId="23" fillId="0" borderId="2" xfId="0" applyNumberFormat="1" applyFont="1" applyBorder="1" applyAlignment="1">
      <alignment horizontal="center" vertical="center" wrapText="1"/>
    </xf>
    <xf numFmtId="1" fontId="23" fillId="0" borderId="2" xfId="0" applyNumberFormat="1" applyFont="1" applyBorder="1" applyAlignment="1">
      <alignment horizontal="center" vertical="center" wrapText="1"/>
    </xf>
    <xf numFmtId="0" fontId="7" fillId="0" borderId="0" xfId="0" applyFont="1" applyAlignment="1">
      <alignment horizontal="left"/>
    </xf>
    <xf numFmtId="0" fontId="7" fillId="0" borderId="0" xfId="0" applyFont="1" applyAlignment="1">
      <alignment horizontal="left" vertical="center"/>
    </xf>
    <xf numFmtId="0" fontId="7" fillId="0" borderId="0" xfId="0" applyFont="1" applyAlignment="1">
      <alignment horizontal="center"/>
    </xf>
    <xf numFmtId="0" fontId="7" fillId="0" borderId="2" xfId="0" applyFont="1" applyBorder="1" applyAlignment="1">
      <alignment horizontal="center" vertical="center" wrapText="1"/>
    </xf>
    <xf numFmtId="0" fontId="7" fillId="0" borderId="63" xfId="0" applyFont="1" applyBorder="1" applyAlignment="1">
      <alignment horizontal="center" vertical="center"/>
    </xf>
    <xf numFmtId="0" fontId="7" fillId="0" borderId="63" xfId="0" applyFont="1" applyBorder="1" applyAlignment="1">
      <alignment horizontal="center" vertical="center" wrapText="1"/>
    </xf>
    <xf numFmtId="0" fontId="8" fillId="6" borderId="2" xfId="0" applyFont="1" applyFill="1" applyBorder="1" applyAlignment="1">
      <alignment horizontal="center" vertical="center" wrapText="1"/>
    </xf>
    <xf numFmtId="0" fontId="7" fillId="0" borderId="24" xfId="0" applyFont="1" applyBorder="1" applyAlignment="1">
      <alignment horizontal="center" vertical="center" wrapText="1"/>
    </xf>
    <xf numFmtId="0" fontId="7" fillId="0" borderId="24" xfId="0" applyFont="1" applyBorder="1" applyAlignment="1">
      <alignment horizontal="center" vertical="center"/>
    </xf>
    <xf numFmtId="0" fontId="7" fillId="0" borderId="17" xfId="0" applyFont="1" applyBorder="1" applyAlignment="1">
      <alignment horizontal="center" vertical="center"/>
    </xf>
    <xf numFmtId="0" fontId="23" fillId="0" borderId="2" xfId="0" applyFont="1" applyBorder="1" applyAlignment="1">
      <alignment horizontal="center" vertical="center"/>
    </xf>
    <xf numFmtId="0" fontId="7" fillId="0" borderId="2" xfId="0" applyFont="1" applyBorder="1" applyAlignment="1">
      <alignment horizontal="center" vertical="center"/>
    </xf>
    <xf numFmtId="0" fontId="23" fillId="0" borderId="2" xfId="0" applyFont="1" applyBorder="1" applyAlignment="1">
      <alignment horizontal="center" vertical="center" wrapText="1"/>
    </xf>
    <xf numFmtId="0" fontId="8" fillId="6" borderId="2" xfId="0" applyFont="1" applyFill="1" applyBorder="1" applyAlignment="1">
      <alignment horizontal="center" vertical="center"/>
    </xf>
    <xf numFmtId="0" fontId="25" fillId="6" borderId="2" xfId="0" applyFont="1" applyFill="1" applyBorder="1" applyAlignment="1">
      <alignment horizontal="center" vertical="center" wrapText="1"/>
    </xf>
    <xf numFmtId="9" fontId="7" fillId="0" borderId="23" xfId="2" applyFont="1" applyFill="1" applyBorder="1" applyAlignment="1">
      <alignment horizontal="center" vertical="center"/>
    </xf>
    <xf numFmtId="0" fontId="7" fillId="0" borderId="0" xfId="0" applyFont="1" applyAlignment="1">
      <alignment horizontal="center" vertical="center"/>
    </xf>
    <xf numFmtId="0" fontId="25"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1" fillId="6" borderId="2" xfId="0" applyFont="1" applyFill="1" applyBorder="1" applyAlignment="1">
      <alignment horizontal="center" vertical="center" wrapText="1"/>
    </xf>
    <xf numFmtId="0" fontId="21" fillId="6" borderId="92" xfId="0" applyFont="1" applyFill="1" applyBorder="1" applyAlignment="1">
      <alignment horizontal="center" vertical="center" wrapText="1"/>
    </xf>
    <xf numFmtId="0" fontId="66" fillId="0" borderId="0" xfId="0" applyFont="1"/>
    <xf numFmtId="0" fontId="67" fillId="0" borderId="0" xfId="0" applyFont="1"/>
    <xf numFmtId="0" fontId="69" fillId="0" borderId="0" xfId="5" applyFont="1" applyBorder="1"/>
    <xf numFmtId="0" fontId="67" fillId="0" borderId="0" xfId="0" applyFont="1" applyAlignment="1">
      <alignment horizontal="center"/>
    </xf>
    <xf numFmtId="0" fontId="67" fillId="0" borderId="0" xfId="0" applyFont="1" applyAlignment="1">
      <alignment wrapText="1"/>
    </xf>
    <xf numFmtId="0" fontId="69" fillId="0" borderId="0" xfId="5" applyFont="1" applyBorder="1" applyAlignment="1">
      <alignment horizontal="left"/>
    </xf>
    <xf numFmtId="0" fontId="70" fillId="0" borderId="0" xfId="5" applyFont="1" applyAlignment="1">
      <alignment horizontal="left"/>
    </xf>
    <xf numFmtId="0" fontId="67" fillId="0" borderId="0" xfId="0" applyFont="1" applyAlignment="1">
      <alignment vertical="center"/>
    </xf>
    <xf numFmtId="0" fontId="69" fillId="0" borderId="0" xfId="5" applyFont="1" applyBorder="1" applyAlignment="1"/>
    <xf numFmtId="0" fontId="66" fillId="0" borderId="0" xfId="0" applyFont="1" applyAlignment="1">
      <alignment horizontal="center"/>
    </xf>
    <xf numFmtId="0" fontId="69" fillId="0" borderId="0" xfId="5" applyFont="1" applyAlignment="1">
      <alignment horizontal="center"/>
    </xf>
    <xf numFmtId="0" fontId="23" fillId="0" borderId="0" xfId="0" applyFont="1" applyAlignment="1">
      <alignment vertical="center"/>
    </xf>
    <xf numFmtId="0" fontId="9" fillId="0" borderId="0" xfId="5" applyAlignment="1">
      <alignment horizontal="left" vertical="center"/>
    </xf>
    <xf numFmtId="0" fontId="23" fillId="0" borderId="0" xfId="0" applyFont="1" applyAlignment="1">
      <alignment horizontal="left" vertical="center"/>
    </xf>
    <xf numFmtId="0" fontId="23" fillId="0" borderId="0" xfId="0" applyFont="1" applyAlignment="1">
      <alignment horizontal="left"/>
    </xf>
    <xf numFmtId="0" fontId="23" fillId="0" borderId="0" xfId="0" applyFont="1" applyAlignment="1">
      <alignment vertical="center" wrapText="1"/>
    </xf>
    <xf numFmtId="2" fontId="21" fillId="0" borderId="2" xfId="0" applyNumberFormat="1" applyFont="1" applyBorder="1" applyAlignment="1">
      <alignment horizontal="center" vertical="center" wrapText="1"/>
    </xf>
    <xf numFmtId="0" fontId="23" fillId="53" borderId="0" xfId="427" applyFont="1" applyFill="1" applyAlignment="1">
      <alignment horizontal="left" vertical="center"/>
    </xf>
    <xf numFmtId="0" fontId="7" fillId="53" borderId="0" xfId="427" applyFont="1" applyFill="1" applyAlignment="1">
      <alignment horizontal="left" vertical="center"/>
    </xf>
    <xf numFmtId="168" fontId="23" fillId="53" borderId="0" xfId="427" applyNumberFormat="1" applyFont="1" applyFill="1" applyAlignment="1">
      <alignment horizontal="left" vertical="center"/>
    </xf>
    <xf numFmtId="0" fontId="23" fillId="53" borderId="178" xfId="427" applyFont="1" applyFill="1" applyBorder="1" applyAlignment="1">
      <alignment horizontal="left" vertical="center"/>
    </xf>
    <xf numFmtId="3" fontId="23" fillId="53" borderId="179" xfId="6" applyNumberFormat="1" applyFont="1" applyFill="1" applyBorder="1" applyAlignment="1">
      <alignment horizontal="left" vertical="center"/>
    </xf>
    <xf numFmtId="0" fontId="23" fillId="53" borderId="179" xfId="427" applyFont="1" applyFill="1" applyBorder="1" applyAlignment="1">
      <alignment horizontal="left" vertical="center"/>
    </xf>
    <xf numFmtId="0" fontId="7" fillId="53" borderId="182" xfId="427" applyFont="1" applyFill="1" applyBorder="1" applyAlignment="1">
      <alignment horizontal="left" vertical="center"/>
    </xf>
    <xf numFmtId="0" fontId="23" fillId="53" borderId="168" xfId="427" applyFont="1" applyFill="1" applyBorder="1" applyAlignment="1">
      <alignment horizontal="left" vertical="center"/>
    </xf>
    <xf numFmtId="0" fontId="7" fillId="53" borderId="183" xfId="427" applyFont="1" applyFill="1" applyBorder="1" applyAlignment="1">
      <alignment horizontal="left" vertical="center"/>
    </xf>
    <xf numFmtId="0" fontId="7" fillId="53" borderId="168" xfId="427" applyFont="1" applyFill="1" applyBorder="1" applyAlignment="1">
      <alignment horizontal="left" vertical="center"/>
    </xf>
    <xf numFmtId="0" fontId="7" fillId="53" borderId="184" xfId="427" applyFont="1" applyFill="1" applyBorder="1" applyAlignment="1">
      <alignment horizontal="left" vertical="center"/>
    </xf>
    <xf numFmtId="0" fontId="7" fillId="53" borderId="177" xfId="427" applyFont="1" applyFill="1" applyBorder="1" applyAlignment="1">
      <alignment horizontal="left" vertical="center"/>
    </xf>
    <xf numFmtId="0" fontId="7" fillId="53" borderId="129" xfId="427" applyFont="1" applyFill="1" applyBorder="1" applyAlignment="1">
      <alignment horizontal="left" vertical="center"/>
    </xf>
    <xf numFmtId="37" fontId="23" fillId="56" borderId="13" xfId="6" applyNumberFormat="1" applyFont="1" applyFill="1" applyBorder="1" applyAlignment="1">
      <alignment horizontal="left" vertical="center"/>
    </xf>
    <xf numFmtId="37" fontId="23" fillId="56" borderId="167" xfId="6" applyNumberFormat="1" applyFont="1" applyFill="1" applyBorder="1" applyAlignment="1">
      <alignment horizontal="left" vertical="center"/>
    </xf>
    <xf numFmtId="37" fontId="7" fillId="56" borderId="167" xfId="6" applyNumberFormat="1" applyFont="1" applyFill="1" applyBorder="1" applyAlignment="1">
      <alignment horizontal="left" vertical="center"/>
    </xf>
    <xf numFmtId="37" fontId="7" fillId="56" borderId="18" xfId="6" applyNumberFormat="1" applyFont="1" applyFill="1" applyBorder="1" applyAlignment="1">
      <alignment horizontal="left" vertical="center"/>
    </xf>
    <xf numFmtId="0" fontId="21" fillId="9" borderId="2" xfId="0" applyFont="1" applyFill="1" applyBorder="1" applyAlignment="1">
      <alignment vertical="center" wrapText="1"/>
    </xf>
    <xf numFmtId="0" fontId="8" fillId="9" borderId="2" xfId="0" applyFont="1" applyFill="1" applyBorder="1" applyAlignment="1">
      <alignment vertical="center" wrapText="1"/>
    </xf>
    <xf numFmtId="0" fontId="38" fillId="0" borderId="79" xfId="0" applyFont="1" applyBorder="1" applyAlignment="1">
      <alignment horizontal="center" vertical="center"/>
    </xf>
    <xf numFmtId="0" fontId="38" fillId="0" borderId="80" xfId="0" applyFont="1" applyBorder="1" applyAlignment="1">
      <alignment horizontal="center" vertical="center"/>
    </xf>
    <xf numFmtId="0" fontId="38" fillId="0" borderId="88" xfId="0" applyFont="1" applyBorder="1" applyAlignment="1">
      <alignment horizontal="center" vertical="center"/>
    </xf>
    <xf numFmtId="0" fontId="38" fillId="0" borderId="89" xfId="0" applyFont="1" applyBorder="1" applyAlignment="1">
      <alignment horizontal="center" vertical="center"/>
    </xf>
    <xf numFmtId="0" fontId="0" fillId="0" borderId="2" xfId="0" applyBorder="1" applyAlignment="1">
      <alignment vertical="center"/>
    </xf>
    <xf numFmtId="0" fontId="7" fillId="0" borderId="12" xfId="0" applyFont="1" applyBorder="1" applyAlignment="1">
      <alignment vertical="center"/>
    </xf>
    <xf numFmtId="0" fontId="8" fillId="0" borderId="2" xfId="0" applyFont="1" applyBorder="1" applyAlignment="1">
      <alignment vertical="center"/>
    </xf>
    <xf numFmtId="0" fontId="7" fillId="0" borderId="17" xfId="0" applyFont="1" applyBorder="1" applyAlignment="1">
      <alignment vertical="center"/>
    </xf>
    <xf numFmtId="0" fontId="8" fillId="0" borderId="2" xfId="0" applyFont="1" applyBorder="1" applyAlignment="1">
      <alignment horizontal="center" vertical="center" wrapText="1"/>
    </xf>
    <xf numFmtId="0" fontId="23" fillId="0" borderId="63" xfId="0" applyFont="1" applyBorder="1" applyAlignment="1">
      <alignment horizontal="center" vertical="center"/>
    </xf>
    <xf numFmtId="0" fontId="23" fillId="12" borderId="63" xfId="0" applyFont="1" applyFill="1" applyBorder="1" applyAlignment="1">
      <alignment horizontal="center" vertical="center"/>
    </xf>
    <xf numFmtId="0" fontId="23" fillId="13" borderId="63" xfId="0" applyFont="1" applyFill="1" applyBorder="1" applyAlignment="1">
      <alignment horizontal="center" vertical="center"/>
    </xf>
    <xf numFmtId="0" fontId="23" fillId="14" borderId="63" xfId="0" applyFont="1" applyFill="1" applyBorder="1" applyAlignment="1">
      <alignment horizontal="center" vertical="center"/>
    </xf>
    <xf numFmtId="0" fontId="23" fillId="55" borderId="63" xfId="0" applyFont="1" applyFill="1" applyBorder="1" applyAlignment="1">
      <alignment horizontal="center" vertical="center"/>
    </xf>
    <xf numFmtId="0" fontId="25" fillId="6" borderId="21" xfId="0" applyFont="1" applyFill="1" applyBorder="1" applyAlignment="1">
      <alignment horizontal="center" vertical="center" wrapText="1"/>
    </xf>
    <xf numFmtId="0" fontId="23" fillId="0" borderId="0" xfId="0" applyFont="1" applyAlignment="1">
      <alignment horizontal="left" vertical="center" wrapText="1"/>
    </xf>
    <xf numFmtId="0" fontId="23" fillId="0" borderId="52" xfId="0" applyFont="1" applyBorder="1" applyAlignment="1">
      <alignment horizontal="center" vertical="center" wrapText="1"/>
    </xf>
    <xf numFmtId="0" fontId="23" fillId="0" borderId="56" xfId="0" applyFont="1" applyBorder="1" applyAlignment="1">
      <alignment horizontal="center" vertical="center" wrapText="1"/>
    </xf>
    <xf numFmtId="0" fontId="23" fillId="11" borderId="0" xfId="0" applyFont="1" applyFill="1" applyAlignment="1">
      <alignment vertical="center"/>
    </xf>
    <xf numFmtId="0" fontId="23" fillId="11" borderId="15" xfId="0" applyFont="1" applyFill="1" applyBorder="1" applyAlignment="1">
      <alignment vertical="center"/>
    </xf>
    <xf numFmtId="0" fontId="23" fillId="11" borderId="180" xfId="0" applyFont="1" applyFill="1" applyBorder="1" applyAlignment="1">
      <alignment vertical="center"/>
    </xf>
    <xf numFmtId="0" fontId="23" fillId="0" borderId="0" xfId="0" applyFont="1" applyAlignment="1">
      <alignment horizontal="center" vertical="center" wrapText="1"/>
    </xf>
    <xf numFmtId="0" fontId="23" fillId="0" borderId="0" xfId="0" applyFont="1" applyAlignment="1">
      <alignment horizontal="center" vertical="center"/>
    </xf>
    <xf numFmtId="168" fontId="23" fillId="0" borderId="2" xfId="6" applyNumberFormat="1" applyFont="1" applyBorder="1" applyAlignment="1">
      <alignment horizontal="center" vertical="center"/>
    </xf>
    <xf numFmtId="168" fontId="23" fillId="0" borderId="2" xfId="6" applyNumberFormat="1" applyFont="1" applyBorder="1" applyAlignment="1">
      <alignment horizontal="center" vertical="center" wrapText="1"/>
    </xf>
    <xf numFmtId="0" fontId="16" fillId="0" borderId="0" xfId="0" applyFont="1"/>
    <xf numFmtId="0" fontId="23" fillId="0" borderId="0" xfId="427" applyFont="1" applyAlignment="1">
      <alignment vertical="center" wrapText="1"/>
    </xf>
    <xf numFmtId="165" fontId="23" fillId="0" borderId="0" xfId="427" applyNumberFormat="1" applyFont="1" applyAlignment="1">
      <alignment horizontal="left" vertical="center" wrapText="1"/>
    </xf>
    <xf numFmtId="0" fontId="23" fillId="0" borderId="0" xfId="427" applyFont="1" applyAlignment="1">
      <alignment vertical="center"/>
    </xf>
    <xf numFmtId="167" fontId="23" fillId="0" borderId="0" xfId="427" applyNumberFormat="1" applyFont="1" applyAlignment="1">
      <alignment horizontal="left" vertical="center" wrapText="1"/>
    </xf>
    <xf numFmtId="0" fontId="23" fillId="0" borderId="0" xfId="427" applyFont="1" applyAlignment="1">
      <alignment horizontal="left" vertical="center" wrapText="1"/>
    </xf>
    <xf numFmtId="171" fontId="23" fillId="0" borderId="0" xfId="427" applyNumberFormat="1" applyFont="1" applyAlignment="1">
      <alignment horizontal="left" vertical="center" wrapText="1"/>
    </xf>
    <xf numFmtId="0" fontId="23" fillId="0" borderId="43" xfId="427" applyFont="1" applyBorder="1" applyAlignment="1">
      <alignment horizontal="center" vertical="center" wrapText="1"/>
    </xf>
    <xf numFmtId="165" fontId="23" fillId="50" borderId="43" xfId="427" applyNumberFormat="1" applyFont="1" applyFill="1" applyBorder="1" applyAlignment="1">
      <alignment horizontal="center" vertical="center" wrapText="1"/>
    </xf>
    <xf numFmtId="3" fontId="23" fillId="0" borderId="173" xfId="427" applyNumberFormat="1" applyFont="1" applyBorder="1" applyAlignment="1">
      <alignment horizontal="center" vertical="center" wrapText="1"/>
    </xf>
    <xf numFmtId="0" fontId="25" fillId="5" borderId="178" xfId="427" applyFont="1" applyFill="1" applyBorder="1" applyAlignment="1">
      <alignment vertical="center" wrapText="1"/>
    </xf>
    <xf numFmtId="0" fontId="37" fillId="7" borderId="14" xfId="427" applyFont="1" applyFill="1" applyBorder="1" applyAlignment="1">
      <alignment horizontal="left" vertical="center"/>
    </xf>
    <xf numFmtId="0" fontId="37" fillId="7" borderId="0" xfId="427" applyFont="1" applyFill="1" applyAlignment="1">
      <alignment horizontal="left" vertical="center"/>
    </xf>
    <xf numFmtId="0" fontId="37" fillId="56" borderId="0" xfId="427" applyFont="1" applyFill="1" applyAlignment="1">
      <alignment horizontal="left" vertical="center"/>
    </xf>
    <xf numFmtId="0" fontId="23" fillId="0" borderId="2" xfId="0" applyFont="1" applyBorder="1" applyAlignment="1">
      <alignment vertical="center" wrapText="1"/>
    </xf>
    <xf numFmtId="0" fontId="38" fillId="0" borderId="77" xfId="0" applyFont="1" applyBorder="1" applyAlignment="1">
      <alignment horizontal="center" vertical="center"/>
    </xf>
    <xf numFmtId="0" fontId="38" fillId="0" borderId="78" xfId="0" applyFont="1" applyBorder="1" applyAlignment="1">
      <alignment horizontal="center" vertical="center"/>
    </xf>
    <xf numFmtId="0" fontId="38" fillId="0" borderId="81" xfId="0" applyFont="1" applyBorder="1" applyAlignment="1">
      <alignment horizontal="center" vertical="center"/>
    </xf>
    <xf numFmtId="0" fontId="38" fillId="0" borderId="82" xfId="0" applyFont="1" applyBorder="1" applyAlignment="1">
      <alignment horizontal="center" vertical="center"/>
    </xf>
    <xf numFmtId="0" fontId="38" fillId="0" borderId="83" xfId="0" applyFont="1" applyBorder="1" applyAlignment="1">
      <alignment horizontal="center" vertical="center"/>
    </xf>
    <xf numFmtId="0" fontId="38" fillId="0" borderId="84" xfId="0" applyFont="1" applyBorder="1" applyAlignment="1">
      <alignment horizontal="center" vertical="center"/>
    </xf>
    <xf numFmtId="0" fontId="38" fillId="0" borderId="85" xfId="0" applyFont="1" applyBorder="1" applyAlignment="1">
      <alignment horizontal="center" vertical="center"/>
    </xf>
    <xf numFmtId="0" fontId="38" fillId="0" borderId="86" xfId="0" applyFont="1" applyBorder="1" applyAlignment="1">
      <alignment horizontal="center" vertical="center"/>
    </xf>
    <xf numFmtId="0" fontId="38" fillId="0" borderId="87" xfId="0" applyFont="1" applyBorder="1" applyAlignment="1">
      <alignment horizontal="center" vertical="center"/>
    </xf>
    <xf numFmtId="165" fontId="23" fillId="0" borderId="2" xfId="0" applyNumberFormat="1" applyFont="1" applyBorder="1" applyAlignment="1">
      <alignment horizontal="center" vertical="center"/>
    </xf>
    <xf numFmtId="170" fontId="23" fillId="0" borderId="2" xfId="0" applyNumberFormat="1" applyFont="1" applyBorder="1" applyAlignment="1">
      <alignment horizontal="center" vertical="center"/>
    </xf>
    <xf numFmtId="0" fontId="25" fillId="9"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20" fillId="0" borderId="19" xfId="0" applyFont="1" applyBorder="1" applyAlignment="1">
      <alignment horizontal="left" vertical="center"/>
    </xf>
    <xf numFmtId="0" fontId="15" fillId="47" borderId="2" xfId="1" applyFont="1" applyFill="1" applyBorder="1" applyAlignment="1">
      <alignment horizontal="center" vertical="center" wrapText="1"/>
    </xf>
    <xf numFmtId="0" fontId="15" fillId="8" borderId="0" xfId="0" applyFont="1" applyFill="1" applyAlignment="1">
      <alignment horizontal="center" vertical="center"/>
    </xf>
    <xf numFmtId="0" fontId="66" fillId="0" borderId="0" xfId="0" applyFont="1" applyAlignment="1">
      <alignment horizontal="left" vertical="center"/>
    </xf>
    <xf numFmtId="0" fontId="67" fillId="0" borderId="0" xfId="0" applyFont="1" applyAlignment="1">
      <alignment horizontal="left" vertical="center"/>
    </xf>
    <xf numFmtId="0" fontId="23" fillId="0" borderId="0" xfId="0" applyFont="1" applyAlignment="1">
      <alignment horizontal="left" vertical="center"/>
    </xf>
    <xf numFmtId="0" fontId="7" fillId="0" borderId="0" xfId="0" applyFont="1" applyAlignment="1">
      <alignment horizontal="left" vertical="center" wrapText="1"/>
    </xf>
    <xf numFmtId="0" fontId="8" fillId="0" borderId="64" xfId="0" applyFont="1" applyBorder="1" applyAlignment="1">
      <alignment horizontal="center" vertical="center"/>
    </xf>
    <xf numFmtId="0" fontId="8" fillId="0" borderId="65" xfId="0" applyFont="1" applyBorder="1" applyAlignment="1">
      <alignment horizontal="center" vertical="center"/>
    </xf>
    <xf numFmtId="0" fontId="8" fillId="0" borderId="66" xfId="0" applyFont="1" applyBorder="1" applyAlignment="1">
      <alignment horizontal="center" vertical="center"/>
    </xf>
    <xf numFmtId="0" fontId="8" fillId="0" borderId="67" xfId="0" applyFont="1" applyBorder="1" applyAlignment="1">
      <alignment horizontal="center" vertical="center"/>
    </xf>
    <xf numFmtId="0" fontId="8" fillId="0" borderId="0" xfId="0" applyFont="1" applyAlignment="1">
      <alignment horizontal="center" vertical="center"/>
    </xf>
    <xf numFmtId="0" fontId="8" fillId="0" borderId="68" xfId="0" applyFont="1" applyBorder="1" applyAlignment="1">
      <alignment horizontal="center" vertical="center"/>
    </xf>
    <xf numFmtId="0" fontId="8" fillId="0" borderId="69" xfId="0" applyFont="1" applyBorder="1" applyAlignment="1">
      <alignment horizontal="center" vertical="center"/>
    </xf>
    <xf numFmtId="0" fontId="8" fillId="0" borderId="70" xfId="0" applyFont="1" applyBorder="1" applyAlignment="1">
      <alignment horizontal="center" vertical="center"/>
    </xf>
    <xf numFmtId="0" fontId="8" fillId="0" borderId="71" xfId="0" applyFont="1" applyBorder="1" applyAlignment="1">
      <alignment horizontal="center" vertical="center"/>
    </xf>
    <xf numFmtId="1" fontId="1" fillId="0" borderId="24" xfId="7" applyNumberFormat="1" applyFont="1" applyBorder="1" applyAlignment="1">
      <alignment horizontal="center" vertical="center" wrapText="1"/>
    </xf>
    <xf numFmtId="0" fontId="15" fillId="8" borderId="19" xfId="0" applyFont="1" applyFill="1" applyBorder="1" applyAlignment="1">
      <alignment horizontal="center" vertical="center"/>
    </xf>
    <xf numFmtId="0" fontId="15" fillId="8" borderId="12" xfId="0" applyFont="1" applyFill="1" applyBorder="1" applyAlignment="1">
      <alignment horizontal="center" vertical="center" wrapText="1"/>
    </xf>
    <xf numFmtId="0" fontId="7" fillId="0" borderId="63" xfId="0" applyFont="1" applyBorder="1" applyAlignment="1">
      <alignment horizontal="center" vertical="center" wrapText="1"/>
    </xf>
    <xf numFmtId="0" fontId="7" fillId="0" borderId="63" xfId="0" applyFont="1" applyBorder="1" applyAlignment="1">
      <alignment horizontal="center" vertical="center"/>
    </xf>
    <xf numFmtId="0" fontId="23" fillId="0" borderId="63" xfId="0" applyFont="1" applyBorder="1" applyAlignment="1">
      <alignment horizontal="center" vertical="center" wrapText="1"/>
    </xf>
    <xf numFmtId="0" fontId="7" fillId="0" borderId="0" xfId="0" applyFont="1" applyAlignment="1">
      <alignment horizontal="center"/>
    </xf>
    <xf numFmtId="0" fontId="23" fillId="0" borderId="181" xfId="0" applyFont="1" applyBorder="1" applyAlignment="1">
      <alignment horizontal="center" vertical="center"/>
    </xf>
    <xf numFmtId="0" fontId="23" fillId="0" borderId="22" xfId="0" applyFont="1" applyBorder="1" applyAlignment="1">
      <alignment horizontal="center" vertical="center"/>
    </xf>
    <xf numFmtId="0" fontId="23" fillId="0" borderId="23" xfId="0" applyFont="1" applyBorder="1" applyAlignment="1">
      <alignment horizontal="center" vertical="center"/>
    </xf>
    <xf numFmtId="0" fontId="8" fillId="6"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1" fillId="0" borderId="63" xfId="0" applyFont="1" applyBorder="1" applyAlignment="1">
      <alignment horizontal="center" vertical="center" wrapText="1"/>
    </xf>
    <xf numFmtId="0" fontId="23" fillId="0" borderId="0" xfId="0" applyFont="1" applyAlignment="1">
      <alignment horizontal="left" vertical="top" wrapText="1"/>
    </xf>
    <xf numFmtId="0" fontId="23" fillId="0" borderId="0" xfId="0" applyFont="1"/>
    <xf numFmtId="0" fontId="30" fillId="10" borderId="2" xfId="0" applyFont="1" applyFill="1" applyBorder="1" applyAlignment="1">
      <alignment horizontal="center" vertical="center"/>
    </xf>
    <xf numFmtId="0" fontId="30" fillId="10" borderId="35" xfId="0" applyFont="1" applyFill="1" applyBorder="1" applyAlignment="1">
      <alignment horizontal="center" vertical="center"/>
    </xf>
    <xf numFmtId="0" fontId="1" fillId="0" borderId="38"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2" xfId="0" applyFont="1" applyBorder="1" applyAlignment="1">
      <alignment horizontal="center" vertical="center" wrapText="1"/>
    </xf>
    <xf numFmtId="0" fontId="23" fillId="0" borderId="49" xfId="0" applyFont="1" applyBorder="1" applyAlignment="1">
      <alignment horizontal="center" vertical="center" wrapText="1"/>
    </xf>
    <xf numFmtId="0" fontId="23" fillId="0" borderId="50" xfId="0" applyFont="1" applyBorder="1" applyAlignment="1">
      <alignment horizontal="center" vertical="center" wrapText="1"/>
    </xf>
    <xf numFmtId="0" fontId="23" fillId="0" borderId="51" xfId="0" applyFont="1" applyBorder="1" applyAlignment="1">
      <alignment horizontal="center" vertical="center" wrapText="1"/>
    </xf>
    <xf numFmtId="0" fontId="23" fillId="11" borderId="2" xfId="0" applyFont="1" applyFill="1" applyBorder="1" applyAlignment="1">
      <alignment horizontal="center" vertical="center"/>
    </xf>
    <xf numFmtId="0" fontId="23" fillId="0" borderId="2" xfId="0" applyFont="1" applyBorder="1" applyAlignment="1">
      <alignment horizontal="center" vertical="center" wrapText="1"/>
    </xf>
    <xf numFmtId="0" fontId="23" fillId="0" borderId="2" xfId="0" applyFont="1" applyBorder="1" applyAlignment="1">
      <alignment horizontal="center" vertical="center"/>
    </xf>
    <xf numFmtId="0" fontId="7" fillId="0" borderId="2" xfId="0" applyFont="1" applyBorder="1" applyAlignment="1">
      <alignment horizontal="center" vertical="center"/>
    </xf>
    <xf numFmtId="0" fontId="15" fillId="8" borderId="33" xfId="0" applyFont="1" applyFill="1" applyBorder="1" applyAlignment="1">
      <alignment horizontal="center" vertical="center" wrapText="1"/>
    </xf>
    <xf numFmtId="0" fontId="15" fillId="8" borderId="34" xfId="0" applyFont="1" applyFill="1" applyBorder="1" applyAlignment="1">
      <alignment horizontal="center" vertical="center" wrapText="1"/>
    </xf>
    <xf numFmtId="0" fontId="15" fillId="8" borderId="35" xfId="0" applyFont="1" applyFill="1" applyBorder="1" applyAlignment="1">
      <alignment horizontal="center" vertical="center" wrapText="1"/>
    </xf>
    <xf numFmtId="0" fontId="64" fillId="8" borderId="178" xfId="0" applyFont="1" applyFill="1" applyBorder="1" applyAlignment="1">
      <alignment horizontal="center" vertical="center" wrapText="1"/>
    </xf>
    <xf numFmtId="0" fontId="64" fillId="8" borderId="179" xfId="0" applyFont="1" applyFill="1" applyBorder="1" applyAlignment="1">
      <alignment horizontal="center" vertical="center" wrapText="1"/>
    </xf>
    <xf numFmtId="0" fontId="64" fillId="8" borderId="182" xfId="0" applyFont="1" applyFill="1" applyBorder="1" applyAlignment="1">
      <alignment horizontal="center" vertical="center" wrapText="1"/>
    </xf>
    <xf numFmtId="0" fontId="7" fillId="0" borderId="24" xfId="0" applyFont="1" applyBorder="1" applyAlignment="1">
      <alignment horizontal="center" vertical="center" wrapText="1"/>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41" xfId="0" applyFont="1" applyBorder="1" applyAlignment="1">
      <alignment horizontal="center" vertical="center"/>
    </xf>
    <xf numFmtId="0" fontId="7" fillId="0" borderId="24" xfId="0" applyFont="1" applyBorder="1" applyAlignment="1">
      <alignment horizontal="center" vertical="center"/>
    </xf>
    <xf numFmtId="0" fontId="7" fillId="0" borderId="12" xfId="0" applyFont="1" applyBorder="1" applyAlignment="1">
      <alignment horizontal="center" vertical="center"/>
    </xf>
    <xf numFmtId="0" fontId="7" fillId="0" borderId="17" xfId="0" applyFont="1" applyBorder="1" applyAlignment="1">
      <alignment horizontal="center" vertical="center"/>
    </xf>
    <xf numFmtId="0" fontId="7" fillId="0" borderId="12" xfId="0" applyFont="1" applyBorder="1" applyAlignment="1">
      <alignment horizontal="center" vertical="center" wrapText="1"/>
    </xf>
    <xf numFmtId="0" fontId="7" fillId="0" borderId="17" xfId="0" applyFont="1" applyBorder="1" applyAlignment="1">
      <alignment horizontal="center" vertical="center" wrapText="1"/>
    </xf>
    <xf numFmtId="0" fontId="0" fillId="0" borderId="2" xfId="0" applyBorder="1" applyAlignment="1">
      <alignment horizontal="center" vertical="center" wrapText="1"/>
    </xf>
    <xf numFmtId="0" fontId="15" fillId="8" borderId="2" xfId="0" applyFont="1" applyFill="1" applyBorder="1" applyAlignment="1">
      <alignment horizontal="center" vertical="center" wrapText="1"/>
    </xf>
    <xf numFmtId="0" fontId="30" fillId="10" borderId="34" xfId="0" applyFont="1" applyFill="1" applyBorder="1" applyAlignment="1">
      <alignment horizontal="center" vertical="center"/>
    </xf>
    <xf numFmtId="0" fontId="15" fillId="8" borderId="176" xfId="0" applyFont="1" applyFill="1" applyBorder="1" applyAlignment="1">
      <alignment horizontal="center" vertical="center" wrapText="1"/>
    </xf>
    <xf numFmtId="0" fontId="15" fillId="8" borderId="177" xfId="0" applyFont="1" applyFill="1" applyBorder="1" applyAlignment="1">
      <alignment horizontal="center" vertical="center" wrapText="1"/>
    </xf>
    <xf numFmtId="0" fontId="15" fillId="8" borderId="0" xfId="0" applyFont="1" applyFill="1" applyAlignment="1">
      <alignment horizontal="center" vertical="center" wrapText="1"/>
    </xf>
    <xf numFmtId="0" fontId="15" fillId="8" borderId="18"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30" fillId="48" borderId="172" xfId="427" applyFont="1" applyFill="1" applyBorder="1" applyAlignment="1">
      <alignment horizontal="center" vertical="center" wrapText="1"/>
    </xf>
    <xf numFmtId="0" fontId="30" fillId="48" borderId="0" xfId="427" applyFont="1" applyFill="1" applyAlignment="1">
      <alignment horizontal="center" vertical="center" wrapText="1"/>
    </xf>
    <xf numFmtId="0" fontId="25" fillId="49" borderId="2" xfId="427" applyFont="1" applyFill="1" applyBorder="1" applyAlignment="1">
      <alignment horizontal="center" vertical="center" wrapText="1"/>
    </xf>
    <xf numFmtId="0" fontId="7" fillId="0" borderId="62" xfId="0" applyFont="1" applyBorder="1" applyAlignment="1">
      <alignment horizontal="center" vertical="center" wrapText="1"/>
    </xf>
    <xf numFmtId="0" fontId="7" fillId="0" borderId="174" xfId="0" applyFont="1" applyBorder="1" applyAlignment="1">
      <alignment horizontal="center" vertical="center" wrapText="1"/>
    </xf>
    <xf numFmtId="0" fontId="7" fillId="0" borderId="175" xfId="0" applyFont="1" applyBorder="1" applyAlignment="1">
      <alignment horizontal="center" vertical="center" wrapText="1"/>
    </xf>
    <xf numFmtId="0" fontId="7" fillId="0" borderId="169" xfId="0" applyFont="1" applyBorder="1" applyAlignment="1">
      <alignment horizontal="center" vertical="center" wrapText="1"/>
    </xf>
    <xf numFmtId="0" fontId="7" fillId="0" borderId="170" xfId="0" applyFont="1" applyBorder="1" applyAlignment="1">
      <alignment horizontal="center" vertical="center" wrapText="1"/>
    </xf>
    <xf numFmtId="0" fontId="7" fillId="0" borderId="171" xfId="0" applyFont="1" applyBorder="1" applyAlignment="1">
      <alignment horizontal="center" vertical="center" wrapText="1"/>
    </xf>
    <xf numFmtId="43" fontId="8" fillId="0" borderId="3" xfId="6" applyFont="1" applyBorder="1" applyAlignment="1">
      <alignment horizontal="left" vertical="center"/>
    </xf>
    <xf numFmtId="43" fontId="8" fillId="0" borderId="10" xfId="6" applyFont="1" applyBorder="1" applyAlignment="1">
      <alignment horizontal="left" vertical="center"/>
    </xf>
    <xf numFmtId="43" fontId="8" fillId="0" borderId="11" xfId="6" applyFont="1" applyBorder="1" applyAlignment="1">
      <alignment horizontal="left" vertical="center"/>
    </xf>
    <xf numFmtId="43" fontId="23" fillId="0" borderId="16" xfId="6" applyFont="1" applyBorder="1" applyAlignment="1">
      <alignment horizontal="center" vertical="center" wrapText="1"/>
    </xf>
    <xf numFmtId="43" fontId="23" fillId="0" borderId="17" xfId="6" applyFont="1" applyBorder="1" applyAlignment="1">
      <alignment horizontal="center" vertical="center" wrapText="1"/>
    </xf>
    <xf numFmtId="0" fontId="8" fillId="6" borderId="2" xfId="0" applyFont="1" applyFill="1" applyBorder="1" applyAlignment="1">
      <alignment horizontal="center" vertical="center"/>
    </xf>
    <xf numFmtId="0" fontId="7" fillId="0" borderId="16" xfId="0" applyFont="1" applyBorder="1" applyAlignment="1">
      <alignment horizontal="center" vertical="center" wrapText="1"/>
    </xf>
    <xf numFmtId="0" fontId="15" fillId="8" borderId="2" xfId="0" applyFont="1" applyFill="1" applyBorder="1" applyAlignment="1">
      <alignment horizontal="center" vertical="center"/>
    </xf>
    <xf numFmtId="0" fontId="25" fillId="6" borderId="2" xfId="0" applyFont="1" applyFill="1" applyBorder="1" applyAlignment="1">
      <alignment horizontal="center" vertical="center" wrapText="1"/>
    </xf>
    <xf numFmtId="0" fontId="15" fillId="8" borderId="13" xfId="0" applyFont="1" applyFill="1" applyBorder="1" applyAlignment="1">
      <alignment horizontal="center" vertical="center"/>
    </xf>
    <xf numFmtId="0" fontId="15" fillId="8" borderId="14" xfId="0" applyFont="1" applyFill="1" applyBorder="1" applyAlignment="1">
      <alignment horizontal="center" vertical="center"/>
    </xf>
    <xf numFmtId="0" fontId="7" fillId="0" borderId="72" xfId="0" applyFont="1" applyBorder="1" applyAlignment="1">
      <alignment horizontal="center" vertical="center" wrapText="1"/>
    </xf>
    <xf numFmtId="0" fontId="7" fillId="0" borderId="73" xfId="0" applyFont="1" applyBorder="1" applyAlignment="1">
      <alignment horizontal="center" vertical="center" wrapText="1"/>
    </xf>
    <xf numFmtId="0" fontId="8" fillId="6" borderId="12" xfId="0" applyFont="1" applyFill="1" applyBorder="1" applyAlignment="1">
      <alignment horizontal="center" vertical="center" wrapText="1"/>
    </xf>
    <xf numFmtId="0" fontId="15" fillId="8" borderId="20" xfId="0" applyFont="1" applyFill="1" applyBorder="1" applyAlignment="1">
      <alignment horizontal="center" vertical="center" wrapText="1"/>
    </xf>
    <xf numFmtId="0" fontId="7" fillId="0" borderId="61" xfId="0" applyFont="1" applyBorder="1" applyAlignment="1">
      <alignment horizontal="center" vertical="center" wrapText="1"/>
    </xf>
    <xf numFmtId="0" fontId="7" fillId="0" borderId="14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1" xfId="0" applyFont="1" applyBorder="1" applyAlignment="1">
      <alignment horizontal="center" vertical="center" wrapText="1"/>
    </xf>
    <xf numFmtId="0" fontId="24" fillId="0" borderId="94" xfId="0" applyFont="1" applyBorder="1" applyAlignment="1">
      <alignment horizontal="center" vertical="center"/>
    </xf>
    <xf numFmtId="0" fontId="24" fillId="0" borderId="73" xfId="0" applyFont="1" applyBorder="1" applyAlignment="1">
      <alignment horizontal="center" vertical="center"/>
    </xf>
    <xf numFmtId="0" fontId="24" fillId="0" borderId="100" xfId="0" applyFont="1" applyBorder="1" applyAlignment="1">
      <alignment horizontal="center" vertical="center"/>
    </xf>
    <xf numFmtId="0" fontId="24" fillId="0" borderId="116" xfId="0" applyFont="1" applyBorder="1" applyAlignment="1">
      <alignment horizontal="center" vertical="center" wrapText="1"/>
    </xf>
    <xf numFmtId="0" fontId="24" fillId="0" borderId="118" xfId="0" applyFont="1" applyBorder="1" applyAlignment="1">
      <alignment horizontal="center" vertical="center" wrapText="1"/>
    </xf>
    <xf numFmtId="0" fontId="24" fillId="0" borderId="121" xfId="0" applyFont="1" applyBorder="1" applyAlignment="1">
      <alignment horizontal="center" vertical="center" wrapText="1"/>
    </xf>
    <xf numFmtId="0" fontId="24" fillId="0" borderId="117" xfId="0" applyFont="1" applyBorder="1" applyAlignment="1">
      <alignment horizontal="center" vertical="center" wrapText="1"/>
    </xf>
    <xf numFmtId="0" fontId="24" fillId="0" borderId="119" xfId="0" applyFont="1" applyBorder="1" applyAlignment="1">
      <alignment horizontal="center" vertical="center" wrapText="1"/>
    </xf>
    <xf numFmtId="0" fontId="24" fillId="0" borderId="122" xfId="0" applyFont="1" applyBorder="1" applyAlignment="1">
      <alignment horizontal="center" vertical="center" wrapText="1"/>
    </xf>
    <xf numFmtId="0" fontId="24" fillId="0" borderId="125" xfId="0" applyFont="1" applyBorder="1" applyAlignment="1">
      <alignment horizontal="center" vertical="center" wrapText="1"/>
    </xf>
    <xf numFmtId="0" fontId="24" fillId="0" borderId="97" xfId="0" applyFont="1" applyBorder="1" applyAlignment="1">
      <alignment horizontal="center" vertical="center" wrapText="1"/>
    </xf>
    <xf numFmtId="0" fontId="24" fillId="0" borderId="120" xfId="0" applyFont="1" applyBorder="1" applyAlignment="1">
      <alignment horizontal="center" vertical="center" wrapText="1"/>
    </xf>
    <xf numFmtId="0" fontId="24" fillId="0" borderId="126" xfId="0" applyFont="1" applyBorder="1" applyAlignment="1">
      <alignment horizontal="center" vertical="center" wrapText="1"/>
    </xf>
    <xf numFmtId="0" fontId="24" fillId="0" borderId="127" xfId="0" applyFont="1" applyBorder="1" applyAlignment="1">
      <alignment horizontal="center" vertical="center" wrapText="1"/>
    </xf>
    <xf numFmtId="0" fontId="21" fillId="6" borderId="0" xfId="0" applyFont="1" applyFill="1" applyAlignment="1">
      <alignment horizontal="center" vertical="center" wrapText="1"/>
    </xf>
    <xf numFmtId="0" fontId="21" fillId="6" borderId="92" xfId="0" applyFont="1" applyFill="1" applyBorder="1" applyAlignment="1">
      <alignment horizontal="center" vertical="center" wrapText="1"/>
    </xf>
    <xf numFmtId="0" fontId="24" fillId="0" borderId="93"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95" xfId="0" applyFont="1" applyBorder="1" applyAlignment="1">
      <alignment horizontal="center" vertical="center" wrapText="1"/>
    </xf>
    <xf numFmtId="0" fontId="24" fillId="0" borderId="63" xfId="0" applyFont="1" applyBorder="1" applyAlignment="1">
      <alignment horizontal="center" vertical="center" wrapText="1"/>
    </xf>
    <xf numFmtId="0" fontId="24" fillId="0" borderId="72" xfId="0" applyFont="1" applyBorder="1" applyAlignment="1">
      <alignment horizontal="center" vertical="center" wrapText="1"/>
    </xf>
    <xf numFmtId="0" fontId="24" fillId="0" borderId="103" xfId="0" applyFont="1" applyBorder="1" applyAlignment="1">
      <alignment horizontal="center" vertical="center" wrapText="1"/>
    </xf>
    <xf numFmtId="0" fontId="24" fillId="0" borderId="148" xfId="0" applyFont="1" applyBorder="1" applyAlignment="1">
      <alignment horizontal="center" vertical="center" wrapText="1"/>
    </xf>
    <xf numFmtId="0" fontId="24" fillId="0" borderId="149" xfId="0" applyFont="1" applyBorder="1" applyAlignment="1">
      <alignment horizontal="center" vertical="center" wrapText="1"/>
    </xf>
    <xf numFmtId="0" fontId="24" fillId="0" borderId="153" xfId="0" applyFont="1" applyBorder="1" applyAlignment="1">
      <alignment horizontal="center" vertical="center" wrapText="1"/>
    </xf>
    <xf numFmtId="0" fontId="38" fillId="0" borderId="74" xfId="0" applyFont="1" applyBorder="1" applyAlignment="1">
      <alignment horizontal="center" vertical="center" wrapText="1"/>
    </xf>
    <xf numFmtId="0" fontId="38" fillId="0" borderId="75" xfId="0" applyFont="1" applyBorder="1" applyAlignment="1">
      <alignment horizontal="center" vertical="center" wrapText="1"/>
    </xf>
    <xf numFmtId="0" fontId="38" fillId="0" borderId="91" xfId="0" applyFont="1" applyBorder="1" applyAlignment="1">
      <alignment horizontal="center" vertical="center" wrapText="1"/>
    </xf>
    <xf numFmtId="0" fontId="38" fillId="0" borderId="132"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76" xfId="0" applyFont="1" applyBorder="1" applyAlignment="1">
      <alignment horizontal="center" vertical="center" wrapText="1"/>
    </xf>
    <xf numFmtId="0" fontId="38" fillId="0" borderId="90" xfId="0" applyFont="1" applyBorder="1" applyAlignment="1">
      <alignment horizontal="center" vertical="center" wrapText="1"/>
    </xf>
    <xf numFmtId="0" fontId="24" fillId="0" borderId="140" xfId="0" applyFont="1" applyBorder="1" applyAlignment="1">
      <alignment horizontal="center" vertical="center"/>
    </xf>
    <xf numFmtId="0" fontId="8" fillId="6" borderId="12" xfId="0" applyFont="1" applyFill="1" applyBorder="1" applyAlignment="1">
      <alignment horizontal="center" vertical="center"/>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24" fillId="0" borderId="111" xfId="0" applyFont="1" applyBorder="1" applyAlignment="1">
      <alignment horizontal="center" vertical="center" wrapText="1"/>
    </xf>
    <xf numFmtId="0" fontId="24" fillId="0" borderId="108" xfId="0" applyFont="1" applyBorder="1" applyAlignment="1">
      <alignment horizontal="center" vertical="center" wrapText="1"/>
    </xf>
    <xf numFmtId="0" fontId="24" fillId="0" borderId="96" xfId="0" applyFont="1" applyBorder="1" applyAlignment="1">
      <alignment horizontal="center" vertical="center" wrapText="1"/>
    </xf>
    <xf numFmtId="0" fontId="24" fillId="0" borderId="98" xfId="0" applyFont="1" applyBorder="1" applyAlignment="1">
      <alignment horizontal="center" vertical="center" wrapText="1"/>
    </xf>
    <xf numFmtId="0" fontId="24" fillId="0" borderId="10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24" fillId="0" borderId="150" xfId="0" applyFont="1" applyBorder="1" applyAlignment="1">
      <alignment horizontal="center" vertical="center" wrapText="1"/>
    </xf>
    <xf numFmtId="0" fontId="7" fillId="0" borderId="61" xfId="0" applyFont="1" applyBorder="1" applyAlignment="1">
      <alignment horizontal="center" vertical="center"/>
    </xf>
    <xf numFmtId="0" fontId="7" fillId="0" borderId="16" xfId="0" applyFont="1" applyBorder="1" applyAlignment="1">
      <alignment horizontal="center" vertical="center"/>
    </xf>
    <xf numFmtId="0" fontId="7" fillId="0" borderId="145" xfId="0" applyFont="1" applyBorder="1" applyAlignment="1">
      <alignment horizontal="center" vertical="center"/>
    </xf>
    <xf numFmtId="0" fontId="7" fillId="0" borderId="60" xfId="0" applyFont="1" applyBorder="1" applyAlignment="1">
      <alignment horizontal="center" vertical="center"/>
    </xf>
    <xf numFmtId="0" fontId="7" fillId="0" borderId="146" xfId="0" applyFont="1" applyBorder="1" applyAlignment="1">
      <alignment horizontal="center" vertical="center"/>
    </xf>
    <xf numFmtId="0" fontId="7" fillId="0" borderId="147" xfId="0" applyFont="1" applyBorder="1" applyAlignment="1">
      <alignment horizontal="center" vertical="center"/>
    </xf>
    <xf numFmtId="0" fontId="38" fillId="0" borderId="133"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6" xfId="0" applyFont="1" applyBorder="1" applyAlignment="1">
      <alignment horizontal="center" vertical="center" wrapText="1"/>
    </xf>
    <xf numFmtId="0" fontId="38" fillId="0" borderId="138" xfId="0" applyFont="1" applyBorder="1" applyAlignment="1">
      <alignment horizontal="center" vertical="center" wrapText="1"/>
    </xf>
    <xf numFmtId="0" fontId="38" fillId="0" borderId="141" xfId="0" applyFont="1" applyBorder="1" applyAlignment="1">
      <alignment horizontal="center" vertical="center" wrapText="1"/>
    </xf>
    <xf numFmtId="0" fontId="38" fillId="0" borderId="142" xfId="0" applyFont="1" applyBorder="1" applyAlignment="1">
      <alignment horizontal="center" vertical="center" wrapText="1"/>
    </xf>
    <xf numFmtId="0" fontId="39" fillId="0" borderId="155" xfId="0" applyFont="1" applyBorder="1" applyAlignment="1">
      <alignment horizontal="center" vertical="center" wrapText="1"/>
    </xf>
    <xf numFmtId="0" fontId="39" fillId="0" borderId="149" xfId="0" applyFont="1" applyBorder="1" applyAlignment="1">
      <alignment horizontal="center" vertical="center" wrapText="1"/>
    </xf>
    <xf numFmtId="0" fontId="39" fillId="0" borderId="150" xfId="0" applyFont="1" applyBorder="1" applyAlignment="1">
      <alignment horizontal="center" vertical="center" wrapText="1"/>
    </xf>
    <xf numFmtId="0" fontId="21" fillId="6" borderId="2" xfId="0" applyFont="1" applyFill="1" applyBorder="1" applyAlignment="1">
      <alignment horizontal="center" vertical="center" wrapText="1"/>
    </xf>
    <xf numFmtId="0" fontId="30" fillId="10" borderId="18" xfId="0" applyFont="1" applyFill="1" applyBorder="1" applyAlignment="1">
      <alignment horizontal="center" vertical="center"/>
    </xf>
    <xf numFmtId="0" fontId="30" fillId="10" borderId="19" xfId="0" applyFont="1" applyFill="1" applyBorder="1" applyAlignment="1">
      <alignment horizontal="center" vertical="center"/>
    </xf>
    <xf numFmtId="0" fontId="15" fillId="8" borderId="18" xfId="0" applyFont="1" applyFill="1" applyBorder="1" applyAlignment="1">
      <alignment horizontal="center" vertical="center"/>
    </xf>
    <xf numFmtId="9" fontId="7" fillId="0" borderId="32" xfId="2" applyFont="1" applyFill="1" applyBorder="1" applyAlignment="1">
      <alignment horizontal="center" vertical="center"/>
    </xf>
    <xf numFmtId="9" fontId="7" fillId="0" borderId="22" xfId="2" applyFont="1" applyFill="1" applyBorder="1" applyAlignment="1">
      <alignment horizontal="center" vertical="center"/>
    </xf>
    <xf numFmtId="9" fontId="7" fillId="0" borderId="23" xfId="2" applyFont="1" applyFill="1" applyBorder="1" applyAlignment="1">
      <alignment horizontal="center" vertical="center"/>
    </xf>
    <xf numFmtId="0" fontId="7" fillId="0" borderId="14" xfId="0" applyFont="1" applyBorder="1" applyAlignment="1">
      <alignment horizontal="center" vertical="center"/>
    </xf>
    <xf numFmtId="0" fontId="7" fillId="0" borderId="0" xfId="0" applyFont="1" applyAlignment="1">
      <alignment horizontal="center" vertical="center"/>
    </xf>
    <xf numFmtId="0" fontId="25" fillId="6" borderId="3" xfId="0" applyFont="1" applyFill="1" applyBorder="1" applyAlignment="1">
      <alignment horizontal="center" vertical="center"/>
    </xf>
    <xf numFmtId="0" fontId="25"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5" fillId="6" borderId="2" xfId="0" applyFont="1" applyFill="1" applyBorder="1" applyAlignment="1">
      <alignment horizontal="center" vertical="center"/>
    </xf>
    <xf numFmtId="0" fontId="25" fillId="6" borderId="12" xfId="0" applyFont="1" applyFill="1" applyBorder="1" applyAlignment="1">
      <alignment horizontal="center" vertical="center"/>
    </xf>
    <xf numFmtId="0" fontId="25" fillId="6" borderId="17" xfId="0" applyFont="1" applyFill="1" applyBorder="1" applyAlignment="1">
      <alignment horizontal="center" vertical="center"/>
    </xf>
    <xf numFmtId="0" fontId="11" fillId="8" borderId="0" xfId="0" applyFont="1" applyFill="1" applyAlignment="1">
      <alignment horizontal="center" vertical="center" wrapText="1"/>
    </xf>
    <xf numFmtId="0" fontId="0" fillId="0" borderId="0" xfId="0" applyAlignment="1">
      <alignment horizontal="center"/>
    </xf>
  </cellXfs>
  <cellStyles count="42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AA63BAF6-9FC2-48C3-A778-7D51DF086144}"/>
    <cellStyle name="60% - Accent2" xfId="37" builtinId="36" customBuiltin="1"/>
    <cellStyle name="60% - Accent2 2" xfId="61" xr:uid="{D69D31FC-7116-40AA-A234-C2FACE3ACB63}"/>
    <cellStyle name="60% - Accent3" xfId="41" builtinId="40" customBuiltin="1"/>
    <cellStyle name="60% - Accent3 2" xfId="62" xr:uid="{E7CB2A3A-1C84-4FEE-A2DE-B72738E0F630}"/>
    <cellStyle name="60% - Accent4" xfId="45" builtinId="44" customBuiltin="1"/>
    <cellStyle name="60% - Accent4 2" xfId="63" xr:uid="{217CB9A4-99B2-4EE4-9D42-484899090772}"/>
    <cellStyle name="60% - Accent5" xfId="49" builtinId="48" customBuiltin="1"/>
    <cellStyle name="60% - Accent5 2" xfId="64" xr:uid="{1D26A8D6-39E6-4CF5-BE21-132529BD4FC2}"/>
    <cellStyle name="60% - Accent6" xfId="53" builtinId="52" customBuiltin="1"/>
    <cellStyle name="60% - Accent6 2" xfId="65" xr:uid="{04503C60-009B-4761-89DC-F6C4CA8F6A08}"/>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E5299242-56E9-4824-AC36-65852811FD35}"/>
    <cellStyle name="Comma 2 10" xfId="425" xr:uid="{9CCE5EEA-F437-433F-A1CE-FE08A533D50A}"/>
    <cellStyle name="Comma 2 2" xfId="68" xr:uid="{603C9628-1CA3-4C53-A7FC-ABE6C0871E8A}"/>
    <cellStyle name="Comma 2 2 2" xfId="69" xr:uid="{6EEC97A2-127F-4966-B07C-FB5069683F4A}"/>
    <cellStyle name="Comma 2 2 3" xfId="70" xr:uid="{99EB52B6-B32C-4807-A8C3-BE99087F217A}"/>
    <cellStyle name="Comma 2 3" xfId="71" xr:uid="{D9BEF30A-B756-4F25-959F-F06832E47C2A}"/>
    <cellStyle name="Comma 2 4" xfId="72" xr:uid="{130E70E7-B2BB-4A16-AECC-DD5344420580}"/>
    <cellStyle name="Comma 2 5" xfId="73" xr:uid="{DFF859C2-9EF2-48EC-BF8B-5AAB1F1F6623}"/>
    <cellStyle name="Comma 2 6" xfId="74" xr:uid="{023A865B-AB11-4B36-B71A-BCD039B0A351}"/>
    <cellStyle name="Comma 2 7" xfId="75" xr:uid="{172F72E0-C8AD-414F-8DC9-91A4D181F041}"/>
    <cellStyle name="Comma 2 8" xfId="76" xr:uid="{B7D423FE-B06D-4166-8D5C-AA33F1DC5C6B}"/>
    <cellStyle name="Comma 2 9" xfId="77" xr:uid="{48A8BDED-3EC9-4D17-B164-BFA1374EF697}"/>
    <cellStyle name="Comma 3" xfId="78" xr:uid="{5572982D-8C41-430D-ACEC-3D0F0F4AA1C4}"/>
    <cellStyle name="Comma 3 2" xfId="79" xr:uid="{01F861B8-520F-4168-8B0B-6114FEC37A99}"/>
    <cellStyle name="Comma 4" xfId="80" xr:uid="{67DECE78-4AEC-4372-B1FF-035103F5FB88}"/>
    <cellStyle name="Comma 4 2" xfId="81" xr:uid="{B950D5D9-5CCB-4531-8C4F-A1D8DE8C5433}"/>
    <cellStyle name="Comma 4 2 2" xfId="82" xr:uid="{E1D2990F-3A41-4EF0-88B5-40641519DEAC}"/>
    <cellStyle name="Comma 5" xfId="83" xr:uid="{B65EE3E6-1C8A-41F7-9727-E467EDAAD23B}"/>
    <cellStyle name="Comma 5 2" xfId="84" xr:uid="{BADC6ED2-E31F-4242-A623-F6F978DBEF31}"/>
    <cellStyle name="Comma 5 3" xfId="85" xr:uid="{D5414BB7-CD44-42F8-B3B8-436FF35716DC}"/>
    <cellStyle name="Comma 6" xfId="66" xr:uid="{AD5E7AAB-ABCB-4109-B641-DE0E87E8A696}"/>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83B9421C-B80D-4BD3-B5FD-87DDF48C9F37}"/>
    <cellStyle name="Input" xfId="21" builtinId="20" customBuiltin="1"/>
    <cellStyle name="Linked Cell" xfId="24" builtinId="24" customBuiltin="1"/>
    <cellStyle name="Neutral" xfId="20" builtinId="28" customBuiltin="1"/>
    <cellStyle name="Neutral 2" xfId="86" xr:uid="{A1897D29-61C5-4E01-9886-F96FD2FECE01}"/>
    <cellStyle name="Normal" xfId="0" builtinId="0" customBuiltin="1"/>
    <cellStyle name="Normal 10" xfId="87" xr:uid="{ED0463BB-040E-47DB-A6CA-8B704E3A8044}"/>
    <cellStyle name="Normal 10 2" xfId="88" xr:uid="{EBF11DA2-AEA6-4137-847D-895A7C431239}"/>
    <cellStyle name="Normal 100" xfId="89" xr:uid="{8D746BFE-424B-4874-BF03-ACB6A9BF2508}"/>
    <cellStyle name="Normal 101" xfId="90" xr:uid="{64D22296-E74C-47AA-B17D-9D3DCAFFF839}"/>
    <cellStyle name="Normal 102" xfId="91" xr:uid="{980DE39E-DEFF-4296-BE80-6C5E624AA599}"/>
    <cellStyle name="Normal 103" xfId="92" xr:uid="{40111496-5DEE-4217-8918-8B546F238062}"/>
    <cellStyle name="Normal 104" xfId="93" xr:uid="{6BB7F6C3-EE46-44B5-854C-4F97AAAEDDC2}"/>
    <cellStyle name="Normal 105" xfId="94" xr:uid="{0FE7A9B2-D44B-44F7-8010-1528E0D4AF0B}"/>
    <cellStyle name="Normal 106" xfId="95" xr:uid="{489C2CB2-11B0-4524-9FB0-D6EB3F69F34F}"/>
    <cellStyle name="Normal 107" xfId="96" xr:uid="{14405B63-B8D1-4737-A30A-112C93E5E280}"/>
    <cellStyle name="Normal 108" xfId="97" xr:uid="{F357C884-7CA0-43E4-ABE7-6166222D13AB}"/>
    <cellStyle name="Normal 109" xfId="98" xr:uid="{85C4E9C9-7FDF-4B1E-A41D-7B61CE4BA68A}"/>
    <cellStyle name="Normal 11" xfId="99" xr:uid="{2A123749-CD56-4265-BB68-2AF269F5182A}"/>
    <cellStyle name="Normal 11 2 2 2" xfId="55" xr:uid="{7C50C1D3-ADF5-48CB-A8A1-4E32D51D9FBB}"/>
    <cellStyle name="Normal 110" xfId="100" xr:uid="{CC3D9095-E13A-48A1-9518-EA44F95F0373}"/>
    <cellStyle name="Normal 111" xfId="101" xr:uid="{8F0C626A-B9E9-4F58-8206-58555D4CE570}"/>
    <cellStyle name="Normal 112" xfId="102" xr:uid="{A13C924F-C6CB-4509-83D7-CE6EF5AD43AD}"/>
    <cellStyle name="Normal 113" xfId="103" xr:uid="{1661CA6B-376A-420D-AC8F-BF8DBE66B1A0}"/>
    <cellStyle name="Normal 114" xfId="104" xr:uid="{35CC7844-58B2-4D02-B25D-9DC6A98B2274}"/>
    <cellStyle name="Normal 115" xfId="105" xr:uid="{C95BF9CC-34D0-4782-9D06-A0DDAA44E24F}"/>
    <cellStyle name="Normal 116" xfId="106" xr:uid="{E84A1D36-54B2-46B3-9314-692A19A2922A}"/>
    <cellStyle name="Normal 117" xfId="107" xr:uid="{AA481524-9A8B-4645-ABC0-C879BA6401D6}"/>
    <cellStyle name="Normal 118" xfId="108" xr:uid="{F77962B3-686A-4B71-BA65-AB8CACCED9A1}"/>
    <cellStyle name="Normal 119" xfId="109" xr:uid="{E751AF2C-2E88-4FB1-A8D7-33CD20959EFA}"/>
    <cellStyle name="Normal 12" xfId="110" xr:uid="{CA757291-9463-403A-920B-183DE8844CFD}"/>
    <cellStyle name="Normal 120" xfId="111" xr:uid="{907DD9BA-7B1C-4775-BF4B-C3A813108B13}"/>
    <cellStyle name="Normal 121" xfId="112" xr:uid="{789E5AE2-FC7B-4114-81B5-A5D481F7164B}"/>
    <cellStyle name="Normal 122" xfId="113" xr:uid="{D03F61E7-FE47-44DB-86FB-453058257A4E}"/>
    <cellStyle name="Normal 123" xfId="114" xr:uid="{E3679CB9-1ADC-4001-982F-4F06AF835C84}"/>
    <cellStyle name="Normal 124" xfId="115" xr:uid="{084B9B53-DF06-40E7-B779-06CB4E3C7476}"/>
    <cellStyle name="Normal 125" xfId="116" xr:uid="{D3ED090E-5B8D-4DEC-9C7C-057C90F610F7}"/>
    <cellStyle name="Normal 126" xfId="117" xr:uid="{69E3234C-F9F3-4084-A892-89D756A00201}"/>
    <cellStyle name="Normal 127" xfId="118" xr:uid="{67C00D11-6B36-440F-AFFA-3E49456E934D}"/>
    <cellStyle name="Normal 128" xfId="119" xr:uid="{C6018823-A0B7-4385-9EAD-C91EE8E8B120}"/>
    <cellStyle name="Normal 129" xfId="120" xr:uid="{4F43D10E-5A49-4D74-9F96-0F376F46B4D2}"/>
    <cellStyle name="Normal 13" xfId="121" xr:uid="{FB96719A-EC18-4712-BDB7-50355ED41D1B}"/>
    <cellStyle name="Normal 130" xfId="122" xr:uid="{D82218B6-F2D5-4F99-9D93-0DC9639D9AA7}"/>
    <cellStyle name="Normal 131" xfId="123" xr:uid="{293235FE-BF55-459F-BF29-0FD94CABE186}"/>
    <cellStyle name="Normal 132" xfId="124" xr:uid="{EE81DAED-2E4A-4745-9882-E11D1F22665A}"/>
    <cellStyle name="Normal 133" xfId="125" xr:uid="{1A2AA6EE-FB25-40B9-8A79-9F74776E6D09}"/>
    <cellStyle name="Normal 134" xfId="126" xr:uid="{37A5DB8B-DBA7-4CA7-A969-ED339A5D1A05}"/>
    <cellStyle name="Normal 135" xfId="127" xr:uid="{C6504084-132E-4961-AEA9-DBFF566E9792}"/>
    <cellStyle name="Normal 136" xfId="128" xr:uid="{6529FE7E-8935-4700-99B9-5F87565F58BB}"/>
    <cellStyle name="Normal 137" xfId="129" xr:uid="{0003C2D2-8C12-40AB-A268-BF2C18180962}"/>
    <cellStyle name="Normal 138" xfId="130" xr:uid="{B6042A3D-DDE2-4AB5-8C73-0D79EF3276B4}"/>
    <cellStyle name="Normal 139" xfId="131" xr:uid="{C28F438A-43AE-4685-B2B7-A7A2FA4F568D}"/>
    <cellStyle name="Normal 14" xfId="56" xr:uid="{7FC88FDD-1E0F-4A36-A314-14A0510AB2BF}"/>
    <cellStyle name="Normal 14 2" xfId="132" xr:uid="{21C8527C-42BD-4926-B7DC-9A9BCECF3505}"/>
    <cellStyle name="Normal 140" xfId="133" xr:uid="{72F442C8-317E-478F-99AF-474AE3CBC8EF}"/>
    <cellStyle name="Normal 141" xfId="134" xr:uid="{9DC15F10-3896-448B-A247-4ABFF231F691}"/>
    <cellStyle name="Normal 142" xfId="135" xr:uid="{603EB0C3-1B92-40C5-9E6B-1FF3D50F5FC1}"/>
    <cellStyle name="Normal 143" xfId="136" xr:uid="{45973D7E-F11B-4B5A-B9DD-75A012EFF817}"/>
    <cellStyle name="Normal 144" xfId="137" xr:uid="{95427852-9B9C-4DA0-90F4-422372E46E2C}"/>
    <cellStyle name="Normal 145" xfId="138" xr:uid="{DFB43339-4233-4085-9A05-129E43B28A26}"/>
    <cellStyle name="Normal 146" xfId="139" xr:uid="{85A90211-BF3D-4776-AF97-DA87475FEE0B}"/>
    <cellStyle name="Normal 147" xfId="140" xr:uid="{7B35ECDE-7419-470C-8138-DF04BC89BC92}"/>
    <cellStyle name="Normal 148" xfId="141" xr:uid="{65DC0A42-C22C-4292-8E0A-92EBCD02DDA0}"/>
    <cellStyle name="Normal 149" xfId="142" xr:uid="{AEF798ED-32A3-46F8-A15B-892F7304F132}"/>
    <cellStyle name="Normal 15" xfId="143" xr:uid="{CC56BB7D-516E-4F6C-8EE4-0BBC22BBB753}"/>
    <cellStyle name="Normal 150" xfId="144" xr:uid="{D0149B52-38F4-4749-B458-0AA1FDE1DA66}"/>
    <cellStyle name="Normal 151" xfId="145" xr:uid="{A7D9853D-00D1-4445-96EA-8F44085B74B9}"/>
    <cellStyle name="Normal 152" xfId="146" xr:uid="{D5119C07-DFED-4B94-89E9-8C57EDF9DFD8}"/>
    <cellStyle name="Normal 153" xfId="147" xr:uid="{B38573D3-D882-4D4B-A997-15638EC701C3}"/>
    <cellStyle name="Normal 154" xfId="148" xr:uid="{572E4383-5781-42F6-B880-689CDDC7368D}"/>
    <cellStyle name="Normal 155" xfId="149" xr:uid="{38BE3E85-FBE1-43A3-A7E1-972AF97F0A52}"/>
    <cellStyle name="Normal 156" xfId="150" xr:uid="{5732FA65-7A4B-49A5-9A5B-409FAB9CCF76}"/>
    <cellStyle name="Normal 157" xfId="151" xr:uid="{8C5CD6FD-7636-419E-9547-9ABF1577C6BA}"/>
    <cellStyle name="Normal 158" xfId="152" xr:uid="{03C54D47-88E6-47CE-94A7-0E7E485662C4}"/>
    <cellStyle name="Normal 159" xfId="153" xr:uid="{A1DD70B3-DA10-40AF-8754-3FDCF50B74C1}"/>
    <cellStyle name="Normal 16" xfId="154" xr:uid="{CFE26381-B890-4BC1-AE8A-164E31965E9E}"/>
    <cellStyle name="Normal 160" xfId="155" xr:uid="{5291294C-753E-4D5C-874C-9C70670568DD}"/>
    <cellStyle name="Normal 161" xfId="156" xr:uid="{BDB3B2EB-6722-487C-82B6-3E14FC210A3A}"/>
    <cellStyle name="Normal 162" xfId="157" xr:uid="{67116450-A86A-438C-8C2D-0F3658961D8E}"/>
    <cellStyle name="Normal 163" xfId="158" xr:uid="{3B51A7E0-919C-4B29-81ED-F7E4D63A0625}"/>
    <cellStyle name="Normal 164" xfId="159" xr:uid="{F8B366FB-BB20-46A3-918F-2973641D7753}"/>
    <cellStyle name="Normal 165" xfId="160" xr:uid="{5065B7EA-88C2-4F48-BEF0-E5247B688C14}"/>
    <cellStyle name="Normal 166" xfId="161" xr:uid="{E27B32E9-FB2D-4DC1-BD88-83EED36496E7}"/>
    <cellStyle name="Normal 167" xfId="162" xr:uid="{E39DBD0C-8CAA-4766-9319-AA9561307C97}"/>
    <cellStyle name="Normal 168" xfId="163" xr:uid="{A5D5FFD5-DCA2-46A7-AED9-36983C81E607}"/>
    <cellStyle name="Normal 169" xfId="164" xr:uid="{8CFC3D9A-6626-47D4-B6C6-713B69D91515}"/>
    <cellStyle name="Normal 17" xfId="165" xr:uid="{36C8929E-DF49-4BE6-9370-398BBC2DA0B0}"/>
    <cellStyle name="Normal 170" xfId="166" xr:uid="{C486493B-4CB2-437D-99DC-C0406E19DD18}"/>
    <cellStyle name="Normal 171" xfId="167" xr:uid="{5811ACE0-3CDC-47EF-8218-6BD1C3E6CF34}"/>
    <cellStyle name="Normal 172" xfId="168" xr:uid="{0BBAE2F0-C916-4B87-A9D8-316C45028B80}"/>
    <cellStyle name="Normal 173" xfId="169" xr:uid="{10650785-5DFE-43BC-87B4-90296F84FCFC}"/>
    <cellStyle name="Normal 174" xfId="170" xr:uid="{3573FCA1-5F01-468E-BF23-C1164DF905B3}"/>
    <cellStyle name="Normal 175" xfId="171" xr:uid="{93D819CC-E1D0-4270-8F02-5CD8B62E3EED}"/>
    <cellStyle name="Normal 176" xfId="172" xr:uid="{C2D43BE7-0EB8-4913-8352-E184BB5E3D8E}"/>
    <cellStyle name="Normal 177" xfId="173" xr:uid="{100E6D3D-4E76-49C6-99C2-C6B3BF783C8E}"/>
    <cellStyle name="Normal 178" xfId="174" xr:uid="{3E0162E3-EDF8-462A-9BDC-3D322340952F}"/>
    <cellStyle name="Normal 179" xfId="175" xr:uid="{47926F73-51E6-4EA8-8161-42B73986269C}"/>
    <cellStyle name="Normal 18" xfId="176" xr:uid="{816C4401-75EC-4250-87A3-9A8A620F4750}"/>
    <cellStyle name="Normal 180" xfId="177" xr:uid="{F2AEAA7F-A1AE-4ED5-BB61-3FAD6BE2B217}"/>
    <cellStyle name="Normal 181" xfId="178" xr:uid="{6E397E36-04CC-4C5D-90CA-3CD574EF880A}"/>
    <cellStyle name="Normal 182" xfId="179" xr:uid="{71883B54-80D4-4E42-B78C-438BF72C41F8}"/>
    <cellStyle name="Normal 183" xfId="180" xr:uid="{3E52A5B5-97D1-4DC5-93DE-DF07D0D58EA3}"/>
    <cellStyle name="Normal 184" xfId="181" xr:uid="{C055BBBA-D5E5-4AFC-B1C4-B8017484A04F}"/>
    <cellStyle name="Normal 185" xfId="182" xr:uid="{637AE1D6-1210-40F5-BBA4-C4FF63AE9855}"/>
    <cellStyle name="Normal 186" xfId="183" xr:uid="{8F4808B5-0B78-4F53-9B2E-7C8F8EE43D69}"/>
    <cellStyle name="Normal 187" xfId="184" xr:uid="{9BEA7F49-7AF5-42FC-88D8-D7D9EEDCF94C}"/>
    <cellStyle name="Normal 188" xfId="185" xr:uid="{75DA12DB-D0D6-439A-BB50-11596E16D507}"/>
    <cellStyle name="Normal 189" xfId="186" xr:uid="{A736C369-610A-4E43-BD79-BE0A71A31A11}"/>
    <cellStyle name="Normal 19" xfId="187" xr:uid="{63F7279F-CA17-4FFB-B232-BE006BEDACF1}"/>
    <cellStyle name="Normal 190" xfId="188" xr:uid="{56A30D42-7130-465F-BDAE-383D5C392055}"/>
    <cellStyle name="Normal 191" xfId="189" xr:uid="{D4DCA886-CDB4-4ADD-8232-D32870AF75A9}"/>
    <cellStyle name="Normal 192" xfId="190" xr:uid="{C5D6781B-EA72-4761-A03D-E582BBF83509}"/>
    <cellStyle name="Normal 193" xfId="191" xr:uid="{3083335F-A502-490B-B0BA-90D2BD2A19F5}"/>
    <cellStyle name="Normal 194" xfId="192" xr:uid="{7230118E-7ABE-45D4-8211-F3910C5DB2C5}"/>
    <cellStyle name="Normal 195" xfId="193" xr:uid="{863DE1D4-8C1E-445E-81A1-1858C366DE0A}"/>
    <cellStyle name="Normal 196" xfId="194" xr:uid="{60555A46-BC41-4AFE-95D5-5455BBD16FEF}"/>
    <cellStyle name="Normal 197" xfId="195" xr:uid="{BE68651D-3514-4631-BD59-B63D2D3D8DAC}"/>
    <cellStyle name="Normal 198" xfId="196" xr:uid="{A98293BB-CF4C-45CE-A593-6B0E713C7929}"/>
    <cellStyle name="Normal 199" xfId="197" xr:uid="{6AE7CA74-8E17-43BC-A489-81511AA4F476}"/>
    <cellStyle name="Normal 2" xfId="3" xr:uid="{E38C2638-0821-4BB2-9C33-A89D3950ADA6}"/>
    <cellStyle name="Normal 2 2" xfId="4" xr:uid="{7604919E-E68F-4366-A693-6A7B8B8DA661}"/>
    <cellStyle name="Normal 2 2 2" xfId="200" xr:uid="{5C17D59F-092F-4986-B36B-493EB3211812}"/>
    <cellStyle name="Normal 2 2 3" xfId="201" xr:uid="{89779703-A98D-481A-A126-905904026B02}"/>
    <cellStyle name="Normal 2 2 4" xfId="202" xr:uid="{8E088786-B031-4AA8-B287-007B90D0EFC3}"/>
    <cellStyle name="Normal 2 2 5" xfId="199" xr:uid="{CF75510F-91C7-43C0-B8A9-90B720297614}"/>
    <cellStyle name="Normal 2 2 6" xfId="54" xr:uid="{8A4CE9E5-926A-46AF-B9E8-10483AC3CB4E}"/>
    <cellStyle name="Normal 2 3" xfId="9" xr:uid="{8A1E39CD-7ABA-4D79-A464-67010D1209C1}"/>
    <cellStyle name="Normal 2 3 2" xfId="204" xr:uid="{0E8B9A87-23EB-419E-AD90-672C57FA0BB7}"/>
    <cellStyle name="Normal 2 3 3" xfId="205" xr:uid="{065AA8E8-9E77-4B1C-AC89-B4A64016062C}"/>
    <cellStyle name="Normal 2 3 4" xfId="203" xr:uid="{555FE82F-2BCE-43AF-B51A-776BAAB33DEF}"/>
    <cellStyle name="Normal 2 4" xfId="206" xr:uid="{A7F5C5DE-AE18-454A-BDA0-1679F1A72378}"/>
    <cellStyle name="Normal 2 4 2" xfId="207" xr:uid="{B8056318-40FD-4AA1-96B8-6B6A8E3E16CF}"/>
    <cellStyle name="Normal 2 4 3" xfId="208" xr:uid="{65AE053D-6C1D-4D68-9D5B-11C3FBEB0BE7}"/>
    <cellStyle name="Normal 2 5" xfId="209" xr:uid="{2BDE1294-A280-47A0-BB99-DF51587C4B26}"/>
    <cellStyle name="Normal 2 6" xfId="421" xr:uid="{D2152CCF-1AF4-4577-A50C-81260288D3EB}"/>
    <cellStyle name="Normal 2 7" xfId="198" xr:uid="{E2540B81-4511-46C5-BDB7-A9A16FAA8C27}"/>
    <cellStyle name="Normal 2_AEDG50_HotelSmall_Inputs" xfId="210" xr:uid="{D394658F-752C-41A7-959C-7B1AF2815059}"/>
    <cellStyle name="Normal 20" xfId="211" xr:uid="{F9F2B2CB-68F6-449A-B8A5-5E473AD41D0A}"/>
    <cellStyle name="Normal 200" xfId="212" xr:uid="{C2763FE4-A49B-4A1D-9B88-3C9BDF3B9431}"/>
    <cellStyle name="Normal 201" xfId="213" xr:uid="{E77593CE-3954-4F80-89A7-1196D0FC9917}"/>
    <cellStyle name="Normal 202" xfId="214" xr:uid="{74B93B20-EB77-468D-AEE6-F8010154F429}"/>
    <cellStyle name="Normal 203" xfId="215" xr:uid="{B3000F5F-1C0F-498A-81DC-64E0BAF59F58}"/>
    <cellStyle name="Normal 204" xfId="216" xr:uid="{69D02BCE-2C30-472F-9D49-54023FFD1136}"/>
    <cellStyle name="Normal 205" xfId="217" xr:uid="{9BF1BD0D-432B-448D-817E-65708E3AB8EB}"/>
    <cellStyle name="Normal 206" xfId="218" xr:uid="{26A655AD-44F6-4337-9772-75A29A308A67}"/>
    <cellStyle name="Normal 207" xfId="219" xr:uid="{392BEAA4-C156-47F6-9DB0-D5B2F333357E}"/>
    <cellStyle name="Normal 208" xfId="220" xr:uid="{E5BD5EC6-B7B6-4C52-B24B-377B17979988}"/>
    <cellStyle name="Normal 209" xfId="221" xr:uid="{C5C8B4BC-8479-4235-BFCE-ECA6589966B4}"/>
    <cellStyle name="Normal 21" xfId="222" xr:uid="{B4F2925F-B0AD-46B4-B1FC-B5855DD35795}"/>
    <cellStyle name="Normal 210" xfId="223" xr:uid="{02C19085-8210-4040-9578-0BA85C38DE94}"/>
    <cellStyle name="Normal 211" xfId="224" xr:uid="{87E5A58D-468F-486F-96AA-2DE6D6190AF2}"/>
    <cellStyle name="Normal 212" xfId="225" xr:uid="{13F3133E-5AFC-4B3F-9319-F95D7FF96E42}"/>
    <cellStyle name="Normal 213" xfId="226" xr:uid="{9A1A84D0-5F89-40BF-9B00-57CBDCB47C96}"/>
    <cellStyle name="Normal 214" xfId="227" xr:uid="{4566A44E-19DA-4356-A624-05990D1EFC0B}"/>
    <cellStyle name="Normal 215" xfId="228" xr:uid="{E39A73E1-182C-416D-9072-1C74CD5DBC6C}"/>
    <cellStyle name="Normal 216" xfId="229" xr:uid="{C785683A-0C4C-4AFC-9339-C559D1ED2AF9}"/>
    <cellStyle name="Normal 217" xfId="230" xr:uid="{1AC80983-8148-4437-BBB3-98584EC46A1D}"/>
    <cellStyle name="Normal 218" xfId="231" xr:uid="{483F3526-4E4A-44B6-9F08-4810700F0CA9}"/>
    <cellStyle name="Normal 219" xfId="232" xr:uid="{539C2CDA-87BC-485E-92A9-913DFFD83687}"/>
    <cellStyle name="Normal 22" xfId="233" xr:uid="{364B2A54-F946-42C7-8CD2-9D0C29AF86BA}"/>
    <cellStyle name="Normal 220" xfId="234" xr:uid="{98F8222E-6CFF-4619-939F-41A416333523}"/>
    <cellStyle name="Normal 221" xfId="235" xr:uid="{D7B7217F-E4A5-408B-B2B1-E077A9C80915}"/>
    <cellStyle name="Normal 222" xfId="236" xr:uid="{71AFD3DF-A631-4DDC-BB8B-EB990F8D671B}"/>
    <cellStyle name="Normal 223" xfId="237" xr:uid="{CF1E9111-A6AF-40D9-8414-8276B6789767}"/>
    <cellStyle name="Normal 224" xfId="238" xr:uid="{A5FED52D-525F-4BEE-8A9E-6E4CCAA4A8FE}"/>
    <cellStyle name="Normal 225" xfId="239" xr:uid="{68941D8A-EA72-473E-A26E-7CF4B8440854}"/>
    <cellStyle name="Normal 226" xfId="240" xr:uid="{3527A556-BD80-43CB-84BB-BC8E275F4CE3}"/>
    <cellStyle name="Normal 227" xfId="241" xr:uid="{E59DB0CD-0A28-44CC-923F-5A4B5D606BE0}"/>
    <cellStyle name="Normal 228" xfId="242" xr:uid="{12DA6185-A595-43E8-B4AC-581167383E21}"/>
    <cellStyle name="Normal 229" xfId="243" xr:uid="{0CF1F3B6-D745-4D7A-9996-CED7CDC59242}"/>
    <cellStyle name="Normal 23" xfId="244" xr:uid="{C4D75CCE-B720-4B88-AF1B-4F8882F689F4}"/>
    <cellStyle name="Normal 230" xfId="245" xr:uid="{345F14BC-FC41-4FBB-A899-2CA1AA06AA41}"/>
    <cellStyle name="Normal 231" xfId="246" xr:uid="{CEC94A9E-BAB0-417D-92B1-55E7762F2E71}"/>
    <cellStyle name="Normal 232" xfId="247" xr:uid="{7BAC4937-E39D-42F8-BD70-CC21829EA3DD}"/>
    <cellStyle name="Normal 233" xfId="248" xr:uid="{8614D0BF-B702-4595-9AAC-28B2F6A2A336}"/>
    <cellStyle name="Normal 234" xfId="249" xr:uid="{9D04F931-23A9-4C72-8D69-819A8E35AF9F}"/>
    <cellStyle name="Normal 235" xfId="250" xr:uid="{04D5DD75-034E-48A1-9558-CEE7162F5FAD}"/>
    <cellStyle name="Normal 236" xfId="251" xr:uid="{B8F8A9A3-9E73-49D1-8559-00E5966B3FB6}"/>
    <cellStyle name="Normal 237" xfId="252" xr:uid="{195E5BA2-15EB-4AFD-A747-4BA782A33C00}"/>
    <cellStyle name="Normal 238" xfId="253" xr:uid="{9C2A4331-E3C9-4254-BBD6-1352915FC4A2}"/>
    <cellStyle name="Normal 239" xfId="254" xr:uid="{EFF8F820-C601-4530-9BD9-AD12663DB6D0}"/>
    <cellStyle name="Normal 24" xfId="255" xr:uid="{6970B655-688A-440E-9465-BCB01318B1F6}"/>
    <cellStyle name="Normal 240" xfId="256" xr:uid="{54CC6034-8573-4860-8BA3-9A27819BCD68}"/>
    <cellStyle name="Normal 241" xfId="257" xr:uid="{7A9E32D4-C561-45E1-8855-D364677DF82F}"/>
    <cellStyle name="Normal 242" xfId="258" xr:uid="{08973D1E-28FE-41F0-8C32-BE02C6AAA32F}"/>
    <cellStyle name="Normal 243" xfId="259" xr:uid="{B54FEC1C-E3F2-4AA2-AD29-ECA47E7468AC}"/>
    <cellStyle name="Normal 244" xfId="260" xr:uid="{204F0F16-B96D-4AA6-81A6-098AA16E67BB}"/>
    <cellStyle name="Normal 245" xfId="261" xr:uid="{8808C593-6A35-4745-9E0E-E3E4E839FE3E}"/>
    <cellStyle name="Normal 246" xfId="262" xr:uid="{F44E6A74-4A33-43EB-A539-E3CD63570C36}"/>
    <cellStyle name="Normal 247" xfId="263" xr:uid="{B2ED9146-E519-4C53-8C71-9B87929EBB56}"/>
    <cellStyle name="Normal 248" xfId="264" xr:uid="{0DA230CE-8D0C-4445-9724-B76DB9420DD3}"/>
    <cellStyle name="Normal 249" xfId="265" xr:uid="{2B385218-E308-4FF6-A434-AC5177E1198C}"/>
    <cellStyle name="Normal 25" xfId="266" xr:uid="{773E85EA-E5C9-454F-825D-E14FCBAA8951}"/>
    <cellStyle name="Normal 250" xfId="267" xr:uid="{45114215-7B02-47B7-9DCD-DAA42C880BB6}"/>
    <cellStyle name="Normal 251" xfId="268" xr:uid="{ECEA2C70-5BEE-486E-81A2-163290C685B5}"/>
    <cellStyle name="Normal 252" xfId="269" xr:uid="{3FE4A758-96EF-4595-A298-5032B00128A2}"/>
    <cellStyle name="Normal 253" xfId="270" xr:uid="{DFDB7498-EC92-4B16-8739-AE0AC9313364}"/>
    <cellStyle name="Normal 254" xfId="271" xr:uid="{03B72245-62B7-4331-84E0-6961D1DE1D42}"/>
    <cellStyle name="Normal 255" xfId="272" xr:uid="{00C9DC87-AEA0-4812-8B83-6E82E52F20F9}"/>
    <cellStyle name="Normal 256" xfId="273" xr:uid="{1C08169E-4D12-44F4-99B0-D3EF673B6B83}"/>
    <cellStyle name="Normal 256 2" xfId="274" xr:uid="{DD1DEF78-D62C-4883-AA89-EDD48EDC4E1B}"/>
    <cellStyle name="Normal 257" xfId="275" xr:uid="{9521952A-D897-4BDA-A2AA-F13007029C60}"/>
    <cellStyle name="Normal 257 2" xfId="276" xr:uid="{252B2ECC-0EEA-4D2D-BB1C-F3C7B7D8970C}"/>
    <cellStyle name="Normal 258" xfId="277" xr:uid="{5B7E9565-8961-4ADB-9716-54CF3C6465F5}"/>
    <cellStyle name="Normal 258 2" xfId="278" xr:uid="{FD8B7167-9462-4C84-A3ED-F8C09387E76B}"/>
    <cellStyle name="Normal 259" xfId="279" xr:uid="{48C906D9-3035-42A3-89C2-ED413CB9990C}"/>
    <cellStyle name="Normal 259 2" xfId="280" xr:uid="{6DB9434D-4D5D-4E20-8342-EFF118273164}"/>
    <cellStyle name="Normal 26" xfId="281" xr:uid="{10303899-1DBE-46A4-9656-F17D6C8BA5DD}"/>
    <cellStyle name="Normal 260" xfId="282" xr:uid="{367DE9C1-C4DF-4A55-B7C8-39922C2F80AE}"/>
    <cellStyle name="Normal 260 2" xfId="283" xr:uid="{6DC06F61-0A7A-46F1-BAEE-4E61D38CB7D1}"/>
    <cellStyle name="Normal 261" xfId="284" xr:uid="{682A9D58-A3E5-4B35-AF05-D40A56B4E858}"/>
    <cellStyle name="Normal 262" xfId="285" xr:uid="{0F63BA51-E8A6-4CD5-A353-446CCFD78724}"/>
    <cellStyle name="Normal 263" xfId="286" xr:uid="{4E2B4A92-86D0-48A4-8CC2-6A5D8AAC7AFC}"/>
    <cellStyle name="Normal 264" xfId="287" xr:uid="{51C0681C-A730-48CE-8EA8-D4159909A244}"/>
    <cellStyle name="Normal 265" xfId="288" xr:uid="{6913B442-F8CA-4AA9-ADFA-A6995AA374D6}"/>
    <cellStyle name="Normal 265 2" xfId="289" xr:uid="{9094FE79-437B-44B0-BD3F-E693EB1BFD6F}"/>
    <cellStyle name="Normal 265 3" xfId="290" xr:uid="{E6CD1951-8345-4509-A4C8-18CCBC0ABDD0}"/>
    <cellStyle name="Normal 266" xfId="291" xr:uid="{94E0E32E-F402-408E-8E73-235E0826B49A}"/>
    <cellStyle name="Normal 266 2" xfId="292" xr:uid="{8F55BE43-A449-42FE-AEB1-D69233034A1A}"/>
    <cellStyle name="Normal 266 3" xfId="293" xr:uid="{DF0A3E20-BBC3-495A-A836-B9B2D0D2B549}"/>
    <cellStyle name="Normal 267" xfId="294" xr:uid="{A7055123-47E7-49E3-B947-912FEE05A238}"/>
    <cellStyle name="Normal 267 2" xfId="295" xr:uid="{D8E1FD1A-8DAD-45F8-B0E1-DD4E93E8EBAA}"/>
    <cellStyle name="Normal 268" xfId="296" xr:uid="{19A557C3-13BA-49C3-9E58-A02BAE2DF3D8}"/>
    <cellStyle name="Normal 268 2" xfId="297" xr:uid="{60A1E638-2A52-43D7-B05A-4BF7E1B14360}"/>
    <cellStyle name="Normal 269" xfId="298" xr:uid="{DA4A9174-1670-4AF2-8D8C-D445FB4A313E}"/>
    <cellStyle name="Normal 269 2" xfId="299" xr:uid="{E5F9B91B-1F74-4AB7-BA67-903106395A23}"/>
    <cellStyle name="Normal 27" xfId="300" xr:uid="{73BDE781-B95C-4408-A4EE-A2D51D5FF64E}"/>
    <cellStyle name="Normal 270" xfId="301" xr:uid="{DD7FF40D-A37B-4E23-ACAC-7EF49782B880}"/>
    <cellStyle name="Normal 270 2" xfId="302" xr:uid="{EC621B19-CB53-4CCA-986B-67393F73CFF1}"/>
    <cellStyle name="Normal 271" xfId="303" xr:uid="{11EB8487-29ED-41BD-95F1-B6F8BB06698D}"/>
    <cellStyle name="Normal 272" xfId="304" xr:uid="{2B72B42F-75C9-497B-A3DE-AE79784149BC}"/>
    <cellStyle name="Normal 273" xfId="305" xr:uid="{F72B6584-0B38-419E-AAD3-E49CF2A0B305}"/>
    <cellStyle name="Normal 274" xfId="306" xr:uid="{9EA882E3-08A7-4AD1-8821-4F2D6B309E12}"/>
    <cellStyle name="Normal 275" xfId="307" xr:uid="{E0F3DA4D-7D94-4612-B561-580D1CC86259}"/>
    <cellStyle name="Normal 276" xfId="308" xr:uid="{5D566F8F-AB87-43B2-B389-D43ACBD0D81B}"/>
    <cellStyle name="Normal 277" xfId="309" xr:uid="{D5E4180D-549E-4CA4-859B-FB75E2186C53}"/>
    <cellStyle name="Normal 278" xfId="310" xr:uid="{694939A8-47D1-4EFC-BB57-EB4BA4A94E41}"/>
    <cellStyle name="Normal 279" xfId="311" xr:uid="{64E15D09-F62C-4077-8563-A77C01F137C8}"/>
    <cellStyle name="Normal 28" xfId="312" xr:uid="{F007DB11-7827-4FAB-8B9F-3F0ADC57EB1B}"/>
    <cellStyle name="Normal 280" xfId="313" xr:uid="{2A906A98-D0AB-49F2-92C8-4E2AC3AD7B7F}"/>
    <cellStyle name="Normal 281" xfId="314" xr:uid="{A181FDB3-D125-47BA-A6A0-903F447BED9C}"/>
    <cellStyle name="Normal 282" xfId="59" xr:uid="{EE79E31F-A06E-4EB1-B307-561CF1068FED}"/>
    <cellStyle name="Normal 29" xfId="315" xr:uid="{82BAAB75-1CE3-4251-920E-FD32C91515F6}"/>
    <cellStyle name="Normal 3" xfId="7" xr:uid="{1C10DAE4-4F9C-4E19-81E4-5574511A6741}"/>
    <cellStyle name="Normal 3 2" xfId="317" xr:uid="{61370834-A734-48B2-833C-2924E55AF406}"/>
    <cellStyle name="Normal 3 2 2" xfId="318" xr:uid="{1E5D4B6B-8C59-4F59-B048-60A37334C088}"/>
    <cellStyle name="Normal 3 2 2 2" xfId="319" xr:uid="{11AC7F54-13E7-4E53-9373-E6F05C171849}"/>
    <cellStyle name="Normal 3 2 3" xfId="320" xr:uid="{3046703E-15BF-4661-8569-41DA30430B45}"/>
    <cellStyle name="Normal 3 2 4" xfId="424" xr:uid="{4E109080-8C65-4F86-A66B-4FDDB0F06C54}"/>
    <cellStyle name="Normal 3 3" xfId="321" xr:uid="{0CEED06D-BAC2-45C5-A4A0-DA4E1EF61E8D}"/>
    <cellStyle name="Normal 3 3 2" xfId="322" xr:uid="{E398452A-6D64-414A-BA0C-EDDB41394529}"/>
    <cellStyle name="Normal 3 3 3" xfId="323" xr:uid="{31B606AA-4D54-48DE-B26F-A95C91670328}"/>
    <cellStyle name="Normal 3 4" xfId="324" xr:uid="{62999BAE-7D5C-485E-903A-C0098133754C}"/>
    <cellStyle name="Normal 3 5" xfId="423" xr:uid="{DE096763-E290-4FE4-B212-B7EFCCBB09FC}"/>
    <cellStyle name="Normal 3 6" xfId="316" xr:uid="{2E613B6C-EC92-4740-9064-DAA1F48613CD}"/>
    <cellStyle name="Normal 30" xfId="325" xr:uid="{A5546318-EA54-4E73-A48E-0EF9C9F90D96}"/>
    <cellStyle name="Normal 31" xfId="326" xr:uid="{0383A86D-8200-4023-9754-8678741F5E19}"/>
    <cellStyle name="Normal 32" xfId="327" xr:uid="{D4A63DAF-730F-4DF5-9AE1-8F0E1787D660}"/>
    <cellStyle name="Normal 33" xfId="328" xr:uid="{4F1A2585-4CA3-4F7C-9C54-BFADFBA42A39}"/>
    <cellStyle name="Normal 34" xfId="329" xr:uid="{F7471E59-0ACA-46B6-A173-9FF5FD80BD83}"/>
    <cellStyle name="Normal 35" xfId="330" xr:uid="{76A55373-F90A-49DD-B155-001BFCA0CF0A}"/>
    <cellStyle name="Normal 36" xfId="331" xr:uid="{B061001E-6CF2-4073-9CC4-AA8D9A497D05}"/>
    <cellStyle name="Normal 37" xfId="332" xr:uid="{D8FA8DAE-8BB0-464C-9482-4256EFF6C31B}"/>
    <cellStyle name="Normal 38" xfId="333" xr:uid="{59D5ECA7-B87D-4321-9340-60BDDC18294B}"/>
    <cellStyle name="Normal 39" xfId="334" xr:uid="{18730104-F17E-4D01-BF96-5D5199D1F149}"/>
    <cellStyle name="Normal 4" xfId="11" xr:uid="{43272557-B37F-4996-BC18-AA3EDEAFA379}"/>
    <cellStyle name="Normal 4 2" xfId="336" xr:uid="{A95380DD-C644-4EB7-A1DD-7D88DA7B2A0F}"/>
    <cellStyle name="Normal 4 3" xfId="337" xr:uid="{92F87497-1D5A-4C2E-A847-F83C3B05B37D}"/>
    <cellStyle name="Normal 4 4" xfId="338" xr:uid="{AE45FD61-3494-423F-AFB2-EDFE8D5AA336}"/>
    <cellStyle name="Normal 4 5" xfId="335" xr:uid="{201DB2CF-C23E-4456-8732-FE6E500F7D4E}"/>
    <cellStyle name="Normal 40" xfId="339" xr:uid="{93FB35B3-A1E1-4827-AF6F-06A36B70E840}"/>
    <cellStyle name="Normal 41" xfId="340" xr:uid="{AB054E55-3174-4EAA-B9C1-6C383FDEE519}"/>
    <cellStyle name="Normal 42" xfId="341" xr:uid="{AEAF74C1-591A-4507-84CB-84A5328EEBFB}"/>
    <cellStyle name="Normal 43" xfId="342" xr:uid="{2C12D969-A550-4582-8BB6-C71988F89263}"/>
    <cellStyle name="Normal 44" xfId="343" xr:uid="{6C81B467-1249-4107-9729-530C5D720245}"/>
    <cellStyle name="Normal 45" xfId="344" xr:uid="{0CC4CB25-B137-47F7-8C9C-B293B80C07E1}"/>
    <cellStyle name="Normal 46" xfId="345" xr:uid="{D88904DF-CE67-4F22-A128-BF90507E07C4}"/>
    <cellStyle name="Normal 47" xfId="346" xr:uid="{3C5B26EA-734E-4AAE-AF8C-AD9823CAE10E}"/>
    <cellStyle name="Normal 48" xfId="347" xr:uid="{04916BDC-86DD-4808-BD71-F04AC91BCC7F}"/>
    <cellStyle name="Normal 49" xfId="348" xr:uid="{770C8298-94A3-4828-8E8F-D94E60677690}"/>
    <cellStyle name="Normal 5" xfId="12" xr:uid="{642BE191-BE2F-4847-8420-1C59B95E270E}"/>
    <cellStyle name="Normal 5 2" xfId="349" xr:uid="{08A08D44-4443-4339-9B12-8626D08F02FF}"/>
    <cellStyle name="Normal 50" xfId="350" xr:uid="{5028D188-CE3C-4117-AE63-62B3BC44E730}"/>
    <cellStyle name="Normal 51" xfId="351" xr:uid="{7CE77370-70CA-4AAB-B2C8-78CAAF0C82AA}"/>
    <cellStyle name="Normal 52" xfId="352" xr:uid="{98981C3F-8754-46A5-A353-88BE4745A2D8}"/>
    <cellStyle name="Normal 53" xfId="353" xr:uid="{1B950DEE-271D-4D38-AAD5-123518AD7B37}"/>
    <cellStyle name="Normal 54" xfId="354" xr:uid="{EE2BFEF2-2C6A-42A4-AB84-7CC670AD66B2}"/>
    <cellStyle name="Normal 55" xfId="355" xr:uid="{6B9B3DCC-33C6-4F3E-8E64-0155159448CF}"/>
    <cellStyle name="Normal 56" xfId="356" xr:uid="{6CD3112C-0824-4989-9FC5-C22DE615D04B}"/>
    <cellStyle name="Normal 57" xfId="357" xr:uid="{DA8CACF2-1B65-4A13-95B6-EE905FEF0A4F}"/>
    <cellStyle name="Normal 58" xfId="358" xr:uid="{620A80B5-8C45-45B5-A3A7-EEF3DF69C0F3}"/>
    <cellStyle name="Normal 59" xfId="359" xr:uid="{2739592D-D763-46D0-8667-DCDB64574730}"/>
    <cellStyle name="Normal 6" xfId="360" xr:uid="{B69CB2ED-179E-4632-9773-FDF967BA738C}"/>
    <cellStyle name="Normal 6 2" xfId="58" xr:uid="{81714051-991B-4CDC-ABC3-79E3072D1154}"/>
    <cellStyle name="Normal 60" xfId="361" xr:uid="{4702C0C9-939D-4086-B621-4D788D24732D}"/>
    <cellStyle name="Normal 61" xfId="362" xr:uid="{F664EC09-61DA-4184-B40A-BFEFC4B6A0CB}"/>
    <cellStyle name="Normal 62" xfId="363" xr:uid="{227B08FA-9717-482D-86CE-D0855F6DD6AE}"/>
    <cellStyle name="Normal 63" xfId="364" xr:uid="{6EE9F537-EEA0-40A6-95FB-9B4E3F0B9DDA}"/>
    <cellStyle name="Normal 64" xfId="365" xr:uid="{FFAEDF3F-EA7E-483F-A4CE-E714C0FE34E8}"/>
    <cellStyle name="Normal 65" xfId="366" xr:uid="{E02FFA71-4006-43F6-A51C-8721D3A314D5}"/>
    <cellStyle name="Normal 66" xfId="367" xr:uid="{8E3B46CC-D68E-43B4-95CE-FE6950BA9B2B}"/>
    <cellStyle name="Normal 67" xfId="368" xr:uid="{2F3E9A5A-29DB-4FD9-B370-7C4C77D34746}"/>
    <cellStyle name="Normal 68" xfId="369" xr:uid="{B34AB304-4CFC-444A-8836-AC91179A7004}"/>
    <cellStyle name="Normal 69" xfId="370" xr:uid="{E0FBE10E-F61C-442E-82F3-FB699D9C6C20}"/>
    <cellStyle name="Normal 7" xfId="371" xr:uid="{D55A13AE-010B-4D21-B3F2-A27E8C366CBD}"/>
    <cellStyle name="Normal 7 2" xfId="427" xr:uid="{679A2D73-A587-421C-BEDA-311CFC5FF280}"/>
    <cellStyle name="Normal 70" xfId="372" xr:uid="{45B7618A-4ECE-4CE6-92F3-83643854B9DB}"/>
    <cellStyle name="Normal 71" xfId="373" xr:uid="{E6DDFB1A-D53E-4BA6-95D6-2490E7A83453}"/>
    <cellStyle name="Normal 72" xfId="374" xr:uid="{3C537F24-E001-4F06-BB7B-735541806232}"/>
    <cellStyle name="Normal 73" xfId="375" xr:uid="{242255D0-1863-4F1B-9EA6-A6B6F6DBEFCB}"/>
    <cellStyle name="Normal 74" xfId="376" xr:uid="{383FDDFF-7610-44CF-8C45-94DB271BAA3F}"/>
    <cellStyle name="Normal 75" xfId="377" xr:uid="{B8EDC23C-2B43-47B8-A8ED-B59FEB9E3C77}"/>
    <cellStyle name="Normal 76" xfId="378" xr:uid="{398464A0-A1EC-4450-93BC-6EA2D8933CBD}"/>
    <cellStyle name="Normal 77" xfId="379" xr:uid="{F42A2EC6-615C-4D2A-8814-0FA8EA38CFE3}"/>
    <cellStyle name="Normal 78" xfId="380" xr:uid="{3C53EA45-7924-4B53-BE63-A839D34D7539}"/>
    <cellStyle name="Normal 79" xfId="381" xr:uid="{B39B0D85-8BD4-4F13-A9CC-C18334F90B96}"/>
    <cellStyle name="Normal 8" xfId="382" xr:uid="{7E81A5B4-1C17-442D-859E-C04287971CF5}"/>
    <cellStyle name="Normal 80" xfId="383" xr:uid="{80BCE255-5BED-4667-AC41-172078EA6BCF}"/>
    <cellStyle name="Normal 81" xfId="384" xr:uid="{80AC455C-AFD3-4758-9E79-E4F560D5D4BE}"/>
    <cellStyle name="Normal 82" xfId="385" xr:uid="{64E893F1-CBB5-4099-9F67-EDE2BD6FE130}"/>
    <cellStyle name="Normal 83" xfId="386" xr:uid="{09B0142F-C9F9-4CB8-980A-1E1B29B11F88}"/>
    <cellStyle name="Normal 84" xfId="387" xr:uid="{F96F9D1D-B9D6-42BD-A46F-6184011B3B2E}"/>
    <cellStyle name="Normal 85" xfId="388" xr:uid="{7EF48E81-7F20-441C-8D04-0269A6E2B722}"/>
    <cellStyle name="Normal 86" xfId="389" xr:uid="{83435930-9B85-496C-B74B-0780B7678651}"/>
    <cellStyle name="Normal 87" xfId="390" xr:uid="{FABA39D5-BA2A-4502-83F8-F984309A04A1}"/>
    <cellStyle name="Normal 88" xfId="391" xr:uid="{D12EF9B3-E571-42AC-A959-96BD61E8A36F}"/>
    <cellStyle name="Normal 89" xfId="392" xr:uid="{D6D1CC6E-4627-4CA6-816D-99453597CDF0}"/>
    <cellStyle name="Normal 9" xfId="393" xr:uid="{D1002278-A8D9-4890-871A-56AF90463FE7}"/>
    <cellStyle name="Normal 9 3" xfId="394" xr:uid="{7B47222D-84B0-4ACE-ACB8-7F7B8FDAE818}"/>
    <cellStyle name="Normal 9 3 2" xfId="395" xr:uid="{C757C817-19AF-4109-9091-462AF12EC677}"/>
    <cellStyle name="Normal 90" xfId="396" xr:uid="{4F2A710A-FF9A-42C7-BA86-3C5721983629}"/>
    <cellStyle name="Normal 91" xfId="397" xr:uid="{D6CD5B0A-C81D-4E11-B317-AA794A5EF8C9}"/>
    <cellStyle name="Normal 92" xfId="398" xr:uid="{FE829816-0BD0-48EB-8505-8DFD01283485}"/>
    <cellStyle name="Normal 93" xfId="399" xr:uid="{FD77A2A8-2157-4BD6-9B56-EA72B8D49395}"/>
    <cellStyle name="Normal 94" xfId="400" xr:uid="{BC27FCEC-A2C0-4EBB-BF37-6A5322BBA825}"/>
    <cellStyle name="Normal 95" xfId="401" xr:uid="{5AB6617A-2305-4F05-97B8-AABD768542ED}"/>
    <cellStyle name="Normal 96" xfId="402" xr:uid="{1CD55C0C-E780-4F1B-B562-CDC4227C0D47}"/>
    <cellStyle name="Normal 97" xfId="403" xr:uid="{7BC00621-94D9-462C-A3A7-16649F6AD67B}"/>
    <cellStyle name="Normal 98" xfId="404" xr:uid="{96ABEAB1-A526-4A39-90D0-6AE31D4E832E}"/>
    <cellStyle name="Normal 99" xfId="405" xr:uid="{A9DE2017-6926-40C6-B932-0205A43553AD}"/>
    <cellStyle name="Normal_Prototype_Scorecard-LgOffice-2008-03-13" xfId="1" xr:uid="{F839F8A1-86E5-4008-9801-0F032E8A3317}"/>
    <cellStyle name="Note" xfId="27" builtinId="10" customBuiltin="1"/>
    <cellStyle name="Note 2" xfId="406" xr:uid="{B5CB7F59-3313-47B8-AA2F-BF9BECBF1AA4}"/>
    <cellStyle name="Output" xfId="22" builtinId="21" customBuiltin="1"/>
    <cellStyle name="Percent" xfId="2" builtinId="5"/>
    <cellStyle name="Percent 2" xfId="8" xr:uid="{CB789C3E-741F-4464-8065-385A956411E6}"/>
    <cellStyle name="Percent 2 10" xfId="407" xr:uid="{67BF6394-5E89-44C7-A6EC-656B358FD6A1}"/>
    <cellStyle name="Percent 2 2" xfId="57" xr:uid="{B364ED4F-B775-4E78-B9C8-C73076263F02}"/>
    <cellStyle name="Percent 2 3" xfId="408" xr:uid="{4F5C1B2E-3AD1-4649-B474-56ED3EDEFFF9}"/>
    <cellStyle name="Percent 2 4" xfId="409" xr:uid="{3FDC25CA-BD00-484B-9729-F78FFE58ACE6}"/>
    <cellStyle name="Percent 2 5" xfId="410" xr:uid="{37900943-49BC-4D71-8A57-41911D70217F}"/>
    <cellStyle name="Percent 2 6" xfId="411" xr:uid="{88257F6E-0EC7-4BB7-8B3D-F57C744AC0AB}"/>
    <cellStyle name="Percent 2 7" xfId="412" xr:uid="{A7389F8B-964B-44F9-A10B-5A9441ACE23B}"/>
    <cellStyle name="Percent 2 8" xfId="413" xr:uid="{7330A401-8368-4AE8-8F39-D87E1B3A0521}"/>
    <cellStyle name="Percent 2 9" xfId="422" xr:uid="{6D481F77-F938-4FB2-B706-EC69A5A21842}"/>
    <cellStyle name="Percent 3" xfId="414" xr:uid="{9573284A-8DEA-4A3F-8A25-ACCB41E1BE30}"/>
    <cellStyle name="Percent 3 2" xfId="426" xr:uid="{95CF3BE6-9292-485A-96D0-E1CB7F5037B3}"/>
    <cellStyle name="Percent 4" xfId="415" xr:uid="{FF54B7F1-8D80-4E2B-8E2A-5E955D3F317A}"/>
    <cellStyle name="Percent 5" xfId="416" xr:uid="{08A7E1F5-E888-41E1-8794-60415219F572}"/>
    <cellStyle name="Percent 6" xfId="417" xr:uid="{1D70CF57-8801-4410-B2B8-CC2993FC3D26}"/>
    <cellStyle name="Percent 7" xfId="418" xr:uid="{25A4305E-3B4F-4D81-869C-E61D9B97F20D}"/>
    <cellStyle name="Title" xfId="13" builtinId="15" customBuiltin="1"/>
    <cellStyle name="Title 2" xfId="419" xr:uid="{B2249A1D-C723-4FF9-9D6C-F1111CE90277}"/>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A6A6A6"/>
      <color rgb="FF878686"/>
      <color rgb="FF203764"/>
      <color rgb="FFFF9900"/>
      <color rgb="FFCCCCFF"/>
      <color rgb="FF8238BA"/>
      <color rgb="FFFFEBCD"/>
      <color rgb="FF002F8E"/>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0.8</c:v>
                </c:pt>
                <c:pt idx="12">
                  <c:v>0.8</c:v>
                </c:pt>
                <c:pt idx="13">
                  <c:v>0.8</c:v>
                </c:pt>
                <c:pt idx="14">
                  <c:v>0.8</c:v>
                </c:pt>
                <c:pt idx="15">
                  <c:v>0.8</c:v>
                </c:pt>
                <c:pt idx="16">
                  <c:v>0.8</c:v>
                </c:pt>
                <c:pt idx="17">
                  <c:v>0.8</c:v>
                </c:pt>
                <c:pt idx="18">
                  <c:v>0.2</c:v>
                </c:pt>
                <c:pt idx="19">
                  <c:v>0.2</c:v>
                </c:pt>
                <c:pt idx="20">
                  <c:v>0.2</c:v>
                </c:pt>
                <c:pt idx="21">
                  <c:v>0.2</c:v>
                </c:pt>
                <c:pt idx="22">
                  <c:v>0.1</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0.6</c:v>
                </c:pt>
                <c:pt idx="12">
                  <c:v>0.6</c:v>
                </c:pt>
                <c:pt idx="13">
                  <c:v>0.6</c:v>
                </c:pt>
                <c:pt idx="14">
                  <c:v>0.6</c:v>
                </c:pt>
                <c:pt idx="15">
                  <c:v>0.6</c:v>
                </c:pt>
                <c:pt idx="16">
                  <c:v>0.6</c:v>
                </c:pt>
                <c:pt idx="17">
                  <c:v>0.6</c:v>
                </c:pt>
                <c:pt idx="18">
                  <c:v>0.6</c:v>
                </c:pt>
                <c:pt idx="19">
                  <c:v>0.6</c:v>
                </c:pt>
                <c:pt idx="20">
                  <c:v>0.6</c:v>
                </c:pt>
                <c:pt idx="21">
                  <c:v>0.8</c:v>
                </c:pt>
                <c:pt idx="22">
                  <c:v>0.1</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0.7</c:v>
                </c:pt>
                <c:pt idx="14">
                  <c:v>0.7</c:v>
                </c:pt>
                <c:pt idx="15">
                  <c:v>0.7</c:v>
                </c:pt>
                <c:pt idx="16">
                  <c:v>0.7</c:v>
                </c:pt>
                <c:pt idx="17">
                  <c:v>0.7</c:v>
                </c:pt>
                <c:pt idx="18">
                  <c:v>0.7</c:v>
                </c:pt>
                <c:pt idx="19">
                  <c:v>0.7</c:v>
                </c:pt>
                <c:pt idx="20">
                  <c:v>0.7</c:v>
                </c:pt>
                <c:pt idx="21">
                  <c:v>0.7</c:v>
                </c:pt>
                <c:pt idx="22">
                  <c:v>0.2</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0</c:v>
                </c:pt>
                <c:pt idx="1">
                  <c:v>0</c:v>
                </c:pt>
                <c:pt idx="2">
                  <c:v>0</c:v>
                </c:pt>
                <c:pt idx="3">
                  <c:v>0</c:v>
                </c:pt>
                <c:pt idx="4">
                  <c:v>0</c:v>
                </c:pt>
                <c:pt idx="5">
                  <c:v>0</c:v>
                </c:pt>
                <c:pt idx="6">
                  <c:v>0</c:v>
                </c:pt>
                <c:pt idx="7">
                  <c:v>0</c:v>
                </c:pt>
                <c:pt idx="8">
                  <c:v>0.12</c:v>
                </c:pt>
                <c:pt idx="9">
                  <c:v>0.22</c:v>
                </c:pt>
                <c:pt idx="10">
                  <c:v>0.64</c:v>
                </c:pt>
                <c:pt idx="11">
                  <c:v>0.74</c:v>
                </c:pt>
                <c:pt idx="12">
                  <c:v>0.68</c:v>
                </c:pt>
                <c:pt idx="13">
                  <c:v>0.68</c:v>
                </c:pt>
                <c:pt idx="14">
                  <c:v>0.71</c:v>
                </c:pt>
                <c:pt idx="15">
                  <c:v>0.72</c:v>
                </c:pt>
                <c:pt idx="16">
                  <c:v>0.72</c:v>
                </c:pt>
                <c:pt idx="17">
                  <c:v>0.73</c:v>
                </c:pt>
                <c:pt idx="18">
                  <c:v>0.68</c:v>
                </c:pt>
                <c:pt idx="19">
                  <c:v>0.68</c:v>
                </c:pt>
                <c:pt idx="20">
                  <c:v>0.57999999999999996</c:v>
                </c:pt>
                <c:pt idx="21">
                  <c:v>0.54</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0</c:v>
                </c:pt>
                <c:pt idx="1">
                  <c:v>0</c:v>
                </c:pt>
                <c:pt idx="2">
                  <c:v>0</c:v>
                </c:pt>
                <c:pt idx="3">
                  <c:v>0</c:v>
                </c:pt>
                <c:pt idx="4">
                  <c:v>0</c:v>
                </c:pt>
                <c:pt idx="5">
                  <c:v>0</c:v>
                </c:pt>
                <c:pt idx="6">
                  <c:v>0</c:v>
                </c:pt>
                <c:pt idx="7">
                  <c:v>0</c:v>
                </c:pt>
                <c:pt idx="8">
                  <c:v>0.09</c:v>
                </c:pt>
                <c:pt idx="9">
                  <c:v>0.21</c:v>
                </c:pt>
                <c:pt idx="10">
                  <c:v>0.56000000000000005</c:v>
                </c:pt>
                <c:pt idx="11">
                  <c:v>0.66</c:v>
                </c:pt>
                <c:pt idx="12">
                  <c:v>0.68</c:v>
                </c:pt>
                <c:pt idx="13">
                  <c:v>0.68</c:v>
                </c:pt>
                <c:pt idx="14">
                  <c:v>0.69</c:v>
                </c:pt>
                <c:pt idx="15">
                  <c:v>0.7</c:v>
                </c:pt>
                <c:pt idx="16">
                  <c:v>0.69</c:v>
                </c:pt>
                <c:pt idx="17">
                  <c:v>0.66</c:v>
                </c:pt>
                <c:pt idx="18">
                  <c:v>0.57999999999999996</c:v>
                </c:pt>
                <c:pt idx="19">
                  <c:v>0.47</c:v>
                </c:pt>
                <c:pt idx="20">
                  <c:v>0.43</c:v>
                </c:pt>
                <c:pt idx="21">
                  <c:v>0.43</c:v>
                </c:pt>
                <c:pt idx="22">
                  <c:v>0.08</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c:v>
                </c:pt>
                <c:pt idx="8">
                  <c:v>0</c:v>
                </c:pt>
                <c:pt idx="9">
                  <c:v>0</c:v>
                </c:pt>
                <c:pt idx="10">
                  <c:v>0.11</c:v>
                </c:pt>
                <c:pt idx="11">
                  <c:v>0.13</c:v>
                </c:pt>
                <c:pt idx="12">
                  <c:v>0.35</c:v>
                </c:pt>
                <c:pt idx="13">
                  <c:v>0.37</c:v>
                </c:pt>
                <c:pt idx="14">
                  <c:v>0.37</c:v>
                </c:pt>
                <c:pt idx="15">
                  <c:v>0.39</c:v>
                </c:pt>
                <c:pt idx="16">
                  <c:v>0.41</c:v>
                </c:pt>
                <c:pt idx="17">
                  <c:v>0.38</c:v>
                </c:pt>
                <c:pt idx="18">
                  <c:v>0.34</c:v>
                </c:pt>
                <c:pt idx="19">
                  <c:v>0.03</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0.9</c:v>
                </c:pt>
                <c:pt idx="12">
                  <c:v>0.9</c:v>
                </c:pt>
                <c:pt idx="13">
                  <c:v>0.9</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0.7</c:v>
                </c:pt>
                <c:pt idx="12">
                  <c:v>0.7</c:v>
                </c:pt>
                <c:pt idx="13">
                  <c:v>0.7</c:v>
                </c:pt>
                <c:pt idx="14">
                  <c:v>0.2</c:v>
                </c:pt>
                <c:pt idx="15">
                  <c:v>0.2</c:v>
                </c:pt>
                <c:pt idx="16">
                  <c:v>0.2</c:v>
                </c:pt>
                <c:pt idx="17">
                  <c:v>0.4</c:v>
                </c:pt>
                <c:pt idx="18">
                  <c:v>0.4</c:v>
                </c:pt>
                <c:pt idx="19">
                  <c:v>0.1</c:v>
                </c:pt>
                <c:pt idx="20">
                  <c:v>0.1</c:v>
                </c:pt>
                <c:pt idx="21">
                  <c:v>0.1</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0.2</c:v>
                </c:pt>
                <c:pt idx="9">
                  <c:v>0.2</c:v>
                </c:pt>
                <c:pt idx="10">
                  <c:v>0.1</c:v>
                </c:pt>
                <c:pt idx="11">
                  <c:v>0.1</c:v>
                </c:pt>
                <c:pt idx="12">
                  <c:v>0.3</c:v>
                </c:pt>
                <c:pt idx="13">
                  <c:v>0.8</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Assembly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47.625</c:v>
                </c:pt>
                <c:pt idx="1">
                  <c:v>47.625</c:v>
                </c:pt>
                <c:pt idx="2">
                  <c:v>47.625</c:v>
                </c:pt>
                <c:pt idx="3">
                  <c:v>47.625</c:v>
                </c:pt>
                <c:pt idx="4">
                  <c:v>47.625</c:v>
                </c:pt>
                <c:pt idx="5">
                  <c:v>47.625</c:v>
                </c:pt>
                <c:pt idx="6">
                  <c:v>47.625</c:v>
                </c:pt>
                <c:pt idx="7">
                  <c:v>47.625</c:v>
                </c:pt>
                <c:pt idx="8">
                  <c:v>47.625</c:v>
                </c:pt>
                <c:pt idx="9">
                  <c:v>47.625</c:v>
                </c:pt>
                <c:pt idx="10">
                  <c:v>47.625</c:v>
                </c:pt>
                <c:pt idx="11">
                  <c:v>47.625</c:v>
                </c:pt>
                <c:pt idx="12">
                  <c:v>47.625</c:v>
                </c:pt>
                <c:pt idx="13">
                  <c:v>47.625</c:v>
                </c:pt>
                <c:pt idx="14">
                  <c:v>47.625</c:v>
                </c:pt>
                <c:pt idx="15">
                  <c:v>47.625</c:v>
                </c:pt>
              </c:numCache>
            </c:numRef>
          </c:val>
          <c:extLst>
            <c:ext xmlns:c16="http://schemas.microsoft.com/office/drawing/2014/chart" uri="{C3380CC4-5D6E-409C-BE32-E72D297353CC}">
              <c16:uniqueId val="{00000000-05CD-4B66-983F-2655907C0C07}"/>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31.75</c:v>
                </c:pt>
                <c:pt idx="1">
                  <c:v>31.75</c:v>
                </c:pt>
                <c:pt idx="2">
                  <c:v>31.75</c:v>
                </c:pt>
                <c:pt idx="3">
                  <c:v>31.75</c:v>
                </c:pt>
                <c:pt idx="4">
                  <c:v>31.75</c:v>
                </c:pt>
                <c:pt idx="5">
                  <c:v>31.75</c:v>
                </c:pt>
                <c:pt idx="6">
                  <c:v>31.75</c:v>
                </c:pt>
                <c:pt idx="7">
                  <c:v>31.75</c:v>
                </c:pt>
                <c:pt idx="8">
                  <c:v>31.75</c:v>
                </c:pt>
                <c:pt idx="9">
                  <c:v>31.75</c:v>
                </c:pt>
                <c:pt idx="10">
                  <c:v>31.75</c:v>
                </c:pt>
                <c:pt idx="11">
                  <c:v>31.75</c:v>
                </c:pt>
                <c:pt idx="12">
                  <c:v>31.75</c:v>
                </c:pt>
                <c:pt idx="13">
                  <c:v>31.75</c:v>
                </c:pt>
                <c:pt idx="14">
                  <c:v>31.75</c:v>
                </c:pt>
                <c:pt idx="15">
                  <c:v>31.75</c:v>
                </c:pt>
              </c:numCache>
            </c:numRef>
          </c:val>
          <c:extLst>
            <c:ext xmlns:c16="http://schemas.microsoft.com/office/drawing/2014/chart" uri="{C3380CC4-5D6E-409C-BE32-E72D297353CC}">
              <c16:uniqueId val="{00000001-05CD-4B66-983F-2655907C0C07}"/>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05CD-4B66-983F-2655907C0C07}"/>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05CD-4B66-983F-2655907C0C07}"/>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28</xdr:row>
      <xdr:rowOff>72390</xdr:rowOff>
    </xdr:from>
    <xdr:to>
      <xdr:col>2</xdr:col>
      <xdr:colOff>2065598</xdr:colOff>
      <xdr:row>39</xdr:row>
      <xdr:rowOff>110490</xdr:rowOff>
    </xdr:to>
    <xdr:pic>
      <xdr:nvPicPr>
        <xdr:cNvPr id="3" name="Picture 1">
          <a:extLst>
            <a:ext uri="{FF2B5EF4-FFF2-40B4-BE49-F238E27FC236}">
              <a16:creationId xmlns:a16="http://schemas.microsoft.com/office/drawing/2014/main" id="{DE8D9D2D-DB08-18F9-0DD3-F213E5540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739515"/>
          <a:ext cx="8432108" cy="193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1282561</xdr:colOff>
      <xdr:row>0</xdr:row>
      <xdr:rowOff>35035</xdr:rowOff>
    </xdr:from>
    <xdr:to>
      <xdr:col>18</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1325218</xdr:colOff>
      <xdr:row>0</xdr:row>
      <xdr:rowOff>67505</xdr:rowOff>
    </xdr:from>
    <xdr:to>
      <xdr:col>18</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17</xdr:col>
      <xdr:colOff>435399</xdr:colOff>
      <xdr:row>1</xdr:row>
      <xdr:rowOff>210883</xdr:rowOff>
    </xdr:from>
    <xdr:to>
      <xdr:col>19</xdr:col>
      <xdr:colOff>860143</xdr:colOff>
      <xdr:row>13</xdr:row>
      <xdr:rowOff>170087</xdr:rowOff>
    </xdr:to>
    <xdr:pic>
      <xdr:nvPicPr>
        <xdr:cNvPr id="3" name="Picture 8">
          <a:extLst>
            <a:ext uri="{FF2B5EF4-FFF2-40B4-BE49-F238E27FC236}">
              <a16:creationId xmlns:a16="http://schemas.microsoft.com/office/drawing/2014/main" id="{A2D69DE8-4997-8161-7E18-B497B9980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8599" y="543392"/>
          <a:ext cx="3028013" cy="3077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388456</xdr:colOff>
      <xdr:row>14</xdr:row>
      <xdr:rowOff>132983</xdr:rowOff>
    </xdr:from>
    <xdr:to>
      <xdr:col>19</xdr:col>
      <xdr:colOff>936758</xdr:colOff>
      <xdr:row>28</xdr:row>
      <xdr:rowOff>173997</xdr:rowOff>
    </xdr:to>
    <xdr:pic>
      <xdr:nvPicPr>
        <xdr:cNvPr id="5" name="Picture 4">
          <a:extLst>
            <a:ext uri="{FF2B5EF4-FFF2-40B4-BE49-F238E27FC236}">
              <a16:creationId xmlns:a16="http://schemas.microsoft.com/office/drawing/2014/main" id="{B5B3A676-4321-16AC-9CD4-D1145AAFE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1656" y="3790583"/>
          <a:ext cx="3151571" cy="315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401782</xdr:colOff>
      <xdr:row>29</xdr:row>
      <xdr:rowOff>18275</xdr:rowOff>
    </xdr:from>
    <xdr:to>
      <xdr:col>19</xdr:col>
      <xdr:colOff>937016</xdr:colOff>
      <xdr:row>43</xdr:row>
      <xdr:rowOff>150908</xdr:rowOff>
    </xdr:to>
    <xdr:pic>
      <xdr:nvPicPr>
        <xdr:cNvPr id="6" name="Picture 5">
          <a:extLst>
            <a:ext uri="{FF2B5EF4-FFF2-40B4-BE49-F238E27FC236}">
              <a16:creationId xmlns:a16="http://schemas.microsoft.com/office/drawing/2014/main" id="{0492C0B4-91A9-8CA9-D0DC-257BB82FB3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384982" y="6931693"/>
          <a:ext cx="3153743" cy="3325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1076325</xdr:colOff>
      <xdr:row>1</xdr:row>
      <xdr:rowOff>209550</xdr:rowOff>
    </xdr:from>
    <xdr:to>
      <xdr:col>22</xdr:col>
      <xdr:colOff>306705</xdr:colOff>
      <xdr:row>14</xdr:row>
      <xdr:rowOff>53340</xdr:rowOff>
    </xdr:to>
    <xdr:pic>
      <xdr:nvPicPr>
        <xdr:cNvPr id="9" name="Picture 9">
          <a:extLst>
            <a:ext uri="{FF2B5EF4-FFF2-40B4-BE49-F238E27FC236}">
              <a16:creationId xmlns:a16="http://schemas.microsoft.com/office/drawing/2014/main" id="{B2ED4F16-A42A-FB13-DFE1-184D2D7AB0AB}"/>
            </a:ext>
            <a:ext uri="{147F2762-F138-4A5C-976F-8EAC2B608ADB}">
              <a16:predDERef xmlns:a16="http://schemas.microsoft.com/office/drawing/2014/main" pred="{0492C0B4-91A9-8CA9-D0DC-257BB82FB353}"/>
            </a:ext>
          </a:extLst>
        </xdr:cNvPr>
        <xdr:cNvPicPr>
          <a:picLocks noChangeAspect="1"/>
        </xdr:cNvPicPr>
      </xdr:nvPicPr>
      <xdr:blipFill>
        <a:blip xmlns:r="http://schemas.openxmlformats.org/officeDocument/2006/relationships" r:embed="rId4"/>
        <a:stretch>
          <a:fillRect/>
        </a:stretch>
      </xdr:blipFill>
      <xdr:spPr>
        <a:xfrm>
          <a:off x="21107400" y="533400"/>
          <a:ext cx="3114675" cy="3152775"/>
        </a:xfrm>
        <a:prstGeom prst="rect">
          <a:avLst/>
        </a:prstGeom>
      </xdr:spPr>
    </xdr:pic>
    <xdr:clientData/>
  </xdr:twoCellAnchor>
  <xdr:twoCellAnchor editAs="oneCell">
    <xdr:from>
      <xdr:col>19</xdr:col>
      <xdr:colOff>1057275</xdr:colOff>
      <xdr:row>14</xdr:row>
      <xdr:rowOff>104775</xdr:rowOff>
    </xdr:from>
    <xdr:to>
      <xdr:col>22</xdr:col>
      <xdr:colOff>363855</xdr:colOff>
      <xdr:row>28</xdr:row>
      <xdr:rowOff>207645</xdr:rowOff>
    </xdr:to>
    <xdr:pic>
      <xdr:nvPicPr>
        <xdr:cNvPr id="15" name="Picture 10">
          <a:extLst>
            <a:ext uri="{FF2B5EF4-FFF2-40B4-BE49-F238E27FC236}">
              <a16:creationId xmlns:a16="http://schemas.microsoft.com/office/drawing/2014/main" id="{E77DAA99-60F1-A7E7-09D3-7C1A56752252}"/>
            </a:ext>
            <a:ext uri="{147F2762-F138-4A5C-976F-8EAC2B608ADB}">
              <a16:predDERef xmlns:a16="http://schemas.microsoft.com/office/drawing/2014/main" pred="{B2ED4F16-A42A-FB13-DFE1-184D2D7AB0AB}"/>
            </a:ext>
          </a:extLst>
        </xdr:cNvPr>
        <xdr:cNvPicPr>
          <a:picLocks noChangeAspect="1"/>
        </xdr:cNvPicPr>
      </xdr:nvPicPr>
      <xdr:blipFill>
        <a:blip xmlns:r="http://schemas.openxmlformats.org/officeDocument/2006/relationships" r:embed="rId5"/>
        <a:stretch>
          <a:fillRect/>
        </a:stretch>
      </xdr:blipFill>
      <xdr:spPr>
        <a:xfrm>
          <a:off x="21088350" y="3714750"/>
          <a:ext cx="3190875" cy="3209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42334</xdr:colOff>
      <xdr:row>26</xdr:row>
      <xdr:rowOff>10583</xdr:rowOff>
    </xdr:from>
    <xdr:to>
      <xdr:col>1</xdr:col>
      <xdr:colOff>1412264</xdr:colOff>
      <xdr:row>42</xdr:row>
      <xdr:rowOff>3385</xdr:rowOff>
    </xdr:to>
    <xdr:pic>
      <xdr:nvPicPr>
        <xdr:cNvPr id="5"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58</xdr:row>
      <xdr:rowOff>440532</xdr:rowOff>
    </xdr:from>
    <xdr:to>
      <xdr:col>36</xdr:col>
      <xdr:colOff>35719</xdr:colOff>
      <xdr:row>61</xdr:row>
      <xdr:rowOff>381885</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581025</xdr:colOff>
      <xdr:row>0</xdr:row>
      <xdr:rowOff>9525</xdr:rowOff>
    </xdr:from>
    <xdr:to>
      <xdr:col>39</xdr:col>
      <xdr:colOff>249260</xdr:colOff>
      <xdr:row>18</xdr:row>
      <xdr:rowOff>40545</xdr:rowOff>
    </xdr:to>
    <xdr:graphicFrame macro="">
      <xdr:nvGraphicFramePr>
        <xdr:cNvPr id="3" name="Chart 2">
          <a:extLst>
            <a:ext uri="{FF2B5EF4-FFF2-40B4-BE49-F238E27FC236}">
              <a16:creationId xmlns:a16="http://schemas.microsoft.com/office/drawing/2014/main" id="{D0B64872-4A11-4C06-B44C-30660A912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star.gov/productfinder/product/certified-commercial-water-heaters/results?fuel_filter=Gas&amp;markets_filter=United+States" TargetMode="External"/><Relationship Id="rId13" Type="http://schemas.openxmlformats.org/officeDocument/2006/relationships/hyperlink" Target="https://www.energy.ca.gov/publications/2025/2025-building-energy-efficiency-standards-residential-and-nonresidential" TargetMode="Externa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12"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7" Type="http://schemas.openxmlformats.org/officeDocument/2006/relationships/drawing" Target="../drawings/drawing1.xml"/><Relationship Id="rId2" Type="http://schemas.openxmlformats.org/officeDocument/2006/relationships/hyperlink" Target="https://www.energy.ca.gov/publications/2022/2022-nonresidential-and-multifamily-alternative-calculation-method-reference" TargetMode="External"/><Relationship Id="rId16"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1" Type="http://schemas.openxmlformats.org/officeDocument/2006/relationships/hyperlink" Target="https://www.energy.ca.gov/publications/2023/2022-california-commercial-end-use-survey-ceus-final-report" TargetMode="External"/><Relationship Id="rId5" Type="http://schemas.openxmlformats.org/officeDocument/2006/relationships/hyperlink" Target="file:///\\carcgl.com\amer\nor\Prj_SUS\2023\S23668%20SCE%20CA%20Prototypes%20Development\Technical\NR\0_Input%20data\Lighting\PNNL-20405.pdf" TargetMode="External"/><Relationship Id="rId15" Type="http://schemas.openxmlformats.org/officeDocument/2006/relationships/hyperlink" Target="https://www.ashrae.org/technical-resources/standards-and-guidelines/read-only-versions-of-ashrae-standards" TargetMode="External"/><Relationship Id="rId10" Type="http://schemas.openxmlformats.org/officeDocument/2006/relationships/hyperlink" Target="https://www.grainger.com/category/plumbing/water-heaters/electric-tank-water-heaters" TargetMode="External"/><Relationship Id="rId4" Type="http://schemas.openxmlformats.org/officeDocument/2006/relationships/hyperlink" Target="https://title24stakeholders.com/wp-content/uploads/2016/10/T24-2019-CASE-Study-Results-Report-Outdoor-Sources_Final_with-Attachments.pdf" TargetMode="External"/><Relationship Id="rId9" Type="http://schemas.openxmlformats.org/officeDocument/2006/relationships/hyperlink" Target="https://www.grainger.com/category/plumbing/water-heaters/gas-tank-water-heaters" TargetMode="External"/><Relationship Id="rId14" Type="http://schemas.openxmlformats.org/officeDocument/2006/relationships/hyperlink" Target="https://codes.iccsafe.org/codes/united-states/californi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57"/>
  <sheetViews>
    <sheetView topLeftCell="A7" zoomScaleNormal="100" workbookViewId="0">
      <selection activeCell="E40" sqref="E40"/>
    </sheetView>
  </sheetViews>
  <sheetFormatPr defaultColWidth="9.33203125" defaultRowHeight="13.2"/>
  <cols>
    <col min="1" max="1" width="16.109375" style="6" bestFit="1" customWidth="1"/>
    <col min="2" max="2" width="83.6640625" style="6" customWidth="1"/>
    <col min="3" max="3" width="39.88671875" style="6" customWidth="1"/>
    <col min="4" max="4" width="9.33203125" style="6"/>
    <col min="5" max="5" width="21.6640625" style="6" customWidth="1"/>
    <col min="6" max="6" width="10.6640625" style="6" customWidth="1"/>
    <col min="7" max="7" width="9.6640625" style="6" customWidth="1"/>
    <col min="8" max="8" width="9.6640625" style="6" bestFit="1" customWidth="1"/>
    <col min="9" max="16384" width="9.33203125" style="6"/>
  </cols>
  <sheetData>
    <row r="1" spans="1:4" ht="20.399999999999999" customHeight="1">
      <c r="A1" s="404" t="s">
        <v>0</v>
      </c>
      <c r="B1" s="404"/>
      <c r="C1" s="404"/>
    </row>
    <row r="2" spans="1:4">
      <c r="A2" s="405" t="s">
        <v>1</v>
      </c>
      <c r="B2" s="313" t="s">
        <v>2</v>
      </c>
      <c r="C2" s="322"/>
    </row>
    <row r="3" spans="1:4" ht="14.4">
      <c r="A3" s="405"/>
      <c r="B3" s="324" t="s">
        <v>3</v>
      </c>
      <c r="C3" s="325" t="s">
        <v>4</v>
      </c>
    </row>
    <row r="4" spans="1:4" ht="14.4">
      <c r="A4" s="405"/>
      <c r="B4" s="324" t="s">
        <v>5</v>
      </c>
      <c r="C4" s="325" t="s">
        <v>6</v>
      </c>
      <c r="D4" s="6" t="s">
        <v>7</v>
      </c>
    </row>
    <row r="5" spans="1:4">
      <c r="A5" s="405"/>
      <c r="B5" s="313"/>
      <c r="C5" s="322"/>
    </row>
    <row r="6" spans="1:4" ht="13.8">
      <c r="A6" s="405" t="s">
        <v>8</v>
      </c>
      <c r="B6" s="313" t="s">
        <v>9</v>
      </c>
      <c r="C6" s="318" t="s">
        <v>10</v>
      </c>
    </row>
    <row r="7" spans="1:4" ht="13.8">
      <c r="A7" s="405"/>
      <c r="B7" s="313"/>
      <c r="C7" s="318"/>
    </row>
    <row r="8" spans="1:4" ht="13.8">
      <c r="A8" s="405"/>
      <c r="B8" s="313"/>
      <c r="C8" s="318"/>
    </row>
    <row r="9" spans="1:4" ht="14.4">
      <c r="A9" s="406" t="s">
        <v>11</v>
      </c>
      <c r="B9" s="407" t="s">
        <v>12</v>
      </c>
      <c r="C9" s="325" t="s">
        <v>13</v>
      </c>
      <c r="D9" s="327">
        <v>2025</v>
      </c>
    </row>
    <row r="10" spans="1:4" ht="14.4">
      <c r="A10" s="406"/>
      <c r="B10" s="407"/>
      <c r="C10" s="325" t="s">
        <v>14</v>
      </c>
      <c r="D10" s="78" t="s">
        <v>15</v>
      </c>
    </row>
    <row r="11" spans="1:4" ht="14.4">
      <c r="A11" s="406"/>
      <c r="B11" s="324" t="s">
        <v>16</v>
      </c>
      <c r="C11" s="61" t="s">
        <v>17</v>
      </c>
      <c r="D11" s="78" t="s">
        <v>7</v>
      </c>
    </row>
    <row r="12" spans="1:4">
      <c r="A12" s="406"/>
      <c r="B12" s="314" t="s">
        <v>18</v>
      </c>
      <c r="C12" s="316"/>
    </row>
    <row r="13" spans="1:4">
      <c r="A13" s="406"/>
      <c r="B13" s="314" t="s">
        <v>19</v>
      </c>
      <c r="C13" s="316"/>
    </row>
    <row r="14" spans="1:4" ht="13.8">
      <c r="A14" s="406"/>
      <c r="B14" s="314" t="s">
        <v>20</v>
      </c>
      <c r="C14" s="315" t="s">
        <v>21</v>
      </c>
      <c r="D14" s="6" t="s">
        <v>7</v>
      </c>
    </row>
    <row r="15" spans="1:4">
      <c r="A15" s="406"/>
      <c r="B15" s="313"/>
      <c r="C15" s="322"/>
      <c r="D15" s="6" t="s">
        <v>7</v>
      </c>
    </row>
    <row r="16" spans="1:4" ht="13.8">
      <c r="A16" s="406" t="s">
        <v>22</v>
      </c>
      <c r="B16" s="317" t="s">
        <v>23</v>
      </c>
      <c r="C16" s="318" t="s">
        <v>24</v>
      </c>
      <c r="D16" s="6" t="s">
        <v>7</v>
      </c>
    </row>
    <row r="17" spans="1:4" ht="13.8">
      <c r="A17" s="406"/>
      <c r="B17" s="314" t="s">
        <v>25</v>
      </c>
      <c r="C17" s="318" t="s">
        <v>26</v>
      </c>
    </row>
    <row r="18" spans="1:4" ht="13.8">
      <c r="A18" s="406"/>
      <c r="B18" s="317" t="s">
        <v>27</v>
      </c>
      <c r="C18" s="323" t="s">
        <v>28</v>
      </c>
    </row>
    <row r="19" spans="1:4" ht="13.8">
      <c r="A19" s="406"/>
      <c r="B19" s="314" t="s">
        <v>29</v>
      </c>
      <c r="C19" s="318" t="s">
        <v>30</v>
      </c>
    </row>
    <row r="20" spans="1:4" ht="13.8">
      <c r="A20" s="406"/>
      <c r="B20" s="314" t="s">
        <v>31</v>
      </c>
      <c r="C20" s="318" t="s">
        <v>32</v>
      </c>
      <c r="D20" s="6" t="s">
        <v>7</v>
      </c>
    </row>
    <row r="21" spans="1:4" ht="26.4">
      <c r="A21" s="406"/>
      <c r="B21" s="328" t="s">
        <v>33</v>
      </c>
      <c r="C21" s="325" t="s">
        <v>34</v>
      </c>
    </row>
    <row r="22" spans="1:4" ht="13.8">
      <c r="A22" s="406"/>
      <c r="B22" s="314" t="s">
        <v>35</v>
      </c>
      <c r="C22" s="321" t="s">
        <v>36</v>
      </c>
      <c r="D22" s="6" t="s">
        <v>7</v>
      </c>
    </row>
    <row r="23" spans="1:4" ht="18.600000000000001" customHeight="1">
      <c r="A23" s="406"/>
      <c r="B23" s="314" t="s">
        <v>37</v>
      </c>
      <c r="C23" s="321" t="s">
        <v>38</v>
      </c>
      <c r="D23" s="6" t="s">
        <v>7</v>
      </c>
    </row>
    <row r="24" spans="1:4" ht="13.8">
      <c r="A24" s="406"/>
      <c r="B24" s="314" t="s">
        <v>39</v>
      </c>
      <c r="C24" s="321" t="s">
        <v>40</v>
      </c>
      <c r="D24" s="6" t="s">
        <v>7</v>
      </c>
    </row>
    <row r="25" spans="1:4">
      <c r="A25" s="320"/>
      <c r="B25" s="313"/>
      <c r="C25" s="319"/>
    </row>
    <row r="26" spans="1:4">
      <c r="A26" s="320"/>
      <c r="B26" s="313"/>
      <c r="C26" s="319"/>
    </row>
    <row r="27" spans="1:4">
      <c r="A27" s="320"/>
      <c r="B27" s="313"/>
      <c r="C27" s="319"/>
    </row>
    <row r="28" spans="1:4" ht="18.600000000000001" customHeight="1">
      <c r="A28" s="404" t="s">
        <v>41</v>
      </c>
      <c r="B28" s="404"/>
      <c r="C28" s="404"/>
    </row>
    <row r="29" spans="1:4">
      <c r="C29" s="294"/>
    </row>
    <row r="30" spans="1:4">
      <c r="C30" s="294"/>
    </row>
    <row r="31" spans="1:4">
      <c r="C31" s="294"/>
    </row>
    <row r="32" spans="1:4" ht="14.4">
      <c r="B32"/>
      <c r="C32" s="294"/>
    </row>
    <row r="33" spans="1:8">
      <c r="C33" s="294"/>
    </row>
    <row r="34" spans="1:8">
      <c r="C34" s="294"/>
    </row>
    <row r="35" spans="1:8">
      <c r="C35" s="294"/>
    </row>
    <row r="36" spans="1:8">
      <c r="C36" s="294"/>
    </row>
    <row r="37" spans="1:8">
      <c r="C37" s="294"/>
    </row>
    <row r="38" spans="1:8">
      <c r="C38" s="294"/>
    </row>
    <row r="39" spans="1:8">
      <c r="C39" s="294"/>
    </row>
    <row r="40" spans="1:8">
      <c r="C40" s="294"/>
    </row>
    <row r="41" spans="1:8" ht="19.2" customHeight="1">
      <c r="A41" s="404" t="s">
        <v>42</v>
      </c>
      <c r="B41" s="404"/>
      <c r="C41" s="404"/>
    </row>
    <row r="42" spans="1:8" ht="37.950000000000003" customHeight="1">
      <c r="A42" s="10" t="s">
        <v>43</v>
      </c>
      <c r="B42" s="408" t="s">
        <v>44</v>
      </c>
      <c r="C42" s="408"/>
      <c r="E42" s="10"/>
      <c r="F42" s="308"/>
      <c r="G42" s="308"/>
      <c r="H42" s="308"/>
    </row>
    <row r="43" spans="1:8" ht="18" customHeight="1">
      <c r="A43" s="10"/>
      <c r="B43" s="408"/>
      <c r="C43" s="408"/>
      <c r="E43" s="10"/>
      <c r="F43" s="30"/>
      <c r="G43" s="30"/>
      <c r="H43" s="30"/>
    </row>
    <row r="44" spans="1:8" ht="13.95" customHeight="1">
      <c r="A44" s="10"/>
      <c r="B44" s="408"/>
      <c r="C44" s="408"/>
    </row>
    <row r="45" spans="1:8" ht="14.4">
      <c r="A45" s="9"/>
      <c r="B45" s="10"/>
      <c r="C45" s="10"/>
      <c r="E45"/>
    </row>
    <row r="57" spans="4:4" ht="14.4">
      <c r="D57"/>
    </row>
  </sheetData>
  <mergeCells count="11">
    <mergeCell ref="B43:C43"/>
    <mergeCell ref="B44:C44"/>
    <mergeCell ref="A9:A15"/>
    <mergeCell ref="B42:C42"/>
    <mergeCell ref="A41:C41"/>
    <mergeCell ref="A28:C28"/>
    <mergeCell ref="A1:C1"/>
    <mergeCell ref="A2:A5"/>
    <mergeCell ref="A6:A8"/>
    <mergeCell ref="A16:A24"/>
    <mergeCell ref="B9:B10"/>
  </mergeCells>
  <phoneticPr fontId="5" type="noConversion"/>
  <hyperlinks>
    <hyperlink ref="C6" r:id="rId1" xr:uid="{BE11EEF8-3AF7-48F0-A38B-7309CE5A9491}"/>
    <hyperlink ref="C14" r:id="rId2" xr:uid="{503F163B-AFBD-427F-ADC4-A1AE50657669}"/>
    <hyperlink ref="C16" r:id="rId3" xr:uid="{E864610B-B6CB-4D7D-8E7A-ADEB74F9D08F}"/>
    <hyperlink ref="C17" r:id="rId4" xr:uid="{C7B98ED6-F285-456B-8617-9DFBA59B4488}"/>
    <hyperlink ref="C19" r:id="rId5" display="\\carcgl.com\amer\nor\Prj_SUS\2023\S23668 SCE CA Prototypes Development\Technical\NR\0_Input data\Lighting\PNNL-20405.pdf" xr:uid="{3EF0991A-66B7-47EA-BC76-6D88C135361A}"/>
    <hyperlink ref="C20"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8" r:id="rId7" xr:uid="{AC8A87CD-B523-4A49-AE6F-94E4A4371B42}"/>
    <hyperlink ref="C22" r:id="rId8" xr:uid="{67632E08-C31E-40B7-87EE-C00894E75F1A}"/>
    <hyperlink ref="C23" r:id="rId9" xr:uid="{A0EAC269-05B9-4A33-A2B2-BF28860C7CF1}"/>
    <hyperlink ref="C24" r:id="rId10" xr:uid="{F3E69062-C5DD-4BB3-BF25-0BA64348B703}"/>
    <hyperlink ref="C3" r:id="rId11" xr:uid="{8CC6B202-366B-4175-A150-E7FF426D02B8}"/>
    <hyperlink ref="C4" r:id="rId12" xr:uid="{50D618E1-FD20-44F0-A537-BA11B408CD6D}"/>
    <hyperlink ref="C9" r:id="rId13" xr:uid="{9BB47DCC-E1D4-48D3-B025-0B3275FD6BF7}"/>
    <hyperlink ref="C10" r:id="rId14" xr:uid="{B3D8A564-4ADA-4A86-9566-E921EE2CBB1C}"/>
    <hyperlink ref="C11" r:id="rId15" xr:uid="{B58584AB-8717-403A-8164-D26A9A415585}"/>
    <hyperlink ref="C21" r:id="rId16" xr:uid="{BFE59D21-CF38-4387-B033-17FA159DBD5B}"/>
  </hyperlinks>
  <pageMargins left="0.7" right="0.7" top="0.75" bottom="0.75" header="0.3" footer="0.3"/>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9"/>
  <sheetViews>
    <sheetView tabSelected="1" zoomScale="85" zoomScaleNormal="85" workbookViewId="0">
      <selection sqref="A1:C1"/>
    </sheetView>
  </sheetViews>
  <sheetFormatPr defaultColWidth="9.33203125" defaultRowHeight="13.8"/>
  <cols>
    <col min="1" max="1" width="25" style="4" customWidth="1"/>
    <col min="2" max="4" width="55.44140625" style="4" customWidth="1"/>
    <col min="5" max="5" width="16" style="4" customWidth="1"/>
    <col min="6" max="9" width="8.6640625" style="4" customWidth="1"/>
    <col min="10" max="16384" width="9.33203125" style="4"/>
  </cols>
  <sheetData>
    <row r="1" spans="1:9" ht="17.399999999999999">
      <c r="A1" s="402" t="s">
        <v>45</v>
      </c>
      <c r="B1" s="402"/>
      <c r="C1" s="402"/>
      <c r="D1" s="13"/>
      <c r="E1" s="13"/>
      <c r="F1" s="13"/>
    </row>
    <row r="2" spans="1:9" ht="25.2" customHeight="1">
      <c r="A2" s="403" t="s">
        <v>46</v>
      </c>
      <c r="B2" s="403"/>
      <c r="C2" s="403"/>
      <c r="D2" s="13"/>
      <c r="E2" s="13"/>
      <c r="F2" s="13"/>
    </row>
    <row r="3" spans="1:9" ht="20.399999999999999" customHeight="1">
      <c r="A3" s="123" t="s">
        <v>47</v>
      </c>
      <c r="B3" s="305" t="s">
        <v>48</v>
      </c>
      <c r="C3" s="305" t="s">
        <v>0</v>
      </c>
    </row>
    <row r="4" spans="1:9" ht="16.2" customHeight="1">
      <c r="A4" s="16" t="s">
        <v>49</v>
      </c>
      <c r="B4" s="303" t="s">
        <v>46</v>
      </c>
      <c r="C4" s="16"/>
    </row>
    <row r="5" spans="1:9" ht="16.2" customHeight="1">
      <c r="A5" s="16" t="s">
        <v>50</v>
      </c>
      <c r="B5" s="303" t="s">
        <v>51</v>
      </c>
      <c r="C5" s="16"/>
    </row>
    <row r="6" spans="1:9" ht="16.2" customHeight="1">
      <c r="A6" s="254" t="s">
        <v>52</v>
      </c>
      <c r="B6" s="302" t="s">
        <v>53</v>
      </c>
      <c r="C6" s="16"/>
    </row>
    <row r="7" spans="1:9" ht="88.5" customHeight="1">
      <c r="A7" s="16" t="s">
        <v>54</v>
      </c>
      <c r="B7" s="295" t="s">
        <v>55</v>
      </c>
      <c r="C7" s="255" t="s">
        <v>56</v>
      </c>
      <c r="D7" s="61"/>
    </row>
    <row r="8" spans="1:9" ht="97.2" customHeight="1">
      <c r="A8" s="16" t="s">
        <v>57</v>
      </c>
      <c r="B8" t="e" vm="1">
        <v>#VALUE!</v>
      </c>
      <c r="C8" s="17" t="s">
        <v>58</v>
      </c>
      <c r="D8"/>
      <c r="I8" s="5"/>
    </row>
    <row r="9" spans="1:9" ht="19.2" customHeight="1">
      <c r="A9" s="117" t="s">
        <v>59</v>
      </c>
      <c r="B9" s="14">
        <v>315352</v>
      </c>
      <c r="C9" s="16" t="s">
        <v>60</v>
      </c>
    </row>
    <row r="10" spans="1:9" ht="19.2" customHeight="1">
      <c r="A10" s="117" t="s">
        <v>61</v>
      </c>
      <c r="B10" s="60" t="s">
        <v>62</v>
      </c>
      <c r="C10" s="16" t="s">
        <v>60</v>
      </c>
    </row>
    <row r="11" spans="1:9" ht="19.2" customHeight="1">
      <c r="A11" s="124" t="s">
        <v>63</v>
      </c>
      <c r="B11" s="295">
        <v>1</v>
      </c>
      <c r="C11" s="16" t="s">
        <v>60</v>
      </c>
    </row>
    <row r="12" spans="1:9" ht="19.2" customHeight="1">
      <c r="A12" s="124" t="s">
        <v>64</v>
      </c>
      <c r="B12" s="303" t="s">
        <v>65</v>
      </c>
      <c r="C12" s="16" t="s">
        <v>60</v>
      </c>
    </row>
    <row r="13" spans="1:9" ht="19.2" customHeight="1">
      <c r="A13" s="124" t="s">
        <v>66</v>
      </c>
      <c r="B13" s="125">
        <v>0.14499999999999999</v>
      </c>
      <c r="C13" s="16" t="s">
        <v>60</v>
      </c>
    </row>
    <row r="14" spans="1:9" ht="19.2" customHeight="1">
      <c r="A14" s="117" t="s">
        <v>67</v>
      </c>
      <c r="B14" s="15" t="s">
        <v>68</v>
      </c>
      <c r="C14" s="16" t="s">
        <v>60</v>
      </c>
    </row>
    <row r="15" spans="1:9" ht="33.6" customHeight="1">
      <c r="A15" s="117" t="s">
        <v>69</v>
      </c>
      <c r="B15" s="295" t="s">
        <v>70</v>
      </c>
      <c r="C15" s="16" t="s">
        <v>60</v>
      </c>
    </row>
    <row r="16" spans="1:9" ht="27.6" customHeight="1">
      <c r="A16" s="117" t="s">
        <v>71</v>
      </c>
      <c r="B16" s="295" t="s">
        <v>70</v>
      </c>
      <c r="C16" s="16" t="s">
        <v>60</v>
      </c>
    </row>
    <row r="17" spans="1:5" ht="30.6" customHeight="1">
      <c r="A17" s="117" t="s">
        <v>72</v>
      </c>
      <c r="B17" s="60" t="s">
        <v>62</v>
      </c>
      <c r="C17" s="16" t="s">
        <v>60</v>
      </c>
    </row>
    <row r="18" spans="1:5">
      <c r="A18" s="85"/>
      <c r="B18" s="9"/>
      <c r="C18" s="8"/>
    </row>
    <row r="19" spans="1:5">
      <c r="A19" s="85"/>
      <c r="B19" s="9"/>
      <c r="C19" s="8"/>
    </row>
    <row r="21" spans="1:5" ht="18">
      <c r="A21" s="126" t="s">
        <v>73</v>
      </c>
      <c r="B21" s="141">
        <v>415619.76</v>
      </c>
      <c r="C21" s="142"/>
    </row>
    <row r="22" spans="1:5" ht="18">
      <c r="A22" s="126" t="s">
        <v>74</v>
      </c>
      <c r="B22" s="141">
        <v>415619.76</v>
      </c>
      <c r="C22" s="142"/>
    </row>
    <row r="23" spans="1:5" ht="22.2" customHeight="1">
      <c r="A23" s="126" t="s">
        <v>75</v>
      </c>
      <c r="B23" s="141">
        <v>315369.42</v>
      </c>
      <c r="C23" s="8"/>
    </row>
    <row r="24" spans="1:5" ht="26.4">
      <c r="A24" s="126" t="s">
        <v>76</v>
      </c>
      <c r="B24" s="141">
        <v>0</v>
      </c>
      <c r="C24" s="8"/>
    </row>
    <row r="25" spans="1:5">
      <c r="A25" s="85"/>
      <c r="B25" s="9"/>
      <c r="C25" s="8"/>
    </row>
    <row r="26" spans="1:5" ht="18" customHeight="1">
      <c r="A26" s="85"/>
      <c r="B26" s="9"/>
      <c r="C26" s="8"/>
    </row>
    <row r="27" spans="1:5" ht="14.4">
      <c r="A27" s="224"/>
      <c r="B27" s="224"/>
      <c r="C27" s="224"/>
      <c r="D27" s="224"/>
      <c r="E27" s="224"/>
    </row>
    <row r="28" spans="1:5" ht="100.5" customHeight="1">
      <c r="A28" s="223"/>
      <c r="B28" s="223"/>
      <c r="C28" s="223"/>
      <c r="D28" s="223"/>
      <c r="E28" s="223"/>
    </row>
    <row r="29" spans="1:5" ht="54.75" customHeight="1">
      <c r="A29" s="223"/>
      <c r="B29" s="223"/>
      <c r="C29" s="223"/>
      <c r="D29" s="223"/>
      <c r="E29" s="223"/>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D76"/>
  <sheetViews>
    <sheetView zoomScaleNormal="100" workbookViewId="0">
      <pane xSplit="3" topLeftCell="D1" activePane="topRight" state="frozen"/>
      <selection pane="topRight" activeCell="E12" sqref="E12"/>
    </sheetView>
  </sheetViews>
  <sheetFormatPr defaultColWidth="8.6640625" defaultRowHeight="12.75" customHeight="1"/>
  <cols>
    <col min="1" max="1" width="20.33203125" style="6" customWidth="1"/>
    <col min="2" max="2" width="54.5546875" style="6" customWidth="1"/>
    <col min="3" max="3" width="51.6640625" style="6" bestFit="1" customWidth="1"/>
    <col min="4" max="5" width="18.44140625" style="6" customWidth="1"/>
    <col min="6" max="6" width="19" style="6" customWidth="1"/>
    <col min="7" max="8" width="14.6640625" style="6" customWidth="1"/>
    <col min="9" max="9" width="12.6640625" style="6" customWidth="1"/>
    <col min="10" max="10" width="12" style="6" bestFit="1" customWidth="1"/>
    <col min="11" max="13" width="11.33203125" style="6" customWidth="1"/>
    <col min="14" max="15" width="32.5546875" style="6" customWidth="1"/>
    <col min="16" max="16" width="24.44140625" style="6" customWidth="1"/>
    <col min="17" max="17" width="7.33203125" style="6" customWidth="1"/>
    <col min="18" max="18" width="12.88671875" style="6" customWidth="1"/>
    <col min="19" max="19" width="25.33203125" style="6" customWidth="1"/>
    <col min="20" max="20" width="22.33203125" style="6" bestFit="1" customWidth="1"/>
    <col min="21" max="21" width="25.6640625" style="6" customWidth="1"/>
    <col min="22" max="16384" width="8.6640625" style="6"/>
  </cols>
  <sheetData>
    <row r="1" spans="1:23" ht="25.95" customHeight="1">
      <c r="A1" s="419" t="str">
        <f>"Proposed Layout - "&amp;Prototype!B4</f>
        <v>Proposed Layout - Assembly</v>
      </c>
      <c r="B1" s="419"/>
      <c r="C1" s="419"/>
      <c r="D1" s="419"/>
      <c r="E1" s="419"/>
      <c r="F1" s="419"/>
      <c r="G1" s="419"/>
      <c r="H1" s="419"/>
      <c r="I1" s="419"/>
      <c r="J1" s="419"/>
      <c r="K1" s="419"/>
      <c r="L1" s="419"/>
      <c r="M1" s="419"/>
      <c r="N1" s="419"/>
      <c r="O1" s="262"/>
    </row>
    <row r="2" spans="1:23" ht="53.4" customHeight="1">
      <c r="A2" s="268" t="s">
        <v>77</v>
      </c>
      <c r="B2" s="80" t="s">
        <v>78</v>
      </c>
      <c r="C2" s="249" t="s">
        <v>79</v>
      </c>
      <c r="D2" s="311" t="s">
        <v>80</v>
      </c>
      <c r="E2" s="311" t="s">
        <v>81</v>
      </c>
      <c r="F2" s="28" t="s">
        <v>82</v>
      </c>
      <c r="G2" s="29" t="s">
        <v>83</v>
      </c>
      <c r="H2" s="311" t="s">
        <v>84</v>
      </c>
      <c r="I2" s="29" t="s">
        <v>85</v>
      </c>
      <c r="J2" s="28" t="s">
        <v>86</v>
      </c>
      <c r="K2" s="28" t="s">
        <v>87</v>
      </c>
      <c r="L2" s="157" t="s">
        <v>88</v>
      </c>
      <c r="M2" s="102" t="s">
        <v>89</v>
      </c>
      <c r="N2" s="265" t="s">
        <v>90</v>
      </c>
      <c r="O2" s="263" t="s">
        <v>42</v>
      </c>
      <c r="P2"/>
      <c r="Q2" s="47"/>
      <c r="R2" s="409"/>
      <c r="S2" s="410"/>
      <c r="T2" s="410"/>
      <c r="U2" s="410"/>
      <c r="V2" s="410"/>
      <c r="W2" s="411"/>
    </row>
    <row r="3" spans="1:23" ht="17.7" customHeight="1">
      <c r="A3" s="261" t="s">
        <v>91</v>
      </c>
      <c r="B3" s="260" t="s">
        <v>92</v>
      </c>
      <c r="C3" s="158" t="s">
        <v>93</v>
      </c>
      <c r="D3" s="153" t="s">
        <v>94</v>
      </c>
      <c r="E3" s="103" t="s">
        <v>46</v>
      </c>
      <c r="F3" s="153" t="s">
        <v>95</v>
      </c>
      <c r="G3" s="77">
        <f>I3/$I$20</f>
        <v>0.10156269819122758</v>
      </c>
      <c r="H3" s="2">
        <f>2669</f>
        <v>2669</v>
      </c>
      <c r="I3" s="65">
        <f>2669*K3</f>
        <v>32028</v>
      </c>
      <c r="J3" s="18">
        <f>34693*K3</f>
        <v>416316</v>
      </c>
      <c r="K3" s="18">
        <v>12</v>
      </c>
      <c r="L3" s="18">
        <f>(N3*H3)/1000</f>
        <v>88.076999999999998</v>
      </c>
      <c r="M3" s="18">
        <f>(N3*I3)/1000</f>
        <v>1056.924</v>
      </c>
      <c r="N3" s="266">
        <v>33</v>
      </c>
      <c r="O3" s="264"/>
      <c r="P3">
        <f>N3/1000</f>
        <v>3.3000000000000002E-2</v>
      </c>
      <c r="Q3" s="55"/>
      <c r="R3" s="412"/>
      <c r="S3" s="413"/>
      <c r="T3" s="413"/>
      <c r="U3" s="413"/>
      <c r="V3" s="413"/>
      <c r="W3" s="414"/>
    </row>
    <row r="4" spans="1:23" ht="17.399999999999999" customHeight="1">
      <c r="A4" s="261" t="s">
        <v>91</v>
      </c>
      <c r="B4" s="260" t="s">
        <v>96</v>
      </c>
      <c r="C4" s="158" t="s">
        <v>97</v>
      </c>
      <c r="D4" s="153" t="s">
        <v>94</v>
      </c>
      <c r="E4" s="103" t="s">
        <v>46</v>
      </c>
      <c r="F4" s="153" t="s">
        <v>95</v>
      </c>
      <c r="G4" s="77">
        <f>I4/$I$20</f>
        <v>8.4667292422435883E-2</v>
      </c>
      <c r="H4" s="2">
        <f>2225</f>
        <v>2225</v>
      </c>
      <c r="I4" s="65">
        <f>2225*K4</f>
        <v>26700</v>
      </c>
      <c r="J4" s="18">
        <f>28931*K4</f>
        <v>347172</v>
      </c>
      <c r="K4" s="18">
        <v>12</v>
      </c>
      <c r="L4" s="18">
        <f t="shared" ref="L4:L19" si="0">(N4*H4)/1000</f>
        <v>157.97499999999999</v>
      </c>
      <c r="M4" s="18">
        <f t="shared" ref="M4:M19" si="1">(N4*I4)/1000</f>
        <v>1895.7</v>
      </c>
      <c r="N4" s="266">
        <v>71</v>
      </c>
      <c r="O4" s="264"/>
      <c r="P4">
        <f t="shared" ref="P4:P19" si="2">N4/1000</f>
        <v>7.0999999999999994E-2</v>
      </c>
      <c r="Q4" s="55"/>
      <c r="R4" s="412"/>
      <c r="S4" s="413"/>
      <c r="T4" s="413"/>
      <c r="U4" s="413"/>
      <c r="V4" s="413"/>
      <c r="W4" s="414"/>
    </row>
    <row r="5" spans="1:23" ht="16.2" customHeight="1">
      <c r="A5" s="261" t="s">
        <v>91</v>
      </c>
      <c r="B5" s="260" t="s">
        <v>98</v>
      </c>
      <c r="C5" s="158" t="s">
        <v>99</v>
      </c>
      <c r="D5" s="153" t="s">
        <v>94</v>
      </c>
      <c r="E5" s="103" t="s">
        <v>46</v>
      </c>
      <c r="F5" s="153" t="s">
        <v>95</v>
      </c>
      <c r="G5" s="77">
        <f t="shared" ref="G5:G6" si="3">I5/$I$20</f>
        <v>8.4553134275349454E-2</v>
      </c>
      <c r="H5" s="2">
        <f>2222</f>
        <v>2222</v>
      </c>
      <c r="I5" s="65">
        <f>2222*K5</f>
        <v>26664</v>
      </c>
      <c r="J5" s="18">
        <f>28883*K5</f>
        <v>346596</v>
      </c>
      <c r="K5" s="18">
        <v>12</v>
      </c>
      <c r="L5" s="18">
        <f t="shared" si="0"/>
        <v>157.762</v>
      </c>
      <c r="M5" s="18">
        <f t="shared" si="1"/>
        <v>1893.144</v>
      </c>
      <c r="N5" s="266">
        <v>71</v>
      </c>
      <c r="O5" s="264"/>
      <c r="P5">
        <f t="shared" si="2"/>
        <v>7.0999999999999994E-2</v>
      </c>
      <c r="Q5" s="55"/>
      <c r="R5" s="412"/>
      <c r="S5" s="413"/>
      <c r="T5" s="413"/>
      <c r="U5" s="413"/>
      <c r="V5" s="413"/>
      <c r="W5" s="414"/>
    </row>
    <row r="6" spans="1:23" ht="17.7" customHeight="1">
      <c r="A6" s="261" t="s">
        <v>91</v>
      </c>
      <c r="B6" s="260" t="s">
        <v>100</v>
      </c>
      <c r="C6" s="158" t="s">
        <v>101</v>
      </c>
      <c r="D6" s="153" t="s">
        <v>94</v>
      </c>
      <c r="E6" s="103" t="s">
        <v>46</v>
      </c>
      <c r="F6" s="153" t="s">
        <v>95</v>
      </c>
      <c r="G6" s="77">
        <f t="shared" si="3"/>
        <v>6.7619675790862269E-2</v>
      </c>
      <c r="H6" s="2">
        <f>1777</f>
        <v>1777</v>
      </c>
      <c r="I6" s="65">
        <f>1777*K6</f>
        <v>21324</v>
      </c>
      <c r="J6" s="18">
        <f>23095*K6</f>
        <v>277140</v>
      </c>
      <c r="K6" s="18">
        <v>12</v>
      </c>
      <c r="L6" s="18">
        <f t="shared" si="0"/>
        <v>30.209</v>
      </c>
      <c r="M6" s="18">
        <f t="shared" si="1"/>
        <v>362.50799999999998</v>
      </c>
      <c r="N6" s="266">
        <v>17</v>
      </c>
      <c r="O6" s="264"/>
      <c r="P6">
        <f t="shared" si="2"/>
        <v>1.7000000000000001E-2</v>
      </c>
      <c r="Q6" s="55"/>
      <c r="R6" s="412"/>
      <c r="S6" s="413"/>
      <c r="T6" s="413"/>
      <c r="U6" s="413"/>
      <c r="V6" s="413"/>
      <c r="W6" s="414"/>
    </row>
    <row r="7" spans="1:23" ht="17.7" customHeight="1">
      <c r="A7" s="261" t="s">
        <v>102</v>
      </c>
      <c r="B7" s="260" t="s">
        <v>103</v>
      </c>
      <c r="C7" s="158" t="s">
        <v>93</v>
      </c>
      <c r="D7" s="153" t="s">
        <v>104</v>
      </c>
      <c r="E7" s="103" t="s">
        <v>46</v>
      </c>
      <c r="F7" s="153" t="s">
        <v>95</v>
      </c>
      <c r="G7" s="77">
        <f>I7/$I$20</f>
        <v>4.1223775336766532E-3</v>
      </c>
      <c r="H7" s="2">
        <f>650</f>
        <v>650</v>
      </c>
      <c r="I7" s="65">
        <f>650*K7</f>
        <v>1300</v>
      </c>
      <c r="J7" s="18">
        <f>8447*K7</f>
        <v>16894</v>
      </c>
      <c r="K7" s="18">
        <v>2</v>
      </c>
      <c r="L7" s="18">
        <f t="shared" si="0"/>
        <v>21.45</v>
      </c>
      <c r="M7" s="18">
        <f t="shared" si="1"/>
        <v>42.9</v>
      </c>
      <c r="N7" s="266">
        <v>33</v>
      </c>
      <c r="O7" s="264"/>
      <c r="P7">
        <f t="shared" si="2"/>
        <v>3.3000000000000002E-2</v>
      </c>
      <c r="Q7" s="55"/>
      <c r="R7" s="412"/>
      <c r="S7" s="413"/>
      <c r="T7" s="413"/>
      <c r="U7" s="413"/>
      <c r="V7" s="413"/>
      <c r="W7" s="414"/>
    </row>
    <row r="8" spans="1:23" ht="17.7" customHeight="1">
      <c r="A8" s="261" t="s">
        <v>102</v>
      </c>
      <c r="B8" s="260" t="s">
        <v>105</v>
      </c>
      <c r="C8" s="158" t="s">
        <v>106</v>
      </c>
      <c r="D8" s="153" t="s">
        <v>104</v>
      </c>
      <c r="E8" s="103" t="s">
        <v>46</v>
      </c>
      <c r="F8" s="153" t="s">
        <v>95</v>
      </c>
      <c r="G8" s="77">
        <f t="shared" ref="G8:G19" si="4">I8/$I$20</f>
        <v>2.4727923082777339E-2</v>
      </c>
      <c r="H8" s="2">
        <f>3899</f>
        <v>3899</v>
      </c>
      <c r="I8" s="65">
        <f>3899*K8</f>
        <v>7798</v>
      </c>
      <c r="J8" s="18">
        <f>50684*K8</f>
        <v>101368</v>
      </c>
      <c r="K8" s="18">
        <v>2</v>
      </c>
      <c r="L8" s="18">
        <f t="shared" si="0"/>
        <v>38.99</v>
      </c>
      <c r="M8" s="18">
        <f t="shared" si="1"/>
        <v>77.98</v>
      </c>
      <c r="N8" s="266">
        <v>10</v>
      </c>
      <c r="O8" s="264"/>
      <c r="P8">
        <f t="shared" si="2"/>
        <v>0.01</v>
      </c>
      <c r="Q8" s="55"/>
      <c r="R8" s="412"/>
      <c r="S8" s="413"/>
      <c r="T8" s="413"/>
      <c r="U8" s="413"/>
      <c r="V8" s="413"/>
      <c r="W8" s="414"/>
    </row>
    <row r="9" spans="1:23" ht="17.7" customHeight="1">
      <c r="A9" s="261" t="s">
        <v>102</v>
      </c>
      <c r="B9" s="260" t="s">
        <v>107</v>
      </c>
      <c r="C9" s="158" t="s">
        <v>108</v>
      </c>
      <c r="D9" s="153" t="s">
        <v>104</v>
      </c>
      <c r="E9" s="103" t="s">
        <v>46</v>
      </c>
      <c r="F9" s="153" t="s">
        <v>95</v>
      </c>
      <c r="G9" s="77">
        <f t="shared" si="4"/>
        <v>4.9455846165554679E-2</v>
      </c>
      <c r="H9" s="2">
        <f>7798</f>
        <v>7798</v>
      </c>
      <c r="I9" s="65">
        <f>7798*K9</f>
        <v>15596</v>
      </c>
      <c r="J9" s="18">
        <f>101369*K9</f>
        <v>202738</v>
      </c>
      <c r="K9" s="18">
        <v>2</v>
      </c>
      <c r="L9" s="18">
        <f t="shared" si="0"/>
        <v>77.98</v>
      </c>
      <c r="M9" s="18">
        <f t="shared" si="1"/>
        <v>155.96</v>
      </c>
      <c r="N9" s="266">
        <v>10</v>
      </c>
      <c r="O9" s="264"/>
      <c r="P9">
        <f t="shared" si="2"/>
        <v>0.01</v>
      </c>
      <c r="Q9" s="55"/>
      <c r="R9" s="412"/>
      <c r="S9" s="413"/>
      <c r="T9" s="413"/>
      <c r="U9" s="413"/>
      <c r="V9" s="413"/>
      <c r="W9" s="414"/>
    </row>
    <row r="10" spans="1:23" ht="17.7" customHeight="1">
      <c r="A10" s="261" t="s">
        <v>102</v>
      </c>
      <c r="B10" s="260" t="s">
        <v>109</v>
      </c>
      <c r="C10" s="158" t="s">
        <v>110</v>
      </c>
      <c r="D10" s="153" t="s">
        <v>104</v>
      </c>
      <c r="E10" s="103" t="s">
        <v>46</v>
      </c>
      <c r="F10" s="153" t="s">
        <v>95</v>
      </c>
      <c r="G10" s="77">
        <f t="shared" si="4"/>
        <v>4.1223775336766532E-3</v>
      </c>
      <c r="H10" s="2">
        <f>650</f>
        <v>650</v>
      </c>
      <c r="I10" s="65">
        <f>650*K10</f>
        <v>1300</v>
      </c>
      <c r="J10" s="18">
        <f>8447*K10</f>
        <v>16894</v>
      </c>
      <c r="K10" s="18">
        <v>2</v>
      </c>
      <c r="L10" s="18">
        <f t="shared" si="0"/>
        <v>21.45</v>
      </c>
      <c r="M10" s="18">
        <f t="shared" si="1"/>
        <v>42.9</v>
      </c>
      <c r="N10" s="266">
        <v>33</v>
      </c>
      <c r="O10" s="264"/>
      <c r="P10">
        <f t="shared" si="2"/>
        <v>3.3000000000000002E-2</v>
      </c>
      <c r="Q10" s="55"/>
      <c r="R10" s="412"/>
      <c r="S10" s="413"/>
      <c r="T10" s="413"/>
      <c r="U10" s="413"/>
      <c r="V10" s="413"/>
      <c r="W10" s="414"/>
    </row>
    <row r="11" spans="1:23" ht="17.7" customHeight="1">
      <c r="A11" s="261" t="s">
        <v>111</v>
      </c>
      <c r="B11" s="260" t="s">
        <v>112</v>
      </c>
      <c r="C11" s="158" t="s">
        <v>93</v>
      </c>
      <c r="D11" s="153" t="s">
        <v>113</v>
      </c>
      <c r="E11" s="103" t="s">
        <v>46</v>
      </c>
      <c r="F11" s="153" t="s">
        <v>95</v>
      </c>
      <c r="G11" s="77">
        <f t="shared" si="4"/>
        <v>1.9663740835637638E-2</v>
      </c>
      <c r="H11" s="2">
        <f>689</f>
        <v>689</v>
      </c>
      <c r="I11" s="65">
        <f>689*K11</f>
        <v>6201</v>
      </c>
      <c r="J11" s="18">
        <f>34445*K11</f>
        <v>310005</v>
      </c>
      <c r="K11" s="18">
        <v>9</v>
      </c>
      <c r="L11" s="18">
        <f t="shared" si="0"/>
        <v>22.736999999999998</v>
      </c>
      <c r="M11" s="18">
        <f t="shared" si="1"/>
        <v>204.63300000000001</v>
      </c>
      <c r="N11" s="266">
        <v>33</v>
      </c>
      <c r="O11" s="264"/>
      <c r="P11">
        <f t="shared" si="2"/>
        <v>3.3000000000000002E-2</v>
      </c>
      <c r="Q11" s="55"/>
      <c r="R11" s="412"/>
      <c r="S11" s="413"/>
      <c r="T11" s="413"/>
      <c r="U11" s="413"/>
      <c r="V11" s="413"/>
      <c r="W11" s="414"/>
    </row>
    <row r="12" spans="1:23" ht="17.7" customHeight="1">
      <c r="A12" s="261" t="s">
        <v>111</v>
      </c>
      <c r="B12" s="260" t="s">
        <v>114</v>
      </c>
      <c r="C12" s="158" t="s">
        <v>115</v>
      </c>
      <c r="D12" s="153" t="s">
        <v>113</v>
      </c>
      <c r="E12" s="103" t="s">
        <v>116</v>
      </c>
      <c r="F12" s="153" t="s">
        <v>95</v>
      </c>
      <c r="G12" s="77">
        <f t="shared" si="4"/>
        <v>1.9663740835637638E-2</v>
      </c>
      <c r="H12" s="2">
        <f>689</f>
        <v>689</v>
      </c>
      <c r="I12" s="65">
        <f>689*K12</f>
        <v>6201</v>
      </c>
      <c r="J12" s="18">
        <f>34445*K12</f>
        <v>310005</v>
      </c>
      <c r="K12" s="18">
        <v>9</v>
      </c>
      <c r="L12" s="18">
        <f t="shared" si="0"/>
        <v>3.4449999999999998</v>
      </c>
      <c r="M12" s="18">
        <f t="shared" si="1"/>
        <v>31.004999999999999</v>
      </c>
      <c r="N12" s="266">
        <v>5</v>
      </c>
      <c r="O12" s="264"/>
      <c r="P12">
        <f t="shared" si="2"/>
        <v>5.0000000000000001E-3</v>
      </c>
      <c r="Q12" s="55"/>
      <c r="R12" s="412"/>
      <c r="S12" s="413"/>
      <c r="T12" s="413"/>
      <c r="U12" s="413"/>
      <c r="V12" s="413"/>
      <c r="W12" s="414"/>
    </row>
    <row r="13" spans="1:23" ht="17.7" customHeight="1">
      <c r="A13" s="261" t="s">
        <v>111</v>
      </c>
      <c r="B13" s="260" t="s">
        <v>117</v>
      </c>
      <c r="C13" s="158" t="s">
        <v>118</v>
      </c>
      <c r="D13" s="153" t="s">
        <v>113</v>
      </c>
      <c r="E13" s="103" t="s">
        <v>46</v>
      </c>
      <c r="F13" s="153" t="s">
        <v>95</v>
      </c>
      <c r="G13" s="77">
        <f t="shared" si="4"/>
        <v>0.15728138714832948</v>
      </c>
      <c r="H13" s="2">
        <f>5511</f>
        <v>5511</v>
      </c>
      <c r="I13" s="65">
        <f>5511*K13</f>
        <v>49599</v>
      </c>
      <c r="J13" s="18">
        <f>275560*K13</f>
        <v>2480040</v>
      </c>
      <c r="K13" s="18">
        <v>9</v>
      </c>
      <c r="L13" s="18">
        <f t="shared" si="0"/>
        <v>391.28100000000001</v>
      </c>
      <c r="M13" s="18">
        <f t="shared" si="1"/>
        <v>3521.529</v>
      </c>
      <c r="N13" s="266">
        <v>71</v>
      </c>
      <c r="O13" s="264"/>
      <c r="P13">
        <f t="shared" si="2"/>
        <v>7.0999999999999994E-2</v>
      </c>
      <c r="Q13" s="55"/>
      <c r="R13" s="412"/>
      <c r="S13" s="413"/>
      <c r="T13" s="413"/>
      <c r="U13" s="413"/>
      <c r="V13" s="413"/>
      <c r="W13" s="414"/>
    </row>
    <row r="14" spans="1:23" ht="17.7" customHeight="1">
      <c r="A14" s="261" t="s">
        <v>119</v>
      </c>
      <c r="B14" s="260" t="s">
        <v>120</v>
      </c>
      <c r="C14" s="158" t="s">
        <v>121</v>
      </c>
      <c r="D14" s="153" t="s">
        <v>122</v>
      </c>
      <c r="E14" s="103" t="s">
        <v>46</v>
      </c>
      <c r="F14" s="153" t="s">
        <v>95</v>
      </c>
      <c r="G14" s="77">
        <f t="shared" si="4"/>
        <v>0.25703023922473933</v>
      </c>
      <c r="H14" s="2">
        <f>2795</f>
        <v>2795</v>
      </c>
      <c r="I14" s="65">
        <f>2795*K14</f>
        <v>81055</v>
      </c>
      <c r="J14" s="18">
        <f>69886*K14</f>
        <v>2026694</v>
      </c>
      <c r="K14" s="18">
        <v>29</v>
      </c>
      <c r="L14" s="18">
        <f t="shared" si="0"/>
        <v>27.95</v>
      </c>
      <c r="M14" s="18">
        <f t="shared" si="1"/>
        <v>810.55</v>
      </c>
      <c r="N14" s="266">
        <v>10</v>
      </c>
      <c r="O14" s="264"/>
      <c r="P14">
        <f t="shared" si="2"/>
        <v>0.01</v>
      </c>
      <c r="Q14" s="55"/>
      <c r="R14" s="412"/>
      <c r="S14" s="413"/>
      <c r="T14" s="413"/>
      <c r="U14" s="413"/>
      <c r="V14" s="413"/>
      <c r="W14" s="414"/>
    </row>
    <row r="15" spans="1:23" ht="17.7" customHeight="1">
      <c r="A15" s="261" t="s">
        <v>119</v>
      </c>
      <c r="B15" s="260" t="s">
        <v>123</v>
      </c>
      <c r="C15" s="158" t="s">
        <v>124</v>
      </c>
      <c r="D15" s="153" t="s">
        <v>122</v>
      </c>
      <c r="E15" s="103" t="s">
        <v>46</v>
      </c>
      <c r="F15" s="153" t="s">
        <v>95</v>
      </c>
      <c r="G15" s="77">
        <f t="shared" si="4"/>
        <v>4.8095461579441383E-2</v>
      </c>
      <c r="H15" s="2">
        <f>523</f>
        <v>523</v>
      </c>
      <c r="I15" s="83">
        <f>523*K15</f>
        <v>15167</v>
      </c>
      <c r="J15" s="18">
        <f>13069*K15</f>
        <v>379001</v>
      </c>
      <c r="K15" s="18">
        <v>29</v>
      </c>
      <c r="L15" s="18">
        <f t="shared" si="0"/>
        <v>10.46</v>
      </c>
      <c r="M15" s="18">
        <f t="shared" si="1"/>
        <v>303.33999999999997</v>
      </c>
      <c r="N15" s="266">
        <v>20</v>
      </c>
      <c r="O15" s="264"/>
      <c r="P15">
        <f t="shared" si="2"/>
        <v>0.02</v>
      </c>
      <c r="Q15"/>
      <c r="R15" s="412"/>
      <c r="S15" s="413"/>
      <c r="T15" s="413"/>
      <c r="U15" s="413"/>
      <c r="V15" s="413"/>
      <c r="W15" s="414"/>
    </row>
    <row r="16" spans="1:23" ht="17.7" customHeight="1">
      <c r="A16" s="261" t="s">
        <v>119</v>
      </c>
      <c r="B16" s="260" t="s">
        <v>125</v>
      </c>
      <c r="C16" s="158" t="s">
        <v>126</v>
      </c>
      <c r="D16" s="153" t="s">
        <v>122</v>
      </c>
      <c r="E16" s="103" t="s">
        <v>46</v>
      </c>
      <c r="F16" s="153" t="s">
        <v>95</v>
      </c>
      <c r="G16" s="77">
        <f t="shared" si="4"/>
        <v>1.6093127679545398E-2</v>
      </c>
      <c r="H16" s="2">
        <f>175</f>
        <v>175</v>
      </c>
      <c r="I16" s="65">
        <f>175*K16</f>
        <v>5075</v>
      </c>
      <c r="J16" s="18">
        <f>4366*K16</f>
        <v>126614</v>
      </c>
      <c r="K16" s="18">
        <v>29</v>
      </c>
      <c r="L16" s="18">
        <f t="shared" si="0"/>
        <v>1.75</v>
      </c>
      <c r="M16" s="18">
        <f t="shared" si="1"/>
        <v>50.75</v>
      </c>
      <c r="N16" s="266">
        <v>10</v>
      </c>
      <c r="O16" s="264"/>
      <c r="P16">
        <f t="shared" si="2"/>
        <v>0.01</v>
      </c>
      <c r="Q16" s="55"/>
      <c r="R16" s="412"/>
      <c r="S16" s="413"/>
      <c r="T16" s="413"/>
      <c r="U16" s="413"/>
      <c r="V16" s="413"/>
      <c r="W16" s="414"/>
    </row>
    <row r="17" spans="1:30" ht="17.7" customHeight="1">
      <c r="A17" s="261" t="s">
        <v>127</v>
      </c>
      <c r="B17" s="260" t="s">
        <v>128</v>
      </c>
      <c r="C17" s="158" t="s">
        <v>129</v>
      </c>
      <c r="D17" s="153" t="s">
        <v>130</v>
      </c>
      <c r="E17" s="103" t="s">
        <v>46</v>
      </c>
      <c r="F17" s="153" t="s">
        <v>95</v>
      </c>
      <c r="G17" s="77">
        <f t="shared" si="4"/>
        <v>5.5233516831984575E-2</v>
      </c>
      <c r="H17" s="2">
        <f>5806</f>
        <v>5806</v>
      </c>
      <c r="I17" s="65">
        <f>5806*K17</f>
        <v>17418</v>
      </c>
      <c r="J17" s="18">
        <f>145142*K17</f>
        <v>435426</v>
      </c>
      <c r="K17" s="18">
        <v>3</v>
      </c>
      <c r="L17" s="18">
        <f t="shared" si="0"/>
        <v>98.701999999999998</v>
      </c>
      <c r="M17" s="18">
        <f t="shared" si="1"/>
        <v>296.10599999999999</v>
      </c>
      <c r="N17" s="266">
        <v>17</v>
      </c>
      <c r="O17" s="418" t="s">
        <v>131</v>
      </c>
      <c r="P17">
        <f t="shared" si="2"/>
        <v>1.7000000000000001E-2</v>
      </c>
      <c r="Q17" s="55"/>
      <c r="R17" s="412"/>
      <c r="S17" s="413"/>
      <c r="T17" s="413"/>
      <c r="U17" s="413"/>
      <c r="V17" s="413"/>
      <c r="W17" s="414"/>
    </row>
    <row r="18" spans="1:30" ht="17.7" customHeight="1">
      <c r="A18" s="261" t="s">
        <v>127</v>
      </c>
      <c r="B18" s="260" t="s">
        <v>132</v>
      </c>
      <c r="C18" s="158" t="s">
        <v>133</v>
      </c>
      <c r="D18" s="153" t="s">
        <v>130</v>
      </c>
      <c r="E18" s="103" t="s">
        <v>46</v>
      </c>
      <c r="F18" s="153" t="s">
        <v>95</v>
      </c>
      <c r="G18" s="77">
        <f t="shared" si="4"/>
        <v>3.0537304345620133E-3</v>
      </c>
      <c r="H18" s="2">
        <f>321</f>
        <v>321</v>
      </c>
      <c r="I18" s="65">
        <f>321*K18</f>
        <v>963</v>
      </c>
      <c r="J18" s="18">
        <f>8030*K18</f>
        <v>24090</v>
      </c>
      <c r="K18" s="18">
        <v>3</v>
      </c>
      <c r="L18" s="18">
        <f t="shared" si="0"/>
        <v>10.593</v>
      </c>
      <c r="M18" s="18">
        <f t="shared" si="1"/>
        <v>31.779</v>
      </c>
      <c r="N18" s="266">
        <v>33</v>
      </c>
      <c r="O18" s="418"/>
      <c r="P18">
        <f t="shared" si="2"/>
        <v>3.3000000000000002E-2</v>
      </c>
      <c r="Q18" s="55"/>
      <c r="R18" s="412"/>
      <c r="S18" s="413"/>
      <c r="T18" s="413"/>
      <c r="U18" s="413"/>
      <c r="V18" s="413"/>
      <c r="W18" s="414"/>
    </row>
    <row r="19" spans="1:30" ht="17.7" customHeight="1">
      <c r="A19" s="261" t="s">
        <v>127</v>
      </c>
      <c r="B19" s="260" t="s">
        <v>134</v>
      </c>
      <c r="C19" s="158" t="s">
        <v>135</v>
      </c>
      <c r="D19" s="153" t="s">
        <v>130</v>
      </c>
      <c r="E19" s="103" t="s">
        <v>46</v>
      </c>
      <c r="F19" s="153" t="s">
        <v>95</v>
      </c>
      <c r="G19" s="77">
        <f t="shared" si="4"/>
        <v>3.0537304345620133E-3</v>
      </c>
      <c r="H19" s="2">
        <f>321</f>
        <v>321</v>
      </c>
      <c r="I19" s="65">
        <f>321*K19</f>
        <v>963</v>
      </c>
      <c r="J19" s="18">
        <f>8030*K19</f>
        <v>24090</v>
      </c>
      <c r="K19" s="18">
        <v>3</v>
      </c>
      <c r="L19" s="18">
        <f t="shared" si="0"/>
        <v>10.593</v>
      </c>
      <c r="M19" s="18">
        <f t="shared" si="1"/>
        <v>31.779</v>
      </c>
      <c r="N19" s="266">
        <v>33</v>
      </c>
      <c r="O19" s="418"/>
      <c r="P19">
        <f t="shared" si="2"/>
        <v>3.3000000000000002E-2</v>
      </c>
      <c r="Q19" s="55"/>
      <c r="R19" s="412"/>
      <c r="S19" s="413"/>
      <c r="T19" s="413"/>
      <c r="U19" s="413"/>
      <c r="V19" s="413"/>
      <c r="W19" s="414"/>
    </row>
    <row r="20" spans="1:30" ht="36.6" customHeight="1">
      <c r="A20" s="261" t="s">
        <v>136</v>
      </c>
      <c r="B20" s="259" t="s">
        <v>137</v>
      </c>
      <c r="C20" s="103" t="s">
        <v>138</v>
      </c>
      <c r="D20" s="103" t="s">
        <v>139</v>
      </c>
      <c r="E20" s="103"/>
      <c r="F20" s="104" t="s">
        <v>140</v>
      </c>
      <c r="G20" s="105"/>
      <c r="H20" s="106">
        <f>SUM(H3:H19)</f>
        <v>38720</v>
      </c>
      <c r="I20" s="106">
        <f>SUM(I3:I19)</f>
        <v>315352</v>
      </c>
      <c r="J20" s="18"/>
      <c r="K20" s="18"/>
      <c r="L20" s="18">
        <f>SUM(L3:L19)</f>
        <v>1171.4040000000002</v>
      </c>
      <c r="M20" s="18">
        <f>SUM(M3:M19)</f>
        <v>10809.486999999999</v>
      </c>
      <c r="N20" s="266"/>
      <c r="O20" s="264"/>
      <c r="P20"/>
      <c r="Q20" s="152"/>
      <c r="R20" s="412"/>
      <c r="S20" s="413"/>
      <c r="T20" s="413"/>
      <c r="U20" s="413"/>
      <c r="V20" s="413"/>
      <c r="W20" s="414"/>
    </row>
    <row r="21" spans="1:30" ht="14.4">
      <c r="I21" s="20"/>
      <c r="J21" s="20"/>
      <c r="K21" s="20"/>
      <c r="L21" s="20"/>
      <c r="M21" s="20"/>
      <c r="N21" s="21"/>
      <c r="O21" s="21"/>
      <c r="P21"/>
      <c r="Q21"/>
      <c r="R21" s="412"/>
      <c r="S21" s="413"/>
      <c r="T21" s="413"/>
      <c r="U21" s="413"/>
      <c r="V21" s="413"/>
      <c r="W21" s="414"/>
    </row>
    <row r="22" spans="1:30" ht="14.4">
      <c r="C22" s="7"/>
      <c r="D22" s="7"/>
      <c r="E22" s="7"/>
      <c r="F22" s="7"/>
      <c r="G22" s="7"/>
      <c r="H22" s="7"/>
      <c r="I22" s="22"/>
      <c r="K22" s="20"/>
      <c r="L22" s="20"/>
      <c r="M22" s="20"/>
      <c r="N22" s="20"/>
      <c r="O22" s="20"/>
      <c r="P22"/>
      <c r="Q22"/>
      <c r="R22" s="412"/>
      <c r="S22" s="413"/>
      <c r="T22" s="413"/>
      <c r="U22" s="413"/>
      <c r="V22" s="413"/>
      <c r="W22" s="414"/>
    </row>
    <row r="23" spans="1:30" ht="14.7" customHeight="1">
      <c r="C23" s="11"/>
      <c r="D23" s="11"/>
      <c r="E23" s="11"/>
      <c r="F23" s="11"/>
      <c r="I23" s="129"/>
      <c r="J23" s="20"/>
      <c r="K23" s="20"/>
      <c r="L23" s="20"/>
      <c r="M23" s="20"/>
      <c r="N23" s="20"/>
      <c r="O23" s="20"/>
      <c r="P23"/>
      <c r="Q23"/>
      <c r="R23" s="412"/>
      <c r="S23" s="413"/>
      <c r="T23" s="413"/>
      <c r="U23" s="413"/>
      <c r="V23" s="413"/>
      <c r="W23" s="414"/>
    </row>
    <row r="24" spans="1:30" ht="14.4">
      <c r="C24" s="23"/>
      <c r="D24" s="23"/>
      <c r="E24" s="23"/>
      <c r="F24" s="23"/>
      <c r="I24" s="20"/>
      <c r="J24" s="20"/>
      <c r="K24" s="20"/>
      <c r="L24" s="20"/>
      <c r="M24" s="20"/>
      <c r="N24" s="20"/>
      <c r="O24" s="20"/>
      <c r="P24"/>
      <c r="Q24"/>
      <c r="R24" s="412"/>
      <c r="S24" s="413"/>
      <c r="T24" s="413"/>
      <c r="U24" s="413"/>
      <c r="V24" s="413"/>
      <c r="W24" s="414"/>
    </row>
    <row r="25" spans="1:30" ht="14.4">
      <c r="C25" s="20"/>
      <c r="D25" s="20"/>
      <c r="E25" s="20"/>
      <c r="F25" s="20"/>
      <c r="I25" s="20"/>
      <c r="J25" s="20"/>
      <c r="K25" s="20"/>
      <c r="L25" s="20"/>
      <c r="M25" s="20"/>
      <c r="N25" s="20"/>
      <c r="O25" s="20"/>
      <c r="P25"/>
      <c r="Q25"/>
      <c r="R25" s="412"/>
      <c r="S25" s="413"/>
      <c r="T25" s="413"/>
      <c r="U25" s="413"/>
      <c r="V25" s="413"/>
      <c r="W25" s="414"/>
    </row>
    <row r="26" spans="1:30" ht="14.4">
      <c r="C26" s="20"/>
      <c r="D26" s="20"/>
      <c r="E26" s="20"/>
      <c r="F26" s="20"/>
      <c r="I26" s="20"/>
      <c r="J26" s="20"/>
      <c r="K26" s="20"/>
      <c r="L26" s="20"/>
      <c r="M26" s="20"/>
      <c r="N26" s="20"/>
      <c r="O26" s="20"/>
      <c r="P26"/>
      <c r="Q26"/>
      <c r="R26" s="412"/>
      <c r="S26" s="413"/>
      <c r="T26" s="413"/>
      <c r="U26" s="413"/>
      <c r="V26" s="413"/>
      <c r="W26" s="414"/>
      <c r="X26"/>
      <c r="Y26"/>
      <c r="Z26"/>
      <c r="AA26"/>
      <c r="AB26"/>
      <c r="AC26"/>
      <c r="AD26"/>
    </row>
    <row r="27" spans="1:30" ht="14.4">
      <c r="I27" s="20"/>
      <c r="J27" s="20"/>
      <c r="K27" s="20"/>
      <c r="L27" s="20"/>
      <c r="M27" s="20"/>
      <c r="N27" s="20"/>
      <c r="O27" s="20"/>
      <c r="P27"/>
      <c r="Q27"/>
      <c r="R27" s="412"/>
      <c r="S27" s="413"/>
      <c r="T27" s="413"/>
      <c r="U27" s="413"/>
      <c r="V27" s="413"/>
      <c r="W27" s="414"/>
      <c r="X27"/>
      <c r="Y27"/>
      <c r="Z27"/>
      <c r="AA27"/>
      <c r="AB27"/>
      <c r="AC27"/>
      <c r="AD27"/>
    </row>
    <row r="28" spans="1:30" ht="14.4">
      <c r="I28" s="20"/>
      <c r="J28" s="20"/>
      <c r="K28" s="20"/>
      <c r="L28" s="20"/>
      <c r="M28" s="20"/>
      <c r="N28" s="20"/>
      <c r="O28" s="20"/>
      <c r="P28"/>
      <c r="Q28"/>
      <c r="R28" s="412"/>
      <c r="S28" s="413"/>
      <c r="T28" s="413"/>
      <c r="U28" s="413"/>
      <c r="V28" s="413"/>
      <c r="W28" s="414"/>
      <c r="X28"/>
      <c r="Y28"/>
      <c r="Z28"/>
      <c r="AA28"/>
      <c r="AB28"/>
      <c r="AC28"/>
      <c r="AD28"/>
    </row>
    <row r="29" spans="1:30" ht="18">
      <c r="I29" s="20"/>
      <c r="J29" s="20"/>
      <c r="K29" s="20"/>
      <c r="L29" s="20"/>
      <c r="M29" s="20"/>
      <c r="N29" s="20"/>
      <c r="O29" s="20"/>
      <c r="P29"/>
      <c r="Q29"/>
      <c r="R29" s="412"/>
      <c r="S29" s="413"/>
      <c r="T29" s="413"/>
      <c r="U29" s="413"/>
      <c r="V29" s="413"/>
      <c r="W29" s="414"/>
      <c r="X29" s="142"/>
      <c r="Y29" s="142"/>
      <c r="Z29" s="142"/>
      <c r="AA29" s="142"/>
      <c r="AB29" s="142"/>
      <c r="AC29" s="142"/>
      <c r="AD29" s="142"/>
    </row>
    <row r="30" spans="1:30" ht="18">
      <c r="I30" s="20"/>
      <c r="J30" s="20"/>
      <c r="K30" s="20"/>
      <c r="L30" s="20"/>
      <c r="M30" s="20"/>
      <c r="N30" s="20"/>
      <c r="O30" s="20"/>
      <c r="P30"/>
      <c r="Q30"/>
      <c r="R30" s="412"/>
      <c r="S30" s="413"/>
      <c r="T30" s="413"/>
      <c r="U30" s="413"/>
      <c r="V30" s="413"/>
      <c r="W30" s="414"/>
      <c r="X30" s="142"/>
      <c r="Y30" s="142"/>
      <c r="Z30" s="142"/>
      <c r="AA30" s="142"/>
      <c r="AB30" s="142"/>
      <c r="AC30" s="142"/>
      <c r="AD30" s="142"/>
    </row>
    <row r="31" spans="1:30" ht="18">
      <c r="I31" s="20"/>
      <c r="J31" s="20"/>
      <c r="K31" s="20"/>
      <c r="L31" s="20"/>
      <c r="M31" s="20"/>
      <c r="N31" s="20"/>
      <c r="O31" s="20"/>
      <c r="P31"/>
      <c r="Q31"/>
      <c r="R31" s="412"/>
      <c r="S31" s="413"/>
      <c r="T31" s="413"/>
      <c r="U31" s="413"/>
      <c r="V31" s="413"/>
      <c r="W31" s="414"/>
      <c r="X31" s="142"/>
      <c r="Y31" s="142"/>
      <c r="Z31" s="142"/>
      <c r="AA31" s="142"/>
      <c r="AB31" s="142"/>
      <c r="AC31" s="142"/>
      <c r="AD31" s="142"/>
    </row>
    <row r="32" spans="1:30" ht="18">
      <c r="I32" s="20"/>
      <c r="J32" s="20"/>
      <c r="K32" s="20"/>
      <c r="L32" s="20"/>
      <c r="M32" s="20"/>
      <c r="N32" s="20"/>
      <c r="O32" s="20"/>
      <c r="P32"/>
      <c r="Q32"/>
      <c r="R32" s="412"/>
      <c r="S32" s="413"/>
      <c r="T32" s="413"/>
      <c r="U32" s="413"/>
      <c r="V32" s="413"/>
      <c r="W32" s="414"/>
      <c r="X32" s="142"/>
      <c r="Y32" s="142"/>
      <c r="Z32" s="142"/>
      <c r="AA32" s="142"/>
      <c r="AB32" s="142"/>
      <c r="AC32" s="142"/>
      <c r="AD32" s="142"/>
    </row>
    <row r="33" spans="3:30" ht="18">
      <c r="I33" s="20"/>
      <c r="J33" s="20"/>
      <c r="K33" s="20"/>
      <c r="L33" s="20"/>
      <c r="M33" s="20"/>
      <c r="N33" s="20"/>
      <c r="O33" s="20"/>
      <c r="P33"/>
      <c r="Q33"/>
      <c r="R33" s="412"/>
      <c r="S33" s="413"/>
      <c r="T33" s="413"/>
      <c r="U33" s="413"/>
      <c r="V33" s="413"/>
      <c r="W33" s="414"/>
      <c r="X33" s="142"/>
      <c r="Y33" s="142"/>
      <c r="Z33" s="142"/>
      <c r="AA33" s="142"/>
      <c r="AB33" s="142"/>
      <c r="AC33" s="142"/>
      <c r="AD33" s="142"/>
    </row>
    <row r="34" spans="3:30" ht="18">
      <c r="I34" s="20"/>
      <c r="J34" s="20"/>
      <c r="K34" s="20"/>
      <c r="L34" s="20"/>
      <c r="M34" s="20"/>
      <c r="N34" s="20"/>
      <c r="O34" s="20"/>
      <c r="P34"/>
      <c r="Q34"/>
      <c r="R34" s="412"/>
      <c r="S34" s="413"/>
      <c r="T34" s="413"/>
      <c r="U34" s="413"/>
      <c r="V34" s="413"/>
      <c r="W34" s="414"/>
      <c r="X34" s="142"/>
      <c r="Y34" s="142"/>
      <c r="Z34" s="142"/>
      <c r="AA34" s="142"/>
      <c r="AB34" s="142"/>
      <c r="AC34" s="142"/>
      <c r="AD34" s="142"/>
    </row>
    <row r="35" spans="3:30" ht="18">
      <c r="I35" s="20"/>
      <c r="J35" s="20"/>
      <c r="K35" s="20"/>
      <c r="L35" s="20"/>
      <c r="M35" s="20"/>
      <c r="N35" s="20"/>
      <c r="O35" s="20"/>
      <c r="P35"/>
      <c r="Q35"/>
      <c r="R35" s="412"/>
      <c r="S35" s="413"/>
      <c r="T35" s="413"/>
      <c r="U35" s="413"/>
      <c r="V35" s="413"/>
      <c r="W35" s="414"/>
      <c r="X35" s="142"/>
      <c r="Y35" s="142"/>
      <c r="Z35" s="142"/>
      <c r="AA35" s="142"/>
      <c r="AB35" s="142"/>
      <c r="AC35" s="142"/>
      <c r="AD35" s="142"/>
    </row>
    <row r="36" spans="3:30" ht="18">
      <c r="I36" s="20"/>
      <c r="J36" s="20"/>
      <c r="K36" s="20"/>
      <c r="L36" s="20"/>
      <c r="M36" s="20"/>
      <c r="N36" s="20"/>
      <c r="O36" s="20"/>
      <c r="P36"/>
      <c r="Q36"/>
      <c r="R36" s="412"/>
      <c r="S36" s="413"/>
      <c r="T36" s="413"/>
      <c r="U36" s="413"/>
      <c r="V36" s="413"/>
      <c r="W36" s="414"/>
      <c r="X36" s="142"/>
      <c r="Y36" s="142"/>
      <c r="Z36" s="142"/>
      <c r="AA36" s="142"/>
      <c r="AB36" s="142"/>
      <c r="AC36" s="142"/>
      <c r="AD36" s="142"/>
    </row>
    <row r="37" spans="3:30" s="24" customFormat="1" ht="14.4" hidden="1" customHeight="1">
      <c r="C37" s="24" t="s">
        <v>141</v>
      </c>
      <c r="I37" s="25"/>
      <c r="J37" s="27"/>
      <c r="P37" s="86"/>
      <c r="Q37" s="86"/>
      <c r="R37" s="412"/>
      <c r="S37" s="413"/>
      <c r="T37" s="413"/>
      <c r="U37" s="413"/>
      <c r="V37" s="413"/>
      <c r="W37" s="414"/>
      <c r="X37" s="142"/>
      <c r="Y37" s="142"/>
      <c r="Z37" s="142"/>
      <c r="AA37" s="142"/>
      <c r="AB37" s="142"/>
      <c r="AC37" s="142"/>
      <c r="AD37" s="142"/>
    </row>
    <row r="38" spans="3:30" ht="18">
      <c r="C38" s="19"/>
      <c r="D38" s="19"/>
      <c r="E38" s="19"/>
      <c r="F38" s="19"/>
      <c r="G38" s="19"/>
      <c r="H38" s="19"/>
      <c r="P38"/>
      <c r="Q38"/>
      <c r="R38" s="412"/>
      <c r="S38" s="413"/>
      <c r="T38" s="413"/>
      <c r="U38" s="413"/>
      <c r="V38" s="413"/>
      <c r="W38" s="414"/>
      <c r="X38" s="142"/>
      <c r="Y38" s="142"/>
      <c r="Z38" s="142"/>
      <c r="AA38" s="142"/>
      <c r="AB38" s="142"/>
      <c r="AC38" s="142"/>
      <c r="AD38" s="142"/>
    </row>
    <row r="39" spans="3:30" ht="18">
      <c r="P39"/>
      <c r="Q39"/>
      <c r="R39" s="412"/>
      <c r="S39" s="413"/>
      <c r="T39" s="413"/>
      <c r="U39" s="413"/>
      <c r="V39" s="413"/>
      <c r="W39" s="414"/>
      <c r="X39" s="142"/>
      <c r="Y39" s="142"/>
      <c r="Z39" s="142"/>
      <c r="AA39" s="142"/>
      <c r="AB39" s="142"/>
      <c r="AC39" s="142"/>
      <c r="AD39" s="142"/>
    </row>
    <row r="40" spans="3:30" ht="18">
      <c r="P40"/>
      <c r="Q40"/>
      <c r="R40" s="412"/>
      <c r="S40" s="413"/>
      <c r="T40" s="413"/>
      <c r="U40" s="413"/>
      <c r="V40" s="413"/>
      <c r="W40" s="414"/>
      <c r="X40" s="142"/>
      <c r="Y40" s="142"/>
      <c r="Z40" s="142"/>
      <c r="AA40" s="142"/>
      <c r="AB40" s="142"/>
      <c r="AC40" s="142"/>
      <c r="AD40" s="142"/>
    </row>
    <row r="41" spans="3:30" ht="18">
      <c r="R41" s="412"/>
      <c r="S41" s="413"/>
      <c r="T41" s="413"/>
      <c r="U41" s="413"/>
      <c r="V41" s="413"/>
      <c r="W41" s="414"/>
      <c r="X41" s="142"/>
      <c r="Y41" s="142"/>
      <c r="Z41" s="142"/>
      <c r="AA41" s="142"/>
      <c r="AB41" s="142"/>
      <c r="AC41" s="142"/>
      <c r="AD41" s="142"/>
    </row>
    <row r="42" spans="3:30" ht="18">
      <c r="R42" s="412"/>
      <c r="S42" s="413"/>
      <c r="T42" s="413"/>
      <c r="U42" s="413"/>
      <c r="V42" s="413"/>
      <c r="W42" s="414"/>
      <c r="X42" s="142"/>
      <c r="Y42" s="142"/>
      <c r="Z42" s="142"/>
      <c r="AA42" s="142"/>
      <c r="AB42" s="142"/>
      <c r="AC42" s="142"/>
      <c r="AD42" s="142"/>
    </row>
    <row r="43" spans="3:30" ht="18">
      <c r="R43" s="412"/>
      <c r="S43" s="413"/>
      <c r="T43" s="413"/>
      <c r="U43" s="413"/>
      <c r="V43" s="413"/>
      <c r="W43" s="414"/>
      <c r="X43" s="142"/>
      <c r="Y43" s="142"/>
      <c r="Z43" s="142"/>
      <c r="AA43" s="142"/>
      <c r="AB43" s="142"/>
      <c r="AC43" s="142"/>
      <c r="AD43" s="142"/>
    </row>
    <row r="44" spans="3:30" ht="14.4" customHeight="1">
      <c r="R44" s="412"/>
      <c r="S44" s="413"/>
      <c r="T44" s="413"/>
      <c r="U44" s="413"/>
      <c r="V44" s="413"/>
      <c r="W44" s="414"/>
    </row>
    <row r="45" spans="3:30" ht="14.4" customHeight="1">
      <c r="R45" s="412"/>
      <c r="S45" s="413"/>
      <c r="T45" s="413"/>
      <c r="U45" s="413"/>
      <c r="V45" s="413"/>
      <c r="W45" s="414"/>
    </row>
    <row r="46" spans="3:30" ht="14.4" customHeight="1">
      <c r="R46" s="412"/>
      <c r="S46" s="413"/>
      <c r="T46" s="413"/>
      <c r="U46" s="413"/>
      <c r="V46" s="413"/>
      <c r="W46" s="414"/>
    </row>
    <row r="47" spans="3:30" ht="14.4" customHeight="1">
      <c r="R47" s="415"/>
      <c r="S47" s="416"/>
      <c r="T47" s="416"/>
      <c r="U47" s="416"/>
      <c r="V47" s="416"/>
      <c r="W47" s="417"/>
    </row>
    <row r="48" spans="3:30" ht="14.4" customHeight="1">
      <c r="R48" s="37"/>
      <c r="S48" s="37"/>
      <c r="T48" s="37"/>
    </row>
    <row r="49" spans="18:20" ht="14.4" customHeight="1">
      <c r="R49" s="37"/>
      <c r="S49" s="37"/>
      <c r="T49" s="37"/>
    </row>
    <row r="50" spans="18:20" ht="14.4" customHeight="1">
      <c r="R50" s="37"/>
      <c r="S50" s="37"/>
      <c r="T50" s="37"/>
    </row>
    <row r="51" spans="18:20" ht="14.4" customHeight="1">
      <c r="R51" s="37"/>
      <c r="S51" s="37"/>
      <c r="T51" s="37"/>
    </row>
    <row r="52" spans="18:20" ht="14.4" customHeight="1">
      <c r="R52" s="37"/>
      <c r="S52" s="37"/>
      <c r="T52" s="37"/>
    </row>
    <row r="53" spans="18:20" ht="14.4" customHeight="1">
      <c r="R53" s="37"/>
      <c r="S53" s="37"/>
      <c r="T53" s="37"/>
    </row>
    <row r="54" spans="18:20" ht="14.4" customHeight="1">
      <c r="R54" s="37"/>
      <c r="S54" s="37"/>
      <c r="T54" s="37"/>
    </row>
    <row r="55" spans="18:20" ht="14.4" customHeight="1">
      <c r="R55" s="37"/>
      <c r="S55" s="37"/>
      <c r="T55" s="37"/>
    </row>
    <row r="56" spans="18:20" ht="14.4" customHeight="1">
      <c r="R56" s="37"/>
      <c r="S56" s="37"/>
      <c r="T56" s="37"/>
    </row>
    <row r="57" spans="18:20" ht="14.4" customHeight="1">
      <c r="R57" s="37"/>
      <c r="S57" s="37"/>
      <c r="T57" s="37"/>
    </row>
    <row r="58" spans="18:20" ht="14.4" customHeight="1">
      <c r="R58" s="37"/>
      <c r="S58" s="37"/>
      <c r="T58" s="37"/>
    </row>
    <row r="59" spans="18:20" ht="14.4" customHeight="1">
      <c r="R59" s="37"/>
      <c r="S59" s="37"/>
      <c r="T59" s="37"/>
    </row>
    <row r="60" spans="18:20" ht="14.4" customHeight="1">
      <c r="R60" s="37"/>
      <c r="S60" s="37"/>
      <c r="T60" s="37"/>
    </row>
    <row r="61" spans="18:20" ht="14.4" customHeight="1">
      <c r="R61" s="37"/>
      <c r="S61" s="37"/>
      <c r="T61" s="37"/>
    </row>
    <row r="62" spans="18:20" ht="14.4" customHeight="1">
      <c r="R62" s="37"/>
      <c r="S62" s="37"/>
      <c r="T62" s="37"/>
    </row>
    <row r="63" spans="18:20" ht="14.4" customHeight="1">
      <c r="R63" s="37"/>
      <c r="S63" s="37"/>
      <c r="T63" s="37"/>
    </row>
    <row r="64" spans="18:20" ht="14.4" customHeight="1">
      <c r="R64" s="37"/>
      <c r="S64" s="37"/>
      <c r="T64" s="37"/>
    </row>
    <row r="65" spans="18:20" ht="14.4" customHeight="1">
      <c r="R65" s="37"/>
      <c r="S65" s="37"/>
      <c r="T65" s="37"/>
    </row>
    <row r="66" spans="18:20" ht="14.4" customHeight="1">
      <c r="R66" s="37"/>
      <c r="S66" s="37"/>
      <c r="T66" s="37"/>
    </row>
    <row r="67" spans="18:20" ht="14.4" customHeight="1">
      <c r="R67" s="37"/>
      <c r="S67" s="37"/>
      <c r="T67" s="37"/>
    </row>
    <row r="68" spans="18:20" ht="14.4" customHeight="1">
      <c r="R68" s="37"/>
      <c r="S68" s="37"/>
      <c r="T68" s="37"/>
    </row>
    <row r="69" spans="18:20" ht="14.4" customHeight="1">
      <c r="R69" s="37"/>
      <c r="S69" s="37"/>
      <c r="T69" s="37"/>
    </row>
    <row r="70" spans="18:20" ht="14.4" customHeight="1">
      <c r="R70" s="37"/>
      <c r="S70" s="37"/>
      <c r="T70" s="37"/>
    </row>
    <row r="71" spans="18:20" ht="14.4" customHeight="1">
      <c r="R71" s="37"/>
      <c r="S71" s="37"/>
      <c r="T71" s="37"/>
    </row>
    <row r="72" spans="18:20" ht="14.4" customHeight="1">
      <c r="R72" s="37"/>
      <c r="S72" s="37"/>
      <c r="T72" s="37"/>
    </row>
    <row r="73" spans="18:20" ht="14.4" customHeight="1">
      <c r="R73" s="37"/>
      <c r="S73" s="37"/>
      <c r="T73" s="37"/>
    </row>
    <row r="74" spans="18:20" ht="14.4" customHeight="1">
      <c r="R74" s="37"/>
      <c r="S74" s="37"/>
      <c r="T74" s="37"/>
    </row>
    <row r="75" spans="18:20" ht="14.4" customHeight="1">
      <c r="R75" s="37"/>
      <c r="S75" s="37"/>
      <c r="T75" s="37"/>
    </row>
    <row r="76" spans="18:20" ht="14.4" customHeight="1">
      <c r="R76" s="37"/>
      <c r="S76" s="37"/>
      <c r="T76" s="37"/>
    </row>
  </sheetData>
  <mergeCells count="3">
    <mergeCell ref="R2:W47"/>
    <mergeCell ref="O17:O19"/>
    <mergeCell ref="A1:N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5160613-FF69-43C0-BFE5-A877CADAAF75}">
          <x14:formula1>
            <xm:f>Data!$A$2:$A$200</xm:f>
          </x14:formula1>
          <xm:sqref>C3:C19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33"/>
  <sheetViews>
    <sheetView zoomScale="90" zoomScaleNormal="90" workbookViewId="0">
      <selection sqref="A1:X1"/>
    </sheetView>
  </sheetViews>
  <sheetFormatPr defaultColWidth="9.33203125" defaultRowHeight="13.8"/>
  <cols>
    <col min="1" max="1" width="15.44140625" style="57" customWidth="1"/>
    <col min="2" max="2" width="13.5546875" style="58" customWidth="1"/>
    <col min="3" max="3" width="18.5546875" style="57" customWidth="1"/>
    <col min="4" max="4" width="41.44140625" style="57" bestFit="1" customWidth="1"/>
    <col min="5" max="5" width="11.6640625" style="57" customWidth="1"/>
    <col min="6" max="6" width="20" style="57" customWidth="1"/>
    <col min="7" max="7" width="20.5546875" style="59" customWidth="1"/>
    <col min="8" max="8" width="59.5546875" style="57" customWidth="1"/>
    <col min="9" max="9" width="6.88671875" style="57" customWidth="1"/>
    <col min="10" max="12" width="7" style="57" customWidth="1"/>
    <col min="13" max="13" width="7.88671875" style="57" customWidth="1"/>
    <col min="14" max="14" width="8.6640625" style="57" customWidth="1"/>
    <col min="15" max="15" width="7" style="57" customWidth="1"/>
    <col min="16" max="16" width="7.109375" style="57" customWidth="1"/>
    <col min="17" max="17" width="7.5546875" style="57" customWidth="1"/>
    <col min="18" max="21" width="7" style="57" customWidth="1"/>
    <col min="22" max="22" width="7.6640625" style="57" customWidth="1"/>
    <col min="23" max="24" width="7" style="57" customWidth="1"/>
    <col min="25" max="26" width="9.33203125" style="57"/>
    <col min="27" max="30" width="7.6640625" style="57" customWidth="1"/>
    <col min="31" max="31" width="9.6640625" style="57" customWidth="1"/>
    <col min="32" max="32" width="7.5546875" style="57" customWidth="1"/>
    <col min="33" max="33" width="11.44140625" style="57" customWidth="1"/>
    <col min="34" max="42" width="7.6640625" style="57" customWidth="1"/>
    <col min="43" max="46" width="10.44140625" style="57" customWidth="1"/>
    <col min="47" max="47" width="9.88671875" style="57" customWidth="1"/>
    <col min="48" max="48" width="10.44140625" style="57" customWidth="1"/>
    <col min="49" max="49" width="21.6640625" style="57" customWidth="1"/>
    <col min="50" max="50" width="10.44140625" style="57" customWidth="1"/>
    <col min="51" max="53" width="7.44140625" style="57" customWidth="1"/>
    <col min="54" max="54" width="7.6640625" style="57" customWidth="1"/>
    <col min="55" max="55" width="7.44140625" style="57" customWidth="1"/>
    <col min="56" max="56" width="13.6640625" style="57" customWidth="1"/>
    <col min="57" max="60" width="7.44140625" style="57" customWidth="1"/>
    <col min="61" max="62" width="9.6640625" style="57" bestFit="1" customWidth="1"/>
    <col min="63" max="16384" width="9.33203125" style="57"/>
  </cols>
  <sheetData>
    <row r="1" spans="1:62" ht="31.95" customHeight="1">
      <c r="A1" s="420" t="str">
        <f>"Envelope - "&amp;Prototype!B4</f>
        <v>Envelope - Assembly</v>
      </c>
      <c r="B1" s="420"/>
      <c r="C1" s="420"/>
      <c r="D1" s="420"/>
      <c r="E1" s="420"/>
      <c r="F1" s="420"/>
      <c r="G1" s="420"/>
      <c r="H1" s="420"/>
      <c r="I1" s="420"/>
      <c r="J1" s="420"/>
      <c r="K1" s="420"/>
      <c r="L1" s="420"/>
      <c r="M1" s="420"/>
      <c r="N1" s="420"/>
      <c r="O1" s="420"/>
      <c r="P1" s="420"/>
      <c r="Q1" s="420"/>
      <c r="R1" s="420"/>
      <c r="S1" s="420"/>
      <c r="T1" s="420"/>
      <c r="U1" s="420"/>
      <c r="V1" s="420"/>
      <c r="W1" s="420"/>
      <c r="X1" s="420"/>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row>
    <row r="2" spans="1:62" ht="45.6" customHeight="1">
      <c r="A2" s="277" t="s">
        <v>142</v>
      </c>
      <c r="B2" s="277" t="s">
        <v>8</v>
      </c>
      <c r="C2" s="277" t="s">
        <v>143</v>
      </c>
      <c r="D2" s="277" t="s">
        <v>144</v>
      </c>
      <c r="E2" s="278" t="s">
        <v>145</v>
      </c>
      <c r="F2" s="277" t="s">
        <v>146</v>
      </c>
      <c r="G2" s="278" t="s">
        <v>147</v>
      </c>
      <c r="H2" s="277" t="s">
        <v>42</v>
      </c>
      <c r="I2" s="277" t="s">
        <v>148</v>
      </c>
      <c r="J2" s="277" t="s">
        <v>149</v>
      </c>
      <c r="K2" s="277" t="s">
        <v>150</v>
      </c>
      <c r="L2" s="277" t="s">
        <v>151</v>
      </c>
      <c r="M2" s="277" t="s">
        <v>152</v>
      </c>
      <c r="N2" s="277" t="s">
        <v>153</v>
      </c>
      <c r="O2" s="277" t="s">
        <v>154</v>
      </c>
      <c r="P2" s="277" t="s">
        <v>155</v>
      </c>
      <c r="Q2" s="277" t="s">
        <v>156</v>
      </c>
      <c r="R2" s="277" t="s">
        <v>157</v>
      </c>
      <c r="S2" s="277" t="s">
        <v>158</v>
      </c>
      <c r="T2" s="277" t="s">
        <v>159</v>
      </c>
      <c r="U2" s="277" t="s">
        <v>160</v>
      </c>
      <c r="V2" s="277" t="s">
        <v>161</v>
      </c>
      <c r="W2" s="277" t="s">
        <v>162</v>
      </c>
      <c r="X2" s="277" t="s">
        <v>163</v>
      </c>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19.2" customHeight="1">
      <c r="A3" s="422" t="s">
        <v>164</v>
      </c>
      <c r="B3" s="421" t="str">
        <f>Prototype!A2</f>
        <v>Assembly</v>
      </c>
      <c r="C3" s="423" t="s">
        <v>165</v>
      </c>
      <c r="D3" s="423" t="s">
        <v>166</v>
      </c>
      <c r="E3" s="422" t="s">
        <v>167</v>
      </c>
      <c r="F3" s="296" t="s">
        <v>168</v>
      </c>
      <c r="G3" s="296" t="s">
        <v>169</v>
      </c>
      <c r="H3" s="279" t="s">
        <v>170</v>
      </c>
      <c r="I3" s="358">
        <v>0.35199999999999998</v>
      </c>
      <c r="J3" s="358">
        <v>0.35199999999999998</v>
      </c>
      <c r="K3" s="358">
        <v>0.35199999999999998</v>
      </c>
      <c r="L3" s="358">
        <v>0.35199999999999998</v>
      </c>
      <c r="M3" s="358">
        <v>0.35199999999999998</v>
      </c>
      <c r="N3" s="358">
        <v>0.35199999999999998</v>
      </c>
      <c r="O3" s="358">
        <v>0.35199999999999998</v>
      </c>
      <c r="P3" s="358">
        <v>0.35199999999999998</v>
      </c>
      <c r="Q3" s="358">
        <v>0.35199999999999998</v>
      </c>
      <c r="R3" s="358">
        <v>0.35199999999999998</v>
      </c>
      <c r="S3" s="358">
        <v>0.35199999999999998</v>
      </c>
      <c r="T3" s="358">
        <v>0.35199999999999998</v>
      </c>
      <c r="U3" s="358">
        <v>0.35199999999999998</v>
      </c>
      <c r="V3" s="358">
        <v>0.35199999999999998</v>
      </c>
      <c r="W3" s="358">
        <v>0.35199999999999998</v>
      </c>
      <c r="X3" s="358">
        <v>0.35199999999999998</v>
      </c>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row>
    <row r="4" spans="1:62" ht="40.5" customHeight="1">
      <c r="A4" s="422"/>
      <c r="B4" s="421"/>
      <c r="C4" s="423"/>
      <c r="D4" s="423"/>
      <c r="E4" s="422"/>
      <c r="F4" s="280" t="s">
        <v>171</v>
      </c>
      <c r="G4" s="280">
        <v>1986</v>
      </c>
      <c r="H4" s="281" t="s">
        <v>172</v>
      </c>
      <c r="I4" s="359">
        <v>0.21299999999999999</v>
      </c>
      <c r="J4" s="359">
        <v>0.22700000000000001</v>
      </c>
      <c r="K4" s="359">
        <v>0.22700000000000001</v>
      </c>
      <c r="L4" s="359">
        <v>0.217</v>
      </c>
      <c r="M4" s="359">
        <v>0.25600000000000001</v>
      </c>
      <c r="N4" s="359">
        <v>0.25600000000000001</v>
      </c>
      <c r="O4" s="359">
        <v>0.25600000000000001</v>
      </c>
      <c r="P4" s="359">
        <v>0.25600000000000001</v>
      </c>
      <c r="Q4" s="359">
        <v>0.25600000000000001</v>
      </c>
      <c r="R4" s="359">
        <v>0.25600000000000001</v>
      </c>
      <c r="S4" s="359">
        <v>0.23799999999999999</v>
      </c>
      <c r="T4" s="359">
        <v>0.23799999999999999</v>
      </c>
      <c r="U4" s="359">
        <v>0.23799999999999999</v>
      </c>
      <c r="V4" s="359">
        <v>0.20799999999999999</v>
      </c>
      <c r="W4" s="359">
        <v>0.20799999999999999</v>
      </c>
      <c r="X4" s="359">
        <v>0.21299999999999999</v>
      </c>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row>
    <row r="5" spans="1:62" ht="19.2" customHeight="1">
      <c r="A5" s="422"/>
      <c r="B5" s="421"/>
      <c r="C5" s="423"/>
      <c r="D5" s="423"/>
      <c r="E5" s="422"/>
      <c r="F5" s="282" t="s">
        <v>173</v>
      </c>
      <c r="G5" s="282">
        <v>2001</v>
      </c>
      <c r="H5" s="282" t="s">
        <v>174</v>
      </c>
      <c r="I5" s="360">
        <v>0.182</v>
      </c>
      <c r="J5" s="360">
        <v>0.182</v>
      </c>
      <c r="K5" s="360">
        <v>0.189</v>
      </c>
      <c r="L5" s="360">
        <v>0.189</v>
      </c>
      <c r="M5" s="360">
        <v>0.189</v>
      </c>
      <c r="N5" s="360">
        <v>0.189</v>
      </c>
      <c r="O5" s="360">
        <v>0.189</v>
      </c>
      <c r="P5" s="360">
        <v>0.189</v>
      </c>
      <c r="Q5" s="360">
        <v>0.189</v>
      </c>
      <c r="R5" s="360">
        <v>0.182</v>
      </c>
      <c r="S5" s="360">
        <v>0.182</v>
      </c>
      <c r="T5" s="360">
        <v>0.182</v>
      </c>
      <c r="U5" s="360">
        <v>0.182</v>
      </c>
      <c r="V5" s="360">
        <v>0.182</v>
      </c>
      <c r="W5" s="360">
        <v>0.182</v>
      </c>
      <c r="X5" s="360">
        <v>0.182</v>
      </c>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2" ht="19.2" customHeight="1">
      <c r="A6" s="422"/>
      <c r="B6" s="421"/>
      <c r="C6" s="423"/>
      <c r="D6" s="423"/>
      <c r="E6" s="422"/>
      <c r="F6" s="283" t="s">
        <v>175</v>
      </c>
      <c r="G6" s="283">
        <v>2013</v>
      </c>
      <c r="H6" s="283" t="s">
        <v>176</v>
      </c>
      <c r="I6" s="361">
        <v>9.8000000000000004E-2</v>
      </c>
      <c r="J6" s="361">
        <v>6.2E-2</v>
      </c>
      <c r="K6" s="361">
        <v>8.2000000000000003E-2</v>
      </c>
      <c r="L6" s="361">
        <v>6.2E-2</v>
      </c>
      <c r="M6" s="361">
        <v>6.2E-2</v>
      </c>
      <c r="N6" s="361">
        <v>9.8000000000000004E-2</v>
      </c>
      <c r="O6" s="361">
        <v>9.8000000000000004E-2</v>
      </c>
      <c r="P6" s="361">
        <v>6.2E-2</v>
      </c>
      <c r="Q6" s="361">
        <v>6.2E-2</v>
      </c>
      <c r="R6" s="361">
        <v>6.2E-2</v>
      </c>
      <c r="S6" s="361">
        <v>6.2E-2</v>
      </c>
      <c r="T6" s="361">
        <v>6.2E-2</v>
      </c>
      <c r="U6" s="361">
        <v>6.2E-2</v>
      </c>
      <c r="V6" s="361">
        <v>6.2E-2</v>
      </c>
      <c r="W6" s="361">
        <v>6.2E-2</v>
      </c>
      <c r="X6" s="361">
        <v>6.2E-2</v>
      </c>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row>
    <row r="7" spans="1:62" ht="19.2" customHeight="1">
      <c r="A7" s="422"/>
      <c r="B7" s="421"/>
      <c r="C7" s="423"/>
      <c r="D7" s="423"/>
      <c r="E7" s="422"/>
      <c r="F7" s="284" t="s">
        <v>178</v>
      </c>
      <c r="G7" s="285">
        <v>2025</v>
      </c>
      <c r="H7" s="285" t="s">
        <v>176</v>
      </c>
      <c r="I7" s="285">
        <v>0.06</v>
      </c>
      <c r="J7" s="285">
        <v>5.5E-2</v>
      </c>
      <c r="K7" s="285">
        <v>7.0999999999999994E-2</v>
      </c>
      <c r="L7" s="285">
        <v>5.5E-2</v>
      </c>
      <c r="M7" s="285">
        <v>5.5E-2</v>
      </c>
      <c r="N7" s="285">
        <v>0.06</v>
      </c>
      <c r="O7" s="285">
        <v>0.06</v>
      </c>
      <c r="P7" s="285">
        <v>5.5E-2</v>
      </c>
      <c r="Q7" s="285">
        <v>5.5E-2</v>
      </c>
      <c r="R7" s="285">
        <v>5.5E-2</v>
      </c>
      <c r="S7" s="285">
        <v>5.5E-2</v>
      </c>
      <c r="T7" s="285">
        <v>5.5E-2</v>
      </c>
      <c r="U7" s="285">
        <v>5.5E-2</v>
      </c>
      <c r="V7" s="285">
        <v>5.5E-2</v>
      </c>
      <c r="W7" s="362">
        <v>5.5E-2</v>
      </c>
      <c r="X7" s="362">
        <v>5.5E-2</v>
      </c>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2" ht="19.2" customHeight="1">
      <c r="A8" s="422" t="s">
        <v>179</v>
      </c>
      <c r="B8" s="421" t="str">
        <f t="shared" ref="B8" si="0">$B$3</f>
        <v>Assembly</v>
      </c>
      <c r="C8" s="421" t="s">
        <v>180</v>
      </c>
      <c r="D8" s="430" t="s">
        <v>181</v>
      </c>
      <c r="E8" s="422" t="s">
        <v>167</v>
      </c>
      <c r="F8" s="296" t="s">
        <v>168</v>
      </c>
      <c r="G8" s="296" t="s">
        <v>169</v>
      </c>
      <c r="H8" s="421" t="s">
        <v>182</v>
      </c>
      <c r="I8" s="358">
        <v>5.7000000000000002E-2</v>
      </c>
      <c r="J8" s="358">
        <v>5.7000000000000002E-2</v>
      </c>
      <c r="K8" s="358">
        <v>5.7000000000000002E-2</v>
      </c>
      <c r="L8" s="358">
        <v>5.7000000000000002E-2</v>
      </c>
      <c r="M8" s="358">
        <v>5.7000000000000002E-2</v>
      </c>
      <c r="N8" s="358">
        <v>7.8E-2</v>
      </c>
      <c r="O8" s="358">
        <v>7.8E-2</v>
      </c>
      <c r="P8" s="358">
        <v>7.8E-2</v>
      </c>
      <c r="Q8" s="358">
        <v>7.8E-2</v>
      </c>
      <c r="R8" s="358">
        <v>7.8E-2</v>
      </c>
      <c r="S8" s="358">
        <v>5.7000000000000002E-2</v>
      </c>
      <c r="T8" s="358">
        <v>5.7000000000000002E-2</v>
      </c>
      <c r="U8" s="358">
        <v>5.7000000000000002E-2</v>
      </c>
      <c r="V8" s="358">
        <v>5.7000000000000002E-2</v>
      </c>
      <c r="W8" s="358">
        <v>5.7000000000000002E-2</v>
      </c>
      <c r="X8" s="358">
        <v>5.7000000000000002E-2</v>
      </c>
      <c r="Y8" s="96"/>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row>
    <row r="9" spans="1:62" ht="19.2" customHeight="1">
      <c r="A9" s="422"/>
      <c r="B9" s="421"/>
      <c r="C9" s="421"/>
      <c r="D9" s="430"/>
      <c r="E9" s="422"/>
      <c r="F9" s="280" t="s">
        <v>171</v>
      </c>
      <c r="G9" s="280">
        <v>1992</v>
      </c>
      <c r="H9" s="421"/>
      <c r="I9" s="359">
        <v>5.7000000000000002E-2</v>
      </c>
      <c r="J9" s="359">
        <v>5.7000000000000002E-2</v>
      </c>
      <c r="K9" s="359">
        <v>5.7000000000000002E-2</v>
      </c>
      <c r="L9" s="359">
        <v>5.7000000000000002E-2</v>
      </c>
      <c r="M9" s="359">
        <v>5.7000000000000002E-2</v>
      </c>
      <c r="N9" s="359">
        <v>7.8E-2</v>
      </c>
      <c r="O9" s="359">
        <v>7.8E-2</v>
      </c>
      <c r="P9" s="359">
        <v>7.8E-2</v>
      </c>
      <c r="Q9" s="359">
        <v>7.8E-2</v>
      </c>
      <c r="R9" s="359">
        <v>7.8E-2</v>
      </c>
      <c r="S9" s="359">
        <v>5.7000000000000002E-2</v>
      </c>
      <c r="T9" s="359">
        <v>5.7000000000000002E-2</v>
      </c>
      <c r="U9" s="359">
        <v>5.7000000000000002E-2</v>
      </c>
      <c r="V9" s="359">
        <v>5.7000000000000002E-2</v>
      </c>
      <c r="W9" s="359">
        <v>5.7000000000000002E-2</v>
      </c>
      <c r="X9" s="359">
        <v>5.7000000000000002E-2</v>
      </c>
      <c r="Y9" s="96"/>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row>
    <row r="10" spans="1:62" ht="19.2" customHeight="1">
      <c r="A10" s="422"/>
      <c r="B10" s="421"/>
      <c r="C10" s="421"/>
      <c r="D10" s="430"/>
      <c r="E10" s="422"/>
      <c r="F10" s="282" t="s">
        <v>173</v>
      </c>
      <c r="G10" s="282">
        <v>2001</v>
      </c>
      <c r="H10" s="282" t="s">
        <v>174</v>
      </c>
      <c r="I10" s="360">
        <v>5.7000000000000002E-2</v>
      </c>
      <c r="J10" s="360">
        <v>5.7000000000000002E-2</v>
      </c>
      <c r="K10" s="360">
        <v>5.7000000000000002E-2</v>
      </c>
      <c r="L10" s="360">
        <v>5.7000000000000002E-2</v>
      </c>
      <c r="M10" s="360">
        <v>5.7000000000000002E-2</v>
      </c>
      <c r="N10" s="360">
        <v>7.8E-2</v>
      </c>
      <c r="O10" s="360">
        <v>7.8E-2</v>
      </c>
      <c r="P10" s="360">
        <v>7.8E-2</v>
      </c>
      <c r="Q10" s="360">
        <v>7.8E-2</v>
      </c>
      <c r="R10" s="360">
        <v>5.7000000000000002E-2</v>
      </c>
      <c r="S10" s="360">
        <v>5.7000000000000002E-2</v>
      </c>
      <c r="T10" s="360">
        <v>5.7000000000000002E-2</v>
      </c>
      <c r="U10" s="360">
        <v>5.7000000000000002E-2</v>
      </c>
      <c r="V10" s="360">
        <v>5.7000000000000002E-2</v>
      </c>
      <c r="W10" s="360">
        <v>5.7000000000000002E-2</v>
      </c>
      <c r="X10" s="360">
        <v>5.7000000000000002E-2</v>
      </c>
      <c r="Y10" s="96"/>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row>
    <row r="11" spans="1:62" ht="19.2" customHeight="1">
      <c r="A11" s="422"/>
      <c r="B11" s="421"/>
      <c r="C11" s="421"/>
      <c r="D11" s="430"/>
      <c r="E11" s="422"/>
      <c r="F11" s="283" t="s">
        <v>175</v>
      </c>
      <c r="G11" s="283">
        <v>2013</v>
      </c>
      <c r="H11" s="283" t="s">
        <v>176</v>
      </c>
      <c r="I11" s="361">
        <v>4.9000000000000002E-2</v>
      </c>
      <c r="J11" s="361">
        <v>3.9E-2</v>
      </c>
      <c r="K11" s="361">
        <v>3.9E-2</v>
      </c>
      <c r="L11" s="361">
        <v>3.9E-2</v>
      </c>
      <c r="M11" s="361">
        <v>4.9000000000000002E-2</v>
      </c>
      <c r="N11" s="361">
        <v>7.4999999999999997E-2</v>
      </c>
      <c r="O11" s="361">
        <v>6.7000000000000004E-2</v>
      </c>
      <c r="P11" s="361">
        <v>6.7000000000000004E-2</v>
      </c>
      <c r="Q11" s="361">
        <v>3.9E-2</v>
      </c>
      <c r="R11" s="361">
        <v>3.9E-2</v>
      </c>
      <c r="S11" s="361">
        <v>3.9E-2</v>
      </c>
      <c r="T11" s="361">
        <v>3.9E-2</v>
      </c>
      <c r="U11" s="361">
        <v>3.9E-2</v>
      </c>
      <c r="V11" s="361">
        <v>3.9E-2</v>
      </c>
      <c r="W11" s="361">
        <v>3.9E-2</v>
      </c>
      <c r="X11" s="361">
        <v>3.9E-2</v>
      </c>
      <c r="Y11" s="96"/>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2" ht="19.2" customHeight="1">
      <c r="A12" s="422"/>
      <c r="B12" s="421"/>
      <c r="C12" s="421"/>
      <c r="D12" s="430"/>
      <c r="E12" s="422"/>
      <c r="F12" s="284" t="s">
        <v>178</v>
      </c>
      <c r="G12" s="285">
        <v>2025</v>
      </c>
      <c r="H12" s="285" t="s">
        <v>176</v>
      </c>
      <c r="I12" s="285">
        <v>3.7999999999999999E-2</v>
      </c>
      <c r="J12" s="285">
        <v>3.7999999999999999E-2</v>
      </c>
      <c r="K12" s="285">
        <v>3.7999999999999999E-2</v>
      </c>
      <c r="L12" s="285">
        <v>3.7999999999999999E-2</v>
      </c>
      <c r="M12" s="285">
        <v>3.7999999999999999E-2</v>
      </c>
      <c r="N12" s="285">
        <v>3.7999999999999999E-2</v>
      </c>
      <c r="O12" s="285">
        <v>3.7999999999999999E-2</v>
      </c>
      <c r="P12" s="285">
        <v>3.7999999999999999E-2</v>
      </c>
      <c r="Q12" s="285">
        <v>3.7999999999999999E-2</v>
      </c>
      <c r="R12" s="285">
        <v>3.7999999999999999E-2</v>
      </c>
      <c r="S12" s="285">
        <v>3.7999999999999999E-2</v>
      </c>
      <c r="T12" s="285">
        <v>3.7999999999999999E-2</v>
      </c>
      <c r="U12" s="285">
        <v>3.7999999999999999E-2</v>
      </c>
      <c r="V12" s="285">
        <v>3.7999999999999999E-2</v>
      </c>
      <c r="W12" s="285">
        <v>3.7999999999999999E-2</v>
      </c>
      <c r="X12" s="285">
        <v>3.7999999999999999E-2</v>
      </c>
      <c r="Y12" s="96"/>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row>
    <row r="13" spans="1:62" ht="19.2" customHeight="1">
      <c r="A13" s="422" t="s">
        <v>183</v>
      </c>
      <c r="B13" s="421" t="str">
        <f t="shared" ref="B13" si="1">$B$3</f>
        <v>Assembly</v>
      </c>
      <c r="C13" s="422" t="s">
        <v>184</v>
      </c>
      <c r="D13" s="421" t="s">
        <v>185</v>
      </c>
      <c r="E13" s="422" t="s">
        <v>167</v>
      </c>
      <c r="F13" s="296" t="s">
        <v>168</v>
      </c>
      <c r="G13" s="296" t="s">
        <v>169</v>
      </c>
      <c r="H13" s="421" t="s">
        <v>186</v>
      </c>
      <c r="I13" s="286">
        <f>0.33*1.12+0.67*0.36</f>
        <v>0.61080000000000001</v>
      </c>
      <c r="J13" s="286">
        <f t="shared" ref="J13:X14" si="2">0.33*1.12+0.67*0.36</f>
        <v>0.61080000000000001</v>
      </c>
      <c r="K13" s="286">
        <f t="shared" si="2"/>
        <v>0.61080000000000001</v>
      </c>
      <c r="L13" s="286">
        <f t="shared" si="2"/>
        <v>0.61080000000000001</v>
      </c>
      <c r="M13" s="286">
        <f t="shared" si="2"/>
        <v>0.61080000000000001</v>
      </c>
      <c r="N13" s="286">
        <f t="shared" si="2"/>
        <v>0.61080000000000001</v>
      </c>
      <c r="O13" s="286">
        <f t="shared" si="2"/>
        <v>0.61080000000000001</v>
      </c>
      <c r="P13" s="286">
        <f t="shared" si="2"/>
        <v>0.61080000000000001</v>
      </c>
      <c r="Q13" s="286">
        <f t="shared" si="2"/>
        <v>0.61080000000000001</v>
      </c>
      <c r="R13" s="286">
        <f t="shared" si="2"/>
        <v>0.61080000000000001</v>
      </c>
      <c r="S13" s="286">
        <f t="shared" si="2"/>
        <v>0.61080000000000001</v>
      </c>
      <c r="T13" s="286">
        <f t="shared" si="2"/>
        <v>0.61080000000000001</v>
      </c>
      <c r="U13" s="286">
        <f t="shared" si="2"/>
        <v>0.61080000000000001</v>
      </c>
      <c r="V13" s="286">
        <f t="shared" si="2"/>
        <v>0.61080000000000001</v>
      </c>
      <c r="W13" s="286">
        <f t="shared" si="2"/>
        <v>0.61080000000000001</v>
      </c>
      <c r="X13" s="286">
        <f t="shared" si="2"/>
        <v>0.61080000000000001</v>
      </c>
      <c r="Y13" s="96"/>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row>
    <row r="14" spans="1:62" ht="19.2" customHeight="1">
      <c r="A14" s="422"/>
      <c r="B14" s="421"/>
      <c r="C14" s="422"/>
      <c r="D14" s="421"/>
      <c r="E14" s="422"/>
      <c r="F14" s="280" t="s">
        <v>171</v>
      </c>
      <c r="G14" s="280" t="s">
        <v>169</v>
      </c>
      <c r="H14" s="421"/>
      <c r="I14" s="287">
        <f>0.33*1.12+0.67*0.36</f>
        <v>0.61080000000000001</v>
      </c>
      <c r="J14" s="287">
        <f t="shared" si="2"/>
        <v>0.61080000000000001</v>
      </c>
      <c r="K14" s="287">
        <f t="shared" si="2"/>
        <v>0.61080000000000001</v>
      </c>
      <c r="L14" s="287">
        <f t="shared" si="2"/>
        <v>0.61080000000000001</v>
      </c>
      <c r="M14" s="287">
        <f t="shared" si="2"/>
        <v>0.61080000000000001</v>
      </c>
      <c r="N14" s="287">
        <f t="shared" si="2"/>
        <v>0.61080000000000001</v>
      </c>
      <c r="O14" s="287">
        <f t="shared" si="2"/>
        <v>0.61080000000000001</v>
      </c>
      <c r="P14" s="287">
        <f t="shared" si="2"/>
        <v>0.61080000000000001</v>
      </c>
      <c r="Q14" s="287">
        <f t="shared" si="2"/>
        <v>0.61080000000000001</v>
      </c>
      <c r="R14" s="287">
        <f t="shared" si="2"/>
        <v>0.61080000000000001</v>
      </c>
      <c r="S14" s="287">
        <f t="shared" si="2"/>
        <v>0.61080000000000001</v>
      </c>
      <c r="T14" s="287">
        <f t="shared" si="2"/>
        <v>0.61080000000000001</v>
      </c>
      <c r="U14" s="287">
        <f t="shared" si="2"/>
        <v>0.61080000000000001</v>
      </c>
      <c r="V14" s="287">
        <f t="shared" si="2"/>
        <v>0.61080000000000001</v>
      </c>
      <c r="W14" s="287">
        <f t="shared" si="2"/>
        <v>0.61080000000000001</v>
      </c>
      <c r="X14" s="287">
        <f t="shared" si="2"/>
        <v>0.61080000000000001</v>
      </c>
      <c r="Y14" s="96"/>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row>
    <row r="15" spans="1:62" ht="19.2" customHeight="1">
      <c r="A15" s="422"/>
      <c r="B15" s="421"/>
      <c r="C15" s="422"/>
      <c r="D15" s="422" t="s">
        <v>187</v>
      </c>
      <c r="E15" s="422"/>
      <c r="F15" s="282" t="s">
        <v>173</v>
      </c>
      <c r="G15" s="282">
        <v>2001</v>
      </c>
      <c r="H15" s="282" t="s">
        <v>174</v>
      </c>
      <c r="I15" s="282">
        <v>0.49</v>
      </c>
      <c r="J15" s="282">
        <v>0.49</v>
      </c>
      <c r="K15" s="282">
        <v>0.81</v>
      </c>
      <c r="L15" s="282">
        <v>0.81</v>
      </c>
      <c r="M15" s="282">
        <v>0.81</v>
      </c>
      <c r="N15" s="282">
        <v>0.81</v>
      </c>
      <c r="O15" s="282">
        <v>0.81</v>
      </c>
      <c r="P15" s="282">
        <v>0.81</v>
      </c>
      <c r="Q15" s="282">
        <v>0.81</v>
      </c>
      <c r="R15" s="282">
        <v>0.49</v>
      </c>
      <c r="S15" s="282">
        <v>0.49</v>
      </c>
      <c r="T15" s="282">
        <v>0.49</v>
      </c>
      <c r="U15" s="282">
        <v>0.49</v>
      </c>
      <c r="V15" s="282">
        <v>0.49</v>
      </c>
      <c r="W15" s="282">
        <v>0.49</v>
      </c>
      <c r="X15" s="282">
        <v>0.49</v>
      </c>
      <c r="Y15" s="96"/>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row>
    <row r="16" spans="1:62" ht="19.2" customHeight="1">
      <c r="A16" s="422"/>
      <c r="B16" s="421"/>
      <c r="C16" s="422"/>
      <c r="D16" s="422"/>
      <c r="E16" s="422"/>
      <c r="F16" s="283" t="s">
        <v>175</v>
      </c>
      <c r="G16" s="283">
        <v>2013</v>
      </c>
      <c r="H16" s="283" t="s">
        <v>176</v>
      </c>
      <c r="I16" s="283">
        <v>0.36</v>
      </c>
      <c r="J16" s="283">
        <v>0.36</v>
      </c>
      <c r="K16" s="283">
        <v>0.36</v>
      </c>
      <c r="L16" s="283">
        <v>0.36</v>
      </c>
      <c r="M16" s="283">
        <v>0.36</v>
      </c>
      <c r="N16" s="283">
        <v>0.36</v>
      </c>
      <c r="O16" s="283">
        <v>0.36</v>
      </c>
      <c r="P16" s="283">
        <v>0.36</v>
      </c>
      <c r="Q16" s="283">
        <v>0.36</v>
      </c>
      <c r="R16" s="283">
        <v>0.36</v>
      </c>
      <c r="S16" s="283">
        <v>0.36</v>
      </c>
      <c r="T16" s="283">
        <v>0.36</v>
      </c>
      <c r="U16" s="283">
        <v>0.36</v>
      </c>
      <c r="V16" s="283">
        <v>0.36</v>
      </c>
      <c r="W16" s="283">
        <v>0.36</v>
      </c>
      <c r="X16" s="283">
        <v>0.36</v>
      </c>
      <c r="Y16" s="96"/>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row>
    <row r="17" spans="1:62" ht="19.2" customHeight="1">
      <c r="A17" s="422"/>
      <c r="B17" s="421"/>
      <c r="C17" s="422"/>
      <c r="D17" s="422"/>
      <c r="E17" s="422"/>
      <c r="F17" s="284" t="s">
        <v>178</v>
      </c>
      <c r="G17" s="285">
        <v>2025</v>
      </c>
      <c r="H17" s="285" t="s">
        <v>176</v>
      </c>
      <c r="I17" s="285">
        <v>0.36</v>
      </c>
      <c r="J17" s="285">
        <v>0.36</v>
      </c>
      <c r="K17" s="285">
        <v>0.36</v>
      </c>
      <c r="L17" s="285">
        <v>0.36</v>
      </c>
      <c r="M17" s="285">
        <v>0.36</v>
      </c>
      <c r="N17" s="285">
        <v>0.36</v>
      </c>
      <c r="O17" s="285">
        <v>0.36</v>
      </c>
      <c r="P17" s="285">
        <v>0.36</v>
      </c>
      <c r="Q17" s="285">
        <v>0.34</v>
      </c>
      <c r="R17" s="285">
        <v>0.36</v>
      </c>
      <c r="S17" s="285">
        <v>0.34</v>
      </c>
      <c r="T17" s="285">
        <v>0.34</v>
      </c>
      <c r="U17" s="285">
        <v>0.34</v>
      </c>
      <c r="V17" s="285">
        <v>0.34</v>
      </c>
      <c r="W17" s="285">
        <v>0.34</v>
      </c>
      <c r="X17" s="285">
        <v>0.36</v>
      </c>
      <c r="Y17" s="96"/>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row>
    <row r="18" spans="1:62" ht="19.2" customHeight="1">
      <c r="A18" s="422"/>
      <c r="B18" s="421" t="str">
        <f t="shared" ref="B18" si="3">$B$3</f>
        <v>Assembly</v>
      </c>
      <c r="C18" s="422" t="s">
        <v>184</v>
      </c>
      <c r="D18" s="421" t="s">
        <v>185</v>
      </c>
      <c r="E18" s="422" t="s">
        <v>188</v>
      </c>
      <c r="F18" s="296" t="s">
        <v>168</v>
      </c>
      <c r="G18" s="296" t="s">
        <v>169</v>
      </c>
      <c r="H18" s="421" t="s">
        <v>189</v>
      </c>
      <c r="I18" s="286">
        <f>0.79*0.33+0.67*I21</f>
        <v>0.42820000000000003</v>
      </c>
      <c r="J18" s="286">
        <f t="shared" ref="J18:X18" si="4">0.79*0.33+0.67*J21</f>
        <v>0.42820000000000003</v>
      </c>
      <c r="K18" s="286">
        <f t="shared" si="4"/>
        <v>0.42820000000000003</v>
      </c>
      <c r="L18" s="286">
        <f t="shared" si="4"/>
        <v>0.42820000000000003</v>
      </c>
      <c r="M18" s="286">
        <f t="shared" si="4"/>
        <v>0.42820000000000003</v>
      </c>
      <c r="N18" s="286">
        <f t="shared" si="4"/>
        <v>0.42820000000000003</v>
      </c>
      <c r="O18" s="286">
        <f t="shared" si="4"/>
        <v>0.42820000000000003</v>
      </c>
      <c r="P18" s="286">
        <f t="shared" si="4"/>
        <v>0.42820000000000003</v>
      </c>
      <c r="Q18" s="286">
        <f t="shared" si="4"/>
        <v>0.42820000000000003</v>
      </c>
      <c r="R18" s="286">
        <f t="shared" si="4"/>
        <v>0.42820000000000003</v>
      </c>
      <c r="S18" s="286">
        <f t="shared" si="4"/>
        <v>0.42820000000000003</v>
      </c>
      <c r="T18" s="286">
        <f t="shared" si="4"/>
        <v>0.42820000000000003</v>
      </c>
      <c r="U18" s="286">
        <f t="shared" si="4"/>
        <v>0.42820000000000003</v>
      </c>
      <c r="V18" s="286">
        <f t="shared" si="4"/>
        <v>0.42820000000000003</v>
      </c>
      <c r="W18" s="286">
        <f t="shared" si="4"/>
        <v>0.42820000000000003</v>
      </c>
      <c r="X18" s="286">
        <f t="shared" si="4"/>
        <v>0.42820000000000003</v>
      </c>
      <c r="Y18" s="96"/>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row>
    <row r="19" spans="1:62" ht="19.2" customHeight="1">
      <c r="A19" s="422"/>
      <c r="B19" s="421"/>
      <c r="C19" s="422"/>
      <c r="D19" s="421"/>
      <c r="E19" s="422"/>
      <c r="F19" s="280" t="s">
        <v>171</v>
      </c>
      <c r="G19" s="280" t="s">
        <v>169</v>
      </c>
      <c r="H19" s="421"/>
      <c r="I19" s="287">
        <f>0.79*0.33+0.67*I21</f>
        <v>0.42820000000000003</v>
      </c>
      <c r="J19" s="287">
        <f t="shared" ref="J19:X19" si="5">0.79*0.33+0.67*J21</f>
        <v>0.42820000000000003</v>
      </c>
      <c r="K19" s="287">
        <f t="shared" si="5"/>
        <v>0.42820000000000003</v>
      </c>
      <c r="L19" s="287">
        <f t="shared" si="5"/>
        <v>0.42820000000000003</v>
      </c>
      <c r="M19" s="287">
        <f t="shared" si="5"/>
        <v>0.42820000000000003</v>
      </c>
      <c r="N19" s="287">
        <f t="shared" si="5"/>
        <v>0.42820000000000003</v>
      </c>
      <c r="O19" s="287">
        <f t="shared" si="5"/>
        <v>0.42820000000000003</v>
      </c>
      <c r="P19" s="287">
        <f t="shared" si="5"/>
        <v>0.42820000000000003</v>
      </c>
      <c r="Q19" s="287">
        <f t="shared" si="5"/>
        <v>0.42820000000000003</v>
      </c>
      <c r="R19" s="287">
        <f t="shared" si="5"/>
        <v>0.42820000000000003</v>
      </c>
      <c r="S19" s="287">
        <f t="shared" si="5"/>
        <v>0.42820000000000003</v>
      </c>
      <c r="T19" s="287">
        <f t="shared" si="5"/>
        <v>0.42820000000000003</v>
      </c>
      <c r="U19" s="287">
        <f t="shared" si="5"/>
        <v>0.42820000000000003</v>
      </c>
      <c r="V19" s="287">
        <f t="shared" si="5"/>
        <v>0.42820000000000003</v>
      </c>
      <c r="W19" s="287">
        <f t="shared" si="5"/>
        <v>0.42820000000000003</v>
      </c>
      <c r="X19" s="287">
        <f t="shared" si="5"/>
        <v>0.42820000000000003</v>
      </c>
      <c r="Y19" s="96"/>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row>
    <row r="20" spans="1:62" ht="19.2" customHeight="1">
      <c r="A20" s="422"/>
      <c r="B20" s="421"/>
      <c r="C20" s="422"/>
      <c r="D20" s="422" t="s">
        <v>187</v>
      </c>
      <c r="E20" s="422"/>
      <c r="F20" s="282" t="s">
        <v>173</v>
      </c>
      <c r="G20" s="282">
        <v>2001</v>
      </c>
      <c r="H20" s="288" t="s">
        <v>190</v>
      </c>
      <c r="I20" s="282">
        <v>0.43</v>
      </c>
      <c r="J20" s="282">
        <v>0.36</v>
      </c>
      <c r="K20" s="282">
        <v>0.41</v>
      </c>
      <c r="L20" s="282">
        <v>0.41</v>
      </c>
      <c r="M20" s="282">
        <v>0.41</v>
      </c>
      <c r="N20" s="282">
        <v>0.34</v>
      </c>
      <c r="O20" s="282">
        <v>0.34</v>
      </c>
      <c r="P20" s="282">
        <v>0.34</v>
      </c>
      <c r="Q20" s="282">
        <v>0.34</v>
      </c>
      <c r="R20" s="282">
        <v>0.31</v>
      </c>
      <c r="S20" s="282">
        <v>0.31</v>
      </c>
      <c r="T20" s="282">
        <v>0.31</v>
      </c>
      <c r="U20" s="282">
        <v>0.31</v>
      </c>
      <c r="V20" s="282">
        <v>0.31</v>
      </c>
      <c r="W20" s="282">
        <v>0.31</v>
      </c>
      <c r="X20" s="282">
        <v>0.43</v>
      </c>
      <c r="Y20" s="96"/>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row>
    <row r="21" spans="1:62" ht="19.2" customHeight="1">
      <c r="A21" s="422"/>
      <c r="B21" s="421"/>
      <c r="C21" s="422"/>
      <c r="D21" s="422"/>
      <c r="E21" s="422"/>
      <c r="F21" s="283" t="s">
        <v>175</v>
      </c>
      <c r="G21" s="283">
        <v>2013</v>
      </c>
      <c r="H21" s="283" t="s">
        <v>176</v>
      </c>
      <c r="I21" s="283">
        <v>0.25</v>
      </c>
      <c r="J21" s="283">
        <v>0.25</v>
      </c>
      <c r="K21" s="283">
        <v>0.25</v>
      </c>
      <c r="L21" s="283">
        <v>0.25</v>
      </c>
      <c r="M21" s="283">
        <v>0.25</v>
      </c>
      <c r="N21" s="283">
        <v>0.25</v>
      </c>
      <c r="O21" s="283">
        <v>0.25</v>
      </c>
      <c r="P21" s="283">
        <v>0.25</v>
      </c>
      <c r="Q21" s="283">
        <v>0.25</v>
      </c>
      <c r="R21" s="283">
        <v>0.25</v>
      </c>
      <c r="S21" s="283">
        <v>0.25</v>
      </c>
      <c r="T21" s="283">
        <v>0.25</v>
      </c>
      <c r="U21" s="283">
        <v>0.25</v>
      </c>
      <c r="V21" s="283">
        <v>0.25</v>
      </c>
      <c r="W21" s="283">
        <v>0.25</v>
      </c>
      <c r="X21" s="283">
        <v>0.25</v>
      </c>
      <c r="Y21" s="96"/>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row>
    <row r="22" spans="1:62" ht="19.2" customHeight="1">
      <c r="A22" s="422"/>
      <c r="B22" s="421"/>
      <c r="C22" s="422"/>
      <c r="D22" s="422"/>
      <c r="E22" s="422"/>
      <c r="F22" s="284" t="s">
        <v>178</v>
      </c>
      <c r="G22" s="285">
        <v>2025</v>
      </c>
      <c r="H22" s="284" t="s">
        <v>176</v>
      </c>
      <c r="I22" s="285">
        <v>0.25</v>
      </c>
      <c r="J22" s="285">
        <v>0.25</v>
      </c>
      <c r="K22" s="285">
        <v>0.25</v>
      </c>
      <c r="L22" s="285">
        <v>0.25</v>
      </c>
      <c r="M22" s="285">
        <v>0.25</v>
      </c>
      <c r="N22" s="285">
        <v>0.25</v>
      </c>
      <c r="O22" s="285">
        <v>0.25</v>
      </c>
      <c r="P22" s="285">
        <v>0.25</v>
      </c>
      <c r="Q22" s="285">
        <v>0.22</v>
      </c>
      <c r="R22" s="285">
        <v>0.25</v>
      </c>
      <c r="S22" s="285">
        <v>0.22</v>
      </c>
      <c r="T22" s="285">
        <v>0.22</v>
      </c>
      <c r="U22" s="285">
        <v>0.22</v>
      </c>
      <c r="V22" s="285">
        <v>0.22</v>
      </c>
      <c r="W22" s="285">
        <v>0.22</v>
      </c>
      <c r="X22" s="285">
        <v>0.25</v>
      </c>
      <c r="Y22" s="96"/>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row>
    <row r="23" spans="1:62">
      <c r="A23" s="6"/>
      <c r="B23" s="12"/>
      <c r="C23" s="6"/>
      <c r="D23" s="6"/>
      <c r="E23" s="97"/>
      <c r="F23" s="97"/>
      <c r="G23" s="98"/>
      <c r="H23" s="97"/>
      <c r="I23" s="97"/>
      <c r="J23" s="97"/>
      <c r="K23" s="97"/>
      <c r="L23" s="97"/>
      <c r="M23" s="97"/>
      <c r="N23" s="97"/>
      <c r="O23" s="97"/>
      <c r="P23" s="97"/>
      <c r="Q23" s="97"/>
      <c r="R23" s="97"/>
      <c r="S23" s="97"/>
      <c r="T23" s="97"/>
      <c r="U23" s="97"/>
      <c r="V23" s="97"/>
      <c r="W23" s="97"/>
      <c r="X23" s="97"/>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row>
    <row r="24" spans="1:62" ht="15.6">
      <c r="A24" s="6"/>
      <c r="B24" s="12"/>
      <c r="C24" s="6"/>
      <c r="D24" s="6"/>
      <c r="E24" s="70"/>
      <c r="F24" s="70"/>
      <c r="G24" s="70"/>
      <c r="H24" s="70"/>
      <c r="I24" s="70"/>
      <c r="J24" s="70"/>
      <c r="K24" s="70"/>
      <c r="L24" s="70"/>
      <c r="M24" s="71"/>
      <c r="N24" s="71"/>
      <c r="O24" s="71"/>
      <c r="P24" s="71"/>
      <c r="Q24" s="71"/>
      <c r="R24" s="71"/>
      <c r="S24" s="71"/>
      <c r="T24" s="71"/>
      <c r="U24" s="71"/>
      <c r="V24" s="71"/>
      <c r="W24" s="71"/>
      <c r="X24" s="71"/>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row>
    <row r="25" spans="1:62" ht="44.4" customHeight="1">
      <c r="A25" s="4"/>
      <c r="B25" s="151"/>
      <c r="C25" s="404" t="s">
        <v>191</v>
      </c>
      <c r="D25" s="404"/>
      <c r="E25" s="404"/>
      <c r="F25" s="404"/>
      <c r="G25" s="404"/>
      <c r="H25" s="404"/>
      <c r="I25" s="404"/>
      <c r="J25" s="404"/>
      <c r="K25" s="404"/>
      <c r="L25" s="404"/>
      <c r="M25" s="404"/>
      <c r="N25" s="404"/>
      <c r="O25" s="404"/>
      <c r="P25" s="404"/>
      <c r="Q25" s="404"/>
      <c r="R25" s="404"/>
      <c r="S25" s="404"/>
      <c r="T25" s="404"/>
      <c r="U25" s="404"/>
      <c r="V25" s="404"/>
      <c r="W25" s="404"/>
      <c r="X25" s="404"/>
      <c r="Y25" s="70"/>
      <c r="Z25" s="70"/>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row>
    <row r="26" spans="1:62" ht="63" customHeight="1">
      <c r="A26" s="4"/>
      <c r="B26" s="151"/>
      <c r="C26" s="363"/>
      <c r="D26" s="363" t="s">
        <v>77</v>
      </c>
      <c r="E26" s="363" t="s">
        <v>192</v>
      </c>
      <c r="F26" s="305" t="s">
        <v>146</v>
      </c>
      <c r="G26" s="298" t="s">
        <v>193</v>
      </c>
      <c r="H26" s="298" t="s">
        <v>194</v>
      </c>
      <c r="I26" s="428" t="s">
        <v>195</v>
      </c>
      <c r="J26" s="428"/>
      <c r="K26" s="428"/>
      <c r="L26" s="428"/>
      <c r="M26" s="428"/>
      <c r="N26" s="428"/>
      <c r="O26" s="428"/>
      <c r="P26" s="428"/>
      <c r="Q26" s="428"/>
      <c r="R26" s="428"/>
      <c r="S26" s="428"/>
      <c r="T26" s="428"/>
      <c r="U26" s="428"/>
      <c r="V26" s="428"/>
      <c r="W26" s="428"/>
      <c r="X26" s="428"/>
      <c r="Y26" s="119"/>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row>
    <row r="27" spans="1:62" ht="18.600000000000001" customHeight="1">
      <c r="A27" s="4"/>
      <c r="B27" s="151"/>
      <c r="C27" s="425" t="s">
        <v>191</v>
      </c>
      <c r="D27" s="425" t="s">
        <v>46</v>
      </c>
      <c r="E27" s="425"/>
      <c r="F27" s="303" t="s">
        <v>168</v>
      </c>
      <c r="G27" s="295">
        <v>1.1000000000000001</v>
      </c>
      <c r="H27" s="115" t="s">
        <v>196</v>
      </c>
      <c r="I27" s="429">
        <v>0.31019999999999998</v>
      </c>
      <c r="J27" s="429"/>
      <c r="K27" s="429"/>
      <c r="L27" s="429"/>
      <c r="M27" s="429"/>
      <c r="N27" s="429"/>
      <c r="O27" s="429"/>
      <c r="P27" s="429"/>
      <c r="Q27" s="429"/>
      <c r="R27" s="429"/>
      <c r="S27" s="429"/>
      <c r="T27" s="429"/>
      <c r="U27" s="429"/>
      <c r="V27" s="429"/>
      <c r="W27" s="429"/>
      <c r="X27" s="429"/>
      <c r="Y27" s="10"/>
      <c r="Z27" s="4"/>
      <c r="AA27" s="424"/>
      <c r="AB27" s="424"/>
      <c r="AC27" s="424"/>
      <c r="AD27" s="424"/>
      <c r="AE27" s="424"/>
      <c r="AF27" s="424"/>
      <c r="AG27" s="424"/>
      <c r="AH27" s="424"/>
      <c r="AI27" s="424"/>
      <c r="AJ27" s="424"/>
      <c r="AK27" s="424"/>
      <c r="AL27" s="424"/>
      <c r="AM27" s="424"/>
      <c r="AN27" s="424"/>
      <c r="AO27" s="424"/>
      <c r="AP27" s="424"/>
      <c r="AQ27" s="424"/>
      <c r="AR27" s="424"/>
      <c r="AS27" s="424"/>
      <c r="AT27" s="424"/>
      <c r="AU27" s="424"/>
      <c r="AV27" s="424"/>
      <c r="AW27" s="424"/>
      <c r="AX27" s="4"/>
      <c r="AY27" s="4"/>
      <c r="AZ27" s="4"/>
      <c r="BA27" s="4"/>
      <c r="BB27" s="4"/>
      <c r="BC27" s="4"/>
      <c r="BD27" s="4"/>
      <c r="BE27" s="4"/>
      <c r="BF27" s="4"/>
      <c r="BG27" s="4"/>
      <c r="BH27" s="4"/>
      <c r="BI27" s="4"/>
      <c r="BJ27" s="4"/>
    </row>
    <row r="28" spans="1:62" ht="18.600000000000001" customHeight="1">
      <c r="A28" s="4"/>
      <c r="B28" s="151"/>
      <c r="C28" s="426"/>
      <c r="D28" s="426"/>
      <c r="E28" s="426"/>
      <c r="F28" s="303" t="s">
        <v>171</v>
      </c>
      <c r="G28" s="295">
        <v>1.1000000000000001</v>
      </c>
      <c r="H28" s="115" t="s">
        <v>196</v>
      </c>
      <c r="I28" s="429">
        <v>0.31019999999999998</v>
      </c>
      <c r="J28" s="429"/>
      <c r="K28" s="429"/>
      <c r="L28" s="429"/>
      <c r="M28" s="429"/>
      <c r="N28" s="429"/>
      <c r="O28" s="429"/>
      <c r="P28" s="429"/>
      <c r="Q28" s="429"/>
      <c r="R28" s="429"/>
      <c r="S28" s="429"/>
      <c r="T28" s="429"/>
      <c r="U28" s="429"/>
      <c r="V28" s="429"/>
      <c r="W28" s="429"/>
      <c r="X28" s="429"/>
      <c r="Y28" s="10"/>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row>
    <row r="29" spans="1:62" ht="18.600000000000001" customHeight="1">
      <c r="A29" s="4"/>
      <c r="B29" s="151"/>
      <c r="C29" s="426"/>
      <c r="D29" s="426"/>
      <c r="E29" s="426"/>
      <c r="F29" s="303" t="s">
        <v>173</v>
      </c>
      <c r="G29" s="295">
        <v>1.1000000000000001</v>
      </c>
      <c r="H29" s="115" t="s">
        <v>196</v>
      </c>
      <c r="I29" s="429">
        <v>0.31019999999999998</v>
      </c>
      <c r="J29" s="429"/>
      <c r="K29" s="429"/>
      <c r="L29" s="429"/>
      <c r="M29" s="429"/>
      <c r="N29" s="429"/>
      <c r="O29" s="429"/>
      <c r="P29" s="429"/>
      <c r="Q29" s="429"/>
      <c r="R29" s="429"/>
      <c r="S29" s="429"/>
      <c r="T29" s="429"/>
      <c r="U29" s="429"/>
      <c r="V29" s="429"/>
      <c r="W29" s="429"/>
      <c r="X29" s="429"/>
      <c r="Y29" s="10"/>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row>
    <row r="30" spans="1:62" ht="34.950000000000003" customHeight="1">
      <c r="A30" s="4"/>
      <c r="B30" s="151"/>
      <c r="C30" s="426"/>
      <c r="D30" s="426"/>
      <c r="E30" s="426"/>
      <c r="F30" s="303" t="s">
        <v>175</v>
      </c>
      <c r="G30" s="295">
        <v>1</v>
      </c>
      <c r="H30" s="295" t="s">
        <v>197</v>
      </c>
      <c r="I30" s="429">
        <v>0.2838</v>
      </c>
      <c r="J30" s="429"/>
      <c r="K30" s="429"/>
      <c r="L30" s="429"/>
      <c r="M30" s="429"/>
      <c r="N30" s="429"/>
      <c r="O30" s="429"/>
      <c r="P30" s="429"/>
      <c r="Q30" s="429"/>
      <c r="R30" s="429"/>
      <c r="S30" s="429"/>
      <c r="T30" s="429"/>
      <c r="U30" s="429"/>
      <c r="V30" s="429"/>
      <c r="W30" s="429"/>
      <c r="X30" s="429"/>
      <c r="Y30" s="10"/>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row>
    <row r="31" spans="1:62" ht="31.2" customHeight="1">
      <c r="A31" s="4"/>
      <c r="B31" s="151"/>
      <c r="C31" s="427"/>
      <c r="D31" s="427"/>
      <c r="E31" s="427"/>
      <c r="F31" s="303" t="s">
        <v>178</v>
      </c>
      <c r="G31" s="295">
        <v>0.6</v>
      </c>
      <c r="H31" s="295" t="s">
        <v>198</v>
      </c>
      <c r="I31" s="429">
        <v>0.16919999999999999</v>
      </c>
      <c r="J31" s="429"/>
      <c r="K31" s="429"/>
      <c r="L31" s="429"/>
      <c r="M31" s="429"/>
      <c r="N31" s="429"/>
      <c r="O31" s="429"/>
      <c r="P31" s="429"/>
      <c r="Q31" s="429"/>
      <c r="R31" s="429"/>
      <c r="S31" s="429"/>
      <c r="T31" s="429"/>
      <c r="U31" s="429"/>
      <c r="V31" s="429"/>
      <c r="W31" s="429"/>
      <c r="X31" s="429"/>
      <c r="Y31" s="10"/>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row>
    <row r="32" spans="1:62">
      <c r="A32" s="4"/>
      <c r="B32" s="151"/>
      <c r="C32" s="4"/>
      <c r="D32" s="4"/>
      <c r="E32" s="6" t="s">
        <v>199</v>
      </c>
      <c r="F32" s="4"/>
      <c r="G32" s="72"/>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row>
    <row r="33" spans="1:62" ht="14.4">
      <c r="A33" s="4"/>
      <c r="B33" s="151"/>
      <c r="C33" s="4"/>
      <c r="D33" s="4"/>
      <c r="E33" s="6" t="s">
        <v>200</v>
      </c>
      <c r="F33" s="4"/>
      <c r="G33" s="3" t="s">
        <v>32</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row>
  </sheetData>
  <mergeCells count="40">
    <mergeCell ref="H18:H19"/>
    <mergeCell ref="E3:E7"/>
    <mergeCell ref="C13:C17"/>
    <mergeCell ref="B8:B12"/>
    <mergeCell ref="E8:E12"/>
    <mergeCell ref="E13:E17"/>
    <mergeCell ref="D8:D12"/>
    <mergeCell ref="D15:D17"/>
    <mergeCell ref="D13:D14"/>
    <mergeCell ref="C25:X25"/>
    <mergeCell ref="D27:D31"/>
    <mergeCell ref="I26:X26"/>
    <mergeCell ref="I27:X27"/>
    <mergeCell ref="I28:X28"/>
    <mergeCell ref="I29:X29"/>
    <mergeCell ref="E27:E31"/>
    <mergeCell ref="I31:X31"/>
    <mergeCell ref="I30:X30"/>
    <mergeCell ref="C27:C31"/>
    <mergeCell ref="AP27:AS27"/>
    <mergeCell ref="AT27:AW27"/>
    <mergeCell ref="AF27:AJ27"/>
    <mergeCell ref="AA27:AE27"/>
    <mergeCell ref="AK27:AO27"/>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A8:A12"/>
    <mergeCell ref="D20:D22"/>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8"/>
  <sheetViews>
    <sheetView zoomScale="85" zoomScaleNormal="85" zoomScaleSheetLayoutView="40" workbookViewId="0">
      <selection sqref="A1:G1"/>
    </sheetView>
  </sheetViews>
  <sheetFormatPr defaultColWidth="8.6640625" defaultRowHeight="13.2"/>
  <cols>
    <col min="1" max="1" width="39" style="6" customWidth="1"/>
    <col min="2" max="2" width="34.6640625" style="6" customWidth="1"/>
    <col min="3" max="3" width="40.6640625" style="6" customWidth="1"/>
    <col min="4" max="4" width="29.44140625" style="6" customWidth="1"/>
    <col min="5" max="5" width="37.44140625" style="6" bestFit="1" customWidth="1"/>
    <col min="6" max="6" width="48.33203125" style="6" bestFit="1" customWidth="1"/>
    <col min="7" max="7" width="34" style="6" customWidth="1"/>
    <col min="8" max="8" width="32.6640625" style="6" customWidth="1"/>
    <col min="9" max="11" width="12.6640625" style="6" customWidth="1"/>
    <col min="12" max="19" width="15.33203125" style="6" customWidth="1"/>
    <col min="20" max="20" width="14.6640625" style="6" customWidth="1"/>
    <col min="21" max="21" width="13.5546875" style="6" customWidth="1"/>
    <col min="22" max="22" width="15.6640625" style="6" customWidth="1"/>
    <col min="23" max="29" width="11" style="6" customWidth="1"/>
    <col min="30" max="38" width="6.5546875" style="6" customWidth="1"/>
    <col min="39" max="39" width="8.6640625" style="6" customWidth="1"/>
    <col min="40" max="16384" width="8.6640625" style="6"/>
  </cols>
  <sheetData>
    <row r="1" spans="1:9" ht="27" customHeight="1">
      <c r="A1" s="445" t="str">
        <f>"HVAC system - "&amp;Prototype!B4</f>
        <v>HVAC system - Assembly</v>
      </c>
      <c r="B1" s="446"/>
      <c r="C1" s="446"/>
      <c r="D1" s="446"/>
      <c r="E1" s="446"/>
      <c r="F1" s="446"/>
      <c r="G1" s="447"/>
    </row>
    <row r="2" spans="1:9" ht="19.2" customHeight="1">
      <c r="A2" s="114" t="s">
        <v>146</v>
      </c>
      <c r="B2" s="67" t="s">
        <v>192</v>
      </c>
      <c r="C2" s="67" t="s">
        <v>201</v>
      </c>
      <c r="D2" s="67" t="s">
        <v>202</v>
      </c>
      <c r="E2" s="67" t="s">
        <v>203</v>
      </c>
      <c r="F2" s="67" t="s">
        <v>204</v>
      </c>
      <c r="G2" s="67" t="s">
        <v>194</v>
      </c>
    </row>
    <row r="3" spans="1:9" ht="42" customHeight="1">
      <c r="A3" s="295" t="s">
        <v>205</v>
      </c>
      <c r="B3" s="295" t="s">
        <v>206</v>
      </c>
      <c r="C3" s="304" t="s">
        <v>207</v>
      </c>
      <c r="D3" s="304" t="s">
        <v>208</v>
      </c>
      <c r="E3" s="295" t="s">
        <v>209</v>
      </c>
      <c r="F3" s="302" t="s">
        <v>210</v>
      </c>
      <c r="G3" s="295" t="s">
        <v>211</v>
      </c>
      <c r="H3" s="293"/>
      <c r="I3" s="293"/>
    </row>
    <row r="4" spans="1:9" ht="42" customHeight="1">
      <c r="A4" s="456" t="s">
        <v>212</v>
      </c>
      <c r="B4" s="295" t="s">
        <v>102</v>
      </c>
      <c r="C4" s="304" t="s">
        <v>213</v>
      </c>
      <c r="D4" s="304" t="s">
        <v>208</v>
      </c>
      <c r="E4" s="295" t="s">
        <v>209</v>
      </c>
      <c r="F4" s="458" t="s">
        <v>214</v>
      </c>
      <c r="G4" s="295" t="s">
        <v>215</v>
      </c>
      <c r="H4" s="293"/>
      <c r="I4" s="293"/>
    </row>
    <row r="5" spans="1:9" ht="56.4" customHeight="1">
      <c r="A5" s="457"/>
      <c r="B5" s="295" t="s">
        <v>216</v>
      </c>
      <c r="C5" s="304" t="s">
        <v>207</v>
      </c>
      <c r="D5" s="304" t="s">
        <v>208</v>
      </c>
      <c r="E5" s="295" t="s">
        <v>209</v>
      </c>
      <c r="F5" s="459"/>
      <c r="G5" s="295" t="s">
        <v>211</v>
      </c>
      <c r="H5" s="364"/>
      <c r="I5" s="364"/>
    </row>
    <row r="6" spans="1:9" ht="25.95" customHeight="1">
      <c r="A6" s="10"/>
      <c r="B6" s="10"/>
      <c r="C6" s="308"/>
      <c r="D6" s="308"/>
      <c r="E6" s="308"/>
      <c r="F6" s="364"/>
      <c r="G6" s="364"/>
      <c r="H6" s="364"/>
      <c r="I6" s="364"/>
    </row>
    <row r="7" spans="1:9" ht="15.6" customHeight="1">
      <c r="A7" s="308"/>
      <c r="B7" s="308"/>
      <c r="C7" s="308"/>
      <c r="D7" s="308"/>
      <c r="E7" s="308"/>
    </row>
    <row r="8" spans="1:9">
      <c r="A8" s="293"/>
      <c r="B8" s="308"/>
      <c r="C8" s="308"/>
      <c r="D8" s="308"/>
      <c r="E8" s="308"/>
    </row>
    <row r="9" spans="1:9">
      <c r="A9" s="308"/>
      <c r="B9" s="308"/>
      <c r="C9" s="308"/>
      <c r="D9" s="308"/>
      <c r="E9" s="308"/>
    </row>
    <row r="10" spans="1:9" ht="33" customHeight="1">
      <c r="A10" s="448" t="s">
        <v>217</v>
      </c>
      <c r="B10" s="449"/>
      <c r="C10" s="449"/>
      <c r="D10" s="449"/>
      <c r="E10" s="449"/>
      <c r="F10" s="449"/>
      <c r="G10" s="450"/>
      <c r="H10" s="87"/>
    </row>
    <row r="11" spans="1:9" ht="43.95" customHeight="1">
      <c r="A11" s="107" t="s">
        <v>146</v>
      </c>
      <c r="B11" s="108" t="s">
        <v>218</v>
      </c>
      <c r="C11" s="159" t="s">
        <v>219</v>
      </c>
      <c r="D11" s="159" t="s">
        <v>220</v>
      </c>
      <c r="E11" s="159" t="s">
        <v>221</v>
      </c>
      <c r="F11" s="67" t="s">
        <v>222</v>
      </c>
      <c r="G11" s="109" t="s">
        <v>194</v>
      </c>
    </row>
    <row r="12" spans="1:9" ht="22.2" customHeight="1">
      <c r="A12" s="110" t="s">
        <v>168</v>
      </c>
      <c r="B12" s="452">
        <v>2008</v>
      </c>
      <c r="C12" s="451" t="s">
        <v>223</v>
      </c>
      <c r="D12" s="455" t="s">
        <v>224</v>
      </c>
      <c r="E12" s="451" t="s">
        <v>225</v>
      </c>
      <c r="F12" s="435" t="s">
        <v>226</v>
      </c>
      <c r="G12" s="438"/>
    </row>
    <row r="13" spans="1:9" ht="20.399999999999999" customHeight="1">
      <c r="A13" s="110" t="s">
        <v>171</v>
      </c>
      <c r="B13" s="453"/>
      <c r="C13" s="451"/>
      <c r="D13" s="455"/>
      <c r="E13" s="451"/>
      <c r="F13" s="436"/>
      <c r="G13" s="439"/>
    </row>
    <row r="14" spans="1:9" ht="38.4" customHeight="1">
      <c r="A14" s="110" t="s">
        <v>173</v>
      </c>
      <c r="B14" s="454"/>
      <c r="C14" s="451"/>
      <c r="D14" s="455"/>
      <c r="E14" s="451"/>
      <c r="F14" s="437"/>
      <c r="G14" s="440"/>
    </row>
    <row r="15" spans="1:9" ht="72.599999999999994" customHeight="1">
      <c r="A15" s="110" t="s">
        <v>175</v>
      </c>
      <c r="B15" s="68">
        <v>2013</v>
      </c>
      <c r="C15" s="299" t="s">
        <v>227</v>
      </c>
      <c r="D15" s="300" t="s">
        <v>224</v>
      </c>
      <c r="E15" s="299" t="s">
        <v>228</v>
      </c>
      <c r="F15" s="69" t="s">
        <v>229</v>
      </c>
      <c r="G15" s="365"/>
    </row>
    <row r="16" spans="1:9" ht="93.6" customHeight="1">
      <c r="A16" s="111" t="s">
        <v>212</v>
      </c>
      <c r="B16" s="112">
        <v>2025</v>
      </c>
      <c r="C16" s="299" t="s">
        <v>230</v>
      </c>
      <c r="D16" s="299" t="s">
        <v>231</v>
      </c>
      <c r="E16" s="299" t="s">
        <v>228</v>
      </c>
      <c r="F16" s="113" t="s">
        <v>232</v>
      </c>
      <c r="G16" s="366"/>
    </row>
    <row r="17" spans="1:40">
      <c r="B17" s="8"/>
      <c r="C17" s="8"/>
      <c r="D17" s="160"/>
      <c r="E17" s="8"/>
    </row>
    <row r="18" spans="1:40">
      <c r="A18" s="37"/>
      <c r="B18" s="8"/>
      <c r="C18" s="8" t="s">
        <v>233</v>
      </c>
      <c r="D18" s="8" t="s">
        <v>234</v>
      </c>
      <c r="E18" s="8"/>
    </row>
    <row r="19" spans="1:40" ht="13.8" thickBot="1">
      <c r="A19" s="78"/>
      <c r="B19" s="78"/>
      <c r="C19" s="78"/>
      <c r="D19" s="78"/>
      <c r="E19" s="78"/>
    </row>
    <row r="20" spans="1:40" ht="15.6">
      <c r="A20" s="433" t="s">
        <v>235</v>
      </c>
      <c r="B20" s="433"/>
      <c r="C20" s="433"/>
      <c r="D20" s="433"/>
      <c r="E20" s="433"/>
      <c r="F20" s="433"/>
      <c r="G20" s="433"/>
      <c r="H20" s="433"/>
      <c r="I20" s="434"/>
    </row>
    <row r="21" spans="1:40" ht="26.4">
      <c r="A21" s="268" t="s">
        <v>146</v>
      </c>
      <c r="B21" s="161" t="s">
        <v>236</v>
      </c>
      <c r="C21" s="161" t="s">
        <v>237</v>
      </c>
      <c r="D21" s="257" t="s">
        <v>238</v>
      </c>
      <c r="E21" s="257" t="s">
        <v>239</v>
      </c>
      <c r="F21" s="257" t="s">
        <v>240</v>
      </c>
      <c r="G21" s="257" t="s">
        <v>241</v>
      </c>
      <c r="H21" s="268" t="s">
        <v>242</v>
      </c>
      <c r="I21" s="82" t="s">
        <v>194</v>
      </c>
    </row>
    <row r="22" spans="1:40" ht="72" customHeight="1">
      <c r="A22" s="261" t="s">
        <v>177</v>
      </c>
      <c r="B22" s="261" t="s">
        <v>243</v>
      </c>
      <c r="C22" s="269" t="s">
        <v>244</v>
      </c>
      <c r="D22" s="261">
        <v>5.58</v>
      </c>
      <c r="E22" s="299">
        <v>0.65</v>
      </c>
      <c r="F22" s="269" t="s">
        <v>245</v>
      </c>
      <c r="G22" s="270"/>
      <c r="H22" s="271" t="s">
        <v>246</v>
      </c>
      <c r="I22" s="267"/>
    </row>
    <row r="23" spans="1:40">
      <c r="A23" s="258" t="s">
        <v>247</v>
      </c>
      <c r="B23" s="367"/>
      <c r="C23" s="367"/>
      <c r="D23" s="367"/>
      <c r="E23" s="367"/>
      <c r="F23" s="367"/>
      <c r="G23" s="367"/>
      <c r="H23" s="367"/>
      <c r="I23" s="368"/>
    </row>
    <row r="24" spans="1:40">
      <c r="A24" s="258" t="s">
        <v>248</v>
      </c>
      <c r="B24" s="367"/>
      <c r="C24" s="367"/>
      <c r="D24" s="367"/>
      <c r="E24" s="367"/>
      <c r="F24" s="367"/>
      <c r="G24" s="367"/>
      <c r="H24" s="367"/>
      <c r="I24" s="369"/>
    </row>
    <row r="25" spans="1:40" ht="36" customHeight="1">
      <c r="A25" s="442" t="s">
        <v>212</v>
      </c>
      <c r="B25" s="442" t="s">
        <v>249</v>
      </c>
      <c r="C25" s="273" t="s">
        <v>250</v>
      </c>
      <c r="D25" s="274" t="s">
        <v>251</v>
      </c>
      <c r="E25" s="442">
        <v>0.65</v>
      </c>
      <c r="F25" s="443" t="s">
        <v>252</v>
      </c>
      <c r="G25" s="302">
        <v>0.96399999999999997</v>
      </c>
      <c r="H25" s="442" t="s">
        <v>253</v>
      </c>
      <c r="I25" s="441"/>
    </row>
    <row r="26" spans="1:40" ht="36" customHeight="1">
      <c r="A26" s="442"/>
      <c r="B26" s="442"/>
      <c r="C26" s="304" t="s">
        <v>254</v>
      </c>
      <c r="D26" s="274" t="s">
        <v>251</v>
      </c>
      <c r="E26" s="442"/>
      <c r="F26" s="444"/>
      <c r="G26" s="302">
        <v>0.94599999999999995</v>
      </c>
      <c r="H26" s="442"/>
      <c r="I26" s="441"/>
    </row>
    <row r="27" spans="1:40" ht="12.75" customHeight="1">
      <c r="A27" s="324"/>
      <c r="B27" s="324"/>
      <c r="C27" s="370"/>
      <c r="D27" s="370"/>
      <c r="E27" s="371"/>
      <c r="F27" s="324"/>
      <c r="G27" s="370"/>
      <c r="H27" s="371"/>
    </row>
    <row r="28" spans="1:40" ht="36" customHeight="1">
      <c r="A28" s="431" t="s">
        <v>255</v>
      </c>
      <c r="B28" s="431"/>
      <c r="C28" s="431"/>
      <c r="D28" s="431"/>
      <c r="E28" s="431"/>
      <c r="F28" s="431"/>
      <c r="G28" s="431"/>
      <c r="H28" s="431"/>
      <c r="I28" s="78"/>
      <c r="J28" s="78"/>
      <c r="K28" s="78"/>
      <c r="L28" s="78"/>
      <c r="M28" s="78"/>
      <c r="N28" s="78"/>
      <c r="O28" s="78"/>
      <c r="P28" s="78"/>
      <c r="Q28" s="78"/>
      <c r="R28" s="78"/>
      <c r="S28" s="78"/>
      <c r="T28" s="78"/>
      <c r="U28" s="78"/>
      <c r="V28" s="78"/>
      <c r="W28" s="78"/>
      <c r="X28" s="78"/>
      <c r="Y28" s="78"/>
      <c r="Z28" s="78"/>
      <c r="AA28" s="78"/>
      <c r="AB28" s="78"/>
      <c r="AC28" s="78"/>
      <c r="AD28" s="78"/>
      <c r="AE28" s="432"/>
      <c r="AF28" s="432"/>
      <c r="AG28" s="432"/>
      <c r="AH28" s="432"/>
      <c r="AI28" s="432"/>
      <c r="AJ28" s="432"/>
      <c r="AK28" s="432"/>
      <c r="AL28" s="432"/>
      <c r="AM28" s="432"/>
      <c r="AN28" s="432"/>
    </row>
    <row r="29" spans="1:40" ht="48" customHeight="1">
      <c r="A29" s="431" t="s">
        <v>256</v>
      </c>
      <c r="B29" s="431"/>
      <c r="C29" s="431"/>
      <c r="D29" s="431"/>
      <c r="E29" s="431"/>
      <c r="F29" s="431"/>
      <c r="G29" s="431"/>
      <c r="H29" s="431"/>
      <c r="I29" s="78"/>
      <c r="J29" s="78"/>
      <c r="K29" s="78"/>
      <c r="L29" s="78"/>
      <c r="M29" s="78"/>
      <c r="N29" s="78"/>
      <c r="O29" s="78"/>
      <c r="P29" s="78"/>
      <c r="Q29" s="78"/>
      <c r="R29" s="78"/>
      <c r="S29" s="78"/>
      <c r="T29" s="78"/>
      <c r="U29" s="78"/>
      <c r="V29" s="78"/>
      <c r="W29" s="78"/>
      <c r="X29" s="78"/>
      <c r="Y29" s="78"/>
      <c r="Z29" s="78"/>
      <c r="AA29" s="78"/>
      <c r="AB29" s="78"/>
      <c r="AC29" s="78"/>
      <c r="AD29" s="78"/>
      <c r="AE29" s="432"/>
      <c r="AF29" s="432"/>
      <c r="AG29" s="432"/>
      <c r="AH29" s="432"/>
      <c r="AI29" s="432"/>
      <c r="AJ29" s="432"/>
      <c r="AK29" s="432"/>
      <c r="AL29" s="432"/>
      <c r="AM29" s="432"/>
      <c r="AN29" s="432"/>
    </row>
    <row r="30" spans="1:40">
      <c r="A30" s="324"/>
      <c r="B30" s="272"/>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432"/>
      <c r="AF30" s="432"/>
      <c r="AG30" s="432"/>
      <c r="AH30" s="432"/>
      <c r="AI30" s="432"/>
      <c r="AJ30" s="432"/>
      <c r="AK30" s="432"/>
      <c r="AL30" s="432"/>
      <c r="AM30" s="432"/>
      <c r="AN30" s="432"/>
    </row>
    <row r="31" spans="1:40">
      <c r="A31" s="8"/>
      <c r="B31" s="8"/>
      <c r="C31" s="8"/>
      <c r="D31" s="8"/>
    </row>
    <row r="32" spans="1:40">
      <c r="D32" s="34"/>
    </row>
    <row r="33" spans="1:38" ht="13.95" customHeight="1">
      <c r="A33" s="81"/>
      <c r="B33" s="324"/>
      <c r="C33" s="61"/>
      <c r="D33" s="324"/>
      <c r="E33" s="324"/>
    </row>
    <row r="34" spans="1:38" s="24" customFormat="1" hidden="1">
      <c r="A34" s="24" t="s">
        <v>141</v>
      </c>
    </row>
    <row r="35" spans="1:38">
      <c r="U35" s="33"/>
      <c r="V35" s="51"/>
      <c r="W35" s="52"/>
      <c r="X35" s="52"/>
      <c r="Y35" s="52"/>
      <c r="Z35" s="52"/>
      <c r="AA35" s="52"/>
      <c r="AB35" s="52"/>
      <c r="AC35" s="52"/>
      <c r="AD35" s="52"/>
      <c r="AE35" s="52"/>
      <c r="AF35" s="52"/>
      <c r="AG35" s="52"/>
      <c r="AH35" s="52"/>
      <c r="AI35" s="52"/>
      <c r="AJ35" s="52"/>
      <c r="AK35" s="52"/>
      <c r="AL35" s="52"/>
    </row>
    <row r="36" spans="1:38">
      <c r="U36" s="33"/>
      <c r="V36" s="51"/>
      <c r="W36" s="52"/>
      <c r="X36" s="52"/>
      <c r="Y36" s="52"/>
      <c r="Z36" s="52"/>
      <c r="AA36" s="52"/>
      <c r="AB36" s="52"/>
      <c r="AC36" s="52"/>
      <c r="AD36" s="52"/>
      <c r="AE36" s="52"/>
      <c r="AF36" s="52"/>
      <c r="AG36" s="52"/>
      <c r="AH36" s="52"/>
      <c r="AI36" s="52"/>
      <c r="AJ36" s="52"/>
      <c r="AK36" s="52"/>
      <c r="AL36" s="52"/>
    </row>
    <row r="37" spans="1:38">
      <c r="U37" s="33"/>
      <c r="V37" s="51"/>
      <c r="W37" s="52"/>
      <c r="X37" s="52"/>
      <c r="Y37" s="52"/>
      <c r="Z37" s="52"/>
      <c r="AA37" s="52"/>
      <c r="AB37" s="52"/>
      <c r="AC37" s="52"/>
      <c r="AD37" s="52"/>
      <c r="AE37" s="52"/>
      <c r="AF37" s="52"/>
      <c r="AG37" s="52"/>
      <c r="AH37" s="52"/>
      <c r="AI37" s="52"/>
      <c r="AJ37" s="52"/>
      <c r="AK37" s="52"/>
      <c r="AL37" s="52"/>
    </row>
    <row r="38" spans="1:38">
      <c r="U38" s="33"/>
      <c r="V38" s="51"/>
      <c r="W38" s="52"/>
      <c r="X38" s="52"/>
      <c r="Y38" s="52"/>
      <c r="Z38" s="52"/>
      <c r="AA38" s="52"/>
      <c r="AB38" s="52"/>
      <c r="AC38" s="52"/>
      <c r="AD38" s="52"/>
      <c r="AE38" s="52"/>
      <c r="AF38" s="52"/>
      <c r="AG38" s="52"/>
      <c r="AH38" s="52"/>
      <c r="AI38" s="52"/>
      <c r="AJ38" s="52"/>
      <c r="AK38" s="52"/>
      <c r="AL38" s="52"/>
    </row>
    <row r="39" spans="1:38">
      <c r="U39" s="33"/>
      <c r="V39" s="51"/>
      <c r="W39" s="52"/>
      <c r="X39" s="52"/>
      <c r="Y39" s="52"/>
      <c r="Z39" s="52"/>
      <c r="AA39" s="52"/>
      <c r="AB39" s="52"/>
      <c r="AC39" s="52"/>
      <c r="AD39" s="52"/>
      <c r="AE39" s="52"/>
      <c r="AF39" s="52"/>
      <c r="AG39" s="52"/>
      <c r="AH39" s="52"/>
      <c r="AI39" s="52"/>
      <c r="AJ39" s="52"/>
      <c r="AK39" s="52"/>
      <c r="AL39" s="52"/>
    </row>
    <row r="40" spans="1:38">
      <c r="U40" s="33"/>
      <c r="W40" s="32"/>
      <c r="X40" s="32"/>
      <c r="Y40" s="32"/>
      <c r="Z40" s="32"/>
      <c r="AA40" s="32"/>
      <c r="AB40" s="32"/>
      <c r="AC40" s="32"/>
      <c r="AD40" s="32"/>
      <c r="AE40" s="32"/>
      <c r="AF40" s="32"/>
      <c r="AG40" s="32"/>
      <c r="AH40" s="32"/>
      <c r="AI40" s="32"/>
      <c r="AJ40" s="32"/>
      <c r="AK40" s="32"/>
      <c r="AL40" s="32"/>
    </row>
    <row r="41" spans="1:38">
      <c r="U41" s="35"/>
      <c r="W41" s="33"/>
      <c r="X41" s="33"/>
      <c r="Y41" s="33"/>
      <c r="Z41" s="33"/>
      <c r="AA41" s="33"/>
      <c r="AB41" s="33"/>
      <c r="AC41" s="33"/>
      <c r="AD41" s="33"/>
      <c r="AE41" s="33"/>
      <c r="AF41" s="33"/>
      <c r="AG41" s="33"/>
      <c r="AH41" s="33"/>
      <c r="AI41" s="33"/>
      <c r="AJ41" s="33"/>
      <c r="AK41" s="33"/>
      <c r="AL41" s="33"/>
    </row>
    <row r="42" spans="1:38">
      <c r="U42" s="33"/>
    </row>
    <row r="45" spans="1:38">
      <c r="U45" s="31"/>
      <c r="V45" s="31"/>
      <c r="W45" s="50"/>
      <c r="X45" s="50"/>
      <c r="Y45" s="50"/>
      <c r="Z45" s="50"/>
      <c r="AA45" s="50"/>
      <c r="AB45" s="50"/>
      <c r="AC45" s="50"/>
      <c r="AD45" s="50"/>
      <c r="AE45" s="50"/>
      <c r="AF45" s="50"/>
      <c r="AG45" s="50"/>
      <c r="AH45" s="50"/>
      <c r="AI45" s="50"/>
      <c r="AJ45" s="50"/>
      <c r="AK45" s="50"/>
      <c r="AL45" s="50"/>
    </row>
    <row r="46" spans="1:38">
      <c r="V46" s="36"/>
    </row>
    <row r="47" spans="1:38">
      <c r="U47" s="33"/>
      <c r="V47" s="36"/>
    </row>
    <row r="48" spans="1:38">
      <c r="U48" s="33"/>
      <c r="V48" s="36"/>
    </row>
    <row r="49" spans="21:22">
      <c r="U49" s="33"/>
      <c r="V49" s="36"/>
    </row>
    <row r="50" spans="21:22">
      <c r="U50" s="33"/>
      <c r="V50" s="36"/>
    </row>
    <row r="51" spans="21:22">
      <c r="U51" s="33"/>
      <c r="V51" s="36"/>
    </row>
    <row r="52" spans="21:22">
      <c r="U52" s="33"/>
      <c r="V52" s="36"/>
    </row>
    <row r="53" spans="21:22">
      <c r="U53" s="33"/>
      <c r="V53" s="36"/>
    </row>
    <row r="54" spans="21:22">
      <c r="U54" s="33"/>
      <c r="V54" s="36"/>
    </row>
    <row r="55" spans="21:22">
      <c r="U55" s="33"/>
      <c r="V55" s="36"/>
    </row>
    <row r="56" spans="21:22">
      <c r="U56" s="33"/>
      <c r="V56" s="36"/>
    </row>
    <row r="57" spans="21:22">
      <c r="U57" s="33"/>
      <c r="V57" s="36"/>
    </row>
    <row r="58" spans="21:22">
      <c r="U58" s="33"/>
      <c r="V58" s="36"/>
    </row>
    <row r="59" spans="21:22">
      <c r="U59" s="33"/>
      <c r="V59" s="36"/>
    </row>
    <row r="60" spans="21:22">
      <c r="U60" s="33"/>
      <c r="V60" s="36"/>
    </row>
    <row r="61" spans="21:22">
      <c r="U61" s="33"/>
      <c r="V61" s="36"/>
    </row>
    <row r="62" spans="21:22">
      <c r="U62" s="33"/>
      <c r="V62" s="36"/>
    </row>
    <row r="63" spans="21:22">
      <c r="U63" s="33"/>
      <c r="V63" s="36"/>
    </row>
    <row r="64" spans="21:22">
      <c r="U64" s="33"/>
      <c r="V64" s="36"/>
    </row>
    <row r="65" spans="21:38">
      <c r="U65" s="33"/>
      <c r="V65" s="36"/>
    </row>
    <row r="66" spans="21:38">
      <c r="U66" s="33"/>
      <c r="V66" s="36"/>
    </row>
    <row r="67" spans="21:38">
      <c r="U67" s="33"/>
      <c r="W67" s="32"/>
      <c r="X67" s="32"/>
      <c r="Y67" s="32"/>
      <c r="Z67" s="32"/>
      <c r="AA67" s="32"/>
      <c r="AB67" s="32"/>
      <c r="AC67" s="32"/>
      <c r="AD67" s="32"/>
      <c r="AE67" s="32"/>
      <c r="AF67" s="32"/>
      <c r="AG67" s="32"/>
      <c r="AH67" s="32"/>
      <c r="AI67" s="32"/>
      <c r="AJ67" s="32"/>
      <c r="AK67" s="32"/>
      <c r="AL67" s="32"/>
    </row>
    <row r="68" spans="21:38">
      <c r="U68" s="35"/>
      <c r="W68" s="33"/>
      <c r="X68" s="33"/>
      <c r="Y68" s="33"/>
      <c r="Z68" s="33"/>
      <c r="AA68" s="33"/>
      <c r="AB68" s="33"/>
      <c r="AC68" s="33"/>
      <c r="AD68" s="33"/>
      <c r="AE68" s="33"/>
      <c r="AF68" s="33"/>
      <c r="AG68" s="33"/>
      <c r="AH68" s="33"/>
      <c r="AI68" s="33"/>
      <c r="AJ68" s="33"/>
      <c r="AK68" s="33"/>
      <c r="AL68" s="33"/>
    </row>
  </sheetData>
  <mergeCells count="34">
    <mergeCell ref="A1:G1"/>
    <mergeCell ref="A10:G10"/>
    <mergeCell ref="C12:C14"/>
    <mergeCell ref="E12:E14"/>
    <mergeCell ref="B12:B14"/>
    <mergeCell ref="D12:D14"/>
    <mergeCell ref="A4:A5"/>
    <mergeCell ref="F4:F5"/>
    <mergeCell ref="AK28:AL28"/>
    <mergeCell ref="AM28:AN28"/>
    <mergeCell ref="A20:I20"/>
    <mergeCell ref="F12:F14"/>
    <mergeCell ref="G12:G14"/>
    <mergeCell ref="I25:I26"/>
    <mergeCell ref="A25:A26"/>
    <mergeCell ref="B25:B26"/>
    <mergeCell ref="E25:E26"/>
    <mergeCell ref="F25:F26"/>
    <mergeCell ref="H25:H26"/>
    <mergeCell ref="A28:H28"/>
    <mergeCell ref="AK30:AL30"/>
    <mergeCell ref="AM30:AN30"/>
    <mergeCell ref="AE29:AF29"/>
    <mergeCell ref="AG29:AH29"/>
    <mergeCell ref="AI29:AJ29"/>
    <mergeCell ref="AK29:AL29"/>
    <mergeCell ref="AM29:AN29"/>
    <mergeCell ref="A29:H29"/>
    <mergeCell ref="AE30:AF30"/>
    <mergeCell ref="AG30:AH30"/>
    <mergeCell ref="AI30:AJ30"/>
    <mergeCell ref="AE28:AF28"/>
    <mergeCell ref="AG28:AH28"/>
    <mergeCell ref="AI28:AJ28"/>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8"/>
  <sheetViews>
    <sheetView zoomScale="80" zoomScaleNormal="80" workbookViewId="0"/>
  </sheetViews>
  <sheetFormatPr defaultRowHeight="14.4"/>
  <cols>
    <col min="1" max="1" width="57.88671875" customWidth="1"/>
    <col min="18" max="18" width="17.6640625" customWidth="1"/>
  </cols>
  <sheetData>
    <row r="1" spans="1:18" ht="24" customHeight="1">
      <c r="A1" s="461" t="str">
        <f>"Thermostat Setpoints - "&amp;Prototype!A2</f>
        <v>Thermostat Setpoints - Assembly</v>
      </c>
      <c r="B1" s="461"/>
      <c r="C1" s="461"/>
      <c r="D1" s="461"/>
      <c r="E1" s="461"/>
      <c r="F1" s="461"/>
      <c r="G1" s="461"/>
      <c r="H1" s="461"/>
      <c r="I1" s="461"/>
      <c r="J1" s="461"/>
      <c r="K1" s="461"/>
      <c r="L1" s="461"/>
      <c r="M1" s="461"/>
      <c r="N1" s="461"/>
      <c r="O1" s="461"/>
      <c r="P1" s="461"/>
      <c r="Q1" s="461"/>
      <c r="R1" s="461"/>
    </row>
    <row r="2" spans="1:18" ht="21.6" customHeight="1">
      <c r="A2" s="311" t="s">
        <v>257</v>
      </c>
      <c r="B2" s="305" t="s">
        <v>148</v>
      </c>
      <c r="C2" s="305" t="s">
        <v>149</v>
      </c>
      <c r="D2" s="305" t="s">
        <v>150</v>
      </c>
      <c r="E2" s="305" t="s">
        <v>151</v>
      </c>
      <c r="F2" s="305" t="s">
        <v>152</v>
      </c>
      <c r="G2" s="305" t="s">
        <v>153</v>
      </c>
      <c r="H2" s="305" t="s">
        <v>154</v>
      </c>
      <c r="I2" s="305" t="s">
        <v>155</v>
      </c>
      <c r="J2" s="305" t="s">
        <v>156</v>
      </c>
      <c r="K2" s="305" t="s">
        <v>157</v>
      </c>
      <c r="L2" s="305" t="s">
        <v>158</v>
      </c>
      <c r="M2" s="305" t="s">
        <v>159</v>
      </c>
      <c r="N2" s="305" t="s">
        <v>160</v>
      </c>
      <c r="O2" s="305" t="s">
        <v>161</v>
      </c>
      <c r="P2" s="305" t="s">
        <v>162</v>
      </c>
      <c r="Q2" s="305" t="s">
        <v>163</v>
      </c>
      <c r="R2" s="82" t="s">
        <v>204</v>
      </c>
    </row>
    <row r="3" spans="1:18" ht="26.4" customHeight="1">
      <c r="A3" s="276" t="s">
        <v>258</v>
      </c>
      <c r="B3" s="303">
        <v>70</v>
      </c>
      <c r="C3" s="303">
        <v>70</v>
      </c>
      <c r="D3" s="303">
        <v>70</v>
      </c>
      <c r="E3" s="303">
        <v>70</v>
      </c>
      <c r="F3" s="303">
        <v>70</v>
      </c>
      <c r="G3" s="303">
        <v>70</v>
      </c>
      <c r="H3" s="303">
        <v>70</v>
      </c>
      <c r="I3" s="303">
        <v>70</v>
      </c>
      <c r="J3" s="303">
        <v>70</v>
      </c>
      <c r="K3" s="303">
        <v>70</v>
      </c>
      <c r="L3" s="303">
        <v>70</v>
      </c>
      <c r="M3" s="303">
        <v>70</v>
      </c>
      <c r="N3" s="303">
        <v>70</v>
      </c>
      <c r="O3" s="303">
        <v>70</v>
      </c>
      <c r="P3" s="303">
        <v>70</v>
      </c>
      <c r="Q3" s="303">
        <v>70</v>
      </c>
      <c r="R3" s="460" t="s">
        <v>259</v>
      </c>
    </row>
    <row r="4" spans="1:18" ht="26.4" customHeight="1">
      <c r="A4" s="276" t="s">
        <v>260</v>
      </c>
      <c r="B4" s="303">
        <v>60</v>
      </c>
      <c r="C4" s="303">
        <v>60</v>
      </c>
      <c r="D4" s="303">
        <v>60</v>
      </c>
      <c r="E4" s="303">
        <v>60</v>
      </c>
      <c r="F4" s="303">
        <v>60</v>
      </c>
      <c r="G4" s="303">
        <v>60</v>
      </c>
      <c r="H4" s="303">
        <v>60</v>
      </c>
      <c r="I4" s="303">
        <v>60</v>
      </c>
      <c r="J4" s="303">
        <v>60</v>
      </c>
      <c r="K4" s="303">
        <v>60</v>
      </c>
      <c r="L4" s="303">
        <v>60</v>
      </c>
      <c r="M4" s="303">
        <v>60</v>
      </c>
      <c r="N4" s="303">
        <v>60</v>
      </c>
      <c r="O4" s="303">
        <v>60</v>
      </c>
      <c r="P4" s="303">
        <v>60</v>
      </c>
      <c r="Q4" s="303">
        <v>60</v>
      </c>
      <c r="R4" s="460"/>
    </row>
    <row r="5" spans="1:18" ht="26.4" customHeight="1">
      <c r="A5" s="276" t="s">
        <v>261</v>
      </c>
      <c r="B5" s="303">
        <v>75</v>
      </c>
      <c r="C5" s="303">
        <v>75</v>
      </c>
      <c r="D5" s="303">
        <v>75</v>
      </c>
      <c r="E5" s="303">
        <v>75</v>
      </c>
      <c r="F5" s="303">
        <v>75</v>
      </c>
      <c r="G5" s="303">
        <v>75</v>
      </c>
      <c r="H5" s="303">
        <v>75</v>
      </c>
      <c r="I5" s="303">
        <v>75</v>
      </c>
      <c r="J5" s="303">
        <v>75</v>
      </c>
      <c r="K5" s="303">
        <v>75</v>
      </c>
      <c r="L5" s="303">
        <v>75</v>
      </c>
      <c r="M5" s="303">
        <v>75</v>
      </c>
      <c r="N5" s="303">
        <v>75</v>
      </c>
      <c r="O5" s="303">
        <v>75</v>
      </c>
      <c r="P5" s="303">
        <v>75</v>
      </c>
      <c r="Q5" s="303">
        <v>75</v>
      </c>
      <c r="R5" s="460"/>
    </row>
    <row r="6" spans="1:18" ht="23.4" customHeight="1">
      <c r="A6" s="276" t="s">
        <v>262</v>
      </c>
      <c r="B6" s="303">
        <v>85</v>
      </c>
      <c r="C6" s="303">
        <v>85</v>
      </c>
      <c r="D6" s="303">
        <v>85</v>
      </c>
      <c r="E6" s="303">
        <v>85</v>
      </c>
      <c r="F6" s="303">
        <v>85</v>
      </c>
      <c r="G6" s="303">
        <v>85</v>
      </c>
      <c r="H6" s="303">
        <v>85</v>
      </c>
      <c r="I6" s="303">
        <v>85</v>
      </c>
      <c r="J6" s="303">
        <v>85</v>
      </c>
      <c r="K6" s="303">
        <v>85</v>
      </c>
      <c r="L6" s="303">
        <v>85</v>
      </c>
      <c r="M6" s="303">
        <v>85</v>
      </c>
      <c r="N6" s="303">
        <v>85</v>
      </c>
      <c r="O6" s="303">
        <v>85</v>
      </c>
      <c r="P6" s="303">
        <v>85</v>
      </c>
      <c r="Q6" s="303">
        <v>85</v>
      </c>
      <c r="R6" s="460"/>
    </row>
    <row r="7" spans="1:18" ht="22.95" customHeight="1">
      <c r="A7" s="100"/>
      <c r="B7" s="100"/>
      <c r="C7" s="100"/>
      <c r="D7" s="100"/>
      <c r="E7" s="100"/>
      <c r="F7" s="100"/>
      <c r="G7" s="100"/>
      <c r="H7" s="100"/>
      <c r="I7" s="100"/>
    </row>
    <row r="8" spans="1:18" ht="22.95" customHeight="1">
      <c r="A8" s="1"/>
      <c r="B8" s="100"/>
      <c r="C8" s="100"/>
      <c r="D8" s="100"/>
      <c r="E8" s="100"/>
      <c r="F8" s="100"/>
      <c r="G8" s="100"/>
      <c r="H8" s="100"/>
      <c r="I8" s="100"/>
    </row>
    <row r="9" spans="1:18" ht="22.95" customHeight="1">
      <c r="A9" s="1"/>
      <c r="B9" s="100"/>
      <c r="C9" s="100"/>
      <c r="D9" s="100"/>
      <c r="E9" s="100"/>
      <c r="F9" s="100"/>
      <c r="G9" s="100"/>
      <c r="H9" s="100"/>
      <c r="I9" s="100"/>
    </row>
    <row r="10" spans="1:18" ht="22.95" customHeight="1">
      <c r="A10" s="1"/>
      <c r="B10" s="79"/>
      <c r="C10" s="100"/>
      <c r="D10" s="100"/>
      <c r="E10" s="79"/>
      <c r="F10" s="100"/>
      <c r="G10" s="100"/>
      <c r="H10" s="100"/>
      <c r="I10" s="100"/>
    </row>
    <row r="11" spans="1:18" ht="22.95" customHeight="1">
      <c r="A11" s="1"/>
      <c r="B11" s="100"/>
      <c r="C11" s="100"/>
      <c r="D11" s="100"/>
      <c r="E11" s="100"/>
      <c r="F11" s="100"/>
      <c r="G11" s="100"/>
      <c r="H11" s="100"/>
      <c r="I11" s="100"/>
    </row>
    <row r="12" spans="1:18" ht="22.95" customHeight="1">
      <c r="A12" s="100"/>
      <c r="B12" s="100"/>
      <c r="C12" s="100"/>
      <c r="D12" s="100"/>
      <c r="E12" s="100"/>
      <c r="F12" s="100"/>
      <c r="G12" s="100"/>
      <c r="H12" s="100"/>
      <c r="I12" s="100"/>
    </row>
    <row r="13" spans="1:18" ht="22.95" customHeight="1">
      <c r="A13" s="100"/>
      <c r="B13" s="100"/>
      <c r="C13" s="100"/>
      <c r="D13" s="100"/>
      <c r="E13" s="100"/>
      <c r="F13" s="100"/>
      <c r="G13" s="100"/>
      <c r="H13" s="100"/>
      <c r="I13" s="100"/>
    </row>
    <row r="14" spans="1:18" ht="22.95" customHeight="1">
      <c r="A14" s="154"/>
      <c r="B14" s="154"/>
      <c r="C14" s="154"/>
      <c r="D14" s="154"/>
      <c r="E14" s="154"/>
      <c r="F14" s="154"/>
      <c r="G14" s="154"/>
      <c r="H14" s="154"/>
      <c r="I14" s="154"/>
    </row>
    <row r="15" spans="1:18" ht="22.95" customHeight="1">
      <c r="A15" s="100"/>
      <c r="B15" s="100"/>
      <c r="C15" s="100"/>
      <c r="D15" s="100"/>
      <c r="E15" s="100"/>
      <c r="F15" s="100"/>
      <c r="G15" s="100"/>
      <c r="H15" s="100"/>
      <c r="I15" s="100"/>
    </row>
    <row r="16" spans="1:18" ht="22.95" customHeight="1">
      <c r="A16" s="100"/>
      <c r="B16" s="100"/>
      <c r="C16" s="100"/>
      <c r="D16" s="100"/>
      <c r="E16" s="100"/>
      <c r="F16" s="100"/>
      <c r="G16" s="100"/>
      <c r="H16" s="100"/>
      <c r="I16" s="100"/>
    </row>
    <row r="17" spans="1:9" ht="22.95" customHeight="1">
      <c r="A17" s="100"/>
      <c r="B17" s="100"/>
      <c r="C17" s="100"/>
      <c r="D17" s="100"/>
      <c r="E17" s="100"/>
      <c r="F17" s="100"/>
      <c r="G17" s="100"/>
      <c r="H17" s="100"/>
      <c r="I17" s="100"/>
    </row>
    <row r="18" spans="1:9" ht="22.95" customHeight="1">
      <c r="A18" s="100"/>
      <c r="B18" s="100"/>
      <c r="C18" s="100"/>
      <c r="D18" s="100"/>
      <c r="E18" s="100"/>
      <c r="F18" s="100"/>
      <c r="G18" s="100"/>
      <c r="H18" s="100"/>
      <c r="I18" s="100"/>
    </row>
    <row r="19" spans="1:9" ht="22.95" customHeight="1">
      <c r="A19" s="100"/>
      <c r="B19" s="100"/>
      <c r="C19" s="100"/>
      <c r="D19" s="100"/>
      <c r="E19" s="100"/>
      <c r="F19" s="100"/>
      <c r="G19" s="100"/>
      <c r="H19" s="100"/>
      <c r="I19" s="100"/>
    </row>
    <row r="20" spans="1:9" ht="22.95" customHeight="1">
      <c r="A20" s="100"/>
      <c r="B20" s="100"/>
      <c r="C20" s="100"/>
      <c r="D20" s="100"/>
      <c r="E20" s="100"/>
      <c r="F20" s="100"/>
      <c r="G20" s="100"/>
      <c r="H20" s="100"/>
      <c r="I20" s="100"/>
    </row>
    <row r="21" spans="1:9" ht="22.95" customHeight="1">
      <c r="A21" s="100"/>
      <c r="B21" s="100"/>
      <c r="C21" s="100"/>
      <c r="D21" s="100"/>
      <c r="E21" s="100"/>
      <c r="F21" s="100"/>
      <c r="G21" s="100"/>
      <c r="H21" s="100"/>
      <c r="I21" s="100"/>
    </row>
    <row r="22" spans="1:9" ht="22.95" customHeight="1">
      <c r="A22" s="100"/>
      <c r="B22" s="100"/>
      <c r="C22" s="100"/>
      <c r="D22" s="100"/>
      <c r="E22" s="100"/>
      <c r="F22" s="100"/>
      <c r="G22" s="100"/>
      <c r="H22" s="100"/>
      <c r="I22" s="100"/>
    </row>
    <row r="23" spans="1:9" ht="22.95" customHeight="1">
      <c r="A23" s="100"/>
      <c r="B23" s="100"/>
      <c r="C23" s="100"/>
      <c r="D23" s="100"/>
      <c r="E23" s="100"/>
      <c r="F23" s="100"/>
      <c r="G23" s="100"/>
      <c r="H23" s="100"/>
      <c r="I23" s="100"/>
    </row>
    <row r="24" spans="1:9" ht="22.95" customHeight="1">
      <c r="A24" s="100"/>
      <c r="B24" s="100"/>
      <c r="C24" s="100"/>
      <c r="D24" s="100"/>
      <c r="E24" s="100"/>
      <c r="F24" s="100"/>
      <c r="G24" s="100"/>
      <c r="H24" s="100"/>
      <c r="I24" s="100"/>
    </row>
    <row r="25" spans="1:9" ht="22.95" customHeight="1">
      <c r="A25" s="100"/>
      <c r="B25" s="100"/>
      <c r="C25" s="100"/>
      <c r="D25" s="100"/>
      <c r="E25" s="100"/>
      <c r="F25" s="100"/>
      <c r="G25" s="100"/>
      <c r="H25" s="100"/>
      <c r="I25" s="100"/>
    </row>
    <row r="26" spans="1:9" ht="22.95" customHeight="1">
      <c r="A26" s="100"/>
      <c r="B26" s="100"/>
      <c r="C26" s="100"/>
      <c r="D26" s="100"/>
      <c r="E26" s="100"/>
      <c r="F26" s="100"/>
      <c r="G26" s="100"/>
      <c r="H26" s="100"/>
      <c r="I26" s="100"/>
    </row>
    <row r="27" spans="1:9" ht="22.95" customHeight="1">
      <c r="A27" s="100"/>
      <c r="B27" s="100"/>
      <c r="C27" s="100"/>
      <c r="D27" s="100"/>
      <c r="E27" s="100"/>
      <c r="F27" s="100"/>
      <c r="G27" s="100"/>
      <c r="H27" s="100"/>
      <c r="I27" s="100"/>
    </row>
    <row r="28" spans="1:9" ht="22.95" customHeight="1">
      <c r="A28" s="100"/>
      <c r="B28" s="100"/>
      <c r="C28" s="100"/>
      <c r="D28" s="100"/>
      <c r="E28" s="100"/>
      <c r="F28" s="100"/>
      <c r="G28" s="100"/>
      <c r="H28" s="100"/>
      <c r="I28" s="100"/>
    </row>
  </sheetData>
  <mergeCells count="2">
    <mergeCell ref="R3:R6"/>
    <mergeCell ref="A1:R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U19"/>
  <sheetViews>
    <sheetView zoomScale="80" zoomScaleNormal="80" workbookViewId="0">
      <pane xSplit="1" topLeftCell="B1" activePane="topRight" state="frozen"/>
      <selection pane="topRight" activeCell="I16" sqref="I16"/>
    </sheetView>
  </sheetViews>
  <sheetFormatPr defaultColWidth="9.33203125" defaultRowHeight="13.8"/>
  <cols>
    <col min="1" max="1" width="49.6640625" style="57" customWidth="1"/>
    <col min="2" max="4" width="20.33203125" style="57" customWidth="1"/>
    <col min="5" max="5" width="25.33203125" style="57" bestFit="1" customWidth="1"/>
    <col min="6" max="6" width="30.6640625" style="57" customWidth="1"/>
    <col min="7" max="7" width="23.6640625" style="57" customWidth="1"/>
    <col min="8" max="8" width="13.6640625" style="57" customWidth="1"/>
    <col min="9" max="9" width="11.6640625" style="57" customWidth="1"/>
    <col min="10" max="10" width="13.6640625" style="57" customWidth="1"/>
    <col min="11" max="11" width="68.33203125" style="57" customWidth="1"/>
    <col min="12" max="12" width="12.33203125" style="57" customWidth="1"/>
    <col min="13" max="13" width="13.6640625" style="57" customWidth="1"/>
    <col min="14" max="14" width="12.33203125" style="57" customWidth="1"/>
    <col min="15" max="15" width="18.109375" style="57" customWidth="1"/>
    <col min="16" max="16" width="17.109375" style="57" customWidth="1"/>
    <col min="17" max="17" width="22.44140625" style="57" customWidth="1"/>
    <col min="18" max="18" width="21.6640625" style="57" customWidth="1"/>
    <col min="19" max="19" width="9.33203125" style="57" customWidth="1"/>
    <col min="20" max="20" width="23.33203125" style="57" customWidth="1"/>
    <col min="21" max="24" width="11.33203125" style="57" customWidth="1"/>
    <col min="25" max="16384" width="9.33203125" style="57"/>
  </cols>
  <sheetData>
    <row r="1" spans="1:21" ht="24.6" customHeight="1" thickBot="1">
      <c r="A1" s="462" t="s">
        <v>263</v>
      </c>
      <c r="B1" s="462"/>
      <c r="C1" s="462"/>
      <c r="D1" s="462"/>
      <c r="E1" s="462"/>
      <c r="F1" s="462"/>
      <c r="G1" s="462"/>
      <c r="H1" s="462"/>
      <c r="I1" s="462"/>
      <c r="J1" s="462"/>
      <c r="K1" s="88"/>
      <c r="L1" s="4"/>
      <c r="M1" s="4"/>
      <c r="N1" s="4"/>
      <c r="O1" s="4"/>
      <c r="P1" s="4"/>
      <c r="Q1" s="4"/>
      <c r="R1" s="4"/>
      <c r="S1" s="4"/>
      <c r="T1" s="4"/>
      <c r="U1" s="4"/>
    </row>
    <row r="2" spans="1:21" ht="76.2" customHeight="1">
      <c r="A2" s="161" t="s">
        <v>264</v>
      </c>
      <c r="B2" s="143" t="s">
        <v>89</v>
      </c>
      <c r="C2" s="144" t="s">
        <v>265</v>
      </c>
      <c r="D2" s="145" t="s">
        <v>266</v>
      </c>
      <c r="E2" s="145" t="s">
        <v>267</v>
      </c>
      <c r="F2" s="145" t="s">
        <v>268</v>
      </c>
      <c r="G2" s="145" t="s">
        <v>269</v>
      </c>
      <c r="H2" s="145" t="s">
        <v>270</v>
      </c>
      <c r="I2" s="145" t="s">
        <v>271</v>
      </c>
      <c r="J2" s="146" t="s">
        <v>272</v>
      </c>
      <c r="K2" s="147" t="s">
        <v>42</v>
      </c>
      <c r="L2" s="4"/>
      <c r="M2" s="4"/>
      <c r="N2" s="4"/>
      <c r="O2" s="4"/>
      <c r="P2" s="4"/>
      <c r="Q2" s="4"/>
      <c r="R2" s="4"/>
      <c r="S2" s="4"/>
      <c r="T2" s="4"/>
      <c r="U2" s="4"/>
    </row>
    <row r="3" spans="1:21" ht="23.4" customHeight="1">
      <c r="A3" s="276" t="str">
        <f>Zones!B3</f>
        <v>Exhibits and events_Conference Room</v>
      </c>
      <c r="B3" s="128">
        <f>Zones!M3</f>
        <v>1056.924</v>
      </c>
      <c r="C3" s="128">
        <f>Zones!I3</f>
        <v>32028</v>
      </c>
      <c r="D3" s="303">
        <v>15</v>
      </c>
      <c r="E3" s="303">
        <v>0.15</v>
      </c>
      <c r="F3" s="118"/>
      <c r="G3" s="372">
        <f t="shared" ref="G3" si="0">B3*D3</f>
        <v>15853.86</v>
      </c>
      <c r="H3" s="373">
        <f t="shared" ref="H3" si="1">C3*E3</f>
        <v>4804.2</v>
      </c>
      <c r="I3" s="373">
        <f t="shared" ref="I3" si="2">F3*C3</f>
        <v>0</v>
      </c>
      <c r="J3" s="372">
        <f>MAX(G3,H3,I3)</f>
        <v>15853.86</v>
      </c>
      <c r="K3" s="372"/>
      <c r="L3" s="4"/>
      <c r="M3" s="4"/>
      <c r="N3" s="4"/>
      <c r="O3" s="4"/>
      <c r="P3" s="4"/>
      <c r="Q3" s="4"/>
      <c r="R3" s="4"/>
      <c r="S3" s="4"/>
      <c r="T3" s="4"/>
      <c r="U3" s="99"/>
    </row>
    <row r="4" spans="1:21" ht="25.2" customHeight="1">
      <c r="A4" s="276" t="str">
        <f>Zones!B4</f>
        <v>Exhibits and events_Theater Area</v>
      </c>
      <c r="B4" s="128">
        <f>Zones!M4</f>
        <v>1895.7</v>
      </c>
      <c r="C4" s="128">
        <f>Zones!I4</f>
        <v>26700</v>
      </c>
      <c r="D4" s="303">
        <v>15</v>
      </c>
      <c r="E4" s="303">
        <v>0.15</v>
      </c>
      <c r="F4" s="118"/>
      <c r="G4" s="372">
        <f t="shared" ref="G4:G19" si="3">B4*D4</f>
        <v>28435.5</v>
      </c>
      <c r="H4" s="373">
        <f t="shared" ref="H4:H19" si="4">C4*E4</f>
        <v>4005</v>
      </c>
      <c r="I4" s="373">
        <f t="shared" ref="I4:I19" si="5">F4*C4</f>
        <v>0</v>
      </c>
      <c r="J4" s="372">
        <f t="shared" ref="J4:J19" si="6">MAX(G4,H4,I4)</f>
        <v>28435.5</v>
      </c>
      <c r="K4" s="372"/>
      <c r="L4" s="4"/>
      <c r="M4" s="4"/>
      <c r="N4" s="4"/>
      <c r="O4" s="4"/>
      <c r="P4" s="4"/>
      <c r="Q4" s="4"/>
      <c r="R4" s="4"/>
      <c r="S4" s="4"/>
      <c r="T4" s="4"/>
      <c r="U4" s="4"/>
    </row>
    <row r="5" spans="1:21" ht="28.95" customHeight="1">
      <c r="A5" s="276" t="str">
        <f>Zones!B5</f>
        <v>Exhibits and events_Auditorium Area</v>
      </c>
      <c r="B5" s="128">
        <f>Zones!M5</f>
        <v>1893.144</v>
      </c>
      <c r="C5" s="128">
        <f>Zones!I5</f>
        <v>26664</v>
      </c>
      <c r="D5" s="303">
        <v>15</v>
      </c>
      <c r="E5" s="303">
        <v>0.15</v>
      </c>
      <c r="F5" s="118"/>
      <c r="G5" s="372">
        <f t="shared" si="3"/>
        <v>28397.16</v>
      </c>
      <c r="H5" s="373">
        <f t="shared" si="4"/>
        <v>3999.6</v>
      </c>
      <c r="I5" s="373">
        <f t="shared" si="5"/>
        <v>0</v>
      </c>
      <c r="J5" s="372">
        <f t="shared" si="6"/>
        <v>28397.16</v>
      </c>
      <c r="K5" s="372"/>
      <c r="L5" s="4"/>
      <c r="M5" s="4"/>
      <c r="N5" s="4"/>
      <c r="O5" s="4"/>
      <c r="P5" s="4"/>
      <c r="Q5" s="4"/>
      <c r="R5" s="4"/>
      <c r="S5" s="4"/>
      <c r="T5" s="4"/>
      <c r="U5" s="4"/>
    </row>
    <row r="6" spans="1:21" ht="28.95" customHeight="1">
      <c r="A6" s="276" t="str">
        <f>Zones!B6</f>
        <v>Exhibits and events_Museum Area Exhibition Display</v>
      </c>
      <c r="B6" s="128">
        <f>Zones!M6</f>
        <v>362.50799999999998</v>
      </c>
      <c r="C6" s="128">
        <f>Zones!I6</f>
        <v>21324</v>
      </c>
      <c r="D6" s="303">
        <v>15</v>
      </c>
      <c r="E6" s="303">
        <v>0.15</v>
      </c>
      <c r="F6" s="118"/>
      <c r="G6" s="372">
        <f t="shared" si="3"/>
        <v>5437.62</v>
      </c>
      <c r="H6" s="373">
        <f t="shared" si="4"/>
        <v>3198.6</v>
      </c>
      <c r="I6" s="373">
        <f t="shared" si="5"/>
        <v>0</v>
      </c>
      <c r="J6" s="372">
        <f t="shared" si="6"/>
        <v>5437.62</v>
      </c>
      <c r="K6" s="372"/>
      <c r="L6" s="4"/>
      <c r="M6" s="4"/>
      <c r="N6" s="4"/>
      <c r="O6" s="4"/>
      <c r="P6" s="4"/>
      <c r="Q6" s="4"/>
      <c r="R6" s="4"/>
      <c r="S6" s="4"/>
      <c r="T6" s="4"/>
      <c r="U6" s="4"/>
    </row>
    <row r="7" spans="1:21" ht="28.95" customHeight="1">
      <c r="A7" s="276" t="str">
        <f>Zones!B7</f>
        <v>Library_Conference Room</v>
      </c>
      <c r="B7" s="128">
        <f>Zones!M7</f>
        <v>42.9</v>
      </c>
      <c r="C7" s="128">
        <f>Zones!I7</f>
        <v>1300</v>
      </c>
      <c r="D7" s="303">
        <v>15</v>
      </c>
      <c r="E7" s="303">
        <v>0.15</v>
      </c>
      <c r="F7" s="118"/>
      <c r="G7" s="372">
        <f t="shared" si="3"/>
        <v>643.5</v>
      </c>
      <c r="H7" s="373">
        <f t="shared" si="4"/>
        <v>195</v>
      </c>
      <c r="I7" s="373">
        <f t="shared" si="5"/>
        <v>0</v>
      </c>
      <c r="J7" s="372">
        <f t="shared" si="6"/>
        <v>643.5</v>
      </c>
      <c r="K7" s="372"/>
      <c r="L7" s="4"/>
      <c r="M7" s="4"/>
      <c r="N7" s="4"/>
      <c r="O7" s="4"/>
      <c r="P7" s="4"/>
      <c r="Q7" s="4"/>
      <c r="R7" s="4"/>
      <c r="S7" s="4"/>
      <c r="T7" s="4"/>
      <c r="U7" s="4"/>
    </row>
    <row r="8" spans="1:21" ht="23.4" customHeight="1">
      <c r="A8" s="276" t="str">
        <f>Zones!B8</f>
        <v>Library_Reading Area</v>
      </c>
      <c r="B8" s="128">
        <f>Zones!M8</f>
        <v>77.98</v>
      </c>
      <c r="C8" s="128">
        <f>Zones!I8</f>
        <v>7798</v>
      </c>
      <c r="D8" s="303">
        <v>15</v>
      </c>
      <c r="E8" s="303">
        <v>0.15</v>
      </c>
      <c r="F8" s="303"/>
      <c r="G8" s="372">
        <f t="shared" si="3"/>
        <v>1169.7</v>
      </c>
      <c r="H8" s="373">
        <f t="shared" si="4"/>
        <v>1169.7</v>
      </c>
      <c r="I8" s="373">
        <f t="shared" si="5"/>
        <v>0</v>
      </c>
      <c r="J8" s="372">
        <f t="shared" si="6"/>
        <v>1169.7</v>
      </c>
      <c r="K8" s="372"/>
      <c r="L8" s="4"/>
      <c r="M8" s="4"/>
      <c r="N8" s="4"/>
      <c r="O8" s="4"/>
      <c r="P8" s="4"/>
      <c r="Q8" s="4"/>
      <c r="R8" s="4"/>
      <c r="S8" s="4"/>
      <c r="T8" s="4"/>
      <c r="U8" s="4"/>
    </row>
    <row r="9" spans="1:21" ht="24.6" customHeight="1">
      <c r="A9" s="276" t="str">
        <f>Zones!B9</f>
        <v>Library_Stacks Area</v>
      </c>
      <c r="B9" s="128">
        <f>Zones!M9</f>
        <v>155.96</v>
      </c>
      <c r="C9" s="128">
        <f>Zones!I9</f>
        <v>15596</v>
      </c>
      <c r="D9" s="303">
        <v>15</v>
      </c>
      <c r="E9" s="303">
        <v>0.15</v>
      </c>
      <c r="F9" s="303"/>
      <c r="G9" s="372">
        <f t="shared" si="3"/>
        <v>2339.4</v>
      </c>
      <c r="H9" s="373">
        <f t="shared" si="4"/>
        <v>2339.4</v>
      </c>
      <c r="I9" s="373">
        <f t="shared" si="5"/>
        <v>0</v>
      </c>
      <c r="J9" s="372">
        <f t="shared" si="6"/>
        <v>2339.4</v>
      </c>
      <c r="K9" s="303"/>
      <c r="L9" s="4"/>
      <c r="M9" s="4"/>
      <c r="N9" s="4"/>
      <c r="O9" s="4"/>
      <c r="P9" s="4"/>
      <c r="Q9" s="4"/>
      <c r="R9" s="4"/>
      <c r="S9" s="4"/>
      <c r="T9" s="4"/>
      <c r="U9" s="4"/>
    </row>
    <row r="10" spans="1:21" ht="24.6" customHeight="1">
      <c r="A10" s="276" t="str">
        <f>Zones!B10</f>
        <v>Library_Lobby Main Entry</v>
      </c>
      <c r="B10" s="128">
        <f>Zones!M10</f>
        <v>42.9</v>
      </c>
      <c r="C10" s="128">
        <f>Zones!I10</f>
        <v>1300</v>
      </c>
      <c r="D10" s="303">
        <v>15</v>
      </c>
      <c r="E10" s="303">
        <v>0.15</v>
      </c>
      <c r="F10" s="303"/>
      <c r="G10" s="372">
        <f t="shared" si="3"/>
        <v>643.5</v>
      </c>
      <c r="H10" s="373">
        <f t="shared" si="4"/>
        <v>195</v>
      </c>
      <c r="I10" s="373">
        <f t="shared" si="5"/>
        <v>0</v>
      </c>
      <c r="J10" s="372">
        <f t="shared" si="6"/>
        <v>643.5</v>
      </c>
      <c r="K10" s="303"/>
      <c r="L10" s="4"/>
      <c r="M10" s="4"/>
      <c r="N10" s="4"/>
      <c r="O10" s="4"/>
      <c r="P10" s="4"/>
      <c r="Q10" s="4"/>
      <c r="R10" s="4"/>
      <c r="S10" s="4"/>
      <c r="T10" s="4"/>
      <c r="U10" s="4"/>
    </row>
    <row r="11" spans="1:21" ht="24.6" customHeight="1">
      <c r="A11" s="276" t="str">
        <f>Zones!B11</f>
        <v>Religious_Conference Room</v>
      </c>
      <c r="B11" s="128">
        <f>Zones!M11</f>
        <v>204.63300000000001</v>
      </c>
      <c r="C11" s="128">
        <f>Zones!I11</f>
        <v>6201</v>
      </c>
      <c r="D11" s="303">
        <v>15</v>
      </c>
      <c r="E11" s="303">
        <v>0.15</v>
      </c>
      <c r="F11" s="303"/>
      <c r="G11" s="372">
        <f t="shared" si="3"/>
        <v>3069.4950000000003</v>
      </c>
      <c r="H11" s="373">
        <f t="shared" si="4"/>
        <v>930.15</v>
      </c>
      <c r="I11" s="373">
        <f t="shared" si="5"/>
        <v>0</v>
      </c>
      <c r="J11" s="372">
        <f t="shared" si="6"/>
        <v>3069.4950000000003</v>
      </c>
      <c r="K11" s="303"/>
      <c r="L11" s="4"/>
      <c r="M11" s="4"/>
      <c r="N11" s="4"/>
      <c r="O11" s="4"/>
      <c r="P11" s="4"/>
      <c r="Q11" s="4"/>
      <c r="R11" s="4"/>
      <c r="S11" s="4"/>
      <c r="T11" s="4"/>
      <c r="U11" s="4"/>
    </row>
    <row r="12" spans="1:21" ht="24.6" customHeight="1">
      <c r="A12" s="276" t="str">
        <f>Zones!B12</f>
        <v>Religious_General Office</v>
      </c>
      <c r="B12" s="128">
        <f>Zones!M12</f>
        <v>31.004999999999999</v>
      </c>
      <c r="C12" s="128">
        <f>Zones!I12</f>
        <v>6201</v>
      </c>
      <c r="D12" s="303">
        <v>15</v>
      </c>
      <c r="E12" s="303">
        <v>0.15</v>
      </c>
      <c r="F12" s="303"/>
      <c r="G12" s="372">
        <f t="shared" si="3"/>
        <v>465.07499999999999</v>
      </c>
      <c r="H12" s="373">
        <f t="shared" si="4"/>
        <v>930.15</v>
      </c>
      <c r="I12" s="373">
        <f t="shared" si="5"/>
        <v>0</v>
      </c>
      <c r="J12" s="372">
        <f t="shared" si="6"/>
        <v>930.15</v>
      </c>
      <c r="K12" s="303"/>
      <c r="L12" s="4"/>
      <c r="M12" s="4"/>
      <c r="N12" s="4"/>
      <c r="O12" s="4"/>
      <c r="P12" s="4"/>
      <c r="Q12" s="4"/>
      <c r="R12" s="4"/>
      <c r="S12" s="4"/>
      <c r="T12" s="4"/>
      <c r="U12" s="4"/>
    </row>
    <row r="13" spans="1:21" ht="24.6" customHeight="1">
      <c r="A13" s="276" t="str">
        <f>Zones!B13</f>
        <v>Religious_Worship Area</v>
      </c>
      <c r="B13" s="128">
        <f>Zones!M13</f>
        <v>3521.529</v>
      </c>
      <c r="C13" s="128">
        <f>Zones!I13</f>
        <v>49599</v>
      </c>
      <c r="D13" s="303">
        <v>15</v>
      </c>
      <c r="E13" s="303">
        <v>0.15</v>
      </c>
      <c r="F13" s="303"/>
      <c r="G13" s="372">
        <f t="shared" si="3"/>
        <v>52822.934999999998</v>
      </c>
      <c r="H13" s="373">
        <f t="shared" si="4"/>
        <v>7439.8499999999995</v>
      </c>
      <c r="I13" s="373">
        <f t="shared" si="5"/>
        <v>0</v>
      </c>
      <c r="J13" s="372">
        <f t="shared" si="6"/>
        <v>52822.934999999998</v>
      </c>
      <c r="K13" s="303"/>
      <c r="L13" s="4"/>
      <c r="M13" s="4"/>
      <c r="N13" s="4"/>
      <c r="O13" s="4"/>
      <c r="P13" s="4"/>
      <c r="Q13" s="4"/>
      <c r="R13" s="4"/>
      <c r="S13" s="4"/>
      <c r="T13" s="4"/>
      <c r="U13" s="4"/>
    </row>
    <row r="14" spans="1:21" ht="24.6" customHeight="1">
      <c r="A14" s="276" t="str">
        <f>Zones!B14</f>
        <v>Sports and recreation_GYM</v>
      </c>
      <c r="B14" s="128">
        <f>Zones!M14</f>
        <v>810.55</v>
      </c>
      <c r="C14" s="128">
        <f>Zones!I14</f>
        <v>81055</v>
      </c>
      <c r="D14" s="303">
        <v>15</v>
      </c>
      <c r="E14" s="303">
        <v>0.15</v>
      </c>
      <c r="F14" s="304"/>
      <c r="G14" s="372">
        <f t="shared" si="3"/>
        <v>12158.25</v>
      </c>
      <c r="H14" s="373">
        <f t="shared" si="4"/>
        <v>12158.25</v>
      </c>
      <c r="I14" s="373">
        <f t="shared" si="5"/>
        <v>0</v>
      </c>
      <c r="J14" s="372">
        <f t="shared" si="6"/>
        <v>12158.25</v>
      </c>
      <c r="K14" s="303"/>
      <c r="L14" s="4"/>
      <c r="M14" s="4"/>
      <c r="N14" s="4"/>
      <c r="O14" s="4"/>
      <c r="P14" s="4"/>
      <c r="Q14" s="4"/>
      <c r="R14" s="4"/>
      <c r="S14" s="4"/>
      <c r="T14" s="4"/>
      <c r="U14" s="4"/>
    </row>
    <row r="15" spans="1:21" ht="24.6" customHeight="1">
      <c r="A15" s="276" t="str">
        <f>Zones!B15</f>
        <v>Sports and recreation_Locker Room</v>
      </c>
      <c r="B15" s="128">
        <f>Zones!M15</f>
        <v>303.33999999999997</v>
      </c>
      <c r="C15" s="128">
        <f>Zones!I15</f>
        <v>15167</v>
      </c>
      <c r="D15" s="303">
        <v>15</v>
      </c>
      <c r="E15" s="303">
        <v>0.15</v>
      </c>
      <c r="F15" s="303">
        <v>0.5</v>
      </c>
      <c r="G15" s="372">
        <f t="shared" si="3"/>
        <v>4550.0999999999995</v>
      </c>
      <c r="H15" s="373">
        <f t="shared" si="4"/>
        <v>2275.0499999999997</v>
      </c>
      <c r="I15" s="373">
        <f>F15*C15</f>
        <v>7583.5</v>
      </c>
      <c r="J15" s="372">
        <f>MAX(G15,H15,I15)</f>
        <v>7583.5</v>
      </c>
      <c r="K15" s="303"/>
      <c r="L15" s="4"/>
      <c r="M15" s="4"/>
      <c r="N15" s="4"/>
      <c r="O15" s="4"/>
      <c r="P15" s="4"/>
      <c r="Q15" s="4"/>
      <c r="R15" s="4"/>
      <c r="S15" s="4"/>
      <c r="T15" s="4"/>
      <c r="U15" s="4"/>
    </row>
    <row r="16" spans="1:21" ht="46.5" customHeight="1">
      <c r="A16" s="276" t="str">
        <f>Zones!B16</f>
        <v>Sports and recreation_Restroom</v>
      </c>
      <c r="B16" s="128">
        <f>Zones!M16</f>
        <v>50.75</v>
      </c>
      <c r="C16" s="128">
        <f>Zones!I16</f>
        <v>5075</v>
      </c>
      <c r="D16" s="303">
        <v>0</v>
      </c>
      <c r="E16" s="303">
        <v>0</v>
      </c>
      <c r="F16" s="303" t="s">
        <v>273</v>
      </c>
      <c r="G16" s="372">
        <f t="shared" si="3"/>
        <v>0</v>
      </c>
      <c r="H16" s="373">
        <f t="shared" si="4"/>
        <v>0</v>
      </c>
      <c r="I16" s="373">
        <f>50*6</f>
        <v>300</v>
      </c>
      <c r="J16" s="372">
        <f>MAX(G16,H16,I16)</f>
        <v>300</v>
      </c>
      <c r="K16" s="148" t="s">
        <v>274</v>
      </c>
      <c r="L16" s="4"/>
      <c r="M16" s="4"/>
      <c r="N16" s="4"/>
      <c r="O16" s="4"/>
      <c r="P16" s="4"/>
      <c r="Q16" s="4"/>
      <c r="R16" s="4"/>
      <c r="S16" s="4"/>
      <c r="T16" s="4"/>
      <c r="U16" s="4"/>
    </row>
    <row r="17" spans="1:11" ht="24.6" customHeight="1">
      <c r="A17" s="276" t="str">
        <f>Zones!B17</f>
        <v>Terminals_Concourse</v>
      </c>
      <c r="B17" s="128">
        <f>Zones!M17</f>
        <v>296.10599999999999</v>
      </c>
      <c r="C17" s="128">
        <f>Zones!I17</f>
        <v>17418</v>
      </c>
      <c r="D17" s="303">
        <v>15</v>
      </c>
      <c r="E17" s="303">
        <v>0.15</v>
      </c>
      <c r="F17" s="303"/>
      <c r="G17" s="372">
        <f t="shared" si="3"/>
        <v>4441.59</v>
      </c>
      <c r="H17" s="373">
        <f t="shared" si="4"/>
        <v>2612.6999999999998</v>
      </c>
      <c r="I17" s="373">
        <f t="shared" si="5"/>
        <v>0</v>
      </c>
      <c r="J17" s="372">
        <f t="shared" si="6"/>
        <v>4441.59</v>
      </c>
      <c r="K17" s="303"/>
    </row>
    <row r="18" spans="1:11" ht="24.6" customHeight="1">
      <c r="A18" s="276" t="str">
        <f>Zones!B18</f>
        <v>Terminals_Baggage</v>
      </c>
      <c r="B18" s="128">
        <f>Zones!M18</f>
        <v>31.779</v>
      </c>
      <c r="C18" s="128">
        <f>Zones!I18</f>
        <v>963</v>
      </c>
      <c r="D18" s="303">
        <v>15</v>
      </c>
      <c r="E18" s="303">
        <v>0.15</v>
      </c>
      <c r="F18" s="303"/>
      <c r="G18" s="372">
        <f t="shared" si="3"/>
        <v>476.685</v>
      </c>
      <c r="H18" s="373">
        <f t="shared" si="4"/>
        <v>144.44999999999999</v>
      </c>
      <c r="I18" s="373">
        <f t="shared" si="5"/>
        <v>0</v>
      </c>
      <c r="J18" s="372">
        <f t="shared" si="6"/>
        <v>476.685</v>
      </c>
      <c r="K18" s="303"/>
    </row>
    <row r="19" spans="1:11" ht="24.6" customHeight="1">
      <c r="A19" s="276" t="str">
        <f>Zones!B19</f>
        <v>Terminals_Ticket</v>
      </c>
      <c r="B19" s="128">
        <f>Zones!M19</f>
        <v>31.779</v>
      </c>
      <c r="C19" s="128">
        <f>Zones!I19</f>
        <v>963</v>
      </c>
      <c r="D19" s="303">
        <v>15</v>
      </c>
      <c r="E19" s="303">
        <v>0.15</v>
      </c>
      <c r="F19" s="303"/>
      <c r="G19" s="372">
        <f t="shared" si="3"/>
        <v>476.685</v>
      </c>
      <c r="H19" s="373">
        <f t="shared" si="4"/>
        <v>144.44999999999999</v>
      </c>
      <c r="I19" s="373">
        <f t="shared" si="5"/>
        <v>0</v>
      </c>
      <c r="J19" s="372">
        <f t="shared" si="6"/>
        <v>476.685</v>
      </c>
      <c r="K19" s="303"/>
    </row>
  </sheetData>
  <mergeCells count="1">
    <mergeCell ref="A1:J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2D24-C8D3-4C44-B11E-A35F08FD0F65}">
  <dimension ref="A1:AM105"/>
  <sheetViews>
    <sheetView zoomScale="80" zoomScaleNormal="80" workbookViewId="0">
      <selection activeCell="E2" sqref="E2"/>
    </sheetView>
  </sheetViews>
  <sheetFormatPr defaultColWidth="8.6640625" defaultRowHeight="12.75" customHeight="1"/>
  <cols>
    <col min="1" max="1" width="35.88671875" style="6" customWidth="1"/>
    <col min="2" max="2" width="29.6640625" style="6" customWidth="1"/>
    <col min="3" max="3" width="23.109375" style="6" customWidth="1"/>
    <col min="4" max="4" width="33" style="6" customWidth="1"/>
    <col min="5" max="5" width="32.44140625" style="6" customWidth="1"/>
    <col min="6" max="6" width="25.5546875" style="6" customWidth="1"/>
    <col min="7" max="7" width="23" style="6" customWidth="1"/>
    <col min="8" max="8" width="27.44140625" style="6" customWidth="1"/>
    <col min="9" max="10" width="23" style="6" customWidth="1"/>
    <col min="11" max="11" width="19" style="6" customWidth="1"/>
    <col min="12" max="12" width="8.6640625" style="6" customWidth="1"/>
    <col min="13" max="13" width="15.33203125" style="6" customWidth="1"/>
    <col min="14" max="14" width="12.33203125" style="6" customWidth="1"/>
    <col min="15" max="15" width="13.33203125" style="6" customWidth="1"/>
    <col min="16" max="16" width="15.33203125" style="6" customWidth="1"/>
    <col min="17" max="17" width="11" style="6" customWidth="1"/>
    <col min="18" max="21" width="15.33203125" style="6" customWidth="1"/>
    <col min="22" max="22" width="7.6640625" style="6" hidden="1" customWidth="1"/>
    <col min="23" max="23" width="12.44140625" style="6" hidden="1" customWidth="1"/>
    <col min="24" max="39" width="6.5546875" style="6" hidden="1" customWidth="1"/>
    <col min="40" max="40" width="15.33203125" style="6" customWidth="1"/>
    <col min="41" max="41" width="11.33203125" style="6" customWidth="1"/>
    <col min="42" max="42" width="6.33203125" style="6" customWidth="1"/>
    <col min="43" max="46" width="4.6640625" style="6" customWidth="1"/>
    <col min="47" max="47" width="6.33203125" style="6" customWidth="1"/>
    <col min="48" max="62" width="4.6640625" style="6" customWidth="1"/>
    <col min="63" max="16384" width="8.6640625" style="6"/>
  </cols>
  <sheetData>
    <row r="1" spans="1:12" ht="24" customHeight="1">
      <c r="A1" s="466" t="s">
        <v>275</v>
      </c>
      <c r="B1" s="467"/>
      <c r="C1" s="467"/>
      <c r="D1" s="467"/>
      <c r="E1" s="467"/>
      <c r="F1" s="467"/>
      <c r="G1" s="467"/>
    </row>
    <row r="2" spans="1:12" ht="22.35" customHeight="1">
      <c r="A2" s="347" t="s">
        <v>146</v>
      </c>
      <c r="B2" s="347" t="s">
        <v>276</v>
      </c>
      <c r="C2" s="347" t="s">
        <v>277</v>
      </c>
      <c r="D2" s="400" t="s">
        <v>278</v>
      </c>
      <c r="E2" s="401" t="s">
        <v>279</v>
      </c>
      <c r="F2" s="348" t="s">
        <v>280</v>
      </c>
      <c r="G2" s="348" t="s">
        <v>204</v>
      </c>
      <c r="H2" s="225"/>
    </row>
    <row r="3" spans="1:12" ht="61.5" customHeight="1">
      <c r="A3" s="295" t="s">
        <v>281</v>
      </c>
      <c r="B3" s="295" t="s">
        <v>282</v>
      </c>
      <c r="C3" s="84">
        <v>0.8</v>
      </c>
      <c r="D3" s="291">
        <v>1</v>
      </c>
      <c r="E3" s="289" t="s">
        <v>283</v>
      </c>
      <c r="F3" s="290" t="s">
        <v>284</v>
      </c>
      <c r="G3" s="304" t="s">
        <v>285</v>
      </c>
      <c r="H3" s="226"/>
    </row>
    <row r="4" spans="1:12" ht="63.75" customHeight="1">
      <c r="A4" s="295" t="s">
        <v>212</v>
      </c>
      <c r="B4" s="295" t="s">
        <v>282</v>
      </c>
      <c r="C4" s="84">
        <v>0.8</v>
      </c>
      <c r="D4" s="291">
        <v>1</v>
      </c>
      <c r="E4" s="289" t="str">
        <f>E3</f>
        <v>See table below for CZ-specific values: Climate Zone Water Heater Sizing and Loss Coefficients, Storage Volume column (col F)</v>
      </c>
      <c r="F4" s="289" t="str">
        <f>F3</f>
        <v>See table below: Climate Zone Water Heater Sizing and Loss Coefficients, Standby Loss column (col G)</v>
      </c>
      <c r="G4" s="304" t="str">
        <f>G3</f>
        <v>See table below for sources: Climate Zone Water Heater Sizing and Loss Coefficients</v>
      </c>
      <c r="H4" s="226"/>
    </row>
    <row r="5" spans="1:12" ht="40.950000000000003" customHeight="1">
      <c r="F5" s="12"/>
    </row>
    <row r="6" spans="1:12" ht="16.2" customHeight="1">
      <c r="A6" s="466" t="s">
        <v>286</v>
      </c>
      <c r="B6" s="467"/>
      <c r="C6" s="467"/>
      <c r="D6" s="467"/>
      <c r="E6" s="467"/>
      <c r="F6" s="467"/>
      <c r="G6" s="467"/>
      <c r="H6" s="467"/>
      <c r="I6" s="87"/>
    </row>
    <row r="7" spans="1:12" ht="73.5" customHeight="1">
      <c r="A7" s="311" t="s">
        <v>287</v>
      </c>
      <c r="B7" s="311" t="s">
        <v>288</v>
      </c>
      <c r="C7" s="311" t="s">
        <v>289</v>
      </c>
      <c r="D7" s="311" t="s">
        <v>89</v>
      </c>
      <c r="E7" s="311" t="s">
        <v>290</v>
      </c>
      <c r="F7" s="311" t="s">
        <v>291</v>
      </c>
      <c r="G7" s="311" t="s">
        <v>292</v>
      </c>
      <c r="H7" s="67" t="s">
        <v>194</v>
      </c>
      <c r="I7"/>
      <c r="J7"/>
      <c r="K7"/>
      <c r="L7"/>
    </row>
    <row r="8" spans="1:12" ht="22.2" customHeight="1">
      <c r="A8" s="116" t="str">
        <f>Zones!B3</f>
        <v>Exhibits and events_Conference Room</v>
      </c>
      <c r="B8" s="16" t="s">
        <v>282</v>
      </c>
      <c r="C8" s="73">
        <f>Zones!I3</f>
        <v>32028</v>
      </c>
      <c r="D8" s="73">
        <f>Zones!M3</f>
        <v>1056.924</v>
      </c>
      <c r="E8" s="76">
        <v>0.09</v>
      </c>
      <c r="F8" s="155">
        <f>E8*D8</f>
        <v>95.123159999999999</v>
      </c>
      <c r="G8" s="227">
        <f>F8/60</f>
        <v>1.585386</v>
      </c>
      <c r="H8" s="474" t="s">
        <v>293</v>
      </c>
      <c r="I8"/>
      <c r="J8"/>
      <c r="K8"/>
      <c r="L8"/>
    </row>
    <row r="9" spans="1:12" ht="22.2" customHeight="1">
      <c r="A9" s="116" t="str">
        <f>Zones!B4</f>
        <v>Exhibits and events_Theater Area</v>
      </c>
      <c r="B9" s="16" t="s">
        <v>282</v>
      </c>
      <c r="C9" s="73">
        <f>Zones!I4</f>
        <v>26700</v>
      </c>
      <c r="D9" s="73">
        <f>Zones!M4</f>
        <v>1895.7</v>
      </c>
      <c r="E9" s="76">
        <v>0.09</v>
      </c>
      <c r="F9" s="155">
        <f t="shared" ref="F9:F24" si="0">E9*D9</f>
        <v>170.613</v>
      </c>
      <c r="G9" s="227">
        <f t="shared" ref="G9:G24" si="1">F9/60</f>
        <v>2.84355</v>
      </c>
      <c r="H9" s="475"/>
      <c r="I9"/>
      <c r="J9"/>
      <c r="K9"/>
      <c r="L9"/>
    </row>
    <row r="10" spans="1:12" ht="22.2" customHeight="1">
      <c r="A10" s="116" t="str">
        <f>Zones!B5</f>
        <v>Exhibits and events_Auditorium Area</v>
      </c>
      <c r="B10" s="16" t="s">
        <v>282</v>
      </c>
      <c r="C10" s="73">
        <f>Zones!I5</f>
        <v>26664</v>
      </c>
      <c r="D10" s="73">
        <f>Zones!M5</f>
        <v>1893.144</v>
      </c>
      <c r="E10" s="76">
        <v>0.09</v>
      </c>
      <c r="F10" s="155">
        <f t="shared" si="0"/>
        <v>170.38296</v>
      </c>
      <c r="G10" s="227">
        <f t="shared" si="1"/>
        <v>2.8397160000000001</v>
      </c>
      <c r="H10" s="475"/>
      <c r="I10"/>
      <c r="J10"/>
      <c r="K10"/>
      <c r="L10"/>
    </row>
    <row r="11" spans="1:12" ht="26.25" customHeight="1">
      <c r="A11" s="116" t="str">
        <f>Zones!B6</f>
        <v>Exhibits and events_Museum Area Exhibition Display</v>
      </c>
      <c r="B11" s="16" t="s">
        <v>282</v>
      </c>
      <c r="C11" s="73">
        <f>Zones!I6</f>
        <v>21324</v>
      </c>
      <c r="D11" s="73">
        <f>Zones!M6</f>
        <v>362.50799999999998</v>
      </c>
      <c r="E11" s="76">
        <v>0.09</v>
      </c>
      <c r="F11" s="155">
        <f t="shared" si="0"/>
        <v>32.625719999999994</v>
      </c>
      <c r="G11" s="227">
        <f t="shared" si="1"/>
        <v>0.54376199999999986</v>
      </c>
      <c r="H11" s="475"/>
      <c r="I11"/>
      <c r="J11"/>
      <c r="K11"/>
      <c r="L11"/>
    </row>
    <row r="12" spans="1:12" ht="22.2" customHeight="1">
      <c r="A12" s="116" t="str">
        <f>Zones!B7</f>
        <v>Library_Conference Room</v>
      </c>
      <c r="B12" s="16" t="s">
        <v>282</v>
      </c>
      <c r="C12" s="73">
        <f>Zones!I7</f>
        <v>1300</v>
      </c>
      <c r="D12" s="73">
        <f>Zones!M7</f>
        <v>42.9</v>
      </c>
      <c r="E12" s="76">
        <v>0.09</v>
      </c>
      <c r="F12" s="155">
        <f>E12*D12</f>
        <v>3.8609999999999998</v>
      </c>
      <c r="G12" s="227">
        <f>F12/60</f>
        <v>6.4349999999999991E-2</v>
      </c>
      <c r="H12" s="475"/>
      <c r="I12"/>
      <c r="J12"/>
      <c r="K12"/>
      <c r="L12"/>
    </row>
    <row r="13" spans="1:12" ht="28.2" customHeight="1">
      <c r="A13" s="116" t="str">
        <f>Zones!B8</f>
        <v>Library_Reading Area</v>
      </c>
      <c r="B13" s="16" t="s">
        <v>282</v>
      </c>
      <c r="C13" s="73">
        <f>Zones!I8</f>
        <v>7798</v>
      </c>
      <c r="D13" s="73">
        <f>Zones!M8</f>
        <v>77.98</v>
      </c>
      <c r="E13" s="76">
        <v>0.18</v>
      </c>
      <c r="F13" s="155">
        <f t="shared" si="0"/>
        <v>14.0364</v>
      </c>
      <c r="G13" s="227">
        <f>F13/60</f>
        <v>0.23394000000000001</v>
      </c>
      <c r="H13" s="475"/>
      <c r="I13"/>
      <c r="J13"/>
      <c r="K13"/>
      <c r="L13"/>
    </row>
    <row r="14" spans="1:12" ht="28.2" customHeight="1">
      <c r="A14" s="116" t="str">
        <f>Zones!B9</f>
        <v>Library_Stacks Area</v>
      </c>
      <c r="B14" s="16" t="s">
        <v>282</v>
      </c>
      <c r="C14" s="73">
        <f>Zones!I9</f>
        <v>15596</v>
      </c>
      <c r="D14" s="73">
        <f>Zones!M9</f>
        <v>155.96</v>
      </c>
      <c r="E14" s="76">
        <v>0.18</v>
      </c>
      <c r="F14" s="155">
        <f t="shared" si="0"/>
        <v>28.072800000000001</v>
      </c>
      <c r="G14" s="227">
        <f t="shared" si="1"/>
        <v>0.46788000000000002</v>
      </c>
      <c r="H14" s="475"/>
      <c r="I14"/>
      <c r="J14"/>
      <c r="K14"/>
      <c r="L14"/>
    </row>
    <row r="15" spans="1:12" ht="28.2" customHeight="1">
      <c r="A15" s="116" t="str">
        <f>Zones!B10</f>
        <v>Library_Lobby Main Entry</v>
      </c>
      <c r="B15" s="16" t="s">
        <v>282</v>
      </c>
      <c r="C15" s="73">
        <f>Zones!I10</f>
        <v>1300</v>
      </c>
      <c r="D15" s="73">
        <f>Zones!M10</f>
        <v>42.9</v>
      </c>
      <c r="E15" s="76">
        <v>0.09</v>
      </c>
      <c r="F15" s="155">
        <f t="shared" si="0"/>
        <v>3.8609999999999998</v>
      </c>
      <c r="G15" s="227">
        <f t="shared" si="1"/>
        <v>6.4349999999999991E-2</v>
      </c>
      <c r="H15" s="475"/>
      <c r="I15"/>
      <c r="J15"/>
      <c r="K15"/>
      <c r="L15"/>
    </row>
    <row r="16" spans="1:12" ht="28.2" customHeight="1">
      <c r="A16" s="116" t="str">
        <f>Zones!B11</f>
        <v>Religious_Conference Room</v>
      </c>
      <c r="B16" s="16" t="s">
        <v>282</v>
      </c>
      <c r="C16" s="73">
        <f>Zones!I11</f>
        <v>6201</v>
      </c>
      <c r="D16" s="73">
        <f>Zones!M11</f>
        <v>204.63300000000001</v>
      </c>
      <c r="E16" s="76">
        <v>0.09</v>
      </c>
      <c r="F16" s="155">
        <f>E16*D16</f>
        <v>18.416969999999999</v>
      </c>
      <c r="G16" s="227">
        <f>F16/60</f>
        <v>0.30694949999999999</v>
      </c>
      <c r="H16" s="475"/>
      <c r="I16"/>
      <c r="J16"/>
      <c r="K16"/>
      <c r="L16"/>
    </row>
    <row r="17" spans="1:12" ht="25.2" customHeight="1">
      <c r="A17" s="116" t="str">
        <f>Zones!B12</f>
        <v>Religious_General Office</v>
      </c>
      <c r="B17" s="16" t="s">
        <v>282</v>
      </c>
      <c r="C17" s="73">
        <f>Zones!I12</f>
        <v>6201</v>
      </c>
      <c r="D17" s="73">
        <f>Zones!M12</f>
        <v>31.004999999999999</v>
      </c>
      <c r="E17" s="76">
        <v>0.18</v>
      </c>
      <c r="F17" s="155">
        <f t="shared" si="0"/>
        <v>5.5808999999999997</v>
      </c>
      <c r="G17" s="227">
        <f t="shared" si="1"/>
        <v>9.3015E-2</v>
      </c>
      <c r="H17" s="475"/>
      <c r="I17"/>
      <c r="J17"/>
      <c r="K17"/>
      <c r="L17"/>
    </row>
    <row r="18" spans="1:12" ht="25.2" customHeight="1">
      <c r="A18" s="116" t="str">
        <f>Zones!B13</f>
        <v>Religious_Worship Area</v>
      </c>
      <c r="B18" s="16" t="s">
        <v>282</v>
      </c>
      <c r="C18" s="73">
        <f>Zones!I13</f>
        <v>49599</v>
      </c>
      <c r="D18" s="73">
        <f>Zones!M13</f>
        <v>3521.529</v>
      </c>
      <c r="E18" s="76">
        <v>0.09</v>
      </c>
      <c r="F18" s="155">
        <f t="shared" si="0"/>
        <v>316.93761000000001</v>
      </c>
      <c r="G18" s="227">
        <f t="shared" si="1"/>
        <v>5.2822934999999998</v>
      </c>
      <c r="H18" s="475"/>
      <c r="I18"/>
      <c r="J18"/>
      <c r="K18"/>
      <c r="L18"/>
    </row>
    <row r="19" spans="1:12" ht="22.2" customHeight="1">
      <c r="A19" s="116" t="str">
        <f>Zones!B14</f>
        <v>Sports and recreation_GYM</v>
      </c>
      <c r="B19" s="16" t="s">
        <v>282</v>
      </c>
      <c r="C19" s="73">
        <f>Zones!I14</f>
        <v>81055</v>
      </c>
      <c r="D19" s="73">
        <f>Zones!M14</f>
        <v>810.55</v>
      </c>
      <c r="E19" s="76">
        <v>0.18</v>
      </c>
      <c r="F19" s="155">
        <f t="shared" si="0"/>
        <v>145.89899999999997</v>
      </c>
      <c r="G19" s="227">
        <f t="shared" si="1"/>
        <v>2.4316499999999994</v>
      </c>
      <c r="H19" s="475"/>
      <c r="I19"/>
      <c r="J19"/>
      <c r="K19"/>
      <c r="L19"/>
    </row>
    <row r="20" spans="1:12" ht="27" customHeight="1">
      <c r="A20" s="116" t="str">
        <f>Zones!B15</f>
        <v>Sports and recreation_Locker Room</v>
      </c>
      <c r="B20" s="16" t="s">
        <v>282</v>
      </c>
      <c r="C20" s="73">
        <f>Zones!I15</f>
        <v>15167</v>
      </c>
      <c r="D20" s="73">
        <f>Zones!M15</f>
        <v>303.33999999999997</v>
      </c>
      <c r="E20" s="76">
        <v>0.57799999999999996</v>
      </c>
      <c r="F20" s="155">
        <f t="shared" si="0"/>
        <v>175.33051999999998</v>
      </c>
      <c r="G20" s="227">
        <f t="shared" si="1"/>
        <v>2.9221753333333331</v>
      </c>
      <c r="H20" s="475"/>
      <c r="I20"/>
      <c r="J20"/>
      <c r="K20"/>
      <c r="L20"/>
    </row>
    <row r="21" spans="1:12" ht="27" customHeight="1">
      <c r="A21" s="116" t="str">
        <f>Zones!B16</f>
        <v>Sports and recreation_Restroom</v>
      </c>
      <c r="B21" s="16" t="s">
        <v>282</v>
      </c>
      <c r="C21" s="73">
        <f>Zones!I16</f>
        <v>5075</v>
      </c>
      <c r="D21" s="73">
        <f>Zones!M16</f>
        <v>50.75</v>
      </c>
      <c r="E21" s="76">
        <v>0</v>
      </c>
      <c r="F21" s="155">
        <f t="shared" si="0"/>
        <v>0</v>
      </c>
      <c r="G21" s="227">
        <f t="shared" si="1"/>
        <v>0</v>
      </c>
      <c r="H21" s="475"/>
      <c r="I21"/>
      <c r="J21"/>
      <c r="K21"/>
      <c r="L21"/>
    </row>
    <row r="22" spans="1:12" ht="27" customHeight="1">
      <c r="A22" s="116" t="str">
        <f>Zones!B17</f>
        <v>Terminals_Concourse</v>
      </c>
      <c r="B22" s="16" t="s">
        <v>282</v>
      </c>
      <c r="C22" s="73">
        <f>Zones!I17</f>
        <v>17418</v>
      </c>
      <c r="D22" s="73">
        <f>Zones!M17</f>
        <v>296.10599999999999</v>
      </c>
      <c r="E22" s="76">
        <v>0.18</v>
      </c>
      <c r="F22" s="155">
        <f t="shared" si="0"/>
        <v>53.299079999999996</v>
      </c>
      <c r="G22" s="227">
        <f t="shared" si="1"/>
        <v>0.88831799999999994</v>
      </c>
      <c r="H22" s="475"/>
      <c r="I22"/>
      <c r="J22"/>
      <c r="K22"/>
      <c r="L22"/>
    </row>
    <row r="23" spans="1:12" ht="27" customHeight="1">
      <c r="A23" s="116" t="str">
        <f>Zones!B18</f>
        <v>Terminals_Baggage</v>
      </c>
      <c r="B23" s="16" t="s">
        <v>282</v>
      </c>
      <c r="C23" s="73">
        <f>Zones!I18</f>
        <v>963</v>
      </c>
      <c r="D23" s="73">
        <f>Zones!M18</f>
        <v>31.779</v>
      </c>
      <c r="E23" s="76">
        <v>0.18</v>
      </c>
      <c r="F23" s="155">
        <f t="shared" si="0"/>
        <v>5.7202199999999994</v>
      </c>
      <c r="G23" s="227">
        <f t="shared" si="1"/>
        <v>9.5336999999999991E-2</v>
      </c>
      <c r="H23" s="475"/>
      <c r="I23"/>
      <c r="J23"/>
      <c r="K23"/>
      <c r="L23"/>
    </row>
    <row r="24" spans="1:12" ht="27" customHeight="1">
      <c r="A24" s="116" t="str">
        <f>Zones!B19</f>
        <v>Terminals_Ticket</v>
      </c>
      <c r="B24" s="16" t="s">
        <v>282</v>
      </c>
      <c r="C24" s="73">
        <f>Zones!I19</f>
        <v>963</v>
      </c>
      <c r="D24" s="73">
        <f>Zones!M19</f>
        <v>31.779</v>
      </c>
      <c r="E24" s="76">
        <v>0.18</v>
      </c>
      <c r="F24" s="155">
        <f t="shared" si="0"/>
        <v>5.7202199999999994</v>
      </c>
      <c r="G24" s="227">
        <f t="shared" si="1"/>
        <v>9.5336999999999991E-2</v>
      </c>
      <c r="H24" s="476"/>
      <c r="I24"/>
      <c r="J24"/>
      <c r="K24"/>
      <c r="L24"/>
    </row>
    <row r="25" spans="1:12" ht="20.25" customHeight="1">
      <c r="A25" s="228" t="s">
        <v>294</v>
      </c>
      <c r="B25" s="477" t="s">
        <v>295</v>
      </c>
      <c r="C25" s="478"/>
      <c r="D25" s="478"/>
      <c r="E25" s="479"/>
      <c r="F25" s="329">
        <f>_xlfn.LET(
  _xlpm.g,SUMIF($B$8:$B$24,"Gas*",$F$8:$F$24),
  _xlpm.e,SUMIF($B$8:$B$24,"Electric*",$F$8:$F$24),
  IF(AND(_xlpm.g&gt;0,_xlpm.e&gt;0),_xlpm.g,IF(_xlpm.g&gt;0,MAX(75,_xlpm.g),0)))</f>
        <v>1245.4805599999997</v>
      </c>
      <c r="G25" s="229"/>
      <c r="H25" s="480" t="s">
        <v>296</v>
      </c>
    </row>
    <row r="26" spans="1:12" ht="19.5" customHeight="1">
      <c r="A26" s="228" t="s">
        <v>297</v>
      </c>
      <c r="B26" s="477" t="s">
        <v>298</v>
      </c>
      <c r="C26" s="478"/>
      <c r="D26" s="478"/>
      <c r="E26" s="479"/>
      <c r="F26" s="329">
        <f>_xlfn.LET(
  _xlpm.g,SUMIF($B$8:$B$24,"Gas*",$F$8:$F$24),
  _xlpm.e,SUMIF($B$8:$B$24,"Electric*",$F$8:$F$24),
  IF(AND(_xlpm.g&gt;0,_xlpm.e&gt;0),_xlpm.e,IF(_xlpm.e&gt;0,MAX(75,_xlpm.e),0)))</f>
        <v>0</v>
      </c>
      <c r="G26" s="229"/>
      <c r="H26" s="481"/>
    </row>
    <row r="27" spans="1:12" s="230" customFormat="1" ht="13.2"/>
    <row r="28" spans="1:12" s="230" customFormat="1" ht="14.4">
      <c r="A28"/>
      <c r="B28"/>
      <c r="C28"/>
      <c r="D28"/>
      <c r="E28"/>
      <c r="F28"/>
      <c r="G28"/>
      <c r="H28"/>
      <c r="I28"/>
      <c r="J28"/>
    </row>
    <row r="29" spans="1:12" s="230" customFormat="1" ht="14.4">
      <c r="A29" s="374" t="s">
        <v>299</v>
      </c>
      <c r="B29" s="374">
        <f>MAX(1,ROUNDUP(MAX(30,$F$25*$B$33)/MAX($E$57:$E$75),0))</f>
        <v>4</v>
      </c>
      <c r="C29"/>
      <c r="D29"/>
      <c r="E29"/>
      <c r="F29"/>
      <c r="G29"/>
      <c r="H29"/>
      <c r="I29"/>
      <c r="J29"/>
    </row>
    <row r="30" spans="1:12" s="230" customFormat="1" ht="15" customHeight="1">
      <c r="A30" s="375" t="s">
        <v>300</v>
      </c>
      <c r="B30" s="376">
        <v>135</v>
      </c>
      <c r="C30" s="377" t="s">
        <v>301</v>
      </c>
      <c r="D30" s="231"/>
      <c r="E30" s="231"/>
      <c r="F30"/>
      <c r="G30"/>
      <c r="H30"/>
      <c r="I30"/>
      <c r="J30"/>
    </row>
    <row r="31" spans="1:12" s="230" customFormat="1" ht="15" customHeight="1">
      <c r="A31" s="231" t="s">
        <v>302</v>
      </c>
      <c r="B31" s="378">
        <v>0.6</v>
      </c>
      <c r="C31" s="377" t="s">
        <v>303</v>
      </c>
      <c r="D31" s="232"/>
      <c r="E31" s="232"/>
      <c r="F31"/>
      <c r="G31"/>
      <c r="H31"/>
      <c r="I31"/>
      <c r="J31"/>
    </row>
    <row r="32" spans="1:12" s="230" customFormat="1" ht="14.4">
      <c r="A32" s="379" t="s">
        <v>304</v>
      </c>
      <c r="B32" s="380">
        <v>8.2876999999999992</v>
      </c>
      <c r="C32" s="377" t="s">
        <v>303</v>
      </c>
      <c r="D32" s="377"/>
      <c r="E32" s="377"/>
      <c r="F32"/>
      <c r="G32"/>
      <c r="H32"/>
      <c r="I32"/>
      <c r="J32"/>
    </row>
    <row r="33" spans="1:12" s="230" customFormat="1" ht="14.4">
      <c r="A33" s="230" t="s">
        <v>305</v>
      </c>
      <c r="B33" s="233">
        <v>0.4</v>
      </c>
      <c r="C33" s="234" t="s">
        <v>306</v>
      </c>
      <c r="D33" s="234"/>
      <c r="F33" s="234"/>
      <c r="G33" s="234"/>
    </row>
    <row r="34" spans="1:12" s="230" customFormat="1" ht="26.1" customHeight="1">
      <c r="A34" s="468" t="s">
        <v>307</v>
      </c>
      <c r="B34" s="469"/>
      <c r="C34" s="469"/>
      <c r="D34" s="469"/>
      <c r="E34" s="469"/>
      <c r="F34" s="469"/>
      <c r="G34" s="469"/>
      <c r="H34" s="469"/>
      <c r="I34" s="469"/>
      <c r="J34" s="469"/>
      <c r="K34" s="469"/>
    </row>
    <row r="35" spans="1:12" s="230" customFormat="1" ht="48.75" customHeight="1">
      <c r="A35" s="235" t="s">
        <v>308</v>
      </c>
      <c r="B35" s="235" t="s">
        <v>309</v>
      </c>
      <c r="C35" s="235" t="s">
        <v>310</v>
      </c>
      <c r="D35" s="235" t="s">
        <v>311</v>
      </c>
      <c r="E35" s="235" t="s">
        <v>312</v>
      </c>
      <c r="F35" s="235" t="s">
        <v>313</v>
      </c>
      <c r="G35" s="470" t="s">
        <v>314</v>
      </c>
      <c r="H35" s="470"/>
      <c r="I35" s="470" t="s">
        <v>315</v>
      </c>
      <c r="J35" s="470"/>
      <c r="K35" s="236" t="s">
        <v>316</v>
      </c>
      <c r="L35"/>
    </row>
    <row r="36" spans="1:12" s="230" customFormat="1" ht="18.75" customHeight="1">
      <c r="A36" s="381" t="s">
        <v>317</v>
      </c>
      <c r="B36" s="382">
        <v>47.9</v>
      </c>
      <c r="C36" s="253">
        <f t="shared" ref="C36:C51" si="2">$F$25/$B$29*($B$30-B36)*$B$32</f>
        <v>224765.23513811373</v>
      </c>
      <c r="D36" s="253">
        <f t="shared" ref="D36:D51" si="3">C36*$B$31</f>
        <v>134859.14108286824</v>
      </c>
      <c r="E36" s="253">
        <f t="shared" ref="E36:E51" si="4">_xlfn.LET(_xlpm.x,_xlfn.XLOOKUP(D36/$C$3,$A$57:$A$87,$A$57:$A$87,"",1),IF(_xlpm.x="",ROUNDUP(D36/$C$3,0),_xlpm.x))</f>
        <v>175000</v>
      </c>
      <c r="F36" s="253">
        <f t="shared" ref="F36:F51" si="5">_xlfn.LET(_xlpm.v,MAX(30,$F$25/$B$29*$B$33),_xlpm.x,_xlfn.XLOOKUP(_xlpm.v,$E$57:$E$75,$E$57:$E$75,"",1),IF(_xlpm.x="",ROUNDUP(_xlpm.v,0),_xlpm.x))</f>
        <v>125</v>
      </c>
      <c r="G36" s="253">
        <f>(E36/800)+110*SQRT(F36)</f>
        <v>1448.5873876248843</v>
      </c>
      <c r="H36" s="253" t="s">
        <v>318</v>
      </c>
      <c r="I36" s="256">
        <f>G36/70</f>
        <v>20.694105537498348</v>
      </c>
      <c r="J36" s="383" t="s">
        <v>319</v>
      </c>
      <c r="K36" s="471" t="s">
        <v>320</v>
      </c>
    </row>
    <row r="37" spans="1:12" s="230" customFormat="1" ht="18.75" customHeight="1">
      <c r="A37" s="381" t="s">
        <v>321</v>
      </c>
      <c r="B37" s="382">
        <v>50.8</v>
      </c>
      <c r="C37" s="253">
        <f t="shared" si="2"/>
        <v>217281.66244120753</v>
      </c>
      <c r="D37" s="253">
        <f t="shared" si="3"/>
        <v>130368.99746472451</v>
      </c>
      <c r="E37" s="253">
        <f t="shared" si="4"/>
        <v>175000</v>
      </c>
      <c r="F37" s="253">
        <f t="shared" si="5"/>
        <v>125</v>
      </c>
      <c r="G37" s="253">
        <f t="shared" ref="G37:G51" si="6">(E37/800)+110*SQRT(F37)</f>
        <v>1448.5873876248843</v>
      </c>
      <c r="H37" s="253" t="s">
        <v>318</v>
      </c>
      <c r="I37" s="256">
        <f t="shared" ref="I37:I51" si="7">G37/70</f>
        <v>20.694105537498348</v>
      </c>
      <c r="J37" s="383" t="s">
        <v>319</v>
      </c>
      <c r="K37" s="472"/>
    </row>
    <row r="38" spans="1:12" s="230" customFormat="1" ht="18.75" customHeight="1">
      <c r="A38" s="381" t="s">
        <v>322</v>
      </c>
      <c r="B38" s="382">
        <v>52.2</v>
      </c>
      <c r="C38" s="253">
        <f t="shared" si="2"/>
        <v>213668.90320821831</v>
      </c>
      <c r="D38" s="253">
        <f t="shared" si="3"/>
        <v>128201.34192493098</v>
      </c>
      <c r="E38" s="253">
        <f t="shared" si="4"/>
        <v>175000</v>
      </c>
      <c r="F38" s="253">
        <f t="shared" si="5"/>
        <v>125</v>
      </c>
      <c r="G38" s="253">
        <f t="shared" si="6"/>
        <v>1448.5873876248843</v>
      </c>
      <c r="H38" s="253" t="s">
        <v>318</v>
      </c>
      <c r="I38" s="256">
        <f t="shared" si="7"/>
        <v>20.694105537498348</v>
      </c>
      <c r="J38" s="383" t="s">
        <v>319</v>
      </c>
      <c r="K38" s="472"/>
    </row>
    <row r="39" spans="1:12" s="230" customFormat="1" ht="18.75" customHeight="1">
      <c r="A39" s="381" t="s">
        <v>323</v>
      </c>
      <c r="B39" s="382">
        <v>52.7</v>
      </c>
      <c r="C39" s="253">
        <f t="shared" si="2"/>
        <v>212378.63205357932</v>
      </c>
      <c r="D39" s="253">
        <f t="shared" si="3"/>
        <v>127427.17923214758</v>
      </c>
      <c r="E39" s="253">
        <f t="shared" si="4"/>
        <v>160000</v>
      </c>
      <c r="F39" s="253">
        <f t="shared" si="5"/>
        <v>125</v>
      </c>
      <c r="G39" s="253">
        <f t="shared" si="6"/>
        <v>1429.8373876248843</v>
      </c>
      <c r="H39" s="253" t="s">
        <v>318</v>
      </c>
      <c r="I39" s="256">
        <f t="shared" si="7"/>
        <v>20.426248394641203</v>
      </c>
      <c r="J39" s="383" t="s">
        <v>319</v>
      </c>
      <c r="K39" s="472"/>
    </row>
    <row r="40" spans="1:12" s="230" customFormat="1" ht="18.75" customHeight="1">
      <c r="A40" s="381" t="s">
        <v>324</v>
      </c>
      <c r="B40" s="382">
        <v>51.6</v>
      </c>
      <c r="C40" s="253">
        <f t="shared" si="2"/>
        <v>215217.22859378514</v>
      </c>
      <c r="D40" s="253">
        <f t="shared" si="3"/>
        <v>129130.33715627108</v>
      </c>
      <c r="E40" s="253">
        <f t="shared" si="4"/>
        <v>175000</v>
      </c>
      <c r="F40" s="253">
        <f t="shared" si="5"/>
        <v>125</v>
      </c>
      <c r="G40" s="253">
        <f t="shared" si="6"/>
        <v>1448.5873876248843</v>
      </c>
      <c r="H40" s="253" t="s">
        <v>318</v>
      </c>
      <c r="I40" s="256">
        <f t="shared" si="7"/>
        <v>20.694105537498348</v>
      </c>
      <c r="J40" s="383" t="s">
        <v>319</v>
      </c>
      <c r="K40" s="472"/>
    </row>
    <row r="41" spans="1:12" s="230" customFormat="1" ht="18.75" customHeight="1">
      <c r="A41" s="381" t="s">
        <v>325</v>
      </c>
      <c r="B41" s="382">
        <v>56.8</v>
      </c>
      <c r="C41" s="253">
        <f t="shared" si="2"/>
        <v>201798.40858553955</v>
      </c>
      <c r="D41" s="253">
        <f t="shared" si="3"/>
        <v>121079.04515132372</v>
      </c>
      <c r="E41" s="253">
        <f t="shared" si="4"/>
        <v>156000</v>
      </c>
      <c r="F41" s="253">
        <f t="shared" si="5"/>
        <v>125</v>
      </c>
      <c r="G41" s="253">
        <f t="shared" si="6"/>
        <v>1424.8373876248843</v>
      </c>
      <c r="H41" s="253" t="s">
        <v>318</v>
      </c>
      <c r="I41" s="256">
        <f t="shared" si="7"/>
        <v>20.354819823212633</v>
      </c>
      <c r="J41" s="383" t="s">
        <v>319</v>
      </c>
      <c r="K41" s="472"/>
    </row>
    <row r="42" spans="1:12" s="230" customFormat="1" ht="18.75" customHeight="1">
      <c r="A42" s="381" t="s">
        <v>326</v>
      </c>
      <c r="B42" s="382">
        <v>58.4</v>
      </c>
      <c r="C42" s="253">
        <f t="shared" si="2"/>
        <v>197669.54089069471</v>
      </c>
      <c r="D42" s="253">
        <f t="shared" si="3"/>
        <v>118601.72453441682</v>
      </c>
      <c r="E42" s="253">
        <f t="shared" si="4"/>
        <v>150000</v>
      </c>
      <c r="F42" s="253">
        <f t="shared" si="5"/>
        <v>125</v>
      </c>
      <c r="G42" s="253">
        <f t="shared" si="6"/>
        <v>1417.3373876248843</v>
      </c>
      <c r="H42" s="253" t="s">
        <v>318</v>
      </c>
      <c r="I42" s="256">
        <f t="shared" si="7"/>
        <v>20.247676966069776</v>
      </c>
      <c r="J42" s="383" t="s">
        <v>319</v>
      </c>
      <c r="K42" s="472"/>
    </row>
    <row r="43" spans="1:12" s="230" customFormat="1" ht="18.75" customHeight="1">
      <c r="A43" s="381" t="s">
        <v>327</v>
      </c>
      <c r="B43" s="382">
        <v>58.4</v>
      </c>
      <c r="C43" s="253">
        <f t="shared" si="2"/>
        <v>197669.54089069471</v>
      </c>
      <c r="D43" s="253">
        <f t="shared" si="3"/>
        <v>118601.72453441682</v>
      </c>
      <c r="E43" s="253">
        <f t="shared" si="4"/>
        <v>150000</v>
      </c>
      <c r="F43" s="253">
        <f t="shared" si="5"/>
        <v>125</v>
      </c>
      <c r="G43" s="253">
        <f t="shared" si="6"/>
        <v>1417.3373876248843</v>
      </c>
      <c r="H43" s="253" t="s">
        <v>318</v>
      </c>
      <c r="I43" s="256">
        <f t="shared" si="7"/>
        <v>20.247676966069776</v>
      </c>
      <c r="J43" s="383" t="s">
        <v>319</v>
      </c>
      <c r="K43" s="472"/>
    </row>
    <row r="44" spans="1:12" s="230" customFormat="1" ht="18.75" customHeight="1">
      <c r="A44" s="381" t="s">
        <v>328</v>
      </c>
      <c r="B44" s="382">
        <v>57.6</v>
      </c>
      <c r="C44" s="253">
        <f t="shared" si="2"/>
        <v>199733.97473811716</v>
      </c>
      <c r="D44" s="253">
        <f t="shared" si="3"/>
        <v>119840.38484287029</v>
      </c>
      <c r="E44" s="253">
        <f t="shared" si="4"/>
        <v>150000</v>
      </c>
      <c r="F44" s="253">
        <f t="shared" si="5"/>
        <v>125</v>
      </c>
      <c r="G44" s="253">
        <f t="shared" si="6"/>
        <v>1417.3373876248843</v>
      </c>
      <c r="H44" s="253" t="s">
        <v>318</v>
      </c>
      <c r="I44" s="256">
        <f t="shared" si="7"/>
        <v>20.247676966069776</v>
      </c>
      <c r="J44" s="383" t="s">
        <v>319</v>
      </c>
      <c r="K44" s="472"/>
    </row>
    <row r="45" spans="1:12" s="230" customFormat="1" ht="18.75" customHeight="1">
      <c r="A45" s="381" t="s">
        <v>157</v>
      </c>
      <c r="B45" s="382">
        <v>57.1</v>
      </c>
      <c r="C45" s="253">
        <f t="shared" si="2"/>
        <v>201024.24589275615</v>
      </c>
      <c r="D45" s="253">
        <f t="shared" si="3"/>
        <v>120614.54753565369</v>
      </c>
      <c r="E45" s="253">
        <f t="shared" si="4"/>
        <v>156000</v>
      </c>
      <c r="F45" s="253">
        <f t="shared" si="5"/>
        <v>125</v>
      </c>
      <c r="G45" s="253">
        <f t="shared" si="6"/>
        <v>1424.8373876248843</v>
      </c>
      <c r="H45" s="253" t="s">
        <v>318</v>
      </c>
      <c r="I45" s="256">
        <f t="shared" si="7"/>
        <v>20.354819823212633</v>
      </c>
      <c r="J45" s="383" t="s">
        <v>319</v>
      </c>
      <c r="K45" s="472"/>
    </row>
    <row r="46" spans="1:12" s="230" customFormat="1" ht="18.75" customHeight="1">
      <c r="A46" s="381" t="s">
        <v>158</v>
      </c>
      <c r="B46" s="382">
        <v>50.5</v>
      </c>
      <c r="C46" s="253">
        <f t="shared" si="2"/>
        <v>218055.82513399093</v>
      </c>
      <c r="D46" s="253">
        <f t="shared" si="3"/>
        <v>130833.49508039455</v>
      </c>
      <c r="E46" s="253">
        <f t="shared" si="4"/>
        <v>175000</v>
      </c>
      <c r="F46" s="253">
        <f t="shared" si="5"/>
        <v>125</v>
      </c>
      <c r="G46" s="253">
        <f t="shared" si="6"/>
        <v>1448.5873876248843</v>
      </c>
      <c r="H46" s="253" t="s">
        <v>318</v>
      </c>
      <c r="I46" s="256">
        <f t="shared" si="7"/>
        <v>20.694105537498348</v>
      </c>
      <c r="J46" s="383" t="s">
        <v>319</v>
      </c>
      <c r="K46" s="472"/>
    </row>
    <row r="47" spans="1:12" s="230" customFormat="1" ht="18.75" customHeight="1">
      <c r="A47" s="381" t="s">
        <v>159</v>
      </c>
      <c r="B47" s="382">
        <v>51.4</v>
      </c>
      <c r="C47" s="253">
        <f t="shared" si="2"/>
        <v>215733.3370556407</v>
      </c>
      <c r="D47" s="253">
        <f t="shared" si="3"/>
        <v>129440.00223338441</v>
      </c>
      <c r="E47" s="253">
        <f t="shared" si="4"/>
        <v>175000</v>
      </c>
      <c r="F47" s="253">
        <f t="shared" si="5"/>
        <v>125</v>
      </c>
      <c r="G47" s="253">
        <f t="shared" si="6"/>
        <v>1448.5873876248843</v>
      </c>
      <c r="H47" s="253" t="s">
        <v>318</v>
      </c>
      <c r="I47" s="256">
        <f t="shared" si="7"/>
        <v>20.694105537498348</v>
      </c>
      <c r="J47" s="383" t="s">
        <v>319</v>
      </c>
      <c r="K47" s="472"/>
    </row>
    <row r="48" spans="1:12" s="230" customFormat="1" ht="18.75" customHeight="1">
      <c r="A48" s="381" t="s">
        <v>160</v>
      </c>
      <c r="B48" s="382">
        <v>51.7</v>
      </c>
      <c r="C48" s="253">
        <f t="shared" si="2"/>
        <v>214959.17436285733</v>
      </c>
      <c r="D48" s="253">
        <f t="shared" si="3"/>
        <v>128975.5046177144</v>
      </c>
      <c r="E48" s="253">
        <f t="shared" si="4"/>
        <v>175000</v>
      </c>
      <c r="F48" s="253">
        <f t="shared" si="5"/>
        <v>125</v>
      </c>
      <c r="G48" s="253">
        <f t="shared" si="6"/>
        <v>1448.5873876248843</v>
      </c>
      <c r="H48" s="253" t="s">
        <v>318</v>
      </c>
      <c r="I48" s="256">
        <f t="shared" si="7"/>
        <v>20.694105537498348</v>
      </c>
      <c r="J48" s="383" t="s">
        <v>319</v>
      </c>
      <c r="K48" s="472"/>
    </row>
    <row r="49" spans="1:11" s="230" customFormat="1" ht="18.75" customHeight="1">
      <c r="A49" s="381" t="s">
        <v>161</v>
      </c>
      <c r="B49" s="382">
        <v>50.1</v>
      </c>
      <c r="C49" s="253">
        <f t="shared" si="2"/>
        <v>219088.04205770214</v>
      </c>
      <c r="D49" s="253">
        <f t="shared" si="3"/>
        <v>131452.82523462127</v>
      </c>
      <c r="E49" s="253">
        <f t="shared" si="4"/>
        <v>175000</v>
      </c>
      <c r="F49" s="253">
        <f t="shared" si="5"/>
        <v>125</v>
      </c>
      <c r="G49" s="253">
        <f t="shared" si="6"/>
        <v>1448.5873876248843</v>
      </c>
      <c r="H49" s="253" t="s">
        <v>318</v>
      </c>
      <c r="I49" s="256">
        <f t="shared" si="7"/>
        <v>20.694105537498348</v>
      </c>
      <c r="J49" s="383" t="s">
        <v>319</v>
      </c>
      <c r="K49" s="472"/>
    </row>
    <row r="50" spans="1:11" s="230" customFormat="1" ht="18.75" customHeight="1">
      <c r="A50" s="381" t="s">
        <v>162</v>
      </c>
      <c r="B50" s="382">
        <v>63.2</v>
      </c>
      <c r="C50" s="253">
        <f t="shared" si="2"/>
        <v>185282.93780616033</v>
      </c>
      <c r="D50" s="253">
        <f t="shared" si="3"/>
        <v>111169.7626836962</v>
      </c>
      <c r="E50" s="253">
        <f t="shared" si="4"/>
        <v>145000</v>
      </c>
      <c r="F50" s="253">
        <f t="shared" si="5"/>
        <v>125</v>
      </c>
      <c r="G50" s="253">
        <f t="shared" si="6"/>
        <v>1411.0873876248843</v>
      </c>
      <c r="H50" s="253" t="s">
        <v>318</v>
      </c>
      <c r="I50" s="256">
        <f t="shared" si="7"/>
        <v>20.15839125178406</v>
      </c>
      <c r="J50" s="383" t="s">
        <v>319</v>
      </c>
      <c r="K50" s="472"/>
    </row>
    <row r="51" spans="1:11" s="230" customFormat="1" ht="18.75" customHeight="1">
      <c r="A51" s="381" t="s">
        <v>163</v>
      </c>
      <c r="B51" s="382">
        <v>41.4</v>
      </c>
      <c r="C51" s="253">
        <f t="shared" si="2"/>
        <v>241538.7601484207</v>
      </c>
      <c r="D51" s="253">
        <f t="shared" si="3"/>
        <v>144923.25608905242</v>
      </c>
      <c r="E51" s="253">
        <f t="shared" si="4"/>
        <v>199000</v>
      </c>
      <c r="F51" s="253">
        <f t="shared" si="5"/>
        <v>125</v>
      </c>
      <c r="G51" s="253">
        <f t="shared" si="6"/>
        <v>1478.5873876248843</v>
      </c>
      <c r="H51" s="253" t="s">
        <v>318</v>
      </c>
      <c r="I51" s="256">
        <f t="shared" si="7"/>
        <v>21.122676966069776</v>
      </c>
      <c r="J51" s="383" t="s">
        <v>319</v>
      </c>
      <c r="K51" s="473"/>
    </row>
    <row r="52" spans="1:11" s="230" customFormat="1" ht="14.4">
      <c r="C52" s="234"/>
      <c r="D52" s="234"/>
      <c r="F52" s="234"/>
      <c r="G52" s="234"/>
    </row>
    <row r="53" spans="1:11" s="230" customFormat="1" ht="14.4">
      <c r="C53" s="234"/>
      <c r="D53" s="234"/>
      <c r="F53" s="234"/>
      <c r="G53" s="234"/>
    </row>
    <row r="54" spans="1:11" s="230" customFormat="1" ht="14.4">
      <c r="C54" s="234"/>
      <c r="D54" s="234"/>
      <c r="F54" s="234"/>
      <c r="G54" s="234"/>
    </row>
    <row r="55" spans="1:11" s="230" customFormat="1" ht="24.75" customHeight="1">
      <c r="A55" s="463" t="s">
        <v>329</v>
      </c>
      <c r="B55" s="464"/>
      <c r="C55" s="465"/>
      <c r="D55" s="465"/>
      <c r="E55" s="465"/>
      <c r="F55" s="465"/>
      <c r="G55" s="465"/>
      <c r="H55" s="465"/>
    </row>
    <row r="56" spans="1:11" s="244" customFormat="1" ht="23.25" customHeight="1">
      <c r="A56" s="384" t="s">
        <v>330</v>
      </c>
      <c r="B56" s="237" t="s">
        <v>331</v>
      </c>
      <c r="C56" s="238" t="s">
        <v>332</v>
      </c>
      <c r="D56" s="239" t="s">
        <v>333</v>
      </c>
      <c r="E56" s="240" t="s">
        <v>334</v>
      </c>
      <c r="F56" s="239" t="s">
        <v>335</v>
      </c>
      <c r="G56" s="241" t="s">
        <v>336</v>
      </c>
      <c r="H56" s="242" t="s">
        <v>337</v>
      </c>
      <c r="I56" s="243" t="str">
        <f>HYPERLINK("#'Note'!A1","Sources and links → Note tab")</f>
        <v>Sources and links → Note tab</v>
      </c>
    </row>
    <row r="57" spans="1:11" s="230" customFormat="1" ht="13.8">
      <c r="A57" s="343">
        <v>60000</v>
      </c>
      <c r="B57" s="385" t="s">
        <v>338</v>
      </c>
      <c r="C57" s="333">
        <v>1.5</v>
      </c>
      <c r="D57" s="334">
        <v>5118</v>
      </c>
      <c r="E57" s="335">
        <v>34</v>
      </c>
      <c r="F57" s="335" t="s">
        <v>339</v>
      </c>
      <c r="G57" s="335">
        <v>6</v>
      </c>
      <c r="H57" s="336" t="s">
        <v>338</v>
      </c>
    </row>
    <row r="58" spans="1:11" s="230" customFormat="1" ht="13.8">
      <c r="A58" s="344">
        <v>75100</v>
      </c>
      <c r="B58" s="386" t="s">
        <v>338</v>
      </c>
      <c r="C58" s="337">
        <v>2</v>
      </c>
      <c r="D58" s="252">
        <v>6824</v>
      </c>
      <c r="E58" s="330">
        <v>35</v>
      </c>
      <c r="F58" s="330" t="s">
        <v>338</v>
      </c>
      <c r="G58" s="330">
        <v>10</v>
      </c>
      <c r="H58" s="338" t="s">
        <v>338</v>
      </c>
    </row>
    <row r="59" spans="1:11" s="230" customFormat="1" ht="13.8">
      <c r="A59" s="344">
        <v>76000</v>
      </c>
      <c r="B59" s="386" t="s">
        <v>340</v>
      </c>
      <c r="C59" s="337">
        <v>3</v>
      </c>
      <c r="D59" s="252">
        <v>10236</v>
      </c>
      <c r="E59" s="330">
        <v>48</v>
      </c>
      <c r="F59" s="330" t="s">
        <v>338</v>
      </c>
      <c r="G59" s="330">
        <v>15</v>
      </c>
      <c r="H59" s="338" t="s">
        <v>338</v>
      </c>
    </row>
    <row r="60" spans="1:11" s="230" customFormat="1" ht="13.8">
      <c r="A60" s="344">
        <v>80000</v>
      </c>
      <c r="B60" s="387" t="s">
        <v>338</v>
      </c>
      <c r="C60" s="337">
        <v>4.5</v>
      </c>
      <c r="D60" s="252">
        <v>15355</v>
      </c>
      <c r="E60" s="330">
        <v>50</v>
      </c>
      <c r="F60" s="330" t="s">
        <v>340</v>
      </c>
      <c r="G60" s="330">
        <v>20</v>
      </c>
      <c r="H60" s="338" t="s">
        <v>338</v>
      </c>
    </row>
    <row r="61" spans="1:11" s="230" customFormat="1" ht="13.8">
      <c r="A61" s="344">
        <v>99900</v>
      </c>
      <c r="B61" s="386" t="s">
        <v>339</v>
      </c>
      <c r="C61" s="337">
        <v>6</v>
      </c>
      <c r="D61" s="252">
        <v>20473</v>
      </c>
      <c r="E61" s="330">
        <v>55</v>
      </c>
      <c r="F61" s="330" t="s">
        <v>339</v>
      </c>
      <c r="G61" s="330">
        <v>28</v>
      </c>
      <c r="H61" s="338" t="s">
        <v>338</v>
      </c>
    </row>
    <row r="62" spans="1:11" s="230" customFormat="1" ht="13.8">
      <c r="A62" s="344">
        <v>100000</v>
      </c>
      <c r="B62" s="386" t="s">
        <v>340</v>
      </c>
      <c r="C62" s="337">
        <v>8</v>
      </c>
      <c r="D62" s="252">
        <v>27297</v>
      </c>
      <c r="E62" s="330">
        <v>60</v>
      </c>
      <c r="F62" s="330" t="s">
        <v>339</v>
      </c>
      <c r="G62" s="330">
        <v>30</v>
      </c>
      <c r="H62" s="338" t="s">
        <v>338</v>
      </c>
    </row>
    <row r="63" spans="1:11" s="230" customFormat="1" ht="13.8">
      <c r="A63" s="344">
        <v>120000</v>
      </c>
      <c r="B63" s="386" t="s">
        <v>339</v>
      </c>
      <c r="C63" s="337">
        <v>9</v>
      </c>
      <c r="D63" s="252">
        <v>30709</v>
      </c>
      <c r="E63" s="330">
        <v>65</v>
      </c>
      <c r="F63" s="330" t="s">
        <v>340</v>
      </c>
      <c r="G63" s="330">
        <v>36</v>
      </c>
      <c r="H63" s="338" t="s">
        <v>338</v>
      </c>
    </row>
    <row r="64" spans="1:11" s="230" customFormat="1" ht="13.8">
      <c r="A64" s="344">
        <v>125000</v>
      </c>
      <c r="B64" s="386" t="s">
        <v>340</v>
      </c>
      <c r="C64" s="337">
        <v>10</v>
      </c>
      <c r="D64" s="252">
        <v>34121</v>
      </c>
      <c r="E64" s="330">
        <v>72</v>
      </c>
      <c r="F64" s="330" t="s">
        <v>338</v>
      </c>
      <c r="G64" s="330">
        <v>40</v>
      </c>
      <c r="H64" s="338" t="s">
        <v>338</v>
      </c>
    </row>
    <row r="65" spans="1:8" s="230" customFormat="1" ht="13.8">
      <c r="A65" s="344">
        <v>130000</v>
      </c>
      <c r="B65" s="386" t="s">
        <v>340</v>
      </c>
      <c r="C65" s="337">
        <v>12</v>
      </c>
      <c r="D65" s="252">
        <v>40946</v>
      </c>
      <c r="E65" s="330">
        <v>75</v>
      </c>
      <c r="F65" s="330" t="s">
        <v>340</v>
      </c>
      <c r="G65" s="330">
        <v>47</v>
      </c>
      <c r="H65" s="338"/>
    </row>
    <row r="66" spans="1:8" s="230" customFormat="1" ht="13.8">
      <c r="A66" s="344">
        <v>145000</v>
      </c>
      <c r="B66" s="386" t="s">
        <v>339</v>
      </c>
      <c r="C66" s="337">
        <v>12.1</v>
      </c>
      <c r="D66" s="252">
        <v>41287</v>
      </c>
      <c r="E66" s="330">
        <v>76</v>
      </c>
      <c r="F66" s="330" t="s">
        <v>338</v>
      </c>
      <c r="G66" s="330">
        <v>50</v>
      </c>
      <c r="H66" s="338"/>
    </row>
    <row r="67" spans="1:8" s="230" customFormat="1" ht="13.8">
      <c r="A67" s="344">
        <v>150000</v>
      </c>
      <c r="B67" s="386" t="s">
        <v>339</v>
      </c>
      <c r="C67" s="337">
        <v>18</v>
      </c>
      <c r="D67" s="252">
        <v>61419</v>
      </c>
      <c r="E67" s="330">
        <v>80</v>
      </c>
      <c r="F67" s="330" t="s">
        <v>340</v>
      </c>
      <c r="G67" s="330">
        <v>65</v>
      </c>
      <c r="H67" s="338"/>
    </row>
    <row r="68" spans="1:8" s="230" customFormat="1" ht="13.2">
      <c r="A68" s="344">
        <v>156000</v>
      </c>
      <c r="B68" s="250" t="s">
        <v>338</v>
      </c>
      <c r="C68" s="337">
        <v>24</v>
      </c>
      <c r="D68" s="252">
        <v>81891</v>
      </c>
      <c r="E68" s="330">
        <v>82</v>
      </c>
      <c r="F68" s="330" t="s">
        <v>338</v>
      </c>
      <c r="G68" s="330">
        <v>80</v>
      </c>
      <c r="H68" s="338"/>
    </row>
    <row r="69" spans="1:8" s="230" customFormat="1" ht="13.2">
      <c r="A69" s="344">
        <v>160000</v>
      </c>
      <c r="B69" s="250" t="s">
        <v>340</v>
      </c>
      <c r="C69" s="337">
        <v>27</v>
      </c>
      <c r="D69" s="252">
        <v>92128</v>
      </c>
      <c r="E69" s="330">
        <v>85</v>
      </c>
      <c r="F69" s="330" t="s">
        <v>338</v>
      </c>
      <c r="G69" s="330">
        <v>85</v>
      </c>
      <c r="H69" s="338"/>
    </row>
    <row r="70" spans="1:8" s="230" customFormat="1" ht="13.2">
      <c r="A70" s="344">
        <v>175000</v>
      </c>
      <c r="B70" s="250" t="s">
        <v>339</v>
      </c>
      <c r="C70" s="337">
        <v>36</v>
      </c>
      <c r="D70" s="332">
        <v>122837</v>
      </c>
      <c r="E70" s="330">
        <v>90</v>
      </c>
      <c r="F70" s="330" t="s">
        <v>340</v>
      </c>
      <c r="G70" s="330">
        <v>105</v>
      </c>
      <c r="H70" s="338"/>
    </row>
    <row r="71" spans="1:8" s="230" customFormat="1" ht="13.2">
      <c r="A71" s="344">
        <v>180000</v>
      </c>
      <c r="B71" s="250" t="s">
        <v>338</v>
      </c>
      <c r="C71" s="339">
        <v>54</v>
      </c>
      <c r="D71" s="331">
        <v>184256</v>
      </c>
      <c r="E71" s="331">
        <v>91</v>
      </c>
      <c r="F71" s="331" t="s">
        <v>338</v>
      </c>
      <c r="G71" s="331">
        <v>120</v>
      </c>
      <c r="H71" s="338"/>
    </row>
    <row r="72" spans="1:8" s="230" customFormat="1" ht="13.2">
      <c r="A72" s="344">
        <v>199000</v>
      </c>
      <c r="B72" s="250" t="s">
        <v>339</v>
      </c>
      <c r="C72" s="339"/>
      <c r="D72" s="331"/>
      <c r="E72" s="331">
        <v>100</v>
      </c>
      <c r="F72" s="331" t="s">
        <v>340</v>
      </c>
      <c r="G72" s="331"/>
      <c r="H72" s="338"/>
    </row>
    <row r="73" spans="1:8" s="230" customFormat="1" ht="13.2">
      <c r="A73" s="344">
        <v>199900</v>
      </c>
      <c r="B73" s="250" t="s">
        <v>340</v>
      </c>
      <c r="C73" s="339"/>
      <c r="D73" s="331"/>
      <c r="E73" s="331">
        <v>110</v>
      </c>
      <c r="F73" s="331" t="s">
        <v>339</v>
      </c>
      <c r="G73" s="331"/>
      <c r="H73" s="338"/>
    </row>
    <row r="74" spans="1:8" s="230" customFormat="1" ht="13.2">
      <c r="A74" s="344">
        <v>200000</v>
      </c>
      <c r="B74" s="250" t="s">
        <v>339</v>
      </c>
      <c r="C74" s="339"/>
      <c r="D74" s="331"/>
      <c r="E74" s="331">
        <v>119</v>
      </c>
      <c r="F74" s="331" t="s">
        <v>340</v>
      </c>
      <c r="G74" s="331"/>
      <c r="H74" s="338"/>
    </row>
    <row r="75" spans="1:8" s="230" customFormat="1" ht="13.2">
      <c r="A75" s="344">
        <v>250000</v>
      </c>
      <c r="B75" s="250" t="s">
        <v>340</v>
      </c>
      <c r="C75" s="340"/>
      <c r="D75" s="341"/>
      <c r="E75" s="341">
        <v>125</v>
      </c>
      <c r="F75" s="341" t="s">
        <v>339</v>
      </c>
      <c r="G75" s="341"/>
      <c r="H75" s="342"/>
    </row>
    <row r="76" spans="1:8" s="230" customFormat="1" ht="14.4">
      <c r="A76" s="344">
        <v>251000</v>
      </c>
      <c r="B76" s="251" t="s">
        <v>339</v>
      </c>
      <c r="C76" s="246"/>
      <c r="D76" s="246"/>
      <c r="E76" s="247"/>
      <c r="F76" s="246"/>
      <c r="G76" s="246"/>
    </row>
    <row r="77" spans="1:8" s="230" customFormat="1" ht="14.4">
      <c r="A77" s="344">
        <v>270000</v>
      </c>
      <c r="B77" s="251" t="s">
        <v>338</v>
      </c>
      <c r="C77" s="246"/>
      <c r="D77" s="246"/>
      <c r="E77" s="247"/>
      <c r="F77" s="246"/>
      <c r="G77" s="246"/>
    </row>
    <row r="78" spans="1:8" s="230" customFormat="1" ht="14.4">
      <c r="A78" s="344">
        <v>285000</v>
      </c>
      <c r="B78" s="251" t="s">
        <v>339</v>
      </c>
      <c r="C78" s="246"/>
      <c r="D78" s="246"/>
      <c r="E78" s="247"/>
      <c r="F78" s="246"/>
      <c r="G78" s="246"/>
    </row>
    <row r="79" spans="1:8" s="230" customFormat="1" ht="14.4">
      <c r="A79" s="344">
        <v>300000</v>
      </c>
      <c r="B79" s="251" t="s">
        <v>340</v>
      </c>
      <c r="C79" s="246"/>
      <c r="D79" s="246"/>
      <c r="E79" s="247"/>
      <c r="F79" s="246"/>
      <c r="G79" s="246"/>
    </row>
    <row r="80" spans="1:8" s="230" customFormat="1" ht="14.4">
      <c r="A80" s="344">
        <v>320000</v>
      </c>
      <c r="B80" s="251" t="s">
        <v>339</v>
      </c>
      <c r="C80" s="246"/>
      <c r="D80" s="246"/>
      <c r="E80" s="247"/>
      <c r="F80" s="246"/>
      <c r="G80" s="246"/>
    </row>
    <row r="81" spans="1:7" s="230" customFormat="1" ht="14.4">
      <c r="A81" s="344">
        <v>360000</v>
      </c>
      <c r="B81" s="251" t="s">
        <v>338</v>
      </c>
      <c r="C81" s="246"/>
      <c r="D81" s="246"/>
      <c r="E81" s="247"/>
      <c r="F81" s="246"/>
      <c r="G81" s="246"/>
    </row>
    <row r="82" spans="1:7" s="230" customFormat="1" ht="14.4">
      <c r="A82" s="344">
        <v>398000</v>
      </c>
      <c r="B82" s="251" t="s">
        <v>339</v>
      </c>
      <c r="C82" s="246"/>
      <c r="D82" s="246"/>
      <c r="E82" s="247"/>
      <c r="F82" s="246"/>
      <c r="G82" s="246"/>
    </row>
    <row r="83" spans="1:7" s="230" customFormat="1" ht="14.4">
      <c r="A83" s="344">
        <v>399000</v>
      </c>
      <c r="B83" s="251" t="s">
        <v>339</v>
      </c>
      <c r="C83" s="246"/>
      <c r="D83" s="246"/>
      <c r="E83" s="247"/>
      <c r="F83" s="246"/>
      <c r="G83" s="246"/>
    </row>
    <row r="84" spans="1:7" s="230" customFormat="1" ht="14.4">
      <c r="A84" s="344">
        <v>399900</v>
      </c>
      <c r="B84" s="251" t="s">
        <v>340</v>
      </c>
      <c r="C84" s="246"/>
      <c r="D84" s="246"/>
      <c r="E84" s="247"/>
      <c r="F84" s="246"/>
      <c r="G84" s="246"/>
    </row>
    <row r="85" spans="1:7" s="230" customFormat="1" ht="14.4">
      <c r="A85" s="344">
        <v>499900</v>
      </c>
      <c r="B85" s="251" t="s">
        <v>338</v>
      </c>
      <c r="C85" s="246"/>
      <c r="D85" s="246"/>
      <c r="E85" s="247"/>
      <c r="F85" s="246"/>
      <c r="G85" s="246"/>
    </row>
    <row r="86" spans="1:7" s="230" customFormat="1" ht="14.4">
      <c r="A86" s="344">
        <v>550000</v>
      </c>
      <c r="B86" s="251" t="s">
        <v>338</v>
      </c>
      <c r="C86" s="246"/>
      <c r="D86" s="246"/>
      <c r="E86" s="247"/>
      <c r="F86" s="246"/>
      <c r="G86" s="246"/>
    </row>
    <row r="87" spans="1:7" s="230" customFormat="1" ht="14.4">
      <c r="A87" s="344">
        <v>715000</v>
      </c>
      <c r="B87" s="251" t="s">
        <v>338</v>
      </c>
      <c r="C87" s="246"/>
      <c r="D87" s="246"/>
      <c r="E87" s="247"/>
      <c r="F87" s="246"/>
      <c r="G87" s="246"/>
    </row>
    <row r="88" spans="1:7" s="230" customFormat="1" ht="14.4">
      <c r="A88" s="345"/>
      <c r="B88" s="245"/>
      <c r="C88" s="246"/>
      <c r="D88" s="246"/>
      <c r="E88" s="247"/>
      <c r="F88" s="246"/>
      <c r="G88" s="246"/>
    </row>
    <row r="89" spans="1:7" s="230" customFormat="1" ht="14.4">
      <c r="A89" s="345"/>
      <c r="B89" s="245"/>
      <c r="C89" s="246"/>
      <c r="D89" s="246"/>
      <c r="E89" s="247"/>
      <c r="F89" s="246"/>
      <c r="G89" s="246"/>
    </row>
    <row r="90" spans="1:7" s="230" customFormat="1" ht="14.4">
      <c r="A90" s="345"/>
      <c r="B90" s="245"/>
      <c r="C90" s="246"/>
      <c r="D90" s="246"/>
      <c r="E90" s="247"/>
      <c r="F90" s="246"/>
      <c r="G90" s="246"/>
    </row>
    <row r="91" spans="1:7" s="230" customFormat="1" ht="14.4">
      <c r="A91" s="345"/>
      <c r="B91" s="245"/>
      <c r="C91" s="246"/>
      <c r="D91" s="246"/>
      <c r="E91" s="247"/>
      <c r="F91" s="246"/>
      <c r="G91" s="246"/>
    </row>
    <row r="92" spans="1:7" s="230" customFormat="1" ht="14.4">
      <c r="A92" s="345"/>
      <c r="B92" s="245"/>
      <c r="C92" s="246"/>
      <c r="D92" s="246"/>
      <c r="E92" s="247"/>
      <c r="F92" s="246"/>
      <c r="G92" s="246"/>
    </row>
    <row r="93" spans="1:7" s="230" customFormat="1" ht="14.4">
      <c r="A93" s="345"/>
      <c r="B93" s="245"/>
      <c r="C93" s="246"/>
      <c r="D93" s="246"/>
      <c r="E93" s="247"/>
      <c r="F93" s="246"/>
      <c r="G93" s="246"/>
    </row>
    <row r="94" spans="1:7" s="230" customFormat="1" ht="14.4">
      <c r="A94" s="345"/>
      <c r="B94" s="245"/>
      <c r="C94" s="246"/>
      <c r="D94" s="246"/>
      <c r="E94" s="247"/>
      <c r="F94" s="246"/>
      <c r="G94" s="246"/>
    </row>
    <row r="95" spans="1:7" s="230" customFormat="1" ht="14.4">
      <c r="A95" s="345"/>
      <c r="B95" s="245"/>
      <c r="C95" s="246"/>
      <c r="D95" s="246"/>
      <c r="E95" s="247"/>
      <c r="F95" s="246"/>
      <c r="G95" s="246"/>
    </row>
    <row r="96" spans="1:7" s="230" customFormat="1" ht="14.4">
      <c r="A96" s="345"/>
      <c r="B96" s="245"/>
      <c r="C96" s="246"/>
      <c r="D96" s="246"/>
      <c r="E96" s="247"/>
      <c r="F96" s="246"/>
      <c r="G96" s="246"/>
    </row>
    <row r="97" spans="1:7" s="230" customFormat="1" ht="14.4">
      <c r="A97" s="346"/>
      <c r="B97" s="248"/>
      <c r="C97" s="246"/>
      <c r="D97" s="246"/>
      <c r="E97" s="247"/>
      <c r="F97" s="246"/>
      <c r="G97" s="246"/>
    </row>
    <row r="98" spans="1:7" customFormat="1" ht="14.4"/>
    <row r="99" spans="1:7" customFormat="1" ht="14.4"/>
    <row r="100" spans="1:7" customFormat="1" ht="14.4"/>
    <row r="101" spans="1:7" customFormat="1" ht="14.4"/>
    <row r="102" spans="1:7" customFormat="1" ht="14.4"/>
    <row r="103" spans="1:7" ht="14.4">
      <c r="A103" s="75"/>
    </row>
    <row r="104" spans="1:7" ht="14.4">
      <c r="A104" s="74"/>
    </row>
    <row r="105" spans="1:7" ht="14.4">
      <c r="A105" s="74"/>
    </row>
  </sheetData>
  <mergeCells count="11">
    <mergeCell ref="A55:H55"/>
    <mergeCell ref="A1:G1"/>
    <mergeCell ref="A34:K34"/>
    <mergeCell ref="G35:H35"/>
    <mergeCell ref="I35:J35"/>
    <mergeCell ref="K36:K51"/>
    <mergeCell ref="A6:H6"/>
    <mergeCell ref="H8:H24"/>
    <mergeCell ref="B25:E25"/>
    <mergeCell ref="H25:H26"/>
    <mergeCell ref="B26:E2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M28"/>
  <sheetViews>
    <sheetView zoomScale="70" zoomScaleNormal="70" workbookViewId="0">
      <selection activeCell="C4" sqref="C4"/>
    </sheetView>
  </sheetViews>
  <sheetFormatPr defaultColWidth="8.6640625" defaultRowHeight="13.2"/>
  <cols>
    <col min="1" max="1" width="51.5546875" style="6" bestFit="1" customWidth="1"/>
    <col min="2" max="2" width="21.44140625" style="6" bestFit="1" customWidth="1"/>
    <col min="3" max="3" width="26.5546875" style="6" customWidth="1"/>
    <col min="4" max="4" width="30.109375" style="6" customWidth="1"/>
    <col min="5" max="5" width="18.33203125" style="6" customWidth="1"/>
    <col min="6" max="6" width="28.44140625" style="6" customWidth="1"/>
    <col min="7" max="7" width="30" style="6" customWidth="1"/>
    <col min="8" max="8" width="24" style="6" customWidth="1"/>
    <col min="9" max="9" width="10.5546875" style="6" customWidth="1"/>
    <col min="10" max="10" width="11.44140625" style="6" customWidth="1"/>
    <col min="11" max="11" width="10.5546875" style="6" customWidth="1"/>
    <col min="12" max="12" width="13.33203125" style="6" customWidth="1"/>
    <col min="13" max="13" width="9.6640625" style="6" customWidth="1"/>
    <col min="14" max="14" width="9.44140625" style="6" customWidth="1"/>
    <col min="15" max="15" width="12.6640625" style="6" customWidth="1"/>
    <col min="16" max="16" width="14.6640625" style="6" customWidth="1"/>
    <col min="17" max="17" width="20.6640625" style="6" customWidth="1"/>
    <col min="18" max="18" width="19.6640625" style="6" customWidth="1"/>
    <col min="19" max="24" width="8.6640625" style="6"/>
    <col min="25" max="25" width="13.6640625" style="6" bestFit="1" customWidth="1"/>
    <col min="26" max="16384" width="8.6640625" style="6"/>
  </cols>
  <sheetData>
    <row r="1" spans="1:13" ht="25.95" customHeight="1">
      <c r="A1" s="461" t="str">
        <f>"Interior Lighting - "&amp;Prototype!B4</f>
        <v>Interior Lighting - Assembly</v>
      </c>
      <c r="B1" s="461"/>
      <c r="C1" s="461"/>
      <c r="D1" s="461"/>
      <c r="E1" s="461"/>
      <c r="F1" s="461"/>
      <c r="G1" s="461"/>
    </row>
    <row r="2" spans="1:13" ht="25.95" customHeight="1">
      <c r="A2" s="482" t="s">
        <v>341</v>
      </c>
      <c r="B2" s="428" t="s">
        <v>342</v>
      </c>
      <c r="C2" s="428"/>
      <c r="D2" s="428"/>
      <c r="E2" s="428" t="s">
        <v>177</v>
      </c>
      <c r="F2" s="428"/>
      <c r="G2" s="428"/>
    </row>
    <row r="3" spans="1:13" ht="43.2" customHeight="1">
      <c r="A3" s="482"/>
      <c r="B3" s="298" t="s">
        <v>343</v>
      </c>
      <c r="C3" s="298" t="s">
        <v>344</v>
      </c>
      <c r="D3" s="305" t="s">
        <v>204</v>
      </c>
      <c r="E3" s="298" t="s">
        <v>345</v>
      </c>
      <c r="F3" s="298" t="s">
        <v>346</v>
      </c>
      <c r="G3" s="298" t="s">
        <v>204</v>
      </c>
      <c r="H3"/>
      <c r="I3"/>
      <c r="J3"/>
      <c r="K3"/>
      <c r="L3"/>
      <c r="M3"/>
    </row>
    <row r="4" spans="1:13" ht="27" customHeight="1">
      <c r="A4" s="353" t="s">
        <v>93</v>
      </c>
      <c r="B4" s="84">
        <v>0.75</v>
      </c>
      <c r="C4" s="66">
        <v>0.25</v>
      </c>
      <c r="D4" s="458" t="s">
        <v>347</v>
      </c>
      <c r="E4" s="84">
        <v>1.2</v>
      </c>
      <c r="F4" s="66"/>
      <c r="G4" s="458" t="s">
        <v>348</v>
      </c>
      <c r="H4"/>
      <c r="I4"/>
      <c r="J4"/>
      <c r="K4"/>
      <c r="L4"/>
      <c r="M4"/>
    </row>
    <row r="5" spans="1:13" ht="24" customHeight="1">
      <c r="A5" s="353" t="s">
        <v>97</v>
      </c>
      <c r="B5" s="84">
        <v>0.5</v>
      </c>
      <c r="C5" s="66"/>
      <c r="D5" s="483"/>
      <c r="E5" s="84">
        <v>0.9</v>
      </c>
      <c r="F5" s="66"/>
      <c r="G5" s="483"/>
      <c r="H5"/>
      <c r="I5"/>
      <c r="J5"/>
      <c r="K5"/>
      <c r="L5"/>
      <c r="M5"/>
    </row>
    <row r="6" spans="1:13" ht="22.95" customHeight="1">
      <c r="A6" s="353" t="s">
        <v>99</v>
      </c>
      <c r="B6" s="84">
        <v>0.5</v>
      </c>
      <c r="C6" s="127"/>
      <c r="D6" s="483"/>
      <c r="E6" s="84">
        <v>1.4</v>
      </c>
      <c r="F6" s="388"/>
      <c r="G6" s="483"/>
      <c r="H6"/>
      <c r="I6"/>
      <c r="J6"/>
      <c r="K6"/>
      <c r="L6"/>
      <c r="M6"/>
    </row>
    <row r="7" spans="1:13" ht="21" customHeight="1">
      <c r="A7" s="353" t="s">
        <v>101</v>
      </c>
      <c r="B7" s="84">
        <v>0.6</v>
      </c>
      <c r="C7" s="127"/>
      <c r="D7" s="483"/>
      <c r="E7" s="84">
        <v>1.8</v>
      </c>
      <c r="F7" s="388"/>
      <c r="G7" s="483"/>
      <c r="H7"/>
      <c r="I7"/>
      <c r="J7"/>
      <c r="K7"/>
      <c r="L7"/>
      <c r="M7"/>
    </row>
    <row r="8" spans="1:13" ht="27" customHeight="1">
      <c r="A8" s="353" t="s">
        <v>106</v>
      </c>
      <c r="B8" s="84">
        <v>0.8</v>
      </c>
      <c r="C8" s="66"/>
      <c r="D8" s="483"/>
      <c r="E8" s="84">
        <v>1.1000000000000001</v>
      </c>
      <c r="F8" s="16"/>
      <c r="G8" s="483"/>
      <c r="H8"/>
      <c r="I8"/>
      <c r="J8"/>
      <c r="K8"/>
      <c r="L8"/>
      <c r="M8"/>
    </row>
    <row r="9" spans="1:13" ht="27" customHeight="1">
      <c r="A9" s="353" t="s">
        <v>108</v>
      </c>
      <c r="B9" s="84">
        <v>1</v>
      </c>
      <c r="C9" s="275"/>
      <c r="D9" s="483"/>
      <c r="E9" s="84">
        <v>1.5</v>
      </c>
      <c r="F9" s="354"/>
      <c r="G9" s="483"/>
      <c r="H9"/>
      <c r="I9"/>
      <c r="J9"/>
      <c r="K9"/>
      <c r="L9"/>
      <c r="M9"/>
    </row>
    <row r="10" spans="1:13" s="7" customFormat="1" ht="27" customHeight="1">
      <c r="A10" s="353" t="s">
        <v>110</v>
      </c>
      <c r="B10" s="84">
        <v>0.7</v>
      </c>
      <c r="C10" s="357"/>
      <c r="D10" s="483"/>
      <c r="E10" s="84">
        <v>0.95</v>
      </c>
      <c r="F10" s="355"/>
      <c r="G10" s="483"/>
      <c r="H10"/>
      <c r="I10"/>
      <c r="J10"/>
      <c r="K10"/>
      <c r="L10"/>
      <c r="M10"/>
    </row>
    <row r="11" spans="1:13" ht="27" customHeight="1">
      <c r="A11" s="353" t="s">
        <v>115</v>
      </c>
      <c r="B11" s="84">
        <v>0.6</v>
      </c>
      <c r="C11" s="301">
        <v>0.1</v>
      </c>
      <c r="D11" s="483"/>
      <c r="E11" s="84">
        <v>0.75</v>
      </c>
      <c r="F11" s="356"/>
      <c r="G11" s="483"/>
      <c r="H11"/>
      <c r="I11"/>
      <c r="J11"/>
      <c r="K11"/>
      <c r="L11"/>
      <c r="M11"/>
    </row>
    <row r="12" spans="1:13" ht="27" customHeight="1">
      <c r="A12" s="353" t="s">
        <v>118</v>
      </c>
      <c r="B12" s="84">
        <v>0.95</v>
      </c>
      <c r="C12" s="303"/>
      <c r="D12" s="483"/>
      <c r="E12" s="84">
        <v>1.5</v>
      </c>
      <c r="F12" s="16"/>
      <c r="G12" s="483"/>
      <c r="H12"/>
      <c r="I12"/>
      <c r="J12"/>
      <c r="K12"/>
      <c r="L12"/>
      <c r="M12"/>
    </row>
    <row r="13" spans="1:13" ht="27" customHeight="1">
      <c r="A13" s="353" t="s">
        <v>121</v>
      </c>
      <c r="B13" s="84">
        <v>0.5</v>
      </c>
      <c r="C13" s="303"/>
      <c r="D13" s="483"/>
      <c r="E13" s="84">
        <v>1</v>
      </c>
      <c r="F13" s="16"/>
      <c r="G13" s="483"/>
      <c r="H13"/>
      <c r="I13"/>
      <c r="J13"/>
      <c r="K13"/>
      <c r="L13"/>
      <c r="M13"/>
    </row>
    <row r="14" spans="1:13" ht="27" customHeight="1">
      <c r="A14" s="353" t="s">
        <v>124</v>
      </c>
      <c r="B14" s="84">
        <v>0.45</v>
      </c>
      <c r="C14" s="303"/>
      <c r="D14" s="483"/>
      <c r="E14" s="84">
        <v>0.7</v>
      </c>
      <c r="F14" s="16"/>
      <c r="G14" s="483"/>
      <c r="H14"/>
      <c r="I14"/>
      <c r="J14"/>
      <c r="K14"/>
      <c r="L14"/>
      <c r="M14"/>
    </row>
    <row r="15" spans="1:13" ht="27" customHeight="1">
      <c r="A15" s="353" t="s">
        <v>126</v>
      </c>
      <c r="B15" s="84">
        <v>0.65</v>
      </c>
      <c r="C15" s="303"/>
      <c r="D15" s="483"/>
      <c r="E15" s="84">
        <v>0.6</v>
      </c>
      <c r="F15" s="16"/>
      <c r="G15" s="483"/>
      <c r="H15"/>
      <c r="I15"/>
      <c r="J15"/>
      <c r="K15"/>
      <c r="L15"/>
      <c r="M15"/>
    </row>
    <row r="16" spans="1:13" ht="27" customHeight="1">
      <c r="A16" s="353" t="s">
        <v>129</v>
      </c>
      <c r="B16" s="84">
        <v>0.6</v>
      </c>
      <c r="C16" s="303"/>
      <c r="D16" s="483"/>
      <c r="E16" s="84">
        <v>0.95</v>
      </c>
      <c r="F16" s="16"/>
      <c r="G16" s="483"/>
      <c r="H16"/>
      <c r="I16"/>
      <c r="J16"/>
      <c r="K16"/>
      <c r="L16"/>
      <c r="M16"/>
    </row>
    <row r="17" spans="1:13" ht="27" customHeight="1">
      <c r="A17" s="353" t="s">
        <v>133</v>
      </c>
      <c r="B17" s="84">
        <v>0.4</v>
      </c>
      <c r="C17" s="303"/>
      <c r="D17" s="483"/>
      <c r="E17" s="84">
        <v>0.5</v>
      </c>
      <c r="F17" s="16"/>
      <c r="G17" s="483"/>
      <c r="H17"/>
      <c r="I17"/>
      <c r="J17"/>
      <c r="K17"/>
      <c r="L17"/>
      <c r="M17"/>
    </row>
    <row r="18" spans="1:13" ht="27" customHeight="1">
      <c r="A18" s="353" t="s">
        <v>135</v>
      </c>
      <c r="B18" s="84">
        <v>0.45</v>
      </c>
      <c r="C18" s="303"/>
      <c r="D18" s="459"/>
      <c r="E18" s="84">
        <v>1</v>
      </c>
      <c r="F18" s="16"/>
      <c r="G18" s="459"/>
      <c r="H18"/>
      <c r="I18"/>
      <c r="J18"/>
      <c r="K18"/>
      <c r="L18"/>
      <c r="M18"/>
    </row>
    <row r="19" spans="1:13" ht="14.4">
      <c r="A19" s="149"/>
      <c r="H19"/>
      <c r="I19"/>
      <c r="J19"/>
      <c r="K19"/>
      <c r="L19"/>
      <c r="M19"/>
    </row>
    <row r="20" spans="1:13" ht="14.4">
      <c r="A20" s="149"/>
      <c r="H20"/>
      <c r="I20"/>
      <c r="J20"/>
      <c r="K20"/>
      <c r="L20"/>
      <c r="M20"/>
    </row>
    <row r="21" spans="1:13" ht="14.4">
      <c r="H21"/>
      <c r="I21"/>
      <c r="J21"/>
      <c r="K21"/>
      <c r="L21"/>
      <c r="M21"/>
    </row>
    <row r="22" spans="1:13" ht="14.4">
      <c r="H22"/>
      <c r="I22"/>
      <c r="J22"/>
      <c r="K22"/>
      <c r="L22"/>
      <c r="M22"/>
    </row>
    <row r="23" spans="1:13" ht="14.4">
      <c r="H23"/>
      <c r="I23"/>
      <c r="J23"/>
      <c r="K23"/>
      <c r="L23"/>
      <c r="M23"/>
    </row>
    <row r="24" spans="1:13" ht="14.4">
      <c r="H24"/>
      <c r="I24"/>
      <c r="J24"/>
      <c r="K24"/>
      <c r="L24"/>
      <c r="M24"/>
    </row>
    <row r="25" spans="1:13" ht="14.4">
      <c r="H25"/>
      <c r="I25"/>
      <c r="J25"/>
      <c r="K25"/>
      <c r="L25"/>
      <c r="M25"/>
    </row>
    <row r="26" spans="1:13" ht="14.4">
      <c r="H26"/>
      <c r="I26"/>
      <c r="J26"/>
      <c r="K26"/>
      <c r="L26"/>
      <c r="M26"/>
    </row>
    <row r="27" spans="1:13" ht="14.4">
      <c r="H27"/>
      <c r="I27"/>
      <c r="J27"/>
      <c r="K27"/>
      <c r="L27"/>
      <c r="M27"/>
    </row>
    <row r="28" spans="1:13" ht="14.4">
      <c r="H28"/>
      <c r="I28"/>
      <c r="J28"/>
      <c r="K28"/>
      <c r="L28"/>
      <c r="M28"/>
    </row>
  </sheetData>
  <mergeCells count="6">
    <mergeCell ref="A1:G1"/>
    <mergeCell ref="A2:A3"/>
    <mergeCell ref="B2:D2"/>
    <mergeCell ref="E2:G2"/>
    <mergeCell ref="D4:D18"/>
    <mergeCell ref="G4:G18"/>
  </mergeCells>
  <phoneticPr fontId="5"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297C424-B03C-4799-9B7B-FF1A5893E5C7}">
          <x14:formula1>
            <xm:f>Data!$A$2:$A$76</xm:f>
          </x14:formula1>
          <xm:sqref>A4:A18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8"/>
  <sheetViews>
    <sheetView zoomScale="85" zoomScaleNormal="85" workbookViewId="0">
      <selection sqref="A1:D1"/>
    </sheetView>
  </sheetViews>
  <sheetFormatPr defaultColWidth="8.6640625" defaultRowHeight="13.2"/>
  <cols>
    <col min="1" max="1" width="32" style="6" customWidth="1"/>
    <col min="2" max="2" width="30.33203125" style="6" customWidth="1"/>
    <col min="3" max="3" width="21.33203125" style="6" customWidth="1"/>
    <col min="4" max="4" width="36.33203125" style="6" customWidth="1"/>
    <col min="5" max="5" width="38.88671875" style="6" customWidth="1"/>
    <col min="6" max="6" width="17.109375" style="6" customWidth="1"/>
    <col min="7" max="7" width="17.5546875" style="6" customWidth="1"/>
    <col min="8" max="8" width="15.5546875" style="6" customWidth="1"/>
    <col min="9" max="9" width="13.33203125" style="6" customWidth="1"/>
    <col min="10" max="16384" width="8.6640625" style="6"/>
  </cols>
  <sheetData>
    <row r="1" spans="1:7" ht="25.2" customHeight="1">
      <c r="A1" s="484" t="str">
        <f>"Exterior Lighting - "&amp;Prototype!B4</f>
        <v>Exterior Lighting - Assembly</v>
      </c>
      <c r="B1" s="484"/>
      <c r="C1" s="484"/>
      <c r="D1" s="484"/>
    </row>
    <row r="2" spans="1:7" ht="37.200000000000003" customHeight="1">
      <c r="A2" s="306" t="s">
        <v>349</v>
      </c>
      <c r="B2" s="306" t="s">
        <v>350</v>
      </c>
      <c r="C2" s="306" t="s">
        <v>351</v>
      </c>
      <c r="D2" s="306" t="s">
        <v>204</v>
      </c>
    </row>
    <row r="3" spans="1:7" ht="45.6" customHeight="1">
      <c r="A3" s="40">
        <f>G14</f>
        <v>9861.6970000000001</v>
      </c>
      <c r="B3" s="40">
        <f>G15</f>
        <v>1957.3249999999998</v>
      </c>
      <c r="C3" s="40">
        <f>A3+B3</f>
        <v>11819.022000000001</v>
      </c>
      <c r="D3" s="295" t="s">
        <v>352</v>
      </c>
      <c r="E3" s="78"/>
    </row>
    <row r="4" spans="1:7" ht="22.2" customHeight="1">
      <c r="A4" s="53"/>
      <c r="B4" s="53"/>
      <c r="C4" s="53"/>
    </row>
    <row r="5" spans="1:7" ht="14.4">
      <c r="A5"/>
      <c r="C5" s="89"/>
      <c r="E5" s="90"/>
    </row>
    <row r="6" spans="1:7" ht="14.4">
      <c r="A6"/>
      <c r="C6" s="89"/>
      <c r="E6" s="90"/>
    </row>
    <row r="7" spans="1:7" ht="15.6">
      <c r="A7" s="484" t="str">
        <f>"Exterior Lighting"</f>
        <v>Exterior Lighting</v>
      </c>
      <c r="B7" s="484"/>
      <c r="C7" s="484"/>
      <c r="D7" s="484"/>
      <c r="E7" s="484"/>
      <c r="F7" s="484"/>
      <c r="G7" s="484"/>
    </row>
    <row r="8" spans="1:7" ht="51.6" customHeight="1">
      <c r="A8" s="120" t="s">
        <v>353</v>
      </c>
      <c r="B8" s="485" t="s">
        <v>354</v>
      </c>
      <c r="C8" s="485"/>
      <c r="D8" s="306" t="s">
        <v>355</v>
      </c>
      <c r="E8" s="306" t="s">
        <v>356</v>
      </c>
      <c r="F8" s="306" t="s">
        <v>355</v>
      </c>
      <c r="G8" s="306" t="s">
        <v>357</v>
      </c>
    </row>
    <row r="9" spans="1:7" ht="21" customHeight="1">
      <c r="A9" s="16" t="s">
        <v>358</v>
      </c>
      <c r="B9" s="16"/>
      <c r="C9" s="91"/>
      <c r="D9" s="303"/>
      <c r="E9" s="303">
        <v>200</v>
      </c>
      <c r="F9" s="302" t="s">
        <v>359</v>
      </c>
      <c r="G9" s="121">
        <f>$E9</f>
        <v>200</v>
      </c>
    </row>
    <row r="10" spans="1:7" ht="39.6">
      <c r="A10" s="16" t="s">
        <v>360</v>
      </c>
      <c r="B10" s="17" t="s">
        <v>361</v>
      </c>
      <c r="C10" s="92">
        <v>504563</v>
      </c>
      <c r="D10" s="303" t="s">
        <v>362</v>
      </c>
      <c r="E10" s="303">
        <v>1.9E-2</v>
      </c>
      <c r="F10" s="302" t="s">
        <v>363</v>
      </c>
      <c r="G10" s="121">
        <f t="shared" ref="G10:G12" si="0">E10*C10</f>
        <v>9586.6970000000001</v>
      </c>
    </row>
    <row r="11" spans="1:7" ht="24" customHeight="1">
      <c r="A11" s="16" t="s">
        <v>364</v>
      </c>
      <c r="B11" s="16" t="s">
        <v>365</v>
      </c>
      <c r="C11" s="91">
        <v>5</v>
      </c>
      <c r="D11" s="303" t="s">
        <v>366</v>
      </c>
      <c r="E11" s="303">
        <v>15</v>
      </c>
      <c r="F11" s="302" t="s">
        <v>367</v>
      </c>
      <c r="G11" s="121">
        <f t="shared" si="0"/>
        <v>75</v>
      </c>
    </row>
    <row r="12" spans="1:7" ht="39.6" customHeight="1">
      <c r="A12" s="16" t="s">
        <v>368</v>
      </c>
      <c r="B12" s="17" t="s">
        <v>369</v>
      </c>
      <c r="C12" s="95">
        <v>31535</v>
      </c>
      <c r="D12" s="303" t="s">
        <v>362</v>
      </c>
      <c r="E12" s="303">
        <v>7.0000000000000001E-3</v>
      </c>
      <c r="F12" s="302" t="s">
        <v>363</v>
      </c>
      <c r="G12" s="122">
        <f t="shared" si="0"/>
        <v>220.745</v>
      </c>
    </row>
    <row r="13" spans="1:7" ht="118.8">
      <c r="A13" s="16" t="s">
        <v>370</v>
      </c>
      <c r="B13" s="17" t="s">
        <v>371</v>
      </c>
      <c r="C13" s="93">
        <f>0.5*4*(B20*B21+C20*C21+D20*D21+E20*E21+F20*F21)</f>
        <v>17365.8</v>
      </c>
      <c r="D13" s="303" t="s">
        <v>362</v>
      </c>
      <c r="E13" s="303">
        <v>0.1</v>
      </c>
      <c r="F13" s="302" t="s">
        <v>363</v>
      </c>
      <c r="G13" s="122">
        <f>E13*C13</f>
        <v>1736.58</v>
      </c>
    </row>
    <row r="14" spans="1:7">
      <c r="A14" s="16" t="s">
        <v>349</v>
      </c>
      <c r="B14" s="16"/>
      <c r="C14" s="91"/>
      <c r="D14" s="303"/>
      <c r="E14" s="303"/>
      <c r="F14" s="303"/>
      <c r="G14" s="122">
        <f>G10+G9+G11</f>
        <v>9861.6970000000001</v>
      </c>
    </row>
    <row r="15" spans="1:7">
      <c r="A15" s="16" t="s">
        <v>372</v>
      </c>
      <c r="B15" s="16"/>
      <c r="C15" s="91"/>
      <c r="D15" s="303"/>
      <c r="E15" s="303"/>
      <c r="F15" s="303"/>
      <c r="G15" s="122">
        <f>G12+G13</f>
        <v>1957.3249999999998</v>
      </c>
    </row>
    <row r="16" spans="1:7">
      <c r="A16" s="16" t="s">
        <v>294</v>
      </c>
      <c r="B16" s="16"/>
      <c r="C16" s="91"/>
      <c r="D16" s="303"/>
      <c r="E16" s="303"/>
      <c r="F16" s="303"/>
      <c r="G16" s="122">
        <f>G14+G15</f>
        <v>11819.022000000001</v>
      </c>
    </row>
    <row r="19" spans="1:7">
      <c r="A19" s="6" t="s">
        <v>373</v>
      </c>
      <c r="B19" s="94">
        <f>Prototype!B9</f>
        <v>315352</v>
      </c>
    </row>
    <row r="20" spans="1:7">
      <c r="A20" s="6" t="s">
        <v>374</v>
      </c>
      <c r="B20" s="292">
        <v>114</v>
      </c>
      <c r="C20" s="292">
        <v>94.3</v>
      </c>
      <c r="D20" s="292">
        <v>80.3</v>
      </c>
      <c r="E20" s="292">
        <v>59.1</v>
      </c>
      <c r="F20" s="292">
        <v>83</v>
      </c>
    </row>
    <row r="21" spans="1:7" ht="28.2" customHeight="1">
      <c r="A21" s="12" t="s">
        <v>375</v>
      </c>
      <c r="B21" s="292">
        <v>13</v>
      </c>
      <c r="C21" s="292">
        <v>13</v>
      </c>
      <c r="D21" s="292">
        <v>25</v>
      </c>
      <c r="E21" s="292">
        <v>25</v>
      </c>
      <c r="F21" s="292">
        <v>30</v>
      </c>
    </row>
    <row r="22" spans="1:7">
      <c r="A22" s="6" t="s">
        <v>376</v>
      </c>
    </row>
    <row r="23" spans="1:7" ht="14.4">
      <c r="B23" s="6">
        <v>3</v>
      </c>
      <c r="C23" s="89"/>
      <c r="E23" s="90"/>
    </row>
    <row r="24" spans="1:7" ht="14.4">
      <c r="A24"/>
      <c r="C24" s="89"/>
      <c r="E24" s="90"/>
    </row>
    <row r="28" spans="1:7" s="24" customFormat="1" ht="13.2" hidden="1" customHeight="1">
      <c r="A28" s="24" t="s">
        <v>141</v>
      </c>
      <c r="E28" s="25"/>
      <c r="F28" s="26"/>
      <c r="G28" s="27"/>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F43"/>
  <sheetViews>
    <sheetView zoomScale="90" zoomScaleNormal="90" workbookViewId="0">
      <selection sqref="A1:E1"/>
    </sheetView>
  </sheetViews>
  <sheetFormatPr defaultColWidth="8.6640625" defaultRowHeight="13.2"/>
  <cols>
    <col min="1" max="1" width="49" style="6" customWidth="1"/>
    <col min="2" max="2" width="23.5546875" style="6" customWidth="1"/>
    <col min="3" max="3" width="18.44140625" style="6" bestFit="1" customWidth="1"/>
    <col min="4" max="4" width="23.33203125" style="6" customWidth="1"/>
    <col min="5" max="5" width="29.6640625" style="6" customWidth="1"/>
    <col min="6" max="6" width="18.33203125" style="6" customWidth="1"/>
    <col min="7" max="7" width="21.44140625" style="6" customWidth="1"/>
    <col min="8" max="8" width="33.88671875" style="6" bestFit="1" customWidth="1"/>
    <col min="9" max="9" width="10.6640625" style="6" bestFit="1" customWidth="1"/>
    <col min="10" max="10" width="10.5546875" style="6" bestFit="1" customWidth="1"/>
    <col min="11" max="16384" width="8.6640625" style="6"/>
  </cols>
  <sheetData>
    <row r="1" spans="1:6" ht="23.4" customHeight="1">
      <c r="A1" s="486" t="str">
        <f>"Equipment - "&amp;Prototype!B4</f>
        <v>Equipment - Assembly</v>
      </c>
      <c r="B1" s="487"/>
      <c r="C1" s="487"/>
      <c r="D1" s="487"/>
      <c r="E1" s="487"/>
    </row>
    <row r="2" spans="1:6" ht="40.950000000000003" customHeight="1">
      <c r="A2" s="305" t="s">
        <v>341</v>
      </c>
      <c r="B2" s="298" t="s">
        <v>377</v>
      </c>
      <c r="C2" s="298" t="s">
        <v>378</v>
      </c>
      <c r="D2" s="298" t="s">
        <v>379</v>
      </c>
      <c r="E2" s="310" t="s">
        <v>204</v>
      </c>
    </row>
    <row r="3" spans="1:6" ht="20.399999999999999" customHeight="1">
      <c r="A3" s="158" t="s">
        <v>93</v>
      </c>
      <c r="B3" s="303">
        <v>1</v>
      </c>
      <c r="C3" s="303">
        <v>0</v>
      </c>
      <c r="D3" s="156">
        <v>0</v>
      </c>
      <c r="E3" s="488" t="s">
        <v>380</v>
      </c>
    </row>
    <row r="4" spans="1:6" ht="20.399999999999999" customHeight="1">
      <c r="A4" s="158" t="s">
        <v>97</v>
      </c>
      <c r="B4" s="303">
        <v>0.5</v>
      </c>
      <c r="C4" s="303">
        <v>0</v>
      </c>
      <c r="D4" s="156">
        <v>0</v>
      </c>
      <c r="E4" s="489"/>
      <c r="F4" s="55"/>
    </row>
    <row r="5" spans="1:6" ht="20.399999999999999" customHeight="1">
      <c r="A5" s="158" t="s">
        <v>99</v>
      </c>
      <c r="B5" s="303">
        <v>1</v>
      </c>
      <c r="C5" s="303">
        <v>0</v>
      </c>
      <c r="D5" s="156">
        <v>0</v>
      </c>
      <c r="E5" s="489"/>
    </row>
    <row r="6" spans="1:6" ht="20.399999999999999" customHeight="1">
      <c r="A6" s="158" t="s">
        <v>101</v>
      </c>
      <c r="B6" s="303">
        <v>1.5</v>
      </c>
      <c r="C6" s="303">
        <v>0</v>
      </c>
      <c r="D6" s="156">
        <v>0</v>
      </c>
      <c r="E6" s="489"/>
    </row>
    <row r="7" spans="1:6" ht="20.399999999999999" customHeight="1">
      <c r="A7" s="158" t="s">
        <v>106</v>
      </c>
      <c r="B7" s="303">
        <v>1.5</v>
      </c>
      <c r="C7" s="303">
        <v>0</v>
      </c>
      <c r="D7" s="156">
        <v>0</v>
      </c>
      <c r="E7" s="489"/>
    </row>
    <row r="8" spans="1:6" ht="20.399999999999999" customHeight="1">
      <c r="A8" s="158" t="s">
        <v>108</v>
      </c>
      <c r="B8" s="303">
        <v>1.5</v>
      </c>
      <c r="C8" s="303">
        <v>0</v>
      </c>
      <c r="D8" s="156">
        <v>0</v>
      </c>
      <c r="E8" s="489"/>
    </row>
    <row r="9" spans="1:6" ht="20.399999999999999" customHeight="1">
      <c r="A9" s="158" t="s">
        <v>110</v>
      </c>
      <c r="B9" s="303">
        <v>0.5</v>
      </c>
      <c r="C9" s="303">
        <v>0</v>
      </c>
      <c r="D9" s="156">
        <v>0</v>
      </c>
      <c r="E9" s="489"/>
    </row>
    <row r="10" spans="1:6" ht="42" customHeight="1">
      <c r="A10" s="158" t="s">
        <v>115</v>
      </c>
      <c r="B10" s="303">
        <v>0.7</v>
      </c>
      <c r="C10" s="303">
        <v>0</v>
      </c>
      <c r="D10" s="156">
        <v>0</v>
      </c>
      <c r="E10" s="297" t="s">
        <v>381</v>
      </c>
    </row>
    <row r="11" spans="1:6" ht="20.399999999999999" customHeight="1">
      <c r="A11" s="158" t="s">
        <v>118</v>
      </c>
      <c r="B11" s="303">
        <v>0.5</v>
      </c>
      <c r="C11" s="303">
        <v>0</v>
      </c>
      <c r="D11" s="156">
        <v>0</v>
      </c>
      <c r="E11" s="421" t="s">
        <v>382</v>
      </c>
    </row>
    <row r="12" spans="1:6" ht="20.399999999999999" customHeight="1">
      <c r="A12" s="158" t="s">
        <v>121</v>
      </c>
      <c r="B12" s="303">
        <v>0.5</v>
      </c>
      <c r="C12" s="303">
        <v>0</v>
      </c>
      <c r="D12" s="156">
        <v>0</v>
      </c>
      <c r="E12" s="421"/>
    </row>
    <row r="13" spans="1:6" ht="20.399999999999999" customHeight="1">
      <c r="A13" s="158" t="s">
        <v>124</v>
      </c>
      <c r="B13" s="303">
        <v>0.5</v>
      </c>
      <c r="C13" s="303">
        <v>0</v>
      </c>
      <c r="D13" s="156">
        <v>0</v>
      </c>
      <c r="E13" s="421"/>
    </row>
    <row r="14" spans="1:6" ht="20.399999999999999" customHeight="1">
      <c r="A14" s="158" t="s">
        <v>126</v>
      </c>
      <c r="B14" s="303">
        <v>0</v>
      </c>
      <c r="C14" s="303">
        <v>0</v>
      </c>
      <c r="D14" s="156">
        <v>0</v>
      </c>
      <c r="E14" s="421"/>
    </row>
    <row r="15" spans="1:6" ht="20.399999999999999" customHeight="1">
      <c r="A15" s="158" t="s">
        <v>129</v>
      </c>
      <c r="B15" s="303">
        <v>0.5</v>
      </c>
      <c r="C15" s="303">
        <v>0</v>
      </c>
      <c r="D15" s="156">
        <v>0</v>
      </c>
      <c r="E15" s="421"/>
    </row>
    <row r="16" spans="1:6" ht="20.399999999999999" customHeight="1">
      <c r="A16" s="158" t="s">
        <v>133</v>
      </c>
      <c r="B16" s="303">
        <v>0.5</v>
      </c>
      <c r="C16" s="303">
        <v>0</v>
      </c>
      <c r="D16" s="156">
        <v>0</v>
      </c>
      <c r="E16" s="421"/>
    </row>
    <row r="17" spans="1:5" ht="20.399999999999999" customHeight="1">
      <c r="A17" s="158" t="s">
        <v>135</v>
      </c>
      <c r="B17" s="303">
        <v>0.5</v>
      </c>
      <c r="C17" s="303">
        <v>0</v>
      </c>
      <c r="D17" s="156">
        <v>0</v>
      </c>
      <c r="E17" s="421"/>
    </row>
    <row r="18" spans="1:5" ht="15" customHeight="1">
      <c r="A18" s="150"/>
    </row>
    <row r="19" spans="1:5" ht="15" customHeight="1">
      <c r="A19" s="150"/>
    </row>
    <row r="20" spans="1:5" ht="15" customHeight="1"/>
    <row r="21" spans="1:5" ht="13.95" customHeight="1"/>
    <row r="22" spans="1:5" s="24" customFormat="1" hidden="1">
      <c r="A22" s="24" t="s">
        <v>141</v>
      </c>
      <c r="D22" s="26"/>
      <c r="E22" s="27"/>
    </row>
    <row r="23" spans="1:5" hidden="1"/>
    <row r="24" spans="1:5" hidden="1"/>
    <row r="25" spans="1:5" hidden="1"/>
    <row r="26" spans="1:5" ht="14.4" hidden="1">
      <c r="A26"/>
    </row>
    <row r="27" spans="1:5" hidden="1"/>
    <row r="28" spans="1:5" hidden="1"/>
    <row r="29" spans="1:5" hidden="1"/>
    <row r="30" spans="1:5" hidden="1"/>
    <row r="31" spans="1:5" hidden="1"/>
    <row r="32" spans="1:5" hidden="1"/>
    <row r="33" hidden="1"/>
    <row r="34" hidden="1"/>
    <row r="35" hidden="1"/>
    <row r="36" hidden="1"/>
    <row r="37" hidden="1"/>
    <row r="38" hidden="1"/>
    <row r="39" hidden="1"/>
    <row r="40" hidden="1"/>
    <row r="41" hidden="1"/>
    <row r="42" hidden="1"/>
    <row r="43" hidden="1"/>
  </sheetData>
  <mergeCells count="3">
    <mergeCell ref="A1:E1"/>
    <mergeCell ref="E11:E17"/>
    <mergeCell ref="E3:E9"/>
  </mergeCells>
  <phoneticPr fontId="5"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05B61AA-6C01-4381-9B4B-A99CD5B3C88F}">
          <x14:formula1>
            <xm:f>Data!$A$2:$A$76</xm:f>
          </x14:formula1>
          <xm:sqref>A3:A17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86"/>
  <sheetViews>
    <sheetView zoomScale="80" zoomScaleNormal="80" workbookViewId="0">
      <selection sqref="A1:AC1"/>
    </sheetView>
  </sheetViews>
  <sheetFormatPr defaultColWidth="9.33203125" defaultRowHeight="11.4"/>
  <cols>
    <col min="1" max="2" width="15" style="41" customWidth="1"/>
    <col min="3" max="3" width="27" style="41" customWidth="1"/>
    <col min="4" max="4" width="21.33203125" style="41" customWidth="1"/>
    <col min="5" max="5" width="11" style="41" customWidth="1"/>
    <col min="6" max="29" width="5.6640625" style="41" customWidth="1"/>
    <col min="30" max="16384" width="9.33203125" style="41"/>
  </cols>
  <sheetData>
    <row r="1" spans="1:39" ht="24" customHeight="1">
      <c r="A1" s="467" t="str">
        <f>"Schedules - "&amp;Prototype!B4</f>
        <v>Schedules - Assembly</v>
      </c>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91"/>
      <c r="AD1" s="42"/>
      <c r="AE1" s="42"/>
      <c r="AF1" s="42"/>
      <c r="AG1" s="42"/>
      <c r="AH1" s="42"/>
      <c r="AI1" s="43"/>
      <c r="AJ1" s="43"/>
      <c r="AK1" s="43"/>
    </row>
    <row r="2" spans="1:39" ht="24" customHeight="1">
      <c r="A2" s="482" t="s">
        <v>383</v>
      </c>
      <c r="B2" s="428" t="s">
        <v>81</v>
      </c>
      <c r="C2" s="482" t="s">
        <v>384</v>
      </c>
      <c r="D2" s="482" t="s">
        <v>204</v>
      </c>
      <c r="E2" s="482" t="s">
        <v>385</v>
      </c>
      <c r="F2" s="559" t="s">
        <v>386</v>
      </c>
      <c r="G2" s="559"/>
      <c r="H2" s="559"/>
      <c r="I2" s="559"/>
      <c r="J2" s="559"/>
      <c r="K2" s="559"/>
      <c r="L2" s="559"/>
      <c r="M2" s="559"/>
      <c r="N2" s="559"/>
      <c r="O2" s="559"/>
      <c r="P2" s="559"/>
      <c r="Q2" s="559"/>
      <c r="R2" s="559"/>
      <c r="S2" s="559"/>
      <c r="T2" s="559"/>
      <c r="U2" s="559"/>
      <c r="V2" s="559"/>
      <c r="W2" s="559"/>
      <c r="X2" s="559"/>
      <c r="Y2" s="559"/>
      <c r="Z2" s="559"/>
      <c r="AA2" s="559"/>
      <c r="AB2" s="559"/>
      <c r="AC2" s="559"/>
      <c r="AD2" s="42"/>
      <c r="AE2" s="42"/>
      <c r="AF2" s="42"/>
      <c r="AG2" s="42"/>
      <c r="AH2" s="42"/>
      <c r="AI2" s="43"/>
      <c r="AJ2" s="43"/>
      <c r="AK2" s="43"/>
    </row>
    <row r="3" spans="1:39" ht="25.2" customHeight="1" thickBot="1">
      <c r="A3" s="531"/>
      <c r="B3" s="490"/>
      <c r="C3" s="531"/>
      <c r="D3" s="531"/>
      <c r="E3" s="531"/>
      <c r="F3" s="310">
        <v>1</v>
      </c>
      <c r="G3" s="310">
        <v>2</v>
      </c>
      <c r="H3" s="310">
        <v>3</v>
      </c>
      <c r="I3" s="310">
        <v>4</v>
      </c>
      <c r="J3" s="310">
        <v>5</v>
      </c>
      <c r="K3" s="310">
        <v>6</v>
      </c>
      <c r="L3" s="310">
        <v>7</v>
      </c>
      <c r="M3" s="310">
        <v>8</v>
      </c>
      <c r="N3" s="310">
        <v>9</v>
      </c>
      <c r="O3" s="310">
        <v>10</v>
      </c>
      <c r="P3" s="310">
        <v>11</v>
      </c>
      <c r="Q3" s="310">
        <v>12</v>
      </c>
      <c r="R3" s="310">
        <v>13</v>
      </c>
      <c r="S3" s="310">
        <v>14</v>
      </c>
      <c r="T3" s="310">
        <v>15</v>
      </c>
      <c r="U3" s="310">
        <v>16</v>
      </c>
      <c r="V3" s="310">
        <v>17</v>
      </c>
      <c r="W3" s="310">
        <v>18</v>
      </c>
      <c r="X3" s="310">
        <v>19</v>
      </c>
      <c r="Y3" s="310">
        <v>20</v>
      </c>
      <c r="Z3" s="310">
        <v>21</v>
      </c>
      <c r="AA3" s="310">
        <v>22</v>
      </c>
      <c r="AB3" s="310">
        <v>23</v>
      </c>
      <c r="AC3" s="310">
        <v>24</v>
      </c>
      <c r="AD3" s="43"/>
      <c r="AE3" s="43"/>
      <c r="AF3" s="43"/>
      <c r="AG3" s="43"/>
      <c r="AH3" s="43"/>
      <c r="AI3" s="43"/>
      <c r="AJ3" s="43"/>
      <c r="AK3" s="43"/>
    </row>
    <row r="4" spans="1:39" ht="25.2" customHeight="1">
      <c r="A4" s="532" t="s">
        <v>387</v>
      </c>
      <c r="B4" s="492" t="s">
        <v>46</v>
      </c>
      <c r="C4" s="544" t="s">
        <v>388</v>
      </c>
      <c r="D4" s="540" t="s">
        <v>389</v>
      </c>
      <c r="E4" s="200" t="s">
        <v>390</v>
      </c>
      <c r="F4" s="130">
        <v>0</v>
      </c>
      <c r="G4" s="130">
        <v>0</v>
      </c>
      <c r="H4" s="130">
        <v>0</v>
      </c>
      <c r="I4" s="130">
        <v>0</v>
      </c>
      <c r="J4" s="130">
        <v>0</v>
      </c>
      <c r="K4" s="130">
        <v>0</v>
      </c>
      <c r="L4" s="130">
        <v>0</v>
      </c>
      <c r="M4" s="130">
        <v>0</v>
      </c>
      <c r="N4" s="130">
        <v>0.2</v>
      </c>
      <c r="O4" s="130">
        <v>0.2</v>
      </c>
      <c r="P4" s="130">
        <v>0.2</v>
      </c>
      <c r="Q4" s="130">
        <v>0.8</v>
      </c>
      <c r="R4" s="130">
        <v>0.8</v>
      </c>
      <c r="S4" s="130">
        <v>0.8</v>
      </c>
      <c r="T4" s="130">
        <v>0.8</v>
      </c>
      <c r="U4" s="130">
        <v>0.8</v>
      </c>
      <c r="V4" s="130">
        <v>0.8</v>
      </c>
      <c r="W4" s="130">
        <v>0.8</v>
      </c>
      <c r="X4" s="130">
        <v>0.2</v>
      </c>
      <c r="Y4" s="130">
        <v>0.2</v>
      </c>
      <c r="Z4" s="130">
        <v>0.2</v>
      </c>
      <c r="AA4" s="130">
        <v>0.2</v>
      </c>
      <c r="AB4" s="130">
        <v>0.1</v>
      </c>
      <c r="AC4" s="131">
        <v>0</v>
      </c>
      <c r="AD4" s="43"/>
      <c r="AE4" s="43"/>
      <c r="AF4" s="43"/>
      <c r="AG4" s="43"/>
      <c r="AH4" s="43"/>
      <c r="AI4" s="43"/>
      <c r="AJ4" s="43"/>
      <c r="AK4" s="43"/>
    </row>
    <row r="5" spans="1:39" ht="33" customHeight="1">
      <c r="A5" s="533"/>
      <c r="B5" s="483"/>
      <c r="C5" s="545"/>
      <c r="D5" s="541"/>
      <c r="E5" s="201" t="s">
        <v>391</v>
      </c>
      <c r="F5" s="118">
        <v>0</v>
      </c>
      <c r="G5" s="118">
        <v>0</v>
      </c>
      <c r="H5" s="118">
        <v>0</v>
      </c>
      <c r="I5" s="118">
        <v>0</v>
      </c>
      <c r="J5" s="118">
        <v>0</v>
      </c>
      <c r="K5" s="118">
        <v>0</v>
      </c>
      <c r="L5" s="118">
        <v>0</v>
      </c>
      <c r="M5" s="118">
        <v>0</v>
      </c>
      <c r="N5" s="118">
        <v>0.2</v>
      </c>
      <c r="O5" s="118">
        <v>0.2</v>
      </c>
      <c r="P5" s="118">
        <v>0.2</v>
      </c>
      <c r="Q5" s="118">
        <v>0.6</v>
      </c>
      <c r="R5" s="118">
        <v>0.6</v>
      </c>
      <c r="S5" s="118">
        <v>0.6</v>
      </c>
      <c r="T5" s="118">
        <v>0.6</v>
      </c>
      <c r="U5" s="118">
        <v>0.6</v>
      </c>
      <c r="V5" s="118">
        <v>0.6</v>
      </c>
      <c r="W5" s="118">
        <v>0.6</v>
      </c>
      <c r="X5" s="118">
        <v>0.6</v>
      </c>
      <c r="Y5" s="118">
        <v>0.6</v>
      </c>
      <c r="Z5" s="118">
        <v>0.6</v>
      </c>
      <c r="AA5" s="118">
        <v>0.8</v>
      </c>
      <c r="AB5" s="118">
        <v>0.1</v>
      </c>
      <c r="AC5" s="132">
        <v>0</v>
      </c>
      <c r="AD5" s="43"/>
      <c r="AE5" s="43"/>
      <c r="AF5" s="43"/>
      <c r="AG5" s="43"/>
      <c r="AH5" s="43"/>
      <c r="AI5" s="43"/>
      <c r="AJ5" s="43"/>
      <c r="AK5" s="43"/>
    </row>
    <row r="6" spans="1:39" ht="33" customHeight="1" thickBot="1">
      <c r="A6" s="534"/>
      <c r="B6" s="493"/>
      <c r="C6" s="546"/>
      <c r="D6" s="542"/>
      <c r="E6" s="202" t="s">
        <v>392</v>
      </c>
      <c r="F6" s="133">
        <v>0</v>
      </c>
      <c r="G6" s="133">
        <v>0</v>
      </c>
      <c r="H6" s="133">
        <v>0</v>
      </c>
      <c r="I6" s="133">
        <v>0</v>
      </c>
      <c r="J6" s="133">
        <v>0</v>
      </c>
      <c r="K6" s="133">
        <v>0</v>
      </c>
      <c r="L6" s="133">
        <v>0</v>
      </c>
      <c r="M6" s="133">
        <v>0</v>
      </c>
      <c r="N6" s="133">
        <v>0.1</v>
      </c>
      <c r="O6" s="133">
        <v>0.1</v>
      </c>
      <c r="P6" s="133">
        <v>0.1</v>
      </c>
      <c r="Q6" s="133">
        <v>0.1</v>
      </c>
      <c r="R6" s="133">
        <v>0.1</v>
      </c>
      <c r="S6" s="133">
        <v>0.7</v>
      </c>
      <c r="T6" s="133">
        <v>0.7</v>
      </c>
      <c r="U6" s="133">
        <v>0.7</v>
      </c>
      <c r="V6" s="133">
        <v>0.7</v>
      </c>
      <c r="W6" s="133">
        <v>0.7</v>
      </c>
      <c r="X6" s="133">
        <v>0.7</v>
      </c>
      <c r="Y6" s="133">
        <v>0.7</v>
      </c>
      <c r="Z6" s="133">
        <v>0.7</v>
      </c>
      <c r="AA6" s="133">
        <v>0.7</v>
      </c>
      <c r="AB6" s="133">
        <v>0.2</v>
      </c>
      <c r="AC6" s="134">
        <v>0</v>
      </c>
      <c r="AD6" s="43"/>
      <c r="AE6" s="43"/>
      <c r="AF6" s="43"/>
      <c r="AG6" s="43"/>
      <c r="AH6" s="43"/>
      <c r="AI6" s="43"/>
      <c r="AJ6" s="43"/>
      <c r="AK6" s="43"/>
    </row>
    <row r="7" spans="1:39" ht="38.700000000000003" customHeight="1">
      <c r="A7" s="532" t="s">
        <v>393</v>
      </c>
      <c r="B7" s="492" t="s">
        <v>46</v>
      </c>
      <c r="C7" s="547" t="s">
        <v>394</v>
      </c>
      <c r="D7" s="540" t="s">
        <v>389</v>
      </c>
      <c r="E7" s="194" t="s">
        <v>390</v>
      </c>
      <c r="F7" s="135">
        <v>0.05</v>
      </c>
      <c r="G7" s="135">
        <v>0.05</v>
      </c>
      <c r="H7" s="135">
        <v>0.05</v>
      </c>
      <c r="I7" s="135">
        <v>0.05</v>
      </c>
      <c r="J7" s="135">
        <v>0.05</v>
      </c>
      <c r="K7" s="135">
        <v>0.05</v>
      </c>
      <c r="L7" s="135">
        <v>0.35</v>
      </c>
      <c r="M7" s="135">
        <v>0.35</v>
      </c>
      <c r="N7" s="135">
        <v>0.35</v>
      </c>
      <c r="O7" s="135">
        <v>0.65</v>
      </c>
      <c r="P7" s="135">
        <v>0.65</v>
      </c>
      <c r="Q7" s="135">
        <v>0.65</v>
      </c>
      <c r="R7" s="135">
        <v>0.65</v>
      </c>
      <c r="S7" s="135">
        <v>0.65</v>
      </c>
      <c r="T7" s="135">
        <v>0.65</v>
      </c>
      <c r="U7" s="135">
        <v>0.65</v>
      </c>
      <c r="V7" s="135">
        <v>0.65</v>
      </c>
      <c r="W7" s="135">
        <v>0.65</v>
      </c>
      <c r="X7" s="135">
        <v>0.65</v>
      </c>
      <c r="Y7" s="135">
        <v>0.65</v>
      </c>
      <c r="Z7" s="135">
        <v>0.65</v>
      </c>
      <c r="AA7" s="135">
        <v>0.65</v>
      </c>
      <c r="AB7" s="135">
        <v>0.25</v>
      </c>
      <c r="AC7" s="136">
        <v>0.05</v>
      </c>
      <c r="AD7" s="43"/>
      <c r="AE7" s="43"/>
      <c r="AF7" s="43"/>
      <c r="AG7" s="43"/>
      <c r="AH7" s="43"/>
      <c r="AI7" s="43"/>
      <c r="AJ7" s="43"/>
      <c r="AK7" s="43"/>
      <c r="AM7" s="54"/>
    </row>
    <row r="8" spans="1:39" ht="38.700000000000003" customHeight="1">
      <c r="A8" s="533"/>
      <c r="B8" s="483"/>
      <c r="C8" s="548"/>
      <c r="D8" s="541"/>
      <c r="E8" s="195" t="s">
        <v>391</v>
      </c>
      <c r="F8" s="137">
        <v>0.05</v>
      </c>
      <c r="G8" s="137">
        <v>0.05</v>
      </c>
      <c r="H8" s="137">
        <v>0.05</v>
      </c>
      <c r="I8" s="137">
        <v>0.05</v>
      </c>
      <c r="J8" s="137">
        <v>0.05</v>
      </c>
      <c r="K8" s="137">
        <v>0.05</v>
      </c>
      <c r="L8" s="137">
        <v>0.05</v>
      </c>
      <c r="M8" s="137">
        <v>0.3</v>
      </c>
      <c r="N8" s="137">
        <v>0.3</v>
      </c>
      <c r="O8" s="137">
        <v>0.4</v>
      </c>
      <c r="P8" s="137">
        <v>0.4</v>
      </c>
      <c r="Q8" s="137">
        <v>0.4</v>
      </c>
      <c r="R8" s="137">
        <v>0.4</v>
      </c>
      <c r="S8" s="137">
        <v>0.4</v>
      </c>
      <c r="T8" s="137">
        <v>0.4</v>
      </c>
      <c r="U8" s="137">
        <v>0.4</v>
      </c>
      <c r="V8" s="137">
        <v>0.4</v>
      </c>
      <c r="W8" s="137">
        <v>0.4</v>
      </c>
      <c r="X8" s="137">
        <v>0.4</v>
      </c>
      <c r="Y8" s="137">
        <v>0.4</v>
      </c>
      <c r="Z8" s="137">
        <v>0.4</v>
      </c>
      <c r="AA8" s="137">
        <v>0.4</v>
      </c>
      <c r="AB8" s="137">
        <v>0.4</v>
      </c>
      <c r="AC8" s="138">
        <v>0.05</v>
      </c>
      <c r="AD8" s="43"/>
      <c r="AE8" s="43"/>
      <c r="AF8" s="43"/>
      <c r="AG8" s="43"/>
      <c r="AH8" s="43"/>
      <c r="AI8" s="43"/>
      <c r="AJ8" s="43"/>
      <c r="AK8" s="43"/>
      <c r="AM8" s="54"/>
    </row>
    <row r="9" spans="1:39" ht="38.700000000000003" customHeight="1" thickBot="1">
      <c r="A9" s="534"/>
      <c r="B9" s="493"/>
      <c r="C9" s="549"/>
      <c r="D9" s="542"/>
      <c r="E9" s="196" t="s">
        <v>392</v>
      </c>
      <c r="F9" s="139">
        <v>0.05</v>
      </c>
      <c r="G9" s="139">
        <v>0.05</v>
      </c>
      <c r="H9" s="139">
        <v>0.05</v>
      </c>
      <c r="I9" s="139">
        <v>0.05</v>
      </c>
      <c r="J9" s="139">
        <v>0.05</v>
      </c>
      <c r="K9" s="139">
        <v>0.05</v>
      </c>
      <c r="L9" s="139">
        <v>0.05</v>
      </c>
      <c r="M9" s="139">
        <v>0.3</v>
      </c>
      <c r="N9" s="139">
        <v>0.3</v>
      </c>
      <c r="O9" s="139">
        <v>0.3</v>
      </c>
      <c r="P9" s="139">
        <v>0.3</v>
      </c>
      <c r="Q9" s="139">
        <v>0.3</v>
      </c>
      <c r="R9" s="139">
        <v>0.55000000000000004</v>
      </c>
      <c r="S9" s="139">
        <v>0.55000000000000004</v>
      </c>
      <c r="T9" s="139">
        <v>0.55000000000000004</v>
      </c>
      <c r="U9" s="139">
        <v>0.55000000000000004</v>
      </c>
      <c r="V9" s="139">
        <v>0.55000000000000004</v>
      </c>
      <c r="W9" s="139">
        <v>0.55000000000000004</v>
      </c>
      <c r="X9" s="139">
        <v>0.55000000000000004</v>
      </c>
      <c r="Y9" s="139">
        <v>0.55000000000000004</v>
      </c>
      <c r="Z9" s="139">
        <v>0.55000000000000004</v>
      </c>
      <c r="AA9" s="139">
        <v>0.55000000000000004</v>
      </c>
      <c r="AB9" s="139">
        <v>0.05</v>
      </c>
      <c r="AC9" s="140">
        <v>0.05</v>
      </c>
      <c r="AD9" s="43"/>
      <c r="AE9" s="43"/>
      <c r="AF9" s="43"/>
      <c r="AG9" s="43"/>
      <c r="AH9" s="43"/>
      <c r="AI9" s="43"/>
      <c r="AJ9" s="43"/>
      <c r="AK9" s="43"/>
      <c r="AM9" s="54"/>
    </row>
    <row r="10" spans="1:39" ht="36" customHeight="1">
      <c r="A10" s="532" t="s">
        <v>387</v>
      </c>
      <c r="B10" s="492" t="s">
        <v>46</v>
      </c>
      <c r="C10" s="494" t="s">
        <v>395</v>
      </c>
      <c r="D10" s="540" t="s">
        <v>389</v>
      </c>
      <c r="E10" s="197" t="s">
        <v>390</v>
      </c>
      <c r="F10" s="130">
        <v>0.05</v>
      </c>
      <c r="G10" s="130">
        <v>0.05</v>
      </c>
      <c r="H10" s="130">
        <v>0.05</v>
      </c>
      <c r="I10" s="130">
        <v>0.05</v>
      </c>
      <c r="J10" s="130">
        <v>0.05</v>
      </c>
      <c r="K10" s="130">
        <v>0.05</v>
      </c>
      <c r="L10" s="130">
        <v>0.4</v>
      </c>
      <c r="M10" s="130">
        <v>0.4</v>
      </c>
      <c r="N10" s="130">
        <v>0.4</v>
      </c>
      <c r="O10" s="130">
        <v>0.75</v>
      </c>
      <c r="P10" s="130">
        <v>0.75</v>
      </c>
      <c r="Q10" s="130">
        <v>0.75</v>
      </c>
      <c r="R10" s="130">
        <v>0.75</v>
      </c>
      <c r="S10" s="130">
        <v>0.75</v>
      </c>
      <c r="T10" s="130">
        <v>0.75</v>
      </c>
      <c r="U10" s="130">
        <v>0.75</v>
      </c>
      <c r="V10" s="130">
        <v>0.75</v>
      </c>
      <c r="W10" s="130">
        <v>0.75</v>
      </c>
      <c r="X10" s="130">
        <v>0.75</v>
      </c>
      <c r="Y10" s="130">
        <v>0.75</v>
      </c>
      <c r="Z10" s="130">
        <v>0.75</v>
      </c>
      <c r="AA10" s="130">
        <v>0.75</v>
      </c>
      <c r="AB10" s="130">
        <v>0.25</v>
      </c>
      <c r="AC10" s="131">
        <v>0.05</v>
      </c>
      <c r="AD10" s="44"/>
      <c r="AE10" s="43"/>
      <c r="AF10" s="43"/>
      <c r="AG10" s="43"/>
      <c r="AH10" s="43"/>
      <c r="AI10" s="43"/>
      <c r="AJ10" s="43"/>
      <c r="AK10" s="43"/>
      <c r="AM10" s="54"/>
    </row>
    <row r="11" spans="1:39" ht="36" customHeight="1">
      <c r="A11" s="533"/>
      <c r="B11" s="483"/>
      <c r="C11" s="429"/>
      <c r="D11" s="541"/>
      <c r="E11" s="195" t="s">
        <v>391</v>
      </c>
      <c r="F11" s="118">
        <v>0.05</v>
      </c>
      <c r="G11" s="118">
        <v>0.05</v>
      </c>
      <c r="H11" s="118">
        <v>0.05</v>
      </c>
      <c r="I11" s="118">
        <v>0.05</v>
      </c>
      <c r="J11" s="118">
        <v>0.05</v>
      </c>
      <c r="K11" s="118">
        <v>0.05</v>
      </c>
      <c r="L11" s="118">
        <v>0.05</v>
      </c>
      <c r="M11" s="118">
        <v>0.3</v>
      </c>
      <c r="N11" s="118">
        <v>0.3</v>
      </c>
      <c r="O11" s="118">
        <v>0.5</v>
      </c>
      <c r="P11" s="118">
        <v>0.5</v>
      </c>
      <c r="Q11" s="118">
        <v>0.5</v>
      </c>
      <c r="R11" s="118">
        <v>0.5</v>
      </c>
      <c r="S11" s="118">
        <v>0.5</v>
      </c>
      <c r="T11" s="118">
        <v>0.5</v>
      </c>
      <c r="U11" s="118">
        <v>0.5</v>
      </c>
      <c r="V11" s="118">
        <v>0.5</v>
      </c>
      <c r="W11" s="118">
        <v>0.5</v>
      </c>
      <c r="X11" s="118">
        <v>0.5</v>
      </c>
      <c r="Y11" s="118">
        <v>0.5</v>
      </c>
      <c r="Z11" s="118">
        <v>0.5</v>
      </c>
      <c r="AA11" s="118">
        <v>0.5</v>
      </c>
      <c r="AB11" s="118">
        <v>0.5</v>
      </c>
      <c r="AC11" s="132">
        <v>0.05</v>
      </c>
      <c r="AD11" s="44"/>
      <c r="AE11" s="43"/>
      <c r="AF11" s="43"/>
      <c r="AG11" s="43"/>
      <c r="AH11" s="43"/>
      <c r="AI11" s="43"/>
      <c r="AJ11" s="43"/>
      <c r="AK11" s="43"/>
      <c r="AM11" s="54"/>
    </row>
    <row r="12" spans="1:39" ht="36" customHeight="1" thickBot="1">
      <c r="A12" s="534"/>
      <c r="B12" s="493"/>
      <c r="C12" s="458"/>
      <c r="D12" s="542"/>
      <c r="E12" s="196" t="s">
        <v>392</v>
      </c>
      <c r="F12" s="133">
        <v>0.05</v>
      </c>
      <c r="G12" s="133">
        <v>0.05</v>
      </c>
      <c r="H12" s="133">
        <v>0.05</v>
      </c>
      <c r="I12" s="133">
        <v>0.05</v>
      </c>
      <c r="J12" s="133">
        <v>0.05</v>
      </c>
      <c r="K12" s="133">
        <v>0.05</v>
      </c>
      <c r="L12" s="133">
        <v>0.05</v>
      </c>
      <c r="M12" s="133">
        <v>0.3</v>
      </c>
      <c r="N12" s="133">
        <v>0.3</v>
      </c>
      <c r="O12" s="133">
        <v>0.3</v>
      </c>
      <c r="P12" s="133">
        <v>0.3</v>
      </c>
      <c r="Q12" s="133">
        <v>0.3</v>
      </c>
      <c r="R12" s="133">
        <v>0.65</v>
      </c>
      <c r="S12" s="133">
        <v>0.65</v>
      </c>
      <c r="T12" s="133">
        <v>0.65</v>
      </c>
      <c r="U12" s="133">
        <v>0.65</v>
      </c>
      <c r="V12" s="133">
        <v>0.65</v>
      </c>
      <c r="W12" s="133">
        <v>0.65</v>
      </c>
      <c r="X12" s="133">
        <v>0.65</v>
      </c>
      <c r="Y12" s="133">
        <v>0.65</v>
      </c>
      <c r="Z12" s="133">
        <v>0.65</v>
      </c>
      <c r="AA12" s="133">
        <v>0.65</v>
      </c>
      <c r="AB12" s="133">
        <v>0.05</v>
      </c>
      <c r="AC12" s="134">
        <v>0.05</v>
      </c>
      <c r="AD12" s="44"/>
      <c r="AE12" s="43"/>
      <c r="AF12" s="43"/>
      <c r="AG12" s="43"/>
      <c r="AH12" s="43"/>
      <c r="AI12" s="43"/>
      <c r="AJ12" s="43"/>
      <c r="AK12" s="43"/>
      <c r="AM12" s="54"/>
    </row>
    <row r="13" spans="1:39" ht="36" customHeight="1">
      <c r="A13" s="532" t="s">
        <v>387</v>
      </c>
      <c r="B13" s="492" t="s">
        <v>46</v>
      </c>
      <c r="C13" s="494" t="s">
        <v>396</v>
      </c>
      <c r="D13" s="540" t="s">
        <v>389</v>
      </c>
      <c r="E13" s="200" t="s">
        <v>390</v>
      </c>
      <c r="F13" s="130">
        <v>0</v>
      </c>
      <c r="G13" s="130">
        <v>0</v>
      </c>
      <c r="H13" s="130">
        <v>0</v>
      </c>
      <c r="I13" s="130">
        <v>0</v>
      </c>
      <c r="J13" s="130">
        <v>0</v>
      </c>
      <c r="K13" s="130">
        <v>0</v>
      </c>
      <c r="L13" s="130">
        <v>0</v>
      </c>
      <c r="M13" s="130">
        <v>0</v>
      </c>
      <c r="N13" s="130">
        <v>0</v>
      </c>
      <c r="O13" s="130">
        <v>0.05</v>
      </c>
      <c r="P13" s="130">
        <v>0.05</v>
      </c>
      <c r="Q13" s="130">
        <v>0.35</v>
      </c>
      <c r="R13" s="130">
        <v>0.05</v>
      </c>
      <c r="S13" s="130">
        <v>0.05</v>
      </c>
      <c r="T13" s="130">
        <v>0.05</v>
      </c>
      <c r="U13" s="130">
        <v>0.05</v>
      </c>
      <c r="V13" s="130">
        <v>0.05</v>
      </c>
      <c r="W13" s="130">
        <v>0</v>
      </c>
      <c r="X13" s="130">
        <v>0</v>
      </c>
      <c r="Y13" s="130">
        <v>0</v>
      </c>
      <c r="Z13" s="130">
        <v>0</v>
      </c>
      <c r="AA13" s="130">
        <v>0</v>
      </c>
      <c r="AB13" s="130">
        <v>0</v>
      </c>
      <c r="AC13" s="131">
        <v>0</v>
      </c>
      <c r="AD13" s="43"/>
      <c r="AE13" s="43"/>
      <c r="AF13" s="43"/>
      <c r="AG13" s="43"/>
      <c r="AH13" s="43"/>
      <c r="AI13" s="43"/>
      <c r="AJ13" s="43"/>
      <c r="AK13" s="43"/>
      <c r="AM13" s="54"/>
    </row>
    <row r="14" spans="1:39" ht="36" customHeight="1">
      <c r="A14" s="533"/>
      <c r="B14" s="483"/>
      <c r="C14" s="429"/>
      <c r="D14" s="541"/>
      <c r="E14" s="201" t="s">
        <v>391</v>
      </c>
      <c r="F14" s="118">
        <v>0</v>
      </c>
      <c r="G14" s="118">
        <v>0</v>
      </c>
      <c r="H14" s="118">
        <v>0</v>
      </c>
      <c r="I14" s="118">
        <v>0</v>
      </c>
      <c r="J14" s="118">
        <v>0</v>
      </c>
      <c r="K14" s="118">
        <v>0</v>
      </c>
      <c r="L14" s="118">
        <v>0</v>
      </c>
      <c r="M14" s="118">
        <v>0</v>
      </c>
      <c r="N14" s="118">
        <v>0</v>
      </c>
      <c r="O14" s="118">
        <v>0.05</v>
      </c>
      <c r="P14" s="118">
        <v>0.05</v>
      </c>
      <c r="Q14" s="118">
        <v>0.2</v>
      </c>
      <c r="R14" s="118">
        <v>0</v>
      </c>
      <c r="S14" s="118">
        <v>0</v>
      </c>
      <c r="T14" s="118">
        <v>0</v>
      </c>
      <c r="U14" s="118">
        <v>0</v>
      </c>
      <c r="V14" s="118">
        <v>0</v>
      </c>
      <c r="W14" s="118">
        <v>0</v>
      </c>
      <c r="X14" s="118">
        <v>0</v>
      </c>
      <c r="Y14" s="118">
        <v>0.65</v>
      </c>
      <c r="Z14" s="118">
        <v>0.3</v>
      </c>
      <c r="AA14" s="118">
        <v>0</v>
      </c>
      <c r="AB14" s="118">
        <v>0</v>
      </c>
      <c r="AC14" s="132">
        <v>0</v>
      </c>
      <c r="AD14" s="43"/>
      <c r="AE14" s="43"/>
      <c r="AF14" s="43"/>
      <c r="AG14" s="43"/>
      <c r="AH14" s="43"/>
      <c r="AI14" s="43"/>
      <c r="AJ14" s="43"/>
      <c r="AK14" s="43"/>
      <c r="AM14" s="54"/>
    </row>
    <row r="15" spans="1:39" ht="36" customHeight="1" thickBot="1">
      <c r="A15" s="534"/>
      <c r="B15" s="493"/>
      <c r="C15" s="495"/>
      <c r="D15" s="542"/>
      <c r="E15" s="202" t="s">
        <v>392</v>
      </c>
      <c r="F15" s="133">
        <v>0</v>
      </c>
      <c r="G15" s="133">
        <v>0</v>
      </c>
      <c r="H15" s="133">
        <v>0</v>
      </c>
      <c r="I15" s="133">
        <v>0</v>
      </c>
      <c r="J15" s="133">
        <v>0</v>
      </c>
      <c r="K15" s="133">
        <v>0</v>
      </c>
      <c r="L15" s="133">
        <v>0</v>
      </c>
      <c r="M15" s="133">
        <v>0</v>
      </c>
      <c r="N15" s="133">
        <v>0</v>
      </c>
      <c r="O15" s="133">
        <v>0.05</v>
      </c>
      <c r="P15" s="133">
        <v>0.05</v>
      </c>
      <c r="Q15" s="133">
        <v>0.1</v>
      </c>
      <c r="R15" s="133">
        <v>0</v>
      </c>
      <c r="S15" s="133">
        <v>0</v>
      </c>
      <c r="T15" s="133">
        <v>0</v>
      </c>
      <c r="U15" s="133">
        <v>0</v>
      </c>
      <c r="V15" s="133">
        <v>0</v>
      </c>
      <c r="W15" s="133">
        <v>0</v>
      </c>
      <c r="X15" s="133">
        <v>0</v>
      </c>
      <c r="Y15" s="133">
        <v>0.65</v>
      </c>
      <c r="Z15" s="133">
        <v>0.3</v>
      </c>
      <c r="AA15" s="133">
        <v>0</v>
      </c>
      <c r="AB15" s="133">
        <v>0</v>
      </c>
      <c r="AC15" s="134">
        <v>0</v>
      </c>
      <c r="AD15" s="43"/>
      <c r="AE15" s="43"/>
      <c r="AF15" s="43"/>
      <c r="AG15" s="43"/>
      <c r="AH15" s="43"/>
      <c r="AI15" s="43"/>
      <c r="AJ15" s="43"/>
      <c r="AK15" s="43"/>
      <c r="AM15" s="54"/>
    </row>
    <row r="16" spans="1:39" ht="36" customHeight="1">
      <c r="A16" s="532" t="s">
        <v>387</v>
      </c>
      <c r="B16" s="492" t="s">
        <v>46</v>
      </c>
      <c r="C16" s="494" t="s">
        <v>397</v>
      </c>
      <c r="D16" s="540" t="s">
        <v>389</v>
      </c>
      <c r="E16" s="197" t="s">
        <v>390</v>
      </c>
      <c r="F16" s="130">
        <v>0</v>
      </c>
      <c r="G16" s="130">
        <v>0</v>
      </c>
      <c r="H16" s="130">
        <v>0</v>
      </c>
      <c r="I16" s="130">
        <v>0</v>
      </c>
      <c r="J16" s="130">
        <v>0</v>
      </c>
      <c r="K16" s="130">
        <v>0</v>
      </c>
      <c r="L16" s="130">
        <v>0</v>
      </c>
      <c r="M16" s="130">
        <v>0</v>
      </c>
      <c r="N16" s="130">
        <v>0.3</v>
      </c>
      <c r="O16" s="130">
        <v>0.3</v>
      </c>
      <c r="P16" s="130">
        <v>0.2</v>
      </c>
      <c r="Q16" s="130">
        <v>0.9</v>
      </c>
      <c r="R16" s="130">
        <v>0.9</v>
      </c>
      <c r="S16" s="130">
        <v>0.9</v>
      </c>
      <c r="T16" s="130">
        <v>0.2</v>
      </c>
      <c r="U16" s="130">
        <v>0.2</v>
      </c>
      <c r="V16" s="130">
        <v>0.2</v>
      </c>
      <c r="W16" s="130">
        <v>0.5</v>
      </c>
      <c r="X16" s="130">
        <v>0.5</v>
      </c>
      <c r="Y16" s="130">
        <v>0.1</v>
      </c>
      <c r="Z16" s="130">
        <v>0.1</v>
      </c>
      <c r="AA16" s="130">
        <v>0.1</v>
      </c>
      <c r="AB16" s="130">
        <v>0</v>
      </c>
      <c r="AC16" s="131">
        <v>0</v>
      </c>
      <c r="AD16" s="44"/>
      <c r="AE16" s="43"/>
      <c r="AF16" s="43"/>
      <c r="AG16" s="43"/>
      <c r="AH16" s="43"/>
      <c r="AI16" s="43"/>
      <c r="AJ16" s="43"/>
      <c r="AK16" s="43"/>
      <c r="AM16" s="54"/>
    </row>
    <row r="17" spans="1:39" ht="36" customHeight="1">
      <c r="A17" s="533"/>
      <c r="B17" s="483"/>
      <c r="C17" s="429"/>
      <c r="D17" s="541"/>
      <c r="E17" s="195" t="s">
        <v>391</v>
      </c>
      <c r="F17" s="118">
        <v>0</v>
      </c>
      <c r="G17" s="118">
        <v>0</v>
      </c>
      <c r="H17" s="118">
        <v>0</v>
      </c>
      <c r="I17" s="118">
        <v>0</v>
      </c>
      <c r="J17" s="118">
        <v>0</v>
      </c>
      <c r="K17" s="118">
        <v>0</v>
      </c>
      <c r="L17" s="118">
        <v>0</v>
      </c>
      <c r="M17" s="118">
        <v>0</v>
      </c>
      <c r="N17" s="118">
        <v>0.3</v>
      </c>
      <c r="O17" s="118">
        <v>0.3</v>
      </c>
      <c r="P17" s="118">
        <v>0.2</v>
      </c>
      <c r="Q17" s="118">
        <v>0.7</v>
      </c>
      <c r="R17" s="118">
        <v>0.7</v>
      </c>
      <c r="S17" s="118">
        <v>0.7</v>
      </c>
      <c r="T17" s="118">
        <v>0.2</v>
      </c>
      <c r="U17" s="118">
        <v>0.2</v>
      </c>
      <c r="V17" s="118">
        <v>0.2</v>
      </c>
      <c r="W17" s="118">
        <v>0.4</v>
      </c>
      <c r="X17" s="118">
        <v>0.4</v>
      </c>
      <c r="Y17" s="118">
        <v>0.1</v>
      </c>
      <c r="Z17" s="118">
        <v>0.1</v>
      </c>
      <c r="AA17" s="118">
        <v>0.1</v>
      </c>
      <c r="AB17" s="118">
        <v>0</v>
      </c>
      <c r="AC17" s="132">
        <v>0</v>
      </c>
      <c r="AD17" s="44"/>
      <c r="AE17" s="43"/>
      <c r="AF17" s="43"/>
      <c r="AG17" s="43"/>
      <c r="AH17" s="43"/>
      <c r="AI17" s="43"/>
      <c r="AJ17" s="43"/>
      <c r="AK17" s="43"/>
      <c r="AM17" s="54"/>
    </row>
    <row r="18" spans="1:39" ht="36" customHeight="1" thickBot="1">
      <c r="A18" s="534"/>
      <c r="B18" s="493"/>
      <c r="C18" s="458"/>
      <c r="D18" s="542"/>
      <c r="E18" s="196" t="s">
        <v>392</v>
      </c>
      <c r="F18" s="133">
        <v>0</v>
      </c>
      <c r="G18" s="133">
        <v>0</v>
      </c>
      <c r="H18" s="133">
        <v>0</v>
      </c>
      <c r="I18" s="133">
        <v>0</v>
      </c>
      <c r="J18" s="133">
        <v>0</v>
      </c>
      <c r="K18" s="133">
        <v>0</v>
      </c>
      <c r="L18" s="133">
        <v>0</v>
      </c>
      <c r="M18" s="133">
        <v>0</v>
      </c>
      <c r="N18" s="133">
        <v>0.2</v>
      </c>
      <c r="O18" s="133">
        <v>0.2</v>
      </c>
      <c r="P18" s="133">
        <v>0.1</v>
      </c>
      <c r="Q18" s="133">
        <v>0.1</v>
      </c>
      <c r="R18" s="133">
        <v>0.3</v>
      </c>
      <c r="S18" s="133">
        <v>0.8</v>
      </c>
      <c r="T18" s="133">
        <v>0.2</v>
      </c>
      <c r="U18" s="133">
        <v>0.2</v>
      </c>
      <c r="V18" s="133">
        <v>0.2</v>
      </c>
      <c r="W18" s="133">
        <v>0.5</v>
      </c>
      <c r="X18" s="133">
        <v>0.5</v>
      </c>
      <c r="Y18" s="133">
        <v>0.1</v>
      </c>
      <c r="Z18" s="133">
        <v>0.1</v>
      </c>
      <c r="AA18" s="133">
        <v>0.1</v>
      </c>
      <c r="AB18" s="133">
        <v>0</v>
      </c>
      <c r="AC18" s="134">
        <v>0</v>
      </c>
      <c r="AD18" s="44"/>
      <c r="AE18" s="43"/>
      <c r="AF18" s="43"/>
      <c r="AG18" s="43"/>
      <c r="AH18" s="43"/>
      <c r="AI18" s="43"/>
      <c r="AJ18" s="43"/>
      <c r="AK18" s="43"/>
      <c r="AM18" s="54"/>
    </row>
    <row r="19" spans="1:39" ht="36" customHeight="1">
      <c r="A19" s="532" t="s">
        <v>387</v>
      </c>
      <c r="B19" s="492" t="s">
        <v>46</v>
      </c>
      <c r="C19" s="494" t="s">
        <v>398</v>
      </c>
      <c r="D19" s="540" t="s">
        <v>389</v>
      </c>
      <c r="E19" s="197" t="s">
        <v>390</v>
      </c>
      <c r="F19" s="130">
        <v>0.9</v>
      </c>
      <c r="G19" s="130">
        <v>0.9</v>
      </c>
      <c r="H19" s="130">
        <v>0.9</v>
      </c>
      <c r="I19" s="130">
        <v>0.9</v>
      </c>
      <c r="J19" s="130">
        <v>0.9</v>
      </c>
      <c r="K19" s="130">
        <v>0.9</v>
      </c>
      <c r="L19" s="130">
        <v>0.9</v>
      </c>
      <c r="M19" s="130">
        <v>0.9</v>
      </c>
      <c r="N19" s="130">
        <v>0.9</v>
      </c>
      <c r="O19" s="130">
        <v>0.9</v>
      </c>
      <c r="P19" s="130">
        <v>0.9</v>
      </c>
      <c r="Q19" s="130">
        <v>0.9</v>
      </c>
      <c r="R19" s="130">
        <v>0.9</v>
      </c>
      <c r="S19" s="130">
        <v>0.9</v>
      </c>
      <c r="T19" s="130">
        <v>0.9</v>
      </c>
      <c r="U19" s="130">
        <v>0.9</v>
      </c>
      <c r="V19" s="130">
        <v>0.9</v>
      </c>
      <c r="W19" s="130">
        <v>0.9</v>
      </c>
      <c r="X19" s="130">
        <v>0.9</v>
      </c>
      <c r="Y19" s="130">
        <v>0.9</v>
      </c>
      <c r="Z19" s="130">
        <v>0.9</v>
      </c>
      <c r="AA19" s="130">
        <v>0.9</v>
      </c>
      <c r="AB19" s="130">
        <v>0.9</v>
      </c>
      <c r="AC19" s="131">
        <v>0.9</v>
      </c>
      <c r="AD19" s="44"/>
      <c r="AE19" s="43"/>
      <c r="AF19" s="43"/>
      <c r="AG19" s="43"/>
      <c r="AH19" s="43"/>
      <c r="AI19" s="43"/>
      <c r="AJ19" s="43"/>
      <c r="AK19" s="43"/>
      <c r="AM19" s="54"/>
    </row>
    <row r="20" spans="1:39" ht="36" customHeight="1">
      <c r="A20" s="533"/>
      <c r="B20" s="483"/>
      <c r="C20" s="429"/>
      <c r="D20" s="541"/>
      <c r="E20" s="195" t="s">
        <v>391</v>
      </c>
      <c r="F20" s="118">
        <v>0.9</v>
      </c>
      <c r="G20" s="118">
        <v>0.9</v>
      </c>
      <c r="H20" s="118">
        <v>0.9</v>
      </c>
      <c r="I20" s="118">
        <v>0.9</v>
      </c>
      <c r="J20" s="118">
        <v>0.9</v>
      </c>
      <c r="K20" s="118">
        <v>0.9</v>
      </c>
      <c r="L20" s="118">
        <v>0.9</v>
      </c>
      <c r="M20" s="118">
        <v>0.9</v>
      </c>
      <c r="N20" s="118">
        <v>0.9</v>
      </c>
      <c r="O20" s="118">
        <v>0.9</v>
      </c>
      <c r="P20" s="118">
        <v>0.9</v>
      </c>
      <c r="Q20" s="118">
        <v>0.9</v>
      </c>
      <c r="R20" s="118">
        <v>0.9</v>
      </c>
      <c r="S20" s="118">
        <v>0.9</v>
      </c>
      <c r="T20" s="118">
        <v>0.9</v>
      </c>
      <c r="U20" s="118">
        <v>0.9</v>
      </c>
      <c r="V20" s="118">
        <v>0.9</v>
      </c>
      <c r="W20" s="118">
        <v>0.9</v>
      </c>
      <c r="X20" s="118">
        <v>0.9</v>
      </c>
      <c r="Y20" s="118">
        <v>0.9</v>
      </c>
      <c r="Z20" s="118">
        <v>0.9</v>
      </c>
      <c r="AA20" s="118">
        <v>0.9</v>
      </c>
      <c r="AB20" s="118">
        <v>0.9</v>
      </c>
      <c r="AC20" s="132">
        <v>0.9</v>
      </c>
      <c r="AD20" s="44"/>
      <c r="AE20" s="43"/>
      <c r="AF20" s="43"/>
      <c r="AG20" s="43"/>
      <c r="AH20" s="43"/>
      <c r="AI20" s="43"/>
      <c r="AJ20" s="43"/>
      <c r="AK20" s="43"/>
      <c r="AM20" s="54"/>
    </row>
    <row r="21" spans="1:39" ht="36" customHeight="1" thickBot="1">
      <c r="A21" s="534"/>
      <c r="B21" s="493"/>
      <c r="C21" s="495"/>
      <c r="D21" s="542"/>
      <c r="E21" s="196" t="s">
        <v>392</v>
      </c>
      <c r="F21" s="133">
        <v>0.9</v>
      </c>
      <c r="G21" s="133">
        <v>0.9</v>
      </c>
      <c r="H21" s="133">
        <v>0.9</v>
      </c>
      <c r="I21" s="133">
        <v>0.9</v>
      </c>
      <c r="J21" s="133">
        <v>0.9</v>
      </c>
      <c r="K21" s="133">
        <v>0.9</v>
      </c>
      <c r="L21" s="133">
        <v>0.9</v>
      </c>
      <c r="M21" s="133">
        <v>0.9</v>
      </c>
      <c r="N21" s="133">
        <v>0.9</v>
      </c>
      <c r="O21" s="133">
        <v>0.9</v>
      </c>
      <c r="P21" s="133">
        <v>0.9</v>
      </c>
      <c r="Q21" s="133">
        <v>0.9</v>
      </c>
      <c r="R21" s="133">
        <v>0.9</v>
      </c>
      <c r="S21" s="133">
        <v>0.9</v>
      </c>
      <c r="T21" s="133">
        <v>0.9</v>
      </c>
      <c r="U21" s="133">
        <v>0.9</v>
      </c>
      <c r="V21" s="133">
        <v>0.9</v>
      </c>
      <c r="W21" s="133">
        <v>0.9</v>
      </c>
      <c r="X21" s="133">
        <v>0.9</v>
      </c>
      <c r="Y21" s="133">
        <v>0.9</v>
      </c>
      <c r="Z21" s="133">
        <v>0.9</v>
      </c>
      <c r="AA21" s="133">
        <v>0.9</v>
      </c>
      <c r="AB21" s="133">
        <v>0.9</v>
      </c>
      <c r="AC21" s="134">
        <v>0.9</v>
      </c>
      <c r="AD21" s="44"/>
      <c r="AE21" s="43"/>
      <c r="AF21" s="43"/>
      <c r="AG21" s="43"/>
      <c r="AH21" s="43"/>
      <c r="AI21" s="43"/>
      <c r="AJ21" s="43"/>
      <c r="AK21" s="43"/>
      <c r="AM21" s="54"/>
    </row>
    <row r="22" spans="1:39" ht="36" customHeight="1">
      <c r="A22" s="532" t="s">
        <v>387</v>
      </c>
      <c r="B22" s="492" t="s">
        <v>46</v>
      </c>
      <c r="C22" s="494" t="s">
        <v>399</v>
      </c>
      <c r="D22" s="540" t="s">
        <v>389</v>
      </c>
      <c r="E22" s="197" t="s">
        <v>390</v>
      </c>
      <c r="F22" s="130">
        <v>0</v>
      </c>
      <c r="G22" s="130">
        <v>0</v>
      </c>
      <c r="H22" s="130">
        <v>0</v>
      </c>
      <c r="I22" s="130">
        <v>0</v>
      </c>
      <c r="J22" s="130">
        <v>0</v>
      </c>
      <c r="K22" s="130">
        <v>0</v>
      </c>
      <c r="L22" s="130">
        <v>0</v>
      </c>
      <c r="M22" s="130">
        <v>1</v>
      </c>
      <c r="N22" s="130">
        <v>1</v>
      </c>
      <c r="O22" s="130">
        <v>1</v>
      </c>
      <c r="P22" s="130">
        <v>1</v>
      </c>
      <c r="Q22" s="130">
        <v>1</v>
      </c>
      <c r="R22" s="130">
        <v>1</v>
      </c>
      <c r="S22" s="130">
        <v>1</v>
      </c>
      <c r="T22" s="130">
        <v>1</v>
      </c>
      <c r="U22" s="130">
        <v>1</v>
      </c>
      <c r="V22" s="130">
        <v>1</v>
      </c>
      <c r="W22" s="130">
        <v>1</v>
      </c>
      <c r="X22" s="130">
        <v>1</v>
      </c>
      <c r="Y22" s="130">
        <v>1</v>
      </c>
      <c r="Z22" s="130">
        <v>1</v>
      </c>
      <c r="AA22" s="130">
        <v>1</v>
      </c>
      <c r="AB22" s="130">
        <v>1</v>
      </c>
      <c r="AC22" s="131">
        <v>0</v>
      </c>
      <c r="AD22" s="44"/>
      <c r="AE22" s="43"/>
      <c r="AF22" s="43"/>
      <c r="AG22" s="43"/>
      <c r="AH22" s="43"/>
      <c r="AI22" s="43"/>
      <c r="AJ22" s="43"/>
      <c r="AK22" s="43"/>
      <c r="AM22" s="54"/>
    </row>
    <row r="23" spans="1:39" ht="36" customHeight="1">
      <c r="A23" s="533"/>
      <c r="B23" s="483"/>
      <c r="C23" s="429"/>
      <c r="D23" s="541"/>
      <c r="E23" s="195" t="s">
        <v>391</v>
      </c>
      <c r="F23" s="118">
        <v>0</v>
      </c>
      <c r="G23" s="118">
        <v>0</v>
      </c>
      <c r="H23" s="118">
        <v>0</v>
      </c>
      <c r="I23" s="118">
        <v>0</v>
      </c>
      <c r="J23" s="118">
        <v>0</v>
      </c>
      <c r="K23" s="118">
        <v>0</v>
      </c>
      <c r="L23" s="118">
        <v>0</v>
      </c>
      <c r="M23" s="118">
        <v>1</v>
      </c>
      <c r="N23" s="118">
        <v>1</v>
      </c>
      <c r="O23" s="118">
        <v>1</v>
      </c>
      <c r="P23" s="118">
        <v>1</v>
      </c>
      <c r="Q23" s="118">
        <v>1</v>
      </c>
      <c r="R23" s="118">
        <v>1</v>
      </c>
      <c r="S23" s="118">
        <v>1</v>
      </c>
      <c r="T23" s="118">
        <v>1</v>
      </c>
      <c r="U23" s="118">
        <v>1</v>
      </c>
      <c r="V23" s="118">
        <v>1</v>
      </c>
      <c r="W23" s="118">
        <v>1</v>
      </c>
      <c r="X23" s="118">
        <v>1</v>
      </c>
      <c r="Y23" s="118">
        <v>1</v>
      </c>
      <c r="Z23" s="118">
        <v>1</v>
      </c>
      <c r="AA23" s="118">
        <v>1</v>
      </c>
      <c r="AB23" s="118">
        <v>1</v>
      </c>
      <c r="AC23" s="132">
        <v>0</v>
      </c>
      <c r="AD23" s="44"/>
      <c r="AE23" s="43"/>
      <c r="AF23" s="43"/>
      <c r="AG23" s="43"/>
      <c r="AH23" s="43"/>
      <c r="AI23" s="43"/>
      <c r="AJ23" s="43"/>
      <c r="AK23" s="43"/>
      <c r="AM23" s="54"/>
    </row>
    <row r="24" spans="1:39" ht="36" customHeight="1">
      <c r="A24" s="534"/>
      <c r="B24" s="493"/>
      <c r="C24" s="495"/>
      <c r="D24" s="542"/>
      <c r="E24" s="196" t="s">
        <v>392</v>
      </c>
      <c r="F24" s="133">
        <v>0</v>
      </c>
      <c r="G24" s="133">
        <v>0</v>
      </c>
      <c r="H24" s="133">
        <v>0</v>
      </c>
      <c r="I24" s="133">
        <v>0</v>
      </c>
      <c r="J24" s="133">
        <v>0</v>
      </c>
      <c r="K24" s="133">
        <v>0</v>
      </c>
      <c r="L24" s="133">
        <v>0</v>
      </c>
      <c r="M24" s="133">
        <v>1</v>
      </c>
      <c r="N24" s="133">
        <v>1</v>
      </c>
      <c r="O24" s="133">
        <v>1</v>
      </c>
      <c r="P24" s="133">
        <v>1</v>
      </c>
      <c r="Q24" s="133">
        <v>1</v>
      </c>
      <c r="R24" s="133">
        <v>1</v>
      </c>
      <c r="S24" s="133">
        <v>1</v>
      </c>
      <c r="T24" s="133">
        <v>1</v>
      </c>
      <c r="U24" s="133">
        <v>1</v>
      </c>
      <c r="V24" s="133">
        <v>1</v>
      </c>
      <c r="W24" s="133">
        <v>1</v>
      </c>
      <c r="X24" s="133">
        <v>1</v>
      </c>
      <c r="Y24" s="133">
        <v>1</v>
      </c>
      <c r="Z24" s="133">
        <v>1</v>
      </c>
      <c r="AA24" s="133">
        <v>1</v>
      </c>
      <c r="AB24" s="133">
        <v>1</v>
      </c>
      <c r="AC24" s="134">
        <v>0</v>
      </c>
      <c r="AD24" s="44"/>
      <c r="AE24" s="43"/>
      <c r="AF24" s="43"/>
      <c r="AG24" s="43"/>
      <c r="AH24" s="43"/>
      <c r="AI24" s="43"/>
      <c r="AJ24" s="43"/>
      <c r="AK24" s="43"/>
      <c r="AM24" s="54"/>
    </row>
    <row r="25" spans="1:39" ht="36" customHeight="1">
      <c r="A25" s="532" t="s">
        <v>387</v>
      </c>
      <c r="B25" s="492" t="s">
        <v>46</v>
      </c>
      <c r="C25" s="494" t="s">
        <v>191</v>
      </c>
      <c r="D25" s="540" t="s">
        <v>389</v>
      </c>
      <c r="E25" s="197" t="s">
        <v>390</v>
      </c>
      <c r="F25" s="130">
        <f>IF(F4=0,1,0.25)</f>
        <v>1</v>
      </c>
      <c r="G25" s="130">
        <f t="shared" ref="G25:AC27" si="0">IF(G4=0,1,0.25)</f>
        <v>1</v>
      </c>
      <c r="H25" s="130">
        <f t="shared" si="0"/>
        <v>1</v>
      </c>
      <c r="I25" s="130">
        <f t="shared" si="0"/>
        <v>1</v>
      </c>
      <c r="J25" s="130">
        <f t="shared" si="0"/>
        <v>1</v>
      </c>
      <c r="K25" s="130">
        <f t="shared" si="0"/>
        <v>1</v>
      </c>
      <c r="L25" s="130">
        <f t="shared" si="0"/>
        <v>1</v>
      </c>
      <c r="M25" s="130">
        <f t="shared" si="0"/>
        <v>1</v>
      </c>
      <c r="N25" s="130">
        <f t="shared" si="0"/>
        <v>0.25</v>
      </c>
      <c r="O25" s="130">
        <f t="shared" si="0"/>
        <v>0.25</v>
      </c>
      <c r="P25" s="130">
        <f t="shared" si="0"/>
        <v>0.25</v>
      </c>
      <c r="Q25" s="130">
        <f t="shared" si="0"/>
        <v>0.25</v>
      </c>
      <c r="R25" s="130">
        <f t="shared" si="0"/>
        <v>0.25</v>
      </c>
      <c r="S25" s="130">
        <f t="shared" si="0"/>
        <v>0.25</v>
      </c>
      <c r="T25" s="130">
        <f t="shared" si="0"/>
        <v>0.25</v>
      </c>
      <c r="U25" s="130">
        <f t="shared" si="0"/>
        <v>0.25</v>
      </c>
      <c r="V25" s="130">
        <f t="shared" si="0"/>
        <v>0.25</v>
      </c>
      <c r="W25" s="130">
        <f t="shared" si="0"/>
        <v>0.25</v>
      </c>
      <c r="X25" s="130">
        <f t="shared" si="0"/>
        <v>0.25</v>
      </c>
      <c r="Y25" s="130">
        <f t="shared" si="0"/>
        <v>0.25</v>
      </c>
      <c r="Z25" s="130">
        <f t="shared" si="0"/>
        <v>0.25</v>
      </c>
      <c r="AA25" s="130">
        <f t="shared" si="0"/>
        <v>0.25</v>
      </c>
      <c r="AB25" s="130">
        <f t="shared" si="0"/>
        <v>0.25</v>
      </c>
      <c r="AC25" s="131">
        <f t="shared" si="0"/>
        <v>1</v>
      </c>
      <c r="AD25" s="44"/>
      <c r="AE25" s="43"/>
      <c r="AF25" s="43"/>
      <c r="AG25" s="43"/>
      <c r="AH25" s="43"/>
      <c r="AI25" s="43"/>
      <c r="AJ25" s="43"/>
      <c r="AK25" s="43"/>
      <c r="AM25" s="54"/>
    </row>
    <row r="26" spans="1:39" ht="36" customHeight="1">
      <c r="A26" s="533"/>
      <c r="B26" s="483"/>
      <c r="C26" s="429"/>
      <c r="D26" s="541"/>
      <c r="E26" s="195" t="s">
        <v>391</v>
      </c>
      <c r="F26" s="118">
        <f t="shared" ref="F26:U27" si="1">IF(F5=0,1,0.25)</f>
        <v>1</v>
      </c>
      <c r="G26" s="118">
        <f t="shared" si="1"/>
        <v>1</v>
      </c>
      <c r="H26" s="118">
        <f t="shared" si="1"/>
        <v>1</v>
      </c>
      <c r="I26" s="118">
        <f t="shared" si="1"/>
        <v>1</v>
      </c>
      <c r="J26" s="118">
        <f t="shared" si="1"/>
        <v>1</v>
      </c>
      <c r="K26" s="118">
        <f t="shared" si="1"/>
        <v>1</v>
      </c>
      <c r="L26" s="118">
        <f t="shared" si="1"/>
        <v>1</v>
      </c>
      <c r="M26" s="118">
        <f t="shared" si="1"/>
        <v>1</v>
      </c>
      <c r="N26" s="118">
        <f t="shared" si="1"/>
        <v>0.25</v>
      </c>
      <c r="O26" s="118">
        <f t="shared" si="1"/>
        <v>0.25</v>
      </c>
      <c r="P26" s="118">
        <f t="shared" si="1"/>
        <v>0.25</v>
      </c>
      <c r="Q26" s="118">
        <f t="shared" si="1"/>
        <v>0.25</v>
      </c>
      <c r="R26" s="118">
        <f t="shared" si="1"/>
        <v>0.25</v>
      </c>
      <c r="S26" s="118">
        <f t="shared" si="1"/>
        <v>0.25</v>
      </c>
      <c r="T26" s="118">
        <f t="shared" si="1"/>
        <v>0.25</v>
      </c>
      <c r="U26" s="118">
        <f t="shared" si="1"/>
        <v>0.25</v>
      </c>
      <c r="V26" s="118">
        <f t="shared" si="0"/>
        <v>0.25</v>
      </c>
      <c r="W26" s="118">
        <f t="shared" si="0"/>
        <v>0.25</v>
      </c>
      <c r="X26" s="118">
        <f t="shared" si="0"/>
        <v>0.25</v>
      </c>
      <c r="Y26" s="118">
        <f t="shared" si="0"/>
        <v>0.25</v>
      </c>
      <c r="Z26" s="118">
        <f t="shared" si="0"/>
        <v>0.25</v>
      </c>
      <c r="AA26" s="118">
        <f t="shared" si="0"/>
        <v>0.25</v>
      </c>
      <c r="AB26" s="118">
        <f t="shared" si="0"/>
        <v>0.25</v>
      </c>
      <c r="AC26" s="132">
        <f t="shared" si="0"/>
        <v>1</v>
      </c>
      <c r="AD26" s="44"/>
      <c r="AE26" s="43"/>
      <c r="AF26" s="43"/>
      <c r="AG26" s="43"/>
      <c r="AH26" s="43"/>
      <c r="AI26" s="43"/>
      <c r="AJ26" s="43"/>
      <c r="AK26" s="43"/>
      <c r="AM26" s="54"/>
    </row>
    <row r="27" spans="1:39" ht="36" customHeight="1">
      <c r="A27" s="534"/>
      <c r="B27" s="493"/>
      <c r="C27" s="495"/>
      <c r="D27" s="542"/>
      <c r="E27" s="196" t="s">
        <v>392</v>
      </c>
      <c r="F27" s="133">
        <f t="shared" si="1"/>
        <v>1</v>
      </c>
      <c r="G27" s="133">
        <f t="shared" si="0"/>
        <v>1</v>
      </c>
      <c r="H27" s="133">
        <f t="shared" si="0"/>
        <v>1</v>
      </c>
      <c r="I27" s="133">
        <f t="shared" si="0"/>
        <v>1</v>
      </c>
      <c r="J27" s="133">
        <f t="shared" si="0"/>
        <v>1</v>
      </c>
      <c r="K27" s="133">
        <f t="shared" si="0"/>
        <v>1</v>
      </c>
      <c r="L27" s="133">
        <f t="shared" si="0"/>
        <v>1</v>
      </c>
      <c r="M27" s="133">
        <f t="shared" si="0"/>
        <v>1</v>
      </c>
      <c r="N27" s="133">
        <f t="shared" si="0"/>
        <v>0.25</v>
      </c>
      <c r="O27" s="133">
        <f t="shared" si="0"/>
        <v>0.25</v>
      </c>
      <c r="P27" s="133">
        <f t="shared" si="0"/>
        <v>0.25</v>
      </c>
      <c r="Q27" s="133">
        <f t="shared" si="0"/>
        <v>0.25</v>
      </c>
      <c r="R27" s="133">
        <f t="shared" si="0"/>
        <v>0.25</v>
      </c>
      <c r="S27" s="133">
        <f t="shared" si="0"/>
        <v>0.25</v>
      </c>
      <c r="T27" s="133">
        <f t="shared" si="0"/>
        <v>0.25</v>
      </c>
      <c r="U27" s="133">
        <f t="shared" si="0"/>
        <v>0.25</v>
      </c>
      <c r="V27" s="133">
        <f t="shared" si="0"/>
        <v>0.25</v>
      </c>
      <c r="W27" s="133">
        <f t="shared" si="0"/>
        <v>0.25</v>
      </c>
      <c r="X27" s="133">
        <f t="shared" si="0"/>
        <v>0.25</v>
      </c>
      <c r="Y27" s="133">
        <f t="shared" si="0"/>
        <v>0.25</v>
      </c>
      <c r="Z27" s="133">
        <f t="shared" si="0"/>
        <v>0.25</v>
      </c>
      <c r="AA27" s="133">
        <f t="shared" si="0"/>
        <v>0.25</v>
      </c>
      <c r="AB27" s="133">
        <f t="shared" si="0"/>
        <v>0.25</v>
      </c>
      <c r="AC27" s="134">
        <f t="shared" si="0"/>
        <v>1</v>
      </c>
      <c r="AD27" s="44"/>
      <c r="AE27" s="43"/>
      <c r="AF27" s="43"/>
      <c r="AG27" s="43"/>
      <c r="AH27" s="43"/>
      <c r="AI27" s="43"/>
      <c r="AJ27" s="43"/>
      <c r="AK27" s="43"/>
      <c r="AM27" s="54"/>
    </row>
    <row r="28" spans="1:39" ht="36" customHeight="1">
      <c r="A28" s="532" t="s">
        <v>387</v>
      </c>
      <c r="B28" s="492" t="s">
        <v>46</v>
      </c>
      <c r="C28" s="499" t="s">
        <v>400</v>
      </c>
      <c r="D28" s="540" t="s">
        <v>389</v>
      </c>
      <c r="E28" s="197" t="s">
        <v>390</v>
      </c>
      <c r="F28" s="212">
        <f>IF(F22=1,Thermostat!$B$3,Thermostat!$B$4)</f>
        <v>60</v>
      </c>
      <c r="G28" s="212">
        <f>IF(G22=1,Thermostat!$B$3,Thermostat!$B$4)</f>
        <v>60</v>
      </c>
      <c r="H28" s="212">
        <f>IF(H22=1,Thermostat!$B$3,Thermostat!$B$4)</f>
        <v>60</v>
      </c>
      <c r="I28" s="212">
        <f>IF(I22=1,Thermostat!$B$3,Thermostat!$B$4)</f>
        <v>60</v>
      </c>
      <c r="J28" s="212">
        <f>IF(J22=1,Thermostat!$B$3,Thermostat!$B$4)</f>
        <v>60</v>
      </c>
      <c r="K28" s="212">
        <f>IF(K22=1,Thermostat!$B$3,Thermostat!$B$4)</f>
        <v>60</v>
      </c>
      <c r="L28" s="212">
        <f>IF(L22=1,Thermostat!$B$3,Thermostat!$B$4)</f>
        <v>60</v>
      </c>
      <c r="M28" s="212">
        <f>IF(M22=1,Thermostat!$B$3,Thermostat!$B$4)</f>
        <v>70</v>
      </c>
      <c r="N28" s="212">
        <f>IF(N22=1,Thermostat!$B$3,Thermostat!$B$4)</f>
        <v>70</v>
      </c>
      <c r="O28" s="212">
        <f>IF(O22=1,Thermostat!$B$3,Thermostat!$B$4)</f>
        <v>70</v>
      </c>
      <c r="P28" s="212">
        <f>IF(P22=1,Thermostat!$B$3,Thermostat!$B$4)</f>
        <v>70</v>
      </c>
      <c r="Q28" s="212">
        <f>IF(Q22=1,Thermostat!$B$3,Thermostat!$B$4)</f>
        <v>70</v>
      </c>
      <c r="R28" s="212">
        <f>IF(R22=1,Thermostat!$B$3,Thermostat!$B$4)</f>
        <v>70</v>
      </c>
      <c r="S28" s="212">
        <f>IF(S22=1,Thermostat!$B$3,Thermostat!$B$4)</f>
        <v>70</v>
      </c>
      <c r="T28" s="212">
        <f>IF(T22=1,Thermostat!$B$3,Thermostat!$B$4)</f>
        <v>70</v>
      </c>
      <c r="U28" s="212">
        <f>IF(U22=1,Thermostat!$B$3,Thermostat!$B$4)</f>
        <v>70</v>
      </c>
      <c r="V28" s="212">
        <f>IF(V22=1,Thermostat!$B$3,Thermostat!$B$4)</f>
        <v>70</v>
      </c>
      <c r="W28" s="212">
        <f>IF(W22=1,Thermostat!$B$3,Thermostat!$B$4)</f>
        <v>70</v>
      </c>
      <c r="X28" s="212">
        <f>IF(X22=1,Thermostat!$B$3,Thermostat!$B$4)</f>
        <v>70</v>
      </c>
      <c r="Y28" s="212">
        <f>IF(Y22=1,Thermostat!$B$3,Thermostat!$B$4)</f>
        <v>70</v>
      </c>
      <c r="Z28" s="212">
        <f>IF(Z22=1,Thermostat!$B$3,Thermostat!$B$4)</f>
        <v>70</v>
      </c>
      <c r="AA28" s="212">
        <f>IF(AA22=1,Thermostat!$B$3,Thermostat!$B$4)</f>
        <v>70</v>
      </c>
      <c r="AB28" s="212">
        <f>IF(AB22=1,Thermostat!$B$3,Thermostat!$B$4)</f>
        <v>70</v>
      </c>
      <c r="AC28" s="213">
        <f>IF(AC22=1,Thermostat!$B$3,Thermostat!$B$4)</f>
        <v>60</v>
      </c>
      <c r="AD28" s="44"/>
      <c r="AE28" s="43"/>
      <c r="AF28" s="43"/>
      <c r="AG28" s="43"/>
      <c r="AH28" s="43"/>
      <c r="AI28" s="43"/>
      <c r="AJ28" s="43"/>
      <c r="AK28" s="43"/>
      <c r="AM28" s="54"/>
    </row>
    <row r="29" spans="1:39" ht="36" customHeight="1">
      <c r="A29" s="533"/>
      <c r="B29" s="483"/>
      <c r="C29" s="500"/>
      <c r="D29" s="541"/>
      <c r="E29" s="195" t="s">
        <v>391</v>
      </c>
      <c r="F29" s="214">
        <f>IF(F23=1,Thermostat!$B$3,Thermostat!$B$4)</f>
        <v>60</v>
      </c>
      <c r="G29" s="214">
        <f>IF(G23=1,Thermostat!$B$3,Thermostat!$B$4)</f>
        <v>60</v>
      </c>
      <c r="H29" s="214">
        <f>IF(H23=1,Thermostat!$B$3,Thermostat!$B$4)</f>
        <v>60</v>
      </c>
      <c r="I29" s="214">
        <f>IF(I23=1,Thermostat!$B$3,Thermostat!$B$4)</f>
        <v>60</v>
      </c>
      <c r="J29" s="214">
        <f>IF(J23=1,Thermostat!$B$3,Thermostat!$B$4)</f>
        <v>60</v>
      </c>
      <c r="K29" s="214">
        <f>IF(K23=1,Thermostat!$B$3,Thermostat!$B$4)</f>
        <v>60</v>
      </c>
      <c r="L29" s="214">
        <f>IF(L23=1,Thermostat!$B$3,Thermostat!$B$4)</f>
        <v>60</v>
      </c>
      <c r="M29" s="214">
        <f>IF(M23=1,Thermostat!$B$3,Thermostat!$B$4)</f>
        <v>70</v>
      </c>
      <c r="N29" s="214">
        <f>IF(N23=1,Thermostat!$B$3,Thermostat!$B$4)</f>
        <v>70</v>
      </c>
      <c r="O29" s="214">
        <f>IF(O23=1,Thermostat!$B$3,Thermostat!$B$4)</f>
        <v>70</v>
      </c>
      <c r="P29" s="214">
        <f>IF(P23=1,Thermostat!$B$3,Thermostat!$B$4)</f>
        <v>70</v>
      </c>
      <c r="Q29" s="214">
        <f>IF(Q23=1,Thermostat!$B$3,Thermostat!$B$4)</f>
        <v>70</v>
      </c>
      <c r="R29" s="214">
        <f>IF(R23=1,Thermostat!$B$3,Thermostat!$B$4)</f>
        <v>70</v>
      </c>
      <c r="S29" s="214">
        <f>IF(S23=1,Thermostat!$B$3,Thermostat!$B$4)</f>
        <v>70</v>
      </c>
      <c r="T29" s="214">
        <f>IF(T23=1,Thermostat!$B$3,Thermostat!$B$4)</f>
        <v>70</v>
      </c>
      <c r="U29" s="214">
        <f>IF(U23=1,Thermostat!$B$3,Thermostat!$B$4)</f>
        <v>70</v>
      </c>
      <c r="V29" s="214">
        <f>IF(V23=1,Thermostat!$B$3,Thermostat!$B$4)</f>
        <v>70</v>
      </c>
      <c r="W29" s="214">
        <f>IF(W23=1,Thermostat!$B$3,Thermostat!$B$4)</f>
        <v>70</v>
      </c>
      <c r="X29" s="214">
        <f>IF(X23=1,Thermostat!$B$3,Thermostat!$B$4)</f>
        <v>70</v>
      </c>
      <c r="Y29" s="214">
        <f>IF(Y23=1,Thermostat!$B$3,Thermostat!$B$4)</f>
        <v>70</v>
      </c>
      <c r="Z29" s="214">
        <f>IF(Z23=1,Thermostat!$B$3,Thermostat!$B$4)</f>
        <v>70</v>
      </c>
      <c r="AA29" s="214">
        <f>IF(AA23=1,Thermostat!$B$3,Thermostat!$B$4)</f>
        <v>70</v>
      </c>
      <c r="AB29" s="214">
        <f>IF(AB23=1,Thermostat!$B$3,Thermostat!$B$4)</f>
        <v>70</v>
      </c>
      <c r="AC29" s="215">
        <f>IF(AC23=1,Thermostat!$B$3,Thermostat!$B$4)</f>
        <v>60</v>
      </c>
      <c r="AD29" s="44"/>
      <c r="AE29" s="43"/>
      <c r="AF29" s="43"/>
      <c r="AG29" s="43"/>
      <c r="AH29" s="43"/>
      <c r="AI29" s="43"/>
      <c r="AJ29" s="43"/>
      <c r="AK29" s="43"/>
      <c r="AM29" s="54"/>
    </row>
    <row r="30" spans="1:39" ht="36" customHeight="1">
      <c r="A30" s="534"/>
      <c r="B30" s="493"/>
      <c r="C30" s="501"/>
      <c r="D30" s="542"/>
      <c r="E30" s="196" t="s">
        <v>392</v>
      </c>
      <c r="F30" s="216">
        <f>IF(F24=1,Thermostat!$B$3,Thermostat!$B$4)</f>
        <v>60</v>
      </c>
      <c r="G30" s="216">
        <f>IF(G24=1,Thermostat!$B$3,Thermostat!$B$4)</f>
        <v>60</v>
      </c>
      <c r="H30" s="216">
        <f>IF(H24=1,Thermostat!$B$3,Thermostat!$B$4)</f>
        <v>60</v>
      </c>
      <c r="I30" s="216">
        <f>IF(I24=1,Thermostat!$B$3,Thermostat!$B$4)</f>
        <v>60</v>
      </c>
      <c r="J30" s="216">
        <f>IF(J24=1,Thermostat!$B$3,Thermostat!$B$4)</f>
        <v>60</v>
      </c>
      <c r="K30" s="216">
        <f>IF(K24=1,Thermostat!$B$3,Thermostat!$B$4)</f>
        <v>60</v>
      </c>
      <c r="L30" s="216">
        <f>IF(L24=1,Thermostat!$B$3,Thermostat!$B$4)</f>
        <v>60</v>
      </c>
      <c r="M30" s="216">
        <f>IF(M24=1,Thermostat!$B$3,Thermostat!$B$4)</f>
        <v>70</v>
      </c>
      <c r="N30" s="216">
        <f>IF(N24=1,Thermostat!$B$3,Thermostat!$B$4)</f>
        <v>70</v>
      </c>
      <c r="O30" s="216">
        <f>IF(O24=1,Thermostat!$B$3,Thermostat!$B$4)</f>
        <v>70</v>
      </c>
      <c r="P30" s="216">
        <f>IF(P24=1,Thermostat!$B$3,Thermostat!$B$4)</f>
        <v>70</v>
      </c>
      <c r="Q30" s="216">
        <f>IF(Q24=1,Thermostat!$B$3,Thermostat!$B$4)</f>
        <v>70</v>
      </c>
      <c r="R30" s="216">
        <f>IF(R24=1,Thermostat!$B$3,Thermostat!$B$4)</f>
        <v>70</v>
      </c>
      <c r="S30" s="216">
        <f>IF(S24=1,Thermostat!$B$3,Thermostat!$B$4)</f>
        <v>70</v>
      </c>
      <c r="T30" s="216">
        <f>IF(T24=1,Thermostat!$B$3,Thermostat!$B$4)</f>
        <v>70</v>
      </c>
      <c r="U30" s="216">
        <f>IF(U24=1,Thermostat!$B$3,Thermostat!$B$4)</f>
        <v>70</v>
      </c>
      <c r="V30" s="216">
        <f>IF(V24=1,Thermostat!$B$3,Thermostat!$B$4)</f>
        <v>70</v>
      </c>
      <c r="W30" s="216">
        <f>IF(W24=1,Thermostat!$B$3,Thermostat!$B$4)</f>
        <v>70</v>
      </c>
      <c r="X30" s="216">
        <f>IF(X24=1,Thermostat!$B$3,Thermostat!$B$4)</f>
        <v>70</v>
      </c>
      <c r="Y30" s="216">
        <f>IF(Y24=1,Thermostat!$B$3,Thermostat!$B$4)</f>
        <v>70</v>
      </c>
      <c r="Z30" s="216">
        <f>IF(Z24=1,Thermostat!$B$3,Thermostat!$B$4)</f>
        <v>70</v>
      </c>
      <c r="AA30" s="216">
        <f>IF(AA24=1,Thermostat!$B$3,Thermostat!$B$4)</f>
        <v>70</v>
      </c>
      <c r="AB30" s="216">
        <f>IF(AB24=1,Thermostat!$B$3,Thermostat!$B$4)</f>
        <v>70</v>
      </c>
      <c r="AC30" s="217">
        <f>IF(AC24=1,Thermostat!$B$3,Thermostat!$B$4)</f>
        <v>60</v>
      </c>
      <c r="AD30" s="44"/>
      <c r="AE30" s="43"/>
      <c r="AF30" s="43"/>
      <c r="AG30" s="43"/>
      <c r="AH30" s="43"/>
      <c r="AI30" s="43"/>
      <c r="AJ30" s="43"/>
      <c r="AK30" s="43"/>
      <c r="AM30" s="54"/>
    </row>
    <row r="31" spans="1:39" ht="36" customHeight="1">
      <c r="A31" s="532" t="s">
        <v>387</v>
      </c>
      <c r="B31" s="492" t="s">
        <v>46</v>
      </c>
      <c r="C31" s="508" t="s">
        <v>401</v>
      </c>
      <c r="D31" s="540" t="s">
        <v>389</v>
      </c>
      <c r="E31" s="197" t="s">
        <v>390</v>
      </c>
      <c r="F31" s="212">
        <f>IF(F22=1,Thermostat!$B$5,Thermostat!$B$6)</f>
        <v>85</v>
      </c>
      <c r="G31" s="212">
        <f>IF(G22=1,Thermostat!$B$5,Thermostat!$B$6)</f>
        <v>85</v>
      </c>
      <c r="H31" s="212">
        <f>IF(H22=1,Thermostat!$B$5,Thermostat!$B$6)</f>
        <v>85</v>
      </c>
      <c r="I31" s="212">
        <f>IF(I22=1,Thermostat!$B$5,Thermostat!$B$6)</f>
        <v>85</v>
      </c>
      <c r="J31" s="212">
        <f>IF(J22=1,Thermostat!$B$5,Thermostat!$B$6)</f>
        <v>85</v>
      </c>
      <c r="K31" s="212">
        <f>IF(K22=1,Thermostat!$B$5,Thermostat!$B$6)</f>
        <v>85</v>
      </c>
      <c r="L31" s="212">
        <f>IF(L22=1,Thermostat!$B$5,Thermostat!$B$6)</f>
        <v>85</v>
      </c>
      <c r="M31" s="212">
        <f>IF(M22=1,Thermostat!$B$5,Thermostat!$B$6)</f>
        <v>75</v>
      </c>
      <c r="N31" s="212">
        <f>IF(N22=1,Thermostat!$B$5,Thermostat!$B$6)</f>
        <v>75</v>
      </c>
      <c r="O31" s="212">
        <f>IF(O22=1,Thermostat!$B$5,Thermostat!$B$6)</f>
        <v>75</v>
      </c>
      <c r="P31" s="212">
        <f>IF(P22=1,Thermostat!$B$5,Thermostat!$B$6)</f>
        <v>75</v>
      </c>
      <c r="Q31" s="212">
        <f>IF(Q22=1,Thermostat!$B$5,Thermostat!$B$6)</f>
        <v>75</v>
      </c>
      <c r="R31" s="212">
        <f>IF(R22=1,Thermostat!$B$5,Thermostat!$B$6)</f>
        <v>75</v>
      </c>
      <c r="S31" s="212">
        <f>IF(S22=1,Thermostat!$B$5,Thermostat!$B$6)</f>
        <v>75</v>
      </c>
      <c r="T31" s="212">
        <f>IF(T22=1,Thermostat!$B$5,Thermostat!$B$6)</f>
        <v>75</v>
      </c>
      <c r="U31" s="212">
        <f>IF(U22=1,Thermostat!$B$5,Thermostat!$B$6)</f>
        <v>75</v>
      </c>
      <c r="V31" s="212">
        <f>IF(V22=1,Thermostat!$B$5,Thermostat!$B$6)</f>
        <v>75</v>
      </c>
      <c r="W31" s="212">
        <f>IF(W22=1,Thermostat!$B$5,Thermostat!$B$6)</f>
        <v>75</v>
      </c>
      <c r="X31" s="212">
        <f>IF(X22=1,Thermostat!$B$5,Thermostat!$B$6)</f>
        <v>75</v>
      </c>
      <c r="Y31" s="212">
        <f>IF(Y22=1,Thermostat!$B$5,Thermostat!$B$6)</f>
        <v>75</v>
      </c>
      <c r="Z31" s="212">
        <f>IF(Z22=1,Thermostat!$B$5,Thermostat!$B$6)</f>
        <v>75</v>
      </c>
      <c r="AA31" s="212">
        <f>IF(AA22=1,Thermostat!$B$5,Thermostat!$B$6)</f>
        <v>75</v>
      </c>
      <c r="AB31" s="212">
        <f>IF(AB22=1,Thermostat!$B$5,Thermostat!$B$6)</f>
        <v>75</v>
      </c>
      <c r="AC31" s="213">
        <f>IF(AC22=1,Thermostat!$B$5,Thermostat!$B$6)</f>
        <v>85</v>
      </c>
      <c r="AD31" s="44"/>
      <c r="AE31" s="43"/>
      <c r="AF31" s="43"/>
      <c r="AG31" s="43"/>
      <c r="AH31" s="43"/>
      <c r="AI31" s="43"/>
      <c r="AJ31" s="43"/>
      <c r="AK31" s="43"/>
      <c r="AM31" s="54"/>
    </row>
    <row r="32" spans="1:39" ht="36" customHeight="1">
      <c r="A32" s="533"/>
      <c r="B32" s="483"/>
      <c r="C32" s="500"/>
      <c r="D32" s="541"/>
      <c r="E32" s="195" t="s">
        <v>391</v>
      </c>
      <c r="F32" s="214">
        <f>IF(F23=1,Thermostat!$B$5,Thermostat!$B$6)</f>
        <v>85</v>
      </c>
      <c r="G32" s="214">
        <f>IF(G23=1,Thermostat!$B$5,Thermostat!$B$6)</f>
        <v>85</v>
      </c>
      <c r="H32" s="214">
        <f>IF(H23=1,Thermostat!$B$5,Thermostat!$B$6)</f>
        <v>85</v>
      </c>
      <c r="I32" s="214">
        <f>IF(I23=1,Thermostat!$B$5,Thermostat!$B$6)</f>
        <v>85</v>
      </c>
      <c r="J32" s="214">
        <f>IF(J23=1,Thermostat!$B$5,Thermostat!$B$6)</f>
        <v>85</v>
      </c>
      <c r="K32" s="214">
        <f>IF(K23=1,Thermostat!$B$5,Thermostat!$B$6)</f>
        <v>85</v>
      </c>
      <c r="L32" s="214">
        <f>IF(L23=1,Thermostat!$B$5,Thermostat!$B$6)</f>
        <v>85</v>
      </c>
      <c r="M32" s="214">
        <f>IF(M23=1,Thermostat!$B$5,Thermostat!$B$6)</f>
        <v>75</v>
      </c>
      <c r="N32" s="214">
        <f>IF(N23=1,Thermostat!$B$5,Thermostat!$B$6)</f>
        <v>75</v>
      </c>
      <c r="O32" s="214">
        <f>IF(O23=1,Thermostat!$B$5,Thermostat!$B$6)</f>
        <v>75</v>
      </c>
      <c r="P32" s="214">
        <f>IF(P23=1,Thermostat!$B$5,Thermostat!$B$6)</f>
        <v>75</v>
      </c>
      <c r="Q32" s="214">
        <f>IF(Q23=1,Thermostat!$B$5,Thermostat!$B$6)</f>
        <v>75</v>
      </c>
      <c r="R32" s="214">
        <f>IF(R23=1,Thermostat!$B$5,Thermostat!$B$6)</f>
        <v>75</v>
      </c>
      <c r="S32" s="214">
        <f>IF(S23=1,Thermostat!$B$5,Thermostat!$B$6)</f>
        <v>75</v>
      </c>
      <c r="T32" s="214">
        <f>IF(T23=1,Thermostat!$B$5,Thermostat!$B$6)</f>
        <v>75</v>
      </c>
      <c r="U32" s="214">
        <f>IF(U23=1,Thermostat!$B$5,Thermostat!$B$6)</f>
        <v>75</v>
      </c>
      <c r="V32" s="214">
        <f>IF(V23=1,Thermostat!$B$5,Thermostat!$B$6)</f>
        <v>75</v>
      </c>
      <c r="W32" s="214">
        <f>IF(W23=1,Thermostat!$B$5,Thermostat!$B$6)</f>
        <v>75</v>
      </c>
      <c r="X32" s="214">
        <f>IF(X23=1,Thermostat!$B$5,Thermostat!$B$6)</f>
        <v>75</v>
      </c>
      <c r="Y32" s="214">
        <f>IF(Y23=1,Thermostat!$B$5,Thermostat!$B$6)</f>
        <v>75</v>
      </c>
      <c r="Z32" s="214">
        <f>IF(Z23=1,Thermostat!$B$5,Thermostat!$B$6)</f>
        <v>75</v>
      </c>
      <c r="AA32" s="214">
        <f>IF(AA23=1,Thermostat!$B$5,Thermostat!$B$6)</f>
        <v>75</v>
      </c>
      <c r="AB32" s="214">
        <f>IF(AB23=1,Thermostat!$B$5,Thermostat!$B$6)</f>
        <v>75</v>
      </c>
      <c r="AC32" s="215">
        <f>IF(AC23=1,Thermostat!$B$5,Thermostat!$B$6)</f>
        <v>85</v>
      </c>
      <c r="AD32" s="44"/>
      <c r="AE32" s="43"/>
      <c r="AF32" s="43"/>
      <c r="AG32" s="43"/>
      <c r="AH32" s="43"/>
      <c r="AI32" s="43"/>
      <c r="AJ32" s="43"/>
      <c r="AK32" s="43"/>
      <c r="AM32" s="54"/>
    </row>
    <row r="33" spans="1:39" ht="36" customHeight="1">
      <c r="A33" s="534"/>
      <c r="B33" s="493"/>
      <c r="C33" s="501"/>
      <c r="D33" s="542"/>
      <c r="E33" s="196" t="s">
        <v>392</v>
      </c>
      <c r="F33" s="216">
        <f>IF(F24=1,Thermostat!$B$5,Thermostat!$B$6)</f>
        <v>85</v>
      </c>
      <c r="G33" s="216">
        <f>IF(G24=1,Thermostat!$B$5,Thermostat!$B$6)</f>
        <v>85</v>
      </c>
      <c r="H33" s="216">
        <f>IF(H24=1,Thermostat!$B$5,Thermostat!$B$6)</f>
        <v>85</v>
      </c>
      <c r="I33" s="216">
        <f>IF(I24=1,Thermostat!$B$5,Thermostat!$B$6)</f>
        <v>85</v>
      </c>
      <c r="J33" s="216">
        <f>IF(J24=1,Thermostat!$B$5,Thermostat!$B$6)</f>
        <v>85</v>
      </c>
      <c r="K33" s="216">
        <f>IF(K24=1,Thermostat!$B$5,Thermostat!$B$6)</f>
        <v>85</v>
      </c>
      <c r="L33" s="216">
        <f>IF(L24=1,Thermostat!$B$5,Thermostat!$B$6)</f>
        <v>85</v>
      </c>
      <c r="M33" s="216">
        <f>IF(M24=1,Thermostat!$B$5,Thermostat!$B$6)</f>
        <v>75</v>
      </c>
      <c r="N33" s="216">
        <f>IF(N24=1,Thermostat!$B$5,Thermostat!$B$6)</f>
        <v>75</v>
      </c>
      <c r="O33" s="216">
        <f>IF(O24=1,Thermostat!$B$5,Thermostat!$B$6)</f>
        <v>75</v>
      </c>
      <c r="P33" s="216">
        <f>IF(P24=1,Thermostat!$B$5,Thermostat!$B$6)</f>
        <v>75</v>
      </c>
      <c r="Q33" s="216">
        <f>IF(Q24=1,Thermostat!$B$5,Thermostat!$B$6)</f>
        <v>75</v>
      </c>
      <c r="R33" s="216">
        <f>IF(R24=1,Thermostat!$B$5,Thermostat!$B$6)</f>
        <v>75</v>
      </c>
      <c r="S33" s="216">
        <f>IF(S24=1,Thermostat!$B$5,Thermostat!$B$6)</f>
        <v>75</v>
      </c>
      <c r="T33" s="216">
        <f>IF(T24=1,Thermostat!$B$5,Thermostat!$B$6)</f>
        <v>75</v>
      </c>
      <c r="U33" s="216">
        <f>IF(U24=1,Thermostat!$B$5,Thermostat!$B$6)</f>
        <v>75</v>
      </c>
      <c r="V33" s="216">
        <f>IF(V24=1,Thermostat!$B$5,Thermostat!$B$6)</f>
        <v>75</v>
      </c>
      <c r="W33" s="216">
        <f>IF(W24=1,Thermostat!$B$5,Thermostat!$B$6)</f>
        <v>75</v>
      </c>
      <c r="X33" s="216">
        <f>IF(X24=1,Thermostat!$B$5,Thermostat!$B$6)</f>
        <v>75</v>
      </c>
      <c r="Y33" s="216">
        <f>IF(Y24=1,Thermostat!$B$5,Thermostat!$B$6)</f>
        <v>75</v>
      </c>
      <c r="Z33" s="216">
        <f>IF(Z24=1,Thermostat!$B$5,Thermostat!$B$6)</f>
        <v>75</v>
      </c>
      <c r="AA33" s="216">
        <f>IF(AA24=1,Thermostat!$B$5,Thermostat!$B$6)</f>
        <v>75</v>
      </c>
      <c r="AB33" s="216">
        <f>IF(AB24=1,Thermostat!$B$5,Thermostat!$B$6)</f>
        <v>75</v>
      </c>
      <c r="AC33" s="217">
        <f>IF(AC24=1,Thermostat!$B$5,Thermostat!$B$6)</f>
        <v>85</v>
      </c>
      <c r="AD33" s="44"/>
      <c r="AE33" s="43"/>
      <c r="AF33" s="43"/>
      <c r="AG33" s="43"/>
      <c r="AH33" s="43"/>
      <c r="AI33" s="43"/>
      <c r="AJ33" s="43"/>
      <c r="AK33" s="43"/>
      <c r="AM33" s="54"/>
    </row>
    <row r="34" spans="1:39" ht="22.5" customHeight="1">
      <c r="A34" s="510" t="s">
        <v>116</v>
      </c>
      <c r="B34" s="510"/>
      <c r="C34" s="510" t="s">
        <v>22</v>
      </c>
      <c r="D34" s="510"/>
      <c r="E34" s="510"/>
      <c r="F34" s="510"/>
      <c r="G34" s="510"/>
      <c r="H34" s="510"/>
      <c r="I34" s="510"/>
      <c r="J34" s="510"/>
      <c r="K34" s="510"/>
      <c r="L34" s="510"/>
      <c r="M34" s="510"/>
      <c r="N34" s="510"/>
      <c r="O34" s="510"/>
      <c r="P34" s="510"/>
      <c r="Q34" s="510"/>
      <c r="R34" s="510"/>
      <c r="S34" s="510"/>
      <c r="T34" s="510"/>
      <c r="U34" s="510"/>
      <c r="V34" s="510"/>
      <c r="W34" s="510"/>
      <c r="X34" s="510"/>
      <c r="Y34" s="510"/>
      <c r="Z34" s="510"/>
      <c r="AA34" s="510"/>
      <c r="AB34" s="510"/>
      <c r="AC34" s="511"/>
    </row>
    <row r="35" spans="1:39" ht="22.5" customHeight="1">
      <c r="A35" s="512" t="s">
        <v>116</v>
      </c>
      <c r="B35" s="496" t="s">
        <v>116</v>
      </c>
      <c r="C35" s="514" t="s">
        <v>388</v>
      </c>
      <c r="D35" s="518" t="s">
        <v>402</v>
      </c>
      <c r="E35" s="203" t="s">
        <v>390</v>
      </c>
      <c r="F35" s="162">
        <v>0</v>
      </c>
      <c r="G35" s="162">
        <v>0</v>
      </c>
      <c r="H35" s="162">
        <v>0</v>
      </c>
      <c r="I35" s="162">
        <v>0</v>
      </c>
      <c r="J35" s="162">
        <v>0</v>
      </c>
      <c r="K35" s="162">
        <v>0</v>
      </c>
      <c r="L35" s="162">
        <v>0.1</v>
      </c>
      <c r="M35" s="162">
        <v>0.2</v>
      </c>
      <c r="N35" s="162">
        <v>0.95</v>
      </c>
      <c r="O35" s="162">
        <v>0.95</v>
      </c>
      <c r="P35" s="162">
        <v>0.95</v>
      </c>
      <c r="Q35" s="162">
        <v>0.95</v>
      </c>
      <c r="R35" s="162">
        <v>0.5</v>
      </c>
      <c r="S35" s="162">
        <v>0.95</v>
      </c>
      <c r="T35" s="162">
        <v>0.95</v>
      </c>
      <c r="U35" s="162">
        <v>0.95</v>
      </c>
      <c r="V35" s="162">
        <v>0.95</v>
      </c>
      <c r="W35" s="162">
        <v>0.3</v>
      </c>
      <c r="X35" s="162">
        <v>0.1</v>
      </c>
      <c r="Y35" s="162">
        <v>0.1</v>
      </c>
      <c r="Z35" s="162">
        <v>0.1</v>
      </c>
      <c r="AA35" s="162">
        <v>0.1</v>
      </c>
      <c r="AB35" s="162">
        <v>0.05</v>
      </c>
      <c r="AC35" s="163">
        <v>0.05</v>
      </c>
    </row>
    <row r="36" spans="1:39" ht="22.5" customHeight="1">
      <c r="A36" s="506"/>
      <c r="B36" s="497"/>
      <c r="C36" s="515"/>
      <c r="D36" s="519"/>
      <c r="E36" s="204" t="s">
        <v>391</v>
      </c>
      <c r="F36" s="164">
        <v>0</v>
      </c>
      <c r="G36" s="164">
        <v>0</v>
      </c>
      <c r="H36" s="164">
        <v>0</v>
      </c>
      <c r="I36" s="164">
        <v>0</v>
      </c>
      <c r="J36" s="164">
        <v>0</v>
      </c>
      <c r="K36" s="164">
        <v>0</v>
      </c>
      <c r="L36" s="165">
        <v>0.05</v>
      </c>
      <c r="M36" s="165">
        <v>0.05</v>
      </c>
      <c r="N36" s="165">
        <v>0.05</v>
      </c>
      <c r="O36" s="165">
        <v>0.05</v>
      </c>
      <c r="P36" s="165">
        <v>0.05</v>
      </c>
      <c r="Q36" s="165">
        <v>0.05</v>
      </c>
      <c r="R36" s="165">
        <v>0.05</v>
      </c>
      <c r="S36" s="165">
        <v>0.05</v>
      </c>
      <c r="T36" s="165">
        <v>0.05</v>
      </c>
      <c r="U36" s="165">
        <v>0.05</v>
      </c>
      <c r="V36" s="165">
        <v>0.05</v>
      </c>
      <c r="W36" s="165">
        <v>0.05</v>
      </c>
      <c r="X36" s="166">
        <v>0</v>
      </c>
      <c r="Y36" s="164">
        <v>0</v>
      </c>
      <c r="Z36" s="164">
        <v>0</v>
      </c>
      <c r="AA36" s="164">
        <v>0</v>
      </c>
      <c r="AB36" s="164">
        <v>0</v>
      </c>
      <c r="AC36" s="167">
        <v>0</v>
      </c>
    </row>
    <row r="37" spans="1:39" ht="22.5" customHeight="1" thickBot="1">
      <c r="A37" s="513"/>
      <c r="B37" s="498"/>
      <c r="C37" s="516"/>
      <c r="D37" s="543"/>
      <c r="E37" s="205" t="s">
        <v>392</v>
      </c>
      <c r="F37" s="168">
        <v>0</v>
      </c>
      <c r="G37" s="168">
        <v>0</v>
      </c>
      <c r="H37" s="168">
        <v>0</v>
      </c>
      <c r="I37" s="168">
        <v>0</v>
      </c>
      <c r="J37" s="168">
        <v>0</v>
      </c>
      <c r="K37" s="168">
        <v>0</v>
      </c>
      <c r="L37" s="168">
        <v>0.05</v>
      </c>
      <c r="M37" s="168">
        <v>0.05</v>
      </c>
      <c r="N37" s="168">
        <v>0.05</v>
      </c>
      <c r="O37" s="168">
        <v>0.05</v>
      </c>
      <c r="P37" s="168">
        <v>0.05</v>
      </c>
      <c r="Q37" s="168">
        <v>0.05</v>
      </c>
      <c r="R37" s="168">
        <v>0.05</v>
      </c>
      <c r="S37" s="168">
        <v>0.05</v>
      </c>
      <c r="T37" s="168">
        <v>0.05</v>
      </c>
      <c r="U37" s="168">
        <v>0.05</v>
      </c>
      <c r="V37" s="168">
        <v>0.05</v>
      </c>
      <c r="W37" s="168">
        <v>0.05</v>
      </c>
      <c r="X37" s="168">
        <v>0</v>
      </c>
      <c r="Y37" s="168">
        <v>0</v>
      </c>
      <c r="Z37" s="168">
        <v>0</v>
      </c>
      <c r="AA37" s="168">
        <v>0</v>
      </c>
      <c r="AB37" s="168">
        <v>0</v>
      </c>
      <c r="AC37" s="169">
        <v>0</v>
      </c>
    </row>
    <row r="38" spans="1:39" ht="22.5" customHeight="1">
      <c r="A38" s="512" t="s">
        <v>116</v>
      </c>
      <c r="B38" s="496" t="s">
        <v>116</v>
      </c>
      <c r="C38" s="517" t="s">
        <v>394</v>
      </c>
      <c r="D38" s="518" t="s">
        <v>403</v>
      </c>
      <c r="E38" s="206" t="s">
        <v>390</v>
      </c>
      <c r="F38" s="162">
        <v>0.05</v>
      </c>
      <c r="G38" s="162">
        <v>0.05</v>
      </c>
      <c r="H38" s="162">
        <v>0.05</v>
      </c>
      <c r="I38" s="162">
        <v>0.05</v>
      </c>
      <c r="J38" s="162">
        <v>0.05</v>
      </c>
      <c r="K38" s="207">
        <v>0.1</v>
      </c>
      <c r="L38" s="207">
        <v>0.1</v>
      </c>
      <c r="M38" s="207">
        <v>0.3</v>
      </c>
      <c r="N38" s="207">
        <v>0.65</v>
      </c>
      <c r="O38" s="207">
        <v>0.65</v>
      </c>
      <c r="P38" s="207">
        <v>0.65</v>
      </c>
      <c r="Q38" s="207">
        <v>0.65</v>
      </c>
      <c r="R38" s="207">
        <v>0.65</v>
      </c>
      <c r="S38" s="207">
        <v>0.65</v>
      </c>
      <c r="T38" s="207">
        <v>0.65</v>
      </c>
      <c r="U38" s="207">
        <v>0.65</v>
      </c>
      <c r="V38" s="207">
        <v>0.65</v>
      </c>
      <c r="W38" s="207">
        <v>0.35</v>
      </c>
      <c r="X38" s="207">
        <v>0.3</v>
      </c>
      <c r="Y38" s="207">
        <v>0.3</v>
      </c>
      <c r="Z38" s="162">
        <v>0.2</v>
      </c>
      <c r="AA38" s="162">
        <v>0.2</v>
      </c>
      <c r="AB38" s="162">
        <v>0.1</v>
      </c>
      <c r="AC38" s="163">
        <v>0.05</v>
      </c>
    </row>
    <row r="39" spans="1:39" ht="22.5" customHeight="1">
      <c r="A39" s="506"/>
      <c r="B39" s="497"/>
      <c r="C39" s="515"/>
      <c r="D39" s="519"/>
      <c r="E39" s="208" t="s">
        <v>391</v>
      </c>
      <c r="F39" s="164">
        <v>0.05</v>
      </c>
      <c r="G39" s="164">
        <v>0.05</v>
      </c>
      <c r="H39" s="164">
        <v>0.05</v>
      </c>
      <c r="I39" s="164">
        <v>0.05</v>
      </c>
      <c r="J39" s="164">
        <v>0.05</v>
      </c>
      <c r="K39" s="166">
        <v>0.05</v>
      </c>
      <c r="L39" s="166">
        <v>0.05</v>
      </c>
      <c r="M39" s="166">
        <v>0.05</v>
      </c>
      <c r="N39" s="166">
        <v>0.05</v>
      </c>
      <c r="O39" s="166">
        <v>0.05</v>
      </c>
      <c r="P39" s="166">
        <v>0.05</v>
      </c>
      <c r="Q39" s="166">
        <v>0.05</v>
      </c>
      <c r="R39" s="166">
        <v>0.05</v>
      </c>
      <c r="S39" s="166">
        <v>0.05</v>
      </c>
      <c r="T39" s="166">
        <v>0.05</v>
      </c>
      <c r="U39" s="166">
        <v>0.05</v>
      </c>
      <c r="V39" s="166">
        <v>0.05</v>
      </c>
      <c r="W39" s="164">
        <v>0.05</v>
      </c>
      <c r="X39" s="164">
        <v>0.05</v>
      </c>
      <c r="Y39" s="164">
        <v>0.05</v>
      </c>
      <c r="Z39" s="164">
        <v>0.05</v>
      </c>
      <c r="AA39" s="164">
        <v>0.05</v>
      </c>
      <c r="AB39" s="164">
        <v>0.05</v>
      </c>
      <c r="AC39" s="167">
        <v>0.05</v>
      </c>
    </row>
    <row r="40" spans="1:39" ht="22.5" customHeight="1" thickBot="1">
      <c r="A40" s="513"/>
      <c r="B40" s="498"/>
      <c r="C40" s="516"/>
      <c r="D40" s="520"/>
      <c r="E40" s="209" t="s">
        <v>392</v>
      </c>
      <c r="F40" s="170">
        <v>0.05</v>
      </c>
      <c r="G40" s="170">
        <v>0.05</v>
      </c>
      <c r="H40" s="170">
        <v>0.05</v>
      </c>
      <c r="I40" s="170">
        <v>0.05</v>
      </c>
      <c r="J40" s="170">
        <v>0.05</v>
      </c>
      <c r="K40" s="170">
        <v>0.05</v>
      </c>
      <c r="L40" s="170">
        <v>0.05</v>
      </c>
      <c r="M40" s="170">
        <v>0.05</v>
      </c>
      <c r="N40" s="170">
        <v>0.05</v>
      </c>
      <c r="O40" s="170">
        <v>0.05</v>
      </c>
      <c r="P40" s="170">
        <v>0.05</v>
      </c>
      <c r="Q40" s="170">
        <v>0.05</v>
      </c>
      <c r="R40" s="170">
        <v>0.05</v>
      </c>
      <c r="S40" s="170">
        <v>0.05</v>
      </c>
      <c r="T40" s="170">
        <v>0.05</v>
      </c>
      <c r="U40" s="170">
        <v>0.05</v>
      </c>
      <c r="V40" s="170">
        <v>0.05</v>
      </c>
      <c r="W40" s="170">
        <v>0.05</v>
      </c>
      <c r="X40" s="170">
        <v>0.05</v>
      </c>
      <c r="Y40" s="170">
        <v>0.05</v>
      </c>
      <c r="Z40" s="170">
        <v>0.05</v>
      </c>
      <c r="AA40" s="170">
        <v>0.05</v>
      </c>
      <c r="AB40" s="170">
        <v>0.05</v>
      </c>
      <c r="AC40" s="171">
        <v>0.05</v>
      </c>
    </row>
    <row r="41" spans="1:39" ht="22.5" customHeight="1">
      <c r="A41" s="512" t="s">
        <v>116</v>
      </c>
      <c r="B41" s="496" t="s">
        <v>116</v>
      </c>
      <c r="C41" s="517" t="s">
        <v>404</v>
      </c>
      <c r="D41" s="556" t="s">
        <v>405</v>
      </c>
      <c r="E41" s="206" t="s">
        <v>390</v>
      </c>
      <c r="F41" s="172">
        <v>0.45</v>
      </c>
      <c r="G41" s="172">
        <v>0.45</v>
      </c>
      <c r="H41" s="172">
        <v>0.45</v>
      </c>
      <c r="I41" s="172">
        <v>0.45</v>
      </c>
      <c r="J41" s="172">
        <v>0.45</v>
      </c>
      <c r="K41" s="172">
        <v>0.45</v>
      </c>
      <c r="L41" s="172">
        <v>0.45</v>
      </c>
      <c r="M41" s="172">
        <v>0.74</v>
      </c>
      <c r="N41" s="172">
        <v>0.87</v>
      </c>
      <c r="O41" s="172">
        <v>0.9</v>
      </c>
      <c r="P41" s="172">
        <v>0.9</v>
      </c>
      <c r="Q41" s="172">
        <v>0.9</v>
      </c>
      <c r="R41" s="172">
        <v>0.9</v>
      </c>
      <c r="S41" s="172">
        <v>0.9</v>
      </c>
      <c r="T41" s="172">
        <v>0.9</v>
      </c>
      <c r="U41" s="172">
        <v>0.9</v>
      </c>
      <c r="V41" s="172">
        <v>0.9</v>
      </c>
      <c r="W41" s="172">
        <v>0.7</v>
      </c>
      <c r="X41" s="172">
        <v>0.5</v>
      </c>
      <c r="Y41" s="172">
        <v>0.5</v>
      </c>
      <c r="Z41" s="172">
        <v>0.5</v>
      </c>
      <c r="AA41" s="172">
        <v>0.45</v>
      </c>
      <c r="AB41" s="172">
        <v>0.45</v>
      </c>
      <c r="AC41" s="173">
        <v>0.45</v>
      </c>
    </row>
    <row r="42" spans="1:39" ht="22.5" customHeight="1">
      <c r="A42" s="506"/>
      <c r="B42" s="497"/>
      <c r="C42" s="515"/>
      <c r="D42" s="557"/>
      <c r="E42" s="208" t="s">
        <v>391</v>
      </c>
      <c r="F42" s="174">
        <v>0.43</v>
      </c>
      <c r="G42" s="174">
        <v>0.43</v>
      </c>
      <c r="H42" s="174">
        <v>0.43</v>
      </c>
      <c r="I42" s="174">
        <v>0.43</v>
      </c>
      <c r="J42" s="174">
        <v>0.43</v>
      </c>
      <c r="K42" s="174">
        <v>0.43</v>
      </c>
      <c r="L42" s="174">
        <v>0.43</v>
      </c>
      <c r="M42" s="174">
        <v>0.43</v>
      </c>
      <c r="N42" s="174">
        <v>0.43</v>
      </c>
      <c r="O42" s="174">
        <v>0.43</v>
      </c>
      <c r="P42" s="174">
        <v>0.43</v>
      </c>
      <c r="Q42" s="174">
        <v>0.43</v>
      </c>
      <c r="R42" s="174">
        <v>0.43</v>
      </c>
      <c r="S42" s="174">
        <v>0.43</v>
      </c>
      <c r="T42" s="174">
        <v>0.43</v>
      </c>
      <c r="U42" s="174">
        <v>0.43</v>
      </c>
      <c r="V42" s="174">
        <v>0.43</v>
      </c>
      <c r="W42" s="174">
        <v>0.43</v>
      </c>
      <c r="X42" s="174">
        <v>0.43</v>
      </c>
      <c r="Y42" s="174">
        <v>0.43</v>
      </c>
      <c r="Z42" s="174">
        <v>0.43</v>
      </c>
      <c r="AA42" s="174">
        <v>0.43</v>
      </c>
      <c r="AB42" s="174">
        <v>0.43</v>
      </c>
      <c r="AC42" s="175">
        <v>0.43</v>
      </c>
    </row>
    <row r="43" spans="1:39" ht="22.5" customHeight="1" thickBot="1">
      <c r="A43" s="513"/>
      <c r="B43" s="498"/>
      <c r="C43" s="536"/>
      <c r="D43" s="558"/>
      <c r="E43" s="210" t="s">
        <v>392</v>
      </c>
      <c r="F43" s="176">
        <v>0.43</v>
      </c>
      <c r="G43" s="176">
        <v>0.43</v>
      </c>
      <c r="H43" s="176">
        <v>0.43</v>
      </c>
      <c r="I43" s="176">
        <v>0.43</v>
      </c>
      <c r="J43" s="176">
        <v>0.43</v>
      </c>
      <c r="K43" s="176">
        <v>0.43</v>
      </c>
      <c r="L43" s="176">
        <v>0.43</v>
      </c>
      <c r="M43" s="176">
        <v>0.43</v>
      </c>
      <c r="N43" s="176">
        <v>0.43</v>
      </c>
      <c r="O43" s="176">
        <v>0.43</v>
      </c>
      <c r="P43" s="176">
        <v>0.43</v>
      </c>
      <c r="Q43" s="176">
        <v>0.43</v>
      </c>
      <c r="R43" s="176">
        <v>0.43</v>
      </c>
      <c r="S43" s="176">
        <v>0.43</v>
      </c>
      <c r="T43" s="176">
        <v>0.43</v>
      </c>
      <c r="U43" s="176">
        <v>0.43</v>
      </c>
      <c r="V43" s="176">
        <v>0.43</v>
      </c>
      <c r="W43" s="176">
        <v>0.43</v>
      </c>
      <c r="X43" s="176">
        <v>0.43</v>
      </c>
      <c r="Y43" s="176">
        <v>0.43</v>
      </c>
      <c r="Z43" s="176">
        <v>0.43</v>
      </c>
      <c r="AA43" s="176">
        <v>0.43</v>
      </c>
      <c r="AB43" s="176">
        <v>0.43</v>
      </c>
      <c r="AC43" s="177">
        <v>0.43</v>
      </c>
    </row>
    <row r="44" spans="1:39" ht="22.5" customHeight="1">
      <c r="A44" s="512" t="s">
        <v>116</v>
      </c>
      <c r="B44" s="496" t="s">
        <v>116</v>
      </c>
      <c r="C44" s="535" t="s">
        <v>399</v>
      </c>
      <c r="D44" s="518" t="s">
        <v>406</v>
      </c>
      <c r="E44" s="211" t="s">
        <v>390</v>
      </c>
      <c r="F44" s="178">
        <v>0</v>
      </c>
      <c r="G44" s="178">
        <v>0</v>
      </c>
      <c r="H44" s="178">
        <v>0</v>
      </c>
      <c r="I44" s="178">
        <v>0</v>
      </c>
      <c r="J44" s="178">
        <v>0</v>
      </c>
      <c r="K44" s="178">
        <v>1</v>
      </c>
      <c r="L44" s="178">
        <v>1</v>
      </c>
      <c r="M44" s="178">
        <v>1</v>
      </c>
      <c r="N44" s="178">
        <v>1</v>
      </c>
      <c r="O44" s="178">
        <v>1</v>
      </c>
      <c r="P44" s="178">
        <v>1</v>
      </c>
      <c r="Q44" s="178">
        <v>1</v>
      </c>
      <c r="R44" s="178">
        <v>1</v>
      </c>
      <c r="S44" s="178">
        <v>1</v>
      </c>
      <c r="T44" s="178">
        <v>1</v>
      </c>
      <c r="U44" s="178">
        <v>1</v>
      </c>
      <c r="V44" s="178">
        <v>1</v>
      </c>
      <c r="W44" s="178">
        <v>1</v>
      </c>
      <c r="X44" s="178">
        <v>1</v>
      </c>
      <c r="Y44" s="178">
        <v>1</v>
      </c>
      <c r="Z44" s="178">
        <v>1</v>
      </c>
      <c r="AA44" s="178">
        <v>1</v>
      </c>
      <c r="AB44" s="178">
        <v>1</v>
      </c>
      <c r="AC44" s="179">
        <v>1</v>
      </c>
    </row>
    <row r="45" spans="1:39" ht="22.5" customHeight="1">
      <c r="A45" s="506"/>
      <c r="B45" s="497"/>
      <c r="C45" s="515"/>
      <c r="D45" s="519"/>
      <c r="E45" s="208" t="s">
        <v>391</v>
      </c>
      <c r="F45" s="164">
        <v>0</v>
      </c>
      <c r="G45" s="164">
        <v>0</v>
      </c>
      <c r="H45" s="164">
        <v>0</v>
      </c>
      <c r="I45" s="164">
        <v>0</v>
      </c>
      <c r="J45" s="164">
        <v>0</v>
      </c>
      <c r="K45" s="166">
        <v>0</v>
      </c>
      <c r="L45" s="166">
        <v>0</v>
      </c>
      <c r="M45" s="166">
        <v>0</v>
      </c>
      <c r="N45" s="166">
        <v>0</v>
      </c>
      <c r="O45" s="166">
        <v>0</v>
      </c>
      <c r="P45" s="166">
        <v>0</v>
      </c>
      <c r="Q45" s="166">
        <v>0</v>
      </c>
      <c r="R45" s="166">
        <v>0</v>
      </c>
      <c r="S45" s="166">
        <v>0</v>
      </c>
      <c r="T45" s="166">
        <v>0</v>
      </c>
      <c r="U45" s="166">
        <v>0</v>
      </c>
      <c r="V45" s="166">
        <v>0</v>
      </c>
      <c r="W45" s="166">
        <v>0</v>
      </c>
      <c r="X45" s="166">
        <v>0</v>
      </c>
      <c r="Y45" s="164">
        <v>0</v>
      </c>
      <c r="Z45" s="164">
        <v>0</v>
      </c>
      <c r="AA45" s="164">
        <v>0</v>
      </c>
      <c r="AB45" s="164">
        <v>0</v>
      </c>
      <c r="AC45" s="167">
        <v>0</v>
      </c>
    </row>
    <row r="46" spans="1:39" ht="22.5" customHeight="1" thickBot="1">
      <c r="A46" s="513"/>
      <c r="B46" s="498"/>
      <c r="C46" s="536"/>
      <c r="D46" s="543"/>
      <c r="E46" s="210" t="s">
        <v>392</v>
      </c>
      <c r="F46" s="170">
        <v>0</v>
      </c>
      <c r="G46" s="170">
        <v>0</v>
      </c>
      <c r="H46" s="170">
        <v>0</v>
      </c>
      <c r="I46" s="170">
        <v>0</v>
      </c>
      <c r="J46" s="170">
        <v>0</v>
      </c>
      <c r="K46" s="170">
        <v>0</v>
      </c>
      <c r="L46" s="170">
        <v>0</v>
      </c>
      <c r="M46" s="170">
        <v>0</v>
      </c>
      <c r="N46" s="170">
        <v>0</v>
      </c>
      <c r="O46" s="170">
        <v>0</v>
      </c>
      <c r="P46" s="170">
        <v>0</v>
      </c>
      <c r="Q46" s="170">
        <v>0</v>
      </c>
      <c r="R46" s="170">
        <v>0</v>
      </c>
      <c r="S46" s="170">
        <v>0</v>
      </c>
      <c r="T46" s="170">
        <v>0</v>
      </c>
      <c r="U46" s="170">
        <v>0</v>
      </c>
      <c r="V46" s="170">
        <v>0</v>
      </c>
      <c r="W46" s="170">
        <v>0</v>
      </c>
      <c r="X46" s="170">
        <v>0</v>
      </c>
      <c r="Y46" s="170">
        <v>0</v>
      </c>
      <c r="Z46" s="170">
        <v>0</v>
      </c>
      <c r="AA46" s="170">
        <v>0</v>
      </c>
      <c r="AB46" s="170">
        <v>0</v>
      </c>
      <c r="AC46" s="171">
        <v>0</v>
      </c>
    </row>
    <row r="47" spans="1:39" ht="22.5" customHeight="1">
      <c r="A47" s="512" t="s">
        <v>116</v>
      </c>
      <c r="B47" s="496" t="s">
        <v>116</v>
      </c>
      <c r="C47" s="535" t="s">
        <v>396</v>
      </c>
      <c r="D47" s="537" t="s">
        <v>403</v>
      </c>
      <c r="E47" s="211" t="s">
        <v>390</v>
      </c>
      <c r="F47" s="180">
        <v>0.05</v>
      </c>
      <c r="G47" s="180">
        <v>0.05</v>
      </c>
      <c r="H47" s="180">
        <v>0.05</v>
      </c>
      <c r="I47" s="180">
        <v>0.05</v>
      </c>
      <c r="J47" s="180">
        <v>0.05</v>
      </c>
      <c r="K47" s="180">
        <v>0.08</v>
      </c>
      <c r="L47" s="180">
        <v>7.0000000000000007E-2</v>
      </c>
      <c r="M47" s="180">
        <v>0.19</v>
      </c>
      <c r="N47" s="180">
        <v>0.35</v>
      </c>
      <c r="O47" s="180">
        <v>0.38</v>
      </c>
      <c r="P47" s="180">
        <v>0.39</v>
      </c>
      <c r="Q47" s="180">
        <v>0.47</v>
      </c>
      <c r="R47" s="180">
        <v>0.56999999999999995</v>
      </c>
      <c r="S47" s="180">
        <v>0.54</v>
      </c>
      <c r="T47" s="180">
        <v>0.34</v>
      </c>
      <c r="U47" s="180">
        <v>0.33</v>
      </c>
      <c r="V47" s="180">
        <v>0.44</v>
      </c>
      <c r="W47" s="180">
        <v>0.26</v>
      </c>
      <c r="X47" s="180">
        <v>0.21</v>
      </c>
      <c r="Y47" s="180">
        <v>0.15</v>
      </c>
      <c r="Z47" s="180">
        <v>0.17</v>
      </c>
      <c r="AA47" s="180">
        <v>0.08</v>
      </c>
      <c r="AB47" s="180">
        <v>0.05</v>
      </c>
      <c r="AC47" s="181">
        <v>0.05</v>
      </c>
    </row>
    <row r="48" spans="1:39" ht="22.5" customHeight="1">
      <c r="A48" s="506"/>
      <c r="B48" s="497"/>
      <c r="C48" s="515"/>
      <c r="D48" s="538"/>
      <c r="E48" s="208" t="s">
        <v>391</v>
      </c>
      <c r="F48" s="182">
        <v>0.05</v>
      </c>
      <c r="G48" s="182">
        <v>0.05</v>
      </c>
      <c r="H48" s="182">
        <v>0.05</v>
      </c>
      <c r="I48" s="182">
        <v>0.05</v>
      </c>
      <c r="J48" s="182">
        <v>0.05</v>
      </c>
      <c r="K48" s="182">
        <v>0.08</v>
      </c>
      <c r="L48" s="182">
        <v>7.0000000000000007E-2</v>
      </c>
      <c r="M48" s="182">
        <v>0.11</v>
      </c>
      <c r="N48" s="182">
        <v>0.15</v>
      </c>
      <c r="O48" s="182">
        <v>0.21</v>
      </c>
      <c r="P48" s="182">
        <v>0.19</v>
      </c>
      <c r="Q48" s="182">
        <v>0.23</v>
      </c>
      <c r="R48" s="182">
        <v>0.2</v>
      </c>
      <c r="S48" s="182">
        <v>0.19</v>
      </c>
      <c r="T48" s="182">
        <v>0.15</v>
      </c>
      <c r="U48" s="182">
        <v>0.12</v>
      </c>
      <c r="V48" s="182">
        <v>0.14000000000000001</v>
      </c>
      <c r="W48" s="182">
        <v>7.0000000000000007E-2</v>
      </c>
      <c r="X48" s="182">
        <v>7.0000000000000007E-2</v>
      </c>
      <c r="Y48" s="182">
        <v>7.0000000000000007E-2</v>
      </c>
      <c r="Z48" s="182">
        <v>7.0000000000000007E-2</v>
      </c>
      <c r="AA48" s="182">
        <v>0.09</v>
      </c>
      <c r="AB48" s="182">
        <v>0.05</v>
      </c>
      <c r="AC48" s="183">
        <v>0.05</v>
      </c>
    </row>
    <row r="49" spans="1:39" ht="22.5" customHeight="1" thickBot="1">
      <c r="A49" s="513"/>
      <c r="B49" s="498"/>
      <c r="C49" s="536"/>
      <c r="D49" s="539"/>
      <c r="E49" s="210" t="s">
        <v>392</v>
      </c>
      <c r="F49" s="184">
        <v>0.04</v>
      </c>
      <c r="G49" s="184">
        <v>0.04</v>
      </c>
      <c r="H49" s="184">
        <v>0.04</v>
      </c>
      <c r="I49" s="184">
        <v>0.04</v>
      </c>
      <c r="J49" s="184">
        <v>0.04</v>
      </c>
      <c r="K49" s="184">
        <v>7.0000000000000007E-2</v>
      </c>
      <c r="L49" s="184">
        <v>0.04</v>
      </c>
      <c r="M49" s="184">
        <v>0.04</v>
      </c>
      <c r="N49" s="184">
        <v>0.04</v>
      </c>
      <c r="O49" s="184">
        <v>0.04</v>
      </c>
      <c r="P49" s="184">
        <v>0.04</v>
      </c>
      <c r="Q49" s="184">
        <v>0.06</v>
      </c>
      <c r="R49" s="184">
        <v>0.06</v>
      </c>
      <c r="S49" s="184">
        <v>0.09</v>
      </c>
      <c r="T49" s="184">
        <v>0.06</v>
      </c>
      <c r="U49" s="184">
        <v>0.04</v>
      </c>
      <c r="V49" s="184">
        <v>0.04</v>
      </c>
      <c r="W49" s="184">
        <v>0.04</v>
      </c>
      <c r="X49" s="184">
        <v>0.04</v>
      </c>
      <c r="Y49" s="184">
        <v>0.04</v>
      </c>
      <c r="Z49" s="184">
        <v>0.04</v>
      </c>
      <c r="AA49" s="184">
        <v>7.0000000000000007E-2</v>
      </c>
      <c r="AB49" s="184">
        <v>0.04</v>
      </c>
      <c r="AC49" s="185">
        <v>0.04</v>
      </c>
    </row>
    <row r="50" spans="1:39" ht="22.5" customHeight="1">
      <c r="A50" s="512" t="s">
        <v>116</v>
      </c>
      <c r="B50" s="496" t="s">
        <v>116</v>
      </c>
      <c r="C50" s="517" t="s">
        <v>191</v>
      </c>
      <c r="D50" s="537" t="s">
        <v>406</v>
      </c>
      <c r="E50" s="206" t="s">
        <v>390</v>
      </c>
      <c r="F50" s="178">
        <v>1</v>
      </c>
      <c r="G50" s="178">
        <v>1</v>
      </c>
      <c r="H50" s="178">
        <v>1</v>
      </c>
      <c r="I50" s="178">
        <v>1</v>
      </c>
      <c r="J50" s="178">
        <v>1</v>
      </c>
      <c r="K50" s="178">
        <v>0.25</v>
      </c>
      <c r="L50" s="178">
        <v>0.25</v>
      </c>
      <c r="M50" s="178">
        <v>0.25</v>
      </c>
      <c r="N50" s="178">
        <v>0.25</v>
      </c>
      <c r="O50" s="178">
        <v>0.25</v>
      </c>
      <c r="P50" s="178">
        <v>0.25</v>
      </c>
      <c r="Q50" s="178">
        <v>0.25</v>
      </c>
      <c r="R50" s="178">
        <v>0.25</v>
      </c>
      <c r="S50" s="178">
        <v>0.25</v>
      </c>
      <c r="T50" s="178">
        <v>0.25</v>
      </c>
      <c r="U50" s="178">
        <v>0.25</v>
      </c>
      <c r="V50" s="178">
        <v>0.25</v>
      </c>
      <c r="W50" s="178">
        <v>0.25</v>
      </c>
      <c r="X50" s="178">
        <v>0.25</v>
      </c>
      <c r="Y50" s="178">
        <v>0.25</v>
      </c>
      <c r="Z50" s="178">
        <v>0.25</v>
      </c>
      <c r="AA50" s="178">
        <v>0.25</v>
      </c>
      <c r="AB50" s="178">
        <v>0.25</v>
      </c>
      <c r="AC50" s="179">
        <v>0.25</v>
      </c>
    </row>
    <row r="51" spans="1:39" ht="22.5" customHeight="1">
      <c r="A51" s="506"/>
      <c r="B51" s="497"/>
      <c r="C51" s="515"/>
      <c r="D51" s="538"/>
      <c r="E51" s="208" t="s">
        <v>391</v>
      </c>
      <c r="F51" s="164">
        <v>1</v>
      </c>
      <c r="G51" s="164">
        <v>1</v>
      </c>
      <c r="H51" s="164">
        <v>1</v>
      </c>
      <c r="I51" s="164">
        <v>1</v>
      </c>
      <c r="J51" s="164">
        <v>1</v>
      </c>
      <c r="K51" s="166">
        <v>1</v>
      </c>
      <c r="L51" s="166">
        <v>1</v>
      </c>
      <c r="M51" s="166">
        <v>1</v>
      </c>
      <c r="N51" s="166">
        <v>1</v>
      </c>
      <c r="O51" s="166">
        <v>1</v>
      </c>
      <c r="P51" s="166">
        <v>1</v>
      </c>
      <c r="Q51" s="166">
        <v>1</v>
      </c>
      <c r="R51" s="166">
        <v>1</v>
      </c>
      <c r="S51" s="166">
        <v>1</v>
      </c>
      <c r="T51" s="166">
        <v>1</v>
      </c>
      <c r="U51" s="166">
        <v>1</v>
      </c>
      <c r="V51" s="166">
        <v>1</v>
      </c>
      <c r="W51" s="166">
        <v>1</v>
      </c>
      <c r="X51" s="166">
        <v>1</v>
      </c>
      <c r="Y51" s="164">
        <v>1</v>
      </c>
      <c r="Z51" s="164">
        <v>1</v>
      </c>
      <c r="AA51" s="164">
        <v>1</v>
      </c>
      <c r="AB51" s="164">
        <v>1</v>
      </c>
      <c r="AC51" s="167">
        <v>1</v>
      </c>
    </row>
    <row r="52" spans="1:39" ht="22.5" customHeight="1" thickBot="1">
      <c r="A52" s="513"/>
      <c r="B52" s="498"/>
      <c r="C52" s="516"/>
      <c r="D52" s="539"/>
      <c r="E52" s="209" t="s">
        <v>392</v>
      </c>
      <c r="F52" s="168">
        <v>1</v>
      </c>
      <c r="G52" s="168">
        <v>1</v>
      </c>
      <c r="H52" s="168">
        <v>1</v>
      </c>
      <c r="I52" s="168">
        <v>1</v>
      </c>
      <c r="J52" s="168">
        <v>1</v>
      </c>
      <c r="K52" s="168">
        <v>1</v>
      </c>
      <c r="L52" s="168">
        <v>1</v>
      </c>
      <c r="M52" s="168">
        <v>1</v>
      </c>
      <c r="N52" s="168">
        <v>1</v>
      </c>
      <c r="O52" s="168">
        <v>1</v>
      </c>
      <c r="P52" s="168">
        <v>1</v>
      </c>
      <c r="Q52" s="168">
        <v>1</v>
      </c>
      <c r="R52" s="168">
        <v>1</v>
      </c>
      <c r="S52" s="168">
        <v>1</v>
      </c>
      <c r="T52" s="168">
        <v>1</v>
      </c>
      <c r="U52" s="168">
        <v>1</v>
      </c>
      <c r="V52" s="168">
        <v>1</v>
      </c>
      <c r="W52" s="168">
        <v>1</v>
      </c>
      <c r="X52" s="168">
        <v>1</v>
      </c>
      <c r="Y52" s="168">
        <v>1</v>
      </c>
      <c r="Z52" s="168">
        <v>1</v>
      </c>
      <c r="AA52" s="168">
        <v>1</v>
      </c>
      <c r="AB52" s="168">
        <v>1</v>
      </c>
      <c r="AC52" s="169">
        <v>1</v>
      </c>
    </row>
    <row r="53" spans="1:39" ht="22.5" customHeight="1">
      <c r="A53" s="512" t="s">
        <v>116</v>
      </c>
      <c r="B53" s="496" t="s">
        <v>116</v>
      </c>
      <c r="C53" s="499" t="s">
        <v>400</v>
      </c>
      <c r="D53" s="502" t="s">
        <v>407</v>
      </c>
      <c r="E53" s="197" t="s">
        <v>390</v>
      </c>
      <c r="F53" s="186">
        <f>IF((F44=1),Thermostat!$B$3,Thermostat!$B$4)</f>
        <v>60</v>
      </c>
      <c r="G53" s="186">
        <f>IF((G44=1),Thermostat!$B$3,Thermostat!$B$4)</f>
        <v>60</v>
      </c>
      <c r="H53" s="186">
        <f>IF((H44=1),Thermostat!$B$3,Thermostat!$B$4)</f>
        <v>60</v>
      </c>
      <c r="I53" s="186">
        <f>IF((I44=1),Thermostat!$B$3,Thermostat!$B$4)</f>
        <v>60</v>
      </c>
      <c r="J53" s="186">
        <f>IF((J44=1),Thermostat!$B$3,Thermostat!$B$4)</f>
        <v>60</v>
      </c>
      <c r="K53" s="186">
        <f>IF((K44=1),Thermostat!$B$3,Thermostat!$B$4)</f>
        <v>70</v>
      </c>
      <c r="L53" s="186">
        <f>IF((L44=1),Thermostat!$B$3,Thermostat!$B$4)</f>
        <v>70</v>
      </c>
      <c r="M53" s="186">
        <f>IF((M44=1),Thermostat!$B$3,Thermostat!$B$4)</f>
        <v>70</v>
      </c>
      <c r="N53" s="186">
        <f>IF((N44=1),Thermostat!$B$3,Thermostat!$B$4)</f>
        <v>70</v>
      </c>
      <c r="O53" s="186">
        <f>IF((O44=1),Thermostat!$B$3,Thermostat!$B$4)</f>
        <v>70</v>
      </c>
      <c r="P53" s="186">
        <f>IF((P44=1),Thermostat!$B$3,Thermostat!$B$4)</f>
        <v>70</v>
      </c>
      <c r="Q53" s="186">
        <f>IF((Q44=1),Thermostat!$B$3,Thermostat!$B$4)</f>
        <v>70</v>
      </c>
      <c r="R53" s="186">
        <f>IF((R44=1),Thermostat!$B$3,Thermostat!$B$4)</f>
        <v>70</v>
      </c>
      <c r="S53" s="186">
        <f>IF((S44=1),Thermostat!$B$3,Thermostat!$B$4)</f>
        <v>70</v>
      </c>
      <c r="T53" s="186">
        <f>IF((T44=1),Thermostat!$B$3,Thermostat!$B$4)</f>
        <v>70</v>
      </c>
      <c r="U53" s="186">
        <f>IF((U44=1),Thermostat!$B$3,Thermostat!$B$4)</f>
        <v>70</v>
      </c>
      <c r="V53" s="186">
        <f>IF((V44=1),Thermostat!$B$3,Thermostat!$B$4)</f>
        <v>70</v>
      </c>
      <c r="W53" s="186">
        <f>IF((W44=1),Thermostat!$B$3,Thermostat!$B$4)</f>
        <v>70</v>
      </c>
      <c r="X53" s="186">
        <f>IF((X44=1),Thermostat!$B$3,Thermostat!$B$4)</f>
        <v>70</v>
      </c>
      <c r="Y53" s="186">
        <f>IF((Y44=1),Thermostat!$B$3,Thermostat!$B$4)</f>
        <v>70</v>
      </c>
      <c r="Z53" s="186">
        <f>IF((Z44=1),Thermostat!$B$3,Thermostat!$B$4)</f>
        <v>70</v>
      </c>
      <c r="AA53" s="186">
        <f>IF((AA44=1),Thermostat!$B$3,Thermostat!$B$4)</f>
        <v>70</v>
      </c>
      <c r="AB53" s="186">
        <f>IF((AB44=1),Thermostat!$B$3,Thermostat!$B$4)</f>
        <v>70</v>
      </c>
      <c r="AC53" s="187">
        <f>IF((AC44=1),Thermostat!$B$3,Thermostat!$B$4)</f>
        <v>70</v>
      </c>
    </row>
    <row r="54" spans="1:39" ht="22.5" customHeight="1">
      <c r="A54" s="506"/>
      <c r="B54" s="497"/>
      <c r="C54" s="500"/>
      <c r="D54" s="503"/>
      <c r="E54" s="195" t="s">
        <v>391</v>
      </c>
      <c r="F54" s="188">
        <f>IF((F45=1),Thermostat!$B$3,Thermostat!$B$4)</f>
        <v>60</v>
      </c>
      <c r="G54" s="188">
        <f>IF((G45=1),Thermostat!$B$3,Thermostat!$B$4)</f>
        <v>60</v>
      </c>
      <c r="H54" s="188">
        <f>IF((H45=1),Thermostat!$B$3,Thermostat!$B$4)</f>
        <v>60</v>
      </c>
      <c r="I54" s="188">
        <f>IF((I45=1),Thermostat!$B$3,Thermostat!$B$4)</f>
        <v>60</v>
      </c>
      <c r="J54" s="188">
        <f>IF((J45=1),Thermostat!$B$3,Thermostat!$B$4)</f>
        <v>60</v>
      </c>
      <c r="K54" s="188">
        <f>IF((K45=1),Thermostat!$B$3,Thermostat!$B$4)</f>
        <v>60</v>
      </c>
      <c r="L54" s="188">
        <f>IF((L45=1),Thermostat!$B$3,Thermostat!$B$4)</f>
        <v>60</v>
      </c>
      <c r="M54" s="188">
        <f>IF((M45=1),Thermostat!$B$3,Thermostat!$B$4)</f>
        <v>60</v>
      </c>
      <c r="N54" s="188">
        <f>IF((N45=1),Thermostat!$B$3,Thermostat!$B$4)</f>
        <v>60</v>
      </c>
      <c r="O54" s="188">
        <f>IF((O45=1),Thermostat!$B$3,Thermostat!$B$4)</f>
        <v>60</v>
      </c>
      <c r="P54" s="188">
        <f>IF((P45=1),Thermostat!$B$3,Thermostat!$B$4)</f>
        <v>60</v>
      </c>
      <c r="Q54" s="188">
        <f>IF((Q45=1),Thermostat!$B$3,Thermostat!$B$4)</f>
        <v>60</v>
      </c>
      <c r="R54" s="188">
        <f>IF((R45=1),Thermostat!$B$3,Thermostat!$B$4)</f>
        <v>60</v>
      </c>
      <c r="S54" s="188">
        <f>IF((S45=1),Thermostat!$B$3,Thermostat!$B$4)</f>
        <v>60</v>
      </c>
      <c r="T54" s="188">
        <f>IF((T45=1),Thermostat!$B$3,Thermostat!$B$4)</f>
        <v>60</v>
      </c>
      <c r="U54" s="188">
        <f>IF((U45=1),Thermostat!$B$3,Thermostat!$B$4)</f>
        <v>60</v>
      </c>
      <c r="V54" s="188">
        <f>IF((V45=1),Thermostat!$B$3,Thermostat!$B$4)</f>
        <v>60</v>
      </c>
      <c r="W54" s="188">
        <f>IF((W45=1),Thermostat!$B$3,Thermostat!$B$4)</f>
        <v>60</v>
      </c>
      <c r="X54" s="188">
        <f>IF((X45=1),Thermostat!$B$3,Thermostat!$B$4)</f>
        <v>60</v>
      </c>
      <c r="Y54" s="188">
        <f>IF((Y45=1),Thermostat!$B$3,Thermostat!$B$4)</f>
        <v>60</v>
      </c>
      <c r="Z54" s="188">
        <f>IF((Z45=1),Thermostat!$B$3,Thermostat!$B$4)</f>
        <v>60</v>
      </c>
      <c r="AA54" s="188">
        <f>IF((AA45=1),Thermostat!$B$3,Thermostat!$B$4)</f>
        <v>60</v>
      </c>
      <c r="AB54" s="188">
        <f>IF((AB45=1),Thermostat!$B$3,Thermostat!$B$4)</f>
        <v>60</v>
      </c>
      <c r="AC54" s="189">
        <f>IF((AC45=1),Thermostat!$B$3,Thermostat!$B$4)</f>
        <v>60</v>
      </c>
    </row>
    <row r="55" spans="1:39" ht="22.5" customHeight="1" thickBot="1">
      <c r="A55" s="507"/>
      <c r="B55" s="498"/>
      <c r="C55" s="501"/>
      <c r="D55" s="504"/>
      <c r="E55" s="196" t="s">
        <v>392</v>
      </c>
      <c r="F55" s="190">
        <f>IF((F46=1),Thermostat!$B$3,Thermostat!$B$4)</f>
        <v>60</v>
      </c>
      <c r="G55" s="190">
        <f>IF((G46=1),Thermostat!$B$3,Thermostat!$B$4)</f>
        <v>60</v>
      </c>
      <c r="H55" s="190">
        <f>IF((H46=1),Thermostat!$B$3,Thermostat!$B$4)</f>
        <v>60</v>
      </c>
      <c r="I55" s="190">
        <f>IF((I46=1),Thermostat!$B$3,Thermostat!$B$4)</f>
        <v>60</v>
      </c>
      <c r="J55" s="190">
        <f>IF((J46=1),Thermostat!$B$3,Thermostat!$B$4)</f>
        <v>60</v>
      </c>
      <c r="K55" s="190">
        <f>IF((K46=1),Thermostat!$B$3,Thermostat!$B$4)</f>
        <v>60</v>
      </c>
      <c r="L55" s="190">
        <f>IF((L46=1),Thermostat!$B$3,Thermostat!$B$4)</f>
        <v>60</v>
      </c>
      <c r="M55" s="190">
        <f>IF((M46=1),Thermostat!$B$3,Thermostat!$B$4)</f>
        <v>60</v>
      </c>
      <c r="N55" s="190">
        <f>IF((N46=1),Thermostat!$B$3,Thermostat!$B$4)</f>
        <v>60</v>
      </c>
      <c r="O55" s="190">
        <f>IF((O46=1),Thermostat!$B$3,Thermostat!$B$4)</f>
        <v>60</v>
      </c>
      <c r="P55" s="190">
        <f>IF((P46=1),Thermostat!$B$3,Thermostat!$B$4)</f>
        <v>60</v>
      </c>
      <c r="Q55" s="190">
        <f>IF((Q46=1),Thermostat!$B$3,Thermostat!$B$4)</f>
        <v>60</v>
      </c>
      <c r="R55" s="190">
        <f>IF((R46=1),Thermostat!$B$3,Thermostat!$B$4)</f>
        <v>60</v>
      </c>
      <c r="S55" s="190">
        <f>IF((S46=1),Thermostat!$B$3,Thermostat!$B$4)</f>
        <v>60</v>
      </c>
      <c r="T55" s="190">
        <f>IF((T46=1),Thermostat!$B$3,Thermostat!$B$4)</f>
        <v>60</v>
      </c>
      <c r="U55" s="190">
        <f>IF((U46=1),Thermostat!$B$3,Thermostat!$B$4)</f>
        <v>60</v>
      </c>
      <c r="V55" s="190">
        <f>IF((V46=1),Thermostat!$B$3,Thermostat!$B$4)</f>
        <v>60</v>
      </c>
      <c r="W55" s="190">
        <f>IF((W46=1),Thermostat!$B$3,Thermostat!$B$4)</f>
        <v>60</v>
      </c>
      <c r="X55" s="190">
        <f>IF((X46=1),Thermostat!$B$3,Thermostat!$B$4)</f>
        <v>60</v>
      </c>
      <c r="Y55" s="190">
        <f>IF((Y46=1),Thermostat!$B$3,Thermostat!$B$4)</f>
        <v>60</v>
      </c>
      <c r="Z55" s="190">
        <f>IF((Z46=1),Thermostat!$B$3,Thermostat!$B$4)</f>
        <v>60</v>
      </c>
      <c r="AA55" s="190">
        <f>IF((AA46=1),Thermostat!$B$3,Thermostat!$B$4)</f>
        <v>60</v>
      </c>
      <c r="AB55" s="190">
        <f>IF((AB46=1),Thermostat!$B$3,Thermostat!$B$4)</f>
        <v>60</v>
      </c>
      <c r="AC55" s="191">
        <f>IF((AC46=1),Thermostat!$B$3,Thermostat!$B$4)</f>
        <v>60</v>
      </c>
    </row>
    <row r="56" spans="1:39" ht="22.5" customHeight="1">
      <c r="A56" s="505" t="s">
        <v>116</v>
      </c>
      <c r="B56" s="496" t="s">
        <v>116</v>
      </c>
      <c r="C56" s="508" t="s">
        <v>401</v>
      </c>
      <c r="D56" s="509" t="s">
        <v>407</v>
      </c>
      <c r="E56" s="197" t="s">
        <v>390</v>
      </c>
      <c r="F56" s="192">
        <f>IF((F44=1),Thermostat!$B$5,Thermostat!$B$6)</f>
        <v>85</v>
      </c>
      <c r="G56" s="192">
        <f>IF((G44=1),Thermostat!$B$5,Thermostat!$B$6)</f>
        <v>85</v>
      </c>
      <c r="H56" s="192">
        <f>IF((H44=1),Thermostat!$B$5,Thermostat!$B$6)</f>
        <v>85</v>
      </c>
      <c r="I56" s="192">
        <f>IF((I44=1),Thermostat!$B$5,Thermostat!$B$6)</f>
        <v>85</v>
      </c>
      <c r="J56" s="192">
        <f>IF((J44=1),Thermostat!$B$5,Thermostat!$B$6)</f>
        <v>85</v>
      </c>
      <c r="K56" s="192">
        <f>IF((K44=1),Thermostat!$B$5,Thermostat!$B$6)</f>
        <v>75</v>
      </c>
      <c r="L56" s="192">
        <f>IF((L44=1),Thermostat!$B$5,Thermostat!$B$6)</f>
        <v>75</v>
      </c>
      <c r="M56" s="192">
        <f>IF((M44=1),Thermostat!$B$5,Thermostat!$B$6)</f>
        <v>75</v>
      </c>
      <c r="N56" s="192">
        <f>IF((N44=1),Thermostat!$B$5,Thermostat!$B$6)</f>
        <v>75</v>
      </c>
      <c r="O56" s="192">
        <f>IF((O44=1),Thermostat!$B$5,Thermostat!$B$6)</f>
        <v>75</v>
      </c>
      <c r="P56" s="192">
        <f>IF((P44=1),Thermostat!$B$5,Thermostat!$B$6)</f>
        <v>75</v>
      </c>
      <c r="Q56" s="192">
        <f>IF((Q44=1),Thermostat!$B$5,Thermostat!$B$6)</f>
        <v>75</v>
      </c>
      <c r="R56" s="192">
        <f>IF((R44=1),Thermostat!$B$5,Thermostat!$B$6)</f>
        <v>75</v>
      </c>
      <c r="S56" s="192">
        <f>IF((S44=1),Thermostat!$B$5,Thermostat!$B$6)</f>
        <v>75</v>
      </c>
      <c r="T56" s="192">
        <f>IF((T44=1),Thermostat!$B$5,Thermostat!$B$6)</f>
        <v>75</v>
      </c>
      <c r="U56" s="192">
        <f>IF((U44=1),Thermostat!$B$5,Thermostat!$B$6)</f>
        <v>75</v>
      </c>
      <c r="V56" s="192">
        <f>IF((V44=1),Thermostat!$B$5,Thermostat!$B$6)</f>
        <v>75</v>
      </c>
      <c r="W56" s="192">
        <f>IF((W44=1),Thermostat!$B$5,Thermostat!$B$6)</f>
        <v>75</v>
      </c>
      <c r="X56" s="192">
        <f>IF((X44=1),Thermostat!$B$5,Thermostat!$B$6)</f>
        <v>75</v>
      </c>
      <c r="Y56" s="192">
        <f>IF((Y44=1),Thermostat!$B$5,Thermostat!$B$6)</f>
        <v>75</v>
      </c>
      <c r="Z56" s="192">
        <f>IF((Z44=1),Thermostat!$B$5,Thermostat!$B$6)</f>
        <v>75</v>
      </c>
      <c r="AA56" s="192">
        <f>IF((AA44=1),Thermostat!$B$5,Thermostat!$B$6)</f>
        <v>75</v>
      </c>
      <c r="AB56" s="192">
        <f>IF((AB44=1),Thermostat!$B$5,Thermostat!$B$6)</f>
        <v>75</v>
      </c>
      <c r="AC56" s="193">
        <f>IF((AC44=1),Thermostat!$B$5,Thermostat!$B$6)</f>
        <v>75</v>
      </c>
    </row>
    <row r="57" spans="1:39" ht="22.5" customHeight="1">
      <c r="A57" s="506"/>
      <c r="B57" s="497"/>
      <c r="C57" s="500"/>
      <c r="D57" s="503"/>
      <c r="E57" s="195" t="s">
        <v>391</v>
      </c>
      <c r="F57" s="188">
        <f>IF((F45=1),Thermostat!$B$5,Thermostat!$B$6)</f>
        <v>85</v>
      </c>
      <c r="G57" s="188">
        <f>IF((G45=1),Thermostat!$B$5,Thermostat!$B$6)</f>
        <v>85</v>
      </c>
      <c r="H57" s="188">
        <f>IF((H45=1),Thermostat!$B$5,Thermostat!$B$6)</f>
        <v>85</v>
      </c>
      <c r="I57" s="188">
        <f>IF((I45=1),Thermostat!$B$5,Thermostat!$B$6)</f>
        <v>85</v>
      </c>
      <c r="J57" s="188">
        <f>IF((J45=1),Thermostat!$B$5,Thermostat!$B$6)</f>
        <v>85</v>
      </c>
      <c r="K57" s="188">
        <f>IF((K45=1),Thermostat!$B$5,Thermostat!$B$6)</f>
        <v>85</v>
      </c>
      <c r="L57" s="188">
        <f>IF((L45=1),Thermostat!$B$5,Thermostat!$B$6)</f>
        <v>85</v>
      </c>
      <c r="M57" s="188">
        <f>IF((M45=1),Thermostat!$B$5,Thermostat!$B$6)</f>
        <v>85</v>
      </c>
      <c r="N57" s="188">
        <f>IF((N45=1),Thermostat!$B$5,Thermostat!$B$6)</f>
        <v>85</v>
      </c>
      <c r="O57" s="188">
        <f>IF((O45=1),Thermostat!$B$5,Thermostat!$B$6)</f>
        <v>85</v>
      </c>
      <c r="P57" s="188">
        <f>IF((P45=1),Thermostat!$B$5,Thermostat!$B$6)</f>
        <v>85</v>
      </c>
      <c r="Q57" s="188">
        <f>IF((Q45=1),Thermostat!$B$5,Thermostat!$B$6)</f>
        <v>85</v>
      </c>
      <c r="R57" s="188">
        <f>IF((R45=1),Thermostat!$B$5,Thermostat!$B$6)</f>
        <v>85</v>
      </c>
      <c r="S57" s="188">
        <f>IF((S45=1),Thermostat!$B$5,Thermostat!$B$6)</f>
        <v>85</v>
      </c>
      <c r="T57" s="188">
        <f>IF((T45=1),Thermostat!$B$5,Thermostat!$B$6)</f>
        <v>85</v>
      </c>
      <c r="U57" s="188">
        <f>IF((U45=1),Thermostat!$B$5,Thermostat!$B$6)</f>
        <v>85</v>
      </c>
      <c r="V57" s="188">
        <f>IF((V45=1),Thermostat!$B$5,Thermostat!$B$6)</f>
        <v>85</v>
      </c>
      <c r="W57" s="188">
        <f>IF((W45=1),Thermostat!$B$5,Thermostat!$B$6)</f>
        <v>85</v>
      </c>
      <c r="X57" s="188">
        <f>IF((X45=1),Thermostat!$B$5,Thermostat!$B$6)</f>
        <v>85</v>
      </c>
      <c r="Y57" s="188">
        <f>IF((Y45=1),Thermostat!$B$5,Thermostat!$B$6)</f>
        <v>85</v>
      </c>
      <c r="Z57" s="188">
        <f>IF((Z45=1),Thermostat!$B$5,Thermostat!$B$6)</f>
        <v>85</v>
      </c>
      <c r="AA57" s="188">
        <f>IF((AA45=1),Thermostat!$B$5,Thermostat!$B$6)</f>
        <v>85</v>
      </c>
      <c r="AB57" s="188">
        <f>IF((AB45=1),Thermostat!$B$5,Thermostat!$B$6)</f>
        <v>85</v>
      </c>
      <c r="AC57" s="189">
        <f>IF((AC45=1),Thermostat!$B$5,Thermostat!$B$6)</f>
        <v>85</v>
      </c>
    </row>
    <row r="58" spans="1:39" ht="22.2" customHeight="1" thickBot="1">
      <c r="A58" s="507"/>
      <c r="B58" s="498"/>
      <c r="C58" s="501"/>
      <c r="D58" s="504"/>
      <c r="E58" s="196" t="s">
        <v>392</v>
      </c>
      <c r="F58" s="190">
        <f>IF((F46=1),Thermostat!$B$5,Thermostat!$B$6)</f>
        <v>85</v>
      </c>
      <c r="G58" s="190">
        <f>IF((G46=1),Thermostat!$B$5,Thermostat!$B$6)</f>
        <v>85</v>
      </c>
      <c r="H58" s="190">
        <f>IF((H46=1),Thermostat!$B$5,Thermostat!$B$6)</f>
        <v>85</v>
      </c>
      <c r="I58" s="190">
        <f>IF((I46=1),Thermostat!$B$5,Thermostat!$B$6)</f>
        <v>85</v>
      </c>
      <c r="J58" s="190">
        <f>IF((J46=1),Thermostat!$B$5,Thermostat!$B$6)</f>
        <v>85</v>
      </c>
      <c r="K58" s="190">
        <f>IF((K46=1),Thermostat!$B$5,Thermostat!$B$6)</f>
        <v>85</v>
      </c>
      <c r="L58" s="190">
        <f>IF((L46=1),Thermostat!$B$5,Thermostat!$B$6)</f>
        <v>85</v>
      </c>
      <c r="M58" s="190">
        <f>IF((M46=1),Thermostat!$B$5,Thermostat!$B$6)</f>
        <v>85</v>
      </c>
      <c r="N58" s="190">
        <f>IF((N46=1),Thermostat!$B$5,Thermostat!$B$6)</f>
        <v>85</v>
      </c>
      <c r="O58" s="190">
        <f>IF((O46=1),Thermostat!$B$5,Thermostat!$B$6)</f>
        <v>85</v>
      </c>
      <c r="P58" s="190">
        <f>IF((P46=1),Thermostat!$B$5,Thermostat!$B$6)</f>
        <v>85</v>
      </c>
      <c r="Q58" s="190">
        <f>IF((Q46=1),Thermostat!$B$5,Thermostat!$B$6)</f>
        <v>85</v>
      </c>
      <c r="R58" s="190">
        <f>IF((R46=1),Thermostat!$B$5,Thermostat!$B$6)</f>
        <v>85</v>
      </c>
      <c r="S58" s="190">
        <f>IF((S46=1),Thermostat!$B$5,Thermostat!$B$6)</f>
        <v>85</v>
      </c>
      <c r="T58" s="190">
        <f>IF((T46=1),Thermostat!$B$5,Thermostat!$B$6)</f>
        <v>85</v>
      </c>
      <c r="U58" s="190">
        <f>IF((U46=1),Thermostat!$B$5,Thermostat!$B$6)</f>
        <v>85</v>
      </c>
      <c r="V58" s="190">
        <f>IF((V46=1),Thermostat!$B$5,Thermostat!$B$6)</f>
        <v>85</v>
      </c>
      <c r="W58" s="190">
        <f>IF((W46=1),Thermostat!$B$5,Thermostat!$B$6)</f>
        <v>85</v>
      </c>
      <c r="X58" s="190">
        <f>IF((X46=1),Thermostat!$B$5,Thermostat!$B$6)</f>
        <v>85</v>
      </c>
      <c r="Y58" s="190">
        <f>IF((Y46=1),Thermostat!$B$5,Thermostat!$B$6)</f>
        <v>85</v>
      </c>
      <c r="Z58" s="190">
        <f>IF((Z46=1),Thermostat!$B$5,Thermostat!$B$6)</f>
        <v>85</v>
      </c>
      <c r="AA58" s="190">
        <f>IF((AA46=1),Thermostat!$B$5,Thermostat!$B$6)</f>
        <v>85</v>
      </c>
      <c r="AB58" s="190">
        <f>IF((AB46=1),Thermostat!$B$5,Thermostat!$B$6)</f>
        <v>85</v>
      </c>
      <c r="AC58" s="191">
        <f>IF((AC46=1),Thermostat!$B$5,Thermostat!$B$6)</f>
        <v>85</v>
      </c>
    </row>
    <row r="59" spans="1:39" ht="22.2" customHeight="1" thickBot="1">
      <c r="A59" s="510" t="s">
        <v>22</v>
      </c>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c r="AA59" s="510"/>
      <c r="AB59" s="510"/>
      <c r="AC59" s="312"/>
    </row>
    <row r="60" spans="1:39" ht="36" customHeight="1">
      <c r="A60" s="532"/>
      <c r="B60" s="494" t="s">
        <v>77</v>
      </c>
      <c r="C60" s="494" t="s">
        <v>408</v>
      </c>
      <c r="D60" s="540" t="s">
        <v>389</v>
      </c>
      <c r="E60" s="197" t="s">
        <v>390</v>
      </c>
      <c r="F60" s="198">
        <v>0</v>
      </c>
      <c r="G60" s="198">
        <v>0</v>
      </c>
      <c r="H60" s="198">
        <v>0</v>
      </c>
      <c r="I60" s="198">
        <v>0</v>
      </c>
      <c r="J60" s="198">
        <v>0</v>
      </c>
      <c r="K60" s="198">
        <v>0</v>
      </c>
      <c r="L60" s="198">
        <v>0</v>
      </c>
      <c r="M60" s="198">
        <v>0</v>
      </c>
      <c r="N60" s="198">
        <v>0.12</v>
      </c>
      <c r="O60" s="198">
        <v>0.22</v>
      </c>
      <c r="P60" s="198">
        <v>0.64</v>
      </c>
      <c r="Q60" s="198">
        <v>0.74</v>
      </c>
      <c r="R60" s="198">
        <v>0.68</v>
      </c>
      <c r="S60" s="198">
        <v>0.68</v>
      </c>
      <c r="T60" s="198">
        <v>0.71</v>
      </c>
      <c r="U60" s="198">
        <v>0.72</v>
      </c>
      <c r="V60" s="198">
        <v>0.72</v>
      </c>
      <c r="W60" s="198">
        <v>0.73</v>
      </c>
      <c r="X60" s="198">
        <v>0.68</v>
      </c>
      <c r="Y60" s="198">
        <v>0.68</v>
      </c>
      <c r="Z60" s="198">
        <v>0.57999999999999996</v>
      </c>
      <c r="AA60" s="198">
        <v>0.54</v>
      </c>
      <c r="AB60" s="198">
        <v>0</v>
      </c>
      <c r="AC60" s="199">
        <v>0</v>
      </c>
      <c r="AD60" s="43"/>
      <c r="AE60" s="43"/>
      <c r="AF60" s="43"/>
      <c r="AG60" s="43"/>
      <c r="AH60" s="43"/>
      <c r="AI60" s="43"/>
      <c r="AJ60" s="43"/>
      <c r="AK60" s="43"/>
      <c r="AM60" s="54"/>
    </row>
    <row r="61" spans="1:39" ht="36" customHeight="1">
      <c r="A61" s="533"/>
      <c r="B61" s="429"/>
      <c r="C61" s="429"/>
      <c r="D61" s="541"/>
      <c r="E61" s="195" t="s">
        <v>391</v>
      </c>
      <c r="F61" s="137">
        <v>0</v>
      </c>
      <c r="G61" s="137">
        <v>0</v>
      </c>
      <c r="H61" s="137">
        <v>0</v>
      </c>
      <c r="I61" s="137">
        <v>0</v>
      </c>
      <c r="J61" s="137">
        <v>0</v>
      </c>
      <c r="K61" s="137">
        <v>0</v>
      </c>
      <c r="L61" s="137">
        <v>0</v>
      </c>
      <c r="M61" s="137">
        <v>0</v>
      </c>
      <c r="N61" s="137">
        <v>0.09</v>
      </c>
      <c r="O61" s="137">
        <v>0.21</v>
      </c>
      <c r="P61" s="137">
        <v>0.56000000000000005</v>
      </c>
      <c r="Q61" s="137">
        <v>0.66</v>
      </c>
      <c r="R61" s="137">
        <v>0.68</v>
      </c>
      <c r="S61" s="137">
        <v>0.68</v>
      </c>
      <c r="T61" s="137">
        <v>0.69</v>
      </c>
      <c r="U61" s="137">
        <v>0.7</v>
      </c>
      <c r="V61" s="137">
        <v>0.69</v>
      </c>
      <c r="W61" s="137">
        <v>0.66</v>
      </c>
      <c r="X61" s="137">
        <v>0.57999999999999996</v>
      </c>
      <c r="Y61" s="137">
        <v>0.47</v>
      </c>
      <c r="Z61" s="137">
        <v>0.43</v>
      </c>
      <c r="AA61" s="137">
        <v>0.43</v>
      </c>
      <c r="AB61" s="137">
        <v>0.08</v>
      </c>
      <c r="AC61" s="138">
        <v>0</v>
      </c>
      <c r="AD61" s="43"/>
      <c r="AE61" s="43"/>
      <c r="AF61" s="43"/>
      <c r="AG61" s="43"/>
      <c r="AH61" s="43"/>
      <c r="AI61" s="43"/>
      <c r="AJ61" s="43"/>
      <c r="AK61" s="43"/>
      <c r="AM61" s="54"/>
    </row>
    <row r="62" spans="1:39" ht="36" customHeight="1" thickBot="1">
      <c r="A62" s="534"/>
      <c r="B62" s="495"/>
      <c r="C62" s="495"/>
      <c r="D62" s="542"/>
      <c r="E62" s="196" t="s">
        <v>392</v>
      </c>
      <c r="F62" s="139">
        <v>0</v>
      </c>
      <c r="G62" s="139">
        <v>0</v>
      </c>
      <c r="H62" s="139">
        <v>0</v>
      </c>
      <c r="I62" s="139">
        <v>0</v>
      </c>
      <c r="J62" s="139">
        <v>0</v>
      </c>
      <c r="K62" s="139">
        <v>0</v>
      </c>
      <c r="L62" s="139">
        <v>0</v>
      </c>
      <c r="M62" s="139">
        <v>0</v>
      </c>
      <c r="N62" s="139">
        <v>0</v>
      </c>
      <c r="O62" s="139">
        <v>0</v>
      </c>
      <c r="P62" s="139">
        <v>0.11</v>
      </c>
      <c r="Q62" s="139">
        <v>0.13</v>
      </c>
      <c r="R62" s="139">
        <v>0.35</v>
      </c>
      <c r="S62" s="139">
        <v>0.37</v>
      </c>
      <c r="T62" s="139">
        <v>0.37</v>
      </c>
      <c r="U62" s="139">
        <v>0.39</v>
      </c>
      <c r="V62" s="139">
        <v>0.41</v>
      </c>
      <c r="W62" s="139">
        <v>0.38</v>
      </c>
      <c r="X62" s="139">
        <v>0.34</v>
      </c>
      <c r="Y62" s="139">
        <v>0.03</v>
      </c>
      <c r="Z62" s="139">
        <v>0</v>
      </c>
      <c r="AA62" s="139">
        <v>0</v>
      </c>
      <c r="AB62" s="139">
        <v>0</v>
      </c>
      <c r="AC62" s="140">
        <v>0</v>
      </c>
      <c r="AD62" s="43"/>
      <c r="AE62" s="43"/>
      <c r="AF62" s="43"/>
      <c r="AG62" s="43"/>
      <c r="AH62" s="43"/>
      <c r="AI62" s="43"/>
      <c r="AJ62" s="43"/>
      <c r="AK62" s="43"/>
      <c r="AM62" s="54"/>
    </row>
    <row r="63" spans="1:39" ht="22.5" customHeight="1">
      <c r="A63" s="524" t="s">
        <v>409</v>
      </c>
      <c r="B63" s="496" t="s">
        <v>77</v>
      </c>
      <c r="C63" s="550" t="s">
        <v>410</v>
      </c>
      <c r="D63" s="551"/>
      <c r="E63" s="197" t="s">
        <v>390</v>
      </c>
      <c r="F63" s="389">
        <v>1</v>
      </c>
      <c r="G63" s="389">
        <v>1</v>
      </c>
      <c r="H63" s="389">
        <v>1</v>
      </c>
      <c r="I63" s="389">
        <v>1</v>
      </c>
      <c r="J63" s="389">
        <v>1</v>
      </c>
      <c r="K63" s="389">
        <v>1</v>
      </c>
      <c r="L63" s="389">
        <v>1</v>
      </c>
      <c r="M63" s="389">
        <v>1</v>
      </c>
      <c r="N63" s="389">
        <v>1</v>
      </c>
      <c r="O63" s="389">
        <v>1</v>
      </c>
      <c r="P63" s="389">
        <v>1</v>
      </c>
      <c r="Q63" s="389">
        <v>1</v>
      </c>
      <c r="R63" s="389">
        <v>1</v>
      </c>
      <c r="S63" s="389">
        <v>1</v>
      </c>
      <c r="T63" s="389">
        <v>1</v>
      </c>
      <c r="U63" s="389">
        <v>1</v>
      </c>
      <c r="V63" s="389">
        <v>1</v>
      </c>
      <c r="W63" s="389">
        <v>1</v>
      </c>
      <c r="X63" s="389">
        <v>1</v>
      </c>
      <c r="Y63" s="389">
        <v>1</v>
      </c>
      <c r="Z63" s="389">
        <v>1</v>
      </c>
      <c r="AA63" s="389">
        <v>1</v>
      </c>
      <c r="AB63" s="389">
        <v>1</v>
      </c>
      <c r="AC63" s="390">
        <v>1</v>
      </c>
    </row>
    <row r="64" spans="1:39" ht="22.5" customHeight="1">
      <c r="A64" s="525"/>
      <c r="B64" s="497"/>
      <c r="C64" s="522"/>
      <c r="D64" s="552"/>
      <c r="E64" s="195" t="s">
        <v>391</v>
      </c>
      <c r="F64" s="349">
        <v>1</v>
      </c>
      <c r="G64" s="349">
        <v>1</v>
      </c>
      <c r="H64" s="349">
        <v>1</v>
      </c>
      <c r="I64" s="349">
        <v>1</v>
      </c>
      <c r="J64" s="349">
        <v>1</v>
      </c>
      <c r="K64" s="349">
        <v>1</v>
      </c>
      <c r="L64" s="349">
        <v>1</v>
      </c>
      <c r="M64" s="349">
        <v>1</v>
      </c>
      <c r="N64" s="349">
        <v>1</v>
      </c>
      <c r="O64" s="349">
        <v>1</v>
      </c>
      <c r="P64" s="349">
        <v>1</v>
      </c>
      <c r="Q64" s="349">
        <v>1</v>
      </c>
      <c r="R64" s="349">
        <v>1</v>
      </c>
      <c r="S64" s="349">
        <v>1</v>
      </c>
      <c r="T64" s="349">
        <v>1</v>
      </c>
      <c r="U64" s="349">
        <v>1</v>
      </c>
      <c r="V64" s="349">
        <v>1</v>
      </c>
      <c r="W64" s="349">
        <v>1</v>
      </c>
      <c r="X64" s="349">
        <v>1</v>
      </c>
      <c r="Y64" s="349">
        <v>1</v>
      </c>
      <c r="Z64" s="349">
        <v>1</v>
      </c>
      <c r="AA64" s="349">
        <v>1</v>
      </c>
      <c r="AB64" s="349">
        <v>1</v>
      </c>
      <c r="AC64" s="350">
        <v>1</v>
      </c>
    </row>
    <row r="65" spans="1:35" ht="22.5" customHeight="1" thickBot="1">
      <c r="A65" s="526"/>
      <c r="B65" s="498"/>
      <c r="C65" s="528"/>
      <c r="D65" s="553"/>
      <c r="E65" s="196" t="s">
        <v>392</v>
      </c>
      <c r="F65" s="391">
        <v>1</v>
      </c>
      <c r="G65" s="391">
        <v>1</v>
      </c>
      <c r="H65" s="391">
        <v>1</v>
      </c>
      <c r="I65" s="391">
        <v>1</v>
      </c>
      <c r="J65" s="391">
        <v>1</v>
      </c>
      <c r="K65" s="391">
        <v>1</v>
      </c>
      <c r="L65" s="391">
        <v>1</v>
      </c>
      <c r="M65" s="391">
        <v>1</v>
      </c>
      <c r="N65" s="391">
        <v>1</v>
      </c>
      <c r="O65" s="391">
        <v>1</v>
      </c>
      <c r="P65" s="391">
        <v>1</v>
      </c>
      <c r="Q65" s="391">
        <v>1</v>
      </c>
      <c r="R65" s="391">
        <v>1</v>
      </c>
      <c r="S65" s="391">
        <v>1</v>
      </c>
      <c r="T65" s="391">
        <v>1</v>
      </c>
      <c r="U65" s="391">
        <v>1</v>
      </c>
      <c r="V65" s="391">
        <v>1</v>
      </c>
      <c r="W65" s="391">
        <v>1</v>
      </c>
      <c r="X65" s="391">
        <v>1</v>
      </c>
      <c r="Y65" s="391">
        <v>1</v>
      </c>
      <c r="Z65" s="391">
        <v>1</v>
      </c>
      <c r="AA65" s="391">
        <v>1</v>
      </c>
      <c r="AB65" s="391">
        <v>1</v>
      </c>
      <c r="AC65" s="392">
        <v>1</v>
      </c>
      <c r="AI65" s="41" t="s">
        <v>7</v>
      </c>
    </row>
    <row r="66" spans="1:35" ht="22.5" customHeight="1">
      <c r="A66" s="525" t="s">
        <v>409</v>
      </c>
      <c r="B66" s="496" t="s">
        <v>77</v>
      </c>
      <c r="C66" s="522" t="s">
        <v>411</v>
      </c>
      <c r="D66" s="552"/>
      <c r="E66" s="197" t="s">
        <v>390</v>
      </c>
      <c r="F66" s="349">
        <v>0</v>
      </c>
      <c r="G66" s="349">
        <v>0</v>
      </c>
      <c r="H66" s="349">
        <v>0</v>
      </c>
      <c r="I66" s="349">
        <v>0</v>
      </c>
      <c r="J66" s="349">
        <v>0</v>
      </c>
      <c r="K66" s="349">
        <v>1</v>
      </c>
      <c r="L66" s="349">
        <v>1</v>
      </c>
      <c r="M66" s="349">
        <v>1</v>
      </c>
      <c r="N66" s="349">
        <v>1</v>
      </c>
      <c r="O66" s="349">
        <v>1</v>
      </c>
      <c r="P66" s="349">
        <v>1</v>
      </c>
      <c r="Q66" s="349">
        <v>1</v>
      </c>
      <c r="R66" s="349">
        <v>1</v>
      </c>
      <c r="S66" s="349">
        <v>1</v>
      </c>
      <c r="T66" s="349">
        <v>1</v>
      </c>
      <c r="U66" s="349">
        <v>1</v>
      </c>
      <c r="V66" s="349">
        <v>1</v>
      </c>
      <c r="W66" s="349">
        <v>1</v>
      </c>
      <c r="X66" s="349">
        <v>1</v>
      </c>
      <c r="Y66" s="349">
        <v>1</v>
      </c>
      <c r="Z66" s="349">
        <v>1</v>
      </c>
      <c r="AA66" s="349">
        <v>0</v>
      </c>
      <c r="AB66" s="349">
        <v>0</v>
      </c>
      <c r="AC66" s="350">
        <v>0</v>
      </c>
    </row>
    <row r="67" spans="1:35" ht="22.5" customHeight="1">
      <c r="A67" s="525"/>
      <c r="B67" s="497"/>
      <c r="C67" s="522"/>
      <c r="D67" s="552"/>
      <c r="E67" s="195" t="s">
        <v>391</v>
      </c>
      <c r="F67" s="349">
        <v>0</v>
      </c>
      <c r="G67" s="349">
        <v>0</v>
      </c>
      <c r="H67" s="349">
        <v>0</v>
      </c>
      <c r="I67" s="349">
        <v>0</v>
      </c>
      <c r="J67" s="349">
        <v>0</v>
      </c>
      <c r="K67" s="349">
        <v>1</v>
      </c>
      <c r="L67" s="349">
        <v>1</v>
      </c>
      <c r="M67" s="349">
        <v>1</v>
      </c>
      <c r="N67" s="349">
        <v>1</v>
      </c>
      <c r="O67" s="349">
        <v>1</v>
      </c>
      <c r="P67" s="349">
        <v>1</v>
      </c>
      <c r="Q67" s="349">
        <v>1</v>
      </c>
      <c r="R67" s="349">
        <v>1</v>
      </c>
      <c r="S67" s="349">
        <v>1</v>
      </c>
      <c r="T67" s="349">
        <v>1</v>
      </c>
      <c r="U67" s="349">
        <v>1</v>
      </c>
      <c r="V67" s="349">
        <v>1</v>
      </c>
      <c r="W67" s="349">
        <v>1</v>
      </c>
      <c r="X67" s="349">
        <v>1</v>
      </c>
      <c r="Y67" s="349">
        <v>1</v>
      </c>
      <c r="Z67" s="349">
        <v>1</v>
      </c>
      <c r="AA67" s="349">
        <v>0</v>
      </c>
      <c r="AB67" s="349">
        <v>0</v>
      </c>
      <c r="AC67" s="350">
        <v>0</v>
      </c>
    </row>
    <row r="68" spans="1:35" ht="22.5" customHeight="1" thickBot="1">
      <c r="A68" s="527"/>
      <c r="B68" s="530"/>
      <c r="C68" s="554"/>
      <c r="D68" s="555"/>
      <c r="E68" s="196" t="s">
        <v>392</v>
      </c>
      <c r="F68" s="351">
        <v>0</v>
      </c>
      <c r="G68" s="351">
        <v>0</v>
      </c>
      <c r="H68" s="351">
        <v>0</v>
      </c>
      <c r="I68" s="351">
        <v>0</v>
      </c>
      <c r="J68" s="351">
        <v>0</v>
      </c>
      <c r="K68" s="351">
        <v>1</v>
      </c>
      <c r="L68" s="351">
        <v>1</v>
      </c>
      <c r="M68" s="351">
        <v>1</v>
      </c>
      <c r="N68" s="351">
        <v>1</v>
      </c>
      <c r="O68" s="351">
        <v>1</v>
      </c>
      <c r="P68" s="351">
        <v>1</v>
      </c>
      <c r="Q68" s="351">
        <v>1</v>
      </c>
      <c r="R68" s="351">
        <v>1</v>
      </c>
      <c r="S68" s="351">
        <v>1</v>
      </c>
      <c r="T68" s="351">
        <v>1</v>
      </c>
      <c r="U68" s="351">
        <v>1</v>
      </c>
      <c r="V68" s="351">
        <v>1</v>
      </c>
      <c r="W68" s="351">
        <v>1</v>
      </c>
      <c r="X68" s="351">
        <v>1</v>
      </c>
      <c r="Y68" s="351">
        <v>1</v>
      </c>
      <c r="Z68" s="351">
        <v>1</v>
      </c>
      <c r="AA68" s="351">
        <v>0</v>
      </c>
      <c r="AB68" s="351">
        <v>0</v>
      </c>
      <c r="AC68" s="352">
        <v>0</v>
      </c>
    </row>
    <row r="69" spans="1:35" ht="24" customHeight="1">
      <c r="A69" s="522" t="s">
        <v>412</v>
      </c>
      <c r="B69" s="496" t="s">
        <v>77</v>
      </c>
      <c r="C69" s="522" t="s">
        <v>413</v>
      </c>
      <c r="D69" s="522" t="s">
        <v>414</v>
      </c>
      <c r="E69" s="197" t="s">
        <v>390</v>
      </c>
      <c r="F69" s="393">
        <v>147</v>
      </c>
      <c r="G69" s="393">
        <v>147</v>
      </c>
      <c r="H69" s="393">
        <v>147</v>
      </c>
      <c r="I69" s="393">
        <v>147</v>
      </c>
      <c r="J69" s="393">
        <v>147</v>
      </c>
      <c r="K69" s="393">
        <v>147</v>
      </c>
      <c r="L69" s="393">
        <v>147</v>
      </c>
      <c r="M69" s="393">
        <v>147</v>
      </c>
      <c r="N69" s="393">
        <v>147</v>
      </c>
      <c r="O69" s="393">
        <v>147</v>
      </c>
      <c r="P69" s="393">
        <v>147</v>
      </c>
      <c r="Q69" s="393">
        <v>147</v>
      </c>
      <c r="R69" s="393">
        <v>147</v>
      </c>
      <c r="S69" s="393">
        <v>147</v>
      </c>
      <c r="T69" s="393">
        <v>147</v>
      </c>
      <c r="U69" s="393">
        <v>147</v>
      </c>
      <c r="V69" s="393">
        <v>147</v>
      </c>
      <c r="W69" s="393">
        <v>147</v>
      </c>
      <c r="X69" s="393">
        <v>147</v>
      </c>
      <c r="Y69" s="393">
        <v>147</v>
      </c>
      <c r="Z69" s="393">
        <v>147</v>
      </c>
      <c r="AA69" s="393">
        <v>147</v>
      </c>
      <c r="AB69" s="393">
        <v>147</v>
      </c>
      <c r="AC69" s="394">
        <v>147</v>
      </c>
    </row>
    <row r="70" spans="1:35" ht="24" customHeight="1">
      <c r="A70" s="522"/>
      <c r="B70" s="497"/>
      <c r="C70" s="522"/>
      <c r="D70" s="522"/>
      <c r="E70" s="195" t="s">
        <v>391</v>
      </c>
      <c r="F70" s="349">
        <v>147</v>
      </c>
      <c r="G70" s="349">
        <v>147</v>
      </c>
      <c r="H70" s="349">
        <v>147</v>
      </c>
      <c r="I70" s="349">
        <v>147</v>
      </c>
      <c r="J70" s="349">
        <v>147</v>
      </c>
      <c r="K70" s="349">
        <v>147</v>
      </c>
      <c r="L70" s="349">
        <v>147</v>
      </c>
      <c r="M70" s="349">
        <v>147</v>
      </c>
      <c r="N70" s="349">
        <v>147</v>
      </c>
      <c r="O70" s="349">
        <v>147</v>
      </c>
      <c r="P70" s="349">
        <v>147</v>
      </c>
      <c r="Q70" s="349">
        <v>147</v>
      </c>
      <c r="R70" s="349">
        <v>147</v>
      </c>
      <c r="S70" s="349">
        <v>147</v>
      </c>
      <c r="T70" s="349">
        <v>147</v>
      </c>
      <c r="U70" s="349">
        <v>147</v>
      </c>
      <c r="V70" s="349">
        <v>147</v>
      </c>
      <c r="W70" s="349">
        <v>147</v>
      </c>
      <c r="X70" s="349">
        <v>147</v>
      </c>
      <c r="Y70" s="349">
        <v>147</v>
      </c>
      <c r="Z70" s="349">
        <v>147</v>
      </c>
      <c r="AA70" s="349">
        <v>147</v>
      </c>
      <c r="AB70" s="349">
        <v>147</v>
      </c>
      <c r="AC70" s="395">
        <v>147</v>
      </c>
    </row>
    <row r="71" spans="1:35" ht="24" customHeight="1" thickBot="1">
      <c r="A71" s="528"/>
      <c r="B71" s="530"/>
      <c r="C71" s="528"/>
      <c r="D71" s="528"/>
      <c r="E71" s="196" t="s">
        <v>392</v>
      </c>
      <c r="F71" s="396">
        <v>147</v>
      </c>
      <c r="G71" s="396">
        <v>147</v>
      </c>
      <c r="H71" s="396">
        <v>147</v>
      </c>
      <c r="I71" s="396">
        <v>147</v>
      </c>
      <c r="J71" s="396">
        <v>147</v>
      </c>
      <c r="K71" s="396">
        <v>147</v>
      </c>
      <c r="L71" s="396">
        <v>147</v>
      </c>
      <c r="M71" s="396">
        <v>147</v>
      </c>
      <c r="N71" s="396">
        <v>147</v>
      </c>
      <c r="O71" s="396">
        <v>147</v>
      </c>
      <c r="P71" s="396">
        <v>147</v>
      </c>
      <c r="Q71" s="396">
        <v>147</v>
      </c>
      <c r="R71" s="396">
        <v>147</v>
      </c>
      <c r="S71" s="396">
        <v>147</v>
      </c>
      <c r="T71" s="396">
        <v>147</v>
      </c>
      <c r="U71" s="396">
        <v>147</v>
      </c>
      <c r="V71" s="396">
        <v>147</v>
      </c>
      <c r="W71" s="396">
        <v>147</v>
      </c>
      <c r="X71" s="396">
        <v>147</v>
      </c>
      <c r="Y71" s="396">
        <v>147</v>
      </c>
      <c r="Z71" s="396">
        <v>147</v>
      </c>
      <c r="AA71" s="396">
        <v>147</v>
      </c>
      <c r="AB71" s="396">
        <v>147</v>
      </c>
      <c r="AC71" s="397">
        <v>147</v>
      </c>
    </row>
    <row r="72" spans="1:35" ht="22.5" customHeight="1">
      <c r="A72" s="529" t="s">
        <v>124</v>
      </c>
      <c r="B72" s="496" t="s">
        <v>77</v>
      </c>
      <c r="C72" s="529" t="s">
        <v>415</v>
      </c>
      <c r="D72" s="529" t="s">
        <v>414</v>
      </c>
      <c r="E72" s="197" t="s">
        <v>390</v>
      </c>
      <c r="F72" s="393">
        <v>213.9</v>
      </c>
      <c r="G72" s="393">
        <v>213.9</v>
      </c>
      <c r="H72" s="393">
        <v>213.9</v>
      </c>
      <c r="I72" s="393">
        <v>213.9</v>
      </c>
      <c r="J72" s="393">
        <v>213.9</v>
      </c>
      <c r="K72" s="393">
        <v>213.9</v>
      </c>
      <c r="L72" s="393">
        <v>213.9</v>
      </c>
      <c r="M72" s="393">
        <v>213.9</v>
      </c>
      <c r="N72" s="393">
        <v>213.9</v>
      </c>
      <c r="O72" s="393">
        <v>213.9</v>
      </c>
      <c r="P72" s="393">
        <v>213.9</v>
      </c>
      <c r="Q72" s="393">
        <v>213.9</v>
      </c>
      <c r="R72" s="393">
        <v>213.9</v>
      </c>
      <c r="S72" s="393">
        <v>213.9</v>
      </c>
      <c r="T72" s="393">
        <v>213.9</v>
      </c>
      <c r="U72" s="393">
        <v>213.9</v>
      </c>
      <c r="V72" s="393">
        <v>213.9</v>
      </c>
      <c r="W72" s="393">
        <v>213.9</v>
      </c>
      <c r="X72" s="393">
        <v>213.9</v>
      </c>
      <c r="Y72" s="393">
        <v>213.9</v>
      </c>
      <c r="Z72" s="393">
        <v>213.9</v>
      </c>
      <c r="AA72" s="393">
        <v>213.9</v>
      </c>
      <c r="AB72" s="393">
        <v>213.9</v>
      </c>
      <c r="AC72" s="394">
        <v>213.9</v>
      </c>
    </row>
    <row r="73" spans="1:35" ht="22.5" customHeight="1">
      <c r="A73" s="522"/>
      <c r="B73" s="497"/>
      <c r="C73" s="522"/>
      <c r="D73" s="522"/>
      <c r="E73" s="195" t="s">
        <v>391</v>
      </c>
      <c r="F73" s="349">
        <v>213.9</v>
      </c>
      <c r="G73" s="349">
        <v>213.9</v>
      </c>
      <c r="H73" s="349">
        <v>213.9</v>
      </c>
      <c r="I73" s="349">
        <v>213.9</v>
      </c>
      <c r="J73" s="349">
        <v>213.9</v>
      </c>
      <c r="K73" s="349">
        <v>213.9</v>
      </c>
      <c r="L73" s="349">
        <v>213.9</v>
      </c>
      <c r="M73" s="349">
        <v>213.9</v>
      </c>
      <c r="N73" s="349">
        <v>213.9</v>
      </c>
      <c r="O73" s="349">
        <v>213.9</v>
      </c>
      <c r="P73" s="349">
        <v>213.9</v>
      </c>
      <c r="Q73" s="349">
        <v>213.9</v>
      </c>
      <c r="R73" s="349">
        <v>213.9</v>
      </c>
      <c r="S73" s="349">
        <v>213.9</v>
      </c>
      <c r="T73" s="349">
        <v>213.9</v>
      </c>
      <c r="U73" s="349">
        <v>213.9</v>
      </c>
      <c r="V73" s="349">
        <v>213.9</v>
      </c>
      <c r="W73" s="349">
        <v>213.9</v>
      </c>
      <c r="X73" s="349">
        <v>213.9</v>
      </c>
      <c r="Y73" s="349">
        <v>213.9</v>
      </c>
      <c r="Z73" s="349">
        <v>213.9</v>
      </c>
      <c r="AA73" s="349">
        <v>213.9</v>
      </c>
      <c r="AB73" s="349">
        <v>213.9</v>
      </c>
      <c r="AC73" s="395">
        <v>213.9</v>
      </c>
    </row>
    <row r="74" spans="1:35" ht="22.5" customHeight="1" thickBot="1">
      <c r="A74" s="528"/>
      <c r="B74" s="530"/>
      <c r="C74" s="528"/>
      <c r="D74" s="528"/>
      <c r="E74" s="196" t="s">
        <v>392</v>
      </c>
      <c r="F74" s="396">
        <v>213.9</v>
      </c>
      <c r="G74" s="396">
        <v>213.9</v>
      </c>
      <c r="H74" s="396">
        <v>213.9</v>
      </c>
      <c r="I74" s="396">
        <v>213.9</v>
      </c>
      <c r="J74" s="396">
        <v>213.9</v>
      </c>
      <c r="K74" s="396">
        <v>213.9</v>
      </c>
      <c r="L74" s="396">
        <v>213.9</v>
      </c>
      <c r="M74" s="396">
        <v>213.9</v>
      </c>
      <c r="N74" s="396">
        <v>213.9</v>
      </c>
      <c r="O74" s="396">
        <v>213.9</v>
      </c>
      <c r="P74" s="396">
        <v>213.9</v>
      </c>
      <c r="Q74" s="396">
        <v>213.9</v>
      </c>
      <c r="R74" s="396">
        <v>213.9</v>
      </c>
      <c r="S74" s="396">
        <v>213.9</v>
      </c>
      <c r="T74" s="396">
        <v>213.9</v>
      </c>
      <c r="U74" s="396">
        <v>213.9</v>
      </c>
      <c r="V74" s="396">
        <v>213.9</v>
      </c>
      <c r="W74" s="396">
        <v>213.9</v>
      </c>
      <c r="X74" s="396">
        <v>213.9</v>
      </c>
      <c r="Y74" s="396">
        <v>213.9</v>
      </c>
      <c r="Z74" s="396">
        <v>213.9</v>
      </c>
      <c r="AA74" s="396">
        <v>213.9</v>
      </c>
      <c r="AB74" s="396">
        <v>213.9</v>
      </c>
      <c r="AC74" s="397">
        <v>213.9</v>
      </c>
    </row>
    <row r="75" spans="1:35" ht="22.5" customHeight="1">
      <c r="A75" s="521" t="s">
        <v>416</v>
      </c>
      <c r="B75" s="496" t="s">
        <v>77</v>
      </c>
      <c r="C75" s="521" t="s">
        <v>417</v>
      </c>
      <c r="D75" s="522" t="s">
        <v>414</v>
      </c>
      <c r="E75" s="197" t="s">
        <v>390</v>
      </c>
      <c r="F75" s="393">
        <v>331.2</v>
      </c>
      <c r="G75" s="393">
        <v>331.2</v>
      </c>
      <c r="H75" s="393">
        <v>331.2</v>
      </c>
      <c r="I75" s="393">
        <v>331.2</v>
      </c>
      <c r="J75" s="393">
        <v>331.2</v>
      </c>
      <c r="K75" s="393">
        <v>331.2</v>
      </c>
      <c r="L75" s="393">
        <v>331.2</v>
      </c>
      <c r="M75" s="393">
        <v>331.2</v>
      </c>
      <c r="N75" s="393">
        <v>331.2</v>
      </c>
      <c r="O75" s="393">
        <v>331.2</v>
      </c>
      <c r="P75" s="393">
        <v>331.2</v>
      </c>
      <c r="Q75" s="393">
        <v>331.2</v>
      </c>
      <c r="R75" s="393">
        <v>331.2</v>
      </c>
      <c r="S75" s="393">
        <v>331.2</v>
      </c>
      <c r="T75" s="393">
        <v>331.2</v>
      </c>
      <c r="U75" s="393">
        <v>331.2</v>
      </c>
      <c r="V75" s="393">
        <v>331.2</v>
      </c>
      <c r="W75" s="393">
        <v>331.2</v>
      </c>
      <c r="X75" s="393">
        <v>331.2</v>
      </c>
      <c r="Y75" s="393">
        <v>331.2</v>
      </c>
      <c r="Z75" s="393">
        <v>331.2</v>
      </c>
      <c r="AA75" s="393">
        <v>331.2</v>
      </c>
      <c r="AB75" s="393">
        <v>331.2</v>
      </c>
      <c r="AC75" s="394">
        <v>331.2</v>
      </c>
    </row>
    <row r="76" spans="1:35" ht="22.5" customHeight="1">
      <c r="A76" s="522"/>
      <c r="B76" s="497"/>
      <c r="C76" s="522"/>
      <c r="D76" s="522"/>
      <c r="E76" s="195" t="s">
        <v>391</v>
      </c>
      <c r="F76" s="349">
        <v>331.2</v>
      </c>
      <c r="G76" s="349">
        <v>331.2</v>
      </c>
      <c r="H76" s="349">
        <v>331.2</v>
      </c>
      <c r="I76" s="349">
        <v>331.2</v>
      </c>
      <c r="J76" s="349">
        <v>331.2</v>
      </c>
      <c r="K76" s="349">
        <v>331.2</v>
      </c>
      <c r="L76" s="349">
        <v>331.2</v>
      </c>
      <c r="M76" s="349">
        <v>331.2</v>
      </c>
      <c r="N76" s="349">
        <v>331.2</v>
      </c>
      <c r="O76" s="349">
        <v>331.2</v>
      </c>
      <c r="P76" s="349">
        <v>331.2</v>
      </c>
      <c r="Q76" s="349">
        <v>331.2</v>
      </c>
      <c r="R76" s="349">
        <v>331.2</v>
      </c>
      <c r="S76" s="349">
        <v>331.2</v>
      </c>
      <c r="T76" s="349">
        <v>331.2</v>
      </c>
      <c r="U76" s="349">
        <v>331.2</v>
      </c>
      <c r="V76" s="349">
        <v>331.2</v>
      </c>
      <c r="W76" s="349">
        <v>331.2</v>
      </c>
      <c r="X76" s="349">
        <v>331.2</v>
      </c>
      <c r="Y76" s="349">
        <v>331.2</v>
      </c>
      <c r="Z76" s="349">
        <v>331.2</v>
      </c>
      <c r="AA76" s="349">
        <v>331.2</v>
      </c>
      <c r="AB76" s="349">
        <v>331.2</v>
      </c>
      <c r="AC76" s="395">
        <v>331.2</v>
      </c>
    </row>
    <row r="77" spans="1:35" ht="22.5" customHeight="1" thickBot="1">
      <c r="A77" s="528"/>
      <c r="B77" s="530"/>
      <c r="C77" s="528"/>
      <c r="D77" s="528"/>
      <c r="E77" s="196" t="s">
        <v>392</v>
      </c>
      <c r="F77" s="396">
        <v>331.2</v>
      </c>
      <c r="G77" s="396">
        <v>331.2</v>
      </c>
      <c r="H77" s="396">
        <v>331.2</v>
      </c>
      <c r="I77" s="396">
        <v>331.2</v>
      </c>
      <c r="J77" s="396">
        <v>331.2</v>
      </c>
      <c r="K77" s="396">
        <v>331.2</v>
      </c>
      <c r="L77" s="396">
        <v>331.2</v>
      </c>
      <c r="M77" s="396">
        <v>331.2</v>
      </c>
      <c r="N77" s="396">
        <v>331.2</v>
      </c>
      <c r="O77" s="396">
        <v>331.2</v>
      </c>
      <c r="P77" s="396">
        <v>331.2</v>
      </c>
      <c r="Q77" s="396">
        <v>331.2</v>
      </c>
      <c r="R77" s="396">
        <v>331.2</v>
      </c>
      <c r="S77" s="396">
        <v>331.2</v>
      </c>
      <c r="T77" s="396">
        <v>331.2</v>
      </c>
      <c r="U77" s="396">
        <v>331.2</v>
      </c>
      <c r="V77" s="396">
        <v>331.2</v>
      </c>
      <c r="W77" s="396">
        <v>331.2</v>
      </c>
      <c r="X77" s="396">
        <v>331.2</v>
      </c>
      <c r="Y77" s="396">
        <v>331.2</v>
      </c>
      <c r="Z77" s="396">
        <v>331.2</v>
      </c>
      <c r="AA77" s="396">
        <v>331.2</v>
      </c>
      <c r="AB77" s="396">
        <v>331.2</v>
      </c>
      <c r="AC77" s="397">
        <v>331.2</v>
      </c>
    </row>
    <row r="78" spans="1:35" ht="22.5" customHeight="1">
      <c r="A78" s="521" t="s">
        <v>418</v>
      </c>
      <c r="B78" s="496" t="s">
        <v>77</v>
      </c>
      <c r="C78" s="521" t="s">
        <v>419</v>
      </c>
      <c r="D78" s="522" t="s">
        <v>414</v>
      </c>
      <c r="E78" s="197" t="s">
        <v>390</v>
      </c>
      <c r="F78" s="393">
        <v>131.9</v>
      </c>
      <c r="G78" s="393">
        <v>131.9</v>
      </c>
      <c r="H78" s="393">
        <v>131.9</v>
      </c>
      <c r="I78" s="393">
        <v>131.9</v>
      </c>
      <c r="J78" s="393">
        <v>131.9</v>
      </c>
      <c r="K78" s="393">
        <v>131.9</v>
      </c>
      <c r="L78" s="393">
        <v>131.9</v>
      </c>
      <c r="M78" s="393">
        <v>131.9</v>
      </c>
      <c r="N78" s="393">
        <v>131.9</v>
      </c>
      <c r="O78" s="393">
        <v>131.9</v>
      </c>
      <c r="P78" s="393">
        <v>131.9</v>
      </c>
      <c r="Q78" s="393">
        <v>131.9</v>
      </c>
      <c r="R78" s="393">
        <v>131.9</v>
      </c>
      <c r="S78" s="393">
        <v>131.9</v>
      </c>
      <c r="T78" s="393">
        <v>131.9</v>
      </c>
      <c r="U78" s="393">
        <v>131.9</v>
      </c>
      <c r="V78" s="393">
        <v>131.9</v>
      </c>
      <c r="W78" s="393">
        <v>131.9</v>
      </c>
      <c r="X78" s="393">
        <v>131.9</v>
      </c>
      <c r="Y78" s="393">
        <v>131.9</v>
      </c>
      <c r="Z78" s="393">
        <v>131.9</v>
      </c>
      <c r="AA78" s="393">
        <v>131.9</v>
      </c>
      <c r="AB78" s="393">
        <v>131.9</v>
      </c>
      <c r="AC78" s="394">
        <v>131.9</v>
      </c>
    </row>
    <row r="79" spans="1:35" ht="22.5" customHeight="1">
      <c r="A79" s="522"/>
      <c r="B79" s="497"/>
      <c r="C79" s="522"/>
      <c r="D79" s="522"/>
      <c r="E79" s="195" t="s">
        <v>391</v>
      </c>
      <c r="F79" s="349">
        <v>131.9</v>
      </c>
      <c r="G79" s="349">
        <v>131.9</v>
      </c>
      <c r="H79" s="349">
        <v>131.9</v>
      </c>
      <c r="I79" s="349">
        <v>131.9</v>
      </c>
      <c r="J79" s="349">
        <v>131.9</v>
      </c>
      <c r="K79" s="349">
        <v>131.9</v>
      </c>
      <c r="L79" s="349">
        <v>131.9</v>
      </c>
      <c r="M79" s="349">
        <v>131.9</v>
      </c>
      <c r="N79" s="349">
        <v>131.9</v>
      </c>
      <c r="O79" s="349">
        <v>131.9</v>
      </c>
      <c r="P79" s="349">
        <v>131.9</v>
      </c>
      <c r="Q79" s="349">
        <v>131.9</v>
      </c>
      <c r="R79" s="349">
        <v>131.9</v>
      </c>
      <c r="S79" s="349">
        <v>131.9</v>
      </c>
      <c r="T79" s="349">
        <v>131.9</v>
      </c>
      <c r="U79" s="349">
        <v>131.9</v>
      </c>
      <c r="V79" s="349">
        <v>131.9</v>
      </c>
      <c r="W79" s="349">
        <v>131.9</v>
      </c>
      <c r="X79" s="349">
        <v>131.9</v>
      </c>
      <c r="Y79" s="349">
        <v>131.9</v>
      </c>
      <c r="Z79" s="349">
        <v>131.9</v>
      </c>
      <c r="AA79" s="349">
        <v>131.9</v>
      </c>
      <c r="AB79" s="349">
        <v>131.9</v>
      </c>
      <c r="AC79" s="395">
        <v>131.9</v>
      </c>
    </row>
    <row r="80" spans="1:35" ht="22.5" customHeight="1" thickBot="1">
      <c r="A80" s="528"/>
      <c r="B80" s="530"/>
      <c r="C80" s="528"/>
      <c r="D80" s="528"/>
      <c r="E80" s="196" t="s">
        <v>392</v>
      </c>
      <c r="F80" s="396">
        <v>131.9</v>
      </c>
      <c r="G80" s="396">
        <v>131.9</v>
      </c>
      <c r="H80" s="396">
        <v>131.9</v>
      </c>
      <c r="I80" s="396">
        <v>131.9</v>
      </c>
      <c r="J80" s="396">
        <v>131.9</v>
      </c>
      <c r="K80" s="396">
        <v>131.9</v>
      </c>
      <c r="L80" s="396">
        <v>131.9</v>
      </c>
      <c r="M80" s="396">
        <v>131.9</v>
      </c>
      <c r="N80" s="396">
        <v>131.9</v>
      </c>
      <c r="O80" s="396">
        <v>131.9</v>
      </c>
      <c r="P80" s="396">
        <v>131.9</v>
      </c>
      <c r="Q80" s="396">
        <v>131.9</v>
      </c>
      <c r="R80" s="396">
        <v>131.9</v>
      </c>
      <c r="S80" s="396">
        <v>131.9</v>
      </c>
      <c r="T80" s="396">
        <v>131.9</v>
      </c>
      <c r="U80" s="396">
        <v>131.9</v>
      </c>
      <c r="V80" s="396">
        <v>131.9</v>
      </c>
      <c r="W80" s="396">
        <v>131.9</v>
      </c>
      <c r="X80" s="396">
        <v>131.9</v>
      </c>
      <c r="Y80" s="396">
        <v>131.9</v>
      </c>
      <c r="Z80" s="396">
        <v>131.9</v>
      </c>
      <c r="AA80" s="396">
        <v>131.9</v>
      </c>
      <c r="AB80" s="396">
        <v>131.9</v>
      </c>
      <c r="AC80" s="397">
        <v>131.9</v>
      </c>
    </row>
    <row r="81" spans="1:29" ht="22.5" customHeight="1">
      <c r="A81" s="521" t="s">
        <v>420</v>
      </c>
      <c r="B81" s="496" t="s">
        <v>77</v>
      </c>
      <c r="C81" s="521" t="s">
        <v>421</v>
      </c>
      <c r="D81" s="522" t="s">
        <v>414</v>
      </c>
      <c r="E81" s="197" t="s">
        <v>390</v>
      </c>
      <c r="F81" s="393">
        <v>117.2</v>
      </c>
      <c r="G81" s="393">
        <v>117.2</v>
      </c>
      <c r="H81" s="393">
        <v>117.2</v>
      </c>
      <c r="I81" s="393">
        <v>117.2</v>
      </c>
      <c r="J81" s="393">
        <v>117.2</v>
      </c>
      <c r="K81" s="393">
        <v>117.2</v>
      </c>
      <c r="L81" s="393">
        <v>117.2</v>
      </c>
      <c r="M81" s="393">
        <v>117.2</v>
      </c>
      <c r="N81" s="393">
        <v>117.2</v>
      </c>
      <c r="O81" s="393">
        <v>117.2</v>
      </c>
      <c r="P81" s="393">
        <v>117.2</v>
      </c>
      <c r="Q81" s="393">
        <v>117.2</v>
      </c>
      <c r="R81" s="393">
        <v>117.2</v>
      </c>
      <c r="S81" s="393">
        <v>117.2</v>
      </c>
      <c r="T81" s="393">
        <v>117.2</v>
      </c>
      <c r="U81" s="393">
        <v>117.2</v>
      </c>
      <c r="V81" s="393">
        <v>117.2</v>
      </c>
      <c r="W81" s="393">
        <v>117.2</v>
      </c>
      <c r="X81" s="393">
        <v>117.2</v>
      </c>
      <c r="Y81" s="393">
        <v>117.2</v>
      </c>
      <c r="Z81" s="393">
        <v>117.2</v>
      </c>
      <c r="AA81" s="393">
        <v>117.2</v>
      </c>
      <c r="AB81" s="393">
        <v>117.2</v>
      </c>
      <c r="AC81" s="394">
        <v>117.2</v>
      </c>
    </row>
    <row r="82" spans="1:29" ht="22.5" customHeight="1">
      <c r="A82" s="522"/>
      <c r="B82" s="497"/>
      <c r="C82" s="522"/>
      <c r="D82" s="522"/>
      <c r="E82" s="195" t="s">
        <v>391</v>
      </c>
      <c r="F82" s="349">
        <v>117.2</v>
      </c>
      <c r="G82" s="349">
        <v>117.2</v>
      </c>
      <c r="H82" s="349">
        <v>117.2</v>
      </c>
      <c r="I82" s="349">
        <v>117.2</v>
      </c>
      <c r="J82" s="349">
        <v>117.2</v>
      </c>
      <c r="K82" s="349">
        <v>117.2</v>
      </c>
      <c r="L82" s="349">
        <v>117.2</v>
      </c>
      <c r="M82" s="349">
        <v>117.2</v>
      </c>
      <c r="N82" s="349">
        <v>117.2</v>
      </c>
      <c r="O82" s="349">
        <v>117.2</v>
      </c>
      <c r="P82" s="349">
        <v>117.2</v>
      </c>
      <c r="Q82" s="349">
        <v>117.2</v>
      </c>
      <c r="R82" s="349">
        <v>117.2</v>
      </c>
      <c r="S82" s="349">
        <v>117.2</v>
      </c>
      <c r="T82" s="349">
        <v>117.2</v>
      </c>
      <c r="U82" s="349">
        <v>117.2</v>
      </c>
      <c r="V82" s="349">
        <v>117.2</v>
      </c>
      <c r="W82" s="349">
        <v>117.2</v>
      </c>
      <c r="X82" s="349">
        <v>117.2</v>
      </c>
      <c r="Y82" s="349">
        <v>117.2</v>
      </c>
      <c r="Z82" s="349">
        <v>117.2</v>
      </c>
      <c r="AA82" s="349">
        <v>117.2</v>
      </c>
      <c r="AB82" s="349">
        <v>117.2</v>
      </c>
      <c r="AC82" s="395">
        <v>117.2</v>
      </c>
    </row>
    <row r="83" spans="1:29" ht="22.5" customHeight="1" thickBot="1">
      <c r="A83" s="528"/>
      <c r="B83" s="530"/>
      <c r="C83" s="528"/>
      <c r="D83" s="528"/>
      <c r="E83" s="196" t="s">
        <v>392</v>
      </c>
      <c r="F83" s="396">
        <v>117.2</v>
      </c>
      <c r="G83" s="396">
        <v>117.2</v>
      </c>
      <c r="H83" s="396">
        <v>117.2</v>
      </c>
      <c r="I83" s="396">
        <v>117.2</v>
      </c>
      <c r="J83" s="396">
        <v>117.2</v>
      </c>
      <c r="K83" s="396">
        <v>117.2</v>
      </c>
      <c r="L83" s="396">
        <v>117.2</v>
      </c>
      <c r="M83" s="396">
        <v>117.2</v>
      </c>
      <c r="N83" s="396">
        <v>117.2</v>
      </c>
      <c r="O83" s="396">
        <v>117.2</v>
      </c>
      <c r="P83" s="396">
        <v>117.2</v>
      </c>
      <c r="Q83" s="396">
        <v>117.2</v>
      </c>
      <c r="R83" s="396">
        <v>117.2</v>
      </c>
      <c r="S83" s="396">
        <v>117.2</v>
      </c>
      <c r="T83" s="396">
        <v>117.2</v>
      </c>
      <c r="U83" s="396">
        <v>117.2</v>
      </c>
      <c r="V83" s="396">
        <v>117.2</v>
      </c>
      <c r="W83" s="396">
        <v>117.2</v>
      </c>
      <c r="X83" s="396">
        <v>117.2</v>
      </c>
      <c r="Y83" s="396">
        <v>117.2</v>
      </c>
      <c r="Z83" s="396">
        <v>117.2</v>
      </c>
      <c r="AA83" s="396">
        <v>117.2</v>
      </c>
      <c r="AB83" s="396">
        <v>117.2</v>
      </c>
      <c r="AC83" s="397">
        <v>117.2</v>
      </c>
    </row>
    <row r="84" spans="1:29" ht="22.5" customHeight="1">
      <c r="A84" s="521" t="s">
        <v>422</v>
      </c>
      <c r="B84" s="496" t="s">
        <v>77</v>
      </c>
      <c r="C84" s="521" t="s">
        <v>423</v>
      </c>
      <c r="D84" s="522" t="s">
        <v>414</v>
      </c>
      <c r="E84" s="197" t="s">
        <v>390</v>
      </c>
      <c r="F84" s="393">
        <v>102.6</v>
      </c>
      <c r="G84" s="393">
        <v>102.6</v>
      </c>
      <c r="H84" s="393">
        <v>102.6</v>
      </c>
      <c r="I84" s="393">
        <v>102.6</v>
      </c>
      <c r="J84" s="393">
        <v>102.6</v>
      </c>
      <c r="K84" s="393">
        <v>102.6</v>
      </c>
      <c r="L84" s="393">
        <v>102.6</v>
      </c>
      <c r="M84" s="393">
        <v>102.6</v>
      </c>
      <c r="N84" s="393">
        <v>102.6</v>
      </c>
      <c r="O84" s="393">
        <v>102.6</v>
      </c>
      <c r="P84" s="393">
        <v>102.6</v>
      </c>
      <c r="Q84" s="393">
        <v>102.6</v>
      </c>
      <c r="R84" s="393">
        <v>102.6</v>
      </c>
      <c r="S84" s="393">
        <v>102.6</v>
      </c>
      <c r="T84" s="393">
        <v>102.6</v>
      </c>
      <c r="U84" s="393">
        <v>102.6</v>
      </c>
      <c r="V84" s="393">
        <v>102.6</v>
      </c>
      <c r="W84" s="393">
        <v>102.6</v>
      </c>
      <c r="X84" s="393">
        <v>102.6</v>
      </c>
      <c r="Y84" s="393">
        <v>102.6</v>
      </c>
      <c r="Z84" s="393">
        <v>102.6</v>
      </c>
      <c r="AA84" s="393">
        <v>102.6</v>
      </c>
      <c r="AB84" s="393">
        <v>102.6</v>
      </c>
      <c r="AC84" s="394">
        <v>102.6</v>
      </c>
    </row>
    <row r="85" spans="1:29" ht="22.5" customHeight="1">
      <c r="A85" s="522"/>
      <c r="B85" s="497"/>
      <c r="C85" s="522"/>
      <c r="D85" s="522"/>
      <c r="E85" s="195" t="s">
        <v>391</v>
      </c>
      <c r="F85" s="349">
        <v>102.6</v>
      </c>
      <c r="G85" s="349">
        <v>102.6</v>
      </c>
      <c r="H85" s="349">
        <v>102.6</v>
      </c>
      <c r="I85" s="349">
        <v>102.6</v>
      </c>
      <c r="J85" s="349">
        <v>102.6</v>
      </c>
      <c r="K85" s="349">
        <v>102.6</v>
      </c>
      <c r="L85" s="349">
        <v>102.6</v>
      </c>
      <c r="M85" s="349">
        <v>102.6</v>
      </c>
      <c r="N85" s="349">
        <v>102.6</v>
      </c>
      <c r="O85" s="349">
        <v>102.6</v>
      </c>
      <c r="P85" s="349">
        <v>102.6</v>
      </c>
      <c r="Q85" s="349">
        <v>102.6</v>
      </c>
      <c r="R85" s="349">
        <v>102.6</v>
      </c>
      <c r="S85" s="349">
        <v>102.6</v>
      </c>
      <c r="T85" s="349">
        <v>102.6</v>
      </c>
      <c r="U85" s="349">
        <v>102.6</v>
      </c>
      <c r="V85" s="349">
        <v>102.6</v>
      </c>
      <c r="W85" s="349">
        <v>102.6</v>
      </c>
      <c r="X85" s="349">
        <v>102.6</v>
      </c>
      <c r="Y85" s="349">
        <v>102.6</v>
      </c>
      <c r="Z85" s="349">
        <v>102.6</v>
      </c>
      <c r="AA85" s="349">
        <v>102.6</v>
      </c>
      <c r="AB85" s="349">
        <v>102.6</v>
      </c>
      <c r="AC85" s="395">
        <v>102.6</v>
      </c>
    </row>
    <row r="86" spans="1:29" ht="22.5" customHeight="1" thickBot="1">
      <c r="A86" s="523"/>
      <c r="B86" s="530"/>
      <c r="C86" s="523"/>
      <c r="D86" s="523"/>
      <c r="E86" s="196" t="s">
        <v>392</v>
      </c>
      <c r="F86" s="396">
        <v>102.6</v>
      </c>
      <c r="G86" s="396">
        <v>102.6</v>
      </c>
      <c r="H86" s="396">
        <v>102.6</v>
      </c>
      <c r="I86" s="396">
        <v>102.6</v>
      </c>
      <c r="J86" s="396">
        <v>102.6</v>
      </c>
      <c r="K86" s="396">
        <v>102.6</v>
      </c>
      <c r="L86" s="396">
        <v>102.6</v>
      </c>
      <c r="M86" s="396">
        <v>102.6</v>
      </c>
      <c r="N86" s="396">
        <v>102.6</v>
      </c>
      <c r="O86" s="396">
        <v>102.6</v>
      </c>
      <c r="P86" s="396">
        <v>102.6</v>
      </c>
      <c r="Q86" s="396">
        <v>102.6</v>
      </c>
      <c r="R86" s="396">
        <v>102.6</v>
      </c>
      <c r="S86" s="396">
        <v>102.6</v>
      </c>
      <c r="T86" s="396">
        <v>102.6</v>
      </c>
      <c r="U86" s="396">
        <v>102.6</v>
      </c>
      <c r="V86" s="396">
        <v>102.6</v>
      </c>
      <c r="W86" s="396">
        <v>102.6</v>
      </c>
      <c r="X86" s="396">
        <v>102.6</v>
      </c>
      <c r="Y86" s="396">
        <v>102.6</v>
      </c>
      <c r="Z86" s="396">
        <v>102.6</v>
      </c>
      <c r="AA86" s="396">
        <v>102.6</v>
      </c>
      <c r="AB86" s="396">
        <v>102.6</v>
      </c>
      <c r="AC86" s="397">
        <v>102.6</v>
      </c>
    </row>
  </sheetData>
  <mergeCells count="117">
    <mergeCell ref="A25:A27"/>
    <mergeCell ref="B25:B27"/>
    <mergeCell ref="C25:C27"/>
    <mergeCell ref="D25:D27"/>
    <mergeCell ref="A28:A30"/>
    <mergeCell ref="B28:B30"/>
    <mergeCell ref="C28:C30"/>
    <mergeCell ref="A31:A33"/>
    <mergeCell ref="B31:B33"/>
    <mergeCell ref="C31:C33"/>
    <mergeCell ref="D28:D30"/>
    <mergeCell ref="D31:D33"/>
    <mergeCell ref="C2:C3"/>
    <mergeCell ref="D10:D12"/>
    <mergeCell ref="D7:D9"/>
    <mergeCell ref="F2:AC2"/>
    <mergeCell ref="E2:E3"/>
    <mergeCell ref="D2:D3"/>
    <mergeCell ref="D4:D6"/>
    <mergeCell ref="C10:C12"/>
    <mergeCell ref="C13:C15"/>
    <mergeCell ref="D13:D15"/>
    <mergeCell ref="C16:C18"/>
    <mergeCell ref="C19:C21"/>
    <mergeCell ref="D19:D21"/>
    <mergeCell ref="D35:D37"/>
    <mergeCell ref="C4:C6"/>
    <mergeCell ref="C7:C9"/>
    <mergeCell ref="C69:C71"/>
    <mergeCell ref="D69:D71"/>
    <mergeCell ref="C63:C65"/>
    <mergeCell ref="D63:D65"/>
    <mergeCell ref="C66:C68"/>
    <mergeCell ref="D66:D68"/>
    <mergeCell ref="D16:D18"/>
    <mergeCell ref="C22:C24"/>
    <mergeCell ref="D22:D24"/>
    <mergeCell ref="C41:C43"/>
    <mergeCell ref="D41:D43"/>
    <mergeCell ref="B41:B43"/>
    <mergeCell ref="B81:B83"/>
    <mergeCell ref="C84:C86"/>
    <mergeCell ref="D84:D86"/>
    <mergeCell ref="C78:C80"/>
    <mergeCell ref="D78:D80"/>
    <mergeCell ref="C81:C83"/>
    <mergeCell ref="D81:D83"/>
    <mergeCell ref="C72:C74"/>
    <mergeCell ref="D72:D74"/>
    <mergeCell ref="C75:C77"/>
    <mergeCell ref="D75:D77"/>
    <mergeCell ref="C60:C62"/>
    <mergeCell ref="D60:D62"/>
    <mergeCell ref="B84:B86"/>
    <mergeCell ref="D44:D46"/>
    <mergeCell ref="A2:A3"/>
    <mergeCell ref="A4:A6"/>
    <mergeCell ref="A7:A9"/>
    <mergeCell ref="A10:A12"/>
    <mergeCell ref="A13:A15"/>
    <mergeCell ref="A60:A62"/>
    <mergeCell ref="A16:A18"/>
    <mergeCell ref="A19:A21"/>
    <mergeCell ref="A22:A24"/>
    <mergeCell ref="A41:A43"/>
    <mergeCell ref="A53:A55"/>
    <mergeCell ref="A44:A46"/>
    <mergeCell ref="A38:A40"/>
    <mergeCell ref="A59:AB59"/>
    <mergeCell ref="B44:B46"/>
    <mergeCell ref="A47:A49"/>
    <mergeCell ref="B47:B49"/>
    <mergeCell ref="C47:C49"/>
    <mergeCell ref="D47:D49"/>
    <mergeCell ref="A50:A52"/>
    <mergeCell ref="B50:B52"/>
    <mergeCell ref="C50:C52"/>
    <mergeCell ref="D50:D52"/>
    <mergeCell ref="C44:C46"/>
    <mergeCell ref="A84:A86"/>
    <mergeCell ref="A63:A65"/>
    <mergeCell ref="A66:A68"/>
    <mergeCell ref="A69:A71"/>
    <mergeCell ref="A72:A74"/>
    <mergeCell ref="A75:A77"/>
    <mergeCell ref="A78:A80"/>
    <mergeCell ref="A81:A83"/>
    <mergeCell ref="B63:B65"/>
    <mergeCell ref="B66:B68"/>
    <mergeCell ref="B69:B71"/>
    <mergeCell ref="B72:B74"/>
    <mergeCell ref="B75:B77"/>
    <mergeCell ref="B78:B80"/>
    <mergeCell ref="B2:B3"/>
    <mergeCell ref="A1:AC1"/>
    <mergeCell ref="B4:B6"/>
    <mergeCell ref="B7:B9"/>
    <mergeCell ref="B10:B12"/>
    <mergeCell ref="B13:B15"/>
    <mergeCell ref="B60:B62"/>
    <mergeCell ref="B16:B18"/>
    <mergeCell ref="B19:B21"/>
    <mergeCell ref="B22:B24"/>
    <mergeCell ref="B53:B55"/>
    <mergeCell ref="C53:C55"/>
    <mergeCell ref="D53:D55"/>
    <mergeCell ref="A56:A58"/>
    <mergeCell ref="B56:B58"/>
    <mergeCell ref="C56:C58"/>
    <mergeCell ref="D56:D58"/>
    <mergeCell ref="A34:AC34"/>
    <mergeCell ref="A35:A37"/>
    <mergeCell ref="B35:B37"/>
    <mergeCell ref="C35:C37"/>
    <mergeCell ref="B38:B40"/>
    <mergeCell ref="C38:C40"/>
    <mergeCell ref="D38:D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1"/>
  <sheetViews>
    <sheetView zoomScale="80" zoomScaleNormal="80" workbookViewId="0">
      <selection sqref="A1:L1"/>
    </sheetView>
  </sheetViews>
  <sheetFormatPr defaultColWidth="8.6640625" defaultRowHeight="13.2"/>
  <cols>
    <col min="1" max="1" width="14.44140625" style="6" customWidth="1"/>
    <col min="2" max="2" width="15.44140625" style="6" customWidth="1"/>
    <col min="3" max="3" width="19.33203125" style="6" customWidth="1"/>
    <col min="4" max="5" width="18.33203125" style="6" customWidth="1"/>
    <col min="6" max="8" width="17.6640625" style="6" customWidth="1"/>
    <col min="9" max="9" width="10.6640625" style="6" customWidth="1"/>
    <col min="10" max="11" width="17.33203125" style="6" bestFit="1" customWidth="1"/>
    <col min="12" max="12" width="16.5546875" style="6" customWidth="1"/>
    <col min="13" max="15" width="8.6640625" style="6"/>
    <col min="16" max="16" width="17.33203125" style="6" bestFit="1" customWidth="1"/>
    <col min="17" max="22" width="13.88671875" style="6" customWidth="1"/>
    <col min="23" max="16384" width="8.6640625" style="6"/>
  </cols>
  <sheetData>
    <row r="1" spans="1:22" ht="27" customHeight="1">
      <c r="A1" s="560" t="s">
        <v>424</v>
      </c>
      <c r="B1" s="561"/>
      <c r="C1" s="561"/>
      <c r="D1" s="561"/>
      <c r="E1" s="561"/>
      <c r="F1" s="561"/>
      <c r="G1" s="561"/>
      <c r="H1" s="561"/>
      <c r="I1" s="561"/>
      <c r="J1" s="561"/>
      <c r="K1" s="561"/>
      <c r="L1" s="561"/>
      <c r="N1" s="562" t="str">
        <f>"Energy Consumption - "&amp;Prototype!A2</f>
        <v>Energy Consumption - Assembly</v>
      </c>
      <c r="O1" s="419"/>
      <c r="P1" s="419"/>
      <c r="Q1" s="419"/>
      <c r="R1" s="419"/>
      <c r="S1" s="419"/>
      <c r="T1" s="419"/>
      <c r="U1" s="419"/>
      <c r="V1" s="419"/>
    </row>
    <row r="2" spans="1:22" ht="39.6" customHeight="1">
      <c r="A2" s="311" t="s">
        <v>8</v>
      </c>
      <c r="B2" s="311" t="s">
        <v>425</v>
      </c>
      <c r="C2" s="311" t="s">
        <v>426</v>
      </c>
      <c r="D2" s="311" t="s">
        <v>427</v>
      </c>
      <c r="E2" s="311" t="s">
        <v>428</v>
      </c>
      <c r="F2" s="311" t="s">
        <v>429</v>
      </c>
      <c r="G2" s="311" t="s">
        <v>430</v>
      </c>
      <c r="H2" s="311" t="s">
        <v>431</v>
      </c>
      <c r="I2" s="218" t="s">
        <v>432</v>
      </c>
      <c r="J2" s="218" t="s">
        <v>433</v>
      </c>
      <c r="K2" s="218" t="s">
        <v>434</v>
      </c>
      <c r="L2" s="218" t="s">
        <v>435</v>
      </c>
      <c r="N2" s="309" t="s">
        <v>8</v>
      </c>
      <c r="O2" s="311" t="s">
        <v>425</v>
      </c>
      <c r="P2" s="311" t="s">
        <v>436</v>
      </c>
      <c r="Q2" s="311" t="s">
        <v>437</v>
      </c>
      <c r="R2" s="311" t="s">
        <v>438</v>
      </c>
      <c r="S2" s="219" t="s">
        <v>439</v>
      </c>
      <c r="T2" s="219" t="s">
        <v>433</v>
      </c>
      <c r="U2" s="219" t="s">
        <v>434</v>
      </c>
      <c r="V2" s="219" t="s">
        <v>440</v>
      </c>
    </row>
    <row r="3" spans="1:22" ht="19.2" customHeight="1">
      <c r="A3" s="443" t="s">
        <v>46</v>
      </c>
      <c r="B3" s="302">
        <v>1</v>
      </c>
      <c r="C3" s="398"/>
      <c r="D3" s="398"/>
      <c r="E3" s="398"/>
      <c r="F3" s="302"/>
      <c r="G3" s="302"/>
      <c r="H3" s="302"/>
      <c r="I3" s="302">
        <v>63.5</v>
      </c>
      <c r="J3" s="398">
        <f>(I3*1.25)</f>
        <v>79.375</v>
      </c>
      <c r="K3" s="398">
        <f>(I3*0.75)</f>
        <v>47.625</v>
      </c>
      <c r="L3" s="398">
        <f>J3-K3</f>
        <v>31.75</v>
      </c>
      <c r="N3" s="444" t="s">
        <v>46</v>
      </c>
      <c r="O3" s="220">
        <v>1</v>
      </c>
      <c r="P3" s="128"/>
      <c r="Q3" s="221"/>
      <c r="R3" s="221"/>
      <c r="S3" s="222"/>
      <c r="T3" s="399"/>
      <c r="U3" s="399"/>
      <c r="V3" s="222"/>
    </row>
    <row r="4" spans="1:22" ht="19.2" customHeight="1">
      <c r="A4" s="443"/>
      <c r="B4" s="302">
        <v>2</v>
      </c>
      <c r="C4" s="398"/>
      <c r="D4" s="398"/>
      <c r="E4" s="398"/>
      <c r="F4" s="302"/>
      <c r="G4" s="302"/>
      <c r="H4" s="302"/>
      <c r="I4" s="302">
        <v>63.5</v>
      </c>
      <c r="J4" s="398">
        <f t="shared" ref="J4:J18" si="0">(I4*1.25)</f>
        <v>79.375</v>
      </c>
      <c r="K4" s="398">
        <f t="shared" ref="K4:K18" si="1">(I4*0.75)</f>
        <v>47.625</v>
      </c>
      <c r="L4" s="398">
        <f t="shared" ref="L4:L18" si="2">J4-K4</f>
        <v>31.75</v>
      </c>
      <c r="N4" s="444"/>
      <c r="O4" s="220">
        <v>2</v>
      </c>
      <c r="P4" s="128"/>
      <c r="Q4" s="221"/>
      <c r="R4" s="221"/>
      <c r="S4" s="222"/>
      <c r="T4" s="399"/>
      <c r="U4" s="399"/>
      <c r="V4" s="222"/>
    </row>
    <row r="5" spans="1:22" ht="19.2" customHeight="1">
      <c r="A5" s="443"/>
      <c r="B5" s="302">
        <v>3</v>
      </c>
      <c r="C5" s="398"/>
      <c r="D5" s="398"/>
      <c r="E5" s="398"/>
      <c r="F5" s="302"/>
      <c r="G5" s="302"/>
      <c r="H5" s="302"/>
      <c r="I5" s="302">
        <v>63.5</v>
      </c>
      <c r="J5" s="398">
        <f t="shared" si="0"/>
        <v>79.375</v>
      </c>
      <c r="K5" s="398">
        <f t="shared" si="1"/>
        <v>47.625</v>
      </c>
      <c r="L5" s="398">
        <f t="shared" si="2"/>
        <v>31.75</v>
      </c>
      <c r="N5" s="444"/>
      <c r="O5" s="220">
        <v>3</v>
      </c>
      <c r="P5" s="128"/>
      <c r="Q5" s="221"/>
      <c r="R5" s="221"/>
      <c r="S5" s="222"/>
      <c r="T5" s="399"/>
      <c r="U5" s="399"/>
      <c r="V5" s="222"/>
    </row>
    <row r="6" spans="1:22" ht="19.2" customHeight="1">
      <c r="A6" s="443"/>
      <c r="B6" s="302">
        <v>4</v>
      </c>
      <c r="C6" s="398"/>
      <c r="D6" s="398"/>
      <c r="E6" s="398"/>
      <c r="F6" s="302"/>
      <c r="G6" s="302"/>
      <c r="H6" s="302"/>
      <c r="I6" s="302">
        <v>63.5</v>
      </c>
      <c r="J6" s="398">
        <f t="shared" si="0"/>
        <v>79.375</v>
      </c>
      <c r="K6" s="398">
        <f t="shared" si="1"/>
        <v>47.625</v>
      </c>
      <c r="L6" s="398">
        <f t="shared" si="2"/>
        <v>31.75</v>
      </c>
      <c r="N6" s="444"/>
      <c r="O6" s="220">
        <v>4</v>
      </c>
      <c r="P6" s="128"/>
      <c r="Q6" s="221"/>
      <c r="R6" s="221"/>
      <c r="S6" s="222"/>
      <c r="T6" s="399"/>
      <c r="U6" s="399"/>
      <c r="V6" s="222"/>
    </row>
    <row r="7" spans="1:22" ht="19.2" customHeight="1">
      <c r="A7" s="443"/>
      <c r="B7" s="302">
        <v>5</v>
      </c>
      <c r="C7" s="398"/>
      <c r="D7" s="398"/>
      <c r="E7" s="398"/>
      <c r="F7" s="302"/>
      <c r="G7" s="302"/>
      <c r="H7" s="302"/>
      <c r="I7" s="302">
        <v>63.5</v>
      </c>
      <c r="J7" s="398">
        <f t="shared" si="0"/>
        <v>79.375</v>
      </c>
      <c r="K7" s="398">
        <f t="shared" si="1"/>
        <v>47.625</v>
      </c>
      <c r="L7" s="398">
        <f t="shared" si="2"/>
        <v>31.75</v>
      </c>
      <c r="N7" s="444"/>
      <c r="O7" s="220">
        <v>5</v>
      </c>
      <c r="P7" s="128"/>
      <c r="Q7" s="221"/>
      <c r="R7" s="221"/>
      <c r="S7" s="222"/>
      <c r="T7" s="399"/>
      <c r="U7" s="399"/>
      <c r="V7" s="222"/>
    </row>
    <row r="8" spans="1:22" ht="19.2" customHeight="1">
      <c r="A8" s="443"/>
      <c r="B8" s="302">
        <v>6</v>
      </c>
      <c r="C8" s="398"/>
      <c r="D8" s="398"/>
      <c r="E8" s="398"/>
      <c r="F8" s="302"/>
      <c r="G8" s="302"/>
      <c r="H8" s="302"/>
      <c r="I8" s="302">
        <v>63.5</v>
      </c>
      <c r="J8" s="398">
        <f t="shared" si="0"/>
        <v>79.375</v>
      </c>
      <c r="K8" s="398">
        <f t="shared" si="1"/>
        <v>47.625</v>
      </c>
      <c r="L8" s="398">
        <f t="shared" si="2"/>
        <v>31.75</v>
      </c>
      <c r="N8" s="444"/>
      <c r="O8" s="220">
        <v>6</v>
      </c>
      <c r="P8" s="128"/>
      <c r="Q8" s="221"/>
      <c r="R8" s="221"/>
      <c r="S8" s="222"/>
      <c r="T8" s="399"/>
      <c r="U8" s="399"/>
      <c r="V8" s="222"/>
    </row>
    <row r="9" spans="1:22" ht="19.2" customHeight="1">
      <c r="A9" s="443"/>
      <c r="B9" s="302">
        <v>7</v>
      </c>
      <c r="C9" s="398"/>
      <c r="D9" s="398"/>
      <c r="E9" s="398"/>
      <c r="F9" s="302"/>
      <c r="G9" s="302"/>
      <c r="H9" s="302"/>
      <c r="I9" s="302">
        <v>63.5</v>
      </c>
      <c r="J9" s="398">
        <f t="shared" si="0"/>
        <v>79.375</v>
      </c>
      <c r="K9" s="398">
        <f t="shared" si="1"/>
        <v>47.625</v>
      </c>
      <c r="L9" s="398">
        <f t="shared" si="2"/>
        <v>31.75</v>
      </c>
      <c r="N9" s="444"/>
      <c r="O9" s="220">
        <v>7</v>
      </c>
      <c r="P9" s="128"/>
      <c r="Q9" s="221"/>
      <c r="R9" s="221"/>
      <c r="S9" s="222"/>
      <c r="T9" s="399"/>
      <c r="U9" s="399"/>
      <c r="V9" s="222"/>
    </row>
    <row r="10" spans="1:22" ht="19.2" customHeight="1">
      <c r="A10" s="443"/>
      <c r="B10" s="302">
        <v>8</v>
      </c>
      <c r="C10" s="398"/>
      <c r="D10" s="398"/>
      <c r="E10" s="398"/>
      <c r="F10" s="302"/>
      <c r="G10" s="302"/>
      <c r="H10" s="302"/>
      <c r="I10" s="302">
        <v>63.5</v>
      </c>
      <c r="J10" s="398">
        <f t="shared" si="0"/>
        <v>79.375</v>
      </c>
      <c r="K10" s="398">
        <f t="shared" si="1"/>
        <v>47.625</v>
      </c>
      <c r="L10" s="398">
        <f t="shared" si="2"/>
        <v>31.75</v>
      </c>
      <c r="N10" s="444"/>
      <c r="O10" s="220">
        <v>8</v>
      </c>
      <c r="P10" s="128"/>
      <c r="Q10" s="221"/>
      <c r="R10" s="221"/>
      <c r="S10" s="222"/>
      <c r="T10" s="399"/>
      <c r="U10" s="399"/>
      <c r="V10" s="222"/>
    </row>
    <row r="11" spans="1:22" ht="19.2" customHeight="1">
      <c r="A11" s="443"/>
      <c r="B11" s="302">
        <v>9</v>
      </c>
      <c r="C11" s="398"/>
      <c r="D11" s="398"/>
      <c r="E11" s="398"/>
      <c r="F11" s="302"/>
      <c r="G11" s="302"/>
      <c r="H11" s="302"/>
      <c r="I11" s="302">
        <v>63.5</v>
      </c>
      <c r="J11" s="398">
        <f t="shared" si="0"/>
        <v>79.375</v>
      </c>
      <c r="K11" s="398">
        <f t="shared" si="1"/>
        <v>47.625</v>
      </c>
      <c r="L11" s="398">
        <f t="shared" si="2"/>
        <v>31.75</v>
      </c>
      <c r="N11" s="444"/>
      <c r="O11" s="220">
        <v>9</v>
      </c>
      <c r="P11" s="128"/>
      <c r="Q11" s="221"/>
      <c r="R11" s="221"/>
      <c r="S11" s="222"/>
      <c r="T11" s="399"/>
      <c r="U11" s="399"/>
      <c r="V11" s="222"/>
    </row>
    <row r="12" spans="1:22" ht="19.2" customHeight="1">
      <c r="A12" s="443"/>
      <c r="B12" s="302">
        <v>10</v>
      </c>
      <c r="C12" s="398"/>
      <c r="D12" s="398"/>
      <c r="E12" s="398"/>
      <c r="F12" s="302"/>
      <c r="G12" s="302"/>
      <c r="H12" s="302"/>
      <c r="I12" s="302">
        <v>63.5</v>
      </c>
      <c r="J12" s="398">
        <f t="shared" si="0"/>
        <v>79.375</v>
      </c>
      <c r="K12" s="398">
        <f t="shared" si="1"/>
        <v>47.625</v>
      </c>
      <c r="L12" s="398">
        <f t="shared" si="2"/>
        <v>31.75</v>
      </c>
      <c r="N12" s="444"/>
      <c r="O12" s="220">
        <v>10</v>
      </c>
      <c r="P12" s="128"/>
      <c r="Q12" s="221"/>
      <c r="R12" s="221"/>
      <c r="S12" s="222"/>
      <c r="T12" s="399"/>
      <c r="U12" s="399"/>
      <c r="V12" s="222"/>
    </row>
    <row r="13" spans="1:22" ht="19.2" customHeight="1">
      <c r="A13" s="443"/>
      <c r="B13" s="302">
        <v>11</v>
      </c>
      <c r="C13" s="398"/>
      <c r="D13" s="398"/>
      <c r="E13" s="398"/>
      <c r="F13" s="302"/>
      <c r="G13" s="302"/>
      <c r="H13" s="302"/>
      <c r="I13" s="302">
        <v>63.5</v>
      </c>
      <c r="J13" s="398">
        <f t="shared" si="0"/>
        <v>79.375</v>
      </c>
      <c r="K13" s="398">
        <f t="shared" si="1"/>
        <v>47.625</v>
      </c>
      <c r="L13" s="398">
        <f t="shared" si="2"/>
        <v>31.75</v>
      </c>
      <c r="N13" s="444"/>
      <c r="O13" s="220">
        <v>11</v>
      </c>
      <c r="P13" s="128"/>
      <c r="Q13" s="221"/>
      <c r="R13" s="221"/>
      <c r="S13" s="222"/>
      <c r="T13" s="399"/>
      <c r="U13" s="399"/>
      <c r="V13" s="222"/>
    </row>
    <row r="14" spans="1:22" ht="19.2" customHeight="1">
      <c r="A14" s="443"/>
      <c r="B14" s="302">
        <v>12</v>
      </c>
      <c r="C14" s="398"/>
      <c r="D14" s="398"/>
      <c r="E14" s="398"/>
      <c r="F14" s="302"/>
      <c r="G14" s="302"/>
      <c r="H14" s="302"/>
      <c r="I14" s="302">
        <v>63.5</v>
      </c>
      <c r="J14" s="398">
        <f t="shared" si="0"/>
        <v>79.375</v>
      </c>
      <c r="K14" s="398">
        <f t="shared" si="1"/>
        <v>47.625</v>
      </c>
      <c r="L14" s="398">
        <f t="shared" si="2"/>
        <v>31.75</v>
      </c>
      <c r="N14" s="444"/>
      <c r="O14" s="220">
        <v>12</v>
      </c>
      <c r="P14" s="128"/>
      <c r="Q14" s="221"/>
      <c r="R14" s="221"/>
      <c r="S14" s="222"/>
      <c r="T14" s="399"/>
      <c r="U14" s="399"/>
      <c r="V14" s="222"/>
    </row>
    <row r="15" spans="1:22" ht="19.2" customHeight="1">
      <c r="A15" s="443"/>
      <c r="B15" s="302">
        <v>13</v>
      </c>
      <c r="C15" s="398"/>
      <c r="D15" s="398"/>
      <c r="E15" s="398"/>
      <c r="F15" s="302"/>
      <c r="G15" s="302"/>
      <c r="H15" s="302"/>
      <c r="I15" s="302">
        <v>63.5</v>
      </c>
      <c r="J15" s="398">
        <f t="shared" si="0"/>
        <v>79.375</v>
      </c>
      <c r="K15" s="398">
        <f t="shared" si="1"/>
        <v>47.625</v>
      </c>
      <c r="L15" s="398">
        <f t="shared" si="2"/>
        <v>31.75</v>
      </c>
      <c r="N15" s="444"/>
      <c r="O15" s="220">
        <v>13</v>
      </c>
      <c r="P15" s="128"/>
      <c r="Q15" s="221"/>
      <c r="R15" s="221"/>
      <c r="S15" s="222"/>
      <c r="T15" s="399"/>
      <c r="U15" s="399"/>
      <c r="V15" s="222"/>
    </row>
    <row r="16" spans="1:22" ht="19.2" customHeight="1">
      <c r="A16" s="443"/>
      <c r="B16" s="302">
        <v>14</v>
      </c>
      <c r="C16" s="398"/>
      <c r="D16" s="398"/>
      <c r="E16" s="398"/>
      <c r="F16" s="302"/>
      <c r="G16" s="302"/>
      <c r="H16" s="302"/>
      <c r="I16" s="302">
        <v>63.5</v>
      </c>
      <c r="J16" s="398">
        <f t="shared" si="0"/>
        <v>79.375</v>
      </c>
      <c r="K16" s="398">
        <f t="shared" si="1"/>
        <v>47.625</v>
      </c>
      <c r="L16" s="398">
        <f t="shared" si="2"/>
        <v>31.75</v>
      </c>
      <c r="N16" s="444"/>
      <c r="O16" s="220">
        <v>14</v>
      </c>
      <c r="P16" s="128"/>
      <c r="Q16" s="221"/>
      <c r="R16" s="221"/>
      <c r="S16" s="222"/>
      <c r="T16" s="399"/>
      <c r="U16" s="399"/>
      <c r="V16" s="222"/>
    </row>
    <row r="17" spans="1:22" ht="19.2" customHeight="1">
      <c r="A17" s="443"/>
      <c r="B17" s="302">
        <v>15</v>
      </c>
      <c r="C17" s="398"/>
      <c r="D17" s="398"/>
      <c r="E17" s="398"/>
      <c r="F17" s="302"/>
      <c r="G17" s="302"/>
      <c r="H17" s="302"/>
      <c r="I17" s="302">
        <v>63.5</v>
      </c>
      <c r="J17" s="398">
        <f t="shared" si="0"/>
        <v>79.375</v>
      </c>
      <c r="K17" s="398">
        <f t="shared" si="1"/>
        <v>47.625</v>
      </c>
      <c r="L17" s="398">
        <f t="shared" si="2"/>
        <v>31.75</v>
      </c>
      <c r="N17" s="444"/>
      <c r="O17" s="220">
        <v>15</v>
      </c>
      <c r="P17" s="128"/>
      <c r="Q17" s="221"/>
      <c r="R17" s="221"/>
      <c r="S17" s="222"/>
      <c r="T17" s="399"/>
      <c r="U17" s="399"/>
      <c r="V17" s="222"/>
    </row>
    <row r="18" spans="1:22" ht="19.2" customHeight="1">
      <c r="A18" s="443"/>
      <c r="B18" s="302">
        <v>16</v>
      </c>
      <c r="C18" s="398"/>
      <c r="D18" s="398"/>
      <c r="E18" s="398"/>
      <c r="F18" s="302"/>
      <c r="G18" s="302"/>
      <c r="H18" s="302"/>
      <c r="I18" s="302">
        <v>63.5</v>
      </c>
      <c r="J18" s="398">
        <f t="shared" si="0"/>
        <v>79.375</v>
      </c>
      <c r="K18" s="398">
        <f t="shared" si="1"/>
        <v>47.625</v>
      </c>
      <c r="L18" s="398">
        <f t="shared" si="2"/>
        <v>31.75</v>
      </c>
      <c r="N18" s="444"/>
      <c r="O18" s="220">
        <v>16</v>
      </c>
      <c r="P18" s="128"/>
      <c r="Q18" s="221"/>
      <c r="R18" s="221"/>
      <c r="S18" s="222"/>
      <c r="T18" s="399"/>
      <c r="U18" s="399"/>
      <c r="V18" s="222"/>
    </row>
    <row r="20" spans="1:22">
      <c r="N20" s="6" t="s">
        <v>441</v>
      </c>
    </row>
    <row r="21" spans="1:22">
      <c r="N21" s="6" t="s">
        <v>442</v>
      </c>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2"/>
  <sheetViews>
    <sheetView zoomScaleNormal="100" workbookViewId="0">
      <selection sqref="A1:G1"/>
    </sheetView>
  </sheetViews>
  <sheetFormatPr defaultColWidth="8.6640625" defaultRowHeight="13.2"/>
  <cols>
    <col min="1" max="2" width="12" style="6" customWidth="1"/>
    <col min="3" max="6" width="13.6640625" style="6" customWidth="1"/>
    <col min="7" max="7" width="13.33203125" style="6" customWidth="1"/>
    <col min="8" max="8" width="12.6640625" style="6" bestFit="1" customWidth="1"/>
    <col min="9" max="9" width="8.6640625" style="6"/>
    <col min="10" max="10" width="12" style="6" customWidth="1"/>
    <col min="11" max="11" width="14.109375" style="6" customWidth="1"/>
    <col min="12" max="12" width="10.33203125" style="6" customWidth="1"/>
    <col min="13" max="27" width="5.6640625" style="6" customWidth="1"/>
    <col min="28" max="16384" width="8.6640625" style="6"/>
  </cols>
  <sheetData>
    <row r="1" spans="1:28" ht="28.95" customHeight="1">
      <c r="A1" s="467" t="str">
        <f>"% of Floor Area per CZ and Vintage Bin - "&amp;Prototype!A2</f>
        <v>% of Floor Area per CZ and Vintage Bin - Assembly</v>
      </c>
      <c r="B1" s="467"/>
      <c r="C1" s="467"/>
      <c r="D1" s="467"/>
      <c r="E1" s="467"/>
      <c r="F1" s="467"/>
      <c r="G1" s="467"/>
      <c r="J1" s="467" t="str">
        <f>"% of Floor Area per CZ and Vintage Bin - "&amp;Prototype!A2</f>
        <v>% of Floor Area per CZ and Vintage Bin - Assembly</v>
      </c>
      <c r="K1" s="467"/>
      <c r="L1" s="467"/>
      <c r="M1" s="467"/>
      <c r="N1" s="467"/>
      <c r="O1" s="467"/>
      <c r="P1" s="467"/>
      <c r="Q1" s="467"/>
      <c r="R1" s="467"/>
      <c r="S1" s="467"/>
      <c r="T1" s="467"/>
      <c r="U1" s="467"/>
      <c r="V1" s="467"/>
      <c r="W1" s="467"/>
      <c r="X1" s="467"/>
      <c r="Y1" s="467"/>
      <c r="Z1" s="467"/>
      <c r="AA1" s="467"/>
    </row>
    <row r="2" spans="1:28" ht="21" customHeight="1">
      <c r="A2" s="572" t="s">
        <v>8</v>
      </c>
      <c r="B2" s="572" t="s">
        <v>425</v>
      </c>
      <c r="C2" s="568" t="s">
        <v>443</v>
      </c>
      <c r="D2" s="569"/>
      <c r="E2" s="569"/>
      <c r="F2" s="569"/>
      <c r="G2" s="570"/>
      <c r="J2" s="571" t="s">
        <v>8</v>
      </c>
      <c r="K2" s="571" t="s">
        <v>443</v>
      </c>
      <c r="L2" s="571" t="s">
        <v>425</v>
      </c>
      <c r="M2" s="571"/>
      <c r="N2" s="571"/>
      <c r="O2" s="571"/>
      <c r="P2" s="571"/>
      <c r="Q2" s="571"/>
      <c r="R2" s="571"/>
      <c r="S2" s="571"/>
      <c r="T2" s="571"/>
      <c r="U2" s="571"/>
      <c r="V2" s="571"/>
      <c r="W2" s="571"/>
      <c r="X2" s="571"/>
      <c r="Y2" s="571"/>
      <c r="Z2" s="571"/>
      <c r="AA2" s="571"/>
    </row>
    <row r="3" spans="1:28" ht="21" customHeight="1">
      <c r="A3" s="573"/>
      <c r="B3" s="573"/>
      <c r="C3" s="309" t="s">
        <v>444</v>
      </c>
      <c r="D3" s="309" t="s">
        <v>171</v>
      </c>
      <c r="E3" s="309" t="s">
        <v>173</v>
      </c>
      <c r="F3" s="309" t="s">
        <v>175</v>
      </c>
      <c r="G3" s="309" t="s">
        <v>445</v>
      </c>
      <c r="J3" s="571"/>
      <c r="K3" s="571"/>
      <c r="L3" s="309">
        <v>1</v>
      </c>
      <c r="M3" s="309">
        <v>2</v>
      </c>
      <c r="N3" s="309">
        <v>3</v>
      </c>
      <c r="O3" s="309">
        <v>4</v>
      </c>
      <c r="P3" s="309">
        <v>5</v>
      </c>
      <c r="Q3" s="309">
        <v>6</v>
      </c>
      <c r="R3" s="309">
        <v>7</v>
      </c>
      <c r="S3" s="309">
        <v>8</v>
      </c>
      <c r="T3" s="309">
        <v>9</v>
      </c>
      <c r="U3" s="309">
        <v>10</v>
      </c>
      <c r="V3" s="309">
        <v>11</v>
      </c>
      <c r="W3" s="309">
        <v>12</v>
      </c>
      <c r="X3" s="309">
        <v>13</v>
      </c>
      <c r="Y3" s="309">
        <v>14</v>
      </c>
      <c r="Z3" s="309">
        <v>15</v>
      </c>
      <c r="AA3" s="309">
        <v>16</v>
      </c>
    </row>
    <row r="4" spans="1:28" ht="16.95" customHeight="1">
      <c r="A4" s="566" t="str">
        <f>Prototype!B4</f>
        <v>Assembly</v>
      </c>
      <c r="B4" s="101">
        <v>1</v>
      </c>
      <c r="C4" s="307"/>
      <c r="D4" s="307"/>
      <c r="E4" s="307"/>
      <c r="F4" s="307"/>
      <c r="G4" s="56"/>
      <c r="H4" s="64">
        <f>SUM(C4:G4)</f>
        <v>0</v>
      </c>
      <c r="J4" s="563" t="str">
        <f>Prototype!B4</f>
        <v>Assembly</v>
      </c>
      <c r="K4" s="39" t="s">
        <v>444</v>
      </c>
      <c r="L4" s="39"/>
      <c r="M4" s="39"/>
      <c r="N4" s="39"/>
      <c r="O4" s="39"/>
      <c r="P4" s="39"/>
      <c r="Q4" s="39"/>
      <c r="R4" s="39"/>
      <c r="S4" s="39"/>
      <c r="T4" s="39"/>
      <c r="U4" s="39"/>
      <c r="V4" s="39"/>
      <c r="W4" s="39"/>
      <c r="X4" s="39"/>
      <c r="Y4" s="39"/>
      <c r="Z4" s="39"/>
      <c r="AA4" s="39"/>
      <c r="AB4" s="64">
        <f>SUM(L4:AA4)</f>
        <v>0</v>
      </c>
    </row>
    <row r="5" spans="1:28" ht="16.95" customHeight="1">
      <c r="A5" s="567"/>
      <c r="B5" s="38">
        <v>2</v>
      </c>
      <c r="C5" s="307"/>
      <c r="D5" s="307"/>
      <c r="E5" s="307"/>
      <c r="F5" s="307"/>
      <c r="G5" s="49"/>
      <c r="H5" s="64">
        <f t="shared" ref="H5:H19" si="0">SUM(C5:G5)</f>
        <v>0</v>
      </c>
      <c r="J5" s="564"/>
      <c r="K5" s="39" t="s">
        <v>171</v>
      </c>
      <c r="L5" s="39"/>
      <c r="M5" s="39"/>
      <c r="N5" s="39"/>
      <c r="O5" s="39"/>
      <c r="P5" s="39"/>
      <c r="Q5" s="39"/>
      <c r="R5" s="39"/>
      <c r="S5" s="39"/>
      <c r="T5" s="39"/>
      <c r="U5" s="39"/>
      <c r="V5" s="39"/>
      <c r="W5" s="39"/>
      <c r="X5" s="39"/>
      <c r="Y5" s="39"/>
      <c r="Z5" s="39"/>
      <c r="AA5" s="39"/>
      <c r="AB5" s="64">
        <f>SUM(L5:AA5)</f>
        <v>0</v>
      </c>
    </row>
    <row r="6" spans="1:28" ht="16.95" customHeight="1">
      <c r="A6" s="567"/>
      <c r="B6" s="38">
        <v>3</v>
      </c>
      <c r="C6" s="307"/>
      <c r="D6" s="307"/>
      <c r="E6" s="307"/>
      <c r="F6" s="307"/>
      <c r="G6" s="49"/>
      <c r="H6" s="64">
        <f t="shared" si="0"/>
        <v>0</v>
      </c>
      <c r="J6" s="564"/>
      <c r="K6" s="39" t="s">
        <v>173</v>
      </c>
      <c r="L6" s="39"/>
      <c r="M6" s="39"/>
      <c r="N6" s="39"/>
      <c r="O6" s="39"/>
      <c r="P6" s="39"/>
      <c r="Q6" s="39"/>
      <c r="R6" s="39"/>
      <c r="S6" s="39"/>
      <c r="T6" s="39"/>
      <c r="U6" s="39"/>
      <c r="V6" s="39"/>
      <c r="W6" s="39"/>
      <c r="X6" s="39"/>
      <c r="Y6" s="39"/>
      <c r="Z6" s="39"/>
      <c r="AA6" s="39"/>
      <c r="AB6" s="64">
        <f>SUM(L6:AA6)</f>
        <v>0</v>
      </c>
    </row>
    <row r="7" spans="1:28" ht="16.95" customHeight="1">
      <c r="A7" s="567"/>
      <c r="B7" s="38">
        <v>4</v>
      </c>
      <c r="C7" s="307"/>
      <c r="D7" s="307"/>
      <c r="E7" s="307"/>
      <c r="F7" s="307"/>
      <c r="G7" s="49"/>
      <c r="H7" s="64">
        <f t="shared" si="0"/>
        <v>0</v>
      </c>
      <c r="J7" s="564"/>
      <c r="K7" s="39" t="s">
        <v>175</v>
      </c>
      <c r="L7" s="39"/>
      <c r="M7" s="39"/>
      <c r="N7" s="39"/>
      <c r="O7" s="39"/>
      <c r="P7" s="39"/>
      <c r="Q7" s="39"/>
      <c r="R7" s="39"/>
      <c r="S7" s="39"/>
      <c r="T7" s="39"/>
      <c r="U7" s="39"/>
      <c r="V7" s="39"/>
      <c r="W7" s="39"/>
      <c r="X7" s="39"/>
      <c r="Y7" s="39"/>
      <c r="Z7" s="39"/>
      <c r="AA7" s="39"/>
      <c r="AB7" s="64">
        <f>SUM(L7:AA7)</f>
        <v>0</v>
      </c>
    </row>
    <row r="8" spans="1:28" ht="16.95" customHeight="1">
      <c r="A8" s="567"/>
      <c r="B8" s="38">
        <v>5</v>
      </c>
      <c r="C8" s="307"/>
      <c r="D8" s="307"/>
      <c r="E8" s="307"/>
      <c r="F8" s="307"/>
      <c r="G8" s="49"/>
      <c r="H8" s="64">
        <f t="shared" si="0"/>
        <v>0</v>
      </c>
      <c r="J8" s="564"/>
      <c r="K8" s="39" t="s">
        <v>445</v>
      </c>
      <c r="L8" s="39"/>
      <c r="M8" s="39"/>
      <c r="N8" s="39"/>
      <c r="O8" s="39"/>
      <c r="P8" s="39"/>
      <c r="Q8" s="39"/>
      <c r="R8" s="39"/>
      <c r="S8" s="39"/>
      <c r="T8" s="39"/>
      <c r="U8" s="39"/>
      <c r="V8" s="39"/>
      <c r="W8" s="39"/>
      <c r="X8" s="39"/>
      <c r="Y8" s="39"/>
      <c r="Z8" s="39"/>
      <c r="AA8" s="39"/>
      <c r="AB8" s="64">
        <f>SUM(L8:AA8)</f>
        <v>0</v>
      </c>
    </row>
    <row r="9" spans="1:28" ht="16.95" customHeight="1">
      <c r="A9" s="567"/>
      <c r="B9" s="38">
        <v>6</v>
      </c>
      <c r="C9" s="307"/>
      <c r="D9" s="307"/>
      <c r="E9" s="307"/>
      <c r="F9" s="307"/>
      <c r="G9" s="49"/>
      <c r="H9" s="64">
        <f t="shared" si="0"/>
        <v>0</v>
      </c>
      <c r="J9" s="565"/>
      <c r="K9" s="39" t="s">
        <v>294</v>
      </c>
      <c r="L9" s="39"/>
      <c r="M9" s="39"/>
      <c r="N9" s="39"/>
      <c r="O9" s="39"/>
      <c r="P9" s="39"/>
      <c r="Q9" s="39"/>
      <c r="R9" s="39"/>
      <c r="S9" s="39"/>
      <c r="T9" s="39"/>
      <c r="U9" s="39"/>
      <c r="V9" s="39"/>
      <c r="W9" s="39"/>
      <c r="X9" s="39"/>
      <c r="Y9" s="39"/>
      <c r="Z9" s="39"/>
      <c r="AA9" s="39"/>
      <c r="AB9" s="34"/>
    </row>
    <row r="10" spans="1:28" ht="16.95" customHeight="1">
      <c r="A10" s="567"/>
      <c r="B10" s="38">
        <v>7</v>
      </c>
      <c r="C10" s="307"/>
      <c r="D10" s="307"/>
      <c r="E10" s="307"/>
      <c r="F10" s="307"/>
      <c r="G10" s="49"/>
      <c r="H10" s="64">
        <f t="shared" si="0"/>
        <v>0</v>
      </c>
      <c r="J10" s="8"/>
      <c r="K10" s="62"/>
      <c r="L10" s="30"/>
      <c r="M10" s="30"/>
      <c r="N10" s="30"/>
      <c r="O10" s="30"/>
      <c r="P10" s="63"/>
    </row>
    <row r="11" spans="1:28" ht="16.95" customHeight="1">
      <c r="A11" s="567"/>
      <c r="B11" s="38">
        <v>8</v>
      </c>
      <c r="C11" s="307"/>
      <c r="D11" s="307"/>
      <c r="E11" s="307"/>
      <c r="F11" s="307"/>
      <c r="G11" s="49"/>
      <c r="H11" s="64">
        <f t="shared" si="0"/>
        <v>0</v>
      </c>
      <c r="J11" s="8"/>
      <c r="K11" s="62"/>
      <c r="L11" s="30"/>
      <c r="M11" s="30"/>
      <c r="N11" s="30"/>
      <c r="O11" s="30"/>
      <c r="P11" s="63"/>
    </row>
    <row r="12" spans="1:28" ht="16.95" customHeight="1">
      <c r="A12" s="567"/>
      <c r="B12" s="38">
        <v>9</v>
      </c>
      <c r="C12" s="307"/>
      <c r="D12" s="307"/>
      <c r="E12" s="307"/>
      <c r="F12" s="307"/>
      <c r="G12" s="49"/>
      <c r="H12" s="64">
        <f t="shared" si="0"/>
        <v>0</v>
      </c>
      <c r="J12" s="8"/>
      <c r="K12" s="62"/>
      <c r="L12" s="30"/>
      <c r="M12" s="30"/>
      <c r="N12" s="30"/>
      <c r="O12" s="30"/>
      <c r="P12" s="63"/>
    </row>
    <row r="13" spans="1:28" ht="16.95" customHeight="1">
      <c r="A13" s="567"/>
      <c r="B13" s="38">
        <v>10</v>
      </c>
      <c r="C13" s="307"/>
      <c r="D13" s="307"/>
      <c r="E13" s="307"/>
      <c r="F13" s="307"/>
      <c r="G13" s="49"/>
      <c r="H13" s="64">
        <f t="shared" si="0"/>
        <v>0</v>
      </c>
      <c r="J13" s="8"/>
      <c r="K13" s="62"/>
      <c r="L13" s="30"/>
      <c r="M13" s="30"/>
      <c r="N13" s="30"/>
      <c r="O13" s="30"/>
      <c r="P13" s="63"/>
    </row>
    <row r="14" spans="1:28" ht="16.95" customHeight="1">
      <c r="A14" s="567"/>
      <c r="B14" s="38">
        <v>11</v>
      </c>
      <c r="C14" s="307"/>
      <c r="D14" s="307"/>
      <c r="E14" s="307"/>
      <c r="F14" s="307"/>
      <c r="G14" s="49"/>
      <c r="H14" s="64">
        <f t="shared" si="0"/>
        <v>0</v>
      </c>
      <c r="J14" s="8"/>
      <c r="K14" s="62"/>
      <c r="L14" s="30"/>
      <c r="M14" s="30"/>
      <c r="N14" s="30"/>
      <c r="O14" s="30"/>
      <c r="P14" s="63"/>
    </row>
    <row r="15" spans="1:28" ht="16.95" customHeight="1">
      <c r="A15" s="567"/>
      <c r="B15" s="38">
        <v>12</v>
      </c>
      <c r="C15" s="307"/>
      <c r="D15" s="307"/>
      <c r="E15" s="307"/>
      <c r="F15" s="307"/>
      <c r="G15" s="49"/>
      <c r="H15" s="64">
        <f t="shared" si="0"/>
        <v>0</v>
      </c>
      <c r="J15" s="8"/>
      <c r="K15" s="62"/>
      <c r="L15" s="30"/>
      <c r="M15" s="30"/>
      <c r="N15" s="30"/>
      <c r="O15" s="30"/>
      <c r="P15" s="63"/>
    </row>
    <row r="16" spans="1:28" ht="16.95" customHeight="1">
      <c r="A16" s="567"/>
      <c r="B16" s="38">
        <v>13</v>
      </c>
      <c r="C16" s="307"/>
      <c r="D16" s="307"/>
      <c r="E16" s="307"/>
      <c r="F16" s="307"/>
      <c r="G16" s="49"/>
      <c r="H16" s="64">
        <f t="shared" si="0"/>
        <v>0</v>
      </c>
      <c r="J16" s="8"/>
      <c r="K16" s="62"/>
      <c r="L16" s="30"/>
      <c r="M16" s="30"/>
      <c r="N16" s="30"/>
      <c r="O16" s="30"/>
      <c r="P16" s="63"/>
    </row>
    <row r="17" spans="1:16" ht="16.95" customHeight="1">
      <c r="A17" s="567"/>
      <c r="B17" s="38">
        <v>14</v>
      </c>
      <c r="C17" s="307"/>
      <c r="D17" s="307"/>
      <c r="E17" s="307"/>
      <c r="F17" s="307"/>
      <c r="G17" s="49"/>
      <c r="H17" s="64">
        <f t="shared" si="0"/>
        <v>0</v>
      </c>
      <c r="J17" s="8"/>
      <c r="K17" s="62"/>
      <c r="L17" s="30"/>
      <c r="M17" s="30"/>
      <c r="N17" s="30"/>
      <c r="O17" s="30"/>
      <c r="P17" s="63"/>
    </row>
    <row r="18" spans="1:16" ht="16.95" customHeight="1">
      <c r="A18" s="567"/>
      <c r="B18" s="38">
        <v>15</v>
      </c>
      <c r="C18" s="307"/>
      <c r="D18" s="307"/>
      <c r="E18" s="307"/>
      <c r="F18" s="307"/>
      <c r="G18" s="49"/>
      <c r="H18" s="64">
        <f t="shared" si="0"/>
        <v>0</v>
      </c>
      <c r="J18" s="8"/>
      <c r="K18" s="62"/>
      <c r="L18" s="30"/>
      <c r="M18" s="30"/>
      <c r="N18" s="30"/>
      <c r="O18" s="30"/>
      <c r="P18" s="63"/>
    </row>
    <row r="19" spans="1:16" ht="16.95" customHeight="1">
      <c r="A19" s="567"/>
      <c r="B19" s="38">
        <v>16</v>
      </c>
      <c r="C19" s="307"/>
      <c r="D19" s="307"/>
      <c r="E19" s="307"/>
      <c r="F19" s="307"/>
      <c r="G19" s="49"/>
      <c r="H19" s="64">
        <f t="shared" si="0"/>
        <v>0</v>
      </c>
      <c r="J19" s="8"/>
      <c r="K19" s="62"/>
      <c r="L19" s="30"/>
      <c r="M19" s="30"/>
      <c r="N19" s="30"/>
      <c r="O19" s="30"/>
      <c r="P19" s="63"/>
    </row>
    <row r="20" spans="1:16">
      <c r="A20" s="567"/>
      <c r="B20" s="49" t="s">
        <v>446</v>
      </c>
      <c r="C20" s="49"/>
      <c r="D20" s="49"/>
      <c r="E20" s="49"/>
      <c r="F20" s="49"/>
      <c r="G20" s="49"/>
    </row>
    <row r="22" spans="1:16">
      <c r="A22" s="6" t="s">
        <v>447</v>
      </c>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sheetData>
    <row r="1" spans="1:10" ht="21.6" customHeight="1">
      <c r="A1" s="574" t="str">
        <f>"PV - "&amp;Prototype!B4</f>
        <v>PV - Assembly</v>
      </c>
      <c r="B1" s="574"/>
      <c r="C1" s="574"/>
      <c r="D1" s="574"/>
      <c r="E1" s="574"/>
      <c r="F1" s="574"/>
      <c r="G1" s="574"/>
      <c r="H1" s="574"/>
      <c r="I1" s="574"/>
      <c r="J1" s="574"/>
    </row>
    <row r="2" spans="1:10">
      <c r="A2" t="s">
        <v>448</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cols>
    <col min="1" max="1" width="21" style="6" customWidth="1"/>
    <col min="2" max="2" width="14.33203125" style="6" customWidth="1"/>
    <col min="3" max="3" width="14.5546875" style="6" customWidth="1"/>
    <col min="4" max="8" width="8.6640625" style="6"/>
    <col min="9" max="9" width="13.6640625" style="6" customWidth="1"/>
    <col min="10" max="10" width="14.44140625" style="6" customWidth="1"/>
    <col min="11" max="16384" width="8.6640625" style="6"/>
  </cols>
  <sheetData>
    <row r="1" spans="1:8" ht="20.399999999999999" customHeight="1">
      <c r="A1" s="465" t="str">
        <f>"EV Charger - "&amp;Prototype!B4</f>
        <v>EV Charger - Assembly</v>
      </c>
      <c r="B1" s="465"/>
      <c r="C1" s="465"/>
      <c r="D1" s="465"/>
      <c r="E1" s="465"/>
      <c r="F1" s="465"/>
      <c r="G1" s="465"/>
      <c r="H1" s="465"/>
    </row>
    <row r="2" spans="1:8" ht="14.4">
      <c r="A2" t="s">
        <v>448</v>
      </c>
      <c r="B2" s="45"/>
      <c r="C2" s="46"/>
      <c r="D2" s="47"/>
      <c r="E2" s="47"/>
    </row>
    <row r="3" spans="1:8">
      <c r="A3" s="326"/>
      <c r="B3" s="327"/>
      <c r="C3" s="292"/>
      <c r="D3" s="48"/>
      <c r="E3" s="48"/>
    </row>
    <row r="11" spans="1:8" s="24" customFormat="1" hidden="1">
      <c r="A11" s="24" t="s">
        <v>141</v>
      </c>
      <c r="E11" s="25"/>
      <c r="F11" s="26"/>
      <c r="G11" s="27"/>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3A34-BD3B-406D-A0C9-08DA77A68C81}">
  <dimension ref="A1:G83"/>
  <sheetViews>
    <sheetView topLeftCell="A58" workbookViewId="0">
      <selection activeCell="L22" sqref="L22"/>
    </sheetView>
  </sheetViews>
  <sheetFormatPr defaultRowHeight="14.4"/>
  <cols>
    <col min="1" max="1" width="58.6640625" customWidth="1"/>
    <col min="2" max="2" width="30.88671875" customWidth="1"/>
    <col min="3" max="3" width="30.33203125" customWidth="1"/>
  </cols>
  <sheetData>
    <row r="1" spans="1:7">
      <c r="A1" t="s">
        <v>449</v>
      </c>
      <c r="B1" t="s">
        <v>450</v>
      </c>
      <c r="C1" t="s">
        <v>450</v>
      </c>
      <c r="D1" s="575" t="s">
        <v>451</v>
      </c>
      <c r="E1" s="575"/>
      <c r="F1" s="575"/>
      <c r="G1" s="575"/>
    </row>
    <row r="2" spans="1:7">
      <c r="A2" t="s">
        <v>452</v>
      </c>
      <c r="D2">
        <v>2013</v>
      </c>
      <c r="E2">
        <v>2016</v>
      </c>
      <c r="F2">
        <v>2019</v>
      </c>
      <c r="G2">
        <v>2025</v>
      </c>
    </row>
    <row r="3" spans="1:7">
      <c r="A3" t="s">
        <v>453</v>
      </c>
    </row>
    <row r="4" spans="1:7">
      <c r="A4" t="s">
        <v>454</v>
      </c>
    </row>
    <row r="5" spans="1:7">
      <c r="A5" t="s">
        <v>455</v>
      </c>
    </row>
    <row r="6" spans="1:7">
      <c r="A6" t="s">
        <v>456</v>
      </c>
    </row>
    <row r="7" spans="1:7">
      <c r="A7" t="s">
        <v>457</v>
      </c>
    </row>
    <row r="8" spans="1:7">
      <c r="A8" t="s">
        <v>458</v>
      </c>
    </row>
    <row r="9" spans="1:7">
      <c r="A9" t="s">
        <v>459</v>
      </c>
    </row>
    <row r="10" spans="1:7">
      <c r="A10" t="s">
        <v>460</v>
      </c>
    </row>
    <row r="11" spans="1:7">
      <c r="A11" t="s">
        <v>99</v>
      </c>
    </row>
    <row r="12" spans="1:7">
      <c r="A12" t="s">
        <v>461</v>
      </c>
    </row>
    <row r="13" spans="1:7">
      <c r="A13" t="s">
        <v>462</v>
      </c>
    </row>
    <row r="14" spans="1:7">
      <c r="A14" t="s">
        <v>463</v>
      </c>
    </row>
    <row r="15" spans="1:7">
      <c r="A15" t="s">
        <v>464</v>
      </c>
    </row>
    <row r="16" spans="1:7">
      <c r="A16" t="s">
        <v>129</v>
      </c>
    </row>
    <row r="17" spans="1:1">
      <c r="A17" t="s">
        <v>93</v>
      </c>
    </row>
    <row r="18" spans="1:1">
      <c r="A18" t="s">
        <v>465</v>
      </c>
    </row>
    <row r="19" spans="1:1">
      <c r="A19" t="s">
        <v>466</v>
      </c>
    </row>
    <row r="20" spans="1:1">
      <c r="A20" t="s">
        <v>467</v>
      </c>
    </row>
    <row r="21" spans="1:1">
      <c r="A21" t="s">
        <v>468</v>
      </c>
    </row>
    <row r="22" spans="1:1">
      <c r="A22" t="s">
        <v>469</v>
      </c>
    </row>
    <row r="23" spans="1:1">
      <c r="A23" t="s">
        <v>470</v>
      </c>
    </row>
    <row r="24" spans="1:1">
      <c r="A24" t="s">
        <v>121</v>
      </c>
    </row>
    <row r="25" spans="1:1">
      <c r="A25" t="s">
        <v>471</v>
      </c>
    </row>
    <row r="26" spans="1:1">
      <c r="A26" t="s">
        <v>472</v>
      </c>
    </row>
    <row r="27" spans="1:1">
      <c r="A27" t="s">
        <v>473</v>
      </c>
    </row>
    <row r="28" spans="1:1">
      <c r="A28" t="s">
        <v>474</v>
      </c>
    </row>
    <row r="29" spans="1:1">
      <c r="A29" t="s">
        <v>475</v>
      </c>
    </row>
    <row r="30" spans="1:1">
      <c r="A30" t="s">
        <v>476</v>
      </c>
    </row>
    <row r="31" spans="1:1">
      <c r="A31" t="s">
        <v>477</v>
      </c>
    </row>
    <row r="32" spans="1:1">
      <c r="A32" t="s">
        <v>478</v>
      </c>
    </row>
    <row r="33" spans="1:1">
      <c r="A33" t="s">
        <v>479</v>
      </c>
    </row>
    <row r="34" spans="1:1">
      <c r="A34" t="s">
        <v>480</v>
      </c>
    </row>
    <row r="35" spans="1:1">
      <c r="A35" t="s">
        <v>481</v>
      </c>
    </row>
    <row r="36" spans="1:1">
      <c r="A36" t="s">
        <v>482</v>
      </c>
    </row>
    <row r="37" spans="1:1">
      <c r="A37" t="s">
        <v>483</v>
      </c>
    </row>
    <row r="38" spans="1:1">
      <c r="A38" t="s">
        <v>484</v>
      </c>
    </row>
    <row r="39" spans="1:1">
      <c r="A39" t="s">
        <v>485</v>
      </c>
    </row>
    <row r="40" spans="1:1">
      <c r="A40" t="s">
        <v>106</v>
      </c>
    </row>
    <row r="41" spans="1:1">
      <c r="A41" t="s">
        <v>108</v>
      </c>
    </row>
    <row r="42" spans="1:1">
      <c r="A42" t="s">
        <v>110</v>
      </c>
    </row>
    <row r="43" spans="1:1">
      <c r="A43" t="s">
        <v>124</v>
      </c>
    </row>
    <row r="44" spans="1:1">
      <c r="A44" t="s">
        <v>486</v>
      </c>
    </row>
    <row r="45" spans="1:1">
      <c r="A45" t="s">
        <v>487</v>
      </c>
    </row>
    <row r="46" spans="1:1">
      <c r="A46" t="s">
        <v>488</v>
      </c>
    </row>
    <row r="47" spans="1:1">
      <c r="A47" t="s">
        <v>489</v>
      </c>
    </row>
    <row r="48" spans="1:1">
      <c r="A48" t="s">
        <v>101</v>
      </c>
    </row>
    <row r="49" spans="1:1">
      <c r="A49" t="s">
        <v>490</v>
      </c>
    </row>
    <row r="50" spans="1:1">
      <c r="A50" t="s">
        <v>115</v>
      </c>
    </row>
    <row r="51" spans="1:1">
      <c r="A51" t="s">
        <v>491</v>
      </c>
    </row>
    <row r="52" spans="1:1">
      <c r="A52" t="s">
        <v>492</v>
      </c>
    </row>
    <row r="53" spans="1:1">
      <c r="A53" t="s">
        <v>493</v>
      </c>
    </row>
    <row r="54" spans="1:1">
      <c r="A54" t="s">
        <v>494</v>
      </c>
    </row>
    <row r="55" spans="1:1">
      <c r="A55" t="s">
        <v>495</v>
      </c>
    </row>
    <row r="56" spans="1:1">
      <c r="A56" t="s">
        <v>496</v>
      </c>
    </row>
    <row r="57" spans="1:1">
      <c r="A57" t="s">
        <v>497</v>
      </c>
    </row>
    <row r="58" spans="1:1">
      <c r="A58" t="s">
        <v>118</v>
      </c>
    </row>
    <row r="59" spans="1:1">
      <c r="A59" t="s">
        <v>126</v>
      </c>
    </row>
    <row r="60" spans="1:1">
      <c r="A60" t="s">
        <v>498</v>
      </c>
    </row>
    <row r="61" spans="1:1">
      <c r="A61" t="s">
        <v>499</v>
      </c>
    </row>
    <row r="62" spans="1:1">
      <c r="A62" t="s">
        <v>500</v>
      </c>
    </row>
    <row r="63" spans="1:1">
      <c r="A63" t="s">
        <v>501</v>
      </c>
    </row>
    <row r="64" spans="1:1">
      <c r="A64" t="s">
        <v>502</v>
      </c>
    </row>
    <row r="65" spans="1:1">
      <c r="A65" t="s">
        <v>503</v>
      </c>
    </row>
    <row r="66" spans="1:1">
      <c r="A66" t="s">
        <v>504</v>
      </c>
    </row>
    <row r="67" spans="1:1">
      <c r="A67" t="s">
        <v>505</v>
      </c>
    </row>
    <row r="68" spans="1:1">
      <c r="A68" t="s">
        <v>506</v>
      </c>
    </row>
    <row r="69" spans="1:1">
      <c r="A69" t="s">
        <v>97</v>
      </c>
    </row>
    <row r="70" spans="1:1">
      <c r="A70" t="s">
        <v>507</v>
      </c>
    </row>
    <row r="71" spans="1:1">
      <c r="A71" t="s">
        <v>133</v>
      </c>
    </row>
    <row r="72" spans="1:1">
      <c r="A72" t="s">
        <v>135</v>
      </c>
    </row>
    <row r="73" spans="1:1">
      <c r="A73" t="s">
        <v>508</v>
      </c>
    </row>
    <row r="74" spans="1:1">
      <c r="A74" t="s">
        <v>509</v>
      </c>
    </row>
    <row r="75" spans="1:1">
      <c r="A75" t="s">
        <v>510</v>
      </c>
    </row>
    <row r="76" spans="1:1">
      <c r="A76" t="s">
        <v>511</v>
      </c>
    </row>
    <row r="77" spans="1:1">
      <c r="A77" t="s">
        <v>512</v>
      </c>
    </row>
    <row r="78" spans="1:1">
      <c r="A78" t="s">
        <v>513</v>
      </c>
    </row>
    <row r="79" spans="1:1">
      <c r="A79" t="s">
        <v>408</v>
      </c>
    </row>
    <row r="80" spans="1:1">
      <c r="A80" t="s">
        <v>514</v>
      </c>
    </row>
    <row r="81" spans="1:1">
      <c r="A81" t="s">
        <v>515</v>
      </c>
    </row>
    <row r="82" spans="1:1">
      <c r="A82" t="s">
        <v>516</v>
      </c>
    </row>
    <row r="83" spans="1:1">
      <c r="A83" t="s">
        <v>517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88F960-1972-4CFF-A95C-503BA3E97A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MSIP_Label_aa7be39c-9e9f-446a-a199-286f73f56a3f_Tag">
    <vt:lpwstr>10, 3, 0, 2</vt:lpwstr>
  </property>
  <property fmtid="{D5CDD505-2E9C-101B-9397-08002B2CF9AE}" pid="19" name="xd_ProgID">
    <vt:lpwstr/>
  </property>
  <property fmtid="{D5CDD505-2E9C-101B-9397-08002B2CF9AE}" pid="20" name="ComplianceAssetId">
    <vt:lpwstr/>
  </property>
  <property fmtid="{D5CDD505-2E9C-101B-9397-08002B2CF9AE}" pid="21" name="TemplateUrl">
    <vt:lpwstr/>
  </property>
  <property fmtid="{D5CDD505-2E9C-101B-9397-08002B2CF9AE}" pid="22" name="_ExtendedDescription">
    <vt:lpwstr/>
  </property>
  <property fmtid="{D5CDD505-2E9C-101B-9397-08002B2CF9AE}" pid="23" name="TriggerFlowInfo">
    <vt:lpwstr/>
  </property>
  <property fmtid="{D5CDD505-2E9C-101B-9397-08002B2CF9AE}" pid="24" name="xd_Signature">
    <vt:bool>false</vt:bool>
  </property>
</Properties>
</file>