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Check dictation and Spelling\Clean-uploaded to GH-6Oct2026\Without Weights\"/>
    </mc:Choice>
  </mc:AlternateContent>
  <xr:revisionPtr revIDLastSave="0" documentId="13_ncr:1_{48BD198A-4C9F-4E91-8F8D-AD8452637B4F}" xr6:coauthVersionLast="47" xr6:coauthVersionMax="47" xr10:uidLastSave="{00000000-0000-0000-0000-000000000000}"/>
  <bookViews>
    <workbookView xWindow="-108" yWindow="-108" windowWidth="23256" windowHeight="13896" tabRatio="770" xr2:uid="{EAC23EE3-0CA0-4FF8-990D-9B21A59FA3E0}"/>
  </bookViews>
  <sheets>
    <sheet name="Notes" sheetId="23" r:id="rId1"/>
    <sheet name="Prototype" sheetId="2" r:id="rId2"/>
    <sheet name="Zones" sheetId="34" r:id="rId3"/>
    <sheet name="Envelope" sheetId="1" r:id="rId4"/>
    <sheet name="HVAC System" sheetId="14" r:id="rId5"/>
    <sheet name="Thermostat" sheetId="31" r:id="rId6"/>
    <sheet name="Ventilation" sheetId="18" r:id="rId7"/>
    <sheet name="Water Heater" sheetId="33"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2" state="hidden" r:id="rId17"/>
  </sheets>
  <externalReferences>
    <externalReference r:id="rId18"/>
    <externalReference r:id="rId19"/>
  </externalReferences>
  <definedNames>
    <definedName name="_xlnm._FilterDatabase" localSheetId="16" hidden="1">Data!$E$1:$H$1</definedName>
    <definedName name="_xlnm._FilterDatabase" localSheetId="6" hidden="1">Ventilation!$A$2:$L$57</definedName>
    <definedName name="_xlnm._FilterDatabase" localSheetId="2" hidden="1">Zones!$C$2:$L$57</definedName>
    <definedName name="nonparticipating_forecastzone_scale_factor" localSheetId="16">'[1]Energy Usage'!#REF!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5" l="1"/>
  <c r="F6" i="25"/>
  <c r="A10" i="33"/>
  <c r="A11" i="33"/>
  <c r="A12" i="33"/>
  <c r="A13" i="33"/>
  <c r="A14" i="33"/>
  <c r="A15" i="33"/>
  <c r="A16" i="33"/>
  <c r="A17" i="33"/>
  <c r="A18" i="33"/>
  <c r="A19" i="33"/>
  <c r="A20" i="33"/>
  <c r="A21" i="33"/>
  <c r="A22" i="33"/>
  <c r="A23" i="33"/>
  <c r="A24" i="33"/>
  <c r="A25" i="33"/>
  <c r="A26" i="33"/>
  <c r="A27" i="33"/>
  <c r="A28" i="33"/>
  <c r="A29" i="33"/>
  <c r="A30" i="33"/>
  <c r="A31" i="33"/>
  <c r="A32" i="33"/>
  <c r="A33" i="33"/>
  <c r="A34" i="33"/>
  <c r="A35" i="33"/>
  <c r="A36" i="33"/>
  <c r="A37" i="33"/>
  <c r="A38" i="33"/>
  <c r="A39" i="33"/>
  <c r="A40" i="33"/>
  <c r="A41" i="33"/>
  <c r="A42" i="33"/>
  <c r="A43" i="33"/>
  <c r="A44" i="33"/>
  <c r="A45" i="33"/>
  <c r="A46" i="33"/>
  <c r="A47" i="33"/>
  <c r="A48" i="33"/>
  <c r="A49" i="33"/>
  <c r="A50" i="33"/>
  <c r="A51" i="33"/>
  <c r="A52" i="33"/>
  <c r="A53" i="33"/>
  <c r="A54" i="33"/>
  <c r="A55" i="33"/>
  <c r="A56" i="33"/>
  <c r="A57" i="33"/>
  <c r="A58" i="33"/>
  <c r="A59" i="33"/>
  <c r="A60" i="33"/>
  <c r="A61" i="33"/>
  <c r="A9" i="33"/>
  <c r="C5" i="25"/>
  <c r="H57" i="34"/>
  <c r="C47" i="29"/>
  <c r="AD114" i="28"/>
  <c r="G19" i="29"/>
  <c r="D38" i="18"/>
  <c r="C9" i="33" l="1"/>
  <c r="D68" i="18"/>
  <c r="E68" i="18" s="1"/>
  <c r="D69" i="18"/>
  <c r="H69" i="18" s="1"/>
  <c r="D70" i="18"/>
  <c r="F70" i="18" s="1"/>
  <c r="D71" i="18"/>
  <c r="F71" i="18" s="1"/>
  <c r="D72" i="18"/>
  <c r="H72" i="18" s="1"/>
  <c r="D73" i="18"/>
  <c r="H73" i="18" s="1"/>
  <c r="D74" i="18"/>
  <c r="E74" i="18" s="1"/>
  <c r="D75" i="18"/>
  <c r="H75" i="18" s="1"/>
  <c r="D76" i="18"/>
  <c r="H76" i="18" s="1"/>
  <c r="D77" i="18"/>
  <c r="E77" i="18" s="1"/>
  <c r="D78" i="18"/>
  <c r="G78" i="18" s="1"/>
  <c r="H40" i="18" s="1"/>
  <c r="D79" i="18"/>
  <c r="H79" i="18" s="1"/>
  <c r="D80" i="18"/>
  <c r="E80" i="18" s="1"/>
  <c r="G68" i="18"/>
  <c r="H3" i="18" s="1"/>
  <c r="C62" i="18"/>
  <c r="D62" i="18" s="1"/>
  <c r="E62" i="18" s="1"/>
  <c r="C63" i="18"/>
  <c r="D63" i="18" s="1"/>
  <c r="E63" i="18" s="1"/>
  <c r="C61" i="18"/>
  <c r="D61" i="18" s="1"/>
  <c r="E61" i="18" s="1"/>
  <c r="J49" i="18"/>
  <c r="K31" i="18"/>
  <c r="K13" i="18"/>
  <c r="F78" i="18" l="1"/>
  <c r="G76" i="18"/>
  <c r="H26" i="18" s="1"/>
  <c r="G77" i="18"/>
  <c r="H39" i="18" s="1"/>
  <c r="H74" i="18"/>
  <c r="E73" i="18"/>
  <c r="E72" i="18"/>
  <c r="E71" i="18"/>
  <c r="E70" i="18"/>
  <c r="G75" i="18"/>
  <c r="H25" i="18" s="1"/>
  <c r="G74" i="18"/>
  <c r="H24" i="18" s="1"/>
  <c r="G73" i="18"/>
  <c r="H23" i="18" s="1"/>
  <c r="G72" i="18"/>
  <c r="H22" i="18" s="1"/>
  <c r="G71" i="18"/>
  <c r="H21" i="18" s="1"/>
  <c r="E69" i="18"/>
  <c r="G70" i="18"/>
  <c r="H7" i="18" s="1"/>
  <c r="G69" i="18"/>
  <c r="H4" i="18" s="1"/>
  <c r="F76" i="18"/>
  <c r="H77" i="18"/>
  <c r="F77" i="18"/>
  <c r="H80" i="18"/>
  <c r="F75" i="18"/>
  <c r="H78" i="18"/>
  <c r="F73" i="18"/>
  <c r="F72" i="18"/>
  <c r="E79" i="18"/>
  <c r="F69" i="18"/>
  <c r="E76" i="18"/>
  <c r="G80" i="18"/>
  <c r="H44" i="18" s="1"/>
  <c r="H71" i="18"/>
  <c r="E78" i="18"/>
  <c r="E75" i="18"/>
  <c r="G79" i="18"/>
  <c r="H43" i="18" s="1"/>
  <c r="H70" i="18"/>
  <c r="F68" i="18"/>
  <c r="F80" i="18"/>
  <c r="F79" i="18"/>
  <c r="H68" i="18"/>
  <c r="F74" i="18"/>
  <c r="B3" i="9" l="1"/>
  <c r="C13" i="9"/>
  <c r="G12" i="9"/>
  <c r="A5" i="25" l="1"/>
  <c r="A6" i="25"/>
  <c r="A7" i="25"/>
  <c r="A8" i="25"/>
  <c r="A9" i="25"/>
  <c r="A10" i="25"/>
  <c r="A11" i="25"/>
  <c r="A12" i="25"/>
  <c r="A13" i="25"/>
  <c r="A14" i="25"/>
  <c r="A4" i="25"/>
  <c r="A13" i="29"/>
  <c r="A11" i="29"/>
  <c r="A12" i="29"/>
  <c r="A3" i="29"/>
  <c r="A5" i="29"/>
  <c r="A6" i="29"/>
  <c r="A7" i="29"/>
  <c r="A8" i="29"/>
  <c r="A9" i="29"/>
  <c r="A10" i="29"/>
  <c r="A4" i="29"/>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D4" i="18"/>
  <c r="C4" i="18" s="1"/>
  <c r="D10" i="33" s="1"/>
  <c r="D5" i="18"/>
  <c r="D6" i="18"/>
  <c r="D7" i="18"/>
  <c r="C7" i="18" s="1"/>
  <c r="D13" i="33" s="1"/>
  <c r="D8" i="18"/>
  <c r="D9" i="18"/>
  <c r="D10" i="18"/>
  <c r="D11" i="18"/>
  <c r="D12" i="18"/>
  <c r="D13" i="18"/>
  <c r="J13" i="18" s="1"/>
  <c r="D14" i="18"/>
  <c r="D15" i="18"/>
  <c r="D16" i="18"/>
  <c r="D17" i="18"/>
  <c r="D18" i="18"/>
  <c r="D19" i="18"/>
  <c r="D20" i="18"/>
  <c r="D21" i="18"/>
  <c r="C21" i="18" s="1"/>
  <c r="D27" i="33" s="1"/>
  <c r="F27" i="33" s="1"/>
  <c r="G27" i="33" s="1"/>
  <c r="D22" i="18"/>
  <c r="C22" i="18" s="1"/>
  <c r="D28" i="33" s="1"/>
  <c r="F28" i="33" s="1"/>
  <c r="G28" i="33" s="1"/>
  <c r="D23" i="18"/>
  <c r="C23" i="18" s="1"/>
  <c r="D29" i="33" s="1"/>
  <c r="F29" i="33" s="1"/>
  <c r="G29" i="33" s="1"/>
  <c r="D24" i="18"/>
  <c r="C24" i="18" s="1"/>
  <c r="D30" i="33" s="1"/>
  <c r="F30" i="33" s="1"/>
  <c r="G30" i="33" s="1"/>
  <c r="D25" i="18"/>
  <c r="C25" i="18" s="1"/>
  <c r="D31" i="33" s="1"/>
  <c r="F31" i="33" s="1"/>
  <c r="G31" i="33" s="1"/>
  <c r="D26" i="18"/>
  <c r="C26" i="18" s="1"/>
  <c r="D32" i="33" s="1"/>
  <c r="F32" i="33" s="1"/>
  <c r="G32" i="33" s="1"/>
  <c r="D27" i="18"/>
  <c r="D28" i="18"/>
  <c r="D29" i="18"/>
  <c r="D30" i="18"/>
  <c r="D31" i="18"/>
  <c r="J31" i="18" s="1"/>
  <c r="D32" i="18"/>
  <c r="D33" i="18"/>
  <c r="D34" i="18"/>
  <c r="D35" i="18"/>
  <c r="D36" i="18"/>
  <c r="D37" i="18"/>
  <c r="K38" i="18"/>
  <c r="D39" i="18"/>
  <c r="C39" i="18" s="1"/>
  <c r="D45" i="33" s="1"/>
  <c r="F45" i="33" s="1"/>
  <c r="G45" i="33" s="1"/>
  <c r="D40" i="18"/>
  <c r="C40" i="18" s="1"/>
  <c r="D46" i="33" s="1"/>
  <c r="F46" i="33" s="1"/>
  <c r="G46" i="33" s="1"/>
  <c r="D41" i="18"/>
  <c r="D42" i="18"/>
  <c r="D43" i="18"/>
  <c r="C43" i="18" s="1"/>
  <c r="D49" i="33" s="1"/>
  <c r="F49" i="33" s="1"/>
  <c r="G49" i="33" s="1"/>
  <c r="D44" i="18"/>
  <c r="C44" i="18" s="1"/>
  <c r="D50" i="33" s="1"/>
  <c r="F50" i="33" s="1"/>
  <c r="G50" i="33" s="1"/>
  <c r="D45" i="18"/>
  <c r="D46" i="18"/>
  <c r="D47" i="18"/>
  <c r="D48" i="18"/>
  <c r="D49" i="18"/>
  <c r="I49" i="18" s="1"/>
  <c r="D50" i="18"/>
  <c r="D51" i="18"/>
  <c r="D52" i="18"/>
  <c r="D53" i="18"/>
  <c r="D54" i="18"/>
  <c r="D55" i="18"/>
  <c r="D56" i="18"/>
  <c r="J56" i="18" s="1"/>
  <c r="D57" i="18"/>
  <c r="D3" i="18"/>
  <c r="C3" i="18" s="1"/>
  <c r="D9" i="33" s="1"/>
  <c r="A51" i="18"/>
  <c r="B51" i="18"/>
  <c r="A52" i="18"/>
  <c r="B52" i="18"/>
  <c r="A53" i="18"/>
  <c r="B53" i="18"/>
  <c r="A54" i="18"/>
  <c r="B54" i="18"/>
  <c r="A55" i="18"/>
  <c r="B55" i="18"/>
  <c r="A56" i="18"/>
  <c r="B56" i="18"/>
  <c r="A57" i="18"/>
  <c r="B57" i="18"/>
  <c r="A24" i="18"/>
  <c r="B24" i="18"/>
  <c r="A25" i="18"/>
  <c r="B25" i="18"/>
  <c r="A26" i="18"/>
  <c r="B26" i="18"/>
  <c r="A27" i="18"/>
  <c r="B27" i="18"/>
  <c r="A28" i="18"/>
  <c r="B28" i="18"/>
  <c r="A29" i="18"/>
  <c r="B29" i="18"/>
  <c r="A30" i="18"/>
  <c r="B30" i="18"/>
  <c r="A31" i="18"/>
  <c r="B31" i="18"/>
  <c r="A32" i="18"/>
  <c r="B32" i="18"/>
  <c r="A33" i="18"/>
  <c r="B33" i="18"/>
  <c r="A34" i="18"/>
  <c r="B34" i="18"/>
  <c r="A35" i="18"/>
  <c r="B35" i="18"/>
  <c r="A36" i="18"/>
  <c r="B36" i="18"/>
  <c r="A37" i="18"/>
  <c r="B37" i="18"/>
  <c r="A38" i="18"/>
  <c r="B38" i="18"/>
  <c r="A39" i="18"/>
  <c r="B39" i="18"/>
  <c r="A40" i="18"/>
  <c r="B40" i="18"/>
  <c r="A41" i="18"/>
  <c r="B41" i="18"/>
  <c r="A42" i="18"/>
  <c r="B42" i="18"/>
  <c r="A43" i="18"/>
  <c r="B43" i="18"/>
  <c r="A44" i="18"/>
  <c r="B44" i="18"/>
  <c r="A45" i="18"/>
  <c r="B45" i="18"/>
  <c r="A46" i="18"/>
  <c r="B46" i="18"/>
  <c r="A47" i="18"/>
  <c r="B47" i="18"/>
  <c r="A48" i="18"/>
  <c r="B48" i="18"/>
  <c r="A49" i="18"/>
  <c r="B49" i="18"/>
  <c r="A50" i="18"/>
  <c r="B50" i="18"/>
  <c r="A4" i="18"/>
  <c r="B4" i="18"/>
  <c r="A5" i="18"/>
  <c r="B5" i="18"/>
  <c r="A6" i="18"/>
  <c r="B6" i="18"/>
  <c r="A7" i="18"/>
  <c r="B7" i="18"/>
  <c r="A8" i="18"/>
  <c r="B8" i="18"/>
  <c r="A9" i="18"/>
  <c r="B9" i="18"/>
  <c r="A10" i="18"/>
  <c r="B10" i="18"/>
  <c r="A11" i="18"/>
  <c r="B11" i="18"/>
  <c r="A12" i="18"/>
  <c r="B12" i="18"/>
  <c r="A13" i="18"/>
  <c r="B13" i="18"/>
  <c r="A14" i="18"/>
  <c r="B14" i="18"/>
  <c r="A15" i="18"/>
  <c r="B15" i="18"/>
  <c r="A16" i="18"/>
  <c r="B16" i="18"/>
  <c r="A17" i="18"/>
  <c r="B17" i="18"/>
  <c r="A18" i="18"/>
  <c r="B18" i="18"/>
  <c r="A19" i="18"/>
  <c r="B19" i="18"/>
  <c r="A20" i="18"/>
  <c r="B20" i="18"/>
  <c r="A21" i="18"/>
  <c r="B21" i="18"/>
  <c r="A22" i="18"/>
  <c r="B22" i="18"/>
  <c r="A23" i="18"/>
  <c r="B23" i="18"/>
  <c r="B3" i="18"/>
  <c r="A3" i="18"/>
  <c r="J43" i="18" l="1"/>
  <c r="K43" i="18"/>
  <c r="J21" i="18"/>
  <c r="K21" i="18"/>
  <c r="K42" i="18"/>
  <c r="J42" i="18"/>
  <c r="K20" i="18"/>
  <c r="K41" i="18"/>
  <c r="J41" i="18"/>
  <c r="K19" i="18"/>
  <c r="J19" i="18"/>
  <c r="J34" i="18"/>
  <c r="K34" i="18"/>
  <c r="K36" i="18"/>
  <c r="J36" i="18"/>
  <c r="J12" i="18"/>
  <c r="K12" i="18"/>
  <c r="J33" i="18"/>
  <c r="K33" i="18"/>
  <c r="J11" i="18"/>
  <c r="K11" i="18"/>
  <c r="J54" i="18"/>
  <c r="I54" i="18"/>
  <c r="J32" i="18"/>
  <c r="K32" i="18"/>
  <c r="K10" i="18"/>
  <c r="J10" i="18"/>
  <c r="J9" i="18"/>
  <c r="K9" i="18"/>
  <c r="K18" i="18"/>
  <c r="J18" i="18"/>
  <c r="J39" i="18"/>
  <c r="K39" i="18"/>
  <c r="I52" i="18"/>
  <c r="J52" i="18"/>
  <c r="K30" i="18"/>
  <c r="J30" i="18"/>
  <c r="J8" i="18"/>
  <c r="K8" i="18"/>
  <c r="J17" i="18"/>
  <c r="K17" i="18"/>
  <c r="J7" i="18"/>
  <c r="K7" i="18"/>
  <c r="I51" i="18"/>
  <c r="J51" i="18"/>
  <c r="K29" i="18"/>
  <c r="J29" i="18"/>
  <c r="I50" i="18"/>
  <c r="J50" i="18"/>
  <c r="K28" i="18"/>
  <c r="J28" i="18"/>
  <c r="J6" i="18"/>
  <c r="K6" i="18"/>
  <c r="J27" i="18"/>
  <c r="K27" i="18"/>
  <c r="J5" i="18"/>
  <c r="K5" i="18"/>
  <c r="J16" i="18"/>
  <c r="K16" i="18"/>
  <c r="J55" i="18"/>
  <c r="I55" i="18"/>
  <c r="J48" i="18"/>
  <c r="I48" i="18"/>
  <c r="J26" i="18"/>
  <c r="K26" i="18"/>
  <c r="J4" i="18"/>
  <c r="K4" i="18"/>
  <c r="J25" i="18"/>
  <c r="K25" i="18"/>
  <c r="K15" i="18"/>
  <c r="J15" i="18"/>
  <c r="I46" i="18"/>
  <c r="J46" i="18"/>
  <c r="K40" i="18"/>
  <c r="J40" i="18"/>
  <c r="J3" i="18"/>
  <c r="K3" i="18"/>
  <c r="I45" i="18"/>
  <c r="J45" i="18"/>
  <c r="K23" i="18"/>
  <c r="J23" i="18"/>
  <c r="J37" i="18"/>
  <c r="K37" i="18"/>
  <c r="J14" i="18"/>
  <c r="K14" i="18"/>
  <c r="K35" i="18"/>
  <c r="J35" i="18"/>
  <c r="I53" i="18"/>
  <c r="J53" i="18"/>
  <c r="J47" i="18"/>
  <c r="I47" i="18"/>
  <c r="K24" i="18"/>
  <c r="J24" i="18"/>
  <c r="J44" i="18"/>
  <c r="K44" i="18"/>
  <c r="J22" i="18"/>
  <c r="K22" i="18"/>
  <c r="G4" i="34"/>
  <c r="G5" i="34"/>
  <c r="G6" i="34"/>
  <c r="G7" i="34"/>
  <c r="G8" i="34"/>
  <c r="Q29" i="34" s="1"/>
  <c r="G9" i="34"/>
  <c r="Q30" i="34" s="1"/>
  <c r="G10" i="34"/>
  <c r="G11" i="34"/>
  <c r="G12" i="34"/>
  <c r="G13" i="34"/>
  <c r="G14" i="34"/>
  <c r="G15" i="34"/>
  <c r="G16" i="34"/>
  <c r="G17" i="34"/>
  <c r="G18" i="34"/>
  <c r="G19" i="34"/>
  <c r="G21" i="34"/>
  <c r="G22" i="34"/>
  <c r="G23" i="34"/>
  <c r="G24" i="34"/>
  <c r="G25" i="34"/>
  <c r="G26" i="34"/>
  <c r="G27" i="34"/>
  <c r="G28" i="34"/>
  <c r="G29" i="34"/>
  <c r="G30" i="34"/>
  <c r="G31" i="34"/>
  <c r="G32" i="34"/>
  <c r="G33" i="34"/>
  <c r="G34" i="34"/>
  <c r="G35" i="34"/>
  <c r="G36" i="34"/>
  <c r="G37" i="34"/>
  <c r="G39" i="34"/>
  <c r="G40" i="34"/>
  <c r="G41" i="34"/>
  <c r="G42" i="34"/>
  <c r="G43" i="34"/>
  <c r="G44" i="34"/>
  <c r="G45" i="34"/>
  <c r="G46" i="34"/>
  <c r="G47" i="34"/>
  <c r="G48" i="34"/>
  <c r="G49" i="34"/>
  <c r="G50" i="34"/>
  <c r="G51" i="34"/>
  <c r="G52" i="34"/>
  <c r="G53" i="34"/>
  <c r="G54" i="34"/>
  <c r="G55" i="34"/>
  <c r="G3" i="34"/>
  <c r="K4" i="34"/>
  <c r="K5" i="34"/>
  <c r="C5" i="18" s="1"/>
  <c r="D11" i="33" s="1"/>
  <c r="K6" i="34"/>
  <c r="C6" i="18" s="1"/>
  <c r="D12" i="33" s="1"/>
  <c r="K7" i="34"/>
  <c r="K8" i="34"/>
  <c r="C8" i="18" s="1"/>
  <c r="D14" i="33" s="1"/>
  <c r="K9" i="34"/>
  <c r="C9" i="18" s="1"/>
  <c r="D15" i="33" s="1"/>
  <c r="K10" i="34"/>
  <c r="C10" i="18" s="1"/>
  <c r="D16" i="33" s="1"/>
  <c r="F16" i="33" s="1"/>
  <c r="K11" i="34"/>
  <c r="C11" i="18" s="1"/>
  <c r="D17" i="33" s="1"/>
  <c r="K12" i="34"/>
  <c r="C12" i="18" s="1"/>
  <c r="D18" i="33" s="1"/>
  <c r="K13" i="34"/>
  <c r="C13" i="18" s="1"/>
  <c r="D19" i="33" s="1"/>
  <c r="K14" i="34"/>
  <c r="C14" i="18" s="1"/>
  <c r="D20" i="33" s="1"/>
  <c r="K15" i="34"/>
  <c r="C15" i="18" s="1"/>
  <c r="D21" i="33" s="1"/>
  <c r="K16" i="34"/>
  <c r="C16" i="18" s="1"/>
  <c r="D22" i="33" s="1"/>
  <c r="K17" i="34"/>
  <c r="C17" i="18" s="1"/>
  <c r="D23" i="33" s="1"/>
  <c r="K18" i="34"/>
  <c r="C18" i="18" s="1"/>
  <c r="D24" i="33" s="1"/>
  <c r="K19" i="34"/>
  <c r="C19" i="18" s="1"/>
  <c r="D25" i="33" s="1"/>
  <c r="K20" i="34"/>
  <c r="C20" i="18" s="1"/>
  <c r="D26" i="33" s="1"/>
  <c r="K21" i="34"/>
  <c r="K22" i="34"/>
  <c r="K23" i="34"/>
  <c r="K24" i="34"/>
  <c r="K25" i="34"/>
  <c r="K26" i="34"/>
  <c r="K27" i="34"/>
  <c r="C27" i="18" s="1"/>
  <c r="D33" i="33" s="1"/>
  <c r="F33" i="33" s="1"/>
  <c r="G33" i="33" s="1"/>
  <c r="K28" i="34"/>
  <c r="C28" i="18" s="1"/>
  <c r="D34" i="33" s="1"/>
  <c r="F34" i="33" s="1"/>
  <c r="G34" i="33" s="1"/>
  <c r="K29" i="34"/>
  <c r="C29" i="18" s="1"/>
  <c r="D35" i="33" s="1"/>
  <c r="F35" i="33" s="1"/>
  <c r="G35" i="33" s="1"/>
  <c r="K30" i="34"/>
  <c r="C30" i="18" s="1"/>
  <c r="D36" i="33" s="1"/>
  <c r="F36" i="33" s="1"/>
  <c r="G36" i="33" s="1"/>
  <c r="K31" i="34"/>
  <c r="C31" i="18" s="1"/>
  <c r="D37" i="33" s="1"/>
  <c r="F37" i="33" s="1"/>
  <c r="G37" i="33" s="1"/>
  <c r="K32" i="34"/>
  <c r="C32" i="18" s="1"/>
  <c r="D38" i="33" s="1"/>
  <c r="F38" i="33" s="1"/>
  <c r="G38" i="33" s="1"/>
  <c r="K33" i="34"/>
  <c r="C33" i="18" s="1"/>
  <c r="D39" i="33" s="1"/>
  <c r="F39" i="33" s="1"/>
  <c r="G39" i="33" s="1"/>
  <c r="K34" i="34"/>
  <c r="C34" i="18" s="1"/>
  <c r="D40" i="33" s="1"/>
  <c r="F40" i="33" s="1"/>
  <c r="G40" i="33" s="1"/>
  <c r="K35" i="34"/>
  <c r="C35" i="18" s="1"/>
  <c r="D41" i="33" s="1"/>
  <c r="F41" i="33" s="1"/>
  <c r="G41" i="33" s="1"/>
  <c r="K36" i="34"/>
  <c r="C36" i="18" s="1"/>
  <c r="D42" i="33" s="1"/>
  <c r="F42" i="33" s="1"/>
  <c r="G42" i="33" s="1"/>
  <c r="K37" i="34"/>
  <c r="C37" i="18" s="1"/>
  <c r="D43" i="33" s="1"/>
  <c r="F43" i="33" s="1"/>
  <c r="G43" i="33" s="1"/>
  <c r="K38" i="34"/>
  <c r="C38" i="18" s="1"/>
  <c r="D44" i="33" s="1"/>
  <c r="F44" i="33" s="1"/>
  <c r="G44" i="33" s="1"/>
  <c r="K39" i="34"/>
  <c r="K40" i="34"/>
  <c r="K41" i="34"/>
  <c r="C41" i="18" s="1"/>
  <c r="D47" i="33" s="1"/>
  <c r="F47" i="33" s="1"/>
  <c r="G47" i="33" s="1"/>
  <c r="K42" i="34"/>
  <c r="C42" i="18" s="1"/>
  <c r="D48" i="33" s="1"/>
  <c r="F48" i="33" s="1"/>
  <c r="G48" i="33" s="1"/>
  <c r="K43" i="34"/>
  <c r="K44" i="34"/>
  <c r="K45" i="34"/>
  <c r="C45" i="18" s="1"/>
  <c r="D51" i="33" s="1"/>
  <c r="F51" i="33" s="1"/>
  <c r="G51" i="33" s="1"/>
  <c r="K46" i="34"/>
  <c r="C46" i="18" s="1"/>
  <c r="D52" i="33" s="1"/>
  <c r="F52" i="33" s="1"/>
  <c r="G52" i="33" s="1"/>
  <c r="K47" i="34"/>
  <c r="C47" i="18" s="1"/>
  <c r="D53" i="33" s="1"/>
  <c r="F53" i="33" s="1"/>
  <c r="G53" i="33" s="1"/>
  <c r="K48" i="34"/>
  <c r="C48" i="18" s="1"/>
  <c r="D54" i="33" s="1"/>
  <c r="F54" i="33" s="1"/>
  <c r="G54" i="33" s="1"/>
  <c r="K49" i="34"/>
  <c r="C49" i="18" s="1"/>
  <c r="D55" i="33" s="1"/>
  <c r="F55" i="33" s="1"/>
  <c r="G55" i="33" s="1"/>
  <c r="K50" i="34"/>
  <c r="C50" i="18" s="1"/>
  <c r="D56" i="33" s="1"/>
  <c r="F56" i="33" s="1"/>
  <c r="G56" i="33" s="1"/>
  <c r="K51" i="34"/>
  <c r="C51" i="18" s="1"/>
  <c r="D57" i="33" s="1"/>
  <c r="F57" i="33" s="1"/>
  <c r="G57" i="33" s="1"/>
  <c r="K52" i="34"/>
  <c r="C52" i="18" s="1"/>
  <c r="D58" i="33" s="1"/>
  <c r="F58" i="33" s="1"/>
  <c r="G58" i="33" s="1"/>
  <c r="K53" i="34"/>
  <c r="C53" i="18" s="1"/>
  <c r="D59" i="33" s="1"/>
  <c r="F59" i="33" s="1"/>
  <c r="G59" i="33" s="1"/>
  <c r="K54" i="34"/>
  <c r="C54" i="18" s="1"/>
  <c r="D60" i="33" s="1"/>
  <c r="F60" i="33" s="1"/>
  <c r="G60" i="33" s="1"/>
  <c r="K55" i="34"/>
  <c r="C55" i="18" s="1"/>
  <c r="D61" i="33" s="1"/>
  <c r="F61" i="33" s="1"/>
  <c r="G61" i="33" s="1"/>
  <c r="K56" i="34"/>
  <c r="C56" i="18" s="1"/>
  <c r="D62" i="33" s="1"/>
  <c r="F62" i="33" s="1"/>
  <c r="G62" i="33" s="1"/>
  <c r="K3" i="34"/>
  <c r="Q36" i="34" l="1"/>
  <c r="K57" i="34"/>
  <c r="C57" i="18" s="1"/>
  <c r="K51" i="18"/>
  <c r="L51" i="18" s="1"/>
  <c r="I7" i="18"/>
  <c r="L7" i="18" s="1"/>
  <c r="K49" i="18"/>
  <c r="L49" i="18" s="1"/>
  <c r="I34" i="18"/>
  <c r="L34" i="18" s="1"/>
  <c r="K52" i="18"/>
  <c r="L52" i="18" s="1"/>
  <c r="I30" i="18"/>
  <c r="L30" i="18" s="1"/>
  <c r="I29" i="18"/>
  <c r="L29" i="18" s="1"/>
  <c r="I27" i="18"/>
  <c r="L27" i="18" s="1"/>
  <c r="I21" i="18"/>
  <c r="L21" i="18" s="1"/>
  <c r="I20" i="18"/>
  <c r="L20" i="18" s="1"/>
  <c r="K56" i="18"/>
  <c r="L56" i="18" s="1"/>
  <c r="K50" i="18"/>
  <c r="L50" i="18" s="1"/>
  <c r="I28" i="18"/>
  <c r="L28" i="18" s="1"/>
  <c r="I6" i="18"/>
  <c r="L6" i="18" s="1"/>
  <c r="I5" i="18"/>
  <c r="L5" i="18" s="1"/>
  <c r="I4" i="18"/>
  <c r="L4" i="18" s="1"/>
  <c r="I43" i="18"/>
  <c r="L43" i="18" s="1"/>
  <c r="I41" i="18"/>
  <c r="L41" i="18" s="1"/>
  <c r="K48" i="18"/>
  <c r="L48" i="18" s="1"/>
  <c r="H45" i="18"/>
  <c r="K45" i="18" s="1"/>
  <c r="L45" i="18" s="1"/>
  <c r="I40" i="18"/>
  <c r="L40" i="18" s="1"/>
  <c r="I26" i="18"/>
  <c r="L26" i="18" s="1"/>
  <c r="K47" i="18"/>
  <c r="L47" i="18" s="1"/>
  <c r="K46" i="18"/>
  <c r="L46" i="18" s="1"/>
  <c r="I24" i="18"/>
  <c r="L24" i="18" s="1"/>
  <c r="I44" i="18"/>
  <c r="L44" i="18" s="1"/>
  <c r="I42" i="18"/>
  <c r="L42" i="18" s="1"/>
  <c r="I39" i="18"/>
  <c r="L39" i="18" s="1"/>
  <c r="I17" i="18"/>
  <c r="L17" i="18" s="1"/>
  <c r="I12" i="18"/>
  <c r="L12" i="18" s="1"/>
  <c r="I19" i="18"/>
  <c r="L19" i="18" s="1"/>
  <c r="I38" i="18"/>
  <c r="L38" i="18" s="1"/>
  <c r="I16" i="18"/>
  <c r="L16" i="18" s="1"/>
  <c r="I25" i="18"/>
  <c r="L25" i="18" s="1"/>
  <c r="I23" i="18"/>
  <c r="L23" i="18" s="1"/>
  <c r="I18" i="18"/>
  <c r="L18" i="18" s="1"/>
  <c r="I37" i="18"/>
  <c r="L37" i="18" s="1"/>
  <c r="I15" i="18"/>
  <c r="L15" i="18" s="1"/>
  <c r="I22" i="18"/>
  <c r="L22" i="18" s="1"/>
  <c r="I3" i="18"/>
  <c r="L3" i="18" s="1"/>
  <c r="I36" i="18"/>
  <c r="L36" i="18" s="1"/>
  <c r="I14" i="18"/>
  <c r="L14" i="18" s="1"/>
  <c r="I8" i="18"/>
  <c r="L8" i="18" s="1"/>
  <c r="I35" i="18"/>
  <c r="L35" i="18" s="1"/>
  <c r="I13" i="18"/>
  <c r="L13" i="18" s="1"/>
  <c r="K55" i="18"/>
  <c r="L55" i="18" s="1"/>
  <c r="I33" i="18"/>
  <c r="L33" i="18" s="1"/>
  <c r="I11" i="18"/>
  <c r="L11" i="18" s="1"/>
  <c r="Q37" i="34"/>
  <c r="K54" i="18"/>
  <c r="L54" i="18" s="1"/>
  <c r="I32" i="18"/>
  <c r="L32" i="18" s="1"/>
  <c r="I10" i="18"/>
  <c r="L10" i="18" s="1"/>
  <c r="K53" i="18"/>
  <c r="L53" i="18" s="1"/>
  <c r="I31" i="18"/>
  <c r="L31" i="18" s="1"/>
  <c r="I9" i="18"/>
  <c r="L9" i="18" s="1"/>
  <c r="Q34" i="34"/>
  <c r="R36" i="34"/>
  <c r="R32" i="34"/>
  <c r="R35" i="34"/>
  <c r="R28" i="34"/>
  <c r="Q35" i="34"/>
  <c r="R29" i="34"/>
  <c r="Q32" i="34"/>
  <c r="Q31" i="34"/>
  <c r="R33" i="34"/>
  <c r="R30" i="34"/>
  <c r="G57" i="34"/>
  <c r="Q33" i="34"/>
  <c r="R37" i="34"/>
  <c r="R31" i="34"/>
  <c r="R27" i="34"/>
  <c r="R34" i="34"/>
  <c r="Q28" i="34"/>
  <c r="Q27" i="34"/>
  <c r="R38" i="34" l="1"/>
  <c r="S27" i="34" s="1"/>
  <c r="Q38" i="34"/>
  <c r="S35" i="34"/>
  <c r="S29" i="34" l="1"/>
  <c r="S31" i="34"/>
  <c r="S30" i="34"/>
  <c r="S28" i="34"/>
  <c r="S36" i="34"/>
  <c r="S32" i="34"/>
  <c r="S33" i="34"/>
  <c r="S34" i="34"/>
  <c r="S37" i="34"/>
  <c r="S38" i="34" l="1"/>
  <c r="A1" i="34" l="1"/>
  <c r="I94" i="33" l="1"/>
  <c r="F26" i="33"/>
  <c r="G26" i="33" s="1"/>
  <c r="F25" i="33"/>
  <c r="G25" i="33" s="1"/>
  <c r="F24" i="33"/>
  <c r="G24" i="33" s="1"/>
  <c r="F23" i="33"/>
  <c r="G23" i="33" s="1"/>
  <c r="F22" i="33"/>
  <c r="G22" i="33" s="1"/>
  <c r="F21" i="33"/>
  <c r="G21" i="33" s="1"/>
  <c r="F20" i="33"/>
  <c r="G20" i="33" s="1"/>
  <c r="F19" i="33"/>
  <c r="G19" i="33" s="1"/>
  <c r="F18" i="33"/>
  <c r="G18" i="33" s="1"/>
  <c r="F17" i="33"/>
  <c r="G17" i="33" s="1"/>
  <c r="G16" i="33"/>
  <c r="F15" i="33"/>
  <c r="G15" i="33" s="1"/>
  <c r="F14" i="33"/>
  <c r="G14" i="33" s="1"/>
  <c r="F13" i="33"/>
  <c r="G13" i="33" s="1"/>
  <c r="F12" i="33"/>
  <c r="G12" i="33" s="1"/>
  <c r="F11" i="33"/>
  <c r="G11" i="33" s="1"/>
  <c r="F10" i="33"/>
  <c r="G10" i="33" s="1"/>
  <c r="F9" i="33"/>
  <c r="F63" i="33" l="1"/>
  <c r="G9" i="33"/>
  <c r="F64" i="33"/>
  <c r="F89" i="33" l="1"/>
  <c r="C81" i="33"/>
  <c r="D81" i="33" s="1"/>
  <c r="E81" i="33" s="1"/>
  <c r="C82" i="33"/>
  <c r="C83" i="33"/>
  <c r="D83" i="33" s="1"/>
  <c r="E83" i="33" s="1"/>
  <c r="C84" i="33"/>
  <c r="D84" i="33" s="1"/>
  <c r="E84" i="33" s="1"/>
  <c r="C85" i="33"/>
  <c r="D85" i="33" s="1"/>
  <c r="E85" i="33" s="1"/>
  <c r="C86" i="33"/>
  <c r="C87" i="33"/>
  <c r="C88" i="33"/>
  <c r="F79" i="33"/>
  <c r="F75" i="33"/>
  <c r="C89" i="33"/>
  <c r="D89" i="33" s="1"/>
  <c r="E89" i="33" s="1"/>
  <c r="F77" i="33"/>
  <c r="F78" i="33"/>
  <c r="F74" i="33"/>
  <c r="F87" i="33"/>
  <c r="F76" i="33"/>
  <c r="F88" i="33"/>
  <c r="F80" i="33"/>
  <c r="C74" i="33"/>
  <c r="D74" i="33" s="1"/>
  <c r="E74" i="33" s="1"/>
  <c r="G74" i="33" s="1"/>
  <c r="I74" i="33" s="1"/>
  <c r="F81" i="33"/>
  <c r="F82" i="33"/>
  <c r="F83" i="33"/>
  <c r="C75" i="33"/>
  <c r="F84" i="33"/>
  <c r="C76" i="33"/>
  <c r="D76" i="33" s="1"/>
  <c r="E76" i="33" s="1"/>
  <c r="F85" i="33"/>
  <c r="C77" i="33"/>
  <c r="F86" i="33"/>
  <c r="C78" i="33"/>
  <c r="D78" i="33" s="1"/>
  <c r="E78" i="33" s="1"/>
  <c r="C79" i="33"/>
  <c r="C80" i="33"/>
  <c r="D88" i="33"/>
  <c r="E88" i="33" s="1"/>
  <c r="D77" i="33"/>
  <c r="E77" i="33" s="1"/>
  <c r="D80" i="33"/>
  <c r="E80" i="33" s="1"/>
  <c r="D87" i="33"/>
  <c r="E87" i="33" s="1"/>
  <c r="D79" i="33"/>
  <c r="E79" i="33" s="1"/>
  <c r="G79" i="33" s="1"/>
  <c r="I79" i="33" s="1"/>
  <c r="D86" i="33"/>
  <c r="E86" i="33" s="1"/>
  <c r="G86" i="33" s="1"/>
  <c r="I86" i="33" s="1"/>
  <c r="D75" i="33"/>
  <c r="E75" i="33" s="1"/>
  <c r="D82" i="33"/>
  <c r="E82" i="33" s="1"/>
  <c r="G75" i="33" l="1"/>
  <c r="I75" i="33" s="1"/>
  <c r="G89" i="33"/>
  <c r="I89" i="33" s="1"/>
  <c r="G84" i="33"/>
  <c r="I84" i="33" s="1"/>
  <c r="G83" i="33"/>
  <c r="I83" i="33" s="1"/>
  <c r="G87" i="33"/>
  <c r="I87" i="33" s="1"/>
  <c r="G76" i="33"/>
  <c r="I76" i="33" s="1"/>
  <c r="G85" i="33"/>
  <c r="I85" i="33" s="1"/>
  <c r="G88" i="33"/>
  <c r="I88" i="33" s="1"/>
  <c r="G80" i="33"/>
  <c r="I80" i="33" s="1"/>
  <c r="G77" i="33"/>
  <c r="I77" i="33" s="1"/>
  <c r="G78" i="33"/>
  <c r="I78" i="33" s="1"/>
  <c r="G81" i="33"/>
  <c r="I81" i="33" s="1"/>
  <c r="G82" i="33"/>
  <c r="I82" i="33" s="1"/>
  <c r="G20" i="29"/>
  <c r="H19" i="29"/>
  <c r="I19" i="29"/>
  <c r="H20" i="29"/>
  <c r="I20" i="29"/>
  <c r="J19" i="29" l="1"/>
  <c r="J20" i="29"/>
  <c r="B21" i="9" l="1"/>
  <c r="C10" i="9" s="1"/>
  <c r="J4" i="20"/>
  <c r="K4" i="20"/>
  <c r="L4" i="20" s="1"/>
  <c r="J5" i="20"/>
  <c r="K5" i="20"/>
  <c r="J6" i="20"/>
  <c r="K6" i="20"/>
  <c r="J7" i="20"/>
  <c r="K7" i="20"/>
  <c r="J8" i="20"/>
  <c r="K8" i="20"/>
  <c r="J9" i="20"/>
  <c r="K9" i="20"/>
  <c r="J10" i="20"/>
  <c r="K10" i="20"/>
  <c r="J11" i="20"/>
  <c r="L11" i="20" s="1"/>
  <c r="K11" i="20"/>
  <c r="J12" i="20"/>
  <c r="L12" i="20" s="1"/>
  <c r="K12" i="20"/>
  <c r="J13" i="20"/>
  <c r="L13" i="20" s="1"/>
  <c r="K13" i="20"/>
  <c r="J14" i="20"/>
  <c r="L14" i="20" s="1"/>
  <c r="K14" i="20"/>
  <c r="J15" i="20"/>
  <c r="K15" i="20"/>
  <c r="J16" i="20"/>
  <c r="K16" i="20"/>
  <c r="J17" i="20"/>
  <c r="K17" i="20"/>
  <c r="J18" i="20"/>
  <c r="K18" i="20"/>
  <c r="K3" i="20"/>
  <c r="J3" i="20"/>
  <c r="O1" i="20"/>
  <c r="V18" i="20"/>
  <c r="U18" i="20"/>
  <c r="W18" i="20" s="1"/>
  <c r="L18" i="20"/>
  <c r="V17" i="20"/>
  <c r="U17" i="20"/>
  <c r="W17" i="20" s="1"/>
  <c r="L17" i="20"/>
  <c r="V16" i="20"/>
  <c r="L16" i="20"/>
  <c r="V15" i="20"/>
  <c r="U15" i="20"/>
  <c r="L15" i="20"/>
  <c r="V14" i="20"/>
  <c r="V13" i="20"/>
  <c r="V12" i="20"/>
  <c r="U12" i="20"/>
  <c r="W12" i="20" s="1"/>
  <c r="V11" i="20"/>
  <c r="V10" i="20"/>
  <c r="V9" i="20"/>
  <c r="L9" i="20"/>
  <c r="V8" i="20"/>
  <c r="L8" i="20"/>
  <c r="V7" i="20"/>
  <c r="L7" i="20"/>
  <c r="V6" i="20"/>
  <c r="L6" i="20"/>
  <c r="V5" i="20"/>
  <c r="U5" i="20"/>
  <c r="W5" i="20" s="1"/>
  <c r="L5" i="20"/>
  <c r="V4" i="20"/>
  <c r="V3" i="20"/>
  <c r="O3" i="20"/>
  <c r="L3" i="20" l="1"/>
  <c r="W15" i="20"/>
  <c r="L10" i="20"/>
  <c r="U13" i="20"/>
  <c r="W13" i="20" s="1"/>
  <c r="U9" i="20"/>
  <c r="W9" i="20" s="1"/>
  <c r="U6" i="20"/>
  <c r="W6" i="20" s="1"/>
  <c r="U3" i="20"/>
  <c r="W3" i="20" s="1"/>
  <c r="U16" i="20"/>
  <c r="W16" i="20" s="1"/>
  <c r="U10" i="20"/>
  <c r="W10" i="20" s="1"/>
  <c r="U7" i="20"/>
  <c r="W7" i="20" s="1"/>
  <c r="U4" i="20"/>
  <c r="W4" i="20" s="1"/>
  <c r="U14" i="20"/>
  <c r="W14" i="20" s="1"/>
  <c r="U11" i="20"/>
  <c r="W11" i="20" s="1"/>
  <c r="U8" i="20"/>
  <c r="W8" i="20" s="1"/>
  <c r="M37" i="28" l="1"/>
  <c r="N37" i="28"/>
  <c r="O37" i="28"/>
  <c r="P37" i="28"/>
  <c r="Q37" i="28"/>
  <c r="R37" i="28"/>
  <c r="S37" i="28"/>
  <c r="T37" i="28"/>
  <c r="U37" i="28"/>
  <c r="V37" i="28"/>
  <c r="W37" i="28"/>
  <c r="M38" i="28"/>
  <c r="N38" i="28"/>
  <c r="O38" i="28"/>
  <c r="P38" i="28"/>
  <c r="Q38" i="28"/>
  <c r="R38" i="28"/>
  <c r="S38" i="28"/>
  <c r="T38" i="28"/>
  <c r="U38" i="28"/>
  <c r="V38" i="28"/>
  <c r="W38" i="28"/>
  <c r="M39" i="28"/>
  <c r="N39" i="28"/>
  <c r="O39" i="28"/>
  <c r="P39" i="28"/>
  <c r="Q39" i="28"/>
  <c r="R39" i="28"/>
  <c r="S39" i="28"/>
  <c r="T39" i="28"/>
  <c r="U39" i="28"/>
  <c r="V39" i="28"/>
  <c r="W39" i="28"/>
  <c r="M40" i="28"/>
  <c r="N40" i="28"/>
  <c r="O40" i="28"/>
  <c r="P40" i="28"/>
  <c r="Q40" i="28"/>
  <c r="R40" i="28"/>
  <c r="S40" i="28"/>
  <c r="T40" i="28"/>
  <c r="U40" i="28"/>
  <c r="V40" i="28"/>
  <c r="W40" i="28"/>
  <c r="M41" i="28"/>
  <c r="N41" i="28"/>
  <c r="O41" i="28"/>
  <c r="P41" i="28"/>
  <c r="Q41" i="28"/>
  <c r="R41" i="28"/>
  <c r="S41" i="28"/>
  <c r="T41" i="28"/>
  <c r="U41" i="28"/>
  <c r="V41" i="28"/>
  <c r="W41" i="28"/>
  <c r="M42" i="28"/>
  <c r="N42" i="28"/>
  <c r="O42" i="28"/>
  <c r="P42" i="28"/>
  <c r="Q42" i="28"/>
  <c r="R42" i="28"/>
  <c r="S42" i="28"/>
  <c r="T42" i="28"/>
  <c r="U42" i="28"/>
  <c r="V42" i="28"/>
  <c r="W42" i="28"/>
  <c r="J1" i="21" l="1"/>
  <c r="A1" i="21"/>
  <c r="A7" i="9"/>
  <c r="A1" i="18"/>
  <c r="J4" i="21" l="1"/>
  <c r="A4" i="21"/>
  <c r="G13" i="9"/>
  <c r="G10" i="9" l="1"/>
  <c r="G15" i="9" s="1"/>
  <c r="A3" i="9" s="1"/>
  <c r="C3" i="9" s="1"/>
  <c r="G14" i="9"/>
  <c r="G11" i="9"/>
  <c r="G9" i="9"/>
  <c r="A1" i="25"/>
  <c r="A1" i="31"/>
  <c r="G16" i="9" l="1"/>
  <c r="J14" i="1"/>
  <c r="K14" i="1"/>
  <c r="L14" i="1"/>
  <c r="M14" i="1"/>
  <c r="N14" i="1"/>
  <c r="O14" i="1"/>
  <c r="P14" i="1"/>
  <c r="Q14" i="1"/>
  <c r="R14" i="1"/>
  <c r="S14" i="1"/>
  <c r="T14" i="1"/>
  <c r="U14" i="1"/>
  <c r="V14" i="1"/>
  <c r="W14" i="1"/>
  <c r="X14" i="1"/>
  <c r="I14" i="1"/>
  <c r="G17" i="9" l="1"/>
  <c r="J19" i="1"/>
  <c r="K19" i="1"/>
  <c r="L19" i="1"/>
  <c r="M19" i="1"/>
  <c r="N19" i="1"/>
  <c r="O19" i="1"/>
  <c r="P19" i="1"/>
  <c r="Q19" i="1"/>
  <c r="R19" i="1"/>
  <c r="S19" i="1"/>
  <c r="T19" i="1"/>
  <c r="U19" i="1"/>
  <c r="V19" i="1"/>
  <c r="W19" i="1"/>
  <c r="X19" i="1"/>
  <c r="I19" i="1"/>
  <c r="J18" i="1"/>
  <c r="K18" i="1"/>
  <c r="L18" i="1"/>
  <c r="M18" i="1"/>
  <c r="N18" i="1"/>
  <c r="O18" i="1"/>
  <c r="P18" i="1"/>
  <c r="Q18" i="1"/>
  <c r="R18" i="1"/>
  <c r="S18" i="1"/>
  <c r="T18" i="1"/>
  <c r="U18" i="1"/>
  <c r="V18" i="1"/>
  <c r="W18" i="1"/>
  <c r="X18" i="1"/>
  <c r="I18" i="1"/>
  <c r="J13" i="1"/>
  <c r="K13" i="1"/>
  <c r="L13" i="1"/>
  <c r="M13" i="1"/>
  <c r="N13" i="1"/>
  <c r="O13" i="1"/>
  <c r="P13" i="1"/>
  <c r="Q13" i="1"/>
  <c r="R13" i="1"/>
  <c r="S13" i="1"/>
  <c r="T13" i="1"/>
  <c r="U13" i="1"/>
  <c r="V13" i="1"/>
  <c r="W13" i="1"/>
  <c r="X13" i="1"/>
  <c r="I13" i="1"/>
  <c r="B3" i="1" l="1"/>
  <c r="B18" i="1" s="1"/>
  <c r="B8" i="1" l="1"/>
  <c r="B13" i="1"/>
  <c r="A1" i="27" l="1"/>
  <c r="A1" i="22"/>
  <c r="A1" i="28"/>
  <c r="A1" i="29"/>
  <c r="A1" i="9"/>
  <c r="A1" i="1"/>
  <c r="A1" i="14"/>
  <c r="AB4" i="21" l="1"/>
  <c r="AB5" i="21"/>
  <c r="AB6" i="21"/>
  <c r="AB7" i="21"/>
  <c r="AB8" i="21"/>
  <c r="H5" i="21"/>
  <c r="H6" i="21"/>
  <c r="H7" i="21"/>
  <c r="H8" i="21"/>
  <c r="H9" i="21"/>
  <c r="H10" i="21"/>
  <c r="H11" i="21"/>
  <c r="H12" i="21"/>
  <c r="H13" i="21"/>
  <c r="H14" i="21"/>
  <c r="H15" i="21"/>
  <c r="H16" i="21"/>
  <c r="H17" i="21"/>
  <c r="H18" i="21"/>
  <c r="H19" i="21"/>
  <c r="H4" i="21"/>
  <c r="B22" i="2"/>
</calcChain>
</file>

<file path=xl/sharedStrings.xml><?xml version="1.0" encoding="utf-8"?>
<sst xmlns="http://schemas.openxmlformats.org/spreadsheetml/2006/main" count="1734" uniqueCount="795">
  <si>
    <t>Data Sources</t>
  </si>
  <si>
    <t>Dataset</t>
  </si>
  <si>
    <t>Dodge 2023</t>
  </si>
  <si>
    <r>
      <t xml:space="preserve">Commercial End-Use Survey </t>
    </r>
    <r>
      <rPr>
        <sz val="10"/>
        <color rgb="FF000000"/>
        <rFont val="Arial"/>
        <family val="2"/>
      </rPr>
      <t>(CEUS) 2022</t>
    </r>
  </si>
  <si>
    <t>https://www.energy.ca.gov/publications/2023/2022-california-commercial-end-use-survey-ceus-final-report</t>
  </si>
  <si>
    <t xml:space="preserve"> </t>
  </si>
  <si>
    <t>Lawrence Berkeley National Laboratory (LBNL) / U.S. Department of Energy (DOE), 2019</t>
  </si>
  <si>
    <t>Prototype</t>
  </si>
  <si>
    <r>
      <rPr>
        <sz val="10"/>
        <color rgb="FF000000"/>
        <rFont val="Arial"/>
        <family val="2"/>
      </rPr>
      <t xml:space="preserve">California Energy Commission </t>
    </r>
    <r>
      <rPr>
        <sz val="10"/>
        <color rgb="FF000000"/>
        <rFont val="Arial"/>
        <family val="2"/>
      </rPr>
      <t>(CEC) Laboratory prototype (CBECC 2022.3.1)</t>
    </r>
  </si>
  <si>
    <t>https://bees.noresco.com/software2022.html</t>
  </si>
  <si>
    <r>
      <rPr>
        <sz val="10"/>
        <color rgb="FF000000"/>
        <rFont val="Arial"/>
        <family val="2"/>
      </rPr>
      <t xml:space="preserve">Database for Energy Efficient Resources </t>
    </r>
    <r>
      <rPr>
        <sz val="10"/>
        <color rgb="FF000000"/>
        <rFont val="Arial"/>
        <family val="2"/>
      </rPr>
      <t>(DEER) Manufacturing-BioTech prototype (June 2024)</t>
    </r>
  </si>
  <si>
    <t>https://github.com/sound-data/DEER-Prototypes-EnergyPlus</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</si>
  <si>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</si>
  <si>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</si>
  <si>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</si>
  <si>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</si>
  <si>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</si>
  <si>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</si>
  <si>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</si>
  <si>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r>
      <rPr>
        <sz val="10"/>
        <color rgb="FF000000"/>
        <rFont val="Arial"/>
        <family val="2"/>
      </rPr>
      <t>Code of Federal Regulations</t>
    </r>
    <r>
      <rPr>
        <sz val="10"/>
        <color rgb="FF000000"/>
        <rFont val="Arial"/>
        <family val="2"/>
      </rPr>
      <t xml:space="preserve"> (CFR) Title 10 (2008, 2010)</t>
    </r>
  </si>
  <si>
    <t>https://www.govinfo.gov/content/pkg/FR-2009-03-23/pdf/FR-2009-03-23.pdf</t>
  </si>
  <si>
    <t>CFR Title 10 (2025)</t>
  </si>
  <si>
    <t>https://www.ecfr.gov/current/title-10</t>
  </si>
  <si>
    <t>Other</t>
  </si>
  <si>
    <r>
      <t>Alternative Calculation Method</t>
    </r>
    <r>
      <rPr>
        <sz val="10"/>
        <color rgb="FF000000"/>
        <rFont val="Arial"/>
        <family val="2"/>
      </rPr>
      <t xml:space="preserve"> (ACM) (2022)</t>
    </r>
  </si>
  <si>
    <t>https://www.energy.ca.gov/publications/2022/2022-nonresidential-and-multifamily-alternative-calculation-method-reference</t>
  </si>
  <si>
    <r>
      <t>Nonres ACM 2022,</t>
    </r>
    <r>
      <rPr>
        <sz val="10"/>
        <color rgb="FF000000"/>
        <rFont val="Arial"/>
        <family val="2"/>
      </rPr>
      <t xml:space="preserve"> Appendix 5.4A and Appendix 5.4B</t>
    </r>
  </si>
  <si>
    <r>
      <t xml:space="preserve">2022 Reduced infiltration </t>
    </r>
    <r>
      <rPr>
        <sz val="10"/>
        <color rgb="FF000000"/>
        <rFont val="Arial"/>
        <family val="2"/>
      </rPr>
      <t>Codes and Standards Enhancement</t>
    </r>
    <r>
      <rPr>
        <sz val="10"/>
        <color rgb="FF000000"/>
        <rFont val="Arial"/>
        <family val="2"/>
      </rPr>
      <t xml:space="preserve"> (CASE)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</si>
  <si>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</si>
  <si>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</si>
  <si>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</si>
  <si>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</si>
  <si>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</si>
  <si>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</si>
  <si>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https://www.pnnl.gov/main/publications/external/technical_reports/PNNL-20405.pdf</t>
  </si>
  <si>
    <t>Air leakage Memo, NORESCO, 2025</t>
  </si>
  <si>
    <t>Infiltration_rate_report_14May2025-Short-Version.docx</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</si>
  <si>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</si>
  <si>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</si>
  <si>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ASHRAE/AIHA/ACS, Classification of Laboratory Ventilation Design Levels</t>
  </si>
  <si>
    <t>https://www.ashrae.org/File%20Library/Technical%20Resources/Free%20Resources/Publications/ClassificationOfLabVentDesLevels.pdf</t>
  </si>
  <si>
    <r>
      <t>ANSI/ASSP Z9.5-2022</t>
    </r>
    <r>
      <rPr>
        <sz val="10"/>
        <color rgb="FFF0F0F0"/>
        <rFont val="Arial"/>
        <family val="2"/>
      </rPr>
      <t>, </t>
    </r>
    <r>
      <rPr>
        <i/>
        <sz val="10"/>
        <color rgb="FFF0F0F0"/>
        <rFont val="Arial"/>
        <family val="2"/>
      </rPr>
      <t>Laboratory Ventilation</t>
    </r>
  </si>
  <si>
    <t>https://webstore.ansi.org/standards/asse/ansiasspz92022</t>
  </si>
  <si>
    <t>U.S. DOE Federal Energy Management Program, Right-Sizing Laboratory Equipment Loads.</t>
  </si>
  <si>
    <t>https://www.osti.gov/servlets/purl/922847</t>
  </si>
  <si>
    <t>I2SL Laboratory Benchmarking Tool (successor to the Labs21 Energy Benchmarking Tool)</t>
  </si>
  <si>
    <t>https://lbt.i2sl.org/</t>
  </si>
  <si>
    <t>Commercial Building Prototypes Based on ANSI/ASHRAE/IES Standard 90.1-2019 Appendix G PRM: Technical Support Document</t>
  </si>
  <si>
    <t>https://www.pnnl.gov/main/publications/external/technical_reports/PNNL-32815.pdf</t>
  </si>
  <si>
    <t>California Code of Regulations, Title 8, Section 5154.1 - Ventilation Requirements for Laboratory-Type Hood Operations (Cal/OSHA).</t>
  </si>
  <si>
    <t>https://www.dir.ca.gov/title8/5154_1.html</t>
  </si>
  <si>
    <t>Raising the Bar in High Performance Laboratory Design, ASHRAE Journal, June 2020</t>
  </si>
  <si>
    <t>https://www.ashrae.org/technical-resources/ashrae-journal/featured-articles/raising-the-bar-in-high-performance-laboratory-design</t>
  </si>
  <si>
    <t>Performance-Based Approach to Laboratory Exhaust Systems, ASHRAE Journal Engineers Notebook, September 2020</t>
  </si>
  <si>
    <t>http://www.nxtbook.com/nxtbooks/ashrae/ashraejournal_QVMNEO/</t>
  </si>
  <si>
    <t>2019 T24 Fume Hoods CASE Report </t>
  </si>
  <si>
    <t>https://efiling.energy.ca.gov/GetDocument.aspx?tn=222188</t>
  </si>
  <si>
    <t>Whole Building Design Guide (WBDG, National Institute of Building Sciences), Space Types: Laboratory - Wet.</t>
  </si>
  <si>
    <t xml:space="preserve"> https://legacy.wbdg.org/space-types/laboratory-wet</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</si>
  <si>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</si>
  <si>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</si>
  <si>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</si>
  <si>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</si>
  <si>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</si>
  <si>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</si>
  <si>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</si>
  <si>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Four vintage bins (Pre-1978, 1978-1997, 1998-2007, 2008-2018) plus New Construction (2019+) are derived from the California nonresidential construction-rate analysis shown in the Construction Rate block above, binned at the Title 24 code-cycle boundaries that changed the governing envelope and equipment requirements.</t>
  </si>
  <si>
    <t>Notes</t>
  </si>
  <si>
    <t>2025 T24</t>
  </si>
  <si>
    <t xml:space="preserve">Laboratory is a space or room where hazardous materials are used for activities such as testing, analysis, instruction, research, or developmental activities. Laboratory Suite is a Group L occupancy space within a building or structure, which may include multiple laboratories, offices, storage, equipment rooms or similar support functions. Laboratory, Scientific Area is a room or area where research, experiments, and measurement in medical and physical sciences are performed requiring examination of fine details. The area may include workbenches, countertops, scientific instruments, and associated floor spaces. Scientific laboratory does not refer to film, computer, and other laboratories where scientific experiments 
are not performed. </t>
  </si>
  <si>
    <t xml:space="preserve">Laboratory type and ventilation design level </t>
  </si>
  <si>
    <t>The prototype represents a WET RESEARCH LABORATORY BUILDING (medical / biological research), operating at Laboratory Ventilation Design Level LVDL-2 per ASHRAE/AIHA/ACS, Classification of Laboratory Ventilation Design Levels (2018). Lab space is classified as "Laboratory, Scientific" under the T24 2025 definition quoted above. Declaring the LVDL - not only the lab type - is what fixes the downstream assumptions: minimum air change rates, occupied/unoccupied setback, fume hood face velocity and sash control, and exhaust discharge. Pharmaceutical / biopharma GMP production facilities are EXCLUDED from this prototype: they fall outside the OSHA 29 CFR 1910.1450(b) definition of "laboratory scale", which expressly excludes production-scale work, and cleanroom classification, process loads and 24/7 operation would reopen ventilation, internal loads, schedules and humidity control. PENDING CONFIRMATION - this decision governs the Ventilation tab.</t>
  </si>
  <si>
    <t>Wet laboratory Definition</t>
  </si>
  <si>
    <t>A WET LABORATORY is a space where chemicals, drugs, or other material or biological matter are tested and analyzed, requiring water, direct ventilation and specialized piped utilities (WBDG, Space Types: Laboratory - Wet). The NIH Design Requirements Manual makes the same distinction operationally: wet laboratories handle liquid solutions, biological materials and chemicals and are fitted with bench space, hand-wash and work sinks, chemical fume hoods and/or biological safety cabinets, and piped services such as DI or RO water and laboratory gases; DRY laboratories are computational, bioinformatics, electronics and instrumentation spaces and require no wet services. MIT Design Standards T10 characterises wet laboratories as spaces that use and store chemical and biological materials, equipped with sinks or fume hoods, specialized local exhaust ventilation (SLEV) and containment equipment such as biological safety cabinets. All three are consistent with the OSHA definition of laboratory scale at 29 CFR 1910.1450(b) - work with hazardous chemicals on a NON-PRODUCTION basis, in containers that can be handled safely by one person.</t>
  </si>
  <si>
    <t>Laboratory types the prototype does NOT represent (LAB4)</t>
  </si>
  <si>
    <t>Laboratory is not a single building type. MIT Design Standards T10 lists SEVENTEEN laboratory types (Baseline; Life Science/Bio; Optical; Engineering/Physical Sciences; Maker Space/Machine Shop; Chemistry; BL1; BL2; BL2+; BL3; Radioactive Material; Radiation Producing; Clinical Lab; Animal/Survival Surgery; ABSL-1; ABSL-2; ABSL-2+). The prototype is proposed to represent a general WET RESEARCH laboratory (medical/biological, broadly MIT types Baseline and Life Science/Bio) at LVDL-2. It does NOT represent: DRY/COMPUTATIONAL laboratories (no hoods or piped services; office-like ventilation, load-driven); TEACHING laboratories (very high hood density per unit area but low occupied hours); CLINICAL and DIAGNOSTIC laboratories (biological safety cabinets rather than chemical fume hoods; ventilation governed by ASHRAE 170 and the CMC rather than by hood demand); VIVARIA and animal holding (high fixed air change rates with tight temperature and humidity control, 24/7); HIGH-CONTAINMENT laboratories at BSL-3 and above (single-pass air, sealed envelope, HEPA filtration, deeper interstitial space); and PHARMACEUTICAL/BIOPHARMA GMP PRODUCTION (cleanroom classification, process loads, 24/7 operation), which is excluded because it falls outside the OSHA 29 CFR 1910.1450(b) laboratory-scale definition. Each of these carries a materially different ventilation rate, exhaust configuration, internal load and schedule, so a prototype cannot represent them all.</t>
  </si>
  <si>
    <t>NORESCO, Updated September 2026</t>
  </si>
  <si>
    <t>Laboratory</t>
  </si>
  <si>
    <t>Characteristic</t>
  </si>
  <si>
    <t>Value</t>
  </si>
  <si>
    <t>Building Type</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</si>
  <si>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</si>
  <si>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</si>
  <si>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</si>
  <si>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</si>
  <si>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</si>
  <si>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</si>
  <si>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</si>
  <si>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</si>
  <si>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r>
      <t xml:space="preserve">Assume rectangular shape; supported by CBECS, CEC, and LBNL/DOE. </t>
    </r>
    <r>
      <rPr>
        <sz val="10"/>
        <color rgb="FF000000"/>
        <rFont val="Arial"/>
        <family val="2"/>
      </rPr>
      <t>The windows have been updated from ribbon style to punched openings.</t>
    </r>
  </si>
  <si>
    <t>Total Floor Area (ft²)</t>
  </si>
  <si>
    <t xml:space="preserve">  Based on CEC Lab prototype, which is based on the Medium Office prototype. External features, such as number of floors, conditioned floor area, WWR, etc., are identical to Medium Office prototype. Lab buildings are similar to office buildings in their characteristics. They are outfitted for lab purposes, such as with exhaust hoods, etc., though they are designed to be repurposed as office space. 
This prototype is based on the Medium Office prototype geometry. The program/spaces, people, ventilation, and other loads are those for a lab building.</t>
  </si>
  <si>
    <t>Aspect Ratio</t>
  </si>
  <si>
    <t>Number of Floors</t>
  </si>
  <si>
    <t>Roof type</t>
  </si>
  <si>
    <t>Flat</t>
  </si>
  <si>
    <t>WWR</t>
  </si>
  <si>
    <t>Shading Geometry</t>
  </si>
  <si>
    <t xml:space="preserve">No Shades </t>
  </si>
  <si>
    <t>Floor to floor height (feet)</t>
  </si>
  <si>
    <t>LBNL/DOE prototype</t>
  </si>
  <si>
    <t>Floor to ceiling height (feet)</t>
  </si>
  <si>
    <t>9 
(6 ft above-ceiling plenum)</t>
  </si>
  <si>
    <t>Glazing sill height (feet)</t>
  </si>
  <si>
    <t>3.35 ft 
(top of the window is 7.64 ft high with 4.29 ft high glass)</t>
  </si>
  <si>
    <t>Based on CEC Lab prototype</t>
  </si>
  <si>
    <t xml:space="preserve">Laboratory Program Metrics </t>
  </si>
  <si>
    <t>Laboratory, Scientific area (ft2)</t>
  </si>
  <si>
    <t>53.9% of conditioned area. Eleven laboratory spaces: the core on all three floors, plus the north, west, east, south and conference spaces on FloorM and the north, south and conference spaces on FloorT.</t>
  </si>
  <si>
    <t>Office area (ft2)</t>
  </si>
  <si>
    <t>21.7% of conditioned area - office area (10,036 ft2), conference (1,112), lobby (1,059) and lounge/breakroom (2,814).</t>
  </si>
  <si>
    <t>Lab support area (ft2)</t>
  </si>
  <si>
    <t>24.4% of conditioned area - corridor (4,816 ft2), storage (2,949), stairwell (1,983), restrooms (1,932), mechanical/electrical (1,071) and IT room (537). The previous layout had NO support space at all.</t>
  </si>
  <si>
    <t>Total floor area (ft2)</t>
  </si>
  <si>
    <t>Conditioned total. Excludes the three plenums at 17,876 ft2 each. The IDF geometry gives 53,633 ft2</t>
  </si>
  <si>
    <t>Fume hood count</t>
  </si>
  <si>
    <t>At 18.6 ft of hood per 1,000 ft2 of laboratory area (CEC TN 222188 Table 29) applied to 28,800 ft2 of laboratory space: 536 ft of hood, about 90 six-foot hoods. T</t>
  </si>
  <si>
    <t>Above grade wall area (ft²)</t>
  </si>
  <si>
    <t>Gross wall area  (ft²)</t>
  </si>
  <si>
    <t>Roof area  (ft²)</t>
  </si>
  <si>
    <t>Underground Gross Wall Area  (ft²)</t>
  </si>
  <si>
    <t>Building</t>
  </si>
  <si>
    <t>Space/Thermal Zone</t>
  </si>
  <si>
    <r>
      <t xml:space="preserve">Space Type
</t>
    </r>
    <r>
      <rPr>
        <b/>
        <sz val="10"/>
        <color rgb="FF000000"/>
        <rFont val="Arial"/>
        <family val="2"/>
      </rPr>
      <t>Primarily from [T24, 2022 Appendix 5.4A] - See Notes column</t>
    </r>
  </si>
  <si>
    <r>
      <t xml:space="preserve">HVAC System Name </t>
    </r>
    <r>
      <rPr>
        <b/>
        <sz val="10"/>
        <color rgb="FF000000"/>
        <rFont val="Arial"/>
        <family val="2"/>
      </rPr>
      <t>(New Construction)</t>
    </r>
  </si>
  <si>
    <t>Schedule Category</t>
  </si>
  <si>
    <t>Conditioned (Y/N)</t>
  </si>
  <si>
    <t>Area Fraction</t>
  </si>
  <si>
    <t>Area (ft²)</t>
  </si>
  <si>
    <t>Volume (ft³)</t>
  </si>
  <si>
    <t>Multipliers</t>
  </si>
  <si>
    <t>Number of People</t>
  </si>
  <si>
    <t xml:space="preserve">People 
(Persons/1,000 ft²)
[T24, 2025,Table 120.1-A] </t>
  </si>
  <si>
    <t>Lab_Core_FloorG</t>
  </si>
  <si>
    <t>Laboratory, Scientific</t>
  </si>
  <si>
    <t>BaseAirSys14</t>
  </si>
  <si>
    <t>Lab</t>
  </si>
  <si>
    <t>Yes</t>
  </si>
  <si>
    <t>Laboratory Space Occupancy level Derived from the LBNL/DOE Prototype</t>
  </si>
  <si>
    <t>Lab_N_FloorG</t>
  </si>
  <si>
    <t>BaseAirSys14-2</t>
  </si>
  <si>
    <t>Enclosed_Office_W_FloorG</t>
  </si>
  <si>
    <t>Office Area (&gt;250 square feet)</t>
  </si>
  <si>
    <t>BaseAirSys5-1</t>
  </si>
  <si>
    <t>Office</t>
  </si>
  <si>
    <t>Enclosed_Office_E_FloorG</t>
  </si>
  <si>
    <t>Lab_S_FloorG</t>
  </si>
  <si>
    <t>BaseAirSys14-3</t>
  </si>
  <si>
    <t>Conference_FloorG</t>
  </si>
  <si>
    <t>Convention, Conference, Multipurpose and Meeting Area</t>
  </si>
  <si>
    <t>Lobby_FloorG</t>
  </si>
  <si>
    <t>Lobby, Main Entry</t>
  </si>
  <si>
    <t>Storage_FloorG</t>
  </si>
  <si>
    <t>Storage (General)</t>
  </si>
  <si>
    <t>Ancillary</t>
  </si>
  <si>
    <t>Mechanical/Electrical_FloorG</t>
  </si>
  <si>
    <t>Electrical, Mechanical, Telephone Rooms</t>
  </si>
  <si>
    <t>IT-Room_FloorG</t>
  </si>
  <si>
    <t>IT Room (EPD 12)</t>
  </si>
  <si>
    <t>Data</t>
  </si>
  <si>
    <t>Restroom_FloorG</t>
  </si>
  <si>
    <t>Restrooms</t>
  </si>
  <si>
    <t>BreakRoom/Kitchenette_FloorG</t>
  </si>
  <si>
    <t>Lounge, Breakroom, or Waiting Area</t>
  </si>
  <si>
    <t>Stairway_FloorG</t>
  </si>
  <si>
    <t>Stairwell</t>
  </si>
  <si>
    <t>Corridor_W_FloorG</t>
  </si>
  <si>
    <t>Corridor Area</t>
  </si>
  <si>
    <t>Corridor_N_FloorG</t>
  </si>
  <si>
    <t>Corridor_E_FloorG</t>
  </si>
  <si>
    <t>Corridor_S_FloorG</t>
  </si>
  <si>
    <t>Plenum_FloorG</t>
  </si>
  <si>
    <t>Plenum</t>
  </si>
  <si>
    <t>n/a</t>
  </si>
  <si>
    <t>No</t>
  </si>
  <si>
    <t>Lab_Core_FloorM</t>
  </si>
  <si>
    <t>BaseAirSys14-4</t>
  </si>
  <si>
    <t>Ground floor (FloorG)</t>
  </si>
  <si>
    <t>Middle and top floors (FloorM and FloorT)</t>
  </si>
  <si>
    <t>Lab_N_FloorM</t>
  </si>
  <si>
    <t>BaseAirSys14-5</t>
  </si>
  <si>
    <t>Lab_W_FloorM</t>
  </si>
  <si>
    <t>BaseAirSys14-6</t>
  </si>
  <si>
    <t>Lab_E_FloorM</t>
  </si>
  <si>
    <t>BaseAirSys14-7</t>
  </si>
  <si>
    <t>Lab_S_FloorM</t>
  </si>
  <si>
    <t>BaseAirSys14-8</t>
  </si>
  <si>
    <t>Area Distribution By Space Type</t>
  </si>
  <si>
    <t>Lab_FloorM</t>
  </si>
  <si>
    <t>BaseAirSys14-9</t>
  </si>
  <si>
    <t>Space Type</t>
  </si>
  <si>
    <t>%  Area</t>
  </si>
  <si>
    <t xml:space="preserve">Number of People </t>
  </si>
  <si>
    <t xml:space="preserve">% People </t>
  </si>
  <si>
    <t>Lounge_FloorM</t>
  </si>
  <si>
    <t>BaseAirSys5-2</t>
  </si>
  <si>
    <t>Storage_FloorM</t>
  </si>
  <si>
    <t>Mechanical/Electrical_FloorM</t>
  </si>
  <si>
    <t>IT-Room_FloorM</t>
  </si>
  <si>
    <t>Restroom_FloorM</t>
  </si>
  <si>
    <t>BreakRoom/Kitchenette_FloorM</t>
  </si>
  <si>
    <t>Stairway_FloorM</t>
  </si>
  <si>
    <t>Corridor_W_FloorM</t>
  </si>
  <si>
    <t>Corridor_N_FloorM</t>
  </si>
  <si>
    <t>Corridor_E_FloorM</t>
  </si>
  <si>
    <t>Corridor_S_FloorM</t>
  </si>
  <si>
    <t>Plenum_FloorM</t>
  </si>
  <si>
    <t>Total</t>
  </si>
  <si>
    <t>Lab_Core_FloorT</t>
  </si>
  <si>
    <t>BaseAirSys14-10</t>
  </si>
  <si>
    <t>Lab_N_FloorT</t>
  </si>
  <si>
    <t>BaseAirSys14-11</t>
  </si>
  <si>
    <t>Enclosed_Office_W_FloorT</t>
  </si>
  <si>
    <t>BaseAirSys5-3</t>
  </si>
  <si>
    <t>Enclosed_Office_E_FloorT</t>
  </si>
  <si>
    <t>Lab_S_FloorT</t>
  </si>
  <si>
    <t>BaseAirSys14-12</t>
  </si>
  <si>
    <t>Lab_FloorT</t>
  </si>
  <si>
    <t>BaseAirSys14-13</t>
  </si>
  <si>
    <t>Lounge_FloorT</t>
  </si>
  <si>
    <t>Storage_FloorT</t>
  </si>
  <si>
    <t>Mechanical/Electrical_FloorT</t>
  </si>
  <si>
    <t>IT-Room_FloorT</t>
  </si>
  <si>
    <t>Restroom_FloorT</t>
  </si>
  <si>
    <t>BreakRoom/Kitchenette_FloorT</t>
  </si>
  <si>
    <t>Stairway_FloorT</t>
  </si>
  <si>
    <t>Corridor_W_FloorT</t>
  </si>
  <si>
    <t>Corridor_N_FloorT</t>
  </si>
  <si>
    <t>Corridor_E_FloorT</t>
  </si>
  <si>
    <t>Corridor_S_FloorT</t>
  </si>
  <si>
    <t>Plenum_FloorT</t>
  </si>
  <si>
    <t>Total (1 Building)</t>
  </si>
  <si>
    <t>Total (54 Space)</t>
  </si>
  <si>
    <t>Total (11 Space Type)</t>
  </si>
  <si>
    <t>Total (4 HVAC Systems/Airloops)</t>
  </si>
  <si>
    <t>Total (1 category)</t>
  </si>
  <si>
    <t>Total (51 Conditioned zones, 3 unconditioned zones)</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</si>
  <si>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</si>
  <si>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</si>
  <si>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</si>
  <si>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</si>
  <si>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</si>
  <si>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</si>
  <si>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</si>
  <si>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</si>
  <si>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</si>
  <si>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</si>
  <si>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</si>
  <si>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</si>
  <si>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</si>
  <si>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</si>
  <si>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</si>
  <si>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</si>
  <si>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</si>
  <si>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</si>
  <si>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</si>
  <si>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</si>
  <si>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</si>
  <si>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</si>
  <si>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</si>
  <si>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</si>
  <si>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r>
      <rPr>
        <sz val="10"/>
        <color rgb="FF000000"/>
        <rFont val="Arial"/>
        <family val="2"/>
      </rPr>
      <t>Metal framed wall:</t>
    </r>
    <r>
      <rPr>
        <sz val="10"/>
        <color theme="1"/>
        <rFont val="Arial"/>
        <family val="2"/>
      </rPr>
      <t xml:space="preserve">
Metal frame + insulation + Gypsum board</t>
    </r>
  </si>
  <si>
    <t>U-value IP</t>
  </si>
  <si>
    <t>Pre 1978</t>
  </si>
  <si>
    <t>N/A</t>
  </si>
  <si>
    <t>ASHRAE 90.1, 2022 Table A3.3.3.1, 3.5", R-0</t>
  </si>
  <si>
    <t>1978-1997</t>
  </si>
  <si>
    <t>Similar to Low-rise office: 
Package A/ Heat Capacity was considered ~10 (BTU/F/ft²)</t>
  </si>
  <si>
    <t>*U = 1 / R_assembly, with the per-CZ R-values (4.7 / 4.4 / 4.4 / 4.6 / 3.9 CZ5-10 / 4.2 CZ11-13 / 4.8 CZ14-15 / 4.7 CZ16)</t>
  </si>
  <si>
    <t>1998-2007</t>
  </si>
  <si>
    <t>Table 1-H</t>
  </si>
  <si>
    <t>2008-2018</t>
  </si>
  <si>
    <t>Table 140.3-B</t>
  </si>
  <si>
    <t>Existing</t>
  </si>
  <si>
    <t>2019+</t>
  </si>
  <si>
    <t>Roof</t>
  </si>
  <si>
    <t>FlatRoof_WoodFramedAndOther_NonRes</t>
  </si>
  <si>
    <r>
      <rPr>
        <sz val="10"/>
        <color rgb="FF000000"/>
        <rFont val="Arial"/>
        <family val="2"/>
      </rPr>
      <t xml:space="preserve">Metal deck roof: </t>
    </r>
    <r>
      <rPr>
        <sz val="10"/>
        <rFont val="Arial"/>
        <family val="2"/>
      </rPr>
      <t xml:space="preserve">
roof membrane+roof insulation+metal decking</t>
    </r>
  </si>
  <si>
    <t>Considering 30 years for roof/ insulation replacement.</t>
  </si>
  <si>
    <t>Windows</t>
  </si>
  <si>
    <t>FixedWindow_NonRes</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</si>
  <si>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</si>
  <si>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</si>
  <si>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</si>
  <si>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</si>
  <si>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</si>
  <si>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Table 1-H - WWR:31-40% / SHGC non-north</t>
  </si>
  <si>
    <t>Infiltration</t>
  </si>
  <si>
    <t>Zones</t>
  </si>
  <si>
    <t>I_75
6-sdied Infiltration rate 
@ 75 pa</t>
  </si>
  <si>
    <t>Note</t>
  </si>
  <si>
    <t xml:space="preserve"> I-design (cfm/ft²) 
(4-sided Infiltration rate at normal pressure) 
(Design flow rate approach and Flow/Exterior Wall Area calculation method) </t>
  </si>
  <si>
    <t>2022 CASE report (Table 38)</t>
  </si>
  <si>
    <t>2022 CASE report (Table 38) &amp;
T24, 2008-2016 (Table 140.3-B)--Air barrier is required in CZ 10-16</t>
  </si>
  <si>
    <t>2022 CASE report (Table 38) &amp;  
T24, 2025 (Table 140.3-B)--Air barrier is required in all CZs</t>
  </si>
  <si>
    <t xml:space="preserve">Air Leakage Memo: </t>
  </si>
  <si>
    <t>-</t>
  </si>
  <si>
    <t xml:space="preserve">Heating </t>
  </si>
  <si>
    <t>Cooling</t>
  </si>
  <si>
    <t>Air Distribution</t>
  </si>
  <si>
    <t>Source</t>
  </si>
  <si>
    <t>Exisiting</t>
  </si>
  <si>
    <t>Offices and support area</t>
  </si>
  <si>
    <t>Gas Boiler</t>
  </si>
  <si>
    <t>Packaged (DX)</t>
  </si>
  <si>
    <t>Multi zone VAV with hydronic reheat</t>
  </si>
  <si>
    <t>Engineering Judgement</t>
  </si>
  <si>
    <t>System 5 PVAV for offices and support area</t>
  </si>
  <si>
    <t>Other Conditioned zones (Labs)</t>
  </si>
  <si>
    <r>
      <t xml:space="preserve">System 5 PVAV- </t>
    </r>
    <r>
      <rPr>
        <sz val="10"/>
        <color rgb="FF000000"/>
        <rFont val="Arial"/>
        <family val="2"/>
      </rPr>
      <t>100% outdoor air for labs, but no required energy recovery For V1 and V2. V3 has Heat recovery.</t>
    </r>
  </si>
  <si>
    <t>New Construction</t>
  </si>
  <si>
    <t xml:space="preserve">T24 2025 ACM 2025, Table 1 and 2 
</t>
  </si>
  <si>
    <t>Central air-to-water HP</t>
  </si>
  <si>
    <t>Central air-cooled Chiller</t>
  </si>
  <si>
    <t>Single zone VAV ( Each zone has a 
chilled water or hot water changeover coil with a 6-way valve for cooling or heating)</t>
  </si>
  <si>
    <t>System 14a for Labs– Aircooled 4pipe VAV with Exhaust heat recovery-</t>
  </si>
  <si>
    <t>*The New Construction HVAC system is assigned by the 2025 ACM Reference Manual, Table 1 (Nonresidential HVAC System Map), which selects the standard design system by space function rather than building type. For a covered process laboratory, Table 1 assigns System 14a – ACSZVAV (air-cooled single zone VAV) where the design maximum exhaust exceeds 20,000 cfm, no exception applies, and total conditioned floor area is below 150,000 ft²; above that area it becomes System 14b (water-cooled), and where the exhaust test is not met or an exception applies it drops to System 5 – PVAV. The laboratory prototype meets all three conditions: laboratory exhaust is a covered process under the ACM, design exhaust is 25,317 cfm, and conditioned floor area is 53,626 ft², which is why 14a rather than 14b was selected. The ACM is used as the basis because no observed stock dataset reports laboratory HVAC system type: CEUS 2022 has twelve building types with no laboratory or R&amp;D category. Existing vintages use System 5 – PVAV on the same ACM basis, applied as a documented proxy.</t>
  </si>
  <si>
    <t>** DEDICATED FANS: each of the laboratory zones carries its own exhaust fan, in every vintage and in New Construction.
The exhaust is modelled as a per-zone dedicated fan, i.e. non-manifolded; no common exhaust plenum or manifold is represented. 
HEAT RECOVERY: present in New Construction and V3 only, as part of System 14a and systen 5, and absent from the other vintages. 
PLUME AND EXIT VELOCITY: not modelled and not modellable with the current objects, since EnergyPlus zone exhaust fans carry no stack or discharge model.</t>
  </si>
  <si>
    <r>
      <rPr>
        <b/>
        <sz val="12"/>
        <color rgb="FFFFFFFF"/>
        <rFont val="Arial"/>
      </rPr>
      <t xml:space="preserve">Efficiency of HVAC System
</t>
    </r>
    <r>
      <rPr>
        <sz val="10"/>
        <color rgb="FFFFFFFF"/>
        <rFont val="Arial"/>
      </rPr>
      <t xml:space="preserve"> (Efficiency is capacity-dependent. The following table provides a general estimate of system efficiency based on preliminary simulations in one climate zone, or assuming cooling load based on rule of thumb)</t>
    </r>
  </si>
  <si>
    <t>Upgrade/Installed year</t>
  </si>
  <si>
    <t xml:space="preserve">Air-Cooled Chiller </t>
  </si>
  <si>
    <t xml:space="preserve">DX </t>
  </si>
  <si>
    <t>Air-to-Water HP</t>
  </si>
  <si>
    <t xml:space="preserve">Sources </t>
  </si>
  <si>
    <t>≥ 65,000 Btu/h and 
&lt; 135,000 Btu/h , 11.0 EER</t>
  </si>
  <si>
    <t>80% Ec</t>
  </si>
  <si>
    <t>T24, 2008 , Table 112-A (for DX Coil) -Title 24-2008 §111 / Title 20 Table E-3 (and 10 CFR 431.87 as in effect through March 1, 2012) for Boiler Efficiency</t>
  </si>
  <si>
    <t>Gas-Fired Boiler &gt; 300,000 Btu/h and 
≤2,500,000 Btu/h-- 80% Et 
Gas-Fired Boiler &gt; 2,500,000 Btu/h -- 82% Ec</t>
  </si>
  <si>
    <t xml:space="preserve">
T24, 2013 , Table 110.2-A (for DX Coil) -Table 110.2-k (for Gas Fired Boiler)</t>
  </si>
  <si>
    <t>Air-cooled Chiller &gt;150 Tons--≥ 10.100 EER, ≥ 14.000 IPLV</t>
  </si>
  <si>
    <t>Air Cooled (Heating Mode) Split system and 
single package≥ 135,000 Btu/h and &lt; 
240,000 Btu/h 
3.3 COP</t>
  </si>
  <si>
    <t xml:space="preserve">
T24, 2025 , Table 110.2-A (for DX Coil), Table 110.2-D (for chiller COP) - 10 CFR 431.86 , section § 431.87 Table 1 (for Boiler thermal efficiency).
</t>
  </si>
  <si>
    <t>* Et = Combustion efficiency</t>
  </si>
  <si>
    <t>* Et = Thermal efficiency</t>
  </si>
  <si>
    <t>Fan power</t>
  </si>
  <si>
    <t>Approach</t>
  </si>
  <si>
    <t>System</t>
  </si>
  <si>
    <t>Total Static Pressure (TSP)
(in w.c.)</t>
  </si>
  <si>
    <t>Fan Efficiency
[ACM 2025]</t>
  </si>
  <si>
    <t xml:space="preserve">Motor Efficiency </t>
  </si>
  <si>
    <t xml:space="preserve"> Fan Power Index 
(W/cfm)</t>
  </si>
  <si>
    <t>Data Source</t>
  </si>
  <si>
    <t>PNNL 90.1-2011, TSP</t>
  </si>
  <si>
    <t>System 6 VAV &gt;5,000 cfm</t>
  </si>
  <si>
    <r>
      <t>ASHRAE 90.1, 2004, Table 10.8 *</t>
    </r>
    <r>
      <rPr>
        <sz val="10"/>
        <color rgb="FF000000"/>
        <rFont val="Arial"/>
        <family val="2"/>
      </rPr>
      <t xml:space="preserve"> </t>
    </r>
  </si>
  <si>
    <t>Fan power formula: PNNL 20405, 2010, section 5.2.2.5
TSP and fan efficiency: PNNL 20405, 2010, Table 5.11, 90.1-04ac values
Motor efficiency: ASHRAE 90.1, 2004, Table 10.8</t>
  </si>
  <si>
    <t>Brake horsepower (bhp) = (Supply cfm × TSP in w.c.) / (6356 × fan efficiency)</t>
  </si>
  <si>
    <t>Fan power (w/cfm) = (bhp ×  746) / ( supply cfm × motor efficiency )</t>
  </si>
  <si>
    <t>ACM 2025</t>
  </si>
  <si>
    <t>Multi Zone VAV System &gt;5,000 cfm; &lt; 10,000 cfm</t>
  </si>
  <si>
    <t>TSP = fan power × motor efficiency  × fan efficiency × 6356  / 747</t>
  </si>
  <si>
    <t>2025 ACM Table 12 **</t>
  </si>
  <si>
    <t>Fan power index: [ACM 2025,  Table 13]
Motot efficiency: [ ACM 2025, Table 12]</t>
  </si>
  <si>
    <t>* 0.9 is an average fan efficiency according to ACM 2025, Table 13</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</si>
  <si>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</si>
  <si>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t>
  </si>
  <si>
    <t>Background Data [To be deleted prior to publication]</t>
  </si>
  <si>
    <t>Spaces/Zones</t>
  </si>
  <si>
    <t>Setpoint</t>
  </si>
  <si>
    <t>Heating Setpoint (F)</t>
  </si>
  <si>
    <t>LBNL/DOE Prototype for Labs</t>
  </si>
  <si>
    <t>Heating Setback (F)</t>
  </si>
  <si>
    <t>Cooling Setpoint (F)</t>
  </si>
  <si>
    <t>Cooling Setback (F)</t>
  </si>
  <si>
    <t>All conditioned zones except server rooms, Storage, Stairway &amp; Mechanical_Electrical</t>
  </si>
  <si>
    <t>T24 2025 - Appendix 5.4B</t>
  </si>
  <si>
    <t>Storage, Stairway, and Mechanical_Electrical</t>
  </si>
  <si>
    <t>Enginnering Judgment</t>
  </si>
  <si>
    <t>(Semi‑conditioned space)</t>
  </si>
  <si>
    <t>IT rooms</t>
  </si>
  <si>
    <t>Cooling Setpoint (F)*</t>
  </si>
  <si>
    <t xml:space="preserve">Title 24, Part 6, 2025, section 140.9 (a)  and  PNNL ASHRAE 90.1 2022 Large Office prototype  </t>
  </si>
  <si>
    <t>Heating Setpoint (F)*</t>
  </si>
  <si>
    <r>
      <t>*The IT room with over 12 W/ft</t>
    </r>
    <r>
      <rPr>
        <vertAlign val="superscript"/>
        <sz val="9"/>
        <color rgb="FF000000"/>
        <rFont val="Arial"/>
        <family val="2"/>
      </rPr>
      <t>2</t>
    </r>
    <r>
      <rPr>
        <sz val="10"/>
        <color rgb="FF000000"/>
        <rFont val="Arial"/>
        <family val="2"/>
      </rPr>
      <t xml:space="preserve"> load doesn't require heating system as the equipment constantly generate enough heat. </t>
    </r>
  </si>
  <si>
    <t>*Relative Humidity Ratio: 40%-60%</t>
  </si>
  <si>
    <t xml:space="preserve">  Office Cooling Setback (F)</t>
  </si>
  <si>
    <r>
      <rPr>
        <b/>
        <sz val="10"/>
        <color rgb="FF000000"/>
        <rFont val="Arial"/>
        <family val="2"/>
      </rPr>
      <t>Source:</t>
    </r>
    <r>
      <rPr>
        <sz val="10"/>
        <color rgb="FF000000"/>
        <rFont val="Arial"/>
        <family val="2"/>
      </rPr>
      <t xml:space="preserve"> PNNL Healthcare-Outpaitiet prototype use this setpoints: Administration zones: 72°F Cooling/70°F Heating, Critical zones: 72°F Cooling/70°F Heating, Operating rooms: 65°F Cooling/65°F Heating</t>
    </r>
  </si>
  <si>
    <t>PNNL Healthcare-Outpaitiet prototype use this setbacks: 77°F Cooling/65°F Heating, Critical zones: no setback, Operating rooms: 72°F Cooling/65°F Heating</t>
  </si>
  <si>
    <t>Floor Area (ft²)</t>
  </si>
  <si>
    <t>cfm/person (T24, 2025, Equation 120.1-F and Table 120.1-A)</t>
  </si>
  <si>
    <t>cfm/ft² (T24, 2025, Equation 120.1-F and Table 120.1-A)</t>
  </si>
  <si>
    <t>Required exhaust rate-CFM/ft²- (T24, part 6 2025, Table 120.1-B – minimum exhaust rates)</t>
  </si>
  <si>
    <t>Hood Exhaust Rate (cfm) @133 cfm/ft - At sash stop</t>
  </si>
  <si>
    <t>Total cfm driven by people</t>
  </si>
  <si>
    <t>Total cfm driven by area</t>
  </si>
  <si>
    <t>Total cfm driven by exhaust</t>
  </si>
  <si>
    <t>Total cfm</t>
  </si>
  <si>
    <t xml:space="preserve">4*50/70 cfm per unit  </t>
  </si>
  <si>
    <t xml:space="preserve">4* 50/70 cfm per unit  </t>
  </si>
  <si>
    <t>Exhaust Fume Hood</t>
  </si>
  <si>
    <t>Sash position</t>
  </si>
  <si>
    <t>h (in)</t>
  </si>
  <si>
    <t>h (ft)</t>
  </si>
  <si>
    <t>cfm/hood</t>
  </si>
  <si>
    <t>cfm/ft of hood</t>
  </si>
  <si>
    <t>Fully open (29 in)</t>
  </si>
  <si>
    <t>At 18 in sash stop</t>
  </si>
  <si>
    <t>Closed (6 in)</t>
  </si>
  <si>
    <t>*Source for every number: CEC TN 222188 (2019 Fume Hoods CASE report), Table 29.
Per-hood basis , a 6 ft nominal hood, 5.33 ft workspace width, 100 fpm face velocity (Cal/OSHA §5154.1). Flow = sash opening area × face velocity. A "6-foot hood" is a nominal cabinet dimension. The actual sash opening is narrower because of the side posts and frame — 5.33 ft. So airflow is computed on 5.33 ft but expressed per 6 ft of nominal hood. That's the only subtlety in the calculation, and getting it wrong would overstate flow by 13%.</t>
  </si>
  <si>
    <t xml:space="preserve">Type of hood </t>
  </si>
  <si>
    <t>Space</t>
  </si>
  <si>
    <t>Area (ft²	)</t>
  </si>
  <si>
    <t xml:space="preserve">Hood length (ft)	</t>
  </si>
  <si>
    <t>Number of Hoods</t>
  </si>
  <si>
    <t>Hood Exhaust Rate (cfm) @215 cfm/ft</t>
  </si>
  <si>
    <t>Hood Exhaust Rate (cfm) @44 cfm/ft - closed</t>
  </si>
  <si>
    <t>Schedule (Pre-1978, 1978–19970</t>
  </si>
  <si>
    <t>Schedule (1998–2007, 2008–2018)</t>
  </si>
  <si>
    <t>Schedule (New Construction)</t>
  </si>
  <si>
    <t>Fume Hood</t>
  </si>
  <si>
    <r>
      <t>CAV</t>
    </r>
    <r>
      <rPr>
        <sz val="10"/>
        <color rgb="FF000000"/>
        <rFont val="Segoe UI"/>
        <family val="2"/>
      </rPr>
      <t> (0.90 flat)</t>
    </r>
  </si>
  <si>
    <t>Manual VAV (0.50–0.56)</t>
  </si>
  <si>
    <r>
      <t>Auto-sash VAV</t>
    </r>
    <r>
      <rPr>
        <sz val="10"/>
        <color rgb="FF000000"/>
        <rFont val="Segoe UI"/>
        <family val="2"/>
      </rPr>
      <t> (0.20–0.33)</t>
    </r>
  </si>
  <si>
    <t>Hood density: 18.63 ft per 1,000 ft² — Table 29's 95 ft of hood in a 5,100 ft² lab.</t>
  </si>
  <si>
    <t>*ANSI Z9.5 is the American National Standard for Laboratory Ventilation, and Section 6.4 focuses on how and where lab exhaust air must be discharged to ensure safety, health, and code compliance.</t>
  </si>
  <si>
    <t>*2025 California Title 24, Part 6, the prescriptive exhaust requirements for laboratory spaces are detailed in Section 140.9(c).</t>
  </si>
  <si>
    <t>Requirement</t>
  </si>
  <si>
    <t>Description</t>
  </si>
  <si>
    <t>Criterion</t>
  </si>
  <si>
    <t>Value / Standard</t>
  </si>
  <si>
    <t>Airflow Modulation</t>
  </si>
  <si>
    <t>Reduce to minimum 10 ACH or pressurization limit</t>
  </si>
  <si>
    <t>Pressure relationship</t>
  </si>
  <si>
    <t>Negative relative to adjacent spaces</t>
  </si>
  <si>
    <t>Variable Exhaust/Makeup Air</t>
  </si>
  <si>
    <t>Coordinated VAV systems for pressurization</t>
  </si>
  <si>
    <t>Pressure differential target</t>
  </si>
  <si>
    <t>0.01–0.05 in. w.c.</t>
  </si>
  <si>
    <t>Fan Power Limit</t>
  </si>
  <si>
    <t>≤ 0.65 W/CFM (standard); ≤ 0.85 W/CFM (with filtration)</t>
  </si>
  <si>
    <t>Infiltration modeling</t>
  </si>
  <si>
    <t>Not the primary OA source; modeled as tightly controlled</t>
  </si>
  <si>
    <t>Sash Closure Controls</t>
  </si>
  <si>
    <t>Auto-close after 5 min inactivity with safety features</t>
  </si>
  <si>
    <t>Envelope air barrier</t>
  </si>
  <si>
    <t>Required per T24 standards</t>
  </si>
  <si>
    <t>Makeup Air Compliance</t>
  </si>
  <si>
    <t>Must meet Section 140.4(o) standards</t>
  </si>
  <si>
    <t>Standard reference</t>
  </si>
  <si>
    <t>ANSI Z9.5-2022, ASHRAE 62.1, ASHRAE 90.1</t>
  </si>
  <si>
    <t>Water Heater - Laboratory</t>
  </si>
  <si>
    <t>WH Type</t>
  </si>
  <si>
    <t>Efficiency</t>
  </si>
  <si>
    <t>Number of WH</t>
  </si>
  <si>
    <t>Tank Volume (gal)</t>
  </si>
  <si>
    <t>Tank Loss</t>
  </si>
  <si>
    <t xml:space="preserve">Existing  </t>
  </si>
  <si>
    <t>Gas</t>
  </si>
  <si>
    <t>See table below for CZ-specific values: Climate Zone Water Heater Sizing and Loss Coefficients, Storage Volume column (col F)</t>
  </si>
  <si>
    <t>See table below: Climate Zone Water Heater Sizing and Loss Coefficients, Standby Loss column (col G)</t>
  </si>
  <si>
    <t>See table below for sources: Climate Zone Water Heater Sizing and Loss Coefficients</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</si>
  <si>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</si>
  <si>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</si>
  <si>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</si>
  <si>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</si>
  <si>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</si>
  <si>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</si>
  <si>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</si>
  <si>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Gas*</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</si>
  <si>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</si>
  <si>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</si>
  <si>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</si>
  <si>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</si>
  <si>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</si>
  <si>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</si>
  <si>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</si>
  <si>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</si>
  <si>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</si>
  <si>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</si>
  <si>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</si>
  <si>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</si>
  <si>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</si>
  <si>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</si>
  <si>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</si>
  <si>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</si>
  <si>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</si>
  <si>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</si>
  <si>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</si>
  <si>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</si>
  <si>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</si>
  <si>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</si>
  <si>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</si>
  <si>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</si>
  <si>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</si>
  <si>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</si>
  <si>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</si>
  <si>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</si>
  <si>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</si>
  <si>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</si>
  <si>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</si>
  <si>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</si>
  <si>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</si>
  <si>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</si>
  <si>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</si>
  <si>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</si>
  <si>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</si>
  <si>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</si>
  <si>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</si>
  <si>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</si>
  <si>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</si>
  <si>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</si>
  <si>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</si>
  <si>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</si>
  <si>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</si>
  <si>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</si>
  <si>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 xml:space="preserve">New Construction </t>
  </si>
  <si>
    <t>Lighting density 
(W/ft²)</t>
  </si>
  <si>
    <t>Additional LPD for Portable Lighting (W/ft²)</t>
  </si>
  <si>
    <t xml:space="preserve">LPD (W/ft²) </t>
  </si>
  <si>
    <t xml:space="preserve">T24, part 6, 2025, Table 140.6 C  (Area category method) </t>
  </si>
  <si>
    <t xml:space="preserve">T24, part 6, 2016, Table 140.6 C   (Area category method) </t>
  </si>
  <si>
    <t>Additional lighting for: Detailed Task Work</t>
  </si>
  <si>
    <t>Additional lighting for: decorative/display
It is assumed that 50% of the additional allowance lighting is in use.</t>
  </si>
  <si>
    <t>Additional lighting for: decorative/display</t>
  </si>
  <si>
    <t>Motion Controlled Luminaires (W)</t>
  </si>
  <si>
    <t>Non-motion Controlled Luminaires (W)</t>
  </si>
  <si>
    <t>Total (W)</t>
  </si>
  <si>
    <t>T24, 2022 &amp; 2025
2019 Outdoor Lighting CASE report 
 PNNL 90.1-2010 TSD</t>
  </si>
  <si>
    <t>Items (Assume LZ2)</t>
  </si>
  <si>
    <r>
      <t xml:space="preserve">Assumptions
</t>
    </r>
    <r>
      <rPr>
        <b/>
        <sz val="10"/>
        <color rgb="FF000000"/>
        <rFont val="Arial"/>
        <family val="2"/>
      </rPr>
      <t>[2019 Outdoor Lighting CASE Report]</t>
    </r>
  </si>
  <si>
    <t>Unit</t>
  </si>
  <si>
    <t>Lighting Power Allowance 
(T24, part 6, 2025, Table 140.7-A &amp; 140.7-B)</t>
  </si>
  <si>
    <t>Exterior Lighting Power (W)</t>
  </si>
  <si>
    <t>IWA (Initial Wattage Allowance)</t>
  </si>
  <si>
    <t>Lighting Zone 3</t>
  </si>
  <si>
    <t>(W)</t>
  </si>
  <si>
    <t>Parking area</t>
  </si>
  <si>
    <t>400 ft² for every parking space [2019 Lighting CASE report, Appendix H]
1 parking space per 250 ft² of gross building area   [2019 Lighting CASE report,Table 38]</t>
  </si>
  <si>
    <t>(ft²)</t>
  </si>
  <si>
    <t>(W/ft²)</t>
  </si>
  <si>
    <t>Building Entrance</t>
  </si>
  <si>
    <t>2 building entrance</t>
  </si>
  <si>
    <t>(count)</t>
  </si>
  <si>
    <t>(W/ea)</t>
  </si>
  <si>
    <t>Hardscape Ornamental Light</t>
  </si>
  <si>
    <r>
      <t xml:space="preserve">0.1 ft² per 1 ft² of gross building area for hardscape ornamental light </t>
    </r>
    <r>
      <rPr>
        <sz val="10"/>
        <color rgb="FF000000"/>
        <rFont val="Arial"/>
        <family val="2"/>
      </rPr>
      <t>[2019 Lighting CASE report,Table 36]</t>
    </r>
  </si>
  <si>
    <t>Building façade</t>
  </si>
  <si>
    <r>
      <t xml:space="preserve">0.1 W per 1 ft² of facade area 
</t>
    </r>
    <r>
      <rPr>
        <sz val="10"/>
        <color rgb="FF000000"/>
        <rFont val="Arial"/>
        <family val="2"/>
      </rPr>
      <t xml:space="preserve">Façade Area = Perimeter × 0.5 × 30 ft (30 ft is the max height that is lit) * </t>
    </r>
    <r>
      <rPr>
        <sz val="10"/>
        <color theme="1"/>
        <rFont val="Arial"/>
        <family val="2"/>
      </rPr>
      <t xml:space="preserve">
The 0.5 factor assumes that only half of the perimeter walls are lit.
</t>
    </r>
    <r>
      <rPr>
        <sz val="10"/>
        <color rgb="FF000000"/>
        <rFont val="Arial"/>
        <family val="2"/>
      </rPr>
      <t>[2019 Lighting CASE report]</t>
    </r>
  </si>
  <si>
    <t>Non-sales canopy</t>
  </si>
  <si>
    <t>Non-motion-controlled Luminaires</t>
  </si>
  <si>
    <t>Total floor area</t>
  </si>
  <si>
    <t xml:space="preserve">Perimeter </t>
  </si>
  <si>
    <t>Floors</t>
  </si>
  <si>
    <t>Plug load Intensity (W/ft²)</t>
  </si>
  <si>
    <t>Gas Power Density (Btu/hr-ft²)</t>
  </si>
  <si>
    <t>Refrigeration Power Density (W/ft²)</t>
  </si>
  <si>
    <t>Proposed Updates to Equipment Power Densities and Schedules in the 2028 Energy Code Nonresidential and Multifamily Alternative Calculation Method (NRMFACM) Reference Manual, August 7, 2025</t>
  </si>
  <si>
    <t>The Plug load density is set based on the LBNL/DOE Prototype. The gas power density and the refrig power density is based  onT24 2025 - Appendix 5.4A</t>
  </si>
  <si>
    <t>T24 2025 - Appendix 5.4A</t>
  </si>
  <si>
    <t xml:space="preserve">Feedback from TAG team </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</si>
  <si>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</si>
  <si>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</si>
  <si>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</si>
  <si>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</si>
  <si>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</si>
  <si>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</si>
  <si>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</si>
  <si>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</si>
  <si>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</si>
  <si>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</si>
  <si>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</si>
  <si>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</si>
  <si>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</si>
  <si>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</si>
  <si>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</si>
  <si>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</si>
  <si>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Lab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</si>
  <si>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</si>
  <si>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</si>
  <si>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</si>
  <si>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</si>
  <si>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</si>
  <si>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</si>
  <si>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</si>
  <si>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</si>
  <si>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</si>
  <si>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</si>
  <si>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</si>
  <si>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</si>
  <si>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</si>
  <si>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</si>
  <si>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</si>
  <si>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</si>
  <si>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</si>
  <si>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</si>
  <si>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</si>
  <si>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</si>
  <si>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</si>
  <si>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</si>
  <si>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</si>
  <si>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</si>
  <si>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</si>
  <si>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</si>
  <si>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</si>
  <si>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</si>
  <si>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</si>
  <si>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</si>
  <si>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</si>
  <si>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</si>
  <si>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</si>
  <si>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</si>
  <si>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</si>
  <si>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</si>
  <si>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</si>
  <si>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</si>
  <si>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</si>
  <si>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</si>
  <si>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</si>
  <si>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</si>
  <si>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</si>
  <si>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</si>
  <si>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</si>
  <si>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</si>
  <si>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</si>
  <si>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</si>
  <si>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</si>
  <si>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</si>
  <si>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</si>
  <si>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</si>
  <si>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</si>
  <si>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</si>
  <si>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</si>
  <si>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</si>
  <si>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</si>
  <si>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</si>
  <si>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</si>
  <si>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</si>
  <si>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</si>
  <si>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</si>
  <si>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</si>
  <si>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</si>
  <si>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</si>
  <si>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</si>
  <si>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</si>
  <si>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</si>
  <si>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</si>
  <si>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</si>
  <si>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</si>
  <si>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</si>
  <si>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</si>
  <si>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</si>
  <si>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</si>
  <si>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</si>
  <si>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</si>
  <si>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</si>
  <si>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</si>
  <si>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</si>
  <si>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</si>
  <si>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</si>
  <si>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</si>
  <si>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Zone</t>
  </si>
  <si>
    <t>Schedule</t>
  </si>
  <si>
    <t>Type</t>
  </si>
  <si>
    <t>Hour</t>
  </si>
  <si>
    <t>All Lab Zones</t>
  </si>
  <si>
    <t>Occupancy</t>
  </si>
  <si>
    <t>T24 2022 - Appendix 5.4B, [Lab]</t>
  </si>
  <si>
    <t>Weekday</t>
  </si>
  <si>
    <t>Saturday</t>
  </si>
  <si>
    <t>Sunday</t>
  </si>
  <si>
    <t>Lights</t>
  </si>
  <si>
    <t xml:space="preserve">ElecEquipment </t>
  </si>
  <si>
    <t>ServiceHotWater</t>
  </si>
  <si>
    <t>Based on the MediumOffice Prototype</t>
  </si>
  <si>
    <t>GasEquipment</t>
  </si>
  <si>
    <t>Refrigeration</t>
  </si>
  <si>
    <t>HVACAvail</t>
  </si>
  <si>
    <t>ExhaustCAV</t>
  </si>
  <si>
    <t>ExhaustVAVManualSashCtrl</t>
  </si>
  <si>
    <t>ExhaustVAVAutoSashCtrl</t>
  </si>
  <si>
    <t>HtgSetpt</t>
  </si>
  <si>
    <t>T24 2022 - Appendix 5.4B, [Office]</t>
  </si>
  <si>
    <t>ClgSetpt</t>
  </si>
  <si>
    <t>All Office zones except for IT Rooms, Storage, Stairway, and Mechanical_Electrical</t>
  </si>
  <si>
    <t xml:space="preserve">Office </t>
  </si>
  <si>
    <r>
      <t xml:space="preserve">T24 2022 - Appendix 5.4B, [Office]
</t>
    </r>
    <r>
      <rPr>
        <sz val="9"/>
        <color rgb="FF0070C0"/>
        <rFont val="Arial"/>
        <family val="2"/>
      </rPr>
      <t xml:space="preserve">
Updated base on Plug load and schedules project with CEC, 2025</t>
    </r>
  </si>
  <si>
    <t xml:space="preserve">ElecEquipment
</t>
  </si>
  <si>
    <t xml:space="preserve">Plug load and schedules project with CEC, 2025 </t>
  </si>
  <si>
    <r>
      <t xml:space="preserve">T24 2022 - Appendix 5.4B, [Office]
</t>
    </r>
    <r>
      <rPr>
        <sz val="9"/>
        <color rgb="FF0070C0"/>
        <rFont val="Arial"/>
        <family val="2"/>
      </rPr>
      <t>Updated base on Plug load and schedules project with CEC, 202</t>
    </r>
  </si>
  <si>
    <t>IT room</t>
  </si>
  <si>
    <t>T24 2022 - Appendix 5.4B, [Data]</t>
  </si>
  <si>
    <t>Updated base on office schedule</t>
  </si>
  <si>
    <t>Based on Activity level and thermostat setpoint</t>
  </si>
  <si>
    <t>Stairway</t>
  </si>
  <si>
    <t>Updated base on Plug load and schedules project with CEC, 202</t>
  </si>
  <si>
    <t>ExtLightingNonMotionCtrl</t>
  </si>
  <si>
    <t>ExtLightingMotionCtrl</t>
  </si>
  <si>
    <t>FunctionalAreaPeopleActivityLevel</t>
  </si>
  <si>
    <t xml:space="preserve">Based on Activity level schedules in  CEC Prototypes </t>
  </si>
  <si>
    <t>ComputerRoomPeopleActivityLevel</t>
  </si>
  <si>
    <t>Conference room</t>
  </si>
  <si>
    <t>MeetingAreaPeopleActivityLevel</t>
  </si>
  <si>
    <t>Corridor, Stair, Lobby, Restroom, Mech, Storage, Break</t>
  </si>
  <si>
    <t>CommonAreaPeopleActivityLevel</t>
  </si>
  <si>
    <t>CalBEM Energy Consumption - Laboratory</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</si>
  <si>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</si>
  <si>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</si>
  <si>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</si>
  <si>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</si>
  <si>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</si>
  <si>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</si>
  <si>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</si>
  <si>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</si>
  <si>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</si>
  <si>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</si>
  <si>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</si>
  <si>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</si>
  <si>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</si>
  <si>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</si>
  <si>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</si>
  <si>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(20% Higher)</t>
  </si>
  <si>
    <t>Acceptable Range (20%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</si>
  <si>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</si>
  <si>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</si>
  <si>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</si>
  <si>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healthcare.</t>
  </si>
  <si>
    <t>Vintage Bin</t>
  </si>
  <si>
    <t>Pre-1978</t>
  </si>
  <si>
    <t>Not available</t>
  </si>
  <si>
    <t>Statewide</t>
  </si>
  <si>
    <t>Ref: CEUS 2022 dataset</t>
  </si>
  <si>
    <t>TBD</t>
  </si>
  <si>
    <t>Space Function</t>
  </si>
  <si>
    <t xml:space="preserve">Exhaust Required? </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</si>
  <si>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</si>
  <si>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</si>
  <si>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</si>
  <si>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</si>
  <si>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</si>
  <si>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</si>
  <si>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</si>
  <si>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</si>
  <si>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</si>
  <si>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</si>
  <si>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</si>
  <si>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</si>
  <si>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</si>
  <si>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</si>
  <si>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</si>
  <si>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</si>
  <si>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</si>
  <si>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</si>
  <si>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</si>
  <si>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</si>
  <si>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</si>
  <si>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</si>
  <si>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</si>
  <si>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</si>
  <si>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</si>
  <si>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</si>
  <si>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</si>
  <si>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</si>
  <si>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</si>
  <si>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</si>
  <si>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</si>
  <si>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</si>
  <si>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</si>
  <si>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</si>
  <si>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</si>
  <si>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 xml:space="preserve">Laundry Area </t>
  </si>
  <si>
    <t>Library (Reading Area)</t>
  </si>
  <si>
    <t>Library (Stacks Area)</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</si>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</sst>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 numFmtId="171" formatCode="_(* #,##0.000_);_(* \(#,##0.000\);_(* &quot;-&quot;??_);_(@_)"/>
    <numFmt numFmtId="172" formatCode="0.0000"/>
  </numFmts>
  <fonts count="53"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b/>
      <sz val="14"/>
      <color theme="1"/>
      <name val="Arial"/>
      <family val="2"/>
    </font>
    <font>
      <b/>
      <sz val="10"/>
      <color rgb="FF002F8E"/>
      <name val="Arial"/>
      <family val="2"/>
    </font>
    <font>
      <sz val="10"/>
      <color theme="0"/>
      <name val="Arial"/>
      <family val="2"/>
    </font>
    <font>
      <sz val="11"/>
      <color rgb="FF000000"/>
      <name val="Arial"/>
      <family val="2"/>
    </font>
    <font>
      <b/>
      <sz val="12"/>
      <color rgb="FFFFFFFF"/>
      <name val="Arial"/>
      <family val="2"/>
    </font>
    <font>
      <u/>
      <sz val="10"/>
      <color rgb="FF0563C1"/>
      <name val="Arial"/>
      <family val="2"/>
    </font>
    <font>
      <b/>
      <sz val="11"/>
      <color rgb="FF000000"/>
      <name val="Calibri"/>
      <family val="2"/>
      <scheme val="minor"/>
    </font>
    <font>
      <sz val="11"/>
      <name val="Calibri"/>
      <family val="2"/>
      <scheme val="minor"/>
    </font>
    <font>
      <sz val="9"/>
      <color rgb="FF000000"/>
      <name val="Arial"/>
      <family val="2"/>
    </font>
    <font>
      <sz val="10"/>
      <color rgb="FFA6A6A6"/>
      <name val="Arial"/>
      <family val="2"/>
    </font>
    <font>
      <sz val="10"/>
      <color rgb="FF0070C0"/>
      <name val="Arial"/>
      <family val="2"/>
    </font>
    <font>
      <sz val="9"/>
      <color rgb="FF0070C0"/>
      <name val="Arial"/>
      <family val="2"/>
    </font>
    <font>
      <sz val="11"/>
      <color rgb="FF000000"/>
      <name val="Calibri"/>
      <family val="2"/>
    </font>
    <font>
      <b/>
      <sz val="14"/>
      <color rgb="FFFFFFFF"/>
      <name val="Calibri"/>
      <family val="2"/>
    </font>
    <font>
      <b/>
      <sz val="11"/>
      <color rgb="FF000000"/>
      <name val="Calibri"/>
      <family val="2"/>
    </font>
    <font>
      <b/>
      <sz val="9"/>
      <color theme="1"/>
      <name val="Arial"/>
      <family val="2"/>
    </font>
    <font>
      <sz val="11"/>
      <color theme="1"/>
      <name val="Calibri"/>
      <family val="2"/>
    </font>
    <font>
      <u/>
      <sz val="10"/>
      <color theme="10"/>
      <name val="Calibri"/>
      <family val="2"/>
      <scheme val="minor"/>
    </font>
    <font>
      <b/>
      <sz val="11"/>
      <color rgb="FF000000"/>
      <name val="Arial"/>
      <family val="2"/>
    </font>
    <font>
      <vertAlign val="superscript"/>
      <sz val="9"/>
      <color rgb="FF000000"/>
      <name val="Arial"/>
      <family val="2"/>
    </font>
    <font>
      <sz val="9"/>
      <color rgb="FF4472C4"/>
      <name val="Arial"/>
      <family val="2"/>
    </font>
    <font>
      <sz val="10"/>
      <color rgb="FF000000"/>
      <name val="Segoe UI"/>
      <family val="2"/>
    </font>
    <font>
      <u/>
      <sz val="10"/>
      <color rgb="FF000000"/>
      <name val="Arial"/>
      <family val="2"/>
    </font>
    <font>
      <sz val="10"/>
      <color rgb="FFF0F0F0"/>
      <name val="Arial"/>
      <family val="2"/>
    </font>
    <font>
      <i/>
      <sz val="10"/>
      <color rgb="FFF0F0F0"/>
      <name val="Arial"/>
      <family val="2"/>
    </font>
    <font>
      <sz val="10"/>
      <color rgb="FF000000"/>
      <name val="Arial"/>
    </font>
    <font>
      <b/>
      <sz val="12"/>
      <color rgb="FFFFFFFF"/>
      <name val="Arial"/>
    </font>
    <font>
      <sz val="10"/>
      <color rgb="FFFFFFFF"/>
      <name val="Arial"/>
    </font>
  </fonts>
  <fills count="27">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9E1F2"/>
        <bgColor rgb="FF000000"/>
      </patternFill>
    </fill>
    <fill>
      <patternFill patternType="solid">
        <fgColor rgb="FF203764"/>
        <bgColor rgb="FF000000"/>
      </patternFill>
    </fill>
    <fill>
      <patternFill patternType="solid">
        <fgColor rgb="FFFFFFFF"/>
        <bgColor rgb="FF000000"/>
      </patternFill>
    </fill>
    <fill>
      <patternFill patternType="solid">
        <fgColor rgb="FFFFF2CC"/>
        <bgColor rgb="FF000000"/>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D9D9D9"/>
        <bgColor rgb="FF000000"/>
      </patternFill>
    </fill>
    <fill>
      <patternFill patternType="solid">
        <fgColor rgb="FFD0CECE"/>
        <bgColor rgb="FF000000"/>
      </patternFill>
    </fill>
    <fill>
      <patternFill patternType="solid">
        <fgColor theme="0" tint="-0.14999847407452621"/>
        <bgColor rgb="FF000000"/>
      </patternFill>
    </fill>
    <fill>
      <patternFill patternType="solid">
        <fgColor rgb="FFBFBFBF"/>
        <bgColor rgb="FF000000"/>
      </patternFill>
    </fill>
    <fill>
      <patternFill patternType="solid">
        <fgColor rgb="FFF2F2F2"/>
        <bgColor indexed="64"/>
      </patternFill>
    </fill>
    <fill>
      <patternFill patternType="solid">
        <fgColor theme="2" tint="-9.9978637043366805E-2"/>
        <bgColor indexed="64"/>
      </patternFill>
    </fill>
    <fill>
      <patternFill patternType="solid">
        <fgColor rgb="FF8F8F8F"/>
        <bgColor indexed="64"/>
      </patternFill>
    </fill>
  </fills>
  <borders count="238">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rgb="FF000000"/>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indexed="64"/>
      </right>
      <top style="thin">
        <color theme="1" tint="0.34998626667073579"/>
      </top>
      <bottom style="thin">
        <color indexed="64"/>
      </bottom>
      <diagonal/>
    </border>
    <border>
      <left style="thin">
        <color indexed="64"/>
      </left>
      <right style="thin">
        <color indexed="64"/>
      </right>
      <top style="thin">
        <color theme="1" tint="0.34998626667073579"/>
      </top>
      <bottom style="thin">
        <color indexed="64"/>
      </bottom>
      <diagonal/>
    </border>
    <border>
      <left style="thin">
        <color rgb="FF000000"/>
      </left>
      <right style="thin">
        <color rgb="FF000000"/>
      </right>
      <top style="thin">
        <color theme="1" tint="0.34998626667073579"/>
      </top>
      <bottom style="thin">
        <color rgb="FF000000"/>
      </bottom>
      <diagonal/>
    </border>
    <border>
      <left style="thin">
        <color indexed="64"/>
      </left>
      <right style="thin">
        <color theme="1" tint="0.34998626667073579"/>
      </right>
      <top style="thin">
        <color theme="1" tint="0.34998626667073579"/>
      </top>
      <bottom style="thin">
        <color indexed="64"/>
      </bottom>
      <diagonal/>
    </border>
    <border>
      <left/>
      <right/>
      <top style="medium">
        <color indexed="64"/>
      </top>
      <bottom style="medium">
        <color indexed="64"/>
      </bottom>
      <diagonal/>
    </border>
    <border>
      <left style="thin">
        <color rgb="FF000000"/>
      </left>
      <right style="thin">
        <color rgb="FF000000"/>
      </right>
      <top style="thin">
        <color rgb="FF000000"/>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right style="thin">
        <color rgb="FF000000"/>
      </right>
      <top style="thin">
        <color rgb="FF000000"/>
      </top>
      <bottom/>
      <diagonal/>
    </border>
    <border>
      <left style="medium">
        <color indexed="64"/>
      </left>
      <right/>
      <top/>
      <bottom style="thin">
        <color rgb="FF000000"/>
      </bottom>
      <diagonal/>
    </border>
    <border>
      <left/>
      <right style="thin">
        <color theme="1" tint="0.34998626667073579"/>
      </right>
      <top style="medium">
        <color indexed="64"/>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medium">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diagonal/>
    </border>
    <border>
      <left style="thin">
        <color indexed="64"/>
      </left>
      <right style="medium">
        <color indexed="64"/>
      </right>
      <top style="medium">
        <color rgb="FF000000"/>
      </top>
      <bottom/>
      <diagonal/>
    </border>
    <border>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indexed="64"/>
      </bottom>
      <diagonal/>
    </border>
    <border>
      <left style="thin">
        <color indexed="64"/>
      </left>
      <right style="medium">
        <color rgb="FF000000"/>
      </right>
      <top style="thin">
        <color indexed="64"/>
      </top>
      <bottom style="medium">
        <color indexed="64"/>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indexed="64"/>
      </bottom>
      <diagonal/>
    </border>
    <border>
      <left style="thin">
        <color indexed="64"/>
      </left>
      <right style="medium">
        <color rgb="FF000000"/>
      </right>
      <top style="medium">
        <color indexed="64"/>
      </top>
      <bottom style="thin">
        <color indexed="64"/>
      </bottom>
      <diagonal/>
    </border>
    <border>
      <left style="thin">
        <color indexed="64"/>
      </left>
      <right style="medium">
        <color rgb="FF000000"/>
      </right>
      <top/>
      <bottom/>
      <diagonal/>
    </border>
    <border>
      <left style="thin">
        <color indexed="64"/>
      </left>
      <right style="medium">
        <color rgb="FF000000"/>
      </right>
      <top style="thin">
        <color indexed="64"/>
      </top>
      <bottom/>
      <diagonal/>
    </border>
    <border>
      <left style="medium">
        <color rgb="FF000000"/>
      </left>
      <right style="thin">
        <color indexed="64"/>
      </right>
      <top style="medium">
        <color indexed="64"/>
      </top>
      <bottom/>
      <diagonal/>
    </border>
    <border>
      <left style="medium">
        <color rgb="FF000000"/>
      </left>
      <right style="thin">
        <color indexed="64"/>
      </right>
      <top/>
      <bottom/>
      <diagonal/>
    </border>
    <border>
      <left style="medium">
        <color rgb="FF000000"/>
      </left>
      <right style="thin">
        <color indexed="64"/>
      </right>
      <top/>
      <bottom style="medium">
        <color indexed="64"/>
      </bottom>
      <diagonal/>
    </border>
    <border>
      <left style="thin">
        <color indexed="64"/>
      </left>
      <right style="medium">
        <color rgb="FF000000"/>
      </right>
      <top/>
      <bottom style="thin">
        <color indexed="64"/>
      </bottom>
      <diagonal/>
    </border>
    <border>
      <left style="medium">
        <color rgb="FF000000"/>
      </left>
      <right/>
      <top style="medium">
        <color indexed="64"/>
      </top>
      <bottom style="medium">
        <color indexed="64"/>
      </bottom>
      <diagonal/>
    </border>
    <border>
      <left style="thin">
        <color indexed="64"/>
      </left>
      <right style="thin">
        <color indexed="64"/>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indexed="64"/>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bottom style="medium">
        <color rgb="FF000000"/>
      </bottom>
      <diagonal/>
    </border>
    <border>
      <left style="thin">
        <color indexed="64"/>
      </left>
      <right/>
      <top/>
      <bottom style="medium">
        <color indexed="64"/>
      </bottom>
      <diagonal/>
    </border>
    <border>
      <left style="medium">
        <color rgb="FF000000"/>
      </left>
      <right/>
      <top/>
      <bottom style="thin">
        <color indexed="64"/>
      </bottom>
      <diagonal/>
    </border>
    <border>
      <left style="medium">
        <color rgb="FF000000"/>
      </left>
      <right/>
      <top style="thin">
        <color indexed="64"/>
      </top>
      <bottom style="thin">
        <color indexed="64"/>
      </bottom>
      <diagonal/>
    </border>
    <border>
      <left/>
      <right style="medium">
        <color rgb="FF000000"/>
      </right>
      <top/>
      <bottom/>
      <diagonal/>
    </border>
    <border>
      <left style="thin">
        <color indexed="64"/>
      </left>
      <right style="medium">
        <color indexed="64"/>
      </right>
      <top style="thin">
        <color indexed="64"/>
      </top>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bottom style="thin">
        <color theme="1" tint="0.34998626667073579"/>
      </bottom>
      <diagonal/>
    </border>
    <border>
      <left style="thin">
        <color indexed="64"/>
      </left>
      <right style="medium">
        <color indexed="64"/>
      </right>
      <top/>
      <bottom style="thin">
        <color indexed="64"/>
      </bottom>
      <diagonal/>
    </border>
    <border>
      <left style="thin">
        <color indexed="64"/>
      </left>
      <right style="medium">
        <color indexed="64"/>
      </right>
      <top/>
      <bottom style="medium">
        <color theme="1" tint="0.34998626667073579"/>
      </bottom>
      <diagonal/>
    </border>
    <border>
      <left style="thin">
        <color indexed="64"/>
      </left>
      <right style="medium">
        <color indexed="64"/>
      </right>
      <top style="medium">
        <color theme="1" tint="0.34998626667073579"/>
      </top>
      <bottom/>
      <diagonal/>
    </border>
    <border>
      <left style="medium">
        <color indexed="64"/>
      </left>
      <right style="thin">
        <color indexed="64"/>
      </right>
      <top style="medium">
        <color indexed="64"/>
      </top>
      <bottom/>
      <diagonal/>
    </border>
    <border>
      <left style="medium">
        <color rgb="FF000000"/>
      </left>
      <right/>
      <top style="thin">
        <color indexed="64"/>
      </top>
      <bottom/>
      <diagonal/>
    </border>
    <border>
      <left/>
      <right/>
      <top/>
      <bottom style="thin">
        <color rgb="FF000000"/>
      </bottom>
      <diagonal/>
    </border>
    <border>
      <left style="thin">
        <color rgb="FF000000"/>
      </left>
      <right/>
      <top/>
      <bottom/>
      <diagonal/>
    </border>
    <border>
      <left style="thin">
        <color rgb="FF808080"/>
      </left>
      <right/>
      <top/>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indexed="64"/>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indexed="64"/>
      </right>
      <top/>
      <bottom/>
      <diagonal/>
    </border>
    <border>
      <left style="thin">
        <color rgb="FF595959"/>
      </left>
      <right style="thin">
        <color rgb="FF595959"/>
      </right>
      <top style="thin">
        <color rgb="FF595959"/>
      </top>
      <bottom style="thin">
        <color rgb="FF595959"/>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theme="0" tint="-0.499984740745262"/>
      </left>
      <right style="thin">
        <color rgb="FF808080"/>
      </right>
      <top style="thin">
        <color rgb="FF808080"/>
      </top>
      <bottom/>
      <diagonal/>
    </border>
    <border>
      <left style="thin">
        <color theme="0" tint="-0.499984740745262"/>
      </left>
      <right style="thin">
        <color rgb="FF808080"/>
      </right>
      <top/>
      <bottom style="thin">
        <color rgb="FF808080"/>
      </bottom>
      <diagonal/>
    </border>
    <border>
      <left style="thin">
        <color rgb="FF595959"/>
      </left>
      <right style="thin">
        <color rgb="FF595959"/>
      </right>
      <top style="thin">
        <color rgb="FF595959"/>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595959"/>
      </left>
      <right/>
      <top/>
      <bottom/>
      <diagonal/>
    </border>
    <border>
      <left style="medium">
        <color indexed="64"/>
      </left>
      <right style="thin">
        <color rgb="FF595959"/>
      </right>
      <top style="medium">
        <color indexed="64"/>
      </top>
      <bottom/>
      <diagonal/>
    </border>
    <border>
      <left style="medium">
        <color indexed="64"/>
      </left>
      <right style="thin">
        <color rgb="FF595959"/>
      </right>
      <top/>
      <bottom/>
      <diagonal/>
    </border>
    <border>
      <left style="thin">
        <color rgb="FF595959"/>
      </left>
      <right style="thin">
        <color rgb="FF595959"/>
      </right>
      <top style="medium">
        <color indexed="64"/>
      </top>
      <bottom/>
      <diagonal/>
    </border>
    <border>
      <left style="thin">
        <color rgb="FF595959"/>
      </left>
      <right style="thin">
        <color rgb="FF595959"/>
      </right>
      <top/>
      <bottom/>
      <diagonal/>
    </border>
    <border>
      <left style="thin">
        <color rgb="FF595959"/>
      </left>
      <right style="thin">
        <color rgb="FF595959"/>
      </right>
      <top style="medium">
        <color indexed="64"/>
      </top>
      <bottom style="thin">
        <color rgb="FF595959"/>
      </bottom>
      <diagonal/>
    </border>
    <border>
      <left style="thin">
        <color rgb="FF595959"/>
      </left>
      <right style="thin">
        <color rgb="FF595959"/>
      </right>
      <top/>
      <bottom style="thin">
        <color rgb="FF595959"/>
      </bottom>
      <diagonal/>
    </border>
    <border>
      <left style="thin">
        <color rgb="FF595959"/>
      </left>
      <right style="medium">
        <color indexed="64"/>
      </right>
      <top style="medium">
        <color indexed="64"/>
      </top>
      <bottom style="thin">
        <color rgb="FF595959"/>
      </bottom>
      <diagonal/>
    </border>
    <border>
      <left style="thin">
        <color rgb="FF595959"/>
      </left>
      <right style="medium">
        <color indexed="64"/>
      </right>
      <top style="medium">
        <color indexed="64"/>
      </top>
      <bottom/>
      <diagonal/>
    </border>
    <border>
      <left style="thin">
        <color rgb="FF595959"/>
      </left>
      <right style="medium">
        <color indexed="64"/>
      </right>
      <top/>
      <bottom/>
      <diagonal/>
    </border>
    <border>
      <left style="thin">
        <color rgb="FF595959"/>
      </left>
      <right style="medium">
        <color indexed="64"/>
      </right>
      <top/>
      <bottom style="thin">
        <color rgb="FF595959"/>
      </bottom>
      <diagonal/>
    </border>
    <border>
      <left/>
      <right style="thin">
        <color rgb="FF595959"/>
      </right>
      <top style="medium">
        <color indexed="64"/>
      </top>
      <bottom style="thin">
        <color rgb="FF595959"/>
      </bottom>
      <diagonal/>
    </border>
    <border>
      <left/>
      <right style="thin">
        <color rgb="FF595959"/>
      </right>
      <top/>
      <bottom style="thin">
        <color rgb="FF595959"/>
      </bottom>
      <diagonal/>
    </border>
    <border>
      <left/>
      <right style="thin">
        <color rgb="FF595959"/>
      </right>
      <top style="thin">
        <color rgb="FF595959"/>
      </top>
      <bottom style="thin">
        <color rgb="FF595959"/>
      </bottom>
      <diagonal/>
    </border>
    <border>
      <left/>
      <right style="thin">
        <color rgb="FF595959"/>
      </right>
      <top style="thin">
        <color rgb="FF595959"/>
      </top>
      <bottom style="medium">
        <color indexed="64"/>
      </bottom>
      <diagonal/>
    </border>
    <border>
      <left/>
      <right style="thin">
        <color rgb="FF595959"/>
      </right>
      <top style="thin">
        <color rgb="FF595959"/>
      </top>
      <bottom style="medium">
        <color rgb="FF595959"/>
      </bottom>
      <diagonal/>
    </border>
    <border>
      <left style="thin">
        <color rgb="FF595959"/>
      </left>
      <right style="medium">
        <color rgb="FF595959"/>
      </right>
      <top/>
      <bottom style="thin">
        <color rgb="FF595959"/>
      </bottom>
      <diagonal/>
    </border>
    <border>
      <left style="thin">
        <color rgb="FF595959"/>
      </left>
      <right style="medium">
        <color rgb="FF595959"/>
      </right>
      <top style="thin">
        <color rgb="FF595959"/>
      </top>
      <bottom style="thin">
        <color rgb="FF595959"/>
      </bottom>
      <diagonal/>
    </border>
    <border>
      <left style="thin">
        <color rgb="FF595959"/>
      </left>
      <right style="thin">
        <color rgb="FF595959"/>
      </right>
      <top style="thin">
        <color rgb="FF595959"/>
      </top>
      <bottom style="medium">
        <color rgb="FF595959"/>
      </bottom>
      <diagonal/>
    </border>
    <border>
      <left style="thin">
        <color rgb="FF595959"/>
      </left>
      <right style="medium">
        <color rgb="FF595959"/>
      </right>
      <top style="thin">
        <color rgb="FF595959"/>
      </top>
      <bottom style="medium">
        <color rgb="FF595959"/>
      </bottom>
      <diagonal/>
    </border>
    <border>
      <left style="thin">
        <color rgb="FF595959"/>
      </left>
      <right style="thin">
        <color rgb="FF595959"/>
      </right>
      <top style="medium">
        <color rgb="FF595959"/>
      </top>
      <bottom/>
      <diagonal/>
    </border>
    <border>
      <left/>
      <right style="thin">
        <color rgb="FF595959"/>
      </right>
      <top style="medium">
        <color rgb="FF595959"/>
      </top>
      <bottom style="thin">
        <color rgb="FF595959"/>
      </bottom>
      <diagonal/>
    </border>
    <border>
      <left/>
      <right style="thin">
        <color rgb="FF595959"/>
      </right>
      <top style="thin">
        <color rgb="FF595959"/>
      </top>
      <bottom/>
      <diagonal/>
    </border>
    <border>
      <left style="thin">
        <color rgb="FF595959"/>
      </left>
      <right style="medium">
        <color indexed="64"/>
      </right>
      <top style="medium">
        <color rgb="FF595959"/>
      </top>
      <bottom/>
      <diagonal/>
    </border>
    <border>
      <left style="medium">
        <color rgb="FF000000"/>
      </left>
      <right style="thin">
        <color rgb="FF595959"/>
      </right>
      <top style="medium">
        <color rgb="FF000000"/>
      </top>
      <bottom/>
      <diagonal/>
    </border>
    <border>
      <left style="medium">
        <color rgb="FF000000"/>
      </left>
      <right style="thin">
        <color rgb="FF595959"/>
      </right>
      <top/>
      <bottom/>
      <diagonal/>
    </border>
    <border>
      <left style="thin">
        <color rgb="FF595959"/>
      </left>
      <right style="thin">
        <color rgb="FF595959"/>
      </right>
      <top style="medium">
        <color rgb="FF000000"/>
      </top>
      <bottom/>
      <diagonal/>
    </border>
    <border>
      <left style="thin">
        <color rgb="FF595959"/>
      </left>
      <right style="medium">
        <color rgb="FF000000"/>
      </right>
      <top/>
      <bottom/>
      <diagonal/>
    </border>
    <border>
      <left style="thin">
        <color rgb="FF595959"/>
      </left>
      <right style="thin">
        <color rgb="FF595959"/>
      </right>
      <top/>
      <bottom style="medium">
        <color rgb="FF000000"/>
      </bottom>
      <diagonal/>
    </border>
    <border>
      <left style="thin">
        <color rgb="FF595959"/>
      </left>
      <right style="medium">
        <color rgb="FF000000"/>
      </right>
      <top/>
      <bottom style="medium">
        <color rgb="FF000000"/>
      </bottom>
      <diagonal/>
    </border>
    <border>
      <left style="thin">
        <color rgb="FF000000"/>
      </left>
      <right style="thin">
        <color rgb="FF000000"/>
      </right>
      <top style="medium">
        <color rgb="FF000000"/>
      </top>
      <bottom/>
      <diagonal/>
    </border>
    <border>
      <left style="medium">
        <color indexed="64"/>
      </left>
      <right/>
      <top style="medium">
        <color rgb="FF000000"/>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thin">
        <color indexed="64"/>
      </top>
      <bottom/>
      <diagonal/>
    </border>
    <border>
      <left style="medium">
        <color indexed="64"/>
      </left>
      <right style="thin">
        <color rgb="FF000000"/>
      </right>
      <top style="thin">
        <color rgb="FF000000"/>
      </top>
      <bottom style="medium">
        <color indexed="64"/>
      </bottom>
      <diagonal/>
    </border>
    <border>
      <left style="thin">
        <color rgb="FF595959"/>
      </left>
      <right style="medium">
        <color indexed="64"/>
      </right>
      <top style="thin">
        <color rgb="FF595959"/>
      </top>
      <bottom style="thin">
        <color rgb="FF595959"/>
      </bottom>
      <diagonal/>
    </border>
    <border>
      <left style="thin">
        <color rgb="FF595959"/>
      </left>
      <right style="thin">
        <color rgb="FF595959"/>
      </right>
      <top style="thin">
        <color rgb="FF595959"/>
      </top>
      <bottom style="medium">
        <color indexed="64"/>
      </bottom>
      <diagonal/>
    </border>
    <border>
      <left style="thin">
        <color rgb="FF595959"/>
      </left>
      <right style="medium">
        <color indexed="64"/>
      </right>
      <top style="thin">
        <color rgb="FF595959"/>
      </top>
      <bottom style="medium">
        <color indexed="64"/>
      </bottom>
      <diagonal/>
    </border>
    <border>
      <left/>
      <right style="medium">
        <color rgb="FF595959"/>
      </right>
      <top/>
      <bottom style="thin">
        <color rgb="FF595959"/>
      </bottom>
      <diagonal/>
    </border>
    <border>
      <left/>
      <right style="thin">
        <color rgb="FF595959"/>
      </right>
      <top/>
      <bottom/>
      <diagonal/>
    </border>
    <border>
      <left/>
      <right style="medium">
        <color rgb="FF595959"/>
      </right>
      <top/>
      <bottom/>
      <diagonal/>
    </border>
    <border>
      <left/>
      <right style="medium">
        <color indexed="64"/>
      </right>
      <top style="medium">
        <color indexed="64"/>
      </top>
      <bottom style="thin">
        <color rgb="FF595959"/>
      </bottom>
      <diagonal/>
    </border>
    <border>
      <left/>
      <right style="medium">
        <color indexed="64"/>
      </right>
      <top/>
      <bottom style="thin">
        <color rgb="FF595959"/>
      </bottom>
      <diagonal/>
    </border>
    <border>
      <left/>
      <right style="thin">
        <color rgb="FF595959"/>
      </right>
      <top/>
      <bottom style="medium">
        <color indexed="64"/>
      </bottom>
      <diagonal/>
    </border>
    <border>
      <left style="thin">
        <color rgb="FF595959"/>
      </left>
      <right/>
      <top/>
      <bottom style="medium">
        <color indexed="64"/>
      </bottom>
      <diagonal/>
    </border>
    <border>
      <left style="medium">
        <color indexed="64"/>
      </left>
      <right style="thin">
        <color rgb="FF595959"/>
      </right>
      <top/>
      <bottom style="medium">
        <color indexed="64"/>
      </bottom>
      <diagonal/>
    </border>
    <border>
      <left style="thin">
        <color rgb="FF595959"/>
      </left>
      <right style="thin">
        <color rgb="FF595959"/>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thin">
        <color rgb="FF595959"/>
      </bottom>
      <diagonal/>
    </border>
    <border>
      <left style="medium">
        <color indexed="64"/>
      </left>
      <right style="thin">
        <color rgb="FF595959"/>
      </right>
      <top style="thin">
        <color rgb="FF595959"/>
      </top>
      <bottom/>
      <diagonal/>
    </border>
    <border>
      <left style="thin">
        <color rgb="FF595959"/>
      </left>
      <right style="thin">
        <color rgb="FF595959"/>
      </right>
      <top/>
      <bottom style="medium">
        <color rgb="FF595959"/>
      </bottom>
      <diagonal/>
    </border>
    <border>
      <left style="thin">
        <color rgb="FF595959"/>
      </left>
      <right style="medium">
        <color indexed="64"/>
      </right>
      <top style="thin">
        <color rgb="FF595959"/>
      </top>
      <bottom/>
      <diagonal/>
    </border>
    <border>
      <left style="thin">
        <color rgb="FF595959"/>
      </left>
      <right style="medium">
        <color indexed="64"/>
      </right>
      <top/>
      <bottom style="medium">
        <color indexed="64"/>
      </bottom>
      <diagonal/>
    </border>
    <border>
      <left style="thin">
        <color rgb="FF595959"/>
      </left>
      <right style="medium">
        <color indexed="64"/>
      </right>
      <top/>
      <bottom style="medium">
        <color rgb="FF595959"/>
      </bottom>
      <diagonal/>
    </border>
    <border>
      <left style="medium">
        <color indexed="64"/>
      </left>
      <right style="thin">
        <color rgb="FF595959"/>
      </right>
      <top/>
      <bottom style="medium">
        <color rgb="FF000000"/>
      </bottom>
      <diagonal/>
    </border>
    <border>
      <left style="thin">
        <color rgb="FF595959"/>
      </left>
      <right style="medium">
        <color indexed="64"/>
      </right>
      <top/>
      <bottom style="medium">
        <color rgb="FF000000"/>
      </bottom>
      <diagonal/>
    </border>
    <border>
      <left style="thin">
        <color rgb="FF595959"/>
      </left>
      <right style="thin">
        <color rgb="FF000000"/>
      </right>
      <top style="medium">
        <color rgb="FF000000"/>
      </top>
      <bottom/>
      <diagonal/>
    </border>
    <border>
      <left style="thin">
        <color rgb="FF595959"/>
      </left>
      <right style="thin">
        <color rgb="FF000000"/>
      </right>
      <top/>
      <bottom/>
      <diagonal/>
    </border>
    <border>
      <left style="thin">
        <color rgb="FF000000"/>
      </left>
      <right style="medium">
        <color indexed="64"/>
      </right>
      <top style="medium">
        <color rgb="FF000000"/>
      </top>
      <bottom/>
      <diagonal/>
    </border>
    <border>
      <left style="thin">
        <color rgb="FF000000"/>
      </left>
      <right style="medium">
        <color indexed="64"/>
      </right>
      <top/>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rgb="FF595959"/>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thin">
        <color rgb="FF595959"/>
      </left>
      <right/>
      <top style="medium">
        <color indexed="64"/>
      </top>
      <bottom/>
      <diagonal/>
    </border>
    <border>
      <left style="thin">
        <color rgb="FF808080"/>
      </left>
      <right style="thin">
        <color rgb="FF808080"/>
      </right>
      <top style="medium">
        <color indexed="64"/>
      </top>
      <bottom style="thin">
        <color rgb="FF808080"/>
      </bottom>
      <diagonal/>
    </border>
    <border>
      <left style="thin">
        <color rgb="FF808080"/>
      </left>
      <right style="medium">
        <color indexed="64"/>
      </right>
      <top style="medium">
        <color indexed="64"/>
      </top>
      <bottom style="thin">
        <color rgb="FF808080"/>
      </bottom>
      <diagonal/>
    </border>
    <border>
      <left style="thin">
        <color rgb="FF808080"/>
      </left>
      <right style="medium">
        <color indexed="64"/>
      </right>
      <top style="thin">
        <color rgb="FF808080"/>
      </top>
      <bottom style="thin">
        <color rgb="FF808080"/>
      </bottom>
      <diagonal/>
    </border>
    <border>
      <left style="thin">
        <color rgb="FF808080"/>
      </left>
      <right style="thin">
        <color rgb="FF808080"/>
      </right>
      <top style="thin">
        <color rgb="FF808080"/>
      </top>
      <bottom style="medium">
        <color indexed="64"/>
      </bottom>
      <diagonal/>
    </border>
    <border>
      <left style="thin">
        <color rgb="FF808080"/>
      </left>
      <right style="medium">
        <color indexed="64"/>
      </right>
      <top style="thin">
        <color rgb="FF808080"/>
      </top>
      <bottom style="medium">
        <color indexed="64"/>
      </bottom>
      <diagonal/>
    </border>
    <border>
      <left style="thin">
        <color rgb="FF595959"/>
      </left>
      <right style="medium">
        <color rgb="FF000000"/>
      </right>
      <top style="medium">
        <color rgb="FF000000"/>
      </top>
      <bottom/>
      <diagonal/>
    </border>
    <border>
      <left style="thin">
        <color indexed="64"/>
      </left>
      <right style="thin">
        <color indexed="64"/>
      </right>
      <top/>
      <bottom style="thin">
        <color rgb="FF000000"/>
      </bottom>
      <diagonal/>
    </border>
    <border>
      <left style="thin">
        <color indexed="64"/>
      </left>
      <right/>
      <top style="medium">
        <color indexed="64"/>
      </top>
      <bottom/>
      <diagonal/>
    </border>
    <border>
      <left style="medium">
        <color indexed="64"/>
      </left>
      <right/>
      <top/>
      <bottom style="thin">
        <color theme="1" tint="0.34998626667073579"/>
      </bottom>
      <diagonal/>
    </border>
    <border>
      <left/>
      <right/>
      <top/>
      <bottom style="thin">
        <color theme="1" tint="0.34998626667073579"/>
      </bottom>
      <diagonal/>
    </border>
    <border>
      <left style="thin">
        <color rgb="FF808080"/>
      </left>
      <right/>
      <top style="thin">
        <color rgb="FF808080"/>
      </top>
      <bottom style="thin">
        <color rgb="FF808080"/>
      </bottom>
      <diagonal/>
    </border>
    <border>
      <left style="thin">
        <color indexed="64"/>
      </left>
      <right style="thin">
        <color indexed="64"/>
      </right>
      <top style="thin">
        <color indexed="64"/>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rgb="FF595959"/>
      </left>
      <right/>
      <top style="thin">
        <color rgb="FF595959"/>
      </top>
      <bottom/>
      <diagonal/>
    </border>
    <border>
      <left style="thin">
        <color rgb="FF000000"/>
      </left>
      <right/>
      <top style="thin">
        <color rgb="FF595959"/>
      </top>
      <bottom/>
      <diagonal/>
    </border>
    <border>
      <left style="thin">
        <color indexed="64"/>
      </left>
      <right style="thin">
        <color indexed="64"/>
      </right>
      <top style="thin">
        <color indexed="64"/>
      </top>
      <bottom style="thin">
        <color rgb="FF595959"/>
      </bottom>
      <diagonal/>
    </border>
    <border>
      <left style="thin">
        <color indexed="64"/>
      </left>
      <right style="thin">
        <color indexed="64"/>
      </right>
      <top style="thin">
        <color rgb="FF000000"/>
      </top>
      <bottom/>
      <diagonal/>
    </border>
  </borders>
  <cellStyleXfs count="14">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3" fillId="0" borderId="0"/>
    <xf numFmtId="0" fontId="15" fillId="0" borderId="0" applyNumberFormat="0" applyFill="0" applyBorder="0" applyAlignment="0" applyProtection="0"/>
    <xf numFmtId="0" fontId="6" fillId="0" borderId="0"/>
    <xf numFmtId="0" fontId="6" fillId="0" borderId="0"/>
    <xf numFmtId="0" fontId="41" fillId="0" borderId="0"/>
  </cellStyleXfs>
  <cellXfs count="800">
    <xf numFmtId="0" fontId="0" fillId="0" borderId="0" xfId="0"/>
    <xf numFmtId="0" fontId="0" fillId="0" borderId="2" xfId="0" applyBorder="1"/>
    <xf numFmtId="0" fontId="8" fillId="0" borderId="0" xfId="5"/>
    <xf numFmtId="0" fontId="3" fillId="0" borderId="0" xfId="0" applyFont="1"/>
    <xf numFmtId="165" fontId="0" fillId="0" borderId="2" xfId="0" applyNumberFormat="1" applyBorder="1"/>
    <xf numFmtId="0" fontId="11" fillId="0" borderId="0" xfId="0" applyFont="1"/>
    <xf numFmtId="0" fontId="11"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wrapText="1"/>
    </xf>
    <xf numFmtId="0" fontId="14" fillId="0" borderId="0" xfId="0" applyFont="1" applyAlignment="1">
      <alignment vertical="center"/>
    </xf>
    <xf numFmtId="0" fontId="1" fillId="0" borderId="2" xfId="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9" fontId="6" fillId="0" borderId="0" xfId="2" applyFont="1" applyFill="1" applyBorder="1" applyAlignment="1">
      <alignment horizontal="center" vertical="center"/>
    </xf>
    <xf numFmtId="0" fontId="7" fillId="0" borderId="0" xfId="0" applyFont="1" applyAlignment="1">
      <alignment horizontal="left" vertical="center" wrapText="1"/>
    </xf>
    <xf numFmtId="1" fontId="6" fillId="0" borderId="0" xfId="0" applyNumberFormat="1" applyFont="1"/>
    <xf numFmtId="9" fontId="6" fillId="0" borderId="0" xfId="2" applyFont="1" applyFill="1" applyBorder="1"/>
    <xf numFmtId="9" fontId="6" fillId="0" borderId="0" xfId="0" applyNumberFormat="1" applyFont="1"/>
    <xf numFmtId="9" fontId="7" fillId="0" borderId="0" xfId="2" applyFont="1" applyFill="1" applyBorder="1"/>
    <xf numFmtId="164" fontId="6" fillId="0" borderId="0" xfId="0" applyNumberFormat="1" applyFont="1"/>
    <xf numFmtId="9" fontId="6" fillId="0" borderId="0" xfId="0" applyNumberFormat="1" applyFont="1" applyAlignment="1">
      <alignment vertical="center"/>
    </xf>
    <xf numFmtId="0" fontId="7" fillId="0" borderId="0" xfId="0" applyFont="1" applyAlignment="1">
      <alignment vertical="center"/>
    </xf>
    <xf numFmtId="0" fontId="6" fillId="0" borderId="23" xfId="4" applyBorder="1" applyAlignment="1">
      <alignment horizontal="center" vertical="center"/>
    </xf>
    <xf numFmtId="9" fontId="6" fillId="0" borderId="23" xfId="2" applyFont="1" applyFill="1" applyBorder="1" applyAlignment="1">
      <alignment horizontal="center" vertical="center"/>
    </xf>
    <xf numFmtId="3" fontId="6" fillId="0" borderId="2" xfId="0" applyNumberFormat="1" applyFont="1" applyBorder="1" applyAlignment="1">
      <alignment horizontal="center" vertical="center"/>
    </xf>
    <xf numFmtId="0" fontId="21" fillId="0" borderId="0" xfId="0" applyFont="1" applyAlignment="1">
      <alignment horizontal="center" vertical="center"/>
    </xf>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21" fillId="0" borderId="30" xfId="0" applyFont="1" applyBorder="1" applyAlignment="1">
      <alignment horizontal="center" vertical="center"/>
    </xf>
    <xf numFmtId="0" fontId="23" fillId="4" borderId="0" xfId="0" applyFont="1" applyFill="1" applyAlignment="1">
      <alignment vertical="center" wrapText="1"/>
    </xf>
    <xf numFmtId="0" fontId="21" fillId="4" borderId="0" xfId="0" applyFont="1" applyFill="1" applyAlignment="1">
      <alignment horizontal="center" vertical="center"/>
    </xf>
    <xf numFmtId="165" fontId="21" fillId="4" borderId="0" xfId="0" applyNumberFormat="1" applyFont="1" applyFill="1" applyAlignment="1">
      <alignment horizontal="center" vertical="center"/>
    </xf>
    <xf numFmtId="0" fontId="22"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23" xfId="0" applyNumberFormat="1" applyFont="1" applyBorder="1" applyAlignment="1">
      <alignment horizontal="center"/>
    </xf>
    <xf numFmtId="0" fontId="7" fillId="0" borderId="0" xfId="4" applyFont="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2" fontId="0" fillId="0" borderId="2" xfId="0" applyNumberFormat="1" applyBorder="1" applyAlignment="1">
      <alignment horizontal="center" vertical="center"/>
    </xf>
    <xf numFmtId="2" fontId="0" fillId="0" borderId="1" xfId="0" applyNumberFormat="1" applyBorder="1" applyAlignment="1">
      <alignment horizontal="center" vertical="center"/>
    </xf>
    <xf numFmtId="2" fontId="0" fillId="0" borderId="32" xfId="0" applyNumberFormat="1" applyBorder="1" applyAlignment="1">
      <alignment horizontal="center" vertical="center"/>
    </xf>
    <xf numFmtId="0" fontId="7" fillId="2" borderId="0" xfId="0" applyFont="1" applyFill="1" applyAlignment="1">
      <alignment horizontal="center" vertical="center"/>
    </xf>
    <xf numFmtId="167" fontId="21" fillId="0" borderId="0" xfId="0" applyNumberFormat="1" applyFont="1" applyAlignment="1">
      <alignment horizontal="center" vertical="center"/>
    </xf>
    <xf numFmtId="9" fontId="6" fillId="0" borderId="25" xfId="0" applyNumberFormat="1" applyFont="1" applyBorder="1" applyAlignment="1">
      <alignment horizontal="center"/>
    </xf>
    <xf numFmtId="0" fontId="24" fillId="0" borderId="0" xfId="0" applyFont="1"/>
    <xf numFmtId="0" fontId="25" fillId="2" borderId="0" xfId="0" applyFont="1" applyFill="1"/>
    <xf numFmtId="0" fontId="24" fillId="0" borderId="0" xfId="0" applyFont="1" applyAlignment="1">
      <alignment wrapText="1"/>
    </xf>
    <xf numFmtId="0" fontId="24" fillId="0" borderId="0" xfId="0" applyFont="1" applyAlignment="1">
      <alignment horizontal="center"/>
    </xf>
    <xf numFmtId="166" fontId="1" fillId="0" borderId="2" xfId="1" applyNumberFormat="1" applyBorder="1" applyAlignment="1">
      <alignment horizontal="center" vertical="center" wrapText="1"/>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7" fillId="6" borderId="39" xfId="0" applyFont="1" applyFill="1" applyBorder="1" applyAlignment="1">
      <alignment horizontal="center" vertical="center" wrapText="1"/>
    </xf>
    <xf numFmtId="0" fontId="18" fillId="6" borderId="12" xfId="0" applyFont="1" applyFill="1" applyBorder="1" applyAlignment="1">
      <alignment horizontal="center" vertical="center" wrapText="1"/>
    </xf>
    <xf numFmtId="0" fontId="1" fillId="0" borderId="23" xfId="0" applyFont="1" applyBorder="1" applyAlignment="1">
      <alignment horizontal="center" vertical="center"/>
    </xf>
    <xf numFmtId="0" fontId="12" fillId="0" borderId="0" xfId="0" applyFont="1" applyAlignment="1">
      <alignment vertical="center"/>
    </xf>
    <xf numFmtId="0" fontId="27" fillId="0" borderId="0" xfId="0" applyFont="1"/>
    <xf numFmtId="0" fontId="11" fillId="0" borderId="0" xfId="0" applyFont="1" applyAlignment="1">
      <alignment horizontal="center"/>
    </xf>
    <xf numFmtId="168" fontId="6" fillId="0" borderId="2" xfId="6" applyNumberFormat="1" applyFont="1" applyBorder="1" applyAlignment="1">
      <alignment horizontal="left" vertical="center" wrapText="1"/>
    </xf>
    <xf numFmtId="168" fontId="6" fillId="0" borderId="2" xfId="6" applyNumberFormat="1" applyFont="1" applyBorder="1" applyAlignment="1">
      <alignment horizontal="left" vertical="center"/>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43" fontId="6" fillId="0" borderId="2" xfId="6" applyFont="1" applyBorder="1" applyAlignment="1">
      <alignment horizontal="left" vertical="center"/>
    </xf>
    <xf numFmtId="0" fontId="20" fillId="0" borderId="0" xfId="0" applyFont="1"/>
    <xf numFmtId="0" fontId="6" fillId="0" borderId="2" xfId="0" quotePrefix="1" applyFont="1" applyBorder="1" applyAlignment="1">
      <alignment horizontal="center" vertical="center" wrapText="1"/>
    </xf>
    <xf numFmtId="0" fontId="21" fillId="0" borderId="0" xfId="0" applyFont="1" applyAlignment="1">
      <alignment horizontal="center" vertical="center" wrapText="1"/>
    </xf>
    <xf numFmtId="2" fontId="0" fillId="0" borderId="0" xfId="0" applyNumberFormat="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0" fillId="0" borderId="2" xfId="0" applyBorder="1" applyAlignment="1">
      <alignment vertical="center" wrapText="1"/>
    </xf>
    <xf numFmtId="0" fontId="28" fillId="0" borderId="0" xfId="0" applyFont="1"/>
    <xf numFmtId="0" fontId="30" fillId="0" borderId="0" xfId="0" applyFont="1" applyAlignment="1">
      <alignment vertical="center"/>
    </xf>
    <xf numFmtId="0" fontId="22" fillId="9" borderId="2" xfId="0" applyFont="1" applyFill="1" applyBorder="1" applyAlignment="1">
      <alignment horizontal="center" vertical="center"/>
    </xf>
    <xf numFmtId="0" fontId="31" fillId="0" borderId="0" xfId="0" applyFont="1"/>
    <xf numFmtId="0" fontId="22" fillId="9" borderId="2" xfId="0" applyFont="1" applyFill="1" applyBorder="1" applyAlignment="1">
      <alignment vertical="center"/>
    </xf>
    <xf numFmtId="0" fontId="6" fillId="0" borderId="2" xfId="0" applyFont="1" applyBorder="1"/>
    <xf numFmtId="0" fontId="7" fillId="2" borderId="0" xfId="0" applyFont="1" applyFill="1" applyAlignment="1">
      <alignment vertical="center"/>
    </xf>
    <xf numFmtId="0" fontId="1" fillId="0" borderId="0" xfId="1" applyAlignment="1">
      <alignment vertical="center" wrapText="1"/>
    </xf>
    <xf numFmtId="0" fontId="34" fillId="0" borderId="46" xfId="0" applyFont="1" applyBorder="1" applyAlignment="1">
      <alignment horizontal="left" vertical="top" wrapText="1"/>
    </xf>
    <xf numFmtId="3" fontId="34" fillId="0" borderId="46" xfId="0" applyNumberFormat="1" applyFont="1" applyBorder="1" applyAlignment="1">
      <alignment horizontal="center" vertical="center" wrapText="1"/>
    </xf>
    <xf numFmtId="0" fontId="12" fillId="0" borderId="0" xfId="0" applyFont="1" applyAlignment="1">
      <alignment vertical="center" wrapText="1"/>
    </xf>
    <xf numFmtId="0" fontId="16" fillId="0" borderId="0" xfId="0" applyFont="1"/>
    <xf numFmtId="169" fontId="32" fillId="0" borderId="0" xfId="0" applyNumberFormat="1" applyFont="1"/>
    <xf numFmtId="0" fontId="6" fillId="0" borderId="2" xfId="0" applyFont="1" applyBorder="1" applyAlignment="1">
      <alignment horizontal="right" vertical="center"/>
    </xf>
    <xf numFmtId="168" fontId="6" fillId="0" borderId="2" xfId="6" applyNumberFormat="1" applyFont="1" applyBorder="1" applyAlignment="1">
      <alignment horizontal="right" vertical="center" wrapText="1"/>
    </xf>
    <xf numFmtId="168" fontId="6" fillId="0" borderId="2" xfId="0" applyNumberFormat="1" applyFont="1" applyBorder="1" applyAlignment="1">
      <alignment horizontal="right" vertical="center"/>
    </xf>
    <xf numFmtId="3" fontId="6" fillId="0" borderId="0" xfId="0" applyNumberFormat="1" applyFont="1"/>
    <xf numFmtId="168" fontId="6" fillId="0" borderId="0" xfId="6" applyNumberFormat="1" applyFont="1"/>
    <xf numFmtId="168" fontId="6" fillId="0" borderId="2" xfId="6" applyNumberFormat="1" applyFont="1" applyBorder="1" applyAlignment="1">
      <alignment horizontal="right" vertical="center"/>
    </xf>
    <xf numFmtId="0" fontId="33" fillId="0" borderId="1" xfId="0" applyFont="1" applyBorder="1" applyAlignment="1">
      <alignment horizontal="center" vertical="center"/>
    </xf>
    <xf numFmtId="0" fontId="33" fillId="11" borderId="0" xfId="0" applyFont="1" applyFill="1" applyAlignment="1">
      <alignment horizontal="center" vertical="center"/>
    </xf>
    <xf numFmtId="0" fontId="33" fillId="0" borderId="32" xfId="0" applyFont="1" applyBorder="1" applyAlignment="1">
      <alignment horizontal="center" vertical="center"/>
    </xf>
    <xf numFmtId="0" fontId="33" fillId="0" borderId="0" xfId="0" applyFont="1" applyAlignment="1">
      <alignment horizontal="center" vertical="center"/>
    </xf>
    <xf numFmtId="0" fontId="7" fillId="0" borderId="0" xfId="0" applyFont="1" applyAlignment="1">
      <alignment horizontal="center" vertical="center"/>
    </xf>
    <xf numFmtId="0" fontId="11" fillId="0" borderId="0" xfId="0" applyFont="1" applyAlignment="1">
      <alignment vertical="center"/>
    </xf>
    <xf numFmtId="0" fontId="6" fillId="4" borderId="0" xfId="0" applyFont="1" applyFill="1"/>
    <xf numFmtId="0" fontId="6" fillId="4" borderId="0" xfId="0" applyFont="1" applyFill="1" applyAlignment="1">
      <alignment horizontal="center"/>
    </xf>
    <xf numFmtId="165" fontId="11" fillId="0" borderId="0" xfId="2" applyNumberFormat="1" applyFont="1"/>
    <xf numFmtId="168" fontId="11" fillId="0" borderId="0" xfId="0" applyNumberFormat="1" applyFont="1"/>
    <xf numFmtId="0" fontId="14" fillId="2" borderId="0" xfId="0" applyFont="1" applyFill="1"/>
    <xf numFmtId="0" fontId="14" fillId="2" borderId="0" xfId="0" applyFont="1" applyFill="1" applyAlignment="1">
      <alignment wrapText="1"/>
    </xf>
    <xf numFmtId="0" fontId="14" fillId="2" borderId="0" xfId="0" applyFont="1" applyFill="1" applyAlignment="1">
      <alignment horizontal="left"/>
    </xf>
    <xf numFmtId="0" fontId="14" fillId="2" borderId="0" xfId="0" applyFont="1" applyFill="1" applyAlignment="1">
      <alignment horizontal="center"/>
    </xf>
    <xf numFmtId="0" fontId="6" fillId="0" borderId="23" xfId="0" applyFont="1" applyBorder="1" applyAlignment="1">
      <alignment horizontal="center" vertical="center"/>
    </xf>
    <xf numFmtId="0" fontId="6" fillId="0" borderId="23" xfId="0" applyFont="1" applyBorder="1" applyAlignment="1">
      <alignment horizontal="center" vertical="center" wrapText="1"/>
    </xf>
    <xf numFmtId="0" fontId="6" fillId="0" borderId="25" xfId="4" applyBorder="1" applyAlignment="1">
      <alignment horizontal="center" vertical="center"/>
    </xf>
    <xf numFmtId="1" fontId="1" fillId="0" borderId="2" xfId="7" applyNumberFormat="1" applyFont="1" applyBorder="1" applyAlignment="1">
      <alignment horizontal="center" vertical="center"/>
    </xf>
    <xf numFmtId="0" fontId="7" fillId="6" borderId="51" xfId="0" applyFont="1" applyFill="1" applyBorder="1" applyAlignment="1">
      <alignment horizontal="center" vertical="center"/>
    </xf>
    <xf numFmtId="0" fontId="7" fillId="6" borderId="52" xfId="0" applyFont="1" applyFill="1" applyBorder="1" applyAlignment="1">
      <alignment horizontal="center" vertical="center"/>
    </xf>
    <xf numFmtId="0" fontId="7" fillId="6" borderId="53" xfId="0" applyFont="1" applyFill="1" applyBorder="1" applyAlignment="1">
      <alignment horizontal="center" vertical="center" wrapText="1"/>
    </xf>
    <xf numFmtId="0" fontId="7" fillId="6" borderId="54" xfId="0" applyFont="1" applyFill="1" applyBorder="1" applyAlignment="1">
      <alignment horizontal="center" vertical="center"/>
    </xf>
    <xf numFmtId="0" fontId="6" fillId="0" borderId="55" xfId="0" applyFont="1" applyBorder="1" applyAlignment="1">
      <alignment horizontal="center" vertical="center"/>
    </xf>
    <xf numFmtId="0" fontId="6" fillId="0" borderId="60" xfId="0" applyFont="1" applyBorder="1" applyAlignment="1">
      <alignment horizontal="center" vertical="center"/>
    </xf>
    <xf numFmtId="0" fontId="1" fillId="0" borderId="61" xfId="0" applyFont="1" applyBorder="1" applyAlignment="1">
      <alignment horizontal="center" vertical="center"/>
    </xf>
    <xf numFmtId="0" fontId="6" fillId="0" borderId="61" xfId="0" applyFont="1" applyBorder="1" applyAlignment="1">
      <alignment horizontal="center" vertical="center" wrapText="1"/>
    </xf>
    <xf numFmtId="0" fontId="6" fillId="0" borderId="12" xfId="0" applyFont="1" applyBorder="1"/>
    <xf numFmtId="0" fontId="7" fillId="6" borderId="64" xfId="0" applyFont="1" applyFill="1" applyBorder="1" applyAlignment="1">
      <alignment horizontal="center" vertical="center"/>
    </xf>
    <xf numFmtId="0" fontId="1" fillId="0" borderId="2" xfId="1" applyBorder="1" applyAlignment="1">
      <alignment vertical="center" wrapText="1"/>
    </xf>
    <xf numFmtId="0" fontId="7" fillId="0" borderId="0" xfId="0" applyFont="1" applyAlignment="1">
      <alignment vertical="center" wrapText="1"/>
    </xf>
    <xf numFmtId="0" fontId="30" fillId="0" borderId="0" xfId="0" applyFont="1"/>
    <xf numFmtId="0" fontId="22" fillId="6" borderId="2" xfId="0" applyFont="1" applyFill="1" applyBorder="1" applyAlignment="1">
      <alignment horizontal="left" vertical="center" wrapText="1"/>
    </xf>
    <xf numFmtId="169" fontId="6" fillId="0" borderId="2" xfId="0" applyNumberFormat="1" applyFont="1" applyBorder="1" applyAlignment="1">
      <alignment vertical="center"/>
    </xf>
    <xf numFmtId="169" fontId="1" fillId="0" borderId="2" xfId="0" applyNumberFormat="1" applyFont="1" applyBorder="1" applyAlignment="1">
      <alignment vertical="center"/>
    </xf>
    <xf numFmtId="0" fontId="18" fillId="6" borderId="2" xfId="0" applyFont="1" applyFill="1" applyBorder="1" applyAlignment="1">
      <alignment vertical="center"/>
    </xf>
    <xf numFmtId="0" fontId="18" fillId="6" borderId="2" xfId="0" applyFont="1" applyFill="1" applyBorder="1" applyAlignment="1">
      <alignment horizontal="left" vertical="center"/>
    </xf>
    <xf numFmtId="0" fontId="1" fillId="0" borderId="2" xfId="1" applyBorder="1" applyAlignment="1">
      <alignment vertical="center"/>
    </xf>
    <xf numFmtId="0" fontId="11" fillId="0" borderId="0" xfId="0" applyFont="1" applyAlignment="1">
      <alignment wrapText="1"/>
    </xf>
    <xf numFmtId="0" fontId="0" fillId="0" borderId="0" xfId="0" applyAlignment="1">
      <alignment horizontal="left"/>
    </xf>
    <xf numFmtId="0" fontId="8" fillId="0" borderId="0" xfId="5" applyBorder="1" applyAlignment="1">
      <alignment horizontal="left"/>
    </xf>
    <xf numFmtId="0" fontId="26" fillId="0" borderId="0" xfId="0" applyFont="1" applyAlignment="1">
      <alignment vertical="center" wrapText="1"/>
    </xf>
    <xf numFmtId="0" fontId="18" fillId="9" borderId="68" xfId="0" applyFont="1" applyFill="1" applyBorder="1" applyAlignment="1">
      <alignment horizontal="center" vertical="center"/>
    </xf>
    <xf numFmtId="0" fontId="18" fillId="9" borderId="69" xfId="0" applyFont="1" applyFill="1" applyBorder="1" applyAlignment="1">
      <alignment horizontal="center" vertical="center"/>
    </xf>
    <xf numFmtId="0" fontId="18" fillId="9" borderId="70" xfId="0" applyFont="1" applyFill="1" applyBorder="1" applyAlignment="1">
      <alignment horizontal="center" vertical="center" wrapText="1"/>
    </xf>
    <xf numFmtId="0" fontId="22" fillId="9" borderId="69" xfId="0" applyFont="1" applyFill="1" applyBorder="1" applyAlignment="1">
      <alignment horizontal="center" vertical="center" wrapText="1"/>
    </xf>
    <xf numFmtId="0" fontId="22" fillId="9" borderId="69" xfId="0" applyFont="1" applyFill="1" applyBorder="1" applyAlignment="1">
      <alignment horizontal="center" vertical="center"/>
    </xf>
    <xf numFmtId="0" fontId="22" fillId="9" borderId="71" xfId="0" applyFont="1" applyFill="1" applyBorder="1" applyAlignment="1">
      <alignment horizontal="center" vertical="center"/>
    </xf>
    <xf numFmtId="2" fontId="0" fillId="0" borderId="12" xfId="0" applyNumberFormat="1" applyBorder="1" applyAlignment="1">
      <alignment horizontal="center" vertical="center"/>
    </xf>
    <xf numFmtId="0" fontId="33" fillId="0" borderId="74" xfId="0" applyFont="1" applyBorder="1" applyAlignment="1">
      <alignment horizontal="center" vertical="center"/>
    </xf>
    <xf numFmtId="0" fontId="33" fillId="0" borderId="75" xfId="0" applyFont="1" applyBorder="1" applyAlignment="1">
      <alignment horizontal="center" vertical="center"/>
    </xf>
    <xf numFmtId="0" fontId="33" fillId="0" borderId="76" xfId="0" applyFont="1" applyBorder="1" applyAlignment="1">
      <alignment horizontal="center" vertical="center"/>
    </xf>
    <xf numFmtId="0" fontId="33" fillId="0" borderId="77" xfId="0" applyFont="1" applyBorder="1" applyAlignment="1">
      <alignment horizontal="center" vertical="center"/>
    </xf>
    <xf numFmtId="0" fontId="33" fillId="0" borderId="78" xfId="0" applyFont="1" applyBorder="1" applyAlignment="1">
      <alignment horizontal="center" vertical="center"/>
    </xf>
    <xf numFmtId="0" fontId="21" fillId="0" borderId="65" xfId="0" applyFont="1" applyBorder="1" applyAlignment="1">
      <alignment horizontal="center" vertical="center"/>
    </xf>
    <xf numFmtId="0" fontId="21" fillId="0" borderId="11" xfId="0" applyFont="1" applyBorder="1" applyAlignment="1">
      <alignment horizontal="center" vertical="center"/>
    </xf>
    <xf numFmtId="0" fontId="21" fillId="0" borderId="66" xfId="0" applyFont="1" applyBorder="1" applyAlignment="1">
      <alignment horizontal="center" vertical="center"/>
    </xf>
    <xf numFmtId="0" fontId="21" fillId="0" borderId="79" xfId="0" applyFont="1" applyBorder="1" applyAlignment="1">
      <alignment horizontal="center" vertical="center"/>
    </xf>
    <xf numFmtId="0" fontId="21" fillId="0" borderId="80" xfId="0" applyFont="1" applyBorder="1" applyAlignment="1">
      <alignment horizontal="center" vertical="center"/>
    </xf>
    <xf numFmtId="0" fontId="21" fillId="0" borderId="81" xfId="0" applyFont="1" applyBorder="1" applyAlignment="1">
      <alignment horizontal="center" vertical="center"/>
    </xf>
    <xf numFmtId="0" fontId="21" fillId="0" borderId="82" xfId="0" applyFont="1" applyBorder="1" applyAlignment="1">
      <alignment horizontal="center" vertical="center"/>
    </xf>
    <xf numFmtId="0" fontId="21" fillId="0" borderId="83" xfId="0" applyFont="1" applyBorder="1" applyAlignment="1">
      <alignment horizontal="center" vertical="center"/>
    </xf>
    <xf numFmtId="0" fontId="33" fillId="0" borderId="84" xfId="0" applyFont="1" applyBorder="1" applyAlignment="1">
      <alignment horizontal="center" vertical="center"/>
    </xf>
    <xf numFmtId="0" fontId="21" fillId="0" borderId="85" xfId="0" applyFont="1" applyBorder="1" applyAlignment="1">
      <alignment horizontal="center" vertical="center"/>
    </xf>
    <xf numFmtId="0" fontId="21" fillId="0" borderId="86" xfId="0" applyFont="1" applyBorder="1" applyAlignment="1">
      <alignment horizontal="center" vertical="center"/>
    </xf>
    <xf numFmtId="0" fontId="21" fillId="0" borderId="87" xfId="0" applyFont="1" applyBorder="1" applyAlignment="1">
      <alignment horizontal="center" vertical="center"/>
    </xf>
    <xf numFmtId="0" fontId="7" fillId="6" borderId="12" xfId="0" applyFont="1" applyFill="1" applyBorder="1" applyAlignment="1">
      <alignment horizontal="center" vertical="center" wrapText="1"/>
    </xf>
    <xf numFmtId="0" fontId="7" fillId="6" borderId="39" xfId="0" applyFont="1" applyFill="1" applyBorder="1" applyAlignment="1">
      <alignment horizontal="center" vertical="center"/>
    </xf>
    <xf numFmtId="2" fontId="0" fillId="0" borderId="16" xfId="0" applyNumberFormat="1" applyBorder="1" applyAlignment="1">
      <alignment horizontal="center" vertical="center"/>
    </xf>
    <xf numFmtId="0" fontId="21" fillId="0" borderId="92" xfId="0" applyFont="1" applyBorder="1" applyAlignment="1">
      <alignment horizontal="center" vertical="center"/>
    </xf>
    <xf numFmtId="0" fontId="21" fillId="0" borderId="93" xfId="0" applyFont="1" applyBorder="1" applyAlignment="1">
      <alignment horizontal="center" vertical="center"/>
    </xf>
    <xf numFmtId="0" fontId="21" fillId="0" borderId="95" xfId="0" applyFont="1" applyBorder="1" applyAlignment="1">
      <alignment horizontal="center" vertical="center"/>
    </xf>
    <xf numFmtId="0" fontId="21" fillId="0" borderId="97" xfId="0" applyFont="1" applyBorder="1" applyAlignment="1">
      <alignment horizontal="center" vertical="center"/>
    </xf>
    <xf numFmtId="0" fontId="21" fillId="0" borderId="98" xfId="0" applyFont="1" applyBorder="1" applyAlignment="1">
      <alignment horizontal="center" vertical="center"/>
    </xf>
    <xf numFmtId="0" fontId="21" fillId="0" borderId="99" xfId="0" applyFont="1" applyBorder="1" applyAlignment="1">
      <alignment horizontal="center" vertical="center"/>
    </xf>
    <xf numFmtId="0" fontId="21" fillId="0" borderId="100" xfId="0" applyFont="1" applyBorder="1" applyAlignment="1">
      <alignment horizontal="center" vertical="center"/>
    </xf>
    <xf numFmtId="2" fontId="0" fillId="0" borderId="101" xfId="0" applyNumberFormat="1" applyBorder="1" applyAlignment="1">
      <alignment horizontal="center" vertical="center"/>
    </xf>
    <xf numFmtId="2" fontId="0" fillId="0" borderId="95" xfId="0" applyNumberFormat="1" applyBorder="1" applyAlignment="1">
      <alignment horizontal="center" vertical="center"/>
    </xf>
    <xf numFmtId="2" fontId="0" fillId="0" borderId="97" xfId="0" applyNumberFormat="1" applyBorder="1" applyAlignment="1">
      <alignment horizontal="center" vertical="center"/>
    </xf>
    <xf numFmtId="2" fontId="0" fillId="0" borderId="102" xfId="0" applyNumberFormat="1" applyBorder="1" applyAlignment="1">
      <alignment horizontal="center" vertical="center"/>
    </xf>
    <xf numFmtId="2" fontId="0" fillId="0" borderId="103" xfId="0" applyNumberFormat="1" applyBorder="1" applyAlignment="1">
      <alignment horizontal="center" vertical="center"/>
    </xf>
    <xf numFmtId="0" fontId="21" fillId="0" borderId="110" xfId="0" applyFont="1" applyBorder="1" applyAlignment="1">
      <alignment horizontal="center" vertical="center"/>
    </xf>
    <xf numFmtId="2" fontId="0" fillId="0" borderId="90" xfId="0" applyNumberFormat="1" applyBorder="1" applyAlignment="1">
      <alignment horizontal="center" vertical="center"/>
    </xf>
    <xf numFmtId="2" fontId="0" fillId="0" borderId="111" xfId="0" applyNumberFormat="1" applyBorder="1" applyAlignment="1">
      <alignment horizontal="center" vertical="center"/>
    </xf>
    <xf numFmtId="0" fontId="21" fillId="0" borderId="112" xfId="0" applyFont="1" applyBorder="1" applyAlignment="1">
      <alignment horizontal="center" vertical="center"/>
    </xf>
    <xf numFmtId="0" fontId="21" fillId="0" borderId="113" xfId="0" applyFont="1" applyBorder="1" applyAlignment="1">
      <alignment horizontal="center" vertical="center"/>
    </xf>
    <xf numFmtId="2" fontId="0" fillId="0" borderId="109" xfId="0" applyNumberFormat="1" applyBorder="1" applyAlignment="1">
      <alignment horizontal="center" vertical="center"/>
    </xf>
    <xf numFmtId="2" fontId="0" fillId="0" borderId="114" xfId="0" applyNumberFormat="1" applyBorder="1" applyAlignment="1">
      <alignment horizontal="center" vertical="center"/>
    </xf>
    <xf numFmtId="2" fontId="0" fillId="0" borderId="18" xfId="0" applyNumberFormat="1" applyBorder="1" applyAlignment="1">
      <alignment horizontal="center" vertical="center"/>
    </xf>
    <xf numFmtId="2" fontId="0" fillId="0" borderId="107" xfId="0" applyNumberFormat="1" applyBorder="1" applyAlignment="1">
      <alignment horizontal="center" vertical="center"/>
    </xf>
    <xf numFmtId="0" fontId="33" fillId="0" borderId="116" xfId="0" applyFont="1" applyBorder="1" applyAlignment="1">
      <alignment horizontal="center" vertical="center"/>
    </xf>
    <xf numFmtId="0" fontId="33" fillId="0" borderId="117" xfId="0" applyFont="1" applyBorder="1" applyAlignment="1">
      <alignment horizontal="center" vertical="center"/>
    </xf>
    <xf numFmtId="0" fontId="21" fillId="0" borderId="15" xfId="0" applyFont="1" applyBorder="1" applyAlignment="1">
      <alignment horizontal="center" vertical="center"/>
    </xf>
    <xf numFmtId="0" fontId="21" fillId="0" borderId="120" xfId="0" applyFont="1" applyBorder="1" applyAlignment="1">
      <alignment horizontal="center" vertical="center"/>
    </xf>
    <xf numFmtId="0" fontId="21" fillId="0" borderId="121" xfId="0" applyFont="1" applyBorder="1" applyAlignment="1">
      <alignment horizontal="center" vertical="center"/>
    </xf>
    <xf numFmtId="0" fontId="21" fillId="0" borderId="122" xfId="0" applyFont="1" applyBorder="1" applyAlignment="1">
      <alignment horizontal="center" vertical="center"/>
    </xf>
    <xf numFmtId="0" fontId="21" fillId="0" borderId="123" xfId="0" applyFont="1" applyBorder="1" applyAlignment="1">
      <alignment horizontal="center" vertical="center"/>
    </xf>
    <xf numFmtId="0" fontId="33" fillId="0" borderId="128" xfId="0" applyFont="1" applyBorder="1" applyAlignment="1">
      <alignment horizontal="center" vertical="center"/>
    </xf>
    <xf numFmtId="0" fontId="33" fillId="0" borderId="12" xfId="0" applyFont="1" applyBorder="1" applyAlignment="1">
      <alignment horizontal="center" vertical="center"/>
    </xf>
    <xf numFmtId="0" fontId="33" fillId="0" borderId="110" xfId="0" applyFont="1" applyBorder="1" applyAlignment="1">
      <alignment horizontal="center" vertical="center"/>
    </xf>
    <xf numFmtId="0" fontId="33" fillId="0" borderId="112" xfId="0" applyFont="1" applyBorder="1" applyAlignment="1">
      <alignment horizontal="center" vertical="center"/>
    </xf>
    <xf numFmtId="0" fontId="33" fillId="0" borderId="113" xfId="0" applyFont="1" applyBorder="1" applyAlignment="1">
      <alignment horizontal="center" vertical="center"/>
    </xf>
    <xf numFmtId="0" fontId="18" fillId="12"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165" fontId="13" fillId="0" borderId="2" xfId="0" applyNumberFormat="1" applyFont="1" applyBorder="1"/>
    <xf numFmtId="0" fontId="6" fillId="0" borderId="2" xfId="4" applyBorder="1" applyAlignment="1">
      <alignment horizontal="center" vertical="center"/>
    </xf>
    <xf numFmtId="168" fontId="6" fillId="0" borderId="2" xfId="6" applyNumberFormat="1" applyFont="1" applyBorder="1" applyAlignment="1">
      <alignment horizontal="center" vertical="center"/>
    </xf>
    <xf numFmtId="170" fontId="6" fillId="0" borderId="2" xfId="6" applyNumberFormat="1" applyFont="1" applyBorder="1" applyAlignment="1">
      <alignment horizontal="center" vertical="center"/>
    </xf>
    <xf numFmtId="170" fontId="6" fillId="0" borderId="2" xfId="0" applyNumberFormat="1" applyFont="1" applyBorder="1"/>
    <xf numFmtId="0" fontId="7" fillId="0" borderId="0" xfId="0" applyFont="1" applyAlignment="1">
      <alignment wrapText="1"/>
    </xf>
    <xf numFmtId="0" fontId="7" fillId="0" borderId="0" xfId="0" applyFont="1" applyAlignment="1">
      <alignment horizontal="left"/>
    </xf>
    <xf numFmtId="0" fontId="7" fillId="0" borderId="0" xfId="0" applyFont="1" applyAlignment="1">
      <alignment horizontal="center"/>
    </xf>
    <xf numFmtId="0" fontId="6" fillId="0" borderId="18" xfId="0" applyFont="1" applyBorder="1" applyAlignment="1">
      <alignment vertical="center" wrapText="1"/>
    </xf>
    <xf numFmtId="0" fontId="34" fillId="0" borderId="0" xfId="0" applyFont="1" applyAlignment="1">
      <alignment horizontal="left" vertical="top" wrapText="1"/>
    </xf>
    <xf numFmtId="3" fontId="34" fillId="0" borderId="0" xfId="0" applyNumberFormat="1" applyFont="1" applyAlignment="1">
      <alignment horizontal="center" vertical="center" wrapText="1"/>
    </xf>
    <xf numFmtId="0" fontId="6" fillId="0" borderId="0" xfId="0" applyFont="1" applyAlignment="1">
      <alignment horizontal="left"/>
    </xf>
    <xf numFmtId="0" fontId="39" fillId="14" borderId="27" xfId="0" applyFont="1" applyFill="1" applyBorder="1" applyAlignment="1">
      <alignment horizontal="center" vertical="center" wrapText="1"/>
    </xf>
    <xf numFmtId="165" fontId="6" fillId="0" borderId="0" xfId="0" applyNumberFormat="1" applyFont="1"/>
    <xf numFmtId="170" fontId="6" fillId="0" borderId="0" xfId="6" applyNumberFormat="1" applyFont="1"/>
    <xf numFmtId="171" fontId="6" fillId="0" borderId="0" xfId="6" applyNumberFormat="1" applyFont="1" applyAlignment="1">
      <alignment vertical="center" wrapText="1"/>
    </xf>
    <xf numFmtId="168" fontId="6" fillId="0" borderId="0" xfId="6" applyNumberFormat="1" applyFont="1" applyAlignment="1">
      <alignment vertical="center" wrapText="1"/>
    </xf>
    <xf numFmtId="0" fontId="0" fillId="0" borderId="0" xfId="0" applyAlignment="1">
      <alignment vertical="center" wrapText="1"/>
    </xf>
    <xf numFmtId="168" fontId="6" fillId="0" borderId="0" xfId="0" applyNumberFormat="1" applyFont="1" applyAlignment="1">
      <alignment vertical="center" wrapText="1"/>
    </xf>
    <xf numFmtId="1" fontId="10" fillId="0" borderId="0" xfId="3" applyNumberFormat="1" applyFont="1" applyAlignment="1">
      <alignment vertical="center" wrapText="1"/>
    </xf>
    <xf numFmtId="0" fontId="40" fillId="0" borderId="0" xfId="0" applyFont="1" applyAlignment="1">
      <alignment horizontal="center" vertical="center"/>
    </xf>
    <xf numFmtId="0" fontId="7" fillId="9" borderId="2" xfId="0" applyFont="1" applyFill="1" applyBorder="1" applyAlignment="1">
      <alignment horizontal="center" vertical="center" wrapText="1"/>
    </xf>
    <xf numFmtId="0" fontId="18" fillId="0" borderId="0" xfId="0" applyFont="1" applyAlignment="1">
      <alignment horizontal="center" vertical="center" wrapText="1"/>
    </xf>
    <xf numFmtId="2" fontId="6" fillId="0" borderId="2" xfId="0" applyNumberFormat="1" applyFont="1" applyBorder="1" applyAlignment="1">
      <alignment horizontal="center" vertical="center" wrapText="1"/>
    </xf>
    <xf numFmtId="0" fontId="6" fillId="0" borderId="130" xfId="0" applyFont="1" applyBorder="1"/>
    <xf numFmtId="0" fontId="6" fillId="0" borderId="0" xfId="13" applyFont="1"/>
    <xf numFmtId="0" fontId="37" fillId="0" borderId="0" xfId="13" applyFont="1" applyAlignment="1">
      <alignment vertical="center" wrapText="1"/>
    </xf>
    <xf numFmtId="0" fontId="37" fillId="0" borderId="0" xfId="13" applyFont="1" applyAlignment="1">
      <alignment vertical="center"/>
    </xf>
    <xf numFmtId="0" fontId="6" fillId="0" borderId="0" xfId="13" applyFont="1" applyAlignment="1">
      <alignment horizontal="left"/>
    </xf>
    <xf numFmtId="0" fontId="41" fillId="0" borderId="0" xfId="13"/>
    <xf numFmtId="0" fontId="8" fillId="0" borderId="0" xfId="5" applyAlignment="1">
      <alignment horizontal="left" vertical="top"/>
    </xf>
    <xf numFmtId="0" fontId="6" fillId="0" borderId="0" xfId="13" applyFont="1" applyAlignment="1">
      <alignment wrapText="1"/>
    </xf>
    <xf numFmtId="0" fontId="41" fillId="0" borderId="0" xfId="13" applyAlignment="1">
      <alignment horizontal="left" vertical="center"/>
    </xf>
    <xf numFmtId="0" fontId="6" fillId="0" borderId="0" xfId="13" applyFont="1" applyAlignment="1">
      <alignment horizontal="left" vertical="center"/>
    </xf>
    <xf numFmtId="0" fontId="6" fillId="7" borderId="21" xfId="13" applyFont="1" applyFill="1" applyBorder="1" applyAlignment="1">
      <alignment horizontal="left" vertical="center"/>
    </xf>
    <xf numFmtId="0" fontId="42" fillId="0" borderId="0" xfId="5" applyFont="1" applyAlignment="1">
      <alignment horizontal="left"/>
    </xf>
    <xf numFmtId="0" fontId="20" fillId="0" borderId="2" xfId="1" applyFont="1" applyBorder="1" applyAlignment="1">
      <alignment vertical="center" wrapText="1"/>
    </xf>
    <xf numFmtId="0" fontId="20" fillId="0" borderId="2" xfId="0" applyFont="1" applyBorder="1" applyAlignment="1">
      <alignment vertical="center" wrapText="1"/>
    </xf>
    <xf numFmtId="164" fontId="20" fillId="0" borderId="2" xfId="0" applyNumberFormat="1" applyFont="1" applyBorder="1" applyAlignment="1">
      <alignment horizontal="center" vertical="center" wrapText="1"/>
    </xf>
    <xf numFmtId="9" fontId="20" fillId="0" borderId="2" xfId="0" applyNumberFormat="1" applyFont="1" applyBorder="1" applyAlignment="1">
      <alignment horizontal="center" vertical="center" wrapText="1"/>
    </xf>
    <xf numFmtId="0" fontId="22" fillId="9" borderId="0" xfId="0" applyFont="1" applyFill="1" applyAlignment="1">
      <alignment horizontal="center" vertical="center" wrapText="1"/>
    </xf>
    <xf numFmtId="0" fontId="20" fillId="0" borderId="11" xfId="0" applyFont="1" applyBorder="1" applyAlignment="1">
      <alignment horizontal="center" vertical="center" wrapText="1"/>
    </xf>
    <xf numFmtId="0" fontId="20" fillId="0" borderId="2" xfId="0" applyFont="1" applyBorder="1" applyAlignment="1">
      <alignment horizontal="center" vertical="center"/>
    </xf>
    <xf numFmtId="0" fontId="1" fillId="0" borderId="2" xfId="0" applyFont="1" applyBorder="1" applyAlignment="1">
      <alignment horizontal="center" vertical="center"/>
    </xf>
    <xf numFmtId="0" fontId="20" fillId="20" borderId="2" xfId="0" applyFont="1" applyFill="1" applyBorder="1" applyAlignment="1">
      <alignment horizontal="center" vertical="center"/>
    </xf>
    <xf numFmtId="0" fontId="20" fillId="20" borderId="11" xfId="0" applyFont="1" applyFill="1" applyBorder="1" applyAlignment="1">
      <alignment horizontal="center" vertical="center" wrapText="1"/>
    </xf>
    <xf numFmtId="0" fontId="34" fillId="0" borderId="2" xfId="0" applyFont="1" applyBorder="1" applyAlignment="1">
      <alignment horizontal="center" vertical="center" wrapText="1"/>
    </xf>
    <xf numFmtId="0" fontId="22" fillId="0" borderId="0" xfId="0" applyFont="1"/>
    <xf numFmtId="0" fontId="22" fillId="0" borderId="0" xfId="0" applyFont="1" applyAlignment="1">
      <alignment vertical="center"/>
    </xf>
    <xf numFmtId="0" fontId="22" fillId="0" borderId="0" xfId="0" applyFont="1" applyAlignment="1">
      <alignment horizontal="center" vertical="top" wrapText="1"/>
    </xf>
    <xf numFmtId="0" fontId="1" fillId="5" borderId="2" xfId="0" applyFont="1" applyFill="1" applyBorder="1" applyAlignment="1">
      <alignment horizontal="center" vertical="center"/>
    </xf>
    <xf numFmtId="3" fontId="20" fillId="0" borderId="2" xfId="0" applyNumberFormat="1" applyFont="1" applyBorder="1" applyAlignment="1">
      <alignment horizontal="center" vertical="center" wrapText="1"/>
    </xf>
    <xf numFmtId="0" fontId="20" fillId="0" borderId="2" xfId="0" applyFont="1" applyBorder="1" applyAlignment="1">
      <alignment vertical="center"/>
    </xf>
    <xf numFmtId="166" fontId="6" fillId="0" borderId="2" xfId="7" applyNumberFormat="1" applyFont="1" applyBorder="1" applyAlignment="1">
      <alignment horizontal="center" vertical="center"/>
    </xf>
    <xf numFmtId="166" fontId="6" fillId="5" borderId="2" xfId="7" applyNumberFormat="1" applyFont="1" applyFill="1" applyBorder="1" applyAlignment="1">
      <alignment horizontal="center" vertical="center"/>
    </xf>
    <xf numFmtId="0" fontId="20" fillId="5" borderId="11" xfId="0" applyFont="1" applyFill="1" applyBorder="1" applyAlignment="1">
      <alignment horizontal="center" vertical="center" wrapText="1"/>
    </xf>
    <xf numFmtId="0" fontId="20" fillId="5" borderId="2" xfId="0" applyFont="1" applyFill="1" applyBorder="1" applyAlignment="1">
      <alignment horizontal="center" vertical="center"/>
    </xf>
    <xf numFmtId="0" fontId="20" fillId="0" borderId="139" xfId="0" applyFont="1" applyBorder="1" applyAlignment="1">
      <alignment horizontal="center" vertical="center" wrapText="1"/>
    </xf>
    <xf numFmtId="164" fontId="20" fillId="0" borderId="2" xfId="0" applyNumberFormat="1" applyFont="1" applyBorder="1" applyAlignment="1">
      <alignment horizontal="center" vertical="center"/>
    </xf>
    <xf numFmtId="3" fontId="20" fillId="0" borderId="2" xfId="0" applyNumberFormat="1" applyFont="1" applyBorder="1" applyAlignment="1">
      <alignment horizontal="center" vertical="center"/>
    </xf>
    <xf numFmtId="0" fontId="20" fillId="5" borderId="139" xfId="0" applyFont="1" applyFill="1" applyBorder="1" applyAlignment="1">
      <alignment horizontal="center" vertical="center" wrapText="1"/>
    </xf>
    <xf numFmtId="0" fontId="20" fillId="5" borderId="2" xfId="0" applyFont="1" applyFill="1" applyBorder="1" applyAlignment="1">
      <alignment horizontal="center" vertical="center" wrapText="1"/>
    </xf>
    <xf numFmtId="3" fontId="20" fillId="20" borderId="2" xfId="0" applyNumberFormat="1" applyFont="1" applyFill="1" applyBorder="1" applyAlignment="1">
      <alignment horizontal="center" vertical="center"/>
    </xf>
    <xf numFmtId="0" fontId="20" fillId="21" borderId="2" xfId="0" applyFont="1" applyFill="1" applyBorder="1" applyAlignment="1">
      <alignment horizontal="center" vertical="center" wrapText="1"/>
    </xf>
    <xf numFmtId="0" fontId="20" fillId="20" borderId="2" xfId="0" applyFont="1" applyFill="1" applyBorder="1" applyAlignment="1">
      <alignment horizontal="center" vertical="center" wrapText="1"/>
    </xf>
    <xf numFmtId="3" fontId="20" fillId="5" borderId="2" xfId="0" applyNumberFormat="1" applyFont="1" applyFill="1" applyBorder="1" applyAlignment="1">
      <alignment horizontal="center" vertical="center"/>
    </xf>
    <xf numFmtId="3" fontId="20" fillId="0" borderId="3" xfId="0" applyNumberFormat="1" applyFont="1" applyBorder="1" applyAlignment="1">
      <alignment horizontal="center" vertical="center" wrapText="1"/>
    </xf>
    <xf numFmtId="1" fontId="20" fillId="0" borderId="2" xfId="7" applyNumberFormat="1" applyFont="1" applyBorder="1" applyAlignment="1">
      <alignment horizontal="center" vertical="center"/>
    </xf>
    <xf numFmtId="1" fontId="20" fillId="5" borderId="2" xfId="7" applyNumberFormat="1" applyFont="1" applyFill="1" applyBorder="1" applyAlignment="1">
      <alignment horizontal="center" vertical="center"/>
    </xf>
    <xf numFmtId="0" fontId="43" fillId="0" borderId="0" xfId="0" applyFont="1" applyAlignment="1">
      <alignment vertical="center"/>
    </xf>
    <xf numFmtId="9" fontId="20" fillId="0" borderId="2" xfId="2" applyFont="1" applyFill="1" applyBorder="1" applyAlignment="1">
      <alignment horizontal="center" vertical="center"/>
    </xf>
    <xf numFmtId="9" fontId="20" fillId="0" borderId="2" xfId="0" applyNumberFormat="1" applyFont="1" applyBorder="1" applyAlignment="1">
      <alignment horizontal="center" vertical="center"/>
    </xf>
    <xf numFmtId="0" fontId="11" fillId="0" borderId="0" xfId="0" applyFont="1" applyAlignment="1">
      <alignment horizontal="left" vertical="center"/>
    </xf>
    <xf numFmtId="43" fontId="6" fillId="0" borderId="2" xfId="0" applyNumberFormat="1" applyFont="1" applyBorder="1"/>
    <xf numFmtId="1" fontId="6" fillId="0" borderId="0" xfId="0" applyNumberFormat="1" applyFont="1" applyAlignment="1">
      <alignment horizontal="left" vertical="center"/>
    </xf>
    <xf numFmtId="1" fontId="6" fillId="0" borderId="140" xfId="0" applyNumberFormat="1" applyFont="1" applyBorder="1" applyAlignment="1">
      <alignment horizontal="left" vertical="center"/>
    </xf>
    <xf numFmtId="1" fontId="6" fillId="0" borderId="140" xfId="0" applyNumberFormat="1" applyFont="1" applyBorder="1" applyAlignment="1">
      <alignment horizontal="left" vertical="center" wrapText="1"/>
    </xf>
    <xf numFmtId="0" fontId="7" fillId="0" borderId="2" xfId="0" applyFont="1" applyBorder="1"/>
    <xf numFmtId="0" fontId="20" fillId="0" borderId="62" xfId="0" applyFont="1" applyBorder="1" applyAlignment="1">
      <alignment horizontal="center" vertical="center" wrapText="1"/>
    </xf>
    <xf numFmtId="0" fontId="20" fillId="0" borderId="23" xfId="0" applyFont="1" applyBorder="1" applyAlignment="1">
      <alignment horizontal="center" vertical="center" wrapText="1"/>
    </xf>
    <xf numFmtId="0" fontId="20" fillId="0" borderId="61" xfId="0" applyFont="1" applyBorder="1" applyAlignment="1">
      <alignment horizontal="center" vertical="center" wrapText="1"/>
    </xf>
    <xf numFmtId="0" fontId="20" fillId="0" borderId="46" xfId="0" applyFont="1" applyBorder="1" applyAlignment="1">
      <alignment horizontal="center" vertical="center" wrapText="1"/>
    </xf>
    <xf numFmtId="0" fontId="20" fillId="0" borderId="27" xfId="0" applyFont="1" applyBorder="1" applyAlignment="1">
      <alignment horizontal="center" vertical="center" wrapText="1"/>
    </xf>
    <xf numFmtId="2" fontId="20" fillId="0" borderId="2" xfId="0" applyNumberFormat="1" applyFont="1" applyBorder="1" applyAlignment="1">
      <alignment horizontal="center" vertical="center" wrapText="1"/>
    </xf>
    <xf numFmtId="0" fontId="7" fillId="0" borderId="2" xfId="0" applyFont="1" applyBorder="1" applyAlignment="1">
      <alignment vertical="center" wrapText="1"/>
    </xf>
    <xf numFmtId="0" fontId="22" fillId="9" borderId="144" xfId="0" applyFont="1" applyFill="1" applyBorder="1" applyAlignment="1">
      <alignment horizontal="center" vertical="center" wrapText="1"/>
    </xf>
    <xf numFmtId="168" fontId="20" fillId="0" borderId="2" xfId="6" applyNumberFormat="1" applyFont="1" applyBorder="1" applyAlignment="1">
      <alignment horizontal="right" vertical="center"/>
    </xf>
    <xf numFmtId="0" fontId="20" fillId="0" borderId="2" xfId="0" applyFont="1" applyBorder="1" applyAlignment="1">
      <alignment horizontal="left" vertical="center" wrapText="1"/>
    </xf>
    <xf numFmtId="0" fontId="20" fillId="0" borderId="27" xfId="0" applyFont="1" applyBorder="1" applyAlignment="1">
      <alignment horizontal="center" vertical="center"/>
    </xf>
    <xf numFmtId="0" fontId="36" fillId="0" borderId="160" xfId="0" applyFont="1" applyBorder="1" applyAlignment="1">
      <alignment horizontal="center" vertical="center" wrapText="1"/>
    </xf>
    <xf numFmtId="0" fontId="36" fillId="0" borderId="161" xfId="0" applyFont="1" applyBorder="1" applyAlignment="1">
      <alignment horizontal="center" vertical="center" wrapText="1"/>
    </xf>
    <xf numFmtId="0" fontId="33" fillId="0" borderId="11" xfId="0" applyFont="1" applyBorder="1" applyAlignment="1">
      <alignment horizontal="center" vertical="center"/>
    </xf>
    <xf numFmtId="0" fontId="36" fillId="0" borderId="12" xfId="0" applyFont="1" applyBorder="1" applyAlignment="1">
      <alignment horizontal="center" vertical="center"/>
    </xf>
    <xf numFmtId="0" fontId="36" fillId="0" borderId="2" xfId="0" applyFont="1" applyBorder="1" applyAlignment="1">
      <alignment horizontal="center" vertical="center"/>
    </xf>
    <xf numFmtId="0" fontId="33" fillId="0" borderId="7" xfId="0" applyFont="1" applyBorder="1" applyAlignment="1">
      <alignment horizontal="center" vertical="center"/>
    </xf>
    <xf numFmtId="0" fontId="33" fillId="0" borderId="15" xfId="0" applyFont="1" applyBorder="1" applyAlignment="1">
      <alignment horizontal="center" vertical="center"/>
    </xf>
    <xf numFmtId="0" fontId="33" fillId="0" borderId="119" xfId="0" applyFont="1" applyBorder="1" applyAlignment="1">
      <alignment horizontal="center" vertical="center"/>
    </xf>
    <xf numFmtId="0" fontId="33" fillId="0" borderId="164" xfId="0" applyFont="1" applyBorder="1" applyAlignment="1">
      <alignment horizontal="center" vertical="center"/>
    </xf>
    <xf numFmtId="0" fontId="36" fillId="0" borderId="7" xfId="0" applyFont="1" applyBorder="1" applyAlignment="1">
      <alignment horizontal="center" vertical="center"/>
    </xf>
    <xf numFmtId="0" fontId="33" fillId="0" borderId="165" xfId="0" applyFont="1" applyBorder="1" applyAlignment="1">
      <alignment horizontal="center" vertical="center"/>
    </xf>
    <xf numFmtId="0" fontId="33" fillId="0" borderId="48" xfId="0" applyFont="1" applyBorder="1" applyAlignment="1">
      <alignment horizontal="center" vertical="center"/>
    </xf>
    <xf numFmtId="0" fontId="33" fillId="0" borderId="163" xfId="0" applyFont="1" applyBorder="1" applyAlignment="1">
      <alignment horizontal="center" vertical="center"/>
    </xf>
    <xf numFmtId="0" fontId="33" fillId="0" borderId="166" xfId="0" applyFont="1" applyBorder="1" applyAlignment="1">
      <alignment horizontal="center" vertical="center"/>
    </xf>
    <xf numFmtId="0" fontId="33" fillId="0" borderId="9" xfId="0" applyFont="1" applyBorder="1" applyAlignment="1">
      <alignment horizontal="center" vertical="center"/>
    </xf>
    <xf numFmtId="0" fontId="33" fillId="0" borderId="157" xfId="0" applyFont="1" applyBorder="1" applyAlignment="1">
      <alignment horizontal="center" vertical="center"/>
    </xf>
    <xf numFmtId="0" fontId="33" fillId="0" borderId="167" xfId="0" applyFont="1" applyBorder="1" applyAlignment="1">
      <alignment horizontal="center" vertical="center"/>
    </xf>
    <xf numFmtId="0" fontId="33" fillId="0" borderId="139" xfId="0" applyFont="1" applyBorder="1" applyAlignment="1">
      <alignment horizontal="center" vertical="center"/>
    </xf>
    <xf numFmtId="0" fontId="33" fillId="0" borderId="168" xfId="0" applyFont="1" applyBorder="1" applyAlignment="1">
      <alignment horizontal="center" vertical="center"/>
    </xf>
    <xf numFmtId="0" fontId="33" fillId="0" borderId="169" xfId="0" applyFont="1" applyBorder="1" applyAlignment="1">
      <alignment horizontal="center" vertical="center"/>
    </xf>
    <xf numFmtId="0" fontId="33" fillId="0" borderId="170" xfId="0" applyFont="1" applyBorder="1" applyAlignment="1">
      <alignment horizontal="center" vertical="center"/>
    </xf>
    <xf numFmtId="0" fontId="33" fillId="0" borderId="172" xfId="0" applyFont="1" applyBorder="1" applyAlignment="1">
      <alignment horizontal="center" vertical="center"/>
    </xf>
    <xf numFmtId="0" fontId="33" fillId="0" borderId="173" xfId="0" applyFont="1" applyBorder="1" applyAlignment="1">
      <alignment horizontal="center" vertical="center"/>
    </xf>
    <xf numFmtId="0" fontId="33" fillId="0" borderId="4" xfId="0" applyFont="1" applyBorder="1" applyAlignment="1">
      <alignment horizontal="center" vertical="center"/>
    </xf>
    <xf numFmtId="0" fontId="33" fillId="0" borderId="5" xfId="0" applyFont="1" applyBorder="1" applyAlignment="1">
      <alignment horizontal="center" vertical="center"/>
    </xf>
    <xf numFmtId="0" fontId="33" fillId="0" borderId="6" xfId="0" applyFont="1" applyBorder="1" applyAlignment="1">
      <alignment horizontal="center" vertical="center"/>
    </xf>
    <xf numFmtId="0" fontId="33" fillId="0" borderId="8" xfId="0" applyFont="1" applyBorder="1" applyAlignment="1">
      <alignment horizontal="center" vertical="center"/>
    </xf>
    <xf numFmtId="0" fontId="33" fillId="0" borderId="182" xfId="0" applyFont="1" applyBorder="1" applyAlignment="1">
      <alignment horizontal="center" vertical="center"/>
    </xf>
    <xf numFmtId="0" fontId="33" fillId="0" borderId="187" xfId="0" applyFont="1" applyBorder="1" applyAlignment="1">
      <alignment horizontal="center" vertical="center"/>
    </xf>
    <xf numFmtId="0" fontId="33" fillId="0" borderId="162" xfId="0" applyFont="1" applyBorder="1" applyAlignment="1">
      <alignment horizontal="center" vertical="center"/>
    </xf>
    <xf numFmtId="0" fontId="33" fillId="0" borderId="156" xfId="0" applyFont="1" applyBorder="1" applyAlignment="1">
      <alignment horizontal="center" vertical="center"/>
    </xf>
    <xf numFmtId="0" fontId="33" fillId="0" borderId="158" xfId="0" applyFont="1" applyBorder="1" applyAlignment="1">
      <alignment horizontal="center" vertical="center"/>
    </xf>
    <xf numFmtId="0" fontId="36" fillId="0" borderId="139" xfId="0" applyFont="1" applyBorder="1" applyAlignment="1">
      <alignment horizontal="center" vertical="center"/>
    </xf>
    <xf numFmtId="0" fontId="33" fillId="0" borderId="189" xfId="0" applyFont="1" applyBorder="1" applyAlignment="1">
      <alignment horizontal="center" vertical="center"/>
    </xf>
    <xf numFmtId="0" fontId="33" fillId="0" borderId="190" xfId="0" applyFont="1" applyBorder="1" applyAlignment="1">
      <alignment horizontal="center" vertical="center"/>
    </xf>
    <xf numFmtId="0" fontId="33" fillId="0" borderId="191" xfId="0" applyFont="1" applyBorder="1" applyAlignment="1">
      <alignment horizontal="center" vertical="center"/>
    </xf>
    <xf numFmtId="0" fontId="33" fillId="0" borderId="192" xfId="0" applyFont="1" applyBorder="1" applyAlignment="1">
      <alignment horizontal="center" vertical="center"/>
    </xf>
    <xf numFmtId="0" fontId="33" fillId="0" borderId="193" xfId="0" applyFont="1" applyBorder="1" applyAlignment="1">
      <alignment horizontal="center" vertical="center"/>
    </xf>
    <xf numFmtId="0" fontId="33" fillId="0" borderId="194" xfId="0" applyFont="1" applyBorder="1" applyAlignment="1">
      <alignment horizontal="center" vertical="center"/>
    </xf>
    <xf numFmtId="0" fontId="33" fillId="0" borderId="195" xfId="0" applyFont="1" applyBorder="1" applyAlignment="1">
      <alignment horizontal="center" vertical="center"/>
    </xf>
    <xf numFmtId="0" fontId="33" fillId="0" borderId="196" xfId="0" applyFont="1" applyBorder="1" applyAlignment="1">
      <alignment horizontal="center" vertical="center"/>
    </xf>
    <xf numFmtId="0" fontId="33" fillId="0" borderId="197" xfId="0" applyFont="1" applyBorder="1" applyAlignment="1">
      <alignment horizontal="center" vertical="center"/>
    </xf>
    <xf numFmtId="0" fontId="33" fillId="0" borderId="34" xfId="0" applyFont="1" applyBorder="1" applyAlignment="1">
      <alignment horizontal="center" vertical="center"/>
    </xf>
    <xf numFmtId="0" fontId="33" fillId="0" borderId="214" xfId="0" applyFont="1" applyBorder="1" applyAlignment="1">
      <alignment horizontal="center" vertical="center"/>
    </xf>
    <xf numFmtId="0" fontId="36" fillId="0" borderId="206" xfId="0" applyFont="1" applyBorder="1" applyAlignment="1">
      <alignment horizontal="center" vertical="center" wrapText="1"/>
    </xf>
    <xf numFmtId="0" fontId="33" fillId="0" borderId="144" xfId="0" applyFont="1" applyBorder="1" applyAlignment="1">
      <alignment horizontal="center" vertical="center"/>
    </xf>
    <xf numFmtId="0" fontId="33" fillId="0" borderId="205" xfId="0" applyFont="1" applyBorder="1" applyAlignment="1">
      <alignment horizontal="center" vertical="center"/>
    </xf>
    <xf numFmtId="0" fontId="36" fillId="0" borderId="221" xfId="0" applyFont="1" applyBorder="1" applyAlignment="1">
      <alignment horizontal="center" vertical="center"/>
    </xf>
    <xf numFmtId="0" fontId="36" fillId="0" borderId="222" xfId="0" applyFont="1" applyBorder="1" applyAlignment="1">
      <alignment horizontal="center" vertical="center"/>
    </xf>
    <xf numFmtId="0" fontId="36" fillId="0" borderId="46" xfId="0" applyFont="1" applyBorder="1" applyAlignment="1">
      <alignment horizontal="center" vertical="center"/>
    </xf>
    <xf numFmtId="0" fontId="36" fillId="0" borderId="223" xfId="0" applyFont="1" applyBorder="1" applyAlignment="1">
      <alignment horizontal="center" vertical="center"/>
    </xf>
    <xf numFmtId="0" fontId="36" fillId="0" borderId="224" xfId="0" applyFont="1" applyBorder="1" applyAlignment="1">
      <alignment horizontal="center" vertical="center"/>
    </xf>
    <xf numFmtId="0" fontId="36" fillId="0" borderId="225" xfId="0" applyFont="1" applyBorder="1" applyAlignment="1">
      <alignment horizontal="center" vertical="center"/>
    </xf>
    <xf numFmtId="0" fontId="45" fillId="0" borderId="2" xfId="0" applyFont="1" applyBorder="1" applyAlignment="1">
      <alignment horizontal="center" vertical="center"/>
    </xf>
    <xf numFmtId="0" fontId="33" fillId="0" borderId="226" xfId="0" applyFont="1" applyBorder="1" applyAlignment="1">
      <alignment horizontal="center" vertical="center"/>
    </xf>
    <xf numFmtId="0" fontId="33" fillId="0" borderId="180" xfId="0" applyFont="1" applyBorder="1" applyAlignment="1">
      <alignment horizontal="center" vertical="center"/>
    </xf>
    <xf numFmtId="0" fontId="20" fillId="0" borderId="46" xfId="0" applyFont="1" applyBorder="1" applyAlignment="1">
      <alignment horizontal="center" vertical="center"/>
    </xf>
    <xf numFmtId="165" fontId="20" fillId="0" borderId="2" xfId="0" applyNumberFormat="1" applyFont="1" applyBorder="1" applyAlignment="1">
      <alignment horizontal="left" vertical="center" wrapText="1"/>
    </xf>
    <xf numFmtId="168" fontId="20" fillId="0" borderId="2" xfId="6" applyNumberFormat="1" applyFont="1" applyBorder="1" applyAlignment="1">
      <alignment horizontal="left" vertical="center" wrapText="1"/>
    </xf>
    <xf numFmtId="168" fontId="20" fillId="0" borderId="2" xfId="0" applyNumberFormat="1" applyFont="1" applyBorder="1" applyAlignment="1">
      <alignment horizontal="left" vertical="center" wrapText="1"/>
    </xf>
    <xf numFmtId="1" fontId="20" fillId="0" borderId="46" xfId="6" applyNumberFormat="1" applyFont="1" applyBorder="1" applyAlignment="1">
      <alignment horizontal="center" vertical="center"/>
    </xf>
    <xf numFmtId="0" fontId="1" fillId="0" borderId="46" xfId="0" applyFont="1" applyBorder="1"/>
    <xf numFmtId="0" fontId="18" fillId="6" borderId="3" xfId="0" applyFont="1" applyFill="1" applyBorder="1" applyAlignment="1">
      <alignment horizontal="center" vertical="center" wrapText="1"/>
    </xf>
    <xf numFmtId="1" fontId="6" fillId="0" borderId="13" xfId="0" applyNumberFormat="1" applyFont="1" applyBorder="1"/>
    <xf numFmtId="43" fontId="20" fillId="0" borderId="18" xfId="6" applyFont="1" applyBorder="1" applyAlignment="1">
      <alignment horizontal="center" vertical="center"/>
    </xf>
    <xf numFmtId="43" fontId="20" fillId="0" borderId="2" xfId="6" applyFont="1" applyBorder="1" applyAlignment="1">
      <alignment horizontal="center" vertical="center"/>
    </xf>
    <xf numFmtId="2" fontId="20" fillId="0" borderId="2" xfId="0" applyNumberFormat="1" applyFont="1" applyBorder="1" applyAlignment="1">
      <alignment horizontal="center" vertical="center"/>
    </xf>
    <xf numFmtId="0" fontId="6" fillId="0" borderId="3" xfId="0" applyFont="1" applyBorder="1" applyAlignment="1">
      <alignment vertical="center"/>
    </xf>
    <xf numFmtId="0" fontId="0" fillId="0" borderId="27" xfId="0" applyBorder="1"/>
    <xf numFmtId="0" fontId="20" fillId="7" borderId="0" xfId="13" applyFont="1" applyFill="1" applyAlignment="1">
      <alignment horizontal="left" vertical="center"/>
    </xf>
    <xf numFmtId="0" fontId="20" fillId="7" borderId="138" xfId="13" applyFont="1" applyFill="1" applyBorder="1" applyAlignment="1">
      <alignment horizontal="left" vertical="center"/>
    </xf>
    <xf numFmtId="0" fontId="20" fillId="19" borderId="17" xfId="13" applyFont="1" applyFill="1" applyBorder="1" applyAlignment="1">
      <alignment horizontal="left" vertical="center"/>
    </xf>
    <xf numFmtId="3" fontId="20" fillId="19" borderId="0" xfId="6" applyNumberFormat="1" applyFont="1" applyFill="1" applyBorder="1" applyAlignment="1">
      <alignment horizontal="left" vertical="center"/>
    </xf>
    <xf numFmtId="0" fontId="20" fillId="19" borderId="19" xfId="13" applyFont="1" applyFill="1" applyBorder="1" applyAlignment="1">
      <alignment horizontal="left" vertical="center"/>
    </xf>
    <xf numFmtId="0" fontId="20" fillId="19" borderId="20" xfId="13" applyFont="1" applyFill="1" applyBorder="1" applyAlignment="1">
      <alignment horizontal="left" vertical="center"/>
    </xf>
    <xf numFmtId="3" fontId="20" fillId="0" borderId="46" xfId="13" applyNumberFormat="1" applyFont="1" applyBorder="1" applyAlignment="1">
      <alignment horizontal="center" vertical="center" wrapText="1"/>
    </xf>
    <xf numFmtId="0" fontId="6" fillId="0" borderId="12" xfId="0" applyFont="1" applyBorder="1" applyAlignment="1">
      <alignment vertical="center"/>
    </xf>
    <xf numFmtId="0" fontId="20" fillId="0" borderId="67" xfId="0" applyFont="1" applyBorder="1" applyAlignment="1">
      <alignment vertical="center"/>
    </xf>
    <xf numFmtId="0" fontId="11" fillId="0" borderId="2" xfId="0" applyFont="1" applyBorder="1"/>
    <xf numFmtId="2" fontId="20" fillId="17" borderId="45" xfId="13" applyNumberFormat="1" applyFont="1" applyFill="1" applyBorder="1" applyAlignment="1">
      <alignment horizontal="center" vertical="center" wrapText="1"/>
    </xf>
    <xf numFmtId="0" fontId="7" fillId="6" borderId="233" xfId="0" applyFont="1" applyFill="1" applyBorder="1" applyAlignment="1">
      <alignment horizontal="center" vertical="center"/>
    </xf>
    <xf numFmtId="0" fontId="7" fillId="9" borderId="233" xfId="0" applyFont="1" applyFill="1" applyBorder="1" applyAlignment="1">
      <alignment horizontal="center" vertical="center" wrapText="1"/>
    </xf>
    <xf numFmtId="0" fontId="35" fillId="11" borderId="130" xfId="0" applyFont="1" applyFill="1" applyBorder="1" applyAlignment="1">
      <alignment horizontal="left" vertical="center"/>
    </xf>
    <xf numFmtId="0" fontId="22" fillId="9" borderId="2"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22" fillId="9" borderId="12" xfId="0" applyFont="1" applyFill="1" applyBorder="1" applyAlignment="1">
      <alignment horizontal="center" vertical="center"/>
    </xf>
    <xf numFmtId="0" fontId="18" fillId="9" borderId="12" xfId="0" applyFont="1" applyFill="1" applyBorder="1" applyAlignment="1">
      <alignment horizontal="center" vertical="center" wrapText="1"/>
    </xf>
    <xf numFmtId="0" fontId="18" fillId="9" borderId="12" xfId="0" applyFont="1" applyFill="1" applyBorder="1" applyAlignment="1">
      <alignment horizontal="center" vertical="center"/>
    </xf>
    <xf numFmtId="0" fontId="20" fillId="0" borderId="0" xfId="0" applyFont="1" applyAlignment="1">
      <alignment vertical="center"/>
    </xf>
    <xf numFmtId="0" fontId="15" fillId="0" borderId="0" xfId="5" applyFont="1" applyAlignment="1"/>
    <xf numFmtId="0" fontId="15" fillId="0" borderId="0" xfId="5" applyFont="1" applyAlignment="1">
      <alignment horizontal="left"/>
    </xf>
    <xf numFmtId="0" fontId="15" fillId="0" borderId="0" xfId="5" applyFont="1" applyFill="1" applyBorder="1" applyAlignment="1"/>
    <xf numFmtId="0" fontId="15" fillId="0" borderId="0" xfId="5" applyFont="1" applyBorder="1" applyAlignment="1">
      <alignment horizontal="left"/>
    </xf>
    <xf numFmtId="0" fontId="15" fillId="0" borderId="0" xfId="5" applyFont="1" applyFill="1" applyBorder="1" applyAlignment="1">
      <alignment vertical="center"/>
    </xf>
    <xf numFmtId="0" fontId="47" fillId="0" borderId="0" xfId="5" applyFont="1" applyAlignment="1"/>
    <xf numFmtId="0" fontId="15" fillId="0" borderId="0" xfId="5" applyFont="1"/>
    <xf numFmtId="0" fontId="47" fillId="0" borderId="0" xfId="5" applyFont="1" applyBorder="1" applyAlignment="1"/>
    <xf numFmtId="0" fontId="15" fillId="0" borderId="0" xfId="5" applyFont="1" applyFill="1" applyBorder="1" applyAlignment="1">
      <alignment horizontal="left" vertical="center"/>
    </xf>
    <xf numFmtId="0" fontId="20" fillId="0" borderId="0" xfId="0" applyFont="1" applyAlignment="1">
      <alignment wrapText="1"/>
    </xf>
    <xf numFmtId="0" fontId="0" fillId="0" borderId="0" xfId="0" applyAlignment="1">
      <alignment wrapText="1"/>
    </xf>
    <xf numFmtId="0" fontId="0" fillId="0" borderId="0" xfId="0" applyAlignment="1">
      <alignment horizontal="center" wrapText="1"/>
    </xf>
    <xf numFmtId="166" fontId="20" fillId="0" borderId="2" xfId="7" applyNumberFormat="1" applyFont="1" applyBorder="1" applyAlignment="1">
      <alignment horizontal="center" vertical="center" wrapText="1"/>
    </xf>
    <xf numFmtId="0" fontId="8" fillId="0" borderId="234" xfId="5" applyBorder="1" applyAlignment="1">
      <alignment horizontal="center" vertical="center"/>
    </xf>
    <xf numFmtId="0" fontId="35" fillId="11" borderId="235" xfId="0" applyFont="1" applyFill="1" applyBorder="1" applyAlignment="1">
      <alignment horizontal="left" vertical="center"/>
    </xf>
    <xf numFmtId="0" fontId="20" fillId="0" borderId="236" xfId="0" applyFont="1" applyBorder="1" applyAlignment="1">
      <alignment horizontal="center" vertical="center"/>
    </xf>
    <xf numFmtId="0" fontId="6" fillId="5" borderId="2" xfId="0" applyFont="1" applyFill="1" applyBorder="1"/>
    <xf numFmtId="0" fontId="20" fillId="0" borderId="50" xfId="0" applyFont="1" applyBorder="1" applyAlignment="1">
      <alignment horizontal="center" vertical="center" wrapText="1"/>
    </xf>
    <xf numFmtId="1" fontId="20" fillId="0" borderId="2" xfId="3" applyNumberFormat="1" applyFont="1" applyBorder="1" applyAlignment="1">
      <alignment horizontal="left" vertical="center" wrapText="1"/>
    </xf>
    <xf numFmtId="0" fontId="20" fillId="0" borderId="46" xfId="0" applyFont="1" applyBorder="1"/>
    <xf numFmtId="168" fontId="20" fillId="0" borderId="2" xfId="6" applyNumberFormat="1" applyFont="1" applyBorder="1" applyAlignment="1">
      <alignment horizontal="left" vertical="center"/>
    </xf>
    <xf numFmtId="43" fontId="20" fillId="0" borderId="2" xfId="6" applyFont="1" applyBorder="1" applyAlignment="1">
      <alignment horizontal="left" vertical="center"/>
    </xf>
    <xf numFmtId="1" fontId="20" fillId="0" borderId="3" xfId="0" applyNumberFormat="1" applyFont="1" applyBorder="1"/>
    <xf numFmtId="43" fontId="20" fillId="0" borderId="2" xfId="0" applyNumberFormat="1" applyFont="1" applyBorder="1"/>
    <xf numFmtId="1" fontId="20" fillId="0" borderId="13" xfId="0" applyNumberFormat="1" applyFont="1" applyBorder="1"/>
    <xf numFmtId="0" fontId="20" fillId="19" borderId="0" xfId="13" applyFont="1" applyFill="1" applyAlignment="1">
      <alignment horizontal="left" vertical="center"/>
    </xf>
    <xf numFmtId="168" fontId="20" fillId="19" borderId="0" xfId="13" applyNumberFormat="1" applyFont="1" applyFill="1" applyAlignment="1">
      <alignment horizontal="left" vertical="center"/>
    </xf>
    <xf numFmtId="0" fontId="20" fillId="19" borderId="13" xfId="13" applyFont="1" applyFill="1" applyBorder="1" applyAlignment="1">
      <alignment horizontal="left" vertical="center"/>
    </xf>
    <xf numFmtId="3" fontId="20" fillId="19" borderId="14" xfId="6" applyNumberFormat="1" applyFont="1" applyFill="1" applyBorder="1" applyAlignment="1">
      <alignment horizontal="left" vertical="center"/>
    </xf>
    <xf numFmtId="0" fontId="20" fillId="19" borderId="14" xfId="13" applyFont="1" applyFill="1" applyBorder="1" applyAlignment="1">
      <alignment horizontal="left" vertical="center"/>
    </xf>
    <xf numFmtId="0" fontId="20" fillId="19" borderId="138" xfId="13" applyFont="1" applyFill="1" applyBorder="1" applyAlignment="1">
      <alignment horizontal="left" vertical="center"/>
    </xf>
    <xf numFmtId="0" fontId="20" fillId="19" borderId="21" xfId="13" applyFont="1" applyFill="1" applyBorder="1" applyAlignment="1">
      <alignment horizontal="left" vertical="center"/>
    </xf>
    <xf numFmtId="0" fontId="43" fillId="5" borderId="137" xfId="13" applyFont="1" applyFill="1" applyBorder="1" applyAlignment="1">
      <alignment vertical="center" wrapText="1"/>
    </xf>
    <xf numFmtId="0" fontId="43" fillId="18" borderId="13" xfId="13" applyFont="1" applyFill="1" applyBorder="1" applyAlignment="1">
      <alignment vertical="center" wrapText="1"/>
    </xf>
    <xf numFmtId="0" fontId="43" fillId="18" borderId="14" xfId="13" applyFont="1" applyFill="1" applyBorder="1" applyAlignment="1">
      <alignment vertical="center" wrapText="1"/>
    </xf>
    <xf numFmtId="0" fontId="43" fillId="18" borderId="14" xfId="13" applyFont="1" applyFill="1" applyBorder="1" applyAlignment="1">
      <alignment horizontal="left" vertical="center" wrapText="1"/>
    </xf>
    <xf numFmtId="0" fontId="43" fillId="18" borderId="15" xfId="13" applyFont="1" applyFill="1" applyBorder="1" applyAlignment="1">
      <alignment vertical="center" wrapText="1"/>
    </xf>
    <xf numFmtId="0" fontId="20" fillId="19" borderId="15" xfId="13" applyFont="1" applyFill="1" applyBorder="1" applyAlignment="1">
      <alignment horizontal="left" vertical="center"/>
    </xf>
    <xf numFmtId="0" fontId="20" fillId="24" borderId="138" xfId="13" applyFont="1" applyFill="1" applyBorder="1" applyAlignment="1">
      <alignment horizontal="left" vertical="center"/>
    </xf>
    <xf numFmtId="37" fontId="20" fillId="24" borderId="13" xfId="6" applyNumberFormat="1" applyFont="1" applyFill="1" applyBorder="1" applyAlignment="1">
      <alignment horizontal="left" vertical="center"/>
    </xf>
    <xf numFmtId="37" fontId="20" fillId="24" borderId="17" xfId="6" applyNumberFormat="1" applyFont="1" applyFill="1" applyBorder="1" applyAlignment="1">
      <alignment horizontal="left" vertical="center"/>
    </xf>
    <xf numFmtId="37" fontId="6" fillId="24" borderId="19" xfId="6" applyNumberFormat="1" applyFont="1" applyFill="1" applyBorder="1" applyAlignment="1">
      <alignment horizontal="left" vertical="center"/>
    </xf>
    <xf numFmtId="0" fontId="20" fillId="0" borderId="46" xfId="13" applyFont="1" applyBorder="1" applyAlignment="1">
      <alignment horizontal="center" vertical="center" wrapText="1"/>
    </xf>
    <xf numFmtId="165" fontId="20" fillId="16" borderId="46" xfId="13" applyNumberFormat="1" applyFont="1" applyFill="1" applyBorder="1" applyAlignment="1">
      <alignment horizontal="center" vertical="center" wrapText="1"/>
    </xf>
    <xf numFmtId="3" fontId="20" fillId="0" borderId="132" xfId="13" applyNumberFormat="1" applyFont="1" applyBorder="1" applyAlignment="1">
      <alignment horizontal="center" vertical="center" wrapText="1"/>
    </xf>
    <xf numFmtId="1" fontId="20" fillId="0" borderId="2" xfId="0" applyNumberFormat="1" applyFont="1" applyBorder="1" applyAlignment="1">
      <alignment horizontal="center" vertical="center" wrapText="1"/>
    </xf>
    <xf numFmtId="0" fontId="20" fillId="0" borderId="46" xfId="0" applyFont="1" applyBorder="1" applyAlignment="1">
      <alignment horizontal="left" vertical="center"/>
    </xf>
    <xf numFmtId="1" fontId="20" fillId="0" borderId="46" xfId="0" applyNumberFormat="1" applyFont="1" applyBorder="1" applyAlignment="1">
      <alignment horizontal="center" vertical="center"/>
    </xf>
    <xf numFmtId="1" fontId="20" fillId="0" borderId="231" xfId="0" applyNumberFormat="1" applyFont="1" applyBorder="1" applyAlignment="1">
      <alignment horizontal="center" vertical="center"/>
    </xf>
    <xf numFmtId="0" fontId="6" fillId="0" borderId="46" xfId="0" applyFont="1" applyBorder="1" applyAlignment="1">
      <alignment horizontal="left" vertical="center"/>
    </xf>
    <xf numFmtId="0" fontId="6" fillId="0" borderId="46" xfId="0" applyFont="1" applyBorder="1" applyAlignment="1">
      <alignment horizontal="center" vertical="center"/>
    </xf>
    <xf numFmtId="1" fontId="6" fillId="0" borderId="46" xfId="0" applyNumberFormat="1" applyFont="1" applyBorder="1" applyAlignment="1">
      <alignment horizontal="center" vertical="center"/>
    </xf>
    <xf numFmtId="166" fontId="20" fillId="0" borderId="2" xfId="0" applyNumberFormat="1" applyFont="1" applyBorder="1" applyAlignment="1">
      <alignment horizontal="center" vertical="center" wrapText="1"/>
    </xf>
    <xf numFmtId="0" fontId="20" fillId="0" borderId="2" xfId="0" applyFont="1" applyBorder="1" applyAlignment="1">
      <alignment wrapText="1"/>
    </xf>
    <xf numFmtId="0" fontId="7" fillId="0" borderId="2" xfId="0" applyFont="1" applyBorder="1" applyAlignment="1">
      <alignment horizontal="center" vertical="center"/>
    </xf>
    <xf numFmtId="0" fontId="20" fillId="0" borderId="21" xfId="0" applyFont="1" applyBorder="1" applyAlignment="1">
      <alignment horizontal="center" vertical="center" wrapText="1"/>
    </xf>
    <xf numFmtId="164" fontId="20" fillId="25" borderId="2" xfId="0" applyNumberFormat="1" applyFont="1" applyFill="1" applyBorder="1" applyAlignment="1">
      <alignment horizontal="center" vertical="center"/>
    </xf>
    <xf numFmtId="0" fontId="20" fillId="7" borderId="2" xfId="0" applyFont="1" applyFill="1" applyBorder="1" applyAlignment="1">
      <alignment vertical="center"/>
    </xf>
    <xf numFmtId="9" fontId="20" fillId="7" borderId="2" xfId="0" applyNumberFormat="1" applyFont="1" applyFill="1" applyBorder="1" applyAlignment="1">
      <alignment horizontal="center" vertical="center"/>
    </xf>
    <xf numFmtId="0" fontId="20" fillId="7" borderId="2" xfId="0" applyFont="1" applyFill="1" applyBorder="1" applyAlignment="1">
      <alignment horizontal="center" vertical="center"/>
    </xf>
    <xf numFmtId="0" fontId="1" fillId="0" borderId="2"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xf>
    <xf numFmtId="0" fontId="7" fillId="6" borderId="67" xfId="0" applyFont="1" applyFill="1" applyBorder="1" applyAlignment="1">
      <alignment horizontal="center" vertical="center"/>
    </xf>
    <xf numFmtId="167" fontId="6" fillId="0" borderId="67" xfId="0" applyNumberFormat="1" applyFont="1" applyBorder="1" applyAlignment="1">
      <alignment horizontal="center" vertical="center"/>
    </xf>
    <xf numFmtId="0" fontId="6" fillId="7" borderId="67" xfId="0" applyFont="1" applyFill="1" applyBorder="1" applyAlignment="1">
      <alignment horizontal="center" vertical="center"/>
    </xf>
    <xf numFmtId="167" fontId="6" fillId="7" borderId="67" xfId="0" applyNumberFormat="1" applyFont="1" applyFill="1" applyBorder="1" applyAlignment="1">
      <alignment horizontal="center" vertical="center" wrapText="1"/>
    </xf>
    <xf numFmtId="167" fontId="6" fillId="7" borderId="67" xfId="0" applyNumberFormat="1" applyFont="1" applyFill="1" applyBorder="1" applyAlignment="1">
      <alignment horizontal="center" vertical="center"/>
    </xf>
    <xf numFmtId="0" fontId="6" fillId="5" borderId="67" xfId="0" applyFont="1" applyFill="1" applyBorder="1" applyAlignment="1">
      <alignment horizontal="center" vertical="center"/>
    </xf>
    <xf numFmtId="167" fontId="6" fillId="5" borderId="67" xfId="0" applyNumberFormat="1" applyFont="1" applyFill="1" applyBorder="1" applyAlignment="1">
      <alignment horizontal="center" vertical="center"/>
    </xf>
    <xf numFmtId="0" fontId="6" fillId="3" borderId="67" xfId="0" applyFont="1" applyFill="1" applyBorder="1" applyAlignment="1">
      <alignment horizontal="center" vertical="center"/>
    </xf>
    <xf numFmtId="167" fontId="6" fillId="3" borderId="67" xfId="0" applyNumberFormat="1" applyFont="1" applyFill="1" applyBorder="1" applyAlignment="1">
      <alignment horizontal="center" vertical="center"/>
    </xf>
    <xf numFmtId="2" fontId="6" fillId="0" borderId="67" xfId="0" applyNumberFormat="1" applyFont="1" applyBorder="1" applyAlignment="1">
      <alignment horizontal="center" vertical="center"/>
    </xf>
    <xf numFmtId="2" fontId="6" fillId="7" borderId="67" xfId="0" applyNumberFormat="1" applyFont="1" applyFill="1" applyBorder="1" applyAlignment="1">
      <alignment horizontal="center" vertical="center"/>
    </xf>
    <xf numFmtId="0" fontId="6" fillId="5" borderId="67" xfId="0" applyFont="1" applyFill="1" applyBorder="1" applyAlignment="1">
      <alignment horizontal="center" vertical="center" wrapText="1"/>
    </xf>
    <xf numFmtId="0" fontId="6" fillId="26" borderId="67" xfId="0" applyFont="1" applyFill="1" applyBorder="1" applyAlignment="1">
      <alignment horizontal="center" vertical="center"/>
    </xf>
    <xf numFmtId="0" fontId="1" fillId="26" borderId="67" xfId="0" applyFont="1" applyFill="1" applyBorder="1" applyAlignment="1">
      <alignment horizontal="center" vertical="center"/>
    </xf>
    <xf numFmtId="167" fontId="1" fillId="26" borderId="67" xfId="0" applyNumberFormat="1" applyFont="1" applyFill="1" applyBorder="1" applyAlignment="1">
      <alignment horizontal="center" vertical="center"/>
    </xf>
    <xf numFmtId="167" fontId="6" fillId="26" borderId="67" xfId="0" applyNumberFormat="1" applyFont="1" applyFill="1" applyBorder="1" applyAlignment="1">
      <alignment horizontal="center" vertical="center"/>
    </xf>
    <xf numFmtId="0" fontId="8" fillId="0" borderId="67" xfId="5" applyBorder="1" applyAlignment="1">
      <alignment horizontal="center" vertical="center"/>
    </xf>
    <xf numFmtId="0" fontId="29" fillId="8" borderId="20" xfId="0" applyFont="1" applyFill="1" applyBorder="1" applyAlignment="1">
      <alignment horizontal="center" vertical="center" wrapText="1"/>
    </xf>
    <xf numFmtId="0" fontId="11" fillId="0" borderId="0" xfId="0" quotePrefix="1" applyFont="1"/>
    <xf numFmtId="9" fontId="6" fillId="0" borderId="25" xfId="2" applyFont="1" applyFill="1" applyBorder="1" applyAlignment="1">
      <alignment horizontal="center" vertical="center"/>
    </xf>
    <xf numFmtId="0" fontId="6" fillId="0" borderId="0" xfId="0" applyFont="1" applyAlignment="1">
      <alignment horizontal="center" vertical="center"/>
    </xf>
    <xf numFmtId="0" fontId="22" fillId="6" borderId="2" xfId="0" applyFont="1" applyFill="1" applyBorder="1" applyAlignment="1">
      <alignment horizontal="center" vertical="center"/>
    </xf>
    <xf numFmtId="0" fontId="20" fillId="0" borderId="0" xfId="0" applyFont="1" applyAlignment="1">
      <alignment horizontal="left" vertical="center" wrapText="1"/>
    </xf>
    <xf numFmtId="0" fontId="6" fillId="0" borderId="0" xfId="0" applyFont="1" applyAlignment="1">
      <alignment horizontal="left" vertical="center"/>
    </xf>
    <xf numFmtId="0" fontId="47" fillId="0" borderId="0" xfId="5" applyFont="1" applyAlignment="1">
      <alignment horizontal="left"/>
    </xf>
    <xf numFmtId="0" fontId="6" fillId="0" borderId="67" xfId="0" applyFont="1" applyBorder="1" applyAlignment="1">
      <alignment horizontal="center" vertical="center" wrapText="1"/>
    </xf>
    <xf numFmtId="0" fontId="6" fillId="0" borderId="67" xfId="0" applyFont="1" applyBorder="1" applyAlignment="1">
      <alignment horizontal="center" vertical="center"/>
    </xf>
    <xf numFmtId="0" fontId="6" fillId="0" borderId="0" xfId="0" applyFont="1" applyAlignment="1">
      <alignment horizontal="center"/>
    </xf>
    <xf numFmtId="0" fontId="20" fillId="0" borderId="67" xfId="0" applyFont="1" applyBorder="1" applyAlignment="1">
      <alignment horizontal="center" vertical="center"/>
    </xf>
    <xf numFmtId="0" fontId="7" fillId="6" borderId="67" xfId="0" applyFont="1" applyFill="1" applyBorder="1" applyAlignment="1">
      <alignment horizontal="center" vertical="center" wrapText="1"/>
    </xf>
    <xf numFmtId="0" fontId="6" fillId="0" borderId="12"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73" xfId="0" applyFont="1" applyBorder="1" applyAlignment="1">
      <alignment horizontal="center" vertical="center" wrapText="1"/>
    </xf>
    <xf numFmtId="0" fontId="20" fillId="0" borderId="134" xfId="0" applyFont="1" applyBorder="1" applyAlignment="1">
      <alignment horizontal="center" vertical="center" wrapText="1"/>
    </xf>
    <xf numFmtId="0" fontId="22" fillId="9" borderId="12"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12" xfId="0" applyFont="1" applyFill="1" applyBorder="1" applyAlignment="1">
      <alignment horizontal="center" vertical="center"/>
    </xf>
    <xf numFmtId="0" fontId="22" fillId="6" borderId="2" xfId="0" applyFont="1" applyFill="1" applyBorder="1" applyAlignment="1">
      <alignment horizontal="center" vertical="center" wrapText="1"/>
    </xf>
    <xf numFmtId="0" fontId="21" fillId="0" borderId="2" xfId="0" applyFont="1" applyBorder="1" applyAlignment="1">
      <alignment horizontal="center" vertical="center"/>
    </xf>
    <xf numFmtId="0" fontId="21" fillId="0" borderId="32" xfId="0" applyFont="1" applyBorder="1" applyAlignment="1">
      <alignment horizontal="center" vertical="center"/>
    </xf>
    <xf numFmtId="0" fontId="33" fillId="0" borderId="49" xfId="0" applyFont="1" applyBorder="1" applyAlignment="1">
      <alignment horizontal="center" vertical="center"/>
    </xf>
    <xf numFmtId="0" fontId="33" fillId="0" borderId="39" xfId="0" applyFont="1" applyBorder="1" applyAlignment="1">
      <alignment horizontal="center" vertical="center"/>
    </xf>
    <xf numFmtId="0" fontId="21" fillId="0" borderId="89" xfId="0" applyFont="1" applyBorder="1" applyAlignment="1">
      <alignment horizontal="center" vertical="center"/>
    </xf>
    <xf numFmtId="0" fontId="7" fillId="0" borderId="0" xfId="0" applyFont="1" applyAlignment="1">
      <alignment horizontal="left" vertical="center"/>
    </xf>
    <xf numFmtId="0" fontId="18" fillId="6" borderId="2" xfId="0" applyFont="1" applyFill="1" applyBorder="1" applyAlignment="1">
      <alignment horizontal="center" vertical="center" wrapText="1"/>
    </xf>
    <xf numFmtId="0" fontId="33" fillId="0" borderId="155" xfId="0" applyFont="1" applyBorder="1" applyAlignment="1">
      <alignment horizontal="center" vertical="center"/>
    </xf>
    <xf numFmtId="0" fontId="33" fillId="0" borderId="18" xfId="0" applyFont="1" applyBorder="1" applyAlignment="1">
      <alignment horizontal="center" vertical="center"/>
    </xf>
    <xf numFmtId="0" fontId="33" fillId="0" borderId="124" xfId="0" applyFont="1" applyBorder="1" applyAlignment="1">
      <alignment horizontal="center" vertical="center"/>
    </xf>
    <xf numFmtId="0" fontId="33" fillId="0" borderId="2" xfId="0" applyFont="1" applyBorder="1" applyAlignment="1">
      <alignment horizontal="center" vertical="center"/>
    </xf>
    <xf numFmtId="0" fontId="33" fillId="0" borderId="179" xfId="0" applyFont="1" applyBorder="1" applyAlignment="1">
      <alignment horizontal="center" vertical="center"/>
    </xf>
    <xf numFmtId="0" fontId="33" fillId="0" borderId="177" xfId="0" applyFont="1" applyBorder="1" applyAlignment="1">
      <alignment horizontal="center" vertical="center"/>
    </xf>
    <xf numFmtId="0" fontId="6" fillId="0" borderId="2" xfId="0" applyFont="1" applyBorder="1" applyAlignment="1">
      <alignment horizontal="center" vertical="center"/>
    </xf>
    <xf numFmtId="0" fontId="20" fillId="0" borderId="0" xfId="0" applyFont="1" applyAlignment="1">
      <alignment vertical="center" wrapText="1"/>
    </xf>
    <xf numFmtId="0" fontId="20" fillId="0" borderId="0" xfId="0" applyFont="1" applyAlignment="1">
      <alignment horizontal="left" vertical="center"/>
    </xf>
    <xf numFmtId="0" fontId="20" fillId="0" borderId="27" xfId="0" applyFont="1" applyBorder="1" applyAlignment="1">
      <alignment horizontal="left" vertical="center" wrapText="1"/>
    </xf>
    <xf numFmtId="3" fontId="37" fillId="0" borderId="2" xfId="0" applyNumberFormat="1" applyFont="1" applyBorder="1" applyAlignment="1">
      <alignment horizontal="center" vertical="center" wrapText="1"/>
    </xf>
    <xf numFmtId="0" fontId="37" fillId="0" borderId="2" xfId="0" applyFont="1" applyBorder="1" applyAlignment="1">
      <alignment horizontal="center" vertical="center" wrapText="1"/>
    </xf>
    <xf numFmtId="0" fontId="22" fillId="6" borderId="233" xfId="0" applyFont="1" applyFill="1" applyBorder="1" applyAlignment="1">
      <alignment horizontal="center" vertical="center" wrapText="1"/>
    </xf>
    <xf numFmtId="0" fontId="22" fillId="20" borderId="2" xfId="0" applyFont="1" applyFill="1" applyBorder="1" applyAlignment="1">
      <alignment vertical="center"/>
    </xf>
    <xf numFmtId="0" fontId="22" fillId="20" borderId="2" xfId="0" applyFont="1" applyFill="1" applyBorder="1" applyAlignment="1">
      <alignment horizontal="center" vertical="center"/>
    </xf>
    <xf numFmtId="0" fontId="20" fillId="22" borderId="2" xfId="0" applyFont="1" applyFill="1" applyBorder="1" applyAlignment="1">
      <alignment horizontal="center" vertical="center"/>
    </xf>
    <xf numFmtId="0" fontId="20" fillId="0" borderId="12" xfId="0" applyFont="1" applyBorder="1" applyAlignment="1">
      <alignment horizontal="center" vertical="center"/>
    </xf>
    <xf numFmtId="0" fontId="20" fillId="0" borderId="0" xfId="0" applyFont="1" applyAlignment="1">
      <alignment horizontal="center" vertical="top" wrapText="1"/>
    </xf>
    <xf numFmtId="0" fontId="22" fillId="6" borderId="67" xfId="0" applyFont="1" applyFill="1" applyBorder="1" applyAlignment="1">
      <alignment horizontal="center" vertical="center" wrapText="1"/>
    </xf>
    <xf numFmtId="0" fontId="20" fillId="0" borderId="59" xfId="0" applyFont="1" applyBorder="1" applyAlignment="1">
      <alignment horizontal="center" vertical="center" wrapText="1"/>
    </xf>
    <xf numFmtId="0" fontId="20" fillId="0" borderId="63" xfId="0" applyFont="1" applyBorder="1" applyAlignment="1">
      <alignment horizontal="center" vertical="center" wrapText="1"/>
    </xf>
    <xf numFmtId="0" fontId="20" fillId="11" borderId="14" xfId="0" applyFont="1" applyFill="1" applyBorder="1" applyAlignment="1">
      <alignment vertical="center"/>
    </xf>
    <xf numFmtId="0" fontId="20" fillId="11" borderId="0" xfId="0" applyFont="1" applyFill="1" applyAlignment="1">
      <alignment vertical="center"/>
    </xf>
    <xf numFmtId="0" fontId="20" fillId="11" borderId="15" xfId="0" applyFont="1" applyFill="1" applyBorder="1" applyAlignment="1">
      <alignment vertical="center"/>
    </xf>
    <xf numFmtId="0" fontId="20" fillId="11" borderId="20" xfId="0" applyFont="1" applyFill="1" applyBorder="1" applyAlignment="1">
      <alignment vertical="center"/>
    </xf>
    <xf numFmtId="0" fontId="20" fillId="11" borderId="21" xfId="0" applyFont="1" applyFill="1" applyBorder="1" applyAlignment="1">
      <alignment vertical="center"/>
    </xf>
    <xf numFmtId="0" fontId="20" fillId="0" borderId="0" xfId="0" applyFont="1" applyAlignment="1">
      <alignment horizontal="center" vertical="center" wrapText="1"/>
    </xf>
    <xf numFmtId="0" fontId="20" fillId="0" borderId="0" xfId="0" applyFont="1" applyAlignment="1">
      <alignment horizontal="center" vertical="center"/>
    </xf>
    <xf numFmtId="0" fontId="20" fillId="0" borderId="73" xfId="0" applyFont="1" applyBorder="1" applyAlignment="1">
      <alignment horizontal="center" vertical="center"/>
    </xf>
    <xf numFmtId="0" fontId="20" fillId="0" borderId="2" xfId="0" applyFont="1" applyBorder="1" applyAlignment="1">
      <alignment horizontal="left" vertical="center"/>
    </xf>
    <xf numFmtId="0" fontId="20" fillId="0" borderId="42" xfId="0" applyFont="1" applyBorder="1" applyAlignment="1">
      <alignment horizontal="center" vertical="center"/>
    </xf>
    <xf numFmtId="0" fontId="20" fillId="0" borderId="231" xfId="0" applyFont="1" applyBorder="1" applyAlignment="1">
      <alignment horizontal="center" vertical="center"/>
    </xf>
    <xf numFmtId="0" fontId="13" fillId="0" borderId="12" xfId="0" applyFont="1" applyBorder="1" applyAlignment="1">
      <alignment vertical="center" wrapText="1"/>
    </xf>
    <xf numFmtId="0" fontId="13" fillId="0" borderId="2" xfId="0" applyFont="1" applyBorder="1" applyAlignment="1">
      <alignment vertical="center" wrapText="1"/>
    </xf>
    <xf numFmtId="0" fontId="22" fillId="9" borderId="73" xfId="0" applyFont="1" applyFill="1" applyBorder="1" applyAlignment="1">
      <alignment horizontal="center" vertical="center" wrapText="1"/>
    </xf>
    <xf numFmtId="43" fontId="22" fillId="0" borderId="2" xfId="6" applyFont="1" applyBorder="1" applyAlignment="1">
      <alignment horizontal="center" vertical="center"/>
    </xf>
    <xf numFmtId="1" fontId="22" fillId="0" borderId="2" xfId="0" applyNumberFormat="1" applyFont="1" applyBorder="1" applyAlignment="1">
      <alignment horizontal="center" vertical="center" wrapText="1"/>
    </xf>
    <xf numFmtId="2" fontId="22" fillId="0" borderId="2" xfId="0" applyNumberFormat="1" applyFont="1" applyBorder="1" applyAlignment="1">
      <alignment horizontal="center" vertical="center" wrapText="1"/>
    </xf>
    <xf numFmtId="0" fontId="20" fillId="0" borderId="0" xfId="13" applyFont="1" applyAlignment="1">
      <alignment vertical="center" wrapText="1"/>
    </xf>
    <xf numFmtId="165" fontId="20" fillId="0" borderId="0" xfId="13" applyNumberFormat="1" applyFont="1" applyAlignment="1">
      <alignment horizontal="left" vertical="center" wrapText="1"/>
    </xf>
    <xf numFmtId="0" fontId="20" fillId="0" borderId="0" xfId="13" applyFont="1" applyAlignment="1">
      <alignment vertical="center"/>
    </xf>
    <xf numFmtId="167" fontId="20" fillId="0" borderId="0" xfId="13" applyNumberFormat="1" applyFont="1" applyAlignment="1">
      <alignment horizontal="left" vertical="center" wrapText="1"/>
    </xf>
    <xf numFmtId="0" fontId="20" fillId="0" borderId="0" xfId="13" applyFont="1" applyAlignment="1">
      <alignment horizontal="left" vertical="center" wrapText="1"/>
    </xf>
    <xf numFmtId="172" fontId="20" fillId="0" borderId="0" xfId="13" applyNumberFormat="1" applyFont="1" applyAlignment="1">
      <alignment horizontal="left" vertical="center" wrapText="1"/>
    </xf>
    <xf numFmtId="0" fontId="22" fillId="14" borderId="46" xfId="13" applyFont="1" applyFill="1" applyBorder="1" applyAlignment="1">
      <alignment horizontal="center" vertical="center" wrapText="1"/>
    </xf>
    <xf numFmtId="0" fontId="22" fillId="14" borderId="12" xfId="13" applyFont="1" applyFill="1" applyBorder="1" applyAlignment="1">
      <alignment vertical="center" wrapText="1"/>
    </xf>
    <xf numFmtId="0" fontId="22" fillId="5" borderId="136" xfId="13" applyFont="1" applyFill="1" applyBorder="1" applyAlignment="1">
      <alignment vertical="center" wrapText="1"/>
    </xf>
    <xf numFmtId="0" fontId="22" fillId="18" borderId="14" xfId="13" applyFont="1" applyFill="1" applyBorder="1" applyAlignment="1">
      <alignment vertical="center" wrapText="1"/>
    </xf>
    <xf numFmtId="0" fontId="28" fillId="7" borderId="14" xfId="13" applyFont="1" applyFill="1" applyBorder="1" applyAlignment="1">
      <alignment horizontal="left" vertical="center"/>
    </xf>
    <xf numFmtId="0" fontId="28" fillId="7" borderId="0" xfId="13" applyFont="1" applyFill="1" applyAlignment="1">
      <alignment horizontal="left" vertical="center"/>
    </xf>
    <xf numFmtId="2" fontId="13" fillId="0" borderId="27" xfId="0" applyNumberFormat="1" applyFont="1" applyBorder="1" applyAlignment="1">
      <alignment horizontal="center" vertical="center" wrapText="1"/>
    </xf>
    <xf numFmtId="0" fontId="13" fillId="0" borderId="27" xfId="0" applyFont="1" applyBorder="1" applyAlignment="1">
      <alignment horizontal="center" vertical="center" wrapText="1"/>
    </xf>
    <xf numFmtId="0" fontId="33" fillId="0" borderId="27" xfId="0" applyFont="1" applyBorder="1" applyAlignment="1">
      <alignment horizontal="center" vertical="center"/>
    </xf>
    <xf numFmtId="0" fontId="33" fillId="0" borderId="99" xfId="0" applyFont="1" applyBorder="1" applyAlignment="1">
      <alignment horizontal="center" vertical="center"/>
    </xf>
    <xf numFmtId="0" fontId="33" fillId="0" borderId="178" xfId="0" applyFont="1" applyBorder="1" applyAlignment="1">
      <alignment horizontal="center" vertical="center"/>
    </xf>
    <xf numFmtId="0" fontId="33" fillId="0" borderId="183" xfId="0" applyFont="1" applyBorder="1" applyAlignment="1">
      <alignment horizontal="center" vertical="center"/>
    </xf>
    <xf numFmtId="0" fontId="33" fillId="0" borderId="184" xfId="0" applyFont="1" applyBorder="1" applyAlignment="1">
      <alignment horizontal="center" vertical="center"/>
    </xf>
    <xf numFmtId="0" fontId="33" fillId="0" borderId="185" xfId="0" applyFont="1" applyBorder="1" applyAlignment="1">
      <alignment horizontal="center" vertical="center"/>
    </xf>
    <xf numFmtId="0" fontId="33" fillId="0" borderId="186" xfId="0" applyFont="1" applyBorder="1" applyAlignment="1">
      <alignment horizontal="center" vertical="center"/>
    </xf>
    <xf numFmtId="0" fontId="33" fillId="0" borderId="29" xfId="0" applyFont="1" applyBorder="1" applyAlignment="1">
      <alignment horizontal="center" vertical="center"/>
    </xf>
    <xf numFmtId="0" fontId="33" fillId="0" borderId="218" xfId="0" applyFont="1" applyBorder="1" applyAlignment="1">
      <alignment horizontal="center" vertical="center"/>
    </xf>
    <xf numFmtId="0" fontId="33" fillId="0" borderId="73" xfId="0" applyFont="1" applyBorder="1" applyAlignment="1">
      <alignment horizontal="center" vertical="center"/>
    </xf>
    <xf numFmtId="0" fontId="33" fillId="0" borderId="219" xfId="0" applyFont="1" applyBorder="1" applyAlignment="1">
      <alignment horizontal="center" vertical="center"/>
    </xf>
    <xf numFmtId="0" fontId="33" fillId="0" borderId="188" xfId="0" applyFont="1" applyBorder="1" applyAlignment="1">
      <alignment horizontal="center" vertical="center"/>
    </xf>
    <xf numFmtId="0" fontId="33" fillId="0" borderId="30" xfId="0" applyFont="1" applyBorder="1" applyAlignment="1">
      <alignment horizontal="center" vertical="center"/>
    </xf>
    <xf numFmtId="0" fontId="33" fillId="0" borderId="31" xfId="0" applyFont="1" applyBorder="1" applyAlignment="1">
      <alignment horizontal="center" vertical="center"/>
    </xf>
    <xf numFmtId="165" fontId="20" fillId="0" borderId="2" xfId="0" applyNumberFormat="1" applyFont="1" applyBorder="1" applyAlignment="1">
      <alignment horizontal="center" vertical="center"/>
    </xf>
    <xf numFmtId="170" fontId="20" fillId="0" borderId="2" xfId="0" applyNumberFormat="1" applyFont="1" applyBorder="1" applyAlignment="1">
      <alignment horizontal="center" vertical="center"/>
    </xf>
    <xf numFmtId="0" fontId="20" fillId="0" borderId="0" xfId="0" applyFont="1" applyAlignment="1">
      <alignment horizontal="left"/>
    </xf>
    <xf numFmtId="0" fontId="33" fillId="0" borderId="159" xfId="0" applyFont="1" applyBorder="1" applyAlignment="1">
      <alignment horizontal="center" vertical="center" wrapText="1"/>
    </xf>
    <xf numFmtId="0" fontId="20" fillId="5" borderId="27" xfId="0" applyFont="1" applyFill="1" applyBorder="1" applyAlignment="1">
      <alignment horizontal="center" vertical="center"/>
    </xf>
    <xf numFmtId="0" fontId="20" fillId="0" borderId="0" xfId="0" applyFont="1" applyAlignment="1">
      <alignment horizontal="left" vertical="center" wrapText="1"/>
    </xf>
    <xf numFmtId="0" fontId="20" fillId="0" borderId="0" xfId="0" applyFont="1" applyAlignment="1">
      <alignment horizontal="left" vertical="center"/>
    </xf>
    <xf numFmtId="0" fontId="12" fillId="8"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left" vertical="center" wrapText="1"/>
    </xf>
    <xf numFmtId="0" fontId="47" fillId="0" borderId="0" xfId="5" applyFont="1" applyAlignment="1">
      <alignment horizontal="left"/>
    </xf>
    <xf numFmtId="0" fontId="20" fillId="0" borderId="0" xfId="0" applyFont="1" applyAlignment="1">
      <alignment vertical="center" wrapText="1"/>
    </xf>
    <xf numFmtId="0" fontId="20" fillId="0" borderId="0" xfId="0" applyFont="1" applyAlignment="1">
      <alignment horizontal="left" wrapText="1"/>
    </xf>
    <xf numFmtId="0" fontId="17" fillId="0" borderId="0" xfId="0" applyFont="1" applyAlignment="1">
      <alignment horizontal="left" vertical="center"/>
    </xf>
    <xf numFmtId="0" fontId="12" fillId="8" borderId="2" xfId="1" applyFont="1" applyFill="1" applyBorder="1" applyAlignment="1">
      <alignment horizontal="center" vertical="center" wrapText="1"/>
    </xf>
    <xf numFmtId="0" fontId="50" fillId="0" borderId="237" xfId="0" applyFont="1" applyBorder="1" applyAlignment="1">
      <alignment horizontal="center" vertical="center" wrapText="1"/>
    </xf>
    <xf numFmtId="0" fontId="50" fillId="0" borderId="16" xfId="0" applyFont="1" applyBorder="1" applyAlignment="1">
      <alignment horizontal="center" vertical="center" wrapText="1"/>
    </xf>
    <xf numFmtId="0" fontId="50" fillId="0" borderId="18" xfId="0" applyFont="1" applyBorder="1" applyAlignment="1">
      <alignment horizontal="center" vertical="center" wrapText="1"/>
    </xf>
    <xf numFmtId="0" fontId="43" fillId="23" borderId="2" xfId="0" applyFont="1" applyFill="1" applyBorder="1" applyAlignment="1">
      <alignment horizontal="center" vertical="center"/>
    </xf>
    <xf numFmtId="0" fontId="20" fillId="0" borderId="67" xfId="0" applyFont="1" applyBorder="1" applyAlignment="1">
      <alignment horizontal="center" vertical="center"/>
    </xf>
    <xf numFmtId="0" fontId="7" fillId="6" borderId="67" xfId="0" applyFont="1" applyFill="1" applyBorder="1" applyAlignment="1">
      <alignment horizontal="center" vertical="center" wrapText="1"/>
    </xf>
    <xf numFmtId="0" fontId="6" fillId="0" borderId="67" xfId="0" applyFont="1" applyBorder="1" applyAlignment="1">
      <alignment horizontal="center" vertical="center" wrapText="1"/>
    </xf>
    <xf numFmtId="0" fontId="6" fillId="0" borderId="67" xfId="0" applyFont="1" applyBorder="1" applyAlignment="1">
      <alignment horizontal="center" vertical="center"/>
    </xf>
    <xf numFmtId="0" fontId="1" fillId="0" borderId="67" xfId="0" applyFont="1" applyBorder="1" applyAlignment="1">
      <alignment horizontal="center" vertical="center" wrapText="1"/>
    </xf>
    <xf numFmtId="0" fontId="6" fillId="0" borderId="0" xfId="0" applyFont="1" applyAlignment="1">
      <alignment horizontal="center"/>
    </xf>
    <xf numFmtId="0" fontId="12" fillId="8" borderId="12" xfId="0" applyFont="1" applyFill="1" applyBorder="1" applyAlignment="1">
      <alignment horizontal="center" vertical="center" wrapText="1"/>
    </xf>
    <xf numFmtId="0" fontId="20" fillId="0" borderId="14" xfId="0" applyFont="1" applyBorder="1" applyAlignment="1">
      <alignment horizontal="left" vertical="center" wrapText="1"/>
    </xf>
    <xf numFmtId="0" fontId="29" fillId="10" borderId="2" xfId="0" applyFont="1" applyFill="1" applyBorder="1" applyAlignment="1">
      <alignment horizontal="center" vertical="center"/>
    </xf>
    <xf numFmtId="0" fontId="29" fillId="10" borderId="232" xfId="0" applyFont="1" applyFill="1" applyBorder="1" applyAlignment="1">
      <alignment horizontal="center" vertical="center"/>
    </xf>
    <xf numFmtId="0" fontId="29" fillId="10" borderId="38" xfId="0" applyFont="1" applyFill="1" applyBorder="1" applyAlignment="1">
      <alignment horizontal="center" vertical="center"/>
    </xf>
    <xf numFmtId="0" fontId="20" fillId="0" borderId="142" xfId="0" applyFont="1" applyBorder="1" applyAlignment="1">
      <alignment horizontal="center" vertical="center" wrapText="1"/>
    </xf>
    <xf numFmtId="0" fontId="20" fillId="0" borderId="43" xfId="0" applyFont="1" applyBorder="1" applyAlignment="1">
      <alignment horizontal="center" vertical="center" wrapText="1"/>
    </xf>
    <xf numFmtId="0" fontId="20" fillId="0" borderId="143" xfId="0" applyFont="1" applyBorder="1" applyAlignment="1">
      <alignment horizontal="center" vertical="center" wrapText="1"/>
    </xf>
    <xf numFmtId="0" fontId="20" fillId="0" borderId="56" xfId="0" applyFont="1" applyBorder="1" applyAlignment="1">
      <alignment horizontal="center" vertical="center" wrapText="1"/>
    </xf>
    <xf numFmtId="0" fontId="20" fillId="0" borderId="57" xfId="0" applyFont="1" applyBorder="1" applyAlignment="1">
      <alignment horizontal="center" vertical="center" wrapText="1"/>
    </xf>
    <xf numFmtId="0" fontId="20" fillId="0" borderId="58" xfId="0" applyFont="1" applyBorder="1" applyAlignment="1">
      <alignment horizontal="center" vertical="center" wrapText="1"/>
    </xf>
    <xf numFmtId="0" fontId="51" fillId="8" borderId="136" xfId="0" applyFont="1" applyFill="1" applyBorder="1" applyAlignment="1">
      <alignment horizontal="center" vertical="center" wrapText="1"/>
    </xf>
    <xf numFmtId="0" fontId="51" fillId="8" borderId="137" xfId="0" applyFont="1" applyFill="1" applyBorder="1" applyAlignment="1">
      <alignment horizontal="center" vertical="center" wrapText="1"/>
    </xf>
    <xf numFmtId="0" fontId="51" fillId="8" borderId="83" xfId="0" applyFont="1" applyFill="1" applyBorder="1" applyAlignment="1">
      <alignment horizontal="center" vertical="center" wrapText="1"/>
    </xf>
    <xf numFmtId="0" fontId="12" fillId="8" borderId="36" xfId="0" applyFont="1" applyFill="1" applyBorder="1" applyAlignment="1">
      <alignment horizontal="center" vertical="center" wrapText="1"/>
    </xf>
    <xf numFmtId="0" fontId="12" fillId="8" borderId="37" xfId="0" applyFont="1" applyFill="1" applyBorder="1" applyAlignment="1">
      <alignment horizontal="center" vertical="center" wrapText="1"/>
    </xf>
    <xf numFmtId="0" fontId="12" fillId="8" borderId="38" xfId="0" applyFont="1" applyFill="1" applyBorder="1" applyAlignment="1">
      <alignment horizontal="center" vertical="center" wrapText="1"/>
    </xf>
    <xf numFmtId="0" fontId="6" fillId="0" borderId="26" xfId="0" applyFont="1" applyBorder="1" applyAlignment="1">
      <alignment horizontal="center" vertical="center" wrapText="1"/>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6" fillId="0" borderId="35" xfId="0" applyFont="1" applyBorder="1" applyAlignment="1">
      <alignment horizontal="center" vertical="center"/>
    </xf>
    <xf numFmtId="0" fontId="6" fillId="0" borderId="41" xfId="0" applyFont="1" applyBorder="1" applyAlignment="1">
      <alignment horizontal="center" vertical="center"/>
    </xf>
    <xf numFmtId="0" fontId="6" fillId="0" borderId="43" xfId="0" applyFont="1" applyBorder="1" applyAlignment="1">
      <alignment horizontal="center" vertical="center"/>
    </xf>
    <xf numFmtId="0" fontId="6" fillId="0" borderId="44" xfId="0" applyFont="1" applyBorder="1" applyAlignment="1">
      <alignment horizontal="center" vertical="center"/>
    </xf>
    <xf numFmtId="0" fontId="20" fillId="0" borderId="35" xfId="0" applyFont="1" applyBorder="1" applyAlignment="1">
      <alignment horizontal="center" vertical="center" wrapText="1"/>
    </xf>
    <xf numFmtId="0" fontId="20" fillId="0" borderId="24" xfId="0" applyFont="1" applyBorder="1" applyAlignment="1">
      <alignment horizontal="center" vertical="center"/>
    </xf>
    <xf numFmtId="0" fontId="20" fillId="0" borderId="25" xfId="0" applyFont="1" applyBorder="1" applyAlignment="1">
      <alignment horizontal="center" vertical="center"/>
    </xf>
    <xf numFmtId="0" fontId="6" fillId="0" borderId="12" xfId="0" applyFont="1" applyBorder="1" applyAlignment="1">
      <alignment horizontal="center" vertical="center"/>
    </xf>
    <xf numFmtId="0" fontId="6" fillId="0" borderId="18" xfId="0" applyFont="1" applyBorder="1" applyAlignment="1">
      <alignment horizontal="center" vertical="center"/>
    </xf>
    <xf numFmtId="0" fontId="6" fillId="0" borderId="12"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35" xfId="0" applyFont="1" applyBorder="1" applyAlignment="1">
      <alignment horizontal="center" vertical="center" wrapText="1"/>
    </xf>
    <xf numFmtId="0" fontId="20" fillId="0" borderId="0" xfId="0" applyFont="1"/>
    <xf numFmtId="0" fontId="20" fillId="0" borderId="22" xfId="0" applyFont="1" applyBorder="1" applyAlignment="1">
      <alignment horizontal="left" vertical="top" wrapText="1"/>
    </xf>
    <xf numFmtId="0" fontId="20" fillId="0" borderId="0" xfId="0" applyFont="1" applyAlignment="1">
      <alignment horizontal="left" vertical="top" wrapText="1"/>
    </xf>
    <xf numFmtId="0" fontId="13" fillId="0" borderId="147" xfId="0" applyFont="1" applyBorder="1" applyAlignment="1">
      <alignment horizontal="center" vertical="center" wrapText="1"/>
    </xf>
    <xf numFmtId="0" fontId="13" fillId="0" borderId="148" xfId="0" applyFont="1" applyBorder="1" applyAlignment="1">
      <alignment horizontal="center" vertical="center" wrapText="1"/>
    </xf>
    <xf numFmtId="0" fontId="13" fillId="0" borderId="149" xfId="0" applyFont="1" applyBorder="1" applyAlignment="1">
      <alignment horizontal="center" vertical="center" wrapText="1"/>
    </xf>
    <xf numFmtId="0" fontId="12" fillId="8" borderId="19" xfId="0" applyFont="1" applyFill="1" applyBorder="1" applyAlignment="1">
      <alignment horizontal="center" vertical="center" wrapText="1"/>
    </xf>
    <xf numFmtId="0" fontId="12" fillId="8" borderId="20" xfId="0" applyFont="1" applyFill="1" applyBorder="1" applyAlignment="1">
      <alignment horizontal="center" vertical="center" wrapText="1"/>
    </xf>
    <xf numFmtId="0" fontId="13" fillId="0" borderId="12"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227" xfId="0" applyFont="1" applyBorder="1" applyAlignment="1">
      <alignment horizontal="center" vertical="center" wrapText="1"/>
    </xf>
    <xf numFmtId="0" fontId="20" fillId="0" borderId="73" xfId="0" applyFont="1" applyBorder="1" applyAlignment="1">
      <alignment horizontal="center" vertical="center"/>
    </xf>
    <xf numFmtId="0" fontId="20" fillId="0" borderId="141" xfId="0" applyFont="1" applyBorder="1" applyAlignment="1">
      <alignment horizontal="center" vertical="center"/>
    </xf>
    <xf numFmtId="0" fontId="20" fillId="0" borderId="28" xfId="0" applyFont="1" applyBorder="1" applyAlignment="1">
      <alignment horizontal="center" vertical="center"/>
    </xf>
    <xf numFmtId="0" fontId="13" fillId="0" borderId="73" xfId="0" applyFont="1" applyBorder="1" applyAlignment="1">
      <alignment horizontal="center" vertical="center" wrapText="1"/>
    </xf>
    <xf numFmtId="0" fontId="13" fillId="0" borderId="141" xfId="0" applyFont="1" applyBorder="1" applyAlignment="1">
      <alignment horizontal="center" vertical="center" wrapText="1"/>
    </xf>
    <xf numFmtId="0" fontId="13" fillId="0" borderId="150" xfId="0" applyFont="1" applyBorder="1" applyAlignment="1">
      <alignment horizontal="center" vertical="center" wrapText="1"/>
    </xf>
    <xf numFmtId="0" fontId="13" fillId="0" borderId="2" xfId="0" applyFont="1" applyBorder="1" applyAlignment="1">
      <alignment horizontal="center" vertical="center" wrapText="1"/>
    </xf>
    <xf numFmtId="0" fontId="20" fillId="0" borderId="3" xfId="0" applyFont="1" applyBorder="1" applyAlignment="1">
      <alignment horizontal="left" vertical="center"/>
    </xf>
    <xf numFmtId="0" fontId="20" fillId="0" borderId="10" xfId="0" applyFont="1" applyBorder="1" applyAlignment="1">
      <alignment horizontal="left" vertical="center"/>
    </xf>
    <xf numFmtId="0" fontId="20" fillId="0" borderId="11" xfId="0" applyFont="1" applyBorder="1" applyAlignment="1">
      <alignment horizontal="left" vertical="center"/>
    </xf>
    <xf numFmtId="0" fontId="20" fillId="0" borderId="141" xfId="0" applyFont="1" applyBorder="1" applyAlignment="1">
      <alignment horizontal="center" vertical="center" wrapText="1"/>
    </xf>
    <xf numFmtId="0" fontId="20" fillId="0" borderId="150" xfId="0" applyFont="1" applyBorder="1" applyAlignment="1">
      <alignment horizontal="center" vertical="center" wrapText="1"/>
    </xf>
    <xf numFmtId="0" fontId="29" fillId="10" borderId="229" xfId="0" applyFont="1" applyFill="1" applyBorder="1" applyAlignment="1">
      <alignment horizontal="center" vertical="center"/>
    </xf>
    <xf numFmtId="0" fontId="29" fillId="10" borderId="230" xfId="0" applyFont="1" applyFill="1" applyBorder="1" applyAlignment="1">
      <alignment horizontal="center" vertical="center"/>
    </xf>
    <xf numFmtId="0" fontId="13" fillId="0" borderId="18" xfId="0" applyFont="1" applyBorder="1" applyAlignment="1">
      <alignment horizontal="center" vertical="center" wrapText="1"/>
    </xf>
    <xf numFmtId="0" fontId="29" fillId="10" borderId="19" xfId="0" applyFont="1" applyFill="1" applyBorder="1" applyAlignment="1">
      <alignment horizontal="center" vertical="center" wrapText="1"/>
    </xf>
    <xf numFmtId="0" fontId="29" fillId="10" borderId="20" xfId="0" applyFont="1" applyFill="1" applyBorder="1" applyAlignment="1">
      <alignment horizontal="center" vertical="center" wrapText="1"/>
    </xf>
    <xf numFmtId="0" fontId="12" fillId="15" borderId="131" xfId="13" applyFont="1" applyFill="1" applyBorder="1" applyAlignment="1">
      <alignment horizontal="center" vertical="center" wrapText="1"/>
    </xf>
    <xf numFmtId="0" fontId="12" fillId="15" borderId="0" xfId="13" applyFont="1" applyFill="1" applyAlignment="1">
      <alignment horizontal="center" vertical="center" wrapText="1"/>
    </xf>
    <xf numFmtId="0" fontId="22" fillId="14" borderId="2" xfId="13" applyFont="1" applyFill="1" applyBorder="1" applyAlignment="1">
      <alignment horizontal="center" vertical="center" wrapText="1"/>
    </xf>
    <xf numFmtId="0" fontId="20" fillId="0" borderId="73" xfId="0" applyFont="1" applyBorder="1" applyAlignment="1">
      <alignment horizontal="center" vertical="center" wrapText="1"/>
    </xf>
    <xf numFmtId="0" fontId="20" fillId="0" borderId="133" xfId="0" applyFont="1" applyBorder="1" applyAlignment="1">
      <alignment horizontal="center" vertical="center" wrapText="1"/>
    </xf>
    <xf numFmtId="0" fontId="20" fillId="0" borderId="134" xfId="0" applyFont="1" applyBorder="1" applyAlignment="1">
      <alignment horizontal="center" vertical="center" wrapText="1"/>
    </xf>
    <xf numFmtId="0" fontId="12" fillId="8" borderId="135" xfId="0" applyFont="1" applyFill="1" applyBorder="1" applyAlignment="1">
      <alignment horizontal="center" vertical="center" wrapText="1"/>
    </xf>
    <xf numFmtId="0" fontId="12" fillId="8" borderId="129" xfId="0" applyFont="1" applyFill="1" applyBorder="1" applyAlignment="1">
      <alignment horizontal="center" vertical="center" wrapText="1"/>
    </xf>
    <xf numFmtId="0" fontId="12" fillId="8" borderId="0" xfId="0" applyFont="1" applyFill="1" applyAlignment="1">
      <alignment horizontal="center" vertical="center" wrapText="1"/>
    </xf>
    <xf numFmtId="0" fontId="12" fillId="8" borderId="17" xfId="0" applyFont="1" applyFill="1" applyBorder="1" applyAlignment="1">
      <alignment horizontal="center" vertical="center" wrapText="1"/>
    </xf>
    <xf numFmtId="43" fontId="22" fillId="0" borderId="19" xfId="6" applyFont="1" applyBorder="1" applyAlignment="1">
      <alignment horizontal="left" vertical="center"/>
    </xf>
    <xf numFmtId="43" fontId="22" fillId="0" borderId="20" xfId="6" applyFont="1" applyBorder="1" applyAlignment="1">
      <alignment horizontal="left" vertical="center"/>
    </xf>
    <xf numFmtId="43" fontId="22" fillId="0" borderId="21" xfId="6" applyFont="1" applyBorder="1" applyAlignment="1">
      <alignment horizontal="left" vertical="center"/>
    </xf>
    <xf numFmtId="43" fontId="20" fillId="0" borderId="16" xfId="6" applyFont="1" applyBorder="1" applyAlignment="1">
      <alignment horizontal="center" vertical="center" wrapText="1"/>
    </xf>
    <xf numFmtId="43" fontId="20" fillId="0" borderId="18" xfId="6" applyFont="1" applyBorder="1" applyAlignment="1">
      <alignment horizontal="center" vertical="center" wrapText="1"/>
    </xf>
    <xf numFmtId="43" fontId="22" fillId="0" borderId="3" xfId="6" applyFont="1" applyBorder="1" applyAlignment="1">
      <alignment horizontal="left" vertical="center"/>
    </xf>
    <xf numFmtId="43" fontId="22" fillId="0" borderId="10" xfId="6" applyFont="1" applyBorder="1" applyAlignment="1">
      <alignment horizontal="left" vertical="center"/>
    </xf>
    <xf numFmtId="43" fontId="22" fillId="0" borderId="11" xfId="6" applyFont="1" applyBorder="1" applyAlignment="1">
      <alignment horizontal="left" vertical="center"/>
    </xf>
    <xf numFmtId="0" fontId="20" fillId="0" borderId="2" xfId="0" applyFont="1" applyBorder="1" applyAlignment="1">
      <alignment horizontal="center" vertical="center" wrapText="1"/>
    </xf>
    <xf numFmtId="0" fontId="6" fillId="0" borderId="16" xfId="0" applyFont="1" applyBorder="1" applyAlignment="1">
      <alignment horizontal="center" vertical="center" wrapText="1"/>
    </xf>
    <xf numFmtId="0" fontId="22" fillId="9" borderId="12" xfId="0" applyFont="1" applyFill="1" applyBorder="1" applyAlignment="1">
      <alignment horizontal="center" vertical="center" wrapText="1"/>
    </xf>
    <xf numFmtId="0" fontId="22" fillId="9" borderId="1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12" xfId="0" applyFont="1" applyFill="1" applyBorder="1" applyAlignment="1">
      <alignment horizontal="center" vertical="center"/>
    </xf>
    <xf numFmtId="0" fontId="7" fillId="6" borderId="2" xfId="0" applyFont="1" applyFill="1" applyBorder="1" applyAlignment="1">
      <alignment horizontal="center" vertical="center" wrapText="1"/>
    </xf>
    <xf numFmtId="0" fontId="12" fillId="8" borderId="2" xfId="0" applyFont="1" applyFill="1" applyBorder="1" applyAlignment="1">
      <alignment horizontal="center" vertical="center"/>
    </xf>
    <xf numFmtId="0" fontId="22" fillId="6" borderId="2" xfId="0" applyFont="1" applyFill="1" applyBorder="1" applyAlignment="1">
      <alignment horizontal="center" vertical="center" wrapText="1"/>
    </xf>
    <xf numFmtId="0" fontId="12" fillId="8" borderId="145" xfId="0" applyFont="1" applyFill="1" applyBorder="1" applyAlignment="1">
      <alignment horizontal="center" vertical="center"/>
    </xf>
    <xf numFmtId="0" fontId="12" fillId="8" borderId="146" xfId="0" applyFont="1" applyFill="1" applyBorder="1" applyAlignment="1">
      <alignment horizontal="center" vertical="center"/>
    </xf>
    <xf numFmtId="0" fontId="20" fillId="0" borderId="12"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8" xfId="0" applyFont="1" applyBorder="1" applyAlignment="1">
      <alignment horizontal="center" vertical="center" wrapText="1"/>
    </xf>
    <xf numFmtId="0" fontId="39" fillId="13" borderId="0" xfId="0" applyFont="1" applyFill="1" applyAlignment="1">
      <alignment horizontal="center" vertical="center"/>
    </xf>
    <xf numFmtId="0" fontId="13" fillId="0" borderId="0" xfId="0" applyFont="1"/>
    <xf numFmtId="0" fontId="13" fillId="0" borderId="27" xfId="0" applyFont="1" applyBorder="1" applyAlignment="1">
      <alignment horizontal="center" vertical="center" wrapText="1"/>
    </xf>
    <xf numFmtId="0" fontId="38" fillId="13" borderId="129" xfId="0" applyFont="1" applyFill="1" applyBorder="1" applyAlignment="1">
      <alignment horizontal="center" vertical="center"/>
    </xf>
    <xf numFmtId="0" fontId="33" fillId="0" borderId="152" xfId="0" applyFont="1" applyBorder="1" applyAlignment="1">
      <alignment horizontal="center" vertical="center" wrapText="1"/>
    </xf>
    <xf numFmtId="0" fontId="33" fillId="0" borderId="153" xfId="0" applyFont="1" applyBorder="1" applyAlignment="1">
      <alignment horizontal="center" vertical="center" wrapText="1"/>
    </xf>
    <xf numFmtId="0" fontId="33" fillId="0" borderId="199" xfId="0" applyFont="1" applyBorder="1" applyAlignment="1">
      <alignment horizontal="center" vertical="center" wrapText="1"/>
    </xf>
    <xf numFmtId="0" fontId="33" fillId="0" borderId="154" xfId="0" applyFont="1" applyBorder="1" applyAlignment="1">
      <alignment horizontal="center" vertical="center" wrapText="1"/>
    </xf>
    <xf numFmtId="0" fontId="33" fillId="0" borderId="155" xfId="0" applyFont="1" applyBorder="1" applyAlignment="1">
      <alignment horizontal="center" vertical="center" wrapText="1"/>
    </xf>
    <xf numFmtId="0" fontId="33" fillId="0" borderId="200" xfId="0" applyFont="1" applyBorder="1" applyAlignment="1">
      <alignment horizontal="center" vertical="center" wrapText="1"/>
    </xf>
    <xf numFmtId="0" fontId="33" fillId="0" borderId="159" xfId="0" applyFont="1" applyBorder="1" applyAlignment="1">
      <alignment horizontal="center" vertical="center" wrapText="1"/>
    </xf>
    <xf numFmtId="0" fontId="33" fillId="0" borderId="160" xfId="0" applyFont="1" applyBorder="1" applyAlignment="1">
      <alignment horizontal="center" vertical="center" wrapText="1"/>
    </xf>
    <xf numFmtId="0" fontId="33" fillId="0" borderId="206" xfId="0" applyFont="1" applyBorder="1" applyAlignment="1">
      <alignment horizontal="center" vertical="center" wrapText="1"/>
    </xf>
    <xf numFmtId="0" fontId="33" fillId="0" borderId="175" xfId="0" applyFont="1" applyBorder="1" applyAlignment="1">
      <alignment horizontal="center" vertical="center" wrapText="1"/>
    </xf>
    <xf numFmtId="0" fontId="33" fillId="0" borderId="176" xfId="0" applyFont="1" applyBorder="1" applyAlignment="1">
      <alignment horizontal="center" vertical="center" wrapText="1"/>
    </xf>
    <xf numFmtId="0" fontId="33" fillId="0" borderId="177" xfId="0" applyFont="1" applyBorder="1" applyAlignment="1">
      <alignment horizontal="center" vertical="center"/>
    </xf>
    <xf numFmtId="0" fontId="33" fillId="0" borderId="155" xfId="0" applyFont="1" applyBorder="1" applyAlignment="1">
      <alignment horizontal="center" vertical="center"/>
    </xf>
    <xf numFmtId="0" fontId="33" fillId="0" borderId="177" xfId="0" applyFont="1" applyBorder="1" applyAlignment="1">
      <alignment horizontal="center" vertical="center" wrapText="1"/>
    </xf>
    <xf numFmtId="0" fontId="33" fillId="0" borderId="154" xfId="0" applyFont="1" applyBorder="1" applyAlignment="1">
      <alignment horizontal="center" vertical="center"/>
    </xf>
    <xf numFmtId="0" fontId="33" fillId="0" borderId="200" xfId="0" applyFont="1" applyBorder="1" applyAlignment="1">
      <alignment horizontal="center" vertical="center"/>
    </xf>
    <xf numFmtId="0" fontId="33" fillId="0" borderId="220" xfId="0" applyFont="1" applyBorder="1" applyAlignment="1">
      <alignment horizontal="center" vertical="center" wrapText="1"/>
    </xf>
    <xf numFmtId="0" fontId="33" fillId="0" borderId="151" xfId="0" applyFont="1" applyBorder="1" applyAlignment="1">
      <alignment horizontal="center" vertical="center" wrapText="1"/>
    </xf>
    <xf numFmtId="0" fontId="33" fillId="0" borderId="198"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2" xfId="0" applyFont="1" applyBorder="1" applyAlignment="1">
      <alignment horizontal="center" vertical="center" wrapText="1"/>
    </xf>
    <xf numFmtId="0" fontId="33" fillId="0" borderId="32" xfId="0" applyFont="1" applyBorder="1" applyAlignment="1">
      <alignment horizontal="center" vertical="center" wrapText="1"/>
    </xf>
    <xf numFmtId="0" fontId="33" fillId="0" borderId="210" xfId="0" applyFont="1" applyBorder="1" applyAlignment="1">
      <alignment horizontal="center" vertical="center"/>
    </xf>
    <xf numFmtId="0" fontId="33" fillId="0" borderId="211" xfId="0" applyFont="1" applyBorder="1" applyAlignment="1">
      <alignment horizontal="center" vertical="center"/>
    </xf>
    <xf numFmtId="0" fontId="33" fillId="0" borderId="181" xfId="0" applyFont="1" applyBorder="1" applyAlignment="1">
      <alignment horizontal="center" vertical="center" wrapText="1"/>
    </xf>
    <xf numFmtId="0" fontId="33" fillId="0" borderId="141" xfId="0" applyFont="1" applyBorder="1" applyAlignment="1">
      <alignment horizontal="center" vertical="center" wrapText="1"/>
    </xf>
    <xf numFmtId="0" fontId="33" fillId="0" borderId="212" xfId="0" applyFont="1" applyBorder="1" applyAlignment="1">
      <alignment horizontal="center" vertical="center" wrapText="1"/>
    </xf>
    <xf numFmtId="0" fontId="33" fillId="0" borderId="213" xfId="0" applyFont="1" applyBorder="1" applyAlignment="1">
      <alignment horizontal="center" vertical="center" wrapText="1"/>
    </xf>
    <xf numFmtId="0" fontId="22" fillId="9" borderId="151" xfId="0" applyFont="1" applyFill="1" applyBorder="1" applyAlignment="1">
      <alignment horizontal="center" vertical="center"/>
    </xf>
    <xf numFmtId="0" fontId="22" fillId="9" borderId="0" xfId="0" applyFont="1" applyFill="1" applyAlignment="1">
      <alignment horizontal="center" vertical="center"/>
    </xf>
    <xf numFmtId="0" fontId="33" fillId="0" borderId="204" xfId="0" applyFont="1" applyBorder="1" applyAlignment="1">
      <alignment horizontal="center" vertical="center" wrapText="1"/>
    </xf>
    <xf numFmtId="0" fontId="33" fillId="0" borderId="208" xfId="0" applyFont="1" applyBorder="1" applyAlignment="1">
      <alignment horizontal="center" vertical="center" wrapText="1"/>
    </xf>
    <xf numFmtId="0" fontId="33" fillId="0" borderId="179" xfId="0" applyFont="1" applyBorder="1" applyAlignment="1">
      <alignment horizontal="center" vertical="center"/>
    </xf>
    <xf numFmtId="0" fontId="33" fillId="0" borderId="171" xfId="0" applyFont="1" applyBorder="1" applyAlignment="1">
      <alignment horizontal="center" vertical="center" wrapText="1"/>
    </xf>
    <xf numFmtId="0" fontId="33" fillId="0" borderId="179" xfId="0" applyFont="1" applyBorder="1" applyAlignment="1">
      <alignment horizontal="center" vertical="center" wrapText="1"/>
    </xf>
    <xf numFmtId="0" fontId="33" fillId="0" borderId="209" xfId="0" applyFont="1" applyBorder="1" applyAlignment="1">
      <alignment horizontal="center" vertical="center" wrapText="1"/>
    </xf>
    <xf numFmtId="0" fontId="33" fillId="0" borderId="39" xfId="0" applyFont="1" applyBorder="1" applyAlignment="1">
      <alignment horizontal="center" vertical="center"/>
    </xf>
    <xf numFmtId="0" fontId="33" fillId="0" borderId="18" xfId="0" applyFont="1" applyBorder="1" applyAlignment="1">
      <alignment horizontal="center" vertical="center"/>
    </xf>
    <xf numFmtId="0" fontId="33" fillId="0" borderId="40" xfId="0" applyFont="1" applyBorder="1" applyAlignment="1">
      <alignment horizontal="center" vertical="center"/>
    </xf>
    <xf numFmtId="0" fontId="33" fillId="0" borderId="124" xfId="0" applyFont="1" applyBorder="1" applyAlignment="1">
      <alignment horizontal="center" vertical="center"/>
    </xf>
    <xf numFmtId="0" fontId="33" fillId="0" borderId="127" xfId="0" applyFont="1" applyBorder="1" applyAlignment="1">
      <alignment horizontal="center" vertical="center"/>
    </xf>
    <xf numFmtId="0" fontId="33" fillId="0" borderId="202" xfId="0" applyFont="1" applyBorder="1" applyAlignment="1">
      <alignment horizontal="center" vertical="center"/>
    </xf>
    <xf numFmtId="0" fontId="22" fillId="9" borderId="215" xfId="0" applyFont="1" applyFill="1" applyBorder="1" applyAlignment="1">
      <alignment horizontal="center" vertical="center"/>
    </xf>
    <xf numFmtId="0" fontId="22" fillId="9" borderId="72" xfId="0" applyFont="1" applyFill="1" applyBorder="1" applyAlignment="1">
      <alignment horizontal="center" vertical="center"/>
    </xf>
    <xf numFmtId="0" fontId="22" fillId="9" borderId="216" xfId="0" applyFont="1" applyFill="1" applyBorder="1" applyAlignment="1">
      <alignment horizontal="center" vertical="center"/>
    </xf>
    <xf numFmtId="0" fontId="33" fillId="0" borderId="201" xfId="0" applyFont="1" applyBorder="1" applyAlignment="1">
      <alignment horizontal="center" vertical="center"/>
    </xf>
    <xf numFmtId="0" fontId="33" fillId="0" borderId="203" xfId="0" applyFont="1" applyBorder="1" applyAlignment="1">
      <alignment horizontal="center" vertical="center" wrapText="1"/>
    </xf>
    <xf numFmtId="0" fontId="33" fillId="0" borderId="144" xfId="0" applyFont="1" applyBorder="1" applyAlignment="1">
      <alignment horizontal="center" vertical="center" wrapText="1"/>
    </xf>
    <xf numFmtId="0" fontId="33" fillId="0" borderId="205" xfId="0" applyFont="1" applyBorder="1" applyAlignment="1">
      <alignment horizontal="center" vertical="center" wrapText="1"/>
    </xf>
    <xf numFmtId="0" fontId="33" fillId="0" borderId="207" xfId="0" applyFont="1" applyBorder="1" applyAlignment="1">
      <alignment horizontal="center" vertical="center" wrapText="1"/>
    </xf>
    <xf numFmtId="0" fontId="33" fillId="0" borderId="174" xfId="0" applyFont="1" applyBorder="1" applyAlignment="1">
      <alignment horizontal="center" vertical="center" wrapText="1"/>
    </xf>
    <xf numFmtId="0" fontId="33" fillId="0" borderId="22" xfId="0" applyFont="1" applyBorder="1" applyAlignment="1">
      <alignment horizontal="center" vertical="center" wrapText="1"/>
    </xf>
    <xf numFmtId="0" fontId="33" fillId="0" borderId="217" xfId="0" applyFont="1" applyBorder="1" applyAlignment="1">
      <alignment horizontal="center" vertical="center" wrapText="1"/>
    </xf>
    <xf numFmtId="0" fontId="33" fillId="0" borderId="2" xfId="0" applyFont="1" applyBorder="1" applyAlignment="1">
      <alignment horizontal="center" vertical="center"/>
    </xf>
    <xf numFmtId="0" fontId="33" fillId="0" borderId="193" xfId="0" applyFont="1" applyBorder="1" applyAlignment="1">
      <alignment horizontal="center" vertical="center" wrapText="1"/>
    </xf>
    <xf numFmtId="0" fontId="33" fillId="0" borderId="163" xfId="0" applyFont="1" applyBorder="1" applyAlignment="1">
      <alignment horizontal="center" vertical="center" wrapText="1"/>
    </xf>
    <xf numFmtId="0" fontId="33" fillId="0" borderId="161" xfId="0" applyFont="1" applyBorder="1" applyAlignment="1">
      <alignment horizontal="center" vertical="center" wrapText="1"/>
    </xf>
    <xf numFmtId="0" fontId="33" fillId="0" borderId="40" xfId="0" applyFont="1" applyBorder="1" applyAlignment="1">
      <alignment horizontal="center" vertical="center" wrapText="1"/>
    </xf>
    <xf numFmtId="0" fontId="33" fillId="0" borderId="47" xfId="0" applyFont="1" applyBorder="1" applyAlignment="1">
      <alignment horizontal="center" vertical="center" wrapText="1"/>
    </xf>
    <xf numFmtId="0" fontId="33" fillId="0" borderId="48" xfId="0" applyFont="1" applyBorder="1" applyAlignment="1">
      <alignment horizontal="center" vertical="center" wrapText="1"/>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21" fillId="0" borderId="32" xfId="0" applyFont="1" applyBorder="1" applyAlignment="1">
      <alignment horizontal="center" vertical="center"/>
    </xf>
    <xf numFmtId="0" fontId="21" fillId="0" borderId="40" xfId="0" applyFont="1" applyBorder="1" applyAlignment="1">
      <alignment horizontal="center" vertical="center" wrapText="1"/>
    </xf>
    <xf numFmtId="0" fontId="21" fillId="0" borderId="47" xfId="0" applyFont="1" applyBorder="1" applyAlignment="1">
      <alignment horizontal="center" vertical="center" wrapText="1"/>
    </xf>
    <xf numFmtId="0" fontId="21" fillId="0" borderId="48" xfId="0" applyFont="1" applyBorder="1" applyAlignment="1">
      <alignment horizontal="center" vertical="center" wrapText="1"/>
    </xf>
    <xf numFmtId="0" fontId="21" fillId="0" borderId="89" xfId="0" applyFont="1" applyBorder="1" applyAlignment="1">
      <alignment horizontal="center" vertical="center"/>
    </xf>
    <xf numFmtId="0" fontId="7" fillId="0" borderId="0" xfId="0" applyFont="1" applyAlignment="1">
      <alignment horizontal="left" vertical="center"/>
    </xf>
    <xf numFmtId="0" fontId="6" fillId="0" borderId="39" xfId="0" applyFont="1" applyBorder="1" applyAlignment="1">
      <alignment horizontal="center" vertical="center" wrapText="1"/>
    </xf>
    <xf numFmtId="0" fontId="6" fillId="0" borderId="49" xfId="0" applyFont="1" applyBorder="1" applyAlignment="1">
      <alignment horizontal="center" vertical="center" wrapText="1"/>
    </xf>
    <xf numFmtId="0" fontId="18" fillId="6" borderId="2" xfId="0" applyFont="1" applyFill="1" applyBorder="1" applyAlignment="1">
      <alignment horizontal="center" vertical="center" wrapText="1"/>
    </xf>
    <xf numFmtId="0" fontId="21" fillId="0" borderId="91" xfId="0" applyFont="1" applyBorder="1" applyAlignment="1">
      <alignment horizontal="center" vertical="center" wrapText="1"/>
    </xf>
    <xf numFmtId="0" fontId="6" fillId="0" borderId="90"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32" xfId="0" applyFont="1" applyBorder="1" applyAlignment="1">
      <alignment horizontal="center" vertical="center" wrapText="1"/>
    </xf>
    <xf numFmtId="0" fontId="33" fillId="0" borderId="39"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49" xfId="0" applyFont="1" applyBorder="1" applyAlignment="1">
      <alignment horizontal="center" vertical="center" wrapText="1"/>
    </xf>
    <xf numFmtId="0" fontId="33" fillId="0" borderId="104" xfId="0" applyFont="1" applyBorder="1" applyAlignment="1">
      <alignment horizontal="center" vertical="center" wrapText="1"/>
    </xf>
    <xf numFmtId="0" fontId="33" fillId="0" borderId="105" xfId="0" applyFont="1" applyBorder="1" applyAlignment="1">
      <alignment horizontal="center" vertical="center" wrapText="1"/>
    </xf>
    <xf numFmtId="0" fontId="33" fillId="0" borderId="106" xfId="0" applyFont="1" applyBorder="1" applyAlignment="1">
      <alignment horizontal="center" vertical="center" wrapText="1"/>
    </xf>
    <xf numFmtId="0" fontId="21" fillId="0" borderId="88" xfId="0" applyFont="1" applyBorder="1" applyAlignment="1">
      <alignment horizontal="center" vertical="center" wrapText="1"/>
    </xf>
    <xf numFmtId="0" fontId="21" fillId="0" borderId="94" xfId="0" applyFont="1" applyBorder="1" applyAlignment="1">
      <alignment horizontal="center" vertical="center" wrapText="1"/>
    </xf>
    <xf numFmtId="0" fontId="21" fillId="0" borderId="96" xfId="0" applyFont="1" applyBorder="1" applyAlignment="1">
      <alignment horizontal="center" vertical="center" wrapText="1"/>
    </xf>
    <xf numFmtId="0" fontId="36" fillId="0" borderId="126" xfId="0" applyFont="1" applyBorder="1" applyAlignment="1">
      <alignment horizontal="center" vertical="center" wrapText="1"/>
    </xf>
    <xf numFmtId="0" fontId="36" fillId="0" borderId="47" xfId="0" applyFont="1" applyBorder="1" applyAlignment="1">
      <alignment horizontal="center" vertical="center" wrapText="1"/>
    </xf>
    <xf numFmtId="0" fontId="36" fillId="0" borderId="48" xfId="0" applyFont="1" applyBorder="1" applyAlignment="1">
      <alignment horizontal="center" vertical="center" wrapText="1"/>
    </xf>
    <xf numFmtId="0" fontId="33" fillId="0" borderId="16" xfId="0" applyFont="1" applyBorder="1" applyAlignment="1">
      <alignment horizontal="center" vertical="center"/>
    </xf>
    <xf numFmtId="0" fontId="33" fillId="0" borderId="49" xfId="0" applyFont="1" applyBorder="1" applyAlignment="1">
      <alignment horizontal="center" vertical="center"/>
    </xf>
    <xf numFmtId="0" fontId="21" fillId="0" borderId="125" xfId="0" applyFont="1" applyBorder="1" applyAlignment="1">
      <alignment horizontal="center" vertical="center" wrapText="1"/>
    </xf>
    <xf numFmtId="0" fontId="22" fillId="9" borderId="198" xfId="0" applyFont="1" applyFill="1" applyBorder="1" applyAlignment="1">
      <alignment horizontal="center" vertical="center"/>
    </xf>
    <xf numFmtId="0" fontId="22" fillId="9" borderId="33" xfId="0" applyFont="1" applyFill="1" applyBorder="1" applyAlignment="1">
      <alignment horizontal="center" vertical="center"/>
    </xf>
    <xf numFmtId="0" fontId="33" fillId="0" borderId="17" xfId="0" applyFont="1" applyBorder="1" applyAlignment="1">
      <alignment horizontal="center" vertical="center" wrapText="1"/>
    </xf>
    <xf numFmtId="0" fontId="33" fillId="0" borderId="115" xfId="0" applyFont="1" applyBorder="1" applyAlignment="1">
      <alignment horizontal="center" vertical="center" wrapText="1"/>
    </xf>
    <xf numFmtId="0" fontId="21" fillId="0" borderId="39"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49" xfId="0" applyFont="1" applyBorder="1" applyAlignment="1">
      <alignment horizontal="center" vertical="center" wrapText="1"/>
    </xf>
    <xf numFmtId="0" fontId="33" fillId="0" borderId="109" xfId="0" applyFont="1" applyBorder="1" applyAlignment="1">
      <alignment horizontal="center" vertical="center" wrapText="1"/>
    </xf>
    <xf numFmtId="0" fontId="12" fillId="8" borderId="21" xfId="0" applyFont="1" applyFill="1" applyBorder="1" applyAlignment="1">
      <alignment horizontal="center" vertical="center" wrapText="1"/>
    </xf>
    <xf numFmtId="0" fontId="18" fillId="6" borderId="108" xfId="0" applyFont="1" applyFill="1" applyBorder="1" applyAlignment="1">
      <alignment horizontal="center" vertical="center" wrapText="1"/>
    </xf>
    <xf numFmtId="0" fontId="18" fillId="6" borderId="72" xfId="0" applyFont="1" applyFill="1" applyBorder="1" applyAlignment="1">
      <alignment horizontal="center" vertical="center" wrapText="1"/>
    </xf>
    <xf numFmtId="0" fontId="18" fillId="6" borderId="0" xfId="0" applyFont="1" applyFill="1" applyAlignment="1">
      <alignment horizontal="center" vertical="center" wrapText="1"/>
    </xf>
    <xf numFmtId="0" fontId="18" fillId="6" borderId="118" xfId="0" applyFont="1" applyFill="1" applyBorder="1" applyAlignment="1">
      <alignment horizontal="center" vertical="center" wrapText="1"/>
    </xf>
    <xf numFmtId="0" fontId="33" fillId="0" borderId="228" xfId="0" applyFont="1" applyBorder="1" applyAlignment="1">
      <alignment horizontal="center" vertical="center" wrapText="1"/>
    </xf>
    <xf numFmtId="0" fontId="6" fillId="0" borderId="2" xfId="0" applyFont="1" applyBorder="1" applyAlignment="1">
      <alignment horizontal="center" vertical="center"/>
    </xf>
    <xf numFmtId="0" fontId="12" fillId="8" borderId="19" xfId="0" applyFont="1" applyFill="1" applyBorder="1" applyAlignment="1">
      <alignment horizontal="center" vertical="center"/>
    </xf>
    <xf numFmtId="0" fontId="12" fillId="8" borderId="20" xfId="0" applyFont="1" applyFill="1" applyBorder="1" applyAlignment="1">
      <alignment horizontal="center" vertical="center"/>
    </xf>
    <xf numFmtId="9" fontId="6" fillId="0" borderId="35" xfId="2" applyFont="1" applyFill="1" applyBorder="1" applyAlignment="1">
      <alignment horizontal="center" vertical="center"/>
    </xf>
    <xf numFmtId="9" fontId="6" fillId="0" borderId="24" xfId="2" applyFont="1" applyFill="1" applyBorder="1" applyAlignment="1">
      <alignment horizontal="center" vertical="center"/>
    </xf>
    <xf numFmtId="9" fontId="6" fillId="0" borderId="25" xfId="2" applyFont="1" applyFill="1" applyBorder="1" applyAlignment="1">
      <alignment horizontal="center" vertical="center"/>
    </xf>
    <xf numFmtId="0" fontId="6" fillId="0" borderId="14" xfId="0" applyFont="1" applyBorder="1" applyAlignment="1">
      <alignment horizontal="center" vertical="center"/>
    </xf>
    <xf numFmtId="0" fontId="6" fillId="0" borderId="0" xfId="0" applyFont="1" applyAlignment="1">
      <alignment horizontal="center" vertical="center"/>
    </xf>
    <xf numFmtId="0" fontId="22" fillId="6" borderId="3" xfId="0" applyFont="1" applyFill="1" applyBorder="1" applyAlignment="1">
      <alignment horizontal="center" vertical="center"/>
    </xf>
    <xf numFmtId="0" fontId="22" fillId="6" borderId="10" xfId="0" applyFont="1" applyFill="1" applyBorder="1" applyAlignment="1">
      <alignment horizontal="center" vertical="center"/>
    </xf>
    <xf numFmtId="0" fontId="22" fillId="6" borderId="11" xfId="0" applyFont="1" applyFill="1" applyBorder="1" applyAlignment="1">
      <alignment horizontal="center" vertical="center"/>
    </xf>
    <xf numFmtId="0" fontId="22" fillId="6" borderId="2" xfId="0" applyFont="1" applyFill="1" applyBorder="1" applyAlignment="1">
      <alignment horizontal="center" vertical="center"/>
    </xf>
    <xf numFmtId="0" fontId="22" fillId="6" borderId="12" xfId="0" applyFont="1" applyFill="1" applyBorder="1" applyAlignment="1">
      <alignment horizontal="center" vertical="center"/>
    </xf>
    <xf numFmtId="0" fontId="22" fillId="6" borderId="18" xfId="0" applyFont="1" applyFill="1" applyBorder="1" applyAlignment="1">
      <alignment horizontal="center" vertical="center"/>
    </xf>
    <xf numFmtId="0" fontId="9" fillId="8" borderId="0" xfId="0" applyFont="1" applyFill="1" applyAlignment="1">
      <alignment horizontal="center" vertical="center" wrapText="1"/>
    </xf>
    <xf numFmtId="0" fontId="0" fillId="0" borderId="0" xfId="0" applyAlignment="1">
      <alignment horizontal="center"/>
    </xf>
  </cellXfs>
  <cellStyles count="14">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xfId="13" xr:uid="{9D3B3363-F420-42F9-808F-4650FCA5E6CD}"/>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A6A6A6"/>
      <color rgb="FF8F8F8F"/>
      <color rgb="FFF2F2F2"/>
      <color rgb="FFFF9900"/>
      <color rgb="FFCCCCFF"/>
      <color rgb="FF8238BA"/>
      <color rgb="FFFFEBCD"/>
      <color rgb="FF002F8E"/>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Occupancy </a:t>
            </a:r>
            <a:r>
              <a:rPr lang="en-US" sz="1000" b="0" i="0" u="none" strike="noStrike" kern="1200" spc="0" baseline="0">
                <a:solidFill>
                  <a:sysClr val="windowText" lastClr="000000"/>
                </a:solidFill>
                <a:latin typeface="Arial" panose="020B0604020202020204" pitchFamily="34" charset="0"/>
                <a:cs typeface="Arial" panose="020B0604020202020204" pitchFamily="34" charset="0"/>
              </a:rPr>
              <a:t>(*overall)</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0.05</c:v>
                </c:pt>
                <c:pt idx="1">
                  <c:v>0.05</c:v>
                </c:pt>
                <c:pt idx="2">
                  <c:v>0.05</c:v>
                </c:pt>
                <c:pt idx="3">
                  <c:v>0.05</c:v>
                </c:pt>
                <c:pt idx="4">
                  <c:v>0.05</c:v>
                </c:pt>
                <c:pt idx="5">
                  <c:v>0.05</c:v>
                </c:pt>
                <c:pt idx="6">
                  <c:v>0.05</c:v>
                </c:pt>
                <c:pt idx="7">
                  <c:v>0.1</c:v>
                </c:pt>
                <c:pt idx="8">
                  <c:v>0.2</c:v>
                </c:pt>
                <c:pt idx="9">
                  <c:v>0.9</c:v>
                </c:pt>
                <c:pt idx="10">
                  <c:v>0.9</c:v>
                </c:pt>
                <c:pt idx="11">
                  <c:v>0.45</c:v>
                </c:pt>
                <c:pt idx="12">
                  <c:v>0.45</c:v>
                </c:pt>
                <c:pt idx="13">
                  <c:v>0.9</c:v>
                </c:pt>
                <c:pt idx="14">
                  <c:v>0.9</c:v>
                </c:pt>
                <c:pt idx="15">
                  <c:v>0.9</c:v>
                </c:pt>
                <c:pt idx="16">
                  <c:v>0.9</c:v>
                </c:pt>
                <c:pt idx="17">
                  <c:v>0.9</c:v>
                </c:pt>
                <c:pt idx="18">
                  <c:v>0.3</c:v>
                </c:pt>
                <c:pt idx="19">
                  <c:v>0.1</c:v>
                </c:pt>
                <c:pt idx="20">
                  <c:v>0.1</c:v>
                </c:pt>
                <c:pt idx="21">
                  <c:v>0.1</c:v>
                </c:pt>
                <c:pt idx="22">
                  <c:v>0.05</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0.05</c:v>
                </c:pt>
                <c:pt idx="1">
                  <c:v>0.05</c:v>
                </c:pt>
                <c:pt idx="2">
                  <c:v>0.05</c:v>
                </c:pt>
                <c:pt idx="3">
                  <c:v>0.05</c:v>
                </c:pt>
                <c:pt idx="4">
                  <c:v>0.05</c:v>
                </c:pt>
                <c:pt idx="5">
                  <c:v>0.05</c:v>
                </c:pt>
                <c:pt idx="6">
                  <c:v>0.05</c:v>
                </c:pt>
                <c:pt idx="7">
                  <c:v>0.1</c:v>
                </c:pt>
                <c:pt idx="8">
                  <c:v>0.1</c:v>
                </c:pt>
                <c:pt idx="9">
                  <c:v>0.3</c:v>
                </c:pt>
                <c:pt idx="10">
                  <c:v>0.3</c:v>
                </c:pt>
                <c:pt idx="11">
                  <c:v>0.3</c:v>
                </c:pt>
                <c:pt idx="12">
                  <c:v>0.3</c:v>
                </c:pt>
                <c:pt idx="13">
                  <c:v>0.1</c:v>
                </c:pt>
                <c:pt idx="14">
                  <c:v>0.1</c:v>
                </c:pt>
                <c:pt idx="15">
                  <c:v>0.1</c:v>
                </c:pt>
                <c:pt idx="16">
                  <c:v>0.1</c:v>
                </c:pt>
                <c:pt idx="17">
                  <c:v>0.1</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0.05</c:v>
                </c:pt>
                <c:pt idx="1">
                  <c:v>0.05</c:v>
                </c:pt>
                <c:pt idx="2">
                  <c:v>0.05</c:v>
                </c:pt>
                <c:pt idx="3">
                  <c:v>0.05</c:v>
                </c:pt>
                <c:pt idx="4">
                  <c:v>0.05</c:v>
                </c:pt>
                <c:pt idx="5">
                  <c:v>0.05</c:v>
                </c:pt>
                <c:pt idx="6">
                  <c:v>0.05</c:v>
                </c:pt>
                <c:pt idx="7">
                  <c:v>0.1</c:v>
                </c:pt>
                <c:pt idx="8">
                  <c:v>0.1</c:v>
                </c:pt>
                <c:pt idx="9">
                  <c:v>0.3</c:v>
                </c:pt>
                <c:pt idx="10">
                  <c:v>0.3</c:v>
                </c:pt>
                <c:pt idx="11">
                  <c:v>0.3</c:v>
                </c:pt>
                <c:pt idx="12">
                  <c:v>0.3</c:v>
                </c:pt>
                <c:pt idx="13">
                  <c:v>0.1</c:v>
                </c:pt>
                <c:pt idx="14">
                  <c:v>0.1</c:v>
                </c:pt>
                <c:pt idx="15">
                  <c:v>0.1</c:v>
                </c:pt>
                <c:pt idx="16">
                  <c:v>0.1</c:v>
                </c:pt>
                <c:pt idx="17">
                  <c:v>0.1</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General</c:formatCode>
                <c:ptCount val="24"/>
                <c:pt idx="0">
                  <c:v>0.2</c:v>
                </c:pt>
                <c:pt idx="1">
                  <c:v>0.2</c:v>
                </c:pt>
                <c:pt idx="2">
                  <c:v>0.2</c:v>
                </c:pt>
                <c:pt idx="3">
                  <c:v>0.2</c:v>
                </c:pt>
                <c:pt idx="4">
                  <c:v>0.2</c:v>
                </c:pt>
                <c:pt idx="5">
                  <c:v>0.2</c:v>
                </c:pt>
                <c:pt idx="6">
                  <c:v>0.3</c:v>
                </c:pt>
                <c:pt idx="7">
                  <c:v>0.5</c:v>
                </c:pt>
                <c:pt idx="8">
                  <c:v>0.9</c:v>
                </c:pt>
                <c:pt idx="9">
                  <c:v>0.9</c:v>
                </c:pt>
                <c:pt idx="10">
                  <c:v>0.9</c:v>
                </c:pt>
                <c:pt idx="11">
                  <c:v>0.9</c:v>
                </c:pt>
                <c:pt idx="12">
                  <c:v>0.8</c:v>
                </c:pt>
                <c:pt idx="13">
                  <c:v>0.9</c:v>
                </c:pt>
                <c:pt idx="14">
                  <c:v>0.9</c:v>
                </c:pt>
                <c:pt idx="15">
                  <c:v>0.9</c:v>
                </c:pt>
                <c:pt idx="16">
                  <c:v>0.9</c:v>
                </c:pt>
                <c:pt idx="17">
                  <c:v>0.9</c:v>
                </c:pt>
                <c:pt idx="18">
                  <c:v>0.5</c:v>
                </c:pt>
                <c:pt idx="19">
                  <c:v>0.5</c:v>
                </c:pt>
                <c:pt idx="20">
                  <c:v>0.3</c:v>
                </c:pt>
                <c:pt idx="21">
                  <c:v>0.3</c:v>
                </c:pt>
                <c:pt idx="22">
                  <c:v>0.2</c:v>
                </c:pt>
                <c:pt idx="23">
                  <c:v>0.2</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General</c:formatCode>
                <c:ptCount val="24"/>
                <c:pt idx="0">
                  <c:v>0.1</c:v>
                </c:pt>
                <c:pt idx="1">
                  <c:v>0.1</c:v>
                </c:pt>
                <c:pt idx="2">
                  <c:v>0.1</c:v>
                </c:pt>
                <c:pt idx="3">
                  <c:v>0.1</c:v>
                </c:pt>
                <c:pt idx="4">
                  <c:v>0.1</c:v>
                </c:pt>
                <c:pt idx="5">
                  <c:v>0.1</c:v>
                </c:pt>
                <c:pt idx="6">
                  <c:v>0.1</c:v>
                </c:pt>
                <c:pt idx="7">
                  <c:v>0.1</c:v>
                </c:pt>
                <c:pt idx="8">
                  <c:v>0.4</c:v>
                </c:pt>
                <c:pt idx="9">
                  <c:v>0.4</c:v>
                </c:pt>
                <c:pt idx="10">
                  <c:v>0.4</c:v>
                </c:pt>
                <c:pt idx="11">
                  <c:v>0.4</c:v>
                </c:pt>
                <c:pt idx="12">
                  <c:v>0.2</c:v>
                </c:pt>
                <c:pt idx="13">
                  <c:v>0.2</c:v>
                </c:pt>
                <c:pt idx="14">
                  <c:v>0.2</c:v>
                </c:pt>
                <c:pt idx="15">
                  <c:v>0.2</c:v>
                </c:pt>
                <c:pt idx="16">
                  <c:v>0.2</c:v>
                </c:pt>
                <c:pt idx="17">
                  <c:v>0.1</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General</c:formatCode>
                <c:ptCount val="24"/>
                <c:pt idx="0">
                  <c:v>0.1</c:v>
                </c:pt>
                <c:pt idx="1">
                  <c:v>0.1</c:v>
                </c:pt>
                <c:pt idx="2">
                  <c:v>0.1</c:v>
                </c:pt>
                <c:pt idx="3">
                  <c:v>0.1</c:v>
                </c:pt>
                <c:pt idx="4">
                  <c:v>0.1</c:v>
                </c:pt>
                <c:pt idx="5">
                  <c:v>0.1</c:v>
                </c:pt>
                <c:pt idx="6">
                  <c:v>0.1</c:v>
                </c:pt>
                <c:pt idx="7">
                  <c:v>0.1</c:v>
                </c:pt>
                <c:pt idx="8">
                  <c:v>0.4</c:v>
                </c:pt>
                <c:pt idx="9">
                  <c:v>0.4</c:v>
                </c:pt>
                <c:pt idx="10">
                  <c:v>0.4</c:v>
                </c:pt>
                <c:pt idx="11">
                  <c:v>0.4</c:v>
                </c:pt>
                <c:pt idx="12">
                  <c:v>0.2</c:v>
                </c:pt>
                <c:pt idx="13">
                  <c:v>0.2</c:v>
                </c:pt>
                <c:pt idx="14">
                  <c:v>0.2</c:v>
                </c:pt>
                <c:pt idx="15">
                  <c:v>0.2</c:v>
                </c:pt>
                <c:pt idx="16">
                  <c:v>0.2</c:v>
                </c:pt>
                <c:pt idx="17">
                  <c:v>0.1</c:v>
                </c:pt>
                <c:pt idx="18">
                  <c:v>0.1</c:v>
                </c:pt>
                <c:pt idx="19">
                  <c:v>0.1</c:v>
                </c:pt>
                <c:pt idx="20">
                  <c:v>0.1</c:v>
                </c:pt>
                <c:pt idx="21">
                  <c:v>0.1</c:v>
                </c:pt>
                <c:pt idx="22">
                  <c:v>0.1</c:v>
                </c:pt>
                <c:pt idx="23">
                  <c:v>0.1</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0.2</c:v>
                </c:pt>
                <c:pt idx="1">
                  <c:v>0.2</c:v>
                </c:pt>
                <c:pt idx="2">
                  <c:v>0.2</c:v>
                </c:pt>
                <c:pt idx="3">
                  <c:v>0.2</c:v>
                </c:pt>
                <c:pt idx="4">
                  <c:v>0.2</c:v>
                </c:pt>
                <c:pt idx="5">
                  <c:v>0.2</c:v>
                </c:pt>
                <c:pt idx="6">
                  <c:v>0.3</c:v>
                </c:pt>
                <c:pt idx="7">
                  <c:v>0.4</c:v>
                </c:pt>
                <c:pt idx="8">
                  <c:v>0.5</c:v>
                </c:pt>
                <c:pt idx="9">
                  <c:v>0.7</c:v>
                </c:pt>
                <c:pt idx="10">
                  <c:v>0.8</c:v>
                </c:pt>
                <c:pt idx="11">
                  <c:v>0.5</c:v>
                </c:pt>
                <c:pt idx="12">
                  <c:v>0.6</c:v>
                </c:pt>
                <c:pt idx="13">
                  <c:v>0.7</c:v>
                </c:pt>
                <c:pt idx="14">
                  <c:v>0.9</c:v>
                </c:pt>
                <c:pt idx="15">
                  <c:v>0.8</c:v>
                </c:pt>
                <c:pt idx="16">
                  <c:v>0.5</c:v>
                </c:pt>
                <c:pt idx="17">
                  <c:v>0.4</c:v>
                </c:pt>
                <c:pt idx="18">
                  <c:v>0.3</c:v>
                </c:pt>
                <c:pt idx="19">
                  <c:v>0.2</c:v>
                </c:pt>
                <c:pt idx="20">
                  <c:v>0.2</c:v>
                </c:pt>
                <c:pt idx="21">
                  <c:v>0.2</c:v>
                </c:pt>
                <c:pt idx="22">
                  <c:v>0.2</c:v>
                </c:pt>
                <c:pt idx="23">
                  <c:v>0.2</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Gas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0.1</c:v>
                </c:pt>
                <c:pt idx="8">
                  <c:v>0.2</c:v>
                </c:pt>
                <c:pt idx="9">
                  <c:v>0.9</c:v>
                </c:pt>
                <c:pt idx="10">
                  <c:v>0.9</c:v>
                </c:pt>
                <c:pt idx="11">
                  <c:v>0.45</c:v>
                </c:pt>
                <c:pt idx="12">
                  <c:v>0.45</c:v>
                </c:pt>
                <c:pt idx="13">
                  <c:v>0.9</c:v>
                </c:pt>
                <c:pt idx="14">
                  <c:v>0.9</c:v>
                </c:pt>
                <c:pt idx="15">
                  <c:v>0.9</c:v>
                </c:pt>
                <c:pt idx="16">
                  <c:v>0.9</c:v>
                </c:pt>
                <c:pt idx="17">
                  <c:v>0.9</c:v>
                </c:pt>
                <c:pt idx="18">
                  <c:v>0.1</c:v>
                </c:pt>
                <c:pt idx="19">
                  <c:v>0.1</c:v>
                </c:pt>
                <c:pt idx="20">
                  <c:v>0</c:v>
                </c:pt>
                <c:pt idx="21">
                  <c:v>0</c:v>
                </c:pt>
                <c:pt idx="22">
                  <c:v>0</c:v>
                </c:pt>
                <c:pt idx="23">
                  <c:v>0</c:v>
                </c:pt>
              </c:numCache>
            </c:numRef>
          </c:val>
          <c:smooth val="0"/>
          <c:extLst>
            <c:ext xmlns:c16="http://schemas.microsoft.com/office/drawing/2014/chart" uri="{C3380CC4-5D6E-409C-BE32-E72D297353CC}">
              <c16:uniqueId val="{00000000-2D5E-43D9-9D39-369DFAAB902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0.1</c:v>
                </c:pt>
                <c:pt idx="8">
                  <c:v>0.1</c:v>
                </c:pt>
                <c:pt idx="9">
                  <c:v>0.3</c:v>
                </c:pt>
                <c:pt idx="10">
                  <c:v>0.3</c:v>
                </c:pt>
                <c:pt idx="11">
                  <c:v>0.3</c:v>
                </c:pt>
                <c:pt idx="12">
                  <c:v>0.3</c:v>
                </c:pt>
                <c:pt idx="13">
                  <c:v>0.1</c:v>
                </c:pt>
                <c:pt idx="14">
                  <c:v>0.1</c:v>
                </c:pt>
                <c:pt idx="15">
                  <c:v>0.1</c:v>
                </c:pt>
                <c:pt idx="16">
                  <c:v>0.1</c:v>
                </c:pt>
                <c:pt idx="17">
                  <c:v>0.1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2D5E-43D9-9D39-369DFAAB9026}"/>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0.1</c:v>
                </c:pt>
                <c:pt idx="8">
                  <c:v>0.1</c:v>
                </c:pt>
                <c:pt idx="9">
                  <c:v>0.3</c:v>
                </c:pt>
                <c:pt idx="10">
                  <c:v>0.3</c:v>
                </c:pt>
                <c:pt idx="11">
                  <c:v>0.3</c:v>
                </c:pt>
                <c:pt idx="12">
                  <c:v>0.3</c:v>
                </c:pt>
                <c:pt idx="13">
                  <c:v>0.1</c:v>
                </c:pt>
                <c:pt idx="14">
                  <c:v>0.1</c:v>
                </c:pt>
                <c:pt idx="15">
                  <c:v>0.1</c:v>
                </c:pt>
                <c:pt idx="16">
                  <c:v>0.1</c:v>
                </c:pt>
                <c:pt idx="17">
                  <c:v>0.1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2D5E-43D9-9D39-369DFAAB90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Refrigeration</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CC28-48CD-BF25-42D80026CFAB}"/>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CC28-48CD-BF25-42D80026CFAB}"/>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CC28-48CD-BF25-42D80026CFA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SHW</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General</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3135-48D8-A067-570C878F17DC}"/>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General</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1-3135-48D8-A067-570C878F17DC}"/>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General</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3135-48D8-A067-570C878F17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Lab Exhaust</a:t>
            </a:r>
          </a:p>
        </c:rich>
      </c:tx>
      <c:overlay val="0"/>
      <c:spPr>
        <a:noFill/>
        <a:ln>
          <a:noFill/>
        </a:ln>
        <a:effectLst/>
      </c:sp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3"/>
          <c:order val="0"/>
          <c:tx>
            <c:strRef>
              <c:f>Schedules!$E$28</c:f>
              <c:strCache>
                <c:ptCount val="1"/>
                <c:pt idx="0">
                  <c:v>Weekday</c:v>
                </c:pt>
              </c:strCache>
            </c:strRef>
          </c:tx>
          <c:marker>
            <c:symbol val="none"/>
          </c:marker>
          <c:val>
            <c:numRef>
              <c:f>Schedules!$F$28:$AC$28</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9-99AC-4633-A8D5-A2355C1A2EF9}"/>
            </c:ext>
          </c:extLst>
        </c:ser>
        <c:ser>
          <c:idx val="4"/>
          <c:order val="1"/>
          <c:tx>
            <c:strRef>
              <c:f>Schedules!$E$29</c:f>
              <c:strCache>
                <c:ptCount val="1"/>
                <c:pt idx="0">
                  <c:v>Saturday</c:v>
                </c:pt>
              </c:strCache>
            </c:strRef>
          </c:tx>
          <c:marker>
            <c:symbol val="none"/>
          </c:marker>
          <c:val>
            <c:numRef>
              <c:f>Schedules!$F$29:$AC$29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A-99AC-4633-A8D5-A2355C1A2EF9}"/>
            </c:ext>
          </c:extLst>
        </c:ser>
        <c:ser>
          <c:idx val="5"/>
          <c:order val="2"/>
          <c:tx>
            <c:strRef>
              <c:f>Schedules!$E$30</c:f>
              <c:strCache>
                <c:ptCount val="1"/>
                <c:pt idx="0">
                  <c:v>Sunday</c:v>
                </c:pt>
              </c:strCache>
            </c:strRef>
          </c:tx>
          <c:marker>
            <c:symbol val="none"/>
          </c:marker>
          <c:val>
            <c:numRef>
              <c:f>Schedules!$F$30:$AC$30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B-99AC-4633-A8D5-A2355C1A2EF9}"/>
            </c:ext>
          </c:extLst>
        </c:ser>
        <c:ser>
          <c:idx val="0"/>
          <c:order val="3"/>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4-99AC-4633-A8D5-A2355C1A2EF9}"/>
            </c:ext>
          </c:extLst>
        </c:ser>
        <c:ser>
          <c:idx val="1"/>
          <c:order val="4"/>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6-99AC-4633-A8D5-A2355C1A2EF9}"/>
            </c:ext>
          </c:extLst>
        </c:ser>
        <c:ser>
          <c:idx val="2"/>
          <c:order val="5"/>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8-99AC-4633-A8D5-A2355C1A2EF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Lab Exhaust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Schedules!$E$31</c:f>
              <c:strCache>
                <c:ptCount val="1"/>
                <c:pt idx="0">
                  <c:v>Weekday</c:v>
                </c:pt>
              </c:strCache>
            </c:strRef>
          </c:tx>
          <c:spPr>
            <a:ln w="28575" cap="rnd">
              <a:solidFill>
                <a:schemeClr val="accent1"/>
              </a:solidFill>
              <a:round/>
            </a:ln>
            <a:effectLst/>
          </c:spPr>
          <c:marker>
            <c:symbol val="none"/>
          </c:marker>
          <c:val>
            <c:numRef>
              <c:f>Schedules!$F$31:$AC$31</c:f>
              <c:numCache>
                <c:formatCode>0.00</c:formatCode>
                <c:ptCount val="24"/>
                <c:pt idx="0">
                  <c:v>0.5</c:v>
                </c:pt>
                <c:pt idx="1">
                  <c:v>0.5</c:v>
                </c:pt>
                <c:pt idx="2">
                  <c:v>0.5</c:v>
                </c:pt>
                <c:pt idx="3">
                  <c:v>0.5</c:v>
                </c:pt>
                <c:pt idx="4">
                  <c:v>0.5</c:v>
                </c:pt>
                <c:pt idx="5">
                  <c:v>0.5</c:v>
                </c:pt>
                <c:pt idx="6">
                  <c:v>0.5</c:v>
                </c:pt>
                <c:pt idx="7">
                  <c:v>0.5</c:v>
                </c:pt>
                <c:pt idx="8">
                  <c:v>0.51</c:v>
                </c:pt>
                <c:pt idx="9">
                  <c:v>0.56000000000000005</c:v>
                </c:pt>
                <c:pt idx="10">
                  <c:v>0.56000000000000005</c:v>
                </c:pt>
                <c:pt idx="11">
                  <c:v>0.53</c:v>
                </c:pt>
                <c:pt idx="12">
                  <c:v>0.53</c:v>
                </c:pt>
                <c:pt idx="13">
                  <c:v>0.56000000000000005</c:v>
                </c:pt>
                <c:pt idx="14">
                  <c:v>0.56000000000000005</c:v>
                </c:pt>
                <c:pt idx="15">
                  <c:v>0.56000000000000005</c:v>
                </c:pt>
                <c:pt idx="16">
                  <c:v>0.56000000000000005</c:v>
                </c:pt>
                <c:pt idx="17">
                  <c:v>0.56000000000000005</c:v>
                </c:pt>
                <c:pt idx="18">
                  <c:v>0.52</c:v>
                </c:pt>
                <c:pt idx="19">
                  <c:v>0.5</c:v>
                </c:pt>
                <c:pt idx="20">
                  <c:v>0.5</c:v>
                </c:pt>
                <c:pt idx="21">
                  <c:v>0.5</c:v>
                </c:pt>
                <c:pt idx="22">
                  <c:v>0.5</c:v>
                </c:pt>
                <c:pt idx="23">
                  <c:v>0.5</c:v>
                </c:pt>
              </c:numCache>
            </c:numRef>
          </c:val>
          <c:smooth val="0"/>
          <c:extLst>
            <c:ext xmlns:c16="http://schemas.microsoft.com/office/drawing/2014/chart" uri="{C3380CC4-5D6E-409C-BE32-E72D297353CC}">
              <c16:uniqueId val="{00000000-4628-4655-98BE-89B62E481268}"/>
            </c:ext>
          </c:extLst>
        </c:ser>
        <c:ser>
          <c:idx val="1"/>
          <c:order val="1"/>
          <c:tx>
            <c:strRef>
              <c:f>Schedules!$E$32</c:f>
              <c:strCache>
                <c:ptCount val="1"/>
                <c:pt idx="0">
                  <c:v>Saturday</c:v>
                </c:pt>
              </c:strCache>
            </c:strRef>
          </c:tx>
          <c:spPr>
            <a:ln w="28575" cap="rnd">
              <a:solidFill>
                <a:schemeClr val="accent2"/>
              </a:solidFill>
              <a:round/>
            </a:ln>
            <a:effectLst/>
          </c:spPr>
          <c:marker>
            <c:symbol val="none"/>
          </c:marker>
          <c:val>
            <c:numRef>
              <c:f>Schedules!$F$32:$AC$32</c:f>
              <c:numCache>
                <c:formatCode>0.00</c:formatCode>
                <c:ptCount val="24"/>
                <c:pt idx="0">
                  <c:v>0.5</c:v>
                </c:pt>
                <c:pt idx="1">
                  <c:v>0.5</c:v>
                </c:pt>
                <c:pt idx="2">
                  <c:v>0.5</c:v>
                </c:pt>
                <c:pt idx="3">
                  <c:v>0.5</c:v>
                </c:pt>
                <c:pt idx="4">
                  <c:v>0.5</c:v>
                </c:pt>
                <c:pt idx="5">
                  <c:v>0.5</c:v>
                </c:pt>
                <c:pt idx="6">
                  <c:v>0.5</c:v>
                </c:pt>
                <c:pt idx="7">
                  <c:v>0.5</c:v>
                </c:pt>
                <c:pt idx="8">
                  <c:v>0.5</c:v>
                </c:pt>
                <c:pt idx="9">
                  <c:v>0.52</c:v>
                </c:pt>
                <c:pt idx="10">
                  <c:v>0.52</c:v>
                </c:pt>
                <c:pt idx="11">
                  <c:v>0.52</c:v>
                </c:pt>
                <c:pt idx="12">
                  <c:v>0.52</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1-4628-4655-98BE-89B62E481268}"/>
            </c:ext>
          </c:extLst>
        </c:ser>
        <c:ser>
          <c:idx val="2"/>
          <c:order val="2"/>
          <c:tx>
            <c:strRef>
              <c:f>Schedules!$E$33</c:f>
              <c:strCache>
                <c:ptCount val="1"/>
                <c:pt idx="0">
                  <c:v>Sunday</c:v>
                </c:pt>
              </c:strCache>
            </c:strRef>
          </c:tx>
          <c:spPr>
            <a:ln w="28575" cap="rnd">
              <a:solidFill>
                <a:schemeClr val="accent3"/>
              </a:solidFill>
              <a:round/>
            </a:ln>
            <a:effectLst/>
          </c:spPr>
          <c:marker>
            <c:symbol val="none"/>
          </c:marker>
          <c:val>
            <c:numRef>
              <c:f>Schedules!$F$33:$AC$33</c:f>
              <c:numCache>
                <c:formatCode>0.00</c:formatCode>
                <c:ptCount val="24"/>
                <c:pt idx="0">
                  <c:v>0.5</c:v>
                </c:pt>
                <c:pt idx="1">
                  <c:v>0.5</c:v>
                </c:pt>
                <c:pt idx="2">
                  <c:v>0.5</c:v>
                </c:pt>
                <c:pt idx="3">
                  <c:v>0.5</c:v>
                </c:pt>
                <c:pt idx="4">
                  <c:v>0.5</c:v>
                </c:pt>
                <c:pt idx="5">
                  <c:v>0.5</c:v>
                </c:pt>
                <c:pt idx="6">
                  <c:v>0.5</c:v>
                </c:pt>
                <c:pt idx="7">
                  <c:v>0.5</c:v>
                </c:pt>
                <c:pt idx="8">
                  <c:v>0.5</c:v>
                </c:pt>
                <c:pt idx="9">
                  <c:v>0.52</c:v>
                </c:pt>
                <c:pt idx="10">
                  <c:v>0.52</c:v>
                </c:pt>
                <c:pt idx="11">
                  <c:v>0.52</c:v>
                </c:pt>
                <c:pt idx="12">
                  <c:v>0.52</c:v>
                </c:pt>
                <c:pt idx="13">
                  <c:v>0.5</c:v>
                </c:pt>
                <c:pt idx="14">
                  <c:v>0.5</c:v>
                </c:pt>
                <c:pt idx="15">
                  <c:v>0.5</c:v>
                </c:pt>
                <c:pt idx="16">
                  <c:v>0.5</c:v>
                </c:pt>
                <c:pt idx="17">
                  <c:v>0.5</c:v>
                </c:pt>
                <c:pt idx="18">
                  <c:v>0.5</c:v>
                </c:pt>
                <c:pt idx="19">
                  <c:v>0.5</c:v>
                </c:pt>
                <c:pt idx="20">
                  <c:v>0.5</c:v>
                </c:pt>
                <c:pt idx="21">
                  <c:v>0.5</c:v>
                </c:pt>
                <c:pt idx="22">
                  <c:v>0.5</c:v>
                </c:pt>
                <c:pt idx="23">
                  <c:v>0.5</c:v>
                </c:pt>
              </c:numCache>
            </c:numRef>
          </c:val>
          <c:smooth val="0"/>
          <c:extLst>
            <c:ext xmlns:c16="http://schemas.microsoft.com/office/drawing/2014/chart" uri="{C3380CC4-5D6E-409C-BE32-E72D297353CC}">
              <c16:uniqueId val="{00000002-4628-4655-98BE-89B62E48126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0.8"/>
          <c:min val="0.4"/>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Lab Exhaust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Schedules!$E$34</c:f>
              <c:strCache>
                <c:ptCount val="1"/>
                <c:pt idx="0">
                  <c:v>Weekday</c:v>
                </c:pt>
              </c:strCache>
            </c:strRef>
          </c:tx>
          <c:spPr>
            <a:ln w="28575" cap="rnd">
              <a:solidFill>
                <a:schemeClr val="accent1"/>
              </a:solidFill>
              <a:round/>
            </a:ln>
            <a:effectLst/>
          </c:spPr>
          <c:marker>
            <c:symbol val="none"/>
          </c:marker>
          <c:val>
            <c:numRef>
              <c:f>Schedules!$F$34:$AC$34</c:f>
              <c:numCache>
                <c:formatCode>0.00</c:formatCode>
                <c:ptCount val="24"/>
                <c:pt idx="0">
                  <c:v>0.2</c:v>
                </c:pt>
                <c:pt idx="1">
                  <c:v>0.2</c:v>
                </c:pt>
                <c:pt idx="2">
                  <c:v>0.2</c:v>
                </c:pt>
                <c:pt idx="3">
                  <c:v>0.2</c:v>
                </c:pt>
                <c:pt idx="4">
                  <c:v>0.2</c:v>
                </c:pt>
                <c:pt idx="5">
                  <c:v>0.2</c:v>
                </c:pt>
                <c:pt idx="6">
                  <c:v>0.2</c:v>
                </c:pt>
                <c:pt idx="7">
                  <c:v>0.21</c:v>
                </c:pt>
                <c:pt idx="8">
                  <c:v>0.22</c:v>
                </c:pt>
                <c:pt idx="9">
                  <c:v>0.33</c:v>
                </c:pt>
                <c:pt idx="10">
                  <c:v>0.33</c:v>
                </c:pt>
                <c:pt idx="11">
                  <c:v>0.26</c:v>
                </c:pt>
                <c:pt idx="12">
                  <c:v>0.26</c:v>
                </c:pt>
                <c:pt idx="13">
                  <c:v>0.33</c:v>
                </c:pt>
                <c:pt idx="14">
                  <c:v>0.33</c:v>
                </c:pt>
                <c:pt idx="15">
                  <c:v>0.33</c:v>
                </c:pt>
                <c:pt idx="16">
                  <c:v>0.33</c:v>
                </c:pt>
                <c:pt idx="17">
                  <c:v>0.33</c:v>
                </c:pt>
                <c:pt idx="18">
                  <c:v>0.24</c:v>
                </c:pt>
                <c:pt idx="19">
                  <c:v>0.21</c:v>
                </c:pt>
                <c:pt idx="20">
                  <c:v>0.21</c:v>
                </c:pt>
                <c:pt idx="21">
                  <c:v>0.21</c:v>
                </c:pt>
                <c:pt idx="22">
                  <c:v>0.2</c:v>
                </c:pt>
                <c:pt idx="23">
                  <c:v>0.2</c:v>
                </c:pt>
              </c:numCache>
            </c:numRef>
          </c:val>
          <c:smooth val="0"/>
          <c:extLst>
            <c:ext xmlns:c16="http://schemas.microsoft.com/office/drawing/2014/chart" uri="{C3380CC4-5D6E-409C-BE32-E72D297353CC}">
              <c16:uniqueId val="{00000000-7802-45F1-A8F3-3D71F337625D}"/>
            </c:ext>
          </c:extLst>
        </c:ser>
        <c:ser>
          <c:idx val="1"/>
          <c:order val="1"/>
          <c:tx>
            <c:strRef>
              <c:f>Schedules!$E$35</c:f>
              <c:strCache>
                <c:ptCount val="1"/>
                <c:pt idx="0">
                  <c:v>Saturday</c:v>
                </c:pt>
              </c:strCache>
            </c:strRef>
          </c:tx>
          <c:spPr>
            <a:ln w="28575" cap="rnd">
              <a:solidFill>
                <a:schemeClr val="accent2"/>
              </a:solidFill>
              <a:round/>
            </a:ln>
            <a:effectLst/>
          </c:spPr>
          <c:marker>
            <c:symbol val="none"/>
          </c:marker>
          <c:val>
            <c:numRef>
              <c:f>Schedules!$F$35:$AC$35</c:f>
              <c:numCache>
                <c:formatCode>0.00</c:formatCode>
                <c:ptCount val="24"/>
                <c:pt idx="0">
                  <c:v>0.2</c:v>
                </c:pt>
                <c:pt idx="1">
                  <c:v>0.2</c:v>
                </c:pt>
                <c:pt idx="2">
                  <c:v>0.2</c:v>
                </c:pt>
                <c:pt idx="3">
                  <c:v>0.2</c:v>
                </c:pt>
                <c:pt idx="4">
                  <c:v>0.2</c:v>
                </c:pt>
                <c:pt idx="5">
                  <c:v>0.2</c:v>
                </c:pt>
                <c:pt idx="6">
                  <c:v>0.2</c:v>
                </c:pt>
                <c:pt idx="7">
                  <c:v>0.21</c:v>
                </c:pt>
                <c:pt idx="8">
                  <c:v>0.21</c:v>
                </c:pt>
                <c:pt idx="9">
                  <c:v>0.24</c:v>
                </c:pt>
                <c:pt idx="10">
                  <c:v>0.24</c:v>
                </c:pt>
                <c:pt idx="11">
                  <c:v>0.24</c:v>
                </c:pt>
                <c:pt idx="12">
                  <c:v>0.24</c:v>
                </c:pt>
                <c:pt idx="13">
                  <c:v>0.21</c:v>
                </c:pt>
                <c:pt idx="14">
                  <c:v>0.21</c:v>
                </c:pt>
                <c:pt idx="15">
                  <c:v>0.21</c:v>
                </c:pt>
                <c:pt idx="16">
                  <c:v>0.21</c:v>
                </c:pt>
                <c:pt idx="17">
                  <c:v>0.21</c:v>
                </c:pt>
                <c:pt idx="18">
                  <c:v>0.2</c:v>
                </c:pt>
                <c:pt idx="19">
                  <c:v>0.2</c:v>
                </c:pt>
                <c:pt idx="20">
                  <c:v>0.2</c:v>
                </c:pt>
                <c:pt idx="21">
                  <c:v>0.2</c:v>
                </c:pt>
                <c:pt idx="22">
                  <c:v>0.2</c:v>
                </c:pt>
                <c:pt idx="23">
                  <c:v>0.2</c:v>
                </c:pt>
              </c:numCache>
            </c:numRef>
          </c:val>
          <c:smooth val="0"/>
          <c:extLst>
            <c:ext xmlns:c16="http://schemas.microsoft.com/office/drawing/2014/chart" uri="{C3380CC4-5D6E-409C-BE32-E72D297353CC}">
              <c16:uniqueId val="{00000001-7802-45F1-A8F3-3D71F337625D}"/>
            </c:ext>
          </c:extLst>
        </c:ser>
        <c:ser>
          <c:idx val="2"/>
          <c:order val="2"/>
          <c:tx>
            <c:strRef>
              <c:f>Schedules!$E$36</c:f>
              <c:strCache>
                <c:ptCount val="1"/>
                <c:pt idx="0">
                  <c:v>Sunday</c:v>
                </c:pt>
              </c:strCache>
            </c:strRef>
          </c:tx>
          <c:spPr>
            <a:ln w="28575" cap="rnd">
              <a:solidFill>
                <a:schemeClr val="accent3"/>
              </a:solidFill>
              <a:round/>
            </a:ln>
            <a:effectLst/>
          </c:spPr>
          <c:marker>
            <c:symbol val="none"/>
          </c:marker>
          <c:val>
            <c:numRef>
              <c:f>Schedules!$F$36:$AC$36</c:f>
              <c:numCache>
                <c:formatCode>0.00</c:formatCode>
                <c:ptCount val="24"/>
                <c:pt idx="0">
                  <c:v>0.2</c:v>
                </c:pt>
                <c:pt idx="1">
                  <c:v>0.2</c:v>
                </c:pt>
                <c:pt idx="2">
                  <c:v>0.2</c:v>
                </c:pt>
                <c:pt idx="3">
                  <c:v>0.2</c:v>
                </c:pt>
                <c:pt idx="4">
                  <c:v>0.2</c:v>
                </c:pt>
                <c:pt idx="5">
                  <c:v>0.2</c:v>
                </c:pt>
                <c:pt idx="6">
                  <c:v>0.2</c:v>
                </c:pt>
                <c:pt idx="7">
                  <c:v>0.21</c:v>
                </c:pt>
                <c:pt idx="8">
                  <c:v>0.21</c:v>
                </c:pt>
                <c:pt idx="9">
                  <c:v>0.24</c:v>
                </c:pt>
                <c:pt idx="10">
                  <c:v>0.24</c:v>
                </c:pt>
                <c:pt idx="11">
                  <c:v>0.24</c:v>
                </c:pt>
                <c:pt idx="12">
                  <c:v>0.24</c:v>
                </c:pt>
                <c:pt idx="13">
                  <c:v>0.21</c:v>
                </c:pt>
                <c:pt idx="14">
                  <c:v>0.21</c:v>
                </c:pt>
                <c:pt idx="15">
                  <c:v>0.21</c:v>
                </c:pt>
                <c:pt idx="16">
                  <c:v>0.21</c:v>
                </c:pt>
                <c:pt idx="17">
                  <c:v>0.21</c:v>
                </c:pt>
                <c:pt idx="18">
                  <c:v>0.2</c:v>
                </c:pt>
                <c:pt idx="19">
                  <c:v>0.2</c:v>
                </c:pt>
                <c:pt idx="20">
                  <c:v>0.2</c:v>
                </c:pt>
                <c:pt idx="21">
                  <c:v>0.2</c:v>
                </c:pt>
                <c:pt idx="22">
                  <c:v>0.2</c:v>
                </c:pt>
                <c:pt idx="23">
                  <c:v>0.2</c:v>
                </c:pt>
              </c:numCache>
            </c:numRef>
          </c:val>
          <c:smooth val="0"/>
          <c:extLst>
            <c:ext xmlns:c16="http://schemas.microsoft.com/office/drawing/2014/chart" uri="{C3380CC4-5D6E-409C-BE32-E72D297353CC}">
              <c16:uniqueId val="{00000002-7802-45F1-A8F3-3D71F337625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Occupancy</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[2]Schedules!$D$30</c:f>
              <c:strCache>
                <c:ptCount val="1"/>
                <c:pt idx="0">
                  <c:v>Weekday</c:v>
                </c:pt>
              </c:strCache>
            </c:strRef>
          </c:tx>
          <c:spPr>
            <a:ln w="28575" cap="rnd">
              <a:solidFill>
                <a:schemeClr val="accent1"/>
              </a:solidFill>
              <a:round/>
            </a:ln>
            <a:effectLst/>
          </c:spPr>
          <c:marker>
            <c:symbol val="none"/>
          </c:marker>
          <c:val>
            <c:numRef>
              <c:f>[2]Schedules!$E$30:$AB$30</c:f>
              <c:numCache>
                <c:formatCode>General</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c:v>
                </c:pt>
              </c:numCache>
            </c:numRef>
          </c:val>
          <c:smooth val="0"/>
          <c:extLst>
            <c:ext xmlns:c16="http://schemas.microsoft.com/office/drawing/2014/chart" uri="{C3380CC4-5D6E-409C-BE32-E72D297353CC}">
              <c16:uniqueId val="{00000000-F676-415A-BF87-A4BF08F7481A}"/>
            </c:ext>
          </c:extLst>
        </c:ser>
        <c:ser>
          <c:idx val="1"/>
          <c:order val="1"/>
          <c:tx>
            <c:strRef>
              <c:f>[2]Schedules!$D$31</c:f>
              <c:strCache>
                <c:ptCount val="1"/>
                <c:pt idx="0">
                  <c:v>Saturday</c:v>
                </c:pt>
              </c:strCache>
            </c:strRef>
          </c:tx>
          <c:spPr>
            <a:ln w="28575" cap="rnd">
              <a:solidFill>
                <a:schemeClr val="accent2"/>
              </a:solidFill>
              <a:round/>
            </a:ln>
            <a:effectLst/>
          </c:spPr>
          <c:marker>
            <c:symbol val="none"/>
          </c:marker>
          <c:val>
            <c:numRef>
              <c:f>[2]Schedules!$E$31:$AB$31</c:f>
              <c:numCache>
                <c:formatCode>General</c:formatCode>
                <c:ptCount val="24"/>
                <c:pt idx="0">
                  <c:v>0</c:v>
                </c:pt>
                <c:pt idx="1">
                  <c:v>0</c:v>
                </c:pt>
                <c:pt idx="2">
                  <c:v>0</c:v>
                </c:pt>
                <c:pt idx="3">
                  <c:v>0</c:v>
                </c:pt>
                <c:pt idx="4">
                  <c:v>0</c:v>
                </c:pt>
                <c:pt idx="5">
                  <c:v>0</c:v>
                </c:pt>
                <c:pt idx="6">
                  <c:v>0.1</c:v>
                </c:pt>
                <c:pt idx="7">
                  <c:v>0.1</c:v>
                </c:pt>
                <c:pt idx="8">
                  <c:v>0.3</c:v>
                </c:pt>
                <c:pt idx="9">
                  <c:v>0.3</c:v>
                </c:pt>
                <c:pt idx="10">
                  <c:v>0.3</c:v>
                </c:pt>
                <c:pt idx="11">
                  <c:v>0.3</c:v>
                </c:pt>
                <c:pt idx="12">
                  <c:v>0.1</c:v>
                </c:pt>
                <c:pt idx="13">
                  <c:v>0.1</c:v>
                </c:pt>
                <c:pt idx="14">
                  <c:v>0.1</c:v>
                </c:pt>
                <c:pt idx="15">
                  <c:v>0.1</c:v>
                </c:pt>
                <c:pt idx="16">
                  <c:v>0.1</c:v>
                </c:pt>
                <c:pt idx="17">
                  <c:v>0.05</c:v>
                </c:pt>
                <c:pt idx="18">
                  <c:v>0.05</c:v>
                </c:pt>
                <c:pt idx="19">
                  <c:v>0</c:v>
                </c:pt>
                <c:pt idx="20">
                  <c:v>0</c:v>
                </c:pt>
                <c:pt idx="21">
                  <c:v>0</c:v>
                </c:pt>
                <c:pt idx="22">
                  <c:v>0</c:v>
                </c:pt>
                <c:pt idx="23">
                  <c:v>0</c:v>
                </c:pt>
              </c:numCache>
            </c:numRef>
          </c:val>
          <c:smooth val="0"/>
          <c:extLst>
            <c:ext xmlns:c16="http://schemas.microsoft.com/office/drawing/2014/chart" uri="{C3380CC4-5D6E-409C-BE32-E72D297353CC}">
              <c16:uniqueId val="{00000001-F676-415A-BF87-A4BF08F7481A}"/>
            </c:ext>
          </c:extLst>
        </c:ser>
        <c:ser>
          <c:idx val="2"/>
          <c:order val="2"/>
          <c:tx>
            <c:strRef>
              <c:f>[2]Schedules!$D$32</c:f>
              <c:strCache>
                <c:ptCount val="1"/>
                <c:pt idx="0">
                  <c:v>Sunday</c:v>
                </c:pt>
              </c:strCache>
            </c:strRef>
          </c:tx>
          <c:spPr>
            <a:ln w="28575" cap="rnd">
              <a:solidFill>
                <a:schemeClr val="accent3"/>
              </a:solidFill>
              <a:round/>
            </a:ln>
            <a:effectLst/>
          </c:spPr>
          <c:marker>
            <c:symbol val="none"/>
          </c:marker>
          <c:val>
            <c:numRef>
              <c:f>[2]Schedules!$E$32:$AB$32</c:f>
              <c:numCache>
                <c:formatCode>General</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F676-415A-BF87-A4BF08F7481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Lighting</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[2]Schedules!$D$33</c:f>
              <c:strCache>
                <c:ptCount val="1"/>
                <c:pt idx="0">
                  <c:v>Weekday</c:v>
                </c:pt>
              </c:strCache>
            </c:strRef>
          </c:tx>
          <c:spPr>
            <a:ln w="28575" cap="rnd">
              <a:solidFill>
                <a:schemeClr val="accent1"/>
              </a:solidFill>
              <a:round/>
            </a:ln>
            <a:effectLst/>
          </c:spPr>
          <c:marker>
            <c:symbol val="none"/>
          </c:marker>
          <c:val>
            <c:numRef>
              <c:f>[2]Schedules!$E$33:$AB$33</c:f>
              <c:numCache>
                <c:formatCode>General</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16D8-4A03-BF56-7E97964B4807}"/>
            </c:ext>
          </c:extLst>
        </c:ser>
        <c:ser>
          <c:idx val="1"/>
          <c:order val="1"/>
          <c:tx>
            <c:strRef>
              <c:f>[2]Schedules!$D$34</c:f>
              <c:strCache>
                <c:ptCount val="1"/>
                <c:pt idx="0">
                  <c:v>Saturday</c:v>
                </c:pt>
              </c:strCache>
            </c:strRef>
          </c:tx>
          <c:spPr>
            <a:ln w="28575" cap="rnd">
              <a:solidFill>
                <a:schemeClr val="accent2"/>
              </a:solidFill>
              <a:round/>
            </a:ln>
            <a:effectLst/>
          </c:spPr>
          <c:marker>
            <c:symbol val="none"/>
          </c:marker>
          <c:val>
            <c:numRef>
              <c:f>[2]Schedules!$E$34:$AB$34</c:f>
              <c:numCache>
                <c:formatCode>General</c:formatCode>
                <c:ptCount val="24"/>
                <c:pt idx="0">
                  <c:v>0.05</c:v>
                </c:pt>
                <c:pt idx="1">
                  <c:v>0.05</c:v>
                </c:pt>
                <c:pt idx="2">
                  <c:v>0.05</c:v>
                </c:pt>
                <c:pt idx="3">
                  <c:v>0.05</c:v>
                </c:pt>
                <c:pt idx="4">
                  <c:v>0.05</c:v>
                </c:pt>
                <c:pt idx="5">
                  <c:v>0.05</c:v>
                </c:pt>
                <c:pt idx="6">
                  <c:v>0.1</c:v>
                </c:pt>
                <c:pt idx="7">
                  <c:v>0.1</c:v>
                </c:pt>
                <c:pt idx="8">
                  <c:v>0.3</c:v>
                </c:pt>
                <c:pt idx="9">
                  <c:v>0.3</c:v>
                </c:pt>
                <c:pt idx="10">
                  <c:v>0.3</c:v>
                </c:pt>
                <c:pt idx="11">
                  <c:v>0.3</c:v>
                </c:pt>
                <c:pt idx="12">
                  <c:v>0.15</c:v>
                </c:pt>
                <c:pt idx="13">
                  <c:v>0.15</c:v>
                </c:pt>
                <c:pt idx="14">
                  <c:v>0.15</c:v>
                </c:pt>
                <c:pt idx="15">
                  <c:v>0.15</c:v>
                </c:pt>
                <c:pt idx="16">
                  <c:v>0.15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16D8-4A03-BF56-7E97964B4807}"/>
            </c:ext>
          </c:extLst>
        </c:ser>
        <c:ser>
          <c:idx val="2"/>
          <c:order val="2"/>
          <c:tx>
            <c:strRef>
              <c:f>[2]Schedules!$D$35</c:f>
              <c:strCache>
                <c:ptCount val="1"/>
                <c:pt idx="0">
                  <c:v>Sunday</c:v>
                </c:pt>
              </c:strCache>
            </c:strRef>
          </c:tx>
          <c:spPr>
            <a:ln w="28575" cap="rnd">
              <a:solidFill>
                <a:schemeClr val="accent3"/>
              </a:solidFill>
              <a:round/>
            </a:ln>
            <a:effectLst/>
          </c:spPr>
          <c:marker>
            <c:symbol val="none"/>
          </c:marker>
          <c:val>
            <c:numRef>
              <c:f>[2]Schedules!$E$35:$AB$35</c:f>
              <c:numCache>
                <c:formatCode>General</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16D8-4A03-BF56-7E97964B480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Schedules!$E$50</c:f>
              <c:strCache>
                <c:ptCount val="1"/>
                <c:pt idx="0">
                  <c:v>Weekday</c:v>
                </c:pt>
              </c:strCache>
            </c:strRef>
          </c:tx>
          <c:spPr>
            <a:ln w="28575" cap="rnd">
              <a:solidFill>
                <a:schemeClr val="accent1"/>
              </a:solidFill>
              <a:round/>
            </a:ln>
            <a:effectLst/>
          </c:spPr>
          <c:marker>
            <c:symbol val="none"/>
          </c:marker>
          <c:val>
            <c:numRef>
              <c:f>Schedules!$F$50:$AC$50</c:f>
              <c:numCache>
                <c:formatCode>General</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7A0C-449D-BB0E-5A255186181E}"/>
            </c:ext>
          </c:extLst>
        </c:ser>
        <c:ser>
          <c:idx val="1"/>
          <c:order val="1"/>
          <c:tx>
            <c:strRef>
              <c:f>Schedules!$E$51</c:f>
              <c:strCache>
                <c:ptCount val="1"/>
                <c:pt idx="0">
                  <c:v>Saturday</c:v>
                </c:pt>
              </c:strCache>
            </c:strRef>
          </c:tx>
          <c:spPr>
            <a:ln w="28575" cap="rnd">
              <a:solidFill>
                <a:schemeClr val="accent2"/>
              </a:solidFill>
              <a:round/>
            </a:ln>
            <a:effectLst/>
          </c:spPr>
          <c:marker>
            <c:symbol val="none"/>
          </c:marker>
          <c:val>
            <c:numRef>
              <c:f>Schedules!$F$51:$AC$51</c:f>
              <c:numCache>
                <c:formatCode>General</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7A0C-449D-BB0E-5A255186181E}"/>
            </c:ext>
          </c:extLst>
        </c:ser>
        <c:ser>
          <c:idx val="2"/>
          <c:order val="2"/>
          <c:tx>
            <c:strRef>
              <c:f>Schedules!$E$52</c:f>
              <c:strCache>
                <c:ptCount val="1"/>
                <c:pt idx="0">
                  <c:v>Sunday</c:v>
                </c:pt>
              </c:strCache>
            </c:strRef>
          </c:tx>
          <c:spPr>
            <a:ln w="28575" cap="rnd">
              <a:solidFill>
                <a:schemeClr val="accent3"/>
              </a:solidFill>
              <a:round/>
            </a:ln>
            <a:effectLst/>
          </c:spPr>
          <c:marker>
            <c:symbol val="none"/>
          </c:marker>
          <c:val>
            <c:numRef>
              <c:f>Schedules!$F$52:$AC$52</c:f>
              <c:numCache>
                <c:formatCode>General</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7A0C-449D-BB0E-5A255186181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Laboratory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101.47500000000001</c:v>
                </c:pt>
                <c:pt idx="1">
                  <c:v>101.47500000000001</c:v>
                </c:pt>
                <c:pt idx="2">
                  <c:v>101.47500000000001</c:v>
                </c:pt>
                <c:pt idx="3">
                  <c:v>101.47500000000001</c:v>
                </c:pt>
                <c:pt idx="4">
                  <c:v>101.47500000000001</c:v>
                </c:pt>
                <c:pt idx="5">
                  <c:v>101.47500000000001</c:v>
                </c:pt>
                <c:pt idx="6">
                  <c:v>101.47500000000001</c:v>
                </c:pt>
                <c:pt idx="7">
                  <c:v>101.47500000000001</c:v>
                </c:pt>
                <c:pt idx="8">
                  <c:v>101.47500000000001</c:v>
                </c:pt>
                <c:pt idx="9">
                  <c:v>101.47500000000001</c:v>
                </c:pt>
                <c:pt idx="10">
                  <c:v>101.47500000000001</c:v>
                </c:pt>
                <c:pt idx="11">
                  <c:v>101.47500000000001</c:v>
                </c:pt>
                <c:pt idx="12">
                  <c:v>101.47500000000001</c:v>
                </c:pt>
                <c:pt idx="13">
                  <c:v>101.47500000000001</c:v>
                </c:pt>
                <c:pt idx="14">
                  <c:v>101.47500000000001</c:v>
                </c:pt>
                <c:pt idx="15">
                  <c:v>101.47500000000001</c:v>
                </c:pt>
              </c:numCache>
            </c:numRef>
          </c:val>
          <c:extLst>
            <c:ext xmlns:c16="http://schemas.microsoft.com/office/drawing/2014/chart" uri="{C3380CC4-5D6E-409C-BE32-E72D297353CC}">
              <c16:uniqueId val="{00000000-2F9C-4D03-8A05-D5FB094A654E}"/>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67.649999999999991</c:v>
                </c:pt>
                <c:pt idx="1">
                  <c:v>67.649999999999991</c:v>
                </c:pt>
                <c:pt idx="2">
                  <c:v>67.649999999999991</c:v>
                </c:pt>
                <c:pt idx="3">
                  <c:v>67.649999999999991</c:v>
                </c:pt>
                <c:pt idx="4">
                  <c:v>67.649999999999991</c:v>
                </c:pt>
                <c:pt idx="5">
                  <c:v>67.649999999999991</c:v>
                </c:pt>
                <c:pt idx="6">
                  <c:v>67.649999999999991</c:v>
                </c:pt>
                <c:pt idx="7">
                  <c:v>67.649999999999991</c:v>
                </c:pt>
                <c:pt idx="8">
                  <c:v>67.649999999999991</c:v>
                </c:pt>
                <c:pt idx="9">
                  <c:v>67.649999999999991</c:v>
                </c:pt>
                <c:pt idx="10">
                  <c:v>67.649999999999991</c:v>
                </c:pt>
                <c:pt idx="11">
                  <c:v>67.649999999999991</c:v>
                </c:pt>
                <c:pt idx="12">
                  <c:v>67.649999999999991</c:v>
                </c:pt>
                <c:pt idx="13">
                  <c:v>67.649999999999991</c:v>
                </c:pt>
                <c:pt idx="14">
                  <c:v>67.649999999999991</c:v>
                </c:pt>
                <c:pt idx="15">
                  <c:v>67.649999999999991</c:v>
                </c:pt>
              </c:numCache>
            </c:numRef>
          </c:val>
          <c:extLst>
            <c:ext xmlns:c16="http://schemas.microsoft.com/office/drawing/2014/chart" uri="{C3380CC4-5D6E-409C-BE32-E72D297353CC}">
              <c16:uniqueId val="{00000001-2F9C-4D03-8A05-D5FB094A654E}"/>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2F9C-4D03-8A05-D5FB094A654E}"/>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numCache>
            </c:numRef>
          </c:yVal>
          <c:smooth val="0"/>
          <c:extLst>
            <c:ext xmlns:c16="http://schemas.microsoft.com/office/drawing/2014/chart" uri="{C3380CC4-5D6E-409C-BE32-E72D297353CC}">
              <c16:uniqueId val="{00000003-2F9C-4D03-8A05-D5FB094A654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4763</xdr:colOff>
      <xdr:row>41</xdr:row>
      <xdr:rowOff>7144</xdr:rowOff>
    </xdr:from>
    <xdr:to>
      <xdr:col>2</xdr:col>
      <xdr:colOff>912019</xdr:colOff>
      <xdr:row>52</xdr:row>
      <xdr:rowOff>16669</xdr:rowOff>
    </xdr:to>
    <xdr:pic>
      <xdr:nvPicPr>
        <xdr:cNvPr id="2" name="Picture 1">
          <a:extLst>
            <a:ext uri="{FF2B5EF4-FFF2-40B4-BE49-F238E27FC236}">
              <a16:creationId xmlns:a16="http://schemas.microsoft.com/office/drawing/2014/main" id="{F5C2B302-30A5-479F-81D6-AB535EF4FA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1" y="7258050"/>
          <a:ext cx="7060406" cy="1843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409575</xdr:colOff>
      <xdr:row>7</xdr:row>
      <xdr:rowOff>38100</xdr:rowOff>
    </xdr:from>
    <xdr:to>
      <xdr:col>1</xdr:col>
      <xdr:colOff>3019425</xdr:colOff>
      <xdr:row>7</xdr:row>
      <xdr:rowOff>1162050</xdr:rowOff>
    </xdr:to>
    <xdr:pic>
      <xdr:nvPicPr>
        <xdr:cNvPr id="2" name="Picture 1">
          <a:extLst>
            <a:ext uri="{FF2B5EF4-FFF2-40B4-BE49-F238E27FC236}">
              <a16:creationId xmlns:a16="http://schemas.microsoft.com/office/drawing/2014/main" id="{ABA792A0-468F-CDFB-90E0-FB0292B4A1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6450" y="1600200"/>
          <a:ext cx="2609850"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1282561</xdr:colOff>
      <xdr:row>0</xdr:row>
      <xdr:rowOff>35035</xdr:rowOff>
    </xdr:from>
    <xdr:to>
      <xdr:col>15</xdr:col>
      <xdr:colOff>1282561</xdr:colOff>
      <xdr:row>0</xdr:row>
      <xdr:rowOff>321779</xdr:rowOff>
    </xdr:to>
    <xdr:cxnSp macro="">
      <xdr:nvCxnSpPr>
        <xdr:cNvPr id="2" name="Straight Arrow Connector 1">
          <a:extLst>
            <a:ext uri="{FF2B5EF4-FFF2-40B4-BE49-F238E27FC236}">
              <a16:creationId xmlns:a16="http://schemas.microsoft.com/office/drawing/2014/main" id="{B865EDEA-08FD-4586-B709-EDCB78D9893C}"/>
            </a:ext>
          </a:extLst>
        </xdr:cNvPr>
        <xdr:cNvCxnSpPr/>
      </xdr:nvCxnSpPr>
      <xdr:spPr>
        <a:xfrm flipV="1">
          <a:off x="17989411"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1325218</xdr:colOff>
      <xdr:row>0</xdr:row>
      <xdr:rowOff>67505</xdr:rowOff>
    </xdr:from>
    <xdr:to>
      <xdr:col>15</xdr:col>
      <xdr:colOff>1565412</xdr:colOff>
      <xdr:row>1</xdr:row>
      <xdr:rowOff>103203</xdr:rowOff>
    </xdr:to>
    <xdr:sp macro="" textlink="">
      <xdr:nvSpPr>
        <xdr:cNvPr id="3" name="TextBox 2">
          <a:extLst>
            <a:ext uri="{FF2B5EF4-FFF2-40B4-BE49-F238E27FC236}">
              <a16:creationId xmlns:a16="http://schemas.microsoft.com/office/drawing/2014/main" id="{D5B12191-6F7A-4810-AE8A-4DE8113812EA}"/>
            </a:ext>
          </a:extLst>
        </xdr:cNvPr>
        <xdr:cNvSpPr txBox="1"/>
      </xdr:nvSpPr>
      <xdr:spPr>
        <a:xfrm>
          <a:off x="18032068" y="67505"/>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13</xdr:col>
      <xdr:colOff>838200</xdr:colOff>
      <xdr:row>1</xdr:row>
      <xdr:rowOff>514350</xdr:rowOff>
    </xdr:from>
    <xdr:to>
      <xdr:col>17</xdr:col>
      <xdr:colOff>114300</xdr:colOff>
      <xdr:row>19</xdr:row>
      <xdr:rowOff>133350</xdr:rowOff>
    </xdr:to>
    <xdr:pic>
      <xdr:nvPicPr>
        <xdr:cNvPr id="7" name="Picture 6">
          <a:extLst>
            <a:ext uri="{FF2B5EF4-FFF2-40B4-BE49-F238E27FC236}">
              <a16:creationId xmlns:a16="http://schemas.microsoft.com/office/drawing/2014/main" id="{9673CDA6-ABAB-F94E-66DD-714A6DDC76C2}"/>
            </a:ext>
            <a:ext uri="{147F2762-F138-4A5C-976F-8EAC2B608ADB}">
              <a16:predDERef xmlns:a16="http://schemas.microsoft.com/office/drawing/2014/main" pred="{D5B12191-6F7A-4810-AE8A-4DE8113812EA}"/>
            </a:ext>
          </a:extLst>
        </xdr:cNvPr>
        <xdr:cNvPicPr>
          <a:picLocks noChangeAspect="1"/>
        </xdr:cNvPicPr>
      </xdr:nvPicPr>
      <xdr:blipFill>
        <a:blip xmlns:r="http://schemas.openxmlformats.org/officeDocument/2006/relationships" r:embed="rId1"/>
        <a:stretch>
          <a:fillRect/>
        </a:stretch>
      </xdr:blipFill>
      <xdr:spPr>
        <a:xfrm>
          <a:off x="21469350" y="838200"/>
          <a:ext cx="6534150" cy="4429125"/>
        </a:xfrm>
        <a:prstGeom prst="rect">
          <a:avLst/>
        </a:prstGeom>
      </xdr:spPr>
    </xdr:pic>
    <xdr:clientData/>
  </xdr:twoCellAnchor>
  <xdr:twoCellAnchor editAs="oneCell">
    <xdr:from>
      <xdr:col>17</xdr:col>
      <xdr:colOff>600075</xdr:colOff>
      <xdr:row>1</xdr:row>
      <xdr:rowOff>590550</xdr:rowOff>
    </xdr:from>
    <xdr:to>
      <xdr:col>23</xdr:col>
      <xdr:colOff>66675</xdr:colOff>
      <xdr:row>19</xdr:row>
      <xdr:rowOff>76200</xdr:rowOff>
    </xdr:to>
    <xdr:pic>
      <xdr:nvPicPr>
        <xdr:cNvPr id="8" name="Picture 7">
          <a:extLst>
            <a:ext uri="{FF2B5EF4-FFF2-40B4-BE49-F238E27FC236}">
              <a16:creationId xmlns:a16="http://schemas.microsoft.com/office/drawing/2014/main" id="{D5C4B860-FA71-DA03-552A-3D77030DD664}"/>
            </a:ext>
            <a:ext uri="{147F2762-F138-4A5C-976F-8EAC2B608ADB}">
              <a16:predDERef xmlns:a16="http://schemas.microsoft.com/office/drawing/2014/main" pred="{9673CDA6-ABAB-F94E-66DD-714A6DDC76C2}"/>
            </a:ext>
          </a:extLst>
        </xdr:cNvPr>
        <xdr:cNvPicPr>
          <a:picLocks noChangeAspect="1"/>
        </xdr:cNvPicPr>
      </xdr:nvPicPr>
      <xdr:blipFill>
        <a:blip xmlns:r="http://schemas.openxmlformats.org/officeDocument/2006/relationships" r:embed="rId2"/>
        <a:stretch>
          <a:fillRect/>
        </a:stretch>
      </xdr:blipFill>
      <xdr:spPr>
        <a:xfrm>
          <a:off x="28489275" y="914400"/>
          <a:ext cx="6534150" cy="42957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317591</xdr:colOff>
      <xdr:row>15</xdr:row>
      <xdr:rowOff>0</xdr:rowOff>
    </xdr:from>
    <xdr:to>
      <xdr:col>36</xdr:col>
      <xdr:colOff>22316</xdr:colOff>
      <xdr:row>17</xdr:row>
      <xdr:rowOff>416719</xdr:rowOff>
    </xdr:to>
    <xdr:graphicFrame macro="">
      <xdr:nvGraphicFramePr>
        <xdr:cNvPr id="3" name="Chart 5">
          <a:extLst>
            <a:ext uri="{FF2B5EF4-FFF2-40B4-BE49-F238E27FC236}">
              <a16:creationId xmlns:a16="http://schemas.microsoft.com/office/drawing/2014/main" id="{884648C1-6468-4333-AE0F-5CE56E487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27D64350-4A7F-4D54-86AE-92FDC42BF73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5" name="Chart 5">
          <a:extLst>
            <a:ext uri="{FF2B5EF4-FFF2-40B4-BE49-F238E27FC236}">
              <a16:creationId xmlns:a16="http://schemas.microsoft.com/office/drawing/2014/main" id="{30DFB9F4-BE6F-4EEB-A7AF-A22CE2CE65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219075</xdr:colOff>
      <xdr:row>27</xdr:row>
      <xdr:rowOff>0</xdr:rowOff>
    </xdr:from>
    <xdr:to>
      <xdr:col>36</xdr:col>
      <xdr:colOff>57150</xdr:colOff>
      <xdr:row>30</xdr:row>
      <xdr:rowOff>19050</xdr:rowOff>
    </xdr:to>
    <xdr:graphicFrame macro="">
      <xdr:nvGraphicFramePr>
        <xdr:cNvPr id="6" name="Chart 5">
          <a:extLst>
            <a:ext uri="{FF2B5EF4-FFF2-40B4-BE49-F238E27FC236}">
              <a16:creationId xmlns:a16="http://schemas.microsoft.com/office/drawing/2014/main" id="{7B39A9DF-A694-432E-8DE3-84CF58EE363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209550</xdr:colOff>
      <xdr:row>30</xdr:row>
      <xdr:rowOff>9525</xdr:rowOff>
    </xdr:from>
    <xdr:to>
      <xdr:col>36</xdr:col>
      <xdr:colOff>47625</xdr:colOff>
      <xdr:row>33</xdr:row>
      <xdr:rowOff>28575</xdr:rowOff>
    </xdr:to>
    <xdr:graphicFrame macro="">
      <xdr:nvGraphicFramePr>
        <xdr:cNvPr id="7" name="Chart 6">
          <a:extLst>
            <a:ext uri="{FF2B5EF4-FFF2-40B4-BE49-F238E27FC236}">
              <a16:creationId xmlns:a16="http://schemas.microsoft.com/office/drawing/2014/main" id="{E4BE6AED-89C8-41D8-88B1-03E02A96DE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209550</xdr:colOff>
      <xdr:row>32</xdr:row>
      <xdr:rowOff>447675</xdr:rowOff>
    </xdr:from>
    <xdr:to>
      <xdr:col>36</xdr:col>
      <xdr:colOff>47625</xdr:colOff>
      <xdr:row>36</xdr:row>
      <xdr:rowOff>44823</xdr:rowOff>
    </xdr:to>
    <xdr:graphicFrame macro="">
      <xdr:nvGraphicFramePr>
        <xdr:cNvPr id="8" name="Chart 7">
          <a:extLst>
            <a:ext uri="{FF2B5EF4-FFF2-40B4-BE49-F238E27FC236}">
              <a16:creationId xmlns:a16="http://schemas.microsoft.com/office/drawing/2014/main" id="{3DB5B2BD-5A63-4192-8BC0-DBF6A44CC0F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149269</xdr:colOff>
      <xdr:row>43</xdr:row>
      <xdr:rowOff>19118</xdr:rowOff>
    </xdr:from>
    <xdr:to>
      <xdr:col>36</xdr:col>
      <xdr:colOff>69532</xdr:colOff>
      <xdr:row>46</xdr:row>
      <xdr:rowOff>23812</xdr:rowOff>
    </xdr:to>
    <xdr:graphicFrame macro="">
      <xdr:nvGraphicFramePr>
        <xdr:cNvPr id="10" name="Chart 9">
          <a:extLst>
            <a:ext uri="{FF2B5EF4-FFF2-40B4-BE49-F238E27FC236}">
              <a16:creationId xmlns:a16="http://schemas.microsoft.com/office/drawing/2014/main" id="{56DA9D62-1356-4D01-B4BD-FF0C3844A41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158794</xdr:colOff>
      <xdr:row>46</xdr:row>
      <xdr:rowOff>20002</xdr:rowOff>
    </xdr:from>
    <xdr:to>
      <xdr:col>36</xdr:col>
      <xdr:colOff>73342</xdr:colOff>
      <xdr:row>49</xdr:row>
      <xdr:rowOff>20206</xdr:rowOff>
    </xdr:to>
    <xdr:graphicFrame macro="">
      <xdr:nvGraphicFramePr>
        <xdr:cNvPr id="11" name="Chart 10">
          <a:extLst>
            <a:ext uri="{FF2B5EF4-FFF2-40B4-BE49-F238E27FC236}">
              <a16:creationId xmlns:a16="http://schemas.microsoft.com/office/drawing/2014/main" id="{7E152DAA-8483-43EF-8FD6-104144BA17E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143080</xdr:colOff>
      <xdr:row>49</xdr:row>
      <xdr:rowOff>46197</xdr:rowOff>
    </xdr:from>
    <xdr:to>
      <xdr:col>36</xdr:col>
      <xdr:colOff>51913</xdr:colOff>
      <xdr:row>51</xdr:row>
      <xdr:rowOff>483054</xdr:rowOff>
    </xdr:to>
    <xdr:graphicFrame macro="">
      <xdr:nvGraphicFramePr>
        <xdr:cNvPr id="12" name="Chart 11">
          <a:extLst>
            <a:ext uri="{FF2B5EF4-FFF2-40B4-BE49-F238E27FC236}">
              <a16:creationId xmlns:a16="http://schemas.microsoft.com/office/drawing/2014/main" id="{82248AAC-0B2E-4991-982E-90209C9933F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24</xdr:col>
      <xdr:colOff>23813</xdr:colOff>
      <xdr:row>0</xdr:row>
      <xdr:rowOff>11907</xdr:rowOff>
    </xdr:from>
    <xdr:to>
      <xdr:col>40</xdr:col>
      <xdr:colOff>347664</xdr:colOff>
      <xdr:row>16</xdr:row>
      <xdr:rowOff>242888</xdr:rowOff>
    </xdr:to>
    <xdr:graphicFrame macro="">
      <xdr:nvGraphicFramePr>
        <xdr:cNvPr id="3" name="Chart 2">
          <a:extLst>
            <a:ext uri="{FF2B5EF4-FFF2-40B4-BE49-F238E27FC236}">
              <a16:creationId xmlns:a16="http://schemas.microsoft.com/office/drawing/2014/main" id="{B9C32D97-CF6B-47E3-9763-1E2BC662F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rcglgov.sharepoint.com/sites/NYStretchCoordination/Shared%20Documents/Prototypes/Prototypes/Scorecards/Archive/HotelLarge_Prototype_Scorecard_3Oct2025.xlsx" TargetMode="External"/><Relationship Id="rId1" Type="http://schemas.openxmlformats.org/officeDocument/2006/relationships/externalLinkPath" Target="https://carcglgov.sharepoint.com/sites/Prototypes/Shared%20Documents/SCE%20Enhanced%20Prototypes%20(S25505-2026)/SCE%20Enhanced%20Scorecards/Archive/HotelLarge_Prototype_Scorecard_3Oct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rcglgov.sharepoint.com/sites/NYStretchCoordination/Shared%20Documents/Prototypes/Prototypes/Scorecards/Outpatent_Prototype_Scorecard-14Aug2025.xlsx" TargetMode="External"/><Relationship Id="rId1" Type="http://schemas.openxmlformats.org/officeDocument/2006/relationships/externalLinkPath" Target="https://carcglgov.sharepoint.com/sites/Prototypes/Shared%20Documents/SCE%20Enhanced%20Prototypes%20(S25505-2026)/SCE%20Enhanced%20Scorecards/Outpatent_Prototype_Scorecard-14Aug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Prototype"/>
      <sheetName val="Zones"/>
      <sheetName val="HVAC System"/>
      <sheetName val="Envelope"/>
      <sheetName val="Heating-No area used to convert"/>
      <sheetName val="Thermostat"/>
      <sheetName val="Ventilation"/>
      <sheetName val="Water Heater"/>
      <sheetName val="Cooking Euipment"/>
      <sheetName val="Air compressor"/>
      <sheetName val="Refrigerated"/>
      <sheetName val="Interior Lights"/>
      <sheetName val="Occupnacy"/>
      <sheetName val="Ext Lighting"/>
      <sheetName val="Equipment"/>
      <sheetName val="Schedules"/>
      <sheetName val="Energy Usage"/>
      <sheetName val="Weights"/>
      <sheetName val="PV"/>
      <sheetName val="EV Charger"/>
      <sheetName val="Data"/>
      <sheetName val="FZ-C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28rPMAoyQECnlcv8Kt3MJ58ZG-oPRVFNitSI8hg4XNmRfqTzTCegRrqYe5ObVx5b" itemId="01AXUKAFOQEVWNV7N64BFLKTV5F4D523NI">
      <xxl21:absoluteUrl r:id="rId2"/>
    </xxl21:alternateUrls>
    <sheetNames>
      <sheetName val="Notes"/>
      <sheetName val="Prototype"/>
      <sheetName val="Zones"/>
      <sheetName val="Envelope"/>
      <sheetName val="HVAC System"/>
      <sheetName val="Thermostat"/>
      <sheetName val="Heating-No area used to convert"/>
      <sheetName val="Ventilation"/>
      <sheetName val="Water Heater"/>
      <sheetName val="Cooking Euipment"/>
      <sheetName val="Air compressor"/>
      <sheetName val="Refrigerated"/>
      <sheetName val="Int Lighting"/>
      <sheetName val="Ext Lighting"/>
      <sheetName val="Occupnacy"/>
      <sheetName val="Equipment"/>
      <sheetName val="Schedules"/>
      <sheetName val="Energy Usage"/>
      <sheetName val="Weights"/>
      <sheetName val="PV"/>
      <sheetName val="EV Charger"/>
      <sheetName val="FZ-C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0">
          <cell r="D30" t="str">
            <v>Weekday</v>
          </cell>
          <cell r="E30">
            <v>0</v>
          </cell>
          <cell r="F30">
            <v>0</v>
          </cell>
          <cell r="G30">
            <v>0</v>
          </cell>
          <cell r="H30">
            <v>0</v>
          </cell>
          <cell r="I30">
            <v>0</v>
          </cell>
          <cell r="J30">
            <v>0</v>
          </cell>
          <cell r="K30">
            <v>0.1</v>
          </cell>
          <cell r="L30">
            <v>0.2</v>
          </cell>
          <cell r="M30">
            <v>0.95</v>
          </cell>
          <cell r="N30">
            <v>0.95</v>
          </cell>
          <cell r="O30">
            <v>0.95</v>
          </cell>
          <cell r="P30">
            <v>0.95</v>
          </cell>
          <cell r="Q30">
            <v>0.5</v>
          </cell>
          <cell r="R30">
            <v>0.95</v>
          </cell>
          <cell r="S30">
            <v>0.95</v>
          </cell>
          <cell r="T30">
            <v>0.95</v>
          </cell>
          <cell r="U30">
            <v>0.95</v>
          </cell>
          <cell r="V30">
            <v>0.3</v>
          </cell>
          <cell r="W30">
            <v>0.1</v>
          </cell>
          <cell r="X30">
            <v>0.1</v>
          </cell>
          <cell r="Y30">
            <v>0.1</v>
          </cell>
          <cell r="Z30">
            <v>0.1</v>
          </cell>
          <cell r="AA30">
            <v>0.05</v>
          </cell>
          <cell r="AB30">
            <v>0</v>
          </cell>
        </row>
        <row r="31">
          <cell r="D31" t="str">
            <v>Saturday</v>
          </cell>
          <cell r="E31">
            <v>0</v>
          </cell>
          <cell r="F31">
            <v>0</v>
          </cell>
          <cell r="G31">
            <v>0</v>
          </cell>
          <cell r="H31">
            <v>0</v>
          </cell>
          <cell r="I31">
            <v>0</v>
          </cell>
          <cell r="J31">
            <v>0</v>
          </cell>
          <cell r="K31">
            <v>0.1</v>
          </cell>
          <cell r="L31">
            <v>0.1</v>
          </cell>
          <cell r="M31">
            <v>0.3</v>
          </cell>
          <cell r="N31">
            <v>0.3</v>
          </cell>
          <cell r="O31">
            <v>0.3</v>
          </cell>
          <cell r="P31">
            <v>0.3</v>
          </cell>
          <cell r="Q31">
            <v>0.1</v>
          </cell>
          <cell r="R31">
            <v>0.1</v>
          </cell>
          <cell r="S31">
            <v>0.1</v>
          </cell>
          <cell r="T31">
            <v>0.1</v>
          </cell>
          <cell r="U31">
            <v>0.1</v>
          </cell>
          <cell r="V31">
            <v>0.05</v>
          </cell>
          <cell r="W31">
            <v>0.05</v>
          </cell>
          <cell r="X31">
            <v>0</v>
          </cell>
          <cell r="Y31">
            <v>0</v>
          </cell>
          <cell r="Z31">
            <v>0</v>
          </cell>
          <cell r="AA31">
            <v>0</v>
          </cell>
          <cell r="AB31">
            <v>0</v>
          </cell>
        </row>
        <row r="32">
          <cell r="D32" t="str">
            <v>Sunday</v>
          </cell>
          <cell r="E32">
            <v>0</v>
          </cell>
          <cell r="F32">
            <v>0</v>
          </cell>
          <cell r="G32">
            <v>0</v>
          </cell>
          <cell r="H32">
            <v>0</v>
          </cell>
          <cell r="I32">
            <v>0</v>
          </cell>
          <cell r="J32">
            <v>0</v>
          </cell>
          <cell r="K32">
            <v>0.05</v>
          </cell>
          <cell r="L32">
            <v>0.05</v>
          </cell>
          <cell r="M32">
            <v>0.05</v>
          </cell>
          <cell r="N32">
            <v>0.05</v>
          </cell>
          <cell r="O32">
            <v>0.05</v>
          </cell>
          <cell r="P32">
            <v>0.05</v>
          </cell>
          <cell r="Q32">
            <v>0.05</v>
          </cell>
          <cell r="R32">
            <v>0.05</v>
          </cell>
          <cell r="S32">
            <v>0.05</v>
          </cell>
          <cell r="T32">
            <v>0.05</v>
          </cell>
          <cell r="U32">
            <v>0.05</v>
          </cell>
          <cell r="V32">
            <v>0.05</v>
          </cell>
          <cell r="W32">
            <v>0</v>
          </cell>
          <cell r="X32">
            <v>0</v>
          </cell>
          <cell r="Y32">
            <v>0</v>
          </cell>
          <cell r="Z32">
            <v>0</v>
          </cell>
          <cell r="AA32">
            <v>0</v>
          </cell>
          <cell r="AB32">
            <v>0</v>
          </cell>
        </row>
        <row r="33">
          <cell r="D33" t="str">
            <v>Weekday</v>
          </cell>
          <cell r="E33">
            <v>0.05</v>
          </cell>
          <cell r="F33">
            <v>0.05</v>
          </cell>
          <cell r="G33">
            <v>0.05</v>
          </cell>
          <cell r="H33">
            <v>0.05</v>
          </cell>
          <cell r="I33">
            <v>0.05</v>
          </cell>
          <cell r="J33">
            <v>0.1</v>
          </cell>
          <cell r="K33">
            <v>0.1</v>
          </cell>
          <cell r="L33">
            <v>0.3</v>
          </cell>
          <cell r="M33">
            <v>0.65</v>
          </cell>
          <cell r="N33">
            <v>0.65</v>
          </cell>
          <cell r="O33">
            <v>0.65</v>
          </cell>
          <cell r="P33">
            <v>0.65</v>
          </cell>
          <cell r="Q33">
            <v>0.65</v>
          </cell>
          <cell r="R33">
            <v>0.65</v>
          </cell>
          <cell r="S33">
            <v>0.65</v>
          </cell>
          <cell r="T33">
            <v>0.65</v>
          </cell>
          <cell r="U33">
            <v>0.65</v>
          </cell>
          <cell r="V33">
            <v>0.35</v>
          </cell>
          <cell r="W33">
            <v>0.3</v>
          </cell>
          <cell r="X33">
            <v>0.3</v>
          </cell>
          <cell r="Y33">
            <v>0.2</v>
          </cell>
          <cell r="Z33">
            <v>0.2</v>
          </cell>
          <cell r="AA33">
            <v>0.1</v>
          </cell>
          <cell r="AB33">
            <v>0.05</v>
          </cell>
        </row>
        <row r="34">
          <cell r="D34" t="str">
            <v>Saturday</v>
          </cell>
          <cell r="E34">
            <v>0.05</v>
          </cell>
          <cell r="F34">
            <v>0.05</v>
          </cell>
          <cell r="G34">
            <v>0.05</v>
          </cell>
          <cell r="H34">
            <v>0.05</v>
          </cell>
          <cell r="I34">
            <v>0.05</v>
          </cell>
          <cell r="J34">
            <v>0.05</v>
          </cell>
          <cell r="K34">
            <v>0.1</v>
          </cell>
          <cell r="L34">
            <v>0.1</v>
          </cell>
          <cell r="M34">
            <v>0.3</v>
          </cell>
          <cell r="N34">
            <v>0.3</v>
          </cell>
          <cell r="O34">
            <v>0.3</v>
          </cell>
          <cell r="P34">
            <v>0.3</v>
          </cell>
          <cell r="Q34">
            <v>0.15</v>
          </cell>
          <cell r="R34">
            <v>0.15</v>
          </cell>
          <cell r="S34">
            <v>0.15</v>
          </cell>
          <cell r="T34">
            <v>0.15</v>
          </cell>
          <cell r="U34">
            <v>0.15</v>
          </cell>
          <cell r="V34">
            <v>0.05</v>
          </cell>
          <cell r="W34">
            <v>0.05</v>
          </cell>
          <cell r="X34">
            <v>0.05</v>
          </cell>
          <cell r="Y34">
            <v>0.05</v>
          </cell>
          <cell r="Z34">
            <v>0.05</v>
          </cell>
          <cell r="AA34">
            <v>0.05</v>
          </cell>
          <cell r="AB34">
            <v>0.05</v>
          </cell>
        </row>
        <row r="35">
          <cell r="D35" t="str">
            <v>Sunday</v>
          </cell>
          <cell r="E35">
            <v>0.05</v>
          </cell>
          <cell r="F35">
            <v>0.05</v>
          </cell>
          <cell r="G35">
            <v>0.05</v>
          </cell>
          <cell r="H35">
            <v>0.05</v>
          </cell>
          <cell r="I35">
            <v>0.05</v>
          </cell>
          <cell r="J35">
            <v>0.05</v>
          </cell>
          <cell r="K35">
            <v>0.05</v>
          </cell>
          <cell r="L35">
            <v>0.05</v>
          </cell>
          <cell r="M35">
            <v>0.05</v>
          </cell>
          <cell r="N35">
            <v>0.05</v>
          </cell>
          <cell r="O35">
            <v>0.05</v>
          </cell>
          <cell r="P35">
            <v>0.05</v>
          </cell>
          <cell r="Q35">
            <v>0.05</v>
          </cell>
          <cell r="R35">
            <v>0.05</v>
          </cell>
          <cell r="S35">
            <v>0.05</v>
          </cell>
          <cell r="T35">
            <v>0.05</v>
          </cell>
          <cell r="U35">
            <v>0.05</v>
          </cell>
          <cell r="V35">
            <v>0.05</v>
          </cell>
          <cell r="W35">
            <v>0.05</v>
          </cell>
          <cell r="X35">
            <v>0.05</v>
          </cell>
          <cell r="Y35">
            <v>0.05</v>
          </cell>
          <cell r="Z35">
            <v>0.05</v>
          </cell>
          <cell r="AA35">
            <v>0.05</v>
          </cell>
          <cell r="AB35">
            <v>0.05</v>
          </cell>
        </row>
      </sheetData>
      <sheetData sheetId="17"/>
      <sheetData sheetId="18"/>
      <sheetData sheetId="19"/>
      <sheetData sheetId="20"/>
      <sheetData sheetId="2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filing.energy.ca.gov/GetDocument.aspx?tn=265693&amp;DocumentContentId=102545" TargetMode="External"/><Relationship Id="rId13" Type="http://schemas.openxmlformats.org/officeDocument/2006/relationships/hyperlink" Target="https://www.energy.ca.gov/publications/2023/2022-california-commercial-end-use-survey-ceus-final-report" TargetMode="External"/><Relationship Id="rId18" Type="http://schemas.openxmlformats.org/officeDocument/2006/relationships/hyperlink" Target="https://www.ecfr.gov/current/title-10" TargetMode="External"/><Relationship Id="rId3" Type="http://schemas.openxmlformats.org/officeDocument/2006/relationships/hyperlink" Target="https://title24stakeholders.com/wp-content/uploads/2020/10/2022-T24-Final-CASE-Report_Reduce-Infiltration.pdf" TargetMode="External"/><Relationship Id="rId21" Type="http://schemas.openxmlformats.org/officeDocument/2006/relationships/hyperlink" Target="https://www.grainger.com/category/plumbing/water-heaters/electric-tank-water-heaters" TargetMode="External"/><Relationship Id="rId7" Type="http://schemas.openxmlformats.org/officeDocument/2006/relationships/hyperlink" Target="https://title24stakeholders.com/wp-content/uploads/2017/09/2019-T24-CASE-Report_Fume-Hoods_Final_September-2017.pdf?" TargetMode="External"/><Relationship Id="rId12" Type="http://schemas.openxmlformats.org/officeDocument/2006/relationships/hyperlink" Target="https://hvacresourcemap.nlr.gov/laboratories/lab-space/building-energy-modeling" TargetMode="External"/><Relationship Id="rId17" Type="http://schemas.openxmlformats.org/officeDocument/2006/relationships/hyperlink" Target="https://www.govinfo.gov/content/pkg/FR-2009-03-23/pdf/FR-2009-03-23.pdf" TargetMode="External"/><Relationship Id="rId2" Type="http://schemas.openxmlformats.org/officeDocument/2006/relationships/hyperlink" Target="https://github.com/sound-data/DEER-Prototypes-EnergyPlus" TargetMode="External"/><Relationship Id="rId16" Type="http://schemas.openxmlformats.org/officeDocument/2006/relationships/hyperlink" Target="https://www.ashrae.org/technical-resources/standards-and-guidelines/read-only-versions-of-ashrae-standards" TargetMode="External"/><Relationship Id="rId20" Type="http://schemas.openxmlformats.org/officeDocument/2006/relationships/hyperlink" Target="https://www.grainger.com/category/plumbing/water-heaters/gas-tank-water-heaters" TargetMode="External"/><Relationship Id="rId1" Type="http://schemas.openxmlformats.org/officeDocument/2006/relationships/hyperlink" Target="https://bees.noresco.com/software2022.html" TargetMode="External"/><Relationship Id="rId6"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1" Type="http://schemas.openxmlformats.org/officeDocument/2006/relationships/hyperlink" Target="https://www.dir.ca.gov/title8/5154_1.html" TargetMode="External"/><Relationship Id="rId5" Type="http://schemas.openxmlformats.org/officeDocument/2006/relationships/hyperlink" Target="https://www.pnnl.gov/main/publications/external/technical_reports/PNNL-20405.pdf" TargetMode="External"/><Relationship Id="rId15" Type="http://schemas.openxmlformats.org/officeDocument/2006/relationships/hyperlink" Target="https://codes.iccsafe.org/codes/united-states/california" TargetMode="External"/><Relationship Id="rId23" Type="http://schemas.openxmlformats.org/officeDocument/2006/relationships/drawing" Target="../drawings/drawing1.xml"/><Relationship Id="rId10" Type="http://schemas.openxmlformats.org/officeDocument/2006/relationships/hyperlink" Target="https://www.energy.ca.gov/publications/2022/2022-nonresidential-and-multifamily-alternative-calculation-method-reference" TargetMode="External"/><Relationship Id="rId19" Type="http://schemas.openxmlformats.org/officeDocument/2006/relationships/hyperlink" Target="https://www.energystar.gov/productfinder/product/certified-commercial-water-heaters/results?fuel_filter=Gas&amp;markets_filter=United+States" TargetMode="External"/><Relationship Id="rId4" Type="http://schemas.openxmlformats.org/officeDocument/2006/relationships/hyperlink" Target="https://title24stakeholders.com/wp-content/uploads/2016/10/T24-2019-CASE-Study-Results-Report-Outdoor-Sources_Final_with-Attachments.pdf" TargetMode="External"/><Relationship Id="rId9" Type="http://schemas.openxmlformats.org/officeDocument/2006/relationships/hyperlink" Target="https://www.energy.ca.gov/publications/2022/2022-nonresidential-and-multifamily-alternative-calculation-method-reference" TargetMode="External"/><Relationship Id="rId14" Type="http://schemas.openxmlformats.org/officeDocument/2006/relationships/hyperlink" Target="https://www.energy.ca.gov/publications/2025/2025-building-energy-efficiency-standards-residential-and-nonresidential" TargetMode="External"/><Relationship Id="rId2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70"/>
  <sheetViews>
    <sheetView tabSelected="1" zoomScale="80" zoomScaleNormal="80" workbookViewId="0">
      <selection sqref="A1:C1"/>
    </sheetView>
  </sheetViews>
  <sheetFormatPr defaultColWidth="9.33203125" defaultRowHeight="13.2" x14ac:dyDescent="0.25"/>
  <cols>
    <col min="1" max="1" width="20.88671875" style="7" customWidth="1"/>
    <col min="2" max="2" width="89.44140625" style="7" customWidth="1"/>
    <col min="3" max="3" width="60.44140625" style="7" customWidth="1"/>
    <col min="4" max="4" width="9.33203125" style="7"/>
    <col min="5" max="5" width="21.6640625" style="7" customWidth="1"/>
    <col min="6" max="6" width="10.6640625" style="7" customWidth="1"/>
    <col min="7" max="7" width="9.6640625" style="7" customWidth="1"/>
    <col min="8" max="8" width="9.6640625" style="7" bestFit="1" customWidth="1"/>
    <col min="9" max="16384" width="9.33203125" style="7"/>
  </cols>
  <sheetData>
    <row r="1" spans="1:6" ht="20.399999999999999" customHeight="1" x14ac:dyDescent="0.25">
      <c r="A1" s="564" t="s">
        <v>0</v>
      </c>
      <c r="B1" s="564"/>
      <c r="C1" s="564"/>
    </row>
    <row r="2" spans="1:6" x14ac:dyDescent="0.25">
      <c r="A2" s="565" t="s">
        <v>1</v>
      </c>
      <c r="B2" s="382" t="s">
        <v>2</v>
      </c>
      <c r="C2" s="76"/>
    </row>
    <row r="3" spans="1:6" x14ac:dyDescent="0.25">
      <c r="A3" s="565"/>
      <c r="B3" s="382" t="s">
        <v>3</v>
      </c>
      <c r="C3" s="385" t="s">
        <v>4</v>
      </c>
      <c r="D3" s="470" t="s">
        <v>5</v>
      </c>
      <c r="E3" s="470"/>
      <c r="F3" s="470"/>
    </row>
    <row r="4" spans="1:6" x14ac:dyDescent="0.25">
      <c r="A4" s="565"/>
      <c r="B4" s="382" t="s">
        <v>6</v>
      </c>
      <c r="C4" s="567" t="s">
        <v>5</v>
      </c>
      <c r="D4" s="567"/>
      <c r="E4" s="567"/>
      <c r="F4" s="567"/>
    </row>
    <row r="5" spans="1:6" x14ac:dyDescent="0.25">
      <c r="A5" s="565"/>
      <c r="B5" s="9"/>
      <c r="C5" s="473"/>
      <c r="D5" s="7" t="s">
        <v>5</v>
      </c>
    </row>
    <row r="6" spans="1:6" x14ac:dyDescent="0.25">
      <c r="A6" s="565" t="s">
        <v>7</v>
      </c>
      <c r="B6" s="9" t="s">
        <v>8</v>
      </c>
      <c r="C6" s="386" t="s">
        <v>9</v>
      </c>
      <c r="D6" s="7" t="s">
        <v>5</v>
      </c>
    </row>
    <row r="7" spans="1:6" x14ac:dyDescent="0.25">
      <c r="A7" s="565"/>
      <c r="B7" s="9" t="s">
        <v>10</v>
      </c>
      <c r="C7" s="386" t="s">
        <v>11</v>
      </c>
      <c r="D7" s="7" t="s">
        <v>5</v>
      </c>
    </row>
    <row r="8" spans="1:6" x14ac:dyDescent="0.25">
      <c r="A8" s="565"/>
      <c r="C8" s="386"/>
      <c r="D8" s="7" t="s">
        <v>5</v>
      </c>
    </row>
    <row r="9" spans="1:6" x14ac:dyDescent="0.25">
      <c r="A9" s="563" t="s">
        <v>12</v>
      </c>
      <c r="B9" s="568" t="s">
        <v>13</v>
      </c>
      <c r="C9" s="387" t="s">
        <v>14</v>
      </c>
      <c r="D9" s="499">
        <v>2025</v>
      </c>
      <c r="E9" s="388"/>
      <c r="F9" s="388"/>
    </row>
    <row r="10" spans="1:6" x14ac:dyDescent="0.25">
      <c r="A10" s="563"/>
      <c r="B10" s="568"/>
      <c r="C10" s="387" t="s">
        <v>15</v>
      </c>
      <c r="D10" s="382" t="s">
        <v>16</v>
      </c>
      <c r="E10" s="388"/>
      <c r="F10" s="388"/>
    </row>
    <row r="11" spans="1:6" x14ac:dyDescent="0.25">
      <c r="A11" s="563"/>
      <c r="B11" s="382" t="s">
        <v>17</v>
      </c>
      <c r="C11" s="387" t="s">
        <v>18</v>
      </c>
      <c r="D11" s="382" t="s">
        <v>5</v>
      </c>
      <c r="E11" s="388"/>
      <c r="F11" s="388"/>
    </row>
    <row r="12" spans="1:6" x14ac:dyDescent="0.25">
      <c r="A12" s="563"/>
      <c r="B12" s="76" t="s">
        <v>19</v>
      </c>
      <c r="C12" s="383" t="s">
        <v>20</v>
      </c>
      <c r="D12" s="388"/>
      <c r="E12" s="388"/>
      <c r="F12" s="388"/>
    </row>
    <row r="13" spans="1:6" x14ac:dyDescent="0.25">
      <c r="A13" s="563"/>
      <c r="B13" s="76" t="s">
        <v>21</v>
      </c>
      <c r="C13" s="389" t="s">
        <v>22</v>
      </c>
      <c r="D13" s="388" t="s">
        <v>5</v>
      </c>
      <c r="E13" s="388"/>
      <c r="F13" s="388"/>
    </row>
    <row r="14" spans="1:6" x14ac:dyDescent="0.25">
      <c r="A14" s="563"/>
      <c r="D14" s="76" t="s">
        <v>5</v>
      </c>
      <c r="E14" s="76"/>
      <c r="F14" s="76"/>
    </row>
    <row r="15" spans="1:6" ht="15" customHeight="1" x14ac:dyDescent="0.25">
      <c r="A15" s="563" t="s">
        <v>23</v>
      </c>
      <c r="B15" s="76" t="s">
        <v>24</v>
      </c>
      <c r="C15" s="388" t="s">
        <v>25</v>
      </c>
      <c r="D15" s="7" t="s">
        <v>5</v>
      </c>
    </row>
    <row r="16" spans="1:6" x14ac:dyDescent="0.25">
      <c r="A16" s="563"/>
      <c r="B16" s="76" t="s">
        <v>26</v>
      </c>
      <c r="C16" s="390" t="s">
        <v>25</v>
      </c>
      <c r="D16" s="7" t="s">
        <v>5</v>
      </c>
    </row>
    <row r="17" spans="1:4" x14ac:dyDescent="0.25">
      <c r="A17" s="563"/>
      <c r="B17" s="392" t="s">
        <v>27</v>
      </c>
      <c r="C17" s="386" t="s">
        <v>28</v>
      </c>
      <c r="D17" s="7" t="s">
        <v>5</v>
      </c>
    </row>
    <row r="18" spans="1:4" x14ac:dyDescent="0.25">
      <c r="A18" s="563"/>
      <c r="B18" s="76" t="s">
        <v>29</v>
      </c>
      <c r="C18" s="386" t="s">
        <v>30</v>
      </c>
      <c r="D18" s="7" t="s">
        <v>5</v>
      </c>
    </row>
    <row r="19" spans="1:4" x14ac:dyDescent="0.25">
      <c r="A19" s="563"/>
      <c r="B19" s="392" t="s">
        <v>31</v>
      </c>
      <c r="C19" s="384" t="s">
        <v>32</v>
      </c>
      <c r="D19" s="7" t="s">
        <v>5</v>
      </c>
    </row>
    <row r="20" spans="1:4" ht="14.4" x14ac:dyDescent="0.3">
      <c r="A20" s="563"/>
      <c r="B20" s="76" t="s">
        <v>33</v>
      </c>
      <c r="C20" s="141" t="s">
        <v>34</v>
      </c>
      <c r="D20" s="7" t="s">
        <v>5</v>
      </c>
    </row>
    <row r="21" spans="1:4" x14ac:dyDescent="0.25">
      <c r="A21" s="563"/>
      <c r="B21" s="76" t="s">
        <v>35</v>
      </c>
      <c r="C21" s="386" t="s">
        <v>36</v>
      </c>
      <c r="D21" s="7" t="s">
        <v>5</v>
      </c>
    </row>
    <row r="22" spans="1:4" ht="42.75" customHeight="1" x14ac:dyDescent="0.25">
      <c r="A22" s="563"/>
      <c r="B22" s="498" t="s">
        <v>37</v>
      </c>
      <c r="C22" s="391" t="s">
        <v>38</v>
      </c>
      <c r="D22" s="7" t="s">
        <v>5</v>
      </c>
    </row>
    <row r="23" spans="1:4" ht="13.5" customHeight="1" x14ac:dyDescent="0.25">
      <c r="A23" s="563"/>
      <c r="B23" s="76" t="s">
        <v>39</v>
      </c>
      <c r="C23" s="391" t="s">
        <v>40</v>
      </c>
      <c r="D23" s="7" t="s">
        <v>5</v>
      </c>
    </row>
    <row r="24" spans="1:4" ht="13.5" customHeight="1" x14ac:dyDescent="0.25">
      <c r="A24" s="563"/>
      <c r="B24" s="76" t="s">
        <v>41</v>
      </c>
      <c r="C24" s="391" t="s">
        <v>42</v>
      </c>
    </row>
    <row r="25" spans="1:4" ht="13.5" customHeight="1" x14ac:dyDescent="0.25">
      <c r="A25" s="563"/>
      <c r="B25" s="76" t="s">
        <v>43</v>
      </c>
      <c r="C25" s="391" t="s">
        <v>44</v>
      </c>
    </row>
    <row r="26" spans="1:4" ht="13.5" customHeight="1" x14ac:dyDescent="0.25">
      <c r="A26" s="563"/>
      <c r="B26" s="76" t="s">
        <v>45</v>
      </c>
      <c r="C26" s="391" t="s">
        <v>46</v>
      </c>
    </row>
    <row r="27" spans="1:4" ht="26.4" x14ac:dyDescent="0.25">
      <c r="A27" s="563"/>
      <c r="B27" s="392" t="s">
        <v>47</v>
      </c>
      <c r="C27" s="391" t="s">
        <v>48</v>
      </c>
      <c r="D27" s="7" t="s">
        <v>5</v>
      </c>
    </row>
    <row r="28" spans="1:4" ht="26.4" x14ac:dyDescent="0.25">
      <c r="A28" s="563"/>
      <c r="B28" s="392" t="s">
        <v>49</v>
      </c>
      <c r="C28" s="389" t="s">
        <v>50</v>
      </c>
    </row>
    <row r="29" spans="1:4" x14ac:dyDescent="0.25">
      <c r="A29" s="563"/>
      <c r="B29" s="392" t="s">
        <v>51</v>
      </c>
      <c r="C29" s="391" t="s">
        <v>52</v>
      </c>
      <c r="D29" s="7" t="s">
        <v>5</v>
      </c>
    </row>
    <row r="30" spans="1:4" ht="26.4" x14ac:dyDescent="0.25">
      <c r="A30" s="563"/>
      <c r="B30" s="392" t="s">
        <v>53</v>
      </c>
      <c r="C30" s="391" t="s">
        <v>54</v>
      </c>
    </row>
    <row r="31" spans="1:4" ht="13.5" customHeight="1" x14ac:dyDescent="0.25">
      <c r="A31" s="563"/>
      <c r="B31" s="76" t="s">
        <v>55</v>
      </c>
      <c r="C31" s="391" t="s">
        <v>56</v>
      </c>
    </row>
    <row r="32" spans="1:4" ht="13.5" customHeight="1" x14ac:dyDescent="0.25">
      <c r="A32" s="563"/>
      <c r="B32" s="76" t="s">
        <v>57</v>
      </c>
      <c r="C32" s="391" t="s">
        <v>58</v>
      </c>
    </row>
    <row r="33" spans="1:4" ht="13.5" customHeight="1" x14ac:dyDescent="0.25">
      <c r="A33" s="563"/>
      <c r="B33" s="76"/>
      <c r="C33" s="391"/>
    </row>
    <row r="34" spans="1:4" ht="12.75" customHeight="1" x14ac:dyDescent="0.25">
      <c r="A34" s="563"/>
      <c r="B34" s="76" t="s">
        <v>59</v>
      </c>
      <c r="C34" s="384" t="s">
        <v>60</v>
      </c>
      <c r="D34" s="7" t="s">
        <v>5</v>
      </c>
    </row>
    <row r="35" spans="1:4" ht="12.75" customHeight="1" x14ac:dyDescent="0.25">
      <c r="A35" s="563"/>
      <c r="B35" s="76" t="s">
        <v>61</v>
      </c>
      <c r="C35" s="384" t="s">
        <v>62</v>
      </c>
      <c r="D35" s="7" t="s">
        <v>5</v>
      </c>
    </row>
    <row r="36" spans="1:4" ht="12.75" customHeight="1" x14ac:dyDescent="0.25">
      <c r="A36" s="563"/>
      <c r="B36" s="76" t="s">
        <v>63</v>
      </c>
      <c r="C36" s="384" t="s">
        <v>64</v>
      </c>
      <c r="D36" s="7" t="s">
        <v>5</v>
      </c>
    </row>
    <row r="37" spans="1:4" ht="12.75" customHeight="1" x14ac:dyDescent="0.25">
      <c r="A37" s="382"/>
      <c r="C37" s="384"/>
    </row>
    <row r="38" spans="1:4" ht="12.75" customHeight="1" x14ac:dyDescent="0.3">
      <c r="A38" s="382"/>
      <c r="C38" s="240"/>
    </row>
    <row r="39" spans="1:4" ht="12.75" customHeight="1" x14ac:dyDescent="0.3">
      <c r="A39" s="382"/>
      <c r="C39" s="240"/>
    </row>
    <row r="40" spans="1:4" ht="14.4" x14ac:dyDescent="0.3">
      <c r="A40" s="499"/>
      <c r="B40" s="76"/>
      <c r="C40" s="141"/>
    </row>
    <row r="41" spans="1:4" ht="18.600000000000001" customHeight="1" x14ac:dyDescent="0.25">
      <c r="A41" s="564" t="s">
        <v>65</v>
      </c>
      <c r="B41" s="564"/>
      <c r="C41" s="564"/>
    </row>
    <row r="42" spans="1:4" x14ac:dyDescent="0.25">
      <c r="C42" s="473"/>
    </row>
    <row r="43" spans="1:4" x14ac:dyDescent="0.25">
      <c r="C43" s="473"/>
    </row>
    <row r="44" spans="1:4" x14ac:dyDescent="0.25">
      <c r="C44" s="473"/>
    </row>
    <row r="45" spans="1:4" x14ac:dyDescent="0.25">
      <c r="C45" s="473"/>
    </row>
    <row r="46" spans="1:4" x14ac:dyDescent="0.25">
      <c r="C46" s="473"/>
    </row>
    <row r="47" spans="1:4" x14ac:dyDescent="0.25">
      <c r="C47" s="473"/>
    </row>
    <row r="48" spans="1:4" x14ac:dyDescent="0.25">
      <c r="C48" s="473"/>
    </row>
    <row r="49" spans="1:8" x14ac:dyDescent="0.25">
      <c r="C49" s="473"/>
    </row>
    <row r="50" spans="1:8" x14ac:dyDescent="0.25">
      <c r="C50" s="473"/>
    </row>
    <row r="51" spans="1:8" x14ac:dyDescent="0.25">
      <c r="C51" s="473"/>
    </row>
    <row r="52" spans="1:8" x14ac:dyDescent="0.25">
      <c r="C52" s="473"/>
    </row>
    <row r="53" spans="1:8" ht="28.5" customHeight="1" x14ac:dyDescent="0.25">
      <c r="A53" s="569" t="s">
        <v>66</v>
      </c>
      <c r="B53" s="569"/>
      <c r="C53" s="569"/>
    </row>
    <row r="54" spans="1:8" ht="19.2" customHeight="1" x14ac:dyDescent="0.25">
      <c r="A54" s="564" t="s">
        <v>67</v>
      </c>
      <c r="B54" s="564"/>
      <c r="C54" s="564"/>
    </row>
    <row r="55" spans="1:8" ht="105.6" customHeight="1" x14ac:dyDescent="0.25">
      <c r="A55" s="469" t="s">
        <v>68</v>
      </c>
      <c r="B55" s="566" t="s">
        <v>69</v>
      </c>
      <c r="C55" s="566"/>
      <c r="E55" s="11"/>
      <c r="F55" s="466"/>
      <c r="G55" s="466"/>
      <c r="H55" s="466"/>
    </row>
    <row r="56" spans="1:8" ht="88.5" customHeight="1" x14ac:dyDescent="0.25">
      <c r="A56" s="468" t="s">
        <v>70</v>
      </c>
      <c r="B56" s="562" t="s">
        <v>71</v>
      </c>
      <c r="C56" s="562"/>
      <c r="E56" s="11"/>
      <c r="F56" s="21"/>
      <c r="G56" s="21"/>
      <c r="H56" s="21"/>
    </row>
    <row r="57" spans="1:8" ht="127.5" customHeight="1" x14ac:dyDescent="0.25">
      <c r="A57" s="468" t="s">
        <v>72</v>
      </c>
      <c r="B57" s="562" t="s">
        <v>73</v>
      </c>
      <c r="C57" s="562"/>
    </row>
    <row r="58" spans="1:8" ht="115.5" customHeight="1" x14ac:dyDescent="0.3">
      <c r="A58" s="468" t="s">
        <v>74</v>
      </c>
      <c r="B58" s="562" t="s">
        <v>75</v>
      </c>
      <c r="C58" s="562"/>
      <c r="E58"/>
    </row>
    <row r="70" spans="4:4" ht="14.4" x14ac:dyDescent="0.3">
      <c r="D70"/>
    </row>
  </sheetData>
  <mergeCells count="14">
    <mergeCell ref="B58:C58"/>
    <mergeCell ref="B56:C56"/>
    <mergeCell ref="B57:C57"/>
    <mergeCell ref="A15:A36"/>
    <mergeCell ref="A1:C1"/>
    <mergeCell ref="A2:A5"/>
    <mergeCell ref="A6:A8"/>
    <mergeCell ref="B55:C55"/>
    <mergeCell ref="A54:C54"/>
    <mergeCell ref="A41:C41"/>
    <mergeCell ref="A9:A14"/>
    <mergeCell ref="C4:F4"/>
    <mergeCell ref="B9:B10"/>
    <mergeCell ref="A53:C53"/>
  </mergeCells>
  <phoneticPr fontId="5" type="noConversion"/>
  <hyperlinks>
    <hyperlink ref="C6" r:id="rId1" xr:uid="{BE11EEF8-3AF7-48F0-A38B-7309CE5A9491}"/>
    <hyperlink ref="C7" r:id="rId2" xr:uid="{0DEB00BB-3A26-4527-9ED4-40D17F93A579}"/>
    <hyperlink ref="C17" r:id="rId3" xr:uid="{E864610B-B6CB-4D7D-8E7A-ADEB74F9D08F}"/>
    <hyperlink ref="C18" r:id="rId4" xr:uid="{C7B98ED6-F285-456B-8617-9DFBA59B4488}"/>
    <hyperlink ref="C20" r:id="rId5" xr:uid="{3EF0991A-66B7-47EA-BC76-6D88C135361A}"/>
    <hyperlink ref="C21" r:id="rId6" display="https://2050partners.sharepoint.com/:w:/r/sites/CalBEMCollaborativeEfforts/_layouts/15/Doc.aspx?sourcedoc=%7B3BEF8F74-7FAC-44F2-A70C-D76617660066%7D&amp;file=Infiltration_rate_report_14May2025-Short-Version.docx&amp;wdLOR=c494C5A60-5F8A-438B-874B-578DCB850072&amp;action=default&amp;mobileredirect=true" xr:uid="{FB28D0AE-707B-4359-BA85-99739BDF78DE}"/>
    <hyperlink ref="C19" r:id="rId7" xr:uid="{AC8A87CD-B523-4A49-AE6F-94E4A4371B42}"/>
    <hyperlink ref="C22" r:id="rId8" xr:uid="{A1B7E239-766B-437A-9E6F-1CC39586B0AC}"/>
    <hyperlink ref="C16" r:id="rId9" xr:uid="{503F163B-AFBD-427F-ADC4-A1AE50657669}"/>
    <hyperlink ref="C15" r:id="rId10" xr:uid="{5BA6A53F-5E4B-42F2-81E8-DF0D1E01FE52}"/>
    <hyperlink ref="C28" r:id="rId11" xr:uid="{87D9989E-6001-4AE2-B06D-1A2997DE9F78}"/>
    <hyperlink ref="C4" r:id="rId12" xr:uid="{529EDD2F-E831-4357-B729-461E0FFB0842}"/>
    <hyperlink ref="C3" r:id="rId13" xr:uid="{6559C735-110D-4AF8-BACB-BF93666C0B5F}"/>
    <hyperlink ref="C9" r:id="rId14" xr:uid="{B71992F5-F152-48E5-AEF6-A1A41E82526E}"/>
    <hyperlink ref="C10" r:id="rId15" xr:uid="{8C6BCBAD-EA35-4575-BF35-F2BDE4E50C66}"/>
    <hyperlink ref="C11" r:id="rId16" xr:uid="{D7B863C0-7A72-447B-BE2C-BE60D60F6BC3}"/>
    <hyperlink ref="C12" r:id="rId17" xr:uid="{F88C355A-2506-450F-9E0D-B2C3FC6C0814}"/>
    <hyperlink ref="C13" r:id="rId18" xr:uid="{744137C6-A45F-4D1B-B7CB-8381D4B10FC7}"/>
    <hyperlink ref="C34" r:id="rId19" xr:uid="{66F3975C-2CA3-4246-9DA7-792E54A4E948}"/>
    <hyperlink ref="C35" r:id="rId20" xr:uid="{E0E1F5B4-CD2C-4003-8F02-9AE0422A177B}"/>
    <hyperlink ref="C36" r:id="rId21" xr:uid="{640CD07D-80D9-4F3D-89CD-F1E9B0B86EB3}"/>
  </hyperlinks>
  <pageMargins left="0.7" right="0.7" top="0.75" bottom="0.75" header="0.3" footer="0.3"/>
  <pageSetup orientation="portrait" r:id="rId22"/>
  <drawing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3"/>
  <sheetViews>
    <sheetView zoomScaleNormal="100" workbookViewId="0">
      <selection sqref="A1:C1"/>
    </sheetView>
  </sheetViews>
  <sheetFormatPr defaultColWidth="9.33203125" defaultRowHeight="13.8" x14ac:dyDescent="0.25"/>
  <cols>
    <col min="1" max="1" width="25" style="5" customWidth="1"/>
    <col min="2" max="2" width="54.6640625" style="5" customWidth="1"/>
    <col min="3" max="3" width="60" style="5" customWidth="1"/>
    <col min="4" max="5" width="8.88671875" style="5" customWidth="1"/>
    <col min="6" max="9" width="8.6640625" style="5" customWidth="1"/>
    <col min="10" max="16384" width="9.33203125" style="5"/>
  </cols>
  <sheetData>
    <row r="1" spans="1:9" ht="17.399999999999999" x14ac:dyDescent="0.25">
      <c r="A1" s="570" t="s">
        <v>76</v>
      </c>
      <c r="B1" s="570"/>
      <c r="C1" s="570"/>
      <c r="D1" s="13"/>
      <c r="E1" s="13"/>
      <c r="F1" s="13"/>
    </row>
    <row r="2" spans="1:9" ht="25.2" customHeight="1" x14ac:dyDescent="0.25">
      <c r="A2" s="571" t="s">
        <v>77</v>
      </c>
      <c r="B2" s="571"/>
      <c r="C2" s="571"/>
      <c r="D2" s="13"/>
      <c r="E2" s="13"/>
      <c r="F2" s="13"/>
    </row>
    <row r="3" spans="1:9" ht="20.399999999999999" customHeight="1" x14ac:dyDescent="0.25">
      <c r="A3" s="136" t="s">
        <v>78</v>
      </c>
      <c r="B3" s="481" t="s">
        <v>79</v>
      </c>
      <c r="C3" s="137" t="s">
        <v>0</v>
      </c>
    </row>
    <row r="4" spans="1:9" ht="16.2" customHeight="1" x14ac:dyDescent="0.25">
      <c r="A4" s="15" t="s">
        <v>80</v>
      </c>
      <c r="B4" s="497" t="s">
        <v>77</v>
      </c>
      <c r="C4" s="15"/>
    </row>
    <row r="5" spans="1:9" ht="16.2" customHeight="1" x14ac:dyDescent="0.25">
      <c r="A5" s="15" t="s">
        <v>81</v>
      </c>
      <c r="B5" s="497" t="s">
        <v>82</v>
      </c>
      <c r="C5" s="15"/>
    </row>
    <row r="6" spans="1:9" ht="16.2" customHeight="1" x14ac:dyDescent="0.25">
      <c r="A6" s="371" t="s">
        <v>83</v>
      </c>
      <c r="B6" s="474" t="s">
        <v>84</v>
      </c>
      <c r="C6" s="370"/>
    </row>
    <row r="7" spans="1:9" ht="97.5" customHeight="1" x14ac:dyDescent="0.25">
      <c r="A7" s="15" t="s">
        <v>85</v>
      </c>
      <c r="B7" s="476" t="s">
        <v>86</v>
      </c>
      <c r="C7" s="16" t="s">
        <v>87</v>
      </c>
      <c r="D7" s="60"/>
    </row>
    <row r="8" spans="1:9" ht="97.2" customHeight="1" x14ac:dyDescent="0.3">
      <c r="A8" s="361" t="s">
        <v>88</v>
      </c>
      <c r="B8" s="362"/>
      <c r="C8" s="500" t="s">
        <v>89</v>
      </c>
      <c r="D8"/>
      <c r="I8" s="6"/>
    </row>
    <row r="9" spans="1:9" ht="23.25" customHeight="1" x14ac:dyDescent="0.25">
      <c r="A9" s="130" t="s">
        <v>90</v>
      </c>
      <c r="B9" s="256">
        <v>53627</v>
      </c>
      <c r="C9" s="572" t="s">
        <v>91</v>
      </c>
      <c r="D9" s="139" t="s">
        <v>5</v>
      </c>
    </row>
    <row r="10" spans="1:9" ht="21.75" customHeight="1" x14ac:dyDescent="0.25">
      <c r="A10" s="130" t="s">
        <v>92</v>
      </c>
      <c r="B10" s="59">
        <v>1.5</v>
      </c>
      <c r="C10" s="573"/>
    </row>
    <row r="11" spans="1:9" ht="23.25" customHeight="1" x14ac:dyDescent="0.25">
      <c r="A11" s="138" t="s">
        <v>93</v>
      </c>
      <c r="B11" s="444">
        <v>3</v>
      </c>
      <c r="C11" s="573"/>
    </row>
    <row r="12" spans="1:9" ht="24.75" customHeight="1" x14ac:dyDescent="0.25">
      <c r="A12" s="138" t="s">
        <v>94</v>
      </c>
      <c r="B12" s="497" t="s">
        <v>95</v>
      </c>
      <c r="C12" s="573"/>
    </row>
    <row r="13" spans="1:9" ht="27" customHeight="1" x14ac:dyDescent="0.25">
      <c r="A13" s="138" t="s">
        <v>96</v>
      </c>
      <c r="B13" s="244">
        <v>0.33</v>
      </c>
      <c r="C13" s="573"/>
    </row>
    <row r="14" spans="1:9" ht="22.2" customHeight="1" x14ac:dyDescent="0.25">
      <c r="A14" s="130" t="s">
        <v>97</v>
      </c>
      <c r="B14" s="14" t="s">
        <v>98</v>
      </c>
      <c r="C14" s="574"/>
    </row>
    <row r="15" spans="1:9" ht="33.6" customHeight="1" x14ac:dyDescent="0.25">
      <c r="A15" s="130" t="s">
        <v>99</v>
      </c>
      <c r="B15" s="477">
        <v>15</v>
      </c>
      <c r="C15" s="257" t="s">
        <v>100</v>
      </c>
    </row>
    <row r="16" spans="1:9" ht="28.5" customHeight="1" x14ac:dyDescent="0.25">
      <c r="A16" s="130" t="s">
        <v>101</v>
      </c>
      <c r="B16" s="477" t="s">
        <v>102</v>
      </c>
      <c r="C16" s="15"/>
    </row>
    <row r="17" spans="1:3" ht="26.4" x14ac:dyDescent="0.25">
      <c r="A17" s="130" t="s">
        <v>103</v>
      </c>
      <c r="B17" s="444" t="s">
        <v>104</v>
      </c>
      <c r="C17" s="15" t="s">
        <v>105</v>
      </c>
    </row>
    <row r="18" spans="1:3" x14ac:dyDescent="0.25">
      <c r="A18" s="90"/>
      <c r="B18" s="10"/>
      <c r="C18" s="9"/>
    </row>
    <row r="19" spans="1:3" ht="15.6" x14ac:dyDescent="0.25">
      <c r="A19" s="571" t="s">
        <v>106</v>
      </c>
      <c r="B19" s="571"/>
      <c r="C19" s="571"/>
    </row>
    <row r="20" spans="1:3" ht="43.2" x14ac:dyDescent="0.25">
      <c r="A20" s="241" t="s">
        <v>107</v>
      </c>
      <c r="B20" s="501">
        <v>28800</v>
      </c>
      <c r="C20" s="502" t="s">
        <v>108</v>
      </c>
    </row>
    <row r="21" spans="1:3" ht="28.8" x14ac:dyDescent="0.25">
      <c r="A21" s="241" t="s">
        <v>109</v>
      </c>
      <c r="B21" s="501">
        <v>11537</v>
      </c>
      <c r="C21" s="502" t="s">
        <v>110</v>
      </c>
    </row>
    <row r="22" spans="1:3" ht="43.2" x14ac:dyDescent="0.25">
      <c r="A22" s="241" t="s">
        <v>111</v>
      </c>
      <c r="B22" s="501">
        <f>B23-B21-B20</f>
        <v>13290</v>
      </c>
      <c r="C22" s="502" t="s">
        <v>112</v>
      </c>
    </row>
    <row r="23" spans="1:3" ht="26.4" x14ac:dyDescent="0.25">
      <c r="A23" s="241" t="s">
        <v>113</v>
      </c>
      <c r="B23" s="435">
        <v>53627</v>
      </c>
      <c r="C23" s="242" t="s">
        <v>114</v>
      </c>
    </row>
    <row r="24" spans="1:3" ht="43.2" x14ac:dyDescent="0.25">
      <c r="A24" s="241" t="s">
        <v>115</v>
      </c>
      <c r="B24" s="502">
        <v>90</v>
      </c>
      <c r="C24" s="502" t="s">
        <v>116</v>
      </c>
    </row>
    <row r="25" spans="1:3" x14ac:dyDescent="0.25">
      <c r="A25" s="90"/>
      <c r="B25" s="10"/>
      <c r="C25" s="9"/>
    </row>
    <row r="26" spans="1:3" x14ac:dyDescent="0.25">
      <c r="A26" s="90"/>
      <c r="B26" s="10"/>
      <c r="C26" s="9"/>
    </row>
    <row r="28" spans="1:3" x14ac:dyDescent="0.25">
      <c r="A28" s="91" t="s">
        <v>117</v>
      </c>
      <c r="B28" s="92">
        <v>21287.462713814315</v>
      </c>
      <c r="C28" s="9"/>
    </row>
    <row r="29" spans="1:3" x14ac:dyDescent="0.25">
      <c r="A29" s="91" t="s">
        <v>118</v>
      </c>
      <c r="B29" s="92">
        <v>21287.462713814315</v>
      </c>
      <c r="C29" s="9"/>
    </row>
    <row r="30" spans="1:3" x14ac:dyDescent="0.25">
      <c r="A30" s="91" t="s">
        <v>119</v>
      </c>
      <c r="B30" s="92">
        <v>17875.948946342338</v>
      </c>
      <c r="C30" s="9"/>
    </row>
    <row r="31" spans="1:3" ht="26.4" x14ac:dyDescent="0.25">
      <c r="A31" s="91" t="s">
        <v>120</v>
      </c>
      <c r="B31" s="92">
        <v>0</v>
      </c>
      <c r="C31" s="9"/>
    </row>
    <row r="32" spans="1:3" x14ac:dyDescent="0.25">
      <c r="A32" s="214"/>
      <c r="B32" s="215"/>
      <c r="C32" s="9"/>
    </row>
    <row r="33" spans="1:3" x14ac:dyDescent="0.25">
      <c r="A33" s="214"/>
      <c r="B33" s="215"/>
      <c r="C33" s="9"/>
    </row>
  </sheetData>
  <mergeCells count="4">
    <mergeCell ref="A1:C1"/>
    <mergeCell ref="A2:C2"/>
    <mergeCell ref="A19:C19"/>
    <mergeCell ref="C9:C1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4B109-0A2E-4C99-94B7-38EC2E92DE27}">
  <dimension ref="A1:U65"/>
  <sheetViews>
    <sheetView zoomScaleNormal="100" workbookViewId="0">
      <selection sqref="A1:M1"/>
    </sheetView>
  </sheetViews>
  <sheetFormatPr defaultColWidth="8.6640625" defaultRowHeight="12.75" customHeight="1" x14ac:dyDescent="0.25"/>
  <cols>
    <col min="1" max="1" width="26.5546875" style="9" customWidth="1"/>
    <col min="2" max="2" width="28.6640625" style="7" customWidth="1"/>
    <col min="3" max="3" width="40" style="7" customWidth="1"/>
    <col min="4" max="4" width="16.109375" style="7" customWidth="1"/>
    <col min="5" max="5" width="20.88671875" style="7" customWidth="1"/>
    <col min="6" max="6" width="12" style="7" bestFit="1" customWidth="1"/>
    <col min="7" max="8" width="11.33203125" style="7" customWidth="1"/>
    <col min="9" max="9" width="25.88671875" style="7" customWidth="1"/>
    <col min="10" max="12" width="32.5546875" style="7" customWidth="1"/>
    <col min="13" max="13" width="26.33203125" style="7" customWidth="1"/>
    <col min="14" max="14" width="12.6640625" style="7" customWidth="1"/>
    <col min="15" max="15" width="25.33203125" style="7" customWidth="1"/>
    <col min="16" max="16" width="52.5546875" style="7" customWidth="1"/>
    <col min="17" max="17" width="18.33203125" style="7" customWidth="1"/>
    <col min="18" max="18" width="25.6640625" style="7" customWidth="1"/>
    <col min="19" max="19" width="22.6640625" style="7" customWidth="1"/>
    <col min="20" max="20" width="16.33203125" style="7" customWidth="1"/>
    <col min="21" max="21" width="6.6640625" style="7" bestFit="1" customWidth="1"/>
    <col min="22" max="26" width="17.33203125" style="7" customWidth="1"/>
    <col min="27" max="16384" width="8.6640625" style="7"/>
  </cols>
  <sheetData>
    <row r="1" spans="1:21" ht="25.95" customHeight="1" x14ac:dyDescent="0.25">
      <c r="A1" s="564" t="str">
        <f>"Proposed Layout - "&amp;Prototype!B4</f>
        <v>Proposed Layout - Laboratory</v>
      </c>
      <c r="B1" s="564"/>
      <c r="C1" s="564"/>
      <c r="D1" s="564"/>
      <c r="E1" s="564"/>
      <c r="F1" s="564"/>
      <c r="G1" s="564"/>
      <c r="H1" s="564"/>
      <c r="I1" s="564"/>
      <c r="J1" s="564"/>
      <c r="K1" s="564"/>
      <c r="L1" s="564"/>
      <c r="M1" s="564"/>
    </row>
    <row r="2" spans="1:21" ht="53.4" customHeight="1" x14ac:dyDescent="0.3">
      <c r="A2" s="503" t="s">
        <v>121</v>
      </c>
      <c r="B2" s="379" t="s">
        <v>122</v>
      </c>
      <c r="C2" s="290" t="s">
        <v>123</v>
      </c>
      <c r="D2" s="245" t="s">
        <v>124</v>
      </c>
      <c r="E2" s="380" t="s">
        <v>125</v>
      </c>
      <c r="F2" s="480" t="s">
        <v>126</v>
      </c>
      <c r="G2" s="380" t="s">
        <v>127</v>
      </c>
      <c r="H2" s="381" t="s">
        <v>128</v>
      </c>
      <c r="I2" s="480" t="s">
        <v>129</v>
      </c>
      <c r="J2" s="480" t="s">
        <v>130</v>
      </c>
      <c r="K2" s="377" t="s">
        <v>131</v>
      </c>
      <c r="L2" s="378" t="s">
        <v>132</v>
      </c>
      <c r="M2" s="378" t="s">
        <v>67</v>
      </c>
      <c r="N2"/>
      <c r="O2"/>
      <c r="P2" s="29"/>
      <c r="Q2" s="29"/>
      <c r="R2" s="29"/>
    </row>
    <row r="3" spans="1:21" ht="39.6" x14ac:dyDescent="0.25">
      <c r="A3" s="293" t="s">
        <v>77</v>
      </c>
      <c r="B3" s="246" t="s">
        <v>133</v>
      </c>
      <c r="C3" s="262" t="s">
        <v>134</v>
      </c>
      <c r="D3" s="477" t="s">
        <v>135</v>
      </c>
      <c r="E3" s="477" t="s">
        <v>136</v>
      </c>
      <c r="F3" s="247" t="s">
        <v>137</v>
      </c>
      <c r="G3" s="263">
        <f>H3/$H$57</f>
        <v>7.9866485166054407E-2</v>
      </c>
      <c r="H3" s="264">
        <v>4283</v>
      </c>
      <c r="I3" s="264">
        <v>38547</v>
      </c>
      <c r="J3" s="247">
        <v>1</v>
      </c>
      <c r="K3" s="258">
        <f t="shared" ref="K3:K34" si="0">ROUND(H3*L3/1000,0)</f>
        <v>21</v>
      </c>
      <c r="L3" s="272">
        <v>5</v>
      </c>
      <c r="M3" s="395" t="s">
        <v>138</v>
      </c>
      <c r="O3" s="29"/>
      <c r="P3" s="29"/>
      <c r="Q3" s="29"/>
      <c r="R3" s="29"/>
    </row>
    <row r="4" spans="1:21" ht="17.7" customHeight="1" x14ac:dyDescent="0.3">
      <c r="A4" s="293" t="s">
        <v>77</v>
      </c>
      <c r="B4" s="246" t="s">
        <v>139</v>
      </c>
      <c r="C4" s="262" t="s">
        <v>134</v>
      </c>
      <c r="D4" s="477" t="s">
        <v>140</v>
      </c>
      <c r="E4" s="477" t="s">
        <v>136</v>
      </c>
      <c r="F4" s="247" t="s">
        <v>137</v>
      </c>
      <c r="G4" s="263">
        <f t="shared" ref="G4:G55" si="1">H4/$H$57</f>
        <v>4.285154866018983E-2</v>
      </c>
      <c r="H4" s="264">
        <v>2298</v>
      </c>
      <c r="I4" s="264">
        <v>20682</v>
      </c>
      <c r="J4" s="247">
        <v>1</v>
      </c>
      <c r="K4" s="258">
        <f t="shared" si="0"/>
        <v>11</v>
      </c>
      <c r="L4" s="272">
        <v>5</v>
      </c>
      <c r="M4" s="272"/>
      <c r="N4" s="393"/>
      <c r="O4" s="29"/>
      <c r="P4" s="29"/>
      <c r="Q4" s="29"/>
      <c r="R4" s="29"/>
      <c r="U4"/>
    </row>
    <row r="5" spans="1:21" ht="17.7" customHeight="1" x14ac:dyDescent="0.3">
      <c r="A5" s="293" t="s">
        <v>77</v>
      </c>
      <c r="B5" s="246" t="s">
        <v>141</v>
      </c>
      <c r="C5" s="262" t="s">
        <v>142</v>
      </c>
      <c r="D5" s="477" t="s">
        <v>143</v>
      </c>
      <c r="E5" s="477" t="s">
        <v>144</v>
      </c>
      <c r="F5" s="247" t="s">
        <v>137</v>
      </c>
      <c r="G5" s="263">
        <f t="shared" si="1"/>
        <v>3.0544315363529567E-2</v>
      </c>
      <c r="H5" s="264">
        <v>1638</v>
      </c>
      <c r="I5" s="264">
        <v>14741</v>
      </c>
      <c r="J5" s="247">
        <v>1</v>
      </c>
      <c r="K5" s="258">
        <f t="shared" si="0"/>
        <v>8</v>
      </c>
      <c r="L5" s="119">
        <v>5</v>
      </c>
      <c r="M5" s="119"/>
      <c r="N5"/>
      <c r="O5" s="29"/>
      <c r="P5" s="29"/>
      <c r="Q5" s="29"/>
      <c r="R5" s="29"/>
    </row>
    <row r="6" spans="1:21" ht="17.7" customHeight="1" x14ac:dyDescent="0.3">
      <c r="A6" s="293" t="s">
        <v>77</v>
      </c>
      <c r="B6" s="246" t="s">
        <v>145</v>
      </c>
      <c r="C6" s="262" t="s">
        <v>142</v>
      </c>
      <c r="D6" s="477" t="s">
        <v>143</v>
      </c>
      <c r="E6" s="477" t="s">
        <v>144</v>
      </c>
      <c r="F6" s="247" t="s">
        <v>137</v>
      </c>
      <c r="G6" s="263">
        <f t="shared" si="1"/>
        <v>3.0544315363529567E-2</v>
      </c>
      <c r="H6" s="264">
        <v>1638</v>
      </c>
      <c r="I6" s="264">
        <v>14741</v>
      </c>
      <c r="J6" s="247">
        <v>1</v>
      </c>
      <c r="K6" s="258">
        <f t="shared" si="0"/>
        <v>8</v>
      </c>
      <c r="L6" s="119">
        <v>5</v>
      </c>
      <c r="M6" s="119"/>
      <c r="N6"/>
      <c r="O6" s="29"/>
      <c r="P6" s="29"/>
      <c r="Q6" s="29"/>
      <c r="R6" s="29"/>
    </row>
    <row r="7" spans="1:21" ht="24.75" customHeight="1" x14ac:dyDescent="0.3">
      <c r="A7" s="293" t="s">
        <v>77</v>
      </c>
      <c r="B7" s="246" t="s">
        <v>146</v>
      </c>
      <c r="C7" s="262" t="s">
        <v>134</v>
      </c>
      <c r="D7" s="477" t="s">
        <v>147</v>
      </c>
      <c r="E7" s="477" t="s">
        <v>136</v>
      </c>
      <c r="F7" s="247" t="s">
        <v>137</v>
      </c>
      <c r="G7" s="263">
        <f t="shared" si="1"/>
        <v>2.211572528763496E-2</v>
      </c>
      <c r="H7" s="264">
        <v>1186</v>
      </c>
      <c r="I7" s="264">
        <v>10676</v>
      </c>
      <c r="J7" s="247">
        <v>1</v>
      </c>
      <c r="K7" s="258">
        <f t="shared" si="0"/>
        <v>6</v>
      </c>
      <c r="L7" s="272">
        <v>5</v>
      </c>
      <c r="M7" s="272"/>
      <c r="N7"/>
      <c r="O7" s="29"/>
      <c r="P7" s="29"/>
      <c r="Q7" s="29"/>
      <c r="R7" s="29"/>
    </row>
    <row r="8" spans="1:21" ht="26.25" customHeight="1" x14ac:dyDescent="0.3">
      <c r="A8" s="293" t="s">
        <v>77</v>
      </c>
      <c r="B8" s="246" t="s">
        <v>148</v>
      </c>
      <c r="C8" s="262" t="s">
        <v>149</v>
      </c>
      <c r="D8" s="477" t="s">
        <v>143</v>
      </c>
      <c r="E8" s="477" t="s">
        <v>144</v>
      </c>
      <c r="F8" s="247" t="s">
        <v>137</v>
      </c>
      <c r="G8" s="263">
        <f t="shared" si="1"/>
        <v>2.0735823372554869E-2</v>
      </c>
      <c r="H8" s="264">
        <v>1112</v>
      </c>
      <c r="I8" s="264">
        <v>10006</v>
      </c>
      <c r="J8" s="247">
        <v>1</v>
      </c>
      <c r="K8" s="258">
        <f t="shared" si="0"/>
        <v>37</v>
      </c>
      <c r="L8" s="248">
        <v>33</v>
      </c>
      <c r="M8" s="248"/>
      <c r="N8"/>
      <c r="O8" s="29"/>
      <c r="P8" s="29"/>
      <c r="Q8" s="29"/>
      <c r="R8" s="29"/>
    </row>
    <row r="9" spans="1:21" ht="17.7" customHeight="1" x14ac:dyDescent="0.3">
      <c r="A9" s="293" t="s">
        <v>77</v>
      </c>
      <c r="B9" s="246" t="s">
        <v>150</v>
      </c>
      <c r="C9" s="262" t="s">
        <v>151</v>
      </c>
      <c r="D9" s="477" t="s">
        <v>143</v>
      </c>
      <c r="E9" s="477" t="s">
        <v>144</v>
      </c>
      <c r="F9" s="247" t="s">
        <v>137</v>
      </c>
      <c r="G9" s="263">
        <f t="shared" si="1"/>
        <v>1.9747515244186695E-2</v>
      </c>
      <c r="H9" s="264">
        <v>1059</v>
      </c>
      <c r="I9" s="264">
        <v>9533</v>
      </c>
      <c r="J9" s="247">
        <v>1</v>
      </c>
      <c r="K9" s="258">
        <f t="shared" si="0"/>
        <v>11</v>
      </c>
      <c r="L9" s="247">
        <v>10</v>
      </c>
      <c r="M9" s="247"/>
      <c r="N9"/>
      <c r="O9" s="29"/>
      <c r="P9" s="29"/>
      <c r="Q9" s="29"/>
      <c r="R9" s="29"/>
    </row>
    <row r="10" spans="1:21" ht="17.7" customHeight="1" x14ac:dyDescent="0.3">
      <c r="A10" s="293" t="s">
        <v>77</v>
      </c>
      <c r="B10" s="246" t="s">
        <v>152</v>
      </c>
      <c r="C10" s="262" t="s">
        <v>153</v>
      </c>
      <c r="D10" s="477" t="s">
        <v>143</v>
      </c>
      <c r="E10" s="477" t="s">
        <v>154</v>
      </c>
      <c r="F10" s="247" t="s">
        <v>137</v>
      </c>
      <c r="G10" s="263">
        <f t="shared" si="1"/>
        <v>1.8330318682753092E-2</v>
      </c>
      <c r="H10" s="247">
        <v>983</v>
      </c>
      <c r="I10" s="264">
        <v>8848</v>
      </c>
      <c r="J10" s="247">
        <v>1</v>
      </c>
      <c r="K10" s="258">
        <f t="shared" si="0"/>
        <v>0</v>
      </c>
      <c r="L10" s="247">
        <v>0</v>
      </c>
      <c r="M10" s="247"/>
      <c r="N10"/>
      <c r="O10" s="29"/>
      <c r="P10" s="29"/>
      <c r="Q10" s="29"/>
      <c r="R10" s="29"/>
    </row>
    <row r="11" spans="1:21" ht="17.7" customHeight="1" x14ac:dyDescent="0.3">
      <c r="A11" s="293" t="s">
        <v>77</v>
      </c>
      <c r="B11" s="246" t="s">
        <v>155</v>
      </c>
      <c r="C11" s="262" t="s">
        <v>156</v>
      </c>
      <c r="D11" s="477" t="s">
        <v>143</v>
      </c>
      <c r="E11" s="477" t="s">
        <v>154</v>
      </c>
      <c r="F11" s="247" t="s">
        <v>137</v>
      </c>
      <c r="G11" s="263">
        <f t="shared" si="1"/>
        <v>6.6570943741025975E-3</v>
      </c>
      <c r="H11" s="247">
        <v>357</v>
      </c>
      <c r="I11" s="264">
        <v>3216</v>
      </c>
      <c r="J11" s="247">
        <v>1</v>
      </c>
      <c r="K11" s="258">
        <f t="shared" si="0"/>
        <v>0</v>
      </c>
      <c r="L11" s="247">
        <v>0</v>
      </c>
      <c r="M11" s="247"/>
      <c r="N11" s="393"/>
      <c r="O11" s="29"/>
      <c r="P11" s="29"/>
      <c r="Q11" s="29"/>
      <c r="R11" s="29"/>
    </row>
    <row r="12" spans="1:21" ht="17.7" customHeight="1" x14ac:dyDescent="0.3">
      <c r="A12" s="293" t="s">
        <v>77</v>
      </c>
      <c r="B12" s="246" t="s">
        <v>157</v>
      </c>
      <c r="C12" s="262" t="s">
        <v>158</v>
      </c>
      <c r="D12" s="477" t="s">
        <v>143</v>
      </c>
      <c r="E12" s="477" t="s">
        <v>159</v>
      </c>
      <c r="F12" s="247" t="s">
        <v>137</v>
      </c>
      <c r="G12" s="263">
        <f t="shared" si="1"/>
        <v>3.3378708486396778E-3</v>
      </c>
      <c r="H12" s="247">
        <v>179</v>
      </c>
      <c r="I12" s="264">
        <v>1610</v>
      </c>
      <c r="J12" s="247">
        <v>1</v>
      </c>
      <c r="K12" s="258">
        <f t="shared" si="0"/>
        <v>0</v>
      </c>
      <c r="L12" s="247">
        <v>1.5</v>
      </c>
      <c r="M12" s="247"/>
      <c r="N12" s="393"/>
      <c r="O12" s="29"/>
      <c r="P12" s="29"/>
      <c r="Q12" s="29"/>
      <c r="R12" s="29"/>
    </row>
    <row r="13" spans="1:21" ht="17.7" customHeight="1" x14ac:dyDescent="0.3">
      <c r="A13" s="293" t="s">
        <v>77</v>
      </c>
      <c r="B13" s="246" t="s">
        <v>160</v>
      </c>
      <c r="C13" s="262" t="s">
        <v>161</v>
      </c>
      <c r="D13" s="477" t="s">
        <v>143</v>
      </c>
      <c r="E13" s="477" t="s">
        <v>144</v>
      </c>
      <c r="F13" s="247" t="s">
        <v>137</v>
      </c>
      <c r="G13" s="263">
        <f t="shared" si="1"/>
        <v>1.2008876125832136E-2</v>
      </c>
      <c r="H13" s="247">
        <v>644</v>
      </c>
      <c r="I13" s="264">
        <v>5792</v>
      </c>
      <c r="J13" s="247">
        <v>1</v>
      </c>
      <c r="K13" s="258">
        <f t="shared" si="0"/>
        <v>0</v>
      </c>
      <c r="L13" s="247">
        <v>0</v>
      </c>
      <c r="M13" s="247"/>
      <c r="N13" s="394"/>
      <c r="O13" s="29"/>
      <c r="P13" s="29"/>
      <c r="Q13" s="29"/>
      <c r="R13" s="29"/>
    </row>
    <row r="14" spans="1:21" ht="17.7" customHeight="1" x14ac:dyDescent="0.3">
      <c r="A14" s="293" t="s">
        <v>77</v>
      </c>
      <c r="B14" s="246" t="s">
        <v>162</v>
      </c>
      <c r="C14" s="262" t="s">
        <v>163</v>
      </c>
      <c r="D14" s="477" t="s">
        <v>143</v>
      </c>
      <c r="E14" s="477" t="s">
        <v>144</v>
      </c>
      <c r="F14" s="247" t="s">
        <v>137</v>
      </c>
      <c r="G14" s="263">
        <f t="shared" si="1"/>
        <v>4.3261789770078505E-3</v>
      </c>
      <c r="H14" s="247">
        <v>232</v>
      </c>
      <c r="I14" s="264">
        <v>2091</v>
      </c>
      <c r="J14" s="247">
        <v>1</v>
      </c>
      <c r="K14" s="258">
        <f t="shared" si="0"/>
        <v>8</v>
      </c>
      <c r="L14" s="247">
        <v>33</v>
      </c>
      <c r="M14" s="247"/>
      <c r="N14" s="394"/>
      <c r="O14" s="29"/>
      <c r="P14" s="29"/>
      <c r="Q14" s="29"/>
      <c r="R14" s="29"/>
    </row>
    <row r="15" spans="1:21" ht="17.7" customHeight="1" x14ac:dyDescent="0.3">
      <c r="A15" s="293" t="s">
        <v>77</v>
      </c>
      <c r="B15" s="246" t="s">
        <v>164</v>
      </c>
      <c r="C15" s="262" t="s">
        <v>165</v>
      </c>
      <c r="D15" s="477" t="s">
        <v>143</v>
      </c>
      <c r="E15" s="477" t="s">
        <v>154</v>
      </c>
      <c r="F15" s="247" t="s">
        <v>137</v>
      </c>
      <c r="G15" s="263">
        <f t="shared" si="1"/>
        <v>1.2325880619837023E-2</v>
      </c>
      <c r="H15" s="247">
        <v>661</v>
      </c>
      <c r="I15" s="264">
        <v>5953</v>
      </c>
      <c r="J15" s="247">
        <v>1</v>
      </c>
      <c r="K15" s="258">
        <f t="shared" si="0"/>
        <v>0</v>
      </c>
      <c r="L15" s="247">
        <v>0</v>
      </c>
      <c r="M15" s="247"/>
      <c r="N15"/>
      <c r="O15" s="29"/>
      <c r="P15" s="29"/>
      <c r="Q15" s="29"/>
      <c r="R15" s="29"/>
    </row>
    <row r="16" spans="1:21" ht="17.7" customHeight="1" x14ac:dyDescent="0.3">
      <c r="A16" s="293" t="s">
        <v>77</v>
      </c>
      <c r="B16" s="246" t="s">
        <v>166</v>
      </c>
      <c r="C16" s="262" t="s">
        <v>167</v>
      </c>
      <c r="D16" s="477" t="s">
        <v>143</v>
      </c>
      <c r="E16" s="477" t="s">
        <v>144</v>
      </c>
      <c r="F16" s="247" t="s">
        <v>137</v>
      </c>
      <c r="G16" s="263">
        <f t="shared" si="1"/>
        <v>5.5941969530273932E-3</v>
      </c>
      <c r="H16" s="247">
        <v>300</v>
      </c>
      <c r="I16" s="264">
        <v>2700</v>
      </c>
      <c r="J16" s="247">
        <v>1</v>
      </c>
      <c r="K16" s="258">
        <f t="shared" si="0"/>
        <v>2</v>
      </c>
      <c r="L16" s="248">
        <v>5</v>
      </c>
      <c r="M16" s="248"/>
      <c r="N16"/>
      <c r="O16" s="29"/>
      <c r="P16" s="29"/>
      <c r="Q16" s="29"/>
      <c r="R16" s="29"/>
    </row>
    <row r="17" spans="1:20" ht="17.7" customHeight="1" x14ac:dyDescent="0.3">
      <c r="A17" s="293" t="s">
        <v>77</v>
      </c>
      <c r="B17" s="246" t="s">
        <v>168</v>
      </c>
      <c r="C17" s="262" t="s">
        <v>167</v>
      </c>
      <c r="D17" s="477" t="s">
        <v>143</v>
      </c>
      <c r="E17" s="477" t="s">
        <v>144</v>
      </c>
      <c r="F17" s="247" t="s">
        <v>137</v>
      </c>
      <c r="G17" s="263">
        <f t="shared" si="1"/>
        <v>9.3796035579092624E-3</v>
      </c>
      <c r="H17" s="247">
        <v>503</v>
      </c>
      <c r="I17" s="264">
        <v>4527</v>
      </c>
      <c r="J17" s="247">
        <v>1</v>
      </c>
      <c r="K17" s="258">
        <f t="shared" si="0"/>
        <v>3</v>
      </c>
      <c r="L17" s="248">
        <v>5</v>
      </c>
      <c r="M17" s="248"/>
      <c r="N17"/>
      <c r="O17" s="29"/>
      <c r="Q17" s="29"/>
      <c r="R17" s="29"/>
    </row>
    <row r="18" spans="1:20" ht="17.7" customHeight="1" x14ac:dyDescent="0.3">
      <c r="A18" s="293" t="s">
        <v>77</v>
      </c>
      <c r="B18" s="246" t="s">
        <v>169</v>
      </c>
      <c r="C18" s="262" t="s">
        <v>167</v>
      </c>
      <c r="D18" s="477" t="s">
        <v>143</v>
      </c>
      <c r="E18" s="477" t="s">
        <v>144</v>
      </c>
      <c r="F18" s="247" t="s">
        <v>137</v>
      </c>
      <c r="G18" s="263">
        <f t="shared" si="1"/>
        <v>5.5755496298506351E-3</v>
      </c>
      <c r="H18" s="247">
        <v>299</v>
      </c>
      <c r="I18" s="264">
        <v>2693</v>
      </c>
      <c r="J18" s="247">
        <v>1</v>
      </c>
      <c r="K18" s="258">
        <f t="shared" si="0"/>
        <v>1</v>
      </c>
      <c r="L18" s="248">
        <v>5</v>
      </c>
      <c r="M18" s="248"/>
      <c r="N18"/>
      <c r="O18" s="29"/>
      <c r="P18" s="29"/>
      <c r="Q18" s="29"/>
      <c r="R18" s="29"/>
    </row>
    <row r="19" spans="1:20" ht="17.7" customHeight="1" x14ac:dyDescent="0.3">
      <c r="A19" s="293" t="s">
        <v>77</v>
      </c>
      <c r="B19" s="246" t="s">
        <v>170</v>
      </c>
      <c r="C19" s="262" t="s">
        <v>167</v>
      </c>
      <c r="D19" s="477" t="s">
        <v>143</v>
      </c>
      <c r="E19" s="477" t="s">
        <v>144</v>
      </c>
      <c r="F19" s="247" t="s">
        <v>137</v>
      </c>
      <c r="G19" s="263">
        <f t="shared" si="1"/>
        <v>9.3796035579092624E-3</v>
      </c>
      <c r="H19" s="247">
        <v>503</v>
      </c>
      <c r="I19" s="264">
        <v>4527</v>
      </c>
      <c r="J19" s="247">
        <v>1</v>
      </c>
      <c r="K19" s="258">
        <f t="shared" si="0"/>
        <v>3</v>
      </c>
      <c r="L19" s="248">
        <v>5</v>
      </c>
      <c r="M19" s="248"/>
      <c r="N19"/>
      <c r="O19" s="29"/>
      <c r="Q19" s="29"/>
      <c r="R19" s="29"/>
    </row>
    <row r="20" spans="1:20" ht="14.4" x14ac:dyDescent="0.3">
      <c r="A20" s="293" t="s">
        <v>77</v>
      </c>
      <c r="B20" s="246" t="s">
        <v>171</v>
      </c>
      <c r="C20" s="262" t="s">
        <v>172</v>
      </c>
      <c r="D20" s="477" t="s">
        <v>173</v>
      </c>
      <c r="E20" s="477" t="s">
        <v>144</v>
      </c>
      <c r="F20" s="247" t="s">
        <v>174</v>
      </c>
      <c r="G20" s="263"/>
      <c r="H20" s="264">
        <v>17876</v>
      </c>
      <c r="I20" s="264">
        <v>71504</v>
      </c>
      <c r="J20" s="247">
        <v>1</v>
      </c>
      <c r="K20" s="258">
        <f t="shared" si="0"/>
        <v>0</v>
      </c>
      <c r="L20" s="247">
        <v>0</v>
      </c>
      <c r="M20" s="247"/>
      <c r="N20"/>
      <c r="O20" s="29"/>
      <c r="P20" s="29"/>
      <c r="Q20" s="29"/>
      <c r="R20" s="29"/>
    </row>
    <row r="21" spans="1:20" ht="16.2" customHeight="1" x14ac:dyDescent="0.3">
      <c r="A21" s="561" t="s">
        <v>77</v>
      </c>
      <c r="B21" s="250" t="s">
        <v>175</v>
      </c>
      <c r="C21" s="265" t="s">
        <v>134</v>
      </c>
      <c r="D21" s="249" t="s">
        <v>176</v>
      </c>
      <c r="E21" s="266" t="s">
        <v>136</v>
      </c>
      <c r="F21" s="249" t="s">
        <v>137</v>
      </c>
      <c r="G21" s="439">
        <f t="shared" si="1"/>
        <v>7.9866485166054407E-2</v>
      </c>
      <c r="H21" s="267">
        <v>4283</v>
      </c>
      <c r="I21" s="267">
        <v>38547</v>
      </c>
      <c r="J21" s="249">
        <v>1</v>
      </c>
      <c r="K21" s="259">
        <f t="shared" si="0"/>
        <v>21</v>
      </c>
      <c r="L21" s="273">
        <v>5</v>
      </c>
      <c r="M21" s="273"/>
      <c r="N21"/>
      <c r="P21" s="29" t="s">
        <v>177</v>
      </c>
      <c r="T21" s="29" t="s">
        <v>178</v>
      </c>
    </row>
    <row r="22" spans="1:20" ht="16.2" customHeight="1" x14ac:dyDescent="0.3">
      <c r="A22" s="561" t="s">
        <v>77</v>
      </c>
      <c r="B22" s="250" t="s">
        <v>179</v>
      </c>
      <c r="C22" s="265" t="s">
        <v>134</v>
      </c>
      <c r="D22" s="249" t="s">
        <v>180</v>
      </c>
      <c r="E22" s="266" t="s">
        <v>136</v>
      </c>
      <c r="F22" s="249" t="s">
        <v>137</v>
      </c>
      <c r="G22" s="439">
        <f t="shared" si="1"/>
        <v>4.285154866018983E-2</v>
      </c>
      <c r="H22" s="267">
        <v>2298</v>
      </c>
      <c r="I22" s="267">
        <v>20682</v>
      </c>
      <c r="J22" s="249">
        <v>1</v>
      </c>
      <c r="K22" s="259">
        <f t="shared" si="0"/>
        <v>11</v>
      </c>
      <c r="L22" s="273">
        <v>5</v>
      </c>
      <c r="M22" s="273"/>
      <c r="N22"/>
    </row>
    <row r="23" spans="1:20" ht="16.2" customHeight="1" x14ac:dyDescent="0.3">
      <c r="A23" s="561" t="s">
        <v>77</v>
      </c>
      <c r="B23" s="250" t="s">
        <v>181</v>
      </c>
      <c r="C23" s="265" t="s">
        <v>134</v>
      </c>
      <c r="D23" s="249" t="s">
        <v>182</v>
      </c>
      <c r="E23" s="266" t="s">
        <v>136</v>
      </c>
      <c r="F23" s="249" t="s">
        <v>137</v>
      </c>
      <c r="G23" s="439">
        <f t="shared" si="1"/>
        <v>3.0544315363529567E-2</v>
      </c>
      <c r="H23" s="267">
        <v>1638</v>
      </c>
      <c r="I23" s="267">
        <v>14741</v>
      </c>
      <c r="J23" s="249">
        <v>1</v>
      </c>
      <c r="K23" s="259">
        <f t="shared" si="0"/>
        <v>8</v>
      </c>
      <c r="L23" s="273">
        <v>5</v>
      </c>
      <c r="M23" s="273"/>
      <c r="N23"/>
    </row>
    <row r="24" spans="1:20" ht="16.2" customHeight="1" x14ac:dyDescent="0.3">
      <c r="A24" s="561" t="s">
        <v>77</v>
      </c>
      <c r="B24" s="250" t="s">
        <v>183</v>
      </c>
      <c r="C24" s="265" t="s">
        <v>134</v>
      </c>
      <c r="D24" s="249" t="s">
        <v>184</v>
      </c>
      <c r="E24" s="266" t="s">
        <v>136</v>
      </c>
      <c r="F24" s="249" t="s">
        <v>137</v>
      </c>
      <c r="G24" s="439">
        <f t="shared" si="1"/>
        <v>3.0544315363529567E-2</v>
      </c>
      <c r="H24" s="267">
        <v>1638</v>
      </c>
      <c r="I24" s="267">
        <v>14741</v>
      </c>
      <c r="J24" s="249">
        <v>1</v>
      </c>
      <c r="K24" s="259">
        <f t="shared" si="0"/>
        <v>8</v>
      </c>
      <c r="L24" s="273">
        <v>5</v>
      </c>
      <c r="M24" s="273"/>
      <c r="N24"/>
    </row>
    <row r="25" spans="1:20" ht="16.2" customHeight="1" x14ac:dyDescent="0.3">
      <c r="A25" s="561" t="s">
        <v>77</v>
      </c>
      <c r="B25" s="250" t="s">
        <v>185</v>
      </c>
      <c r="C25" s="265" t="s">
        <v>134</v>
      </c>
      <c r="D25" s="249" t="s">
        <v>186</v>
      </c>
      <c r="E25" s="266" t="s">
        <v>136</v>
      </c>
      <c r="F25" s="249" t="s">
        <v>137</v>
      </c>
      <c r="G25" s="439">
        <f t="shared" si="1"/>
        <v>2.211572528763496E-2</v>
      </c>
      <c r="H25" s="267">
        <v>1186</v>
      </c>
      <c r="I25" s="267">
        <v>10676</v>
      </c>
      <c r="J25" s="249">
        <v>1</v>
      </c>
      <c r="K25" s="259">
        <f t="shared" si="0"/>
        <v>6</v>
      </c>
      <c r="L25" s="273">
        <v>5</v>
      </c>
      <c r="M25" s="273"/>
      <c r="N25"/>
      <c r="P25" s="575" t="s">
        <v>187</v>
      </c>
      <c r="Q25" s="575"/>
      <c r="R25" s="575"/>
      <c r="S25" s="575"/>
    </row>
    <row r="26" spans="1:20" ht="16.2" customHeight="1" x14ac:dyDescent="0.3">
      <c r="A26" s="561" t="s">
        <v>77</v>
      </c>
      <c r="B26" s="250" t="s">
        <v>188</v>
      </c>
      <c r="C26" s="265" t="s">
        <v>134</v>
      </c>
      <c r="D26" s="249" t="s">
        <v>189</v>
      </c>
      <c r="E26" s="266" t="s">
        <v>136</v>
      </c>
      <c r="F26" s="249" t="s">
        <v>137</v>
      </c>
      <c r="G26" s="439">
        <f t="shared" si="1"/>
        <v>2.0735823372554869E-2</v>
      </c>
      <c r="H26" s="267">
        <v>1112</v>
      </c>
      <c r="I26" s="267">
        <v>10006</v>
      </c>
      <c r="J26" s="249">
        <v>1</v>
      </c>
      <c r="K26" s="259">
        <f t="shared" si="0"/>
        <v>6</v>
      </c>
      <c r="L26" s="273">
        <v>5</v>
      </c>
      <c r="M26" s="273"/>
      <c r="N26"/>
      <c r="P26" s="504" t="s">
        <v>190</v>
      </c>
      <c r="Q26" s="505" t="s">
        <v>191</v>
      </c>
      <c r="R26" s="505" t="s">
        <v>192</v>
      </c>
      <c r="S26" s="505" t="s">
        <v>193</v>
      </c>
    </row>
    <row r="27" spans="1:20" ht="16.2" customHeight="1" x14ac:dyDescent="0.3">
      <c r="A27" s="561" t="s">
        <v>77</v>
      </c>
      <c r="B27" s="250" t="s">
        <v>194</v>
      </c>
      <c r="C27" s="268" t="s">
        <v>163</v>
      </c>
      <c r="D27" s="266" t="s">
        <v>195</v>
      </c>
      <c r="E27" s="249" t="s">
        <v>144</v>
      </c>
      <c r="F27" s="249" t="s">
        <v>137</v>
      </c>
      <c r="G27" s="439">
        <f t="shared" si="1"/>
        <v>1.9747515244186695E-2</v>
      </c>
      <c r="H27" s="267">
        <v>1059</v>
      </c>
      <c r="I27" s="267">
        <v>9533</v>
      </c>
      <c r="J27" s="249">
        <v>1</v>
      </c>
      <c r="K27" s="259">
        <f t="shared" si="0"/>
        <v>16</v>
      </c>
      <c r="L27" s="506">
        <v>15</v>
      </c>
      <c r="M27" s="506"/>
      <c r="N27"/>
      <c r="P27" s="257" t="s">
        <v>134</v>
      </c>
      <c r="Q27" s="276">
        <f t="shared" ref="Q27:Q37" si="2">SUMIF($C$3:$C$56,P27,$G$3:$G$56)</f>
        <v>0.53706155481380646</v>
      </c>
      <c r="R27" s="247">
        <f t="shared" ref="R27:R37" si="3">SUMIF($C$3:$C$56,P27,$K$3:$K$56)</f>
        <v>142</v>
      </c>
      <c r="S27" s="275">
        <f t="shared" ref="S27:S37" si="4">R27/$R$38</f>
        <v>0.46254071661237783</v>
      </c>
    </row>
    <row r="28" spans="1:20" ht="16.2" customHeight="1" x14ac:dyDescent="0.3">
      <c r="A28" s="561" t="s">
        <v>77</v>
      </c>
      <c r="B28" s="250" t="s">
        <v>196</v>
      </c>
      <c r="C28" s="269" t="s">
        <v>153</v>
      </c>
      <c r="D28" s="266" t="s">
        <v>195</v>
      </c>
      <c r="E28" s="249" t="s">
        <v>154</v>
      </c>
      <c r="F28" s="249" t="s">
        <v>137</v>
      </c>
      <c r="G28" s="439">
        <f t="shared" si="1"/>
        <v>1.8330318682753092E-2</v>
      </c>
      <c r="H28" s="249">
        <v>983</v>
      </c>
      <c r="I28" s="267">
        <v>8848</v>
      </c>
      <c r="J28" s="249">
        <v>1</v>
      </c>
      <c r="K28" s="259">
        <f t="shared" si="0"/>
        <v>0</v>
      </c>
      <c r="L28" s="506">
        <v>0</v>
      </c>
      <c r="M28" s="506"/>
      <c r="N28"/>
      <c r="P28" s="257" t="s">
        <v>142</v>
      </c>
      <c r="Q28" s="276">
        <f t="shared" si="2"/>
        <v>0.12217726145411827</v>
      </c>
      <c r="R28" s="247">
        <f t="shared" si="3"/>
        <v>32</v>
      </c>
      <c r="S28" s="275">
        <f t="shared" si="4"/>
        <v>0.10423452768729642</v>
      </c>
    </row>
    <row r="29" spans="1:20" ht="16.2" customHeight="1" x14ac:dyDescent="0.3">
      <c r="A29" s="561" t="s">
        <v>77</v>
      </c>
      <c r="B29" s="250" t="s">
        <v>197</v>
      </c>
      <c r="C29" s="269" t="s">
        <v>156</v>
      </c>
      <c r="D29" s="266" t="s">
        <v>195</v>
      </c>
      <c r="E29" s="249" t="s">
        <v>154</v>
      </c>
      <c r="F29" s="249" t="s">
        <v>137</v>
      </c>
      <c r="G29" s="439">
        <f t="shared" si="1"/>
        <v>6.6570943741025975E-3</v>
      </c>
      <c r="H29" s="249">
        <v>357</v>
      </c>
      <c r="I29" s="267">
        <v>3216</v>
      </c>
      <c r="J29" s="249">
        <v>1</v>
      </c>
      <c r="K29" s="259">
        <f t="shared" si="0"/>
        <v>0</v>
      </c>
      <c r="L29" s="506">
        <v>0</v>
      </c>
      <c r="M29" s="506"/>
      <c r="N29"/>
      <c r="P29" s="257" t="s">
        <v>149</v>
      </c>
      <c r="Q29" s="276">
        <f t="shared" si="2"/>
        <v>2.0735823372554869E-2</v>
      </c>
      <c r="R29" s="247">
        <f t="shared" si="3"/>
        <v>37</v>
      </c>
      <c r="S29" s="275">
        <f t="shared" si="4"/>
        <v>0.12052117263843648</v>
      </c>
    </row>
    <row r="30" spans="1:20" ht="16.2" customHeight="1" x14ac:dyDescent="0.3">
      <c r="A30" s="561" t="s">
        <v>77</v>
      </c>
      <c r="B30" s="250" t="s">
        <v>198</v>
      </c>
      <c r="C30" s="269" t="s">
        <v>158</v>
      </c>
      <c r="D30" s="266" t="s">
        <v>195</v>
      </c>
      <c r="E30" s="249" t="s">
        <v>159</v>
      </c>
      <c r="F30" s="249" t="s">
        <v>137</v>
      </c>
      <c r="G30" s="439">
        <f t="shared" si="1"/>
        <v>3.3378708486396778E-3</v>
      </c>
      <c r="H30" s="249">
        <v>179</v>
      </c>
      <c r="I30" s="267">
        <v>1610</v>
      </c>
      <c r="J30" s="249">
        <v>1</v>
      </c>
      <c r="K30" s="259">
        <f t="shared" si="0"/>
        <v>0</v>
      </c>
      <c r="L30" s="261">
        <v>1.5</v>
      </c>
      <c r="M30" s="261"/>
      <c r="N30"/>
      <c r="P30" s="257" t="s">
        <v>151</v>
      </c>
      <c r="Q30" s="276">
        <f t="shared" si="2"/>
        <v>1.9747515244186695E-2</v>
      </c>
      <c r="R30" s="247">
        <f t="shared" si="3"/>
        <v>11</v>
      </c>
      <c r="S30" s="275">
        <f t="shared" si="4"/>
        <v>3.5830618892508145E-2</v>
      </c>
    </row>
    <row r="31" spans="1:20" ht="16.2" customHeight="1" x14ac:dyDescent="0.3">
      <c r="A31" s="561" t="s">
        <v>77</v>
      </c>
      <c r="B31" s="250" t="s">
        <v>199</v>
      </c>
      <c r="C31" s="269" t="s">
        <v>161</v>
      </c>
      <c r="D31" s="266" t="s">
        <v>195</v>
      </c>
      <c r="E31" s="249" t="s">
        <v>144</v>
      </c>
      <c r="F31" s="249" t="s">
        <v>137</v>
      </c>
      <c r="G31" s="439">
        <f t="shared" si="1"/>
        <v>1.2008876125832136E-2</v>
      </c>
      <c r="H31" s="249">
        <v>644</v>
      </c>
      <c r="I31" s="267">
        <v>5792</v>
      </c>
      <c r="J31" s="249">
        <v>1</v>
      </c>
      <c r="K31" s="259">
        <f t="shared" si="0"/>
        <v>0</v>
      </c>
      <c r="L31" s="506">
        <v>0</v>
      </c>
      <c r="M31" s="506"/>
      <c r="N31"/>
      <c r="P31" s="257" t="s">
        <v>153</v>
      </c>
      <c r="Q31" s="276">
        <f t="shared" si="2"/>
        <v>5.4990956048259279E-2</v>
      </c>
      <c r="R31" s="247">
        <f t="shared" si="3"/>
        <v>0</v>
      </c>
      <c r="S31" s="275">
        <f t="shared" si="4"/>
        <v>0</v>
      </c>
    </row>
    <row r="32" spans="1:20" s="8" customFormat="1" ht="16.2" customHeight="1" x14ac:dyDescent="0.3">
      <c r="A32" s="561" t="s">
        <v>77</v>
      </c>
      <c r="B32" s="260" t="s">
        <v>200</v>
      </c>
      <c r="C32" s="266" t="s">
        <v>163</v>
      </c>
      <c r="D32" s="266" t="s">
        <v>195</v>
      </c>
      <c r="E32" s="261" t="s">
        <v>144</v>
      </c>
      <c r="F32" s="261" t="s">
        <v>137</v>
      </c>
      <c r="G32" s="439">
        <f t="shared" si="1"/>
        <v>4.3261789770078505E-3</v>
      </c>
      <c r="H32" s="261">
        <v>232</v>
      </c>
      <c r="I32" s="270">
        <v>2091</v>
      </c>
      <c r="J32" s="261">
        <v>1</v>
      </c>
      <c r="K32" s="259">
        <f t="shared" si="0"/>
        <v>8</v>
      </c>
      <c r="L32" s="261">
        <v>33</v>
      </c>
      <c r="M32" s="261"/>
      <c r="N32"/>
      <c r="P32" s="257" t="s">
        <v>156</v>
      </c>
      <c r="Q32" s="276">
        <f t="shared" si="2"/>
        <v>1.9971283122307792E-2</v>
      </c>
      <c r="R32" s="247">
        <f t="shared" si="3"/>
        <v>0</v>
      </c>
      <c r="S32" s="275">
        <f t="shared" si="4"/>
        <v>0</v>
      </c>
    </row>
    <row r="33" spans="1:19" ht="16.2" customHeight="1" x14ac:dyDescent="0.3">
      <c r="A33" s="561" t="s">
        <v>77</v>
      </c>
      <c r="B33" s="250" t="s">
        <v>201</v>
      </c>
      <c r="C33" s="269" t="s">
        <v>165</v>
      </c>
      <c r="D33" s="266" t="s">
        <v>195</v>
      </c>
      <c r="E33" s="249" t="s">
        <v>154</v>
      </c>
      <c r="F33" s="249" t="s">
        <v>137</v>
      </c>
      <c r="G33" s="439">
        <f t="shared" si="1"/>
        <v>1.2325880619837023E-2</v>
      </c>
      <c r="H33" s="249">
        <v>661</v>
      </c>
      <c r="I33" s="267">
        <v>5953</v>
      </c>
      <c r="J33" s="249">
        <v>1</v>
      </c>
      <c r="K33" s="259">
        <f t="shared" si="0"/>
        <v>0</v>
      </c>
      <c r="L33" s="506">
        <v>0</v>
      </c>
      <c r="M33" s="506"/>
      <c r="N33"/>
      <c r="P33" s="257" t="s">
        <v>158</v>
      </c>
      <c r="Q33" s="276">
        <f t="shared" si="2"/>
        <v>1.0013612545919034E-2</v>
      </c>
      <c r="R33" s="247">
        <f t="shared" si="3"/>
        <v>0</v>
      </c>
      <c r="S33" s="275">
        <f t="shared" si="4"/>
        <v>0</v>
      </c>
    </row>
    <row r="34" spans="1:19" ht="16.2" customHeight="1" x14ac:dyDescent="0.3">
      <c r="A34" s="561" t="s">
        <v>77</v>
      </c>
      <c r="B34" s="250" t="s">
        <v>202</v>
      </c>
      <c r="C34" s="269" t="s">
        <v>167</v>
      </c>
      <c r="D34" s="266" t="s">
        <v>195</v>
      </c>
      <c r="E34" s="249" t="s">
        <v>144</v>
      </c>
      <c r="F34" s="249" t="s">
        <v>137</v>
      </c>
      <c r="G34" s="439">
        <f t="shared" si="1"/>
        <v>5.5941969530273932E-3</v>
      </c>
      <c r="H34" s="249">
        <v>300</v>
      </c>
      <c r="I34" s="267">
        <v>2700</v>
      </c>
      <c r="J34" s="249">
        <v>1</v>
      </c>
      <c r="K34" s="259">
        <f t="shared" si="0"/>
        <v>2</v>
      </c>
      <c r="L34" s="255">
        <v>5</v>
      </c>
      <c r="M34" s="255"/>
      <c r="N34"/>
      <c r="P34" s="257" t="s">
        <v>161</v>
      </c>
      <c r="Q34" s="276">
        <f t="shared" si="2"/>
        <v>3.6026628377496407E-2</v>
      </c>
      <c r="R34" s="247">
        <f t="shared" si="3"/>
        <v>0</v>
      </c>
      <c r="S34" s="275">
        <f t="shared" si="4"/>
        <v>0</v>
      </c>
    </row>
    <row r="35" spans="1:19" ht="16.2" customHeight="1" x14ac:dyDescent="0.3">
      <c r="A35" s="561" t="s">
        <v>77</v>
      </c>
      <c r="B35" s="250" t="s">
        <v>203</v>
      </c>
      <c r="C35" s="269" t="s">
        <v>167</v>
      </c>
      <c r="D35" s="266" t="s">
        <v>195</v>
      </c>
      <c r="E35" s="249" t="s">
        <v>144</v>
      </c>
      <c r="F35" s="249" t="s">
        <v>137</v>
      </c>
      <c r="G35" s="439">
        <f t="shared" si="1"/>
        <v>9.3796035579092624E-3</v>
      </c>
      <c r="H35" s="249">
        <v>503</v>
      </c>
      <c r="I35" s="267">
        <v>4527</v>
      </c>
      <c r="J35" s="249">
        <v>1</v>
      </c>
      <c r="K35" s="259">
        <f t="shared" ref="K35:K56" si="5">ROUND(H35*L35/1000,0)</f>
        <v>3</v>
      </c>
      <c r="L35" s="255">
        <v>5</v>
      </c>
      <c r="M35" s="255"/>
      <c r="N35"/>
      <c r="P35" s="257" t="s">
        <v>163</v>
      </c>
      <c r="Q35" s="276">
        <f t="shared" si="2"/>
        <v>5.247356741939694E-2</v>
      </c>
      <c r="R35" s="247">
        <f t="shared" si="3"/>
        <v>56</v>
      </c>
      <c r="S35" s="275">
        <f t="shared" si="4"/>
        <v>0.18241042345276873</v>
      </c>
    </row>
    <row r="36" spans="1:19" ht="16.2" customHeight="1" x14ac:dyDescent="0.25">
      <c r="A36" s="561" t="s">
        <v>77</v>
      </c>
      <c r="B36" s="250" t="s">
        <v>204</v>
      </c>
      <c r="C36" s="269" t="s">
        <v>167</v>
      </c>
      <c r="D36" s="266" t="s">
        <v>195</v>
      </c>
      <c r="E36" s="249" t="s">
        <v>144</v>
      </c>
      <c r="F36" s="249" t="s">
        <v>137</v>
      </c>
      <c r="G36" s="439">
        <f t="shared" si="1"/>
        <v>5.5941969530273932E-3</v>
      </c>
      <c r="H36" s="249">
        <v>300</v>
      </c>
      <c r="I36" s="267">
        <v>2693</v>
      </c>
      <c r="J36" s="249">
        <v>1</v>
      </c>
      <c r="K36" s="259">
        <f t="shared" si="5"/>
        <v>2</v>
      </c>
      <c r="L36" s="255">
        <v>5</v>
      </c>
      <c r="M36" s="255"/>
      <c r="P36" s="257" t="s">
        <v>165</v>
      </c>
      <c r="Q36" s="276">
        <f t="shared" si="2"/>
        <v>3.6977641859511065E-2</v>
      </c>
      <c r="R36" s="247">
        <f t="shared" si="3"/>
        <v>0</v>
      </c>
      <c r="S36" s="275">
        <f t="shared" si="4"/>
        <v>0</v>
      </c>
    </row>
    <row r="37" spans="1:19" ht="16.2" customHeight="1" x14ac:dyDescent="0.25">
      <c r="A37" s="561" t="s">
        <v>77</v>
      </c>
      <c r="B37" s="250" t="s">
        <v>205</v>
      </c>
      <c r="C37" s="269" t="s">
        <v>167</v>
      </c>
      <c r="D37" s="266" t="s">
        <v>195</v>
      </c>
      <c r="E37" s="249" t="s">
        <v>144</v>
      </c>
      <c r="F37" s="249" t="s">
        <v>137</v>
      </c>
      <c r="G37" s="439">
        <f t="shared" si="1"/>
        <v>9.3796035579092624E-3</v>
      </c>
      <c r="H37" s="249">
        <v>503</v>
      </c>
      <c r="I37" s="267">
        <v>4527</v>
      </c>
      <c r="J37" s="249">
        <v>1</v>
      </c>
      <c r="K37" s="259">
        <f t="shared" si="5"/>
        <v>3</v>
      </c>
      <c r="L37" s="255">
        <v>5</v>
      </c>
      <c r="M37" s="255"/>
      <c r="P37" s="257" t="s">
        <v>167</v>
      </c>
      <c r="Q37" s="276">
        <f t="shared" si="2"/>
        <v>8.9824155742443165E-2</v>
      </c>
      <c r="R37" s="247">
        <f t="shared" si="3"/>
        <v>29</v>
      </c>
      <c r="S37" s="275">
        <f t="shared" si="4"/>
        <v>9.4462540716612378E-2</v>
      </c>
    </row>
    <row r="38" spans="1:19" ht="16.2" customHeight="1" x14ac:dyDescent="0.25">
      <c r="A38" s="561" t="s">
        <v>77</v>
      </c>
      <c r="B38" s="250" t="s">
        <v>206</v>
      </c>
      <c r="C38" s="269" t="s">
        <v>172</v>
      </c>
      <c r="D38" s="266" t="s">
        <v>173</v>
      </c>
      <c r="E38" s="249" t="s">
        <v>144</v>
      </c>
      <c r="F38" s="249" t="s">
        <v>174</v>
      </c>
      <c r="G38" s="439"/>
      <c r="H38" s="267">
        <v>17876</v>
      </c>
      <c r="I38" s="267">
        <v>71504</v>
      </c>
      <c r="J38" s="249">
        <v>1</v>
      </c>
      <c r="K38" s="259">
        <f t="shared" si="5"/>
        <v>0</v>
      </c>
      <c r="L38" s="506">
        <v>0</v>
      </c>
      <c r="M38" s="506"/>
      <c r="P38" s="440" t="s">
        <v>207</v>
      </c>
      <c r="Q38" s="441">
        <f>SUM(Q27:Q37)</f>
        <v>0.99999999999999989</v>
      </c>
      <c r="R38" s="442">
        <f>SUM(R27:R37)</f>
        <v>307</v>
      </c>
      <c r="S38" s="441">
        <f>SUM(S27:S37)</f>
        <v>1</v>
      </c>
    </row>
    <row r="39" spans="1:19" ht="16.2" customHeight="1" x14ac:dyDescent="0.25">
      <c r="A39" s="293" t="s">
        <v>77</v>
      </c>
      <c r="B39" s="246" t="s">
        <v>208</v>
      </c>
      <c r="C39" s="262" t="s">
        <v>134</v>
      </c>
      <c r="D39" s="477" t="s">
        <v>209</v>
      </c>
      <c r="E39" s="477" t="s">
        <v>136</v>
      </c>
      <c r="F39" s="247" t="s">
        <v>137</v>
      </c>
      <c r="G39" s="263">
        <f t="shared" si="1"/>
        <v>7.9866485166054407E-2</v>
      </c>
      <c r="H39" s="264">
        <v>4283</v>
      </c>
      <c r="I39" s="264">
        <v>38547</v>
      </c>
      <c r="J39" s="247">
        <v>1</v>
      </c>
      <c r="K39" s="258">
        <f t="shared" si="5"/>
        <v>21</v>
      </c>
      <c r="L39" s="272">
        <v>5</v>
      </c>
      <c r="M39" s="272"/>
      <c r="N39" s="99"/>
    </row>
    <row r="40" spans="1:19" ht="16.2" customHeight="1" x14ac:dyDescent="0.25">
      <c r="A40" s="293" t="s">
        <v>77</v>
      </c>
      <c r="B40" s="246" t="s">
        <v>210</v>
      </c>
      <c r="C40" s="262" t="s">
        <v>134</v>
      </c>
      <c r="D40" s="477" t="s">
        <v>211</v>
      </c>
      <c r="E40" s="477" t="s">
        <v>136</v>
      </c>
      <c r="F40" s="247" t="s">
        <v>137</v>
      </c>
      <c r="G40" s="263">
        <f t="shared" si="1"/>
        <v>4.285154866018983E-2</v>
      </c>
      <c r="H40" s="264">
        <v>2298</v>
      </c>
      <c r="I40" s="264">
        <v>20682</v>
      </c>
      <c r="J40" s="247">
        <v>1</v>
      </c>
      <c r="K40" s="258">
        <f t="shared" si="5"/>
        <v>11</v>
      </c>
      <c r="L40" s="272">
        <v>5</v>
      </c>
      <c r="M40" s="272"/>
      <c r="N40" s="99"/>
    </row>
    <row r="41" spans="1:19" ht="16.2" customHeight="1" x14ac:dyDescent="0.25">
      <c r="A41" s="293" t="s">
        <v>77</v>
      </c>
      <c r="B41" s="246" t="s">
        <v>212</v>
      </c>
      <c r="C41" s="262" t="s">
        <v>142</v>
      </c>
      <c r="D41" s="477" t="s">
        <v>213</v>
      </c>
      <c r="E41" s="477" t="s">
        <v>144</v>
      </c>
      <c r="F41" s="247" t="s">
        <v>137</v>
      </c>
      <c r="G41" s="263">
        <f t="shared" si="1"/>
        <v>3.0544315363529567E-2</v>
      </c>
      <c r="H41" s="264">
        <v>1638</v>
      </c>
      <c r="I41" s="264">
        <v>14741</v>
      </c>
      <c r="J41" s="247">
        <v>1</v>
      </c>
      <c r="K41" s="258">
        <f t="shared" si="5"/>
        <v>8</v>
      </c>
      <c r="L41" s="119">
        <v>5</v>
      </c>
      <c r="M41" s="119"/>
      <c r="N41" s="99"/>
    </row>
    <row r="42" spans="1:19" ht="16.2" customHeight="1" x14ac:dyDescent="0.25">
      <c r="A42" s="293" t="s">
        <v>77</v>
      </c>
      <c r="B42" s="246" t="s">
        <v>214</v>
      </c>
      <c r="C42" s="262" t="s">
        <v>142</v>
      </c>
      <c r="D42" s="477" t="s">
        <v>213</v>
      </c>
      <c r="E42" s="477" t="s">
        <v>144</v>
      </c>
      <c r="F42" s="247" t="s">
        <v>137</v>
      </c>
      <c r="G42" s="263">
        <f t="shared" si="1"/>
        <v>3.0544315363529567E-2</v>
      </c>
      <c r="H42" s="264">
        <v>1638</v>
      </c>
      <c r="I42" s="264">
        <v>14741</v>
      </c>
      <c r="J42" s="247">
        <v>1</v>
      </c>
      <c r="K42" s="258">
        <f t="shared" si="5"/>
        <v>8</v>
      </c>
      <c r="L42" s="119">
        <v>5</v>
      </c>
      <c r="M42" s="119"/>
      <c r="N42" s="99"/>
    </row>
    <row r="43" spans="1:19" ht="16.2" customHeight="1" x14ac:dyDescent="0.25">
      <c r="A43" s="293" t="s">
        <v>77</v>
      </c>
      <c r="B43" s="246" t="s">
        <v>215</v>
      </c>
      <c r="C43" s="262" t="s">
        <v>134</v>
      </c>
      <c r="D43" s="477" t="s">
        <v>216</v>
      </c>
      <c r="E43" s="477" t="s">
        <v>136</v>
      </c>
      <c r="F43" s="247" t="s">
        <v>137</v>
      </c>
      <c r="G43" s="263">
        <f t="shared" si="1"/>
        <v>2.211572528763496E-2</v>
      </c>
      <c r="H43" s="264">
        <v>1186</v>
      </c>
      <c r="I43" s="264">
        <v>10676</v>
      </c>
      <c r="J43" s="247">
        <v>1</v>
      </c>
      <c r="K43" s="258">
        <f t="shared" si="5"/>
        <v>6</v>
      </c>
      <c r="L43" s="272">
        <v>5</v>
      </c>
      <c r="M43" s="272"/>
      <c r="N43" s="99"/>
    </row>
    <row r="44" spans="1:19" ht="16.2" customHeight="1" x14ac:dyDescent="0.25">
      <c r="A44" s="293" t="s">
        <v>77</v>
      </c>
      <c r="B44" s="246" t="s">
        <v>217</v>
      </c>
      <c r="C44" s="262" t="s">
        <v>134</v>
      </c>
      <c r="D44" s="477" t="s">
        <v>218</v>
      </c>
      <c r="E44" s="477" t="s">
        <v>136</v>
      </c>
      <c r="F44" s="247" t="s">
        <v>137</v>
      </c>
      <c r="G44" s="263">
        <f t="shared" si="1"/>
        <v>2.0735823372554869E-2</v>
      </c>
      <c r="H44" s="264">
        <v>1112</v>
      </c>
      <c r="I44" s="264">
        <v>10006</v>
      </c>
      <c r="J44" s="247">
        <v>1</v>
      </c>
      <c r="K44" s="258">
        <f t="shared" si="5"/>
        <v>6</v>
      </c>
      <c r="L44" s="272">
        <v>5</v>
      </c>
      <c r="M44" s="272"/>
      <c r="N44" s="99"/>
    </row>
    <row r="45" spans="1:19" ht="16.2" customHeight="1" x14ac:dyDescent="0.25">
      <c r="A45" s="293" t="s">
        <v>77</v>
      </c>
      <c r="B45" s="246" t="s">
        <v>219</v>
      </c>
      <c r="C45" s="262" t="s">
        <v>163</v>
      </c>
      <c r="D45" s="477" t="s">
        <v>213</v>
      </c>
      <c r="E45" s="477" t="s">
        <v>144</v>
      </c>
      <c r="F45" s="247" t="s">
        <v>137</v>
      </c>
      <c r="G45" s="263">
        <f t="shared" si="1"/>
        <v>1.9747515244186695E-2</v>
      </c>
      <c r="H45" s="264">
        <v>1059</v>
      </c>
      <c r="I45" s="264">
        <v>9533</v>
      </c>
      <c r="J45" s="247">
        <v>1</v>
      </c>
      <c r="K45" s="258">
        <f t="shared" si="5"/>
        <v>16</v>
      </c>
      <c r="L45" s="247">
        <v>15</v>
      </c>
      <c r="M45" s="247"/>
      <c r="N45" s="99"/>
    </row>
    <row r="46" spans="1:19" ht="16.2" customHeight="1" x14ac:dyDescent="0.25">
      <c r="A46" s="293" t="s">
        <v>77</v>
      </c>
      <c r="B46" s="246" t="s">
        <v>220</v>
      </c>
      <c r="C46" s="262" t="s">
        <v>153</v>
      </c>
      <c r="D46" s="477" t="s">
        <v>213</v>
      </c>
      <c r="E46" s="477" t="s">
        <v>154</v>
      </c>
      <c r="F46" s="247" t="s">
        <v>137</v>
      </c>
      <c r="G46" s="263">
        <f t="shared" si="1"/>
        <v>1.8330318682753092E-2</v>
      </c>
      <c r="H46" s="247">
        <v>983</v>
      </c>
      <c r="I46" s="264">
        <v>8848</v>
      </c>
      <c r="J46" s="247">
        <v>1</v>
      </c>
      <c r="K46" s="258">
        <f t="shared" si="5"/>
        <v>0</v>
      </c>
      <c r="L46" s="247">
        <v>0</v>
      </c>
      <c r="M46" s="247"/>
      <c r="N46" s="99"/>
    </row>
    <row r="47" spans="1:19" ht="16.2" customHeight="1" x14ac:dyDescent="0.25">
      <c r="A47" s="293" t="s">
        <v>77</v>
      </c>
      <c r="B47" s="246" t="s">
        <v>221</v>
      </c>
      <c r="C47" s="262" t="s">
        <v>156</v>
      </c>
      <c r="D47" s="477" t="s">
        <v>213</v>
      </c>
      <c r="E47" s="477" t="s">
        <v>154</v>
      </c>
      <c r="F47" s="247" t="s">
        <v>137</v>
      </c>
      <c r="G47" s="263">
        <f t="shared" si="1"/>
        <v>6.6570943741025975E-3</v>
      </c>
      <c r="H47" s="247">
        <v>357</v>
      </c>
      <c r="I47" s="264">
        <v>3216</v>
      </c>
      <c r="J47" s="247">
        <v>1</v>
      </c>
      <c r="K47" s="258">
        <f t="shared" si="5"/>
        <v>0</v>
      </c>
      <c r="L47" s="247">
        <v>0</v>
      </c>
      <c r="M47" s="247"/>
      <c r="N47" s="99"/>
    </row>
    <row r="48" spans="1:19" ht="16.2" customHeight="1" x14ac:dyDescent="0.25">
      <c r="A48" s="293" t="s">
        <v>77</v>
      </c>
      <c r="B48" s="246" t="s">
        <v>222</v>
      </c>
      <c r="C48" s="262" t="s">
        <v>158</v>
      </c>
      <c r="D48" s="477" t="s">
        <v>213</v>
      </c>
      <c r="E48" s="477" t="s">
        <v>159</v>
      </c>
      <c r="F48" s="247" t="s">
        <v>137</v>
      </c>
      <c r="G48" s="263">
        <f t="shared" si="1"/>
        <v>3.3378708486396778E-3</v>
      </c>
      <c r="H48" s="247">
        <v>179</v>
      </c>
      <c r="I48" s="264">
        <v>1610</v>
      </c>
      <c r="J48" s="247">
        <v>1</v>
      </c>
      <c r="K48" s="258">
        <f t="shared" si="5"/>
        <v>0</v>
      </c>
      <c r="L48" s="247">
        <v>1.5</v>
      </c>
      <c r="M48" s="247"/>
      <c r="N48" s="99"/>
    </row>
    <row r="49" spans="1:14" ht="16.2" customHeight="1" x14ac:dyDescent="0.25">
      <c r="A49" s="293" t="s">
        <v>77</v>
      </c>
      <c r="B49" s="246" t="s">
        <v>223</v>
      </c>
      <c r="C49" s="262" t="s">
        <v>161</v>
      </c>
      <c r="D49" s="477" t="s">
        <v>213</v>
      </c>
      <c r="E49" s="477" t="s">
        <v>144</v>
      </c>
      <c r="F49" s="247" t="s">
        <v>137</v>
      </c>
      <c r="G49" s="263">
        <f t="shared" si="1"/>
        <v>1.2008876125832136E-2</v>
      </c>
      <c r="H49" s="247">
        <v>644</v>
      </c>
      <c r="I49" s="264">
        <v>5792</v>
      </c>
      <c r="J49" s="247">
        <v>1</v>
      </c>
      <c r="K49" s="258">
        <f t="shared" si="5"/>
        <v>0</v>
      </c>
      <c r="L49" s="247">
        <v>0</v>
      </c>
      <c r="M49" s="247"/>
      <c r="N49" s="99"/>
    </row>
    <row r="50" spans="1:14" ht="16.2" customHeight="1" x14ac:dyDescent="0.25">
      <c r="A50" s="293" t="s">
        <v>77</v>
      </c>
      <c r="B50" s="246" t="s">
        <v>224</v>
      </c>
      <c r="C50" s="262" t="s">
        <v>163</v>
      </c>
      <c r="D50" s="477" t="s">
        <v>213</v>
      </c>
      <c r="E50" s="477" t="s">
        <v>144</v>
      </c>
      <c r="F50" s="247" t="s">
        <v>137</v>
      </c>
      <c r="G50" s="263">
        <f t="shared" si="1"/>
        <v>4.3261789770078505E-3</v>
      </c>
      <c r="H50" s="247">
        <v>232</v>
      </c>
      <c r="I50" s="264">
        <v>2091</v>
      </c>
      <c r="J50" s="247">
        <v>1</v>
      </c>
      <c r="K50" s="258">
        <f t="shared" si="5"/>
        <v>8</v>
      </c>
      <c r="L50" s="247">
        <v>33</v>
      </c>
      <c r="M50" s="247"/>
      <c r="N50" s="99"/>
    </row>
    <row r="51" spans="1:14" ht="16.2" customHeight="1" x14ac:dyDescent="0.25">
      <c r="A51" s="293" t="s">
        <v>77</v>
      </c>
      <c r="B51" s="246" t="s">
        <v>225</v>
      </c>
      <c r="C51" s="262" t="s">
        <v>165</v>
      </c>
      <c r="D51" s="477" t="s">
        <v>213</v>
      </c>
      <c r="E51" s="477" t="s">
        <v>154</v>
      </c>
      <c r="F51" s="247" t="s">
        <v>137</v>
      </c>
      <c r="G51" s="263">
        <f t="shared" si="1"/>
        <v>1.2325880619837023E-2</v>
      </c>
      <c r="H51" s="247">
        <v>661</v>
      </c>
      <c r="I51" s="264">
        <v>5953</v>
      </c>
      <c r="J51" s="247">
        <v>1</v>
      </c>
      <c r="K51" s="258">
        <f t="shared" si="5"/>
        <v>0</v>
      </c>
      <c r="L51" s="247">
        <v>0</v>
      </c>
      <c r="M51" s="247"/>
      <c r="N51" s="99"/>
    </row>
    <row r="52" spans="1:14" ht="16.2" customHeight="1" x14ac:dyDescent="0.25">
      <c r="A52" s="293" t="s">
        <v>77</v>
      </c>
      <c r="B52" s="246" t="s">
        <v>226</v>
      </c>
      <c r="C52" s="262" t="s">
        <v>167</v>
      </c>
      <c r="D52" s="477" t="s">
        <v>213</v>
      </c>
      <c r="E52" s="477" t="s">
        <v>144</v>
      </c>
      <c r="F52" s="247" t="s">
        <v>137</v>
      </c>
      <c r="G52" s="263">
        <f t="shared" si="1"/>
        <v>5.5941969530273932E-3</v>
      </c>
      <c r="H52" s="247">
        <v>300</v>
      </c>
      <c r="I52" s="264">
        <v>2700</v>
      </c>
      <c r="J52" s="247">
        <v>1</v>
      </c>
      <c r="K52" s="258">
        <f t="shared" si="5"/>
        <v>2</v>
      </c>
      <c r="L52" s="248">
        <v>5</v>
      </c>
      <c r="M52" s="248"/>
      <c r="N52" s="99"/>
    </row>
    <row r="53" spans="1:14" ht="16.2" customHeight="1" x14ac:dyDescent="0.25">
      <c r="A53" s="293" t="s">
        <v>77</v>
      </c>
      <c r="B53" s="246" t="s">
        <v>227</v>
      </c>
      <c r="C53" s="262" t="s">
        <v>167</v>
      </c>
      <c r="D53" s="477" t="s">
        <v>213</v>
      </c>
      <c r="E53" s="477" t="s">
        <v>144</v>
      </c>
      <c r="F53" s="247" t="s">
        <v>137</v>
      </c>
      <c r="G53" s="263">
        <f t="shared" si="1"/>
        <v>9.3796035579092624E-3</v>
      </c>
      <c r="H53" s="247">
        <v>503</v>
      </c>
      <c r="I53" s="264">
        <v>4527</v>
      </c>
      <c r="J53" s="247">
        <v>1</v>
      </c>
      <c r="K53" s="258">
        <f t="shared" si="5"/>
        <v>3</v>
      </c>
      <c r="L53" s="248">
        <v>5</v>
      </c>
      <c r="M53" s="248"/>
      <c r="N53" s="99"/>
    </row>
    <row r="54" spans="1:14" ht="16.2" customHeight="1" x14ac:dyDescent="0.25">
      <c r="A54" s="293" t="s">
        <v>77</v>
      </c>
      <c r="B54" s="246" t="s">
        <v>228</v>
      </c>
      <c r="C54" s="262" t="s">
        <v>167</v>
      </c>
      <c r="D54" s="477" t="s">
        <v>213</v>
      </c>
      <c r="E54" s="477" t="s">
        <v>144</v>
      </c>
      <c r="F54" s="247" t="s">
        <v>137</v>
      </c>
      <c r="G54" s="263">
        <f t="shared" si="1"/>
        <v>5.5941969530273932E-3</v>
      </c>
      <c r="H54" s="247">
        <v>300</v>
      </c>
      <c r="I54" s="264">
        <v>2693</v>
      </c>
      <c r="J54" s="247">
        <v>1</v>
      </c>
      <c r="K54" s="258">
        <f t="shared" si="5"/>
        <v>2</v>
      </c>
      <c r="L54" s="248">
        <v>5</v>
      </c>
      <c r="M54" s="248"/>
      <c r="N54" s="99"/>
    </row>
    <row r="55" spans="1:14" ht="16.2" customHeight="1" x14ac:dyDescent="0.25">
      <c r="A55" s="293" t="s">
        <v>77</v>
      </c>
      <c r="B55" s="246" t="s">
        <v>229</v>
      </c>
      <c r="C55" s="262" t="s">
        <v>167</v>
      </c>
      <c r="D55" s="477" t="s">
        <v>213</v>
      </c>
      <c r="E55" s="477" t="s">
        <v>144</v>
      </c>
      <c r="F55" s="247" t="s">
        <v>137</v>
      </c>
      <c r="G55" s="263">
        <f t="shared" si="1"/>
        <v>9.3796035579092624E-3</v>
      </c>
      <c r="H55" s="247">
        <v>503</v>
      </c>
      <c r="I55" s="264">
        <v>4527</v>
      </c>
      <c r="J55" s="247">
        <v>1</v>
      </c>
      <c r="K55" s="258">
        <f t="shared" si="5"/>
        <v>3</v>
      </c>
      <c r="L55" s="248">
        <v>5</v>
      </c>
      <c r="M55" s="248"/>
      <c r="N55" s="99"/>
    </row>
    <row r="56" spans="1:14" ht="16.2" customHeight="1" x14ac:dyDescent="0.25">
      <c r="A56" s="293" t="s">
        <v>77</v>
      </c>
      <c r="B56" s="246" t="s">
        <v>230</v>
      </c>
      <c r="C56" s="262" t="s">
        <v>172</v>
      </c>
      <c r="D56" s="477" t="s">
        <v>173</v>
      </c>
      <c r="E56" s="477" t="s">
        <v>144</v>
      </c>
      <c r="F56" s="247" t="s">
        <v>174</v>
      </c>
      <c r="G56" s="263"/>
      <c r="H56" s="264">
        <v>17876</v>
      </c>
      <c r="I56" s="264">
        <v>71504</v>
      </c>
      <c r="J56" s="507">
        <v>1</v>
      </c>
      <c r="K56" s="258">
        <f t="shared" si="5"/>
        <v>0</v>
      </c>
      <c r="L56" s="247">
        <v>0</v>
      </c>
      <c r="M56" s="247"/>
      <c r="N56" s="99"/>
    </row>
    <row r="57" spans="1:14" s="12" customFormat="1" ht="39.75" customHeight="1" x14ac:dyDescent="0.25">
      <c r="A57" s="438" t="s">
        <v>231</v>
      </c>
      <c r="B57" s="246" t="s">
        <v>232</v>
      </c>
      <c r="C57" s="246" t="s">
        <v>233</v>
      </c>
      <c r="D57" s="477" t="s">
        <v>234</v>
      </c>
      <c r="E57" s="477" t="s">
        <v>235</v>
      </c>
      <c r="F57" s="477" t="s">
        <v>236</v>
      </c>
      <c r="G57" s="243">
        <f>SUM(G3:G56)</f>
        <v>0.99999999999999989</v>
      </c>
      <c r="H57" s="256">
        <f>SUM(H3:H56)-H56-H38-H20</f>
        <v>53627</v>
      </c>
      <c r="I57" s="271">
        <v>658610</v>
      </c>
      <c r="J57" s="251"/>
      <c r="K57" s="258">
        <f>SUM(K3:K56)</f>
        <v>307</v>
      </c>
      <c r="L57" s="251"/>
      <c r="M57" s="251"/>
    </row>
    <row r="58" spans="1:14" ht="12.75" customHeight="1" x14ac:dyDescent="0.25">
      <c r="B58" s="76"/>
      <c r="C58" s="382"/>
      <c r="D58" s="382"/>
      <c r="E58" s="76"/>
      <c r="F58" s="76"/>
      <c r="G58" s="76"/>
      <c r="H58" s="508"/>
      <c r="I58" s="508"/>
      <c r="J58" s="508"/>
      <c r="K58" s="508"/>
      <c r="L58" s="508"/>
    </row>
    <row r="59" spans="1:14" ht="12.75" customHeight="1" x14ac:dyDescent="0.25">
      <c r="B59" s="76"/>
      <c r="C59" s="382"/>
      <c r="D59" s="253"/>
      <c r="E59" s="252"/>
      <c r="F59" s="252"/>
      <c r="G59" s="252"/>
      <c r="H59" s="254"/>
      <c r="I59" s="76"/>
      <c r="J59" s="76"/>
      <c r="K59" s="76"/>
      <c r="L59" s="76"/>
    </row>
    <row r="60" spans="1:14" ht="12.75" customHeight="1" x14ac:dyDescent="0.25">
      <c r="B60" s="252"/>
      <c r="C60" s="382"/>
      <c r="D60" s="84"/>
      <c r="E60" s="132"/>
      <c r="F60" s="132"/>
      <c r="G60" s="76"/>
      <c r="H60" s="508"/>
      <c r="I60" s="254"/>
      <c r="J60" s="254"/>
      <c r="K60" s="254"/>
      <c r="L60" s="254"/>
    </row>
    <row r="61" spans="1:14" ht="12.75" customHeight="1" x14ac:dyDescent="0.25">
      <c r="E61" s="274"/>
      <c r="F61" s="274"/>
      <c r="G61" s="76"/>
      <c r="H61" s="508"/>
      <c r="I61" s="508"/>
      <c r="J61" s="508"/>
      <c r="K61" s="508"/>
      <c r="L61" s="508"/>
    </row>
    <row r="62" spans="1:14" ht="12.75" customHeight="1" x14ac:dyDescent="0.25">
      <c r="G62" s="76"/>
      <c r="H62" s="508"/>
      <c r="I62" s="508"/>
      <c r="J62" s="508"/>
      <c r="K62" s="508"/>
      <c r="L62" s="508"/>
    </row>
    <row r="63" spans="1:14" ht="12.75" customHeight="1" x14ac:dyDescent="0.25">
      <c r="G63" s="76"/>
      <c r="H63" s="508"/>
      <c r="I63" s="508"/>
      <c r="J63" s="508"/>
      <c r="K63" s="508"/>
      <c r="L63" s="508"/>
    </row>
    <row r="64" spans="1:14" ht="12.75" customHeight="1" x14ac:dyDescent="0.25">
      <c r="G64" s="76"/>
      <c r="H64" s="508"/>
      <c r="I64" s="508"/>
      <c r="J64" s="508"/>
      <c r="K64" s="508"/>
      <c r="L64" s="508"/>
    </row>
    <row r="65" spans="7:12" ht="12.75" customHeight="1" x14ac:dyDescent="0.25">
      <c r="G65" s="76"/>
      <c r="H65" s="508"/>
      <c r="I65" s="508"/>
      <c r="J65" s="508"/>
      <c r="K65" s="508"/>
      <c r="L65" s="508"/>
    </row>
  </sheetData>
  <autoFilter ref="C2:M57" xr:uid="{B6A4B109-0A2E-4C99-94B7-38EC2E92DE27}"/>
  <mergeCells count="2">
    <mergeCell ref="P25:S25"/>
    <mergeCell ref="A1:M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33"/>
  <sheetViews>
    <sheetView zoomScale="85" zoomScaleNormal="85" workbookViewId="0">
      <selection sqref="A1:X1"/>
    </sheetView>
  </sheetViews>
  <sheetFormatPr defaultColWidth="9.33203125" defaultRowHeight="13.8" x14ac:dyDescent="0.25"/>
  <cols>
    <col min="1" max="1" width="15.44140625" style="55" customWidth="1"/>
    <col min="2" max="2" width="13.5546875" style="57" customWidth="1"/>
    <col min="3" max="3" width="21.5546875" style="55" customWidth="1"/>
    <col min="4" max="4" width="41.44140625" style="55" bestFit="1" customWidth="1"/>
    <col min="5" max="5" width="15.44140625" style="55" customWidth="1"/>
    <col min="6" max="6" width="20" style="55" customWidth="1"/>
    <col min="7" max="7" width="20.5546875" style="58" customWidth="1"/>
    <col min="8" max="8" width="59.5546875" style="55" customWidth="1"/>
    <col min="9" max="9" width="6.88671875" style="55" customWidth="1"/>
    <col min="10" max="12" width="7" style="55" customWidth="1"/>
    <col min="13" max="13" width="7.88671875" style="55" customWidth="1"/>
    <col min="14" max="14" width="8.6640625" style="55" customWidth="1"/>
    <col min="15" max="15" width="7" style="55" customWidth="1"/>
    <col min="16" max="16" width="7.109375" style="55" customWidth="1"/>
    <col min="17" max="17" width="7.5546875" style="55" customWidth="1"/>
    <col min="18" max="21" width="7" style="55" customWidth="1"/>
    <col min="22" max="22" width="7.6640625" style="55" customWidth="1"/>
    <col min="23" max="24" width="7" style="55" customWidth="1"/>
    <col min="25" max="25" width="53.109375" style="55" bestFit="1" customWidth="1"/>
    <col min="26" max="26" width="9.33203125" style="55"/>
    <col min="27" max="30" width="7.6640625" style="55" customWidth="1"/>
    <col min="31" max="31" width="9.6640625" style="55" customWidth="1"/>
    <col min="32" max="32" width="7.5546875" style="55" customWidth="1"/>
    <col min="33" max="33" width="11.44140625" style="55" customWidth="1"/>
    <col min="34" max="42" width="7.6640625" style="55" customWidth="1"/>
    <col min="43" max="46" width="10.44140625" style="55" customWidth="1"/>
    <col min="47" max="47" width="9.88671875" style="55" customWidth="1"/>
    <col min="48" max="48" width="10.44140625" style="55" customWidth="1"/>
    <col min="49" max="49" width="21.6640625" style="55" customWidth="1"/>
    <col min="50" max="50" width="10.44140625" style="55" customWidth="1"/>
    <col min="51" max="53" width="7.44140625" style="55" customWidth="1"/>
    <col min="54" max="54" width="7.6640625" style="55" customWidth="1"/>
    <col min="55" max="55" width="7.44140625" style="55" customWidth="1"/>
    <col min="56" max="56" width="13.6640625" style="55" customWidth="1"/>
    <col min="57" max="60" width="7.44140625" style="55" customWidth="1"/>
    <col min="61" max="62" width="9.6640625" style="55" bestFit="1" customWidth="1"/>
    <col min="63" max="16384" width="9.33203125" style="55"/>
  </cols>
  <sheetData>
    <row r="1" spans="1:62" ht="31.95" customHeight="1" x14ac:dyDescent="0.25">
      <c r="A1" s="582" t="str">
        <f>"Envelope - "&amp;Prototype!B4</f>
        <v>Envelope - Laboratory</v>
      </c>
      <c r="B1" s="582"/>
      <c r="C1" s="582"/>
      <c r="D1" s="582"/>
      <c r="E1" s="582"/>
      <c r="F1" s="582"/>
      <c r="G1" s="582"/>
      <c r="H1" s="582"/>
      <c r="I1" s="582"/>
      <c r="J1" s="582"/>
      <c r="K1" s="582"/>
      <c r="L1" s="582"/>
      <c r="M1" s="582"/>
      <c r="N1" s="582"/>
      <c r="O1" s="582"/>
      <c r="P1" s="582"/>
      <c r="Q1" s="582"/>
      <c r="R1" s="582"/>
      <c r="S1" s="582"/>
      <c r="T1" s="582"/>
      <c r="U1" s="582"/>
      <c r="V1" s="582"/>
      <c r="W1" s="582"/>
      <c r="X1" s="582"/>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row>
    <row r="2" spans="1:62" ht="28.2" customHeight="1" x14ac:dyDescent="0.25">
      <c r="A2" s="446" t="s">
        <v>237</v>
      </c>
      <c r="B2" s="446" t="s">
        <v>7</v>
      </c>
      <c r="C2" s="446" t="s">
        <v>238</v>
      </c>
      <c r="D2" s="446" t="s">
        <v>239</v>
      </c>
      <c r="E2" s="475" t="s">
        <v>240</v>
      </c>
      <c r="F2" s="446" t="s">
        <v>241</v>
      </c>
      <c r="G2" s="475" t="s">
        <v>242</v>
      </c>
      <c r="H2" s="446" t="s">
        <v>67</v>
      </c>
      <c r="I2" s="446" t="s">
        <v>243</v>
      </c>
      <c r="J2" s="446" t="s">
        <v>244</v>
      </c>
      <c r="K2" s="446" t="s">
        <v>245</v>
      </c>
      <c r="L2" s="446" t="s">
        <v>246</v>
      </c>
      <c r="M2" s="446" t="s">
        <v>247</v>
      </c>
      <c r="N2" s="446" t="s">
        <v>248</v>
      </c>
      <c r="O2" s="446" t="s">
        <v>249</v>
      </c>
      <c r="P2" s="446" t="s">
        <v>250</v>
      </c>
      <c r="Q2" s="446" t="s">
        <v>251</v>
      </c>
      <c r="R2" s="446" t="s">
        <v>252</v>
      </c>
      <c r="S2" s="446" t="s">
        <v>253</v>
      </c>
      <c r="T2" s="446" t="s">
        <v>254</v>
      </c>
      <c r="U2" s="446" t="s">
        <v>255</v>
      </c>
      <c r="V2" s="446" t="s">
        <v>256</v>
      </c>
      <c r="W2" s="446" t="s">
        <v>257</v>
      </c>
      <c r="X2" s="446" t="s">
        <v>258</v>
      </c>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row>
    <row r="3" spans="1:62" x14ac:dyDescent="0.25">
      <c r="A3" s="579" t="s">
        <v>259</v>
      </c>
      <c r="B3" s="578" t="str">
        <f>Prototype!A2</f>
        <v>Laboratory</v>
      </c>
      <c r="C3" s="578" t="s">
        <v>260</v>
      </c>
      <c r="D3" s="578" t="s">
        <v>261</v>
      </c>
      <c r="E3" s="579" t="s">
        <v>262</v>
      </c>
      <c r="F3" s="472" t="s">
        <v>263</v>
      </c>
      <c r="G3" s="472" t="s">
        <v>264</v>
      </c>
      <c r="H3" s="447" t="s">
        <v>265</v>
      </c>
      <c r="I3" s="447">
        <v>0.35199999999999998</v>
      </c>
      <c r="J3" s="447">
        <v>0.35199999999999998</v>
      </c>
      <c r="K3" s="447">
        <v>0.35199999999999998</v>
      </c>
      <c r="L3" s="447">
        <v>0.35199999999999998</v>
      </c>
      <c r="M3" s="447">
        <v>0.35199999999999998</v>
      </c>
      <c r="N3" s="447">
        <v>0.35199999999999998</v>
      </c>
      <c r="O3" s="447">
        <v>0.35199999999999998</v>
      </c>
      <c r="P3" s="447">
        <v>0.35199999999999998</v>
      </c>
      <c r="Q3" s="447">
        <v>0.35199999999999998</v>
      </c>
      <c r="R3" s="447">
        <v>0.35199999999999998</v>
      </c>
      <c r="S3" s="447">
        <v>0.35199999999999998</v>
      </c>
      <c r="T3" s="447">
        <v>0.35199999999999998</v>
      </c>
      <c r="U3" s="447">
        <v>0.35199999999999998</v>
      </c>
      <c r="V3" s="447">
        <v>0.35199999999999998</v>
      </c>
      <c r="W3" s="447">
        <v>0.35199999999999998</v>
      </c>
      <c r="X3" s="447">
        <v>0.35199999999999998</v>
      </c>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row>
    <row r="4" spans="1:62" ht="25.5" customHeight="1" x14ac:dyDescent="0.25">
      <c r="A4" s="579"/>
      <c r="B4" s="578"/>
      <c r="C4" s="578"/>
      <c r="D4" s="578"/>
      <c r="E4" s="579"/>
      <c r="F4" s="448" t="s">
        <v>266</v>
      </c>
      <c r="G4" s="448">
        <v>1986</v>
      </c>
      <c r="H4" s="449" t="s">
        <v>267</v>
      </c>
      <c r="I4" s="450">
        <v>0.21276595744680901</v>
      </c>
      <c r="J4" s="450">
        <v>0.22727272727272727</v>
      </c>
      <c r="K4" s="450">
        <v>0.22727272727272727</v>
      </c>
      <c r="L4" s="450">
        <v>0.21739130434782611</v>
      </c>
      <c r="M4" s="450">
        <v>0.25641025641025644</v>
      </c>
      <c r="N4" s="450">
        <v>0.25641025641025644</v>
      </c>
      <c r="O4" s="450">
        <v>0.25641025641025644</v>
      </c>
      <c r="P4" s="450">
        <v>0.25641025641025644</v>
      </c>
      <c r="Q4" s="450">
        <v>0.25641025641025644</v>
      </c>
      <c r="R4" s="450">
        <v>0.25641025641025644</v>
      </c>
      <c r="S4" s="450">
        <v>0.23809523809523808</v>
      </c>
      <c r="T4" s="450">
        <v>0.23809523809523808</v>
      </c>
      <c r="U4" s="450">
        <v>0.23809523809523808</v>
      </c>
      <c r="V4" s="450">
        <v>0.20833333333333334</v>
      </c>
      <c r="W4" s="450">
        <v>0.20833333333333334</v>
      </c>
      <c r="X4" s="450">
        <v>0.21276595744680851</v>
      </c>
      <c r="Y4" s="498" t="s">
        <v>268</v>
      </c>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row>
    <row r="5" spans="1:62" x14ac:dyDescent="0.25">
      <c r="A5" s="579"/>
      <c r="B5" s="578"/>
      <c r="C5" s="578"/>
      <c r="D5" s="578"/>
      <c r="E5" s="579"/>
      <c r="F5" s="451" t="s">
        <v>269</v>
      </c>
      <c r="G5" s="451">
        <v>2001</v>
      </c>
      <c r="H5" s="451" t="s">
        <v>270</v>
      </c>
      <c r="I5" s="451">
        <v>0.182</v>
      </c>
      <c r="J5" s="451">
        <v>0.182</v>
      </c>
      <c r="K5" s="451">
        <v>0.189</v>
      </c>
      <c r="L5" s="451">
        <v>0.189</v>
      </c>
      <c r="M5" s="451">
        <v>0.189</v>
      </c>
      <c r="N5" s="451">
        <v>0.189</v>
      </c>
      <c r="O5" s="451">
        <v>0.189</v>
      </c>
      <c r="P5" s="451">
        <v>0.189</v>
      </c>
      <c r="Q5" s="451">
        <v>0.189</v>
      </c>
      <c r="R5" s="451">
        <v>0.182</v>
      </c>
      <c r="S5" s="451">
        <v>0.182</v>
      </c>
      <c r="T5" s="451">
        <v>0.182</v>
      </c>
      <c r="U5" s="451">
        <v>0.182</v>
      </c>
      <c r="V5" s="451">
        <v>0.182</v>
      </c>
      <c r="W5" s="452">
        <v>0.182</v>
      </c>
      <c r="X5" s="452">
        <v>0.182</v>
      </c>
      <c r="Y5" s="498"/>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2" x14ac:dyDescent="0.25">
      <c r="A6" s="579"/>
      <c r="B6" s="578"/>
      <c r="C6" s="578"/>
      <c r="D6" s="578"/>
      <c r="E6" s="579"/>
      <c r="F6" s="453" t="s">
        <v>271</v>
      </c>
      <c r="G6" s="453">
        <v>2013</v>
      </c>
      <c r="H6" s="453" t="s">
        <v>272</v>
      </c>
      <c r="I6" s="453">
        <v>9.8000000000000004E-2</v>
      </c>
      <c r="J6" s="453">
        <v>6.2E-2</v>
      </c>
      <c r="K6" s="453">
        <v>8.2000000000000003E-2</v>
      </c>
      <c r="L6" s="453">
        <v>6.2E-2</v>
      </c>
      <c r="M6" s="453">
        <v>6.2E-2</v>
      </c>
      <c r="N6" s="453">
        <v>9.8000000000000004E-2</v>
      </c>
      <c r="O6" s="453">
        <v>9.8000000000000004E-2</v>
      </c>
      <c r="P6" s="453">
        <v>6.2E-2</v>
      </c>
      <c r="Q6" s="453">
        <v>6.2E-2</v>
      </c>
      <c r="R6" s="453">
        <v>6.2E-2</v>
      </c>
      <c r="S6" s="453">
        <v>6.2E-2</v>
      </c>
      <c r="T6" s="453">
        <v>6.2E-2</v>
      </c>
      <c r="U6" s="453">
        <v>6.2E-2</v>
      </c>
      <c r="V6" s="453">
        <v>6.2E-2</v>
      </c>
      <c r="W6" s="454">
        <v>6.2E-2</v>
      </c>
      <c r="X6" s="454">
        <v>6.2E-2</v>
      </c>
      <c r="Y6" s="498"/>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row>
    <row r="7" spans="1:62" x14ac:dyDescent="0.25">
      <c r="A7" s="579"/>
      <c r="B7" s="578"/>
      <c r="C7" s="578"/>
      <c r="D7" s="578"/>
      <c r="E7" s="579"/>
      <c r="F7" s="458" t="s">
        <v>274</v>
      </c>
      <c r="G7" s="459">
        <v>2025</v>
      </c>
      <c r="H7" s="459" t="s">
        <v>272</v>
      </c>
      <c r="I7" s="460">
        <v>0.06</v>
      </c>
      <c r="J7" s="459">
        <v>5.5E-2</v>
      </c>
      <c r="K7" s="459">
        <v>7.0999999999999994E-2</v>
      </c>
      <c r="L7" s="459">
        <v>5.5E-2</v>
      </c>
      <c r="M7" s="459">
        <v>5.5E-2</v>
      </c>
      <c r="N7" s="459">
        <v>0.06</v>
      </c>
      <c r="O7" s="459">
        <v>0.06</v>
      </c>
      <c r="P7" s="459">
        <v>5.5E-2</v>
      </c>
      <c r="Q7" s="459">
        <v>5.5E-2</v>
      </c>
      <c r="R7" s="459">
        <v>5.5E-2</v>
      </c>
      <c r="S7" s="459">
        <v>5.5E-2</v>
      </c>
      <c r="T7" s="459">
        <v>5.5E-2</v>
      </c>
      <c r="U7" s="459">
        <v>5.5E-2</v>
      </c>
      <c r="V7" s="459">
        <v>5.5E-2</v>
      </c>
      <c r="W7" s="461">
        <v>5.5E-2</v>
      </c>
      <c r="X7" s="461">
        <v>5.5E-2</v>
      </c>
      <c r="Y7" s="498"/>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x14ac:dyDescent="0.25">
      <c r="A8" s="579" t="s">
        <v>275</v>
      </c>
      <c r="B8" s="578" t="str">
        <f t="shared" ref="B8" si="0">$B$3</f>
        <v>Laboratory</v>
      </c>
      <c r="C8" s="578" t="s">
        <v>276</v>
      </c>
      <c r="D8" s="580" t="s">
        <v>277</v>
      </c>
      <c r="E8" s="579" t="s">
        <v>262</v>
      </c>
      <c r="F8" s="472" t="s">
        <v>263</v>
      </c>
      <c r="G8" s="472" t="s">
        <v>264</v>
      </c>
      <c r="H8" s="578" t="s">
        <v>278</v>
      </c>
      <c r="I8" s="472">
        <v>5.7000000000000002E-2</v>
      </c>
      <c r="J8" s="472">
        <v>5.7000000000000002E-2</v>
      </c>
      <c r="K8" s="472">
        <v>5.7000000000000002E-2</v>
      </c>
      <c r="L8" s="472">
        <v>5.7000000000000002E-2</v>
      </c>
      <c r="M8" s="472">
        <v>5.7000000000000002E-2</v>
      </c>
      <c r="N8" s="472">
        <v>7.8E-2</v>
      </c>
      <c r="O8" s="472">
        <v>7.8E-2</v>
      </c>
      <c r="P8" s="472">
        <v>7.8E-2</v>
      </c>
      <c r="Q8" s="472">
        <v>7.8E-2</v>
      </c>
      <c r="R8" s="472">
        <v>7.8E-2</v>
      </c>
      <c r="S8" s="472">
        <v>5.7000000000000002E-2</v>
      </c>
      <c r="T8" s="472">
        <v>5.7000000000000002E-2</v>
      </c>
      <c r="U8" s="472">
        <v>5.7000000000000002E-2</v>
      </c>
      <c r="V8" s="472">
        <v>5.7000000000000002E-2</v>
      </c>
      <c r="W8" s="472">
        <v>5.7000000000000002E-2</v>
      </c>
      <c r="X8" s="472">
        <v>5.7000000000000002E-2</v>
      </c>
      <c r="Y8" s="498"/>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row>
    <row r="9" spans="1:62" x14ac:dyDescent="0.25">
      <c r="A9" s="579"/>
      <c r="B9" s="578"/>
      <c r="C9" s="579"/>
      <c r="D9" s="580"/>
      <c r="E9" s="579"/>
      <c r="F9" s="448" t="s">
        <v>266</v>
      </c>
      <c r="G9" s="448">
        <v>1992</v>
      </c>
      <c r="H9" s="578"/>
      <c r="I9" s="448">
        <v>5.7000000000000002E-2</v>
      </c>
      <c r="J9" s="448">
        <v>5.7000000000000002E-2</v>
      </c>
      <c r="K9" s="448">
        <v>5.7000000000000002E-2</v>
      </c>
      <c r="L9" s="448">
        <v>5.7000000000000002E-2</v>
      </c>
      <c r="M9" s="448">
        <v>5.7000000000000002E-2</v>
      </c>
      <c r="N9" s="448">
        <v>7.8E-2</v>
      </c>
      <c r="O9" s="448">
        <v>7.8E-2</v>
      </c>
      <c r="P9" s="448">
        <v>7.8E-2</v>
      </c>
      <c r="Q9" s="448">
        <v>7.8E-2</v>
      </c>
      <c r="R9" s="448">
        <v>7.8E-2</v>
      </c>
      <c r="S9" s="448">
        <v>5.7000000000000002E-2</v>
      </c>
      <c r="T9" s="448">
        <v>5.7000000000000002E-2</v>
      </c>
      <c r="U9" s="448">
        <v>5.7000000000000002E-2</v>
      </c>
      <c r="V9" s="448">
        <v>5.7000000000000002E-2</v>
      </c>
      <c r="W9" s="448">
        <v>5.7000000000000002E-2</v>
      </c>
      <c r="X9" s="448">
        <v>5.7000000000000002E-2</v>
      </c>
      <c r="Y9" s="107"/>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row>
    <row r="10" spans="1:62" x14ac:dyDescent="0.25">
      <c r="A10" s="579"/>
      <c r="B10" s="578"/>
      <c r="C10" s="579"/>
      <c r="D10" s="580"/>
      <c r="E10" s="579"/>
      <c r="F10" s="451" t="s">
        <v>269</v>
      </c>
      <c r="G10" s="451">
        <v>2001</v>
      </c>
      <c r="H10" s="451" t="s">
        <v>270</v>
      </c>
      <c r="I10" s="451">
        <v>5.7000000000000002E-2</v>
      </c>
      <c r="J10" s="451">
        <v>5.7000000000000002E-2</v>
      </c>
      <c r="K10" s="451">
        <v>5.7000000000000002E-2</v>
      </c>
      <c r="L10" s="451">
        <v>5.7000000000000002E-2</v>
      </c>
      <c r="M10" s="451">
        <v>5.7000000000000002E-2</v>
      </c>
      <c r="N10" s="451">
        <v>7.8E-2</v>
      </c>
      <c r="O10" s="451">
        <v>7.8E-2</v>
      </c>
      <c r="P10" s="451">
        <v>7.8E-2</v>
      </c>
      <c r="Q10" s="451">
        <v>7.8E-2</v>
      </c>
      <c r="R10" s="451">
        <v>5.7000000000000002E-2</v>
      </c>
      <c r="S10" s="451">
        <v>5.7000000000000002E-2</v>
      </c>
      <c r="T10" s="451">
        <v>5.7000000000000002E-2</v>
      </c>
      <c r="U10" s="451">
        <v>5.7000000000000002E-2</v>
      </c>
      <c r="V10" s="451">
        <v>5.7000000000000002E-2</v>
      </c>
      <c r="W10" s="451">
        <v>5.7000000000000002E-2</v>
      </c>
      <c r="X10" s="451">
        <v>5.7000000000000002E-2</v>
      </c>
      <c r="Y10" s="107"/>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row>
    <row r="11" spans="1:62" x14ac:dyDescent="0.25">
      <c r="A11" s="579"/>
      <c r="B11" s="578"/>
      <c r="C11" s="579"/>
      <c r="D11" s="580"/>
      <c r="E11" s="579"/>
      <c r="F11" s="453" t="s">
        <v>271</v>
      </c>
      <c r="G11" s="453">
        <v>2013</v>
      </c>
      <c r="H11" s="453" t="s">
        <v>272</v>
      </c>
      <c r="I11" s="453">
        <v>4.9000000000000002E-2</v>
      </c>
      <c r="J11" s="453">
        <v>3.9E-2</v>
      </c>
      <c r="K11" s="453">
        <v>3.9E-2</v>
      </c>
      <c r="L11" s="453">
        <v>3.9E-2</v>
      </c>
      <c r="M11" s="453">
        <v>4.9000000000000002E-2</v>
      </c>
      <c r="N11" s="453">
        <v>7.4999999999999997E-2</v>
      </c>
      <c r="O11" s="453">
        <v>6.7000000000000004E-2</v>
      </c>
      <c r="P11" s="453">
        <v>6.7000000000000004E-2</v>
      </c>
      <c r="Q11" s="453">
        <v>3.9E-2</v>
      </c>
      <c r="R11" s="453">
        <v>3.9E-2</v>
      </c>
      <c r="S11" s="453">
        <v>3.9E-2</v>
      </c>
      <c r="T11" s="453">
        <v>3.9E-2</v>
      </c>
      <c r="U11" s="453">
        <v>3.9E-2</v>
      </c>
      <c r="V11" s="453">
        <v>3.9E-2</v>
      </c>
      <c r="W11" s="453">
        <v>3.9E-2</v>
      </c>
      <c r="X11" s="453">
        <v>3.9E-2</v>
      </c>
      <c r="Y11" s="107"/>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row>
    <row r="12" spans="1:62" x14ac:dyDescent="0.25">
      <c r="A12" s="579"/>
      <c r="B12" s="578"/>
      <c r="C12" s="579"/>
      <c r="D12" s="580"/>
      <c r="E12" s="579"/>
      <c r="F12" s="458" t="s">
        <v>274</v>
      </c>
      <c r="G12" s="459">
        <v>2025</v>
      </c>
      <c r="H12" s="459" t="s">
        <v>272</v>
      </c>
      <c r="I12" s="459">
        <v>3.7999999999999999E-2</v>
      </c>
      <c r="J12" s="459">
        <v>3.7999999999999999E-2</v>
      </c>
      <c r="K12" s="459">
        <v>3.7999999999999999E-2</v>
      </c>
      <c r="L12" s="459">
        <v>3.7999999999999999E-2</v>
      </c>
      <c r="M12" s="459">
        <v>3.7999999999999999E-2</v>
      </c>
      <c r="N12" s="459">
        <v>3.7999999999999999E-2</v>
      </c>
      <c r="O12" s="459">
        <v>3.7999999999999999E-2</v>
      </c>
      <c r="P12" s="459">
        <v>3.7999999999999999E-2</v>
      </c>
      <c r="Q12" s="459">
        <v>3.7999999999999999E-2</v>
      </c>
      <c r="R12" s="459">
        <v>3.7999999999999999E-2</v>
      </c>
      <c r="S12" s="459">
        <v>3.7999999999999999E-2</v>
      </c>
      <c r="T12" s="459">
        <v>3.7999999999999999E-2</v>
      </c>
      <c r="U12" s="459">
        <v>3.7999999999999999E-2</v>
      </c>
      <c r="V12" s="459">
        <v>3.7999999999999999E-2</v>
      </c>
      <c r="W12" s="459">
        <v>3.7999999999999999E-2</v>
      </c>
      <c r="X12" s="459">
        <v>3.7999999999999999E-2</v>
      </c>
      <c r="Y12" s="107"/>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2" x14ac:dyDescent="0.25">
      <c r="A13" s="579" t="s">
        <v>279</v>
      </c>
      <c r="B13" s="578" t="str">
        <f t="shared" ref="B13" si="1">$B$3</f>
        <v>Laboratory</v>
      </c>
      <c r="C13" s="578" t="s">
        <v>280</v>
      </c>
      <c r="D13" s="578" t="s">
        <v>281</v>
      </c>
      <c r="E13" s="579" t="s">
        <v>262</v>
      </c>
      <c r="F13" s="472" t="s">
        <v>263</v>
      </c>
      <c r="G13" s="472" t="s">
        <v>264</v>
      </c>
      <c r="H13" s="578" t="s">
        <v>282</v>
      </c>
      <c r="I13" s="455">
        <f>0.33*1.12+0.67*0.36</f>
        <v>0.61080000000000001</v>
      </c>
      <c r="J13" s="455">
        <f t="shared" ref="J13:X14" si="2">0.33*1.12+0.67*0.36</f>
        <v>0.61080000000000001</v>
      </c>
      <c r="K13" s="455">
        <f t="shared" si="2"/>
        <v>0.61080000000000001</v>
      </c>
      <c r="L13" s="455">
        <f t="shared" si="2"/>
        <v>0.61080000000000001</v>
      </c>
      <c r="M13" s="455">
        <f t="shared" si="2"/>
        <v>0.61080000000000001</v>
      </c>
      <c r="N13" s="455">
        <f t="shared" si="2"/>
        <v>0.61080000000000001</v>
      </c>
      <c r="O13" s="455">
        <f t="shared" si="2"/>
        <v>0.61080000000000001</v>
      </c>
      <c r="P13" s="455">
        <f t="shared" si="2"/>
        <v>0.61080000000000001</v>
      </c>
      <c r="Q13" s="455">
        <f t="shared" si="2"/>
        <v>0.61080000000000001</v>
      </c>
      <c r="R13" s="455">
        <f t="shared" si="2"/>
        <v>0.61080000000000001</v>
      </c>
      <c r="S13" s="455">
        <f t="shared" si="2"/>
        <v>0.61080000000000001</v>
      </c>
      <c r="T13" s="455">
        <f t="shared" si="2"/>
        <v>0.61080000000000001</v>
      </c>
      <c r="U13" s="455">
        <f t="shared" si="2"/>
        <v>0.61080000000000001</v>
      </c>
      <c r="V13" s="455">
        <f t="shared" si="2"/>
        <v>0.61080000000000001</v>
      </c>
      <c r="W13" s="455">
        <f t="shared" si="2"/>
        <v>0.61080000000000001</v>
      </c>
      <c r="X13" s="455">
        <f t="shared" si="2"/>
        <v>0.61080000000000001</v>
      </c>
      <c r="Y13" s="107"/>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2" x14ac:dyDescent="0.25">
      <c r="A14" s="579"/>
      <c r="B14" s="578"/>
      <c r="C14" s="578"/>
      <c r="D14" s="578"/>
      <c r="E14" s="579"/>
      <c r="F14" s="448" t="s">
        <v>266</v>
      </c>
      <c r="G14" s="448" t="s">
        <v>264</v>
      </c>
      <c r="H14" s="578"/>
      <c r="I14" s="456">
        <f>0.33*1.12+0.67*0.36</f>
        <v>0.61080000000000001</v>
      </c>
      <c r="J14" s="456">
        <f t="shared" si="2"/>
        <v>0.61080000000000001</v>
      </c>
      <c r="K14" s="456">
        <f t="shared" si="2"/>
        <v>0.61080000000000001</v>
      </c>
      <c r="L14" s="456">
        <f t="shared" si="2"/>
        <v>0.61080000000000001</v>
      </c>
      <c r="M14" s="456">
        <f t="shared" si="2"/>
        <v>0.61080000000000001</v>
      </c>
      <c r="N14" s="456">
        <f t="shared" si="2"/>
        <v>0.61080000000000001</v>
      </c>
      <c r="O14" s="456">
        <f t="shared" si="2"/>
        <v>0.61080000000000001</v>
      </c>
      <c r="P14" s="456">
        <f t="shared" si="2"/>
        <v>0.61080000000000001</v>
      </c>
      <c r="Q14" s="456">
        <f t="shared" si="2"/>
        <v>0.61080000000000001</v>
      </c>
      <c r="R14" s="456">
        <f t="shared" si="2"/>
        <v>0.61080000000000001</v>
      </c>
      <c r="S14" s="456">
        <f t="shared" si="2"/>
        <v>0.61080000000000001</v>
      </c>
      <c r="T14" s="456">
        <f t="shared" si="2"/>
        <v>0.61080000000000001</v>
      </c>
      <c r="U14" s="456">
        <f t="shared" si="2"/>
        <v>0.61080000000000001</v>
      </c>
      <c r="V14" s="456">
        <f t="shared" si="2"/>
        <v>0.61080000000000001</v>
      </c>
      <c r="W14" s="456">
        <f t="shared" si="2"/>
        <v>0.61080000000000001</v>
      </c>
      <c r="X14" s="456">
        <f t="shared" si="2"/>
        <v>0.61080000000000001</v>
      </c>
      <c r="Y14" s="107"/>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2" x14ac:dyDescent="0.25">
      <c r="A15" s="579"/>
      <c r="B15" s="578"/>
      <c r="C15" s="578"/>
      <c r="D15" s="579" t="s">
        <v>283</v>
      </c>
      <c r="E15" s="579"/>
      <c r="F15" s="451" t="s">
        <v>269</v>
      </c>
      <c r="G15" s="451">
        <v>2001</v>
      </c>
      <c r="H15" s="451" t="s">
        <v>270</v>
      </c>
      <c r="I15" s="451">
        <v>0.49</v>
      </c>
      <c r="J15" s="451">
        <v>0.49</v>
      </c>
      <c r="K15" s="451">
        <v>0.81</v>
      </c>
      <c r="L15" s="451">
        <v>0.81</v>
      </c>
      <c r="M15" s="451">
        <v>0.81</v>
      </c>
      <c r="N15" s="451">
        <v>0.81</v>
      </c>
      <c r="O15" s="451">
        <v>0.81</v>
      </c>
      <c r="P15" s="451">
        <v>0.81</v>
      </c>
      <c r="Q15" s="451">
        <v>0.81</v>
      </c>
      <c r="R15" s="451">
        <v>0.49</v>
      </c>
      <c r="S15" s="451">
        <v>0.49</v>
      </c>
      <c r="T15" s="451">
        <v>0.49</v>
      </c>
      <c r="U15" s="451">
        <v>0.49</v>
      </c>
      <c r="V15" s="451">
        <v>0.49</v>
      </c>
      <c r="W15" s="451">
        <v>0.49</v>
      </c>
      <c r="X15" s="451">
        <v>0.49</v>
      </c>
      <c r="Y15" s="107"/>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2" x14ac:dyDescent="0.25">
      <c r="A16" s="579"/>
      <c r="B16" s="578"/>
      <c r="C16" s="578"/>
      <c r="D16" s="579"/>
      <c r="E16" s="579"/>
      <c r="F16" s="453" t="s">
        <v>271</v>
      </c>
      <c r="G16" s="453">
        <v>2013</v>
      </c>
      <c r="H16" s="453" t="s">
        <v>272</v>
      </c>
      <c r="I16" s="453">
        <v>0.36</v>
      </c>
      <c r="J16" s="453">
        <v>0.36</v>
      </c>
      <c r="K16" s="453">
        <v>0.36</v>
      </c>
      <c r="L16" s="453">
        <v>0.36</v>
      </c>
      <c r="M16" s="453">
        <v>0.36</v>
      </c>
      <c r="N16" s="453">
        <v>0.36</v>
      </c>
      <c r="O16" s="453">
        <v>0.36</v>
      </c>
      <c r="P16" s="453">
        <v>0.36</v>
      </c>
      <c r="Q16" s="453">
        <v>0.36</v>
      </c>
      <c r="R16" s="453">
        <v>0.36</v>
      </c>
      <c r="S16" s="453">
        <v>0.36</v>
      </c>
      <c r="T16" s="453">
        <v>0.36</v>
      </c>
      <c r="U16" s="453">
        <v>0.36</v>
      </c>
      <c r="V16" s="453">
        <v>0.36</v>
      </c>
      <c r="W16" s="453">
        <v>0.36</v>
      </c>
      <c r="X16" s="453">
        <v>0.36</v>
      </c>
      <c r="Y16" s="107"/>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x14ac:dyDescent="0.25">
      <c r="A17" s="579"/>
      <c r="B17" s="578"/>
      <c r="C17" s="578"/>
      <c r="D17" s="579"/>
      <c r="E17" s="579"/>
      <c r="F17" s="458" t="s">
        <v>274</v>
      </c>
      <c r="G17" s="459">
        <v>2025</v>
      </c>
      <c r="H17" s="459" t="s">
        <v>272</v>
      </c>
      <c r="I17" s="459">
        <v>0.36</v>
      </c>
      <c r="J17" s="459">
        <v>0.36</v>
      </c>
      <c r="K17" s="459">
        <v>0.36</v>
      </c>
      <c r="L17" s="459">
        <v>0.36</v>
      </c>
      <c r="M17" s="459">
        <v>0.36</v>
      </c>
      <c r="N17" s="459">
        <v>0.36</v>
      </c>
      <c r="O17" s="459">
        <v>0.36</v>
      </c>
      <c r="P17" s="459">
        <v>0.36</v>
      </c>
      <c r="Q17" s="459">
        <v>0.34</v>
      </c>
      <c r="R17" s="459">
        <v>0.36</v>
      </c>
      <c r="S17" s="459">
        <v>0.34</v>
      </c>
      <c r="T17" s="459">
        <v>0.34</v>
      </c>
      <c r="U17" s="459">
        <v>0.34</v>
      </c>
      <c r="V17" s="459">
        <v>0.34</v>
      </c>
      <c r="W17" s="459">
        <v>0.34</v>
      </c>
      <c r="X17" s="459">
        <v>0.36</v>
      </c>
      <c r="Y17" s="107"/>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row>
    <row r="18" spans="1:62" x14ac:dyDescent="0.25">
      <c r="A18" s="579"/>
      <c r="B18" s="578" t="str">
        <f t="shared" ref="B18" si="3">$B$3</f>
        <v>Laboratory</v>
      </c>
      <c r="C18" s="578" t="s">
        <v>280</v>
      </c>
      <c r="D18" s="578" t="s">
        <v>281</v>
      </c>
      <c r="E18" s="579" t="s">
        <v>284</v>
      </c>
      <c r="F18" s="472" t="s">
        <v>263</v>
      </c>
      <c r="G18" s="472" t="s">
        <v>264</v>
      </c>
      <c r="H18" s="578" t="s">
        <v>285</v>
      </c>
      <c r="I18" s="455">
        <f>0.79*0.33+0.67*I21</f>
        <v>0.42820000000000003</v>
      </c>
      <c r="J18" s="455">
        <f t="shared" ref="J18:X18" si="4">0.79*0.33+0.67*J21</f>
        <v>0.42820000000000003</v>
      </c>
      <c r="K18" s="455">
        <f t="shared" si="4"/>
        <v>0.42820000000000003</v>
      </c>
      <c r="L18" s="455">
        <f t="shared" si="4"/>
        <v>0.42820000000000003</v>
      </c>
      <c r="M18" s="455">
        <f t="shared" si="4"/>
        <v>0.42820000000000003</v>
      </c>
      <c r="N18" s="455">
        <f t="shared" si="4"/>
        <v>0.42820000000000003</v>
      </c>
      <c r="O18" s="455">
        <f t="shared" si="4"/>
        <v>0.42820000000000003</v>
      </c>
      <c r="P18" s="455">
        <f t="shared" si="4"/>
        <v>0.42820000000000003</v>
      </c>
      <c r="Q18" s="455">
        <f t="shared" si="4"/>
        <v>0.42820000000000003</v>
      </c>
      <c r="R18" s="455">
        <f t="shared" si="4"/>
        <v>0.42820000000000003</v>
      </c>
      <c r="S18" s="455">
        <f t="shared" si="4"/>
        <v>0.42820000000000003</v>
      </c>
      <c r="T18" s="455">
        <f t="shared" si="4"/>
        <v>0.42820000000000003</v>
      </c>
      <c r="U18" s="455">
        <f t="shared" si="4"/>
        <v>0.42820000000000003</v>
      </c>
      <c r="V18" s="455">
        <f t="shared" si="4"/>
        <v>0.42820000000000003</v>
      </c>
      <c r="W18" s="455">
        <f t="shared" si="4"/>
        <v>0.42820000000000003</v>
      </c>
      <c r="X18" s="455">
        <f t="shared" si="4"/>
        <v>0.42820000000000003</v>
      </c>
      <c r="Y18" s="107"/>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row>
    <row r="19" spans="1:62" x14ac:dyDescent="0.25">
      <c r="A19" s="579"/>
      <c r="B19" s="578"/>
      <c r="C19" s="578"/>
      <c r="D19" s="578"/>
      <c r="E19" s="579"/>
      <c r="F19" s="448" t="s">
        <v>266</v>
      </c>
      <c r="G19" s="448" t="s">
        <v>264</v>
      </c>
      <c r="H19" s="578"/>
      <c r="I19" s="456">
        <f>0.79*0.33+0.67*I21</f>
        <v>0.42820000000000003</v>
      </c>
      <c r="J19" s="456">
        <f t="shared" ref="J19:X19" si="5">0.79*0.33+0.67*J21</f>
        <v>0.42820000000000003</v>
      </c>
      <c r="K19" s="456">
        <f t="shared" si="5"/>
        <v>0.42820000000000003</v>
      </c>
      <c r="L19" s="456">
        <f t="shared" si="5"/>
        <v>0.42820000000000003</v>
      </c>
      <c r="M19" s="456">
        <f t="shared" si="5"/>
        <v>0.42820000000000003</v>
      </c>
      <c r="N19" s="456">
        <f t="shared" si="5"/>
        <v>0.42820000000000003</v>
      </c>
      <c r="O19" s="456">
        <f t="shared" si="5"/>
        <v>0.42820000000000003</v>
      </c>
      <c r="P19" s="456">
        <f t="shared" si="5"/>
        <v>0.42820000000000003</v>
      </c>
      <c r="Q19" s="456">
        <f t="shared" si="5"/>
        <v>0.42820000000000003</v>
      </c>
      <c r="R19" s="456">
        <f t="shared" si="5"/>
        <v>0.42820000000000003</v>
      </c>
      <c r="S19" s="456">
        <f t="shared" si="5"/>
        <v>0.42820000000000003</v>
      </c>
      <c r="T19" s="456">
        <f t="shared" si="5"/>
        <v>0.42820000000000003</v>
      </c>
      <c r="U19" s="456">
        <f t="shared" si="5"/>
        <v>0.42820000000000003</v>
      </c>
      <c r="V19" s="456">
        <f t="shared" si="5"/>
        <v>0.42820000000000003</v>
      </c>
      <c r="W19" s="456">
        <f t="shared" si="5"/>
        <v>0.42820000000000003</v>
      </c>
      <c r="X19" s="456">
        <f t="shared" si="5"/>
        <v>0.42820000000000003</v>
      </c>
      <c r="Y19" s="107"/>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row>
    <row r="20" spans="1:62" x14ac:dyDescent="0.25">
      <c r="A20" s="579"/>
      <c r="B20" s="578"/>
      <c r="C20" s="578"/>
      <c r="D20" s="579" t="s">
        <v>283</v>
      </c>
      <c r="E20" s="579"/>
      <c r="F20" s="451" t="s">
        <v>269</v>
      </c>
      <c r="G20" s="451">
        <v>2001</v>
      </c>
      <c r="H20" s="457" t="s">
        <v>286</v>
      </c>
      <c r="I20" s="451">
        <v>0.43</v>
      </c>
      <c r="J20" s="451">
        <v>0.31</v>
      </c>
      <c r="K20" s="451">
        <v>0.41</v>
      </c>
      <c r="L20" s="451">
        <v>0.41</v>
      </c>
      <c r="M20" s="451">
        <v>0.41</v>
      </c>
      <c r="N20" s="451">
        <v>0.34</v>
      </c>
      <c r="O20" s="451">
        <v>0.34</v>
      </c>
      <c r="P20" s="451">
        <v>0.34</v>
      </c>
      <c r="Q20" s="451">
        <v>0.34</v>
      </c>
      <c r="R20" s="451">
        <v>0.31</v>
      </c>
      <c r="S20" s="451">
        <v>0.31</v>
      </c>
      <c r="T20" s="451">
        <v>0.31</v>
      </c>
      <c r="U20" s="451">
        <v>0.31</v>
      </c>
      <c r="V20" s="451">
        <v>0.31</v>
      </c>
      <c r="W20" s="451">
        <v>0.31</v>
      </c>
      <c r="X20" s="451">
        <v>0.43</v>
      </c>
      <c r="Y20" s="107"/>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row>
    <row r="21" spans="1:62" x14ac:dyDescent="0.25">
      <c r="A21" s="579"/>
      <c r="B21" s="578"/>
      <c r="C21" s="578"/>
      <c r="D21" s="579"/>
      <c r="E21" s="579"/>
      <c r="F21" s="453" t="s">
        <v>271</v>
      </c>
      <c r="G21" s="453">
        <v>2013</v>
      </c>
      <c r="H21" s="453" t="s">
        <v>272</v>
      </c>
      <c r="I21" s="453">
        <v>0.25</v>
      </c>
      <c r="J21" s="453">
        <v>0.25</v>
      </c>
      <c r="K21" s="453">
        <v>0.25</v>
      </c>
      <c r="L21" s="453">
        <v>0.25</v>
      </c>
      <c r="M21" s="453">
        <v>0.25</v>
      </c>
      <c r="N21" s="453">
        <v>0.25</v>
      </c>
      <c r="O21" s="453">
        <v>0.25</v>
      </c>
      <c r="P21" s="453">
        <v>0.25</v>
      </c>
      <c r="Q21" s="453">
        <v>0.25</v>
      </c>
      <c r="R21" s="453">
        <v>0.25</v>
      </c>
      <c r="S21" s="453">
        <v>0.25</v>
      </c>
      <c r="T21" s="453">
        <v>0.25</v>
      </c>
      <c r="U21" s="453">
        <v>0.25</v>
      </c>
      <c r="V21" s="453">
        <v>0.25</v>
      </c>
      <c r="W21" s="453">
        <v>0.25</v>
      </c>
      <c r="X21" s="453">
        <v>0.25</v>
      </c>
      <c r="Y21" s="107"/>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row>
    <row r="22" spans="1:62" x14ac:dyDescent="0.25">
      <c r="A22" s="579"/>
      <c r="B22" s="578"/>
      <c r="C22" s="578"/>
      <c r="D22" s="579"/>
      <c r="E22" s="579"/>
      <c r="F22" s="458" t="s">
        <v>274</v>
      </c>
      <c r="G22" s="459">
        <v>2025</v>
      </c>
      <c r="H22" s="458" t="s">
        <v>272</v>
      </c>
      <c r="I22" s="459">
        <v>0.25</v>
      </c>
      <c r="J22" s="459">
        <v>0.25</v>
      </c>
      <c r="K22" s="459">
        <v>0.25</v>
      </c>
      <c r="L22" s="459">
        <v>0.25</v>
      </c>
      <c r="M22" s="459">
        <v>0.25</v>
      </c>
      <c r="N22" s="459">
        <v>0.25</v>
      </c>
      <c r="O22" s="459">
        <v>0.25</v>
      </c>
      <c r="P22" s="459">
        <v>0.25</v>
      </c>
      <c r="Q22" s="459">
        <v>0.22</v>
      </c>
      <c r="R22" s="459">
        <v>0.25</v>
      </c>
      <c r="S22" s="459">
        <v>0.22</v>
      </c>
      <c r="T22" s="459">
        <v>0.22</v>
      </c>
      <c r="U22" s="459">
        <v>0.22</v>
      </c>
      <c r="V22" s="459">
        <v>0.22</v>
      </c>
      <c r="W22" s="459">
        <v>0.22</v>
      </c>
      <c r="X22" s="459">
        <v>0.25</v>
      </c>
      <c r="Y22" s="107"/>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row>
    <row r="23" spans="1:62" ht="15" customHeight="1" x14ac:dyDescent="0.25">
      <c r="A23" s="7"/>
      <c r="B23" s="12"/>
      <c r="C23" s="7"/>
      <c r="D23" s="7"/>
      <c r="E23" s="108"/>
      <c r="F23" s="108"/>
      <c r="G23" s="109"/>
      <c r="H23" s="108"/>
      <c r="I23" s="108"/>
      <c r="J23" s="108"/>
      <c r="K23" s="108"/>
      <c r="L23" s="108"/>
      <c r="M23" s="108"/>
      <c r="N23" s="108"/>
      <c r="O23" s="108"/>
      <c r="P23" s="108"/>
      <c r="Q23" s="108"/>
      <c r="R23" s="108"/>
      <c r="S23" s="108"/>
      <c r="T23" s="108"/>
      <c r="U23" s="108"/>
      <c r="V23" s="108"/>
      <c r="W23" s="108"/>
      <c r="X23" s="108"/>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row>
    <row r="24" spans="1:62" ht="25.95" customHeight="1" x14ac:dyDescent="0.25">
      <c r="A24" s="7"/>
      <c r="B24" s="12"/>
      <c r="C24" s="7"/>
      <c r="D24" s="7"/>
      <c r="E24" s="67"/>
      <c r="F24" s="67"/>
      <c r="G24" s="67"/>
      <c r="H24" s="67"/>
      <c r="I24" s="67"/>
      <c r="J24" s="67"/>
      <c r="K24" s="67"/>
      <c r="L24" s="67"/>
      <c r="M24" s="68"/>
      <c r="N24" s="68"/>
      <c r="O24" s="68"/>
      <c r="P24" s="68"/>
      <c r="Q24" s="68"/>
      <c r="R24" s="68"/>
      <c r="S24" s="68"/>
      <c r="T24" s="68"/>
      <c r="U24" s="68"/>
      <c r="V24" s="68"/>
      <c r="W24" s="68"/>
      <c r="X24" s="68"/>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row>
    <row r="25" spans="1:62" ht="44.4" customHeight="1" x14ac:dyDescent="0.25">
      <c r="A25" s="5"/>
      <c r="B25" s="139"/>
      <c r="C25" s="564" t="s">
        <v>287</v>
      </c>
      <c r="D25" s="564"/>
      <c r="E25" s="564"/>
      <c r="F25" s="564"/>
      <c r="G25" s="564"/>
      <c r="H25" s="564"/>
      <c r="I25" s="564"/>
      <c r="J25" s="564"/>
      <c r="K25" s="564"/>
      <c r="L25" s="564"/>
      <c r="M25" s="564"/>
      <c r="N25" s="564"/>
      <c r="O25" s="564"/>
      <c r="P25" s="564"/>
      <c r="Q25" s="564"/>
      <c r="R25" s="564"/>
      <c r="S25" s="564"/>
      <c r="T25" s="564"/>
      <c r="U25" s="564"/>
      <c r="V25" s="564"/>
      <c r="W25" s="564"/>
      <c r="X25" s="564"/>
      <c r="Y25" s="67"/>
      <c r="Z25" s="67"/>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row>
    <row r="26" spans="1:62" ht="51" customHeight="1" x14ac:dyDescent="0.25">
      <c r="A26" s="5"/>
      <c r="B26" s="139"/>
      <c r="C26" s="509"/>
      <c r="D26" s="509" t="s">
        <v>121</v>
      </c>
      <c r="E26" s="509" t="s">
        <v>288</v>
      </c>
      <c r="F26" s="446" t="s">
        <v>241</v>
      </c>
      <c r="G26" s="475" t="s">
        <v>289</v>
      </c>
      <c r="H26" s="475" t="s">
        <v>290</v>
      </c>
      <c r="I26" s="577" t="s">
        <v>291</v>
      </c>
      <c r="J26" s="577"/>
      <c r="K26" s="577"/>
      <c r="L26" s="577"/>
      <c r="M26" s="577"/>
      <c r="N26" s="577"/>
      <c r="O26" s="577"/>
      <c r="P26" s="577"/>
      <c r="Q26" s="577"/>
      <c r="R26" s="577"/>
      <c r="S26" s="577"/>
      <c r="T26" s="577"/>
      <c r="U26" s="577"/>
      <c r="V26" s="577"/>
      <c r="W26" s="577"/>
      <c r="X26" s="577"/>
      <c r="Y26" s="131"/>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row>
    <row r="27" spans="1:62" ht="25.2" customHeight="1" x14ac:dyDescent="0.25">
      <c r="A27" s="5"/>
      <c r="B27" s="139"/>
      <c r="C27" s="576" t="s">
        <v>287</v>
      </c>
      <c r="D27" s="576" t="s">
        <v>77</v>
      </c>
      <c r="E27" s="576"/>
      <c r="F27" s="472" t="s">
        <v>263</v>
      </c>
      <c r="G27" s="471">
        <v>1.1000000000000001</v>
      </c>
      <c r="H27" s="462" t="s">
        <v>292</v>
      </c>
      <c r="I27" s="578">
        <v>0.3301</v>
      </c>
      <c r="J27" s="578"/>
      <c r="K27" s="578"/>
      <c r="L27" s="578"/>
      <c r="M27" s="578"/>
      <c r="N27" s="578"/>
      <c r="O27" s="578"/>
      <c r="P27" s="578"/>
      <c r="Q27" s="578"/>
      <c r="R27" s="578"/>
      <c r="S27" s="578"/>
      <c r="T27" s="578"/>
      <c r="U27" s="578"/>
      <c r="V27" s="578"/>
      <c r="W27" s="578"/>
      <c r="X27" s="578"/>
      <c r="Y27" s="11"/>
      <c r="Z27" s="5"/>
      <c r="AA27" s="581"/>
      <c r="AB27" s="581"/>
      <c r="AC27" s="581"/>
      <c r="AD27" s="581"/>
      <c r="AE27" s="581"/>
      <c r="AF27" s="581"/>
      <c r="AG27" s="581"/>
      <c r="AH27" s="581"/>
      <c r="AI27" s="581"/>
      <c r="AJ27" s="581"/>
      <c r="AK27" s="581"/>
      <c r="AL27" s="581"/>
      <c r="AM27" s="581"/>
      <c r="AN27" s="581"/>
      <c r="AO27" s="581"/>
      <c r="AP27" s="581"/>
      <c r="AQ27" s="581"/>
      <c r="AR27" s="581"/>
      <c r="AS27" s="581"/>
      <c r="AT27" s="581"/>
      <c r="AU27" s="581"/>
      <c r="AV27" s="581"/>
      <c r="AW27" s="581"/>
      <c r="AX27" s="5"/>
      <c r="AY27" s="5"/>
      <c r="AZ27" s="5"/>
      <c r="BA27" s="5"/>
      <c r="BB27" s="5"/>
      <c r="BC27" s="5"/>
      <c r="BD27" s="5"/>
      <c r="BE27" s="5"/>
      <c r="BF27" s="5"/>
      <c r="BG27" s="5"/>
      <c r="BH27" s="5"/>
      <c r="BI27" s="5"/>
      <c r="BJ27" s="5"/>
    </row>
    <row r="28" spans="1:62" ht="25.2" customHeight="1" x14ac:dyDescent="0.25">
      <c r="A28" s="5"/>
      <c r="B28" s="139"/>
      <c r="C28" s="576"/>
      <c r="D28" s="576"/>
      <c r="E28" s="576"/>
      <c r="F28" s="472" t="s">
        <v>266</v>
      </c>
      <c r="G28" s="471">
        <v>1.1000000000000001</v>
      </c>
      <c r="H28" s="462" t="s">
        <v>292</v>
      </c>
      <c r="I28" s="578">
        <v>0.3301</v>
      </c>
      <c r="J28" s="578"/>
      <c r="K28" s="578"/>
      <c r="L28" s="578"/>
      <c r="M28" s="578"/>
      <c r="N28" s="578"/>
      <c r="O28" s="578"/>
      <c r="P28" s="578"/>
      <c r="Q28" s="578"/>
      <c r="R28" s="578"/>
      <c r="S28" s="578"/>
      <c r="T28" s="578"/>
      <c r="U28" s="578"/>
      <c r="V28" s="578"/>
      <c r="W28" s="578"/>
      <c r="X28" s="578"/>
      <c r="Y28" s="11"/>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row>
    <row r="29" spans="1:62" ht="25.2" customHeight="1" x14ac:dyDescent="0.25">
      <c r="A29" s="5"/>
      <c r="B29" s="139"/>
      <c r="C29" s="576"/>
      <c r="D29" s="576"/>
      <c r="E29" s="576"/>
      <c r="F29" s="472" t="s">
        <v>269</v>
      </c>
      <c r="G29" s="471">
        <v>1.1000000000000001</v>
      </c>
      <c r="H29" s="462" t="s">
        <v>292</v>
      </c>
      <c r="I29" s="578">
        <v>0.3301</v>
      </c>
      <c r="J29" s="578"/>
      <c r="K29" s="578"/>
      <c r="L29" s="578"/>
      <c r="M29" s="578"/>
      <c r="N29" s="578"/>
      <c r="O29" s="578"/>
      <c r="P29" s="578"/>
      <c r="Q29" s="578"/>
      <c r="R29" s="578"/>
      <c r="S29" s="578"/>
      <c r="T29" s="578"/>
      <c r="U29" s="578"/>
      <c r="V29" s="578"/>
      <c r="W29" s="578"/>
      <c r="X29" s="578"/>
      <c r="Y29" s="11"/>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row>
    <row r="30" spans="1:62" ht="36.75" customHeight="1" x14ac:dyDescent="0.25">
      <c r="A30" s="5"/>
      <c r="B30" s="139"/>
      <c r="C30" s="576"/>
      <c r="D30" s="576"/>
      <c r="E30" s="576"/>
      <c r="F30" s="472" t="s">
        <v>271</v>
      </c>
      <c r="G30" s="471">
        <v>1</v>
      </c>
      <c r="H30" s="471" t="s">
        <v>293</v>
      </c>
      <c r="I30" s="578">
        <v>0.30209999999999998</v>
      </c>
      <c r="J30" s="578"/>
      <c r="K30" s="578"/>
      <c r="L30" s="578"/>
      <c r="M30" s="578"/>
      <c r="N30" s="578"/>
      <c r="O30" s="578"/>
      <c r="P30" s="578"/>
      <c r="Q30" s="578"/>
      <c r="R30" s="578"/>
      <c r="S30" s="578"/>
      <c r="T30" s="578"/>
      <c r="U30" s="578"/>
      <c r="V30" s="578"/>
      <c r="W30" s="578"/>
      <c r="X30" s="578"/>
      <c r="Y30" s="11"/>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row>
    <row r="31" spans="1:62" ht="36.75" customHeight="1" x14ac:dyDescent="0.25">
      <c r="A31" s="5"/>
      <c r="B31" s="139"/>
      <c r="C31" s="576"/>
      <c r="D31" s="576"/>
      <c r="E31" s="576"/>
      <c r="F31" s="472" t="s">
        <v>274</v>
      </c>
      <c r="G31" s="471">
        <v>0.6</v>
      </c>
      <c r="H31" s="471" t="s">
        <v>294</v>
      </c>
      <c r="I31" s="578">
        <v>0.18010000000000001</v>
      </c>
      <c r="J31" s="578"/>
      <c r="K31" s="578"/>
      <c r="L31" s="578"/>
      <c r="M31" s="578"/>
      <c r="N31" s="578"/>
      <c r="O31" s="578"/>
      <c r="P31" s="578"/>
      <c r="Q31" s="578"/>
      <c r="R31" s="578"/>
      <c r="S31" s="578"/>
      <c r="T31" s="578"/>
      <c r="U31" s="578"/>
      <c r="V31" s="578"/>
      <c r="W31" s="578"/>
      <c r="X31" s="578"/>
      <c r="Y31" s="11"/>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row>
    <row r="32" spans="1:62" ht="14.4" x14ac:dyDescent="0.3">
      <c r="A32" s="5"/>
      <c r="B32" s="139"/>
      <c r="C32" s="5"/>
      <c r="D32" s="5"/>
      <c r="E32" s="5"/>
      <c r="F32" s="7" t="s">
        <v>295</v>
      </c>
      <c r="G32" s="2" t="s">
        <v>36</v>
      </c>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row>
    <row r="33" spans="1:62" x14ac:dyDescent="0.25">
      <c r="A33" s="5"/>
      <c r="B33" s="139"/>
      <c r="C33" s="5"/>
      <c r="D33" s="5"/>
      <c r="E33" s="5"/>
      <c r="F33" s="464" t="s">
        <v>296</v>
      </c>
      <c r="G33" s="69"/>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row>
  </sheetData>
  <mergeCells count="40">
    <mergeCell ref="A1:X1"/>
    <mergeCell ref="D18:D19"/>
    <mergeCell ref="C18:C22"/>
    <mergeCell ref="E18:E22"/>
    <mergeCell ref="A13:A22"/>
    <mergeCell ref="B18:B22"/>
    <mergeCell ref="B13:B17"/>
    <mergeCell ref="D3:D7"/>
    <mergeCell ref="B3:B7"/>
    <mergeCell ref="A3:A7"/>
    <mergeCell ref="C3:C7"/>
    <mergeCell ref="C8:C12"/>
    <mergeCell ref="H8:H9"/>
    <mergeCell ref="H13:H14"/>
    <mergeCell ref="H18:H19"/>
    <mergeCell ref="A8:A12"/>
    <mergeCell ref="AP27:AS27"/>
    <mergeCell ref="AT27:AW27"/>
    <mergeCell ref="AF27:AJ27"/>
    <mergeCell ref="AA27:AE27"/>
    <mergeCell ref="AK27:AO27"/>
    <mergeCell ref="D20:D22"/>
    <mergeCell ref="E3:E7"/>
    <mergeCell ref="C13:C17"/>
    <mergeCell ref="B8:B12"/>
    <mergeCell ref="E8:E12"/>
    <mergeCell ref="E13:E17"/>
    <mergeCell ref="D8:D12"/>
    <mergeCell ref="D15:D17"/>
    <mergeCell ref="D13:D14"/>
    <mergeCell ref="C25:X25"/>
    <mergeCell ref="E27:E31"/>
    <mergeCell ref="D27:D31"/>
    <mergeCell ref="C27:C31"/>
    <mergeCell ref="I26:X26"/>
    <mergeCell ref="I27:X27"/>
    <mergeCell ref="I28:X28"/>
    <mergeCell ref="I29:X29"/>
    <mergeCell ref="I30:X30"/>
    <mergeCell ref="I31:X31"/>
  </mergeCells>
  <phoneticPr fontId="5" type="noConversion"/>
  <hyperlinks>
    <hyperlink ref="G32"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27" r:id="rId2" xr:uid="{41AD9FFF-609E-4AE3-98F2-52C38EDBAB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67"/>
  <sheetViews>
    <sheetView zoomScale="85" zoomScaleNormal="85" zoomScaleSheetLayoutView="40" workbookViewId="0">
      <selection sqref="A1:G1"/>
    </sheetView>
  </sheetViews>
  <sheetFormatPr defaultColWidth="8.6640625" defaultRowHeight="13.2" x14ac:dyDescent="0.25"/>
  <cols>
    <col min="1" max="1" width="39" style="7" customWidth="1"/>
    <col min="2" max="2" width="34.6640625" style="7" customWidth="1"/>
    <col min="3" max="3" width="29.109375" style="7" customWidth="1"/>
    <col min="4" max="4" width="29.44140625" style="7" customWidth="1"/>
    <col min="5" max="5" width="34.5546875" style="7" customWidth="1"/>
    <col min="6" max="6" width="48.33203125" style="7" bestFit="1" customWidth="1"/>
    <col min="7" max="7" width="34" style="7" customWidth="1"/>
    <col min="8" max="8" width="42.44140625" style="7" customWidth="1"/>
    <col min="9" max="11" width="12.6640625" style="7" customWidth="1"/>
    <col min="12" max="19" width="15.33203125" style="7" customWidth="1"/>
    <col min="20" max="20" width="14.6640625" style="7" customWidth="1"/>
    <col min="21" max="21" width="13.5546875" style="7" customWidth="1"/>
    <col min="22" max="22" width="15.6640625" style="7" customWidth="1"/>
    <col min="23" max="29" width="11" style="7" customWidth="1"/>
    <col min="30" max="38" width="6.5546875" style="7" customWidth="1"/>
    <col min="39" max="39" width="8.6640625" style="7" customWidth="1"/>
    <col min="40" max="16384" width="8.6640625" style="7"/>
  </cols>
  <sheetData>
    <row r="1" spans="1:9" ht="27" customHeight="1" x14ac:dyDescent="0.25">
      <c r="A1" s="596" t="str">
        <f>"HVAC system - "&amp;Prototype!B4</f>
        <v>HVAC system - Laboratory</v>
      </c>
      <c r="B1" s="597"/>
      <c r="C1" s="597"/>
      <c r="D1" s="597"/>
      <c r="E1" s="597"/>
      <c r="F1" s="597"/>
      <c r="G1" s="598"/>
    </row>
    <row r="2" spans="1:9" ht="19.2" customHeight="1" x14ac:dyDescent="0.25">
      <c r="A2" s="129" t="s">
        <v>241</v>
      </c>
      <c r="B2" s="65" t="s">
        <v>288</v>
      </c>
      <c r="C2" s="65" t="s">
        <v>297</v>
      </c>
      <c r="D2" s="65" t="s">
        <v>298</v>
      </c>
      <c r="E2" s="65" t="s">
        <v>299</v>
      </c>
      <c r="F2" s="65" t="s">
        <v>300</v>
      </c>
      <c r="G2" s="65" t="s">
        <v>290</v>
      </c>
    </row>
    <row r="3" spans="1:9" ht="42" customHeight="1" x14ac:dyDescent="0.25">
      <c r="A3" s="611" t="s">
        <v>301</v>
      </c>
      <c r="B3" s="477" t="s">
        <v>302</v>
      </c>
      <c r="C3" s="77" t="s">
        <v>303</v>
      </c>
      <c r="D3" s="443" t="s">
        <v>304</v>
      </c>
      <c r="E3" s="497" t="s">
        <v>305</v>
      </c>
      <c r="F3" s="609" t="s">
        <v>306</v>
      </c>
      <c r="G3" s="444" t="s">
        <v>307</v>
      </c>
      <c r="H3" s="469"/>
      <c r="I3" s="469"/>
    </row>
    <row r="4" spans="1:9" ht="42" customHeight="1" x14ac:dyDescent="0.25">
      <c r="A4" s="612"/>
      <c r="B4" s="477" t="s">
        <v>308</v>
      </c>
      <c r="C4" s="77" t="s">
        <v>303</v>
      </c>
      <c r="D4" s="443" t="s">
        <v>304</v>
      </c>
      <c r="E4" s="497" t="s">
        <v>305</v>
      </c>
      <c r="F4" s="610"/>
      <c r="G4" s="444" t="s">
        <v>309</v>
      </c>
      <c r="H4" s="469"/>
      <c r="I4" s="469"/>
    </row>
    <row r="5" spans="1:9" ht="26.4" x14ac:dyDescent="0.25">
      <c r="A5" s="609" t="s">
        <v>310</v>
      </c>
      <c r="B5" s="477" t="s">
        <v>302</v>
      </c>
      <c r="C5" s="77" t="s">
        <v>303</v>
      </c>
      <c r="D5" s="443" t="s">
        <v>304</v>
      </c>
      <c r="E5" s="16" t="s">
        <v>305</v>
      </c>
      <c r="F5" s="611" t="s">
        <v>311</v>
      </c>
      <c r="G5" s="444" t="s">
        <v>307</v>
      </c>
      <c r="H5" s="469"/>
      <c r="I5" s="469"/>
    </row>
    <row r="6" spans="1:9" ht="52.8" x14ac:dyDescent="0.25">
      <c r="A6" s="610"/>
      <c r="B6" s="477" t="s">
        <v>308</v>
      </c>
      <c r="C6" s="77" t="s">
        <v>312</v>
      </c>
      <c r="D6" s="443" t="s">
        <v>313</v>
      </c>
      <c r="E6" s="213" t="s">
        <v>314</v>
      </c>
      <c r="F6" s="612"/>
      <c r="G6" s="477" t="s">
        <v>315</v>
      </c>
      <c r="H6" s="468"/>
      <c r="I6" s="468"/>
    </row>
    <row r="7" spans="1:9" s="216" customFormat="1" ht="66.75" customHeight="1" x14ac:dyDescent="0.25">
      <c r="A7" s="583" t="s">
        <v>316</v>
      </c>
      <c r="B7" s="583"/>
      <c r="C7" s="583"/>
      <c r="D7" s="583"/>
      <c r="E7" s="583"/>
      <c r="F7" s="583"/>
      <c r="G7" s="583"/>
      <c r="H7" s="468"/>
      <c r="I7" s="468"/>
    </row>
    <row r="8" spans="1:9" s="12" customFormat="1" ht="55.5" customHeight="1" x14ac:dyDescent="0.25">
      <c r="A8" s="583" t="s">
        <v>317</v>
      </c>
      <c r="B8" s="583"/>
      <c r="C8" s="583"/>
      <c r="D8" s="583"/>
      <c r="E8" s="583"/>
      <c r="F8" s="583"/>
      <c r="G8" s="583"/>
    </row>
    <row r="9" spans="1:9" x14ac:dyDescent="0.25">
      <c r="A9" s="466"/>
      <c r="B9" s="466"/>
      <c r="C9" s="466"/>
      <c r="D9" s="466"/>
      <c r="E9" s="466"/>
    </row>
    <row r="10" spans="1:9" ht="41.25" customHeight="1" x14ac:dyDescent="0.25">
      <c r="A10" s="593" t="s">
        <v>318</v>
      </c>
      <c r="B10" s="594"/>
      <c r="C10" s="594"/>
      <c r="D10" s="594"/>
      <c r="E10" s="594"/>
      <c r="F10" s="594"/>
      <c r="G10" s="595"/>
      <c r="H10" s="463"/>
      <c r="I10" s="93"/>
    </row>
    <row r="11" spans="1:9" ht="43.95" customHeight="1" x14ac:dyDescent="0.25">
      <c r="A11" s="120" t="s">
        <v>241</v>
      </c>
      <c r="B11" s="121" t="s">
        <v>319</v>
      </c>
      <c r="C11" s="121" t="s">
        <v>320</v>
      </c>
      <c r="D11" s="122" t="s">
        <v>321</v>
      </c>
      <c r="E11" s="490" t="s">
        <v>303</v>
      </c>
      <c r="F11" s="490" t="s">
        <v>322</v>
      </c>
      <c r="G11" s="65" t="s">
        <v>323</v>
      </c>
      <c r="H11" s="123" t="s">
        <v>290</v>
      </c>
    </row>
    <row r="12" spans="1:9" ht="22.2" customHeight="1" x14ac:dyDescent="0.25">
      <c r="A12" s="124" t="s">
        <v>263</v>
      </c>
      <c r="B12" s="603">
        <v>2008</v>
      </c>
      <c r="C12" s="599" t="s">
        <v>173</v>
      </c>
      <c r="D12" s="613" t="s">
        <v>324</v>
      </c>
      <c r="E12" s="606" t="s">
        <v>325</v>
      </c>
      <c r="F12" s="602" t="s">
        <v>173</v>
      </c>
      <c r="G12" s="587" t="s">
        <v>326</v>
      </c>
      <c r="H12" s="590"/>
    </row>
    <row r="13" spans="1:9" ht="20.399999999999999" customHeight="1" x14ac:dyDescent="0.25">
      <c r="A13" s="124" t="s">
        <v>266</v>
      </c>
      <c r="B13" s="604"/>
      <c r="C13" s="600"/>
      <c r="D13" s="600"/>
      <c r="E13" s="607"/>
      <c r="F13" s="600"/>
      <c r="G13" s="588"/>
      <c r="H13" s="591"/>
    </row>
    <row r="14" spans="1:9" ht="21" customHeight="1" x14ac:dyDescent="0.25">
      <c r="A14" s="124" t="s">
        <v>269</v>
      </c>
      <c r="B14" s="605"/>
      <c r="C14" s="601"/>
      <c r="D14" s="601"/>
      <c r="E14" s="608"/>
      <c r="F14" s="601"/>
      <c r="G14" s="589"/>
      <c r="H14" s="592"/>
    </row>
    <row r="15" spans="1:9" ht="57.6" customHeight="1" x14ac:dyDescent="0.25">
      <c r="A15" s="124" t="s">
        <v>271</v>
      </c>
      <c r="B15" s="66">
        <v>2013</v>
      </c>
      <c r="C15" s="117" t="s">
        <v>173</v>
      </c>
      <c r="D15" s="117" t="s">
        <v>324</v>
      </c>
      <c r="E15" s="284" t="s">
        <v>327</v>
      </c>
      <c r="F15" s="116" t="s">
        <v>173</v>
      </c>
      <c r="G15" s="286" t="s">
        <v>328</v>
      </c>
      <c r="H15" s="510"/>
    </row>
    <row r="16" spans="1:9" ht="62.25" customHeight="1" x14ac:dyDescent="0.25">
      <c r="A16" s="125" t="s">
        <v>310</v>
      </c>
      <c r="B16" s="126">
        <v>2025</v>
      </c>
      <c r="C16" s="127" t="s">
        <v>329</v>
      </c>
      <c r="D16" s="127" t="s">
        <v>324</v>
      </c>
      <c r="E16" s="285" t="s">
        <v>327</v>
      </c>
      <c r="F16" s="127" t="s">
        <v>330</v>
      </c>
      <c r="G16" s="283" t="s">
        <v>331</v>
      </c>
      <c r="H16" s="511"/>
    </row>
    <row r="17" spans="1:40" x14ac:dyDescent="0.25">
      <c r="B17" s="9"/>
      <c r="C17" s="9"/>
      <c r="D17" s="28"/>
      <c r="E17" s="9"/>
    </row>
    <row r="18" spans="1:40" x14ac:dyDescent="0.25">
      <c r="A18" s="29"/>
      <c r="B18" s="9"/>
      <c r="C18" s="9" t="s">
        <v>332</v>
      </c>
      <c r="D18" s="9" t="s">
        <v>333</v>
      </c>
      <c r="E18" s="9"/>
    </row>
    <row r="19" spans="1:40" ht="13.8" thickBot="1" x14ac:dyDescent="0.3">
      <c r="A19" s="76"/>
      <c r="B19" s="76"/>
      <c r="C19" s="76"/>
      <c r="D19" s="76"/>
      <c r="E19" s="76"/>
    </row>
    <row r="20" spans="1:40" ht="15.6" x14ac:dyDescent="0.25">
      <c r="A20" s="584" t="s">
        <v>334</v>
      </c>
      <c r="B20" s="584"/>
      <c r="C20" s="584"/>
      <c r="D20" s="584"/>
      <c r="E20" s="584"/>
      <c r="F20" s="585"/>
      <c r="G20" s="585"/>
      <c r="H20" s="584"/>
      <c r="I20" s="586"/>
    </row>
    <row r="21" spans="1:40" ht="26.4" x14ac:dyDescent="0.25">
      <c r="A21" s="85" t="s">
        <v>241</v>
      </c>
      <c r="B21" s="374" t="s">
        <v>335</v>
      </c>
      <c r="C21" s="374" t="s">
        <v>336</v>
      </c>
      <c r="D21" s="375" t="s">
        <v>337</v>
      </c>
      <c r="E21" s="375" t="s">
        <v>338</v>
      </c>
      <c r="F21" s="375" t="s">
        <v>339</v>
      </c>
      <c r="G21" s="375" t="s">
        <v>340</v>
      </c>
      <c r="H21" s="85" t="s">
        <v>341</v>
      </c>
      <c r="I21" s="85" t="s">
        <v>290</v>
      </c>
    </row>
    <row r="22" spans="1:40" ht="97.2" customHeight="1" x14ac:dyDescent="0.25">
      <c r="A22" s="247" t="s">
        <v>273</v>
      </c>
      <c r="B22" s="396" t="s">
        <v>342</v>
      </c>
      <c r="C22" s="247" t="s">
        <v>343</v>
      </c>
      <c r="D22" s="497">
        <v>5.58</v>
      </c>
      <c r="E22" s="497">
        <v>0.65</v>
      </c>
      <c r="F22" s="398" t="s">
        <v>344</v>
      </c>
      <c r="G22" s="399"/>
      <c r="H22" s="400" t="s">
        <v>345</v>
      </c>
      <c r="I22" s="128"/>
    </row>
    <row r="23" spans="1:40" x14ac:dyDescent="0.25">
      <c r="A23" s="397" t="s">
        <v>346</v>
      </c>
      <c r="B23" s="512"/>
      <c r="C23" s="512"/>
      <c r="D23" s="512"/>
      <c r="E23" s="512"/>
      <c r="F23" s="512"/>
      <c r="G23" s="512"/>
      <c r="H23" s="513"/>
      <c r="I23" s="514"/>
    </row>
    <row r="24" spans="1:40" x14ac:dyDescent="0.25">
      <c r="A24" s="376" t="s">
        <v>347</v>
      </c>
      <c r="B24" s="515"/>
      <c r="C24" s="515"/>
      <c r="D24" s="515"/>
      <c r="E24" s="515"/>
      <c r="F24" s="515"/>
      <c r="G24" s="515"/>
      <c r="H24" s="515"/>
      <c r="I24" s="516"/>
    </row>
    <row r="25" spans="1:40" ht="39.6" x14ac:dyDescent="0.25">
      <c r="A25" s="247" t="s">
        <v>310</v>
      </c>
      <c r="B25" s="247" t="s">
        <v>348</v>
      </c>
      <c r="C25" s="477" t="s">
        <v>349</v>
      </c>
      <c r="D25" s="479" t="s">
        <v>350</v>
      </c>
      <c r="E25" s="247">
        <v>0.65</v>
      </c>
      <c r="F25" s="247" t="s">
        <v>351</v>
      </c>
      <c r="G25" s="477">
        <v>1.0129999999999999</v>
      </c>
      <c r="H25" s="477" t="s">
        <v>352</v>
      </c>
      <c r="I25" s="88"/>
    </row>
    <row r="26" spans="1:40" x14ac:dyDescent="0.25">
      <c r="A26" s="382"/>
      <c r="B26" s="382"/>
      <c r="C26" s="517"/>
      <c r="D26" s="517"/>
      <c r="E26" s="518"/>
      <c r="F26" s="382" t="s">
        <v>353</v>
      </c>
      <c r="G26" s="517"/>
      <c r="H26" s="518"/>
    </row>
    <row r="27" spans="1:40" ht="28.95" customHeight="1" x14ac:dyDescent="0.25">
      <c r="A27" s="562" t="s">
        <v>354</v>
      </c>
      <c r="B27" s="562"/>
      <c r="C27" s="562"/>
      <c r="D27" s="562"/>
      <c r="E27" s="562"/>
      <c r="F27" s="562"/>
      <c r="G27" s="562"/>
      <c r="H27" s="562"/>
      <c r="I27" s="562"/>
      <c r="J27" s="76"/>
      <c r="K27" s="76"/>
      <c r="L27" s="76"/>
      <c r="M27" s="76"/>
      <c r="N27" s="76"/>
      <c r="O27" s="76"/>
      <c r="P27" s="76"/>
      <c r="Q27" s="76"/>
      <c r="R27" s="76"/>
      <c r="S27" s="76"/>
      <c r="T27" s="76"/>
      <c r="U27" s="76"/>
      <c r="V27" s="76"/>
      <c r="W27" s="76"/>
      <c r="X27" s="76"/>
      <c r="Y27" s="76"/>
      <c r="Z27" s="76"/>
      <c r="AA27" s="76"/>
      <c r="AB27" s="76"/>
      <c r="AC27" s="76"/>
      <c r="AD27" s="76"/>
      <c r="AE27" s="614"/>
      <c r="AF27" s="614"/>
      <c r="AG27" s="614"/>
      <c r="AH27" s="614"/>
      <c r="AI27" s="614"/>
      <c r="AJ27" s="614"/>
      <c r="AK27" s="614"/>
      <c r="AL27" s="614"/>
      <c r="AM27" s="614"/>
      <c r="AN27" s="614"/>
    </row>
    <row r="28" spans="1:40" ht="42.6" customHeight="1" x14ac:dyDescent="0.25">
      <c r="A28" s="562" t="s">
        <v>355</v>
      </c>
      <c r="B28" s="562"/>
      <c r="C28" s="562"/>
      <c r="D28" s="562"/>
      <c r="E28" s="562"/>
      <c r="F28" s="562"/>
      <c r="G28" s="562"/>
      <c r="H28" s="562"/>
      <c r="I28" s="562"/>
      <c r="J28" s="76"/>
      <c r="K28" s="76"/>
      <c r="L28" s="76"/>
      <c r="M28" s="76"/>
      <c r="N28" s="76"/>
      <c r="O28" s="76"/>
      <c r="P28" s="76"/>
      <c r="Q28" s="76"/>
      <c r="R28" s="76"/>
      <c r="S28" s="76"/>
      <c r="T28" s="76"/>
      <c r="U28" s="76"/>
      <c r="V28" s="76"/>
      <c r="W28" s="76"/>
      <c r="X28" s="76"/>
      <c r="Y28" s="76"/>
      <c r="Z28" s="76"/>
      <c r="AA28" s="76"/>
      <c r="AB28" s="76"/>
      <c r="AC28" s="76"/>
      <c r="AD28" s="76"/>
      <c r="AE28" s="614"/>
      <c r="AF28" s="614"/>
      <c r="AG28" s="614"/>
      <c r="AH28" s="614"/>
      <c r="AI28" s="614"/>
      <c r="AJ28" s="614"/>
      <c r="AK28" s="614"/>
      <c r="AL28" s="614"/>
      <c r="AM28" s="614"/>
      <c r="AN28" s="614"/>
    </row>
    <row r="29" spans="1:40" x14ac:dyDescent="0.25">
      <c r="A29" s="382"/>
      <c r="B29" s="132"/>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614"/>
      <c r="AF29" s="614"/>
      <c r="AG29" s="614"/>
      <c r="AH29" s="614"/>
      <c r="AI29" s="614"/>
      <c r="AJ29" s="614"/>
      <c r="AK29" s="614"/>
      <c r="AL29" s="614"/>
      <c r="AM29" s="614"/>
      <c r="AN29" s="614"/>
    </row>
    <row r="30" spans="1:40" x14ac:dyDescent="0.25">
      <c r="A30" s="9"/>
      <c r="B30" s="9"/>
      <c r="C30" s="9"/>
      <c r="D30" s="9"/>
    </row>
    <row r="31" spans="1:40" x14ac:dyDescent="0.25">
      <c r="D31" s="25"/>
    </row>
    <row r="32" spans="1:40" ht="13.95" customHeight="1" x14ac:dyDescent="0.25">
      <c r="A32" s="84"/>
      <c r="B32" s="382"/>
      <c r="C32" s="60"/>
      <c r="D32" s="382"/>
      <c r="E32" s="382"/>
    </row>
    <row r="33" spans="1:38" s="17" customFormat="1" hidden="1" x14ac:dyDescent="0.25">
      <c r="A33" s="17" t="s">
        <v>356</v>
      </c>
    </row>
    <row r="34" spans="1:38" x14ac:dyDescent="0.25">
      <c r="U34" s="24"/>
      <c r="V34" s="46"/>
      <c r="W34" s="47"/>
      <c r="X34" s="47"/>
      <c r="Y34" s="47"/>
      <c r="Z34" s="47"/>
      <c r="AA34" s="47"/>
      <c r="AB34" s="47"/>
      <c r="AC34" s="47"/>
      <c r="AD34" s="47"/>
      <c r="AE34" s="47"/>
      <c r="AF34" s="47"/>
      <c r="AG34" s="47"/>
      <c r="AH34" s="47"/>
      <c r="AI34" s="47"/>
      <c r="AJ34" s="47"/>
      <c r="AK34" s="47"/>
      <c r="AL34" s="47"/>
    </row>
    <row r="35" spans="1:38" x14ac:dyDescent="0.25">
      <c r="U35" s="24"/>
      <c r="V35" s="46"/>
      <c r="W35" s="47"/>
      <c r="X35" s="47"/>
      <c r="Y35" s="47"/>
      <c r="Z35" s="47"/>
      <c r="AA35" s="47"/>
      <c r="AB35" s="47"/>
      <c r="AC35" s="47"/>
      <c r="AD35" s="47"/>
      <c r="AE35" s="47"/>
      <c r="AF35" s="47"/>
      <c r="AG35" s="47"/>
      <c r="AH35" s="47"/>
      <c r="AI35" s="47"/>
      <c r="AJ35" s="47"/>
      <c r="AK35" s="47"/>
      <c r="AL35" s="47"/>
    </row>
    <row r="36" spans="1:38" x14ac:dyDescent="0.25">
      <c r="U36" s="24"/>
      <c r="V36" s="46"/>
      <c r="W36" s="47"/>
      <c r="X36" s="47"/>
      <c r="Y36" s="47"/>
      <c r="Z36" s="47"/>
      <c r="AA36" s="47"/>
      <c r="AB36" s="47"/>
      <c r="AC36" s="47"/>
      <c r="AD36" s="47"/>
      <c r="AE36" s="47"/>
      <c r="AF36" s="47"/>
      <c r="AG36" s="47"/>
      <c r="AH36" s="47"/>
      <c r="AI36" s="47"/>
      <c r="AJ36" s="47"/>
      <c r="AK36" s="47"/>
      <c r="AL36" s="47"/>
    </row>
    <row r="37" spans="1:38" x14ac:dyDescent="0.25">
      <c r="U37" s="24"/>
      <c r="V37" s="46"/>
      <c r="W37" s="47"/>
      <c r="X37" s="47"/>
      <c r="Y37" s="47"/>
      <c r="Z37" s="47"/>
      <c r="AA37" s="47"/>
      <c r="AB37" s="47"/>
      <c r="AC37" s="47"/>
      <c r="AD37" s="47"/>
      <c r="AE37" s="47"/>
      <c r="AF37" s="47"/>
      <c r="AG37" s="47"/>
      <c r="AH37" s="47"/>
      <c r="AI37" s="47"/>
      <c r="AJ37" s="47"/>
      <c r="AK37" s="47"/>
      <c r="AL37" s="47"/>
    </row>
    <row r="38" spans="1:38" x14ac:dyDescent="0.25">
      <c r="U38" s="24"/>
      <c r="V38" s="46"/>
      <c r="W38" s="47"/>
      <c r="X38" s="47"/>
      <c r="Y38" s="47"/>
      <c r="Z38" s="47"/>
      <c r="AA38" s="47"/>
      <c r="AB38" s="47"/>
      <c r="AC38" s="47"/>
      <c r="AD38" s="47"/>
      <c r="AE38" s="47"/>
      <c r="AF38" s="47"/>
      <c r="AG38" s="47"/>
      <c r="AH38" s="47"/>
      <c r="AI38" s="47"/>
      <c r="AJ38" s="47"/>
      <c r="AK38" s="47"/>
      <c r="AL38" s="47"/>
    </row>
    <row r="39" spans="1:38" x14ac:dyDescent="0.25">
      <c r="U39" s="24"/>
      <c r="W39" s="23"/>
      <c r="X39" s="23"/>
      <c r="Y39" s="23"/>
      <c r="Z39" s="23"/>
      <c r="AA39" s="23"/>
      <c r="AB39" s="23"/>
      <c r="AC39" s="23"/>
      <c r="AD39" s="23"/>
      <c r="AE39" s="23"/>
      <c r="AF39" s="23"/>
      <c r="AG39" s="23"/>
      <c r="AH39" s="23"/>
      <c r="AI39" s="23"/>
      <c r="AJ39" s="23"/>
      <c r="AK39" s="23"/>
      <c r="AL39" s="23"/>
    </row>
    <row r="40" spans="1:38" x14ac:dyDescent="0.25">
      <c r="U40" s="26"/>
      <c r="W40" s="24"/>
      <c r="X40" s="24"/>
      <c r="Y40" s="24"/>
      <c r="Z40" s="24"/>
      <c r="AA40" s="24"/>
      <c r="AB40" s="24"/>
      <c r="AC40" s="24"/>
      <c r="AD40" s="24"/>
      <c r="AE40" s="24"/>
      <c r="AF40" s="24"/>
      <c r="AG40" s="24"/>
      <c r="AH40" s="24"/>
      <c r="AI40" s="24"/>
      <c r="AJ40" s="24"/>
      <c r="AK40" s="24"/>
      <c r="AL40" s="24"/>
    </row>
    <row r="41" spans="1:38" x14ac:dyDescent="0.25">
      <c r="U41" s="24"/>
    </row>
    <row r="44" spans="1:38" x14ac:dyDescent="0.25">
      <c r="U44" s="22"/>
      <c r="V44" s="22"/>
      <c r="W44" s="45"/>
      <c r="X44" s="45"/>
      <c r="Y44" s="45"/>
      <c r="Z44" s="45"/>
      <c r="AA44" s="45"/>
      <c r="AB44" s="45"/>
      <c r="AC44" s="45"/>
      <c r="AD44" s="45"/>
      <c r="AE44" s="45"/>
      <c r="AF44" s="45"/>
      <c r="AG44" s="45"/>
      <c r="AH44" s="45"/>
      <c r="AI44" s="45"/>
      <c r="AJ44" s="45"/>
      <c r="AK44" s="45"/>
      <c r="AL44" s="45"/>
    </row>
    <row r="45" spans="1:38" x14ac:dyDescent="0.25">
      <c r="V45" s="27"/>
    </row>
    <row r="46" spans="1:38" x14ac:dyDescent="0.25">
      <c r="U46" s="24"/>
      <c r="V46" s="27"/>
    </row>
    <row r="47" spans="1:38" x14ac:dyDescent="0.25">
      <c r="U47" s="24"/>
      <c r="V47" s="27"/>
    </row>
    <row r="48" spans="1:38" x14ac:dyDescent="0.25">
      <c r="U48" s="24"/>
      <c r="V48" s="27"/>
    </row>
    <row r="49" spans="21:22" x14ac:dyDescent="0.25">
      <c r="U49" s="24"/>
      <c r="V49" s="27"/>
    </row>
    <row r="50" spans="21:22" x14ac:dyDescent="0.25">
      <c r="U50" s="24"/>
      <c r="V50" s="27"/>
    </row>
    <row r="51" spans="21:22" x14ac:dyDescent="0.25">
      <c r="U51" s="24"/>
      <c r="V51" s="27"/>
    </row>
    <row r="52" spans="21:22" x14ac:dyDescent="0.25">
      <c r="U52" s="24"/>
      <c r="V52" s="27"/>
    </row>
    <row r="53" spans="21:22" x14ac:dyDescent="0.25">
      <c r="U53" s="24"/>
      <c r="V53" s="27"/>
    </row>
    <row r="54" spans="21:22" x14ac:dyDescent="0.25">
      <c r="U54" s="24"/>
      <c r="V54" s="27"/>
    </row>
    <row r="55" spans="21:22" x14ac:dyDescent="0.25">
      <c r="U55" s="24"/>
      <c r="V55" s="27"/>
    </row>
    <row r="56" spans="21:22" x14ac:dyDescent="0.25">
      <c r="U56" s="24"/>
      <c r="V56" s="27"/>
    </row>
    <row r="57" spans="21:22" x14ac:dyDescent="0.25">
      <c r="U57" s="24"/>
      <c r="V57" s="27"/>
    </row>
    <row r="58" spans="21:22" x14ac:dyDescent="0.25">
      <c r="U58" s="24"/>
      <c r="V58" s="27"/>
    </row>
    <row r="59" spans="21:22" x14ac:dyDescent="0.25">
      <c r="U59" s="24"/>
      <c r="V59" s="27"/>
    </row>
    <row r="60" spans="21:22" x14ac:dyDescent="0.25">
      <c r="U60" s="24"/>
      <c r="V60" s="27"/>
    </row>
    <row r="61" spans="21:22" x14ac:dyDescent="0.25">
      <c r="U61" s="24"/>
      <c r="V61" s="27"/>
    </row>
    <row r="62" spans="21:22" x14ac:dyDescent="0.25">
      <c r="U62" s="24"/>
      <c r="V62" s="27"/>
    </row>
    <row r="63" spans="21:22" x14ac:dyDescent="0.25">
      <c r="U63" s="24"/>
      <c r="V63" s="27"/>
    </row>
    <row r="64" spans="21:22" x14ac:dyDescent="0.25">
      <c r="U64" s="24"/>
      <c r="V64" s="27"/>
    </row>
    <row r="65" spans="21:38" x14ac:dyDescent="0.25">
      <c r="U65" s="24"/>
      <c r="V65" s="27"/>
    </row>
    <row r="66" spans="21:38" x14ac:dyDescent="0.25">
      <c r="U66" s="24"/>
      <c r="W66" s="23"/>
      <c r="X66" s="23"/>
      <c r="Y66" s="23"/>
      <c r="Z66" s="23"/>
      <c r="AA66" s="23"/>
      <c r="AB66" s="23"/>
      <c r="AC66" s="23"/>
      <c r="AD66" s="23"/>
      <c r="AE66" s="23"/>
      <c r="AF66" s="23"/>
      <c r="AG66" s="23"/>
      <c r="AH66" s="23"/>
      <c r="AI66" s="23"/>
      <c r="AJ66" s="23"/>
      <c r="AK66" s="23"/>
      <c r="AL66" s="23"/>
    </row>
    <row r="67" spans="21:38" x14ac:dyDescent="0.25">
      <c r="U67" s="26"/>
      <c r="W67" s="24"/>
      <c r="X67" s="24"/>
      <c r="Y67" s="24"/>
      <c r="Z67" s="24"/>
      <c r="AA67" s="24"/>
      <c r="AB67" s="24"/>
      <c r="AC67" s="24"/>
      <c r="AD67" s="24"/>
      <c r="AE67" s="24"/>
      <c r="AF67" s="24"/>
      <c r="AG67" s="24"/>
      <c r="AH67" s="24"/>
      <c r="AI67" s="24"/>
      <c r="AJ67" s="24"/>
      <c r="AK67" s="24"/>
      <c r="AL67" s="24"/>
    </row>
  </sheetData>
  <mergeCells count="33">
    <mergeCell ref="AE29:AF29"/>
    <mergeCell ref="AG29:AH29"/>
    <mergeCell ref="AI29:AJ29"/>
    <mergeCell ref="AK29:AL29"/>
    <mergeCell ref="AM29:AN29"/>
    <mergeCell ref="AE28:AF28"/>
    <mergeCell ref="AG28:AH28"/>
    <mergeCell ref="AI28:AJ28"/>
    <mergeCell ref="AK28:AL28"/>
    <mergeCell ref="AM28:AN28"/>
    <mergeCell ref="AE27:AF27"/>
    <mergeCell ref="AG27:AH27"/>
    <mergeCell ref="AI27:AJ27"/>
    <mergeCell ref="AK27:AL27"/>
    <mergeCell ref="AM27:AN27"/>
    <mergeCell ref="A1:G1"/>
    <mergeCell ref="C12:C14"/>
    <mergeCell ref="F12:F14"/>
    <mergeCell ref="B12:B14"/>
    <mergeCell ref="E12:E14"/>
    <mergeCell ref="A5:A6"/>
    <mergeCell ref="F5:F6"/>
    <mergeCell ref="D12:D14"/>
    <mergeCell ref="A3:A4"/>
    <mergeCell ref="A7:G7"/>
    <mergeCell ref="F3:F4"/>
    <mergeCell ref="A27:I27"/>
    <mergeCell ref="A28:I28"/>
    <mergeCell ref="A8:G8"/>
    <mergeCell ref="A20:I20"/>
    <mergeCell ref="G12:G14"/>
    <mergeCell ref="H12:H14"/>
    <mergeCell ref="A10:G10"/>
  </mergeCells>
  <phoneticPr fontId="5" type="noConversion"/>
  <hyperlinks>
    <hyperlink ref="B22" r:id="rId1" display="https://www.pnnl.gov/main/publications/external/technical_reports/PNNL-20405.pdf?__hstc=249664665.fbb1d69ca5f15106a530bcaee71fdf4a.1743465130773.1743546227524.1752085571925.3&amp;__hssc=249664665.1.1752085571925&amp;__hsfp=2216781724" xr:uid="{5FF0ED3F-4B51-45C6-9FA8-702B010BDF87}"/>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dimension ref="A1:S37"/>
  <sheetViews>
    <sheetView zoomScale="80" zoomScaleNormal="80" workbookViewId="0">
      <selection sqref="A1:S1"/>
    </sheetView>
  </sheetViews>
  <sheetFormatPr defaultRowHeight="14.4" x14ac:dyDescent="0.3"/>
  <cols>
    <col min="1" max="1" width="44.88671875" customWidth="1"/>
    <col min="2" max="2" width="24.5546875" bestFit="1" customWidth="1"/>
    <col min="18" max="18" width="11.44140625" customWidth="1"/>
    <col min="19" max="19" width="32.33203125" customWidth="1"/>
  </cols>
  <sheetData>
    <row r="1" spans="1:19" ht="24" customHeight="1" x14ac:dyDescent="0.3">
      <c r="A1" s="620" t="str">
        <f>"Thermostat Setpoints - "&amp;Prototype!A2</f>
        <v>Thermostat Setpoints - Laboratory</v>
      </c>
      <c r="B1" s="621"/>
      <c r="C1" s="621"/>
      <c r="D1" s="621"/>
      <c r="E1" s="621"/>
      <c r="F1" s="621"/>
      <c r="G1" s="621"/>
      <c r="H1" s="621"/>
      <c r="I1" s="621"/>
      <c r="J1" s="621"/>
      <c r="K1" s="621"/>
      <c r="L1" s="621"/>
      <c r="M1" s="621"/>
      <c r="N1" s="621"/>
      <c r="O1" s="621"/>
      <c r="P1" s="621"/>
      <c r="Q1" s="621"/>
      <c r="R1" s="621"/>
      <c r="S1" s="621"/>
    </row>
    <row r="2" spans="1:19" ht="21.6" customHeight="1" x14ac:dyDescent="0.3">
      <c r="A2" s="490" t="s">
        <v>357</v>
      </c>
      <c r="B2" s="490" t="s">
        <v>358</v>
      </c>
      <c r="C2" s="481" t="s">
        <v>243</v>
      </c>
      <c r="D2" s="481" t="s">
        <v>244</v>
      </c>
      <c r="E2" s="481" t="s">
        <v>245</v>
      </c>
      <c r="F2" s="481" t="s">
        <v>246</v>
      </c>
      <c r="G2" s="481" t="s">
        <v>247</v>
      </c>
      <c r="H2" s="481" t="s">
        <v>248</v>
      </c>
      <c r="I2" s="481" t="s">
        <v>249</v>
      </c>
      <c r="J2" s="481" t="s">
        <v>250</v>
      </c>
      <c r="K2" s="481" t="s">
        <v>251</v>
      </c>
      <c r="L2" s="481" t="s">
        <v>252</v>
      </c>
      <c r="M2" s="481" t="s">
        <v>253</v>
      </c>
      <c r="N2" s="481" t="s">
        <v>254</v>
      </c>
      <c r="O2" s="481" t="s">
        <v>255</v>
      </c>
      <c r="P2" s="481" t="s">
        <v>256</v>
      </c>
      <c r="Q2" s="481" t="s">
        <v>257</v>
      </c>
      <c r="R2" s="481" t="s">
        <v>258</v>
      </c>
      <c r="S2" s="85" t="s">
        <v>300</v>
      </c>
    </row>
    <row r="3" spans="1:19" ht="26.4" customHeight="1" x14ac:dyDescent="0.3">
      <c r="A3" s="617" t="s">
        <v>77</v>
      </c>
      <c r="B3" s="247" t="s">
        <v>359</v>
      </c>
      <c r="C3" s="247">
        <v>70</v>
      </c>
      <c r="D3" s="247">
        <v>70</v>
      </c>
      <c r="E3" s="247">
        <v>70</v>
      </c>
      <c r="F3" s="247">
        <v>70</v>
      </c>
      <c r="G3" s="247">
        <v>70</v>
      </c>
      <c r="H3" s="247">
        <v>70</v>
      </c>
      <c r="I3" s="247">
        <v>70</v>
      </c>
      <c r="J3" s="247">
        <v>70</v>
      </c>
      <c r="K3" s="247">
        <v>70</v>
      </c>
      <c r="L3" s="247">
        <v>70</v>
      </c>
      <c r="M3" s="247">
        <v>70</v>
      </c>
      <c r="N3" s="247">
        <v>70</v>
      </c>
      <c r="O3" s="247">
        <v>70</v>
      </c>
      <c r="P3" s="247">
        <v>70</v>
      </c>
      <c r="Q3" s="247">
        <v>70</v>
      </c>
      <c r="R3" s="247">
        <v>70</v>
      </c>
      <c r="S3" s="622" t="s">
        <v>360</v>
      </c>
    </row>
    <row r="4" spans="1:19" ht="26.4" customHeight="1" x14ac:dyDescent="0.3">
      <c r="A4" s="618"/>
      <c r="B4" s="247" t="s">
        <v>361</v>
      </c>
      <c r="C4" s="247">
        <v>68</v>
      </c>
      <c r="D4" s="247">
        <v>68</v>
      </c>
      <c r="E4" s="247">
        <v>68</v>
      </c>
      <c r="F4" s="247">
        <v>68</v>
      </c>
      <c r="G4" s="247">
        <v>68</v>
      </c>
      <c r="H4" s="247">
        <v>68</v>
      </c>
      <c r="I4" s="247">
        <v>68</v>
      </c>
      <c r="J4" s="247">
        <v>68</v>
      </c>
      <c r="K4" s="247">
        <v>68</v>
      </c>
      <c r="L4" s="247">
        <v>68</v>
      </c>
      <c r="M4" s="247">
        <v>68</v>
      </c>
      <c r="N4" s="247">
        <v>68</v>
      </c>
      <c r="O4" s="247">
        <v>68</v>
      </c>
      <c r="P4" s="247">
        <v>68</v>
      </c>
      <c r="Q4" s="247">
        <v>68</v>
      </c>
      <c r="R4" s="247">
        <v>68</v>
      </c>
      <c r="S4" s="623"/>
    </row>
    <row r="5" spans="1:19" ht="26.4" customHeight="1" x14ac:dyDescent="0.3">
      <c r="A5" s="618"/>
      <c r="B5" s="247" t="s">
        <v>362</v>
      </c>
      <c r="C5" s="247">
        <v>75</v>
      </c>
      <c r="D5" s="247">
        <v>75</v>
      </c>
      <c r="E5" s="247">
        <v>75</v>
      </c>
      <c r="F5" s="247">
        <v>75</v>
      </c>
      <c r="G5" s="247">
        <v>75</v>
      </c>
      <c r="H5" s="247">
        <v>75</v>
      </c>
      <c r="I5" s="247">
        <v>75</v>
      </c>
      <c r="J5" s="247">
        <v>75</v>
      </c>
      <c r="K5" s="247">
        <v>75</v>
      </c>
      <c r="L5" s="247">
        <v>75</v>
      </c>
      <c r="M5" s="247">
        <v>75</v>
      </c>
      <c r="N5" s="247">
        <v>75</v>
      </c>
      <c r="O5" s="247">
        <v>75</v>
      </c>
      <c r="P5" s="247">
        <v>75</v>
      </c>
      <c r="Q5" s="247">
        <v>75</v>
      </c>
      <c r="R5" s="247">
        <v>75</v>
      </c>
      <c r="S5" s="623"/>
    </row>
    <row r="6" spans="1:19" ht="23.4" customHeight="1" x14ac:dyDescent="0.3">
      <c r="A6" s="619"/>
      <c r="B6" s="247" t="s">
        <v>363</v>
      </c>
      <c r="C6" s="247">
        <v>78</v>
      </c>
      <c r="D6" s="247">
        <v>78</v>
      </c>
      <c r="E6" s="247">
        <v>78</v>
      </c>
      <c r="F6" s="247">
        <v>78</v>
      </c>
      <c r="G6" s="247">
        <v>78</v>
      </c>
      <c r="H6" s="247">
        <v>78</v>
      </c>
      <c r="I6" s="247">
        <v>78</v>
      </c>
      <c r="J6" s="247">
        <v>78</v>
      </c>
      <c r="K6" s="247">
        <v>78</v>
      </c>
      <c r="L6" s="247">
        <v>78</v>
      </c>
      <c r="M6" s="247">
        <v>78</v>
      </c>
      <c r="N6" s="247">
        <v>78</v>
      </c>
      <c r="O6" s="247">
        <v>78</v>
      </c>
      <c r="P6" s="247">
        <v>78</v>
      </c>
      <c r="Q6" s="247">
        <v>78</v>
      </c>
      <c r="R6" s="247">
        <v>78</v>
      </c>
      <c r="S6" s="624"/>
    </row>
    <row r="7" spans="1:19" ht="22.95" customHeight="1" x14ac:dyDescent="0.3">
      <c r="A7" s="617" t="s">
        <v>364</v>
      </c>
      <c r="B7" s="293" t="s">
        <v>359</v>
      </c>
      <c r="C7" s="293">
        <v>70</v>
      </c>
      <c r="D7" s="293">
        <v>70</v>
      </c>
      <c r="E7" s="293">
        <v>70</v>
      </c>
      <c r="F7" s="293">
        <v>70</v>
      </c>
      <c r="G7" s="293">
        <v>70</v>
      </c>
      <c r="H7" s="293">
        <v>70</v>
      </c>
      <c r="I7" s="293">
        <v>70</v>
      </c>
      <c r="J7" s="293">
        <v>70</v>
      </c>
      <c r="K7" s="293">
        <v>70</v>
      </c>
      <c r="L7" s="293">
        <v>70</v>
      </c>
      <c r="M7" s="293">
        <v>70</v>
      </c>
      <c r="N7" s="293">
        <v>70</v>
      </c>
      <c r="O7" s="293">
        <v>70</v>
      </c>
      <c r="P7" s="293">
        <v>70</v>
      </c>
      <c r="Q7" s="293">
        <v>70</v>
      </c>
      <c r="R7" s="293">
        <v>70</v>
      </c>
      <c r="S7" s="625" t="s">
        <v>365</v>
      </c>
    </row>
    <row r="8" spans="1:19" ht="22.95" customHeight="1" x14ac:dyDescent="0.3">
      <c r="A8" s="618"/>
      <c r="B8" s="293" t="s">
        <v>361</v>
      </c>
      <c r="C8" s="293">
        <v>60</v>
      </c>
      <c r="D8" s="293">
        <v>60</v>
      </c>
      <c r="E8" s="293">
        <v>60</v>
      </c>
      <c r="F8" s="293">
        <v>60</v>
      </c>
      <c r="G8" s="293">
        <v>60</v>
      </c>
      <c r="H8" s="293">
        <v>60</v>
      </c>
      <c r="I8" s="293">
        <v>60</v>
      </c>
      <c r="J8" s="293">
        <v>60</v>
      </c>
      <c r="K8" s="293">
        <v>60</v>
      </c>
      <c r="L8" s="293">
        <v>60</v>
      </c>
      <c r="M8" s="293">
        <v>60</v>
      </c>
      <c r="N8" s="293">
        <v>60</v>
      </c>
      <c r="O8" s="293">
        <v>60</v>
      </c>
      <c r="P8" s="293">
        <v>60</v>
      </c>
      <c r="Q8" s="293">
        <v>60</v>
      </c>
      <c r="R8" s="293">
        <v>60</v>
      </c>
      <c r="S8" s="626"/>
    </row>
    <row r="9" spans="1:19" s="52" customFormat="1" ht="22.95" hidden="1" customHeight="1" x14ac:dyDescent="0.3">
      <c r="A9" s="618"/>
      <c r="B9" s="293" t="s">
        <v>362</v>
      </c>
      <c r="C9" s="293">
        <v>75</v>
      </c>
      <c r="D9" s="293">
        <v>75</v>
      </c>
      <c r="E9" s="293">
        <v>75</v>
      </c>
      <c r="F9" s="293">
        <v>75</v>
      </c>
      <c r="G9" s="293">
        <v>75</v>
      </c>
      <c r="H9" s="293">
        <v>75</v>
      </c>
      <c r="I9" s="293">
        <v>75</v>
      </c>
      <c r="J9" s="293">
        <v>75</v>
      </c>
      <c r="K9" s="293">
        <v>75</v>
      </c>
      <c r="L9" s="293">
        <v>75</v>
      </c>
      <c r="M9" s="293">
        <v>75</v>
      </c>
      <c r="N9" s="293">
        <v>75</v>
      </c>
      <c r="O9" s="293">
        <v>75</v>
      </c>
      <c r="P9" s="293">
        <v>75</v>
      </c>
      <c r="Q9" s="293">
        <v>75</v>
      </c>
      <c r="R9" s="293">
        <v>75</v>
      </c>
      <c r="S9" s="626"/>
    </row>
    <row r="10" spans="1:19" ht="22.95" customHeight="1" x14ac:dyDescent="0.3">
      <c r="A10" s="619"/>
      <c r="B10" s="293" t="s">
        <v>363</v>
      </c>
      <c r="C10" s="293">
        <v>85</v>
      </c>
      <c r="D10" s="293">
        <v>85</v>
      </c>
      <c r="E10" s="293">
        <v>85</v>
      </c>
      <c r="F10" s="293">
        <v>85</v>
      </c>
      <c r="G10" s="293">
        <v>85</v>
      </c>
      <c r="H10" s="293">
        <v>85</v>
      </c>
      <c r="I10" s="293">
        <v>85</v>
      </c>
      <c r="J10" s="293">
        <v>85</v>
      </c>
      <c r="K10" s="293">
        <v>85</v>
      </c>
      <c r="L10" s="293">
        <v>85</v>
      </c>
      <c r="M10" s="293">
        <v>85</v>
      </c>
      <c r="N10" s="293">
        <v>85</v>
      </c>
      <c r="O10" s="293">
        <v>85</v>
      </c>
      <c r="P10" s="293">
        <v>85</v>
      </c>
      <c r="Q10" s="293">
        <v>85</v>
      </c>
      <c r="R10" s="293">
        <v>85</v>
      </c>
      <c r="S10" s="627"/>
    </row>
    <row r="11" spans="1:19" ht="22.95" customHeight="1" x14ac:dyDescent="0.3">
      <c r="A11" s="628" t="s">
        <v>366</v>
      </c>
      <c r="B11" s="293" t="s">
        <v>359</v>
      </c>
      <c r="C11" s="293">
        <v>60</v>
      </c>
      <c r="D11" s="293">
        <v>60</v>
      </c>
      <c r="E11" s="293">
        <v>60</v>
      </c>
      <c r="F11" s="293">
        <v>60</v>
      </c>
      <c r="G11" s="293">
        <v>60</v>
      </c>
      <c r="H11" s="293">
        <v>60</v>
      </c>
      <c r="I11" s="293">
        <v>60</v>
      </c>
      <c r="J11" s="293">
        <v>60</v>
      </c>
      <c r="K11" s="293">
        <v>60</v>
      </c>
      <c r="L11" s="293">
        <v>60</v>
      </c>
      <c r="M11" s="293">
        <v>60</v>
      </c>
      <c r="N11" s="293">
        <v>60</v>
      </c>
      <c r="O11" s="293">
        <v>60</v>
      </c>
      <c r="P11" s="293">
        <v>60</v>
      </c>
      <c r="Q11" s="293">
        <v>60</v>
      </c>
      <c r="R11" s="293">
        <v>60</v>
      </c>
      <c r="S11" s="478" t="s">
        <v>367</v>
      </c>
    </row>
    <row r="12" spans="1:19" ht="22.95" customHeight="1" x14ac:dyDescent="0.3">
      <c r="A12" s="629"/>
      <c r="B12" s="293" t="s">
        <v>361</v>
      </c>
      <c r="C12" s="293">
        <v>60</v>
      </c>
      <c r="D12" s="293">
        <v>60</v>
      </c>
      <c r="E12" s="293">
        <v>60</v>
      </c>
      <c r="F12" s="293">
        <v>60</v>
      </c>
      <c r="G12" s="293">
        <v>60</v>
      </c>
      <c r="H12" s="293">
        <v>60</v>
      </c>
      <c r="I12" s="293">
        <v>60</v>
      </c>
      <c r="J12" s="293">
        <v>60</v>
      </c>
      <c r="K12" s="293">
        <v>60</v>
      </c>
      <c r="L12" s="293">
        <v>60</v>
      </c>
      <c r="M12" s="293">
        <v>60</v>
      </c>
      <c r="N12" s="293">
        <v>60</v>
      </c>
      <c r="O12" s="293">
        <v>60</v>
      </c>
      <c r="P12" s="293">
        <v>60</v>
      </c>
      <c r="Q12" s="293">
        <v>60</v>
      </c>
      <c r="R12" s="293">
        <v>60</v>
      </c>
      <c r="S12" s="635" t="s">
        <v>368</v>
      </c>
    </row>
    <row r="13" spans="1:19" ht="22.95" customHeight="1" x14ac:dyDescent="0.3">
      <c r="A13" s="629"/>
      <c r="B13" s="293" t="s">
        <v>362</v>
      </c>
      <c r="C13" s="293">
        <v>85</v>
      </c>
      <c r="D13" s="293">
        <v>85</v>
      </c>
      <c r="E13" s="293">
        <v>85</v>
      </c>
      <c r="F13" s="293">
        <v>85</v>
      </c>
      <c r="G13" s="293">
        <v>85</v>
      </c>
      <c r="H13" s="293">
        <v>85</v>
      </c>
      <c r="I13" s="293">
        <v>85</v>
      </c>
      <c r="J13" s="293">
        <v>85</v>
      </c>
      <c r="K13" s="293">
        <v>85</v>
      </c>
      <c r="L13" s="293">
        <v>85</v>
      </c>
      <c r="M13" s="293">
        <v>85</v>
      </c>
      <c r="N13" s="293">
        <v>85</v>
      </c>
      <c r="O13" s="293">
        <v>85</v>
      </c>
      <c r="P13" s="293">
        <v>85</v>
      </c>
      <c r="Q13" s="293">
        <v>85</v>
      </c>
      <c r="R13" s="293">
        <v>85</v>
      </c>
      <c r="S13" s="635"/>
    </row>
    <row r="14" spans="1:19" ht="22.95" customHeight="1" x14ac:dyDescent="0.3">
      <c r="A14" s="630"/>
      <c r="B14" s="519" t="s">
        <v>363</v>
      </c>
      <c r="C14" s="519">
        <v>85</v>
      </c>
      <c r="D14" s="519">
        <v>85</v>
      </c>
      <c r="E14" s="519">
        <v>85</v>
      </c>
      <c r="F14" s="519">
        <v>85</v>
      </c>
      <c r="G14" s="519">
        <v>85</v>
      </c>
      <c r="H14" s="519">
        <v>85</v>
      </c>
      <c r="I14" s="519">
        <v>85</v>
      </c>
      <c r="J14" s="519">
        <v>85</v>
      </c>
      <c r="K14" s="519">
        <v>85</v>
      </c>
      <c r="L14" s="519">
        <v>85</v>
      </c>
      <c r="M14" s="519">
        <v>85</v>
      </c>
      <c r="N14" s="519">
        <v>85</v>
      </c>
      <c r="O14" s="519">
        <v>85</v>
      </c>
      <c r="P14" s="519">
        <v>85</v>
      </c>
      <c r="Q14" s="519">
        <v>85</v>
      </c>
      <c r="R14" s="519">
        <v>85</v>
      </c>
      <c r="S14" s="636"/>
    </row>
    <row r="15" spans="1:19" ht="30" customHeight="1" x14ac:dyDescent="0.3">
      <c r="A15" s="631" t="s">
        <v>369</v>
      </c>
      <c r="B15" s="247" t="s">
        <v>370</v>
      </c>
      <c r="C15" s="247">
        <v>80</v>
      </c>
      <c r="D15" s="247">
        <v>80</v>
      </c>
      <c r="E15" s="247">
        <v>80</v>
      </c>
      <c r="F15" s="247">
        <v>80</v>
      </c>
      <c r="G15" s="247">
        <v>80</v>
      </c>
      <c r="H15" s="247">
        <v>80</v>
      </c>
      <c r="I15" s="247">
        <v>80</v>
      </c>
      <c r="J15" s="247">
        <v>80</v>
      </c>
      <c r="K15" s="247">
        <v>80</v>
      </c>
      <c r="L15" s="247">
        <v>80</v>
      </c>
      <c r="M15" s="247">
        <v>80</v>
      </c>
      <c r="N15" s="247">
        <v>80</v>
      </c>
      <c r="O15" s="247">
        <v>80</v>
      </c>
      <c r="P15" s="247">
        <v>80</v>
      </c>
      <c r="Q15" s="247">
        <v>80</v>
      </c>
      <c r="R15" s="247">
        <v>80</v>
      </c>
      <c r="S15" s="631" t="s">
        <v>371</v>
      </c>
    </row>
    <row r="16" spans="1:19" ht="28.2" customHeight="1" x14ac:dyDescent="0.3">
      <c r="A16" s="631"/>
      <c r="B16" s="247" t="s">
        <v>372</v>
      </c>
      <c r="C16" s="632" t="s">
        <v>373</v>
      </c>
      <c r="D16" s="633"/>
      <c r="E16" s="633"/>
      <c r="F16" s="633"/>
      <c r="G16" s="633"/>
      <c r="H16" s="633"/>
      <c r="I16" s="633"/>
      <c r="J16" s="633"/>
      <c r="K16" s="633"/>
      <c r="L16" s="633"/>
      <c r="M16" s="633"/>
      <c r="N16" s="633"/>
      <c r="O16" s="633"/>
      <c r="P16" s="633"/>
      <c r="Q16" s="633"/>
      <c r="R16" s="634"/>
      <c r="S16" s="631"/>
    </row>
    <row r="17" spans="1:9" ht="22.95" customHeight="1" x14ac:dyDescent="0.3">
      <c r="A17" s="140"/>
      <c r="B17" s="140"/>
      <c r="C17" s="140"/>
      <c r="D17" s="140"/>
      <c r="E17" s="140"/>
      <c r="F17" s="140"/>
      <c r="G17" s="140"/>
      <c r="H17" s="140"/>
      <c r="I17" s="140"/>
    </row>
    <row r="18" spans="1:9" ht="22.95" customHeight="1" x14ac:dyDescent="0.3">
      <c r="A18" s="293" t="s">
        <v>374</v>
      </c>
      <c r="B18" s="142"/>
      <c r="C18" s="142"/>
      <c r="D18" s="142"/>
      <c r="E18" s="142"/>
      <c r="F18" s="142"/>
      <c r="G18" s="142"/>
      <c r="H18" s="142"/>
      <c r="I18" s="142"/>
    </row>
    <row r="19" spans="1:9" ht="22.95" customHeight="1" x14ac:dyDescent="0.3">
      <c r="A19" s="140"/>
      <c r="B19" s="140"/>
      <c r="C19" s="140"/>
      <c r="D19" s="140"/>
      <c r="E19" s="140"/>
      <c r="F19" s="140"/>
      <c r="G19" s="140"/>
      <c r="H19" s="140"/>
      <c r="I19" s="140"/>
    </row>
    <row r="20" spans="1:9" ht="22.95" customHeight="1" x14ac:dyDescent="0.3">
      <c r="A20" s="140"/>
      <c r="B20" s="140"/>
      <c r="C20" s="140"/>
      <c r="D20" s="140"/>
      <c r="E20" s="140"/>
      <c r="F20" s="140"/>
      <c r="G20" s="140"/>
      <c r="H20" s="140"/>
      <c r="I20" s="140"/>
    </row>
    <row r="21" spans="1:9" ht="22.95" customHeight="1" x14ac:dyDescent="0.3">
      <c r="A21" s="140"/>
      <c r="B21" s="140"/>
      <c r="C21" s="140"/>
      <c r="D21" s="140"/>
      <c r="E21" s="140"/>
      <c r="F21" s="140"/>
      <c r="G21" s="140"/>
      <c r="H21" s="140"/>
      <c r="I21" s="140"/>
    </row>
    <row r="22" spans="1:9" ht="22.95" customHeight="1" x14ac:dyDescent="0.3">
      <c r="A22" s="140"/>
      <c r="B22" s="140"/>
      <c r="C22" s="140"/>
      <c r="D22" s="140"/>
      <c r="E22" s="140"/>
      <c r="F22" s="140"/>
      <c r="G22" s="140"/>
      <c r="H22" s="140"/>
      <c r="I22" s="140"/>
    </row>
    <row r="23" spans="1:9" ht="22.95" customHeight="1" x14ac:dyDescent="0.3">
      <c r="A23" s="140"/>
      <c r="B23" s="140"/>
      <c r="C23" s="140"/>
      <c r="D23" s="140"/>
      <c r="E23" s="140"/>
      <c r="F23" s="140"/>
      <c r="G23" s="140"/>
      <c r="H23" s="140"/>
      <c r="I23" s="140"/>
    </row>
    <row r="24" spans="1:9" ht="22.95" customHeight="1" x14ac:dyDescent="0.3">
      <c r="A24" s="140"/>
      <c r="B24" s="140"/>
      <c r="C24" s="140"/>
      <c r="D24" s="140"/>
      <c r="E24" s="140"/>
      <c r="F24" s="140"/>
      <c r="G24" s="140"/>
      <c r="H24" s="140"/>
      <c r="I24" s="140"/>
    </row>
    <row r="25" spans="1:9" ht="22.95" customHeight="1" x14ac:dyDescent="0.3">
      <c r="A25" s="140"/>
      <c r="B25" s="140"/>
      <c r="C25" s="140"/>
      <c r="D25" s="140"/>
      <c r="E25" s="140"/>
      <c r="F25" s="140"/>
      <c r="G25" s="140"/>
      <c r="H25" s="140"/>
      <c r="I25" s="140"/>
    </row>
    <row r="26" spans="1:9" ht="22.95" customHeight="1" x14ac:dyDescent="0.3">
      <c r="A26" s="140"/>
      <c r="B26" s="140"/>
      <c r="C26" s="140"/>
      <c r="D26" s="140"/>
      <c r="E26" s="140"/>
      <c r="F26" s="140"/>
      <c r="G26" s="140"/>
      <c r="H26" s="140"/>
      <c r="I26" s="140"/>
    </row>
    <row r="27" spans="1:9" ht="22.95" customHeight="1" x14ac:dyDescent="0.3">
      <c r="A27" s="140"/>
      <c r="B27" s="140"/>
      <c r="C27" s="140"/>
      <c r="D27" s="140"/>
      <c r="E27" s="140"/>
      <c r="F27" s="140"/>
      <c r="G27" s="140"/>
      <c r="H27" s="140"/>
      <c r="I27" s="140"/>
    </row>
    <row r="28" spans="1:9" ht="22.95" customHeight="1" x14ac:dyDescent="0.3">
      <c r="A28" s="140"/>
      <c r="B28" s="140"/>
      <c r="C28" s="140"/>
      <c r="D28" s="140"/>
      <c r="E28" s="140"/>
      <c r="F28" s="140"/>
      <c r="G28" s="140"/>
      <c r="H28" s="140"/>
      <c r="I28" s="140"/>
    </row>
    <row r="29" spans="1:9" ht="22.95" customHeight="1" x14ac:dyDescent="0.3">
      <c r="A29" s="140"/>
      <c r="B29" s="140"/>
      <c r="C29" s="140"/>
      <c r="D29" s="140"/>
      <c r="E29" s="140"/>
      <c r="F29" s="140"/>
      <c r="G29" s="140"/>
      <c r="H29" s="140"/>
      <c r="I29" s="140"/>
    </row>
    <row r="30" spans="1:9" ht="22.95" customHeight="1" x14ac:dyDescent="0.3">
      <c r="A30" s="140"/>
      <c r="B30" s="140"/>
      <c r="C30" s="140"/>
      <c r="D30" s="140"/>
      <c r="E30" s="140"/>
      <c r="F30" s="140"/>
      <c r="G30" s="140"/>
      <c r="H30" s="140"/>
      <c r="I30" s="140"/>
    </row>
    <row r="31" spans="1:9" ht="22.95" customHeight="1" x14ac:dyDescent="0.3">
      <c r="A31" s="140"/>
      <c r="B31" s="140"/>
      <c r="C31" s="140"/>
      <c r="D31" s="140"/>
      <c r="E31" s="140"/>
      <c r="F31" s="140"/>
      <c r="G31" s="140"/>
      <c r="H31" s="140"/>
      <c r="I31" s="140"/>
    </row>
    <row r="32" spans="1:9" ht="22.95" customHeight="1" x14ac:dyDescent="0.3">
      <c r="A32" s="140"/>
      <c r="B32" s="140"/>
      <c r="C32" s="140"/>
      <c r="D32" s="140"/>
      <c r="E32" s="140"/>
      <c r="F32" s="140"/>
      <c r="G32" s="140"/>
      <c r="H32" s="140"/>
      <c r="I32" s="140"/>
    </row>
    <row r="33" spans="1:17" ht="22.95" customHeight="1" x14ac:dyDescent="0.3">
      <c r="A33" s="140"/>
      <c r="B33" s="140"/>
      <c r="C33" s="140"/>
      <c r="D33" s="140"/>
      <c r="E33" s="140"/>
      <c r="F33" s="140"/>
      <c r="G33" s="140"/>
      <c r="H33" s="140"/>
      <c r="I33" s="140"/>
    </row>
    <row r="34" spans="1:17" ht="22.95" customHeight="1" x14ac:dyDescent="0.3">
      <c r="A34" s="520" t="s">
        <v>375</v>
      </c>
      <c r="B34" s="247">
        <v>85</v>
      </c>
      <c r="C34" s="247">
        <v>85</v>
      </c>
      <c r="D34" s="247">
        <v>85</v>
      </c>
      <c r="E34" s="247">
        <v>85</v>
      </c>
      <c r="F34" s="247">
        <v>85</v>
      </c>
      <c r="G34" s="247">
        <v>85</v>
      </c>
      <c r="H34" s="247">
        <v>85</v>
      </c>
      <c r="I34" s="247">
        <v>85</v>
      </c>
      <c r="J34" s="247">
        <v>85</v>
      </c>
      <c r="K34" s="247">
        <v>85</v>
      </c>
      <c r="L34" s="247">
        <v>85</v>
      </c>
      <c r="M34" s="247">
        <v>85</v>
      </c>
      <c r="N34" s="247">
        <v>85</v>
      </c>
      <c r="O34" s="247">
        <v>85</v>
      </c>
      <c r="P34" s="247">
        <v>85</v>
      </c>
      <c r="Q34" s="247">
        <v>85</v>
      </c>
    </row>
    <row r="36" spans="1:17" ht="22.95" customHeight="1" x14ac:dyDescent="0.3">
      <c r="A36" s="563" t="s">
        <v>376</v>
      </c>
      <c r="B36" s="563"/>
      <c r="C36" s="563"/>
      <c r="D36" s="563"/>
      <c r="E36" s="563"/>
      <c r="F36" s="563"/>
      <c r="G36" s="563"/>
      <c r="H36" s="563"/>
      <c r="I36" s="563"/>
      <c r="J36" s="563"/>
      <c r="K36" s="563"/>
      <c r="L36" s="563"/>
      <c r="M36" s="563"/>
      <c r="N36" s="563"/>
      <c r="O36" s="563"/>
      <c r="P36" s="563"/>
      <c r="Q36" s="563"/>
    </row>
    <row r="37" spans="1:17" ht="14.4" customHeight="1" x14ac:dyDescent="0.3">
      <c r="A37" s="615" t="s">
        <v>377</v>
      </c>
      <c r="B37" s="616"/>
      <c r="C37" s="616"/>
      <c r="D37" s="616"/>
      <c r="E37" s="616"/>
      <c r="F37" s="616"/>
      <c r="G37" s="616"/>
      <c r="H37" s="616"/>
      <c r="I37" s="616"/>
      <c r="J37" s="616"/>
      <c r="K37" s="616"/>
      <c r="L37" s="616"/>
      <c r="M37" s="616"/>
      <c r="N37" s="616"/>
      <c r="O37" s="11"/>
      <c r="P37" s="11"/>
      <c r="Q37" s="11"/>
    </row>
  </sheetData>
  <mergeCells count="12">
    <mergeCell ref="A37:N37"/>
    <mergeCell ref="A36:Q36"/>
    <mergeCell ref="A7:A10"/>
    <mergeCell ref="A1:S1"/>
    <mergeCell ref="A3:A6"/>
    <mergeCell ref="S3:S6"/>
    <mergeCell ref="S7:S10"/>
    <mergeCell ref="A11:A14"/>
    <mergeCell ref="A15:A16"/>
    <mergeCell ref="S15:S16"/>
    <mergeCell ref="C16:R16"/>
    <mergeCell ref="S12:S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96"/>
  <sheetViews>
    <sheetView zoomScale="85" zoomScaleNormal="85" workbookViewId="0">
      <selection sqref="A1:M1"/>
    </sheetView>
  </sheetViews>
  <sheetFormatPr defaultColWidth="9.33203125" defaultRowHeight="13.8" x14ac:dyDescent="0.25"/>
  <cols>
    <col min="1" max="1" width="57.44140625" style="55" customWidth="1"/>
    <col min="2" max="2" width="34.88671875" style="55" bestFit="1" customWidth="1"/>
    <col min="3" max="3" width="27.109375" style="55" customWidth="1"/>
    <col min="4" max="5" width="20.33203125" style="55" customWidth="1"/>
    <col min="6" max="6" width="25.33203125" style="55" bestFit="1" customWidth="1"/>
    <col min="7" max="7" width="28.6640625" style="55" customWidth="1"/>
    <col min="8" max="8" width="25.6640625" style="55" customWidth="1"/>
    <col min="9" max="9" width="18.5546875" style="55" customWidth="1"/>
    <col min="10" max="10" width="24.5546875" style="55" bestFit="1" customWidth="1"/>
    <col min="11" max="11" width="24.33203125" style="55" customWidth="1"/>
    <col min="12" max="12" width="21.6640625" style="55" customWidth="1"/>
    <col min="13" max="13" width="12.33203125" style="55" customWidth="1"/>
    <col min="14" max="14" width="13.6640625" style="55" customWidth="1"/>
    <col min="15" max="15" width="12.33203125" style="55" customWidth="1"/>
    <col min="16" max="16" width="18.109375" style="55" customWidth="1"/>
    <col min="17" max="17" width="17.109375" style="55" customWidth="1"/>
    <col min="18" max="18" width="22.44140625" style="55" customWidth="1"/>
    <col min="19" max="19" width="21.6640625" style="55" customWidth="1"/>
    <col min="20" max="20" width="9.33203125" style="55" customWidth="1"/>
    <col min="21" max="21" width="23.33203125" style="55" customWidth="1"/>
    <col min="22" max="25" width="11.33203125" style="55" customWidth="1"/>
    <col min="26" max="16384" width="9.33203125" style="55"/>
  </cols>
  <sheetData>
    <row r="1" spans="1:22" ht="24.6" customHeight="1" x14ac:dyDescent="0.25">
      <c r="A1" s="637" t="str">
        <f>"Outdoor Airflow Rate - "&amp;Prototype!A2</f>
        <v>Outdoor Airflow Rate - Laboratory</v>
      </c>
      <c r="B1" s="638"/>
      <c r="C1" s="638"/>
      <c r="D1" s="638"/>
      <c r="E1" s="638"/>
      <c r="F1" s="638"/>
      <c r="G1" s="638"/>
      <c r="H1" s="638"/>
      <c r="I1" s="638"/>
      <c r="J1" s="638"/>
      <c r="K1" s="638"/>
      <c r="L1" s="638"/>
      <c r="M1" s="638"/>
      <c r="N1" s="5"/>
      <c r="O1" s="5"/>
      <c r="P1" s="5"/>
      <c r="Q1" s="5"/>
      <c r="R1" s="5"/>
      <c r="S1" s="5"/>
      <c r="T1" s="5"/>
      <c r="U1" s="5"/>
      <c r="V1" s="5"/>
    </row>
    <row r="2" spans="1:22" ht="60.6" customHeight="1" x14ac:dyDescent="0.25">
      <c r="A2" s="143" t="s">
        <v>190</v>
      </c>
      <c r="B2" s="144" t="s">
        <v>122</v>
      </c>
      <c r="C2" s="144" t="s">
        <v>131</v>
      </c>
      <c r="D2" s="145" t="s">
        <v>378</v>
      </c>
      <c r="E2" s="146" t="s">
        <v>379</v>
      </c>
      <c r="F2" s="146" t="s">
        <v>380</v>
      </c>
      <c r="G2" s="146" t="s">
        <v>381</v>
      </c>
      <c r="H2" s="146" t="s">
        <v>382</v>
      </c>
      <c r="I2" s="146" t="s">
        <v>383</v>
      </c>
      <c r="J2" s="146" t="s">
        <v>384</v>
      </c>
      <c r="K2" s="146" t="s">
        <v>385</v>
      </c>
      <c r="L2" s="147" t="s">
        <v>386</v>
      </c>
      <c r="M2" s="148" t="s">
        <v>67</v>
      </c>
      <c r="N2" s="5"/>
      <c r="O2" s="5"/>
      <c r="P2" s="5"/>
      <c r="Q2" s="5"/>
      <c r="R2" s="5"/>
      <c r="S2" s="5"/>
      <c r="T2" s="5"/>
      <c r="U2" s="5"/>
      <c r="V2" s="5"/>
    </row>
    <row r="3" spans="1:22" ht="21" customHeight="1" x14ac:dyDescent="0.25">
      <c r="A3" s="429" t="str">
        <f>Zones!C3</f>
        <v>Laboratory, Scientific</v>
      </c>
      <c r="B3" s="350" t="str">
        <f>Zones!B3</f>
        <v>Lab_Core_FloorG</v>
      </c>
      <c r="C3" s="430">
        <f>(D3*25/1000)</f>
        <v>107.075</v>
      </c>
      <c r="D3" s="350">
        <f>Zones!H3</f>
        <v>4283</v>
      </c>
      <c r="E3" s="350">
        <v>15</v>
      </c>
      <c r="F3" s="350">
        <v>0.15</v>
      </c>
      <c r="G3" s="350">
        <v>1</v>
      </c>
      <c r="H3" s="354">
        <f>G68</f>
        <v>10612.374570000002</v>
      </c>
      <c r="I3" s="430">
        <f t="shared" ref="I3:I19" si="0">C3*E3</f>
        <v>1606.125</v>
      </c>
      <c r="J3" s="354">
        <f t="shared" ref="J3:J19" si="1">D3*F3</f>
        <v>642.44999999999993</v>
      </c>
      <c r="K3" s="350">
        <f t="shared" ref="K3:K12" si="2">G3*D3</f>
        <v>4283</v>
      </c>
      <c r="L3" s="430">
        <f>MAX(I3,J3,K3,H3)</f>
        <v>10612.374570000002</v>
      </c>
      <c r="M3" s="350"/>
      <c r="N3" s="5"/>
      <c r="O3" s="5"/>
      <c r="P3" s="5"/>
      <c r="Q3" s="5"/>
      <c r="R3" s="5"/>
      <c r="S3" s="5"/>
      <c r="T3" s="5"/>
      <c r="U3" s="5"/>
      <c r="V3" s="110"/>
    </row>
    <row r="4" spans="1:22" ht="21" customHeight="1" x14ac:dyDescent="0.25">
      <c r="A4" s="429" t="str">
        <f>Zones!C4</f>
        <v>Laboratory, Scientific</v>
      </c>
      <c r="B4" s="350" t="str">
        <f>Zones!B4</f>
        <v>Lab_N_FloorG</v>
      </c>
      <c r="C4" s="430">
        <f>(D4*25/1000)</f>
        <v>57.45</v>
      </c>
      <c r="D4" s="350">
        <f>Zones!H4</f>
        <v>2298</v>
      </c>
      <c r="E4" s="350">
        <v>15</v>
      </c>
      <c r="F4" s="350">
        <v>0.15</v>
      </c>
      <c r="G4" s="350">
        <v>1</v>
      </c>
      <c r="H4" s="354">
        <f>G69</f>
        <v>5693.9614199999996</v>
      </c>
      <c r="I4" s="430">
        <f t="shared" si="0"/>
        <v>861.75</v>
      </c>
      <c r="J4" s="354">
        <f t="shared" si="1"/>
        <v>344.7</v>
      </c>
      <c r="K4" s="350">
        <f t="shared" si="2"/>
        <v>2298</v>
      </c>
      <c r="L4" s="430">
        <f>MAX(I4,J4,K4,H4)</f>
        <v>5693.9614199999996</v>
      </c>
      <c r="M4" s="350"/>
      <c r="N4" s="5"/>
      <c r="O4" s="5"/>
      <c r="P4" s="5"/>
      <c r="Q4" s="5"/>
      <c r="R4" s="5"/>
      <c r="S4" s="5"/>
      <c r="T4" s="5"/>
      <c r="U4" s="5"/>
      <c r="V4" s="5"/>
    </row>
    <row r="5" spans="1:22" ht="21" customHeight="1" x14ac:dyDescent="0.25">
      <c r="A5" s="429" t="str">
        <f>Zones!C5</f>
        <v>Office Area (&gt;250 square feet)</v>
      </c>
      <c r="B5" s="350" t="str">
        <f>Zones!B5</f>
        <v>Enclosed_Office_W_FloorG</v>
      </c>
      <c r="C5" s="350">
        <f>Zones!K5</f>
        <v>8</v>
      </c>
      <c r="D5" s="350">
        <f>Zones!H5</f>
        <v>1638</v>
      </c>
      <c r="E5" s="350">
        <v>15</v>
      </c>
      <c r="F5" s="350">
        <v>0.15</v>
      </c>
      <c r="G5" s="350"/>
      <c r="H5" s="350"/>
      <c r="I5" s="430">
        <f t="shared" si="0"/>
        <v>120</v>
      </c>
      <c r="J5" s="350">
        <f t="shared" si="1"/>
        <v>245.7</v>
      </c>
      <c r="K5" s="350">
        <f t="shared" si="2"/>
        <v>0</v>
      </c>
      <c r="L5" s="350">
        <f>MAX(I5,J5,K5)</f>
        <v>245.7</v>
      </c>
      <c r="M5" s="350"/>
      <c r="N5" s="5"/>
      <c r="O5" s="5"/>
      <c r="P5" s="5"/>
      <c r="Q5" s="5"/>
      <c r="R5" s="5"/>
      <c r="S5" s="5"/>
      <c r="T5" s="5"/>
      <c r="U5" s="5"/>
      <c r="V5" s="5"/>
    </row>
    <row r="6" spans="1:22" ht="21" customHeight="1" x14ac:dyDescent="0.25">
      <c r="A6" s="429" t="str">
        <f>Zones!C6</f>
        <v>Office Area (&gt;250 square feet)</v>
      </c>
      <c r="B6" s="350" t="str">
        <f>Zones!B6</f>
        <v>Enclosed_Office_E_FloorG</v>
      </c>
      <c r="C6" s="350">
        <f>Zones!K6</f>
        <v>8</v>
      </c>
      <c r="D6" s="350">
        <f>Zones!H6</f>
        <v>1638</v>
      </c>
      <c r="E6" s="350">
        <v>15</v>
      </c>
      <c r="F6" s="350">
        <v>0.15</v>
      </c>
      <c r="G6" s="350"/>
      <c r="H6" s="350"/>
      <c r="I6" s="430">
        <f t="shared" si="0"/>
        <v>120</v>
      </c>
      <c r="J6" s="350">
        <f t="shared" si="1"/>
        <v>245.7</v>
      </c>
      <c r="K6" s="350">
        <f t="shared" si="2"/>
        <v>0</v>
      </c>
      <c r="L6" s="350">
        <f>MAX(I6,J6,K6)</f>
        <v>245.7</v>
      </c>
      <c r="M6" s="350"/>
      <c r="N6" s="5"/>
      <c r="O6" s="5"/>
      <c r="P6" s="5"/>
      <c r="Q6" s="5"/>
      <c r="R6" s="5"/>
      <c r="S6" s="5"/>
      <c r="T6" s="5"/>
      <c r="U6" s="5"/>
      <c r="V6" s="5"/>
    </row>
    <row r="7" spans="1:22" ht="21" customHeight="1" x14ac:dyDescent="0.25">
      <c r="A7" s="429" t="str">
        <f>Zones!C7</f>
        <v>Laboratory, Scientific</v>
      </c>
      <c r="B7" s="350" t="str">
        <f>Zones!B7</f>
        <v>Lab_S_FloorG</v>
      </c>
      <c r="C7" s="430">
        <f>(D7*25/1000)</f>
        <v>29.65</v>
      </c>
      <c r="D7" s="350">
        <f>Zones!H7</f>
        <v>1186</v>
      </c>
      <c r="E7" s="350">
        <v>15</v>
      </c>
      <c r="F7" s="350">
        <v>0.15</v>
      </c>
      <c r="G7" s="350">
        <v>1</v>
      </c>
      <c r="H7" s="354">
        <f>G70</f>
        <v>2938.6589399999998</v>
      </c>
      <c r="I7" s="430">
        <f t="shared" si="0"/>
        <v>444.75</v>
      </c>
      <c r="J7" s="354">
        <f t="shared" si="1"/>
        <v>177.9</v>
      </c>
      <c r="K7" s="350">
        <f t="shared" si="2"/>
        <v>1186</v>
      </c>
      <c r="L7" s="430">
        <f>MAX(I7,J7,K7,H7)</f>
        <v>2938.6589399999998</v>
      </c>
      <c r="M7" s="350"/>
      <c r="N7" s="5"/>
      <c r="O7" s="5"/>
      <c r="P7" s="5"/>
      <c r="Q7" s="5"/>
      <c r="R7" s="5"/>
      <c r="S7" s="5"/>
      <c r="T7" s="5"/>
      <c r="U7" s="5"/>
      <c r="V7" s="5"/>
    </row>
    <row r="8" spans="1:22" ht="21" customHeight="1" x14ac:dyDescent="0.25">
      <c r="A8" s="429" t="str">
        <f>Zones!C8</f>
        <v>Convention, Conference, Multipurpose and Meeting Area</v>
      </c>
      <c r="B8" s="350" t="str">
        <f>Zones!B8</f>
        <v>Conference_FloorG</v>
      </c>
      <c r="C8" s="350">
        <f>Zones!K8</f>
        <v>37</v>
      </c>
      <c r="D8" s="350">
        <f>Zones!H8</f>
        <v>1112</v>
      </c>
      <c r="E8" s="350">
        <v>15</v>
      </c>
      <c r="F8" s="350">
        <v>0.15</v>
      </c>
      <c r="G8" s="350"/>
      <c r="H8" s="350"/>
      <c r="I8" s="430">
        <f t="shared" si="0"/>
        <v>555</v>
      </c>
      <c r="J8" s="350">
        <f t="shared" si="1"/>
        <v>166.79999999999998</v>
      </c>
      <c r="K8" s="350">
        <f t="shared" si="2"/>
        <v>0</v>
      </c>
      <c r="L8" s="350">
        <f t="shared" ref="L8:L20" si="3">MAX(I8,J8,K8)</f>
        <v>555</v>
      </c>
      <c r="M8" s="350"/>
      <c r="N8" s="5"/>
      <c r="O8" s="5"/>
      <c r="P8" s="5"/>
      <c r="Q8" s="5"/>
      <c r="R8" s="5"/>
      <c r="S8" s="5"/>
      <c r="T8" s="5"/>
      <c r="U8" s="5"/>
      <c r="V8" s="5"/>
    </row>
    <row r="9" spans="1:22" ht="21" customHeight="1" x14ac:dyDescent="0.25">
      <c r="A9" s="429" t="str">
        <f>Zones!C9</f>
        <v>Lobby, Main Entry</v>
      </c>
      <c r="B9" s="350" t="str">
        <f>Zones!B9</f>
        <v>Lobby_FloorG</v>
      </c>
      <c r="C9" s="350">
        <f>Zones!K9</f>
        <v>11</v>
      </c>
      <c r="D9" s="350">
        <f>Zones!H9</f>
        <v>1059</v>
      </c>
      <c r="E9" s="350">
        <v>15</v>
      </c>
      <c r="F9" s="350">
        <v>0.15</v>
      </c>
      <c r="G9" s="350"/>
      <c r="H9" s="350"/>
      <c r="I9" s="430">
        <f t="shared" si="0"/>
        <v>165</v>
      </c>
      <c r="J9" s="350">
        <f t="shared" si="1"/>
        <v>158.85</v>
      </c>
      <c r="K9" s="350">
        <f t="shared" si="2"/>
        <v>0</v>
      </c>
      <c r="L9" s="350">
        <f t="shared" si="3"/>
        <v>165</v>
      </c>
      <c r="M9" s="350"/>
      <c r="N9" s="5"/>
      <c r="O9" s="5"/>
      <c r="P9" s="5"/>
      <c r="Q9" s="5"/>
      <c r="R9" s="5"/>
      <c r="S9" s="5"/>
      <c r="T9" s="5"/>
      <c r="U9" s="5"/>
      <c r="V9" s="5"/>
    </row>
    <row r="10" spans="1:22" ht="21" customHeight="1" x14ac:dyDescent="0.25">
      <c r="A10" s="429" t="str">
        <f>Zones!C10</f>
        <v>Storage (General)</v>
      </c>
      <c r="B10" s="350" t="str">
        <f>Zones!B10</f>
        <v>Storage_FloorG</v>
      </c>
      <c r="C10" s="350">
        <f>Zones!K10</f>
        <v>0</v>
      </c>
      <c r="D10" s="350">
        <f>Zones!H10</f>
        <v>983</v>
      </c>
      <c r="E10" s="350">
        <v>15</v>
      </c>
      <c r="F10" s="350">
        <v>0.15</v>
      </c>
      <c r="G10" s="350"/>
      <c r="H10" s="350"/>
      <c r="I10" s="430">
        <f t="shared" si="0"/>
        <v>0</v>
      </c>
      <c r="J10" s="350">
        <f t="shared" si="1"/>
        <v>147.44999999999999</v>
      </c>
      <c r="K10" s="350">
        <f t="shared" si="2"/>
        <v>0</v>
      </c>
      <c r="L10" s="350">
        <f t="shared" si="3"/>
        <v>147.44999999999999</v>
      </c>
      <c r="M10" s="350"/>
      <c r="N10" s="5"/>
      <c r="O10" s="5"/>
      <c r="P10" s="5"/>
      <c r="Q10" s="5"/>
      <c r="R10" s="5"/>
      <c r="S10" s="5"/>
      <c r="T10" s="5"/>
      <c r="U10" s="5"/>
      <c r="V10" s="5"/>
    </row>
    <row r="11" spans="1:22" ht="21" customHeight="1" x14ac:dyDescent="0.25">
      <c r="A11" s="429" t="str">
        <f>Zones!C11</f>
        <v>Electrical, Mechanical, Telephone Rooms</v>
      </c>
      <c r="B11" s="350" t="str">
        <f>Zones!B11</f>
        <v>Mechanical/Electrical_FloorG</v>
      </c>
      <c r="C11" s="350">
        <f>Zones!K11</f>
        <v>0</v>
      </c>
      <c r="D11" s="350">
        <f>Zones!H11</f>
        <v>357</v>
      </c>
      <c r="E11" s="350">
        <v>15</v>
      </c>
      <c r="F11" s="350">
        <v>0.15</v>
      </c>
      <c r="G11" s="350"/>
      <c r="H11" s="350"/>
      <c r="I11" s="430">
        <f t="shared" si="0"/>
        <v>0</v>
      </c>
      <c r="J11" s="350">
        <f t="shared" si="1"/>
        <v>53.55</v>
      </c>
      <c r="K11" s="350">
        <f t="shared" si="2"/>
        <v>0</v>
      </c>
      <c r="L11" s="350">
        <f t="shared" si="3"/>
        <v>53.55</v>
      </c>
      <c r="M11" s="350"/>
      <c r="N11" s="5"/>
      <c r="O11" s="5"/>
      <c r="P11" s="5"/>
      <c r="Q11" s="5"/>
      <c r="R11" s="5"/>
      <c r="S11" s="5"/>
      <c r="T11" s="5"/>
      <c r="U11" s="5"/>
      <c r="V11" s="5"/>
    </row>
    <row r="12" spans="1:22" ht="21" customHeight="1" x14ac:dyDescent="0.25">
      <c r="A12" s="429" t="str">
        <f>Zones!C12</f>
        <v>IT Room (EPD 12)</v>
      </c>
      <c r="B12" s="350" t="str">
        <f>Zones!B12</f>
        <v>IT-Room_FloorG</v>
      </c>
      <c r="C12" s="350">
        <f>Zones!K12</f>
        <v>0</v>
      </c>
      <c r="D12" s="350">
        <f>Zones!H12</f>
        <v>179</v>
      </c>
      <c r="E12" s="350">
        <v>15</v>
      </c>
      <c r="F12" s="350">
        <v>0.15</v>
      </c>
      <c r="G12" s="350"/>
      <c r="H12" s="350"/>
      <c r="I12" s="430">
        <f t="shared" si="0"/>
        <v>0</v>
      </c>
      <c r="J12" s="350">
        <f t="shared" si="1"/>
        <v>26.849999999999998</v>
      </c>
      <c r="K12" s="350">
        <f t="shared" si="2"/>
        <v>0</v>
      </c>
      <c r="L12" s="350">
        <f t="shared" si="3"/>
        <v>26.849999999999998</v>
      </c>
      <c r="M12" s="350"/>
      <c r="N12" s="5"/>
      <c r="O12" s="5"/>
      <c r="P12" s="5"/>
      <c r="Q12" s="5"/>
      <c r="R12" s="5"/>
      <c r="S12" s="5"/>
      <c r="T12" s="5"/>
      <c r="U12" s="5"/>
      <c r="V12" s="5"/>
    </row>
    <row r="13" spans="1:22" ht="21" customHeight="1" x14ac:dyDescent="0.25">
      <c r="A13" s="429" t="str">
        <f>Zones!C13</f>
        <v>Restrooms</v>
      </c>
      <c r="B13" s="350" t="str">
        <f>Zones!B13</f>
        <v>Restroom_FloorG</v>
      </c>
      <c r="C13" s="350">
        <f>Zones!K13</f>
        <v>0</v>
      </c>
      <c r="D13" s="350">
        <f>Zones!H13</f>
        <v>644</v>
      </c>
      <c r="E13" s="350">
        <v>15</v>
      </c>
      <c r="F13" s="350">
        <v>0.15</v>
      </c>
      <c r="G13" s="350" t="s">
        <v>387</v>
      </c>
      <c r="H13" s="350"/>
      <c r="I13" s="430">
        <f t="shared" si="0"/>
        <v>0</v>
      </c>
      <c r="J13" s="350">
        <f t="shared" si="1"/>
        <v>96.6</v>
      </c>
      <c r="K13" s="350">
        <f>4*50</f>
        <v>200</v>
      </c>
      <c r="L13" s="350">
        <f t="shared" si="3"/>
        <v>200</v>
      </c>
      <c r="M13" s="350"/>
      <c r="N13" s="5"/>
      <c r="O13" s="5"/>
      <c r="P13" s="5"/>
      <c r="Q13" s="5"/>
      <c r="R13" s="5"/>
      <c r="S13" s="5"/>
      <c r="T13" s="5"/>
      <c r="U13" s="5"/>
      <c r="V13" s="5"/>
    </row>
    <row r="14" spans="1:22" ht="21" customHeight="1" x14ac:dyDescent="0.25">
      <c r="A14" s="429" t="str">
        <f>Zones!C14</f>
        <v>Lounge, Breakroom, or Waiting Area</v>
      </c>
      <c r="B14" s="350" t="str">
        <f>Zones!B14</f>
        <v>BreakRoom/Kitchenette_FloorG</v>
      </c>
      <c r="C14" s="350">
        <f>Zones!K14</f>
        <v>8</v>
      </c>
      <c r="D14" s="350">
        <f>Zones!H14</f>
        <v>232</v>
      </c>
      <c r="E14" s="350">
        <v>15</v>
      </c>
      <c r="F14" s="350">
        <v>0.15</v>
      </c>
      <c r="G14" s="350"/>
      <c r="H14" s="350"/>
      <c r="I14" s="430">
        <f t="shared" si="0"/>
        <v>120</v>
      </c>
      <c r="J14" s="350">
        <f t="shared" si="1"/>
        <v>34.799999999999997</v>
      </c>
      <c r="K14" s="350">
        <f t="shared" ref="K14:K30" si="4">G14*D14</f>
        <v>0</v>
      </c>
      <c r="L14" s="350">
        <f t="shared" si="3"/>
        <v>120</v>
      </c>
      <c r="M14" s="350"/>
      <c r="N14" s="5"/>
      <c r="O14" s="5"/>
      <c r="P14" s="5"/>
      <c r="Q14" s="5"/>
      <c r="R14" s="5"/>
      <c r="S14" s="5"/>
      <c r="T14" s="5"/>
      <c r="U14" s="5"/>
      <c r="V14" s="5"/>
    </row>
    <row r="15" spans="1:22" ht="21" customHeight="1" x14ac:dyDescent="0.25">
      <c r="A15" s="429" t="str">
        <f>Zones!C15</f>
        <v>Stairwell</v>
      </c>
      <c r="B15" s="350" t="str">
        <f>Zones!B15</f>
        <v>Stairway_FloorG</v>
      </c>
      <c r="C15" s="350">
        <f>Zones!K15</f>
        <v>0</v>
      </c>
      <c r="D15" s="350">
        <f>Zones!H15</f>
        <v>661</v>
      </c>
      <c r="E15" s="350">
        <v>15</v>
      </c>
      <c r="F15" s="350">
        <v>0.15</v>
      </c>
      <c r="G15" s="350"/>
      <c r="H15" s="350"/>
      <c r="I15" s="430">
        <f t="shared" si="0"/>
        <v>0</v>
      </c>
      <c r="J15" s="350">
        <f t="shared" si="1"/>
        <v>99.149999999999991</v>
      </c>
      <c r="K15" s="350">
        <f t="shared" si="4"/>
        <v>0</v>
      </c>
      <c r="L15" s="350">
        <f t="shared" si="3"/>
        <v>99.149999999999991</v>
      </c>
      <c r="M15" s="350"/>
      <c r="N15" s="5"/>
      <c r="O15" s="5"/>
      <c r="P15" s="5"/>
      <c r="Q15" s="5"/>
      <c r="R15" s="5"/>
      <c r="S15" s="5"/>
      <c r="T15" s="5"/>
      <c r="U15" s="5"/>
      <c r="V15" s="5"/>
    </row>
    <row r="16" spans="1:22" ht="21" customHeight="1" x14ac:dyDescent="0.25">
      <c r="A16" s="429" t="str">
        <f>Zones!C16</f>
        <v>Corridor Area</v>
      </c>
      <c r="B16" s="350" t="str">
        <f>Zones!B16</f>
        <v>Corridor_W_FloorG</v>
      </c>
      <c r="C16" s="350">
        <f>Zones!K16</f>
        <v>2</v>
      </c>
      <c r="D16" s="350">
        <f>Zones!H16</f>
        <v>300</v>
      </c>
      <c r="E16" s="350">
        <v>15</v>
      </c>
      <c r="F16" s="350">
        <v>0.15</v>
      </c>
      <c r="G16" s="350"/>
      <c r="H16" s="350"/>
      <c r="I16" s="430">
        <f t="shared" si="0"/>
        <v>30</v>
      </c>
      <c r="J16" s="350">
        <f t="shared" si="1"/>
        <v>45</v>
      </c>
      <c r="K16" s="350">
        <f t="shared" si="4"/>
        <v>0</v>
      </c>
      <c r="L16" s="350">
        <f t="shared" si="3"/>
        <v>45</v>
      </c>
      <c r="M16" s="350"/>
      <c r="N16" s="5"/>
      <c r="O16" s="5"/>
      <c r="P16" s="5"/>
      <c r="Q16" s="5"/>
      <c r="R16" s="5"/>
      <c r="S16" s="5"/>
      <c r="T16" s="5"/>
      <c r="U16" s="5"/>
      <c r="V16" s="5"/>
    </row>
    <row r="17" spans="1:13" ht="21" customHeight="1" x14ac:dyDescent="0.25">
      <c r="A17" s="429" t="str">
        <f>Zones!C17</f>
        <v>Corridor Area</v>
      </c>
      <c r="B17" s="350" t="str">
        <f>Zones!B17</f>
        <v>Corridor_N_FloorG</v>
      </c>
      <c r="C17" s="350">
        <f>Zones!K17</f>
        <v>3</v>
      </c>
      <c r="D17" s="350">
        <f>Zones!H17</f>
        <v>503</v>
      </c>
      <c r="E17" s="350">
        <v>15</v>
      </c>
      <c r="F17" s="350">
        <v>0.15</v>
      </c>
      <c r="G17" s="350"/>
      <c r="H17" s="350"/>
      <c r="I17" s="430">
        <f t="shared" si="0"/>
        <v>45</v>
      </c>
      <c r="J17" s="350">
        <f t="shared" si="1"/>
        <v>75.45</v>
      </c>
      <c r="K17" s="350">
        <f t="shared" si="4"/>
        <v>0</v>
      </c>
      <c r="L17" s="350">
        <f t="shared" si="3"/>
        <v>75.45</v>
      </c>
      <c r="M17" s="350"/>
    </row>
    <row r="18" spans="1:13" ht="21" customHeight="1" x14ac:dyDescent="0.25">
      <c r="A18" s="429" t="str">
        <f>Zones!C18</f>
        <v>Corridor Area</v>
      </c>
      <c r="B18" s="350" t="str">
        <f>Zones!B18</f>
        <v>Corridor_E_FloorG</v>
      </c>
      <c r="C18" s="350">
        <f>Zones!K18</f>
        <v>1</v>
      </c>
      <c r="D18" s="350">
        <f>Zones!H18</f>
        <v>299</v>
      </c>
      <c r="E18" s="350">
        <v>15</v>
      </c>
      <c r="F18" s="350">
        <v>0.15</v>
      </c>
      <c r="G18" s="350"/>
      <c r="H18" s="350"/>
      <c r="I18" s="430">
        <f t="shared" si="0"/>
        <v>15</v>
      </c>
      <c r="J18" s="350">
        <f t="shared" si="1"/>
        <v>44.85</v>
      </c>
      <c r="K18" s="350">
        <f t="shared" si="4"/>
        <v>0</v>
      </c>
      <c r="L18" s="350">
        <f t="shared" si="3"/>
        <v>44.85</v>
      </c>
      <c r="M18" s="350"/>
    </row>
    <row r="19" spans="1:13" ht="21" customHeight="1" x14ac:dyDescent="0.25">
      <c r="A19" s="429" t="str">
        <f>Zones!C19</f>
        <v>Corridor Area</v>
      </c>
      <c r="B19" s="350" t="str">
        <f>Zones!B19</f>
        <v>Corridor_S_FloorG</v>
      </c>
      <c r="C19" s="350">
        <f>Zones!K19</f>
        <v>3</v>
      </c>
      <c r="D19" s="350">
        <f>Zones!H19</f>
        <v>503</v>
      </c>
      <c r="E19" s="350">
        <v>15</v>
      </c>
      <c r="F19" s="350">
        <v>0.15</v>
      </c>
      <c r="G19" s="350"/>
      <c r="H19" s="350"/>
      <c r="I19" s="430">
        <f t="shared" si="0"/>
        <v>45</v>
      </c>
      <c r="J19" s="350">
        <f t="shared" si="1"/>
        <v>75.45</v>
      </c>
      <c r="K19" s="350">
        <f t="shared" si="4"/>
        <v>0</v>
      </c>
      <c r="L19" s="350">
        <f t="shared" si="3"/>
        <v>75.45</v>
      </c>
      <c r="M19" s="350"/>
    </row>
    <row r="20" spans="1:13" s="5" customFormat="1" ht="21" customHeight="1" x14ac:dyDescent="0.25">
      <c r="A20" s="432" t="str">
        <f>Zones!C20</f>
        <v>Plenum</v>
      </c>
      <c r="B20" s="433" t="str">
        <f>Zones!B20</f>
        <v>Plenum_FloorG</v>
      </c>
      <c r="C20" s="433">
        <f>Zones!K20</f>
        <v>0</v>
      </c>
      <c r="D20" s="433">
        <f>Zones!H20</f>
        <v>17876</v>
      </c>
      <c r="E20" s="433"/>
      <c r="F20" s="433" t="s">
        <v>296</v>
      </c>
      <c r="G20" s="433"/>
      <c r="H20" s="433"/>
      <c r="I20" s="434">
        <f t="shared" ref="I20:I44" si="5">C20*E20</f>
        <v>0</v>
      </c>
      <c r="J20" s="433">
        <v>0</v>
      </c>
      <c r="K20" s="433">
        <f t="shared" si="4"/>
        <v>0</v>
      </c>
      <c r="L20" s="433">
        <f t="shared" si="3"/>
        <v>0</v>
      </c>
      <c r="M20" s="433"/>
    </row>
    <row r="21" spans="1:13" ht="21" customHeight="1" x14ac:dyDescent="0.25">
      <c r="A21" s="429" t="str">
        <f>Zones!C21</f>
        <v>Laboratory, Scientific</v>
      </c>
      <c r="B21" s="350" t="str">
        <f>Zones!B21</f>
        <v>Lab_Core_FloorM</v>
      </c>
      <c r="C21" s="430">
        <f t="shared" ref="C21:C26" si="6">(D21*25/1000)</f>
        <v>107.075</v>
      </c>
      <c r="D21" s="350">
        <f>Zones!H21</f>
        <v>4283</v>
      </c>
      <c r="E21" s="350">
        <v>15</v>
      </c>
      <c r="F21" s="350">
        <v>0.15</v>
      </c>
      <c r="G21" s="350">
        <v>1</v>
      </c>
      <c r="H21" s="354">
        <f t="shared" ref="H21:H26" si="7">G71</f>
        <v>10612.374570000002</v>
      </c>
      <c r="I21" s="430">
        <f t="shared" si="5"/>
        <v>1606.125</v>
      </c>
      <c r="J21" s="354">
        <f t="shared" ref="J21:J37" si="8">D21*F21</f>
        <v>642.44999999999993</v>
      </c>
      <c r="K21" s="350">
        <f t="shared" si="4"/>
        <v>4283</v>
      </c>
      <c r="L21" s="430">
        <f t="shared" ref="L21:L26" si="9">MAX(I21,J21,K21,H21)</f>
        <v>10612.374570000002</v>
      </c>
      <c r="M21" s="350"/>
    </row>
    <row r="22" spans="1:13" ht="24" customHeight="1" x14ac:dyDescent="0.25">
      <c r="A22" s="429" t="str">
        <f>Zones!C22</f>
        <v>Laboratory, Scientific</v>
      </c>
      <c r="B22" s="350" t="str">
        <f>Zones!B22</f>
        <v>Lab_N_FloorM</v>
      </c>
      <c r="C22" s="430">
        <f t="shared" si="6"/>
        <v>57.45</v>
      </c>
      <c r="D22" s="350">
        <f>Zones!H22</f>
        <v>2298</v>
      </c>
      <c r="E22" s="350">
        <v>15</v>
      </c>
      <c r="F22" s="350">
        <v>0.15</v>
      </c>
      <c r="G22" s="350">
        <v>1</v>
      </c>
      <c r="H22" s="354">
        <f t="shared" si="7"/>
        <v>5693.9614199999996</v>
      </c>
      <c r="I22" s="430">
        <f t="shared" si="5"/>
        <v>861.75</v>
      </c>
      <c r="J22" s="354">
        <f t="shared" si="8"/>
        <v>344.7</v>
      </c>
      <c r="K22" s="350">
        <f t="shared" si="4"/>
        <v>2298</v>
      </c>
      <c r="L22" s="430">
        <f t="shared" si="9"/>
        <v>5693.9614199999996</v>
      </c>
      <c r="M22" s="350"/>
    </row>
    <row r="23" spans="1:13" ht="24" customHeight="1" x14ac:dyDescent="0.25">
      <c r="A23" s="429" t="str">
        <f>Zones!C23</f>
        <v>Laboratory, Scientific</v>
      </c>
      <c r="B23" s="350" t="str">
        <f>Zones!B23</f>
        <v>Lab_W_FloorM</v>
      </c>
      <c r="C23" s="430">
        <f t="shared" si="6"/>
        <v>40.950000000000003</v>
      </c>
      <c r="D23" s="350">
        <f>Zones!H23</f>
        <v>1638</v>
      </c>
      <c r="E23" s="350">
        <v>15</v>
      </c>
      <c r="F23" s="350">
        <v>0.15</v>
      </c>
      <c r="G23" s="350">
        <v>1</v>
      </c>
      <c r="H23" s="354">
        <f t="shared" si="7"/>
        <v>4058.6200199999994</v>
      </c>
      <c r="I23" s="430">
        <f t="shared" si="5"/>
        <v>614.25</v>
      </c>
      <c r="J23" s="354">
        <f t="shared" si="8"/>
        <v>245.7</v>
      </c>
      <c r="K23" s="350">
        <f t="shared" si="4"/>
        <v>1638</v>
      </c>
      <c r="L23" s="430">
        <f t="shared" si="9"/>
        <v>4058.6200199999994</v>
      </c>
      <c r="M23" s="350"/>
    </row>
    <row r="24" spans="1:13" ht="24" customHeight="1" x14ac:dyDescent="0.25">
      <c r="A24" s="429" t="str">
        <f>Zones!C24</f>
        <v>Laboratory, Scientific</v>
      </c>
      <c r="B24" s="350" t="str">
        <f>Zones!B24</f>
        <v>Lab_E_FloorM</v>
      </c>
      <c r="C24" s="430">
        <f t="shared" si="6"/>
        <v>40.950000000000003</v>
      </c>
      <c r="D24" s="350">
        <f>Zones!H24</f>
        <v>1638</v>
      </c>
      <c r="E24" s="350">
        <v>15</v>
      </c>
      <c r="F24" s="350">
        <v>0.15</v>
      </c>
      <c r="G24" s="350">
        <v>1</v>
      </c>
      <c r="H24" s="354">
        <f t="shared" si="7"/>
        <v>4058.6200199999994</v>
      </c>
      <c r="I24" s="430">
        <f t="shared" si="5"/>
        <v>614.25</v>
      </c>
      <c r="J24" s="354">
        <f t="shared" si="8"/>
        <v>245.7</v>
      </c>
      <c r="K24" s="350">
        <f t="shared" si="4"/>
        <v>1638</v>
      </c>
      <c r="L24" s="430">
        <f t="shared" si="9"/>
        <v>4058.6200199999994</v>
      </c>
      <c r="M24" s="350"/>
    </row>
    <row r="25" spans="1:13" ht="24" customHeight="1" x14ac:dyDescent="0.25">
      <c r="A25" s="429" t="str">
        <f>Zones!C25</f>
        <v>Laboratory, Scientific</v>
      </c>
      <c r="B25" s="350" t="str">
        <f>Zones!B25</f>
        <v>Lab_S_FloorM</v>
      </c>
      <c r="C25" s="430">
        <f t="shared" si="6"/>
        <v>29.65</v>
      </c>
      <c r="D25" s="350">
        <f>Zones!H25</f>
        <v>1186</v>
      </c>
      <c r="E25" s="350">
        <v>15</v>
      </c>
      <c r="F25" s="350">
        <v>0.15</v>
      </c>
      <c r="G25" s="350">
        <v>1</v>
      </c>
      <c r="H25" s="354">
        <f t="shared" si="7"/>
        <v>2938.6589399999998</v>
      </c>
      <c r="I25" s="430">
        <f t="shared" si="5"/>
        <v>444.75</v>
      </c>
      <c r="J25" s="354">
        <f t="shared" si="8"/>
        <v>177.9</v>
      </c>
      <c r="K25" s="350">
        <f t="shared" si="4"/>
        <v>1186</v>
      </c>
      <c r="L25" s="430">
        <f t="shared" si="9"/>
        <v>2938.6589399999998</v>
      </c>
      <c r="M25" s="350"/>
    </row>
    <row r="26" spans="1:13" ht="24" customHeight="1" x14ac:dyDescent="0.25">
      <c r="A26" s="429" t="str">
        <f>Zones!C26</f>
        <v>Laboratory, Scientific</v>
      </c>
      <c r="B26" s="350" t="str">
        <f>Zones!B26</f>
        <v>Lab_FloorM</v>
      </c>
      <c r="C26" s="430">
        <f t="shared" si="6"/>
        <v>27.8</v>
      </c>
      <c r="D26" s="350">
        <f>Zones!H26</f>
        <v>1112</v>
      </c>
      <c r="E26" s="350">
        <v>15</v>
      </c>
      <c r="F26" s="350">
        <v>0.15</v>
      </c>
      <c r="G26" s="350">
        <v>1</v>
      </c>
      <c r="H26" s="354">
        <f t="shared" si="7"/>
        <v>2755.3024800000003</v>
      </c>
      <c r="I26" s="430">
        <f t="shared" si="5"/>
        <v>417</v>
      </c>
      <c r="J26" s="354">
        <f t="shared" si="8"/>
        <v>166.79999999999998</v>
      </c>
      <c r="K26" s="350">
        <f t="shared" si="4"/>
        <v>1112</v>
      </c>
      <c r="L26" s="430">
        <f t="shared" si="9"/>
        <v>2755.3024800000003</v>
      </c>
      <c r="M26" s="350"/>
    </row>
    <row r="27" spans="1:13" ht="24" customHeight="1" x14ac:dyDescent="0.25">
      <c r="A27" s="429" t="str">
        <f>Zones!C27</f>
        <v>Lounge, Breakroom, or Waiting Area</v>
      </c>
      <c r="B27" s="350" t="str">
        <f>Zones!B27</f>
        <v>Lounge_FloorM</v>
      </c>
      <c r="C27" s="350">
        <f>Zones!K27</f>
        <v>16</v>
      </c>
      <c r="D27" s="350">
        <f>Zones!H27</f>
        <v>1059</v>
      </c>
      <c r="E27" s="350">
        <v>15</v>
      </c>
      <c r="F27" s="350">
        <v>0.15</v>
      </c>
      <c r="G27" s="350"/>
      <c r="H27" s="350"/>
      <c r="I27" s="430">
        <f t="shared" si="5"/>
        <v>240</v>
      </c>
      <c r="J27" s="350">
        <f t="shared" si="8"/>
        <v>158.85</v>
      </c>
      <c r="K27" s="350">
        <f t="shared" si="4"/>
        <v>0</v>
      </c>
      <c r="L27" s="350">
        <f t="shared" ref="L27:L38" si="10">MAX(I27,J27,K27)</f>
        <v>240</v>
      </c>
      <c r="M27" s="350"/>
    </row>
    <row r="28" spans="1:13" ht="24" customHeight="1" x14ac:dyDescent="0.25">
      <c r="A28" s="429" t="str">
        <f>Zones!C28</f>
        <v>Storage (General)</v>
      </c>
      <c r="B28" s="350" t="str">
        <f>Zones!B28</f>
        <v>Storage_FloorM</v>
      </c>
      <c r="C28" s="350">
        <f>Zones!K28</f>
        <v>0</v>
      </c>
      <c r="D28" s="350">
        <f>Zones!H28</f>
        <v>983</v>
      </c>
      <c r="E28" s="350">
        <v>15</v>
      </c>
      <c r="F28" s="350">
        <v>0.15</v>
      </c>
      <c r="G28" s="350"/>
      <c r="H28" s="350"/>
      <c r="I28" s="430">
        <f t="shared" si="5"/>
        <v>0</v>
      </c>
      <c r="J28" s="350">
        <f t="shared" si="8"/>
        <v>147.44999999999999</v>
      </c>
      <c r="K28" s="350">
        <f t="shared" si="4"/>
        <v>0</v>
      </c>
      <c r="L28" s="350">
        <f t="shared" si="10"/>
        <v>147.44999999999999</v>
      </c>
      <c r="M28" s="350"/>
    </row>
    <row r="29" spans="1:13" ht="24" customHeight="1" x14ac:dyDescent="0.25">
      <c r="A29" s="429" t="str">
        <f>Zones!C29</f>
        <v>Electrical, Mechanical, Telephone Rooms</v>
      </c>
      <c r="B29" s="350" t="str">
        <f>Zones!B29</f>
        <v>Mechanical/Electrical_FloorM</v>
      </c>
      <c r="C29" s="350">
        <f>Zones!K29</f>
        <v>0</v>
      </c>
      <c r="D29" s="350">
        <f>Zones!H29</f>
        <v>357</v>
      </c>
      <c r="E29" s="350">
        <v>15</v>
      </c>
      <c r="F29" s="350">
        <v>0.15</v>
      </c>
      <c r="G29" s="350"/>
      <c r="H29" s="350"/>
      <c r="I29" s="430">
        <f t="shared" si="5"/>
        <v>0</v>
      </c>
      <c r="J29" s="350">
        <f t="shared" si="8"/>
        <v>53.55</v>
      </c>
      <c r="K29" s="350">
        <f t="shared" si="4"/>
        <v>0</v>
      </c>
      <c r="L29" s="350">
        <f t="shared" si="10"/>
        <v>53.55</v>
      </c>
      <c r="M29" s="350"/>
    </row>
    <row r="30" spans="1:13" ht="24" customHeight="1" x14ac:dyDescent="0.25">
      <c r="A30" s="429" t="str">
        <f>Zones!C30</f>
        <v>IT Room (EPD 12)</v>
      </c>
      <c r="B30" s="350" t="str">
        <f>Zones!B30</f>
        <v>IT-Room_FloorM</v>
      </c>
      <c r="C30" s="350">
        <f>Zones!K30</f>
        <v>0</v>
      </c>
      <c r="D30" s="350">
        <f>Zones!H30</f>
        <v>179</v>
      </c>
      <c r="E30" s="350">
        <v>15</v>
      </c>
      <c r="F30" s="350">
        <v>0.15</v>
      </c>
      <c r="G30" s="350"/>
      <c r="H30" s="350"/>
      <c r="I30" s="430">
        <f t="shared" si="5"/>
        <v>0</v>
      </c>
      <c r="J30" s="350">
        <f t="shared" si="8"/>
        <v>26.849999999999998</v>
      </c>
      <c r="K30" s="350">
        <f t="shared" si="4"/>
        <v>0</v>
      </c>
      <c r="L30" s="350">
        <f t="shared" si="10"/>
        <v>26.849999999999998</v>
      </c>
      <c r="M30" s="350"/>
    </row>
    <row r="31" spans="1:13" ht="24" customHeight="1" x14ac:dyDescent="0.25">
      <c r="A31" s="429" t="str">
        <f>Zones!C31</f>
        <v>Restrooms</v>
      </c>
      <c r="B31" s="350" t="str">
        <f>Zones!B31</f>
        <v>Restroom_FloorM</v>
      </c>
      <c r="C31" s="350">
        <f>Zones!K31</f>
        <v>0</v>
      </c>
      <c r="D31" s="350">
        <f>Zones!H31</f>
        <v>644</v>
      </c>
      <c r="E31" s="350">
        <v>15</v>
      </c>
      <c r="F31" s="350">
        <v>0.15</v>
      </c>
      <c r="G31" s="350" t="s">
        <v>387</v>
      </c>
      <c r="H31" s="350"/>
      <c r="I31" s="430">
        <f t="shared" si="5"/>
        <v>0</v>
      </c>
      <c r="J31" s="350">
        <f t="shared" si="8"/>
        <v>96.6</v>
      </c>
      <c r="K31" s="350">
        <f>4*50</f>
        <v>200</v>
      </c>
      <c r="L31" s="350">
        <f t="shared" si="10"/>
        <v>200</v>
      </c>
      <c r="M31" s="350"/>
    </row>
    <row r="32" spans="1:13" ht="24" customHeight="1" x14ac:dyDescent="0.25">
      <c r="A32" s="429" t="str">
        <f>Zones!C32</f>
        <v>Lounge, Breakroom, or Waiting Area</v>
      </c>
      <c r="B32" s="350" t="str">
        <f>Zones!B32</f>
        <v>BreakRoom/Kitchenette_FloorM</v>
      </c>
      <c r="C32" s="350">
        <f>Zones!K32</f>
        <v>8</v>
      </c>
      <c r="D32" s="350">
        <f>Zones!H32</f>
        <v>232</v>
      </c>
      <c r="E32" s="350">
        <v>15</v>
      </c>
      <c r="F32" s="350">
        <v>0.15</v>
      </c>
      <c r="G32" s="350"/>
      <c r="H32" s="350"/>
      <c r="I32" s="430">
        <f t="shared" si="5"/>
        <v>120</v>
      </c>
      <c r="J32" s="350">
        <f t="shared" si="8"/>
        <v>34.799999999999997</v>
      </c>
      <c r="K32" s="350">
        <f t="shared" ref="K32:K44" si="11">G32*D32</f>
        <v>0</v>
      </c>
      <c r="L32" s="350">
        <f t="shared" si="10"/>
        <v>120</v>
      </c>
      <c r="M32" s="350"/>
    </row>
    <row r="33" spans="1:13" ht="24" customHeight="1" x14ac:dyDescent="0.25">
      <c r="A33" s="429" t="str">
        <f>Zones!C33</f>
        <v>Stairwell</v>
      </c>
      <c r="B33" s="350" t="str">
        <f>Zones!B33</f>
        <v>Stairway_FloorM</v>
      </c>
      <c r="C33" s="350">
        <f>Zones!K33</f>
        <v>0</v>
      </c>
      <c r="D33" s="350">
        <f>Zones!H33</f>
        <v>661</v>
      </c>
      <c r="E33" s="350">
        <v>15</v>
      </c>
      <c r="F33" s="350">
        <v>0.15</v>
      </c>
      <c r="G33" s="350"/>
      <c r="H33" s="350"/>
      <c r="I33" s="430">
        <f t="shared" si="5"/>
        <v>0</v>
      </c>
      <c r="J33" s="350">
        <f t="shared" si="8"/>
        <v>99.149999999999991</v>
      </c>
      <c r="K33" s="350">
        <f t="shared" si="11"/>
        <v>0</v>
      </c>
      <c r="L33" s="350">
        <f t="shared" si="10"/>
        <v>99.149999999999991</v>
      </c>
      <c r="M33" s="350"/>
    </row>
    <row r="34" spans="1:13" ht="24" customHeight="1" x14ac:dyDescent="0.25">
      <c r="A34" s="429" t="str">
        <f>Zones!C34</f>
        <v>Corridor Area</v>
      </c>
      <c r="B34" s="350" t="str">
        <f>Zones!B34</f>
        <v>Corridor_W_FloorM</v>
      </c>
      <c r="C34" s="350">
        <f>Zones!K34</f>
        <v>2</v>
      </c>
      <c r="D34" s="350">
        <f>Zones!H34</f>
        <v>300</v>
      </c>
      <c r="E34" s="350">
        <v>15</v>
      </c>
      <c r="F34" s="350">
        <v>0.15</v>
      </c>
      <c r="G34" s="350"/>
      <c r="H34" s="350"/>
      <c r="I34" s="430">
        <f t="shared" si="5"/>
        <v>30</v>
      </c>
      <c r="J34" s="350">
        <f t="shared" si="8"/>
        <v>45</v>
      </c>
      <c r="K34" s="350">
        <f t="shared" si="11"/>
        <v>0</v>
      </c>
      <c r="L34" s="350">
        <f t="shared" si="10"/>
        <v>45</v>
      </c>
      <c r="M34" s="350"/>
    </row>
    <row r="35" spans="1:13" ht="24" customHeight="1" x14ac:dyDescent="0.25">
      <c r="A35" s="429" t="str">
        <f>Zones!C35</f>
        <v>Corridor Area</v>
      </c>
      <c r="B35" s="350" t="str">
        <f>Zones!B35</f>
        <v>Corridor_N_FloorM</v>
      </c>
      <c r="C35" s="350">
        <f>Zones!K35</f>
        <v>3</v>
      </c>
      <c r="D35" s="350">
        <f>Zones!H35</f>
        <v>503</v>
      </c>
      <c r="E35" s="350">
        <v>15</v>
      </c>
      <c r="F35" s="350">
        <v>0.15</v>
      </c>
      <c r="G35" s="350"/>
      <c r="H35" s="350"/>
      <c r="I35" s="430">
        <f t="shared" si="5"/>
        <v>45</v>
      </c>
      <c r="J35" s="350">
        <f t="shared" si="8"/>
        <v>75.45</v>
      </c>
      <c r="K35" s="350">
        <f t="shared" si="11"/>
        <v>0</v>
      </c>
      <c r="L35" s="350">
        <f t="shared" si="10"/>
        <v>75.45</v>
      </c>
      <c r="M35" s="350"/>
    </row>
    <row r="36" spans="1:13" ht="24" customHeight="1" x14ac:dyDescent="0.25">
      <c r="A36" s="429" t="str">
        <f>Zones!C36</f>
        <v>Corridor Area</v>
      </c>
      <c r="B36" s="350" t="str">
        <f>Zones!B36</f>
        <v>Corridor_E_FloorM</v>
      </c>
      <c r="C36" s="350">
        <f>Zones!K36</f>
        <v>2</v>
      </c>
      <c r="D36" s="350">
        <f>Zones!H36</f>
        <v>300</v>
      </c>
      <c r="E36" s="350">
        <v>15</v>
      </c>
      <c r="F36" s="350">
        <v>0.15</v>
      </c>
      <c r="G36" s="350"/>
      <c r="H36" s="350"/>
      <c r="I36" s="430">
        <f t="shared" si="5"/>
        <v>30</v>
      </c>
      <c r="J36" s="350">
        <f t="shared" si="8"/>
        <v>45</v>
      </c>
      <c r="K36" s="350">
        <f t="shared" si="11"/>
        <v>0</v>
      </c>
      <c r="L36" s="350">
        <f t="shared" si="10"/>
        <v>45</v>
      </c>
      <c r="M36" s="350"/>
    </row>
    <row r="37" spans="1:13" ht="24" customHeight="1" x14ac:dyDescent="0.25">
      <c r="A37" s="429" t="str">
        <f>Zones!C37</f>
        <v>Corridor Area</v>
      </c>
      <c r="B37" s="350" t="str">
        <f>Zones!B37</f>
        <v>Corridor_S_FloorM</v>
      </c>
      <c r="C37" s="350">
        <f>Zones!K37</f>
        <v>3</v>
      </c>
      <c r="D37" s="350">
        <f>Zones!H37</f>
        <v>503</v>
      </c>
      <c r="E37" s="350">
        <v>15</v>
      </c>
      <c r="F37" s="350">
        <v>0.15</v>
      </c>
      <c r="G37" s="350"/>
      <c r="H37" s="350"/>
      <c r="I37" s="430">
        <f t="shared" si="5"/>
        <v>45</v>
      </c>
      <c r="J37" s="350">
        <f t="shared" si="8"/>
        <v>75.45</v>
      </c>
      <c r="K37" s="350">
        <f t="shared" si="11"/>
        <v>0</v>
      </c>
      <c r="L37" s="350">
        <f t="shared" si="10"/>
        <v>75.45</v>
      </c>
      <c r="M37" s="350"/>
    </row>
    <row r="38" spans="1:13" s="5" customFormat="1" ht="24" customHeight="1" x14ac:dyDescent="0.25">
      <c r="A38" s="432" t="str">
        <f>Zones!C38</f>
        <v>Plenum</v>
      </c>
      <c r="B38" s="433" t="str">
        <f>Zones!B38</f>
        <v>Plenum_FloorM</v>
      </c>
      <c r="C38" s="433">
        <f>Zones!K38</f>
        <v>0</v>
      </c>
      <c r="D38" s="433">
        <f>Zones!H38</f>
        <v>17876</v>
      </c>
      <c r="E38" s="433">
        <v>0</v>
      </c>
      <c r="F38" s="433" t="s">
        <v>296</v>
      </c>
      <c r="G38" s="433"/>
      <c r="H38" s="433"/>
      <c r="I38" s="434">
        <f t="shared" si="5"/>
        <v>0</v>
      </c>
      <c r="J38" s="433"/>
      <c r="K38" s="433">
        <f t="shared" si="11"/>
        <v>0</v>
      </c>
      <c r="L38" s="433">
        <f t="shared" si="10"/>
        <v>0</v>
      </c>
      <c r="M38" s="433"/>
    </row>
    <row r="39" spans="1:13" ht="24" customHeight="1" x14ac:dyDescent="0.25">
      <c r="A39" s="429" t="str">
        <f>Zones!C39</f>
        <v>Laboratory, Scientific</v>
      </c>
      <c r="B39" s="350" t="str">
        <f>Zones!B39</f>
        <v>Lab_Core_FloorT</v>
      </c>
      <c r="C39" s="430">
        <f>(D39*25/1000)</f>
        <v>107.075</v>
      </c>
      <c r="D39" s="350">
        <f>Zones!H39</f>
        <v>4283</v>
      </c>
      <c r="E39" s="350">
        <v>15</v>
      </c>
      <c r="F39" s="350">
        <v>0.15</v>
      </c>
      <c r="G39" s="350">
        <v>1</v>
      </c>
      <c r="H39" s="354">
        <f>G77</f>
        <v>10612.374570000002</v>
      </c>
      <c r="I39" s="430">
        <f t="shared" si="5"/>
        <v>1606.125</v>
      </c>
      <c r="J39" s="354">
        <f t="shared" ref="J39:J44" si="12">D39*F39</f>
        <v>642.44999999999993</v>
      </c>
      <c r="K39" s="350">
        <f t="shared" si="11"/>
        <v>4283</v>
      </c>
      <c r="L39" s="430">
        <f t="shared" ref="L39:L40" si="13">MAX(I39,J39,K39,H39)</f>
        <v>10612.374570000002</v>
      </c>
      <c r="M39" s="350"/>
    </row>
    <row r="40" spans="1:13" ht="24" customHeight="1" x14ac:dyDescent="0.25">
      <c r="A40" s="429" t="str">
        <f>Zones!C40</f>
        <v>Laboratory, Scientific</v>
      </c>
      <c r="B40" s="350" t="str">
        <f>Zones!B40</f>
        <v>Lab_N_FloorT</v>
      </c>
      <c r="C40" s="430">
        <f>(D40*25/1000)</f>
        <v>57.45</v>
      </c>
      <c r="D40" s="350">
        <f>Zones!H40</f>
        <v>2298</v>
      </c>
      <c r="E40" s="350">
        <v>15</v>
      </c>
      <c r="F40" s="350">
        <v>0.15</v>
      </c>
      <c r="G40" s="350">
        <v>1</v>
      </c>
      <c r="H40" s="354">
        <f>G78</f>
        <v>5693.9614199999996</v>
      </c>
      <c r="I40" s="430">
        <f t="shared" si="5"/>
        <v>861.75</v>
      </c>
      <c r="J40" s="354">
        <f t="shared" si="12"/>
        <v>344.7</v>
      </c>
      <c r="K40" s="350">
        <f t="shared" si="11"/>
        <v>2298</v>
      </c>
      <c r="L40" s="430">
        <f t="shared" si="13"/>
        <v>5693.9614199999996</v>
      </c>
      <c r="M40" s="350"/>
    </row>
    <row r="41" spans="1:13" ht="24" customHeight="1" x14ac:dyDescent="0.25">
      <c r="A41" s="429" t="str">
        <f>Zones!C41</f>
        <v>Office Area (&gt;250 square feet)</v>
      </c>
      <c r="B41" s="350" t="str">
        <f>Zones!B41</f>
        <v>Enclosed_Office_W_FloorT</v>
      </c>
      <c r="C41" s="350">
        <f>Zones!K41</f>
        <v>8</v>
      </c>
      <c r="D41" s="350">
        <f>Zones!H41</f>
        <v>1638</v>
      </c>
      <c r="E41" s="350">
        <v>15</v>
      </c>
      <c r="F41" s="350">
        <v>0.15</v>
      </c>
      <c r="G41" s="350"/>
      <c r="H41" s="350"/>
      <c r="I41" s="430">
        <f t="shared" si="5"/>
        <v>120</v>
      </c>
      <c r="J41" s="350">
        <f t="shared" si="12"/>
        <v>245.7</v>
      </c>
      <c r="K41" s="350">
        <f t="shared" si="11"/>
        <v>0</v>
      </c>
      <c r="L41" s="350">
        <f>MAX(I41,J41,K41)</f>
        <v>245.7</v>
      </c>
      <c r="M41" s="350"/>
    </row>
    <row r="42" spans="1:13" ht="24" customHeight="1" x14ac:dyDescent="0.25">
      <c r="A42" s="429" t="str">
        <f>Zones!C42</f>
        <v>Office Area (&gt;250 square feet)</v>
      </c>
      <c r="B42" s="350" t="str">
        <f>Zones!B42</f>
        <v>Enclosed_Office_E_FloorT</v>
      </c>
      <c r="C42" s="350">
        <f>Zones!K42</f>
        <v>8</v>
      </c>
      <c r="D42" s="350">
        <f>Zones!H42</f>
        <v>1638</v>
      </c>
      <c r="E42" s="350">
        <v>15</v>
      </c>
      <c r="F42" s="350">
        <v>0.15</v>
      </c>
      <c r="G42" s="350"/>
      <c r="H42" s="350"/>
      <c r="I42" s="430">
        <f t="shared" si="5"/>
        <v>120</v>
      </c>
      <c r="J42" s="350">
        <f t="shared" si="12"/>
        <v>245.7</v>
      </c>
      <c r="K42" s="350">
        <f t="shared" si="11"/>
        <v>0</v>
      </c>
      <c r="L42" s="350">
        <f>MAX(I42,J42,K42)</f>
        <v>245.7</v>
      </c>
      <c r="M42" s="350"/>
    </row>
    <row r="43" spans="1:13" ht="24" customHeight="1" x14ac:dyDescent="0.25">
      <c r="A43" s="429" t="str">
        <f>Zones!C43</f>
        <v>Laboratory, Scientific</v>
      </c>
      <c r="B43" s="350" t="str">
        <f>Zones!B43</f>
        <v>Lab_S_FloorT</v>
      </c>
      <c r="C43" s="430">
        <f>(D43*25/1000)</f>
        <v>29.65</v>
      </c>
      <c r="D43" s="350">
        <f>Zones!H43</f>
        <v>1186</v>
      </c>
      <c r="E43" s="350">
        <v>15</v>
      </c>
      <c r="F43" s="350">
        <v>0.15</v>
      </c>
      <c r="G43" s="350">
        <v>1</v>
      </c>
      <c r="H43" s="354">
        <f>G79</f>
        <v>2938.6589399999998</v>
      </c>
      <c r="I43" s="430">
        <f t="shared" si="5"/>
        <v>444.75</v>
      </c>
      <c r="J43" s="354">
        <f t="shared" si="12"/>
        <v>177.9</v>
      </c>
      <c r="K43" s="350">
        <f t="shared" si="11"/>
        <v>1186</v>
      </c>
      <c r="L43" s="430">
        <f t="shared" ref="L43" si="14">MAX(I43,J43,K43,H43)</f>
        <v>2938.6589399999998</v>
      </c>
      <c r="M43" s="521"/>
    </row>
    <row r="44" spans="1:13" ht="24" customHeight="1" x14ac:dyDescent="0.25">
      <c r="A44" s="429" t="str">
        <f>Zones!C44</f>
        <v>Laboratory, Scientific</v>
      </c>
      <c r="B44" s="350" t="str">
        <f>Zones!B44</f>
        <v>Lab_FloorT</v>
      </c>
      <c r="C44" s="430">
        <f>(D44*25/1000)</f>
        <v>27.8</v>
      </c>
      <c r="D44" s="350">
        <f>Zones!H44</f>
        <v>1112</v>
      </c>
      <c r="E44" s="350">
        <v>15</v>
      </c>
      <c r="F44" s="350">
        <v>0.15</v>
      </c>
      <c r="G44" s="350">
        <v>1</v>
      </c>
      <c r="H44" s="354">
        <f>G80</f>
        <v>2755.3024800000003</v>
      </c>
      <c r="I44" s="430">
        <f t="shared" si="5"/>
        <v>417</v>
      </c>
      <c r="J44" s="354">
        <f t="shared" si="12"/>
        <v>166.79999999999998</v>
      </c>
      <c r="K44" s="350">
        <f t="shared" si="11"/>
        <v>1112</v>
      </c>
      <c r="L44" s="431">
        <f>MAX(I44,J44,K44,H44)</f>
        <v>2755.3024800000003</v>
      </c>
      <c r="M44" s="247"/>
    </row>
    <row r="45" spans="1:13" ht="24" customHeight="1" x14ac:dyDescent="0.25">
      <c r="A45" s="429" t="str">
        <f>Zones!C45</f>
        <v>Lounge, Breakroom, or Waiting Area</v>
      </c>
      <c r="B45" s="350" t="str">
        <f>Zones!B45</f>
        <v>Lounge_FloorT</v>
      </c>
      <c r="C45" s="350">
        <f>Zones!K45</f>
        <v>16</v>
      </c>
      <c r="D45" s="350">
        <f>Zones!H45</f>
        <v>1059</v>
      </c>
      <c r="E45" s="350">
        <v>15</v>
      </c>
      <c r="F45" s="350">
        <v>0.15</v>
      </c>
      <c r="G45" s="350"/>
      <c r="H45" s="350">
        <f t="shared" ref="H45" si="15">C45*E45</f>
        <v>240</v>
      </c>
      <c r="I45" s="430">
        <f t="shared" ref="I45:I55" si="16">D45*F45</f>
        <v>158.85</v>
      </c>
      <c r="J45" s="350">
        <f t="shared" ref="J45:J56" si="17">G45*D45</f>
        <v>0</v>
      </c>
      <c r="K45" s="350">
        <f t="shared" ref="K45:K56" si="18">MAX(H45,I45,J45)</f>
        <v>240</v>
      </c>
      <c r="L45" s="431">
        <f t="shared" ref="L45:L56" si="19">MAX(I45,J45,K45,H45)</f>
        <v>240</v>
      </c>
      <c r="M45" s="372"/>
    </row>
    <row r="46" spans="1:13" ht="24" customHeight="1" x14ac:dyDescent="0.25">
      <c r="A46" s="429" t="str">
        <f>Zones!C46</f>
        <v>Storage (General)</v>
      </c>
      <c r="B46" s="350" t="str">
        <f>Zones!B46</f>
        <v>Storage_FloorT</v>
      </c>
      <c r="C46" s="350">
        <f>Zones!K46</f>
        <v>0</v>
      </c>
      <c r="D46" s="350">
        <f>Zones!H46</f>
        <v>983</v>
      </c>
      <c r="E46" s="350">
        <v>15</v>
      </c>
      <c r="F46" s="350">
        <v>0.15</v>
      </c>
      <c r="G46" s="350"/>
      <c r="H46" s="350"/>
      <c r="I46" s="430">
        <f t="shared" si="16"/>
        <v>147.44999999999999</v>
      </c>
      <c r="J46" s="350">
        <f t="shared" si="17"/>
        <v>0</v>
      </c>
      <c r="K46" s="350">
        <f t="shared" si="18"/>
        <v>147.44999999999999</v>
      </c>
      <c r="L46" s="431">
        <f t="shared" si="19"/>
        <v>147.44999999999999</v>
      </c>
      <c r="M46" s="372"/>
    </row>
    <row r="47" spans="1:13" ht="24" customHeight="1" x14ac:dyDescent="0.25">
      <c r="A47" s="429" t="str">
        <f>Zones!C47</f>
        <v>Electrical, Mechanical, Telephone Rooms</v>
      </c>
      <c r="B47" s="350" t="str">
        <f>Zones!B47</f>
        <v>Mechanical/Electrical_FloorT</v>
      </c>
      <c r="C47" s="350">
        <f>Zones!K47</f>
        <v>0</v>
      </c>
      <c r="D47" s="350">
        <f>Zones!H47</f>
        <v>357</v>
      </c>
      <c r="E47" s="350">
        <v>15</v>
      </c>
      <c r="F47" s="350">
        <v>0.15</v>
      </c>
      <c r="G47" s="350"/>
      <c r="H47" s="350"/>
      <c r="I47" s="430">
        <f t="shared" si="16"/>
        <v>53.55</v>
      </c>
      <c r="J47" s="350">
        <f t="shared" si="17"/>
        <v>0</v>
      </c>
      <c r="K47" s="350">
        <f t="shared" si="18"/>
        <v>53.55</v>
      </c>
      <c r="L47" s="431">
        <f t="shared" si="19"/>
        <v>53.55</v>
      </c>
      <c r="M47" s="372"/>
    </row>
    <row r="48" spans="1:13" ht="24" customHeight="1" x14ac:dyDescent="0.25">
      <c r="A48" s="429" t="str">
        <f>Zones!C48</f>
        <v>IT Room (EPD 12)</v>
      </c>
      <c r="B48" s="350" t="str">
        <f>Zones!B48</f>
        <v>IT-Room_FloorT</v>
      </c>
      <c r="C48" s="350">
        <f>Zones!K48</f>
        <v>0</v>
      </c>
      <c r="D48" s="350">
        <f>Zones!H48</f>
        <v>179</v>
      </c>
      <c r="E48" s="350">
        <v>15</v>
      </c>
      <c r="F48" s="350">
        <v>0.15</v>
      </c>
      <c r="G48" s="350"/>
      <c r="H48" s="350"/>
      <c r="I48" s="430">
        <f t="shared" si="16"/>
        <v>26.849999999999998</v>
      </c>
      <c r="J48" s="350">
        <f t="shared" si="17"/>
        <v>0</v>
      </c>
      <c r="K48" s="350">
        <f t="shared" si="18"/>
        <v>26.849999999999998</v>
      </c>
      <c r="L48" s="431">
        <f t="shared" si="19"/>
        <v>26.849999999999998</v>
      </c>
      <c r="M48" s="372"/>
    </row>
    <row r="49" spans="1:13" ht="24" customHeight="1" x14ac:dyDescent="0.25">
      <c r="A49" s="429" t="str">
        <f>Zones!C49</f>
        <v>Restrooms</v>
      </c>
      <c r="B49" s="350" t="str">
        <f>Zones!B49</f>
        <v>Restroom_FloorT</v>
      </c>
      <c r="C49" s="350">
        <f>Zones!K49</f>
        <v>0</v>
      </c>
      <c r="D49" s="350">
        <f>Zones!H49</f>
        <v>644</v>
      </c>
      <c r="E49" s="350">
        <v>15</v>
      </c>
      <c r="F49" s="350">
        <v>0.15</v>
      </c>
      <c r="G49" s="350" t="s">
        <v>388</v>
      </c>
      <c r="H49" s="350"/>
      <c r="I49" s="430">
        <f t="shared" si="16"/>
        <v>96.6</v>
      </c>
      <c r="J49" s="350">
        <f>4*50</f>
        <v>200</v>
      </c>
      <c r="K49" s="350">
        <f t="shared" si="18"/>
        <v>200</v>
      </c>
      <c r="L49" s="431">
        <f t="shared" si="19"/>
        <v>200</v>
      </c>
      <c r="M49" s="372"/>
    </row>
    <row r="50" spans="1:13" ht="24" customHeight="1" x14ac:dyDescent="0.25">
      <c r="A50" s="429" t="str">
        <f>Zones!C50</f>
        <v>Lounge, Breakroom, or Waiting Area</v>
      </c>
      <c r="B50" s="350" t="str">
        <f>Zones!B50</f>
        <v>BreakRoom/Kitchenette_FloorT</v>
      </c>
      <c r="C50" s="350">
        <f>Zones!K50</f>
        <v>8</v>
      </c>
      <c r="D50" s="350">
        <f>Zones!H50</f>
        <v>232</v>
      </c>
      <c r="E50" s="350">
        <v>15</v>
      </c>
      <c r="F50" s="350">
        <v>0.15</v>
      </c>
      <c r="G50" s="350"/>
      <c r="H50" s="350"/>
      <c r="I50" s="430">
        <f t="shared" si="16"/>
        <v>34.799999999999997</v>
      </c>
      <c r="J50" s="350">
        <f t="shared" si="17"/>
        <v>0</v>
      </c>
      <c r="K50" s="350">
        <f t="shared" si="18"/>
        <v>34.799999999999997</v>
      </c>
      <c r="L50" s="431">
        <f t="shared" si="19"/>
        <v>34.799999999999997</v>
      </c>
      <c r="M50" s="372"/>
    </row>
    <row r="51" spans="1:13" ht="24" customHeight="1" x14ac:dyDescent="0.25">
      <c r="A51" s="429" t="str">
        <f>Zones!C51</f>
        <v>Stairwell</v>
      </c>
      <c r="B51" s="350" t="str">
        <f>Zones!B51</f>
        <v>Stairway_FloorT</v>
      </c>
      <c r="C51" s="350">
        <f>Zones!K51</f>
        <v>0</v>
      </c>
      <c r="D51" s="350">
        <f>Zones!H51</f>
        <v>661</v>
      </c>
      <c r="E51" s="350">
        <v>15</v>
      </c>
      <c r="F51" s="350">
        <v>0.15</v>
      </c>
      <c r="G51" s="350"/>
      <c r="H51" s="350"/>
      <c r="I51" s="430">
        <f t="shared" si="16"/>
        <v>99.149999999999991</v>
      </c>
      <c r="J51" s="350">
        <f t="shared" si="17"/>
        <v>0</v>
      </c>
      <c r="K51" s="350">
        <f t="shared" si="18"/>
        <v>99.149999999999991</v>
      </c>
      <c r="L51" s="431">
        <f t="shared" si="19"/>
        <v>99.149999999999991</v>
      </c>
      <c r="M51" s="372"/>
    </row>
    <row r="52" spans="1:13" ht="24" customHeight="1" x14ac:dyDescent="0.25">
      <c r="A52" s="429" t="str">
        <f>Zones!C52</f>
        <v>Corridor Area</v>
      </c>
      <c r="B52" s="350" t="str">
        <f>Zones!B52</f>
        <v>Corridor_W_FloorT</v>
      </c>
      <c r="C52" s="350">
        <f>Zones!K52</f>
        <v>2</v>
      </c>
      <c r="D52" s="350">
        <f>Zones!H52</f>
        <v>300</v>
      </c>
      <c r="E52" s="350">
        <v>15</v>
      </c>
      <c r="F52" s="350">
        <v>0.15</v>
      </c>
      <c r="G52" s="350"/>
      <c r="H52" s="350"/>
      <c r="I52" s="430">
        <f t="shared" si="16"/>
        <v>45</v>
      </c>
      <c r="J52" s="350">
        <f t="shared" si="17"/>
        <v>0</v>
      </c>
      <c r="K52" s="350">
        <f t="shared" si="18"/>
        <v>45</v>
      </c>
      <c r="L52" s="431">
        <f t="shared" si="19"/>
        <v>45</v>
      </c>
      <c r="M52" s="372"/>
    </row>
    <row r="53" spans="1:13" ht="24" customHeight="1" x14ac:dyDescent="0.25">
      <c r="A53" s="429" t="str">
        <f>Zones!C53</f>
        <v>Corridor Area</v>
      </c>
      <c r="B53" s="350" t="str">
        <f>Zones!B53</f>
        <v>Corridor_N_FloorT</v>
      </c>
      <c r="C53" s="350">
        <f>Zones!K53</f>
        <v>3</v>
      </c>
      <c r="D53" s="350">
        <f>Zones!H53</f>
        <v>503</v>
      </c>
      <c r="E53" s="350">
        <v>15</v>
      </c>
      <c r="F53" s="350">
        <v>0.15</v>
      </c>
      <c r="G53" s="350"/>
      <c r="H53" s="350"/>
      <c r="I53" s="430">
        <f t="shared" si="16"/>
        <v>75.45</v>
      </c>
      <c r="J53" s="350">
        <f t="shared" si="17"/>
        <v>0</v>
      </c>
      <c r="K53" s="350">
        <f t="shared" si="18"/>
        <v>75.45</v>
      </c>
      <c r="L53" s="431">
        <f t="shared" si="19"/>
        <v>75.45</v>
      </c>
      <c r="M53" s="372"/>
    </row>
    <row r="54" spans="1:13" ht="24" customHeight="1" x14ac:dyDescent="0.25">
      <c r="A54" s="429" t="str">
        <f>Zones!C54</f>
        <v>Corridor Area</v>
      </c>
      <c r="B54" s="350" t="str">
        <f>Zones!B54</f>
        <v>Corridor_E_FloorT</v>
      </c>
      <c r="C54" s="350">
        <f>Zones!K54</f>
        <v>2</v>
      </c>
      <c r="D54" s="350">
        <f>Zones!H54</f>
        <v>300</v>
      </c>
      <c r="E54" s="350">
        <v>15</v>
      </c>
      <c r="F54" s="350">
        <v>0.15</v>
      </c>
      <c r="G54" s="350"/>
      <c r="H54" s="350"/>
      <c r="I54" s="430">
        <f t="shared" si="16"/>
        <v>45</v>
      </c>
      <c r="J54" s="350">
        <f t="shared" si="17"/>
        <v>0</v>
      </c>
      <c r="K54" s="350">
        <f t="shared" si="18"/>
        <v>45</v>
      </c>
      <c r="L54" s="431">
        <f t="shared" si="19"/>
        <v>45</v>
      </c>
      <c r="M54" s="372"/>
    </row>
    <row r="55" spans="1:13" ht="24" customHeight="1" x14ac:dyDescent="0.25">
      <c r="A55" s="429" t="str">
        <f>Zones!C55</f>
        <v>Corridor Area</v>
      </c>
      <c r="B55" s="350" t="str">
        <f>Zones!B55</f>
        <v>Corridor_S_FloorT</v>
      </c>
      <c r="C55" s="350">
        <f>Zones!K55</f>
        <v>3</v>
      </c>
      <c r="D55" s="350">
        <f>Zones!H55</f>
        <v>503</v>
      </c>
      <c r="E55" s="350">
        <v>15</v>
      </c>
      <c r="F55" s="350">
        <v>0.15</v>
      </c>
      <c r="G55" s="350"/>
      <c r="H55" s="350"/>
      <c r="I55" s="430">
        <f t="shared" si="16"/>
        <v>75.45</v>
      </c>
      <c r="J55" s="350">
        <f t="shared" si="17"/>
        <v>0</v>
      </c>
      <c r="K55" s="350">
        <f t="shared" si="18"/>
        <v>75.45</v>
      </c>
      <c r="L55" s="431">
        <f t="shared" si="19"/>
        <v>75.45</v>
      </c>
      <c r="M55" s="372"/>
    </row>
    <row r="56" spans="1:13" ht="22.5" customHeight="1" x14ac:dyDescent="0.25">
      <c r="A56" s="429" t="str">
        <f>Zones!C56</f>
        <v>Plenum</v>
      </c>
      <c r="B56" s="350" t="str">
        <f>Zones!B56</f>
        <v>Plenum_FloorT</v>
      </c>
      <c r="C56" s="350">
        <f>Zones!K56</f>
        <v>0</v>
      </c>
      <c r="D56" s="350">
        <f>Zones!H56</f>
        <v>17876</v>
      </c>
      <c r="E56" s="350">
        <v>0</v>
      </c>
      <c r="F56" s="350" t="s">
        <v>296</v>
      </c>
      <c r="G56" s="350"/>
      <c r="H56" s="350"/>
      <c r="I56" s="350"/>
      <c r="J56" s="350">
        <f t="shared" si="17"/>
        <v>0</v>
      </c>
      <c r="K56" s="350">
        <f t="shared" si="18"/>
        <v>0</v>
      </c>
      <c r="L56" s="431">
        <f t="shared" si="19"/>
        <v>0</v>
      </c>
      <c r="M56" s="372"/>
    </row>
    <row r="57" spans="1:13" x14ac:dyDescent="0.25">
      <c r="A57" s="429" t="str">
        <f>Zones!C57</f>
        <v>Total (11 Space Type)</v>
      </c>
      <c r="B57" s="350" t="str">
        <f>Zones!B57</f>
        <v>Total (54 Space)</v>
      </c>
      <c r="C57" s="350">
        <f>Zones!K57</f>
        <v>307</v>
      </c>
      <c r="D57" s="350">
        <f>Zones!H57</f>
        <v>53627</v>
      </c>
      <c r="E57" s="350"/>
      <c r="F57" s="350"/>
      <c r="G57" s="350"/>
      <c r="H57" s="350"/>
      <c r="I57" s="350"/>
      <c r="J57" s="350"/>
      <c r="K57" s="350"/>
      <c r="L57" s="522"/>
      <c r="M57" s="372"/>
    </row>
    <row r="58" spans="1:13" x14ac:dyDescent="0.25">
      <c r="A58" s="277"/>
      <c r="B58" s="277"/>
      <c r="C58" s="5"/>
      <c r="D58" s="5"/>
      <c r="E58" s="5"/>
      <c r="F58" s="5"/>
      <c r="G58" s="5"/>
      <c r="H58" s="5"/>
      <c r="I58" s="5"/>
      <c r="J58" s="5"/>
      <c r="K58" s="5"/>
      <c r="L58" s="5"/>
      <c r="M58" s="5"/>
    </row>
    <row r="59" spans="1:13" ht="14.25" customHeight="1" x14ac:dyDescent="0.25">
      <c r="A59" s="640" t="s">
        <v>389</v>
      </c>
      <c r="B59" s="641"/>
      <c r="C59" s="641"/>
      <c r="D59" s="641"/>
      <c r="E59" s="641"/>
      <c r="F59" s="5"/>
      <c r="G59" s="5"/>
      <c r="H59" s="5"/>
      <c r="I59" s="5"/>
      <c r="J59" s="5"/>
      <c r="K59" s="5"/>
      <c r="L59" s="5"/>
      <c r="M59" s="5"/>
    </row>
    <row r="60" spans="1:13" x14ac:dyDescent="0.25">
      <c r="A60" s="377" t="s">
        <v>390</v>
      </c>
      <c r="B60" s="377" t="s">
        <v>391</v>
      </c>
      <c r="C60" s="377" t="s">
        <v>392</v>
      </c>
      <c r="D60" s="377" t="s">
        <v>393</v>
      </c>
      <c r="E60" s="377" t="s">
        <v>394</v>
      </c>
      <c r="F60" s="5"/>
      <c r="G60" s="5"/>
      <c r="H60" s="5"/>
      <c r="I60" s="5"/>
      <c r="J60" s="5"/>
      <c r="K60" s="5"/>
      <c r="L60" s="5"/>
      <c r="M60" s="5"/>
    </row>
    <row r="61" spans="1:13" x14ac:dyDescent="0.25">
      <c r="A61" s="292" t="s">
        <v>395</v>
      </c>
      <c r="B61" s="292">
        <v>29</v>
      </c>
      <c r="C61" s="351">
        <f>B61/12</f>
        <v>2.4166666666666665</v>
      </c>
      <c r="D61" s="352">
        <f>5.33 * C61 * 100</f>
        <v>1288.0833333333333</v>
      </c>
      <c r="E61" s="353">
        <f>D61/6</f>
        <v>214.68055555555554</v>
      </c>
      <c r="F61" s="5"/>
      <c r="G61" s="5"/>
      <c r="H61" s="5"/>
      <c r="I61" s="5"/>
      <c r="J61" s="5"/>
      <c r="K61" s="5"/>
      <c r="L61" s="5"/>
      <c r="M61" s="5"/>
    </row>
    <row r="62" spans="1:13" x14ac:dyDescent="0.25">
      <c r="A62" s="292" t="s">
        <v>396</v>
      </c>
      <c r="B62" s="292">
        <v>18</v>
      </c>
      <c r="C62" s="292">
        <f t="shared" ref="C62:C63" si="20">B62/12</f>
        <v>1.5</v>
      </c>
      <c r="D62" s="352">
        <f t="shared" ref="D62:D63" si="21">5.33 * C62 * 100</f>
        <v>799.5</v>
      </c>
      <c r="E62" s="353">
        <f t="shared" ref="E62:E63" si="22">D62/6</f>
        <v>133.25</v>
      </c>
      <c r="F62" s="5"/>
      <c r="G62" s="5"/>
      <c r="H62" s="5"/>
      <c r="I62" s="5"/>
      <c r="J62" s="5"/>
      <c r="K62" s="5"/>
      <c r="L62" s="5"/>
      <c r="M62" s="5"/>
    </row>
    <row r="63" spans="1:13" x14ac:dyDescent="0.25">
      <c r="A63" s="292" t="s">
        <v>397</v>
      </c>
      <c r="B63" s="292">
        <v>6</v>
      </c>
      <c r="C63" s="292">
        <f t="shared" si="20"/>
        <v>0.5</v>
      </c>
      <c r="D63" s="352">
        <f t="shared" si="21"/>
        <v>266.5</v>
      </c>
      <c r="E63" s="353">
        <f t="shared" si="22"/>
        <v>44.416666666666664</v>
      </c>
      <c r="F63" s="5"/>
      <c r="G63" s="5"/>
      <c r="H63" s="5"/>
      <c r="I63" s="5"/>
      <c r="J63" s="5"/>
      <c r="K63" s="5"/>
      <c r="L63" s="5"/>
      <c r="M63" s="5"/>
    </row>
    <row r="64" spans="1:13" ht="51" customHeight="1" x14ac:dyDescent="0.25">
      <c r="A64" s="583" t="s">
        <v>398</v>
      </c>
      <c r="B64" s="583"/>
      <c r="C64" s="583"/>
      <c r="D64" s="583"/>
      <c r="E64" s="583"/>
      <c r="F64" s="5"/>
      <c r="G64" s="5"/>
      <c r="H64" s="5"/>
      <c r="I64" s="5"/>
      <c r="J64" s="5"/>
      <c r="K64" s="5"/>
      <c r="L64" s="5"/>
      <c r="M64" s="5"/>
    </row>
    <row r="65" spans="1:14" ht="14.4" x14ac:dyDescent="0.3">
      <c r="A65" s="86"/>
      <c r="B65" s="83"/>
      <c r="C65" s="83"/>
      <c r="D65" s="83"/>
      <c r="E65" s="83"/>
      <c r="F65" s="508"/>
      <c r="G65" s="508"/>
      <c r="H65" s="5"/>
      <c r="I65" s="5"/>
      <c r="J65" s="5"/>
      <c r="K65" s="5"/>
      <c r="L65" s="5"/>
      <c r="M65" s="5"/>
      <c r="N65" s="5"/>
    </row>
    <row r="66" spans="1:14" ht="15.6" customHeight="1" x14ac:dyDescent="0.25">
      <c r="A66" s="640" t="s">
        <v>389</v>
      </c>
      <c r="B66" s="641"/>
      <c r="C66" s="641"/>
      <c r="D66" s="641"/>
      <c r="E66" s="641"/>
      <c r="F66" s="641"/>
      <c r="G66" s="641"/>
      <c r="H66" s="641"/>
      <c r="I66" s="641"/>
      <c r="J66" s="641"/>
      <c r="K66" s="641"/>
      <c r="L66" s="641"/>
      <c r="M66" s="641"/>
      <c r="N66" s="5"/>
    </row>
    <row r="67" spans="1:14" ht="64.95" customHeight="1" x14ac:dyDescent="0.25">
      <c r="A67" s="87" t="s">
        <v>399</v>
      </c>
      <c r="B67" s="377" t="s">
        <v>400</v>
      </c>
      <c r="C67" s="377" t="s">
        <v>401</v>
      </c>
      <c r="D67" s="377" t="s">
        <v>402</v>
      </c>
      <c r="E67" s="377" t="s">
        <v>403</v>
      </c>
      <c r="F67" s="377" t="s">
        <v>404</v>
      </c>
      <c r="G67" s="377" t="s">
        <v>382</v>
      </c>
      <c r="H67" s="377" t="s">
        <v>405</v>
      </c>
      <c r="I67" s="377" t="s">
        <v>406</v>
      </c>
      <c r="J67" s="377" t="s">
        <v>407</v>
      </c>
      <c r="K67" s="377" t="s">
        <v>408</v>
      </c>
      <c r="L67" s="85" t="s">
        <v>290</v>
      </c>
      <c r="M67" s="85" t="s">
        <v>300</v>
      </c>
      <c r="N67" s="5"/>
    </row>
    <row r="68" spans="1:14" ht="24" customHeight="1" x14ac:dyDescent="0.25">
      <c r="A68" s="292" t="s">
        <v>409</v>
      </c>
      <c r="B68" s="247" t="s">
        <v>133</v>
      </c>
      <c r="C68" s="264">
        <v>4283</v>
      </c>
      <c r="D68" s="264">
        <f>(C68/1000)*18.63</f>
        <v>79.792290000000008</v>
      </c>
      <c r="E68" s="264">
        <f>D68/6</f>
        <v>13.298715000000001</v>
      </c>
      <c r="F68" s="264">
        <f>215*D68</f>
        <v>17155.342350000003</v>
      </c>
      <c r="G68" s="264">
        <f>D68*133</f>
        <v>10612.374570000002</v>
      </c>
      <c r="H68" s="264">
        <f>D68*44</f>
        <v>3510.8607600000005</v>
      </c>
      <c r="I68" s="264" t="s">
        <v>410</v>
      </c>
      <c r="J68" s="523" t="s">
        <v>411</v>
      </c>
      <c r="K68" s="523" t="s">
        <v>412</v>
      </c>
      <c r="L68" s="622" t="s">
        <v>413</v>
      </c>
      <c r="M68" s="622" t="s">
        <v>31</v>
      </c>
      <c r="N68" s="5"/>
    </row>
    <row r="69" spans="1:14" ht="24" customHeight="1" x14ac:dyDescent="0.25">
      <c r="A69" s="292" t="s">
        <v>409</v>
      </c>
      <c r="B69" s="247" t="s">
        <v>139</v>
      </c>
      <c r="C69" s="264">
        <v>2298</v>
      </c>
      <c r="D69" s="264">
        <f t="shared" ref="D69:D80" si="23">(C69/1000)*18.63</f>
        <v>42.81174</v>
      </c>
      <c r="E69" s="264">
        <f t="shared" ref="E69:E80" si="24">D69/6</f>
        <v>7.1352900000000004</v>
      </c>
      <c r="F69" s="264">
        <f t="shared" ref="F69:F80" si="25">215*D69</f>
        <v>9204.5241000000005</v>
      </c>
      <c r="G69" s="264">
        <f t="shared" ref="G69:G80" si="26">D69*133</f>
        <v>5693.9614199999996</v>
      </c>
      <c r="H69" s="264">
        <f t="shared" ref="H69:H80" si="27">D69*44</f>
        <v>1883.7165600000001</v>
      </c>
      <c r="I69" s="264" t="s">
        <v>410</v>
      </c>
      <c r="J69" s="523" t="s">
        <v>411</v>
      </c>
      <c r="K69" s="523" t="s">
        <v>412</v>
      </c>
      <c r="L69" s="623"/>
      <c r="M69" s="623"/>
      <c r="N69" s="5"/>
    </row>
    <row r="70" spans="1:14" ht="24" customHeight="1" x14ac:dyDescent="0.25">
      <c r="A70" s="292" t="s">
        <v>409</v>
      </c>
      <c r="B70" s="247" t="s">
        <v>146</v>
      </c>
      <c r="C70" s="264">
        <v>1186</v>
      </c>
      <c r="D70" s="264">
        <f t="shared" si="23"/>
        <v>22.095179999999999</v>
      </c>
      <c r="E70" s="264">
        <f t="shared" si="24"/>
        <v>3.6825299999999999</v>
      </c>
      <c r="F70" s="264">
        <f t="shared" si="25"/>
        <v>4750.4637000000002</v>
      </c>
      <c r="G70" s="264">
        <f t="shared" si="26"/>
        <v>2938.6589399999998</v>
      </c>
      <c r="H70" s="264">
        <f t="shared" si="27"/>
        <v>972.18791999999996</v>
      </c>
      <c r="I70" s="264" t="s">
        <v>410</v>
      </c>
      <c r="J70" s="523" t="s">
        <v>411</v>
      </c>
      <c r="K70" s="523" t="s">
        <v>412</v>
      </c>
      <c r="L70" s="623"/>
      <c r="M70" s="623"/>
      <c r="N70" s="5"/>
    </row>
    <row r="71" spans="1:14" ht="24" customHeight="1" x14ac:dyDescent="0.25">
      <c r="A71" s="292" t="s">
        <v>409</v>
      </c>
      <c r="B71" s="247" t="s">
        <v>175</v>
      </c>
      <c r="C71" s="264">
        <v>4283</v>
      </c>
      <c r="D71" s="264">
        <f t="shared" si="23"/>
        <v>79.792290000000008</v>
      </c>
      <c r="E71" s="264">
        <f t="shared" si="24"/>
        <v>13.298715000000001</v>
      </c>
      <c r="F71" s="264">
        <f t="shared" si="25"/>
        <v>17155.342350000003</v>
      </c>
      <c r="G71" s="264">
        <f t="shared" si="26"/>
        <v>10612.374570000002</v>
      </c>
      <c r="H71" s="264">
        <f t="shared" si="27"/>
        <v>3510.8607600000005</v>
      </c>
      <c r="I71" s="264" t="s">
        <v>410</v>
      </c>
      <c r="J71" s="523" t="s">
        <v>411</v>
      </c>
      <c r="K71" s="523" t="s">
        <v>412</v>
      </c>
      <c r="L71" s="623"/>
      <c r="M71" s="623"/>
      <c r="N71" s="5"/>
    </row>
    <row r="72" spans="1:14" ht="24" customHeight="1" x14ac:dyDescent="0.25">
      <c r="A72" s="292" t="s">
        <v>409</v>
      </c>
      <c r="B72" s="247" t="s">
        <v>179</v>
      </c>
      <c r="C72" s="264">
        <v>2298</v>
      </c>
      <c r="D72" s="264">
        <f t="shared" si="23"/>
        <v>42.81174</v>
      </c>
      <c r="E72" s="264">
        <f t="shared" si="24"/>
        <v>7.1352900000000004</v>
      </c>
      <c r="F72" s="264">
        <f t="shared" si="25"/>
        <v>9204.5241000000005</v>
      </c>
      <c r="G72" s="264">
        <f t="shared" si="26"/>
        <v>5693.9614199999996</v>
      </c>
      <c r="H72" s="264">
        <f t="shared" si="27"/>
        <v>1883.7165600000001</v>
      </c>
      <c r="I72" s="264" t="s">
        <v>410</v>
      </c>
      <c r="J72" s="523" t="s">
        <v>411</v>
      </c>
      <c r="K72" s="523" t="s">
        <v>412</v>
      </c>
      <c r="L72" s="623"/>
      <c r="M72" s="623"/>
      <c r="N72" s="5"/>
    </row>
    <row r="73" spans="1:14" ht="24" customHeight="1" x14ac:dyDescent="0.25">
      <c r="A73" s="292" t="s">
        <v>409</v>
      </c>
      <c r="B73" s="247" t="s">
        <v>181</v>
      </c>
      <c r="C73" s="264">
        <v>1638</v>
      </c>
      <c r="D73" s="264">
        <f t="shared" si="23"/>
        <v>30.515939999999997</v>
      </c>
      <c r="E73" s="264">
        <f t="shared" si="24"/>
        <v>5.0859899999999998</v>
      </c>
      <c r="F73" s="264">
        <f t="shared" si="25"/>
        <v>6560.927099999999</v>
      </c>
      <c r="G73" s="264">
        <f t="shared" si="26"/>
        <v>4058.6200199999994</v>
      </c>
      <c r="H73" s="264">
        <f t="shared" si="27"/>
        <v>1342.7013599999998</v>
      </c>
      <c r="I73" s="264" t="s">
        <v>410</v>
      </c>
      <c r="J73" s="523" t="s">
        <v>411</v>
      </c>
      <c r="K73" s="523" t="s">
        <v>412</v>
      </c>
      <c r="L73" s="623"/>
      <c r="M73" s="623"/>
      <c r="N73" s="5"/>
    </row>
    <row r="74" spans="1:14" ht="24" customHeight="1" x14ac:dyDescent="0.25">
      <c r="A74" s="292" t="s">
        <v>409</v>
      </c>
      <c r="B74" s="247" t="s">
        <v>183</v>
      </c>
      <c r="C74" s="264">
        <v>1638</v>
      </c>
      <c r="D74" s="264">
        <f t="shared" si="23"/>
        <v>30.515939999999997</v>
      </c>
      <c r="E74" s="264">
        <f t="shared" si="24"/>
        <v>5.0859899999999998</v>
      </c>
      <c r="F74" s="264">
        <f t="shared" si="25"/>
        <v>6560.927099999999</v>
      </c>
      <c r="G74" s="264">
        <f t="shared" si="26"/>
        <v>4058.6200199999994</v>
      </c>
      <c r="H74" s="264">
        <f t="shared" si="27"/>
        <v>1342.7013599999998</v>
      </c>
      <c r="I74" s="264" t="s">
        <v>410</v>
      </c>
      <c r="J74" s="523" t="s">
        <v>411</v>
      </c>
      <c r="K74" s="523" t="s">
        <v>412</v>
      </c>
      <c r="L74" s="623"/>
      <c r="M74" s="623"/>
      <c r="N74" s="5"/>
    </row>
    <row r="75" spans="1:14" ht="24" customHeight="1" x14ac:dyDescent="0.25">
      <c r="A75" s="292" t="s">
        <v>409</v>
      </c>
      <c r="B75" s="247" t="s">
        <v>185</v>
      </c>
      <c r="C75" s="264">
        <v>1186</v>
      </c>
      <c r="D75" s="264">
        <f t="shared" si="23"/>
        <v>22.095179999999999</v>
      </c>
      <c r="E75" s="264">
        <f t="shared" si="24"/>
        <v>3.6825299999999999</v>
      </c>
      <c r="F75" s="264">
        <f t="shared" si="25"/>
        <v>4750.4637000000002</v>
      </c>
      <c r="G75" s="264">
        <f t="shared" si="26"/>
        <v>2938.6589399999998</v>
      </c>
      <c r="H75" s="264">
        <f t="shared" si="27"/>
        <v>972.18791999999996</v>
      </c>
      <c r="I75" s="264" t="s">
        <v>410</v>
      </c>
      <c r="J75" s="523" t="s">
        <v>411</v>
      </c>
      <c r="K75" s="523" t="s">
        <v>412</v>
      </c>
      <c r="L75" s="623"/>
      <c r="M75" s="623"/>
      <c r="N75" s="5"/>
    </row>
    <row r="76" spans="1:14" ht="24" customHeight="1" x14ac:dyDescent="0.25">
      <c r="A76" s="292" t="s">
        <v>409</v>
      </c>
      <c r="B76" s="247" t="s">
        <v>188</v>
      </c>
      <c r="C76" s="264">
        <v>1112</v>
      </c>
      <c r="D76" s="264">
        <f t="shared" si="23"/>
        <v>20.716560000000001</v>
      </c>
      <c r="E76" s="264">
        <f t="shared" si="24"/>
        <v>3.4527600000000001</v>
      </c>
      <c r="F76" s="264">
        <f t="shared" si="25"/>
        <v>4454.0604000000003</v>
      </c>
      <c r="G76" s="264">
        <f t="shared" si="26"/>
        <v>2755.3024800000003</v>
      </c>
      <c r="H76" s="264">
        <f t="shared" si="27"/>
        <v>911.52864</v>
      </c>
      <c r="I76" s="264" t="s">
        <v>410</v>
      </c>
      <c r="J76" s="523" t="s">
        <v>411</v>
      </c>
      <c r="K76" s="523" t="s">
        <v>412</v>
      </c>
      <c r="L76" s="623"/>
      <c r="M76" s="623"/>
      <c r="N76" s="5"/>
    </row>
    <row r="77" spans="1:14" ht="24" customHeight="1" x14ac:dyDescent="0.25">
      <c r="A77" s="292" t="s">
        <v>409</v>
      </c>
      <c r="B77" s="247" t="s">
        <v>208</v>
      </c>
      <c r="C77" s="264">
        <v>4283</v>
      </c>
      <c r="D77" s="264">
        <f t="shared" si="23"/>
        <v>79.792290000000008</v>
      </c>
      <c r="E77" s="264">
        <f t="shared" si="24"/>
        <v>13.298715000000001</v>
      </c>
      <c r="F77" s="264">
        <f t="shared" si="25"/>
        <v>17155.342350000003</v>
      </c>
      <c r="G77" s="264">
        <f t="shared" si="26"/>
        <v>10612.374570000002</v>
      </c>
      <c r="H77" s="264">
        <f t="shared" si="27"/>
        <v>3510.8607600000005</v>
      </c>
      <c r="I77" s="264" t="s">
        <v>410</v>
      </c>
      <c r="J77" s="523" t="s">
        <v>411</v>
      </c>
      <c r="K77" s="523" t="s">
        <v>412</v>
      </c>
      <c r="L77" s="623"/>
      <c r="M77" s="623"/>
      <c r="N77" s="5"/>
    </row>
    <row r="78" spans="1:14" ht="24" customHeight="1" x14ac:dyDescent="0.25">
      <c r="A78" s="292" t="s">
        <v>409</v>
      </c>
      <c r="B78" s="247" t="s">
        <v>210</v>
      </c>
      <c r="C78" s="264">
        <v>2298</v>
      </c>
      <c r="D78" s="264">
        <f t="shared" si="23"/>
        <v>42.81174</v>
      </c>
      <c r="E78" s="264">
        <f t="shared" si="24"/>
        <v>7.1352900000000004</v>
      </c>
      <c r="F78" s="264">
        <f t="shared" si="25"/>
        <v>9204.5241000000005</v>
      </c>
      <c r="G78" s="264">
        <f t="shared" si="26"/>
        <v>5693.9614199999996</v>
      </c>
      <c r="H78" s="264">
        <f t="shared" si="27"/>
        <v>1883.7165600000001</v>
      </c>
      <c r="I78" s="264" t="s">
        <v>410</v>
      </c>
      <c r="J78" s="523" t="s">
        <v>411</v>
      </c>
      <c r="K78" s="523" t="s">
        <v>412</v>
      </c>
      <c r="L78" s="623"/>
      <c r="M78" s="623"/>
      <c r="N78" s="5"/>
    </row>
    <row r="79" spans="1:14" ht="24" customHeight="1" x14ac:dyDescent="0.25">
      <c r="A79" s="292" t="s">
        <v>409</v>
      </c>
      <c r="B79" s="247" t="s">
        <v>215</v>
      </c>
      <c r="C79" s="264">
        <v>1186</v>
      </c>
      <c r="D79" s="264">
        <f t="shared" si="23"/>
        <v>22.095179999999999</v>
      </c>
      <c r="E79" s="264">
        <f t="shared" si="24"/>
        <v>3.6825299999999999</v>
      </c>
      <c r="F79" s="264">
        <f t="shared" si="25"/>
        <v>4750.4637000000002</v>
      </c>
      <c r="G79" s="264">
        <f t="shared" si="26"/>
        <v>2938.6589399999998</v>
      </c>
      <c r="H79" s="264">
        <f t="shared" si="27"/>
        <v>972.18791999999996</v>
      </c>
      <c r="I79" s="264" t="s">
        <v>410</v>
      </c>
      <c r="J79" s="523" t="s">
        <v>411</v>
      </c>
      <c r="K79" s="523" t="s">
        <v>412</v>
      </c>
      <c r="L79" s="623"/>
      <c r="M79" s="623"/>
      <c r="N79" s="5"/>
    </row>
    <row r="80" spans="1:14" ht="24" customHeight="1" x14ac:dyDescent="0.25">
      <c r="A80" s="292" t="s">
        <v>409</v>
      </c>
      <c r="B80" s="247" t="s">
        <v>217</v>
      </c>
      <c r="C80" s="264">
        <v>1112</v>
      </c>
      <c r="D80" s="264">
        <f t="shared" si="23"/>
        <v>20.716560000000001</v>
      </c>
      <c r="E80" s="264">
        <f t="shared" si="24"/>
        <v>3.4527600000000001</v>
      </c>
      <c r="F80" s="264">
        <f t="shared" si="25"/>
        <v>4454.0604000000003</v>
      </c>
      <c r="G80" s="264">
        <f t="shared" si="26"/>
        <v>2755.3024800000003</v>
      </c>
      <c r="H80" s="264">
        <f t="shared" si="27"/>
        <v>911.52864</v>
      </c>
      <c r="I80" s="264" t="s">
        <v>410</v>
      </c>
      <c r="J80" s="524" t="s">
        <v>411</v>
      </c>
      <c r="K80" s="524" t="s">
        <v>412</v>
      </c>
      <c r="L80" s="639"/>
      <c r="M80" s="639"/>
      <c r="N80" s="5"/>
    </row>
    <row r="81" spans="1:8" x14ac:dyDescent="0.25">
      <c r="A81" s="5"/>
      <c r="B81" s="5"/>
      <c r="C81" s="5"/>
      <c r="D81" s="5"/>
      <c r="E81" s="111"/>
      <c r="F81" s="5"/>
      <c r="G81" s="5"/>
      <c r="H81" s="5"/>
    </row>
    <row r="82" spans="1:8" x14ac:dyDescent="0.25">
      <c r="A82" s="5"/>
      <c r="B82" s="5"/>
      <c r="C82" s="5"/>
      <c r="D82" s="5"/>
      <c r="E82" s="5"/>
      <c r="F82" s="5"/>
      <c r="G82" s="5"/>
      <c r="H82" s="5"/>
    </row>
    <row r="83" spans="1:8" x14ac:dyDescent="0.25">
      <c r="A83" s="5" t="s">
        <v>414</v>
      </c>
      <c r="B83" s="5"/>
      <c r="C83" s="5"/>
      <c r="D83" s="5"/>
      <c r="E83" s="5"/>
      <c r="F83" s="5"/>
      <c r="G83" s="5"/>
      <c r="H83" s="5"/>
    </row>
    <row r="84" spans="1:8" x14ac:dyDescent="0.25">
      <c r="A84" s="5" t="s">
        <v>415</v>
      </c>
      <c r="B84" s="5"/>
      <c r="C84" s="5"/>
      <c r="D84" s="5"/>
      <c r="E84" s="5"/>
      <c r="F84" s="5"/>
      <c r="G84" s="5"/>
      <c r="H84" s="5"/>
    </row>
    <row r="85" spans="1:8" x14ac:dyDescent="0.25">
      <c r="A85" s="5"/>
      <c r="B85" s="5"/>
      <c r="C85" s="5"/>
      <c r="D85" s="5"/>
      <c r="E85" s="5"/>
      <c r="F85" s="5"/>
      <c r="G85" s="5"/>
      <c r="H85" s="5"/>
    </row>
    <row r="86" spans="1:8" x14ac:dyDescent="0.25">
      <c r="A86" s="5"/>
      <c r="B86" s="5"/>
      <c r="C86" s="5"/>
      <c r="D86" s="5"/>
      <c r="E86" s="5"/>
      <c r="F86" s="5"/>
      <c r="G86" s="5"/>
      <c r="H86" s="5"/>
    </row>
    <row r="87" spans="1:8" s="56" customFormat="1" ht="17.399999999999999" x14ac:dyDescent="0.3">
      <c r="A87" s="17"/>
      <c r="B87" s="112"/>
      <c r="C87" s="112"/>
      <c r="D87" s="112"/>
      <c r="E87" s="113"/>
      <c r="F87" s="114"/>
      <c r="G87" s="115"/>
      <c r="H87" s="112"/>
    </row>
    <row r="88" spans="1:8" x14ac:dyDescent="0.25">
      <c r="A88" s="5"/>
      <c r="B88" s="5"/>
      <c r="C88" s="5"/>
      <c r="D88" s="5"/>
      <c r="E88" s="5"/>
      <c r="F88" s="5"/>
      <c r="G88" s="5"/>
      <c r="H88" s="5"/>
    </row>
    <row r="89" spans="1:8" x14ac:dyDescent="0.25">
      <c r="A89" s="5"/>
      <c r="B89" s="5"/>
      <c r="C89" s="5"/>
      <c r="D89" s="5"/>
      <c r="E89" s="5"/>
      <c r="F89" s="5"/>
      <c r="G89" s="5"/>
      <c r="H89" s="5"/>
    </row>
    <row r="90" spans="1:8" ht="14.4" x14ac:dyDescent="0.25">
      <c r="A90" s="80" t="s">
        <v>416</v>
      </c>
      <c r="B90" s="80" t="s">
        <v>417</v>
      </c>
      <c r="C90" s="80" t="s">
        <v>418</v>
      </c>
      <c r="D90" s="80" t="s">
        <v>419</v>
      </c>
      <c r="E90" s="5"/>
      <c r="F90" s="5"/>
      <c r="G90" s="5"/>
      <c r="H90" s="5"/>
    </row>
    <row r="91" spans="1:8" ht="28.8" x14ac:dyDescent="0.3">
      <c r="A91" s="81" t="s">
        <v>420</v>
      </c>
      <c r="B91" s="82" t="s">
        <v>421</v>
      </c>
      <c r="C91" s="81" t="s">
        <v>422</v>
      </c>
      <c r="D91" s="82" t="s">
        <v>423</v>
      </c>
      <c r="E91" s="5"/>
      <c r="F91"/>
      <c r="G91" s="5"/>
      <c r="H91" s="5"/>
    </row>
    <row r="92" spans="1:8" ht="28.8" x14ac:dyDescent="0.25">
      <c r="A92" s="81" t="s">
        <v>424</v>
      </c>
      <c r="B92" s="82" t="s">
        <v>425</v>
      </c>
      <c r="C92" s="81" t="s">
        <v>426</v>
      </c>
      <c r="D92" s="82" t="s">
        <v>427</v>
      </c>
      <c r="E92" s="5"/>
      <c r="F92" s="5"/>
      <c r="G92" s="5"/>
      <c r="H92" s="5"/>
    </row>
    <row r="93" spans="1:8" ht="43.2" x14ac:dyDescent="0.25">
      <c r="A93" s="81" t="s">
        <v>428</v>
      </c>
      <c r="B93" s="82" t="s">
        <v>429</v>
      </c>
      <c r="C93" s="81" t="s">
        <v>430</v>
      </c>
      <c r="D93" s="82" t="s">
        <v>431</v>
      </c>
      <c r="E93" s="5"/>
      <c r="F93" s="5"/>
      <c r="G93" s="5"/>
      <c r="H93" s="5"/>
    </row>
    <row r="94" spans="1:8" ht="28.8" x14ac:dyDescent="0.25">
      <c r="A94" s="81" t="s">
        <v>432</v>
      </c>
      <c r="B94" s="82" t="s">
        <v>433</v>
      </c>
      <c r="C94" s="81" t="s">
        <v>434</v>
      </c>
      <c r="D94" s="82" t="s">
        <v>435</v>
      </c>
      <c r="E94" s="5"/>
      <c r="F94" s="5"/>
      <c r="G94" s="5"/>
      <c r="H94" s="5"/>
    </row>
    <row r="95" spans="1:8" ht="43.2" x14ac:dyDescent="0.25">
      <c r="A95" s="81" t="s">
        <v>436</v>
      </c>
      <c r="B95" s="82" t="s">
        <v>437</v>
      </c>
      <c r="C95" s="81" t="s">
        <v>438</v>
      </c>
      <c r="D95" s="82" t="s">
        <v>439</v>
      </c>
      <c r="E95" s="5"/>
      <c r="F95" s="5"/>
      <c r="G95" s="5"/>
      <c r="H95" s="5"/>
    </row>
    <row r="96" spans="1:8" x14ac:dyDescent="0.25">
      <c r="A96" s="5"/>
      <c r="B96" s="5"/>
      <c r="C96" s="5"/>
      <c r="D96" s="5"/>
      <c r="E96" s="5"/>
      <c r="F96" s="5"/>
      <c r="G96" s="5"/>
      <c r="H96" s="5"/>
    </row>
  </sheetData>
  <autoFilter ref="A2:L57" xr:uid="{9B1730C9-5C61-418E-9D38-D82374F9BCB6}"/>
  <mergeCells count="6">
    <mergeCell ref="A1:M1"/>
    <mergeCell ref="L68:L80"/>
    <mergeCell ref="A66:M66"/>
    <mergeCell ref="M68:M80"/>
    <mergeCell ref="A59:E59"/>
    <mergeCell ref="A64:E64"/>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E726F-5D26-4719-918F-E704217EE79D}">
  <dimension ref="A1:AM183"/>
  <sheetViews>
    <sheetView zoomScaleNormal="100" workbookViewId="0">
      <selection sqref="A1:G1"/>
    </sheetView>
  </sheetViews>
  <sheetFormatPr defaultColWidth="8.6640625" defaultRowHeight="12.75" customHeight="1" x14ac:dyDescent="0.25"/>
  <cols>
    <col min="1" max="1" width="35.88671875" style="7" customWidth="1"/>
    <col min="2" max="2" width="29.6640625" style="7" customWidth="1"/>
    <col min="3" max="3" width="23.109375" style="7" customWidth="1"/>
    <col min="4" max="4" width="33" style="7" customWidth="1"/>
    <col min="5" max="5" width="32.44140625" style="7" customWidth="1"/>
    <col min="6" max="6" width="25.5546875" style="7" customWidth="1"/>
    <col min="7" max="7" width="23" style="7" customWidth="1"/>
    <col min="8" max="8" width="27.44140625" style="7" customWidth="1"/>
    <col min="9" max="10" width="23" style="7" customWidth="1"/>
    <col min="11" max="11" width="19" style="7" customWidth="1"/>
    <col min="12" max="12" width="8.6640625" style="7" customWidth="1"/>
    <col min="13" max="13" width="15.33203125" style="7" customWidth="1"/>
    <col min="14" max="14" width="12.33203125" style="7" customWidth="1"/>
    <col min="15" max="15" width="13.33203125" style="7" customWidth="1"/>
    <col min="16" max="16" width="15.33203125" style="7" customWidth="1"/>
    <col min="17" max="17" width="11" style="7" customWidth="1"/>
    <col min="18" max="21" width="15.33203125" style="7" customWidth="1"/>
    <col min="22" max="22" width="7.6640625" style="7" hidden="1" customWidth="1"/>
    <col min="23" max="23" width="12.44140625" style="7" hidden="1" customWidth="1"/>
    <col min="24" max="39" width="6.5546875" style="7" hidden="1" customWidth="1"/>
    <col min="40" max="40" width="15.33203125" style="7" customWidth="1"/>
    <col min="41" max="41" width="11.33203125" style="7" customWidth="1"/>
    <col min="42" max="42" width="6.33203125" style="7" customWidth="1"/>
    <col min="43" max="46" width="4.6640625" style="7" customWidth="1"/>
    <col min="47" max="47" width="6.33203125" style="7" customWidth="1"/>
    <col min="48" max="62" width="4.6640625" style="7" customWidth="1"/>
    <col min="63" max="16384" width="8.6640625" style="7"/>
  </cols>
  <sheetData>
    <row r="1" spans="1:9" ht="24" customHeight="1" x14ac:dyDescent="0.25">
      <c r="A1" s="651" t="s">
        <v>440</v>
      </c>
      <c r="B1" s="650"/>
      <c r="C1" s="650"/>
      <c r="D1" s="650"/>
      <c r="E1" s="650"/>
      <c r="F1" s="650"/>
      <c r="G1" s="650"/>
    </row>
    <row r="2" spans="1:9" ht="22.35" customHeight="1" x14ac:dyDescent="0.25">
      <c r="A2" s="204" t="s">
        <v>241</v>
      </c>
      <c r="B2" s="204" t="s">
        <v>441</v>
      </c>
      <c r="C2" s="204" t="s">
        <v>442</v>
      </c>
      <c r="D2" s="525" t="s">
        <v>443</v>
      </c>
      <c r="E2" s="226" t="s">
        <v>444</v>
      </c>
      <c r="F2" s="226" t="s">
        <v>445</v>
      </c>
      <c r="G2" s="226" t="s">
        <v>300</v>
      </c>
      <c r="H2" s="227"/>
    </row>
    <row r="3" spans="1:9" ht="61.5" customHeight="1" x14ac:dyDescent="0.25">
      <c r="A3" s="444" t="s">
        <v>446</v>
      </c>
      <c r="B3" s="444" t="s">
        <v>447</v>
      </c>
      <c r="C3" s="228">
        <v>0.8</v>
      </c>
      <c r="D3" s="428">
        <v>1</v>
      </c>
      <c r="E3" s="477" t="s">
        <v>448</v>
      </c>
      <c r="F3" s="477" t="s">
        <v>449</v>
      </c>
      <c r="G3" s="477" t="s">
        <v>450</v>
      </c>
      <c r="H3" s="229"/>
    </row>
    <row r="4" spans="1:9" ht="63.75" customHeight="1" x14ac:dyDescent="0.25">
      <c r="A4" s="444" t="s">
        <v>310</v>
      </c>
      <c r="B4" s="444" t="s">
        <v>447</v>
      </c>
      <c r="C4" s="228">
        <v>0.8</v>
      </c>
      <c r="D4" s="428">
        <v>1</v>
      </c>
      <c r="E4" s="477" t="s">
        <v>448</v>
      </c>
      <c r="F4" s="477" t="s">
        <v>449</v>
      </c>
      <c r="G4" s="477" t="s">
        <v>450</v>
      </c>
      <c r="H4" s="229"/>
    </row>
    <row r="5" spans="1:9" ht="14.7" customHeight="1" x14ac:dyDescent="0.25">
      <c r="F5" s="12"/>
    </row>
    <row r="6" spans="1:9" ht="13.95" customHeight="1" x14ac:dyDescent="0.25">
      <c r="F6" s="12"/>
    </row>
    <row r="7" spans="1:9" ht="16.2" customHeight="1" x14ac:dyDescent="0.25">
      <c r="A7" s="620" t="s">
        <v>451</v>
      </c>
      <c r="B7" s="621"/>
      <c r="C7" s="621"/>
      <c r="D7" s="621"/>
      <c r="E7" s="621"/>
      <c r="F7" s="621"/>
      <c r="G7" s="650"/>
      <c r="H7" s="650"/>
      <c r="I7" s="93"/>
    </row>
    <row r="8" spans="1:9" ht="87.6" customHeight="1" x14ac:dyDescent="0.25">
      <c r="A8" s="490" t="s">
        <v>452</v>
      </c>
      <c r="B8" s="490" t="s">
        <v>453</v>
      </c>
      <c r="C8" s="490" t="s">
        <v>454</v>
      </c>
      <c r="D8" s="490" t="s">
        <v>131</v>
      </c>
      <c r="E8" s="490" t="s">
        <v>455</v>
      </c>
      <c r="F8" s="356" t="s">
        <v>456</v>
      </c>
      <c r="G8" s="490" t="s">
        <v>457</v>
      </c>
      <c r="H8" s="490" t="s">
        <v>290</v>
      </c>
    </row>
    <row r="9" spans="1:9" ht="22.2" customHeight="1" x14ac:dyDescent="0.25">
      <c r="A9" s="401" t="str">
        <f>Zones!B3</f>
        <v>Lab_Core_FloorG</v>
      </c>
      <c r="B9" s="402" t="s">
        <v>458</v>
      </c>
      <c r="C9" s="352">
        <f>Zones!H3</f>
        <v>4283</v>
      </c>
      <c r="D9" s="403">
        <f>Ventilation!C3</f>
        <v>107.075</v>
      </c>
      <c r="E9" s="404">
        <v>0.18</v>
      </c>
      <c r="F9" s="405">
        <f>E9*D9</f>
        <v>19.273499999999999</v>
      </c>
      <c r="G9" s="406">
        <f>F9/60</f>
        <v>0.32122499999999998</v>
      </c>
      <c r="H9" s="660" t="s">
        <v>459</v>
      </c>
    </row>
    <row r="10" spans="1:9" ht="22.2" customHeight="1" x14ac:dyDescent="0.25">
      <c r="A10" s="401" t="str">
        <f>Zones!B4</f>
        <v>Lab_N_FloorG</v>
      </c>
      <c r="B10" s="402" t="s">
        <v>458</v>
      </c>
      <c r="C10" s="352">
        <f>Zones!H4</f>
        <v>2298</v>
      </c>
      <c r="D10" s="403">
        <f>Ventilation!C4</f>
        <v>57.45</v>
      </c>
      <c r="E10" s="404">
        <v>0.18</v>
      </c>
      <c r="F10" s="405">
        <f t="shared" ref="F10:F26" si="0">E10*D10</f>
        <v>10.340999999999999</v>
      </c>
      <c r="G10" s="406">
        <f>F10/60</f>
        <v>0.17234999999999998</v>
      </c>
      <c r="H10" s="660"/>
    </row>
    <row r="11" spans="1:9" ht="22.2" customHeight="1" x14ac:dyDescent="0.25">
      <c r="A11" s="401" t="str">
        <f>Zones!B5</f>
        <v>Enclosed_Office_W_FloorG</v>
      </c>
      <c r="B11" s="402" t="s">
        <v>458</v>
      </c>
      <c r="C11" s="352">
        <f>Zones!H5</f>
        <v>1638</v>
      </c>
      <c r="D11" s="403">
        <f>Ventilation!C5</f>
        <v>8</v>
      </c>
      <c r="E11" s="404">
        <v>0.18</v>
      </c>
      <c r="F11" s="405">
        <f t="shared" si="0"/>
        <v>1.44</v>
      </c>
      <c r="G11" s="406">
        <f t="shared" ref="G11:G26" si="1">F11/60</f>
        <v>2.4E-2</v>
      </c>
      <c r="H11" s="660"/>
    </row>
    <row r="12" spans="1:9" ht="22.2" customHeight="1" x14ac:dyDescent="0.25">
      <c r="A12" s="401" t="str">
        <f>Zones!B6</f>
        <v>Enclosed_Office_E_FloorG</v>
      </c>
      <c r="B12" s="402" t="s">
        <v>458</v>
      </c>
      <c r="C12" s="352">
        <f>Zones!H6</f>
        <v>1638</v>
      </c>
      <c r="D12" s="403">
        <f>Ventilation!C6</f>
        <v>8</v>
      </c>
      <c r="E12" s="404">
        <v>0.18</v>
      </c>
      <c r="F12" s="405">
        <f t="shared" si="0"/>
        <v>1.44</v>
      </c>
      <c r="G12" s="406">
        <f t="shared" si="1"/>
        <v>2.4E-2</v>
      </c>
      <c r="H12" s="660"/>
    </row>
    <row r="13" spans="1:9" ht="22.2" customHeight="1" x14ac:dyDescent="0.25">
      <c r="A13" s="401" t="str">
        <f>Zones!B7</f>
        <v>Lab_S_FloorG</v>
      </c>
      <c r="B13" s="402" t="s">
        <v>458</v>
      </c>
      <c r="C13" s="352">
        <f>Zones!H7</f>
        <v>1186</v>
      </c>
      <c r="D13" s="403">
        <f>Ventilation!C7</f>
        <v>29.65</v>
      </c>
      <c r="E13" s="404">
        <v>0.18</v>
      </c>
      <c r="F13" s="405">
        <f t="shared" si="0"/>
        <v>5.3369999999999997</v>
      </c>
      <c r="G13" s="406">
        <f t="shared" si="1"/>
        <v>8.8950000000000001E-2</v>
      </c>
      <c r="H13" s="660"/>
    </row>
    <row r="14" spans="1:9" ht="22.2" customHeight="1" x14ac:dyDescent="0.25">
      <c r="A14" s="401" t="str">
        <f>Zones!B8</f>
        <v>Conference_FloorG</v>
      </c>
      <c r="B14" s="402" t="s">
        <v>458</v>
      </c>
      <c r="C14" s="352">
        <f>Zones!H8</f>
        <v>1112</v>
      </c>
      <c r="D14" s="403">
        <f>Ventilation!C8</f>
        <v>37</v>
      </c>
      <c r="E14" s="404">
        <v>0.09</v>
      </c>
      <c r="F14" s="405">
        <f t="shared" si="0"/>
        <v>3.33</v>
      </c>
      <c r="G14" s="406">
        <f t="shared" si="1"/>
        <v>5.5500000000000001E-2</v>
      </c>
      <c r="H14" s="660"/>
    </row>
    <row r="15" spans="1:9" ht="22.2" customHeight="1" x14ac:dyDescent="0.25">
      <c r="A15" s="401" t="str">
        <f>Zones!B9</f>
        <v>Lobby_FloorG</v>
      </c>
      <c r="B15" s="402" t="s">
        <v>447</v>
      </c>
      <c r="C15" s="352">
        <f>Zones!H9</f>
        <v>1059</v>
      </c>
      <c r="D15" s="403">
        <f>Ventilation!C9</f>
        <v>11</v>
      </c>
      <c r="E15" s="404">
        <v>0.09</v>
      </c>
      <c r="F15" s="405">
        <f t="shared" si="0"/>
        <v>0.99</v>
      </c>
      <c r="G15" s="406">
        <f t="shared" si="1"/>
        <v>1.6500000000000001E-2</v>
      </c>
      <c r="H15" s="660"/>
    </row>
    <row r="16" spans="1:9" ht="22.2" customHeight="1" x14ac:dyDescent="0.25">
      <c r="A16" s="401" t="str">
        <f>Zones!B10</f>
        <v>Storage_FloorG</v>
      </c>
      <c r="B16" s="402" t="s">
        <v>458</v>
      </c>
      <c r="C16" s="352">
        <f>Zones!H10</f>
        <v>983</v>
      </c>
      <c r="D16" s="403">
        <f>Ventilation!C10</f>
        <v>0</v>
      </c>
      <c r="E16" s="404">
        <v>0</v>
      </c>
      <c r="F16" s="405">
        <f>E16*D16</f>
        <v>0</v>
      </c>
      <c r="G16" s="406">
        <f t="shared" si="1"/>
        <v>0</v>
      </c>
      <c r="H16" s="660"/>
    </row>
    <row r="17" spans="1:8" ht="22.2" customHeight="1" x14ac:dyDescent="0.25">
      <c r="A17" s="401" t="str">
        <f>Zones!B11</f>
        <v>Mechanical/Electrical_FloorG</v>
      </c>
      <c r="B17" s="402" t="s">
        <v>458</v>
      </c>
      <c r="C17" s="352">
        <f>Zones!H11</f>
        <v>357</v>
      </c>
      <c r="D17" s="403">
        <f>Ventilation!C11</f>
        <v>0</v>
      </c>
      <c r="E17" s="404">
        <v>0.18</v>
      </c>
      <c r="F17" s="405">
        <f t="shared" si="0"/>
        <v>0</v>
      </c>
      <c r="G17" s="406">
        <f t="shared" si="1"/>
        <v>0</v>
      </c>
      <c r="H17" s="660"/>
    </row>
    <row r="18" spans="1:8" ht="22.2" customHeight="1" x14ac:dyDescent="0.25">
      <c r="A18" s="401" t="str">
        <f>Zones!B12</f>
        <v>IT-Room_FloorG</v>
      </c>
      <c r="B18" s="402" t="s">
        <v>458</v>
      </c>
      <c r="C18" s="352">
        <f>Zones!H12</f>
        <v>179</v>
      </c>
      <c r="D18" s="403">
        <f>Ventilation!C12</f>
        <v>0</v>
      </c>
      <c r="E18" s="404">
        <v>0.18</v>
      </c>
      <c r="F18" s="405">
        <f t="shared" si="0"/>
        <v>0</v>
      </c>
      <c r="G18" s="406">
        <f t="shared" si="1"/>
        <v>0</v>
      </c>
      <c r="H18" s="660"/>
    </row>
    <row r="19" spans="1:8" ht="22.2" customHeight="1" x14ac:dyDescent="0.25">
      <c r="A19" s="401" t="str">
        <f>Zones!B13</f>
        <v>Restroom_FloorG</v>
      </c>
      <c r="B19" s="402" t="s">
        <v>447</v>
      </c>
      <c r="C19" s="352">
        <f>Zones!H13</f>
        <v>644</v>
      </c>
      <c r="D19" s="403">
        <f>Ventilation!C13</f>
        <v>0</v>
      </c>
      <c r="E19" s="404">
        <v>0</v>
      </c>
      <c r="F19" s="405">
        <f t="shared" si="0"/>
        <v>0</v>
      </c>
      <c r="G19" s="406">
        <f t="shared" si="1"/>
        <v>0</v>
      </c>
      <c r="H19" s="660"/>
    </row>
    <row r="20" spans="1:8" ht="22.2" customHeight="1" x14ac:dyDescent="0.25">
      <c r="A20" s="401" t="str">
        <f>Zones!B14</f>
        <v>BreakRoom/Kitchenette_FloorG</v>
      </c>
      <c r="B20" s="402" t="s">
        <v>447</v>
      </c>
      <c r="C20" s="352">
        <f>Zones!H14</f>
        <v>232</v>
      </c>
      <c r="D20" s="403">
        <f>Ventilation!C14</f>
        <v>8</v>
      </c>
      <c r="E20" s="404">
        <v>0.57999999999999996</v>
      </c>
      <c r="F20" s="405">
        <f t="shared" si="0"/>
        <v>4.6399999999999997</v>
      </c>
      <c r="G20" s="406">
        <f t="shared" si="1"/>
        <v>7.7333333333333323E-2</v>
      </c>
      <c r="H20" s="660"/>
    </row>
    <row r="21" spans="1:8" ht="22.2" customHeight="1" x14ac:dyDescent="0.25">
      <c r="A21" s="401" t="str">
        <f>Zones!B15</f>
        <v>Stairway_FloorG</v>
      </c>
      <c r="B21" s="402" t="s">
        <v>458</v>
      </c>
      <c r="C21" s="352">
        <f>Zones!H15</f>
        <v>661</v>
      </c>
      <c r="D21" s="403">
        <f>Ventilation!C15</f>
        <v>0</v>
      </c>
      <c r="E21" s="404">
        <v>0</v>
      </c>
      <c r="F21" s="405">
        <f t="shared" si="0"/>
        <v>0</v>
      </c>
      <c r="G21" s="406">
        <f t="shared" si="1"/>
        <v>0</v>
      </c>
      <c r="H21" s="660"/>
    </row>
    <row r="22" spans="1:8" ht="22.2" customHeight="1" x14ac:dyDescent="0.25">
      <c r="A22" s="401" t="str">
        <f>Zones!B16</f>
        <v>Corridor_W_FloorG</v>
      </c>
      <c r="B22" s="402" t="s">
        <v>458</v>
      </c>
      <c r="C22" s="352">
        <f>Zones!H16</f>
        <v>300</v>
      </c>
      <c r="D22" s="403">
        <f>Ventilation!C16</f>
        <v>2</v>
      </c>
      <c r="E22" s="404">
        <v>0</v>
      </c>
      <c r="F22" s="405">
        <f t="shared" si="0"/>
        <v>0</v>
      </c>
      <c r="G22" s="406">
        <f t="shared" si="1"/>
        <v>0</v>
      </c>
      <c r="H22" s="660"/>
    </row>
    <row r="23" spans="1:8" ht="22.2" customHeight="1" x14ac:dyDescent="0.25">
      <c r="A23" s="401" t="str">
        <f>Zones!B17</f>
        <v>Corridor_N_FloorG</v>
      </c>
      <c r="B23" s="402" t="s">
        <v>458</v>
      </c>
      <c r="C23" s="352">
        <f>Zones!H17</f>
        <v>503</v>
      </c>
      <c r="D23" s="403">
        <f>Ventilation!C17</f>
        <v>3</v>
      </c>
      <c r="E23" s="404">
        <v>0</v>
      </c>
      <c r="F23" s="405">
        <f t="shared" si="0"/>
        <v>0</v>
      </c>
      <c r="G23" s="406">
        <f t="shared" si="1"/>
        <v>0</v>
      </c>
      <c r="H23" s="660"/>
    </row>
    <row r="24" spans="1:8" ht="22.2" customHeight="1" x14ac:dyDescent="0.25">
      <c r="A24" s="401" t="str">
        <f>Zones!B18</f>
        <v>Corridor_E_FloorG</v>
      </c>
      <c r="B24" s="402" t="s">
        <v>458</v>
      </c>
      <c r="C24" s="352">
        <f>Zones!H18</f>
        <v>299</v>
      </c>
      <c r="D24" s="403">
        <f>Ventilation!C18</f>
        <v>1</v>
      </c>
      <c r="E24" s="404">
        <v>0</v>
      </c>
      <c r="F24" s="405">
        <f t="shared" si="0"/>
        <v>0</v>
      </c>
      <c r="G24" s="406">
        <f t="shared" si="1"/>
        <v>0</v>
      </c>
      <c r="H24" s="660"/>
    </row>
    <row r="25" spans="1:8" ht="22.2" customHeight="1" x14ac:dyDescent="0.25">
      <c r="A25" s="401" t="str">
        <f>Zones!B19</f>
        <v>Corridor_S_FloorG</v>
      </c>
      <c r="B25" s="402" t="s">
        <v>458</v>
      </c>
      <c r="C25" s="352">
        <f>Zones!H19</f>
        <v>503</v>
      </c>
      <c r="D25" s="403">
        <f>Ventilation!C19</f>
        <v>3</v>
      </c>
      <c r="E25" s="404">
        <v>0</v>
      </c>
      <c r="F25" s="405">
        <f t="shared" si="0"/>
        <v>0</v>
      </c>
      <c r="G25" s="406">
        <f t="shared" si="1"/>
        <v>0</v>
      </c>
      <c r="H25" s="660"/>
    </row>
    <row r="26" spans="1:8" ht="22.2" customHeight="1" x14ac:dyDescent="0.25">
      <c r="A26" s="401" t="str">
        <f>Zones!B20</f>
        <v>Plenum_FloorG</v>
      </c>
      <c r="B26" s="355"/>
      <c r="C26" s="70">
        <f>Zones!H20</f>
        <v>17876</v>
      </c>
      <c r="D26" s="71">
        <f>Ventilation!C20</f>
        <v>0</v>
      </c>
      <c r="E26" s="75">
        <v>0</v>
      </c>
      <c r="F26" s="357">
        <f t="shared" si="0"/>
        <v>0</v>
      </c>
      <c r="G26" s="278">
        <f t="shared" si="1"/>
        <v>0</v>
      </c>
      <c r="H26" s="660"/>
    </row>
    <row r="27" spans="1:8" ht="22.2" customHeight="1" x14ac:dyDescent="0.25">
      <c r="A27" s="401" t="str">
        <f>Zones!B21</f>
        <v>Lab_Core_FloorM</v>
      </c>
      <c r="B27" s="402" t="s">
        <v>458</v>
      </c>
      <c r="C27" s="352">
        <f>Zones!H21</f>
        <v>4283</v>
      </c>
      <c r="D27" s="403">
        <f>Ventilation!C21</f>
        <v>107.075</v>
      </c>
      <c r="E27" s="404">
        <v>0.18</v>
      </c>
      <c r="F27" s="407">
        <f t="shared" ref="F27:F62" si="2">E27*D27</f>
        <v>19.273499999999999</v>
      </c>
      <c r="G27" s="406">
        <f t="shared" ref="G27:G62" si="3">F27/60</f>
        <v>0.32122499999999998</v>
      </c>
      <c r="H27" s="660"/>
    </row>
    <row r="28" spans="1:8" ht="22.2" customHeight="1" x14ac:dyDescent="0.25">
      <c r="A28" s="401" t="str">
        <f>Zones!B22</f>
        <v>Lab_N_FloorM</v>
      </c>
      <c r="B28" s="402" t="s">
        <v>458</v>
      </c>
      <c r="C28" s="352">
        <f>Zones!H22</f>
        <v>2298</v>
      </c>
      <c r="D28" s="403">
        <f>Ventilation!C22</f>
        <v>57.45</v>
      </c>
      <c r="E28" s="404">
        <v>0.18</v>
      </c>
      <c r="F28" s="407">
        <f t="shared" si="2"/>
        <v>10.340999999999999</v>
      </c>
      <c r="G28" s="406">
        <f t="shared" si="3"/>
        <v>0.17234999999999998</v>
      </c>
      <c r="H28" s="660"/>
    </row>
    <row r="29" spans="1:8" ht="22.2" customHeight="1" x14ac:dyDescent="0.25">
      <c r="A29" s="401" t="str">
        <f>Zones!B23</f>
        <v>Lab_W_FloorM</v>
      </c>
      <c r="B29" s="402" t="s">
        <v>458</v>
      </c>
      <c r="C29" s="352">
        <f>Zones!H23</f>
        <v>1638</v>
      </c>
      <c r="D29" s="403">
        <f>Ventilation!C23</f>
        <v>40.950000000000003</v>
      </c>
      <c r="E29" s="404">
        <v>0.18</v>
      </c>
      <c r="F29" s="407">
        <f t="shared" si="2"/>
        <v>7.3710000000000004</v>
      </c>
      <c r="G29" s="406">
        <f t="shared" si="3"/>
        <v>0.12285</v>
      </c>
      <c r="H29" s="660"/>
    </row>
    <row r="30" spans="1:8" ht="22.2" customHeight="1" x14ac:dyDescent="0.25">
      <c r="A30" s="401" t="str">
        <f>Zones!B24</f>
        <v>Lab_E_FloorM</v>
      </c>
      <c r="B30" s="402" t="s">
        <v>458</v>
      </c>
      <c r="C30" s="352">
        <f>Zones!H24</f>
        <v>1638</v>
      </c>
      <c r="D30" s="403">
        <f>Ventilation!C24</f>
        <v>40.950000000000003</v>
      </c>
      <c r="E30" s="404">
        <v>0.18</v>
      </c>
      <c r="F30" s="407">
        <f t="shared" si="2"/>
        <v>7.3710000000000004</v>
      </c>
      <c r="G30" s="406">
        <f t="shared" si="3"/>
        <v>0.12285</v>
      </c>
      <c r="H30" s="660"/>
    </row>
    <row r="31" spans="1:8" ht="22.2" customHeight="1" x14ac:dyDescent="0.25">
      <c r="A31" s="401" t="str">
        <f>Zones!B25</f>
        <v>Lab_S_FloorM</v>
      </c>
      <c r="B31" s="402" t="s">
        <v>458</v>
      </c>
      <c r="C31" s="352">
        <f>Zones!H25</f>
        <v>1186</v>
      </c>
      <c r="D31" s="403">
        <f>Ventilation!C25</f>
        <v>29.65</v>
      </c>
      <c r="E31" s="404">
        <v>0.18</v>
      </c>
      <c r="F31" s="407">
        <f t="shared" si="2"/>
        <v>5.3369999999999997</v>
      </c>
      <c r="G31" s="406">
        <f t="shared" si="3"/>
        <v>8.8950000000000001E-2</v>
      </c>
      <c r="H31" s="660"/>
    </row>
    <row r="32" spans="1:8" ht="22.2" customHeight="1" x14ac:dyDescent="0.25">
      <c r="A32" s="401" t="str">
        <f>Zones!B26</f>
        <v>Lab_FloorM</v>
      </c>
      <c r="B32" s="402" t="s">
        <v>458</v>
      </c>
      <c r="C32" s="352">
        <f>Zones!H26</f>
        <v>1112</v>
      </c>
      <c r="D32" s="403">
        <f>Ventilation!C26</f>
        <v>27.8</v>
      </c>
      <c r="E32" s="404">
        <v>0.09</v>
      </c>
      <c r="F32" s="407">
        <f t="shared" si="2"/>
        <v>2.5019999999999998</v>
      </c>
      <c r="G32" s="406">
        <f t="shared" si="3"/>
        <v>4.1699999999999994E-2</v>
      </c>
      <c r="H32" s="660"/>
    </row>
    <row r="33" spans="1:8" ht="22.2" customHeight="1" x14ac:dyDescent="0.25">
      <c r="A33" s="401" t="str">
        <f>Zones!B27</f>
        <v>Lounge_FloorM</v>
      </c>
      <c r="B33" s="402" t="s">
        <v>447</v>
      </c>
      <c r="C33" s="352">
        <f>Zones!H27</f>
        <v>1059</v>
      </c>
      <c r="D33" s="403">
        <f>Ventilation!C27</f>
        <v>16</v>
      </c>
      <c r="E33" s="404">
        <v>0.09</v>
      </c>
      <c r="F33" s="407">
        <f t="shared" si="2"/>
        <v>1.44</v>
      </c>
      <c r="G33" s="406">
        <f t="shared" si="3"/>
        <v>2.4E-2</v>
      </c>
      <c r="H33" s="660"/>
    </row>
    <row r="34" spans="1:8" ht="22.2" customHeight="1" x14ac:dyDescent="0.25">
      <c r="A34" s="401" t="str">
        <f>Zones!B28</f>
        <v>Storage_FloorM</v>
      </c>
      <c r="B34" s="402" t="s">
        <v>296</v>
      </c>
      <c r="C34" s="352">
        <f>Zones!H28</f>
        <v>983</v>
      </c>
      <c r="D34" s="403">
        <f>Ventilation!C28</f>
        <v>0</v>
      </c>
      <c r="E34" s="404">
        <v>0</v>
      </c>
      <c r="F34" s="407">
        <f t="shared" si="2"/>
        <v>0</v>
      </c>
      <c r="G34" s="406">
        <f t="shared" si="3"/>
        <v>0</v>
      </c>
      <c r="H34" s="660"/>
    </row>
    <row r="35" spans="1:8" ht="22.2" customHeight="1" x14ac:dyDescent="0.25">
      <c r="A35" s="401" t="str">
        <f>Zones!B29</f>
        <v>Mechanical/Electrical_FloorM</v>
      </c>
      <c r="B35" s="402" t="s">
        <v>458</v>
      </c>
      <c r="C35" s="352">
        <f>Zones!H29</f>
        <v>357</v>
      </c>
      <c r="D35" s="403">
        <f>Ventilation!C29</f>
        <v>0</v>
      </c>
      <c r="E35" s="404">
        <v>0.18</v>
      </c>
      <c r="F35" s="407">
        <f t="shared" si="2"/>
        <v>0</v>
      </c>
      <c r="G35" s="406">
        <f t="shared" si="3"/>
        <v>0</v>
      </c>
      <c r="H35" s="660"/>
    </row>
    <row r="36" spans="1:8" ht="22.2" customHeight="1" x14ac:dyDescent="0.25">
      <c r="A36" s="401" t="str">
        <f>Zones!B30</f>
        <v>IT-Room_FloorM</v>
      </c>
      <c r="B36" s="402" t="s">
        <v>458</v>
      </c>
      <c r="C36" s="352">
        <f>Zones!H30</f>
        <v>179</v>
      </c>
      <c r="D36" s="403">
        <f>Ventilation!C30</f>
        <v>0</v>
      </c>
      <c r="E36" s="404">
        <v>0.18</v>
      </c>
      <c r="F36" s="407">
        <f t="shared" si="2"/>
        <v>0</v>
      </c>
      <c r="G36" s="406">
        <f t="shared" si="3"/>
        <v>0</v>
      </c>
      <c r="H36" s="660"/>
    </row>
    <row r="37" spans="1:8" ht="22.2" customHeight="1" x14ac:dyDescent="0.25">
      <c r="A37" s="401" t="str">
        <f>Zones!B31</f>
        <v>Restroom_FloorM</v>
      </c>
      <c r="B37" s="402" t="s">
        <v>447</v>
      </c>
      <c r="C37" s="352">
        <f>Zones!H31</f>
        <v>644</v>
      </c>
      <c r="D37" s="403">
        <f>Ventilation!C31</f>
        <v>0</v>
      </c>
      <c r="E37" s="404">
        <v>0</v>
      </c>
      <c r="F37" s="407">
        <f t="shared" si="2"/>
        <v>0</v>
      </c>
      <c r="G37" s="406">
        <f t="shared" si="3"/>
        <v>0</v>
      </c>
      <c r="H37" s="660"/>
    </row>
    <row r="38" spans="1:8" ht="22.2" customHeight="1" x14ac:dyDescent="0.25">
      <c r="A38" s="401" t="str">
        <f>Zones!B32</f>
        <v>BreakRoom/Kitchenette_FloorM</v>
      </c>
      <c r="B38" s="402" t="s">
        <v>447</v>
      </c>
      <c r="C38" s="352">
        <f>Zones!H32</f>
        <v>232</v>
      </c>
      <c r="D38" s="403">
        <f>Ventilation!C32</f>
        <v>8</v>
      </c>
      <c r="E38" s="404">
        <v>0.57999999999999996</v>
      </c>
      <c r="F38" s="407">
        <f t="shared" si="2"/>
        <v>4.6399999999999997</v>
      </c>
      <c r="G38" s="406">
        <f t="shared" si="3"/>
        <v>7.7333333333333323E-2</v>
      </c>
      <c r="H38" s="660"/>
    </row>
    <row r="39" spans="1:8" ht="22.2" customHeight="1" x14ac:dyDescent="0.25">
      <c r="A39" s="401" t="str">
        <f>Zones!B33</f>
        <v>Stairway_FloorM</v>
      </c>
      <c r="B39" s="402" t="s">
        <v>458</v>
      </c>
      <c r="C39" s="352">
        <f>Zones!H33</f>
        <v>661</v>
      </c>
      <c r="D39" s="403">
        <f>Ventilation!C33</f>
        <v>0</v>
      </c>
      <c r="E39" s="404">
        <v>0</v>
      </c>
      <c r="F39" s="407">
        <f t="shared" si="2"/>
        <v>0</v>
      </c>
      <c r="G39" s="406">
        <f t="shared" si="3"/>
        <v>0</v>
      </c>
      <c r="H39" s="660"/>
    </row>
    <row r="40" spans="1:8" ht="22.2" customHeight="1" x14ac:dyDescent="0.25">
      <c r="A40" s="401" t="str">
        <f>Zones!B34</f>
        <v>Corridor_W_FloorM</v>
      </c>
      <c r="B40" s="402" t="s">
        <v>458</v>
      </c>
      <c r="C40" s="352">
        <f>Zones!H34</f>
        <v>300</v>
      </c>
      <c r="D40" s="403">
        <f>Ventilation!C34</f>
        <v>2</v>
      </c>
      <c r="E40" s="404">
        <v>0</v>
      </c>
      <c r="F40" s="407">
        <f t="shared" si="2"/>
        <v>0</v>
      </c>
      <c r="G40" s="406">
        <f t="shared" si="3"/>
        <v>0</v>
      </c>
      <c r="H40" s="660"/>
    </row>
    <row r="41" spans="1:8" ht="22.2" customHeight="1" x14ac:dyDescent="0.25">
      <c r="A41" s="401" t="str">
        <f>Zones!B35</f>
        <v>Corridor_N_FloorM</v>
      </c>
      <c r="B41" s="402" t="s">
        <v>458</v>
      </c>
      <c r="C41" s="352">
        <f>Zones!H35</f>
        <v>503</v>
      </c>
      <c r="D41" s="403">
        <f>Ventilation!C35</f>
        <v>3</v>
      </c>
      <c r="E41" s="404">
        <v>0</v>
      </c>
      <c r="F41" s="407">
        <f t="shared" si="2"/>
        <v>0</v>
      </c>
      <c r="G41" s="406">
        <f t="shared" si="3"/>
        <v>0</v>
      </c>
      <c r="H41" s="660"/>
    </row>
    <row r="42" spans="1:8" ht="22.2" customHeight="1" x14ac:dyDescent="0.25">
      <c r="A42" s="401" t="str">
        <f>Zones!B36</f>
        <v>Corridor_E_FloorM</v>
      </c>
      <c r="B42" s="402" t="s">
        <v>458</v>
      </c>
      <c r="C42" s="352">
        <f>Zones!H36</f>
        <v>300</v>
      </c>
      <c r="D42" s="403">
        <f>Ventilation!C36</f>
        <v>2</v>
      </c>
      <c r="E42" s="404">
        <v>0</v>
      </c>
      <c r="F42" s="407">
        <f t="shared" si="2"/>
        <v>0</v>
      </c>
      <c r="G42" s="406">
        <f t="shared" si="3"/>
        <v>0</v>
      </c>
      <c r="H42" s="660"/>
    </row>
    <row r="43" spans="1:8" ht="22.2" customHeight="1" x14ac:dyDescent="0.25">
      <c r="A43" s="401" t="str">
        <f>Zones!B37</f>
        <v>Corridor_S_FloorM</v>
      </c>
      <c r="B43" s="402" t="s">
        <v>458</v>
      </c>
      <c r="C43" s="352">
        <f>Zones!H37</f>
        <v>503</v>
      </c>
      <c r="D43" s="403">
        <f>Ventilation!C37</f>
        <v>3</v>
      </c>
      <c r="E43" s="404">
        <v>0</v>
      </c>
      <c r="F43" s="407">
        <f t="shared" si="2"/>
        <v>0</v>
      </c>
      <c r="G43" s="406">
        <f t="shared" si="3"/>
        <v>0</v>
      </c>
      <c r="H43" s="660"/>
    </row>
    <row r="44" spans="1:8" ht="22.2" customHeight="1" x14ac:dyDescent="0.25">
      <c r="A44" s="401" t="str">
        <f>Zones!B38</f>
        <v>Plenum_FloorM</v>
      </c>
      <c r="B44" s="355"/>
      <c r="C44" s="70">
        <f>Zones!H38</f>
        <v>17876</v>
      </c>
      <c r="D44" s="71">
        <f>Ventilation!C38</f>
        <v>0</v>
      </c>
      <c r="E44" s="75">
        <v>0</v>
      </c>
      <c r="F44" s="357">
        <f t="shared" si="2"/>
        <v>0</v>
      </c>
      <c r="G44" s="278">
        <f t="shared" si="3"/>
        <v>0</v>
      </c>
      <c r="H44" s="660"/>
    </row>
    <row r="45" spans="1:8" ht="22.2" customHeight="1" x14ac:dyDescent="0.25">
      <c r="A45" s="401" t="str">
        <f>Zones!B39</f>
        <v>Lab_Core_FloorT</v>
      </c>
      <c r="B45" s="402" t="s">
        <v>458</v>
      </c>
      <c r="C45" s="352">
        <f>Zones!H39</f>
        <v>4283</v>
      </c>
      <c r="D45" s="403">
        <f>Ventilation!C39</f>
        <v>107.075</v>
      </c>
      <c r="E45" s="404">
        <v>0.18</v>
      </c>
      <c r="F45" s="407">
        <f t="shared" si="2"/>
        <v>19.273499999999999</v>
      </c>
      <c r="G45" s="406">
        <f t="shared" si="3"/>
        <v>0.32122499999999998</v>
      </c>
      <c r="H45" s="660"/>
    </row>
    <row r="46" spans="1:8" ht="22.2" customHeight="1" x14ac:dyDescent="0.25">
      <c r="A46" s="401" t="str">
        <f>Zones!B40</f>
        <v>Lab_N_FloorT</v>
      </c>
      <c r="B46" s="402" t="s">
        <v>458</v>
      </c>
      <c r="C46" s="352">
        <f>Zones!H40</f>
        <v>2298</v>
      </c>
      <c r="D46" s="403">
        <f>Ventilation!C40</f>
        <v>57.45</v>
      </c>
      <c r="E46" s="404">
        <v>0.18</v>
      </c>
      <c r="F46" s="407">
        <f t="shared" si="2"/>
        <v>10.340999999999999</v>
      </c>
      <c r="G46" s="406">
        <f t="shared" si="3"/>
        <v>0.17234999999999998</v>
      </c>
      <c r="H46" s="660"/>
    </row>
    <row r="47" spans="1:8" ht="22.2" customHeight="1" x14ac:dyDescent="0.25">
      <c r="A47" s="401" t="str">
        <f>Zones!B41</f>
        <v>Enclosed_Office_W_FloorT</v>
      </c>
      <c r="B47" s="402" t="s">
        <v>458</v>
      </c>
      <c r="C47" s="352">
        <f>Zones!H41</f>
        <v>1638</v>
      </c>
      <c r="D47" s="403">
        <f>Ventilation!C41</f>
        <v>8</v>
      </c>
      <c r="E47" s="404">
        <v>0.18</v>
      </c>
      <c r="F47" s="407">
        <f t="shared" si="2"/>
        <v>1.44</v>
      </c>
      <c r="G47" s="406">
        <f t="shared" si="3"/>
        <v>2.4E-2</v>
      </c>
      <c r="H47" s="660"/>
    </row>
    <row r="48" spans="1:8" ht="22.2" customHeight="1" x14ac:dyDescent="0.25">
      <c r="A48" s="401" t="str">
        <f>Zones!B42</f>
        <v>Enclosed_Office_E_FloorT</v>
      </c>
      <c r="B48" s="402" t="s">
        <v>458</v>
      </c>
      <c r="C48" s="352">
        <f>Zones!H42</f>
        <v>1638</v>
      </c>
      <c r="D48" s="403">
        <f>Ventilation!C42</f>
        <v>8</v>
      </c>
      <c r="E48" s="404">
        <v>0.18</v>
      </c>
      <c r="F48" s="407">
        <f t="shared" si="2"/>
        <v>1.44</v>
      </c>
      <c r="G48" s="406">
        <f t="shared" si="3"/>
        <v>2.4E-2</v>
      </c>
      <c r="H48" s="660"/>
    </row>
    <row r="49" spans="1:8" ht="22.2" customHeight="1" x14ac:dyDescent="0.25">
      <c r="A49" s="401" t="str">
        <f>Zones!B43</f>
        <v>Lab_S_FloorT</v>
      </c>
      <c r="B49" s="402" t="s">
        <v>458</v>
      </c>
      <c r="C49" s="352">
        <f>Zones!H43</f>
        <v>1186</v>
      </c>
      <c r="D49" s="403">
        <f>Ventilation!C43</f>
        <v>29.65</v>
      </c>
      <c r="E49" s="404">
        <v>0.18</v>
      </c>
      <c r="F49" s="407">
        <f t="shared" si="2"/>
        <v>5.3369999999999997</v>
      </c>
      <c r="G49" s="406">
        <f t="shared" si="3"/>
        <v>8.8950000000000001E-2</v>
      </c>
      <c r="H49" s="660"/>
    </row>
    <row r="50" spans="1:8" ht="22.2" customHeight="1" x14ac:dyDescent="0.25">
      <c r="A50" s="401" t="str">
        <f>Zones!B44</f>
        <v>Lab_FloorT</v>
      </c>
      <c r="B50" s="402" t="s">
        <v>458</v>
      </c>
      <c r="C50" s="352">
        <f>Zones!H44</f>
        <v>1112</v>
      </c>
      <c r="D50" s="403">
        <f>Ventilation!C44</f>
        <v>27.8</v>
      </c>
      <c r="E50" s="404">
        <v>0.09</v>
      </c>
      <c r="F50" s="407">
        <f t="shared" si="2"/>
        <v>2.5019999999999998</v>
      </c>
      <c r="G50" s="406">
        <f t="shared" si="3"/>
        <v>4.1699999999999994E-2</v>
      </c>
      <c r="H50" s="660"/>
    </row>
    <row r="51" spans="1:8" ht="22.2" customHeight="1" x14ac:dyDescent="0.25">
      <c r="A51" s="401" t="str">
        <f>Zones!B45</f>
        <v>Lounge_FloorT</v>
      </c>
      <c r="B51" s="402" t="s">
        <v>447</v>
      </c>
      <c r="C51" s="352">
        <f>Zones!H45</f>
        <v>1059</v>
      </c>
      <c r="D51" s="403">
        <f>Ventilation!C45</f>
        <v>16</v>
      </c>
      <c r="E51" s="404">
        <v>0.09</v>
      </c>
      <c r="F51" s="407">
        <f t="shared" si="2"/>
        <v>1.44</v>
      </c>
      <c r="G51" s="406">
        <f t="shared" si="3"/>
        <v>2.4E-2</v>
      </c>
      <c r="H51" s="660"/>
    </row>
    <row r="52" spans="1:8" ht="22.2" customHeight="1" x14ac:dyDescent="0.25">
      <c r="A52" s="401" t="str">
        <f>Zones!B46</f>
        <v>Storage_FloorT</v>
      </c>
      <c r="B52" s="402" t="s">
        <v>458</v>
      </c>
      <c r="C52" s="352">
        <f>Zones!H46</f>
        <v>983</v>
      </c>
      <c r="D52" s="403">
        <f>Ventilation!C46</f>
        <v>0</v>
      </c>
      <c r="E52" s="404">
        <v>0</v>
      </c>
      <c r="F52" s="407">
        <f t="shared" si="2"/>
        <v>0</v>
      </c>
      <c r="G52" s="406">
        <f t="shared" si="3"/>
        <v>0</v>
      </c>
      <c r="H52" s="660"/>
    </row>
    <row r="53" spans="1:8" ht="22.2" customHeight="1" x14ac:dyDescent="0.25">
      <c r="A53" s="401" t="str">
        <f>Zones!B47</f>
        <v>Mechanical/Electrical_FloorT</v>
      </c>
      <c r="B53" s="402" t="s">
        <v>458</v>
      </c>
      <c r="C53" s="352">
        <f>Zones!H47</f>
        <v>357</v>
      </c>
      <c r="D53" s="403">
        <f>Ventilation!C47</f>
        <v>0</v>
      </c>
      <c r="E53" s="404">
        <v>0.18</v>
      </c>
      <c r="F53" s="407">
        <f t="shared" si="2"/>
        <v>0</v>
      </c>
      <c r="G53" s="406">
        <f t="shared" si="3"/>
        <v>0</v>
      </c>
      <c r="H53" s="660"/>
    </row>
    <row r="54" spans="1:8" ht="22.2" customHeight="1" x14ac:dyDescent="0.25">
      <c r="A54" s="401" t="str">
        <f>Zones!B48</f>
        <v>IT-Room_FloorT</v>
      </c>
      <c r="B54" s="402" t="s">
        <v>458</v>
      </c>
      <c r="C54" s="352">
        <f>Zones!H48</f>
        <v>179</v>
      </c>
      <c r="D54" s="403">
        <f>Ventilation!C48</f>
        <v>0</v>
      </c>
      <c r="E54" s="404">
        <v>0.18</v>
      </c>
      <c r="F54" s="407">
        <f t="shared" si="2"/>
        <v>0</v>
      </c>
      <c r="G54" s="406">
        <f t="shared" si="3"/>
        <v>0</v>
      </c>
      <c r="H54" s="660"/>
    </row>
    <row r="55" spans="1:8" ht="22.2" customHeight="1" x14ac:dyDescent="0.25">
      <c r="A55" s="401" t="str">
        <f>Zones!B49</f>
        <v>Restroom_FloorT</v>
      </c>
      <c r="B55" s="402" t="s">
        <v>447</v>
      </c>
      <c r="C55" s="352">
        <f>Zones!H49</f>
        <v>644</v>
      </c>
      <c r="D55" s="403">
        <f>Ventilation!C49</f>
        <v>0</v>
      </c>
      <c r="E55" s="404">
        <v>0</v>
      </c>
      <c r="F55" s="407">
        <f t="shared" si="2"/>
        <v>0</v>
      </c>
      <c r="G55" s="406">
        <f t="shared" si="3"/>
        <v>0</v>
      </c>
      <c r="H55" s="660"/>
    </row>
    <row r="56" spans="1:8" ht="22.2" customHeight="1" x14ac:dyDescent="0.25">
      <c r="A56" s="401" t="str">
        <f>Zones!B50</f>
        <v>BreakRoom/Kitchenette_FloorT</v>
      </c>
      <c r="B56" s="402" t="s">
        <v>447</v>
      </c>
      <c r="C56" s="352">
        <f>Zones!H50</f>
        <v>232</v>
      </c>
      <c r="D56" s="403">
        <f>Ventilation!C50</f>
        <v>8</v>
      </c>
      <c r="E56" s="404">
        <v>0.57999999999999996</v>
      </c>
      <c r="F56" s="407">
        <f t="shared" si="2"/>
        <v>4.6399999999999997</v>
      </c>
      <c r="G56" s="406">
        <f t="shared" si="3"/>
        <v>7.7333333333333323E-2</v>
      </c>
      <c r="H56" s="660"/>
    </row>
    <row r="57" spans="1:8" ht="22.2" customHeight="1" x14ac:dyDescent="0.25">
      <c r="A57" s="401" t="str">
        <f>Zones!B51</f>
        <v>Stairway_FloorT</v>
      </c>
      <c r="B57" s="402" t="s">
        <v>458</v>
      </c>
      <c r="C57" s="352">
        <f>Zones!H51</f>
        <v>661</v>
      </c>
      <c r="D57" s="403">
        <f>Ventilation!C51</f>
        <v>0</v>
      </c>
      <c r="E57" s="404">
        <v>0</v>
      </c>
      <c r="F57" s="407">
        <f t="shared" si="2"/>
        <v>0</v>
      </c>
      <c r="G57" s="406">
        <f t="shared" si="3"/>
        <v>0</v>
      </c>
      <c r="H57" s="660"/>
    </row>
    <row r="58" spans="1:8" ht="22.2" customHeight="1" x14ac:dyDescent="0.25">
      <c r="A58" s="401" t="str">
        <f>Zones!B52</f>
        <v>Corridor_W_FloorT</v>
      </c>
      <c r="B58" s="402" t="s">
        <v>458</v>
      </c>
      <c r="C58" s="352">
        <f>Zones!H52</f>
        <v>300</v>
      </c>
      <c r="D58" s="403">
        <f>Ventilation!C52</f>
        <v>2</v>
      </c>
      <c r="E58" s="404">
        <v>0</v>
      </c>
      <c r="F58" s="407">
        <f t="shared" si="2"/>
        <v>0</v>
      </c>
      <c r="G58" s="406">
        <f t="shared" si="3"/>
        <v>0</v>
      </c>
      <c r="H58" s="660"/>
    </row>
    <row r="59" spans="1:8" ht="22.2" customHeight="1" x14ac:dyDescent="0.25">
      <c r="A59" s="401" t="str">
        <f>Zones!B53</f>
        <v>Corridor_N_FloorT</v>
      </c>
      <c r="B59" s="402" t="s">
        <v>458</v>
      </c>
      <c r="C59" s="352">
        <f>Zones!H53</f>
        <v>503</v>
      </c>
      <c r="D59" s="403">
        <f>Ventilation!C53</f>
        <v>3</v>
      </c>
      <c r="E59" s="404">
        <v>0</v>
      </c>
      <c r="F59" s="407">
        <f t="shared" si="2"/>
        <v>0</v>
      </c>
      <c r="G59" s="406">
        <f t="shared" si="3"/>
        <v>0</v>
      </c>
      <c r="H59" s="660"/>
    </row>
    <row r="60" spans="1:8" ht="22.2" customHeight="1" x14ac:dyDescent="0.25">
      <c r="A60" s="401" t="str">
        <f>Zones!B54</f>
        <v>Corridor_E_FloorT</v>
      </c>
      <c r="B60" s="402" t="s">
        <v>458</v>
      </c>
      <c r="C60" s="352">
        <f>Zones!H54</f>
        <v>300</v>
      </c>
      <c r="D60" s="403">
        <f>Ventilation!C54</f>
        <v>2</v>
      </c>
      <c r="E60" s="404">
        <v>0</v>
      </c>
      <c r="F60" s="407">
        <f t="shared" si="2"/>
        <v>0</v>
      </c>
      <c r="G60" s="406">
        <f t="shared" si="3"/>
        <v>0</v>
      </c>
      <c r="H60" s="660"/>
    </row>
    <row r="61" spans="1:8" ht="22.2" customHeight="1" x14ac:dyDescent="0.25">
      <c r="A61" s="401" t="str">
        <f>Zones!B55</f>
        <v>Corridor_S_FloorT</v>
      </c>
      <c r="B61" s="402" t="s">
        <v>458</v>
      </c>
      <c r="C61" s="352">
        <f>Zones!H55</f>
        <v>503</v>
      </c>
      <c r="D61" s="403">
        <f>Ventilation!C55</f>
        <v>3</v>
      </c>
      <c r="E61" s="404">
        <v>0</v>
      </c>
      <c r="F61" s="407">
        <f t="shared" si="2"/>
        <v>0</v>
      </c>
      <c r="G61" s="406">
        <f t="shared" si="3"/>
        <v>0</v>
      </c>
      <c r="H61" s="660"/>
    </row>
    <row r="62" spans="1:8" ht="22.2" customHeight="1" x14ac:dyDescent="0.25">
      <c r="A62" s="401"/>
      <c r="B62" s="355"/>
      <c r="C62" s="70">
        <f>Zones!H56</f>
        <v>17876</v>
      </c>
      <c r="D62" s="71">
        <f>Ventilation!C56</f>
        <v>0</v>
      </c>
      <c r="E62" s="75">
        <v>0</v>
      </c>
      <c r="F62" s="357">
        <f t="shared" si="2"/>
        <v>0</v>
      </c>
      <c r="G62" s="278">
        <f t="shared" si="3"/>
        <v>0</v>
      </c>
      <c r="H62" s="660"/>
    </row>
    <row r="63" spans="1:8" ht="20.25" customHeight="1" x14ac:dyDescent="0.25">
      <c r="A63" s="526" t="s">
        <v>207</v>
      </c>
      <c r="B63" s="652" t="s">
        <v>460</v>
      </c>
      <c r="C63" s="653"/>
      <c r="D63" s="653"/>
      <c r="E63" s="654"/>
      <c r="F63" s="527">
        <f>_xlfn.LET(
  _xlpm.g,SUMIF($B$9:$B$62,"Gas*",$F$9:$F$62),
  _xlpm.e,SUMIF($B$9:$B$62,"Electric*",$F$9:$F$62),
  IF(AND(_xlpm.g&gt;0,_xlpm.e&gt;0),_xlpm.g,IF(_xlpm.g&gt;0,MAX(75,_xlpm.g),0)))</f>
        <v>151.48049999999995</v>
      </c>
      <c r="G63" s="358"/>
      <c r="H63" s="655" t="s">
        <v>461</v>
      </c>
    </row>
    <row r="64" spans="1:8" ht="19.5" customHeight="1" x14ac:dyDescent="0.25">
      <c r="A64" s="526" t="s">
        <v>462</v>
      </c>
      <c r="B64" s="657" t="s">
        <v>463</v>
      </c>
      <c r="C64" s="658"/>
      <c r="D64" s="658"/>
      <c r="E64" s="659"/>
      <c r="F64" s="528">
        <f>_xlfn.LET(
  _xlpm.g,SUMIF($B$9:$B$26,"Gas*",$F$9:$F$26),
  _xlpm.e,SUMIF($B$9:$B$26,"Electric*",$F$9:$F$26),
  IF(AND(_xlpm.g&gt;0,_xlpm.e&gt;0),_xlpm.e,IF(_xlpm.e&gt;0,MAX(75,_xlpm.e),0)))</f>
        <v>0</v>
      </c>
      <c r="G64" s="359"/>
      <c r="H64" s="656"/>
    </row>
    <row r="65" spans="1:12" s="230" customFormat="1" ht="14.4" x14ac:dyDescent="0.3">
      <c r="A65"/>
      <c r="B65"/>
      <c r="C65"/>
      <c r="D65"/>
      <c r="E65"/>
      <c r="F65"/>
      <c r="G65"/>
      <c r="H65"/>
      <c r="I65"/>
      <c r="J65"/>
    </row>
    <row r="66" spans="1:12" s="230" customFormat="1" ht="14.4" x14ac:dyDescent="0.3">
      <c r="A66"/>
      <c r="B66"/>
      <c r="C66"/>
      <c r="D66"/>
      <c r="E66"/>
      <c r="F66"/>
      <c r="G66"/>
      <c r="H66"/>
      <c r="I66"/>
      <c r="J66"/>
    </row>
    <row r="67" spans="1:12" s="230" customFormat="1" ht="14.4" x14ac:dyDescent="0.3">
      <c r="A67"/>
      <c r="B67"/>
      <c r="C67"/>
      <c r="D67"/>
      <c r="E67"/>
      <c r="F67"/>
      <c r="G67"/>
      <c r="H67"/>
      <c r="I67"/>
      <c r="J67"/>
    </row>
    <row r="68" spans="1:12" s="230" customFormat="1" ht="15" customHeight="1" x14ac:dyDescent="0.3">
      <c r="A68" s="529" t="s">
        <v>464</v>
      </c>
      <c r="B68" s="530">
        <v>135</v>
      </c>
      <c r="C68" s="531" t="s">
        <v>465</v>
      </c>
      <c r="D68" s="231"/>
      <c r="E68" s="231"/>
      <c r="F68"/>
      <c r="G68"/>
      <c r="H68"/>
      <c r="I68"/>
      <c r="J68"/>
    </row>
    <row r="69" spans="1:12" s="230" customFormat="1" ht="15" customHeight="1" x14ac:dyDescent="0.3">
      <c r="A69" s="231" t="s">
        <v>466</v>
      </c>
      <c r="B69" s="532">
        <v>0.6</v>
      </c>
      <c r="C69" s="531" t="s">
        <v>467</v>
      </c>
      <c r="D69" s="232"/>
      <c r="E69" s="232"/>
      <c r="F69"/>
      <c r="G69"/>
      <c r="H69"/>
      <c r="I69"/>
      <c r="J69"/>
    </row>
    <row r="70" spans="1:12" s="230" customFormat="1" ht="14.4" x14ac:dyDescent="0.3">
      <c r="A70" s="533" t="s">
        <v>468</v>
      </c>
      <c r="B70" s="534">
        <v>8.2876999999999992</v>
      </c>
      <c r="C70" s="531" t="s">
        <v>467</v>
      </c>
      <c r="D70" s="531"/>
      <c r="E70" s="531"/>
      <c r="F70"/>
      <c r="G70"/>
      <c r="H70"/>
      <c r="I70"/>
      <c r="J70"/>
    </row>
    <row r="71" spans="1:12" s="230" customFormat="1" ht="14.4" x14ac:dyDescent="0.3">
      <c r="A71" s="230" t="s">
        <v>469</v>
      </c>
      <c r="B71" s="233">
        <v>0.4</v>
      </c>
      <c r="C71" s="234" t="s">
        <v>470</v>
      </c>
      <c r="D71" s="234"/>
      <c r="F71" s="234"/>
      <c r="G71" s="234"/>
    </row>
    <row r="72" spans="1:12" s="230" customFormat="1" ht="26.1" customHeight="1" x14ac:dyDescent="0.25">
      <c r="A72" s="642" t="s">
        <v>471</v>
      </c>
      <c r="B72" s="643"/>
      <c r="C72" s="643"/>
      <c r="D72" s="643"/>
      <c r="E72" s="643"/>
      <c r="F72" s="643"/>
      <c r="G72" s="643"/>
      <c r="H72" s="643"/>
      <c r="I72" s="643"/>
      <c r="J72" s="643"/>
      <c r="K72" s="643"/>
    </row>
    <row r="73" spans="1:12" s="230" customFormat="1" ht="48.75" customHeight="1" x14ac:dyDescent="0.3">
      <c r="A73" s="535" t="s">
        <v>472</v>
      </c>
      <c r="B73" s="535" t="s">
        <v>473</v>
      </c>
      <c r="C73" s="535" t="s">
        <v>474</v>
      </c>
      <c r="D73" s="535" t="s">
        <v>475</v>
      </c>
      <c r="E73" s="535" t="s">
        <v>476</v>
      </c>
      <c r="F73" s="535" t="s">
        <v>477</v>
      </c>
      <c r="G73" s="644" t="s">
        <v>478</v>
      </c>
      <c r="H73" s="644"/>
      <c r="I73" s="644" t="s">
        <v>479</v>
      </c>
      <c r="J73" s="644"/>
      <c r="K73" s="536" t="s">
        <v>480</v>
      </c>
      <c r="L73"/>
    </row>
    <row r="74" spans="1:12" s="230" customFormat="1" ht="18.75" customHeight="1" x14ac:dyDescent="0.25">
      <c r="A74" s="425" t="s">
        <v>481</v>
      </c>
      <c r="B74" s="426">
        <v>47.9</v>
      </c>
      <c r="C74" s="369">
        <f>$F$63*($B$68-B74)*$B$70</f>
        <v>109347.51226093495</v>
      </c>
      <c r="D74" s="369">
        <f>C74*$B$69</f>
        <v>65608.507356560964</v>
      </c>
      <c r="E74" s="369">
        <f t="shared" ref="E74:E89" si="4">_xlfn.LET(_xlpm.x,_xlfn.XLOOKUP(D74/$C$3,$A$95:$A$125,$A$95:$A$125,"",1),IF(_xlpm.x="",ROUNDUP(D74/$C$3,0),_xlpm.x))</f>
        <v>99900</v>
      </c>
      <c r="F74" s="369">
        <f>_xlfn.LET(_xlpm.v,MAX(30,$F$63*$B$71),_xlpm.x,_xlfn.XLOOKUP(_xlpm.v,$E$95:$E$113,$E$95:$E$113,"",1),IF(_xlpm.x="",ROUNDUP(_xlpm.v,0),_xlpm.x))</f>
        <v>65</v>
      </c>
      <c r="G74" s="369">
        <f>(E74/800)+110*SQRT(F74)</f>
        <v>1011.7233523128405</v>
      </c>
      <c r="H74" s="369" t="s">
        <v>482</v>
      </c>
      <c r="I74" s="373">
        <f>G74/70</f>
        <v>14.453190747326293</v>
      </c>
      <c r="J74" s="427" t="s">
        <v>483</v>
      </c>
      <c r="K74" s="645" t="s">
        <v>484</v>
      </c>
    </row>
    <row r="75" spans="1:12" s="230" customFormat="1" ht="18.75" customHeight="1" x14ac:dyDescent="0.25">
      <c r="A75" s="425" t="s">
        <v>485</v>
      </c>
      <c r="B75" s="426">
        <v>50.8</v>
      </c>
      <c r="C75" s="369">
        <f t="shared" ref="C75:C89" si="5">$F$63*($B$68-B75)*$B$70</f>
        <v>105706.77993536997</v>
      </c>
      <c r="D75" s="369">
        <f t="shared" ref="D75:D89" si="6">C75*$B$69</f>
        <v>63424.067961221976</v>
      </c>
      <c r="E75" s="369">
        <f t="shared" si="4"/>
        <v>80000</v>
      </c>
      <c r="F75" s="369">
        <f t="shared" ref="F75:F89" si="7">_xlfn.LET(_xlpm.v,MAX(30,$F$63*$B$71),_xlpm.x,_xlfn.XLOOKUP(_xlpm.v,$E$95:$E$113,$E$95:$E$113,"",1),IF(_xlpm.x="",ROUNDUP(_xlpm.v,0),_xlpm.x))</f>
        <v>65</v>
      </c>
      <c r="G75" s="369">
        <f t="shared" ref="G75:G89" si="8">(E75/800)+110*SQRT(F75)</f>
        <v>986.84835231284046</v>
      </c>
      <c r="H75" s="369" t="s">
        <v>482</v>
      </c>
      <c r="I75" s="373">
        <f t="shared" ref="I75:I89" si="9">G75/70</f>
        <v>14.09783360446915</v>
      </c>
      <c r="J75" s="427" t="s">
        <v>483</v>
      </c>
      <c r="K75" s="646"/>
    </row>
    <row r="76" spans="1:12" s="230" customFormat="1" ht="18.75" customHeight="1" x14ac:dyDescent="0.25">
      <c r="A76" s="425" t="s">
        <v>486</v>
      </c>
      <c r="B76" s="426">
        <v>52.2</v>
      </c>
      <c r="C76" s="369">
        <f t="shared" si="5"/>
        <v>103949.18501957996</v>
      </c>
      <c r="D76" s="369">
        <f t="shared" si="6"/>
        <v>62369.511011747978</v>
      </c>
      <c r="E76" s="369">
        <f t="shared" si="4"/>
        <v>80000</v>
      </c>
      <c r="F76" s="369">
        <f t="shared" si="7"/>
        <v>65</v>
      </c>
      <c r="G76" s="369">
        <f t="shared" si="8"/>
        <v>986.84835231284046</v>
      </c>
      <c r="H76" s="369" t="s">
        <v>482</v>
      </c>
      <c r="I76" s="373">
        <f t="shared" si="9"/>
        <v>14.09783360446915</v>
      </c>
      <c r="J76" s="427" t="s">
        <v>483</v>
      </c>
      <c r="K76" s="646"/>
    </row>
    <row r="77" spans="1:12" s="230" customFormat="1" ht="18.75" customHeight="1" x14ac:dyDescent="0.25">
      <c r="A77" s="425" t="s">
        <v>487</v>
      </c>
      <c r="B77" s="426">
        <v>52.7</v>
      </c>
      <c r="C77" s="369">
        <f t="shared" si="5"/>
        <v>103321.47254965495</v>
      </c>
      <c r="D77" s="369">
        <f t="shared" si="6"/>
        <v>61992.883529792969</v>
      </c>
      <c r="E77" s="369">
        <f t="shared" si="4"/>
        <v>80000</v>
      </c>
      <c r="F77" s="369">
        <f t="shared" si="7"/>
        <v>65</v>
      </c>
      <c r="G77" s="369">
        <f t="shared" si="8"/>
        <v>986.84835231284046</v>
      </c>
      <c r="H77" s="369" t="s">
        <v>482</v>
      </c>
      <c r="I77" s="373">
        <f t="shared" si="9"/>
        <v>14.09783360446915</v>
      </c>
      <c r="J77" s="427" t="s">
        <v>483</v>
      </c>
      <c r="K77" s="646"/>
    </row>
    <row r="78" spans="1:12" s="230" customFormat="1" ht="18.75" customHeight="1" x14ac:dyDescent="0.25">
      <c r="A78" s="425" t="s">
        <v>488</v>
      </c>
      <c r="B78" s="426">
        <v>51.6</v>
      </c>
      <c r="C78" s="369">
        <f t="shared" si="5"/>
        <v>104702.43998348997</v>
      </c>
      <c r="D78" s="369">
        <f t="shared" si="6"/>
        <v>62821.46399009398</v>
      </c>
      <c r="E78" s="369">
        <f t="shared" si="4"/>
        <v>80000</v>
      </c>
      <c r="F78" s="369">
        <f t="shared" si="7"/>
        <v>65</v>
      </c>
      <c r="G78" s="369">
        <f t="shared" si="8"/>
        <v>986.84835231284046</v>
      </c>
      <c r="H78" s="369" t="s">
        <v>482</v>
      </c>
      <c r="I78" s="373">
        <f t="shared" si="9"/>
        <v>14.09783360446915</v>
      </c>
      <c r="J78" s="427" t="s">
        <v>483</v>
      </c>
      <c r="K78" s="646"/>
    </row>
    <row r="79" spans="1:12" s="230" customFormat="1" ht="18.75" customHeight="1" x14ac:dyDescent="0.25">
      <c r="A79" s="425" t="s">
        <v>489</v>
      </c>
      <c r="B79" s="426">
        <v>56.8</v>
      </c>
      <c r="C79" s="369">
        <f t="shared" si="5"/>
        <v>98174.230296269961</v>
      </c>
      <c r="D79" s="369">
        <f t="shared" si="6"/>
        <v>58904.538177761977</v>
      </c>
      <c r="E79" s="369">
        <f t="shared" si="4"/>
        <v>75100</v>
      </c>
      <c r="F79" s="369">
        <f t="shared" si="7"/>
        <v>65</v>
      </c>
      <c r="G79" s="369">
        <f t="shared" si="8"/>
        <v>980.72335231284046</v>
      </c>
      <c r="H79" s="369" t="s">
        <v>482</v>
      </c>
      <c r="I79" s="373">
        <f t="shared" si="9"/>
        <v>14.01033360446915</v>
      </c>
      <c r="J79" s="427" t="s">
        <v>483</v>
      </c>
      <c r="K79" s="646"/>
    </row>
    <row r="80" spans="1:12" s="230" customFormat="1" ht="18.75" customHeight="1" x14ac:dyDescent="0.25">
      <c r="A80" s="425" t="s">
        <v>490</v>
      </c>
      <c r="B80" s="426">
        <v>58.4</v>
      </c>
      <c r="C80" s="369">
        <f t="shared" si="5"/>
        <v>96165.550392509947</v>
      </c>
      <c r="D80" s="369">
        <f t="shared" si="6"/>
        <v>57699.330235505964</v>
      </c>
      <c r="E80" s="369">
        <f t="shared" si="4"/>
        <v>75100</v>
      </c>
      <c r="F80" s="369">
        <f t="shared" si="7"/>
        <v>65</v>
      </c>
      <c r="G80" s="369">
        <f t="shared" si="8"/>
        <v>980.72335231284046</v>
      </c>
      <c r="H80" s="369" t="s">
        <v>482</v>
      </c>
      <c r="I80" s="373">
        <f t="shared" si="9"/>
        <v>14.01033360446915</v>
      </c>
      <c r="J80" s="427" t="s">
        <v>483</v>
      </c>
      <c r="K80" s="646"/>
    </row>
    <row r="81" spans="1:11" s="230" customFormat="1" ht="18.75" customHeight="1" x14ac:dyDescent="0.25">
      <c r="A81" s="425" t="s">
        <v>491</v>
      </c>
      <c r="B81" s="426">
        <v>58.4</v>
      </c>
      <c r="C81" s="369">
        <f t="shared" si="5"/>
        <v>96165.550392509947</v>
      </c>
      <c r="D81" s="369">
        <f t="shared" si="6"/>
        <v>57699.330235505964</v>
      </c>
      <c r="E81" s="369">
        <f t="shared" si="4"/>
        <v>75100</v>
      </c>
      <c r="F81" s="369">
        <f t="shared" si="7"/>
        <v>65</v>
      </c>
      <c r="G81" s="369">
        <f t="shared" si="8"/>
        <v>980.72335231284046</v>
      </c>
      <c r="H81" s="369" t="s">
        <v>482</v>
      </c>
      <c r="I81" s="373">
        <f t="shared" si="9"/>
        <v>14.01033360446915</v>
      </c>
      <c r="J81" s="427" t="s">
        <v>483</v>
      </c>
      <c r="K81" s="646"/>
    </row>
    <row r="82" spans="1:11" s="230" customFormat="1" ht="18.75" customHeight="1" x14ac:dyDescent="0.25">
      <c r="A82" s="425" t="s">
        <v>492</v>
      </c>
      <c r="B82" s="426">
        <v>57.6</v>
      </c>
      <c r="C82" s="369">
        <f t="shared" si="5"/>
        <v>97169.890344389962</v>
      </c>
      <c r="D82" s="369">
        <f t="shared" si="6"/>
        <v>58301.934206633974</v>
      </c>
      <c r="E82" s="369">
        <f t="shared" si="4"/>
        <v>75100</v>
      </c>
      <c r="F82" s="369">
        <f t="shared" si="7"/>
        <v>65</v>
      </c>
      <c r="G82" s="369">
        <f t="shared" si="8"/>
        <v>980.72335231284046</v>
      </c>
      <c r="H82" s="369" t="s">
        <v>482</v>
      </c>
      <c r="I82" s="373">
        <f t="shared" si="9"/>
        <v>14.01033360446915</v>
      </c>
      <c r="J82" s="427" t="s">
        <v>483</v>
      </c>
      <c r="K82" s="646"/>
    </row>
    <row r="83" spans="1:11" s="230" customFormat="1" ht="18.75" customHeight="1" x14ac:dyDescent="0.25">
      <c r="A83" s="425" t="s">
        <v>252</v>
      </c>
      <c r="B83" s="426">
        <v>57.1</v>
      </c>
      <c r="C83" s="369">
        <f t="shared" si="5"/>
        <v>97797.602814314974</v>
      </c>
      <c r="D83" s="369">
        <f t="shared" si="6"/>
        <v>58678.561688588983</v>
      </c>
      <c r="E83" s="369">
        <f t="shared" si="4"/>
        <v>75100</v>
      </c>
      <c r="F83" s="369">
        <f t="shared" si="7"/>
        <v>65</v>
      </c>
      <c r="G83" s="369">
        <f t="shared" si="8"/>
        <v>980.72335231284046</v>
      </c>
      <c r="H83" s="369" t="s">
        <v>482</v>
      </c>
      <c r="I83" s="373">
        <f t="shared" si="9"/>
        <v>14.01033360446915</v>
      </c>
      <c r="J83" s="427" t="s">
        <v>483</v>
      </c>
      <c r="K83" s="646"/>
    </row>
    <row r="84" spans="1:11" s="230" customFormat="1" ht="18.75" customHeight="1" x14ac:dyDescent="0.25">
      <c r="A84" s="425" t="s">
        <v>253</v>
      </c>
      <c r="B84" s="426">
        <v>50.5</v>
      </c>
      <c r="C84" s="369">
        <f t="shared" si="5"/>
        <v>106083.40741732495</v>
      </c>
      <c r="D84" s="369">
        <f t="shared" si="6"/>
        <v>63650.044450394969</v>
      </c>
      <c r="E84" s="369">
        <f t="shared" si="4"/>
        <v>80000</v>
      </c>
      <c r="F84" s="369">
        <f t="shared" si="7"/>
        <v>65</v>
      </c>
      <c r="G84" s="369">
        <f t="shared" si="8"/>
        <v>986.84835231284046</v>
      </c>
      <c r="H84" s="369" t="s">
        <v>482</v>
      </c>
      <c r="I84" s="373">
        <f t="shared" si="9"/>
        <v>14.09783360446915</v>
      </c>
      <c r="J84" s="427" t="s">
        <v>483</v>
      </c>
      <c r="K84" s="646"/>
    </row>
    <row r="85" spans="1:11" s="230" customFormat="1" ht="18.75" customHeight="1" x14ac:dyDescent="0.25">
      <c r="A85" s="425" t="s">
        <v>254</v>
      </c>
      <c r="B85" s="426">
        <v>51.4</v>
      </c>
      <c r="C85" s="369">
        <f t="shared" si="5"/>
        <v>104953.52497145995</v>
      </c>
      <c r="D85" s="369">
        <f t="shared" si="6"/>
        <v>62972.114982875966</v>
      </c>
      <c r="E85" s="369">
        <f t="shared" si="4"/>
        <v>80000</v>
      </c>
      <c r="F85" s="369">
        <f t="shared" si="7"/>
        <v>65</v>
      </c>
      <c r="G85" s="369">
        <f t="shared" si="8"/>
        <v>986.84835231284046</v>
      </c>
      <c r="H85" s="369" t="s">
        <v>482</v>
      </c>
      <c r="I85" s="373">
        <f t="shared" si="9"/>
        <v>14.09783360446915</v>
      </c>
      <c r="J85" s="427" t="s">
        <v>483</v>
      </c>
      <c r="K85" s="646"/>
    </row>
    <row r="86" spans="1:11" s="230" customFormat="1" ht="18.75" customHeight="1" x14ac:dyDescent="0.25">
      <c r="A86" s="425" t="s">
        <v>255</v>
      </c>
      <c r="B86" s="426">
        <v>51.7</v>
      </c>
      <c r="C86" s="369">
        <f t="shared" si="5"/>
        <v>104576.89748950495</v>
      </c>
      <c r="D86" s="369">
        <f t="shared" si="6"/>
        <v>62746.138493702965</v>
      </c>
      <c r="E86" s="369">
        <f t="shared" si="4"/>
        <v>80000</v>
      </c>
      <c r="F86" s="369">
        <f t="shared" si="7"/>
        <v>65</v>
      </c>
      <c r="G86" s="369">
        <f t="shared" si="8"/>
        <v>986.84835231284046</v>
      </c>
      <c r="H86" s="369" t="s">
        <v>482</v>
      </c>
      <c r="I86" s="373">
        <f t="shared" si="9"/>
        <v>14.09783360446915</v>
      </c>
      <c r="J86" s="427" t="s">
        <v>483</v>
      </c>
      <c r="K86" s="646"/>
    </row>
    <row r="87" spans="1:11" s="230" customFormat="1" ht="18.75" customHeight="1" x14ac:dyDescent="0.25">
      <c r="A87" s="425" t="s">
        <v>256</v>
      </c>
      <c r="B87" s="426">
        <v>50.1</v>
      </c>
      <c r="C87" s="369">
        <f t="shared" si="5"/>
        <v>106585.57739326496</v>
      </c>
      <c r="D87" s="369">
        <f t="shared" si="6"/>
        <v>63951.346435958971</v>
      </c>
      <c r="E87" s="369">
        <f t="shared" si="4"/>
        <v>80000</v>
      </c>
      <c r="F87" s="369">
        <f t="shared" si="7"/>
        <v>65</v>
      </c>
      <c r="G87" s="369">
        <f t="shared" si="8"/>
        <v>986.84835231284046</v>
      </c>
      <c r="H87" s="369" t="s">
        <v>482</v>
      </c>
      <c r="I87" s="373">
        <f t="shared" si="9"/>
        <v>14.09783360446915</v>
      </c>
      <c r="J87" s="427" t="s">
        <v>483</v>
      </c>
      <c r="K87" s="646"/>
    </row>
    <row r="88" spans="1:11" s="230" customFormat="1" ht="18.75" customHeight="1" x14ac:dyDescent="0.25">
      <c r="A88" s="425" t="s">
        <v>257</v>
      </c>
      <c r="B88" s="426">
        <v>63.2</v>
      </c>
      <c r="C88" s="369">
        <f t="shared" si="5"/>
        <v>90139.510681229964</v>
      </c>
      <c r="D88" s="369">
        <f t="shared" si="6"/>
        <v>54083.706408737977</v>
      </c>
      <c r="E88" s="369">
        <f t="shared" si="4"/>
        <v>75100</v>
      </c>
      <c r="F88" s="369">
        <f t="shared" si="7"/>
        <v>65</v>
      </c>
      <c r="G88" s="369">
        <f t="shared" si="8"/>
        <v>980.72335231284046</v>
      </c>
      <c r="H88" s="369" t="s">
        <v>482</v>
      </c>
      <c r="I88" s="373">
        <f t="shared" si="9"/>
        <v>14.01033360446915</v>
      </c>
      <c r="J88" s="427" t="s">
        <v>483</v>
      </c>
      <c r="K88" s="646"/>
    </row>
    <row r="89" spans="1:11" s="230" customFormat="1" ht="18.75" customHeight="1" x14ac:dyDescent="0.25">
      <c r="A89" s="425" t="s">
        <v>258</v>
      </c>
      <c r="B89" s="426">
        <v>41.4</v>
      </c>
      <c r="C89" s="369">
        <f t="shared" si="5"/>
        <v>117507.77436995995</v>
      </c>
      <c r="D89" s="369">
        <f t="shared" si="6"/>
        <v>70504.664621975971</v>
      </c>
      <c r="E89" s="369">
        <f t="shared" si="4"/>
        <v>99900</v>
      </c>
      <c r="F89" s="369">
        <f t="shared" si="7"/>
        <v>65</v>
      </c>
      <c r="G89" s="369">
        <f t="shared" si="8"/>
        <v>1011.7233523128405</v>
      </c>
      <c r="H89" s="369" t="s">
        <v>482</v>
      </c>
      <c r="I89" s="373">
        <f t="shared" si="9"/>
        <v>14.453190747326293</v>
      </c>
      <c r="J89" s="427" t="s">
        <v>483</v>
      </c>
      <c r="K89" s="647"/>
    </row>
    <row r="90" spans="1:11" s="230" customFormat="1" ht="14.4" x14ac:dyDescent="0.3">
      <c r="C90" s="234"/>
      <c r="D90" s="234"/>
      <c r="F90" s="234"/>
      <c r="G90" s="234"/>
    </row>
    <row r="91" spans="1:11" s="230" customFormat="1" ht="14.4" x14ac:dyDescent="0.3">
      <c r="C91" s="234"/>
      <c r="D91" s="234"/>
      <c r="F91" s="234"/>
      <c r="G91" s="234"/>
    </row>
    <row r="92" spans="1:11" s="230" customFormat="1" ht="14.4" x14ac:dyDescent="0.3">
      <c r="C92" s="234"/>
      <c r="D92" s="234"/>
      <c r="F92" s="234"/>
      <c r="G92" s="234"/>
    </row>
    <row r="93" spans="1:11" s="230" customFormat="1" ht="24.75" customHeight="1" x14ac:dyDescent="0.25">
      <c r="A93" s="648" t="s">
        <v>493</v>
      </c>
      <c r="B93" s="649"/>
      <c r="C93" s="650"/>
      <c r="D93" s="650"/>
      <c r="E93" s="650"/>
      <c r="F93" s="650"/>
      <c r="G93" s="650"/>
      <c r="H93" s="650"/>
    </row>
    <row r="94" spans="1:11" s="236" customFormat="1" ht="23.25" customHeight="1" x14ac:dyDescent="0.25">
      <c r="A94" s="537" t="s">
        <v>494</v>
      </c>
      <c r="B94" s="415" t="s">
        <v>495</v>
      </c>
      <c r="C94" s="416" t="s">
        <v>496</v>
      </c>
      <c r="D94" s="417" t="s">
        <v>497</v>
      </c>
      <c r="E94" s="538" t="s">
        <v>498</v>
      </c>
      <c r="F94" s="417" t="s">
        <v>499</v>
      </c>
      <c r="G94" s="418" t="s">
        <v>500</v>
      </c>
      <c r="H94" s="419" t="s">
        <v>501</v>
      </c>
      <c r="I94" s="235" t="str">
        <f>HYPERLINK("#'Note'!A1","Sources and links → Note tab")</f>
        <v>Sources and links → Note tab</v>
      </c>
    </row>
    <row r="95" spans="1:11" s="230" customFormat="1" ht="13.8" x14ac:dyDescent="0.25">
      <c r="A95" s="422">
        <v>60000</v>
      </c>
      <c r="B95" s="539" t="s">
        <v>502</v>
      </c>
      <c r="C95" s="410">
        <v>1.5</v>
      </c>
      <c r="D95" s="411">
        <v>5118</v>
      </c>
      <c r="E95" s="412">
        <v>34</v>
      </c>
      <c r="F95" s="412" t="s">
        <v>503</v>
      </c>
      <c r="G95" s="412">
        <v>6</v>
      </c>
      <c r="H95" s="420" t="s">
        <v>502</v>
      </c>
    </row>
    <row r="96" spans="1:11" s="230" customFormat="1" ht="13.8" x14ac:dyDescent="0.25">
      <c r="A96" s="423">
        <v>75100</v>
      </c>
      <c r="B96" s="540" t="s">
        <v>502</v>
      </c>
      <c r="C96" s="365">
        <v>2</v>
      </c>
      <c r="D96" s="366">
        <v>6824</v>
      </c>
      <c r="E96" s="408">
        <v>35</v>
      </c>
      <c r="F96" s="408" t="s">
        <v>502</v>
      </c>
      <c r="G96" s="408">
        <v>10</v>
      </c>
      <c r="H96" s="413" t="s">
        <v>502</v>
      </c>
    </row>
    <row r="97" spans="1:8" s="230" customFormat="1" ht="13.8" x14ac:dyDescent="0.25">
      <c r="A97" s="423">
        <v>76000</v>
      </c>
      <c r="B97" s="540" t="s">
        <v>504</v>
      </c>
      <c r="C97" s="365">
        <v>3</v>
      </c>
      <c r="D97" s="366">
        <v>10236</v>
      </c>
      <c r="E97" s="408">
        <v>48</v>
      </c>
      <c r="F97" s="408" t="s">
        <v>502</v>
      </c>
      <c r="G97" s="408">
        <v>15</v>
      </c>
      <c r="H97" s="413" t="s">
        <v>502</v>
      </c>
    </row>
    <row r="98" spans="1:8" s="230" customFormat="1" ht="13.8" x14ac:dyDescent="0.25">
      <c r="A98" s="423">
        <v>80000</v>
      </c>
      <c r="B98" s="540" t="s">
        <v>502</v>
      </c>
      <c r="C98" s="365">
        <v>4.5</v>
      </c>
      <c r="D98" s="366">
        <v>15355</v>
      </c>
      <c r="E98" s="408">
        <v>50</v>
      </c>
      <c r="F98" s="408" t="s">
        <v>504</v>
      </c>
      <c r="G98" s="408">
        <v>20</v>
      </c>
      <c r="H98" s="413" t="s">
        <v>502</v>
      </c>
    </row>
    <row r="99" spans="1:8" s="230" customFormat="1" ht="13.8" x14ac:dyDescent="0.25">
      <c r="A99" s="423">
        <v>99900</v>
      </c>
      <c r="B99" s="540" t="s">
        <v>503</v>
      </c>
      <c r="C99" s="365">
        <v>6</v>
      </c>
      <c r="D99" s="366">
        <v>20473</v>
      </c>
      <c r="E99" s="408">
        <v>55</v>
      </c>
      <c r="F99" s="408" t="s">
        <v>503</v>
      </c>
      <c r="G99" s="408">
        <v>28</v>
      </c>
      <c r="H99" s="413" t="s">
        <v>502</v>
      </c>
    </row>
    <row r="100" spans="1:8" s="230" customFormat="1" ht="13.8" x14ac:dyDescent="0.25">
      <c r="A100" s="423">
        <v>100000</v>
      </c>
      <c r="B100" s="540" t="s">
        <v>504</v>
      </c>
      <c r="C100" s="365">
        <v>8</v>
      </c>
      <c r="D100" s="366">
        <v>27297</v>
      </c>
      <c r="E100" s="408">
        <v>60</v>
      </c>
      <c r="F100" s="408" t="s">
        <v>503</v>
      </c>
      <c r="G100" s="408">
        <v>30</v>
      </c>
      <c r="H100" s="413" t="s">
        <v>502</v>
      </c>
    </row>
    <row r="101" spans="1:8" s="230" customFormat="1" ht="13.8" x14ac:dyDescent="0.25">
      <c r="A101" s="423">
        <v>120000</v>
      </c>
      <c r="B101" s="540" t="s">
        <v>503</v>
      </c>
      <c r="C101" s="365">
        <v>9</v>
      </c>
      <c r="D101" s="366">
        <v>30709</v>
      </c>
      <c r="E101" s="408">
        <v>65</v>
      </c>
      <c r="F101" s="408" t="s">
        <v>504</v>
      </c>
      <c r="G101" s="408">
        <v>36</v>
      </c>
      <c r="H101" s="413" t="s">
        <v>502</v>
      </c>
    </row>
    <row r="102" spans="1:8" s="230" customFormat="1" ht="13.8" x14ac:dyDescent="0.25">
      <c r="A102" s="423">
        <v>125000</v>
      </c>
      <c r="B102" s="540" t="s">
        <v>504</v>
      </c>
      <c r="C102" s="365">
        <v>10</v>
      </c>
      <c r="D102" s="366">
        <v>34121</v>
      </c>
      <c r="E102" s="408">
        <v>72</v>
      </c>
      <c r="F102" s="408" t="s">
        <v>502</v>
      </c>
      <c r="G102" s="408">
        <v>40</v>
      </c>
      <c r="H102" s="413" t="s">
        <v>502</v>
      </c>
    </row>
    <row r="103" spans="1:8" s="230" customFormat="1" ht="13.8" x14ac:dyDescent="0.25">
      <c r="A103" s="423">
        <v>130000</v>
      </c>
      <c r="B103" s="540" t="s">
        <v>504</v>
      </c>
      <c r="C103" s="365">
        <v>12</v>
      </c>
      <c r="D103" s="366">
        <v>40946</v>
      </c>
      <c r="E103" s="408">
        <v>75</v>
      </c>
      <c r="F103" s="408" t="s">
        <v>504</v>
      </c>
      <c r="G103" s="408">
        <v>47</v>
      </c>
      <c r="H103" s="413"/>
    </row>
    <row r="104" spans="1:8" s="230" customFormat="1" ht="13.8" x14ac:dyDescent="0.25">
      <c r="A104" s="423">
        <v>145000</v>
      </c>
      <c r="B104" s="540" t="s">
        <v>503</v>
      </c>
      <c r="C104" s="365">
        <v>12.1</v>
      </c>
      <c r="D104" s="366">
        <v>41287</v>
      </c>
      <c r="E104" s="408">
        <v>76</v>
      </c>
      <c r="F104" s="408" t="s">
        <v>502</v>
      </c>
      <c r="G104" s="408">
        <v>50</v>
      </c>
      <c r="H104" s="413"/>
    </row>
    <row r="105" spans="1:8" s="230" customFormat="1" ht="13.8" x14ac:dyDescent="0.25">
      <c r="A105" s="423">
        <v>150000</v>
      </c>
      <c r="B105" s="540" t="s">
        <v>503</v>
      </c>
      <c r="C105" s="365">
        <v>18</v>
      </c>
      <c r="D105" s="366">
        <v>61419</v>
      </c>
      <c r="E105" s="408">
        <v>80</v>
      </c>
      <c r="F105" s="408" t="s">
        <v>504</v>
      </c>
      <c r="G105" s="408">
        <v>65</v>
      </c>
      <c r="H105" s="413"/>
    </row>
    <row r="106" spans="1:8" s="230" customFormat="1" ht="13.2" x14ac:dyDescent="0.25">
      <c r="A106" s="423">
        <v>156000</v>
      </c>
      <c r="B106" s="363" t="s">
        <v>502</v>
      </c>
      <c r="C106" s="365">
        <v>24</v>
      </c>
      <c r="D106" s="366">
        <v>81891</v>
      </c>
      <c r="E106" s="408">
        <v>82</v>
      </c>
      <c r="F106" s="408" t="s">
        <v>502</v>
      </c>
      <c r="G106" s="408">
        <v>80</v>
      </c>
      <c r="H106" s="413"/>
    </row>
    <row r="107" spans="1:8" s="230" customFormat="1" ht="13.2" x14ac:dyDescent="0.25">
      <c r="A107" s="423">
        <v>160000</v>
      </c>
      <c r="B107" s="363" t="s">
        <v>504</v>
      </c>
      <c r="C107" s="365">
        <v>27</v>
      </c>
      <c r="D107" s="366">
        <v>92128</v>
      </c>
      <c r="E107" s="408">
        <v>85</v>
      </c>
      <c r="F107" s="408" t="s">
        <v>502</v>
      </c>
      <c r="G107" s="408">
        <v>85</v>
      </c>
      <c r="H107" s="413"/>
    </row>
    <row r="108" spans="1:8" s="230" customFormat="1" ht="13.2" x14ac:dyDescent="0.25">
      <c r="A108" s="423">
        <v>175000</v>
      </c>
      <c r="B108" s="363" t="s">
        <v>503</v>
      </c>
      <c r="C108" s="365">
        <v>36</v>
      </c>
      <c r="D108" s="409">
        <v>122837</v>
      </c>
      <c r="E108" s="408">
        <v>90</v>
      </c>
      <c r="F108" s="408" t="s">
        <v>504</v>
      </c>
      <c r="G108" s="408">
        <v>105</v>
      </c>
      <c r="H108" s="413"/>
    </row>
    <row r="109" spans="1:8" s="230" customFormat="1" ht="13.2" x14ac:dyDescent="0.25">
      <c r="A109" s="423">
        <v>180000</v>
      </c>
      <c r="B109" s="363" t="s">
        <v>502</v>
      </c>
      <c r="C109" s="365">
        <v>54</v>
      </c>
      <c r="D109" s="408">
        <v>184256</v>
      </c>
      <c r="E109" s="408">
        <v>91</v>
      </c>
      <c r="F109" s="408" t="s">
        <v>502</v>
      </c>
      <c r="G109" s="408">
        <v>120</v>
      </c>
      <c r="H109" s="413"/>
    </row>
    <row r="110" spans="1:8" s="230" customFormat="1" ht="13.2" x14ac:dyDescent="0.25">
      <c r="A110" s="423">
        <v>199000</v>
      </c>
      <c r="B110" s="363" t="s">
        <v>503</v>
      </c>
      <c r="C110" s="365"/>
      <c r="D110" s="408"/>
      <c r="E110" s="408">
        <v>100</v>
      </c>
      <c r="F110" s="408" t="s">
        <v>504</v>
      </c>
      <c r="G110" s="408"/>
      <c r="H110" s="413"/>
    </row>
    <row r="111" spans="1:8" s="230" customFormat="1" ht="13.2" x14ac:dyDescent="0.25">
      <c r="A111" s="423">
        <v>199900</v>
      </c>
      <c r="B111" s="363" t="s">
        <v>504</v>
      </c>
      <c r="C111" s="365"/>
      <c r="D111" s="408"/>
      <c r="E111" s="408">
        <v>110</v>
      </c>
      <c r="F111" s="408" t="s">
        <v>503</v>
      </c>
      <c r="G111" s="408"/>
      <c r="H111" s="413"/>
    </row>
    <row r="112" spans="1:8" s="230" customFormat="1" ht="13.2" x14ac:dyDescent="0.25">
      <c r="A112" s="423">
        <v>200000</v>
      </c>
      <c r="B112" s="363" t="s">
        <v>503</v>
      </c>
      <c r="C112" s="365"/>
      <c r="D112" s="408"/>
      <c r="E112" s="408">
        <v>119</v>
      </c>
      <c r="F112" s="408" t="s">
        <v>504</v>
      </c>
      <c r="G112" s="408"/>
      <c r="H112" s="413"/>
    </row>
    <row r="113" spans="1:8" s="230" customFormat="1" ht="13.2" x14ac:dyDescent="0.25">
      <c r="A113" s="423">
        <v>250000</v>
      </c>
      <c r="B113" s="363" t="s">
        <v>504</v>
      </c>
      <c r="C113" s="367"/>
      <c r="D113" s="368"/>
      <c r="E113" s="368">
        <v>125</v>
      </c>
      <c r="F113" s="368" t="s">
        <v>503</v>
      </c>
      <c r="G113" s="368"/>
      <c r="H113" s="414"/>
    </row>
    <row r="114" spans="1:8" s="230" customFormat="1" ht="14.4" x14ac:dyDescent="0.25">
      <c r="A114" s="423">
        <v>251000</v>
      </c>
      <c r="B114" s="364" t="s">
        <v>503</v>
      </c>
      <c r="C114" s="237"/>
      <c r="D114" s="237"/>
      <c r="E114" s="238"/>
      <c r="F114" s="237"/>
      <c r="G114" s="237"/>
    </row>
    <row r="115" spans="1:8" s="230" customFormat="1" ht="14.4" x14ac:dyDescent="0.25">
      <c r="A115" s="423">
        <v>270000</v>
      </c>
      <c r="B115" s="364" t="s">
        <v>502</v>
      </c>
      <c r="C115" s="237"/>
      <c r="D115" s="237"/>
      <c r="E115" s="238"/>
      <c r="F115" s="237"/>
      <c r="G115" s="237"/>
    </row>
    <row r="116" spans="1:8" s="230" customFormat="1" ht="14.4" x14ac:dyDescent="0.25">
      <c r="A116" s="423">
        <v>285000</v>
      </c>
      <c r="B116" s="364" t="s">
        <v>503</v>
      </c>
      <c r="C116" s="237"/>
      <c r="D116" s="237"/>
      <c r="E116" s="238"/>
      <c r="F116" s="237"/>
      <c r="G116" s="237"/>
    </row>
    <row r="117" spans="1:8" s="230" customFormat="1" ht="14.4" x14ac:dyDescent="0.25">
      <c r="A117" s="423">
        <v>300000</v>
      </c>
      <c r="B117" s="364" t="s">
        <v>504</v>
      </c>
      <c r="C117" s="237"/>
      <c r="D117" s="237"/>
      <c r="E117" s="238"/>
      <c r="F117" s="237"/>
      <c r="G117" s="237"/>
    </row>
    <row r="118" spans="1:8" s="230" customFormat="1" ht="14.4" x14ac:dyDescent="0.25">
      <c r="A118" s="423">
        <v>320000</v>
      </c>
      <c r="B118" s="364" t="s">
        <v>503</v>
      </c>
      <c r="C118" s="237"/>
      <c r="D118" s="237"/>
      <c r="E118" s="238"/>
      <c r="F118" s="237"/>
      <c r="G118" s="237"/>
    </row>
    <row r="119" spans="1:8" s="230" customFormat="1" ht="14.4" x14ac:dyDescent="0.25">
      <c r="A119" s="423">
        <v>360000</v>
      </c>
      <c r="B119" s="364" t="s">
        <v>502</v>
      </c>
      <c r="C119" s="237"/>
      <c r="D119" s="237"/>
      <c r="E119" s="238"/>
      <c r="F119" s="237"/>
      <c r="G119" s="237"/>
    </row>
    <row r="120" spans="1:8" s="230" customFormat="1" ht="14.4" x14ac:dyDescent="0.25">
      <c r="A120" s="423">
        <v>398000</v>
      </c>
      <c r="B120" s="364" t="s">
        <v>503</v>
      </c>
      <c r="C120" s="237"/>
      <c r="D120" s="237"/>
      <c r="E120" s="238"/>
      <c r="F120" s="237"/>
      <c r="G120" s="237"/>
    </row>
    <row r="121" spans="1:8" s="230" customFormat="1" ht="14.4" x14ac:dyDescent="0.25">
      <c r="A121" s="423">
        <v>399000</v>
      </c>
      <c r="B121" s="364" t="s">
        <v>503</v>
      </c>
      <c r="C121" s="237"/>
      <c r="D121" s="237"/>
      <c r="E121" s="238"/>
      <c r="F121" s="237"/>
      <c r="G121" s="237"/>
    </row>
    <row r="122" spans="1:8" s="230" customFormat="1" ht="14.4" x14ac:dyDescent="0.25">
      <c r="A122" s="423">
        <v>399900</v>
      </c>
      <c r="B122" s="364" t="s">
        <v>504</v>
      </c>
      <c r="C122" s="237"/>
      <c r="D122" s="237"/>
      <c r="E122" s="238"/>
      <c r="F122" s="237"/>
      <c r="G122" s="237"/>
    </row>
    <row r="123" spans="1:8" s="230" customFormat="1" ht="14.4" x14ac:dyDescent="0.25">
      <c r="A123" s="423">
        <v>499900</v>
      </c>
      <c r="B123" s="364" t="s">
        <v>502</v>
      </c>
      <c r="C123" s="237"/>
      <c r="D123" s="237"/>
      <c r="E123" s="238"/>
      <c r="F123" s="237"/>
      <c r="G123" s="237"/>
    </row>
    <row r="124" spans="1:8" s="230" customFormat="1" ht="14.4" x14ac:dyDescent="0.25">
      <c r="A124" s="423">
        <v>550000</v>
      </c>
      <c r="B124" s="364" t="s">
        <v>502</v>
      </c>
      <c r="C124" s="237"/>
      <c r="D124" s="237"/>
      <c r="E124" s="238"/>
      <c r="F124" s="237"/>
      <c r="G124" s="237"/>
    </row>
    <row r="125" spans="1:8" s="230" customFormat="1" ht="14.4" x14ac:dyDescent="0.25">
      <c r="A125" s="423">
        <v>715000</v>
      </c>
      <c r="B125" s="421" t="s">
        <v>502</v>
      </c>
      <c r="C125" s="237"/>
      <c r="D125" s="237"/>
      <c r="E125" s="238"/>
      <c r="F125" s="237"/>
      <c r="G125" s="237"/>
    </row>
    <row r="126" spans="1:8" s="230" customFormat="1" ht="14.4" x14ac:dyDescent="0.25">
      <c r="A126" s="424"/>
      <c r="B126" s="239"/>
      <c r="C126" s="237"/>
      <c r="D126" s="237"/>
      <c r="E126" s="238"/>
      <c r="F126" s="237"/>
      <c r="G126" s="237"/>
    </row>
    <row r="127" spans="1:8" customFormat="1" ht="14.4" x14ac:dyDescent="0.3"/>
    <row r="128" spans="1:8" customFormat="1" ht="14.4" x14ac:dyDescent="0.3"/>
    <row r="129" spans="1:1" customFormat="1" ht="14.4" x14ac:dyDescent="0.3"/>
    <row r="130" spans="1:1" s="89" customFormat="1" ht="21" hidden="1" customHeight="1" x14ac:dyDescent="0.3"/>
    <row r="131" spans="1:1" ht="14.4" x14ac:dyDescent="0.25">
      <c r="A131" s="73"/>
    </row>
    <row r="132" spans="1:1" ht="14.4" x14ac:dyDescent="0.25">
      <c r="A132" s="72"/>
    </row>
    <row r="133" spans="1:1" ht="14.4" x14ac:dyDescent="0.25">
      <c r="A133" s="73"/>
    </row>
    <row r="134" spans="1:1" ht="14.4" x14ac:dyDescent="0.25">
      <c r="A134" s="74"/>
    </row>
    <row r="135" spans="1:1" ht="14.4" x14ac:dyDescent="0.25">
      <c r="A135" s="73"/>
    </row>
    <row r="136" spans="1:1" ht="14.4" x14ac:dyDescent="0.25">
      <c r="A136" s="74"/>
    </row>
    <row r="137" spans="1:1" ht="14.4" x14ac:dyDescent="0.25">
      <c r="A137" s="73"/>
    </row>
    <row r="138" spans="1:1" ht="14.4" x14ac:dyDescent="0.25">
      <c r="A138" s="74"/>
    </row>
    <row r="139" spans="1:1" ht="14.4" x14ac:dyDescent="0.25">
      <c r="A139" s="73"/>
    </row>
    <row r="140" spans="1:1" ht="14.4" x14ac:dyDescent="0.25">
      <c r="A140" s="72"/>
    </row>
    <row r="141" spans="1:1" ht="14.4" x14ac:dyDescent="0.25">
      <c r="A141" s="73"/>
    </row>
    <row r="142" spans="1:1" ht="14.4" x14ac:dyDescent="0.25">
      <c r="A142" s="72"/>
    </row>
    <row r="143" spans="1:1" ht="14.4" x14ac:dyDescent="0.25">
      <c r="A143" s="72"/>
    </row>
    <row r="144" spans="1:1" ht="14.4" x14ac:dyDescent="0.25">
      <c r="A144" s="74"/>
    </row>
    <row r="145" spans="1:1" ht="14.4" x14ac:dyDescent="0.25">
      <c r="A145" s="74"/>
    </row>
    <row r="146" spans="1:1" ht="14.4" x14ac:dyDescent="0.25">
      <c r="A146" s="74"/>
    </row>
    <row r="147" spans="1:1" ht="14.4" x14ac:dyDescent="0.25">
      <c r="A147" s="74"/>
    </row>
    <row r="148" spans="1:1" ht="14.4" x14ac:dyDescent="0.25">
      <c r="A148" s="74"/>
    </row>
    <row r="149" spans="1:1" ht="14.4" x14ac:dyDescent="0.25">
      <c r="A149" s="74"/>
    </row>
    <row r="150" spans="1:1" ht="14.4" x14ac:dyDescent="0.25">
      <c r="A150" s="72"/>
    </row>
    <row r="151" spans="1:1" ht="14.4" x14ac:dyDescent="0.25">
      <c r="A151" s="73"/>
    </row>
    <row r="152" spans="1:1" ht="14.4" x14ac:dyDescent="0.25">
      <c r="A152" s="72"/>
    </row>
    <row r="153" spans="1:1" ht="14.4" x14ac:dyDescent="0.25">
      <c r="A153" s="72"/>
    </row>
    <row r="154" spans="1:1" ht="14.4" x14ac:dyDescent="0.25">
      <c r="A154" s="74"/>
    </row>
    <row r="155" spans="1:1" ht="14.4" x14ac:dyDescent="0.25">
      <c r="A155" s="74"/>
    </row>
    <row r="156" spans="1:1" ht="14.4" x14ac:dyDescent="0.25">
      <c r="A156" s="72"/>
    </row>
    <row r="157" spans="1:1" ht="14.4" x14ac:dyDescent="0.25">
      <c r="A157" s="73"/>
    </row>
    <row r="158" spans="1:1" ht="14.4" x14ac:dyDescent="0.25">
      <c r="A158" s="72"/>
    </row>
    <row r="159" spans="1:1" ht="14.4" x14ac:dyDescent="0.25">
      <c r="A159" s="72"/>
    </row>
    <row r="160" spans="1:1" ht="14.4" x14ac:dyDescent="0.25">
      <c r="A160" s="74"/>
    </row>
    <row r="161" spans="1:1" ht="14.4" x14ac:dyDescent="0.25">
      <c r="A161" s="74"/>
    </row>
    <row r="162" spans="1:1" ht="14.4" x14ac:dyDescent="0.25">
      <c r="A162" s="74"/>
    </row>
    <row r="163" spans="1:1" ht="14.4" x14ac:dyDescent="0.25">
      <c r="A163" s="74"/>
    </row>
    <row r="164" spans="1:1" ht="14.4" x14ac:dyDescent="0.25">
      <c r="A164" s="74"/>
    </row>
    <row r="165" spans="1:1" ht="14.4" x14ac:dyDescent="0.25">
      <c r="A165" s="74"/>
    </row>
    <row r="166" spans="1:1" ht="14.4" x14ac:dyDescent="0.25">
      <c r="A166" s="74"/>
    </row>
    <row r="167" spans="1:1" ht="14.4" x14ac:dyDescent="0.25">
      <c r="A167" s="74"/>
    </row>
    <row r="168" spans="1:1" ht="14.4" x14ac:dyDescent="0.25">
      <c r="A168" s="72"/>
    </row>
    <row r="169" spans="1:1" ht="14.4" x14ac:dyDescent="0.25">
      <c r="A169" s="73"/>
    </row>
    <row r="170" spans="1:1" ht="14.4" x14ac:dyDescent="0.25">
      <c r="A170" s="72"/>
    </row>
    <row r="171" spans="1:1" ht="14.4" x14ac:dyDescent="0.25">
      <c r="A171" s="72"/>
    </row>
    <row r="172" spans="1:1" ht="14.4" x14ac:dyDescent="0.25">
      <c r="A172" s="74"/>
    </row>
    <row r="173" spans="1:1" ht="14.4" x14ac:dyDescent="0.25">
      <c r="A173" s="74"/>
    </row>
    <row r="174" spans="1:1" ht="14.4" x14ac:dyDescent="0.25">
      <c r="A174" s="74"/>
    </row>
    <row r="175" spans="1:1" ht="14.4" x14ac:dyDescent="0.25">
      <c r="A175" s="74"/>
    </row>
    <row r="176" spans="1:1" ht="14.4" x14ac:dyDescent="0.3">
      <c r="A176"/>
    </row>
    <row r="177" spans="1:1" ht="14.4" x14ac:dyDescent="0.3">
      <c r="A177"/>
    </row>
    <row r="178" spans="1:1" ht="14.4" x14ac:dyDescent="0.3">
      <c r="A178"/>
    </row>
    <row r="179" spans="1:1" ht="14.4" x14ac:dyDescent="0.3">
      <c r="A179" s="3"/>
    </row>
    <row r="180" spans="1:1" ht="14.4" x14ac:dyDescent="0.25">
      <c r="A180" s="72"/>
    </row>
    <row r="181" spans="1:1" ht="14.4" x14ac:dyDescent="0.25">
      <c r="A181" s="73"/>
    </row>
    <row r="182" spans="1:1" ht="14.4" x14ac:dyDescent="0.25">
      <c r="A182" s="72"/>
    </row>
    <row r="183" spans="1:1" ht="14.4" x14ac:dyDescent="0.25">
      <c r="A183" s="72"/>
    </row>
  </sheetData>
  <mergeCells count="11">
    <mergeCell ref="A1:G1"/>
    <mergeCell ref="A7:H7"/>
    <mergeCell ref="B63:E63"/>
    <mergeCell ref="H63:H64"/>
    <mergeCell ref="B64:E64"/>
    <mergeCell ref="H9:H62"/>
    <mergeCell ref="A72:K72"/>
    <mergeCell ref="G73:H73"/>
    <mergeCell ref="I73:J73"/>
    <mergeCell ref="K74:K89"/>
    <mergeCell ref="A93:H9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14"/>
  <sheetViews>
    <sheetView zoomScale="90" zoomScaleNormal="90" workbookViewId="0">
      <selection sqref="A1:H1"/>
    </sheetView>
  </sheetViews>
  <sheetFormatPr defaultColWidth="8.6640625" defaultRowHeight="13.2" x14ac:dyDescent="0.25"/>
  <cols>
    <col min="1" max="1" width="49.6640625" style="7" bestFit="1" customWidth="1"/>
    <col min="2" max="2" width="21.44140625" style="7" bestFit="1" customWidth="1"/>
    <col min="3" max="3" width="26.5546875" style="7" customWidth="1"/>
    <col min="4" max="4" width="30.109375" style="7" customWidth="1"/>
    <col min="5" max="5" width="18.33203125" style="7" customWidth="1"/>
    <col min="6" max="6" width="28.44140625" style="7" customWidth="1"/>
    <col min="7" max="7" width="30" style="7" customWidth="1"/>
    <col min="8" max="8" width="36.33203125" style="7" customWidth="1"/>
    <col min="9" max="9" width="10.5546875" style="7" customWidth="1"/>
    <col min="10" max="10" width="11.44140625" style="7" customWidth="1"/>
    <col min="11" max="11" width="10.5546875" style="7" customWidth="1"/>
    <col min="12" max="12" width="13.33203125" style="7" customWidth="1"/>
    <col min="13" max="13" width="9.6640625" style="7" customWidth="1"/>
    <col min="14" max="14" width="9.44140625" style="7" customWidth="1"/>
    <col min="15" max="15" width="12.6640625" style="7" customWidth="1"/>
    <col min="16" max="16" width="14.6640625" style="7" customWidth="1"/>
    <col min="17" max="17" width="20.6640625" style="7" customWidth="1"/>
    <col min="18" max="18" width="19.6640625" style="7" customWidth="1"/>
    <col min="19" max="24" width="8.6640625" style="7"/>
    <col min="25" max="25" width="13.6640625" style="7" bestFit="1" customWidth="1"/>
    <col min="26" max="16384" width="8.6640625" style="7"/>
  </cols>
  <sheetData>
    <row r="1" spans="1:8" ht="25.95" customHeight="1" x14ac:dyDescent="0.25">
      <c r="A1" s="620" t="str">
        <f>"Interior Lighting - "&amp;Prototype!B4</f>
        <v>Interior Lighting - Laboratory</v>
      </c>
      <c r="B1" s="621"/>
      <c r="C1" s="621"/>
      <c r="D1" s="621"/>
      <c r="E1" s="621"/>
      <c r="F1" s="621"/>
      <c r="G1" s="621"/>
      <c r="H1" s="621"/>
    </row>
    <row r="2" spans="1:8" ht="25.95" customHeight="1" x14ac:dyDescent="0.25">
      <c r="A2" s="664" t="s">
        <v>190</v>
      </c>
      <c r="B2" s="666" t="s">
        <v>505</v>
      </c>
      <c r="C2" s="666"/>
      <c r="D2" s="666"/>
      <c r="E2" s="666" t="s">
        <v>273</v>
      </c>
      <c r="F2" s="666"/>
      <c r="G2" s="666"/>
      <c r="H2" s="662" t="s">
        <v>67</v>
      </c>
    </row>
    <row r="3" spans="1:8" ht="43.2" customHeight="1" x14ac:dyDescent="0.25">
      <c r="A3" s="665"/>
      <c r="B3" s="167" t="s">
        <v>506</v>
      </c>
      <c r="C3" s="290" t="s">
        <v>507</v>
      </c>
      <c r="D3" s="482" t="s">
        <v>300</v>
      </c>
      <c r="E3" s="167" t="s">
        <v>508</v>
      </c>
      <c r="F3" s="290" t="s">
        <v>507</v>
      </c>
      <c r="G3" s="167" t="s">
        <v>300</v>
      </c>
      <c r="H3" s="663"/>
    </row>
    <row r="4" spans="1:8" ht="27" customHeight="1" x14ac:dyDescent="0.25">
      <c r="A4" s="281" t="str">
        <f>Zones!P27</f>
        <v>Laboratory, Scientific</v>
      </c>
      <c r="B4" s="288">
        <v>0.9</v>
      </c>
      <c r="C4" s="247">
        <v>0.35</v>
      </c>
      <c r="D4" s="611" t="s">
        <v>509</v>
      </c>
      <c r="E4" s="288">
        <v>1.4</v>
      </c>
      <c r="F4" s="443">
        <v>0.2</v>
      </c>
      <c r="G4" s="611" t="s">
        <v>510</v>
      </c>
      <c r="H4" s="477" t="s">
        <v>511</v>
      </c>
    </row>
    <row r="5" spans="1:8" ht="39.6" x14ac:dyDescent="0.25">
      <c r="A5" s="281" t="str">
        <f>Zones!P28</f>
        <v>Office Area (&gt;250 square feet)</v>
      </c>
      <c r="B5" s="477">
        <v>0.6</v>
      </c>
      <c r="C5" s="247">
        <f>0.2*0.5</f>
        <v>0.1</v>
      </c>
      <c r="D5" s="661"/>
      <c r="E5" s="477">
        <v>0.75</v>
      </c>
      <c r="F5" s="443"/>
      <c r="G5" s="661"/>
      <c r="H5" s="436" t="s">
        <v>512</v>
      </c>
    </row>
    <row r="6" spans="1:8" ht="24" customHeight="1" x14ac:dyDescent="0.25">
      <c r="A6" s="281" t="str">
        <f>Zones!P29</f>
        <v>Convention, Conference, Multipurpose and Meeting Area</v>
      </c>
      <c r="B6" s="287">
        <v>0.75</v>
      </c>
      <c r="C6" s="247">
        <f>0.25*0.5</f>
        <v>0.125</v>
      </c>
      <c r="D6" s="661"/>
      <c r="E6" s="287">
        <v>1.2</v>
      </c>
      <c r="F6" s="247">
        <f>0.5*0.5</f>
        <v>0.25</v>
      </c>
      <c r="G6" s="661"/>
      <c r="H6" s="477" t="s">
        <v>513</v>
      </c>
    </row>
    <row r="7" spans="1:8" ht="24" customHeight="1" x14ac:dyDescent="0.25">
      <c r="A7" s="281" t="str">
        <f>Zones!P30</f>
        <v>Lobby, Main Entry</v>
      </c>
      <c r="B7" s="477">
        <v>0.7</v>
      </c>
      <c r="C7" s="247">
        <v>0.25</v>
      </c>
      <c r="D7" s="661"/>
      <c r="E7" s="287">
        <v>0.95</v>
      </c>
      <c r="F7" s="247">
        <v>0.5</v>
      </c>
      <c r="G7" s="661"/>
      <c r="H7" s="477" t="s">
        <v>513</v>
      </c>
    </row>
    <row r="8" spans="1:8" ht="24" customHeight="1" x14ac:dyDescent="0.25">
      <c r="A8" s="281" t="str">
        <f>Zones!P31</f>
        <v>Storage (General)</v>
      </c>
      <c r="B8" s="477">
        <v>0.4</v>
      </c>
      <c r="C8" s="443"/>
      <c r="D8" s="661"/>
      <c r="E8" s="288">
        <v>0.6</v>
      </c>
      <c r="F8" s="497"/>
      <c r="G8" s="661"/>
      <c r="H8" s="88"/>
    </row>
    <row r="9" spans="1:8" ht="24" customHeight="1" x14ac:dyDescent="0.25">
      <c r="A9" s="281" t="str">
        <f>Zones!P32</f>
        <v>Electrical, Mechanical, Telephone Rooms</v>
      </c>
      <c r="B9" s="287">
        <v>0.4</v>
      </c>
      <c r="C9" s="247"/>
      <c r="D9" s="661"/>
      <c r="E9" s="287">
        <v>0.55000000000000004</v>
      </c>
      <c r="F9" s="497"/>
      <c r="G9" s="661"/>
      <c r="H9" s="88"/>
    </row>
    <row r="10" spans="1:8" s="8" customFormat="1" ht="24" customHeight="1" x14ac:dyDescent="0.25">
      <c r="A10" s="281" t="str">
        <f>Zones!P33</f>
        <v>IT Room (EPD 12)</v>
      </c>
      <c r="B10" s="477">
        <v>0.75</v>
      </c>
      <c r="C10" s="289"/>
      <c r="D10" s="661"/>
      <c r="E10" s="287">
        <v>1.2</v>
      </c>
      <c r="F10" s="437"/>
      <c r="G10" s="661"/>
      <c r="H10" s="282"/>
    </row>
    <row r="11" spans="1:8" ht="24" customHeight="1" x14ac:dyDescent="0.25">
      <c r="A11" s="281" t="str">
        <f>Zones!P34</f>
        <v>Restrooms</v>
      </c>
      <c r="B11" s="287">
        <v>0.65</v>
      </c>
      <c r="C11" s="247"/>
      <c r="D11" s="661"/>
      <c r="E11" s="287">
        <v>0.6</v>
      </c>
      <c r="F11" s="497"/>
      <c r="G11" s="661"/>
      <c r="H11" s="88"/>
    </row>
    <row r="12" spans="1:8" ht="24" customHeight="1" x14ac:dyDescent="0.25">
      <c r="A12" s="281" t="str">
        <f>Zones!P35</f>
        <v>Lounge, Breakroom, or Waiting Area</v>
      </c>
      <c r="B12" s="287">
        <v>0.55000000000000004</v>
      </c>
      <c r="C12" s="247">
        <v>0.25</v>
      </c>
      <c r="D12" s="661"/>
      <c r="E12" s="287">
        <v>0.9</v>
      </c>
      <c r="F12" s="247">
        <v>0.5</v>
      </c>
      <c r="G12" s="661"/>
      <c r="H12" s="477" t="s">
        <v>513</v>
      </c>
    </row>
    <row r="13" spans="1:8" ht="24" customHeight="1" x14ac:dyDescent="0.25">
      <c r="A13" s="281" t="str">
        <f>Zones!P36</f>
        <v>Stairwell</v>
      </c>
      <c r="B13" s="287">
        <v>0.6</v>
      </c>
      <c r="C13" s="247"/>
      <c r="D13" s="661"/>
      <c r="E13" s="287">
        <v>0.6</v>
      </c>
      <c r="F13" s="497"/>
      <c r="G13" s="661"/>
      <c r="H13" s="88"/>
    </row>
    <row r="14" spans="1:8" ht="24" customHeight="1" x14ac:dyDescent="0.25">
      <c r="A14" s="281" t="str">
        <f>Zones!P37</f>
        <v>Corridor Area</v>
      </c>
      <c r="B14" s="477">
        <v>0.4</v>
      </c>
      <c r="C14" s="247"/>
      <c r="D14" s="612"/>
      <c r="E14" s="477">
        <v>0.6</v>
      </c>
      <c r="F14" s="497"/>
      <c r="G14" s="612"/>
      <c r="H14" s="88"/>
    </row>
  </sheetData>
  <mergeCells count="7">
    <mergeCell ref="D4:D14"/>
    <mergeCell ref="G4:G14"/>
    <mergeCell ref="A1:H1"/>
    <mergeCell ref="H2:H3"/>
    <mergeCell ref="A2:A3"/>
    <mergeCell ref="B2:D2"/>
    <mergeCell ref="E2:G2"/>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9"/>
  <sheetViews>
    <sheetView zoomScaleNormal="100" workbookViewId="0">
      <selection sqref="A1:D1"/>
    </sheetView>
  </sheetViews>
  <sheetFormatPr defaultColWidth="8.6640625" defaultRowHeight="13.2" x14ac:dyDescent="0.25"/>
  <cols>
    <col min="1" max="1" width="32" style="7" customWidth="1"/>
    <col min="2" max="3" width="45.44140625" style="7" customWidth="1"/>
    <col min="4" max="4" width="36.33203125" style="7" customWidth="1"/>
    <col min="5" max="5" width="38.88671875" style="7" customWidth="1"/>
    <col min="6" max="6" width="17.109375" style="7" customWidth="1"/>
    <col min="7" max="7" width="17.5546875" style="7" customWidth="1"/>
    <col min="8" max="8" width="15.5546875" style="7" customWidth="1"/>
    <col min="9" max="9" width="13.33203125" style="7" customWidth="1"/>
    <col min="10" max="16384" width="8.6640625" style="7"/>
  </cols>
  <sheetData>
    <row r="1" spans="1:7" ht="25.2" customHeight="1" x14ac:dyDescent="0.25">
      <c r="A1" s="667" t="str">
        <f>"Exterior Lighting - "&amp;Prototype!B4</f>
        <v>Exterior Lighting - Laboratory</v>
      </c>
      <c r="B1" s="667"/>
      <c r="C1" s="667"/>
      <c r="D1" s="667"/>
    </row>
    <row r="2" spans="1:7" ht="37.200000000000003" customHeight="1" x14ac:dyDescent="0.25">
      <c r="A2" s="483" t="s">
        <v>514</v>
      </c>
      <c r="B2" s="483" t="s">
        <v>515</v>
      </c>
      <c r="C2" s="483" t="s">
        <v>516</v>
      </c>
      <c r="D2" s="483" t="s">
        <v>300</v>
      </c>
    </row>
    <row r="3" spans="1:7" ht="45.6" customHeight="1" x14ac:dyDescent="0.25">
      <c r="A3" s="32">
        <f>G15</f>
        <v>2533.08</v>
      </c>
      <c r="B3" s="32">
        <f>G16</f>
        <v>1392.3000000000002</v>
      </c>
      <c r="C3" s="32">
        <f>A3+B3</f>
        <v>3925.38</v>
      </c>
      <c r="D3" s="444" t="s">
        <v>517</v>
      </c>
      <c r="E3" s="76"/>
    </row>
    <row r="4" spans="1:7" ht="22.2" customHeight="1" x14ac:dyDescent="0.25">
      <c r="A4" s="48"/>
      <c r="B4" s="48"/>
      <c r="C4" s="48"/>
    </row>
    <row r="5" spans="1:7" ht="14.4" x14ac:dyDescent="0.3">
      <c r="A5"/>
      <c r="C5" s="94"/>
      <c r="E5" s="95"/>
    </row>
    <row r="6" spans="1:7" ht="14.4" x14ac:dyDescent="0.3">
      <c r="A6"/>
      <c r="C6" s="94"/>
      <c r="E6" s="95"/>
    </row>
    <row r="7" spans="1:7" ht="15.6" x14ac:dyDescent="0.25">
      <c r="A7" s="667" t="str">
        <f>"Exterior Lighting"</f>
        <v>Exterior Lighting</v>
      </c>
      <c r="B7" s="667"/>
      <c r="C7" s="667"/>
      <c r="D7" s="667"/>
      <c r="E7" s="667"/>
      <c r="F7" s="667"/>
      <c r="G7" s="667"/>
    </row>
    <row r="8" spans="1:7" ht="51.6" customHeight="1" x14ac:dyDescent="0.25">
      <c r="A8" s="133" t="s">
        <v>518</v>
      </c>
      <c r="B8" s="668" t="s">
        <v>519</v>
      </c>
      <c r="C8" s="668"/>
      <c r="D8" s="483" t="s">
        <v>520</v>
      </c>
      <c r="E8" s="483" t="s">
        <v>521</v>
      </c>
      <c r="F8" s="483" t="s">
        <v>520</v>
      </c>
      <c r="G8" s="483" t="s">
        <v>522</v>
      </c>
    </row>
    <row r="9" spans="1:7" ht="21" customHeight="1" x14ac:dyDescent="0.25">
      <c r="A9" s="15" t="s">
        <v>523</v>
      </c>
      <c r="B9" s="257" t="s">
        <v>524</v>
      </c>
      <c r="C9" s="96"/>
      <c r="D9" s="497"/>
      <c r="E9" s="247">
        <v>350</v>
      </c>
      <c r="F9" s="247" t="s">
        <v>525</v>
      </c>
      <c r="G9" s="134">
        <f>$E9</f>
        <v>350</v>
      </c>
    </row>
    <row r="10" spans="1:7" ht="63" customHeight="1" x14ac:dyDescent="0.25">
      <c r="A10" s="15" t="s">
        <v>526</v>
      </c>
      <c r="B10" s="242" t="s">
        <v>527</v>
      </c>
      <c r="C10" s="97">
        <f>B21/250*400</f>
        <v>85803.199999999997</v>
      </c>
      <c r="D10" s="497" t="s">
        <v>528</v>
      </c>
      <c r="E10" s="247">
        <v>2.5000000000000001E-2</v>
      </c>
      <c r="F10" s="247" t="s">
        <v>529</v>
      </c>
      <c r="G10" s="134">
        <f>$E10*C10</f>
        <v>2145.08</v>
      </c>
    </row>
    <row r="11" spans="1:7" ht="24" customHeight="1" x14ac:dyDescent="0.25">
      <c r="A11" s="15" t="s">
        <v>530</v>
      </c>
      <c r="B11" s="257" t="s">
        <v>531</v>
      </c>
      <c r="C11" s="96">
        <v>2</v>
      </c>
      <c r="D11" s="497" t="s">
        <v>532</v>
      </c>
      <c r="E11" s="247">
        <v>19</v>
      </c>
      <c r="F11" s="247" t="s">
        <v>533</v>
      </c>
      <c r="G11" s="134">
        <f>E11*C11</f>
        <v>38</v>
      </c>
    </row>
    <row r="12" spans="1:7" ht="39.6" customHeight="1" x14ac:dyDescent="0.25">
      <c r="A12" s="15" t="s">
        <v>534</v>
      </c>
      <c r="B12" s="16" t="s">
        <v>535</v>
      </c>
      <c r="C12" s="291">
        <v>0</v>
      </c>
      <c r="D12" s="497" t="s">
        <v>528</v>
      </c>
      <c r="E12" s="247">
        <v>1.2999999999999999E-2</v>
      </c>
      <c r="F12" s="247" t="s">
        <v>529</v>
      </c>
      <c r="G12" s="135">
        <f>E12*C12</f>
        <v>0</v>
      </c>
    </row>
    <row r="13" spans="1:7" ht="79.2" x14ac:dyDescent="0.25">
      <c r="A13" s="15" t="s">
        <v>536</v>
      </c>
      <c r="B13" s="16" t="s">
        <v>537</v>
      </c>
      <c r="C13" s="98">
        <f>B22*0.5*30</f>
        <v>8190</v>
      </c>
      <c r="D13" s="497" t="s">
        <v>528</v>
      </c>
      <c r="E13" s="247">
        <v>0.17</v>
      </c>
      <c r="F13" s="247" t="s">
        <v>529</v>
      </c>
      <c r="G13" s="135">
        <f>E13*C13</f>
        <v>1392.3000000000002</v>
      </c>
    </row>
    <row r="14" spans="1:7" x14ac:dyDescent="0.25">
      <c r="A14" s="15" t="s">
        <v>538</v>
      </c>
      <c r="B14" s="15"/>
      <c r="C14" s="101"/>
      <c r="D14" s="497" t="s">
        <v>528</v>
      </c>
      <c r="E14" s="247">
        <v>0.27</v>
      </c>
      <c r="F14" s="247" t="s">
        <v>529</v>
      </c>
      <c r="G14" s="135">
        <f>E14*C14</f>
        <v>0</v>
      </c>
    </row>
    <row r="15" spans="1:7" x14ac:dyDescent="0.25">
      <c r="A15" s="15" t="s">
        <v>514</v>
      </c>
      <c r="B15" s="15"/>
      <c r="C15" s="96"/>
      <c r="D15" s="497"/>
      <c r="E15" s="497"/>
      <c r="F15" s="497"/>
      <c r="G15" s="135">
        <f>G10+G9+G14+G11</f>
        <v>2533.08</v>
      </c>
    </row>
    <row r="16" spans="1:7" x14ac:dyDescent="0.25">
      <c r="A16" s="15" t="s">
        <v>539</v>
      </c>
      <c r="B16" s="15"/>
      <c r="C16" s="96"/>
      <c r="D16" s="497"/>
      <c r="E16" s="497"/>
      <c r="F16" s="497"/>
      <c r="G16" s="135">
        <f>G12+G13</f>
        <v>1392.3000000000002</v>
      </c>
    </row>
    <row r="17" spans="1:7" x14ac:dyDescent="0.25">
      <c r="A17" s="15" t="s">
        <v>207</v>
      </c>
      <c r="B17" s="15"/>
      <c r="C17" s="96"/>
      <c r="D17" s="497"/>
      <c r="E17" s="497"/>
      <c r="F17" s="497"/>
      <c r="G17" s="135">
        <f>G15+G16</f>
        <v>3925.38</v>
      </c>
    </row>
    <row r="21" spans="1:7" x14ac:dyDescent="0.25">
      <c r="A21" s="7" t="s">
        <v>540</v>
      </c>
      <c r="B21" s="99">
        <f>Prototype!B9</f>
        <v>53627</v>
      </c>
    </row>
    <row r="22" spans="1:7" x14ac:dyDescent="0.25">
      <c r="A22" s="7" t="s">
        <v>541</v>
      </c>
      <c r="B22" s="100">
        <v>546</v>
      </c>
    </row>
    <row r="23" spans="1:7" x14ac:dyDescent="0.25">
      <c r="A23" s="7" t="s">
        <v>542</v>
      </c>
      <c r="B23" s="7">
        <v>3</v>
      </c>
    </row>
    <row r="24" spans="1:7" ht="14.4" x14ac:dyDescent="0.3">
      <c r="A24"/>
      <c r="C24" s="94"/>
      <c r="E24" s="95"/>
    </row>
    <row r="25" spans="1:7" ht="14.4" x14ac:dyDescent="0.3">
      <c r="A25"/>
      <c r="C25" s="94"/>
      <c r="E25" s="95"/>
    </row>
    <row r="29" spans="1:7" s="17" customFormat="1" ht="13.2" hidden="1" customHeight="1" x14ac:dyDescent="0.25">
      <c r="A29" s="17" t="s">
        <v>356</v>
      </c>
      <c r="E29" s="18"/>
      <c r="F29" s="19"/>
      <c r="G29" s="20"/>
    </row>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L52"/>
  <sheetViews>
    <sheetView zoomScale="90" zoomScaleNormal="90" workbookViewId="0">
      <selection sqref="A1:E1"/>
    </sheetView>
  </sheetViews>
  <sheetFormatPr defaultColWidth="8.6640625" defaultRowHeight="13.2" x14ac:dyDescent="0.25"/>
  <cols>
    <col min="1" max="1" width="50" style="7" customWidth="1"/>
    <col min="2" max="2" width="28.44140625" style="7" bestFit="1" customWidth="1"/>
    <col min="3" max="3" width="18.44140625" style="7" bestFit="1" customWidth="1"/>
    <col min="4" max="4" width="26.88671875" style="7" customWidth="1"/>
    <col min="5" max="5" width="64.6640625" style="7" bestFit="1" customWidth="1"/>
    <col min="6" max="6" width="55.6640625" style="7" customWidth="1"/>
    <col min="7" max="7" width="22.6640625" style="7" customWidth="1"/>
    <col min="8" max="8" width="21.44140625" style="7" customWidth="1"/>
    <col min="9" max="9" width="33.88671875" style="7" bestFit="1" customWidth="1"/>
    <col min="10" max="10" width="10.6640625" style="7" bestFit="1" customWidth="1"/>
    <col min="11" max="11" width="28.33203125" style="7" customWidth="1"/>
    <col min="12" max="12" width="64" style="7" customWidth="1"/>
    <col min="13" max="16384" width="8.6640625" style="7"/>
  </cols>
  <sheetData>
    <row r="1" spans="1:5" ht="23.4" customHeight="1" thickBot="1" x14ac:dyDescent="0.3">
      <c r="A1" s="669" t="str">
        <f>"Equipment - "&amp;Prototype!B4</f>
        <v>Equipment - Laboratory</v>
      </c>
      <c r="B1" s="670"/>
      <c r="C1" s="670"/>
      <c r="D1" s="670"/>
      <c r="E1" s="670"/>
    </row>
    <row r="2" spans="1:5" ht="54.6" customHeight="1" x14ac:dyDescent="0.25">
      <c r="A2" s="168" t="s">
        <v>190</v>
      </c>
      <c r="B2" s="168" t="s">
        <v>543</v>
      </c>
      <c r="C2" s="64" t="s">
        <v>544</v>
      </c>
      <c r="D2" s="64" t="s">
        <v>545</v>
      </c>
      <c r="E2" s="168" t="s">
        <v>300</v>
      </c>
    </row>
    <row r="3" spans="1:5" ht="54.6" customHeight="1" x14ac:dyDescent="0.25">
      <c r="A3" s="280" t="str">
        <f>Zones!P28</f>
        <v>Office Area (&gt;250 square feet)</v>
      </c>
      <c r="B3" s="247">
        <v>0.7</v>
      </c>
      <c r="C3" s="280"/>
      <c r="D3" s="280"/>
      <c r="E3" s="292" t="s">
        <v>546</v>
      </c>
    </row>
    <row r="4" spans="1:5" ht="45" customHeight="1" x14ac:dyDescent="0.25">
      <c r="A4" s="280" t="str">
        <f>Zones!P27</f>
        <v>Laboratory, Scientific</v>
      </c>
      <c r="B4" s="247">
        <v>4</v>
      </c>
      <c r="C4" s="360">
        <v>12.692640000000001</v>
      </c>
      <c r="D4" s="247">
        <v>0.28000000000000003</v>
      </c>
      <c r="E4" s="242" t="s">
        <v>547</v>
      </c>
    </row>
    <row r="5" spans="1:5" ht="18" customHeight="1" x14ac:dyDescent="0.25">
      <c r="A5" s="280" t="str">
        <f>Zones!P29</f>
        <v>Convention, Conference, Multipurpose and Meeting Area</v>
      </c>
      <c r="B5" s="247">
        <v>1</v>
      </c>
      <c r="C5" s="477"/>
      <c r="D5" s="257"/>
      <c r="E5" s="671" t="s">
        <v>548</v>
      </c>
    </row>
    <row r="6" spans="1:5" ht="18" customHeight="1" x14ac:dyDescent="0.25">
      <c r="A6" s="280" t="str">
        <f>Zones!P30</f>
        <v>Lobby, Main Entry</v>
      </c>
      <c r="B6" s="247">
        <v>0.5</v>
      </c>
      <c r="C6" s="477"/>
      <c r="D6" s="257"/>
      <c r="E6" s="672"/>
    </row>
    <row r="7" spans="1:5" ht="18" customHeight="1" x14ac:dyDescent="0.25">
      <c r="A7" s="280" t="str">
        <f>Zones!P31</f>
        <v>Storage (General)</v>
      </c>
      <c r="B7" s="247">
        <v>0.2</v>
      </c>
      <c r="C7" s="477"/>
      <c r="D7" s="257"/>
      <c r="E7" s="672"/>
    </row>
    <row r="8" spans="1:5" ht="18" customHeight="1" x14ac:dyDescent="0.25">
      <c r="A8" s="280" t="str">
        <f>Zones!P32</f>
        <v>Electrical, Mechanical, Telephone Rooms</v>
      </c>
      <c r="B8" s="247">
        <v>3</v>
      </c>
      <c r="C8" s="477"/>
      <c r="D8" s="257"/>
      <c r="E8" s="673"/>
    </row>
    <row r="9" spans="1:5" ht="18" customHeight="1" x14ac:dyDescent="0.25">
      <c r="A9" s="280" t="str">
        <f>Zones!P33</f>
        <v>IT Room (EPD 12)</v>
      </c>
      <c r="B9" s="247">
        <v>12</v>
      </c>
      <c r="C9" s="477"/>
      <c r="D9" s="257"/>
      <c r="E9" s="477" t="s">
        <v>549</v>
      </c>
    </row>
    <row r="10" spans="1:5" ht="18" customHeight="1" x14ac:dyDescent="0.25">
      <c r="A10" s="280" t="str">
        <f>Zones!P34</f>
        <v>Restrooms</v>
      </c>
      <c r="B10" s="247">
        <v>0</v>
      </c>
      <c r="C10" s="477"/>
      <c r="D10" s="257"/>
      <c r="E10" s="660" t="s">
        <v>548</v>
      </c>
    </row>
    <row r="11" spans="1:5" ht="18" customHeight="1" x14ac:dyDescent="0.25">
      <c r="A11" s="280" t="str">
        <f>Zones!P35</f>
        <v>Lounge, Breakroom, or Waiting Area</v>
      </c>
      <c r="B11" s="247">
        <v>1</v>
      </c>
      <c r="C11" s="477"/>
      <c r="D11" s="257"/>
      <c r="E11" s="660"/>
    </row>
    <row r="12" spans="1:5" ht="18" customHeight="1" x14ac:dyDescent="0.25">
      <c r="A12" s="280" t="str">
        <f>Zones!P36</f>
        <v>Stairwell</v>
      </c>
      <c r="B12" s="247">
        <v>0</v>
      </c>
      <c r="C12" s="477"/>
      <c r="D12" s="257"/>
      <c r="E12" s="660"/>
    </row>
    <row r="13" spans="1:5" ht="18" customHeight="1" x14ac:dyDescent="0.25">
      <c r="A13" s="280" t="str">
        <f>Zones!P37</f>
        <v>Corridor Area</v>
      </c>
      <c r="B13" s="247">
        <v>0</v>
      </c>
      <c r="C13" s="477"/>
      <c r="D13" s="257"/>
      <c r="E13" s="660"/>
    </row>
    <row r="14" spans="1:5" ht="18" customHeight="1" x14ac:dyDescent="0.25">
      <c r="A14" s="279"/>
      <c r="B14" s="466"/>
      <c r="C14" s="10"/>
      <c r="D14" s="9"/>
      <c r="E14" s="10"/>
    </row>
    <row r="16" spans="1:5" ht="15" customHeight="1" x14ac:dyDescent="0.25"/>
    <row r="17" spans="1:12" ht="28.95" customHeight="1" x14ac:dyDescent="0.3">
      <c r="A17" s="677" t="s">
        <v>550</v>
      </c>
      <c r="B17" s="677"/>
      <c r="C17" s="677"/>
      <c r="D17" s="677"/>
      <c r="E17" s="677"/>
      <c r="F17" s="677"/>
      <c r="G17" s="677"/>
      <c r="H17" s="677"/>
      <c r="I17" s="677"/>
      <c r="J17" s="677"/>
      <c r="K17" s="677"/>
      <c r="L17"/>
    </row>
    <row r="18" spans="1:12" ht="36" customHeight="1" x14ac:dyDescent="0.25">
      <c r="A18" s="217" t="s">
        <v>241</v>
      </c>
      <c r="B18" s="217" t="s">
        <v>551</v>
      </c>
      <c r="C18" s="217" t="s">
        <v>552</v>
      </c>
      <c r="D18" s="217" t="s">
        <v>553</v>
      </c>
      <c r="E18" s="217" t="s">
        <v>554</v>
      </c>
      <c r="F18" s="217" t="s">
        <v>555</v>
      </c>
      <c r="G18" s="217" t="s">
        <v>556</v>
      </c>
      <c r="H18" s="217" t="s">
        <v>557</v>
      </c>
      <c r="I18" s="217" t="s">
        <v>558</v>
      </c>
      <c r="J18" s="217" t="s">
        <v>559</v>
      </c>
      <c r="K18" s="217" t="s">
        <v>290</v>
      </c>
    </row>
    <row r="19" spans="1:12" ht="85.95" customHeight="1" x14ac:dyDescent="0.25">
      <c r="A19" s="542" t="s">
        <v>273</v>
      </c>
      <c r="B19" s="542" t="s">
        <v>560</v>
      </c>
      <c r="C19" s="542">
        <v>2</v>
      </c>
      <c r="D19" s="541">
        <v>1.1399999999999999</v>
      </c>
      <c r="E19" s="541">
        <v>0.33</v>
      </c>
      <c r="F19" s="542" t="s">
        <v>561</v>
      </c>
      <c r="G19" s="541">
        <f>IF(INDEX($C:$C,MATCH("Equivalent full load hours",$B:$B,0))=0,0,ROUND(INDEX($C:$C,MATCH("Annual energy consumption of the elevator - Existing",$B:$B,0))/INDEX($C:$C,MATCH("Equivalent full load hours",$B:$B,0))*1000,2))</f>
        <v>6326</v>
      </c>
      <c r="H19" s="541">
        <f>ROUND(C19*INDEX($C:$C,MATCH("Cab fan airflow",$B:$B,0))*E19,2)</f>
        <v>165</v>
      </c>
      <c r="I19" s="541">
        <f>ROUND(C19*INDEX($C:$C,MATCH("Cab floor area",$B:$B,0))*D19,2)</f>
        <v>68.17</v>
      </c>
      <c r="J19" s="541">
        <f>ROUND(SUM(G19:I19),2)</f>
        <v>6559.17</v>
      </c>
      <c r="K19" s="542" t="s">
        <v>562</v>
      </c>
    </row>
    <row r="20" spans="1:12" ht="85.95" customHeight="1" x14ac:dyDescent="0.25">
      <c r="A20" s="542" t="s">
        <v>310</v>
      </c>
      <c r="B20" s="542" t="s">
        <v>563</v>
      </c>
      <c r="C20" s="542">
        <v>2</v>
      </c>
      <c r="D20" s="541">
        <v>0.6</v>
      </c>
      <c r="E20" s="541">
        <v>0.33</v>
      </c>
      <c r="F20" s="542" t="s">
        <v>564</v>
      </c>
      <c r="G20" s="541">
        <f>IF(INDEX($C:$C,MATCH("Equivalent full load hours",$B:$B,0))=0,0,ROUND(INDEX($C:$C,MATCH("Annual energy consumption of the elevator - New Construction",$B:$B,0))/INDEX($C:$C,MATCH("Equivalent full load hours",$B:$B,0))*1000,2))</f>
        <v>3292.92</v>
      </c>
      <c r="H20" s="541">
        <f>ROUND(C20*INDEX($C:$C,MATCH("Cab fan airflow",$B:$B,0))*E20,2)</f>
        <v>165</v>
      </c>
      <c r="I20" s="541">
        <f>ROUND(C20*INDEX($C:$C,MATCH("Cab floor area",$B:$B,0))*D20,2)</f>
        <v>35.880000000000003</v>
      </c>
      <c r="J20" s="541">
        <f>ROUND(SUM(G20:I20),2)</f>
        <v>3493.8</v>
      </c>
      <c r="K20" s="542" t="s">
        <v>565</v>
      </c>
    </row>
    <row r="21" spans="1:12" ht="25.95" customHeight="1" x14ac:dyDescent="0.3">
      <c r="A21"/>
      <c r="B21"/>
      <c r="C21"/>
      <c r="D21"/>
      <c r="E21"/>
      <c r="F21"/>
      <c r="G21"/>
      <c r="H21"/>
      <c r="I21"/>
      <c r="J21"/>
      <c r="K21"/>
      <c r="L21"/>
    </row>
    <row r="22" spans="1:12" ht="25.95" customHeight="1" x14ac:dyDescent="0.3">
      <c r="A22"/>
      <c r="B22"/>
      <c r="C22"/>
      <c r="D22"/>
      <c r="E22"/>
      <c r="F22"/>
      <c r="G22"/>
      <c r="H22"/>
      <c r="I22"/>
      <c r="J22"/>
      <c r="K22"/>
      <c r="L22"/>
    </row>
    <row r="23" spans="1:12" ht="25.95" customHeight="1" x14ac:dyDescent="0.3">
      <c r="A23" s="674" t="s">
        <v>566</v>
      </c>
      <c r="B23" s="675"/>
      <c r="C23" s="675"/>
      <c r="D23" s="675"/>
      <c r="E23" s="675"/>
      <c r="F23"/>
      <c r="G23"/>
      <c r="H23"/>
      <c r="I23"/>
      <c r="J23"/>
      <c r="K23"/>
      <c r="L23"/>
    </row>
    <row r="24" spans="1:12" ht="25.95" customHeight="1" x14ac:dyDescent="0.3">
      <c r="A24" s="217" t="s">
        <v>567</v>
      </c>
      <c r="B24" s="217" t="s">
        <v>568</v>
      </c>
      <c r="C24" s="217" t="s">
        <v>79</v>
      </c>
      <c r="D24" s="217" t="s">
        <v>569</v>
      </c>
      <c r="E24" s="217" t="s">
        <v>300</v>
      </c>
      <c r="F24"/>
      <c r="G24"/>
      <c r="H24"/>
      <c r="I24"/>
      <c r="J24"/>
      <c r="K24"/>
      <c r="L24"/>
    </row>
    <row r="25" spans="1:12" ht="25.95" customHeight="1" x14ac:dyDescent="0.3">
      <c r="A25" s="676" t="s">
        <v>563</v>
      </c>
      <c r="B25" s="542" t="s">
        <v>570</v>
      </c>
      <c r="C25" s="542">
        <v>31370.62</v>
      </c>
      <c r="D25" s="542" t="s">
        <v>571</v>
      </c>
      <c r="E25" s="542" t="s">
        <v>572</v>
      </c>
      <c r="F25"/>
      <c r="G25"/>
      <c r="H25"/>
      <c r="I25"/>
      <c r="J25"/>
      <c r="K25"/>
      <c r="L25"/>
    </row>
    <row r="26" spans="1:12" ht="25.95" customHeight="1" x14ac:dyDescent="0.3">
      <c r="A26" s="676"/>
      <c r="B26" s="542" t="s">
        <v>573</v>
      </c>
      <c r="C26" s="542">
        <v>16329.61</v>
      </c>
      <c r="D26" s="542" t="s">
        <v>571</v>
      </c>
      <c r="E26" s="542" t="s">
        <v>572</v>
      </c>
      <c r="F26"/>
      <c r="G26"/>
      <c r="H26"/>
      <c r="I26"/>
      <c r="J26"/>
      <c r="K26"/>
      <c r="L26"/>
    </row>
    <row r="27" spans="1:12" ht="25.95" customHeight="1" x14ac:dyDescent="0.3">
      <c r="A27" s="542" t="s">
        <v>574</v>
      </c>
      <c r="B27" s="542" t="s">
        <v>575</v>
      </c>
      <c r="C27" s="542" t="s">
        <v>576</v>
      </c>
      <c r="D27" s="542" t="s">
        <v>577</v>
      </c>
      <c r="E27" s="542" t="s">
        <v>578</v>
      </c>
      <c r="F27"/>
      <c r="G27"/>
      <c r="H27"/>
      <c r="I27"/>
      <c r="J27"/>
      <c r="K27"/>
      <c r="L27"/>
    </row>
    <row r="28" spans="1:12" ht="25.95" customHeight="1" x14ac:dyDescent="0.3">
      <c r="A28" s="542" t="s">
        <v>579</v>
      </c>
      <c r="B28" s="542" t="s">
        <v>580</v>
      </c>
      <c r="C28" s="542" t="s">
        <v>581</v>
      </c>
      <c r="D28" s="542" t="s">
        <v>577</v>
      </c>
      <c r="E28" s="542" t="s">
        <v>578</v>
      </c>
      <c r="F28"/>
      <c r="G28"/>
      <c r="H28"/>
      <c r="I28"/>
      <c r="J28"/>
      <c r="K28"/>
      <c r="L28"/>
    </row>
    <row r="29" spans="1:12" ht="25.95" customHeight="1" x14ac:dyDescent="0.3">
      <c r="A29" s="542" t="s">
        <v>582</v>
      </c>
      <c r="B29" s="542" t="s">
        <v>583</v>
      </c>
      <c r="C29" s="542">
        <v>1361</v>
      </c>
      <c r="D29" s="542" t="s">
        <v>584</v>
      </c>
      <c r="E29" s="542" t="s">
        <v>585</v>
      </c>
      <c r="F29"/>
      <c r="G29"/>
      <c r="H29"/>
      <c r="I29"/>
      <c r="J29"/>
      <c r="K29"/>
      <c r="L29"/>
    </row>
    <row r="30" spans="1:12" ht="25.95" customHeight="1" x14ac:dyDescent="0.3">
      <c r="A30" s="542" t="s">
        <v>586</v>
      </c>
      <c r="B30" s="542" t="s">
        <v>587</v>
      </c>
      <c r="C30" s="542">
        <v>29.9</v>
      </c>
      <c r="D30" s="542" t="s">
        <v>588</v>
      </c>
      <c r="E30" s="542" t="s">
        <v>589</v>
      </c>
      <c r="F30"/>
      <c r="G30"/>
      <c r="H30"/>
      <c r="I30"/>
      <c r="J30"/>
      <c r="K30"/>
      <c r="L30"/>
    </row>
    <row r="31" spans="1:12" ht="25.95" customHeight="1" x14ac:dyDescent="0.3">
      <c r="A31" s="542" t="s">
        <v>590</v>
      </c>
      <c r="B31" s="542" t="s">
        <v>591</v>
      </c>
      <c r="C31" s="542">
        <v>250</v>
      </c>
      <c r="D31" s="542" t="s">
        <v>592</v>
      </c>
      <c r="E31" s="542" t="s">
        <v>593</v>
      </c>
      <c r="F31"/>
      <c r="G31"/>
      <c r="H31"/>
      <c r="I31"/>
      <c r="J31"/>
      <c r="K31"/>
      <c r="L31"/>
    </row>
    <row r="32" spans="1:12" ht="25.95" customHeight="1" x14ac:dyDescent="0.3">
      <c r="A32" s="542" t="s">
        <v>594</v>
      </c>
      <c r="B32" s="542" t="s">
        <v>595</v>
      </c>
      <c r="C32" s="542">
        <v>2</v>
      </c>
      <c r="D32" s="542" t="s">
        <v>296</v>
      </c>
      <c r="E32" s="542" t="s">
        <v>596</v>
      </c>
      <c r="F32"/>
      <c r="G32"/>
      <c r="H32"/>
      <c r="I32"/>
      <c r="J32"/>
      <c r="K32"/>
      <c r="L32"/>
    </row>
    <row r="33" spans="1:12" ht="25.95" customHeight="1" x14ac:dyDescent="0.3">
      <c r="A33" s="542" t="s">
        <v>597</v>
      </c>
      <c r="B33" s="542" t="s">
        <v>598</v>
      </c>
      <c r="C33" s="542">
        <v>260</v>
      </c>
      <c r="D33" s="542" t="s">
        <v>599</v>
      </c>
      <c r="E33" s="542" t="s">
        <v>596</v>
      </c>
      <c r="F33"/>
      <c r="G33"/>
      <c r="H33"/>
      <c r="I33"/>
      <c r="J33"/>
      <c r="K33"/>
      <c r="L33"/>
    </row>
    <row r="34" spans="1:12" ht="25.95" customHeight="1" x14ac:dyDescent="0.3">
      <c r="A34" s="542" t="s">
        <v>600</v>
      </c>
      <c r="B34" s="542" t="s">
        <v>601</v>
      </c>
      <c r="C34" s="542">
        <v>3</v>
      </c>
      <c r="D34" s="542" t="s">
        <v>602</v>
      </c>
      <c r="E34" s="542" t="s">
        <v>603</v>
      </c>
      <c r="F34"/>
      <c r="G34"/>
      <c r="H34"/>
      <c r="I34"/>
      <c r="J34"/>
      <c r="K34"/>
      <c r="L34"/>
    </row>
    <row r="35" spans="1:12" ht="25.95" customHeight="1" x14ac:dyDescent="0.3">
      <c r="A35" s="542" t="s">
        <v>604</v>
      </c>
      <c r="B35" s="542" t="s">
        <v>605</v>
      </c>
      <c r="C35" s="542">
        <v>3.96</v>
      </c>
      <c r="D35" s="542" t="s">
        <v>606</v>
      </c>
      <c r="E35" s="542" t="s">
        <v>603</v>
      </c>
      <c r="F35"/>
      <c r="G35"/>
      <c r="H35"/>
      <c r="I35"/>
      <c r="J35"/>
      <c r="K35"/>
      <c r="L35"/>
    </row>
    <row r="36" spans="1:12" ht="25.95" customHeight="1" x14ac:dyDescent="0.3">
      <c r="A36" s="542" t="s">
        <v>607</v>
      </c>
      <c r="B36" s="542" t="s">
        <v>608</v>
      </c>
      <c r="C36" s="542">
        <v>1</v>
      </c>
      <c r="D36" s="542" t="s">
        <v>609</v>
      </c>
      <c r="E36" s="542" t="s">
        <v>596</v>
      </c>
      <c r="F36"/>
      <c r="G36"/>
      <c r="H36"/>
      <c r="I36"/>
      <c r="J36"/>
      <c r="K36"/>
      <c r="L36"/>
    </row>
    <row r="37" spans="1:12" ht="25.95" customHeight="1" x14ac:dyDescent="0.3">
      <c r="A37" s="542" t="s">
        <v>610</v>
      </c>
      <c r="B37" s="542" t="s">
        <v>611</v>
      </c>
      <c r="C37" s="542">
        <v>125</v>
      </c>
      <c r="D37" s="542" t="s">
        <v>612</v>
      </c>
      <c r="E37" s="542" t="s">
        <v>596</v>
      </c>
      <c r="F37"/>
      <c r="G37"/>
      <c r="H37"/>
      <c r="I37"/>
      <c r="J37"/>
      <c r="K37"/>
      <c r="L37"/>
    </row>
    <row r="38" spans="1:12" ht="25.95" customHeight="1" x14ac:dyDescent="0.3">
      <c r="A38" s="542" t="s">
        <v>613</v>
      </c>
      <c r="B38" s="542" t="s">
        <v>614</v>
      </c>
      <c r="C38" s="542">
        <v>0.67</v>
      </c>
      <c r="D38" s="542" t="s">
        <v>615</v>
      </c>
      <c r="E38" s="542" t="s">
        <v>616</v>
      </c>
      <c r="F38"/>
      <c r="G38"/>
      <c r="H38"/>
      <c r="I38"/>
      <c r="J38"/>
      <c r="K38"/>
      <c r="L38"/>
    </row>
    <row r="39" spans="1:12" ht="25.95" customHeight="1" x14ac:dyDescent="0.3">
      <c r="A39" s="542" t="s">
        <v>617</v>
      </c>
      <c r="B39" s="542" t="s">
        <v>618</v>
      </c>
      <c r="C39" s="542">
        <v>1</v>
      </c>
      <c r="D39" s="542" t="s">
        <v>619</v>
      </c>
      <c r="E39" s="542" t="s">
        <v>620</v>
      </c>
      <c r="F39"/>
      <c r="G39"/>
      <c r="H39"/>
      <c r="I39"/>
      <c r="J39"/>
      <c r="K39"/>
      <c r="L39"/>
    </row>
    <row r="40" spans="1:12" ht="25.95" customHeight="1" x14ac:dyDescent="0.3">
      <c r="A40" s="542" t="s">
        <v>621</v>
      </c>
      <c r="B40" s="542" t="s">
        <v>622</v>
      </c>
      <c r="C40" s="542">
        <v>1.25</v>
      </c>
      <c r="D40" s="542" t="s">
        <v>623</v>
      </c>
      <c r="E40" s="542" t="s">
        <v>620</v>
      </c>
      <c r="F40"/>
      <c r="G40"/>
      <c r="H40"/>
      <c r="I40"/>
      <c r="J40"/>
      <c r="K40"/>
      <c r="L40"/>
    </row>
    <row r="41" spans="1:12" ht="25.95" customHeight="1" x14ac:dyDescent="0.3">
      <c r="A41" s="542" t="s">
        <v>624</v>
      </c>
      <c r="B41" s="542" t="s">
        <v>625</v>
      </c>
      <c r="C41" s="542">
        <v>8</v>
      </c>
      <c r="D41" s="542" t="s">
        <v>626</v>
      </c>
      <c r="E41" s="542" t="s">
        <v>620</v>
      </c>
      <c r="F41"/>
      <c r="G41"/>
      <c r="H41"/>
      <c r="I41"/>
      <c r="J41"/>
      <c r="K41"/>
      <c r="L41"/>
    </row>
    <row r="42" spans="1:12" ht="25.95" customHeight="1" x14ac:dyDescent="0.3">
      <c r="A42" s="542" t="s">
        <v>627</v>
      </c>
      <c r="B42" s="542" t="s">
        <v>628</v>
      </c>
      <c r="C42" s="542">
        <v>7.96</v>
      </c>
      <c r="D42" s="542" t="s">
        <v>629</v>
      </c>
      <c r="E42" s="542" t="s">
        <v>630</v>
      </c>
      <c r="F42"/>
      <c r="G42"/>
      <c r="H42"/>
      <c r="I42"/>
      <c r="J42"/>
      <c r="K42"/>
      <c r="L42"/>
    </row>
    <row r="43" spans="1:12" ht="25.95" customHeight="1" x14ac:dyDescent="0.3">
      <c r="A43" s="542" t="s">
        <v>631</v>
      </c>
      <c r="B43" s="542" t="s">
        <v>632</v>
      </c>
      <c r="C43" s="542">
        <v>17.760000000000002</v>
      </c>
      <c r="D43" s="542" t="s">
        <v>633</v>
      </c>
      <c r="E43" s="542" t="s">
        <v>634</v>
      </c>
      <c r="F43"/>
      <c r="G43"/>
      <c r="H43"/>
      <c r="I43"/>
      <c r="J43"/>
      <c r="K43"/>
      <c r="L43"/>
    </row>
    <row r="44" spans="1:12" ht="25.95" customHeight="1" x14ac:dyDescent="0.3">
      <c r="A44" s="542" t="s">
        <v>635</v>
      </c>
      <c r="B44" s="542" t="s">
        <v>636</v>
      </c>
      <c r="C44" s="542">
        <v>23.38</v>
      </c>
      <c r="D44" s="542" t="s">
        <v>637</v>
      </c>
      <c r="E44" s="542" t="s">
        <v>638</v>
      </c>
      <c r="F44"/>
      <c r="G44"/>
      <c r="H44"/>
      <c r="I44"/>
      <c r="J44"/>
      <c r="K44"/>
      <c r="L44"/>
    </row>
    <row r="45" spans="1:12" ht="25.95" customHeight="1" x14ac:dyDescent="0.3">
      <c r="A45" s="542" t="s">
        <v>639</v>
      </c>
      <c r="B45" s="542" t="s">
        <v>640</v>
      </c>
      <c r="C45" s="542">
        <v>8599.67</v>
      </c>
      <c r="D45" s="542" t="s">
        <v>641</v>
      </c>
      <c r="E45" s="542" t="s">
        <v>642</v>
      </c>
      <c r="F45"/>
      <c r="G45"/>
      <c r="H45"/>
      <c r="I45"/>
      <c r="J45"/>
      <c r="K45"/>
      <c r="L45"/>
    </row>
    <row r="46" spans="1:12" ht="25.95" customHeight="1" x14ac:dyDescent="0.3">
      <c r="A46" s="542" t="s">
        <v>643</v>
      </c>
      <c r="B46" s="542" t="s">
        <v>643</v>
      </c>
      <c r="C46" s="542">
        <v>40</v>
      </c>
      <c r="D46" s="542" t="s">
        <v>644</v>
      </c>
      <c r="E46" s="542" t="s">
        <v>645</v>
      </c>
      <c r="F46"/>
      <c r="G46"/>
      <c r="H46"/>
      <c r="I46"/>
      <c r="J46"/>
      <c r="K46"/>
      <c r="L46"/>
    </row>
    <row r="47" spans="1:12" ht="25.95" customHeight="1" x14ac:dyDescent="0.3">
      <c r="A47" s="542" t="s">
        <v>646</v>
      </c>
      <c r="B47" s="542" t="s">
        <v>647</v>
      </c>
      <c r="C47" s="542">
        <f>Schedules!AD114</f>
        <v>4959</v>
      </c>
      <c r="D47" s="542" t="s">
        <v>648</v>
      </c>
      <c r="E47" s="542" t="s">
        <v>649</v>
      </c>
      <c r="F47"/>
      <c r="G47"/>
      <c r="H47"/>
      <c r="I47"/>
      <c r="J47"/>
      <c r="K47"/>
      <c r="L47"/>
    </row>
    <row r="48" spans="1:12" ht="25.95" customHeight="1" x14ac:dyDescent="0.25">
      <c r="A48" s="224"/>
      <c r="B48" s="224"/>
      <c r="C48" s="222"/>
      <c r="D48" s="221"/>
      <c r="E48" s="220"/>
      <c r="F48" s="222"/>
      <c r="G48" s="11"/>
      <c r="H48" s="223"/>
      <c r="I48" s="222"/>
    </row>
    <row r="49" spans="2:4" ht="15" customHeight="1" x14ac:dyDescent="0.25">
      <c r="B49" s="219"/>
      <c r="C49" s="218"/>
      <c r="D49" s="219"/>
    </row>
    <row r="50" spans="2:4" ht="15" customHeight="1" x14ac:dyDescent="0.25"/>
    <row r="51" spans="2:4" ht="12.6" customHeight="1" x14ac:dyDescent="0.25"/>
    <row r="52" spans="2:4" ht="13.95" customHeight="1" x14ac:dyDescent="0.25">
      <c r="B52" s="219"/>
      <c r="C52" s="219"/>
      <c r="D52" s="219"/>
    </row>
  </sheetData>
  <mergeCells count="6">
    <mergeCell ref="A1:E1"/>
    <mergeCell ref="E10:E13"/>
    <mergeCell ref="E5:E8"/>
    <mergeCell ref="A23:E23"/>
    <mergeCell ref="A25:A26"/>
    <mergeCell ref="A17:K17"/>
  </mergeCells>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BW134"/>
  <sheetViews>
    <sheetView zoomScale="85" zoomScaleNormal="85" workbookViewId="0">
      <selection sqref="A1:AC1"/>
    </sheetView>
  </sheetViews>
  <sheetFormatPr defaultColWidth="9.33203125" defaultRowHeight="11.4" x14ac:dyDescent="0.3"/>
  <cols>
    <col min="1" max="1" width="20.5546875" style="33" customWidth="1"/>
    <col min="2" max="2" width="23.33203125" style="33" customWidth="1"/>
    <col min="3" max="3" width="15.33203125" style="33" customWidth="1"/>
    <col min="4" max="4" width="20.5546875" style="33" customWidth="1"/>
    <col min="5" max="5" width="9.33203125" style="33"/>
    <col min="6" max="29" width="5.6640625" style="33" customWidth="1"/>
    <col min="30" max="16384" width="9.33203125" style="33"/>
  </cols>
  <sheetData>
    <row r="1" spans="1:39" ht="24" customHeight="1" x14ac:dyDescent="0.3">
      <c r="A1" s="621" t="str">
        <f>"Schedules - "&amp;Prototype!B4</f>
        <v>Schedules - Laboratory</v>
      </c>
      <c r="B1" s="621"/>
      <c r="C1" s="621"/>
      <c r="D1" s="621"/>
      <c r="E1" s="621"/>
      <c r="F1" s="621"/>
      <c r="G1" s="621"/>
      <c r="H1" s="621"/>
      <c r="I1" s="621"/>
      <c r="J1" s="621"/>
      <c r="K1" s="621"/>
      <c r="L1" s="621"/>
      <c r="M1" s="621"/>
      <c r="N1" s="621"/>
      <c r="O1" s="621"/>
      <c r="P1" s="621"/>
      <c r="Q1" s="621"/>
      <c r="R1" s="621"/>
      <c r="S1" s="621"/>
      <c r="T1" s="621"/>
      <c r="U1" s="621"/>
      <c r="V1" s="621"/>
      <c r="W1" s="621"/>
      <c r="X1" s="621"/>
      <c r="Y1" s="621"/>
      <c r="Z1" s="621"/>
      <c r="AA1" s="621"/>
      <c r="AB1" s="621"/>
      <c r="AC1" s="778"/>
      <c r="AD1" s="37"/>
      <c r="AE1" s="37"/>
      <c r="AF1" s="37"/>
      <c r="AG1" s="37"/>
      <c r="AH1" s="37"/>
      <c r="AI1" s="38"/>
      <c r="AJ1" s="38"/>
      <c r="AK1" s="38"/>
    </row>
    <row r="2" spans="1:39" ht="24" customHeight="1" x14ac:dyDescent="0.3">
      <c r="A2" s="664" t="s">
        <v>650</v>
      </c>
      <c r="B2" s="664" t="s">
        <v>651</v>
      </c>
      <c r="C2" s="664" t="s">
        <v>300</v>
      </c>
      <c r="D2" s="664" t="s">
        <v>650</v>
      </c>
      <c r="E2" s="664" t="s">
        <v>652</v>
      </c>
      <c r="F2" s="748" t="s">
        <v>653</v>
      </c>
      <c r="G2" s="748"/>
      <c r="H2" s="748"/>
      <c r="I2" s="748"/>
      <c r="J2" s="748"/>
      <c r="K2" s="748"/>
      <c r="L2" s="748"/>
      <c r="M2" s="748"/>
      <c r="N2" s="748"/>
      <c r="O2" s="748"/>
      <c r="P2" s="748"/>
      <c r="Q2" s="748"/>
      <c r="R2" s="748"/>
      <c r="S2" s="748"/>
      <c r="T2" s="748"/>
      <c r="U2" s="748"/>
      <c r="V2" s="748"/>
      <c r="W2" s="748"/>
      <c r="X2" s="748"/>
      <c r="Y2" s="748"/>
      <c r="Z2" s="748"/>
      <c r="AA2" s="748"/>
      <c r="AB2" s="748"/>
      <c r="AC2" s="748"/>
      <c r="AD2" s="37"/>
      <c r="AE2" s="37"/>
      <c r="AF2" s="37"/>
      <c r="AG2" s="37"/>
      <c r="AH2" s="37"/>
      <c r="AI2" s="38"/>
      <c r="AJ2" s="38"/>
      <c r="AK2" s="38"/>
    </row>
    <row r="3" spans="1:39" ht="25.2" customHeight="1" x14ac:dyDescent="0.3">
      <c r="A3" s="665"/>
      <c r="B3" s="665"/>
      <c r="C3" s="665"/>
      <c r="D3" s="665"/>
      <c r="E3" s="665"/>
      <c r="F3" s="482">
        <v>1</v>
      </c>
      <c r="G3" s="482">
        <v>2</v>
      </c>
      <c r="H3" s="482">
        <v>3</v>
      </c>
      <c r="I3" s="482">
        <v>4</v>
      </c>
      <c r="J3" s="482">
        <v>5</v>
      </c>
      <c r="K3" s="482">
        <v>6</v>
      </c>
      <c r="L3" s="482">
        <v>7</v>
      </c>
      <c r="M3" s="482">
        <v>8</v>
      </c>
      <c r="N3" s="482">
        <v>9</v>
      </c>
      <c r="O3" s="482">
        <v>10</v>
      </c>
      <c r="P3" s="482">
        <v>11</v>
      </c>
      <c r="Q3" s="482">
        <v>12</v>
      </c>
      <c r="R3" s="482">
        <v>13</v>
      </c>
      <c r="S3" s="482">
        <v>14</v>
      </c>
      <c r="T3" s="482">
        <v>15</v>
      </c>
      <c r="U3" s="482">
        <v>16</v>
      </c>
      <c r="V3" s="482">
        <v>17</v>
      </c>
      <c r="W3" s="482">
        <v>18</v>
      </c>
      <c r="X3" s="482">
        <v>19</v>
      </c>
      <c r="Y3" s="482">
        <v>20</v>
      </c>
      <c r="Z3" s="482">
        <v>21</v>
      </c>
      <c r="AA3" s="482">
        <v>22</v>
      </c>
      <c r="AB3" s="482">
        <v>23</v>
      </c>
      <c r="AC3" s="482">
        <v>24</v>
      </c>
      <c r="AD3" s="38"/>
      <c r="AE3" s="38"/>
      <c r="AF3" s="38"/>
      <c r="AG3" s="38"/>
      <c r="AH3" s="38"/>
      <c r="AI3" s="38"/>
      <c r="AJ3" s="38"/>
      <c r="AK3" s="38"/>
    </row>
    <row r="4" spans="1:39" ht="25.2" customHeight="1" x14ac:dyDescent="0.3">
      <c r="A4" s="761" t="s">
        <v>654</v>
      </c>
      <c r="B4" s="744" t="s">
        <v>136</v>
      </c>
      <c r="C4" s="750" t="s">
        <v>655</v>
      </c>
      <c r="D4" s="749" t="s">
        <v>656</v>
      </c>
      <c r="E4" s="170" t="s">
        <v>657</v>
      </c>
      <c r="F4" s="488">
        <v>0.05</v>
      </c>
      <c r="G4" s="488">
        <v>0.05</v>
      </c>
      <c r="H4" s="488">
        <v>0.05</v>
      </c>
      <c r="I4" s="488">
        <v>0.05</v>
      </c>
      <c r="J4" s="488">
        <v>0.05</v>
      </c>
      <c r="K4" s="488">
        <v>0.05</v>
      </c>
      <c r="L4" s="488">
        <v>0.05</v>
      </c>
      <c r="M4" s="488">
        <v>0.1</v>
      </c>
      <c r="N4" s="488">
        <v>0.2</v>
      </c>
      <c r="O4" s="488">
        <v>0.9</v>
      </c>
      <c r="P4" s="488">
        <v>0.9</v>
      </c>
      <c r="Q4" s="488">
        <v>0.45</v>
      </c>
      <c r="R4" s="488">
        <v>0.45</v>
      </c>
      <c r="S4" s="488">
        <v>0.9</v>
      </c>
      <c r="T4" s="488">
        <v>0.9</v>
      </c>
      <c r="U4" s="488">
        <v>0.9</v>
      </c>
      <c r="V4" s="488">
        <v>0.9</v>
      </c>
      <c r="W4" s="488">
        <v>0.9</v>
      </c>
      <c r="X4" s="488">
        <v>0.3</v>
      </c>
      <c r="Y4" s="488">
        <v>0.1</v>
      </c>
      <c r="Z4" s="488">
        <v>0.1</v>
      </c>
      <c r="AA4" s="488">
        <v>0.1</v>
      </c>
      <c r="AB4" s="488">
        <v>0.05</v>
      </c>
      <c r="AC4" s="171">
        <v>0.05</v>
      </c>
      <c r="AD4" s="38"/>
      <c r="AE4" s="38"/>
      <c r="AF4" s="38"/>
      <c r="AG4" s="38"/>
      <c r="AH4" s="38"/>
      <c r="AI4" s="38"/>
      <c r="AJ4" s="38"/>
      <c r="AK4" s="38"/>
    </row>
    <row r="5" spans="1:39" ht="33" customHeight="1" x14ac:dyDescent="0.3">
      <c r="A5" s="762"/>
      <c r="B5" s="739"/>
      <c r="C5" s="661"/>
      <c r="D5" s="742"/>
      <c r="E5" s="156" t="s">
        <v>658</v>
      </c>
      <c r="F5" s="484">
        <v>0.05</v>
      </c>
      <c r="G5" s="484">
        <v>0.05</v>
      </c>
      <c r="H5" s="484">
        <v>0.05</v>
      </c>
      <c r="I5" s="484">
        <v>0.05</v>
      </c>
      <c r="J5" s="484">
        <v>0.05</v>
      </c>
      <c r="K5" s="484">
        <v>0.05</v>
      </c>
      <c r="L5" s="484">
        <v>0.05</v>
      </c>
      <c r="M5" s="484">
        <v>0.1</v>
      </c>
      <c r="N5" s="484">
        <v>0.1</v>
      </c>
      <c r="O5" s="484">
        <v>0.3</v>
      </c>
      <c r="P5" s="484">
        <v>0.3</v>
      </c>
      <c r="Q5" s="484">
        <v>0.3</v>
      </c>
      <c r="R5" s="484">
        <v>0.3</v>
      </c>
      <c r="S5" s="484">
        <v>0.1</v>
      </c>
      <c r="T5" s="484">
        <v>0.1</v>
      </c>
      <c r="U5" s="484">
        <v>0.1</v>
      </c>
      <c r="V5" s="484">
        <v>0.1</v>
      </c>
      <c r="W5" s="484">
        <v>0.1</v>
      </c>
      <c r="X5" s="484">
        <v>0.05</v>
      </c>
      <c r="Y5" s="484">
        <v>0.05</v>
      </c>
      <c r="Z5" s="484">
        <v>0.05</v>
      </c>
      <c r="AA5" s="484">
        <v>0.05</v>
      </c>
      <c r="AB5" s="484">
        <v>0.05</v>
      </c>
      <c r="AC5" s="172">
        <v>0.05</v>
      </c>
      <c r="AD5" s="38"/>
      <c r="AE5" s="38"/>
      <c r="AF5" s="38"/>
      <c r="AG5" s="38"/>
      <c r="AH5" s="38"/>
      <c r="AI5" s="38"/>
      <c r="AJ5" s="38"/>
      <c r="AK5" s="38"/>
    </row>
    <row r="6" spans="1:39" ht="33" customHeight="1" thickBot="1" x14ac:dyDescent="0.35">
      <c r="A6" s="763"/>
      <c r="B6" s="740"/>
      <c r="C6" s="747"/>
      <c r="D6" s="743"/>
      <c r="E6" s="157" t="s">
        <v>659</v>
      </c>
      <c r="F6" s="485">
        <v>0.05</v>
      </c>
      <c r="G6" s="485">
        <v>0.05</v>
      </c>
      <c r="H6" s="485">
        <v>0.05</v>
      </c>
      <c r="I6" s="485">
        <v>0.05</v>
      </c>
      <c r="J6" s="485">
        <v>0.05</v>
      </c>
      <c r="K6" s="485">
        <v>0.05</v>
      </c>
      <c r="L6" s="485">
        <v>0.05</v>
      </c>
      <c r="M6" s="485">
        <v>0.1</v>
      </c>
      <c r="N6" s="485">
        <v>0.1</v>
      </c>
      <c r="O6" s="485">
        <v>0.3</v>
      </c>
      <c r="P6" s="485">
        <v>0.3</v>
      </c>
      <c r="Q6" s="485">
        <v>0.3</v>
      </c>
      <c r="R6" s="485">
        <v>0.3</v>
      </c>
      <c r="S6" s="485">
        <v>0.1</v>
      </c>
      <c r="T6" s="485">
        <v>0.1</v>
      </c>
      <c r="U6" s="485">
        <v>0.1</v>
      </c>
      <c r="V6" s="485">
        <v>0.1</v>
      </c>
      <c r="W6" s="485">
        <v>0.1</v>
      </c>
      <c r="X6" s="485">
        <v>0.05</v>
      </c>
      <c r="Y6" s="485">
        <v>0.05</v>
      </c>
      <c r="Z6" s="485">
        <v>0.05</v>
      </c>
      <c r="AA6" s="485">
        <v>0.05</v>
      </c>
      <c r="AB6" s="485">
        <v>0.05</v>
      </c>
      <c r="AC6" s="173">
        <v>0.05</v>
      </c>
      <c r="AD6" s="38"/>
      <c r="AE6" s="38"/>
      <c r="AF6" s="38"/>
      <c r="AG6" s="38"/>
      <c r="AH6" s="38"/>
      <c r="AI6" s="38"/>
      <c r="AJ6" s="38"/>
      <c r="AK6" s="38"/>
    </row>
    <row r="7" spans="1:39" ht="38.700000000000003" customHeight="1" x14ac:dyDescent="0.3">
      <c r="A7" s="761" t="s">
        <v>654</v>
      </c>
      <c r="B7" s="738" t="s">
        <v>136</v>
      </c>
      <c r="C7" s="746" t="s">
        <v>660</v>
      </c>
      <c r="D7" s="741" t="s">
        <v>656</v>
      </c>
      <c r="E7" s="158" t="s">
        <v>657</v>
      </c>
      <c r="F7" s="35">
        <v>0.2</v>
      </c>
      <c r="G7" s="35">
        <v>0.2</v>
      </c>
      <c r="H7" s="35">
        <v>0.2</v>
      </c>
      <c r="I7" s="35">
        <v>0.2</v>
      </c>
      <c r="J7" s="35">
        <v>0.2</v>
      </c>
      <c r="K7" s="35">
        <v>0.2</v>
      </c>
      <c r="L7" s="35">
        <v>0.3</v>
      </c>
      <c r="M7" s="35">
        <v>0.5</v>
      </c>
      <c r="N7" s="35">
        <v>0.9</v>
      </c>
      <c r="O7" s="35">
        <v>0.9</v>
      </c>
      <c r="P7" s="35">
        <v>0.9</v>
      </c>
      <c r="Q7" s="35">
        <v>0.9</v>
      </c>
      <c r="R7" s="35">
        <v>0.8</v>
      </c>
      <c r="S7" s="35">
        <v>0.9</v>
      </c>
      <c r="T7" s="35">
        <v>0.9</v>
      </c>
      <c r="U7" s="35">
        <v>0.9</v>
      </c>
      <c r="V7" s="35">
        <v>0.9</v>
      </c>
      <c r="W7" s="35">
        <v>0.9</v>
      </c>
      <c r="X7" s="35">
        <v>0.5</v>
      </c>
      <c r="Y7" s="35">
        <v>0.5</v>
      </c>
      <c r="Z7" s="35">
        <v>0.3</v>
      </c>
      <c r="AA7" s="35">
        <v>0.3</v>
      </c>
      <c r="AB7" s="35">
        <v>0.2</v>
      </c>
      <c r="AC7" s="174">
        <v>0.2</v>
      </c>
      <c r="AD7" s="38"/>
      <c r="AE7" s="38"/>
      <c r="AF7" s="38"/>
      <c r="AG7" s="38"/>
      <c r="AH7" s="38"/>
      <c r="AI7" s="38"/>
      <c r="AJ7" s="38"/>
      <c r="AK7" s="38"/>
      <c r="AM7" s="53"/>
    </row>
    <row r="8" spans="1:39" ht="38.700000000000003" customHeight="1" x14ac:dyDescent="0.3">
      <c r="A8" s="762"/>
      <c r="B8" s="739"/>
      <c r="C8" s="661"/>
      <c r="D8" s="742"/>
      <c r="E8" s="159" t="s">
        <v>658</v>
      </c>
      <c r="F8" s="34">
        <v>0.1</v>
      </c>
      <c r="G8" s="34">
        <v>0.1</v>
      </c>
      <c r="H8" s="34">
        <v>0.1</v>
      </c>
      <c r="I8" s="34">
        <v>0.1</v>
      </c>
      <c r="J8" s="34">
        <v>0.1</v>
      </c>
      <c r="K8" s="34">
        <v>0.1</v>
      </c>
      <c r="L8" s="34">
        <v>0.1</v>
      </c>
      <c r="M8" s="34">
        <v>0.1</v>
      </c>
      <c r="N8" s="34">
        <v>0.4</v>
      </c>
      <c r="O8" s="34">
        <v>0.4</v>
      </c>
      <c r="P8" s="34">
        <v>0.4</v>
      </c>
      <c r="Q8" s="34">
        <v>0.4</v>
      </c>
      <c r="R8" s="34">
        <v>0.2</v>
      </c>
      <c r="S8" s="34">
        <v>0.2</v>
      </c>
      <c r="T8" s="34">
        <v>0.2</v>
      </c>
      <c r="U8" s="34">
        <v>0.2</v>
      </c>
      <c r="V8" s="34">
        <v>0.2</v>
      </c>
      <c r="W8" s="34">
        <v>0.1</v>
      </c>
      <c r="X8" s="34">
        <v>0.1</v>
      </c>
      <c r="Y8" s="34">
        <v>0.1</v>
      </c>
      <c r="Z8" s="34">
        <v>0.1</v>
      </c>
      <c r="AA8" s="34">
        <v>0.1</v>
      </c>
      <c r="AB8" s="34">
        <v>0.1</v>
      </c>
      <c r="AC8" s="175">
        <v>0.1</v>
      </c>
      <c r="AD8" s="38"/>
      <c r="AE8" s="38"/>
      <c r="AF8" s="38"/>
      <c r="AG8" s="38"/>
      <c r="AH8" s="38"/>
      <c r="AI8" s="38"/>
      <c r="AJ8" s="38"/>
      <c r="AK8" s="38"/>
      <c r="AM8" s="53"/>
    </row>
    <row r="9" spans="1:39" ht="38.700000000000003" customHeight="1" thickBot="1" x14ac:dyDescent="0.35">
      <c r="A9" s="763"/>
      <c r="B9" s="740"/>
      <c r="C9" s="747"/>
      <c r="D9" s="743"/>
      <c r="E9" s="160" t="s">
        <v>659</v>
      </c>
      <c r="F9" s="36">
        <v>0.1</v>
      </c>
      <c r="G9" s="36">
        <v>0.1</v>
      </c>
      <c r="H9" s="36">
        <v>0.1</v>
      </c>
      <c r="I9" s="36">
        <v>0.1</v>
      </c>
      <c r="J9" s="36">
        <v>0.1</v>
      </c>
      <c r="K9" s="36">
        <v>0.1</v>
      </c>
      <c r="L9" s="36">
        <v>0.1</v>
      </c>
      <c r="M9" s="36">
        <v>0.1</v>
      </c>
      <c r="N9" s="36">
        <v>0.4</v>
      </c>
      <c r="O9" s="36">
        <v>0.4</v>
      </c>
      <c r="P9" s="36">
        <v>0.4</v>
      </c>
      <c r="Q9" s="36">
        <v>0.4</v>
      </c>
      <c r="R9" s="36">
        <v>0.2</v>
      </c>
      <c r="S9" s="36">
        <v>0.2</v>
      </c>
      <c r="T9" s="36">
        <v>0.2</v>
      </c>
      <c r="U9" s="36">
        <v>0.2</v>
      </c>
      <c r="V9" s="36">
        <v>0.2</v>
      </c>
      <c r="W9" s="36">
        <v>0.1</v>
      </c>
      <c r="X9" s="36">
        <v>0.1</v>
      </c>
      <c r="Y9" s="36">
        <v>0.1</v>
      </c>
      <c r="Z9" s="36">
        <v>0.1</v>
      </c>
      <c r="AA9" s="36">
        <v>0.1</v>
      </c>
      <c r="AB9" s="36">
        <v>0.1</v>
      </c>
      <c r="AC9" s="176">
        <v>0.1</v>
      </c>
      <c r="AD9" s="38"/>
      <c r="AE9" s="38"/>
      <c r="AF9" s="38"/>
      <c r="AG9" s="38"/>
      <c r="AH9" s="38"/>
      <c r="AI9" s="38"/>
      <c r="AJ9" s="38"/>
      <c r="AK9" s="38"/>
      <c r="AM9" s="53"/>
    </row>
    <row r="10" spans="1:39" ht="36" customHeight="1" x14ac:dyDescent="0.3">
      <c r="A10" s="761" t="s">
        <v>654</v>
      </c>
      <c r="B10" s="738" t="s">
        <v>136</v>
      </c>
      <c r="C10" s="746" t="s">
        <v>661</v>
      </c>
      <c r="D10" s="741" t="s">
        <v>656</v>
      </c>
      <c r="E10" s="161" t="s">
        <v>657</v>
      </c>
      <c r="F10" s="50">
        <v>0.2</v>
      </c>
      <c r="G10" s="50">
        <v>0.2</v>
      </c>
      <c r="H10" s="50">
        <v>0.2</v>
      </c>
      <c r="I10" s="50">
        <v>0.2</v>
      </c>
      <c r="J10" s="50">
        <v>0.2</v>
      </c>
      <c r="K10" s="50">
        <v>0.2</v>
      </c>
      <c r="L10" s="50">
        <v>0.3</v>
      </c>
      <c r="M10" s="50">
        <v>0.4</v>
      </c>
      <c r="N10" s="50">
        <v>0.5</v>
      </c>
      <c r="O10" s="50">
        <v>0.7</v>
      </c>
      <c r="P10" s="50">
        <v>0.8</v>
      </c>
      <c r="Q10" s="50">
        <v>0.5</v>
      </c>
      <c r="R10" s="50">
        <v>0.6</v>
      </c>
      <c r="S10" s="50">
        <v>0.7</v>
      </c>
      <c r="T10" s="50">
        <v>0.9</v>
      </c>
      <c r="U10" s="50">
        <v>0.8</v>
      </c>
      <c r="V10" s="50">
        <v>0.5</v>
      </c>
      <c r="W10" s="50">
        <v>0.4</v>
      </c>
      <c r="X10" s="50">
        <v>0.3</v>
      </c>
      <c r="Y10" s="50">
        <v>0.2</v>
      </c>
      <c r="Z10" s="50">
        <v>0.2</v>
      </c>
      <c r="AA10" s="50">
        <v>0.2</v>
      </c>
      <c r="AB10" s="50">
        <v>0.2</v>
      </c>
      <c r="AC10" s="177">
        <v>0.2</v>
      </c>
      <c r="AD10" s="39"/>
      <c r="AE10" s="38"/>
      <c r="AF10" s="38"/>
      <c r="AG10" s="38"/>
      <c r="AH10" s="38"/>
      <c r="AI10" s="38"/>
      <c r="AJ10" s="38"/>
      <c r="AK10" s="38"/>
      <c r="AM10" s="53"/>
    </row>
    <row r="11" spans="1:39" ht="36" customHeight="1" x14ac:dyDescent="0.3">
      <c r="A11" s="762"/>
      <c r="B11" s="739"/>
      <c r="C11" s="661"/>
      <c r="D11" s="742"/>
      <c r="E11" s="159" t="s">
        <v>658</v>
      </c>
      <c r="F11" s="49">
        <v>0</v>
      </c>
      <c r="G11" s="49">
        <v>0</v>
      </c>
      <c r="H11" s="49">
        <v>0</v>
      </c>
      <c r="I11" s="49">
        <v>0</v>
      </c>
      <c r="J11" s="49">
        <v>0</v>
      </c>
      <c r="K11" s="49">
        <v>0</v>
      </c>
      <c r="L11" s="49">
        <v>0</v>
      </c>
      <c r="M11" s="49">
        <v>0</v>
      </c>
      <c r="N11" s="49">
        <v>0</v>
      </c>
      <c r="O11" s="49">
        <v>0</v>
      </c>
      <c r="P11" s="49">
        <v>0</v>
      </c>
      <c r="Q11" s="49">
        <v>0</v>
      </c>
      <c r="R11" s="49">
        <v>0</v>
      </c>
      <c r="S11" s="49">
        <v>0</v>
      </c>
      <c r="T11" s="49">
        <v>0</v>
      </c>
      <c r="U11" s="49">
        <v>0</v>
      </c>
      <c r="V11" s="49">
        <v>0</v>
      </c>
      <c r="W11" s="49">
        <v>0</v>
      </c>
      <c r="X11" s="49">
        <v>0</v>
      </c>
      <c r="Y11" s="49">
        <v>0</v>
      </c>
      <c r="Z11" s="49">
        <v>0</v>
      </c>
      <c r="AA11" s="49">
        <v>0</v>
      </c>
      <c r="AB11" s="49">
        <v>0</v>
      </c>
      <c r="AC11" s="178">
        <v>0</v>
      </c>
      <c r="AD11" s="39"/>
      <c r="AE11" s="38"/>
      <c r="AF11" s="38"/>
      <c r="AG11" s="38"/>
      <c r="AH11" s="38"/>
      <c r="AI11" s="38"/>
      <c r="AJ11" s="38"/>
      <c r="AK11" s="38"/>
      <c r="AM11" s="53"/>
    </row>
    <row r="12" spans="1:39" ht="36" customHeight="1" thickBot="1" x14ac:dyDescent="0.35">
      <c r="A12" s="763"/>
      <c r="B12" s="740"/>
      <c r="C12" s="747"/>
      <c r="D12" s="743"/>
      <c r="E12" s="160" t="s">
        <v>659</v>
      </c>
      <c r="F12" s="51">
        <v>0</v>
      </c>
      <c r="G12" s="51">
        <v>0</v>
      </c>
      <c r="H12" s="51">
        <v>0</v>
      </c>
      <c r="I12" s="51">
        <v>0</v>
      </c>
      <c r="J12" s="51">
        <v>0</v>
      </c>
      <c r="K12" s="51">
        <v>0</v>
      </c>
      <c r="L12" s="51">
        <v>0</v>
      </c>
      <c r="M12" s="51">
        <v>0</v>
      </c>
      <c r="N12" s="51">
        <v>0</v>
      </c>
      <c r="O12" s="51">
        <v>0</v>
      </c>
      <c r="P12" s="51">
        <v>0</v>
      </c>
      <c r="Q12" s="51">
        <v>0</v>
      </c>
      <c r="R12" s="51">
        <v>0</v>
      </c>
      <c r="S12" s="51">
        <v>0</v>
      </c>
      <c r="T12" s="51">
        <v>0</v>
      </c>
      <c r="U12" s="51">
        <v>0</v>
      </c>
      <c r="V12" s="51">
        <v>0</v>
      </c>
      <c r="W12" s="51">
        <v>0</v>
      </c>
      <c r="X12" s="51">
        <v>0</v>
      </c>
      <c r="Y12" s="51">
        <v>0</v>
      </c>
      <c r="Z12" s="51">
        <v>0</v>
      </c>
      <c r="AA12" s="51">
        <v>0</v>
      </c>
      <c r="AB12" s="51">
        <v>0</v>
      </c>
      <c r="AC12" s="179">
        <v>0</v>
      </c>
      <c r="AD12" s="39"/>
      <c r="AE12" s="38"/>
      <c r="AF12" s="38"/>
      <c r="AG12" s="38"/>
      <c r="AH12" s="38"/>
      <c r="AI12" s="38"/>
      <c r="AJ12" s="38"/>
      <c r="AK12" s="38"/>
      <c r="AM12" s="53"/>
    </row>
    <row r="13" spans="1:39" ht="36" customHeight="1" x14ac:dyDescent="0.3">
      <c r="A13" s="761" t="s">
        <v>654</v>
      </c>
      <c r="B13" s="738" t="s">
        <v>136</v>
      </c>
      <c r="C13" s="746" t="s">
        <v>662</v>
      </c>
      <c r="D13" s="735" t="s">
        <v>663</v>
      </c>
      <c r="E13" s="155" t="s">
        <v>657</v>
      </c>
      <c r="F13" s="496">
        <v>0.05</v>
      </c>
      <c r="G13" s="496">
        <v>0.05</v>
      </c>
      <c r="H13" s="496">
        <v>0.05</v>
      </c>
      <c r="I13" s="496">
        <v>0.05</v>
      </c>
      <c r="J13" s="496">
        <v>0.05</v>
      </c>
      <c r="K13" s="496">
        <v>0.08</v>
      </c>
      <c r="L13" s="496">
        <v>7.0000000000000007E-2</v>
      </c>
      <c r="M13" s="496">
        <v>0.19</v>
      </c>
      <c r="N13" s="496">
        <v>0.35</v>
      </c>
      <c r="O13" s="496">
        <v>0.38</v>
      </c>
      <c r="P13" s="496">
        <v>0.39</v>
      </c>
      <c r="Q13" s="496">
        <v>0.47</v>
      </c>
      <c r="R13" s="496">
        <v>0.56999999999999995</v>
      </c>
      <c r="S13" s="496">
        <v>0.54</v>
      </c>
      <c r="T13" s="496">
        <v>0.34</v>
      </c>
      <c r="U13" s="496">
        <v>0.33</v>
      </c>
      <c r="V13" s="496">
        <v>0.44</v>
      </c>
      <c r="W13" s="496">
        <v>0.26</v>
      </c>
      <c r="X13" s="496">
        <v>0.21</v>
      </c>
      <c r="Y13" s="496">
        <v>0.15</v>
      </c>
      <c r="Z13" s="496">
        <v>0.17</v>
      </c>
      <c r="AA13" s="496">
        <v>0.08</v>
      </c>
      <c r="AB13" s="496">
        <v>0.05</v>
      </c>
      <c r="AC13" s="348">
        <v>0.05</v>
      </c>
      <c r="AD13" s="38"/>
      <c r="AE13" s="38"/>
      <c r="AF13" s="38"/>
      <c r="AG13" s="38"/>
      <c r="AH13" s="38"/>
      <c r="AI13" s="38"/>
      <c r="AJ13" s="38"/>
      <c r="AK13" s="38"/>
      <c r="AM13" s="53"/>
    </row>
    <row r="14" spans="1:39" ht="36" customHeight="1" x14ac:dyDescent="0.3">
      <c r="A14" s="762"/>
      <c r="B14" s="739"/>
      <c r="C14" s="661"/>
      <c r="D14" s="736"/>
      <c r="E14" s="156" t="s">
        <v>658</v>
      </c>
      <c r="F14" s="543">
        <v>0.04</v>
      </c>
      <c r="G14" s="543">
        <v>0.04</v>
      </c>
      <c r="H14" s="543">
        <v>0.04</v>
      </c>
      <c r="I14" s="543">
        <v>0.04</v>
      </c>
      <c r="J14" s="543">
        <v>0.04</v>
      </c>
      <c r="K14" s="543">
        <v>7.0000000000000007E-2</v>
      </c>
      <c r="L14" s="543">
        <v>0.04</v>
      </c>
      <c r="M14" s="543">
        <v>0.04</v>
      </c>
      <c r="N14" s="543">
        <v>0.04</v>
      </c>
      <c r="O14" s="543">
        <v>0.04</v>
      </c>
      <c r="P14" s="543">
        <v>0.04</v>
      </c>
      <c r="Q14" s="543">
        <v>0.06</v>
      </c>
      <c r="R14" s="543">
        <v>0.06</v>
      </c>
      <c r="S14" s="543">
        <v>0.09</v>
      </c>
      <c r="T14" s="543">
        <v>0.06</v>
      </c>
      <c r="U14" s="543">
        <v>0.04</v>
      </c>
      <c r="V14" s="543">
        <v>0.04</v>
      </c>
      <c r="W14" s="543">
        <v>0.04</v>
      </c>
      <c r="X14" s="543">
        <v>0.04</v>
      </c>
      <c r="Y14" s="543">
        <v>0.04</v>
      </c>
      <c r="Z14" s="543">
        <v>0.04</v>
      </c>
      <c r="AA14" s="543">
        <v>7.0000000000000007E-2</v>
      </c>
      <c r="AB14" s="543">
        <v>0.04</v>
      </c>
      <c r="AC14" s="544">
        <v>0.04</v>
      </c>
      <c r="AD14" s="38"/>
      <c r="AE14" s="38"/>
      <c r="AF14" s="38"/>
      <c r="AG14" s="38"/>
      <c r="AH14" s="38"/>
      <c r="AI14" s="38"/>
      <c r="AJ14" s="38"/>
      <c r="AK14" s="38"/>
      <c r="AM14" s="53"/>
    </row>
    <row r="15" spans="1:39" ht="36" customHeight="1" thickBot="1" x14ac:dyDescent="0.35">
      <c r="A15" s="763"/>
      <c r="B15" s="740"/>
      <c r="C15" s="747"/>
      <c r="D15" s="737"/>
      <c r="E15" s="157" t="s">
        <v>659</v>
      </c>
      <c r="F15" s="495">
        <v>0.04</v>
      </c>
      <c r="G15" s="495">
        <v>0.04</v>
      </c>
      <c r="H15" s="495">
        <v>0.04</v>
      </c>
      <c r="I15" s="495">
        <v>0.04</v>
      </c>
      <c r="J15" s="495">
        <v>0.04</v>
      </c>
      <c r="K15" s="495">
        <v>7.0000000000000007E-2</v>
      </c>
      <c r="L15" s="495">
        <v>0.04</v>
      </c>
      <c r="M15" s="495">
        <v>0.04</v>
      </c>
      <c r="N15" s="495">
        <v>0.04</v>
      </c>
      <c r="O15" s="495">
        <v>0.04</v>
      </c>
      <c r="P15" s="495">
        <v>0.04</v>
      </c>
      <c r="Q15" s="495">
        <v>0.06</v>
      </c>
      <c r="R15" s="495">
        <v>0.06</v>
      </c>
      <c r="S15" s="495">
        <v>0.09</v>
      </c>
      <c r="T15" s="495">
        <v>0.06</v>
      </c>
      <c r="U15" s="495">
        <v>0.04</v>
      </c>
      <c r="V15" s="495">
        <v>0.04</v>
      </c>
      <c r="W15" s="495">
        <v>0.04</v>
      </c>
      <c r="X15" s="495">
        <v>0.04</v>
      </c>
      <c r="Y15" s="495">
        <v>0.04</v>
      </c>
      <c r="Z15" s="495">
        <v>0.04</v>
      </c>
      <c r="AA15" s="495">
        <v>7.0000000000000007E-2</v>
      </c>
      <c r="AB15" s="495">
        <v>0.04</v>
      </c>
      <c r="AC15" s="349">
        <v>0.04</v>
      </c>
      <c r="AD15" s="38"/>
      <c r="AE15" s="38"/>
      <c r="AF15" s="38"/>
      <c r="AG15" s="38"/>
      <c r="AH15" s="38"/>
      <c r="AI15" s="38"/>
      <c r="AJ15" s="38"/>
      <c r="AK15" s="38"/>
      <c r="AM15" s="53"/>
    </row>
    <row r="16" spans="1:39" ht="36" customHeight="1" x14ac:dyDescent="0.3">
      <c r="A16" s="761" t="s">
        <v>654</v>
      </c>
      <c r="B16" s="738" t="s">
        <v>136</v>
      </c>
      <c r="C16" s="751" t="s">
        <v>664</v>
      </c>
      <c r="D16" s="741" t="s">
        <v>656</v>
      </c>
      <c r="E16" s="161" t="s">
        <v>657</v>
      </c>
      <c r="F16" s="50">
        <v>0</v>
      </c>
      <c r="G16" s="50">
        <v>0</v>
      </c>
      <c r="H16" s="50">
        <v>0</v>
      </c>
      <c r="I16" s="50">
        <v>0</v>
      </c>
      <c r="J16" s="50">
        <v>0</v>
      </c>
      <c r="K16" s="50">
        <v>0</v>
      </c>
      <c r="L16" s="50">
        <v>0</v>
      </c>
      <c r="M16" s="50">
        <v>0.1</v>
      </c>
      <c r="N16" s="50">
        <v>0.2</v>
      </c>
      <c r="O16" s="50">
        <v>0.9</v>
      </c>
      <c r="P16" s="50">
        <v>0.9</v>
      </c>
      <c r="Q16" s="50">
        <v>0.45</v>
      </c>
      <c r="R16" s="50">
        <v>0.45</v>
      </c>
      <c r="S16" s="50">
        <v>0.9</v>
      </c>
      <c r="T16" s="50">
        <v>0.9</v>
      </c>
      <c r="U16" s="50">
        <v>0.9</v>
      </c>
      <c r="V16" s="50">
        <v>0.9</v>
      </c>
      <c r="W16" s="50">
        <v>0.9</v>
      </c>
      <c r="X16" s="50">
        <v>0.1</v>
      </c>
      <c r="Y16" s="50">
        <v>0.1</v>
      </c>
      <c r="Z16" s="50">
        <v>0</v>
      </c>
      <c r="AA16" s="50">
        <v>0</v>
      </c>
      <c r="AB16" s="50">
        <v>0</v>
      </c>
      <c r="AC16" s="177">
        <v>0</v>
      </c>
      <c r="AD16" s="39"/>
      <c r="AE16" s="38"/>
      <c r="AF16" s="38"/>
      <c r="AG16" s="38"/>
      <c r="AH16" s="38"/>
      <c r="AI16" s="38"/>
      <c r="AJ16" s="38"/>
      <c r="AK16" s="38"/>
      <c r="AM16" s="53"/>
    </row>
    <row r="17" spans="1:39" ht="36" customHeight="1" x14ac:dyDescent="0.3">
      <c r="A17" s="762"/>
      <c r="B17" s="739"/>
      <c r="C17" s="752"/>
      <c r="D17" s="742"/>
      <c r="E17" s="159" t="s">
        <v>658</v>
      </c>
      <c r="F17" s="49">
        <v>0</v>
      </c>
      <c r="G17" s="49">
        <v>0</v>
      </c>
      <c r="H17" s="49">
        <v>0</v>
      </c>
      <c r="I17" s="49">
        <v>0</v>
      </c>
      <c r="J17" s="49">
        <v>0</v>
      </c>
      <c r="K17" s="49">
        <v>0</v>
      </c>
      <c r="L17" s="49">
        <v>0</v>
      </c>
      <c r="M17" s="49">
        <v>0.1</v>
      </c>
      <c r="N17" s="49">
        <v>0.1</v>
      </c>
      <c r="O17" s="49">
        <v>0.3</v>
      </c>
      <c r="P17" s="49">
        <v>0.3</v>
      </c>
      <c r="Q17" s="49">
        <v>0.3</v>
      </c>
      <c r="R17" s="49">
        <v>0.3</v>
      </c>
      <c r="S17" s="49">
        <v>0.1</v>
      </c>
      <c r="T17" s="49">
        <v>0.1</v>
      </c>
      <c r="U17" s="49">
        <v>0.1</v>
      </c>
      <c r="V17" s="49">
        <v>0.1</v>
      </c>
      <c r="W17" s="49">
        <v>0.1</v>
      </c>
      <c r="X17" s="49">
        <v>0</v>
      </c>
      <c r="Y17" s="49">
        <v>0</v>
      </c>
      <c r="Z17" s="49">
        <v>0</v>
      </c>
      <c r="AA17" s="49">
        <v>0</v>
      </c>
      <c r="AB17" s="49">
        <v>0</v>
      </c>
      <c r="AC17" s="178">
        <v>0</v>
      </c>
      <c r="AD17" s="39"/>
      <c r="AE17" s="38"/>
      <c r="AF17" s="38"/>
      <c r="AG17" s="38"/>
      <c r="AH17" s="38"/>
      <c r="AI17" s="38"/>
      <c r="AJ17" s="38"/>
      <c r="AK17" s="38"/>
      <c r="AM17" s="53"/>
    </row>
    <row r="18" spans="1:39" ht="36" customHeight="1" thickBot="1" x14ac:dyDescent="0.35">
      <c r="A18" s="763"/>
      <c r="B18" s="740"/>
      <c r="C18" s="753"/>
      <c r="D18" s="743"/>
      <c r="E18" s="160" t="s">
        <v>659</v>
      </c>
      <c r="F18" s="51">
        <v>0</v>
      </c>
      <c r="G18" s="51">
        <v>0</v>
      </c>
      <c r="H18" s="51">
        <v>0</v>
      </c>
      <c r="I18" s="51">
        <v>0</v>
      </c>
      <c r="J18" s="51">
        <v>0</v>
      </c>
      <c r="K18" s="51">
        <v>0</v>
      </c>
      <c r="L18" s="51">
        <v>0</v>
      </c>
      <c r="M18" s="51">
        <v>0.1</v>
      </c>
      <c r="N18" s="51">
        <v>0.1</v>
      </c>
      <c r="O18" s="51">
        <v>0.3</v>
      </c>
      <c r="P18" s="51">
        <v>0.3</v>
      </c>
      <c r="Q18" s="51">
        <v>0.3</v>
      </c>
      <c r="R18" s="51">
        <v>0.3</v>
      </c>
      <c r="S18" s="51">
        <v>0.1</v>
      </c>
      <c r="T18" s="51">
        <v>0.1</v>
      </c>
      <c r="U18" s="51">
        <v>0.1</v>
      </c>
      <c r="V18" s="51">
        <v>0.1</v>
      </c>
      <c r="W18" s="51">
        <v>0.1</v>
      </c>
      <c r="X18" s="51">
        <v>0</v>
      </c>
      <c r="Y18" s="51">
        <v>0</v>
      </c>
      <c r="Z18" s="51">
        <v>0</v>
      </c>
      <c r="AA18" s="51">
        <v>0</v>
      </c>
      <c r="AB18" s="51">
        <v>0</v>
      </c>
      <c r="AC18" s="179">
        <v>0</v>
      </c>
      <c r="AD18" s="39"/>
      <c r="AE18" s="38"/>
      <c r="AF18" s="38"/>
      <c r="AG18" s="38"/>
      <c r="AH18" s="38"/>
      <c r="AI18" s="38"/>
      <c r="AJ18" s="38"/>
      <c r="AK18" s="38"/>
      <c r="AM18" s="53"/>
    </row>
    <row r="19" spans="1:39" ht="36" customHeight="1" x14ac:dyDescent="0.3">
      <c r="A19" s="761" t="s">
        <v>654</v>
      </c>
      <c r="B19" s="738" t="s">
        <v>136</v>
      </c>
      <c r="C19" s="751" t="s">
        <v>665</v>
      </c>
      <c r="D19" s="741" t="s">
        <v>656</v>
      </c>
      <c r="E19" s="161" t="s">
        <v>657</v>
      </c>
      <c r="F19" s="50">
        <v>0.9</v>
      </c>
      <c r="G19" s="50">
        <v>0.9</v>
      </c>
      <c r="H19" s="50">
        <v>0.9</v>
      </c>
      <c r="I19" s="50">
        <v>0.9</v>
      </c>
      <c r="J19" s="50">
        <v>0.9</v>
      </c>
      <c r="K19" s="50">
        <v>0.9</v>
      </c>
      <c r="L19" s="50">
        <v>0.9</v>
      </c>
      <c r="M19" s="50">
        <v>0.9</v>
      </c>
      <c r="N19" s="50">
        <v>0.9</v>
      </c>
      <c r="O19" s="50">
        <v>0.9</v>
      </c>
      <c r="P19" s="50">
        <v>0.9</v>
      </c>
      <c r="Q19" s="50">
        <v>0.9</v>
      </c>
      <c r="R19" s="50">
        <v>0.9</v>
      </c>
      <c r="S19" s="50">
        <v>0.9</v>
      </c>
      <c r="T19" s="50">
        <v>0.9</v>
      </c>
      <c r="U19" s="50">
        <v>0.9</v>
      </c>
      <c r="V19" s="50">
        <v>0.9</v>
      </c>
      <c r="W19" s="50">
        <v>0.9</v>
      </c>
      <c r="X19" s="50">
        <v>0.9</v>
      </c>
      <c r="Y19" s="50">
        <v>0.9</v>
      </c>
      <c r="Z19" s="50">
        <v>0.9</v>
      </c>
      <c r="AA19" s="50">
        <v>0.9</v>
      </c>
      <c r="AB19" s="50">
        <v>0.9</v>
      </c>
      <c r="AC19" s="177">
        <v>0.9</v>
      </c>
      <c r="AD19" s="39"/>
      <c r="AE19" s="38"/>
      <c r="AF19" s="38"/>
      <c r="AG19" s="38"/>
      <c r="AH19" s="38"/>
      <c r="AI19" s="38"/>
      <c r="AJ19" s="38"/>
      <c r="AK19" s="38"/>
      <c r="AM19" s="53"/>
    </row>
    <row r="20" spans="1:39" ht="36" customHeight="1" x14ac:dyDescent="0.3">
      <c r="A20" s="762"/>
      <c r="B20" s="739"/>
      <c r="C20" s="752"/>
      <c r="D20" s="742"/>
      <c r="E20" s="159" t="s">
        <v>658</v>
      </c>
      <c r="F20" s="49">
        <v>0.9</v>
      </c>
      <c r="G20" s="49">
        <v>0.9</v>
      </c>
      <c r="H20" s="49">
        <v>0.9</v>
      </c>
      <c r="I20" s="49">
        <v>0.9</v>
      </c>
      <c r="J20" s="49">
        <v>0.9</v>
      </c>
      <c r="K20" s="49">
        <v>0.9</v>
      </c>
      <c r="L20" s="49">
        <v>0.9</v>
      </c>
      <c r="M20" s="49">
        <v>0.9</v>
      </c>
      <c r="N20" s="49">
        <v>0.9</v>
      </c>
      <c r="O20" s="49">
        <v>0.9</v>
      </c>
      <c r="P20" s="49">
        <v>0.9</v>
      </c>
      <c r="Q20" s="49">
        <v>0.9</v>
      </c>
      <c r="R20" s="49">
        <v>0.9</v>
      </c>
      <c r="S20" s="49">
        <v>0.9</v>
      </c>
      <c r="T20" s="49">
        <v>0.9</v>
      </c>
      <c r="U20" s="49">
        <v>0.9</v>
      </c>
      <c r="V20" s="49">
        <v>0.9</v>
      </c>
      <c r="W20" s="49">
        <v>0.9</v>
      </c>
      <c r="X20" s="49">
        <v>0.9</v>
      </c>
      <c r="Y20" s="49">
        <v>0.9</v>
      </c>
      <c r="Z20" s="49">
        <v>0.9</v>
      </c>
      <c r="AA20" s="49">
        <v>0.9</v>
      </c>
      <c r="AB20" s="49">
        <v>0.9</v>
      </c>
      <c r="AC20" s="178">
        <v>0.9</v>
      </c>
      <c r="AD20" s="39"/>
      <c r="AE20" s="38"/>
      <c r="AF20" s="38"/>
      <c r="AG20" s="38"/>
      <c r="AH20" s="38"/>
      <c r="AI20" s="38"/>
      <c r="AJ20" s="38"/>
      <c r="AK20" s="38"/>
      <c r="AM20" s="53"/>
    </row>
    <row r="21" spans="1:39" ht="36" customHeight="1" thickBot="1" x14ac:dyDescent="0.35">
      <c r="A21" s="763"/>
      <c r="B21" s="740"/>
      <c r="C21" s="754"/>
      <c r="D21" s="743"/>
      <c r="E21" s="162" t="s">
        <v>659</v>
      </c>
      <c r="F21" s="149">
        <v>0.9</v>
      </c>
      <c r="G21" s="149">
        <v>0.9</v>
      </c>
      <c r="H21" s="149">
        <v>0.9</v>
      </c>
      <c r="I21" s="149">
        <v>0.9</v>
      </c>
      <c r="J21" s="149">
        <v>0.9</v>
      </c>
      <c r="K21" s="149">
        <v>0.9</v>
      </c>
      <c r="L21" s="149">
        <v>0.9</v>
      </c>
      <c r="M21" s="149">
        <v>0.9</v>
      </c>
      <c r="N21" s="149">
        <v>0.9</v>
      </c>
      <c r="O21" s="149">
        <v>0.9</v>
      </c>
      <c r="P21" s="149">
        <v>0.9</v>
      </c>
      <c r="Q21" s="149">
        <v>0.9</v>
      </c>
      <c r="R21" s="149">
        <v>0.9</v>
      </c>
      <c r="S21" s="149">
        <v>0.9</v>
      </c>
      <c r="T21" s="149">
        <v>0.9</v>
      </c>
      <c r="U21" s="149">
        <v>0.9</v>
      </c>
      <c r="V21" s="149">
        <v>0.9</v>
      </c>
      <c r="W21" s="149">
        <v>0.9</v>
      </c>
      <c r="X21" s="149">
        <v>0.9</v>
      </c>
      <c r="Y21" s="149">
        <v>0.9</v>
      </c>
      <c r="Z21" s="149">
        <v>0.9</v>
      </c>
      <c r="AA21" s="149">
        <v>0.9</v>
      </c>
      <c r="AB21" s="149">
        <v>0.9</v>
      </c>
      <c r="AC21" s="181">
        <v>0.9</v>
      </c>
      <c r="AD21" s="39"/>
      <c r="AE21" s="38"/>
      <c r="AF21" s="38"/>
      <c r="AG21" s="38"/>
      <c r="AH21" s="38"/>
      <c r="AI21" s="38"/>
      <c r="AJ21" s="38"/>
      <c r="AK21" s="38"/>
      <c r="AM21" s="53"/>
    </row>
    <row r="22" spans="1:39" ht="36" customHeight="1" x14ac:dyDescent="0.3">
      <c r="A22" s="761" t="s">
        <v>654</v>
      </c>
      <c r="B22" s="738" t="s">
        <v>136</v>
      </c>
      <c r="C22" s="751" t="s">
        <v>287</v>
      </c>
      <c r="D22" s="741" t="s">
        <v>656</v>
      </c>
      <c r="E22" s="182" t="s">
        <v>657</v>
      </c>
      <c r="F22" s="183">
        <v>0.25</v>
      </c>
      <c r="G22" s="183">
        <v>0.25</v>
      </c>
      <c r="H22" s="183">
        <v>0.25</v>
      </c>
      <c r="I22" s="183">
        <v>0.25</v>
      </c>
      <c r="J22" s="183">
        <v>0.25</v>
      </c>
      <c r="K22" s="183">
        <v>0.25</v>
      </c>
      <c r="L22" s="183">
        <v>0.25</v>
      </c>
      <c r="M22" s="183">
        <v>0.25</v>
      </c>
      <c r="N22" s="183">
        <v>0.25</v>
      </c>
      <c r="O22" s="183">
        <v>0.25</v>
      </c>
      <c r="P22" s="183">
        <v>0.25</v>
      </c>
      <c r="Q22" s="183">
        <v>0.25</v>
      </c>
      <c r="R22" s="183">
        <v>0.25</v>
      </c>
      <c r="S22" s="183">
        <v>0.25</v>
      </c>
      <c r="T22" s="183">
        <v>0.25</v>
      </c>
      <c r="U22" s="183">
        <v>0.25</v>
      </c>
      <c r="V22" s="183">
        <v>0.25</v>
      </c>
      <c r="W22" s="183">
        <v>0.25</v>
      </c>
      <c r="X22" s="183">
        <v>0.25</v>
      </c>
      <c r="Y22" s="183">
        <v>0.25</v>
      </c>
      <c r="Z22" s="183">
        <v>0.25</v>
      </c>
      <c r="AA22" s="183">
        <v>0.25</v>
      </c>
      <c r="AB22" s="183">
        <v>0.25</v>
      </c>
      <c r="AC22" s="184">
        <v>0.25</v>
      </c>
      <c r="AD22" s="39"/>
      <c r="AE22" s="38"/>
      <c r="AF22" s="38"/>
      <c r="AG22" s="38"/>
      <c r="AH22" s="38"/>
      <c r="AI22" s="38"/>
      <c r="AJ22" s="38"/>
      <c r="AK22" s="38"/>
      <c r="AM22" s="53"/>
    </row>
    <row r="23" spans="1:39" ht="36" customHeight="1" x14ac:dyDescent="0.3">
      <c r="A23" s="762"/>
      <c r="B23" s="739"/>
      <c r="C23" s="752"/>
      <c r="D23" s="742"/>
      <c r="E23" s="185" t="s">
        <v>658</v>
      </c>
      <c r="F23" s="169">
        <v>0.25</v>
      </c>
      <c r="G23" s="169">
        <v>0.25</v>
      </c>
      <c r="H23" s="169">
        <v>0.25</v>
      </c>
      <c r="I23" s="169">
        <v>0.25</v>
      </c>
      <c r="J23" s="169">
        <v>0.25</v>
      </c>
      <c r="K23" s="169">
        <v>0.25</v>
      </c>
      <c r="L23" s="169">
        <v>0.25</v>
      </c>
      <c r="M23" s="169">
        <v>0.25</v>
      </c>
      <c r="N23" s="169">
        <v>0.25</v>
      </c>
      <c r="O23" s="169">
        <v>0.25</v>
      </c>
      <c r="P23" s="169">
        <v>0.25</v>
      </c>
      <c r="Q23" s="169">
        <v>0.25</v>
      </c>
      <c r="R23" s="169">
        <v>0.25</v>
      </c>
      <c r="S23" s="169">
        <v>0.25</v>
      </c>
      <c r="T23" s="169">
        <v>0.25</v>
      </c>
      <c r="U23" s="169">
        <v>0.25</v>
      </c>
      <c r="V23" s="169">
        <v>0.25</v>
      </c>
      <c r="W23" s="169">
        <v>0.25</v>
      </c>
      <c r="X23" s="169">
        <v>0.25</v>
      </c>
      <c r="Y23" s="169">
        <v>0.25</v>
      </c>
      <c r="Z23" s="169">
        <v>0.25</v>
      </c>
      <c r="AA23" s="169">
        <v>0.25</v>
      </c>
      <c r="AB23" s="169">
        <v>0.25</v>
      </c>
      <c r="AC23" s="180">
        <v>0.25</v>
      </c>
      <c r="AD23" s="39"/>
      <c r="AE23" s="38"/>
      <c r="AF23" s="38"/>
      <c r="AG23" s="38"/>
      <c r="AH23" s="38"/>
      <c r="AI23" s="38"/>
      <c r="AJ23" s="38"/>
      <c r="AK23" s="38"/>
      <c r="AM23" s="53"/>
    </row>
    <row r="24" spans="1:39" ht="36" customHeight="1" thickBot="1" x14ac:dyDescent="0.35">
      <c r="A24" s="763"/>
      <c r="B24" s="740"/>
      <c r="C24" s="754"/>
      <c r="D24" s="743"/>
      <c r="E24" s="186" t="s">
        <v>659</v>
      </c>
      <c r="F24" s="187">
        <v>0.25</v>
      </c>
      <c r="G24" s="187">
        <v>0.25</v>
      </c>
      <c r="H24" s="187">
        <v>0.25</v>
      </c>
      <c r="I24" s="187">
        <v>0.25</v>
      </c>
      <c r="J24" s="187">
        <v>0.25</v>
      </c>
      <c r="K24" s="187">
        <v>0.25</v>
      </c>
      <c r="L24" s="187">
        <v>0.25</v>
      </c>
      <c r="M24" s="187">
        <v>0.25</v>
      </c>
      <c r="N24" s="187">
        <v>0.25</v>
      </c>
      <c r="O24" s="187">
        <v>0.25</v>
      </c>
      <c r="P24" s="187">
        <v>0.25</v>
      </c>
      <c r="Q24" s="187">
        <v>0.25</v>
      </c>
      <c r="R24" s="187">
        <v>0.25</v>
      </c>
      <c r="S24" s="187">
        <v>0.25</v>
      </c>
      <c r="T24" s="187">
        <v>0.25</v>
      </c>
      <c r="U24" s="187">
        <v>0.25</v>
      </c>
      <c r="V24" s="187">
        <v>0.25</v>
      </c>
      <c r="W24" s="187">
        <v>0.25</v>
      </c>
      <c r="X24" s="187">
        <v>0.25</v>
      </c>
      <c r="Y24" s="187">
        <v>0.25</v>
      </c>
      <c r="Z24" s="187">
        <v>0.25</v>
      </c>
      <c r="AA24" s="187">
        <v>0.25</v>
      </c>
      <c r="AB24" s="187">
        <v>0.25</v>
      </c>
      <c r="AC24" s="188">
        <v>0.25</v>
      </c>
      <c r="AD24" s="39"/>
      <c r="AE24" s="38"/>
      <c r="AF24" s="38"/>
      <c r="AG24" s="38"/>
      <c r="AH24" s="38"/>
      <c r="AI24" s="38"/>
      <c r="AJ24" s="38"/>
      <c r="AK24" s="38"/>
      <c r="AM24" s="53"/>
    </row>
    <row r="25" spans="1:39" ht="36" customHeight="1" x14ac:dyDescent="0.3">
      <c r="A25" s="761" t="s">
        <v>654</v>
      </c>
      <c r="B25" s="738" t="s">
        <v>136</v>
      </c>
      <c r="C25" s="751" t="s">
        <v>666</v>
      </c>
      <c r="D25" s="741" t="s">
        <v>656</v>
      </c>
      <c r="E25" s="158" t="s">
        <v>657</v>
      </c>
      <c r="F25" s="189">
        <v>1</v>
      </c>
      <c r="G25" s="189">
        <v>1</v>
      </c>
      <c r="H25" s="189">
        <v>1</v>
      </c>
      <c r="I25" s="189">
        <v>1</v>
      </c>
      <c r="J25" s="189">
        <v>1</v>
      </c>
      <c r="K25" s="189">
        <v>1</v>
      </c>
      <c r="L25" s="189">
        <v>1</v>
      </c>
      <c r="M25" s="189">
        <v>1</v>
      </c>
      <c r="N25" s="189">
        <v>1</v>
      </c>
      <c r="O25" s="189">
        <v>1</v>
      </c>
      <c r="P25" s="189">
        <v>1</v>
      </c>
      <c r="Q25" s="189">
        <v>1</v>
      </c>
      <c r="R25" s="189">
        <v>1</v>
      </c>
      <c r="S25" s="189">
        <v>1</v>
      </c>
      <c r="T25" s="189">
        <v>1</v>
      </c>
      <c r="U25" s="189">
        <v>1</v>
      </c>
      <c r="V25" s="189">
        <v>1</v>
      </c>
      <c r="W25" s="189">
        <v>1</v>
      </c>
      <c r="X25" s="189">
        <v>1</v>
      </c>
      <c r="Y25" s="189">
        <v>1</v>
      </c>
      <c r="Z25" s="189">
        <v>1</v>
      </c>
      <c r="AA25" s="189">
        <v>1</v>
      </c>
      <c r="AB25" s="189">
        <v>1</v>
      </c>
      <c r="AC25" s="190">
        <v>1</v>
      </c>
      <c r="AD25" s="39"/>
      <c r="AE25" s="38"/>
      <c r="AF25" s="38"/>
      <c r="AG25" s="38"/>
      <c r="AH25" s="38"/>
      <c r="AI25" s="38"/>
      <c r="AJ25" s="38"/>
      <c r="AK25" s="38"/>
      <c r="AM25" s="53"/>
    </row>
    <row r="26" spans="1:39" ht="36" customHeight="1" x14ac:dyDescent="0.3">
      <c r="A26" s="762"/>
      <c r="B26" s="739"/>
      <c r="C26" s="752"/>
      <c r="D26" s="742"/>
      <c r="E26" s="159" t="s">
        <v>658</v>
      </c>
      <c r="F26" s="49">
        <v>1</v>
      </c>
      <c r="G26" s="49">
        <v>1</v>
      </c>
      <c r="H26" s="49">
        <v>1</v>
      </c>
      <c r="I26" s="49">
        <v>1</v>
      </c>
      <c r="J26" s="49">
        <v>1</v>
      </c>
      <c r="K26" s="49">
        <v>1</v>
      </c>
      <c r="L26" s="49">
        <v>1</v>
      </c>
      <c r="M26" s="49">
        <v>1</v>
      </c>
      <c r="N26" s="49">
        <v>1</v>
      </c>
      <c r="O26" s="49">
        <v>1</v>
      </c>
      <c r="P26" s="49">
        <v>1</v>
      </c>
      <c r="Q26" s="49">
        <v>1</v>
      </c>
      <c r="R26" s="49">
        <v>1</v>
      </c>
      <c r="S26" s="49">
        <v>1</v>
      </c>
      <c r="T26" s="49">
        <v>1</v>
      </c>
      <c r="U26" s="49">
        <v>1</v>
      </c>
      <c r="V26" s="49">
        <v>1</v>
      </c>
      <c r="W26" s="49">
        <v>1</v>
      </c>
      <c r="X26" s="49">
        <v>1</v>
      </c>
      <c r="Y26" s="49">
        <v>1</v>
      </c>
      <c r="Z26" s="49">
        <v>1</v>
      </c>
      <c r="AA26" s="49">
        <v>1</v>
      </c>
      <c r="AB26" s="49">
        <v>1</v>
      </c>
      <c r="AC26" s="178">
        <v>1</v>
      </c>
      <c r="AD26" s="39"/>
      <c r="AE26" s="38"/>
      <c r="AF26" s="38"/>
      <c r="AG26" s="38"/>
      <c r="AH26" s="38"/>
      <c r="AI26" s="38"/>
      <c r="AJ26" s="38"/>
      <c r="AK26" s="38"/>
      <c r="AM26" s="53"/>
    </row>
    <row r="27" spans="1:39" ht="36" customHeight="1" thickBot="1" x14ac:dyDescent="0.35">
      <c r="A27" s="763"/>
      <c r="B27" s="740"/>
      <c r="C27" s="754"/>
      <c r="D27" s="743"/>
      <c r="E27" s="160" t="s">
        <v>659</v>
      </c>
      <c r="F27" s="51">
        <v>1</v>
      </c>
      <c r="G27" s="51">
        <v>1</v>
      </c>
      <c r="H27" s="51">
        <v>1</v>
      </c>
      <c r="I27" s="51">
        <v>1</v>
      </c>
      <c r="J27" s="51">
        <v>1</v>
      </c>
      <c r="K27" s="51">
        <v>1</v>
      </c>
      <c r="L27" s="51">
        <v>1</v>
      </c>
      <c r="M27" s="51">
        <v>1</v>
      </c>
      <c r="N27" s="51">
        <v>1</v>
      </c>
      <c r="O27" s="51">
        <v>1</v>
      </c>
      <c r="P27" s="51">
        <v>1</v>
      </c>
      <c r="Q27" s="51">
        <v>1</v>
      </c>
      <c r="R27" s="51">
        <v>1</v>
      </c>
      <c r="S27" s="51">
        <v>1</v>
      </c>
      <c r="T27" s="51">
        <v>1</v>
      </c>
      <c r="U27" s="51">
        <v>1</v>
      </c>
      <c r="V27" s="51">
        <v>1</v>
      </c>
      <c r="W27" s="51">
        <v>1</v>
      </c>
      <c r="X27" s="51">
        <v>1</v>
      </c>
      <c r="Y27" s="51">
        <v>1</v>
      </c>
      <c r="Z27" s="51">
        <v>1</v>
      </c>
      <c r="AA27" s="51">
        <v>1</v>
      </c>
      <c r="AB27" s="51">
        <v>1</v>
      </c>
      <c r="AC27" s="179">
        <v>1</v>
      </c>
      <c r="AD27" s="39"/>
      <c r="AE27" s="38"/>
      <c r="AF27" s="38"/>
      <c r="AG27" s="38"/>
      <c r="AH27" s="38"/>
      <c r="AI27" s="38"/>
      <c r="AJ27" s="38"/>
      <c r="AK27" s="38"/>
      <c r="AM27" s="53"/>
    </row>
    <row r="28" spans="1:39" ht="36" customHeight="1" x14ac:dyDescent="0.3">
      <c r="A28" s="761" t="s">
        <v>654</v>
      </c>
      <c r="B28" s="738" t="s">
        <v>136</v>
      </c>
      <c r="C28" s="774" t="s">
        <v>667</v>
      </c>
      <c r="D28" s="741" t="s">
        <v>656</v>
      </c>
      <c r="E28" s="161" t="s">
        <v>657</v>
      </c>
      <c r="F28" s="50">
        <v>0.9</v>
      </c>
      <c r="G28" s="50">
        <v>0.9</v>
      </c>
      <c r="H28" s="50">
        <v>0.9</v>
      </c>
      <c r="I28" s="50">
        <v>0.9</v>
      </c>
      <c r="J28" s="50">
        <v>0.9</v>
      </c>
      <c r="K28" s="50">
        <v>0.9</v>
      </c>
      <c r="L28" s="50">
        <v>0.9</v>
      </c>
      <c r="M28" s="50">
        <v>0.9</v>
      </c>
      <c r="N28" s="50">
        <v>0.9</v>
      </c>
      <c r="O28" s="50">
        <v>0.9</v>
      </c>
      <c r="P28" s="50">
        <v>0.9</v>
      </c>
      <c r="Q28" s="50">
        <v>0.9</v>
      </c>
      <c r="R28" s="50">
        <v>0.9</v>
      </c>
      <c r="S28" s="50">
        <v>0.9</v>
      </c>
      <c r="T28" s="50">
        <v>0.9</v>
      </c>
      <c r="U28" s="50">
        <v>0.9</v>
      </c>
      <c r="V28" s="50">
        <v>0.9</v>
      </c>
      <c r="W28" s="50">
        <v>0.9</v>
      </c>
      <c r="X28" s="50">
        <v>0.9</v>
      </c>
      <c r="Y28" s="50">
        <v>0.9</v>
      </c>
      <c r="Z28" s="50">
        <v>0.9</v>
      </c>
      <c r="AA28" s="50">
        <v>0.9</v>
      </c>
      <c r="AB28" s="50">
        <v>0.9</v>
      </c>
      <c r="AC28" s="177">
        <v>0.9</v>
      </c>
      <c r="AD28" s="39"/>
      <c r="AE28" s="38"/>
      <c r="AF28" s="38"/>
      <c r="AG28" s="38"/>
      <c r="AH28" s="38"/>
      <c r="AI28" s="38"/>
      <c r="AJ28" s="38"/>
      <c r="AK28" s="38"/>
      <c r="AM28" s="53"/>
    </row>
    <row r="29" spans="1:39" ht="36" customHeight="1" x14ac:dyDescent="0.3">
      <c r="A29" s="762"/>
      <c r="B29" s="739"/>
      <c r="C29" s="775"/>
      <c r="D29" s="742"/>
      <c r="E29" s="159" t="s">
        <v>658</v>
      </c>
      <c r="F29" s="49">
        <v>0.9</v>
      </c>
      <c r="G29" s="49">
        <v>0.9</v>
      </c>
      <c r="H29" s="49">
        <v>0.9</v>
      </c>
      <c r="I29" s="49">
        <v>0.9</v>
      </c>
      <c r="J29" s="49">
        <v>0.9</v>
      </c>
      <c r="K29" s="49">
        <v>0.9</v>
      </c>
      <c r="L29" s="49">
        <v>0.9</v>
      </c>
      <c r="M29" s="49">
        <v>0.9</v>
      </c>
      <c r="N29" s="49">
        <v>0.9</v>
      </c>
      <c r="O29" s="49">
        <v>0.9</v>
      </c>
      <c r="P29" s="49">
        <v>0.9</v>
      </c>
      <c r="Q29" s="49">
        <v>0.9</v>
      </c>
      <c r="R29" s="49">
        <v>0.9</v>
      </c>
      <c r="S29" s="49">
        <v>0.9</v>
      </c>
      <c r="T29" s="49">
        <v>0.9</v>
      </c>
      <c r="U29" s="49">
        <v>0.9</v>
      </c>
      <c r="V29" s="49">
        <v>0.9</v>
      </c>
      <c r="W29" s="49">
        <v>0.9</v>
      </c>
      <c r="X29" s="49">
        <v>0.9</v>
      </c>
      <c r="Y29" s="49">
        <v>0.9</v>
      </c>
      <c r="Z29" s="49">
        <v>0.9</v>
      </c>
      <c r="AA29" s="49">
        <v>0.9</v>
      </c>
      <c r="AB29" s="49">
        <v>0.9</v>
      </c>
      <c r="AC29" s="178">
        <v>0.9</v>
      </c>
      <c r="AD29" s="39"/>
      <c r="AE29" s="38"/>
      <c r="AF29" s="38"/>
      <c r="AG29" s="38"/>
      <c r="AH29" s="38"/>
      <c r="AI29" s="38"/>
      <c r="AJ29" s="38"/>
      <c r="AK29" s="38"/>
      <c r="AM29" s="53"/>
    </row>
    <row r="30" spans="1:39" ht="36" customHeight="1" thickBot="1" x14ac:dyDescent="0.35">
      <c r="A30" s="763"/>
      <c r="B30" s="740"/>
      <c r="C30" s="776"/>
      <c r="D30" s="743"/>
      <c r="E30" s="160" t="s">
        <v>659</v>
      </c>
      <c r="F30" s="51">
        <v>0.9</v>
      </c>
      <c r="G30" s="51">
        <v>0.9</v>
      </c>
      <c r="H30" s="51">
        <v>0.9</v>
      </c>
      <c r="I30" s="51">
        <v>0.9</v>
      </c>
      <c r="J30" s="51">
        <v>0.9</v>
      </c>
      <c r="K30" s="51">
        <v>0.9</v>
      </c>
      <c r="L30" s="51">
        <v>0.9</v>
      </c>
      <c r="M30" s="51">
        <v>0.9</v>
      </c>
      <c r="N30" s="51">
        <v>0.9</v>
      </c>
      <c r="O30" s="51">
        <v>0.9</v>
      </c>
      <c r="P30" s="51">
        <v>0.9</v>
      </c>
      <c r="Q30" s="51">
        <v>0.9</v>
      </c>
      <c r="R30" s="51">
        <v>0.9</v>
      </c>
      <c r="S30" s="51">
        <v>0.9</v>
      </c>
      <c r="T30" s="51">
        <v>0.9</v>
      </c>
      <c r="U30" s="51">
        <v>0.9</v>
      </c>
      <c r="V30" s="51">
        <v>0.9</v>
      </c>
      <c r="W30" s="51">
        <v>0.9</v>
      </c>
      <c r="X30" s="51">
        <v>0.9</v>
      </c>
      <c r="Y30" s="51">
        <v>0.9</v>
      </c>
      <c r="Z30" s="51">
        <v>0.9</v>
      </c>
      <c r="AA30" s="51">
        <v>0.9</v>
      </c>
      <c r="AB30" s="51">
        <v>0.9</v>
      </c>
      <c r="AC30" s="179">
        <v>0.9</v>
      </c>
      <c r="AD30" s="39"/>
      <c r="AE30" s="38"/>
      <c r="AF30" s="38"/>
      <c r="AG30" s="38"/>
      <c r="AH30" s="38"/>
      <c r="AI30" s="38"/>
      <c r="AJ30" s="38"/>
      <c r="AK30" s="38"/>
      <c r="AM30" s="53"/>
    </row>
    <row r="31" spans="1:39" ht="36" customHeight="1" x14ac:dyDescent="0.3">
      <c r="A31" s="761" t="s">
        <v>654</v>
      </c>
      <c r="B31" s="738" t="s">
        <v>136</v>
      </c>
      <c r="C31" s="755" t="s">
        <v>668</v>
      </c>
      <c r="D31" s="741" t="s">
        <v>656</v>
      </c>
      <c r="E31" s="161" t="s">
        <v>657</v>
      </c>
      <c r="F31" s="50">
        <v>0.5</v>
      </c>
      <c r="G31" s="50">
        <v>0.5</v>
      </c>
      <c r="H31" s="50">
        <v>0.5</v>
      </c>
      <c r="I31" s="50">
        <v>0.5</v>
      </c>
      <c r="J31" s="50">
        <v>0.5</v>
      </c>
      <c r="K31" s="50">
        <v>0.5</v>
      </c>
      <c r="L31" s="50">
        <v>0.5</v>
      </c>
      <c r="M31" s="50">
        <v>0.5</v>
      </c>
      <c r="N31" s="50">
        <v>0.51</v>
      </c>
      <c r="O31" s="50">
        <v>0.56000000000000005</v>
      </c>
      <c r="P31" s="50">
        <v>0.56000000000000005</v>
      </c>
      <c r="Q31" s="50">
        <v>0.53</v>
      </c>
      <c r="R31" s="50">
        <v>0.53</v>
      </c>
      <c r="S31" s="50">
        <v>0.56000000000000005</v>
      </c>
      <c r="T31" s="50">
        <v>0.56000000000000005</v>
      </c>
      <c r="U31" s="50">
        <v>0.56000000000000005</v>
      </c>
      <c r="V31" s="50">
        <v>0.56000000000000005</v>
      </c>
      <c r="W31" s="50">
        <v>0.56000000000000005</v>
      </c>
      <c r="X31" s="50">
        <v>0.52</v>
      </c>
      <c r="Y31" s="50">
        <v>0.5</v>
      </c>
      <c r="Z31" s="50">
        <v>0.5</v>
      </c>
      <c r="AA31" s="50">
        <v>0.5</v>
      </c>
      <c r="AB31" s="50">
        <v>0.5</v>
      </c>
      <c r="AC31" s="177">
        <v>0.5</v>
      </c>
      <c r="AD31" s="39"/>
      <c r="AE31" s="38"/>
      <c r="AF31" s="38"/>
      <c r="AG31" s="38"/>
      <c r="AH31" s="38"/>
      <c r="AI31" s="38"/>
      <c r="AJ31" s="38"/>
      <c r="AK31" s="38"/>
      <c r="AM31" s="53"/>
    </row>
    <row r="32" spans="1:39" ht="36" customHeight="1" x14ac:dyDescent="0.3">
      <c r="A32" s="762"/>
      <c r="B32" s="739"/>
      <c r="C32" s="756"/>
      <c r="D32" s="742"/>
      <c r="E32" s="159" t="s">
        <v>658</v>
      </c>
      <c r="F32" s="49">
        <v>0.5</v>
      </c>
      <c r="G32" s="49">
        <v>0.5</v>
      </c>
      <c r="H32" s="49">
        <v>0.5</v>
      </c>
      <c r="I32" s="49">
        <v>0.5</v>
      </c>
      <c r="J32" s="49">
        <v>0.5</v>
      </c>
      <c r="K32" s="49">
        <v>0.5</v>
      </c>
      <c r="L32" s="49">
        <v>0.5</v>
      </c>
      <c r="M32" s="49">
        <v>0.5</v>
      </c>
      <c r="N32" s="49">
        <v>0.5</v>
      </c>
      <c r="O32" s="49">
        <v>0.52</v>
      </c>
      <c r="P32" s="49">
        <v>0.52</v>
      </c>
      <c r="Q32" s="49">
        <v>0.52</v>
      </c>
      <c r="R32" s="49">
        <v>0.52</v>
      </c>
      <c r="S32" s="49">
        <v>0.5</v>
      </c>
      <c r="T32" s="49">
        <v>0.5</v>
      </c>
      <c r="U32" s="49">
        <v>0.5</v>
      </c>
      <c r="V32" s="49">
        <v>0.5</v>
      </c>
      <c r="W32" s="49">
        <v>0.5</v>
      </c>
      <c r="X32" s="49">
        <v>0.5</v>
      </c>
      <c r="Y32" s="49">
        <v>0.5</v>
      </c>
      <c r="Z32" s="49">
        <v>0.5</v>
      </c>
      <c r="AA32" s="49">
        <v>0.5</v>
      </c>
      <c r="AB32" s="49">
        <v>0.5</v>
      </c>
      <c r="AC32" s="178">
        <v>0.5</v>
      </c>
      <c r="AD32" s="39"/>
      <c r="AE32" s="38"/>
      <c r="AF32" s="38"/>
      <c r="AG32" s="38"/>
      <c r="AH32" s="38"/>
      <c r="AI32" s="38"/>
      <c r="AJ32" s="38"/>
      <c r="AK32" s="38"/>
      <c r="AM32" s="53"/>
    </row>
    <row r="33" spans="1:75" ht="36" customHeight="1" thickBot="1" x14ac:dyDescent="0.35">
      <c r="A33" s="763"/>
      <c r="B33" s="740"/>
      <c r="C33" s="757"/>
      <c r="D33" s="743"/>
      <c r="E33" s="160" t="s">
        <v>659</v>
      </c>
      <c r="F33" s="51">
        <v>0.5</v>
      </c>
      <c r="G33" s="51">
        <v>0.5</v>
      </c>
      <c r="H33" s="51">
        <v>0.5</v>
      </c>
      <c r="I33" s="51">
        <v>0.5</v>
      </c>
      <c r="J33" s="51">
        <v>0.5</v>
      </c>
      <c r="K33" s="51">
        <v>0.5</v>
      </c>
      <c r="L33" s="51">
        <v>0.5</v>
      </c>
      <c r="M33" s="51">
        <v>0.5</v>
      </c>
      <c r="N33" s="51">
        <v>0.5</v>
      </c>
      <c r="O33" s="51">
        <v>0.52</v>
      </c>
      <c r="P33" s="51">
        <v>0.52</v>
      </c>
      <c r="Q33" s="51">
        <v>0.52</v>
      </c>
      <c r="R33" s="51">
        <v>0.52</v>
      </c>
      <c r="S33" s="51">
        <v>0.5</v>
      </c>
      <c r="T33" s="51">
        <v>0.5</v>
      </c>
      <c r="U33" s="51">
        <v>0.5</v>
      </c>
      <c r="V33" s="51">
        <v>0.5</v>
      </c>
      <c r="W33" s="51">
        <v>0.5</v>
      </c>
      <c r="X33" s="51">
        <v>0.5</v>
      </c>
      <c r="Y33" s="51">
        <v>0.5</v>
      </c>
      <c r="Z33" s="51">
        <v>0.5</v>
      </c>
      <c r="AA33" s="51">
        <v>0.5</v>
      </c>
      <c r="AB33" s="51">
        <v>0.5</v>
      </c>
      <c r="AC33" s="179">
        <v>0.5</v>
      </c>
      <c r="AD33" s="39"/>
      <c r="AE33" s="38"/>
      <c r="AF33" s="38"/>
      <c r="AG33" s="38"/>
      <c r="AH33" s="38"/>
      <c r="AI33" s="38"/>
      <c r="AJ33" s="38"/>
      <c r="AK33" s="38"/>
      <c r="AM33" s="53"/>
    </row>
    <row r="34" spans="1:75" ht="36" customHeight="1" x14ac:dyDescent="0.3">
      <c r="A34" s="761" t="s">
        <v>654</v>
      </c>
      <c r="B34" s="738" t="s">
        <v>136</v>
      </c>
      <c r="C34" s="755" t="s">
        <v>669</v>
      </c>
      <c r="D34" s="741" t="s">
        <v>656</v>
      </c>
      <c r="E34" s="161" t="s">
        <v>657</v>
      </c>
      <c r="F34" s="50">
        <v>0.2</v>
      </c>
      <c r="G34" s="50">
        <v>0.2</v>
      </c>
      <c r="H34" s="50">
        <v>0.2</v>
      </c>
      <c r="I34" s="50">
        <v>0.2</v>
      </c>
      <c r="J34" s="50">
        <v>0.2</v>
      </c>
      <c r="K34" s="50">
        <v>0.2</v>
      </c>
      <c r="L34" s="50">
        <v>0.2</v>
      </c>
      <c r="M34" s="50">
        <v>0.21</v>
      </c>
      <c r="N34" s="50">
        <v>0.22</v>
      </c>
      <c r="O34" s="50">
        <v>0.33</v>
      </c>
      <c r="P34" s="50">
        <v>0.33</v>
      </c>
      <c r="Q34" s="50">
        <v>0.26</v>
      </c>
      <c r="R34" s="50">
        <v>0.26</v>
      </c>
      <c r="S34" s="50">
        <v>0.33</v>
      </c>
      <c r="T34" s="50">
        <v>0.33</v>
      </c>
      <c r="U34" s="50">
        <v>0.33</v>
      </c>
      <c r="V34" s="50">
        <v>0.33</v>
      </c>
      <c r="W34" s="50">
        <v>0.33</v>
      </c>
      <c r="X34" s="50">
        <v>0.24</v>
      </c>
      <c r="Y34" s="50">
        <v>0.21</v>
      </c>
      <c r="Z34" s="50">
        <v>0.21</v>
      </c>
      <c r="AA34" s="50">
        <v>0.21</v>
      </c>
      <c r="AB34" s="50">
        <v>0.2</v>
      </c>
      <c r="AC34" s="177">
        <v>0.2</v>
      </c>
      <c r="AD34" s="39"/>
      <c r="AE34" s="38"/>
      <c r="AF34" s="38"/>
      <c r="AG34" s="38"/>
      <c r="AH34" s="38"/>
      <c r="AI34" s="38"/>
      <c r="AJ34" s="38"/>
      <c r="AK34" s="38"/>
      <c r="AM34" s="53"/>
    </row>
    <row r="35" spans="1:75" ht="36" customHeight="1" x14ac:dyDescent="0.3">
      <c r="A35" s="762"/>
      <c r="B35" s="739"/>
      <c r="C35" s="756"/>
      <c r="D35" s="742"/>
      <c r="E35" s="159" t="s">
        <v>658</v>
      </c>
      <c r="F35" s="49">
        <v>0.2</v>
      </c>
      <c r="G35" s="49">
        <v>0.2</v>
      </c>
      <c r="H35" s="49">
        <v>0.2</v>
      </c>
      <c r="I35" s="49">
        <v>0.2</v>
      </c>
      <c r="J35" s="49">
        <v>0.2</v>
      </c>
      <c r="K35" s="49">
        <v>0.2</v>
      </c>
      <c r="L35" s="49">
        <v>0.2</v>
      </c>
      <c r="M35" s="49">
        <v>0.21</v>
      </c>
      <c r="N35" s="49">
        <v>0.21</v>
      </c>
      <c r="O35" s="49">
        <v>0.24</v>
      </c>
      <c r="P35" s="49">
        <v>0.24</v>
      </c>
      <c r="Q35" s="49">
        <v>0.24</v>
      </c>
      <c r="R35" s="49">
        <v>0.24</v>
      </c>
      <c r="S35" s="49">
        <v>0.21</v>
      </c>
      <c r="T35" s="49">
        <v>0.21</v>
      </c>
      <c r="U35" s="49">
        <v>0.21</v>
      </c>
      <c r="V35" s="49">
        <v>0.21</v>
      </c>
      <c r="W35" s="49">
        <v>0.21</v>
      </c>
      <c r="X35" s="49">
        <v>0.2</v>
      </c>
      <c r="Y35" s="49">
        <v>0.2</v>
      </c>
      <c r="Z35" s="49">
        <v>0.2</v>
      </c>
      <c r="AA35" s="49">
        <v>0.2</v>
      </c>
      <c r="AB35" s="49">
        <v>0.2</v>
      </c>
      <c r="AC35" s="178">
        <v>0.2</v>
      </c>
      <c r="AD35" s="39"/>
      <c r="AE35" s="38"/>
      <c r="AF35" s="38"/>
      <c r="AG35" s="38"/>
      <c r="AH35" s="38"/>
      <c r="AI35" s="38"/>
      <c r="AJ35" s="38"/>
      <c r="AK35" s="38"/>
      <c r="AM35" s="53"/>
    </row>
    <row r="36" spans="1:75" ht="36" customHeight="1" thickBot="1" x14ac:dyDescent="0.35">
      <c r="A36" s="763"/>
      <c r="B36" s="740"/>
      <c r="C36" s="757"/>
      <c r="D36" s="743"/>
      <c r="E36" s="162" t="s">
        <v>659</v>
      </c>
      <c r="F36" s="149">
        <v>0.2</v>
      </c>
      <c r="G36" s="149">
        <v>0.2</v>
      </c>
      <c r="H36" s="149">
        <v>0.2</v>
      </c>
      <c r="I36" s="149">
        <v>0.2</v>
      </c>
      <c r="J36" s="149">
        <v>0.2</v>
      </c>
      <c r="K36" s="149">
        <v>0.2</v>
      </c>
      <c r="L36" s="149">
        <v>0.2</v>
      </c>
      <c r="M36" s="149">
        <v>0.21</v>
      </c>
      <c r="N36" s="149">
        <v>0.21</v>
      </c>
      <c r="O36" s="149">
        <v>0.24</v>
      </c>
      <c r="P36" s="149">
        <v>0.24</v>
      </c>
      <c r="Q36" s="149">
        <v>0.24</v>
      </c>
      <c r="R36" s="149">
        <v>0.24</v>
      </c>
      <c r="S36" s="149">
        <v>0.21</v>
      </c>
      <c r="T36" s="149">
        <v>0.21</v>
      </c>
      <c r="U36" s="149">
        <v>0.21</v>
      </c>
      <c r="V36" s="149">
        <v>0.21</v>
      </c>
      <c r="W36" s="149">
        <v>0.21</v>
      </c>
      <c r="X36" s="149">
        <v>0.2</v>
      </c>
      <c r="Y36" s="149">
        <v>0.2</v>
      </c>
      <c r="Z36" s="149">
        <v>0.2</v>
      </c>
      <c r="AA36" s="149">
        <v>0.2</v>
      </c>
      <c r="AB36" s="149">
        <v>0.2</v>
      </c>
      <c r="AC36" s="181">
        <v>0.2</v>
      </c>
      <c r="AD36" s="39"/>
      <c r="AE36" s="38"/>
      <c r="AF36" s="38"/>
      <c r="AG36" s="38"/>
      <c r="AH36" s="38"/>
      <c r="AI36" s="38"/>
      <c r="AJ36" s="38"/>
      <c r="AK36" s="38"/>
      <c r="AM36" s="53"/>
    </row>
    <row r="37" spans="1:75" ht="36" customHeight="1" x14ac:dyDescent="0.3">
      <c r="A37" s="761" t="s">
        <v>654</v>
      </c>
      <c r="B37" s="738" t="s">
        <v>136</v>
      </c>
      <c r="C37" s="755" t="s">
        <v>670</v>
      </c>
      <c r="D37" s="783" t="s">
        <v>671</v>
      </c>
      <c r="E37" s="317" t="s">
        <v>657</v>
      </c>
      <c r="F37" s="102">
        <v>68</v>
      </c>
      <c r="G37" s="102">
        <v>68</v>
      </c>
      <c r="H37" s="102">
        <v>68</v>
      </c>
      <c r="I37" s="102">
        <v>68</v>
      </c>
      <c r="J37" s="102">
        <v>68</v>
      </c>
      <c r="K37" s="102">
        <v>68</v>
      </c>
      <c r="L37" s="102">
        <v>68</v>
      </c>
      <c r="M37" s="102">
        <f>IF(M25=1,Thermostat!$C$3,Thermostat!$C$4)</f>
        <v>70</v>
      </c>
      <c r="N37" s="102">
        <f>IF(N25=1,Thermostat!$C$3,Thermostat!$C$4)</f>
        <v>70</v>
      </c>
      <c r="O37" s="102">
        <f>IF(O25=1,Thermostat!$C$3,Thermostat!$C$4)</f>
        <v>70</v>
      </c>
      <c r="P37" s="102">
        <f>IF(P25=1,Thermostat!$C$3,Thermostat!$C$4)</f>
        <v>70</v>
      </c>
      <c r="Q37" s="102">
        <f>IF(Q25=1,Thermostat!$C$3,Thermostat!$C$4)</f>
        <v>70</v>
      </c>
      <c r="R37" s="102">
        <f>IF(R25=1,Thermostat!$C$3,Thermostat!$C$4)</f>
        <v>70</v>
      </c>
      <c r="S37" s="102">
        <f>IF(S25=1,Thermostat!$C$3,Thermostat!$C$4)</f>
        <v>70</v>
      </c>
      <c r="T37" s="102">
        <f>IF(T25=1,Thermostat!$C$3,Thermostat!$C$4)</f>
        <v>70</v>
      </c>
      <c r="U37" s="102">
        <f>IF(U25=1,Thermostat!$C$3,Thermostat!$C$4)</f>
        <v>70</v>
      </c>
      <c r="V37" s="102">
        <f>IF(V25=1,Thermostat!$C$3,Thermostat!$C$4)</f>
        <v>70</v>
      </c>
      <c r="W37" s="102">
        <f>IF(W25=1,Thermostat!$C$3,Thermostat!$C$4)</f>
        <v>70</v>
      </c>
      <c r="X37" s="102">
        <v>68</v>
      </c>
      <c r="Y37" s="102">
        <v>68</v>
      </c>
      <c r="Z37" s="102">
        <v>68</v>
      </c>
      <c r="AA37" s="102">
        <v>68</v>
      </c>
      <c r="AB37" s="102">
        <v>68</v>
      </c>
      <c r="AC37" s="318">
        <v>68</v>
      </c>
      <c r="AD37" s="39"/>
      <c r="AE37" s="38"/>
      <c r="AF37" s="38"/>
      <c r="AG37" s="38"/>
      <c r="AH37" s="38"/>
      <c r="AI37" s="38"/>
      <c r="AJ37" s="38"/>
      <c r="AK37" s="38"/>
      <c r="AM37" s="53"/>
    </row>
    <row r="38" spans="1:75" ht="36" customHeight="1" x14ac:dyDescent="0.3">
      <c r="A38" s="762"/>
      <c r="B38" s="739"/>
      <c r="C38" s="756"/>
      <c r="D38" s="772"/>
      <c r="E38" s="319" t="s">
        <v>658</v>
      </c>
      <c r="F38" s="494">
        <v>68</v>
      </c>
      <c r="G38" s="494">
        <v>68</v>
      </c>
      <c r="H38" s="494">
        <v>68</v>
      </c>
      <c r="I38" s="494">
        <v>68</v>
      </c>
      <c r="J38" s="494">
        <v>68</v>
      </c>
      <c r="K38" s="494">
        <v>68</v>
      </c>
      <c r="L38" s="494">
        <v>68</v>
      </c>
      <c r="M38" s="494">
        <f>IF(M26=1,Thermostat!$C$3,Thermostat!$C$4)</f>
        <v>70</v>
      </c>
      <c r="N38" s="494">
        <f>IF(N26=1,Thermostat!$C$3,Thermostat!$C$4)</f>
        <v>70</v>
      </c>
      <c r="O38" s="494">
        <f>IF(O26=1,Thermostat!$C$3,Thermostat!$C$4)</f>
        <v>70</v>
      </c>
      <c r="P38" s="494">
        <f>IF(P26=1,Thermostat!$C$3,Thermostat!$C$4)</f>
        <v>70</v>
      </c>
      <c r="Q38" s="494">
        <f>IF(Q26=1,Thermostat!$C$3,Thermostat!$C$4)</f>
        <v>70</v>
      </c>
      <c r="R38" s="494">
        <f>IF(R26=1,Thermostat!$C$3,Thermostat!$C$4)</f>
        <v>70</v>
      </c>
      <c r="S38" s="494">
        <f>IF(S26=1,Thermostat!$C$3,Thermostat!$C$4)</f>
        <v>70</v>
      </c>
      <c r="T38" s="494">
        <f>IF(T26=1,Thermostat!$C$3,Thermostat!$C$4)</f>
        <v>70</v>
      </c>
      <c r="U38" s="494">
        <f>IF(U26=1,Thermostat!$C$3,Thermostat!$C$4)</f>
        <v>70</v>
      </c>
      <c r="V38" s="494">
        <f>IF(V26=1,Thermostat!$C$3,Thermostat!$C$4)</f>
        <v>70</v>
      </c>
      <c r="W38" s="494">
        <f>IF(W26=1,Thermostat!$C$3,Thermostat!$C$4)</f>
        <v>70</v>
      </c>
      <c r="X38" s="494">
        <v>68</v>
      </c>
      <c r="Y38" s="494">
        <v>68</v>
      </c>
      <c r="Z38" s="494">
        <v>68</v>
      </c>
      <c r="AA38" s="494">
        <v>68</v>
      </c>
      <c r="AB38" s="494">
        <v>68</v>
      </c>
      <c r="AC38" s="299">
        <v>68</v>
      </c>
      <c r="AD38" s="39"/>
      <c r="AE38" s="38"/>
      <c r="AF38" s="38"/>
      <c r="AG38" s="38"/>
      <c r="AH38" s="38"/>
      <c r="AI38" s="38"/>
      <c r="AJ38" s="38"/>
      <c r="AK38" s="38"/>
      <c r="AM38" s="53"/>
    </row>
    <row r="39" spans="1:75" ht="36" customHeight="1" thickBot="1" x14ac:dyDescent="0.35">
      <c r="A39" s="763"/>
      <c r="B39" s="740"/>
      <c r="C39" s="757"/>
      <c r="D39" s="773"/>
      <c r="E39" s="320" t="s">
        <v>659</v>
      </c>
      <c r="F39" s="104">
        <v>68</v>
      </c>
      <c r="G39" s="104">
        <v>68</v>
      </c>
      <c r="H39" s="104">
        <v>68</v>
      </c>
      <c r="I39" s="104">
        <v>68</v>
      </c>
      <c r="J39" s="104">
        <v>68</v>
      </c>
      <c r="K39" s="104">
        <v>68</v>
      </c>
      <c r="L39" s="104">
        <v>68</v>
      </c>
      <c r="M39" s="104">
        <f>IF(M27=1,Thermostat!$C$3,Thermostat!$C$4)</f>
        <v>70</v>
      </c>
      <c r="N39" s="104">
        <f>IF(N27=1,Thermostat!$C$3,Thermostat!$C$4)</f>
        <v>70</v>
      </c>
      <c r="O39" s="104">
        <f>IF(O27=1,Thermostat!$C$3,Thermostat!$C$4)</f>
        <v>70</v>
      </c>
      <c r="P39" s="104">
        <f>IF(P27=1,Thermostat!$C$3,Thermostat!$C$4)</f>
        <v>70</v>
      </c>
      <c r="Q39" s="104">
        <f>IF(Q27=1,Thermostat!$C$3,Thermostat!$C$4)</f>
        <v>70</v>
      </c>
      <c r="R39" s="104">
        <f>IF(R27=1,Thermostat!$C$3,Thermostat!$C$4)</f>
        <v>70</v>
      </c>
      <c r="S39" s="104">
        <f>IF(S27=1,Thermostat!$C$3,Thermostat!$C$4)</f>
        <v>70</v>
      </c>
      <c r="T39" s="104">
        <f>IF(T27=1,Thermostat!$C$3,Thermostat!$C$4)</f>
        <v>70</v>
      </c>
      <c r="U39" s="104">
        <f>IF(U27=1,Thermostat!$C$3,Thermostat!$C$4)</f>
        <v>70</v>
      </c>
      <c r="V39" s="104">
        <f>IF(V27=1,Thermostat!$C$3,Thermostat!$C$4)</f>
        <v>70</v>
      </c>
      <c r="W39" s="104">
        <f>IF(W27=1,Thermostat!$C$3,Thermostat!$C$4)</f>
        <v>70</v>
      </c>
      <c r="X39" s="104">
        <v>68</v>
      </c>
      <c r="Y39" s="104">
        <v>68</v>
      </c>
      <c r="Z39" s="104">
        <v>68</v>
      </c>
      <c r="AA39" s="104">
        <v>68</v>
      </c>
      <c r="AB39" s="104">
        <v>68</v>
      </c>
      <c r="AC39" s="308">
        <v>68</v>
      </c>
      <c r="AD39" s="39"/>
      <c r="AE39" s="38"/>
      <c r="AF39" s="38"/>
      <c r="AG39" s="38"/>
      <c r="AH39" s="38"/>
      <c r="AI39" s="38"/>
      <c r="AJ39" s="38"/>
      <c r="AK39" s="38"/>
      <c r="AM39" s="53"/>
    </row>
    <row r="40" spans="1:75" ht="36" customHeight="1" x14ac:dyDescent="0.3">
      <c r="A40" s="761" t="s">
        <v>654</v>
      </c>
      <c r="B40" s="738" t="s">
        <v>136</v>
      </c>
      <c r="C40" s="756" t="s">
        <v>672</v>
      </c>
      <c r="D40" s="736" t="s">
        <v>671</v>
      </c>
      <c r="E40" s="163" t="s">
        <v>657</v>
      </c>
      <c r="F40" s="492">
        <v>78</v>
      </c>
      <c r="G40" s="492">
        <v>78</v>
      </c>
      <c r="H40" s="492">
        <v>78</v>
      </c>
      <c r="I40" s="492">
        <v>78</v>
      </c>
      <c r="J40" s="492">
        <v>78</v>
      </c>
      <c r="K40" s="492">
        <v>78</v>
      </c>
      <c r="L40" s="492">
        <v>78</v>
      </c>
      <c r="M40" s="492">
        <f>IF(M25=1,Thermostat!$C$5,Thermostat!$C$6)</f>
        <v>75</v>
      </c>
      <c r="N40" s="492">
        <f>IF(N25=1,Thermostat!$C$5,Thermostat!$C$6)</f>
        <v>75</v>
      </c>
      <c r="O40" s="492">
        <f>IF(O25=1,Thermostat!$C$5,Thermostat!$C$6)</f>
        <v>75</v>
      </c>
      <c r="P40" s="492">
        <f>IF(P25=1,Thermostat!$C$5,Thermostat!$C$6)</f>
        <v>75</v>
      </c>
      <c r="Q40" s="492">
        <f>IF(Q25=1,Thermostat!$C$5,Thermostat!$C$6)</f>
        <v>75</v>
      </c>
      <c r="R40" s="492">
        <f>IF(R25=1,Thermostat!$C$5,Thermostat!$C$6)</f>
        <v>75</v>
      </c>
      <c r="S40" s="492">
        <f>IF(S25=1,Thermostat!$C$5,Thermostat!$C$6)</f>
        <v>75</v>
      </c>
      <c r="T40" s="492">
        <f>IF(T25=1,Thermostat!$C$5,Thermostat!$C$6)</f>
        <v>75</v>
      </c>
      <c r="U40" s="492">
        <f>IF(U25=1,Thermostat!$C$5,Thermostat!$C$6)</f>
        <v>75</v>
      </c>
      <c r="V40" s="492">
        <f>IF(V25=1,Thermostat!$C$5,Thermostat!$C$6)</f>
        <v>75</v>
      </c>
      <c r="W40" s="492">
        <f>IF(W25=1,Thermostat!$C$5,Thermostat!$C$6)</f>
        <v>75</v>
      </c>
      <c r="X40" s="492">
        <v>78</v>
      </c>
      <c r="Y40" s="492">
        <v>78</v>
      </c>
      <c r="Z40" s="492">
        <v>78</v>
      </c>
      <c r="AA40" s="492">
        <v>78</v>
      </c>
      <c r="AB40" s="492">
        <v>78</v>
      </c>
      <c r="AC40" s="492">
        <v>78</v>
      </c>
      <c r="AD40" s="39"/>
      <c r="AE40" s="38"/>
      <c r="AF40" s="38"/>
      <c r="AG40" s="38"/>
      <c r="AH40" s="38"/>
      <c r="AI40" s="38"/>
      <c r="AJ40" s="38"/>
      <c r="AK40" s="38"/>
      <c r="AM40" s="53"/>
    </row>
    <row r="41" spans="1:75" ht="36" customHeight="1" x14ac:dyDescent="0.3">
      <c r="A41" s="762"/>
      <c r="B41" s="739"/>
      <c r="C41" s="756"/>
      <c r="D41" s="736"/>
      <c r="E41" s="153" t="s">
        <v>658</v>
      </c>
      <c r="F41" s="494">
        <v>78</v>
      </c>
      <c r="G41" s="494">
        <v>78</v>
      </c>
      <c r="H41" s="494">
        <v>78</v>
      </c>
      <c r="I41" s="494">
        <v>78</v>
      </c>
      <c r="J41" s="494">
        <v>78</v>
      </c>
      <c r="K41" s="494">
        <v>78</v>
      </c>
      <c r="L41" s="494">
        <v>78</v>
      </c>
      <c r="M41" s="494">
        <f>IF(M26=1,Thermostat!$C$5,Thermostat!$C$6)</f>
        <v>75</v>
      </c>
      <c r="N41" s="494">
        <f>IF(N26=1,Thermostat!$C$5,Thermostat!$C$6)</f>
        <v>75</v>
      </c>
      <c r="O41" s="494">
        <f>IF(O26=1,Thermostat!$C$5,Thermostat!$C$6)</f>
        <v>75</v>
      </c>
      <c r="P41" s="494">
        <f>IF(P26=1,Thermostat!$C$5,Thermostat!$C$6)</f>
        <v>75</v>
      </c>
      <c r="Q41" s="494">
        <f>IF(Q26=1,Thermostat!$C$5,Thermostat!$C$6)</f>
        <v>75</v>
      </c>
      <c r="R41" s="494">
        <f>IF(R26=1,Thermostat!$C$5,Thermostat!$C$6)</f>
        <v>75</v>
      </c>
      <c r="S41" s="494">
        <f>IF(S26=1,Thermostat!$C$5,Thermostat!$C$6)</f>
        <v>75</v>
      </c>
      <c r="T41" s="494">
        <f>IF(T26=1,Thermostat!$C$5,Thermostat!$C$6)</f>
        <v>75</v>
      </c>
      <c r="U41" s="494">
        <f>IF(U26=1,Thermostat!$C$5,Thermostat!$C$6)</f>
        <v>75</v>
      </c>
      <c r="V41" s="494">
        <f>IF(V26=1,Thermostat!$C$5,Thermostat!$C$6)</f>
        <v>75</v>
      </c>
      <c r="W41" s="494">
        <f>IF(W26=1,Thermostat!$C$5,Thermostat!$C$6)</f>
        <v>75</v>
      </c>
      <c r="X41" s="494">
        <v>78</v>
      </c>
      <c r="Y41" s="494">
        <v>78</v>
      </c>
      <c r="Z41" s="494">
        <v>78</v>
      </c>
      <c r="AA41" s="494">
        <v>78</v>
      </c>
      <c r="AB41" s="494">
        <v>78</v>
      </c>
      <c r="AC41" s="494">
        <v>78</v>
      </c>
      <c r="AD41" s="39"/>
      <c r="AE41" s="38"/>
      <c r="AF41" s="38"/>
      <c r="AG41" s="38"/>
      <c r="AH41" s="38"/>
      <c r="AI41" s="38"/>
      <c r="AJ41" s="38"/>
      <c r="AK41" s="38"/>
      <c r="AM41" s="53"/>
    </row>
    <row r="42" spans="1:75" ht="36" customHeight="1" thickBot="1" x14ac:dyDescent="0.35">
      <c r="A42" s="763"/>
      <c r="B42" s="740"/>
      <c r="C42" s="757"/>
      <c r="D42" s="737"/>
      <c r="E42" s="154" t="s">
        <v>659</v>
      </c>
      <c r="F42" s="104">
        <v>78</v>
      </c>
      <c r="G42" s="104">
        <v>78</v>
      </c>
      <c r="H42" s="104">
        <v>78</v>
      </c>
      <c r="I42" s="104">
        <v>78</v>
      </c>
      <c r="J42" s="104">
        <v>78</v>
      </c>
      <c r="K42" s="104">
        <v>78</v>
      </c>
      <c r="L42" s="104">
        <v>78</v>
      </c>
      <c r="M42" s="104">
        <f>IF(M27=1,Thermostat!$C$5,Thermostat!$C$6)</f>
        <v>75</v>
      </c>
      <c r="N42" s="104">
        <f>IF(N27=1,Thermostat!$C$5,Thermostat!$C$6)</f>
        <v>75</v>
      </c>
      <c r="O42" s="104">
        <f>IF(O27=1,Thermostat!$C$5,Thermostat!$C$6)</f>
        <v>75</v>
      </c>
      <c r="P42" s="104">
        <f>IF(P27=1,Thermostat!$C$5,Thermostat!$C$6)</f>
        <v>75</v>
      </c>
      <c r="Q42" s="104">
        <f>IF(Q27=1,Thermostat!$C$5,Thermostat!$C$6)</f>
        <v>75</v>
      </c>
      <c r="R42" s="104">
        <f>IF(R27=1,Thermostat!$C$5,Thermostat!$C$6)</f>
        <v>75</v>
      </c>
      <c r="S42" s="104">
        <f>IF(S27=1,Thermostat!$C$5,Thermostat!$C$6)</f>
        <v>75</v>
      </c>
      <c r="T42" s="104">
        <f>IF(T27=1,Thermostat!$C$5,Thermostat!$C$6)</f>
        <v>75</v>
      </c>
      <c r="U42" s="104">
        <f>IF(U27=1,Thermostat!$C$5,Thermostat!$C$6)</f>
        <v>75</v>
      </c>
      <c r="V42" s="104">
        <f>IF(V27=1,Thermostat!$C$5,Thermostat!$C$6)</f>
        <v>75</v>
      </c>
      <c r="W42" s="104">
        <f>IF(W27=1,Thermostat!$C$5,Thermostat!$C$6)</f>
        <v>75</v>
      </c>
      <c r="X42" s="104">
        <v>78</v>
      </c>
      <c r="Y42" s="104">
        <v>78</v>
      </c>
      <c r="Z42" s="104">
        <v>78</v>
      </c>
      <c r="AA42" s="104">
        <v>78</v>
      </c>
      <c r="AB42" s="104">
        <v>78</v>
      </c>
      <c r="AC42" s="104">
        <v>78</v>
      </c>
      <c r="AD42" s="39"/>
      <c r="AE42" s="38"/>
      <c r="AF42" s="38"/>
      <c r="AG42" s="38"/>
      <c r="AH42" s="38"/>
      <c r="AI42" s="38"/>
      <c r="AJ42" s="38"/>
      <c r="AK42" s="38"/>
      <c r="AM42" s="53"/>
    </row>
    <row r="43" spans="1:75" ht="36" customHeight="1" thickBot="1" x14ac:dyDescent="0.35">
      <c r="A43" s="779" t="s">
        <v>144</v>
      </c>
      <c r="B43" s="780"/>
      <c r="C43" s="780"/>
      <c r="D43" s="780"/>
      <c r="E43" s="781"/>
      <c r="F43" s="781"/>
      <c r="G43" s="781"/>
      <c r="H43" s="781"/>
      <c r="I43" s="781"/>
      <c r="J43" s="781"/>
      <c r="K43" s="781"/>
      <c r="L43" s="781"/>
      <c r="M43" s="781"/>
      <c r="N43" s="781"/>
      <c r="O43" s="781"/>
      <c r="P43" s="781"/>
      <c r="Q43" s="781"/>
      <c r="R43" s="781"/>
      <c r="S43" s="781"/>
      <c r="T43" s="781"/>
      <c r="U43" s="781"/>
      <c r="V43" s="781"/>
      <c r="W43" s="781"/>
      <c r="X43" s="781"/>
      <c r="Y43" s="781"/>
      <c r="Z43" s="781"/>
      <c r="AA43" s="781"/>
      <c r="AB43" s="781"/>
      <c r="AC43" s="782"/>
      <c r="AD43" s="39"/>
      <c r="AE43" s="38"/>
      <c r="AF43" s="38"/>
      <c r="AG43" s="38"/>
      <c r="AH43" s="38"/>
      <c r="AI43" s="38"/>
      <c r="AJ43" s="38"/>
      <c r="AK43" s="38"/>
      <c r="AM43" s="53"/>
    </row>
    <row r="44" spans="1:75" ht="36" customHeight="1" x14ac:dyDescent="0.3">
      <c r="A44" s="758" t="s">
        <v>673</v>
      </c>
      <c r="B44" s="714" t="s">
        <v>674</v>
      </c>
      <c r="C44" s="755" t="s">
        <v>655</v>
      </c>
      <c r="D44" s="741" t="s">
        <v>675</v>
      </c>
      <c r="E44" s="155" t="s">
        <v>657</v>
      </c>
      <c r="F44" s="102">
        <v>0</v>
      </c>
      <c r="G44" s="102">
        <v>0</v>
      </c>
      <c r="H44" s="102">
        <v>0</v>
      </c>
      <c r="I44" s="102">
        <v>0</v>
      </c>
      <c r="J44" s="102">
        <v>0</v>
      </c>
      <c r="K44" s="102">
        <v>0</v>
      </c>
      <c r="L44" s="102">
        <v>0.1</v>
      </c>
      <c r="M44" s="102">
        <v>0.2</v>
      </c>
      <c r="N44" s="102">
        <v>0.95</v>
      </c>
      <c r="O44" s="102">
        <v>0.95</v>
      </c>
      <c r="P44" s="102">
        <v>0.95</v>
      </c>
      <c r="Q44" s="102">
        <v>0.95</v>
      </c>
      <c r="R44" s="102">
        <v>0.5</v>
      </c>
      <c r="S44" s="102">
        <v>0.95</v>
      </c>
      <c r="T44" s="102">
        <v>0.95</v>
      </c>
      <c r="U44" s="102">
        <v>0.95</v>
      </c>
      <c r="V44" s="102">
        <v>0.95</v>
      </c>
      <c r="W44" s="102">
        <v>0.3</v>
      </c>
      <c r="X44" s="102">
        <v>0.1</v>
      </c>
      <c r="Y44" s="102">
        <v>0.1</v>
      </c>
      <c r="Z44" s="102">
        <v>0.1</v>
      </c>
      <c r="AA44" s="102">
        <v>0.1</v>
      </c>
      <c r="AB44" s="102">
        <v>0.05</v>
      </c>
      <c r="AC44" s="318">
        <v>0.05</v>
      </c>
      <c r="AD44" s="103"/>
      <c r="AE44" s="103"/>
      <c r="AF44" s="103"/>
      <c r="AG44" s="103"/>
      <c r="AH44" s="103"/>
      <c r="AI44" s="103"/>
      <c r="AJ44" s="103"/>
      <c r="AK44" s="103"/>
      <c r="AL44" s="78"/>
      <c r="AM44" s="78"/>
      <c r="AN44" s="78"/>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39"/>
      <c r="BO44" s="38"/>
      <c r="BP44" s="38"/>
      <c r="BQ44" s="38"/>
      <c r="BR44" s="38"/>
      <c r="BS44" s="38"/>
      <c r="BT44" s="38"/>
      <c r="BU44" s="38"/>
      <c r="BW44" s="53"/>
    </row>
    <row r="45" spans="1:75" ht="36" customHeight="1" x14ac:dyDescent="0.3">
      <c r="A45" s="759"/>
      <c r="B45" s="767"/>
      <c r="C45" s="756"/>
      <c r="D45" s="742"/>
      <c r="E45" s="156" t="s">
        <v>658</v>
      </c>
      <c r="F45" s="494">
        <v>0</v>
      </c>
      <c r="G45" s="494">
        <v>0</v>
      </c>
      <c r="H45" s="494">
        <v>0</v>
      </c>
      <c r="I45" s="494">
        <v>0</v>
      </c>
      <c r="J45" s="494">
        <v>0</v>
      </c>
      <c r="K45" s="494">
        <v>0</v>
      </c>
      <c r="L45" s="297">
        <v>0.05</v>
      </c>
      <c r="M45" s="297">
        <v>0.05</v>
      </c>
      <c r="N45" s="297">
        <v>0.05</v>
      </c>
      <c r="O45" s="297">
        <v>0.05</v>
      </c>
      <c r="P45" s="297">
        <v>0.05</v>
      </c>
      <c r="Q45" s="297">
        <v>0.05</v>
      </c>
      <c r="R45" s="297">
        <v>0.05</v>
      </c>
      <c r="S45" s="297">
        <v>0.05</v>
      </c>
      <c r="T45" s="297">
        <v>0.05</v>
      </c>
      <c r="U45" s="297">
        <v>0.05</v>
      </c>
      <c r="V45" s="297">
        <v>0.05</v>
      </c>
      <c r="W45" s="297">
        <v>0.05</v>
      </c>
      <c r="X45" s="494">
        <v>0</v>
      </c>
      <c r="Y45" s="494">
        <v>0</v>
      </c>
      <c r="Z45" s="494">
        <v>0</v>
      </c>
      <c r="AA45" s="494">
        <v>0</v>
      </c>
      <c r="AB45" s="494">
        <v>0</v>
      </c>
      <c r="AC45" s="299">
        <v>0</v>
      </c>
      <c r="AD45" s="103"/>
      <c r="AE45" s="103"/>
      <c r="AF45" s="103"/>
      <c r="AG45" s="103"/>
      <c r="AH45" s="103"/>
      <c r="AI45" s="103"/>
      <c r="AJ45" s="103"/>
      <c r="AK45" s="103"/>
      <c r="AL45" s="78"/>
      <c r="AM45" s="78"/>
      <c r="AN45" s="78"/>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39"/>
      <c r="BO45" s="38"/>
      <c r="BP45" s="38"/>
      <c r="BQ45" s="38"/>
      <c r="BR45" s="38"/>
      <c r="BS45" s="38"/>
      <c r="BT45" s="38"/>
      <c r="BU45" s="38"/>
      <c r="BW45" s="53"/>
    </row>
    <row r="46" spans="1:75" ht="36" customHeight="1" thickBot="1" x14ac:dyDescent="0.35">
      <c r="A46" s="760"/>
      <c r="B46" s="768"/>
      <c r="C46" s="757"/>
      <c r="D46" s="743"/>
      <c r="E46" s="193" t="s">
        <v>659</v>
      </c>
      <c r="F46" s="199">
        <v>0</v>
      </c>
      <c r="G46" s="199">
        <v>0</v>
      </c>
      <c r="H46" s="199">
        <v>0</v>
      </c>
      <c r="I46" s="199">
        <v>0</v>
      </c>
      <c r="J46" s="199">
        <v>0</v>
      </c>
      <c r="K46" s="199">
        <v>0</v>
      </c>
      <c r="L46" s="199">
        <v>0.05</v>
      </c>
      <c r="M46" s="199">
        <v>0.05</v>
      </c>
      <c r="N46" s="199">
        <v>0.05</v>
      </c>
      <c r="O46" s="199">
        <v>0.05</v>
      </c>
      <c r="P46" s="199">
        <v>0.05</v>
      </c>
      <c r="Q46" s="199">
        <v>0.05</v>
      </c>
      <c r="R46" s="199">
        <v>0.05</v>
      </c>
      <c r="S46" s="199">
        <v>0.05</v>
      </c>
      <c r="T46" s="199">
        <v>0.05</v>
      </c>
      <c r="U46" s="199">
        <v>0.05</v>
      </c>
      <c r="V46" s="199">
        <v>0.05</v>
      </c>
      <c r="W46" s="199">
        <v>0.05</v>
      </c>
      <c r="X46" s="199">
        <v>0</v>
      </c>
      <c r="Y46" s="199">
        <v>0</v>
      </c>
      <c r="Z46" s="199">
        <v>0</v>
      </c>
      <c r="AA46" s="199">
        <v>0</v>
      </c>
      <c r="AB46" s="199">
        <v>0</v>
      </c>
      <c r="AC46" s="301">
        <v>0</v>
      </c>
      <c r="AD46" s="103"/>
      <c r="AE46" s="103"/>
      <c r="AF46" s="103"/>
      <c r="AG46" s="103"/>
      <c r="AH46" s="103"/>
      <c r="AI46" s="103"/>
      <c r="AJ46" s="103"/>
      <c r="AK46" s="103"/>
      <c r="AL46" s="78"/>
      <c r="AM46" s="78"/>
      <c r="AN46" s="78"/>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39"/>
      <c r="BO46" s="38"/>
      <c r="BP46" s="38"/>
      <c r="BQ46" s="38"/>
      <c r="BR46" s="38"/>
      <c r="BS46" s="38"/>
      <c r="BT46" s="38"/>
      <c r="BU46" s="38"/>
      <c r="BW46" s="53"/>
    </row>
    <row r="47" spans="1:75" ht="31.2" customHeight="1" x14ac:dyDescent="0.3">
      <c r="A47" s="758" t="s">
        <v>673</v>
      </c>
      <c r="B47" s="714" t="s">
        <v>144</v>
      </c>
      <c r="C47" s="755" t="s">
        <v>660</v>
      </c>
      <c r="D47" s="741" t="s">
        <v>671</v>
      </c>
      <c r="E47" s="194" t="s">
        <v>657</v>
      </c>
      <c r="F47" s="102">
        <v>0.05</v>
      </c>
      <c r="G47" s="102">
        <v>0.05</v>
      </c>
      <c r="H47" s="102">
        <v>0.05</v>
      </c>
      <c r="I47" s="102">
        <v>0.05</v>
      </c>
      <c r="J47" s="102">
        <v>0.05</v>
      </c>
      <c r="K47" s="487">
        <v>0.1</v>
      </c>
      <c r="L47" s="487">
        <v>0.1</v>
      </c>
      <c r="M47" s="487">
        <v>0.3</v>
      </c>
      <c r="N47" s="487">
        <v>0.65</v>
      </c>
      <c r="O47" s="487">
        <v>0.65</v>
      </c>
      <c r="P47" s="487">
        <v>0.65</v>
      </c>
      <c r="Q47" s="487">
        <v>0.65</v>
      </c>
      <c r="R47" s="487">
        <v>0.65</v>
      </c>
      <c r="S47" s="487">
        <v>0.65</v>
      </c>
      <c r="T47" s="487">
        <v>0.65</v>
      </c>
      <c r="U47" s="487">
        <v>0.65</v>
      </c>
      <c r="V47" s="487">
        <v>0.65</v>
      </c>
      <c r="W47" s="487">
        <v>0.35</v>
      </c>
      <c r="X47" s="487">
        <v>0.3</v>
      </c>
      <c r="Y47" s="487">
        <v>0.3</v>
      </c>
      <c r="Z47" s="102">
        <v>0.2</v>
      </c>
      <c r="AA47" s="102">
        <v>0.2</v>
      </c>
      <c r="AB47" s="102">
        <v>0.1</v>
      </c>
      <c r="AC47" s="318">
        <v>0.05</v>
      </c>
      <c r="AD47" s="105"/>
      <c r="AE47" s="105"/>
      <c r="AF47" s="105"/>
      <c r="AG47" s="105"/>
      <c r="AH47" s="105"/>
      <c r="AI47" s="105"/>
      <c r="AJ47" s="105"/>
      <c r="AK47" s="105"/>
    </row>
    <row r="48" spans="1:75" ht="31.2" customHeight="1" x14ac:dyDescent="0.3">
      <c r="A48" s="759"/>
      <c r="B48" s="767"/>
      <c r="C48" s="756"/>
      <c r="D48" s="742"/>
      <c r="E48" s="165" t="s">
        <v>658</v>
      </c>
      <c r="F48" s="494">
        <v>0.05</v>
      </c>
      <c r="G48" s="494">
        <v>0.05</v>
      </c>
      <c r="H48" s="494">
        <v>0.05</v>
      </c>
      <c r="I48" s="494">
        <v>0.05</v>
      </c>
      <c r="J48" s="494">
        <v>0.05</v>
      </c>
      <c r="K48" s="494">
        <v>0.05</v>
      </c>
      <c r="L48" s="494">
        <v>0.15</v>
      </c>
      <c r="M48" s="494">
        <v>0.15</v>
      </c>
      <c r="N48" s="494">
        <v>0.15</v>
      </c>
      <c r="O48" s="494">
        <v>0.15</v>
      </c>
      <c r="P48" s="494">
        <v>0.15</v>
      </c>
      <c r="Q48" s="494">
        <v>0.15</v>
      </c>
      <c r="R48" s="494">
        <v>0.15</v>
      </c>
      <c r="S48" s="494">
        <v>0.15</v>
      </c>
      <c r="T48" s="494">
        <v>0.15</v>
      </c>
      <c r="U48" s="494">
        <v>0.15</v>
      </c>
      <c r="V48" s="494">
        <v>0.15</v>
      </c>
      <c r="W48" s="494">
        <v>0.15</v>
      </c>
      <c r="X48" s="494">
        <v>0.05</v>
      </c>
      <c r="Y48" s="494">
        <v>0.05</v>
      </c>
      <c r="Z48" s="494">
        <v>0.05</v>
      </c>
      <c r="AA48" s="494">
        <v>0.05</v>
      </c>
      <c r="AB48" s="494">
        <v>0.05</v>
      </c>
      <c r="AC48" s="299">
        <v>0.05</v>
      </c>
      <c r="AD48" s="103"/>
      <c r="AE48" s="103"/>
      <c r="AF48" s="103"/>
      <c r="AG48" s="103"/>
      <c r="AH48" s="103"/>
      <c r="AI48" s="103"/>
      <c r="AJ48" s="103"/>
      <c r="AK48" s="103"/>
    </row>
    <row r="49" spans="1:42" ht="33" customHeight="1" thickBot="1" x14ac:dyDescent="0.35">
      <c r="A49" s="760"/>
      <c r="B49" s="768"/>
      <c r="C49" s="757"/>
      <c r="D49" s="769"/>
      <c r="E49" s="195" t="s">
        <v>659</v>
      </c>
      <c r="F49" s="104">
        <v>0.05</v>
      </c>
      <c r="G49" s="104">
        <v>0.05</v>
      </c>
      <c r="H49" s="104">
        <v>0.05</v>
      </c>
      <c r="I49" s="104">
        <v>0.05</v>
      </c>
      <c r="J49" s="104">
        <v>0.05</v>
      </c>
      <c r="K49" s="104">
        <v>0.05</v>
      </c>
      <c r="L49" s="494">
        <v>0.15</v>
      </c>
      <c r="M49" s="494">
        <v>0.15</v>
      </c>
      <c r="N49" s="494">
        <v>0.15</v>
      </c>
      <c r="O49" s="494">
        <v>0.15</v>
      </c>
      <c r="P49" s="494">
        <v>0.15</v>
      </c>
      <c r="Q49" s="494">
        <v>0.15</v>
      </c>
      <c r="R49" s="494">
        <v>0.15</v>
      </c>
      <c r="S49" s="494">
        <v>0.15</v>
      </c>
      <c r="T49" s="494">
        <v>0.15</v>
      </c>
      <c r="U49" s="494">
        <v>0.15</v>
      </c>
      <c r="V49" s="494">
        <v>0.15</v>
      </c>
      <c r="W49" s="494">
        <v>0.15</v>
      </c>
      <c r="X49" s="104">
        <v>0.05</v>
      </c>
      <c r="Y49" s="104">
        <v>0.05</v>
      </c>
      <c r="Z49" s="104">
        <v>0.05</v>
      </c>
      <c r="AA49" s="104">
        <v>0.05</v>
      </c>
      <c r="AB49" s="104">
        <v>0.05</v>
      </c>
      <c r="AC49" s="308">
        <v>0.05</v>
      </c>
      <c r="AD49" s="103"/>
      <c r="AE49" s="103"/>
      <c r="AF49" s="103"/>
      <c r="AG49" s="103"/>
      <c r="AH49" s="103"/>
      <c r="AI49" s="103"/>
      <c r="AJ49" s="103"/>
      <c r="AK49" s="103"/>
    </row>
    <row r="50" spans="1:42" ht="44.4" customHeight="1" x14ac:dyDescent="0.3">
      <c r="A50" s="758" t="s">
        <v>673</v>
      </c>
      <c r="B50" s="755" t="s">
        <v>144</v>
      </c>
      <c r="C50" s="755" t="s">
        <v>676</v>
      </c>
      <c r="D50" s="764" t="s">
        <v>677</v>
      </c>
      <c r="E50" s="194" t="s">
        <v>657</v>
      </c>
      <c r="F50" s="341">
        <v>0.45</v>
      </c>
      <c r="G50" s="341">
        <v>0.45</v>
      </c>
      <c r="H50" s="341">
        <v>0.45</v>
      </c>
      <c r="I50" s="341">
        <v>0.45</v>
      </c>
      <c r="J50" s="341">
        <v>0.45</v>
      </c>
      <c r="K50" s="341">
        <v>0.45</v>
      </c>
      <c r="L50" s="341">
        <v>0.45</v>
      </c>
      <c r="M50" s="341">
        <v>0.74</v>
      </c>
      <c r="N50" s="341">
        <v>0.87</v>
      </c>
      <c r="O50" s="341">
        <v>0.9</v>
      </c>
      <c r="P50" s="341">
        <v>0.9</v>
      </c>
      <c r="Q50" s="341">
        <v>0.9</v>
      </c>
      <c r="R50" s="341">
        <v>0.9</v>
      </c>
      <c r="S50" s="341">
        <v>0.9</v>
      </c>
      <c r="T50" s="341">
        <v>0.9</v>
      </c>
      <c r="U50" s="341">
        <v>0.9</v>
      </c>
      <c r="V50" s="341">
        <v>0.9</v>
      </c>
      <c r="W50" s="341">
        <v>0.7</v>
      </c>
      <c r="X50" s="341">
        <v>0.5</v>
      </c>
      <c r="Y50" s="341">
        <v>0.5</v>
      </c>
      <c r="Z50" s="341">
        <v>0.5</v>
      </c>
      <c r="AA50" s="341">
        <v>0.45</v>
      </c>
      <c r="AB50" s="341">
        <v>0.45</v>
      </c>
      <c r="AC50" s="342">
        <v>0.45</v>
      </c>
      <c r="AD50" s="103"/>
      <c r="AE50" s="103"/>
      <c r="AF50" s="103"/>
      <c r="AG50" s="103"/>
      <c r="AH50" s="103"/>
      <c r="AI50" s="103"/>
      <c r="AJ50" s="103"/>
      <c r="AK50" s="103"/>
    </row>
    <row r="51" spans="1:42" ht="34.200000000000003" customHeight="1" x14ac:dyDescent="0.3">
      <c r="A51" s="759"/>
      <c r="B51" s="756"/>
      <c r="C51" s="756"/>
      <c r="D51" s="765"/>
      <c r="E51" s="165" t="s">
        <v>658</v>
      </c>
      <c r="F51" s="343">
        <v>0.43</v>
      </c>
      <c r="G51" s="343">
        <v>0.43</v>
      </c>
      <c r="H51" s="343">
        <v>0.43</v>
      </c>
      <c r="I51" s="343">
        <v>0.43</v>
      </c>
      <c r="J51" s="343">
        <v>0.43</v>
      </c>
      <c r="K51" s="343">
        <v>0.43</v>
      </c>
      <c r="L51" s="343">
        <v>0.43</v>
      </c>
      <c r="M51" s="343">
        <v>0.43</v>
      </c>
      <c r="N51" s="343">
        <v>0.43</v>
      </c>
      <c r="O51" s="343">
        <v>0.43</v>
      </c>
      <c r="P51" s="343">
        <v>0.43</v>
      </c>
      <c r="Q51" s="343">
        <v>0.43</v>
      </c>
      <c r="R51" s="343">
        <v>0.43</v>
      </c>
      <c r="S51" s="343">
        <v>0.43</v>
      </c>
      <c r="T51" s="343">
        <v>0.43</v>
      </c>
      <c r="U51" s="343">
        <v>0.43</v>
      </c>
      <c r="V51" s="343">
        <v>0.43</v>
      </c>
      <c r="W51" s="343">
        <v>0.43</v>
      </c>
      <c r="X51" s="343">
        <v>0.43</v>
      </c>
      <c r="Y51" s="343">
        <v>0.43</v>
      </c>
      <c r="Z51" s="343">
        <v>0.43</v>
      </c>
      <c r="AA51" s="343">
        <v>0.43</v>
      </c>
      <c r="AB51" s="343">
        <v>0.43</v>
      </c>
      <c r="AC51" s="344">
        <v>0.43</v>
      </c>
      <c r="AD51" s="103"/>
      <c r="AE51" s="103"/>
      <c r="AF51" s="103"/>
      <c r="AG51" s="103"/>
      <c r="AH51" s="103"/>
      <c r="AI51" s="103"/>
      <c r="AJ51" s="103"/>
      <c r="AK51" s="103"/>
    </row>
    <row r="52" spans="1:42" s="106" customFormat="1" ht="37.200000000000003" customHeight="1" thickBot="1" x14ac:dyDescent="0.35">
      <c r="A52" s="760"/>
      <c r="B52" s="757"/>
      <c r="C52" s="757"/>
      <c r="D52" s="766"/>
      <c r="E52" s="196" t="s">
        <v>659</v>
      </c>
      <c r="F52" s="345">
        <v>0.43</v>
      </c>
      <c r="G52" s="345">
        <v>0.43</v>
      </c>
      <c r="H52" s="345">
        <v>0.43</v>
      </c>
      <c r="I52" s="345">
        <v>0.43</v>
      </c>
      <c r="J52" s="345">
        <v>0.43</v>
      </c>
      <c r="K52" s="345">
        <v>0.43</v>
      </c>
      <c r="L52" s="345">
        <v>0.43</v>
      </c>
      <c r="M52" s="345">
        <v>0.43</v>
      </c>
      <c r="N52" s="345">
        <v>0.43</v>
      </c>
      <c r="O52" s="345">
        <v>0.43</v>
      </c>
      <c r="P52" s="345">
        <v>0.43</v>
      </c>
      <c r="Q52" s="345">
        <v>0.43</v>
      </c>
      <c r="R52" s="345">
        <v>0.43</v>
      </c>
      <c r="S52" s="345">
        <v>0.43</v>
      </c>
      <c r="T52" s="345">
        <v>0.43</v>
      </c>
      <c r="U52" s="345">
        <v>0.43</v>
      </c>
      <c r="V52" s="345">
        <v>0.43</v>
      </c>
      <c r="W52" s="345">
        <v>0.43</v>
      </c>
      <c r="X52" s="345">
        <v>0.43</v>
      </c>
      <c r="Y52" s="345">
        <v>0.43</v>
      </c>
      <c r="Z52" s="345">
        <v>0.43</v>
      </c>
      <c r="AA52" s="345">
        <v>0.43</v>
      </c>
      <c r="AB52" s="345">
        <v>0.43</v>
      </c>
      <c r="AC52" s="346">
        <v>0.43</v>
      </c>
      <c r="AD52" s="105"/>
      <c r="AE52" s="105"/>
      <c r="AF52" s="105"/>
      <c r="AG52" s="105"/>
      <c r="AH52" s="105"/>
      <c r="AI52" s="105"/>
      <c r="AJ52" s="105"/>
      <c r="AK52" s="105"/>
      <c r="AL52" s="745"/>
      <c r="AM52" s="745"/>
      <c r="AN52" s="745"/>
      <c r="AO52" s="745"/>
      <c r="AP52" s="745"/>
    </row>
    <row r="53" spans="1:42" s="106" customFormat="1" ht="37.200000000000003" customHeight="1" x14ac:dyDescent="0.3">
      <c r="A53" s="758" t="s">
        <v>673</v>
      </c>
      <c r="B53" s="755" t="s">
        <v>144</v>
      </c>
      <c r="C53" s="755" t="s">
        <v>666</v>
      </c>
      <c r="D53" s="741" t="s">
        <v>678</v>
      </c>
      <c r="E53" s="197" t="s">
        <v>657</v>
      </c>
      <c r="F53" s="492">
        <v>0</v>
      </c>
      <c r="G53" s="492">
        <v>0</v>
      </c>
      <c r="H53" s="492">
        <v>0</v>
      </c>
      <c r="I53" s="492">
        <v>0</v>
      </c>
      <c r="J53" s="492">
        <v>0</v>
      </c>
      <c r="K53" s="492">
        <v>1</v>
      </c>
      <c r="L53" s="492">
        <v>1</v>
      </c>
      <c r="M53" s="492">
        <v>1</v>
      </c>
      <c r="N53" s="492">
        <v>1</v>
      </c>
      <c r="O53" s="492">
        <v>1</v>
      </c>
      <c r="P53" s="492">
        <v>1</v>
      </c>
      <c r="Q53" s="492">
        <v>1</v>
      </c>
      <c r="R53" s="492">
        <v>1</v>
      </c>
      <c r="S53" s="492">
        <v>1</v>
      </c>
      <c r="T53" s="492">
        <v>1</v>
      </c>
      <c r="U53" s="492">
        <v>1</v>
      </c>
      <c r="V53" s="492">
        <v>1</v>
      </c>
      <c r="W53" s="492">
        <v>1</v>
      </c>
      <c r="X53" s="492">
        <v>1</v>
      </c>
      <c r="Y53" s="492">
        <v>1</v>
      </c>
      <c r="Z53" s="492">
        <v>1</v>
      </c>
      <c r="AA53" s="492">
        <v>1</v>
      </c>
      <c r="AB53" s="492">
        <v>1</v>
      </c>
      <c r="AC53" s="493">
        <v>1</v>
      </c>
      <c r="AD53" s="105"/>
      <c r="AE53" s="105"/>
      <c r="AF53" s="105"/>
      <c r="AG53" s="105"/>
      <c r="AH53" s="105"/>
      <c r="AI53" s="105"/>
      <c r="AJ53" s="105"/>
      <c r="AK53" s="105"/>
      <c r="AL53" s="489"/>
      <c r="AM53" s="489"/>
      <c r="AN53" s="489"/>
      <c r="AO53" s="489"/>
      <c r="AP53" s="489"/>
    </row>
    <row r="54" spans="1:42" s="106" customFormat="1" ht="37.200000000000003" customHeight="1" x14ac:dyDescent="0.3">
      <c r="A54" s="759"/>
      <c r="B54" s="756"/>
      <c r="C54" s="756"/>
      <c r="D54" s="742"/>
      <c r="E54" s="165" t="s">
        <v>658</v>
      </c>
      <c r="F54" s="494">
        <v>0</v>
      </c>
      <c r="G54" s="494">
        <v>0</v>
      </c>
      <c r="H54" s="494">
        <v>0</v>
      </c>
      <c r="I54" s="494">
        <v>0</v>
      </c>
      <c r="J54" s="494">
        <v>0</v>
      </c>
      <c r="K54" s="347">
        <v>0</v>
      </c>
      <c r="L54" s="347">
        <v>0</v>
      </c>
      <c r="M54" s="347">
        <v>0</v>
      </c>
      <c r="N54" s="347">
        <v>0</v>
      </c>
      <c r="O54" s="347">
        <v>0</v>
      </c>
      <c r="P54" s="347">
        <v>0</v>
      </c>
      <c r="Q54" s="347">
        <v>0</v>
      </c>
      <c r="R54" s="347">
        <v>0</v>
      </c>
      <c r="S54" s="347">
        <v>0</v>
      </c>
      <c r="T54" s="347">
        <v>0</v>
      </c>
      <c r="U54" s="347">
        <v>0</v>
      </c>
      <c r="V54" s="347">
        <v>0</v>
      </c>
      <c r="W54" s="347">
        <v>0</v>
      </c>
      <c r="X54" s="347">
        <v>0</v>
      </c>
      <c r="Y54" s="494">
        <v>0</v>
      </c>
      <c r="Z54" s="494">
        <v>0</v>
      </c>
      <c r="AA54" s="494">
        <v>0</v>
      </c>
      <c r="AB54" s="494">
        <v>0</v>
      </c>
      <c r="AC54" s="299">
        <v>0</v>
      </c>
      <c r="AD54" s="105"/>
      <c r="AE54" s="105"/>
      <c r="AF54" s="105"/>
      <c r="AG54" s="105"/>
      <c r="AH54" s="105"/>
      <c r="AI54" s="105"/>
      <c r="AJ54" s="105"/>
      <c r="AK54" s="105"/>
      <c r="AL54" s="489"/>
      <c r="AM54" s="489"/>
      <c r="AN54" s="489"/>
      <c r="AO54" s="489"/>
      <c r="AP54" s="489"/>
    </row>
    <row r="55" spans="1:42" s="106" customFormat="1" ht="37.200000000000003" customHeight="1" thickBot="1" x14ac:dyDescent="0.35">
      <c r="A55" s="760"/>
      <c r="B55" s="777"/>
      <c r="C55" s="777"/>
      <c r="D55" s="743"/>
      <c r="E55" s="196" t="s">
        <v>659</v>
      </c>
      <c r="F55" s="199">
        <v>0</v>
      </c>
      <c r="G55" s="199">
        <v>0</v>
      </c>
      <c r="H55" s="199">
        <v>0</v>
      </c>
      <c r="I55" s="199">
        <v>0</v>
      </c>
      <c r="J55" s="199">
        <v>0</v>
      </c>
      <c r="K55" s="199">
        <v>0</v>
      </c>
      <c r="L55" s="199">
        <v>0</v>
      </c>
      <c r="M55" s="199">
        <v>0</v>
      </c>
      <c r="N55" s="199">
        <v>0</v>
      </c>
      <c r="O55" s="199">
        <v>0</v>
      </c>
      <c r="P55" s="199">
        <v>0</v>
      </c>
      <c r="Q55" s="199">
        <v>0</v>
      </c>
      <c r="R55" s="199">
        <v>0</v>
      </c>
      <c r="S55" s="199">
        <v>0</v>
      </c>
      <c r="T55" s="199">
        <v>0</v>
      </c>
      <c r="U55" s="199">
        <v>0</v>
      </c>
      <c r="V55" s="199">
        <v>0</v>
      </c>
      <c r="W55" s="199">
        <v>0</v>
      </c>
      <c r="X55" s="199">
        <v>0</v>
      </c>
      <c r="Y55" s="199">
        <v>0</v>
      </c>
      <c r="Z55" s="199">
        <v>0</v>
      </c>
      <c r="AA55" s="199">
        <v>0</v>
      </c>
      <c r="AB55" s="199">
        <v>0</v>
      </c>
      <c r="AC55" s="301">
        <v>0</v>
      </c>
      <c r="AD55" s="105"/>
      <c r="AE55" s="105"/>
      <c r="AF55" s="105"/>
      <c r="AG55" s="105"/>
      <c r="AH55" s="105"/>
      <c r="AI55" s="105"/>
      <c r="AJ55" s="105"/>
      <c r="AK55" s="105"/>
      <c r="AL55" s="489"/>
      <c r="AM55" s="489"/>
      <c r="AN55" s="489"/>
      <c r="AO55" s="489"/>
      <c r="AP55" s="489"/>
    </row>
    <row r="56" spans="1:42" s="106" customFormat="1" ht="37.200000000000003" customHeight="1" x14ac:dyDescent="0.3">
      <c r="A56" s="758" t="s">
        <v>673</v>
      </c>
      <c r="B56" s="755" t="s">
        <v>144</v>
      </c>
      <c r="C56" s="755" t="s">
        <v>662</v>
      </c>
      <c r="D56" s="741" t="s">
        <v>671</v>
      </c>
      <c r="E56" s="197" t="s">
        <v>657</v>
      </c>
      <c r="F56" s="496">
        <v>0.05</v>
      </c>
      <c r="G56" s="496">
        <v>0.05</v>
      </c>
      <c r="H56" s="496">
        <v>0.05</v>
      </c>
      <c r="I56" s="496">
        <v>0.05</v>
      </c>
      <c r="J56" s="496">
        <v>0.05</v>
      </c>
      <c r="K56" s="496">
        <v>0.08</v>
      </c>
      <c r="L56" s="496">
        <v>7.0000000000000007E-2</v>
      </c>
      <c r="M56" s="496">
        <v>0.19</v>
      </c>
      <c r="N56" s="496">
        <v>0.35</v>
      </c>
      <c r="O56" s="496">
        <v>0.38</v>
      </c>
      <c r="P56" s="496">
        <v>0.39</v>
      </c>
      <c r="Q56" s="496">
        <v>0.47</v>
      </c>
      <c r="R56" s="496">
        <v>0.56999999999999995</v>
      </c>
      <c r="S56" s="496">
        <v>0.54</v>
      </c>
      <c r="T56" s="496">
        <v>0.34</v>
      </c>
      <c r="U56" s="496">
        <v>0.33</v>
      </c>
      <c r="V56" s="496">
        <v>0.44</v>
      </c>
      <c r="W56" s="496">
        <v>0.26</v>
      </c>
      <c r="X56" s="496">
        <v>0.21</v>
      </c>
      <c r="Y56" s="496">
        <v>0.15</v>
      </c>
      <c r="Z56" s="496">
        <v>0.17</v>
      </c>
      <c r="AA56" s="496">
        <v>0.08</v>
      </c>
      <c r="AB56" s="496">
        <v>0.05</v>
      </c>
      <c r="AC56" s="348">
        <v>0.05</v>
      </c>
      <c r="AD56" s="105"/>
      <c r="AE56" s="105"/>
      <c r="AF56" s="105"/>
      <c r="AG56" s="105"/>
      <c r="AH56" s="105"/>
      <c r="AI56" s="105"/>
      <c r="AJ56" s="105"/>
      <c r="AK56" s="105"/>
      <c r="AL56" s="489"/>
      <c r="AM56" s="489"/>
      <c r="AN56" s="489"/>
      <c r="AO56" s="489"/>
      <c r="AP56" s="489"/>
    </row>
    <row r="57" spans="1:42" s="106" customFormat="1" ht="37.200000000000003" customHeight="1" x14ac:dyDescent="0.3">
      <c r="A57" s="759"/>
      <c r="B57" s="756"/>
      <c r="C57" s="756"/>
      <c r="D57" s="742"/>
      <c r="E57" s="165" t="s">
        <v>658</v>
      </c>
      <c r="F57" s="543">
        <v>0.04</v>
      </c>
      <c r="G57" s="543">
        <v>0.04</v>
      </c>
      <c r="H57" s="543">
        <v>0.04</v>
      </c>
      <c r="I57" s="543">
        <v>0.04</v>
      </c>
      <c r="J57" s="543">
        <v>0.04</v>
      </c>
      <c r="K57" s="543">
        <v>7.0000000000000007E-2</v>
      </c>
      <c r="L57" s="543">
        <v>0.04</v>
      </c>
      <c r="M57" s="543">
        <v>0.04</v>
      </c>
      <c r="N57" s="543">
        <v>0.04</v>
      </c>
      <c r="O57" s="543">
        <v>0.04</v>
      </c>
      <c r="P57" s="543">
        <v>0.04</v>
      </c>
      <c r="Q57" s="543">
        <v>0.06</v>
      </c>
      <c r="R57" s="543">
        <v>0.06</v>
      </c>
      <c r="S57" s="543">
        <v>0.09</v>
      </c>
      <c r="T57" s="543">
        <v>0.06</v>
      </c>
      <c r="U57" s="543">
        <v>0.04</v>
      </c>
      <c r="V57" s="543">
        <v>0.04</v>
      </c>
      <c r="W57" s="543">
        <v>0.04</v>
      </c>
      <c r="X57" s="543">
        <v>0.04</v>
      </c>
      <c r="Y57" s="543">
        <v>0.04</v>
      </c>
      <c r="Z57" s="543">
        <v>0.04</v>
      </c>
      <c r="AA57" s="543">
        <v>7.0000000000000007E-2</v>
      </c>
      <c r="AB57" s="543">
        <v>0.04</v>
      </c>
      <c r="AC57" s="544">
        <v>0.04</v>
      </c>
      <c r="AD57" s="105"/>
      <c r="AE57" s="105"/>
      <c r="AF57" s="105"/>
      <c r="AG57" s="105"/>
      <c r="AH57" s="105"/>
      <c r="AI57" s="105"/>
      <c r="AJ57" s="105"/>
      <c r="AK57" s="105"/>
      <c r="AL57" s="489"/>
      <c r="AM57" s="489"/>
      <c r="AN57" s="489"/>
      <c r="AO57" s="489"/>
      <c r="AP57" s="489"/>
    </row>
    <row r="58" spans="1:42" s="106" customFormat="1" ht="37.200000000000003" customHeight="1" thickBot="1" x14ac:dyDescent="0.35">
      <c r="A58" s="760"/>
      <c r="B58" s="756"/>
      <c r="C58" s="756"/>
      <c r="D58" s="742"/>
      <c r="E58" s="195" t="s">
        <v>659</v>
      </c>
      <c r="F58" s="495">
        <v>0.04</v>
      </c>
      <c r="G58" s="495">
        <v>0.04</v>
      </c>
      <c r="H58" s="495">
        <v>0.04</v>
      </c>
      <c r="I58" s="495">
        <v>0.04</v>
      </c>
      <c r="J58" s="495">
        <v>0.04</v>
      </c>
      <c r="K58" s="495">
        <v>7.0000000000000007E-2</v>
      </c>
      <c r="L58" s="495">
        <v>0.04</v>
      </c>
      <c r="M58" s="495">
        <v>0.04</v>
      </c>
      <c r="N58" s="495">
        <v>0.04</v>
      </c>
      <c r="O58" s="495">
        <v>0.04</v>
      </c>
      <c r="P58" s="495">
        <v>0.04</v>
      </c>
      <c r="Q58" s="495">
        <v>0.06</v>
      </c>
      <c r="R58" s="495">
        <v>0.06</v>
      </c>
      <c r="S58" s="495">
        <v>0.09</v>
      </c>
      <c r="T58" s="495">
        <v>0.06</v>
      </c>
      <c r="U58" s="495">
        <v>0.04</v>
      </c>
      <c r="V58" s="495">
        <v>0.04</v>
      </c>
      <c r="W58" s="495">
        <v>0.04</v>
      </c>
      <c r="X58" s="495">
        <v>0.04</v>
      </c>
      <c r="Y58" s="495">
        <v>0.04</v>
      </c>
      <c r="Z58" s="495">
        <v>0.04</v>
      </c>
      <c r="AA58" s="495">
        <v>7.0000000000000007E-2</v>
      </c>
      <c r="AB58" s="495">
        <v>0.04</v>
      </c>
      <c r="AC58" s="349">
        <v>0.04</v>
      </c>
      <c r="AD58" s="105"/>
      <c r="AE58" s="105"/>
      <c r="AF58" s="105"/>
      <c r="AG58" s="105"/>
      <c r="AH58" s="105"/>
      <c r="AI58" s="105"/>
      <c r="AJ58" s="105"/>
      <c r="AK58" s="105"/>
      <c r="AL58" s="489"/>
      <c r="AM58" s="489"/>
      <c r="AN58" s="489"/>
      <c r="AO58" s="489"/>
      <c r="AP58" s="489"/>
    </row>
    <row r="59" spans="1:42" s="106" customFormat="1" ht="37.200000000000003" customHeight="1" x14ac:dyDescent="0.3">
      <c r="A59" s="758" t="s">
        <v>673</v>
      </c>
      <c r="B59" s="755" t="s">
        <v>144</v>
      </c>
      <c r="C59" s="755" t="s">
        <v>287</v>
      </c>
      <c r="D59" s="741" t="s">
        <v>678</v>
      </c>
      <c r="E59" s="164" t="s">
        <v>657</v>
      </c>
      <c r="F59" s="492">
        <v>1</v>
      </c>
      <c r="G59" s="492">
        <v>1</v>
      </c>
      <c r="H59" s="492">
        <v>1</v>
      </c>
      <c r="I59" s="492">
        <v>1</v>
      </c>
      <c r="J59" s="492">
        <v>1</v>
      </c>
      <c r="K59" s="492">
        <v>0.25</v>
      </c>
      <c r="L59" s="492">
        <v>0.25</v>
      </c>
      <c r="M59" s="492">
        <v>0.25</v>
      </c>
      <c r="N59" s="492">
        <v>0.25</v>
      </c>
      <c r="O59" s="492">
        <v>0.25</v>
      </c>
      <c r="P59" s="492">
        <v>0.25</v>
      </c>
      <c r="Q59" s="492">
        <v>0.25</v>
      </c>
      <c r="R59" s="492">
        <v>0.25</v>
      </c>
      <c r="S59" s="492">
        <v>0.25</v>
      </c>
      <c r="T59" s="492">
        <v>0.25</v>
      </c>
      <c r="U59" s="492">
        <v>0.25</v>
      </c>
      <c r="V59" s="492">
        <v>0.25</v>
      </c>
      <c r="W59" s="492">
        <v>0.25</v>
      </c>
      <c r="X59" s="492">
        <v>0.25</v>
      </c>
      <c r="Y59" s="492">
        <v>0.25</v>
      </c>
      <c r="Z59" s="492">
        <v>0.25</v>
      </c>
      <c r="AA59" s="492">
        <v>0.25</v>
      </c>
      <c r="AB59" s="492">
        <v>0.25</v>
      </c>
      <c r="AC59" s="493">
        <v>0.25</v>
      </c>
      <c r="AD59" s="105"/>
      <c r="AE59" s="105"/>
      <c r="AF59" s="105"/>
      <c r="AG59" s="105"/>
      <c r="AH59" s="105"/>
      <c r="AI59" s="105"/>
      <c r="AJ59" s="105"/>
      <c r="AK59" s="105"/>
      <c r="AL59" s="489"/>
      <c r="AM59" s="489"/>
      <c r="AN59" s="489"/>
      <c r="AO59" s="489"/>
      <c r="AP59" s="489"/>
    </row>
    <row r="60" spans="1:42" s="106" customFormat="1" ht="37.200000000000003" customHeight="1" x14ac:dyDescent="0.3">
      <c r="A60" s="759"/>
      <c r="B60" s="756"/>
      <c r="C60" s="756"/>
      <c r="D60" s="742"/>
      <c r="E60" s="165" t="s">
        <v>658</v>
      </c>
      <c r="F60" s="494">
        <v>1</v>
      </c>
      <c r="G60" s="494">
        <v>1</v>
      </c>
      <c r="H60" s="494">
        <v>1</v>
      </c>
      <c r="I60" s="494">
        <v>1</v>
      </c>
      <c r="J60" s="494">
        <v>1</v>
      </c>
      <c r="K60" s="298">
        <v>1</v>
      </c>
      <c r="L60" s="298">
        <v>1</v>
      </c>
      <c r="M60" s="298">
        <v>1</v>
      </c>
      <c r="N60" s="298">
        <v>1</v>
      </c>
      <c r="O60" s="298">
        <v>1</v>
      </c>
      <c r="P60" s="298">
        <v>1</v>
      </c>
      <c r="Q60" s="298">
        <v>1</v>
      </c>
      <c r="R60" s="298">
        <v>1</v>
      </c>
      <c r="S60" s="298">
        <v>1</v>
      </c>
      <c r="T60" s="298">
        <v>1</v>
      </c>
      <c r="U60" s="298">
        <v>1</v>
      </c>
      <c r="V60" s="298">
        <v>1</v>
      </c>
      <c r="W60" s="298">
        <v>1</v>
      </c>
      <c r="X60" s="298">
        <v>1</v>
      </c>
      <c r="Y60" s="494">
        <v>1</v>
      </c>
      <c r="Z60" s="494">
        <v>1</v>
      </c>
      <c r="AA60" s="494">
        <v>1</v>
      </c>
      <c r="AB60" s="494">
        <v>1</v>
      </c>
      <c r="AC60" s="299">
        <v>1</v>
      </c>
      <c r="AD60" s="105"/>
      <c r="AE60" s="105"/>
      <c r="AF60" s="105"/>
      <c r="AG60" s="105"/>
      <c r="AH60" s="105"/>
      <c r="AI60" s="105"/>
      <c r="AJ60" s="105"/>
      <c r="AK60" s="105"/>
      <c r="AL60" s="489"/>
      <c r="AM60" s="489"/>
      <c r="AN60" s="489"/>
      <c r="AO60" s="489"/>
      <c r="AP60" s="489"/>
    </row>
    <row r="61" spans="1:42" s="106" customFormat="1" ht="37.200000000000003" customHeight="1" thickBot="1" x14ac:dyDescent="0.35">
      <c r="A61" s="760"/>
      <c r="B61" s="757"/>
      <c r="C61" s="757"/>
      <c r="D61" s="743"/>
      <c r="E61" s="166" t="s">
        <v>659</v>
      </c>
      <c r="F61" s="199">
        <v>1</v>
      </c>
      <c r="G61" s="199">
        <v>1</v>
      </c>
      <c r="H61" s="199">
        <v>1</v>
      </c>
      <c r="I61" s="199">
        <v>1</v>
      </c>
      <c r="J61" s="199">
        <v>1</v>
      </c>
      <c r="K61" s="199">
        <v>1</v>
      </c>
      <c r="L61" s="199">
        <v>1</v>
      </c>
      <c r="M61" s="199">
        <v>1</v>
      </c>
      <c r="N61" s="199">
        <v>1</v>
      </c>
      <c r="O61" s="199">
        <v>1</v>
      </c>
      <c r="P61" s="199">
        <v>1</v>
      </c>
      <c r="Q61" s="199">
        <v>1</v>
      </c>
      <c r="R61" s="199">
        <v>1</v>
      </c>
      <c r="S61" s="199">
        <v>1</v>
      </c>
      <c r="T61" s="199">
        <v>1</v>
      </c>
      <c r="U61" s="199">
        <v>1</v>
      </c>
      <c r="V61" s="199">
        <v>1</v>
      </c>
      <c r="W61" s="199">
        <v>1</v>
      </c>
      <c r="X61" s="199">
        <v>1</v>
      </c>
      <c r="Y61" s="199">
        <v>1</v>
      </c>
      <c r="Z61" s="199">
        <v>1</v>
      </c>
      <c r="AA61" s="199">
        <v>1</v>
      </c>
      <c r="AB61" s="199">
        <v>1</v>
      </c>
      <c r="AC61" s="301">
        <v>1</v>
      </c>
      <c r="AD61" s="105"/>
      <c r="AE61" s="105"/>
      <c r="AF61" s="105"/>
      <c r="AG61" s="105"/>
      <c r="AH61" s="105"/>
      <c r="AI61" s="105"/>
      <c r="AJ61" s="105"/>
      <c r="AK61" s="105"/>
      <c r="AL61" s="489"/>
      <c r="AM61" s="489"/>
      <c r="AN61" s="489"/>
      <c r="AO61" s="489"/>
      <c r="AP61" s="489"/>
    </row>
    <row r="62" spans="1:42" s="106" customFormat="1" ht="37.200000000000003" customHeight="1" x14ac:dyDescent="0.3">
      <c r="A62" s="758" t="s">
        <v>673</v>
      </c>
      <c r="B62" s="767" t="s">
        <v>674</v>
      </c>
      <c r="C62" s="756" t="s">
        <v>670</v>
      </c>
      <c r="D62" s="772" t="s">
        <v>671</v>
      </c>
      <c r="E62" s="191" t="s">
        <v>657</v>
      </c>
      <c r="F62" s="102">
        <v>60</v>
      </c>
      <c r="G62" s="102">
        <v>60</v>
      </c>
      <c r="H62" s="102">
        <v>60</v>
      </c>
      <c r="I62" s="102">
        <v>60</v>
      </c>
      <c r="J62" s="102">
        <v>60</v>
      </c>
      <c r="K62" s="102">
        <v>70</v>
      </c>
      <c r="L62" s="102">
        <v>70</v>
      </c>
      <c r="M62" s="102">
        <v>70</v>
      </c>
      <c r="N62" s="102">
        <v>70</v>
      </c>
      <c r="O62" s="102">
        <v>70</v>
      </c>
      <c r="P62" s="102">
        <v>70</v>
      </c>
      <c r="Q62" s="102">
        <v>70</v>
      </c>
      <c r="R62" s="102">
        <v>70</v>
      </c>
      <c r="S62" s="102">
        <v>70</v>
      </c>
      <c r="T62" s="102">
        <v>70</v>
      </c>
      <c r="U62" s="102">
        <v>70</v>
      </c>
      <c r="V62" s="102">
        <v>70</v>
      </c>
      <c r="W62" s="102">
        <v>70</v>
      </c>
      <c r="X62" s="102">
        <v>70</v>
      </c>
      <c r="Y62" s="102">
        <v>70</v>
      </c>
      <c r="Z62" s="102">
        <v>70</v>
      </c>
      <c r="AA62" s="102">
        <v>70</v>
      </c>
      <c r="AB62" s="102">
        <v>70</v>
      </c>
      <c r="AC62" s="318">
        <v>70</v>
      </c>
      <c r="AD62" s="105"/>
      <c r="AE62" s="105"/>
      <c r="AF62" s="105"/>
      <c r="AG62" s="105"/>
      <c r="AH62" s="105"/>
      <c r="AI62" s="105"/>
      <c r="AJ62" s="105"/>
      <c r="AK62" s="105"/>
      <c r="AL62" s="489"/>
      <c r="AM62" s="489"/>
      <c r="AN62" s="489"/>
      <c r="AO62" s="489"/>
      <c r="AP62" s="489"/>
    </row>
    <row r="63" spans="1:42" s="106" customFormat="1" ht="37.200000000000003" customHeight="1" x14ac:dyDescent="0.3">
      <c r="A63" s="759"/>
      <c r="B63" s="767"/>
      <c r="C63" s="756"/>
      <c r="D63" s="772"/>
      <c r="E63" s="192" t="s">
        <v>658</v>
      </c>
      <c r="F63" s="494">
        <v>60</v>
      </c>
      <c r="G63" s="494">
        <v>60</v>
      </c>
      <c r="H63" s="494">
        <v>60</v>
      </c>
      <c r="I63" s="494">
        <v>60</v>
      </c>
      <c r="J63" s="494">
        <v>60</v>
      </c>
      <c r="K63" s="494">
        <v>60</v>
      </c>
      <c r="L63" s="494">
        <v>60</v>
      </c>
      <c r="M63" s="494">
        <v>60</v>
      </c>
      <c r="N63" s="494">
        <v>60</v>
      </c>
      <c r="O63" s="494">
        <v>60</v>
      </c>
      <c r="P63" s="494">
        <v>60</v>
      </c>
      <c r="Q63" s="494">
        <v>60</v>
      </c>
      <c r="R63" s="494">
        <v>60</v>
      </c>
      <c r="S63" s="494">
        <v>60</v>
      </c>
      <c r="T63" s="494">
        <v>60</v>
      </c>
      <c r="U63" s="494">
        <v>60</v>
      </c>
      <c r="V63" s="494">
        <v>60</v>
      </c>
      <c r="W63" s="494">
        <v>60</v>
      </c>
      <c r="X63" s="494">
        <v>60</v>
      </c>
      <c r="Y63" s="494">
        <v>60</v>
      </c>
      <c r="Z63" s="494">
        <v>60</v>
      </c>
      <c r="AA63" s="494">
        <v>60</v>
      </c>
      <c r="AB63" s="494">
        <v>60</v>
      </c>
      <c r="AC63" s="299">
        <v>60</v>
      </c>
      <c r="AD63" s="105"/>
      <c r="AE63" s="105"/>
      <c r="AF63" s="105"/>
      <c r="AG63" s="105"/>
      <c r="AH63" s="105"/>
      <c r="AI63" s="105"/>
      <c r="AJ63" s="105"/>
      <c r="AK63" s="105"/>
      <c r="AL63" s="489"/>
      <c r="AM63" s="489"/>
      <c r="AN63" s="489"/>
      <c r="AO63" s="489"/>
      <c r="AP63" s="489"/>
    </row>
    <row r="64" spans="1:42" s="106" customFormat="1" ht="37.200000000000003" customHeight="1" thickBot="1" x14ac:dyDescent="0.35">
      <c r="A64" s="760"/>
      <c r="B64" s="768"/>
      <c r="C64" s="757"/>
      <c r="D64" s="773"/>
      <c r="E64" s="198" t="s">
        <v>659</v>
      </c>
      <c r="F64" s="104">
        <v>60</v>
      </c>
      <c r="G64" s="104">
        <v>60</v>
      </c>
      <c r="H64" s="104">
        <v>60</v>
      </c>
      <c r="I64" s="104">
        <v>60</v>
      </c>
      <c r="J64" s="104">
        <v>60</v>
      </c>
      <c r="K64" s="104">
        <v>60</v>
      </c>
      <c r="L64" s="104">
        <v>60</v>
      </c>
      <c r="M64" s="104">
        <v>60</v>
      </c>
      <c r="N64" s="104">
        <v>60</v>
      </c>
      <c r="O64" s="104">
        <v>60</v>
      </c>
      <c r="P64" s="104">
        <v>60</v>
      </c>
      <c r="Q64" s="104">
        <v>60</v>
      </c>
      <c r="R64" s="104">
        <v>60</v>
      </c>
      <c r="S64" s="104">
        <v>60</v>
      </c>
      <c r="T64" s="104">
        <v>60</v>
      </c>
      <c r="U64" s="104">
        <v>60</v>
      </c>
      <c r="V64" s="104">
        <v>60</v>
      </c>
      <c r="W64" s="104">
        <v>60</v>
      </c>
      <c r="X64" s="104">
        <v>60</v>
      </c>
      <c r="Y64" s="104">
        <v>60</v>
      </c>
      <c r="Z64" s="104">
        <v>60</v>
      </c>
      <c r="AA64" s="104">
        <v>60</v>
      </c>
      <c r="AB64" s="104">
        <v>60</v>
      </c>
      <c r="AC64" s="308">
        <v>60</v>
      </c>
      <c r="AD64" s="105"/>
      <c r="AE64" s="105"/>
      <c r="AF64" s="105"/>
      <c r="AG64" s="105"/>
      <c r="AH64" s="105"/>
      <c r="AI64" s="105"/>
      <c r="AJ64" s="105"/>
      <c r="AK64" s="105"/>
      <c r="AL64" s="489"/>
      <c r="AM64" s="489"/>
      <c r="AN64" s="489"/>
      <c r="AO64" s="489"/>
      <c r="AP64" s="489"/>
    </row>
    <row r="65" spans="1:42" s="106" customFormat="1" ht="37.200000000000003" customHeight="1" x14ac:dyDescent="0.3">
      <c r="A65" s="758" t="s">
        <v>673</v>
      </c>
      <c r="B65" s="714" t="s">
        <v>144</v>
      </c>
      <c r="C65" s="756" t="s">
        <v>672</v>
      </c>
      <c r="D65" s="772" t="s">
        <v>671</v>
      </c>
      <c r="E65" s="200" t="s">
        <v>657</v>
      </c>
      <c r="F65" s="492">
        <v>85</v>
      </c>
      <c r="G65" s="492">
        <v>85</v>
      </c>
      <c r="H65" s="492">
        <v>85</v>
      </c>
      <c r="I65" s="492">
        <v>85</v>
      </c>
      <c r="J65" s="492">
        <v>85</v>
      </c>
      <c r="K65" s="492">
        <v>75</v>
      </c>
      <c r="L65" s="492">
        <v>75</v>
      </c>
      <c r="M65" s="492">
        <v>75</v>
      </c>
      <c r="N65" s="492">
        <v>75</v>
      </c>
      <c r="O65" s="492">
        <v>75</v>
      </c>
      <c r="P65" s="492">
        <v>75</v>
      </c>
      <c r="Q65" s="492">
        <v>75</v>
      </c>
      <c r="R65" s="492">
        <v>75</v>
      </c>
      <c r="S65" s="492">
        <v>75</v>
      </c>
      <c r="T65" s="492">
        <v>75</v>
      </c>
      <c r="U65" s="492">
        <v>75</v>
      </c>
      <c r="V65" s="492">
        <v>75</v>
      </c>
      <c r="W65" s="492">
        <v>75</v>
      </c>
      <c r="X65" s="492">
        <v>75</v>
      </c>
      <c r="Y65" s="492">
        <v>75</v>
      </c>
      <c r="Z65" s="492">
        <v>75</v>
      </c>
      <c r="AA65" s="492">
        <v>75</v>
      </c>
      <c r="AB65" s="492">
        <v>75</v>
      </c>
      <c r="AC65" s="493">
        <v>75</v>
      </c>
      <c r="AD65" s="105"/>
      <c r="AE65" s="105"/>
      <c r="AF65" s="105"/>
      <c r="AG65" s="105"/>
      <c r="AH65" s="105"/>
      <c r="AI65" s="105"/>
      <c r="AJ65" s="105"/>
      <c r="AK65" s="105"/>
      <c r="AL65" s="489"/>
      <c r="AM65" s="489"/>
      <c r="AN65" s="489"/>
      <c r="AO65" s="489"/>
      <c r="AP65" s="489"/>
    </row>
    <row r="66" spans="1:42" s="106" customFormat="1" ht="37.200000000000003" customHeight="1" x14ac:dyDescent="0.3">
      <c r="A66" s="759"/>
      <c r="B66" s="767"/>
      <c r="C66" s="756"/>
      <c r="D66" s="772"/>
      <c r="E66" s="201" t="s">
        <v>658</v>
      </c>
      <c r="F66" s="494">
        <v>85</v>
      </c>
      <c r="G66" s="494">
        <v>85</v>
      </c>
      <c r="H66" s="494">
        <v>85</v>
      </c>
      <c r="I66" s="494">
        <v>85</v>
      </c>
      <c r="J66" s="494">
        <v>85</v>
      </c>
      <c r="K66" s="494">
        <v>85</v>
      </c>
      <c r="L66" s="494">
        <v>85</v>
      </c>
      <c r="M66" s="494">
        <v>85</v>
      </c>
      <c r="N66" s="494">
        <v>85</v>
      </c>
      <c r="O66" s="494">
        <v>85</v>
      </c>
      <c r="P66" s="494">
        <v>85</v>
      </c>
      <c r="Q66" s="494">
        <v>85</v>
      </c>
      <c r="R66" s="494">
        <v>85</v>
      </c>
      <c r="S66" s="494">
        <v>85</v>
      </c>
      <c r="T66" s="494">
        <v>85</v>
      </c>
      <c r="U66" s="494">
        <v>85</v>
      </c>
      <c r="V66" s="494">
        <v>85</v>
      </c>
      <c r="W66" s="494">
        <v>85</v>
      </c>
      <c r="X66" s="494">
        <v>85</v>
      </c>
      <c r="Y66" s="494">
        <v>85</v>
      </c>
      <c r="Z66" s="494">
        <v>85</v>
      </c>
      <c r="AA66" s="494">
        <v>85</v>
      </c>
      <c r="AB66" s="494">
        <v>85</v>
      </c>
      <c r="AC66" s="299">
        <v>85</v>
      </c>
      <c r="AD66" s="105"/>
      <c r="AE66" s="105"/>
      <c r="AF66" s="105"/>
      <c r="AG66" s="105"/>
      <c r="AH66" s="105"/>
      <c r="AI66" s="105"/>
      <c r="AJ66" s="105"/>
      <c r="AK66" s="105"/>
      <c r="AL66" s="489"/>
      <c r="AM66" s="489"/>
      <c r="AN66" s="489"/>
      <c r="AO66" s="489"/>
      <c r="AP66" s="489"/>
    </row>
    <row r="67" spans="1:42" s="106" customFormat="1" ht="37.200000000000003" customHeight="1" thickBot="1" x14ac:dyDescent="0.35">
      <c r="A67" s="760"/>
      <c r="B67" s="768"/>
      <c r="C67" s="757"/>
      <c r="D67" s="773"/>
      <c r="E67" s="202" t="s">
        <v>659</v>
      </c>
      <c r="F67" s="104">
        <v>85</v>
      </c>
      <c r="G67" s="104">
        <v>85</v>
      </c>
      <c r="H67" s="104">
        <v>85</v>
      </c>
      <c r="I67" s="104">
        <v>85</v>
      </c>
      <c r="J67" s="104">
        <v>85</v>
      </c>
      <c r="K67" s="104">
        <v>85</v>
      </c>
      <c r="L67" s="104">
        <v>85</v>
      </c>
      <c r="M67" s="104">
        <v>85</v>
      </c>
      <c r="N67" s="104">
        <v>85</v>
      </c>
      <c r="O67" s="104">
        <v>85</v>
      </c>
      <c r="P67" s="104">
        <v>85</v>
      </c>
      <c r="Q67" s="104">
        <v>85</v>
      </c>
      <c r="R67" s="104">
        <v>85</v>
      </c>
      <c r="S67" s="104">
        <v>85</v>
      </c>
      <c r="T67" s="104">
        <v>85</v>
      </c>
      <c r="U67" s="104">
        <v>85</v>
      </c>
      <c r="V67" s="104">
        <v>85</v>
      </c>
      <c r="W67" s="104">
        <v>85</v>
      </c>
      <c r="X67" s="104">
        <v>85</v>
      </c>
      <c r="Y67" s="104">
        <v>85</v>
      </c>
      <c r="Z67" s="104">
        <v>85</v>
      </c>
      <c r="AA67" s="104">
        <v>85</v>
      </c>
      <c r="AB67" s="104">
        <v>85</v>
      </c>
      <c r="AC67" s="308">
        <v>85</v>
      </c>
      <c r="AD67" s="105"/>
      <c r="AE67" s="105"/>
      <c r="AF67" s="105"/>
      <c r="AG67" s="105"/>
      <c r="AH67" s="105"/>
      <c r="AI67" s="105"/>
      <c r="AJ67" s="105"/>
      <c r="AK67" s="105"/>
      <c r="AL67" s="489"/>
      <c r="AM67" s="489"/>
      <c r="AN67" s="489"/>
      <c r="AO67" s="489"/>
      <c r="AP67" s="489"/>
    </row>
    <row r="68" spans="1:42" ht="28.95" customHeight="1" thickBot="1" x14ac:dyDescent="0.35">
      <c r="A68" s="770" t="s">
        <v>159</v>
      </c>
      <c r="B68" s="771"/>
      <c r="C68" s="771"/>
      <c r="D68" s="771"/>
      <c r="E68" s="771"/>
      <c r="F68" s="771"/>
      <c r="G68" s="771"/>
      <c r="H68" s="771"/>
      <c r="I68" s="771"/>
      <c r="J68" s="771"/>
      <c r="K68" s="771"/>
      <c r="L68" s="771"/>
      <c r="M68" s="771"/>
      <c r="N68" s="771"/>
      <c r="O68" s="771"/>
      <c r="P68" s="771"/>
      <c r="Q68" s="771"/>
      <c r="R68" s="771"/>
      <c r="S68" s="771"/>
      <c r="T68" s="771"/>
      <c r="U68" s="771"/>
      <c r="V68" s="771"/>
      <c r="W68" s="771"/>
      <c r="X68" s="771"/>
      <c r="Y68" s="771"/>
      <c r="Z68" s="771"/>
      <c r="AA68" s="771"/>
      <c r="AB68" s="771"/>
      <c r="AC68" s="771"/>
      <c r="AD68" s="225"/>
    </row>
    <row r="69" spans="1:42" ht="26.25" customHeight="1" x14ac:dyDescent="0.3">
      <c r="A69" s="678" t="s">
        <v>679</v>
      </c>
      <c r="B69" s="692" t="s">
        <v>159</v>
      </c>
      <c r="C69" s="681" t="s">
        <v>655</v>
      </c>
      <c r="D69" s="684" t="s">
        <v>680</v>
      </c>
      <c r="E69" s="718" t="s">
        <v>657</v>
      </c>
      <c r="F69" s="714">
        <v>0</v>
      </c>
      <c r="G69" s="714">
        <v>0</v>
      </c>
      <c r="H69" s="714">
        <v>0</v>
      </c>
      <c r="I69" s="714">
        <v>0</v>
      </c>
      <c r="J69" s="714">
        <v>0.05</v>
      </c>
      <c r="K69" s="714">
        <v>0.1</v>
      </c>
      <c r="L69" s="714">
        <v>0.25</v>
      </c>
      <c r="M69" s="714">
        <v>0.65</v>
      </c>
      <c r="N69" s="714">
        <v>0.65</v>
      </c>
      <c r="O69" s="714">
        <v>0.65</v>
      </c>
      <c r="P69" s="714">
        <v>0.65</v>
      </c>
      <c r="Q69" s="714">
        <v>0.6</v>
      </c>
      <c r="R69" s="714">
        <v>0.6</v>
      </c>
      <c r="S69" s="714">
        <v>0.65</v>
      </c>
      <c r="T69" s="714">
        <v>0.65</v>
      </c>
      <c r="U69" s="714">
        <v>0.65</v>
      </c>
      <c r="V69" s="714">
        <v>0.65</v>
      </c>
      <c r="W69" s="714">
        <v>0.4</v>
      </c>
      <c r="X69" s="714">
        <v>0.25</v>
      </c>
      <c r="Y69" s="714">
        <v>0.1</v>
      </c>
      <c r="Z69" s="714">
        <v>0.05</v>
      </c>
      <c r="AA69" s="714">
        <v>0.05</v>
      </c>
      <c r="AB69" s="714">
        <v>0.05</v>
      </c>
      <c r="AC69" s="716">
        <v>0</v>
      </c>
      <c r="AH69" s="38"/>
      <c r="AI69" s="38"/>
      <c r="AJ69" s="38"/>
      <c r="AK69" s="38"/>
      <c r="AM69" s="53"/>
    </row>
    <row r="70" spans="1:42" ht="10.5" customHeight="1" x14ac:dyDescent="0.3">
      <c r="A70" s="679"/>
      <c r="B70" s="690"/>
      <c r="C70" s="682"/>
      <c r="D70" s="685"/>
      <c r="E70" s="723"/>
      <c r="F70" s="715"/>
      <c r="G70" s="715"/>
      <c r="H70" s="715"/>
      <c r="I70" s="715"/>
      <c r="J70" s="715"/>
      <c r="K70" s="715"/>
      <c r="L70" s="715"/>
      <c r="M70" s="715"/>
      <c r="N70" s="715"/>
      <c r="O70" s="715"/>
      <c r="P70" s="715"/>
      <c r="Q70" s="715"/>
      <c r="R70" s="715"/>
      <c r="S70" s="715"/>
      <c r="T70" s="715"/>
      <c r="U70" s="715"/>
      <c r="V70" s="715"/>
      <c r="W70" s="715"/>
      <c r="X70" s="715"/>
      <c r="Y70" s="715"/>
      <c r="Z70" s="715"/>
      <c r="AA70" s="715"/>
      <c r="AB70" s="715"/>
      <c r="AC70" s="717"/>
      <c r="AH70" s="38"/>
      <c r="AI70" s="38"/>
      <c r="AJ70" s="38"/>
      <c r="AK70" s="38"/>
      <c r="AM70" s="53"/>
    </row>
    <row r="71" spans="1:42" ht="36" customHeight="1" x14ac:dyDescent="0.3">
      <c r="A71" s="679"/>
      <c r="B71" s="690"/>
      <c r="C71" s="682"/>
      <c r="D71" s="685"/>
      <c r="E71" s="296" t="s">
        <v>658</v>
      </c>
      <c r="F71" s="494">
        <v>0</v>
      </c>
      <c r="G71" s="494">
        <v>0</v>
      </c>
      <c r="H71" s="494">
        <v>0</v>
      </c>
      <c r="I71" s="494">
        <v>0</v>
      </c>
      <c r="J71" s="494">
        <v>0</v>
      </c>
      <c r="K71" s="494">
        <v>0</v>
      </c>
      <c r="L71" s="297">
        <v>0</v>
      </c>
      <c r="M71" s="297">
        <v>0.05</v>
      </c>
      <c r="N71" s="297">
        <v>0.05</v>
      </c>
      <c r="O71" s="297">
        <v>0.05</v>
      </c>
      <c r="P71" s="297">
        <v>0.05</v>
      </c>
      <c r="Q71" s="297">
        <v>0.05</v>
      </c>
      <c r="R71" s="297">
        <v>0.05</v>
      </c>
      <c r="S71" s="297">
        <v>0.05</v>
      </c>
      <c r="T71" s="297">
        <v>0.05</v>
      </c>
      <c r="U71" s="297">
        <v>0.05</v>
      </c>
      <c r="V71" s="297">
        <v>0.05</v>
      </c>
      <c r="W71" s="297">
        <v>0.05</v>
      </c>
      <c r="X71" s="298">
        <v>0.05</v>
      </c>
      <c r="Y71" s="494">
        <v>0.05</v>
      </c>
      <c r="Z71" s="494">
        <v>0</v>
      </c>
      <c r="AA71" s="494">
        <v>0</v>
      </c>
      <c r="AB71" s="494">
        <v>0</v>
      </c>
      <c r="AC71" s="299">
        <v>0</v>
      </c>
      <c r="AH71" s="38"/>
      <c r="AI71" s="38"/>
      <c r="AJ71" s="38"/>
      <c r="AK71" s="38"/>
      <c r="AM71" s="53"/>
    </row>
    <row r="72" spans="1:42" ht="29.4" customHeight="1" thickBot="1" x14ac:dyDescent="0.35">
      <c r="A72" s="680"/>
      <c r="B72" s="693"/>
      <c r="C72" s="683"/>
      <c r="D72" s="295" t="s">
        <v>681</v>
      </c>
      <c r="E72" s="300" t="s">
        <v>659</v>
      </c>
      <c r="F72" s="199">
        <v>0</v>
      </c>
      <c r="G72" s="199">
        <v>0</v>
      </c>
      <c r="H72" s="199">
        <v>0</v>
      </c>
      <c r="I72" s="199">
        <v>0</v>
      </c>
      <c r="J72" s="199">
        <v>0</v>
      </c>
      <c r="K72" s="199">
        <v>0</v>
      </c>
      <c r="L72" s="199">
        <v>0</v>
      </c>
      <c r="M72" s="199">
        <v>0.05</v>
      </c>
      <c r="N72" s="199">
        <v>0.05</v>
      </c>
      <c r="O72" s="199">
        <v>0.05</v>
      </c>
      <c r="P72" s="199">
        <v>0.05</v>
      </c>
      <c r="Q72" s="199">
        <v>0.05</v>
      </c>
      <c r="R72" s="199">
        <v>0.05</v>
      </c>
      <c r="S72" s="199">
        <v>0.05</v>
      </c>
      <c r="T72" s="199">
        <v>0.05</v>
      </c>
      <c r="U72" s="199">
        <v>0.05</v>
      </c>
      <c r="V72" s="199">
        <v>0.05</v>
      </c>
      <c r="W72" s="199">
        <v>0.05</v>
      </c>
      <c r="X72" s="199">
        <v>0.05</v>
      </c>
      <c r="Y72" s="199">
        <v>0.05</v>
      </c>
      <c r="Z72" s="199">
        <v>0</v>
      </c>
      <c r="AA72" s="199">
        <v>0</v>
      </c>
      <c r="AB72" s="199">
        <v>0</v>
      </c>
      <c r="AC72" s="301">
        <v>0</v>
      </c>
    </row>
    <row r="73" spans="1:42" ht="20.25" customHeight="1" x14ac:dyDescent="0.3">
      <c r="A73" s="678" t="s">
        <v>679</v>
      </c>
      <c r="B73" s="692" t="s">
        <v>159</v>
      </c>
      <c r="C73" s="681" t="s">
        <v>660</v>
      </c>
      <c r="D73" s="684" t="s">
        <v>680</v>
      </c>
      <c r="E73" s="718" t="s">
        <v>657</v>
      </c>
      <c r="F73" s="714">
        <v>0.05</v>
      </c>
      <c r="G73" s="714">
        <v>0.05</v>
      </c>
      <c r="H73" s="714">
        <v>0.05</v>
      </c>
      <c r="I73" s="714">
        <v>0.05</v>
      </c>
      <c r="J73" s="714">
        <v>0.1</v>
      </c>
      <c r="K73" s="714">
        <v>0.2</v>
      </c>
      <c r="L73" s="714">
        <v>0.4</v>
      </c>
      <c r="M73" s="714">
        <v>0.7</v>
      </c>
      <c r="N73" s="714">
        <v>0.8</v>
      </c>
      <c r="O73" s="714">
        <v>0.85</v>
      </c>
      <c r="P73" s="714">
        <v>0.85</v>
      </c>
      <c r="Q73" s="714">
        <v>0.85</v>
      </c>
      <c r="R73" s="714">
        <v>0.85</v>
      </c>
      <c r="S73" s="714">
        <v>0.85</v>
      </c>
      <c r="T73" s="714">
        <v>0.85</v>
      </c>
      <c r="U73" s="714">
        <v>0.85</v>
      </c>
      <c r="V73" s="714">
        <v>0.85</v>
      </c>
      <c r="W73" s="714">
        <v>0.8</v>
      </c>
      <c r="X73" s="714">
        <v>0.35</v>
      </c>
      <c r="Y73" s="714">
        <v>0.1</v>
      </c>
      <c r="Z73" s="714">
        <v>0.1</v>
      </c>
      <c r="AA73" s="714">
        <v>0.1</v>
      </c>
      <c r="AB73" s="714">
        <v>0.1</v>
      </c>
      <c r="AC73" s="716">
        <v>0.1</v>
      </c>
    </row>
    <row r="74" spans="1:42" ht="17.25" customHeight="1" x14ac:dyDescent="0.3">
      <c r="A74" s="679"/>
      <c r="B74" s="690"/>
      <c r="C74" s="682"/>
      <c r="D74" s="685"/>
      <c r="E74" s="719"/>
      <c r="F74" s="715"/>
      <c r="G74" s="715"/>
      <c r="H74" s="715"/>
      <c r="I74" s="715"/>
      <c r="J74" s="715"/>
      <c r="K74" s="715"/>
      <c r="L74" s="715"/>
      <c r="M74" s="715"/>
      <c r="N74" s="715"/>
      <c r="O74" s="715"/>
      <c r="P74" s="715"/>
      <c r="Q74" s="715"/>
      <c r="R74" s="715"/>
      <c r="S74" s="715"/>
      <c r="T74" s="715"/>
      <c r="U74" s="715"/>
      <c r="V74" s="715"/>
      <c r="W74" s="715"/>
      <c r="X74" s="715"/>
      <c r="Y74" s="715"/>
      <c r="Z74" s="715"/>
      <c r="AA74" s="715"/>
      <c r="AB74" s="715"/>
      <c r="AC74" s="717"/>
    </row>
    <row r="75" spans="1:42" ht="29.4" customHeight="1" x14ac:dyDescent="0.3">
      <c r="A75" s="679"/>
      <c r="B75" s="690"/>
      <c r="C75" s="682"/>
      <c r="D75" s="685"/>
      <c r="E75" s="302" t="s">
        <v>658</v>
      </c>
      <c r="F75" s="494">
        <v>0.05</v>
      </c>
      <c r="G75" s="494">
        <v>0.05</v>
      </c>
      <c r="H75" s="494">
        <v>0.05</v>
      </c>
      <c r="I75" s="494">
        <v>0.05</v>
      </c>
      <c r="J75" s="494">
        <v>0.05</v>
      </c>
      <c r="K75" s="494">
        <v>0.1</v>
      </c>
      <c r="L75" s="298">
        <v>0.1</v>
      </c>
      <c r="M75" s="298">
        <v>0.15</v>
      </c>
      <c r="N75" s="298">
        <v>0.15</v>
      </c>
      <c r="O75" s="298">
        <v>0.15</v>
      </c>
      <c r="P75" s="298">
        <v>0.15</v>
      </c>
      <c r="Q75" s="298">
        <v>0.15</v>
      </c>
      <c r="R75" s="298">
        <v>0.15</v>
      </c>
      <c r="S75" s="298">
        <v>0.15</v>
      </c>
      <c r="T75" s="298">
        <v>0.15</v>
      </c>
      <c r="U75" s="298">
        <v>0.15</v>
      </c>
      <c r="V75" s="298">
        <v>0.15</v>
      </c>
      <c r="W75" s="298">
        <v>0.1</v>
      </c>
      <c r="X75" s="494">
        <v>0.1</v>
      </c>
      <c r="Y75" s="494">
        <v>0.1</v>
      </c>
      <c r="Z75" s="298">
        <v>0.05</v>
      </c>
      <c r="AA75" s="298">
        <v>0.05</v>
      </c>
      <c r="AB75" s="298">
        <v>0.05</v>
      </c>
      <c r="AC75" s="303">
        <v>0.05</v>
      </c>
    </row>
    <row r="76" spans="1:42" ht="29.4" customHeight="1" thickBot="1" x14ac:dyDescent="0.35">
      <c r="A76" s="680"/>
      <c r="B76" s="693"/>
      <c r="C76" s="683"/>
      <c r="D76" s="338" t="s">
        <v>681</v>
      </c>
      <c r="E76" s="304" t="s">
        <v>659</v>
      </c>
      <c r="F76" s="104">
        <v>0.05</v>
      </c>
      <c r="G76" s="104">
        <v>0.05</v>
      </c>
      <c r="H76" s="104">
        <v>0.05</v>
      </c>
      <c r="I76" s="104">
        <v>0.05</v>
      </c>
      <c r="J76" s="104">
        <v>0.05</v>
      </c>
      <c r="K76" s="104">
        <v>0.1</v>
      </c>
      <c r="L76" s="486">
        <v>0.1</v>
      </c>
      <c r="M76" s="486">
        <v>0.15</v>
      </c>
      <c r="N76" s="486">
        <v>0.15</v>
      </c>
      <c r="O76" s="486">
        <v>0.15</v>
      </c>
      <c r="P76" s="486">
        <v>0.15</v>
      </c>
      <c r="Q76" s="486">
        <v>0.15</v>
      </c>
      <c r="R76" s="486">
        <v>0.15</v>
      </c>
      <c r="S76" s="486">
        <v>0.15</v>
      </c>
      <c r="T76" s="486">
        <v>0.15</v>
      </c>
      <c r="U76" s="486">
        <v>0.15</v>
      </c>
      <c r="V76" s="486">
        <v>0.15</v>
      </c>
      <c r="W76" s="486">
        <v>0.1</v>
      </c>
      <c r="X76" s="104">
        <v>0.1</v>
      </c>
      <c r="Y76" s="104">
        <v>0.1</v>
      </c>
      <c r="Z76" s="486">
        <v>0.05</v>
      </c>
      <c r="AA76" s="486">
        <v>0.05</v>
      </c>
      <c r="AB76" s="486">
        <v>0.05</v>
      </c>
      <c r="AC76" s="305">
        <v>0.05</v>
      </c>
    </row>
    <row r="77" spans="1:42" ht="26.25" customHeight="1" x14ac:dyDescent="0.3">
      <c r="A77" s="729" t="s">
        <v>679</v>
      </c>
      <c r="B77" s="715" t="s">
        <v>159</v>
      </c>
      <c r="C77" s="732" t="s">
        <v>666</v>
      </c>
      <c r="D77" s="685" t="s">
        <v>680</v>
      </c>
      <c r="E77" s="306" t="s">
        <v>657</v>
      </c>
      <c r="F77" s="492">
        <v>1</v>
      </c>
      <c r="G77" s="492">
        <v>1</v>
      </c>
      <c r="H77" s="492">
        <v>1</v>
      </c>
      <c r="I77" s="492">
        <v>1</v>
      </c>
      <c r="J77" s="492">
        <v>1</v>
      </c>
      <c r="K77" s="492">
        <v>1</v>
      </c>
      <c r="L77" s="492">
        <v>1</v>
      </c>
      <c r="M77" s="492">
        <v>1</v>
      </c>
      <c r="N77" s="492">
        <v>1</v>
      </c>
      <c r="O77" s="492">
        <v>1</v>
      </c>
      <c r="P77" s="492">
        <v>1</v>
      </c>
      <c r="Q77" s="492">
        <v>1</v>
      </c>
      <c r="R77" s="492">
        <v>1</v>
      </c>
      <c r="S77" s="492">
        <v>1</v>
      </c>
      <c r="T77" s="492">
        <v>1</v>
      </c>
      <c r="U77" s="492">
        <v>1</v>
      </c>
      <c r="V77" s="492">
        <v>1</v>
      </c>
      <c r="W77" s="492">
        <v>1</v>
      </c>
      <c r="X77" s="492">
        <v>1</v>
      </c>
      <c r="Y77" s="492">
        <v>1</v>
      </c>
      <c r="Z77" s="492">
        <v>1</v>
      </c>
      <c r="AA77" s="492">
        <v>1</v>
      </c>
      <c r="AB77" s="492">
        <v>1</v>
      </c>
      <c r="AC77" s="493">
        <v>1</v>
      </c>
    </row>
    <row r="78" spans="1:42" ht="26.25" customHeight="1" x14ac:dyDescent="0.3">
      <c r="A78" s="729"/>
      <c r="B78" s="731"/>
      <c r="C78" s="732"/>
      <c r="D78" s="685"/>
      <c r="E78" s="302" t="s">
        <v>658</v>
      </c>
      <c r="F78" s="494">
        <v>1</v>
      </c>
      <c r="G78" s="494">
        <v>1</v>
      </c>
      <c r="H78" s="494">
        <v>1</v>
      </c>
      <c r="I78" s="494">
        <v>1</v>
      </c>
      <c r="J78" s="494">
        <v>1</v>
      </c>
      <c r="K78" s="494">
        <v>1</v>
      </c>
      <c r="L78" s="494">
        <v>1</v>
      </c>
      <c r="M78" s="494">
        <v>1</v>
      </c>
      <c r="N78" s="494">
        <v>1</v>
      </c>
      <c r="O78" s="494">
        <v>1</v>
      </c>
      <c r="P78" s="494">
        <v>1</v>
      </c>
      <c r="Q78" s="494">
        <v>1</v>
      </c>
      <c r="R78" s="494">
        <v>1</v>
      </c>
      <c r="S78" s="494">
        <v>1</v>
      </c>
      <c r="T78" s="494">
        <v>1</v>
      </c>
      <c r="U78" s="494">
        <v>1</v>
      </c>
      <c r="V78" s="494">
        <v>1</v>
      </c>
      <c r="W78" s="494">
        <v>1</v>
      </c>
      <c r="X78" s="494">
        <v>1</v>
      </c>
      <c r="Y78" s="494">
        <v>1</v>
      </c>
      <c r="Z78" s="494">
        <v>1</v>
      </c>
      <c r="AA78" s="494">
        <v>1</v>
      </c>
      <c r="AB78" s="494">
        <v>1</v>
      </c>
      <c r="AC78" s="299">
        <v>1</v>
      </c>
    </row>
    <row r="79" spans="1:42" ht="26.25" customHeight="1" thickBot="1" x14ac:dyDescent="0.35">
      <c r="A79" s="730"/>
      <c r="B79" s="731"/>
      <c r="C79" s="733"/>
      <c r="D79" s="734"/>
      <c r="E79" s="307" t="s">
        <v>659</v>
      </c>
      <c r="F79" s="104">
        <v>1</v>
      </c>
      <c r="G79" s="104">
        <v>1</v>
      </c>
      <c r="H79" s="104">
        <v>1</v>
      </c>
      <c r="I79" s="104">
        <v>1</v>
      </c>
      <c r="J79" s="104">
        <v>1</v>
      </c>
      <c r="K79" s="104">
        <v>1</v>
      </c>
      <c r="L79" s="104">
        <v>1</v>
      </c>
      <c r="M79" s="104">
        <v>1</v>
      </c>
      <c r="N79" s="104">
        <v>1</v>
      </c>
      <c r="O79" s="104">
        <v>1</v>
      </c>
      <c r="P79" s="104">
        <v>1</v>
      </c>
      <c r="Q79" s="104">
        <v>1</v>
      </c>
      <c r="R79" s="104">
        <v>1</v>
      </c>
      <c r="S79" s="104">
        <v>1</v>
      </c>
      <c r="T79" s="104">
        <v>1</v>
      </c>
      <c r="U79" s="104">
        <v>1</v>
      </c>
      <c r="V79" s="104">
        <v>1</v>
      </c>
      <c r="W79" s="104">
        <v>1</v>
      </c>
      <c r="X79" s="104">
        <v>1</v>
      </c>
      <c r="Y79" s="104">
        <v>1</v>
      </c>
      <c r="Z79" s="104">
        <v>1</v>
      </c>
      <c r="AA79" s="104">
        <v>1</v>
      </c>
      <c r="AB79" s="104">
        <v>1</v>
      </c>
      <c r="AC79" s="308">
        <v>1</v>
      </c>
    </row>
    <row r="80" spans="1:42" ht="26.25" customHeight="1" x14ac:dyDescent="0.3">
      <c r="A80" s="724" t="s">
        <v>679</v>
      </c>
      <c r="B80" s="690" t="s">
        <v>159</v>
      </c>
      <c r="C80" s="725" t="s">
        <v>662</v>
      </c>
      <c r="D80" s="726" t="s">
        <v>680</v>
      </c>
      <c r="E80" s="306" t="s">
        <v>657</v>
      </c>
      <c r="F80" s="309">
        <v>0</v>
      </c>
      <c r="G80" s="309">
        <v>0</v>
      </c>
      <c r="H80" s="309">
        <v>0</v>
      </c>
      <c r="I80" s="309">
        <v>0</v>
      </c>
      <c r="J80" s="309">
        <v>0.1</v>
      </c>
      <c r="K80" s="309">
        <v>0.1</v>
      </c>
      <c r="L80" s="309">
        <v>0.5</v>
      </c>
      <c r="M80" s="309">
        <v>0.5</v>
      </c>
      <c r="N80" s="309">
        <v>0.5</v>
      </c>
      <c r="O80" s="309">
        <v>0.5</v>
      </c>
      <c r="P80" s="309">
        <v>0.7</v>
      </c>
      <c r="Q80" s="309">
        <v>0.9</v>
      </c>
      <c r="R80" s="309">
        <v>0.9</v>
      </c>
      <c r="S80" s="309">
        <v>0.5</v>
      </c>
      <c r="T80" s="309">
        <v>0.5</v>
      </c>
      <c r="U80" s="309">
        <v>0.7</v>
      </c>
      <c r="V80" s="309">
        <v>0.5</v>
      </c>
      <c r="W80" s="309">
        <v>0.5</v>
      </c>
      <c r="X80" s="309">
        <v>0.5</v>
      </c>
      <c r="Y80" s="309">
        <v>0.1</v>
      </c>
      <c r="Z80" s="309">
        <v>0.1</v>
      </c>
      <c r="AA80" s="309">
        <v>0.1</v>
      </c>
      <c r="AB80" s="309">
        <v>0.1</v>
      </c>
      <c r="AC80" s="310">
        <v>0</v>
      </c>
    </row>
    <row r="81" spans="1:29" ht="26.25" customHeight="1" x14ac:dyDescent="0.3">
      <c r="A81" s="679"/>
      <c r="B81" s="690"/>
      <c r="C81" s="682"/>
      <c r="D81" s="685"/>
      <c r="E81" s="302" t="s">
        <v>658</v>
      </c>
      <c r="F81" s="311">
        <v>0</v>
      </c>
      <c r="G81" s="311">
        <v>0</v>
      </c>
      <c r="H81" s="311">
        <v>0</v>
      </c>
      <c r="I81" s="311">
        <v>0</v>
      </c>
      <c r="J81" s="311">
        <v>0</v>
      </c>
      <c r="K81" s="311">
        <v>0</v>
      </c>
      <c r="L81" s="311">
        <v>0</v>
      </c>
      <c r="M81" s="311">
        <v>0</v>
      </c>
      <c r="N81" s="311">
        <v>0</v>
      </c>
      <c r="O81" s="311">
        <v>0</v>
      </c>
      <c r="P81" s="311">
        <v>0</v>
      </c>
      <c r="Q81" s="311">
        <v>0</v>
      </c>
      <c r="R81" s="311">
        <v>0</v>
      </c>
      <c r="S81" s="311">
        <v>0</v>
      </c>
      <c r="T81" s="311">
        <v>0</v>
      </c>
      <c r="U81" s="311">
        <v>0</v>
      </c>
      <c r="V81" s="311">
        <v>0</v>
      </c>
      <c r="W81" s="311">
        <v>0</v>
      </c>
      <c r="X81" s="311">
        <v>0</v>
      </c>
      <c r="Y81" s="311">
        <v>0</v>
      </c>
      <c r="Z81" s="311">
        <v>0</v>
      </c>
      <c r="AA81" s="311">
        <v>0</v>
      </c>
      <c r="AB81" s="311">
        <v>0</v>
      </c>
      <c r="AC81" s="312">
        <v>0</v>
      </c>
    </row>
    <row r="82" spans="1:29" ht="26.25" customHeight="1" thickBot="1" x14ac:dyDescent="0.35">
      <c r="A82" s="680"/>
      <c r="B82" s="693"/>
      <c r="C82" s="708"/>
      <c r="D82" s="686"/>
      <c r="E82" s="307" t="s">
        <v>659</v>
      </c>
      <c r="F82" s="313">
        <v>0</v>
      </c>
      <c r="G82" s="313">
        <v>0</v>
      </c>
      <c r="H82" s="313">
        <v>0</v>
      </c>
      <c r="I82" s="313">
        <v>0</v>
      </c>
      <c r="J82" s="313">
        <v>0</v>
      </c>
      <c r="K82" s="313">
        <v>0</v>
      </c>
      <c r="L82" s="313">
        <v>0</v>
      </c>
      <c r="M82" s="313">
        <v>0</v>
      </c>
      <c r="N82" s="313">
        <v>0</v>
      </c>
      <c r="O82" s="313">
        <v>0</v>
      </c>
      <c r="P82" s="313">
        <v>0</v>
      </c>
      <c r="Q82" s="313">
        <v>0</v>
      </c>
      <c r="R82" s="313">
        <v>0</v>
      </c>
      <c r="S82" s="313">
        <v>0</v>
      </c>
      <c r="T82" s="313">
        <v>0</v>
      </c>
      <c r="U82" s="313">
        <v>0</v>
      </c>
      <c r="V82" s="313">
        <v>0</v>
      </c>
      <c r="W82" s="313">
        <v>0</v>
      </c>
      <c r="X82" s="313">
        <v>0</v>
      </c>
      <c r="Y82" s="313">
        <v>0</v>
      </c>
      <c r="Z82" s="313">
        <v>0</v>
      </c>
      <c r="AA82" s="313">
        <v>0</v>
      </c>
      <c r="AB82" s="313">
        <v>0</v>
      </c>
      <c r="AC82" s="314">
        <v>0</v>
      </c>
    </row>
    <row r="83" spans="1:29" s="106" customFormat="1" ht="26.25" customHeight="1" x14ac:dyDescent="0.3">
      <c r="A83" s="678" t="s">
        <v>679</v>
      </c>
      <c r="B83" s="692" t="s">
        <v>159</v>
      </c>
      <c r="C83" s="711" t="s">
        <v>287</v>
      </c>
      <c r="D83" s="684" t="s">
        <v>680</v>
      </c>
      <c r="E83" s="315" t="s">
        <v>657</v>
      </c>
      <c r="F83" s="492">
        <v>0.25</v>
      </c>
      <c r="G83" s="492">
        <v>0.25</v>
      </c>
      <c r="H83" s="492">
        <v>0.25</v>
      </c>
      <c r="I83" s="492">
        <v>0.25</v>
      </c>
      <c r="J83" s="492">
        <v>0.25</v>
      </c>
      <c r="K83" s="492">
        <v>0.25</v>
      </c>
      <c r="L83" s="492">
        <v>0.25</v>
      </c>
      <c r="M83" s="492">
        <v>0.25</v>
      </c>
      <c r="N83" s="492">
        <v>0.25</v>
      </c>
      <c r="O83" s="492">
        <v>0.25</v>
      </c>
      <c r="P83" s="492">
        <v>0.25</v>
      </c>
      <c r="Q83" s="492">
        <v>0.25</v>
      </c>
      <c r="R83" s="492">
        <v>0.25</v>
      </c>
      <c r="S83" s="492">
        <v>0.25</v>
      </c>
      <c r="T83" s="492">
        <v>0.25</v>
      </c>
      <c r="U83" s="492">
        <v>0.25</v>
      </c>
      <c r="V83" s="492">
        <v>0.25</v>
      </c>
      <c r="W83" s="492">
        <v>0.25</v>
      </c>
      <c r="X83" s="492">
        <v>0.25</v>
      </c>
      <c r="Y83" s="492">
        <v>0.25</v>
      </c>
      <c r="Z83" s="492">
        <v>0.25</v>
      </c>
      <c r="AA83" s="492">
        <v>0.25</v>
      </c>
      <c r="AB83" s="492">
        <v>0.25</v>
      </c>
      <c r="AC83" s="493">
        <v>0.25</v>
      </c>
    </row>
    <row r="84" spans="1:29" ht="26.25" customHeight="1" x14ac:dyDescent="0.3">
      <c r="A84" s="679"/>
      <c r="B84" s="690"/>
      <c r="C84" s="682"/>
      <c r="D84" s="685"/>
      <c r="E84" s="302" t="s">
        <v>658</v>
      </c>
      <c r="F84" s="494">
        <v>0.25</v>
      </c>
      <c r="G84" s="494">
        <v>0.25</v>
      </c>
      <c r="H84" s="494">
        <v>0.25</v>
      </c>
      <c r="I84" s="494">
        <v>0.25</v>
      </c>
      <c r="J84" s="494">
        <v>0.25</v>
      </c>
      <c r="K84" s="494">
        <v>0.25</v>
      </c>
      <c r="L84" s="494">
        <v>0.25</v>
      </c>
      <c r="M84" s="494">
        <v>0.25</v>
      </c>
      <c r="N84" s="494">
        <v>0.25</v>
      </c>
      <c r="O84" s="494">
        <v>0.25</v>
      </c>
      <c r="P84" s="494">
        <v>0.25</v>
      </c>
      <c r="Q84" s="494">
        <v>0.25</v>
      </c>
      <c r="R84" s="494">
        <v>0.25</v>
      </c>
      <c r="S84" s="494">
        <v>0.25</v>
      </c>
      <c r="T84" s="494">
        <v>0.25</v>
      </c>
      <c r="U84" s="494">
        <v>0.25</v>
      </c>
      <c r="V84" s="494">
        <v>0.25</v>
      </c>
      <c r="W84" s="494">
        <v>0.25</v>
      </c>
      <c r="X84" s="494">
        <v>0.25</v>
      </c>
      <c r="Y84" s="494">
        <v>0.25</v>
      </c>
      <c r="Z84" s="494">
        <v>0.25</v>
      </c>
      <c r="AA84" s="494">
        <v>0.25</v>
      </c>
      <c r="AB84" s="494">
        <v>0.25</v>
      </c>
      <c r="AC84" s="299">
        <v>0.25</v>
      </c>
    </row>
    <row r="85" spans="1:29" ht="26.25" customHeight="1" thickBot="1" x14ac:dyDescent="0.35">
      <c r="A85" s="680"/>
      <c r="B85" s="693"/>
      <c r="C85" s="683"/>
      <c r="D85" s="727"/>
      <c r="E85" s="316" t="s">
        <v>659</v>
      </c>
      <c r="F85" s="199">
        <v>0.25</v>
      </c>
      <c r="G85" s="199">
        <v>0.25</v>
      </c>
      <c r="H85" s="199">
        <v>0.25</v>
      </c>
      <c r="I85" s="199">
        <v>0.25</v>
      </c>
      <c r="J85" s="199">
        <v>0.25</v>
      </c>
      <c r="K85" s="199">
        <v>0.25</v>
      </c>
      <c r="L85" s="199">
        <v>0.25</v>
      </c>
      <c r="M85" s="199">
        <v>0.25</v>
      </c>
      <c r="N85" s="199">
        <v>0.25</v>
      </c>
      <c r="O85" s="199">
        <v>0.25</v>
      </c>
      <c r="P85" s="199">
        <v>0.25</v>
      </c>
      <c r="Q85" s="199">
        <v>0.25</v>
      </c>
      <c r="R85" s="199">
        <v>0.25</v>
      </c>
      <c r="S85" s="199">
        <v>0.25</v>
      </c>
      <c r="T85" s="199">
        <v>0.25</v>
      </c>
      <c r="U85" s="199">
        <v>0.25</v>
      </c>
      <c r="V85" s="199">
        <v>0.25</v>
      </c>
      <c r="W85" s="199">
        <v>0.25</v>
      </c>
      <c r="X85" s="199">
        <v>0.25</v>
      </c>
      <c r="Y85" s="199">
        <v>0.25</v>
      </c>
      <c r="Z85" s="199">
        <v>0.25</v>
      </c>
      <c r="AA85" s="199">
        <v>0.25</v>
      </c>
      <c r="AB85" s="199">
        <v>0.25</v>
      </c>
      <c r="AC85" s="301">
        <v>0.25</v>
      </c>
    </row>
    <row r="86" spans="1:29" ht="26.25" customHeight="1" x14ac:dyDescent="0.3">
      <c r="A86" s="678" t="s">
        <v>679</v>
      </c>
      <c r="B86" s="692" t="s">
        <v>159</v>
      </c>
      <c r="C86" s="681" t="s">
        <v>672</v>
      </c>
      <c r="D86" s="728" t="s">
        <v>682</v>
      </c>
      <c r="E86" s="317" t="s">
        <v>657</v>
      </c>
      <c r="F86" s="102">
        <v>80</v>
      </c>
      <c r="G86" s="102">
        <v>80</v>
      </c>
      <c r="H86" s="102">
        <v>80</v>
      </c>
      <c r="I86" s="102">
        <v>80</v>
      </c>
      <c r="J86" s="102">
        <v>80</v>
      </c>
      <c r="K86" s="102">
        <v>80</v>
      </c>
      <c r="L86" s="102">
        <v>80</v>
      </c>
      <c r="M86" s="102">
        <v>80</v>
      </c>
      <c r="N86" s="102">
        <v>80</v>
      </c>
      <c r="O86" s="102">
        <v>80</v>
      </c>
      <c r="P86" s="102">
        <v>80</v>
      </c>
      <c r="Q86" s="102">
        <v>80</v>
      </c>
      <c r="R86" s="102">
        <v>80</v>
      </c>
      <c r="S86" s="102">
        <v>80</v>
      </c>
      <c r="T86" s="102">
        <v>80</v>
      </c>
      <c r="U86" s="102">
        <v>80</v>
      </c>
      <c r="V86" s="102">
        <v>80</v>
      </c>
      <c r="W86" s="102">
        <v>80</v>
      </c>
      <c r="X86" s="102">
        <v>80</v>
      </c>
      <c r="Y86" s="102">
        <v>80</v>
      </c>
      <c r="Z86" s="102">
        <v>80</v>
      </c>
      <c r="AA86" s="102">
        <v>80</v>
      </c>
      <c r="AB86" s="102">
        <v>80</v>
      </c>
      <c r="AC86" s="318">
        <v>80</v>
      </c>
    </row>
    <row r="87" spans="1:29" ht="26.25" customHeight="1" x14ac:dyDescent="0.3">
      <c r="A87" s="679"/>
      <c r="B87" s="690"/>
      <c r="C87" s="682"/>
      <c r="D87" s="685"/>
      <c r="E87" s="319" t="s">
        <v>658</v>
      </c>
      <c r="F87" s="494">
        <v>80</v>
      </c>
      <c r="G87" s="494">
        <v>80</v>
      </c>
      <c r="H87" s="494">
        <v>80</v>
      </c>
      <c r="I87" s="494">
        <v>80</v>
      </c>
      <c r="J87" s="494">
        <v>80</v>
      </c>
      <c r="K87" s="494">
        <v>80</v>
      </c>
      <c r="L87" s="494">
        <v>80</v>
      </c>
      <c r="M87" s="494">
        <v>80</v>
      </c>
      <c r="N87" s="494">
        <v>80</v>
      </c>
      <c r="O87" s="494">
        <v>80</v>
      </c>
      <c r="P87" s="494">
        <v>80</v>
      </c>
      <c r="Q87" s="494">
        <v>80</v>
      </c>
      <c r="R87" s="494">
        <v>80</v>
      </c>
      <c r="S87" s="494">
        <v>80</v>
      </c>
      <c r="T87" s="494">
        <v>80</v>
      </c>
      <c r="U87" s="494">
        <v>80</v>
      </c>
      <c r="V87" s="494">
        <v>80</v>
      </c>
      <c r="W87" s="494">
        <v>80</v>
      </c>
      <c r="X87" s="494">
        <v>80</v>
      </c>
      <c r="Y87" s="494">
        <v>80</v>
      </c>
      <c r="Z87" s="494">
        <v>80</v>
      </c>
      <c r="AA87" s="494">
        <v>80</v>
      </c>
      <c r="AB87" s="494">
        <v>80</v>
      </c>
      <c r="AC87" s="299">
        <v>80</v>
      </c>
    </row>
    <row r="88" spans="1:29" ht="26.25" customHeight="1" thickBot="1" x14ac:dyDescent="0.35">
      <c r="A88" s="679"/>
      <c r="B88" s="690"/>
      <c r="C88" s="682"/>
      <c r="D88" s="685"/>
      <c r="E88" s="337" t="s">
        <v>659</v>
      </c>
      <c r="F88" s="199">
        <v>80</v>
      </c>
      <c r="G88" s="199">
        <v>80</v>
      </c>
      <c r="H88" s="199">
        <v>80</v>
      </c>
      <c r="I88" s="199">
        <v>80</v>
      </c>
      <c r="J88" s="199">
        <v>80</v>
      </c>
      <c r="K88" s="199">
        <v>80</v>
      </c>
      <c r="L88" s="199">
        <v>80</v>
      </c>
      <c r="M88" s="199">
        <v>80</v>
      </c>
      <c r="N88" s="199">
        <v>80</v>
      </c>
      <c r="O88" s="199">
        <v>80</v>
      </c>
      <c r="P88" s="199">
        <v>80</v>
      </c>
      <c r="Q88" s="199">
        <v>80</v>
      </c>
      <c r="R88" s="199">
        <v>80</v>
      </c>
      <c r="S88" s="199">
        <v>80</v>
      </c>
      <c r="T88" s="199">
        <v>80</v>
      </c>
      <c r="U88" s="199">
        <v>80</v>
      </c>
      <c r="V88" s="199">
        <v>80</v>
      </c>
      <c r="W88" s="199">
        <v>80</v>
      </c>
      <c r="X88" s="199">
        <v>80</v>
      </c>
      <c r="Y88" s="199">
        <v>80</v>
      </c>
      <c r="Z88" s="199">
        <v>80</v>
      </c>
      <c r="AA88" s="199">
        <v>80</v>
      </c>
      <c r="AB88" s="199">
        <v>80</v>
      </c>
      <c r="AC88" s="301">
        <v>80</v>
      </c>
    </row>
    <row r="89" spans="1:29" ht="40.5" customHeight="1" thickBot="1" x14ac:dyDescent="0.35">
      <c r="A89" s="720" t="s">
        <v>366</v>
      </c>
      <c r="B89" s="721"/>
      <c r="C89" s="721"/>
      <c r="D89" s="721"/>
      <c r="E89" s="721"/>
      <c r="F89" s="721"/>
      <c r="G89" s="721"/>
      <c r="H89" s="721"/>
      <c r="I89" s="721"/>
      <c r="J89" s="721"/>
      <c r="K89" s="721"/>
      <c r="L89" s="721"/>
      <c r="M89" s="721"/>
      <c r="N89" s="721"/>
      <c r="O89" s="721"/>
      <c r="P89" s="721"/>
      <c r="Q89" s="721"/>
      <c r="R89" s="721"/>
      <c r="S89" s="721"/>
      <c r="T89" s="721"/>
      <c r="U89" s="721"/>
      <c r="V89" s="721"/>
      <c r="W89" s="721"/>
      <c r="X89" s="721"/>
      <c r="Y89" s="721"/>
      <c r="Z89" s="721"/>
      <c r="AA89" s="721"/>
      <c r="AB89" s="721"/>
      <c r="AC89" s="722"/>
    </row>
    <row r="90" spans="1:29" ht="27.75" customHeight="1" x14ac:dyDescent="0.3">
      <c r="A90" s="678" t="s">
        <v>366</v>
      </c>
      <c r="B90" s="692" t="s">
        <v>154</v>
      </c>
      <c r="C90" s="681" t="s">
        <v>655</v>
      </c>
      <c r="D90" s="684" t="s">
        <v>680</v>
      </c>
      <c r="E90" s="718" t="s">
        <v>657</v>
      </c>
      <c r="F90" s="714">
        <v>0</v>
      </c>
      <c r="G90" s="714">
        <v>0</v>
      </c>
      <c r="H90" s="714">
        <v>0</v>
      </c>
      <c r="I90" s="714">
        <v>0</v>
      </c>
      <c r="J90" s="714">
        <v>0</v>
      </c>
      <c r="K90" s="714">
        <v>0</v>
      </c>
      <c r="L90" s="714">
        <v>0.1</v>
      </c>
      <c r="M90" s="714">
        <v>0.2</v>
      </c>
      <c r="N90" s="714">
        <v>0.95</v>
      </c>
      <c r="O90" s="714">
        <v>0.95</v>
      </c>
      <c r="P90" s="714">
        <v>0.95</v>
      </c>
      <c r="Q90" s="714">
        <v>0.95</v>
      </c>
      <c r="R90" s="714">
        <v>0.5</v>
      </c>
      <c r="S90" s="714">
        <v>0.95</v>
      </c>
      <c r="T90" s="714">
        <v>0.95</v>
      </c>
      <c r="U90" s="714">
        <v>0.95</v>
      </c>
      <c r="V90" s="714">
        <v>0.95</v>
      </c>
      <c r="W90" s="714">
        <v>0.3</v>
      </c>
      <c r="X90" s="714">
        <v>0.1</v>
      </c>
      <c r="Y90" s="714">
        <v>0.1</v>
      </c>
      <c r="Z90" s="714">
        <v>0.1</v>
      </c>
      <c r="AA90" s="714">
        <v>0.1</v>
      </c>
      <c r="AB90" s="714">
        <v>0.05</v>
      </c>
      <c r="AC90" s="716">
        <v>0.05</v>
      </c>
    </row>
    <row r="91" spans="1:29" ht="27.75" customHeight="1" x14ac:dyDescent="0.3">
      <c r="A91" s="679"/>
      <c r="B91" s="690"/>
      <c r="C91" s="682"/>
      <c r="D91" s="685"/>
      <c r="E91" s="723"/>
      <c r="F91" s="715"/>
      <c r="G91" s="715"/>
      <c r="H91" s="715"/>
      <c r="I91" s="715"/>
      <c r="J91" s="715"/>
      <c r="K91" s="715"/>
      <c r="L91" s="715"/>
      <c r="M91" s="715"/>
      <c r="N91" s="715"/>
      <c r="O91" s="715"/>
      <c r="P91" s="715"/>
      <c r="Q91" s="715"/>
      <c r="R91" s="715"/>
      <c r="S91" s="715"/>
      <c r="T91" s="715"/>
      <c r="U91" s="715"/>
      <c r="V91" s="715"/>
      <c r="W91" s="715"/>
      <c r="X91" s="715"/>
      <c r="Y91" s="715"/>
      <c r="Z91" s="715"/>
      <c r="AA91" s="715"/>
      <c r="AB91" s="715"/>
      <c r="AC91" s="717"/>
    </row>
    <row r="92" spans="1:29" ht="27.75" customHeight="1" x14ac:dyDescent="0.3">
      <c r="A92" s="679"/>
      <c r="B92" s="690"/>
      <c r="C92" s="682"/>
      <c r="D92" s="685"/>
      <c r="E92" s="296" t="s">
        <v>658</v>
      </c>
      <c r="F92" s="494">
        <v>0</v>
      </c>
      <c r="G92" s="494">
        <v>0</v>
      </c>
      <c r="H92" s="494">
        <v>0</v>
      </c>
      <c r="I92" s="494">
        <v>0</v>
      </c>
      <c r="J92" s="494">
        <v>0</v>
      </c>
      <c r="K92" s="494">
        <v>0</v>
      </c>
      <c r="L92" s="297">
        <v>0.05</v>
      </c>
      <c r="M92" s="297">
        <v>0.05</v>
      </c>
      <c r="N92" s="297">
        <v>0.05</v>
      </c>
      <c r="O92" s="297">
        <v>0.05</v>
      </c>
      <c r="P92" s="297">
        <v>0.05</v>
      </c>
      <c r="Q92" s="297">
        <v>0.05</v>
      </c>
      <c r="R92" s="297">
        <v>0.05</v>
      </c>
      <c r="S92" s="297">
        <v>0.05</v>
      </c>
      <c r="T92" s="297">
        <v>0.05</v>
      </c>
      <c r="U92" s="297">
        <v>0.05</v>
      </c>
      <c r="V92" s="297">
        <v>0.05</v>
      </c>
      <c r="W92" s="297">
        <v>0.05</v>
      </c>
      <c r="X92" s="494">
        <v>0</v>
      </c>
      <c r="Y92" s="494">
        <v>0</v>
      </c>
      <c r="Z92" s="494">
        <v>0</v>
      </c>
      <c r="AA92" s="494">
        <v>0</v>
      </c>
      <c r="AB92" s="494">
        <v>0</v>
      </c>
      <c r="AC92" s="299">
        <v>0</v>
      </c>
    </row>
    <row r="93" spans="1:29" ht="27.75" customHeight="1" thickBot="1" x14ac:dyDescent="0.35">
      <c r="A93" s="680"/>
      <c r="B93" s="693"/>
      <c r="C93" s="683"/>
      <c r="D93" s="295" t="s">
        <v>681</v>
      </c>
      <c r="E93" s="300" t="s">
        <v>659</v>
      </c>
      <c r="F93" s="199">
        <v>0</v>
      </c>
      <c r="G93" s="199">
        <v>0</v>
      </c>
      <c r="H93" s="199">
        <v>0</v>
      </c>
      <c r="I93" s="199">
        <v>0</v>
      </c>
      <c r="J93" s="199">
        <v>0</v>
      </c>
      <c r="K93" s="199">
        <v>0</v>
      </c>
      <c r="L93" s="199">
        <v>0.05</v>
      </c>
      <c r="M93" s="199">
        <v>0.05</v>
      </c>
      <c r="N93" s="199">
        <v>0.05</v>
      </c>
      <c r="O93" s="199">
        <v>0.05</v>
      </c>
      <c r="P93" s="199">
        <v>0.05</v>
      </c>
      <c r="Q93" s="199">
        <v>0.05</v>
      </c>
      <c r="R93" s="199">
        <v>0.05</v>
      </c>
      <c r="S93" s="199">
        <v>0.05</v>
      </c>
      <c r="T93" s="199">
        <v>0.05</v>
      </c>
      <c r="U93" s="199">
        <v>0.05</v>
      </c>
      <c r="V93" s="199">
        <v>0.05</v>
      </c>
      <c r="W93" s="199">
        <v>0.05</v>
      </c>
      <c r="X93" s="199">
        <v>0</v>
      </c>
      <c r="Y93" s="199">
        <v>0</v>
      </c>
      <c r="Z93" s="199">
        <v>0</v>
      </c>
      <c r="AA93" s="199">
        <v>0</v>
      </c>
      <c r="AB93" s="199">
        <v>0</v>
      </c>
      <c r="AC93" s="301">
        <v>0</v>
      </c>
    </row>
    <row r="94" spans="1:29" ht="27.75" customHeight="1" x14ac:dyDescent="0.3">
      <c r="A94" s="678" t="s">
        <v>366</v>
      </c>
      <c r="B94" s="692" t="s">
        <v>154</v>
      </c>
      <c r="C94" s="681" t="s">
        <v>660</v>
      </c>
      <c r="D94" s="684" t="s">
        <v>680</v>
      </c>
      <c r="E94" s="718" t="s">
        <v>657</v>
      </c>
      <c r="F94" s="714">
        <v>0.05</v>
      </c>
      <c r="G94" s="714">
        <v>0.05</v>
      </c>
      <c r="H94" s="714">
        <v>0.05</v>
      </c>
      <c r="I94" s="714">
        <v>0.05</v>
      </c>
      <c r="J94" s="714">
        <v>0.05</v>
      </c>
      <c r="K94" s="714">
        <v>0.1</v>
      </c>
      <c r="L94" s="714">
        <v>0.1</v>
      </c>
      <c r="M94" s="714">
        <v>0.3</v>
      </c>
      <c r="N94" s="714">
        <v>0.65</v>
      </c>
      <c r="O94" s="714">
        <v>0.65</v>
      </c>
      <c r="P94" s="714">
        <v>0.65</v>
      </c>
      <c r="Q94" s="714">
        <v>0.65</v>
      </c>
      <c r="R94" s="714">
        <v>0.65</v>
      </c>
      <c r="S94" s="714">
        <v>0.65</v>
      </c>
      <c r="T94" s="714">
        <v>0.65</v>
      </c>
      <c r="U94" s="714">
        <v>0.65</v>
      </c>
      <c r="V94" s="714">
        <v>0.65</v>
      </c>
      <c r="W94" s="714">
        <v>0.35</v>
      </c>
      <c r="X94" s="714">
        <v>0.3</v>
      </c>
      <c r="Y94" s="714">
        <v>0.3</v>
      </c>
      <c r="Z94" s="714">
        <v>0.2</v>
      </c>
      <c r="AA94" s="714">
        <v>0.2</v>
      </c>
      <c r="AB94" s="714">
        <v>0.1</v>
      </c>
      <c r="AC94" s="716">
        <v>0.05</v>
      </c>
    </row>
    <row r="95" spans="1:29" ht="27.75" customHeight="1" x14ac:dyDescent="0.3">
      <c r="A95" s="679"/>
      <c r="B95" s="690"/>
      <c r="C95" s="682"/>
      <c r="D95" s="685"/>
      <c r="E95" s="719"/>
      <c r="F95" s="715"/>
      <c r="G95" s="715"/>
      <c r="H95" s="715"/>
      <c r="I95" s="715"/>
      <c r="J95" s="715"/>
      <c r="K95" s="715"/>
      <c r="L95" s="715"/>
      <c r="M95" s="715"/>
      <c r="N95" s="715"/>
      <c r="O95" s="715"/>
      <c r="P95" s="715"/>
      <c r="Q95" s="715"/>
      <c r="R95" s="715"/>
      <c r="S95" s="715"/>
      <c r="T95" s="715"/>
      <c r="U95" s="715"/>
      <c r="V95" s="715"/>
      <c r="W95" s="715"/>
      <c r="X95" s="715"/>
      <c r="Y95" s="715"/>
      <c r="Z95" s="715"/>
      <c r="AA95" s="715"/>
      <c r="AB95" s="715"/>
      <c r="AC95" s="717"/>
    </row>
    <row r="96" spans="1:29" ht="27.75" customHeight="1" x14ac:dyDescent="0.3">
      <c r="A96" s="679"/>
      <c r="B96" s="690"/>
      <c r="C96" s="682"/>
      <c r="D96" s="685"/>
      <c r="E96" s="302" t="s">
        <v>658</v>
      </c>
      <c r="F96" s="494">
        <v>0.05</v>
      </c>
      <c r="G96" s="494">
        <v>0.05</v>
      </c>
      <c r="H96" s="494">
        <v>0.05</v>
      </c>
      <c r="I96" s="494">
        <v>0.05</v>
      </c>
      <c r="J96" s="494">
        <v>0.05</v>
      </c>
      <c r="K96" s="494">
        <v>0.05</v>
      </c>
      <c r="L96" s="494">
        <v>0.15</v>
      </c>
      <c r="M96" s="494">
        <v>0.15</v>
      </c>
      <c r="N96" s="494">
        <v>0.15</v>
      </c>
      <c r="O96" s="494">
        <v>0.15</v>
      </c>
      <c r="P96" s="494">
        <v>0.15</v>
      </c>
      <c r="Q96" s="494">
        <v>0.15</v>
      </c>
      <c r="R96" s="494">
        <v>0.15</v>
      </c>
      <c r="S96" s="494">
        <v>0.15</v>
      </c>
      <c r="T96" s="494">
        <v>0.15</v>
      </c>
      <c r="U96" s="494">
        <v>0.15</v>
      </c>
      <c r="V96" s="494">
        <v>0.15</v>
      </c>
      <c r="W96" s="494">
        <v>0.15</v>
      </c>
      <c r="X96" s="494">
        <v>0.05</v>
      </c>
      <c r="Y96" s="494">
        <v>0.05</v>
      </c>
      <c r="Z96" s="494">
        <v>0.05</v>
      </c>
      <c r="AA96" s="494">
        <v>0.05</v>
      </c>
      <c r="AB96" s="494">
        <v>0.05</v>
      </c>
      <c r="AC96" s="299">
        <v>0.05</v>
      </c>
    </row>
    <row r="97" spans="1:29" ht="27.75" customHeight="1" thickBot="1" x14ac:dyDescent="0.35">
      <c r="A97" s="679"/>
      <c r="B97" s="690"/>
      <c r="C97" s="682"/>
      <c r="D97" s="294" t="s">
        <v>681</v>
      </c>
      <c r="E97" s="316" t="s">
        <v>659</v>
      </c>
      <c r="F97" s="199">
        <v>0.05</v>
      </c>
      <c r="G97" s="199">
        <v>0.05</v>
      </c>
      <c r="H97" s="199">
        <v>0.05</v>
      </c>
      <c r="I97" s="199">
        <v>0.05</v>
      </c>
      <c r="J97" s="199">
        <v>0.05</v>
      </c>
      <c r="K97" s="199">
        <v>0.05</v>
      </c>
      <c r="L97" s="199">
        <v>0.15</v>
      </c>
      <c r="M97" s="199">
        <v>0.15</v>
      </c>
      <c r="N97" s="199">
        <v>0.15</v>
      </c>
      <c r="O97" s="199">
        <v>0.15</v>
      </c>
      <c r="P97" s="199">
        <v>0.15</v>
      </c>
      <c r="Q97" s="199">
        <v>0.15</v>
      </c>
      <c r="R97" s="199">
        <v>0.15</v>
      </c>
      <c r="S97" s="199">
        <v>0.15</v>
      </c>
      <c r="T97" s="199">
        <v>0.15</v>
      </c>
      <c r="U97" s="199">
        <v>0.15</v>
      </c>
      <c r="V97" s="199">
        <v>0.15</v>
      </c>
      <c r="W97" s="199">
        <v>0.15</v>
      </c>
      <c r="X97" s="199">
        <v>0.05</v>
      </c>
      <c r="Y97" s="199">
        <v>0.05</v>
      </c>
      <c r="Z97" s="199">
        <v>0.05</v>
      </c>
      <c r="AA97" s="199">
        <v>0.05</v>
      </c>
      <c r="AB97" s="199">
        <v>0.05</v>
      </c>
      <c r="AC97" s="301">
        <v>0.05</v>
      </c>
    </row>
    <row r="98" spans="1:29" ht="27.75" customHeight="1" x14ac:dyDescent="0.3">
      <c r="A98" s="678" t="s">
        <v>366</v>
      </c>
      <c r="B98" s="692" t="s">
        <v>154</v>
      </c>
      <c r="C98" s="681" t="s">
        <v>666</v>
      </c>
      <c r="D98" s="684" t="s">
        <v>680</v>
      </c>
      <c r="E98" s="323" t="s">
        <v>657</v>
      </c>
      <c r="F98" s="102">
        <v>0</v>
      </c>
      <c r="G98" s="102">
        <v>0</v>
      </c>
      <c r="H98" s="102">
        <v>0</v>
      </c>
      <c r="I98" s="102">
        <v>0</v>
      </c>
      <c r="J98" s="102">
        <v>0</v>
      </c>
      <c r="K98" s="102">
        <v>1</v>
      </c>
      <c r="L98" s="102">
        <v>1</v>
      </c>
      <c r="M98" s="102">
        <v>1</v>
      </c>
      <c r="N98" s="102">
        <v>1</v>
      </c>
      <c r="O98" s="102">
        <v>1</v>
      </c>
      <c r="P98" s="102">
        <v>1</v>
      </c>
      <c r="Q98" s="102">
        <v>1</v>
      </c>
      <c r="R98" s="102">
        <v>1</v>
      </c>
      <c r="S98" s="102">
        <v>1</v>
      </c>
      <c r="T98" s="102">
        <v>1</v>
      </c>
      <c r="U98" s="102">
        <v>1</v>
      </c>
      <c r="V98" s="102">
        <v>1</v>
      </c>
      <c r="W98" s="102">
        <v>1</v>
      </c>
      <c r="X98" s="102">
        <v>1</v>
      </c>
      <c r="Y98" s="102">
        <v>1</v>
      </c>
      <c r="Z98" s="102">
        <v>1</v>
      </c>
      <c r="AA98" s="102">
        <v>1</v>
      </c>
      <c r="AB98" s="102">
        <v>1</v>
      </c>
      <c r="AC98" s="318">
        <v>1</v>
      </c>
    </row>
    <row r="99" spans="1:29" ht="27.75" customHeight="1" x14ac:dyDescent="0.3">
      <c r="A99" s="679"/>
      <c r="B99" s="690"/>
      <c r="C99" s="682"/>
      <c r="D99" s="685"/>
      <c r="E99" s="302" t="s">
        <v>658</v>
      </c>
      <c r="F99" s="494">
        <v>0</v>
      </c>
      <c r="G99" s="494">
        <v>0</v>
      </c>
      <c r="H99" s="494">
        <v>0</v>
      </c>
      <c r="I99" s="494">
        <v>0</v>
      </c>
      <c r="J99" s="494">
        <v>0</v>
      </c>
      <c r="K99" s="298">
        <v>0</v>
      </c>
      <c r="L99" s="298">
        <v>0</v>
      </c>
      <c r="M99" s="298">
        <v>0</v>
      </c>
      <c r="N99" s="298">
        <v>0</v>
      </c>
      <c r="O99" s="298">
        <v>0</v>
      </c>
      <c r="P99" s="298">
        <v>0</v>
      </c>
      <c r="Q99" s="298">
        <v>0</v>
      </c>
      <c r="R99" s="298">
        <v>0</v>
      </c>
      <c r="S99" s="298">
        <v>0</v>
      </c>
      <c r="T99" s="298">
        <v>0</v>
      </c>
      <c r="U99" s="298">
        <v>0</v>
      </c>
      <c r="V99" s="298">
        <v>0</v>
      </c>
      <c r="W99" s="298">
        <v>0</v>
      </c>
      <c r="X99" s="298">
        <v>0</v>
      </c>
      <c r="Y99" s="494">
        <v>0</v>
      </c>
      <c r="Z99" s="494">
        <v>0</v>
      </c>
      <c r="AA99" s="494">
        <v>0</v>
      </c>
      <c r="AB99" s="494">
        <v>0</v>
      </c>
      <c r="AC99" s="299">
        <v>0</v>
      </c>
    </row>
    <row r="100" spans="1:29" ht="27.75" customHeight="1" thickBot="1" x14ac:dyDescent="0.35">
      <c r="A100" s="680"/>
      <c r="B100" s="693"/>
      <c r="C100" s="683"/>
      <c r="D100" s="686"/>
      <c r="E100" s="304" t="s">
        <v>659</v>
      </c>
      <c r="F100" s="104">
        <v>0</v>
      </c>
      <c r="G100" s="104">
        <v>0</v>
      </c>
      <c r="H100" s="104">
        <v>0</v>
      </c>
      <c r="I100" s="104">
        <v>0</v>
      </c>
      <c r="J100" s="104">
        <v>0</v>
      </c>
      <c r="K100" s="104">
        <v>0</v>
      </c>
      <c r="L100" s="104">
        <v>0</v>
      </c>
      <c r="M100" s="104">
        <v>0</v>
      </c>
      <c r="N100" s="104">
        <v>0</v>
      </c>
      <c r="O100" s="104">
        <v>0</v>
      </c>
      <c r="P100" s="104">
        <v>0</v>
      </c>
      <c r="Q100" s="104">
        <v>0</v>
      </c>
      <c r="R100" s="104">
        <v>0</v>
      </c>
      <c r="S100" s="104">
        <v>0</v>
      </c>
      <c r="T100" s="104">
        <v>0</v>
      </c>
      <c r="U100" s="104">
        <v>0</v>
      </c>
      <c r="V100" s="104">
        <v>0</v>
      </c>
      <c r="W100" s="104">
        <v>0</v>
      </c>
      <c r="X100" s="104">
        <v>0</v>
      </c>
      <c r="Y100" s="104">
        <v>0</v>
      </c>
      <c r="Z100" s="104">
        <v>0</v>
      </c>
      <c r="AA100" s="104">
        <v>0</v>
      </c>
      <c r="AB100" s="104">
        <v>0</v>
      </c>
      <c r="AC100" s="308">
        <v>0</v>
      </c>
    </row>
    <row r="101" spans="1:29" ht="27.75" customHeight="1" x14ac:dyDescent="0.3">
      <c r="A101" s="679" t="s">
        <v>366</v>
      </c>
      <c r="B101" s="690" t="s">
        <v>154</v>
      </c>
      <c r="C101" s="682" t="s">
        <v>662</v>
      </c>
      <c r="D101" s="685" t="s">
        <v>680</v>
      </c>
      <c r="E101" s="306" t="s">
        <v>657</v>
      </c>
      <c r="F101" s="491">
        <v>0</v>
      </c>
      <c r="G101" s="491">
        <v>0</v>
      </c>
      <c r="H101" s="491">
        <v>0</v>
      </c>
      <c r="I101" s="491">
        <v>0</v>
      </c>
      <c r="J101" s="491">
        <v>0</v>
      </c>
      <c r="K101" s="491">
        <v>0</v>
      </c>
      <c r="L101" s="491">
        <v>0</v>
      </c>
      <c r="M101" s="491">
        <v>0</v>
      </c>
      <c r="N101" s="491">
        <v>0</v>
      </c>
      <c r="O101" s="491">
        <v>0</v>
      </c>
      <c r="P101" s="491">
        <v>0</v>
      </c>
      <c r="Q101" s="491">
        <v>0</v>
      </c>
      <c r="R101" s="491">
        <v>0</v>
      </c>
      <c r="S101" s="491">
        <v>0</v>
      </c>
      <c r="T101" s="491">
        <v>0</v>
      </c>
      <c r="U101" s="491">
        <v>0</v>
      </c>
      <c r="V101" s="491">
        <v>0</v>
      </c>
      <c r="W101" s="491">
        <v>0</v>
      </c>
      <c r="X101" s="491">
        <v>0</v>
      </c>
      <c r="Y101" s="491">
        <v>0</v>
      </c>
      <c r="Z101" s="491">
        <v>0</v>
      </c>
      <c r="AA101" s="491">
        <v>0</v>
      </c>
      <c r="AB101" s="491">
        <v>0</v>
      </c>
      <c r="AC101" s="545">
        <v>0</v>
      </c>
    </row>
    <row r="102" spans="1:29" ht="27.75" customHeight="1" x14ac:dyDescent="0.3">
      <c r="A102" s="679"/>
      <c r="B102" s="690"/>
      <c r="C102" s="682"/>
      <c r="D102" s="685"/>
      <c r="E102" s="302" t="s">
        <v>658</v>
      </c>
      <c r="F102" s="543">
        <v>0</v>
      </c>
      <c r="G102" s="543">
        <v>0</v>
      </c>
      <c r="H102" s="543">
        <v>0</v>
      </c>
      <c r="I102" s="543">
        <v>0</v>
      </c>
      <c r="J102" s="543">
        <v>0</v>
      </c>
      <c r="K102" s="543">
        <v>0</v>
      </c>
      <c r="L102" s="543">
        <v>0</v>
      </c>
      <c r="M102" s="543">
        <v>0</v>
      </c>
      <c r="N102" s="543">
        <v>0</v>
      </c>
      <c r="O102" s="543">
        <v>0</v>
      </c>
      <c r="P102" s="543">
        <v>0</v>
      </c>
      <c r="Q102" s="543">
        <v>0</v>
      </c>
      <c r="R102" s="543">
        <v>0</v>
      </c>
      <c r="S102" s="543">
        <v>0</v>
      </c>
      <c r="T102" s="543">
        <v>0</v>
      </c>
      <c r="U102" s="543">
        <v>0</v>
      </c>
      <c r="V102" s="543">
        <v>0</v>
      </c>
      <c r="W102" s="543">
        <v>0</v>
      </c>
      <c r="X102" s="543">
        <v>0</v>
      </c>
      <c r="Y102" s="543">
        <v>0</v>
      </c>
      <c r="Z102" s="543">
        <v>0</v>
      </c>
      <c r="AA102" s="543">
        <v>0</v>
      </c>
      <c r="AB102" s="543">
        <v>0</v>
      </c>
      <c r="AC102" s="544">
        <v>0</v>
      </c>
    </row>
    <row r="103" spans="1:29" ht="27.75" customHeight="1" thickBot="1" x14ac:dyDescent="0.35">
      <c r="A103" s="680"/>
      <c r="B103" s="693"/>
      <c r="C103" s="708"/>
      <c r="D103" s="686"/>
      <c r="E103" s="307" t="s">
        <v>659</v>
      </c>
      <c r="F103" s="495">
        <v>0</v>
      </c>
      <c r="G103" s="495">
        <v>0</v>
      </c>
      <c r="H103" s="495">
        <v>0</v>
      </c>
      <c r="I103" s="495">
        <v>0</v>
      </c>
      <c r="J103" s="495">
        <v>0</v>
      </c>
      <c r="K103" s="495">
        <v>0</v>
      </c>
      <c r="L103" s="495">
        <v>0</v>
      </c>
      <c r="M103" s="495">
        <v>0</v>
      </c>
      <c r="N103" s="495">
        <v>0</v>
      </c>
      <c r="O103" s="495">
        <v>0</v>
      </c>
      <c r="P103" s="495">
        <v>0</v>
      </c>
      <c r="Q103" s="495">
        <v>0</v>
      </c>
      <c r="R103" s="495">
        <v>0</v>
      </c>
      <c r="S103" s="495">
        <v>0</v>
      </c>
      <c r="T103" s="495">
        <v>0</v>
      </c>
      <c r="U103" s="495">
        <v>0</v>
      </c>
      <c r="V103" s="495">
        <v>0</v>
      </c>
      <c r="W103" s="495">
        <v>0</v>
      </c>
      <c r="X103" s="495">
        <v>0</v>
      </c>
      <c r="Y103" s="495">
        <v>0</v>
      </c>
      <c r="Z103" s="495">
        <v>0</v>
      </c>
      <c r="AA103" s="495">
        <v>0</v>
      </c>
      <c r="AB103" s="495">
        <v>0</v>
      </c>
      <c r="AC103" s="349">
        <v>0</v>
      </c>
    </row>
    <row r="104" spans="1:29" ht="27.75" customHeight="1" x14ac:dyDescent="0.3">
      <c r="A104" s="678" t="s">
        <v>366</v>
      </c>
      <c r="B104" s="692" t="s">
        <v>154</v>
      </c>
      <c r="C104" s="711" t="s">
        <v>287</v>
      </c>
      <c r="D104" s="684" t="s">
        <v>680</v>
      </c>
      <c r="E104" s="315" t="s">
        <v>657</v>
      </c>
      <c r="F104" s="492">
        <v>1</v>
      </c>
      <c r="G104" s="492">
        <v>1</v>
      </c>
      <c r="H104" s="492">
        <v>1</v>
      </c>
      <c r="I104" s="492">
        <v>1</v>
      </c>
      <c r="J104" s="492">
        <v>1</v>
      </c>
      <c r="K104" s="492">
        <v>0.25</v>
      </c>
      <c r="L104" s="492">
        <v>0.25</v>
      </c>
      <c r="M104" s="492">
        <v>0.25</v>
      </c>
      <c r="N104" s="492">
        <v>0.25</v>
      </c>
      <c r="O104" s="492">
        <v>0.25</v>
      </c>
      <c r="P104" s="492">
        <v>0.25</v>
      </c>
      <c r="Q104" s="492">
        <v>0.25</v>
      </c>
      <c r="R104" s="492">
        <v>0.25</v>
      </c>
      <c r="S104" s="492">
        <v>0.25</v>
      </c>
      <c r="T104" s="492">
        <v>0.25</v>
      </c>
      <c r="U104" s="492">
        <v>0.25</v>
      </c>
      <c r="V104" s="492">
        <v>0.25</v>
      </c>
      <c r="W104" s="492">
        <v>0.25</v>
      </c>
      <c r="X104" s="492">
        <v>0.25</v>
      </c>
      <c r="Y104" s="492">
        <v>0.25</v>
      </c>
      <c r="Z104" s="492">
        <v>0.25</v>
      </c>
      <c r="AA104" s="492">
        <v>0.25</v>
      </c>
      <c r="AB104" s="492">
        <v>0.25</v>
      </c>
      <c r="AC104" s="493">
        <v>0.25</v>
      </c>
    </row>
    <row r="105" spans="1:29" ht="27.75" customHeight="1" x14ac:dyDescent="0.3">
      <c r="A105" s="679"/>
      <c r="B105" s="690"/>
      <c r="C105" s="682"/>
      <c r="D105" s="685"/>
      <c r="E105" s="302" t="s">
        <v>658</v>
      </c>
      <c r="F105" s="494">
        <v>1</v>
      </c>
      <c r="G105" s="494">
        <v>1</v>
      </c>
      <c r="H105" s="494">
        <v>1</v>
      </c>
      <c r="I105" s="494">
        <v>1</v>
      </c>
      <c r="J105" s="494">
        <v>1</v>
      </c>
      <c r="K105" s="298">
        <v>1</v>
      </c>
      <c r="L105" s="298">
        <v>1</v>
      </c>
      <c r="M105" s="298">
        <v>1</v>
      </c>
      <c r="N105" s="298">
        <v>1</v>
      </c>
      <c r="O105" s="298">
        <v>1</v>
      </c>
      <c r="P105" s="298">
        <v>1</v>
      </c>
      <c r="Q105" s="298">
        <v>1</v>
      </c>
      <c r="R105" s="298">
        <v>1</v>
      </c>
      <c r="S105" s="298">
        <v>1</v>
      </c>
      <c r="T105" s="298">
        <v>1</v>
      </c>
      <c r="U105" s="298">
        <v>1</v>
      </c>
      <c r="V105" s="298">
        <v>1</v>
      </c>
      <c r="W105" s="298">
        <v>1</v>
      </c>
      <c r="X105" s="298">
        <v>1</v>
      </c>
      <c r="Y105" s="494">
        <v>1</v>
      </c>
      <c r="Z105" s="494">
        <v>1</v>
      </c>
      <c r="AA105" s="494">
        <v>1</v>
      </c>
      <c r="AB105" s="494">
        <v>1</v>
      </c>
      <c r="AC105" s="299">
        <v>1</v>
      </c>
    </row>
    <row r="106" spans="1:29" ht="27.75" customHeight="1" thickBot="1" x14ac:dyDescent="0.35">
      <c r="A106" s="709"/>
      <c r="B106" s="710"/>
      <c r="C106" s="712"/>
      <c r="D106" s="713"/>
      <c r="E106" s="316" t="s">
        <v>659</v>
      </c>
      <c r="F106" s="199">
        <v>1</v>
      </c>
      <c r="G106" s="199">
        <v>1</v>
      </c>
      <c r="H106" s="199">
        <v>1</v>
      </c>
      <c r="I106" s="199">
        <v>1</v>
      </c>
      <c r="J106" s="199">
        <v>1</v>
      </c>
      <c r="K106" s="199">
        <v>1</v>
      </c>
      <c r="L106" s="199">
        <v>1</v>
      </c>
      <c r="M106" s="199">
        <v>1</v>
      </c>
      <c r="N106" s="199">
        <v>1</v>
      </c>
      <c r="O106" s="199">
        <v>1</v>
      </c>
      <c r="P106" s="199">
        <v>1</v>
      </c>
      <c r="Q106" s="199">
        <v>1</v>
      </c>
      <c r="R106" s="199">
        <v>1</v>
      </c>
      <c r="S106" s="199">
        <v>1</v>
      </c>
      <c r="T106" s="199">
        <v>1</v>
      </c>
      <c r="U106" s="199">
        <v>1</v>
      </c>
      <c r="V106" s="199">
        <v>1</v>
      </c>
      <c r="W106" s="199">
        <v>1</v>
      </c>
      <c r="X106" s="199">
        <v>1</v>
      </c>
      <c r="Y106" s="199">
        <v>1</v>
      </c>
      <c r="Z106" s="199">
        <v>1</v>
      </c>
      <c r="AA106" s="199">
        <v>1</v>
      </c>
      <c r="AB106" s="199">
        <v>1</v>
      </c>
      <c r="AC106" s="301">
        <v>1</v>
      </c>
    </row>
    <row r="107" spans="1:29" ht="27.75" customHeight="1" x14ac:dyDescent="0.3">
      <c r="A107" s="687" t="s">
        <v>366</v>
      </c>
      <c r="B107" s="700" t="s">
        <v>154</v>
      </c>
      <c r="C107" s="702" t="s">
        <v>670</v>
      </c>
      <c r="D107" s="704" t="s">
        <v>306</v>
      </c>
      <c r="E107" s="321" t="s">
        <v>657</v>
      </c>
      <c r="F107" s="546">
        <v>60</v>
      </c>
      <c r="G107" s="547">
        <v>60</v>
      </c>
      <c r="H107" s="547">
        <v>60</v>
      </c>
      <c r="I107" s="547">
        <v>60</v>
      </c>
      <c r="J107" s="547">
        <v>60</v>
      </c>
      <c r="K107" s="547">
        <v>60</v>
      </c>
      <c r="L107" s="547">
        <v>60</v>
      </c>
      <c r="M107" s="547">
        <v>60</v>
      </c>
      <c r="N107" s="547">
        <v>60</v>
      </c>
      <c r="O107" s="547">
        <v>60</v>
      </c>
      <c r="P107" s="547">
        <v>60</v>
      </c>
      <c r="Q107" s="547">
        <v>60</v>
      </c>
      <c r="R107" s="547">
        <v>60</v>
      </c>
      <c r="S107" s="547">
        <v>60</v>
      </c>
      <c r="T107" s="547">
        <v>60</v>
      </c>
      <c r="U107" s="547">
        <v>60</v>
      </c>
      <c r="V107" s="547">
        <v>60</v>
      </c>
      <c r="W107" s="547">
        <v>60</v>
      </c>
      <c r="X107" s="547">
        <v>60</v>
      </c>
      <c r="Y107" s="547">
        <v>60</v>
      </c>
      <c r="Z107" s="547">
        <v>60</v>
      </c>
      <c r="AA107" s="547">
        <v>60</v>
      </c>
      <c r="AB107" s="547">
        <v>60</v>
      </c>
      <c r="AC107" s="548">
        <v>60</v>
      </c>
    </row>
    <row r="108" spans="1:29" ht="27.75" customHeight="1" x14ac:dyDescent="0.3">
      <c r="A108" s="688"/>
      <c r="B108" s="701"/>
      <c r="C108" s="703"/>
      <c r="D108" s="705"/>
      <c r="E108" s="151" t="s">
        <v>658</v>
      </c>
      <c r="F108" s="549">
        <v>60</v>
      </c>
      <c r="G108" s="543">
        <v>60</v>
      </c>
      <c r="H108" s="543">
        <v>60</v>
      </c>
      <c r="I108" s="543">
        <v>60</v>
      </c>
      <c r="J108" s="543">
        <v>60</v>
      </c>
      <c r="K108" s="543">
        <v>60</v>
      </c>
      <c r="L108" s="543">
        <v>60</v>
      </c>
      <c r="M108" s="543">
        <v>60</v>
      </c>
      <c r="N108" s="543">
        <v>60</v>
      </c>
      <c r="O108" s="543">
        <v>60</v>
      </c>
      <c r="P108" s="543">
        <v>60</v>
      </c>
      <c r="Q108" s="543">
        <v>60</v>
      </c>
      <c r="R108" s="543">
        <v>60</v>
      </c>
      <c r="S108" s="543">
        <v>60</v>
      </c>
      <c r="T108" s="543">
        <v>60</v>
      </c>
      <c r="U108" s="543">
        <v>60</v>
      </c>
      <c r="V108" s="543">
        <v>60</v>
      </c>
      <c r="W108" s="543">
        <v>60</v>
      </c>
      <c r="X108" s="543">
        <v>60</v>
      </c>
      <c r="Y108" s="543">
        <v>60</v>
      </c>
      <c r="Z108" s="543">
        <v>60</v>
      </c>
      <c r="AA108" s="543">
        <v>60</v>
      </c>
      <c r="AB108" s="543">
        <v>60</v>
      </c>
      <c r="AC108" s="550">
        <v>60</v>
      </c>
    </row>
    <row r="109" spans="1:29" ht="27.75" customHeight="1" thickBot="1" x14ac:dyDescent="0.35">
      <c r="A109" s="688"/>
      <c r="B109" s="701"/>
      <c r="C109" s="703"/>
      <c r="D109" s="705"/>
      <c r="E109" s="322" t="s">
        <v>659</v>
      </c>
      <c r="F109" s="551">
        <v>60</v>
      </c>
      <c r="G109" s="552">
        <v>60</v>
      </c>
      <c r="H109" s="552">
        <v>60</v>
      </c>
      <c r="I109" s="552">
        <v>60</v>
      </c>
      <c r="J109" s="552">
        <v>60</v>
      </c>
      <c r="K109" s="552">
        <v>60</v>
      </c>
      <c r="L109" s="552">
        <v>60</v>
      </c>
      <c r="M109" s="552">
        <v>60</v>
      </c>
      <c r="N109" s="552">
        <v>60</v>
      </c>
      <c r="O109" s="552">
        <v>60</v>
      </c>
      <c r="P109" s="552">
        <v>60</v>
      </c>
      <c r="Q109" s="552">
        <v>60</v>
      </c>
      <c r="R109" s="552">
        <v>60</v>
      </c>
      <c r="S109" s="552">
        <v>60</v>
      </c>
      <c r="T109" s="552">
        <v>60</v>
      </c>
      <c r="U109" s="552">
        <v>60</v>
      </c>
      <c r="V109" s="552">
        <v>60</v>
      </c>
      <c r="W109" s="552">
        <v>60</v>
      </c>
      <c r="X109" s="552">
        <v>60</v>
      </c>
      <c r="Y109" s="552">
        <v>60</v>
      </c>
      <c r="Z109" s="552">
        <v>60</v>
      </c>
      <c r="AA109" s="552">
        <v>60</v>
      </c>
      <c r="AB109" s="552">
        <v>60</v>
      </c>
      <c r="AC109" s="553">
        <v>60</v>
      </c>
    </row>
    <row r="110" spans="1:29" ht="27.75" customHeight="1" x14ac:dyDescent="0.3">
      <c r="A110" s="678" t="s">
        <v>366</v>
      </c>
      <c r="B110" s="692" t="s">
        <v>154</v>
      </c>
      <c r="C110" s="681" t="s">
        <v>672</v>
      </c>
      <c r="D110" s="684" t="s">
        <v>306</v>
      </c>
      <c r="E110" s="150" t="s">
        <v>657</v>
      </c>
      <c r="F110" s="546">
        <v>85</v>
      </c>
      <c r="G110" s="547">
        <v>85</v>
      </c>
      <c r="H110" s="547">
        <v>85</v>
      </c>
      <c r="I110" s="547">
        <v>85</v>
      </c>
      <c r="J110" s="547">
        <v>85</v>
      </c>
      <c r="K110" s="547">
        <v>85</v>
      </c>
      <c r="L110" s="547">
        <v>85</v>
      </c>
      <c r="M110" s="547">
        <v>85</v>
      </c>
      <c r="N110" s="547">
        <v>85</v>
      </c>
      <c r="O110" s="547">
        <v>85</v>
      </c>
      <c r="P110" s="547">
        <v>85</v>
      </c>
      <c r="Q110" s="547">
        <v>85</v>
      </c>
      <c r="R110" s="547">
        <v>85</v>
      </c>
      <c r="S110" s="547">
        <v>85</v>
      </c>
      <c r="T110" s="547">
        <v>85</v>
      </c>
      <c r="U110" s="547">
        <v>85</v>
      </c>
      <c r="V110" s="547">
        <v>85</v>
      </c>
      <c r="W110" s="547">
        <v>85</v>
      </c>
      <c r="X110" s="547">
        <v>85</v>
      </c>
      <c r="Y110" s="547">
        <v>85</v>
      </c>
      <c r="Z110" s="547">
        <v>85</v>
      </c>
      <c r="AA110" s="547">
        <v>85</v>
      </c>
      <c r="AB110" s="547">
        <v>85</v>
      </c>
      <c r="AC110" s="548">
        <v>85</v>
      </c>
    </row>
    <row r="111" spans="1:29" ht="27.75" customHeight="1" x14ac:dyDescent="0.3">
      <c r="A111" s="679"/>
      <c r="B111" s="690"/>
      <c r="C111" s="682"/>
      <c r="D111" s="685"/>
      <c r="E111" s="151" t="s">
        <v>658</v>
      </c>
      <c r="F111" s="549">
        <v>85</v>
      </c>
      <c r="G111" s="543">
        <v>85</v>
      </c>
      <c r="H111" s="543">
        <v>85</v>
      </c>
      <c r="I111" s="543">
        <v>85</v>
      </c>
      <c r="J111" s="543">
        <v>85</v>
      </c>
      <c r="K111" s="543">
        <v>85</v>
      </c>
      <c r="L111" s="543">
        <v>85</v>
      </c>
      <c r="M111" s="543">
        <v>85</v>
      </c>
      <c r="N111" s="543">
        <v>85</v>
      </c>
      <c r="O111" s="543">
        <v>85</v>
      </c>
      <c r="P111" s="543">
        <v>85</v>
      </c>
      <c r="Q111" s="543">
        <v>85</v>
      </c>
      <c r="R111" s="543">
        <v>85</v>
      </c>
      <c r="S111" s="543">
        <v>85</v>
      </c>
      <c r="T111" s="543">
        <v>85</v>
      </c>
      <c r="U111" s="543">
        <v>85</v>
      </c>
      <c r="V111" s="543">
        <v>85</v>
      </c>
      <c r="W111" s="543">
        <v>85</v>
      </c>
      <c r="X111" s="543">
        <v>85</v>
      </c>
      <c r="Y111" s="543">
        <v>85</v>
      </c>
      <c r="Z111" s="543">
        <v>85</v>
      </c>
      <c r="AA111" s="543">
        <v>85</v>
      </c>
      <c r="AB111" s="543">
        <v>85</v>
      </c>
      <c r="AC111" s="550">
        <v>85</v>
      </c>
    </row>
    <row r="112" spans="1:29" ht="27.75" customHeight="1" thickBot="1" x14ac:dyDescent="0.35">
      <c r="A112" s="680"/>
      <c r="B112" s="693"/>
      <c r="C112" s="683"/>
      <c r="D112" s="686"/>
      <c r="E112" s="152" t="s">
        <v>659</v>
      </c>
      <c r="F112" s="554">
        <v>85</v>
      </c>
      <c r="G112" s="555">
        <v>85</v>
      </c>
      <c r="H112" s="555">
        <v>85</v>
      </c>
      <c r="I112" s="555">
        <v>85</v>
      </c>
      <c r="J112" s="555">
        <v>85</v>
      </c>
      <c r="K112" s="555">
        <v>85</v>
      </c>
      <c r="L112" s="555">
        <v>85</v>
      </c>
      <c r="M112" s="555">
        <v>85</v>
      </c>
      <c r="N112" s="555">
        <v>85</v>
      </c>
      <c r="O112" s="555">
        <v>85</v>
      </c>
      <c r="P112" s="555">
        <v>85</v>
      </c>
      <c r="Q112" s="555">
        <v>85</v>
      </c>
      <c r="R112" s="555">
        <v>85</v>
      </c>
      <c r="S112" s="555">
        <v>85</v>
      </c>
      <c r="T112" s="555">
        <v>85</v>
      </c>
      <c r="U112" s="555">
        <v>85</v>
      </c>
      <c r="V112" s="555">
        <v>85</v>
      </c>
      <c r="W112" s="555">
        <v>85</v>
      </c>
      <c r="X112" s="555">
        <v>85</v>
      </c>
      <c r="Y112" s="555">
        <v>85</v>
      </c>
      <c r="Z112" s="555">
        <v>85</v>
      </c>
      <c r="AA112" s="555">
        <v>85</v>
      </c>
      <c r="AB112" s="555">
        <v>85</v>
      </c>
      <c r="AC112" s="556">
        <v>85</v>
      </c>
    </row>
    <row r="113" spans="1:30" ht="27.75" customHeight="1" thickBot="1" x14ac:dyDescent="0.35">
      <c r="A113" s="706" t="s">
        <v>23</v>
      </c>
      <c r="B113" s="707"/>
      <c r="C113" s="707"/>
      <c r="D113" s="707"/>
      <c r="E113" s="707"/>
      <c r="F113" s="707"/>
      <c r="G113" s="707"/>
      <c r="H113" s="707"/>
      <c r="I113" s="707"/>
      <c r="J113" s="707"/>
      <c r="K113" s="707"/>
      <c r="L113" s="707"/>
      <c r="M113" s="707"/>
      <c r="N113" s="707"/>
      <c r="O113" s="707"/>
      <c r="P113" s="707"/>
      <c r="Q113" s="707"/>
      <c r="R113" s="707"/>
      <c r="S113" s="707"/>
      <c r="T113" s="707"/>
      <c r="U113" s="707"/>
      <c r="V113" s="707"/>
      <c r="W113" s="707"/>
      <c r="X113" s="707"/>
      <c r="Y113" s="707"/>
      <c r="Z113" s="707"/>
      <c r="AA113" s="707"/>
      <c r="AB113" s="707"/>
      <c r="AC113" s="707"/>
    </row>
    <row r="114" spans="1:30" ht="30" customHeight="1" x14ac:dyDescent="0.3">
      <c r="A114" s="687" t="s">
        <v>683</v>
      </c>
      <c r="B114" s="689" t="s">
        <v>121</v>
      </c>
      <c r="C114" s="691" t="s">
        <v>550</v>
      </c>
      <c r="D114" s="560" t="s">
        <v>671</v>
      </c>
      <c r="E114" s="323" t="s">
        <v>657</v>
      </c>
      <c r="F114" s="324">
        <v>0</v>
      </c>
      <c r="G114" s="324">
        <v>0</v>
      </c>
      <c r="H114" s="324">
        <v>0</v>
      </c>
      <c r="I114" s="324">
        <v>0</v>
      </c>
      <c r="J114" s="324">
        <v>0</v>
      </c>
      <c r="K114" s="324">
        <v>1</v>
      </c>
      <c r="L114" s="324">
        <v>1</v>
      </c>
      <c r="M114" s="324">
        <v>1</v>
      </c>
      <c r="N114" s="324">
        <v>1</v>
      </c>
      <c r="O114" s="324">
        <v>1</v>
      </c>
      <c r="P114" s="324">
        <v>1</v>
      </c>
      <c r="Q114" s="324">
        <v>1</v>
      </c>
      <c r="R114" s="324">
        <v>1</v>
      </c>
      <c r="S114" s="324">
        <v>1</v>
      </c>
      <c r="T114" s="324">
        <v>1</v>
      </c>
      <c r="U114" s="324">
        <v>1</v>
      </c>
      <c r="V114" s="324">
        <v>1</v>
      </c>
      <c r="W114" s="324">
        <v>1</v>
      </c>
      <c r="X114" s="324">
        <v>1</v>
      </c>
      <c r="Y114" s="324">
        <v>1</v>
      </c>
      <c r="Z114" s="324">
        <v>1</v>
      </c>
      <c r="AA114" s="324">
        <v>1</v>
      </c>
      <c r="AB114" s="324">
        <v>1</v>
      </c>
      <c r="AC114" s="325">
        <v>1</v>
      </c>
      <c r="AD114" s="33">
        <f>SUM(F114:AC114)*261+ SUM(F115:AC115)*52+ SUM(F116:AC116)*52</f>
        <v>4959</v>
      </c>
    </row>
    <row r="115" spans="1:30" ht="30" customHeight="1" x14ac:dyDescent="0.3">
      <c r="A115" s="688"/>
      <c r="B115" s="690"/>
      <c r="C115" s="682"/>
      <c r="D115" s="294"/>
      <c r="E115" s="302" t="s">
        <v>658</v>
      </c>
      <c r="F115" s="311">
        <v>0</v>
      </c>
      <c r="G115" s="311">
        <v>0</v>
      </c>
      <c r="H115" s="311">
        <v>0</v>
      </c>
      <c r="I115" s="311">
        <v>0</v>
      </c>
      <c r="J115" s="311">
        <v>0</v>
      </c>
      <c r="K115" s="326">
        <v>0</v>
      </c>
      <c r="L115" s="326">
        <v>0</v>
      </c>
      <c r="M115" s="326">
        <v>0</v>
      </c>
      <c r="N115" s="326">
        <v>0</v>
      </c>
      <c r="O115" s="326">
        <v>0</v>
      </c>
      <c r="P115" s="326">
        <v>0</v>
      </c>
      <c r="Q115" s="326">
        <v>0</v>
      </c>
      <c r="R115" s="326">
        <v>0</v>
      </c>
      <c r="S115" s="326">
        <v>0</v>
      </c>
      <c r="T115" s="326">
        <v>0</v>
      </c>
      <c r="U115" s="326">
        <v>0</v>
      </c>
      <c r="V115" s="326">
        <v>0</v>
      </c>
      <c r="W115" s="326">
        <v>0</v>
      </c>
      <c r="X115" s="326">
        <v>0</v>
      </c>
      <c r="Y115" s="311">
        <v>0</v>
      </c>
      <c r="Z115" s="311">
        <v>0</v>
      </c>
      <c r="AA115" s="311">
        <v>0</v>
      </c>
      <c r="AB115" s="311">
        <v>0</v>
      </c>
      <c r="AC115" s="327">
        <v>0</v>
      </c>
    </row>
    <row r="116" spans="1:30" ht="34.799999999999997" thickBot="1" x14ac:dyDescent="0.35">
      <c r="A116" s="688"/>
      <c r="B116" s="690"/>
      <c r="C116" s="682"/>
      <c r="D116" s="294" t="s">
        <v>684</v>
      </c>
      <c r="E116" s="316" t="s">
        <v>659</v>
      </c>
      <c r="F116" s="339">
        <v>0</v>
      </c>
      <c r="G116" s="339">
        <v>0</v>
      </c>
      <c r="H116" s="339">
        <v>0</v>
      </c>
      <c r="I116" s="339">
        <v>0</v>
      </c>
      <c r="J116" s="339">
        <v>0</v>
      </c>
      <c r="K116" s="339">
        <v>0</v>
      </c>
      <c r="L116" s="339">
        <v>0</v>
      </c>
      <c r="M116" s="339">
        <v>0</v>
      </c>
      <c r="N116" s="339">
        <v>0</v>
      </c>
      <c r="O116" s="339">
        <v>0</v>
      </c>
      <c r="P116" s="339">
        <v>0</v>
      </c>
      <c r="Q116" s="339">
        <v>0</v>
      </c>
      <c r="R116" s="339">
        <v>0</v>
      </c>
      <c r="S116" s="339">
        <v>0</v>
      </c>
      <c r="T116" s="339">
        <v>0</v>
      </c>
      <c r="U116" s="339">
        <v>0</v>
      </c>
      <c r="V116" s="339">
        <v>0</v>
      </c>
      <c r="W116" s="339">
        <v>0</v>
      </c>
      <c r="X116" s="339">
        <v>0</v>
      </c>
      <c r="Y116" s="339">
        <v>0</v>
      </c>
      <c r="Z116" s="339">
        <v>0</v>
      </c>
      <c r="AA116" s="339">
        <v>0</v>
      </c>
      <c r="AB116" s="339">
        <v>0</v>
      </c>
      <c r="AC116" s="340">
        <v>0</v>
      </c>
    </row>
    <row r="117" spans="1:30" ht="30" customHeight="1" x14ac:dyDescent="0.3">
      <c r="A117" s="678"/>
      <c r="B117" s="692" t="s">
        <v>121</v>
      </c>
      <c r="C117" s="694" t="s">
        <v>685</v>
      </c>
      <c r="D117" s="697"/>
      <c r="E117" s="323" t="s">
        <v>657</v>
      </c>
      <c r="F117" s="324">
        <v>1</v>
      </c>
      <c r="G117" s="324">
        <v>1</v>
      </c>
      <c r="H117" s="324">
        <v>1</v>
      </c>
      <c r="I117" s="324">
        <v>1</v>
      </c>
      <c r="J117" s="324">
        <v>1</v>
      </c>
      <c r="K117" s="324">
        <v>1</v>
      </c>
      <c r="L117" s="324">
        <v>1</v>
      </c>
      <c r="M117" s="324">
        <v>1</v>
      </c>
      <c r="N117" s="324">
        <v>1</v>
      </c>
      <c r="O117" s="324">
        <v>1</v>
      </c>
      <c r="P117" s="324">
        <v>1</v>
      </c>
      <c r="Q117" s="324">
        <v>1</v>
      </c>
      <c r="R117" s="324">
        <v>1</v>
      </c>
      <c r="S117" s="324">
        <v>1</v>
      </c>
      <c r="T117" s="324">
        <v>1</v>
      </c>
      <c r="U117" s="324">
        <v>1</v>
      </c>
      <c r="V117" s="324">
        <v>1</v>
      </c>
      <c r="W117" s="324">
        <v>1</v>
      </c>
      <c r="X117" s="324">
        <v>1</v>
      </c>
      <c r="Y117" s="324">
        <v>1</v>
      </c>
      <c r="Z117" s="324">
        <v>1</v>
      </c>
      <c r="AA117" s="324">
        <v>1</v>
      </c>
      <c r="AB117" s="324">
        <v>1</v>
      </c>
      <c r="AC117" s="325">
        <v>1</v>
      </c>
    </row>
    <row r="118" spans="1:30" ht="30" customHeight="1" x14ac:dyDescent="0.3">
      <c r="A118" s="679"/>
      <c r="B118" s="690"/>
      <c r="C118" s="695"/>
      <c r="D118" s="698"/>
      <c r="E118" s="302" t="s">
        <v>658</v>
      </c>
      <c r="F118" s="311">
        <v>1</v>
      </c>
      <c r="G118" s="311">
        <v>1</v>
      </c>
      <c r="H118" s="311">
        <v>1</v>
      </c>
      <c r="I118" s="311">
        <v>1</v>
      </c>
      <c r="J118" s="311">
        <v>1</v>
      </c>
      <c r="K118" s="311">
        <v>1</v>
      </c>
      <c r="L118" s="311">
        <v>1</v>
      </c>
      <c r="M118" s="311">
        <v>1</v>
      </c>
      <c r="N118" s="311">
        <v>1</v>
      </c>
      <c r="O118" s="311">
        <v>1</v>
      </c>
      <c r="P118" s="311">
        <v>1</v>
      </c>
      <c r="Q118" s="311">
        <v>1</v>
      </c>
      <c r="R118" s="311">
        <v>1</v>
      </c>
      <c r="S118" s="311">
        <v>1</v>
      </c>
      <c r="T118" s="311">
        <v>1</v>
      </c>
      <c r="U118" s="311">
        <v>1</v>
      </c>
      <c r="V118" s="311">
        <v>1</v>
      </c>
      <c r="W118" s="311">
        <v>1</v>
      </c>
      <c r="X118" s="311">
        <v>1</v>
      </c>
      <c r="Y118" s="311">
        <v>1</v>
      </c>
      <c r="Z118" s="311">
        <v>1</v>
      </c>
      <c r="AA118" s="311">
        <v>1</v>
      </c>
      <c r="AB118" s="311">
        <v>1</v>
      </c>
      <c r="AC118" s="327">
        <v>1</v>
      </c>
    </row>
    <row r="119" spans="1:30" ht="30" customHeight="1" thickBot="1" x14ac:dyDescent="0.35">
      <c r="A119" s="680"/>
      <c r="B119" s="693"/>
      <c r="C119" s="696"/>
      <c r="D119" s="699"/>
      <c r="E119" s="304" t="s">
        <v>659</v>
      </c>
      <c r="F119" s="328">
        <v>1</v>
      </c>
      <c r="G119" s="328">
        <v>1</v>
      </c>
      <c r="H119" s="328">
        <v>1</v>
      </c>
      <c r="I119" s="328">
        <v>1</v>
      </c>
      <c r="J119" s="328">
        <v>1</v>
      </c>
      <c r="K119" s="328">
        <v>1</v>
      </c>
      <c r="L119" s="328">
        <v>1</v>
      </c>
      <c r="M119" s="328">
        <v>1</v>
      </c>
      <c r="N119" s="328">
        <v>1</v>
      </c>
      <c r="O119" s="328">
        <v>1</v>
      </c>
      <c r="P119" s="328">
        <v>1</v>
      </c>
      <c r="Q119" s="328">
        <v>1</v>
      </c>
      <c r="R119" s="328">
        <v>1</v>
      </c>
      <c r="S119" s="328">
        <v>1</v>
      </c>
      <c r="T119" s="328">
        <v>1</v>
      </c>
      <c r="U119" s="328">
        <v>1</v>
      </c>
      <c r="V119" s="328">
        <v>1</v>
      </c>
      <c r="W119" s="328">
        <v>1</v>
      </c>
      <c r="X119" s="328">
        <v>1</v>
      </c>
      <c r="Y119" s="328">
        <v>1</v>
      </c>
      <c r="Z119" s="328">
        <v>1</v>
      </c>
      <c r="AA119" s="328">
        <v>1</v>
      </c>
      <c r="AB119" s="328">
        <v>1</v>
      </c>
      <c r="AC119" s="329">
        <v>1</v>
      </c>
    </row>
    <row r="120" spans="1:30" ht="30" customHeight="1" x14ac:dyDescent="0.3">
      <c r="A120" s="678"/>
      <c r="B120" s="692" t="s">
        <v>121</v>
      </c>
      <c r="C120" s="694" t="s">
        <v>686</v>
      </c>
      <c r="D120" s="697"/>
      <c r="E120" s="323" t="s">
        <v>657</v>
      </c>
      <c r="F120" s="324">
        <v>0</v>
      </c>
      <c r="G120" s="324">
        <v>0</v>
      </c>
      <c r="H120" s="324">
        <v>0</v>
      </c>
      <c r="I120" s="324">
        <v>0</v>
      </c>
      <c r="J120" s="324">
        <v>0</v>
      </c>
      <c r="K120" s="324">
        <v>1</v>
      </c>
      <c r="L120" s="324">
        <v>1</v>
      </c>
      <c r="M120" s="324">
        <v>1</v>
      </c>
      <c r="N120" s="324">
        <v>1</v>
      </c>
      <c r="O120" s="324">
        <v>1</v>
      </c>
      <c r="P120" s="324">
        <v>1</v>
      </c>
      <c r="Q120" s="324">
        <v>1</v>
      </c>
      <c r="R120" s="324">
        <v>1</v>
      </c>
      <c r="S120" s="324">
        <v>1</v>
      </c>
      <c r="T120" s="324">
        <v>1</v>
      </c>
      <c r="U120" s="324">
        <v>1</v>
      </c>
      <c r="V120" s="324">
        <v>1</v>
      </c>
      <c r="W120" s="324">
        <v>1</v>
      </c>
      <c r="X120" s="324">
        <v>1</v>
      </c>
      <c r="Y120" s="324">
        <v>1</v>
      </c>
      <c r="Z120" s="324">
        <v>1</v>
      </c>
      <c r="AA120" s="324">
        <v>1</v>
      </c>
      <c r="AB120" s="324">
        <v>0</v>
      </c>
      <c r="AC120" s="325">
        <v>0</v>
      </c>
    </row>
    <row r="121" spans="1:30" ht="30" customHeight="1" x14ac:dyDescent="0.3">
      <c r="A121" s="679"/>
      <c r="B121" s="690"/>
      <c r="C121" s="695"/>
      <c r="D121" s="698"/>
      <c r="E121" s="302" t="s">
        <v>658</v>
      </c>
      <c r="F121" s="311">
        <v>0</v>
      </c>
      <c r="G121" s="311">
        <v>0</v>
      </c>
      <c r="H121" s="311">
        <v>0</v>
      </c>
      <c r="I121" s="311">
        <v>0</v>
      </c>
      <c r="J121" s="311">
        <v>0</v>
      </c>
      <c r="K121" s="311">
        <v>1</v>
      </c>
      <c r="L121" s="311">
        <v>1</v>
      </c>
      <c r="M121" s="311">
        <v>1</v>
      </c>
      <c r="N121" s="311">
        <v>1</v>
      </c>
      <c r="O121" s="311">
        <v>1</v>
      </c>
      <c r="P121" s="311">
        <v>1</v>
      </c>
      <c r="Q121" s="311">
        <v>1</v>
      </c>
      <c r="R121" s="311">
        <v>1</v>
      </c>
      <c r="S121" s="311">
        <v>1</v>
      </c>
      <c r="T121" s="311">
        <v>1</v>
      </c>
      <c r="U121" s="311">
        <v>1</v>
      </c>
      <c r="V121" s="311">
        <v>1</v>
      </c>
      <c r="W121" s="311">
        <v>1</v>
      </c>
      <c r="X121" s="311">
        <v>1</v>
      </c>
      <c r="Y121" s="311">
        <v>1</v>
      </c>
      <c r="Z121" s="311">
        <v>1</v>
      </c>
      <c r="AA121" s="311">
        <v>1</v>
      </c>
      <c r="AB121" s="311">
        <v>1</v>
      </c>
      <c r="AC121" s="327">
        <v>1</v>
      </c>
    </row>
    <row r="122" spans="1:30" ht="30" customHeight="1" thickBot="1" x14ac:dyDescent="0.35">
      <c r="A122" s="680"/>
      <c r="B122" s="693"/>
      <c r="C122" s="696"/>
      <c r="D122" s="699"/>
      <c r="E122" s="304" t="s">
        <v>659</v>
      </c>
      <c r="F122" s="328">
        <v>0</v>
      </c>
      <c r="G122" s="328">
        <v>0</v>
      </c>
      <c r="H122" s="328">
        <v>0</v>
      </c>
      <c r="I122" s="328">
        <v>0</v>
      </c>
      <c r="J122" s="328">
        <v>0</v>
      </c>
      <c r="K122" s="328">
        <v>1</v>
      </c>
      <c r="L122" s="328">
        <v>1</v>
      </c>
      <c r="M122" s="328">
        <v>1</v>
      </c>
      <c r="N122" s="328">
        <v>1</v>
      </c>
      <c r="O122" s="328">
        <v>1</v>
      </c>
      <c r="P122" s="328">
        <v>1</v>
      </c>
      <c r="Q122" s="328">
        <v>1</v>
      </c>
      <c r="R122" s="328">
        <v>1</v>
      </c>
      <c r="S122" s="328">
        <v>1</v>
      </c>
      <c r="T122" s="328">
        <v>1</v>
      </c>
      <c r="U122" s="328">
        <v>1</v>
      </c>
      <c r="V122" s="328">
        <v>1</v>
      </c>
      <c r="W122" s="328">
        <v>1</v>
      </c>
      <c r="X122" s="328">
        <v>1</v>
      </c>
      <c r="Y122" s="328">
        <v>1</v>
      </c>
      <c r="Z122" s="328">
        <v>1</v>
      </c>
      <c r="AA122" s="328">
        <v>1</v>
      </c>
      <c r="AB122" s="328">
        <v>1</v>
      </c>
      <c r="AC122" s="329">
        <v>1</v>
      </c>
    </row>
    <row r="123" spans="1:30" ht="30" customHeight="1" x14ac:dyDescent="0.3">
      <c r="A123" s="678" t="s">
        <v>144</v>
      </c>
      <c r="B123" s="681" t="s">
        <v>121</v>
      </c>
      <c r="C123" s="681" t="s">
        <v>687</v>
      </c>
      <c r="D123" s="684" t="s">
        <v>688</v>
      </c>
      <c r="E123" s="323" t="s">
        <v>657</v>
      </c>
      <c r="F123" s="324">
        <v>132</v>
      </c>
      <c r="G123" s="324">
        <v>132</v>
      </c>
      <c r="H123" s="324">
        <v>132</v>
      </c>
      <c r="I123" s="324">
        <v>132</v>
      </c>
      <c r="J123" s="324">
        <v>132</v>
      </c>
      <c r="K123" s="324">
        <v>132</v>
      </c>
      <c r="L123" s="324">
        <v>132</v>
      </c>
      <c r="M123" s="324">
        <v>132</v>
      </c>
      <c r="N123" s="324">
        <v>132</v>
      </c>
      <c r="O123" s="324">
        <v>132</v>
      </c>
      <c r="P123" s="324">
        <v>132</v>
      </c>
      <c r="Q123" s="324">
        <v>132</v>
      </c>
      <c r="R123" s="324">
        <v>132</v>
      </c>
      <c r="S123" s="324">
        <v>132</v>
      </c>
      <c r="T123" s="324">
        <v>132</v>
      </c>
      <c r="U123" s="324">
        <v>132</v>
      </c>
      <c r="V123" s="324">
        <v>132</v>
      </c>
      <c r="W123" s="324">
        <v>132</v>
      </c>
      <c r="X123" s="324">
        <v>132</v>
      </c>
      <c r="Y123" s="324">
        <v>132</v>
      </c>
      <c r="Z123" s="324">
        <v>132</v>
      </c>
      <c r="AA123" s="324">
        <v>132</v>
      </c>
      <c r="AB123" s="324">
        <v>132</v>
      </c>
      <c r="AC123" s="325">
        <v>132</v>
      </c>
    </row>
    <row r="124" spans="1:30" ht="30" customHeight="1" x14ac:dyDescent="0.3">
      <c r="A124" s="679"/>
      <c r="B124" s="682"/>
      <c r="C124" s="682"/>
      <c r="D124" s="685"/>
      <c r="E124" s="302" t="s">
        <v>658</v>
      </c>
      <c r="F124" s="311">
        <v>132</v>
      </c>
      <c r="G124" s="311">
        <v>132</v>
      </c>
      <c r="H124" s="311">
        <v>132</v>
      </c>
      <c r="I124" s="311">
        <v>132</v>
      </c>
      <c r="J124" s="311">
        <v>132</v>
      </c>
      <c r="K124" s="311">
        <v>132</v>
      </c>
      <c r="L124" s="311">
        <v>132</v>
      </c>
      <c r="M124" s="311">
        <v>132</v>
      </c>
      <c r="N124" s="311">
        <v>132</v>
      </c>
      <c r="O124" s="311">
        <v>132</v>
      </c>
      <c r="P124" s="311">
        <v>132</v>
      </c>
      <c r="Q124" s="311">
        <v>132</v>
      </c>
      <c r="R124" s="311">
        <v>132</v>
      </c>
      <c r="S124" s="311">
        <v>132</v>
      </c>
      <c r="T124" s="311">
        <v>132</v>
      </c>
      <c r="U124" s="311">
        <v>132</v>
      </c>
      <c r="V124" s="311">
        <v>132</v>
      </c>
      <c r="W124" s="311">
        <v>132</v>
      </c>
      <c r="X124" s="311">
        <v>132</v>
      </c>
      <c r="Y124" s="311">
        <v>132</v>
      </c>
      <c r="Z124" s="311">
        <v>132</v>
      </c>
      <c r="AA124" s="311">
        <v>132</v>
      </c>
      <c r="AB124" s="311">
        <v>132</v>
      </c>
      <c r="AC124" s="327">
        <v>132</v>
      </c>
    </row>
    <row r="125" spans="1:30" ht="30" customHeight="1" thickBot="1" x14ac:dyDescent="0.35">
      <c r="A125" s="680"/>
      <c r="B125" s="683"/>
      <c r="C125" s="683"/>
      <c r="D125" s="686"/>
      <c r="E125" s="304" t="s">
        <v>659</v>
      </c>
      <c r="F125" s="328">
        <v>132</v>
      </c>
      <c r="G125" s="328">
        <v>132</v>
      </c>
      <c r="H125" s="328">
        <v>132</v>
      </c>
      <c r="I125" s="328">
        <v>132</v>
      </c>
      <c r="J125" s="328">
        <v>132</v>
      </c>
      <c r="K125" s="328">
        <v>132</v>
      </c>
      <c r="L125" s="328">
        <v>132</v>
      </c>
      <c r="M125" s="328">
        <v>132</v>
      </c>
      <c r="N125" s="328">
        <v>132</v>
      </c>
      <c r="O125" s="328">
        <v>132</v>
      </c>
      <c r="P125" s="328">
        <v>132</v>
      </c>
      <c r="Q125" s="328">
        <v>132</v>
      </c>
      <c r="R125" s="328">
        <v>132</v>
      </c>
      <c r="S125" s="328">
        <v>132</v>
      </c>
      <c r="T125" s="328">
        <v>132</v>
      </c>
      <c r="U125" s="328">
        <v>132</v>
      </c>
      <c r="V125" s="328">
        <v>132</v>
      </c>
      <c r="W125" s="328">
        <v>132</v>
      </c>
      <c r="X125" s="328">
        <v>132</v>
      </c>
      <c r="Y125" s="328">
        <v>132</v>
      </c>
      <c r="Z125" s="328">
        <v>132</v>
      </c>
      <c r="AA125" s="328">
        <v>132</v>
      </c>
      <c r="AB125" s="328">
        <v>132</v>
      </c>
      <c r="AC125" s="329">
        <v>132</v>
      </c>
    </row>
    <row r="126" spans="1:30" ht="30" customHeight="1" x14ac:dyDescent="0.3">
      <c r="A126" s="679" t="s">
        <v>679</v>
      </c>
      <c r="B126" s="682" t="s">
        <v>121</v>
      </c>
      <c r="C126" s="682" t="s">
        <v>689</v>
      </c>
      <c r="D126" s="685" t="s">
        <v>688</v>
      </c>
      <c r="E126" s="306" t="s">
        <v>657</v>
      </c>
      <c r="F126" s="306">
        <v>120</v>
      </c>
      <c r="G126" s="306">
        <v>120</v>
      </c>
      <c r="H126" s="306">
        <v>120</v>
      </c>
      <c r="I126" s="306">
        <v>120</v>
      </c>
      <c r="J126" s="306">
        <v>120</v>
      </c>
      <c r="K126" s="306">
        <v>120</v>
      </c>
      <c r="L126" s="306">
        <v>120</v>
      </c>
      <c r="M126" s="306">
        <v>120</v>
      </c>
      <c r="N126" s="306">
        <v>120</v>
      </c>
      <c r="O126" s="306">
        <v>120</v>
      </c>
      <c r="P126" s="306">
        <v>120</v>
      </c>
      <c r="Q126" s="306">
        <v>120</v>
      </c>
      <c r="R126" s="306">
        <v>120</v>
      </c>
      <c r="S126" s="306">
        <v>120</v>
      </c>
      <c r="T126" s="306">
        <v>120</v>
      </c>
      <c r="U126" s="306">
        <v>120</v>
      </c>
      <c r="V126" s="306">
        <v>120</v>
      </c>
      <c r="W126" s="306">
        <v>120</v>
      </c>
      <c r="X126" s="306">
        <v>120</v>
      </c>
      <c r="Y126" s="306">
        <v>120</v>
      </c>
      <c r="Z126" s="306">
        <v>120</v>
      </c>
      <c r="AA126" s="306">
        <v>120</v>
      </c>
      <c r="AB126" s="306">
        <v>120</v>
      </c>
      <c r="AC126" s="330">
        <v>120</v>
      </c>
    </row>
    <row r="127" spans="1:30" ht="30" customHeight="1" x14ac:dyDescent="0.3">
      <c r="A127" s="679"/>
      <c r="B127" s="682"/>
      <c r="C127" s="682"/>
      <c r="D127" s="685"/>
      <c r="E127" s="306" t="s">
        <v>658</v>
      </c>
      <c r="F127" s="306">
        <v>120</v>
      </c>
      <c r="G127" s="306">
        <v>120</v>
      </c>
      <c r="H127" s="306">
        <v>120</v>
      </c>
      <c r="I127" s="306">
        <v>120</v>
      </c>
      <c r="J127" s="306">
        <v>120</v>
      </c>
      <c r="K127" s="306">
        <v>120</v>
      </c>
      <c r="L127" s="306">
        <v>120</v>
      </c>
      <c r="M127" s="306">
        <v>120</v>
      </c>
      <c r="N127" s="306">
        <v>120</v>
      </c>
      <c r="O127" s="306">
        <v>120</v>
      </c>
      <c r="P127" s="306">
        <v>120</v>
      </c>
      <c r="Q127" s="306">
        <v>120</v>
      </c>
      <c r="R127" s="306">
        <v>120</v>
      </c>
      <c r="S127" s="306">
        <v>120</v>
      </c>
      <c r="T127" s="306">
        <v>120</v>
      </c>
      <c r="U127" s="306">
        <v>120</v>
      </c>
      <c r="V127" s="306">
        <v>120</v>
      </c>
      <c r="W127" s="306">
        <v>120</v>
      </c>
      <c r="X127" s="306">
        <v>120</v>
      </c>
      <c r="Y127" s="306">
        <v>120</v>
      </c>
      <c r="Z127" s="306">
        <v>120</v>
      </c>
      <c r="AA127" s="306">
        <v>120</v>
      </c>
      <c r="AB127" s="306">
        <v>120</v>
      </c>
      <c r="AC127" s="330">
        <v>120</v>
      </c>
    </row>
    <row r="128" spans="1:30" ht="30" customHeight="1" thickBot="1" x14ac:dyDescent="0.35">
      <c r="A128" s="679"/>
      <c r="B128" s="682"/>
      <c r="C128" s="682"/>
      <c r="D128" s="685"/>
      <c r="E128" s="331" t="s">
        <v>659</v>
      </c>
      <c r="F128" s="331">
        <v>120</v>
      </c>
      <c r="G128" s="331">
        <v>120</v>
      </c>
      <c r="H128" s="331">
        <v>120</v>
      </c>
      <c r="I128" s="331">
        <v>120</v>
      </c>
      <c r="J128" s="331">
        <v>120</v>
      </c>
      <c r="K128" s="331">
        <v>120</v>
      </c>
      <c r="L128" s="331">
        <v>120</v>
      </c>
      <c r="M128" s="331">
        <v>120</v>
      </c>
      <c r="N128" s="331">
        <v>120</v>
      </c>
      <c r="O128" s="331">
        <v>120</v>
      </c>
      <c r="P128" s="331">
        <v>120</v>
      </c>
      <c r="Q128" s="331">
        <v>120</v>
      </c>
      <c r="R128" s="331">
        <v>120</v>
      </c>
      <c r="S128" s="331">
        <v>120</v>
      </c>
      <c r="T128" s="331">
        <v>120</v>
      </c>
      <c r="U128" s="331">
        <v>120</v>
      </c>
      <c r="V128" s="331">
        <v>120</v>
      </c>
      <c r="W128" s="331">
        <v>120</v>
      </c>
      <c r="X128" s="331">
        <v>120</v>
      </c>
      <c r="Y128" s="331">
        <v>120</v>
      </c>
      <c r="Z128" s="331">
        <v>120</v>
      </c>
      <c r="AA128" s="331">
        <v>120</v>
      </c>
      <c r="AB128" s="331">
        <v>120</v>
      </c>
      <c r="AC128" s="332">
        <v>120</v>
      </c>
    </row>
    <row r="129" spans="1:29" ht="30" customHeight="1" x14ac:dyDescent="0.3">
      <c r="A129" s="678" t="s">
        <v>690</v>
      </c>
      <c r="B129" s="681" t="s">
        <v>121</v>
      </c>
      <c r="C129" s="681" t="s">
        <v>691</v>
      </c>
      <c r="D129" s="684" t="s">
        <v>688</v>
      </c>
      <c r="E129" s="323" t="s">
        <v>657</v>
      </c>
      <c r="F129" s="323">
        <v>117</v>
      </c>
      <c r="G129" s="323">
        <v>117</v>
      </c>
      <c r="H129" s="323">
        <v>117</v>
      </c>
      <c r="I129" s="323">
        <v>117</v>
      </c>
      <c r="J129" s="323">
        <v>117</v>
      </c>
      <c r="K129" s="323">
        <v>117</v>
      </c>
      <c r="L129" s="323">
        <v>117</v>
      </c>
      <c r="M129" s="323">
        <v>117</v>
      </c>
      <c r="N129" s="323">
        <v>117</v>
      </c>
      <c r="O129" s="323">
        <v>117</v>
      </c>
      <c r="P129" s="323">
        <v>117</v>
      </c>
      <c r="Q129" s="323">
        <v>117</v>
      </c>
      <c r="R129" s="323">
        <v>117</v>
      </c>
      <c r="S129" s="323">
        <v>117</v>
      </c>
      <c r="T129" s="323">
        <v>117</v>
      </c>
      <c r="U129" s="323">
        <v>117</v>
      </c>
      <c r="V129" s="323">
        <v>117</v>
      </c>
      <c r="W129" s="323">
        <v>117</v>
      </c>
      <c r="X129" s="323">
        <v>117</v>
      </c>
      <c r="Y129" s="323">
        <v>117</v>
      </c>
      <c r="Z129" s="323">
        <v>117</v>
      </c>
      <c r="AA129" s="323">
        <v>117</v>
      </c>
      <c r="AB129" s="323">
        <v>117</v>
      </c>
      <c r="AC129" s="333">
        <v>117</v>
      </c>
    </row>
    <row r="130" spans="1:29" ht="30" customHeight="1" x14ac:dyDescent="0.3">
      <c r="A130" s="679"/>
      <c r="B130" s="682"/>
      <c r="C130" s="682"/>
      <c r="D130" s="685"/>
      <c r="E130" s="306" t="s">
        <v>658</v>
      </c>
      <c r="F130" s="306">
        <v>117</v>
      </c>
      <c r="G130" s="306">
        <v>117</v>
      </c>
      <c r="H130" s="306">
        <v>117</v>
      </c>
      <c r="I130" s="306">
        <v>117</v>
      </c>
      <c r="J130" s="306">
        <v>117</v>
      </c>
      <c r="K130" s="306">
        <v>117</v>
      </c>
      <c r="L130" s="306">
        <v>117</v>
      </c>
      <c r="M130" s="306">
        <v>117</v>
      </c>
      <c r="N130" s="306">
        <v>117</v>
      </c>
      <c r="O130" s="306">
        <v>117</v>
      </c>
      <c r="P130" s="306">
        <v>117</v>
      </c>
      <c r="Q130" s="306">
        <v>117</v>
      </c>
      <c r="R130" s="306">
        <v>117</v>
      </c>
      <c r="S130" s="306">
        <v>117</v>
      </c>
      <c r="T130" s="306">
        <v>117</v>
      </c>
      <c r="U130" s="306">
        <v>117</v>
      </c>
      <c r="V130" s="306">
        <v>117</v>
      </c>
      <c r="W130" s="306">
        <v>117</v>
      </c>
      <c r="X130" s="306">
        <v>117</v>
      </c>
      <c r="Y130" s="306">
        <v>117</v>
      </c>
      <c r="Z130" s="306">
        <v>117</v>
      </c>
      <c r="AA130" s="306">
        <v>117</v>
      </c>
      <c r="AB130" s="306">
        <v>117</v>
      </c>
      <c r="AC130" s="334">
        <v>117</v>
      </c>
    </row>
    <row r="131" spans="1:29" ht="30" customHeight="1" thickBot="1" x14ac:dyDescent="0.35">
      <c r="A131" s="680"/>
      <c r="B131" s="683"/>
      <c r="C131" s="683"/>
      <c r="D131" s="686"/>
      <c r="E131" s="335" t="s">
        <v>659</v>
      </c>
      <c r="F131" s="335">
        <v>117</v>
      </c>
      <c r="G131" s="335">
        <v>117</v>
      </c>
      <c r="H131" s="335">
        <v>117</v>
      </c>
      <c r="I131" s="335">
        <v>117</v>
      </c>
      <c r="J131" s="335">
        <v>117</v>
      </c>
      <c r="K131" s="335">
        <v>117</v>
      </c>
      <c r="L131" s="335">
        <v>117</v>
      </c>
      <c r="M131" s="335">
        <v>117</v>
      </c>
      <c r="N131" s="335">
        <v>117</v>
      </c>
      <c r="O131" s="335">
        <v>117</v>
      </c>
      <c r="P131" s="335">
        <v>117</v>
      </c>
      <c r="Q131" s="335">
        <v>117</v>
      </c>
      <c r="R131" s="335">
        <v>117</v>
      </c>
      <c r="S131" s="335">
        <v>117</v>
      </c>
      <c r="T131" s="335">
        <v>117</v>
      </c>
      <c r="U131" s="335">
        <v>117</v>
      </c>
      <c r="V131" s="335">
        <v>117</v>
      </c>
      <c r="W131" s="335">
        <v>117</v>
      </c>
      <c r="X131" s="335">
        <v>117</v>
      </c>
      <c r="Y131" s="335">
        <v>117</v>
      </c>
      <c r="Z131" s="335">
        <v>117</v>
      </c>
      <c r="AA131" s="335">
        <v>117</v>
      </c>
      <c r="AB131" s="335">
        <v>117</v>
      </c>
      <c r="AC131" s="336">
        <v>117</v>
      </c>
    </row>
    <row r="132" spans="1:29" ht="30" customHeight="1" x14ac:dyDescent="0.3">
      <c r="A132" s="678" t="s">
        <v>692</v>
      </c>
      <c r="B132" s="681" t="s">
        <v>121</v>
      </c>
      <c r="C132" s="681" t="s">
        <v>693</v>
      </c>
      <c r="D132" s="684" t="s">
        <v>688</v>
      </c>
      <c r="E132" s="323" t="s">
        <v>657</v>
      </c>
      <c r="F132" s="323">
        <v>147</v>
      </c>
      <c r="G132" s="323">
        <v>147</v>
      </c>
      <c r="H132" s="323">
        <v>147</v>
      </c>
      <c r="I132" s="323">
        <v>147</v>
      </c>
      <c r="J132" s="323">
        <v>147</v>
      </c>
      <c r="K132" s="323">
        <v>147</v>
      </c>
      <c r="L132" s="323">
        <v>147</v>
      </c>
      <c r="M132" s="323">
        <v>147</v>
      </c>
      <c r="N132" s="323">
        <v>147</v>
      </c>
      <c r="O132" s="323">
        <v>147</v>
      </c>
      <c r="P132" s="323">
        <v>147</v>
      </c>
      <c r="Q132" s="323">
        <v>147</v>
      </c>
      <c r="R132" s="323">
        <v>147</v>
      </c>
      <c r="S132" s="323">
        <v>147</v>
      </c>
      <c r="T132" s="323">
        <v>147</v>
      </c>
      <c r="U132" s="323">
        <v>147</v>
      </c>
      <c r="V132" s="323">
        <v>147</v>
      </c>
      <c r="W132" s="323">
        <v>147</v>
      </c>
      <c r="X132" s="323">
        <v>147</v>
      </c>
      <c r="Y132" s="323">
        <v>147</v>
      </c>
      <c r="Z132" s="323">
        <v>147</v>
      </c>
      <c r="AA132" s="323">
        <v>147</v>
      </c>
      <c r="AB132" s="323">
        <v>147</v>
      </c>
      <c r="AC132" s="333">
        <v>147</v>
      </c>
    </row>
    <row r="133" spans="1:29" ht="30" customHeight="1" x14ac:dyDescent="0.3">
      <c r="A133" s="679"/>
      <c r="B133" s="682"/>
      <c r="C133" s="682"/>
      <c r="D133" s="685"/>
      <c r="E133" s="306" t="s">
        <v>658</v>
      </c>
      <c r="F133" s="306">
        <v>147</v>
      </c>
      <c r="G133" s="306">
        <v>147</v>
      </c>
      <c r="H133" s="306">
        <v>147</v>
      </c>
      <c r="I133" s="306">
        <v>147</v>
      </c>
      <c r="J133" s="306">
        <v>147</v>
      </c>
      <c r="K133" s="306">
        <v>147</v>
      </c>
      <c r="L133" s="306">
        <v>147</v>
      </c>
      <c r="M133" s="306">
        <v>147</v>
      </c>
      <c r="N133" s="306">
        <v>147</v>
      </c>
      <c r="O133" s="306">
        <v>147</v>
      </c>
      <c r="P133" s="306">
        <v>147</v>
      </c>
      <c r="Q133" s="306">
        <v>147</v>
      </c>
      <c r="R133" s="306">
        <v>147</v>
      </c>
      <c r="S133" s="306">
        <v>147</v>
      </c>
      <c r="T133" s="306">
        <v>147</v>
      </c>
      <c r="U133" s="306">
        <v>147</v>
      </c>
      <c r="V133" s="306">
        <v>147</v>
      </c>
      <c r="W133" s="306">
        <v>147</v>
      </c>
      <c r="X133" s="306">
        <v>147</v>
      </c>
      <c r="Y133" s="306">
        <v>147</v>
      </c>
      <c r="Z133" s="306">
        <v>147</v>
      </c>
      <c r="AA133" s="306">
        <v>147</v>
      </c>
      <c r="AB133" s="306">
        <v>147</v>
      </c>
      <c r="AC133" s="334">
        <v>147</v>
      </c>
    </row>
    <row r="134" spans="1:29" ht="30" customHeight="1" thickBot="1" x14ac:dyDescent="0.35">
      <c r="A134" s="680"/>
      <c r="B134" s="683"/>
      <c r="C134" s="683"/>
      <c r="D134" s="686"/>
      <c r="E134" s="335" t="s">
        <v>659</v>
      </c>
      <c r="F134" s="335">
        <v>147</v>
      </c>
      <c r="G134" s="335">
        <v>147</v>
      </c>
      <c r="H134" s="335">
        <v>147</v>
      </c>
      <c r="I134" s="335">
        <v>147</v>
      </c>
      <c r="J134" s="335">
        <v>147</v>
      </c>
      <c r="K134" s="335">
        <v>147</v>
      </c>
      <c r="L134" s="335">
        <v>147</v>
      </c>
      <c r="M134" s="335">
        <v>147</v>
      </c>
      <c r="N134" s="335">
        <v>147</v>
      </c>
      <c r="O134" s="335">
        <v>147</v>
      </c>
      <c r="P134" s="335">
        <v>147</v>
      </c>
      <c r="Q134" s="335">
        <v>147</v>
      </c>
      <c r="R134" s="335">
        <v>147</v>
      </c>
      <c r="S134" s="335">
        <v>147</v>
      </c>
      <c r="T134" s="335">
        <v>147</v>
      </c>
      <c r="U134" s="335">
        <v>147</v>
      </c>
      <c r="V134" s="335">
        <v>147</v>
      </c>
      <c r="W134" s="335">
        <v>147</v>
      </c>
      <c r="X134" s="335">
        <v>147</v>
      </c>
      <c r="Y134" s="335">
        <v>147</v>
      </c>
      <c r="Z134" s="335">
        <v>147</v>
      </c>
      <c r="AA134" s="335">
        <v>147</v>
      </c>
      <c r="AB134" s="335">
        <v>147</v>
      </c>
      <c r="AC134" s="336">
        <v>147</v>
      </c>
    </row>
  </sheetData>
  <mergeCells count="275">
    <mergeCell ref="A1:AC1"/>
    <mergeCell ref="A53:A55"/>
    <mergeCell ref="C53:C55"/>
    <mergeCell ref="A31:A33"/>
    <mergeCell ref="A34:A36"/>
    <mergeCell ref="A44:A46"/>
    <mergeCell ref="A47:A49"/>
    <mergeCell ref="A50:A52"/>
    <mergeCell ref="A43:AC43"/>
    <mergeCell ref="A37:A39"/>
    <mergeCell ref="B37:B39"/>
    <mergeCell ref="C37:C39"/>
    <mergeCell ref="D37:D39"/>
    <mergeCell ref="A40:A42"/>
    <mergeCell ref="B40:B42"/>
    <mergeCell ref="C40:C42"/>
    <mergeCell ref="A22:A24"/>
    <mergeCell ref="B22:B24"/>
    <mergeCell ref="C22:C24"/>
    <mergeCell ref="D22:D24"/>
    <mergeCell ref="A16:A18"/>
    <mergeCell ref="A19:A21"/>
    <mergeCell ref="A25:A27"/>
    <mergeCell ref="A28:A30"/>
    <mergeCell ref="A56:A58"/>
    <mergeCell ref="B56:B58"/>
    <mergeCell ref="C56:C58"/>
    <mergeCell ref="D56:D58"/>
    <mergeCell ref="B28:B30"/>
    <mergeCell ref="D40:D42"/>
    <mergeCell ref="C28:C30"/>
    <mergeCell ref="D28:D30"/>
    <mergeCell ref="B31:B33"/>
    <mergeCell ref="C31:C33"/>
    <mergeCell ref="D31:D33"/>
    <mergeCell ref="D53:D55"/>
    <mergeCell ref="B53:B55"/>
    <mergeCell ref="A68:AC68"/>
    <mergeCell ref="A62:A64"/>
    <mergeCell ref="B62:B64"/>
    <mergeCell ref="C62:C64"/>
    <mergeCell ref="D62:D64"/>
    <mergeCell ref="A65:A67"/>
    <mergeCell ref="B65:B67"/>
    <mergeCell ref="C65:C67"/>
    <mergeCell ref="D65:D67"/>
    <mergeCell ref="A59:A61"/>
    <mergeCell ref="B59:B61"/>
    <mergeCell ref="C59:C61"/>
    <mergeCell ref="D59:D61"/>
    <mergeCell ref="A2:A3"/>
    <mergeCell ref="A4:A6"/>
    <mergeCell ref="A7:A9"/>
    <mergeCell ref="A10:A12"/>
    <mergeCell ref="A13:A15"/>
    <mergeCell ref="B50:B52"/>
    <mergeCell ref="C50:C52"/>
    <mergeCell ref="D50:D52"/>
    <mergeCell ref="B44:B46"/>
    <mergeCell ref="C44:C46"/>
    <mergeCell ref="D44:D46"/>
    <mergeCell ref="B47:B49"/>
    <mergeCell ref="C47:C49"/>
    <mergeCell ref="D47:D49"/>
    <mergeCell ref="B25:B27"/>
    <mergeCell ref="C25:C27"/>
    <mergeCell ref="D25:D27"/>
    <mergeCell ref="D10:D12"/>
    <mergeCell ref="B13:B15"/>
    <mergeCell ref="C13:C15"/>
    <mergeCell ref="D13:D15"/>
    <mergeCell ref="B16:B18"/>
    <mergeCell ref="D16:D18"/>
    <mergeCell ref="B19:B21"/>
    <mergeCell ref="B4:B6"/>
    <mergeCell ref="B7:B9"/>
    <mergeCell ref="B2:B3"/>
    <mergeCell ref="AL52:AP52"/>
    <mergeCell ref="C10:C12"/>
    <mergeCell ref="C7:C9"/>
    <mergeCell ref="F2:AC2"/>
    <mergeCell ref="E2:E3"/>
    <mergeCell ref="D2:D3"/>
    <mergeCell ref="C2:C3"/>
    <mergeCell ref="D4:D6"/>
    <mergeCell ref="C4:C6"/>
    <mergeCell ref="D7:D9"/>
    <mergeCell ref="B10:B12"/>
    <mergeCell ref="C16:C18"/>
    <mergeCell ref="B34:B36"/>
    <mergeCell ref="C19:C21"/>
    <mergeCell ref="D19:D21"/>
    <mergeCell ref="C34:C36"/>
    <mergeCell ref="D34:D36"/>
    <mergeCell ref="A69:A72"/>
    <mergeCell ref="B69:B72"/>
    <mergeCell ref="C69:C72"/>
    <mergeCell ref="E69:E70"/>
    <mergeCell ref="F69:F70"/>
    <mergeCell ref="G69:G70"/>
    <mergeCell ref="H69:H70"/>
    <mergeCell ref="I69:I70"/>
    <mergeCell ref="J69:J70"/>
    <mergeCell ref="D69:D71"/>
    <mergeCell ref="K69:K70"/>
    <mergeCell ref="L69:L70"/>
    <mergeCell ref="M69:M70"/>
    <mergeCell ref="N69:N70"/>
    <mergeCell ref="O69:O70"/>
    <mergeCell ref="P69:P70"/>
    <mergeCell ref="Q69:Q70"/>
    <mergeCell ref="R69:R70"/>
    <mergeCell ref="S69:S70"/>
    <mergeCell ref="T69:T70"/>
    <mergeCell ref="U69:U70"/>
    <mergeCell ref="V69:V70"/>
    <mergeCell ref="W69:W70"/>
    <mergeCell ref="X69:X70"/>
    <mergeCell ref="Y69:Y70"/>
    <mergeCell ref="Z69:Z70"/>
    <mergeCell ref="AA69:AA70"/>
    <mergeCell ref="AB69:AB70"/>
    <mergeCell ref="AC69:AC70"/>
    <mergeCell ref="A73:A76"/>
    <mergeCell ref="B73:B76"/>
    <mergeCell ref="C73:C76"/>
    <mergeCell ref="E73:E74"/>
    <mergeCell ref="F73:F74"/>
    <mergeCell ref="G73:G74"/>
    <mergeCell ref="H73:H74"/>
    <mergeCell ref="I73:I74"/>
    <mergeCell ref="J73:J74"/>
    <mergeCell ref="K73:K74"/>
    <mergeCell ref="L73:L74"/>
    <mergeCell ref="M73:M74"/>
    <mergeCell ref="N73:N74"/>
    <mergeCell ref="O73:O74"/>
    <mergeCell ref="P73:P74"/>
    <mergeCell ref="Q73:Q74"/>
    <mergeCell ref="R73:R74"/>
    <mergeCell ref="S73:S74"/>
    <mergeCell ref="T73:T74"/>
    <mergeCell ref="U73:U74"/>
    <mergeCell ref="V73:V74"/>
    <mergeCell ref="W73:W74"/>
    <mergeCell ref="X73:X74"/>
    <mergeCell ref="Y73:Y74"/>
    <mergeCell ref="Z73:Z74"/>
    <mergeCell ref="AA73:AA74"/>
    <mergeCell ref="AB73:AB74"/>
    <mergeCell ref="AC73:AC74"/>
    <mergeCell ref="A77:A79"/>
    <mergeCell ref="B77:B79"/>
    <mergeCell ref="C77:C79"/>
    <mergeCell ref="D77:D79"/>
    <mergeCell ref="A80:A82"/>
    <mergeCell ref="B80:B82"/>
    <mergeCell ref="C80:C82"/>
    <mergeCell ref="D80:D82"/>
    <mergeCell ref="A83:A85"/>
    <mergeCell ref="B83:B85"/>
    <mergeCell ref="C83:C85"/>
    <mergeCell ref="D83:D85"/>
    <mergeCell ref="A86:A88"/>
    <mergeCell ref="B86:B88"/>
    <mergeCell ref="C86:C88"/>
    <mergeCell ref="D86:D88"/>
    <mergeCell ref="A89:AC89"/>
    <mergeCell ref="A90:A93"/>
    <mergeCell ref="B90:B93"/>
    <mergeCell ref="C90:C93"/>
    <mergeCell ref="E90:E91"/>
    <mergeCell ref="F90:F91"/>
    <mergeCell ref="G90:G91"/>
    <mergeCell ref="H90:H91"/>
    <mergeCell ref="I90:I91"/>
    <mergeCell ref="J90:J91"/>
    <mergeCell ref="K90:K91"/>
    <mergeCell ref="L90:L91"/>
    <mergeCell ref="M90:M91"/>
    <mergeCell ref="N90:N91"/>
    <mergeCell ref="O90:O91"/>
    <mergeCell ref="P90:P91"/>
    <mergeCell ref="Q90:Q91"/>
    <mergeCell ref="R90:R91"/>
    <mergeCell ref="S90:S91"/>
    <mergeCell ref="T90:T91"/>
    <mergeCell ref="U90:U91"/>
    <mergeCell ref="V90:V91"/>
    <mergeCell ref="W90:W91"/>
    <mergeCell ref="X90:X91"/>
    <mergeCell ref="Y90:Y91"/>
    <mergeCell ref="Z90:Z91"/>
    <mergeCell ref="AA90:AA91"/>
    <mergeCell ref="AB90:AB91"/>
    <mergeCell ref="AC90:AC91"/>
    <mergeCell ref="A94:A97"/>
    <mergeCell ref="B94:B97"/>
    <mergeCell ref="C94:C97"/>
    <mergeCell ref="E94:E95"/>
    <mergeCell ref="F94:F95"/>
    <mergeCell ref="G94:G95"/>
    <mergeCell ref="H94:H95"/>
    <mergeCell ref="I94:I95"/>
    <mergeCell ref="J94:J95"/>
    <mergeCell ref="K94:K95"/>
    <mergeCell ref="L94:L95"/>
    <mergeCell ref="M94:M95"/>
    <mergeCell ref="N94:N95"/>
    <mergeCell ref="O94:O95"/>
    <mergeCell ref="P94:P95"/>
    <mergeCell ref="Q94:Q95"/>
    <mergeCell ref="R94:R95"/>
    <mergeCell ref="S94:S95"/>
    <mergeCell ref="T94:T95"/>
    <mergeCell ref="U94:U95"/>
    <mergeCell ref="V94:V95"/>
    <mergeCell ref="W94:W95"/>
    <mergeCell ref="X94:X95"/>
    <mergeCell ref="Y94:Y95"/>
    <mergeCell ref="Z94:Z95"/>
    <mergeCell ref="AA94:AA95"/>
    <mergeCell ref="AB94:AB95"/>
    <mergeCell ref="AC94:AC95"/>
    <mergeCell ref="A98:A100"/>
    <mergeCell ref="B98:B100"/>
    <mergeCell ref="C98:C100"/>
    <mergeCell ref="D98:D100"/>
    <mergeCell ref="A101:A103"/>
    <mergeCell ref="B101:B103"/>
    <mergeCell ref="C101:C103"/>
    <mergeCell ref="D101:D103"/>
    <mergeCell ref="A104:A106"/>
    <mergeCell ref="B104:B106"/>
    <mergeCell ref="C104:C106"/>
    <mergeCell ref="D104:D106"/>
    <mergeCell ref="C117:C119"/>
    <mergeCell ref="D117:D119"/>
    <mergeCell ref="A120:A122"/>
    <mergeCell ref="B120:B122"/>
    <mergeCell ref="C120:C122"/>
    <mergeCell ref="D120:D122"/>
    <mergeCell ref="A107:A109"/>
    <mergeCell ref="B107:B109"/>
    <mergeCell ref="C107:C109"/>
    <mergeCell ref="D107:D109"/>
    <mergeCell ref="A110:A112"/>
    <mergeCell ref="B110:B112"/>
    <mergeCell ref="C110:C112"/>
    <mergeCell ref="D110:D112"/>
    <mergeCell ref="A113:AC113"/>
    <mergeCell ref="A132:A134"/>
    <mergeCell ref="B132:B134"/>
    <mergeCell ref="C132:C134"/>
    <mergeCell ref="D132:D134"/>
    <mergeCell ref="D73:D75"/>
    <mergeCell ref="D94:D96"/>
    <mergeCell ref="D90:D92"/>
    <mergeCell ref="A123:A125"/>
    <mergeCell ref="B123:B125"/>
    <mergeCell ref="C123:C125"/>
    <mergeCell ref="D123:D125"/>
    <mergeCell ref="A126:A128"/>
    <mergeCell ref="B126:B128"/>
    <mergeCell ref="C126:C128"/>
    <mergeCell ref="D126:D128"/>
    <mergeCell ref="A129:A131"/>
    <mergeCell ref="B129:B131"/>
    <mergeCell ref="C129:C131"/>
    <mergeCell ref="D129:D131"/>
    <mergeCell ref="A114:A116"/>
    <mergeCell ref="B114:B116"/>
    <mergeCell ref="C114:C116"/>
    <mergeCell ref="A117:A119"/>
    <mergeCell ref="B117:B11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W25"/>
  <sheetViews>
    <sheetView zoomScale="80" zoomScaleNormal="80" workbookViewId="0">
      <selection sqref="A1:L1"/>
    </sheetView>
  </sheetViews>
  <sheetFormatPr defaultColWidth="8.6640625" defaultRowHeight="13.2" x14ac:dyDescent="0.25"/>
  <cols>
    <col min="1" max="1" width="14.44140625" style="7" customWidth="1"/>
    <col min="2" max="2" width="15.44140625" style="7" customWidth="1"/>
    <col min="3" max="3" width="19.33203125" style="7" customWidth="1"/>
    <col min="4" max="5" width="18.33203125" style="7" customWidth="1"/>
    <col min="6" max="8" width="20.6640625" style="7" customWidth="1"/>
    <col min="9" max="9" width="9.109375" style="7" bestFit="1" customWidth="1"/>
    <col min="10" max="11" width="11.88671875" style="7" bestFit="1" customWidth="1"/>
    <col min="12" max="12" width="17.33203125" style="7" bestFit="1" customWidth="1"/>
    <col min="13" max="14" width="8.6640625" style="7"/>
    <col min="15" max="15" width="15.88671875" style="7" customWidth="1"/>
    <col min="16" max="16" width="12.44140625" style="7" customWidth="1"/>
    <col min="17" max="17" width="17.33203125" style="7" bestFit="1" customWidth="1"/>
    <col min="18" max="18" width="12.6640625" style="7" bestFit="1" customWidth="1"/>
    <col min="19" max="20" width="10.6640625" style="7" bestFit="1" customWidth="1"/>
    <col min="21" max="22" width="11.88671875" style="7" bestFit="1" customWidth="1"/>
    <col min="23" max="23" width="11.6640625" style="7" bestFit="1" customWidth="1"/>
    <col min="24" max="16384" width="8.6640625" style="7"/>
  </cols>
  <sheetData>
    <row r="1" spans="1:23" ht="27" customHeight="1" x14ac:dyDescent="0.25">
      <c r="A1" s="584" t="s">
        <v>694</v>
      </c>
      <c r="B1" s="584"/>
      <c r="C1" s="584"/>
      <c r="D1" s="584"/>
      <c r="E1" s="584"/>
      <c r="F1" s="584"/>
      <c r="G1" s="584"/>
      <c r="H1" s="584"/>
      <c r="I1" s="584"/>
      <c r="J1" s="584"/>
      <c r="K1" s="584"/>
      <c r="L1" s="584"/>
      <c r="O1" s="785" t="str">
        <f>"Energy Consumption - "&amp;Prototype!A2</f>
        <v>Energy Consumption - Laboratory</v>
      </c>
      <c r="P1" s="786"/>
      <c r="Q1" s="786"/>
      <c r="R1" s="786"/>
      <c r="S1" s="786"/>
      <c r="T1" s="786"/>
      <c r="U1" s="786"/>
      <c r="V1" s="786"/>
      <c r="W1" s="786"/>
    </row>
    <row r="2" spans="1:23" ht="48" customHeight="1" x14ac:dyDescent="0.25">
      <c r="A2" s="490" t="s">
        <v>7</v>
      </c>
      <c r="B2" s="490" t="s">
        <v>695</v>
      </c>
      <c r="C2" s="490" t="s">
        <v>696</v>
      </c>
      <c r="D2" s="490" t="s">
        <v>697</v>
      </c>
      <c r="E2" s="490" t="s">
        <v>698</v>
      </c>
      <c r="F2" s="490" t="s">
        <v>699</v>
      </c>
      <c r="G2" s="490" t="s">
        <v>700</v>
      </c>
      <c r="H2" s="490" t="s">
        <v>701</v>
      </c>
      <c r="I2" s="203" t="s">
        <v>702</v>
      </c>
      <c r="J2" s="203" t="s">
        <v>703</v>
      </c>
      <c r="K2" s="203" t="s">
        <v>704</v>
      </c>
      <c r="L2" s="203" t="s">
        <v>705</v>
      </c>
      <c r="O2" s="467" t="s">
        <v>7</v>
      </c>
      <c r="P2" s="490" t="s">
        <v>695</v>
      </c>
      <c r="Q2" s="490" t="s">
        <v>706</v>
      </c>
      <c r="R2" s="490" t="s">
        <v>707</v>
      </c>
      <c r="S2" s="490" t="s">
        <v>708</v>
      </c>
      <c r="T2" s="204" t="s">
        <v>709</v>
      </c>
      <c r="U2" s="204" t="s">
        <v>710</v>
      </c>
      <c r="V2" s="204" t="s">
        <v>711</v>
      </c>
      <c r="W2" s="204" t="s">
        <v>712</v>
      </c>
    </row>
    <row r="3" spans="1:23" ht="19.2" customHeight="1" x14ac:dyDescent="0.3">
      <c r="A3" s="784" t="s">
        <v>77</v>
      </c>
      <c r="B3" s="247">
        <v>1</v>
      </c>
      <c r="C3" s="557"/>
      <c r="D3" s="557"/>
      <c r="E3" s="557"/>
      <c r="F3" s="557"/>
      <c r="G3" s="557"/>
      <c r="H3" s="557"/>
      <c r="I3" s="4">
        <v>135.30000000000001</v>
      </c>
      <c r="J3" s="205">
        <f>(I3*1.25)</f>
        <v>169.125</v>
      </c>
      <c r="K3" s="205">
        <f>(I3*0.75)</f>
        <v>101.47500000000001</v>
      </c>
      <c r="L3" s="205">
        <f>J3-K3</f>
        <v>67.649999999999991</v>
      </c>
      <c r="O3" s="784" t="str">
        <f>A3</f>
        <v>Laboratory</v>
      </c>
      <c r="P3" s="206">
        <v>1</v>
      </c>
      <c r="Q3" s="207"/>
      <c r="R3" s="208"/>
      <c r="S3" s="208"/>
      <c r="T3" s="209"/>
      <c r="U3" s="558">
        <f>T3*1.2</f>
        <v>0</v>
      </c>
      <c r="V3" s="558">
        <f>T3*0.8</f>
        <v>0</v>
      </c>
      <c r="W3" s="209">
        <f>U3-V3</f>
        <v>0</v>
      </c>
    </row>
    <row r="4" spans="1:23" ht="19.2" customHeight="1" x14ac:dyDescent="0.3">
      <c r="A4" s="784"/>
      <c r="B4" s="247">
        <v>2</v>
      </c>
      <c r="C4" s="557"/>
      <c r="D4" s="557"/>
      <c r="E4" s="557"/>
      <c r="F4" s="557"/>
      <c r="G4" s="557"/>
      <c r="H4" s="557"/>
      <c r="I4" s="4">
        <v>135.30000000000001</v>
      </c>
      <c r="J4" s="205">
        <f t="shared" ref="J4:J18" si="0">(I4*1.25)</f>
        <v>169.125</v>
      </c>
      <c r="K4" s="205">
        <f t="shared" ref="K4:K18" si="1">(I4*0.75)</f>
        <v>101.47500000000001</v>
      </c>
      <c r="L4" s="205">
        <f t="shared" ref="L4:L18" si="2">J4-K4</f>
        <v>67.649999999999991</v>
      </c>
      <c r="O4" s="784"/>
      <c r="P4" s="206">
        <v>2</v>
      </c>
      <c r="Q4" s="207"/>
      <c r="R4" s="208"/>
      <c r="S4" s="208"/>
      <c r="T4" s="209"/>
      <c r="U4" s="558">
        <f t="shared" ref="U4:U18" si="3">T4*1.2</f>
        <v>0</v>
      </c>
      <c r="V4" s="558">
        <f t="shared" ref="V4:V18" si="4">T4*0.8</f>
        <v>0</v>
      </c>
      <c r="W4" s="209">
        <f t="shared" ref="W4:W18" si="5">U4-V4</f>
        <v>0</v>
      </c>
    </row>
    <row r="5" spans="1:23" ht="19.2" customHeight="1" x14ac:dyDescent="0.3">
      <c r="A5" s="784"/>
      <c r="B5" s="247">
        <v>3</v>
      </c>
      <c r="C5" s="557"/>
      <c r="D5" s="557"/>
      <c r="E5" s="557"/>
      <c r="F5" s="557"/>
      <c r="G5" s="557"/>
      <c r="H5" s="557"/>
      <c r="I5" s="4">
        <v>135.30000000000001</v>
      </c>
      <c r="J5" s="205">
        <f t="shared" si="0"/>
        <v>169.125</v>
      </c>
      <c r="K5" s="205">
        <f t="shared" si="1"/>
        <v>101.47500000000001</v>
      </c>
      <c r="L5" s="205">
        <f t="shared" si="2"/>
        <v>67.649999999999991</v>
      </c>
      <c r="O5" s="784"/>
      <c r="P5" s="206">
        <v>3</v>
      </c>
      <c r="Q5" s="207"/>
      <c r="R5" s="208"/>
      <c r="S5" s="208"/>
      <c r="T5" s="209"/>
      <c r="U5" s="558">
        <f t="shared" si="3"/>
        <v>0</v>
      </c>
      <c r="V5" s="558">
        <f t="shared" si="4"/>
        <v>0</v>
      </c>
      <c r="W5" s="209">
        <f t="shared" si="5"/>
        <v>0</v>
      </c>
    </row>
    <row r="6" spans="1:23" ht="19.2" customHeight="1" x14ac:dyDescent="0.3">
      <c r="A6" s="784"/>
      <c r="B6" s="247">
        <v>4</v>
      </c>
      <c r="C6" s="557"/>
      <c r="D6" s="557"/>
      <c r="E6" s="557"/>
      <c r="F6" s="557"/>
      <c r="G6" s="557"/>
      <c r="H6" s="557"/>
      <c r="I6" s="4">
        <v>135.30000000000001</v>
      </c>
      <c r="J6" s="205">
        <f t="shared" si="0"/>
        <v>169.125</v>
      </c>
      <c r="K6" s="205">
        <f t="shared" si="1"/>
        <v>101.47500000000001</v>
      </c>
      <c r="L6" s="205">
        <f t="shared" si="2"/>
        <v>67.649999999999991</v>
      </c>
      <c r="O6" s="784"/>
      <c r="P6" s="206">
        <v>4</v>
      </c>
      <c r="Q6" s="207"/>
      <c r="R6" s="208"/>
      <c r="S6" s="208"/>
      <c r="T6" s="209"/>
      <c r="U6" s="558">
        <f t="shared" si="3"/>
        <v>0</v>
      </c>
      <c r="V6" s="558">
        <f t="shared" si="4"/>
        <v>0</v>
      </c>
      <c r="W6" s="209">
        <f t="shared" si="5"/>
        <v>0</v>
      </c>
    </row>
    <row r="7" spans="1:23" ht="19.2" customHeight="1" x14ac:dyDescent="0.3">
      <c r="A7" s="784"/>
      <c r="B7" s="247">
        <v>5</v>
      </c>
      <c r="C7" s="557"/>
      <c r="D7" s="557"/>
      <c r="E7" s="557"/>
      <c r="F7" s="557"/>
      <c r="G7" s="557"/>
      <c r="H7" s="557"/>
      <c r="I7" s="4">
        <v>135.30000000000001</v>
      </c>
      <c r="J7" s="205">
        <f t="shared" si="0"/>
        <v>169.125</v>
      </c>
      <c r="K7" s="205">
        <f t="shared" si="1"/>
        <v>101.47500000000001</v>
      </c>
      <c r="L7" s="205">
        <f t="shared" si="2"/>
        <v>67.649999999999991</v>
      </c>
      <c r="O7" s="784"/>
      <c r="P7" s="206">
        <v>5</v>
      </c>
      <c r="Q7" s="207"/>
      <c r="R7" s="208"/>
      <c r="S7" s="208"/>
      <c r="T7" s="209"/>
      <c r="U7" s="558">
        <f t="shared" si="3"/>
        <v>0</v>
      </c>
      <c r="V7" s="558">
        <f t="shared" si="4"/>
        <v>0</v>
      </c>
      <c r="W7" s="209">
        <f t="shared" si="5"/>
        <v>0</v>
      </c>
    </row>
    <row r="8" spans="1:23" ht="19.2" customHeight="1" x14ac:dyDescent="0.3">
      <c r="A8" s="784"/>
      <c r="B8" s="247">
        <v>6</v>
      </c>
      <c r="C8" s="557"/>
      <c r="D8" s="557"/>
      <c r="E8" s="557"/>
      <c r="F8" s="557"/>
      <c r="G8" s="557"/>
      <c r="H8" s="557"/>
      <c r="I8" s="4">
        <v>135.30000000000001</v>
      </c>
      <c r="J8" s="205">
        <f t="shared" si="0"/>
        <v>169.125</v>
      </c>
      <c r="K8" s="205">
        <f t="shared" si="1"/>
        <v>101.47500000000001</v>
      </c>
      <c r="L8" s="205">
        <f t="shared" si="2"/>
        <v>67.649999999999991</v>
      </c>
      <c r="O8" s="784"/>
      <c r="P8" s="206">
        <v>6</v>
      </c>
      <c r="Q8" s="207"/>
      <c r="R8" s="208"/>
      <c r="S8" s="208"/>
      <c r="T8" s="209"/>
      <c r="U8" s="558">
        <f t="shared" si="3"/>
        <v>0</v>
      </c>
      <c r="V8" s="558">
        <f t="shared" si="4"/>
        <v>0</v>
      </c>
      <c r="W8" s="209">
        <f t="shared" si="5"/>
        <v>0</v>
      </c>
    </row>
    <row r="9" spans="1:23" ht="19.2" customHeight="1" x14ac:dyDescent="0.3">
      <c r="A9" s="784"/>
      <c r="B9" s="247">
        <v>7</v>
      </c>
      <c r="C9" s="557"/>
      <c r="D9" s="557"/>
      <c r="E9" s="557"/>
      <c r="F9" s="557"/>
      <c r="G9" s="557"/>
      <c r="H9" s="557"/>
      <c r="I9" s="4">
        <v>135.30000000000001</v>
      </c>
      <c r="J9" s="205">
        <f t="shared" si="0"/>
        <v>169.125</v>
      </c>
      <c r="K9" s="205">
        <f t="shared" si="1"/>
        <v>101.47500000000001</v>
      </c>
      <c r="L9" s="205">
        <f t="shared" si="2"/>
        <v>67.649999999999991</v>
      </c>
      <c r="O9" s="784"/>
      <c r="P9" s="206">
        <v>7</v>
      </c>
      <c r="Q9" s="207"/>
      <c r="R9" s="208"/>
      <c r="S9" s="208"/>
      <c r="T9" s="209"/>
      <c r="U9" s="558">
        <f t="shared" si="3"/>
        <v>0</v>
      </c>
      <c r="V9" s="558">
        <f t="shared" si="4"/>
        <v>0</v>
      </c>
      <c r="W9" s="209">
        <f t="shared" si="5"/>
        <v>0</v>
      </c>
    </row>
    <row r="10" spans="1:23" ht="19.2" customHeight="1" x14ac:dyDescent="0.3">
      <c r="A10" s="784"/>
      <c r="B10" s="247">
        <v>8</v>
      </c>
      <c r="C10" s="557"/>
      <c r="D10" s="557"/>
      <c r="E10" s="557"/>
      <c r="F10" s="557"/>
      <c r="G10" s="557"/>
      <c r="H10" s="557"/>
      <c r="I10" s="4">
        <v>135.30000000000001</v>
      </c>
      <c r="J10" s="205">
        <f t="shared" si="0"/>
        <v>169.125</v>
      </c>
      <c r="K10" s="205">
        <f t="shared" si="1"/>
        <v>101.47500000000001</v>
      </c>
      <c r="L10" s="205">
        <f t="shared" si="2"/>
        <v>67.649999999999991</v>
      </c>
      <c r="O10" s="784"/>
      <c r="P10" s="206">
        <v>8</v>
      </c>
      <c r="Q10" s="207"/>
      <c r="R10" s="208"/>
      <c r="S10" s="208"/>
      <c r="T10" s="209"/>
      <c r="U10" s="558">
        <f t="shared" si="3"/>
        <v>0</v>
      </c>
      <c r="V10" s="558">
        <f t="shared" si="4"/>
        <v>0</v>
      </c>
      <c r="W10" s="209">
        <f t="shared" si="5"/>
        <v>0</v>
      </c>
    </row>
    <row r="11" spans="1:23" ht="19.2" customHeight="1" x14ac:dyDescent="0.3">
      <c r="A11" s="784"/>
      <c r="B11" s="247">
        <v>9</v>
      </c>
      <c r="C11" s="557"/>
      <c r="D11" s="557"/>
      <c r="E11" s="557"/>
      <c r="F11" s="557"/>
      <c r="G11" s="557"/>
      <c r="H11" s="557"/>
      <c r="I11" s="4">
        <v>135.30000000000001</v>
      </c>
      <c r="J11" s="205">
        <f t="shared" si="0"/>
        <v>169.125</v>
      </c>
      <c r="K11" s="205">
        <f t="shared" si="1"/>
        <v>101.47500000000001</v>
      </c>
      <c r="L11" s="205">
        <f t="shared" si="2"/>
        <v>67.649999999999991</v>
      </c>
      <c r="O11" s="784"/>
      <c r="P11" s="206">
        <v>9</v>
      </c>
      <c r="Q11" s="207"/>
      <c r="R11" s="208"/>
      <c r="S11" s="208"/>
      <c r="T11" s="209"/>
      <c r="U11" s="558">
        <f t="shared" si="3"/>
        <v>0</v>
      </c>
      <c r="V11" s="558">
        <f t="shared" si="4"/>
        <v>0</v>
      </c>
      <c r="W11" s="209">
        <f t="shared" si="5"/>
        <v>0</v>
      </c>
    </row>
    <row r="12" spans="1:23" ht="19.2" customHeight="1" x14ac:dyDescent="0.3">
      <c r="A12" s="784"/>
      <c r="B12" s="247">
        <v>10</v>
      </c>
      <c r="C12" s="557"/>
      <c r="D12" s="557"/>
      <c r="E12" s="557"/>
      <c r="F12" s="557"/>
      <c r="G12" s="557"/>
      <c r="H12" s="557"/>
      <c r="I12" s="4">
        <v>135.30000000000001</v>
      </c>
      <c r="J12" s="205">
        <f t="shared" si="0"/>
        <v>169.125</v>
      </c>
      <c r="K12" s="205">
        <f t="shared" si="1"/>
        <v>101.47500000000001</v>
      </c>
      <c r="L12" s="205">
        <f t="shared" si="2"/>
        <v>67.649999999999991</v>
      </c>
      <c r="O12" s="784"/>
      <c r="P12" s="206">
        <v>10</v>
      </c>
      <c r="Q12" s="207"/>
      <c r="R12" s="208"/>
      <c r="S12" s="208"/>
      <c r="T12" s="209"/>
      <c r="U12" s="558">
        <f t="shared" si="3"/>
        <v>0</v>
      </c>
      <c r="V12" s="558">
        <f t="shared" si="4"/>
        <v>0</v>
      </c>
      <c r="W12" s="209">
        <f t="shared" si="5"/>
        <v>0</v>
      </c>
    </row>
    <row r="13" spans="1:23" ht="19.2" customHeight="1" x14ac:dyDescent="0.3">
      <c r="A13" s="784"/>
      <c r="B13" s="247">
        <v>11</v>
      </c>
      <c r="C13" s="557"/>
      <c r="D13" s="557"/>
      <c r="E13" s="557"/>
      <c r="F13" s="557"/>
      <c r="G13" s="557"/>
      <c r="H13" s="557"/>
      <c r="I13" s="4">
        <v>135.30000000000001</v>
      </c>
      <c r="J13" s="205">
        <f t="shared" si="0"/>
        <v>169.125</v>
      </c>
      <c r="K13" s="205">
        <f t="shared" si="1"/>
        <v>101.47500000000001</v>
      </c>
      <c r="L13" s="205">
        <f t="shared" si="2"/>
        <v>67.649999999999991</v>
      </c>
      <c r="O13" s="784"/>
      <c r="P13" s="206">
        <v>11</v>
      </c>
      <c r="Q13" s="207"/>
      <c r="R13" s="208"/>
      <c r="S13" s="208"/>
      <c r="T13" s="209"/>
      <c r="U13" s="558">
        <f t="shared" si="3"/>
        <v>0</v>
      </c>
      <c r="V13" s="558">
        <f t="shared" si="4"/>
        <v>0</v>
      </c>
      <c r="W13" s="209">
        <f t="shared" si="5"/>
        <v>0</v>
      </c>
    </row>
    <row r="14" spans="1:23" ht="19.2" customHeight="1" x14ac:dyDescent="0.3">
      <c r="A14" s="784"/>
      <c r="B14" s="247">
        <v>12</v>
      </c>
      <c r="C14" s="557"/>
      <c r="D14" s="557"/>
      <c r="E14" s="557"/>
      <c r="F14" s="557"/>
      <c r="G14" s="557"/>
      <c r="H14" s="557"/>
      <c r="I14" s="4">
        <v>135.30000000000001</v>
      </c>
      <c r="J14" s="205">
        <f t="shared" si="0"/>
        <v>169.125</v>
      </c>
      <c r="K14" s="205">
        <f t="shared" si="1"/>
        <v>101.47500000000001</v>
      </c>
      <c r="L14" s="205">
        <f t="shared" si="2"/>
        <v>67.649999999999991</v>
      </c>
      <c r="O14" s="784"/>
      <c r="P14" s="206">
        <v>12</v>
      </c>
      <c r="Q14" s="207"/>
      <c r="R14" s="208"/>
      <c r="S14" s="208"/>
      <c r="T14" s="209"/>
      <c r="U14" s="558">
        <f t="shared" si="3"/>
        <v>0</v>
      </c>
      <c r="V14" s="558">
        <f t="shared" si="4"/>
        <v>0</v>
      </c>
      <c r="W14" s="209">
        <f t="shared" si="5"/>
        <v>0</v>
      </c>
    </row>
    <row r="15" spans="1:23" ht="19.2" customHeight="1" x14ac:dyDescent="0.3">
      <c r="A15" s="784"/>
      <c r="B15" s="247">
        <v>13</v>
      </c>
      <c r="C15" s="557"/>
      <c r="D15" s="557"/>
      <c r="E15" s="557"/>
      <c r="F15" s="557"/>
      <c r="G15" s="557"/>
      <c r="H15" s="557"/>
      <c r="I15" s="4">
        <v>135.30000000000001</v>
      </c>
      <c r="J15" s="205">
        <f t="shared" si="0"/>
        <v>169.125</v>
      </c>
      <c r="K15" s="205">
        <f t="shared" si="1"/>
        <v>101.47500000000001</v>
      </c>
      <c r="L15" s="205">
        <f t="shared" si="2"/>
        <v>67.649999999999991</v>
      </c>
      <c r="O15" s="784"/>
      <c r="P15" s="206">
        <v>13</v>
      </c>
      <c r="Q15" s="207"/>
      <c r="R15" s="208"/>
      <c r="S15" s="208"/>
      <c r="T15" s="209"/>
      <c r="U15" s="558">
        <f t="shared" si="3"/>
        <v>0</v>
      </c>
      <c r="V15" s="558">
        <f t="shared" si="4"/>
        <v>0</v>
      </c>
      <c r="W15" s="209">
        <f t="shared" si="5"/>
        <v>0</v>
      </c>
    </row>
    <row r="16" spans="1:23" ht="19.2" customHeight="1" x14ac:dyDescent="0.3">
      <c r="A16" s="784"/>
      <c r="B16" s="247">
        <v>14</v>
      </c>
      <c r="C16" s="557"/>
      <c r="D16" s="557"/>
      <c r="E16" s="557"/>
      <c r="F16" s="557"/>
      <c r="G16" s="557"/>
      <c r="H16" s="557"/>
      <c r="I16" s="4">
        <v>135.30000000000001</v>
      </c>
      <c r="J16" s="205">
        <f t="shared" si="0"/>
        <v>169.125</v>
      </c>
      <c r="K16" s="205">
        <f t="shared" si="1"/>
        <v>101.47500000000001</v>
      </c>
      <c r="L16" s="205">
        <f t="shared" si="2"/>
        <v>67.649999999999991</v>
      </c>
      <c r="O16" s="784"/>
      <c r="P16" s="206">
        <v>14</v>
      </c>
      <c r="Q16" s="207"/>
      <c r="R16" s="208"/>
      <c r="S16" s="208"/>
      <c r="T16" s="209"/>
      <c r="U16" s="558">
        <f t="shared" si="3"/>
        <v>0</v>
      </c>
      <c r="V16" s="558">
        <f t="shared" si="4"/>
        <v>0</v>
      </c>
      <c r="W16" s="209">
        <f t="shared" si="5"/>
        <v>0</v>
      </c>
    </row>
    <row r="17" spans="1:23" ht="19.2" customHeight="1" x14ac:dyDescent="0.3">
      <c r="A17" s="784"/>
      <c r="B17" s="247">
        <v>15</v>
      </c>
      <c r="C17" s="557"/>
      <c r="D17" s="557"/>
      <c r="E17" s="557"/>
      <c r="F17" s="557"/>
      <c r="G17" s="557"/>
      <c r="H17" s="557"/>
      <c r="I17" s="4">
        <v>135.30000000000001</v>
      </c>
      <c r="J17" s="205">
        <f t="shared" si="0"/>
        <v>169.125</v>
      </c>
      <c r="K17" s="205">
        <f t="shared" si="1"/>
        <v>101.47500000000001</v>
      </c>
      <c r="L17" s="205">
        <f t="shared" si="2"/>
        <v>67.649999999999991</v>
      </c>
      <c r="O17" s="784"/>
      <c r="P17" s="206">
        <v>15</v>
      </c>
      <c r="Q17" s="207"/>
      <c r="R17" s="208"/>
      <c r="S17" s="208"/>
      <c r="T17" s="209"/>
      <c r="U17" s="558">
        <f t="shared" si="3"/>
        <v>0</v>
      </c>
      <c r="V17" s="558">
        <f t="shared" si="4"/>
        <v>0</v>
      </c>
      <c r="W17" s="209">
        <f t="shared" si="5"/>
        <v>0</v>
      </c>
    </row>
    <row r="18" spans="1:23" ht="19.2" customHeight="1" x14ac:dyDescent="0.3">
      <c r="A18" s="784"/>
      <c r="B18" s="247">
        <v>16</v>
      </c>
      <c r="C18" s="557"/>
      <c r="D18" s="557"/>
      <c r="E18" s="557"/>
      <c r="F18" s="557"/>
      <c r="G18" s="557"/>
      <c r="H18" s="557"/>
      <c r="I18" s="4">
        <v>135.30000000000001</v>
      </c>
      <c r="J18" s="205">
        <f t="shared" si="0"/>
        <v>169.125</v>
      </c>
      <c r="K18" s="205">
        <f t="shared" si="1"/>
        <v>101.47500000000001</v>
      </c>
      <c r="L18" s="205">
        <f t="shared" si="2"/>
        <v>67.649999999999991</v>
      </c>
      <c r="O18" s="784"/>
      <c r="P18" s="206">
        <v>16</v>
      </c>
      <c r="Q18" s="207"/>
      <c r="R18" s="208"/>
      <c r="S18" s="208"/>
      <c r="T18" s="209"/>
      <c r="U18" s="558">
        <f t="shared" si="3"/>
        <v>0</v>
      </c>
      <c r="V18" s="558">
        <f t="shared" si="4"/>
        <v>0</v>
      </c>
      <c r="W18" s="209">
        <f t="shared" si="5"/>
        <v>0</v>
      </c>
    </row>
    <row r="20" spans="1:23" x14ac:dyDescent="0.25">
      <c r="O20" s="7" t="s">
        <v>713</v>
      </c>
    </row>
    <row r="21" spans="1:23" x14ac:dyDescent="0.25">
      <c r="O21" s="7" t="s">
        <v>714</v>
      </c>
    </row>
    <row r="22" spans="1:23" x14ac:dyDescent="0.25">
      <c r="O22" s="7" t="s">
        <v>715</v>
      </c>
    </row>
    <row r="25" spans="1:23" s="8" customFormat="1" x14ac:dyDescent="0.25">
      <c r="S25" s="210"/>
      <c r="T25" s="211"/>
      <c r="U25" s="212"/>
    </row>
  </sheetData>
  <mergeCells count="4">
    <mergeCell ref="A3:A18"/>
    <mergeCell ref="A1:L1"/>
    <mergeCell ref="O1:W1"/>
    <mergeCell ref="O3:O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22"/>
  <sheetViews>
    <sheetView zoomScaleNormal="100" workbookViewId="0">
      <selection activeCell="A27" sqref="A27:XFD29"/>
    </sheetView>
  </sheetViews>
  <sheetFormatPr defaultColWidth="8.6640625" defaultRowHeight="13.2" x14ac:dyDescent="0.25"/>
  <cols>
    <col min="1" max="2" width="12" style="7" customWidth="1"/>
    <col min="3" max="6" width="13.6640625" style="7" customWidth="1"/>
    <col min="7" max="7" width="13.33203125" style="7" customWidth="1"/>
    <col min="8" max="8" width="12.6640625" style="7" bestFit="1" customWidth="1"/>
    <col min="9" max="9" width="8.6640625" style="7"/>
    <col min="10" max="10" width="12" style="7" customWidth="1"/>
    <col min="11" max="11" width="14.109375" style="7" customWidth="1"/>
    <col min="12" max="12" width="10.33203125" style="7" customWidth="1"/>
    <col min="13" max="27" width="5.6640625" style="7" customWidth="1"/>
    <col min="28" max="16384" width="8.6640625" style="7"/>
  </cols>
  <sheetData>
    <row r="1" spans="1:28" ht="28.95" customHeight="1" x14ac:dyDescent="0.25">
      <c r="A1" s="621" t="str">
        <f>"% of Floor Area per CZ and Vintage Bin - "&amp;Prototype!A2</f>
        <v>% of Floor Area per CZ and Vintage Bin - Laboratory</v>
      </c>
      <c r="B1" s="621"/>
      <c r="C1" s="621"/>
      <c r="D1" s="621"/>
      <c r="E1" s="621"/>
      <c r="F1" s="621"/>
      <c r="G1" s="621"/>
      <c r="J1" s="621" t="str">
        <f>"% of Floor Area per CZ and Vintage Bin - "&amp;Prototype!A2</f>
        <v>% of Floor Area per CZ and Vintage Bin - Laboratory</v>
      </c>
      <c r="K1" s="621"/>
      <c r="L1" s="621"/>
      <c r="M1" s="621"/>
      <c r="N1" s="621"/>
      <c r="O1" s="621"/>
      <c r="P1" s="621"/>
      <c r="Q1" s="621"/>
      <c r="R1" s="621"/>
      <c r="S1" s="621"/>
      <c r="T1" s="621"/>
      <c r="U1" s="621"/>
      <c r="V1" s="621"/>
      <c r="W1" s="621"/>
      <c r="X1" s="621"/>
      <c r="Y1" s="621"/>
      <c r="Z1" s="621"/>
      <c r="AA1" s="621"/>
    </row>
    <row r="2" spans="1:28" ht="21" customHeight="1" x14ac:dyDescent="0.25">
      <c r="A2" s="796" t="s">
        <v>7</v>
      </c>
      <c r="B2" s="796" t="s">
        <v>695</v>
      </c>
      <c r="C2" s="792" t="s">
        <v>716</v>
      </c>
      <c r="D2" s="793"/>
      <c r="E2" s="793"/>
      <c r="F2" s="793"/>
      <c r="G2" s="794"/>
      <c r="J2" s="795" t="s">
        <v>7</v>
      </c>
      <c r="K2" s="795" t="s">
        <v>716</v>
      </c>
      <c r="L2" s="795" t="s">
        <v>695</v>
      </c>
      <c r="M2" s="795"/>
      <c r="N2" s="795"/>
      <c r="O2" s="795"/>
      <c r="P2" s="795"/>
      <c r="Q2" s="795"/>
      <c r="R2" s="795"/>
      <c r="S2" s="795"/>
      <c r="T2" s="795"/>
      <c r="U2" s="795"/>
      <c r="V2" s="795"/>
      <c r="W2" s="795"/>
      <c r="X2" s="795"/>
      <c r="Y2" s="795"/>
      <c r="Z2" s="795"/>
      <c r="AA2" s="795"/>
    </row>
    <row r="3" spans="1:28" ht="21" customHeight="1" x14ac:dyDescent="0.25">
      <c r="A3" s="797"/>
      <c r="B3" s="797"/>
      <c r="C3" s="467" t="s">
        <v>717</v>
      </c>
      <c r="D3" s="467" t="s">
        <v>266</v>
      </c>
      <c r="E3" s="467" t="s">
        <v>269</v>
      </c>
      <c r="F3" s="467" t="s">
        <v>271</v>
      </c>
      <c r="G3" s="467" t="s">
        <v>718</v>
      </c>
      <c r="J3" s="795"/>
      <c r="K3" s="795"/>
      <c r="L3" s="467">
        <v>1</v>
      </c>
      <c r="M3" s="467">
        <v>2</v>
      </c>
      <c r="N3" s="467">
        <v>3</v>
      </c>
      <c r="O3" s="467">
        <v>4</v>
      </c>
      <c r="P3" s="467">
        <v>5</v>
      </c>
      <c r="Q3" s="467">
        <v>6</v>
      </c>
      <c r="R3" s="467">
        <v>7</v>
      </c>
      <c r="S3" s="467">
        <v>8</v>
      </c>
      <c r="T3" s="467">
        <v>9</v>
      </c>
      <c r="U3" s="467">
        <v>10</v>
      </c>
      <c r="V3" s="467">
        <v>11</v>
      </c>
      <c r="W3" s="467">
        <v>12</v>
      </c>
      <c r="X3" s="467">
        <v>13</v>
      </c>
      <c r="Y3" s="467">
        <v>14</v>
      </c>
      <c r="Z3" s="467">
        <v>15</v>
      </c>
      <c r="AA3" s="467">
        <v>16</v>
      </c>
    </row>
    <row r="4" spans="1:28" ht="16.95" customHeight="1" x14ac:dyDescent="0.25">
      <c r="A4" s="790" t="str">
        <f>Prototype!B4</f>
        <v>Laboratory</v>
      </c>
      <c r="B4" s="118">
        <v>1</v>
      </c>
      <c r="C4" s="465"/>
      <c r="D4" s="465"/>
      <c r="E4" s="465"/>
      <c r="F4" s="465"/>
      <c r="G4" s="54"/>
      <c r="H4" s="63">
        <f>SUM(C4:G4)</f>
        <v>0</v>
      </c>
      <c r="J4" s="787" t="str">
        <f>Prototype!B4</f>
        <v>Laboratory</v>
      </c>
      <c r="K4" s="31" t="s">
        <v>717</v>
      </c>
      <c r="L4" s="31"/>
      <c r="M4" s="31"/>
      <c r="N4" s="31"/>
      <c r="O4" s="31"/>
      <c r="P4" s="31"/>
      <c r="Q4" s="31"/>
      <c r="R4" s="31"/>
      <c r="S4" s="31"/>
      <c r="T4" s="31"/>
      <c r="U4" s="31"/>
      <c r="V4" s="31"/>
      <c r="W4" s="31"/>
      <c r="X4" s="31"/>
      <c r="Y4" s="31"/>
      <c r="Z4" s="31"/>
      <c r="AA4" s="31"/>
      <c r="AB4" s="63">
        <f>SUM(L4:AA4)</f>
        <v>0</v>
      </c>
    </row>
    <row r="5" spans="1:28" ht="16.95" customHeight="1" x14ac:dyDescent="0.25">
      <c r="A5" s="791"/>
      <c r="B5" s="30">
        <v>2</v>
      </c>
      <c r="C5" s="465"/>
      <c r="D5" s="465"/>
      <c r="E5" s="465"/>
      <c r="F5" s="465"/>
      <c r="G5" s="44"/>
      <c r="H5" s="63">
        <f t="shared" ref="H5:H19" si="0">SUM(C5:G5)</f>
        <v>0</v>
      </c>
      <c r="J5" s="788"/>
      <c r="K5" s="31" t="s">
        <v>266</v>
      </c>
      <c r="L5" s="31"/>
      <c r="M5" s="31"/>
      <c r="N5" s="31"/>
      <c r="O5" s="31"/>
      <c r="P5" s="31"/>
      <c r="Q5" s="31"/>
      <c r="R5" s="31"/>
      <c r="S5" s="31"/>
      <c r="T5" s="31"/>
      <c r="U5" s="31"/>
      <c r="V5" s="31"/>
      <c r="W5" s="31"/>
      <c r="X5" s="31"/>
      <c r="Y5" s="31"/>
      <c r="Z5" s="31"/>
      <c r="AA5" s="31"/>
      <c r="AB5" s="63">
        <f>SUM(L5:AA5)</f>
        <v>0</v>
      </c>
    </row>
    <row r="6" spans="1:28" ht="16.95" customHeight="1" x14ac:dyDescent="0.25">
      <c r="A6" s="791"/>
      <c r="B6" s="30">
        <v>3</v>
      </c>
      <c r="C6" s="465"/>
      <c r="D6" s="465"/>
      <c r="E6" s="465"/>
      <c r="F6" s="465"/>
      <c r="G6" s="44"/>
      <c r="H6" s="63">
        <f t="shared" si="0"/>
        <v>0</v>
      </c>
      <c r="J6" s="788"/>
      <c r="K6" s="31" t="s">
        <v>269</v>
      </c>
      <c r="L6" s="31"/>
      <c r="M6" s="31"/>
      <c r="N6" s="31"/>
      <c r="O6" s="31"/>
      <c r="P6" s="31"/>
      <c r="Q6" s="31"/>
      <c r="R6" s="31"/>
      <c r="S6" s="31"/>
      <c r="T6" s="31"/>
      <c r="U6" s="31"/>
      <c r="V6" s="31"/>
      <c r="W6" s="31"/>
      <c r="X6" s="31"/>
      <c r="Y6" s="31"/>
      <c r="Z6" s="31"/>
      <c r="AA6" s="31"/>
      <c r="AB6" s="63">
        <f>SUM(L6:AA6)</f>
        <v>0</v>
      </c>
    </row>
    <row r="7" spans="1:28" ht="16.95" customHeight="1" x14ac:dyDescent="0.25">
      <c r="A7" s="791"/>
      <c r="B7" s="30">
        <v>4</v>
      </c>
      <c r="C7" s="465"/>
      <c r="D7" s="465"/>
      <c r="E7" s="465"/>
      <c r="F7" s="465"/>
      <c r="G7" s="44"/>
      <c r="H7" s="63">
        <f t="shared" si="0"/>
        <v>0</v>
      </c>
      <c r="J7" s="788"/>
      <c r="K7" s="31" t="s">
        <v>271</v>
      </c>
      <c r="L7" s="31"/>
      <c r="M7" s="31"/>
      <c r="N7" s="31"/>
      <c r="O7" s="31"/>
      <c r="P7" s="31"/>
      <c r="Q7" s="31"/>
      <c r="R7" s="31"/>
      <c r="S7" s="31"/>
      <c r="T7" s="31"/>
      <c r="U7" s="31"/>
      <c r="V7" s="31"/>
      <c r="W7" s="31"/>
      <c r="X7" s="31"/>
      <c r="Y7" s="31"/>
      <c r="Z7" s="31"/>
      <c r="AA7" s="31"/>
      <c r="AB7" s="63">
        <f>SUM(L7:AA7)</f>
        <v>0</v>
      </c>
    </row>
    <row r="8" spans="1:28" ht="16.95" customHeight="1" x14ac:dyDescent="0.25">
      <c r="A8" s="791"/>
      <c r="B8" s="30">
        <v>5</v>
      </c>
      <c r="C8" s="465"/>
      <c r="D8" s="465"/>
      <c r="E8" s="465"/>
      <c r="F8" s="465"/>
      <c r="G8" s="44"/>
      <c r="H8" s="63">
        <f t="shared" si="0"/>
        <v>0</v>
      </c>
      <c r="J8" s="788"/>
      <c r="K8" s="31" t="s">
        <v>718</v>
      </c>
      <c r="L8" s="31"/>
      <c r="M8" s="31"/>
      <c r="N8" s="31"/>
      <c r="O8" s="31"/>
      <c r="P8" s="31"/>
      <c r="Q8" s="31"/>
      <c r="R8" s="31"/>
      <c r="S8" s="31"/>
      <c r="T8" s="31"/>
      <c r="U8" s="31"/>
      <c r="V8" s="31"/>
      <c r="W8" s="31"/>
      <c r="X8" s="31"/>
      <c r="Y8" s="31"/>
      <c r="Z8" s="31"/>
      <c r="AA8" s="31"/>
      <c r="AB8" s="63">
        <f>SUM(L8:AA8)</f>
        <v>0</v>
      </c>
    </row>
    <row r="9" spans="1:28" ht="16.95" customHeight="1" x14ac:dyDescent="0.25">
      <c r="A9" s="791"/>
      <c r="B9" s="30">
        <v>6</v>
      </c>
      <c r="C9" s="465"/>
      <c r="D9" s="465"/>
      <c r="E9" s="465"/>
      <c r="F9" s="465"/>
      <c r="G9" s="44"/>
      <c r="H9" s="63">
        <f t="shared" si="0"/>
        <v>0</v>
      </c>
      <c r="J9" s="789"/>
      <c r="K9" s="31" t="s">
        <v>207</v>
      </c>
      <c r="L9" s="31"/>
      <c r="M9" s="31"/>
      <c r="N9" s="31"/>
      <c r="O9" s="31"/>
      <c r="P9" s="31"/>
      <c r="Q9" s="31"/>
      <c r="R9" s="31"/>
      <c r="S9" s="31"/>
      <c r="T9" s="31"/>
      <c r="U9" s="31"/>
      <c r="V9" s="31"/>
      <c r="W9" s="31"/>
      <c r="X9" s="31"/>
      <c r="Y9" s="31"/>
      <c r="Z9" s="31"/>
      <c r="AA9" s="31"/>
      <c r="AB9" s="25"/>
    </row>
    <row r="10" spans="1:28" ht="16.95" customHeight="1" x14ac:dyDescent="0.25">
      <c r="A10" s="791"/>
      <c r="B10" s="30">
        <v>7</v>
      </c>
      <c r="C10" s="465"/>
      <c r="D10" s="465"/>
      <c r="E10" s="465"/>
      <c r="F10" s="465"/>
      <c r="G10" s="44"/>
      <c r="H10" s="63">
        <f t="shared" si="0"/>
        <v>0</v>
      </c>
      <c r="J10" s="9"/>
      <c r="K10" s="61"/>
      <c r="L10" s="21"/>
      <c r="M10" s="21"/>
      <c r="N10" s="21"/>
      <c r="O10" s="21"/>
      <c r="P10" s="62"/>
    </row>
    <row r="11" spans="1:28" ht="16.95" customHeight="1" x14ac:dyDescent="0.25">
      <c r="A11" s="791"/>
      <c r="B11" s="30">
        <v>8</v>
      </c>
      <c r="C11" s="465"/>
      <c r="D11" s="465"/>
      <c r="E11" s="465"/>
      <c r="F11" s="465"/>
      <c r="G11" s="44"/>
      <c r="H11" s="63">
        <f t="shared" si="0"/>
        <v>0</v>
      </c>
      <c r="J11" s="9"/>
      <c r="K11" s="61"/>
      <c r="L11" s="21"/>
      <c r="M11" s="21"/>
      <c r="N11" s="21"/>
      <c r="O11" s="21"/>
      <c r="P11" s="62"/>
    </row>
    <row r="12" spans="1:28" ht="16.95" customHeight="1" x14ac:dyDescent="0.25">
      <c r="A12" s="791"/>
      <c r="B12" s="30">
        <v>9</v>
      </c>
      <c r="C12" s="465"/>
      <c r="D12" s="465"/>
      <c r="E12" s="465"/>
      <c r="F12" s="465"/>
      <c r="G12" s="44"/>
      <c r="H12" s="63">
        <f t="shared" si="0"/>
        <v>0</v>
      </c>
      <c r="J12" s="9"/>
      <c r="K12" s="61"/>
      <c r="L12" s="21"/>
      <c r="M12" s="21"/>
      <c r="N12" s="21"/>
      <c r="O12" s="21"/>
      <c r="P12" s="62"/>
    </row>
    <row r="13" spans="1:28" ht="16.95" customHeight="1" x14ac:dyDescent="0.25">
      <c r="A13" s="791"/>
      <c r="B13" s="30">
        <v>10</v>
      </c>
      <c r="C13" s="465"/>
      <c r="D13" s="465"/>
      <c r="E13" s="465"/>
      <c r="F13" s="465"/>
      <c r="G13" s="44"/>
      <c r="H13" s="63">
        <f t="shared" si="0"/>
        <v>0</v>
      </c>
      <c r="J13" s="9"/>
      <c r="K13" s="61"/>
      <c r="L13" s="21"/>
      <c r="M13" s="21"/>
      <c r="N13" s="21"/>
      <c r="O13" s="21"/>
      <c r="P13" s="62"/>
    </row>
    <row r="14" spans="1:28" ht="16.95" customHeight="1" x14ac:dyDescent="0.25">
      <c r="A14" s="791"/>
      <c r="B14" s="30">
        <v>11</v>
      </c>
      <c r="C14" s="465"/>
      <c r="D14" s="465"/>
      <c r="E14" s="465"/>
      <c r="F14" s="465"/>
      <c r="G14" s="44"/>
      <c r="H14" s="63">
        <f t="shared" si="0"/>
        <v>0</v>
      </c>
      <c r="J14" s="9"/>
      <c r="K14" s="61"/>
      <c r="L14" s="21"/>
      <c r="M14" s="21"/>
      <c r="N14" s="21"/>
      <c r="O14" s="21"/>
      <c r="P14" s="62"/>
    </row>
    <row r="15" spans="1:28" ht="16.95" customHeight="1" x14ac:dyDescent="0.25">
      <c r="A15" s="791"/>
      <c r="B15" s="30">
        <v>12</v>
      </c>
      <c r="C15" s="465"/>
      <c r="D15" s="465"/>
      <c r="E15" s="465"/>
      <c r="F15" s="465"/>
      <c r="G15" s="44"/>
      <c r="H15" s="63">
        <f t="shared" si="0"/>
        <v>0</v>
      </c>
      <c r="J15" s="9"/>
      <c r="K15" s="61"/>
      <c r="L15" s="21"/>
      <c r="M15" s="21"/>
      <c r="N15" s="21"/>
      <c r="O15" s="21"/>
      <c r="P15" s="62"/>
    </row>
    <row r="16" spans="1:28" ht="16.95" customHeight="1" x14ac:dyDescent="0.25">
      <c r="A16" s="791"/>
      <c r="B16" s="30">
        <v>13</v>
      </c>
      <c r="C16" s="465"/>
      <c r="D16" s="465"/>
      <c r="E16" s="465"/>
      <c r="F16" s="465"/>
      <c r="G16" s="44"/>
      <c r="H16" s="63">
        <f t="shared" si="0"/>
        <v>0</v>
      </c>
      <c r="J16" s="9"/>
      <c r="K16" s="61"/>
      <c r="L16" s="21"/>
      <c r="M16" s="21"/>
      <c r="N16" s="21"/>
      <c r="O16" s="21"/>
      <c r="P16" s="62"/>
    </row>
    <row r="17" spans="1:16" ht="16.95" customHeight="1" x14ac:dyDescent="0.25">
      <c r="A17" s="791"/>
      <c r="B17" s="30">
        <v>14</v>
      </c>
      <c r="C17" s="465"/>
      <c r="D17" s="465"/>
      <c r="E17" s="465"/>
      <c r="F17" s="465"/>
      <c r="G17" s="44"/>
      <c r="H17" s="63">
        <f t="shared" si="0"/>
        <v>0</v>
      </c>
      <c r="J17" s="9"/>
      <c r="K17" s="61"/>
      <c r="L17" s="21"/>
      <c r="M17" s="21"/>
      <c r="N17" s="21"/>
      <c r="O17" s="21"/>
      <c r="P17" s="62"/>
    </row>
    <row r="18" spans="1:16" ht="16.95" customHeight="1" x14ac:dyDescent="0.25">
      <c r="A18" s="791"/>
      <c r="B18" s="30">
        <v>15</v>
      </c>
      <c r="C18" s="465"/>
      <c r="D18" s="465"/>
      <c r="E18" s="465"/>
      <c r="F18" s="465"/>
      <c r="G18" s="44"/>
      <c r="H18" s="63">
        <f t="shared" si="0"/>
        <v>0</v>
      </c>
      <c r="J18" s="9"/>
      <c r="K18" s="61"/>
      <c r="L18" s="21"/>
      <c r="M18" s="21"/>
      <c r="N18" s="21"/>
      <c r="O18" s="21"/>
      <c r="P18" s="62"/>
    </row>
    <row r="19" spans="1:16" ht="16.95" customHeight="1" x14ac:dyDescent="0.25">
      <c r="A19" s="791"/>
      <c r="B19" s="30">
        <v>16</v>
      </c>
      <c r="C19" s="465"/>
      <c r="D19" s="465"/>
      <c r="E19" s="465"/>
      <c r="F19" s="465"/>
      <c r="G19" s="44"/>
      <c r="H19" s="63">
        <f t="shared" si="0"/>
        <v>0</v>
      </c>
      <c r="J19" s="9"/>
      <c r="K19" s="61"/>
      <c r="L19" s="21"/>
      <c r="M19" s="21"/>
      <c r="N19" s="21"/>
      <c r="O19" s="21"/>
      <c r="P19" s="62"/>
    </row>
    <row r="20" spans="1:16" x14ac:dyDescent="0.25">
      <c r="A20" s="791"/>
      <c r="B20" s="44" t="s">
        <v>719</v>
      </c>
      <c r="C20" s="465"/>
      <c r="D20" s="465"/>
      <c r="E20" s="465"/>
      <c r="F20" s="465"/>
      <c r="G20" s="44"/>
    </row>
    <row r="22" spans="1:16" x14ac:dyDescent="0.25">
      <c r="A22" s="7" t="s">
        <v>720</v>
      </c>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dimension ref="A1:J2"/>
  <sheetViews>
    <sheetView workbookViewId="0">
      <selection activeCell="W26" sqref="W26"/>
    </sheetView>
  </sheetViews>
  <sheetFormatPr defaultRowHeight="14.4" x14ac:dyDescent="0.3"/>
  <sheetData>
    <row r="1" spans="1:10" ht="21.6" customHeight="1" x14ac:dyDescent="0.3">
      <c r="A1" s="798" t="str">
        <f>"PV - "&amp;Prototype!B4</f>
        <v>PV - Laboratory</v>
      </c>
      <c r="B1" s="798"/>
      <c r="C1" s="798"/>
      <c r="D1" s="798"/>
      <c r="E1" s="798"/>
      <c r="F1" s="798"/>
      <c r="G1" s="798"/>
      <c r="H1" s="798"/>
      <c r="I1" s="798"/>
      <c r="J1" s="798"/>
    </row>
    <row r="2" spans="1:10" x14ac:dyDescent="0.3">
      <c r="A2" t="s">
        <v>721</v>
      </c>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11" sqref="A11"/>
    </sheetView>
  </sheetViews>
  <sheetFormatPr defaultColWidth="8.6640625" defaultRowHeight="13.2" x14ac:dyDescent="0.25"/>
  <cols>
    <col min="1" max="1" width="21" style="7" customWidth="1"/>
    <col min="2" max="2" width="14.33203125" style="7" customWidth="1"/>
    <col min="3" max="3" width="14.5546875" style="7" customWidth="1"/>
    <col min="4" max="8" width="8.6640625" style="7"/>
    <col min="9" max="9" width="13.6640625" style="7" customWidth="1"/>
    <col min="10" max="10" width="14.44140625" style="7" customWidth="1"/>
    <col min="11" max="16384" width="8.6640625" style="7"/>
  </cols>
  <sheetData>
    <row r="1" spans="1:8" ht="20.399999999999999" customHeight="1" x14ac:dyDescent="0.25">
      <c r="A1" s="650" t="str">
        <f>"EV Charger - "&amp;Prototype!B4</f>
        <v>EV Charger - Laboratory</v>
      </c>
      <c r="B1" s="650"/>
      <c r="C1" s="650"/>
      <c r="D1" s="650"/>
      <c r="E1" s="650"/>
      <c r="F1" s="650"/>
      <c r="G1" s="650"/>
      <c r="H1" s="650"/>
    </row>
    <row r="2" spans="1:8" ht="14.4" x14ac:dyDescent="0.3">
      <c r="A2" t="s">
        <v>721</v>
      </c>
      <c r="B2" s="40"/>
      <c r="C2" s="41"/>
      <c r="D2" s="42"/>
      <c r="E2" s="42"/>
    </row>
    <row r="3" spans="1:8" x14ac:dyDescent="0.25">
      <c r="A3" s="499"/>
      <c r="B3" s="559"/>
      <c r="C3" s="216"/>
      <c r="D3" s="43"/>
      <c r="E3" s="43"/>
    </row>
    <row r="11" spans="1:8" s="17" customFormat="1" hidden="1" x14ac:dyDescent="0.25">
      <c r="A11" s="17" t="s">
        <v>356</v>
      </c>
      <c r="E11" s="18"/>
      <c r="F11" s="19"/>
      <c r="G11" s="20"/>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381B-1B44-4671-8B00-90D248609019}">
  <dimension ref="A1:H83"/>
  <sheetViews>
    <sheetView workbookViewId="0">
      <selection activeCell="B83" sqref="B83"/>
    </sheetView>
  </sheetViews>
  <sheetFormatPr defaultRowHeight="14.4" x14ac:dyDescent="0.3"/>
  <cols>
    <col min="1" max="1" width="58.6640625" customWidth="1"/>
    <col min="2" max="2" width="33.6640625" customWidth="1"/>
    <col min="3" max="3" width="30.88671875" customWidth="1"/>
    <col min="4" max="4" width="30.33203125" customWidth="1"/>
  </cols>
  <sheetData>
    <row r="1" spans="1:8" x14ac:dyDescent="0.3">
      <c r="A1" s="1" t="s">
        <v>722</v>
      </c>
      <c r="B1" s="1" t="s">
        <v>723</v>
      </c>
      <c r="C1" t="s">
        <v>724</v>
      </c>
      <c r="D1" t="s">
        <v>724</v>
      </c>
      <c r="E1" s="799" t="s">
        <v>725</v>
      </c>
      <c r="F1" s="799"/>
      <c r="G1" s="799"/>
      <c r="H1" s="799"/>
    </row>
    <row r="2" spans="1:8" x14ac:dyDescent="0.3">
      <c r="A2" s="445" t="s">
        <v>726</v>
      </c>
      <c r="B2" s="445"/>
      <c r="E2">
        <v>2013</v>
      </c>
      <c r="F2">
        <v>2016</v>
      </c>
      <c r="G2">
        <v>2019</v>
      </c>
      <c r="H2">
        <v>2025</v>
      </c>
    </row>
    <row r="3" spans="1:8" x14ac:dyDescent="0.3">
      <c r="A3" s="445" t="s">
        <v>727</v>
      </c>
      <c r="B3" s="445"/>
    </row>
    <row r="4" spans="1:8" x14ac:dyDescent="0.3">
      <c r="A4" s="1" t="s">
        <v>728</v>
      </c>
      <c r="B4" s="1"/>
    </row>
    <row r="5" spans="1:8" x14ac:dyDescent="0.3">
      <c r="A5" s="1" t="s">
        <v>729</v>
      </c>
      <c r="B5" s="1"/>
    </row>
    <row r="6" spans="1:8" x14ac:dyDescent="0.3">
      <c r="A6" s="1" t="s">
        <v>730</v>
      </c>
      <c r="B6" s="1"/>
    </row>
    <row r="7" spans="1:8" x14ac:dyDescent="0.3">
      <c r="A7" s="1" t="s">
        <v>731</v>
      </c>
      <c r="B7" s="1"/>
    </row>
    <row r="8" spans="1:8" x14ac:dyDescent="0.3">
      <c r="A8" s="1" t="s">
        <v>732</v>
      </c>
      <c r="B8" s="1"/>
    </row>
    <row r="9" spans="1:8" x14ac:dyDescent="0.3">
      <c r="A9" s="1" t="s">
        <v>733</v>
      </c>
      <c r="B9" s="1"/>
    </row>
    <row r="10" spans="1:8" x14ac:dyDescent="0.3">
      <c r="A10" s="1" t="s">
        <v>734</v>
      </c>
      <c r="B10" s="1"/>
    </row>
    <row r="11" spans="1:8" x14ac:dyDescent="0.3">
      <c r="A11" s="1" t="s">
        <v>735</v>
      </c>
      <c r="B11" s="1"/>
    </row>
    <row r="12" spans="1:8" x14ac:dyDescent="0.3">
      <c r="A12" s="1" t="s">
        <v>736</v>
      </c>
      <c r="B12" s="1"/>
    </row>
    <row r="13" spans="1:8" x14ac:dyDescent="0.3">
      <c r="A13" s="1" t="s">
        <v>737</v>
      </c>
      <c r="B13" s="1"/>
    </row>
    <row r="14" spans="1:8" x14ac:dyDescent="0.3">
      <c r="A14" s="1" t="s">
        <v>738</v>
      </c>
      <c r="B14" s="1"/>
    </row>
    <row r="15" spans="1:8" x14ac:dyDescent="0.3">
      <c r="A15" s="1" t="s">
        <v>739</v>
      </c>
      <c r="B15" s="1"/>
    </row>
    <row r="16" spans="1:8" x14ac:dyDescent="0.3">
      <c r="A16" s="1" t="s">
        <v>740</v>
      </c>
      <c r="B16" s="1"/>
    </row>
    <row r="17" spans="1:2" x14ac:dyDescent="0.3">
      <c r="A17" s="1" t="s">
        <v>149</v>
      </c>
      <c r="B17" s="1"/>
    </row>
    <row r="18" spans="1:2" x14ac:dyDescent="0.3">
      <c r="A18" s="1" t="s">
        <v>741</v>
      </c>
      <c r="B18" s="1" t="s">
        <v>137</v>
      </c>
    </row>
    <row r="19" spans="1:2" x14ac:dyDescent="0.3">
      <c r="A19" s="1" t="s">
        <v>167</v>
      </c>
      <c r="B19" s="1"/>
    </row>
    <row r="20" spans="1:2" x14ac:dyDescent="0.3">
      <c r="A20" s="1" t="s">
        <v>742</v>
      </c>
      <c r="B20" s="1"/>
    </row>
    <row r="21" spans="1:2" x14ac:dyDescent="0.3">
      <c r="A21" s="1" t="s">
        <v>743</v>
      </c>
      <c r="B21" s="1"/>
    </row>
    <row r="22" spans="1:2" x14ac:dyDescent="0.3">
      <c r="A22" s="1" t="s">
        <v>744</v>
      </c>
      <c r="B22" s="1"/>
    </row>
    <row r="23" spans="1:2" x14ac:dyDescent="0.3">
      <c r="A23" s="1" t="s">
        <v>156</v>
      </c>
      <c r="B23" s="1"/>
    </row>
    <row r="24" spans="1:2" x14ac:dyDescent="0.3">
      <c r="A24" s="1" t="s">
        <v>745</v>
      </c>
      <c r="B24" s="1"/>
    </row>
    <row r="25" spans="1:2" x14ac:dyDescent="0.3">
      <c r="A25" s="1" t="s">
        <v>746</v>
      </c>
      <c r="B25" s="1"/>
    </row>
    <row r="26" spans="1:2" x14ac:dyDescent="0.3">
      <c r="A26" s="1" t="s">
        <v>747</v>
      </c>
      <c r="B26" s="1"/>
    </row>
    <row r="27" spans="1:2" x14ac:dyDescent="0.3">
      <c r="A27" s="1" t="s">
        <v>748</v>
      </c>
      <c r="B27" s="1"/>
    </row>
    <row r="28" spans="1:2" x14ac:dyDescent="0.3">
      <c r="A28" s="1" t="s">
        <v>749</v>
      </c>
      <c r="B28" s="1"/>
    </row>
    <row r="29" spans="1:2" x14ac:dyDescent="0.3">
      <c r="A29" s="1" t="s">
        <v>750</v>
      </c>
      <c r="B29" s="1"/>
    </row>
    <row r="30" spans="1:2" x14ac:dyDescent="0.3">
      <c r="A30" s="1" t="s">
        <v>751</v>
      </c>
      <c r="B30" s="1"/>
    </row>
    <row r="31" spans="1:2" x14ac:dyDescent="0.3">
      <c r="A31" s="1" t="s">
        <v>752</v>
      </c>
      <c r="B31" s="1"/>
    </row>
    <row r="32" spans="1:2" x14ac:dyDescent="0.3">
      <c r="A32" s="1" t="s">
        <v>753</v>
      </c>
      <c r="B32" s="1"/>
    </row>
    <row r="33" spans="1:2" x14ac:dyDescent="0.3">
      <c r="A33" s="1" t="s">
        <v>754</v>
      </c>
      <c r="B33" s="1"/>
    </row>
    <row r="34" spans="1:2" x14ac:dyDescent="0.3">
      <c r="A34" s="1" t="s">
        <v>755</v>
      </c>
      <c r="B34" s="1"/>
    </row>
    <row r="35" spans="1:2" x14ac:dyDescent="0.3">
      <c r="A35" s="1" t="s">
        <v>756</v>
      </c>
      <c r="B35" s="1"/>
    </row>
    <row r="36" spans="1:2" x14ac:dyDescent="0.3">
      <c r="A36" s="1" t="s">
        <v>757</v>
      </c>
      <c r="B36" s="1" t="s">
        <v>137</v>
      </c>
    </row>
    <row r="37" spans="1:2" x14ac:dyDescent="0.3">
      <c r="A37" s="1" t="s">
        <v>758</v>
      </c>
      <c r="B37" s="1" t="s">
        <v>137</v>
      </c>
    </row>
    <row r="38" spans="1:2" x14ac:dyDescent="0.3">
      <c r="A38" s="1" t="s">
        <v>134</v>
      </c>
      <c r="B38" s="1" t="s">
        <v>137</v>
      </c>
    </row>
    <row r="39" spans="1:2" x14ac:dyDescent="0.3">
      <c r="A39" s="1" t="s">
        <v>759</v>
      </c>
      <c r="B39" s="1" t="s">
        <v>137</v>
      </c>
    </row>
    <row r="40" spans="1:2" x14ac:dyDescent="0.3">
      <c r="A40" s="1" t="s">
        <v>760</v>
      </c>
      <c r="B40" s="1"/>
    </row>
    <row r="41" spans="1:2" x14ac:dyDescent="0.3">
      <c r="A41" s="1" t="s">
        <v>761</v>
      </c>
      <c r="B41" s="1"/>
    </row>
    <row r="42" spans="1:2" x14ac:dyDescent="0.3">
      <c r="A42" s="1" t="s">
        <v>151</v>
      </c>
      <c r="B42" s="1"/>
    </row>
    <row r="43" spans="1:2" x14ac:dyDescent="0.3">
      <c r="A43" s="1" t="s">
        <v>762</v>
      </c>
      <c r="B43" s="1" t="s">
        <v>137</v>
      </c>
    </row>
    <row r="44" spans="1:2" x14ac:dyDescent="0.3">
      <c r="A44" s="1" t="s">
        <v>163</v>
      </c>
      <c r="B44" s="1"/>
    </row>
    <row r="45" spans="1:2" x14ac:dyDescent="0.3">
      <c r="A45" s="1" t="s">
        <v>763</v>
      </c>
      <c r="B45" s="1"/>
    </row>
    <row r="46" spans="1:2" x14ac:dyDescent="0.3">
      <c r="A46" s="1" t="s">
        <v>764</v>
      </c>
      <c r="B46" s="1"/>
    </row>
    <row r="47" spans="1:2" x14ac:dyDescent="0.3">
      <c r="A47" s="1" t="s">
        <v>765</v>
      </c>
      <c r="B47" s="1"/>
    </row>
    <row r="48" spans="1:2" x14ac:dyDescent="0.3">
      <c r="A48" s="1" t="s">
        <v>766</v>
      </c>
      <c r="B48" s="1"/>
    </row>
    <row r="49" spans="1:2" x14ac:dyDescent="0.3">
      <c r="A49" s="1" t="s">
        <v>767</v>
      </c>
      <c r="B49" s="1"/>
    </row>
    <row r="50" spans="1:2" x14ac:dyDescent="0.3">
      <c r="A50" s="1" t="s">
        <v>142</v>
      </c>
      <c r="B50" s="1"/>
    </row>
    <row r="51" spans="1:2" x14ac:dyDescent="0.3">
      <c r="A51" s="1" t="s">
        <v>768</v>
      </c>
      <c r="B51" s="1"/>
    </row>
    <row r="52" spans="1:2" x14ac:dyDescent="0.3">
      <c r="A52" s="1" t="s">
        <v>769</v>
      </c>
      <c r="B52" s="1"/>
    </row>
    <row r="53" spans="1:2" x14ac:dyDescent="0.3">
      <c r="A53" s="1" t="s">
        <v>770</v>
      </c>
      <c r="B53" s="1"/>
    </row>
    <row r="54" spans="1:2" x14ac:dyDescent="0.3">
      <c r="A54" s="1" t="s">
        <v>771</v>
      </c>
      <c r="B54" s="1"/>
    </row>
    <row r="55" spans="1:2" x14ac:dyDescent="0.3">
      <c r="A55" s="1" t="s">
        <v>772</v>
      </c>
      <c r="B55" s="1"/>
    </row>
    <row r="56" spans="1:2" x14ac:dyDescent="0.3">
      <c r="A56" s="1" t="s">
        <v>773</v>
      </c>
      <c r="B56" s="1"/>
    </row>
    <row r="57" spans="1:2" x14ac:dyDescent="0.3">
      <c r="A57" s="1" t="s">
        <v>774</v>
      </c>
      <c r="B57" s="1"/>
    </row>
    <row r="58" spans="1:2" x14ac:dyDescent="0.3">
      <c r="A58" s="1" t="s">
        <v>775</v>
      </c>
      <c r="B58" s="1"/>
    </row>
    <row r="59" spans="1:2" x14ac:dyDescent="0.3">
      <c r="A59" s="1" t="s">
        <v>161</v>
      </c>
      <c r="B59" s="1"/>
    </row>
    <row r="60" spans="1:2" x14ac:dyDescent="0.3">
      <c r="A60" s="1" t="s">
        <v>165</v>
      </c>
      <c r="B60" s="1"/>
    </row>
    <row r="61" spans="1:2" x14ac:dyDescent="0.3">
      <c r="A61" s="1" t="s">
        <v>776</v>
      </c>
      <c r="B61" s="1"/>
    </row>
    <row r="62" spans="1:2" x14ac:dyDescent="0.3">
      <c r="A62" s="1" t="s">
        <v>777</v>
      </c>
      <c r="B62" s="1"/>
    </row>
    <row r="63" spans="1:2" x14ac:dyDescent="0.3">
      <c r="A63" s="1" t="s">
        <v>778</v>
      </c>
      <c r="B63" s="1"/>
    </row>
    <row r="64" spans="1:2" x14ac:dyDescent="0.3">
      <c r="A64" s="1" t="s">
        <v>153</v>
      </c>
      <c r="B64" s="1"/>
    </row>
    <row r="65" spans="1:2" x14ac:dyDescent="0.3">
      <c r="A65" s="1" t="s">
        <v>779</v>
      </c>
      <c r="B65" s="1"/>
    </row>
    <row r="66" spans="1:2" x14ac:dyDescent="0.3">
      <c r="A66" s="1" t="s">
        <v>780</v>
      </c>
      <c r="B66" s="1"/>
    </row>
    <row r="67" spans="1:2" x14ac:dyDescent="0.3">
      <c r="A67" s="1" t="s">
        <v>781</v>
      </c>
      <c r="B67" s="1"/>
    </row>
    <row r="68" spans="1:2" x14ac:dyDescent="0.3">
      <c r="A68" s="1" t="s">
        <v>782</v>
      </c>
      <c r="B68" s="1"/>
    </row>
    <row r="69" spans="1:2" x14ac:dyDescent="0.3">
      <c r="A69" s="1" t="s">
        <v>783</v>
      </c>
      <c r="B69" s="1"/>
    </row>
    <row r="70" spans="1:2" x14ac:dyDescent="0.3">
      <c r="A70" s="1" t="s">
        <v>784</v>
      </c>
      <c r="B70" s="1"/>
    </row>
    <row r="71" spans="1:2" x14ac:dyDescent="0.3">
      <c r="A71" s="1" t="s">
        <v>785</v>
      </c>
      <c r="B71" s="1"/>
    </row>
    <row r="72" spans="1:2" x14ac:dyDescent="0.3">
      <c r="A72" s="1" t="s">
        <v>786</v>
      </c>
      <c r="B72" s="1"/>
    </row>
    <row r="73" spans="1:2" x14ac:dyDescent="0.3">
      <c r="A73" s="1" t="s">
        <v>787</v>
      </c>
      <c r="B73" s="1"/>
    </row>
    <row r="74" spans="1:2" x14ac:dyDescent="0.3">
      <c r="A74" s="1" t="s">
        <v>788</v>
      </c>
      <c r="B74" s="1"/>
    </row>
    <row r="75" spans="1:2" x14ac:dyDescent="0.3">
      <c r="A75" s="1" t="s">
        <v>789</v>
      </c>
      <c r="B75" s="1"/>
    </row>
    <row r="76" spans="1:2" x14ac:dyDescent="0.3">
      <c r="A76" s="1" t="s">
        <v>790</v>
      </c>
      <c r="B76" s="1"/>
    </row>
    <row r="77" spans="1:2" x14ac:dyDescent="0.3">
      <c r="A77" s="1" t="s">
        <v>791</v>
      </c>
      <c r="B77" s="1"/>
    </row>
    <row r="78" spans="1:2" x14ac:dyDescent="0.3">
      <c r="A78" s="1" t="s">
        <v>792</v>
      </c>
      <c r="B78" s="1"/>
    </row>
    <row r="79" spans="1:2" x14ac:dyDescent="0.3">
      <c r="A79" s="1" t="s">
        <v>550</v>
      </c>
      <c r="B79" s="1"/>
    </row>
    <row r="80" spans="1:2" x14ac:dyDescent="0.3">
      <c r="A80" s="1" t="s">
        <v>172</v>
      </c>
      <c r="B80" s="1"/>
    </row>
    <row r="81" spans="1:2" x14ac:dyDescent="0.3">
      <c r="A81" s="1" t="s">
        <v>158</v>
      </c>
      <c r="B81" s="1"/>
    </row>
    <row r="82" spans="1:2" x14ac:dyDescent="0.3">
      <c r="A82" s="1" t="s">
        <v>793</v>
      </c>
      <c r="B82" s="1"/>
    </row>
    <row r="83" spans="1:2" x14ac:dyDescent="0.3">
      <c r="A83" s="1" t="s">
        <v>794</v>
      </c>
      <c r="B83" s="1"/>
    </row>
  </sheetData>
  <mergeCells count="1">
    <mergeCell ref="E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A48C356-64CF-42AA-81EA-DDDDBFD0F3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2026-10-07T17:08:59Z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